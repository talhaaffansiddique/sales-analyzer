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aar Attarwala\Downloads\"/>
    </mc:Choice>
  </mc:AlternateContent>
  <xr:revisionPtr revIDLastSave="0" documentId="13_ncr:1_{52F68DFD-ACAD-4016-BEC6-6FF0787CA8D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 Sheet" sheetId="6" r:id="rId1"/>
    <sheet name="Sales Detail" sheetId="2" r:id="rId2"/>
    <sheet name="Customer-Year Summary" sheetId="3" r:id="rId3"/>
    <sheet name="Customer-Product Summary" sheetId="4" r:id="rId4"/>
    <sheet name="Formulations" sheetId="5" r:id="rId5"/>
  </sheets>
  <calcPr calcId="191029"/>
  <pivotCaches>
    <pivotCache cacheId="5" r:id="rId6"/>
  </pivotCaches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70" i="3" l="1"/>
  <c r="D570" i="3"/>
  <c r="E570" i="3"/>
  <c r="F570" i="3"/>
  <c r="G570" i="3"/>
  <c r="H570" i="3"/>
  <c r="I570" i="3"/>
  <c r="J570" i="3"/>
  <c r="K570" i="3"/>
  <c r="L570" i="3"/>
  <c r="M570" i="3"/>
  <c r="N570" i="3"/>
  <c r="O570" i="3"/>
  <c r="B570" i="3"/>
  <c r="G1783" i="4"/>
  <c r="G2866" i="4"/>
  <c r="G3596" i="4"/>
  <c r="G2644" i="4"/>
  <c r="G510" i="4"/>
  <c r="G3595" i="4"/>
  <c r="G3594" i="4"/>
  <c r="G4435" i="4"/>
  <c r="G3593" i="4"/>
  <c r="G1852" i="4"/>
  <c r="G1702" i="4"/>
  <c r="G1701" i="4"/>
  <c r="G1180" i="4"/>
  <c r="G3592" i="4"/>
  <c r="G996" i="4"/>
  <c r="G350" i="4"/>
  <c r="G1651" i="4"/>
  <c r="G1851" i="4"/>
  <c r="G2643" i="4"/>
  <c r="G509" i="4"/>
  <c r="G1986" i="4"/>
  <c r="G5568" i="4"/>
  <c r="G5567" i="4"/>
  <c r="G981" i="4"/>
  <c r="G674" i="4"/>
  <c r="G1650" i="4"/>
  <c r="G4434" i="4"/>
  <c r="G2642" i="4"/>
  <c r="G4433" i="4"/>
  <c r="G62" i="4"/>
  <c r="G1649" i="4"/>
  <c r="G2641" i="4"/>
  <c r="G1179" i="4"/>
  <c r="G1648" i="4"/>
  <c r="G1647" i="4"/>
  <c r="G813" i="4"/>
  <c r="G1646" i="4"/>
  <c r="G1645" i="4"/>
  <c r="G1238" i="4"/>
  <c r="G34" i="4"/>
  <c r="G2640" i="4"/>
  <c r="G1178" i="4"/>
  <c r="G1644" i="4"/>
  <c r="G177" i="4"/>
  <c r="G2639" i="4"/>
  <c r="G980" i="4"/>
  <c r="G1643" i="4"/>
  <c r="G979" i="4"/>
  <c r="G2638" i="4"/>
  <c r="G1295" i="4"/>
  <c r="G3591" i="4"/>
  <c r="G2637" i="4"/>
  <c r="G3106" i="4"/>
  <c r="G1642" i="4"/>
  <c r="G2636" i="4"/>
  <c r="G1955" i="4"/>
  <c r="G1850" i="4"/>
  <c r="G4432" i="4"/>
  <c r="G4431" i="4"/>
  <c r="G673" i="4"/>
  <c r="G1641" i="4"/>
  <c r="G2865" i="4"/>
  <c r="G3673" i="4"/>
  <c r="G4430" i="4"/>
  <c r="G4429" i="4"/>
  <c r="G5566" i="4"/>
  <c r="G5565" i="4"/>
  <c r="G4428" i="4"/>
  <c r="G3610" i="4"/>
  <c r="G4427" i="4"/>
  <c r="G5564" i="4"/>
  <c r="G4845" i="4"/>
  <c r="G5625" i="4"/>
  <c r="G1299" i="4"/>
  <c r="G4426" i="4"/>
  <c r="G4425" i="4"/>
  <c r="G2679" i="4"/>
  <c r="G5563" i="4"/>
  <c r="G4424" i="4"/>
  <c r="G5562" i="4"/>
  <c r="G5561" i="4"/>
  <c r="G4423" i="4"/>
  <c r="G4493" i="4"/>
  <c r="G3077" i="4"/>
  <c r="G697" i="4"/>
  <c r="G1640" i="4"/>
  <c r="G1330" i="4"/>
  <c r="G4422" i="4"/>
  <c r="G4421" i="4"/>
  <c r="G2864" i="4"/>
  <c r="G4844" i="4"/>
  <c r="G3061" i="4"/>
  <c r="G1177" i="4"/>
  <c r="G1782" i="4"/>
  <c r="G338" i="4"/>
  <c r="G1781" i="4"/>
  <c r="G5560" i="4"/>
  <c r="G5559" i="4"/>
  <c r="G4843" i="4"/>
  <c r="G5558" i="4"/>
  <c r="G5557" i="4"/>
  <c r="G4842" i="4"/>
  <c r="G5556" i="4"/>
  <c r="G5555" i="4"/>
  <c r="G4841" i="4"/>
  <c r="G5554" i="4"/>
  <c r="G4840" i="4"/>
  <c r="G5553" i="4"/>
  <c r="G4591" i="4"/>
  <c r="G5552" i="4"/>
  <c r="G5551" i="4"/>
  <c r="G5550" i="4"/>
  <c r="G3590" i="4"/>
  <c r="G978" i="4"/>
  <c r="G456" i="4"/>
  <c r="G1208" i="4"/>
  <c r="G4420" i="4"/>
  <c r="G2863" i="4"/>
  <c r="G508" i="4"/>
  <c r="G759" i="4"/>
  <c r="G320" i="4"/>
  <c r="G1176" i="4"/>
  <c r="G977" i="4"/>
  <c r="G672" i="4"/>
  <c r="G395" i="4"/>
  <c r="G1175" i="4"/>
  <c r="G1174" i="4"/>
  <c r="G2635" i="4"/>
  <c r="G4419" i="4"/>
  <c r="G1639" i="4"/>
  <c r="G1173" i="4"/>
  <c r="G764" i="4"/>
  <c r="G1172" i="4"/>
  <c r="G439" i="4"/>
  <c r="G758" i="4"/>
  <c r="G812" i="4"/>
  <c r="G3589" i="4"/>
  <c r="G757" i="4"/>
  <c r="G1171" i="4"/>
  <c r="G2634" i="4"/>
  <c r="G976" i="4"/>
  <c r="G76" i="4"/>
  <c r="G3588" i="4"/>
  <c r="G1964" i="4"/>
  <c r="G1638" i="4"/>
  <c r="G1207" i="4"/>
  <c r="G2633" i="4"/>
  <c r="G5549" i="4"/>
  <c r="G1294" i="4"/>
  <c r="G4418" i="4"/>
  <c r="G4417" i="4"/>
  <c r="G3587" i="4"/>
  <c r="G2657" i="4"/>
  <c r="G2862" i="4"/>
  <c r="G2632" i="4"/>
  <c r="G772" i="4"/>
  <c r="G1170" i="4"/>
  <c r="G78" i="4"/>
  <c r="G1637" i="4"/>
  <c r="G2631" i="4"/>
  <c r="G109" i="4"/>
  <c r="G1954" i="4"/>
  <c r="G1636" i="4"/>
  <c r="G671" i="4"/>
  <c r="G521" i="4"/>
  <c r="G1169" i="4"/>
  <c r="G2630" i="4"/>
  <c r="G1241" i="4"/>
  <c r="G1635" i="4"/>
  <c r="G4416" i="4"/>
  <c r="G2861" i="4"/>
  <c r="G1168" i="4"/>
  <c r="G1167" i="4"/>
  <c r="G975" i="4"/>
  <c r="G2629" i="4"/>
  <c r="G811" i="4"/>
  <c r="G272" i="4"/>
  <c r="G1058" i="4"/>
  <c r="G1293" i="4"/>
  <c r="G1296" i="4"/>
  <c r="G269" i="4"/>
  <c r="G1780" i="4"/>
  <c r="G319" i="4"/>
  <c r="G144" i="4"/>
  <c r="G1634" i="4"/>
  <c r="G1784" i="4"/>
  <c r="G2897" i="4"/>
  <c r="G3609" i="4"/>
  <c r="G1633" i="4"/>
  <c r="G2628" i="4"/>
  <c r="G459" i="4"/>
  <c r="G1292" i="4"/>
  <c r="G4839" i="4"/>
  <c r="G1953" i="4"/>
  <c r="G5548" i="4"/>
  <c r="G3729" i="4"/>
  <c r="G974" i="4"/>
  <c r="G1632" i="4"/>
  <c r="G1631" i="4"/>
  <c r="G4838" i="4"/>
  <c r="G5547" i="4"/>
  <c r="G5546" i="4"/>
  <c r="G1057" i="4"/>
  <c r="G3586" i="4"/>
  <c r="G3585" i="4"/>
  <c r="G3584" i="4"/>
  <c r="G4415" i="4"/>
  <c r="G2896" i="4"/>
  <c r="G3060" i="4"/>
  <c r="G4414" i="4"/>
  <c r="G5545" i="4"/>
  <c r="G1630" i="4"/>
  <c r="G3583" i="4"/>
  <c r="G3582" i="4"/>
  <c r="G3581" i="4"/>
  <c r="G973" i="4"/>
  <c r="G1779" i="4"/>
  <c r="G756" i="4"/>
  <c r="G972" i="4"/>
  <c r="G971" i="4"/>
  <c r="G2627" i="4"/>
  <c r="G2626" i="4"/>
  <c r="G970" i="4"/>
  <c r="G1629" i="4"/>
  <c r="G1952" i="4"/>
  <c r="G5544" i="4"/>
  <c r="G3580" i="4"/>
  <c r="G394" i="4"/>
  <c r="G5543" i="4"/>
  <c r="G1056" i="4"/>
  <c r="G349" i="4"/>
  <c r="G2625" i="4"/>
  <c r="G5542" i="4"/>
  <c r="G2624" i="4"/>
  <c r="G2623" i="4"/>
  <c r="G2622" i="4"/>
  <c r="G5541" i="4"/>
  <c r="G5540" i="4"/>
  <c r="G5539" i="4"/>
  <c r="G5538" i="4"/>
  <c r="G5537" i="4"/>
  <c r="G5536" i="4"/>
  <c r="G5535" i="4"/>
  <c r="G5534" i="4"/>
  <c r="G5533" i="4"/>
  <c r="G2621" i="4"/>
  <c r="G5532" i="4"/>
  <c r="G4413" i="4"/>
  <c r="G3059" i="4"/>
  <c r="G1166" i="4"/>
  <c r="G2620" i="4"/>
  <c r="G3058" i="4"/>
  <c r="G4412" i="4"/>
  <c r="G393" i="4"/>
  <c r="G1628" i="4"/>
  <c r="G2619" i="4"/>
  <c r="G193" i="4"/>
  <c r="G4411" i="4"/>
  <c r="G5531" i="4"/>
  <c r="G5530" i="4"/>
  <c r="G408" i="4"/>
  <c r="G1627" i="4"/>
  <c r="G507" i="4"/>
  <c r="G1165" i="4"/>
  <c r="G268" i="4"/>
  <c r="G969" i="4"/>
  <c r="G2618" i="4"/>
  <c r="G1164" i="4"/>
  <c r="G407" i="4"/>
  <c r="G2617" i="4"/>
  <c r="G1626" i="4"/>
  <c r="G1625" i="4"/>
  <c r="G1624" i="4"/>
  <c r="G107" i="4"/>
  <c r="G670" i="4"/>
  <c r="G1623" i="4"/>
  <c r="G1163" i="4"/>
  <c r="G506" i="4"/>
  <c r="G3057" i="4"/>
  <c r="G669" i="4"/>
  <c r="G1622" i="4"/>
  <c r="G2616" i="4"/>
  <c r="G568" i="4"/>
  <c r="G567" i="4"/>
  <c r="G201" i="4"/>
  <c r="G2615" i="4"/>
  <c r="G505" i="4"/>
  <c r="G1033" i="4"/>
  <c r="G668" i="4"/>
  <c r="G1621" i="4"/>
  <c r="G168" i="4"/>
  <c r="G597" i="4"/>
  <c r="G755" i="4"/>
  <c r="G1707" i="4"/>
  <c r="G566" i="4"/>
  <c r="G5529" i="4"/>
  <c r="G5528" i="4"/>
  <c r="G1700" i="4"/>
  <c r="G3579" i="4"/>
  <c r="G203" i="4"/>
  <c r="G5527" i="4"/>
  <c r="G2614" i="4"/>
  <c r="G1620" i="4"/>
  <c r="G3578" i="4"/>
  <c r="G1619" i="4"/>
  <c r="G445" i="4"/>
  <c r="G2613" i="4"/>
  <c r="G2612" i="4"/>
  <c r="G3577" i="4"/>
  <c r="G2611" i="4"/>
  <c r="G968" i="4"/>
  <c r="G3576" i="4"/>
  <c r="G3575" i="4"/>
  <c r="G685" i="4"/>
  <c r="G565" i="4"/>
  <c r="G504" i="4"/>
  <c r="G1055" i="4"/>
  <c r="G3056" i="4"/>
  <c r="G4410" i="4"/>
  <c r="G3574" i="4"/>
  <c r="G667" i="4"/>
  <c r="G1951" i="4"/>
  <c r="G4409" i="4"/>
  <c r="G4408" i="4"/>
  <c r="G2610" i="4"/>
  <c r="G4837" i="4"/>
  <c r="G2609" i="4"/>
  <c r="G1162" i="4"/>
  <c r="G3105" i="4"/>
  <c r="G1237" i="4"/>
  <c r="G1788" i="4"/>
  <c r="G967" i="4"/>
  <c r="G1618" i="4"/>
  <c r="G2608" i="4"/>
  <c r="G1212" i="4"/>
  <c r="G288" i="4"/>
  <c r="G221" i="4"/>
  <c r="G2607" i="4"/>
  <c r="G287" i="4"/>
  <c r="G2606" i="4"/>
  <c r="G392" i="4"/>
  <c r="G2605" i="4"/>
  <c r="G2604" i="4"/>
  <c r="G2603" i="4"/>
  <c r="G5526" i="4"/>
  <c r="G1617" i="4"/>
  <c r="G391" i="4"/>
  <c r="G2602" i="4"/>
  <c r="G1161" i="4"/>
  <c r="G2601" i="4"/>
  <c r="G754" i="4"/>
  <c r="G2600" i="4"/>
  <c r="G4407" i="4"/>
  <c r="G4406" i="4"/>
  <c r="G753" i="4"/>
  <c r="G1616" i="4"/>
  <c r="G4405" i="4"/>
  <c r="G1615" i="4"/>
  <c r="G4836" i="4"/>
  <c r="G2860" i="4"/>
  <c r="G2859" i="4"/>
  <c r="G3573" i="4"/>
  <c r="G2599" i="4"/>
  <c r="G2598" i="4"/>
  <c r="G4835" i="4"/>
  <c r="G3572" i="4"/>
  <c r="G1614" i="4"/>
  <c r="G5525" i="4"/>
  <c r="G5524" i="4"/>
  <c r="G5523" i="4"/>
  <c r="G3571" i="4"/>
  <c r="G2597" i="4"/>
  <c r="G503" i="4"/>
  <c r="G2" i="4"/>
  <c r="G666" i="4"/>
  <c r="G63" i="4"/>
  <c r="G1329" i="4"/>
  <c r="G1291" i="4"/>
  <c r="G1613" i="4"/>
  <c r="G810" i="4"/>
  <c r="G596" i="4"/>
  <c r="G966" i="4"/>
  <c r="G1612" i="4"/>
  <c r="G665" i="4"/>
  <c r="G238" i="4"/>
  <c r="G256" i="4"/>
  <c r="G132" i="4"/>
  <c r="G1054" i="4"/>
  <c r="G390" i="4"/>
  <c r="G31" i="4"/>
  <c r="G1053" i="4"/>
  <c r="G965" i="4"/>
  <c r="G3570" i="4"/>
  <c r="G1959" i="4"/>
  <c r="G1611" i="4"/>
  <c r="G3569" i="4"/>
  <c r="G267" i="4"/>
  <c r="G3568" i="4"/>
  <c r="G2858" i="4"/>
  <c r="G1778" i="4"/>
  <c r="G4404" i="4"/>
  <c r="G5522" i="4"/>
  <c r="G5521" i="4"/>
  <c r="G5520" i="4"/>
  <c r="G1664" i="4"/>
  <c r="G5519" i="4"/>
  <c r="G4834" i="4"/>
  <c r="G3055" i="4"/>
  <c r="G2857" i="4"/>
  <c r="G3104" i="4"/>
  <c r="G5518" i="4"/>
  <c r="G5517" i="4"/>
  <c r="G5516" i="4"/>
  <c r="G4403" i="4"/>
  <c r="G5515" i="4"/>
  <c r="G3728" i="4"/>
  <c r="G4833" i="4"/>
  <c r="G5514" i="4"/>
  <c r="G4402" i="4"/>
  <c r="G5513" i="4"/>
  <c r="G5512" i="4"/>
  <c r="G4590" i="4"/>
  <c r="G4401" i="4"/>
  <c r="G3076" i="4"/>
  <c r="G1870" i="4"/>
  <c r="G5511" i="4"/>
  <c r="G5510" i="4"/>
  <c r="G5509" i="4"/>
  <c r="G5508" i="4"/>
  <c r="G5507" i="4"/>
  <c r="G5506" i="4"/>
  <c r="G4832" i="4"/>
  <c r="G4589" i="4"/>
  <c r="G5505" i="4"/>
  <c r="G5504" i="4"/>
  <c r="G5503" i="4"/>
  <c r="G4400" i="4"/>
  <c r="G5502" i="4"/>
  <c r="G4399" i="4"/>
  <c r="G4588" i="4"/>
  <c r="G5501" i="4"/>
  <c r="G5500" i="4"/>
  <c r="G5499" i="4"/>
  <c r="G5498" i="4"/>
  <c r="G5497" i="4"/>
  <c r="G5496" i="4"/>
  <c r="G1849" i="4"/>
  <c r="G5495" i="4"/>
  <c r="G5494" i="4"/>
  <c r="G5493" i="4"/>
  <c r="G5492" i="4"/>
  <c r="G5491" i="4"/>
  <c r="G5490" i="4"/>
  <c r="G5489" i="4"/>
  <c r="G5488" i="4"/>
  <c r="G5487" i="4"/>
  <c r="G5486" i="4"/>
  <c r="G5485" i="4"/>
  <c r="G406" i="4"/>
  <c r="G167" i="4"/>
  <c r="G502" i="4"/>
  <c r="G3567" i="4"/>
  <c r="G2596" i="4"/>
  <c r="G4398" i="4"/>
  <c r="G4587" i="4"/>
  <c r="G1213" i="4"/>
  <c r="G4397" i="4"/>
  <c r="G3727" i="4"/>
  <c r="G2595" i="4"/>
  <c r="G1958" i="4"/>
  <c r="G2895" i="4"/>
  <c r="G3672" i="4"/>
  <c r="G4396" i="4"/>
  <c r="G5484" i="4"/>
  <c r="G1333" i="4"/>
  <c r="G4586" i="4"/>
  <c r="G1699" i="4"/>
  <c r="G2594" i="4"/>
  <c r="G1016" i="4"/>
  <c r="G1985" i="4"/>
  <c r="G964" i="4"/>
  <c r="G3054" i="4"/>
  <c r="G3095" i="4"/>
  <c r="G4395" i="4"/>
  <c r="G2856" i="4"/>
  <c r="G2876" i="4"/>
  <c r="G363" i="4"/>
  <c r="G3566" i="4"/>
  <c r="G2855" i="4"/>
  <c r="G4394" i="4"/>
  <c r="G963" i="4"/>
  <c r="G4393" i="4"/>
  <c r="G1848" i="4"/>
  <c r="G4392" i="4"/>
  <c r="G2593" i="4"/>
  <c r="G1160" i="4"/>
  <c r="G4391" i="4"/>
  <c r="G1610" i="4"/>
  <c r="G1847" i="4"/>
  <c r="G962" i="4"/>
  <c r="G752" i="4"/>
  <c r="G29" i="4"/>
  <c r="G1245" i="4"/>
  <c r="G102" i="4"/>
  <c r="G961" i="4"/>
  <c r="G960" i="4"/>
  <c r="G54" i="4"/>
  <c r="G959" i="4"/>
  <c r="G192" i="4"/>
  <c r="G4390" i="4"/>
  <c r="G5483" i="4"/>
  <c r="G1984" i="4"/>
  <c r="G5482" i="4"/>
  <c r="G1159" i="4"/>
  <c r="G4831" i="4"/>
  <c r="G2592" i="4"/>
  <c r="G1609" i="4"/>
  <c r="G1608" i="4"/>
  <c r="G664" i="4"/>
  <c r="G389" i="4"/>
  <c r="G1846" i="4"/>
  <c r="G2591" i="4"/>
  <c r="G2590" i="4"/>
  <c r="G2589" i="4"/>
  <c r="G161" i="4"/>
  <c r="G414" i="4"/>
  <c r="G501" i="4"/>
  <c r="G1607" i="4"/>
  <c r="G255" i="4"/>
  <c r="G2588" i="4"/>
  <c r="G113" i="4"/>
  <c r="G500" i="4"/>
  <c r="G1158" i="4"/>
  <c r="G35" i="4"/>
  <c r="G2587" i="4"/>
  <c r="G958" i="4"/>
  <c r="G3565" i="4"/>
  <c r="G191" i="4"/>
  <c r="G123" i="4"/>
  <c r="G455" i="4"/>
  <c r="G3564" i="4"/>
  <c r="G2854" i="4"/>
  <c r="G663" i="4"/>
  <c r="G662" i="4"/>
  <c r="G1157" i="4"/>
  <c r="G38" i="4"/>
  <c r="G25" i="4"/>
  <c r="G91" i="4"/>
  <c r="G957" i="4"/>
  <c r="G438" i="4"/>
  <c r="G158" i="4"/>
  <c r="G49" i="4"/>
  <c r="G771" i="4"/>
  <c r="G4830" i="4"/>
  <c r="G2853" i="4"/>
  <c r="G4389" i="4"/>
  <c r="G18" i="4"/>
  <c r="G2586" i="4"/>
  <c r="G20" i="4"/>
  <c r="G136" i="4"/>
  <c r="G956" i="4"/>
  <c r="G955" i="4"/>
  <c r="G590" i="4"/>
  <c r="G1777" i="4"/>
  <c r="G1156" i="4"/>
  <c r="G388" i="4"/>
  <c r="G1606" i="4"/>
  <c r="G1605" i="4"/>
  <c r="G1604" i="4"/>
  <c r="G4388" i="4"/>
  <c r="G1983" i="4"/>
  <c r="G954" i="4"/>
  <c r="G1603" i="4"/>
  <c r="G696" i="4"/>
  <c r="G1602" i="4"/>
  <c r="G1601" i="4"/>
  <c r="G1328" i="4"/>
  <c r="G2585" i="4"/>
  <c r="G2584" i="4"/>
  <c r="G1600" i="4"/>
  <c r="G1599" i="4"/>
  <c r="G387" i="4"/>
  <c r="G953" i="4"/>
  <c r="G2583" i="4"/>
  <c r="G386" i="4"/>
  <c r="G1206" i="4"/>
  <c r="G1598" i="4"/>
  <c r="G751" i="4"/>
  <c r="G4387" i="4"/>
  <c r="G3563" i="4"/>
  <c r="G4386" i="4"/>
  <c r="G3562" i="4"/>
  <c r="G3131" i="4"/>
  <c r="G588" i="4"/>
  <c r="G1845" i="4"/>
  <c r="G276" i="4"/>
  <c r="G1950" i="4"/>
  <c r="G3094" i="4"/>
  <c r="G1776" i="4"/>
  <c r="G2582" i="4"/>
  <c r="G175" i="4"/>
  <c r="G3675" i="4"/>
  <c r="G3732" i="4"/>
  <c r="G3561" i="4"/>
  <c r="G3560" i="4"/>
  <c r="G4385" i="4"/>
  <c r="G5623" i="4"/>
  <c r="G795" i="4"/>
  <c r="G1019" i="4"/>
  <c r="G3559" i="4"/>
  <c r="G2581" i="4"/>
  <c r="G5481" i="4"/>
  <c r="G1015" i="4"/>
  <c r="G5480" i="4"/>
  <c r="G4384" i="4"/>
  <c r="G5479" i="4"/>
  <c r="G3558" i="4"/>
  <c r="G3130" i="4"/>
  <c r="G794" i="4"/>
  <c r="G2580" i="4"/>
  <c r="G4829" i="4"/>
  <c r="G1014" i="4"/>
  <c r="G661" i="4"/>
  <c r="G6" i="4"/>
  <c r="G333" i="4"/>
  <c r="G660" i="4"/>
  <c r="G53" i="4"/>
  <c r="G2579" i="4"/>
  <c r="G237" i="4"/>
  <c r="G44" i="4"/>
  <c r="G2578" i="4"/>
  <c r="G587" i="4"/>
  <c r="G159" i="4"/>
  <c r="G952" i="4"/>
  <c r="G1155" i="4"/>
  <c r="G5631" i="4"/>
  <c r="G5630" i="4"/>
  <c r="G4860" i="4"/>
  <c r="G5629" i="4"/>
  <c r="G5628" i="4"/>
  <c r="G5478" i="4"/>
  <c r="G3133" i="4"/>
  <c r="G3726" i="4"/>
  <c r="G5477" i="4"/>
  <c r="G1154" i="4"/>
  <c r="G5627" i="4"/>
  <c r="G4383" i="4"/>
  <c r="G2852" i="4"/>
  <c r="G5476" i="4"/>
  <c r="G1597" i="4"/>
  <c r="G3557" i="4"/>
  <c r="G684" i="4"/>
  <c r="G5475" i="4"/>
  <c r="G3556" i="4"/>
  <c r="G5474" i="4"/>
  <c r="G5473" i="4"/>
  <c r="G5472" i="4"/>
  <c r="G5471" i="4"/>
  <c r="G4382" i="4"/>
  <c r="G4381" i="4"/>
  <c r="G5470" i="4"/>
  <c r="G5469" i="4"/>
  <c r="G5468" i="4"/>
  <c r="G5467" i="4"/>
  <c r="G5466" i="4"/>
  <c r="G5465" i="4"/>
  <c r="G5464" i="4"/>
  <c r="G5463" i="4"/>
  <c r="G5462" i="4"/>
  <c r="G5461" i="4"/>
  <c r="G5460" i="4"/>
  <c r="G5459" i="4"/>
  <c r="G5458" i="4"/>
  <c r="G5457" i="4"/>
  <c r="G5456" i="4"/>
  <c r="G5455" i="4"/>
  <c r="G5454" i="4"/>
  <c r="G5453" i="4"/>
  <c r="G5452" i="4"/>
  <c r="G5451" i="4"/>
  <c r="G5450" i="4"/>
  <c r="G454" i="4"/>
  <c r="G2577" i="4"/>
  <c r="G130" i="4"/>
  <c r="G1596" i="4"/>
  <c r="G750" i="4"/>
  <c r="G174" i="4"/>
  <c r="G236" i="4"/>
  <c r="G951" i="4"/>
  <c r="G2576" i="4"/>
  <c r="G399" i="4"/>
  <c r="G499" i="4"/>
  <c r="G385" i="4"/>
  <c r="G1595" i="4"/>
  <c r="G3093" i="4"/>
  <c r="G749" i="4"/>
  <c r="G4380" i="4"/>
  <c r="G4379" i="4"/>
  <c r="G2575" i="4"/>
  <c r="G384" i="4"/>
  <c r="G290" i="4"/>
  <c r="G2669" i="4"/>
  <c r="G2574" i="4"/>
  <c r="G1153" i="4"/>
  <c r="G1594" i="4"/>
  <c r="G2573" i="4"/>
  <c r="G4378" i="4"/>
  <c r="G2572" i="4"/>
  <c r="G2571" i="4"/>
  <c r="G157" i="4"/>
  <c r="G1209" i="4"/>
  <c r="G4585" i="4"/>
  <c r="G4377" i="4"/>
  <c r="G90" i="4"/>
  <c r="G437" i="4"/>
  <c r="G2570" i="4"/>
  <c r="G3555" i="4"/>
  <c r="G3554" i="4"/>
  <c r="G103" i="4"/>
  <c r="G2569" i="4"/>
  <c r="G2568" i="4"/>
  <c r="G2567" i="4"/>
  <c r="G2566" i="4"/>
  <c r="G2565" i="4"/>
  <c r="G564" i="4"/>
  <c r="G254" i="4"/>
  <c r="G1593" i="4"/>
  <c r="G498" i="4"/>
  <c r="G1592" i="4"/>
  <c r="G156" i="4"/>
  <c r="G1591" i="4"/>
  <c r="G24" i="4"/>
  <c r="G75" i="4"/>
  <c r="G1236" i="4"/>
  <c r="G1590" i="4"/>
  <c r="G497" i="4"/>
  <c r="G450" i="4"/>
  <c r="G2564" i="4"/>
  <c r="G190" i="4"/>
  <c r="G2563" i="4"/>
  <c r="G3078" i="4"/>
  <c r="G3053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1239" i="4"/>
  <c r="G3631" i="4"/>
  <c r="G122" i="4"/>
  <c r="G7" i="4"/>
  <c r="G2851" i="4"/>
  <c r="G2850" i="4"/>
  <c r="G659" i="4"/>
  <c r="G2562" i="4"/>
  <c r="G4584" i="4"/>
  <c r="G5449" i="4"/>
  <c r="G4583" i="4"/>
  <c r="G4582" i="4"/>
  <c r="G3725" i="4"/>
  <c r="G4492" i="4"/>
  <c r="G3671" i="4"/>
  <c r="G5448" i="4"/>
  <c r="G5447" i="4"/>
  <c r="G5446" i="4"/>
  <c r="G5445" i="4"/>
  <c r="G4810" i="4"/>
  <c r="G5444" i="4"/>
  <c r="G5443" i="4"/>
  <c r="G5442" i="4"/>
  <c r="G5441" i="4"/>
  <c r="G5440" i="4"/>
  <c r="G4809" i="4"/>
  <c r="G5439" i="4"/>
  <c r="G4808" i="4"/>
  <c r="G5438" i="4"/>
  <c r="G5437" i="4"/>
  <c r="G5436" i="4"/>
  <c r="G5435" i="4"/>
  <c r="G5434" i="4"/>
  <c r="G5433" i="4"/>
  <c r="G5432" i="4"/>
  <c r="G5431" i="4"/>
  <c r="G5430" i="4"/>
  <c r="G4807" i="4"/>
  <c r="G5429" i="4"/>
  <c r="G4806" i="4"/>
  <c r="G5428" i="4"/>
  <c r="G4581" i="4"/>
  <c r="G5427" i="4"/>
  <c r="G5426" i="4"/>
  <c r="G2561" i="4"/>
  <c r="G3553" i="4"/>
  <c r="G4376" i="4"/>
  <c r="G2560" i="4"/>
  <c r="G2559" i="4"/>
  <c r="G1052" i="4"/>
  <c r="G4375" i="4"/>
  <c r="G3552" i="4"/>
  <c r="G3052" i="4"/>
  <c r="G3551" i="4"/>
  <c r="G2558" i="4"/>
  <c r="G2849" i="4"/>
  <c r="G2557" i="4"/>
  <c r="G4374" i="4"/>
  <c r="G3550" i="4"/>
  <c r="G695" i="4"/>
  <c r="G4491" i="4"/>
  <c r="G4805" i="4"/>
  <c r="G4804" i="4"/>
  <c r="G4580" i="4"/>
  <c r="G4373" i="4"/>
  <c r="G4579" i="4"/>
  <c r="G5425" i="4"/>
  <c r="G4578" i="4"/>
  <c r="G4803" i="4"/>
  <c r="G4372" i="4"/>
  <c r="G4802" i="4"/>
  <c r="G4371" i="4"/>
  <c r="G4370" i="4"/>
  <c r="G950" i="4"/>
  <c r="G3051" i="4"/>
  <c r="G2556" i="4"/>
  <c r="G2555" i="4"/>
  <c r="G2554" i="4"/>
  <c r="G1949" i="4"/>
  <c r="G4369" i="4"/>
  <c r="G2553" i="4"/>
  <c r="G1589" i="4"/>
  <c r="G2552" i="4"/>
  <c r="G1588" i="4"/>
  <c r="G2551" i="4"/>
  <c r="G658" i="4"/>
  <c r="G949" i="4"/>
  <c r="G2550" i="4"/>
  <c r="G496" i="4"/>
  <c r="G2549" i="4"/>
  <c r="G2548" i="4"/>
  <c r="G2547" i="4"/>
  <c r="G948" i="4"/>
  <c r="G4368" i="4"/>
  <c r="G3549" i="4"/>
  <c r="G4367" i="4"/>
  <c r="G2546" i="4"/>
  <c r="G2545" i="4"/>
  <c r="G2544" i="4"/>
  <c r="G4366" i="4"/>
  <c r="G4365" i="4"/>
  <c r="G2543" i="4"/>
  <c r="G947" i="4"/>
  <c r="G1152" i="4"/>
  <c r="G3050" i="4"/>
  <c r="G3548" i="4"/>
  <c r="G1948" i="4"/>
  <c r="G4364" i="4"/>
  <c r="G4363" i="4"/>
  <c r="G3547" i="4"/>
  <c r="G4362" i="4"/>
  <c r="G1587" i="4"/>
  <c r="G2542" i="4"/>
  <c r="G3546" i="4"/>
  <c r="G442" i="4"/>
  <c r="G1151" i="4"/>
  <c r="G657" i="4"/>
  <c r="G1327" i="4"/>
  <c r="G2541" i="4"/>
  <c r="G3545" i="4"/>
  <c r="G3129" i="4"/>
  <c r="G4361" i="4"/>
  <c r="G235" i="4"/>
  <c r="G1326" i="4"/>
  <c r="G946" i="4"/>
  <c r="G2848" i="4"/>
  <c r="G495" i="4"/>
  <c r="G1586" i="4"/>
  <c r="G4360" i="4"/>
  <c r="G1585" i="4"/>
  <c r="G3544" i="4"/>
  <c r="G5424" i="4"/>
  <c r="G5423" i="4"/>
  <c r="G5422" i="4"/>
  <c r="G1657" i="4"/>
  <c r="G1001" i="4"/>
  <c r="G1775" i="4"/>
  <c r="G2847" i="4"/>
  <c r="G1774" i="4"/>
  <c r="G4359" i="4"/>
  <c r="G1584" i="4"/>
  <c r="G4358" i="4"/>
  <c r="G5421" i="4"/>
  <c r="G5420" i="4"/>
  <c r="G4357" i="4"/>
  <c r="G3670" i="4"/>
  <c r="G3724" i="4"/>
  <c r="G5419" i="4"/>
  <c r="G4356" i="4"/>
  <c r="G4577" i="4"/>
  <c r="G5418" i="4"/>
  <c r="G4355" i="4"/>
  <c r="G3049" i="4"/>
  <c r="G3543" i="4"/>
  <c r="G1963" i="4"/>
  <c r="G2540" i="4"/>
  <c r="G3542" i="4"/>
  <c r="G1773" i="4"/>
  <c r="G4354" i="4"/>
  <c r="G3541" i="4"/>
  <c r="G4353" i="4"/>
  <c r="G4352" i="4"/>
  <c r="G2846" i="4"/>
  <c r="G3048" i="4"/>
  <c r="G2845" i="4"/>
  <c r="G1772" i="4"/>
  <c r="G4351" i="4"/>
  <c r="G3540" i="4"/>
  <c r="G4350" i="4"/>
  <c r="G4490" i="4"/>
  <c r="G2539" i="4"/>
  <c r="G1290" i="4"/>
  <c r="G1844" i="4"/>
  <c r="G5417" i="4"/>
  <c r="G5416" i="4"/>
  <c r="G4496" i="4"/>
  <c r="G4349" i="4"/>
  <c r="G4576" i="4"/>
  <c r="G5415" i="4"/>
  <c r="G5414" i="4"/>
  <c r="G5413" i="4"/>
  <c r="G3669" i="4"/>
  <c r="G4489" i="4"/>
  <c r="G5412" i="4"/>
  <c r="G5411" i="4"/>
  <c r="G2651" i="4"/>
  <c r="G5410" i="4"/>
  <c r="G4488" i="4"/>
  <c r="G3723" i="4"/>
  <c r="G700" i="4"/>
  <c r="G5409" i="4"/>
  <c r="G5408" i="4"/>
  <c r="G1982" i="4"/>
  <c r="G3047" i="4"/>
  <c r="G5407" i="4"/>
  <c r="G4348" i="4"/>
  <c r="G4801" i="4"/>
  <c r="G2844" i="4"/>
  <c r="G3075" i="4"/>
  <c r="G2843" i="4"/>
  <c r="G4859" i="4"/>
  <c r="G5406" i="4"/>
  <c r="G4347" i="4"/>
  <c r="G5405" i="4"/>
  <c r="G5404" i="4"/>
  <c r="G5403" i="4"/>
  <c r="G3539" i="4"/>
  <c r="G3046" i="4"/>
  <c r="G4800" i="4"/>
  <c r="G3722" i="4"/>
  <c r="G4346" i="4"/>
  <c r="G5402" i="4"/>
  <c r="G3721" i="4"/>
  <c r="G3538" i="4"/>
  <c r="G4345" i="4"/>
  <c r="G1325" i="4"/>
  <c r="G3537" i="4"/>
  <c r="G3536" i="4"/>
  <c r="G4344" i="4"/>
  <c r="G4343" i="4"/>
  <c r="G3608" i="4"/>
  <c r="G2538" i="4"/>
  <c r="G4342" i="4"/>
  <c r="G2537" i="4"/>
  <c r="G1583" i="4"/>
  <c r="G3535" i="4"/>
  <c r="G4341" i="4"/>
  <c r="G4340" i="4"/>
  <c r="G4799" i="4"/>
  <c r="G4858" i="4"/>
  <c r="G4798" i="4"/>
  <c r="G4797" i="4"/>
  <c r="G205" i="4"/>
  <c r="G1698" i="4"/>
  <c r="G2842" i="4"/>
  <c r="G1150" i="4"/>
  <c r="G124" i="4"/>
  <c r="G1582" i="4"/>
  <c r="G100" i="4"/>
  <c r="G2536" i="4"/>
  <c r="G1947" i="4"/>
  <c r="G1235" i="4"/>
  <c r="G5401" i="4"/>
  <c r="G1324" i="4"/>
  <c r="G4575" i="4"/>
  <c r="G1289" i="4"/>
  <c r="G761" i="4"/>
  <c r="G2535" i="4"/>
  <c r="G2534" i="4"/>
  <c r="G3534" i="4"/>
  <c r="G383" i="4"/>
  <c r="G3533" i="4"/>
  <c r="G2533" i="4"/>
  <c r="G360" i="4"/>
  <c r="G3532" i="4"/>
  <c r="G995" i="4"/>
  <c r="G707" i="4"/>
  <c r="G1581" i="4"/>
  <c r="G189" i="4"/>
  <c r="G348" i="4"/>
  <c r="G2532" i="4"/>
  <c r="G1580" i="4"/>
  <c r="G1579" i="4"/>
  <c r="G2531" i="4"/>
  <c r="G1843" i="4"/>
  <c r="G66" i="4"/>
  <c r="G1032" i="4"/>
  <c r="G3531" i="4"/>
  <c r="G4339" i="4"/>
  <c r="G3530" i="4"/>
  <c r="G4338" i="4"/>
  <c r="G164" i="4"/>
  <c r="G4337" i="4"/>
  <c r="G2530" i="4"/>
  <c r="G5400" i="4"/>
  <c r="G3529" i="4"/>
  <c r="G2841" i="4"/>
  <c r="G3528" i="4"/>
  <c r="G2529" i="4"/>
  <c r="G1578" i="4"/>
  <c r="G1946" i="4"/>
  <c r="G4336" i="4"/>
  <c r="G1149" i="4"/>
  <c r="G2528" i="4"/>
  <c r="G2840" i="4"/>
  <c r="G1697" i="4"/>
  <c r="G2839" i="4"/>
  <c r="G155" i="4"/>
  <c r="G1842" i="4"/>
  <c r="G2838" i="4"/>
  <c r="G1696" i="4"/>
  <c r="G2837" i="4"/>
  <c r="G2527" i="4"/>
  <c r="G1945" i="4"/>
  <c r="G529" i="4"/>
  <c r="G1695" i="4"/>
  <c r="G2526" i="4"/>
  <c r="G2836" i="4"/>
  <c r="G2835" i="4"/>
  <c r="G2525" i="4"/>
  <c r="G3074" i="4"/>
  <c r="G3527" i="4"/>
  <c r="G4796" i="4"/>
  <c r="G3526" i="4"/>
  <c r="G1771" i="4"/>
  <c r="G1944" i="4"/>
  <c r="G2524" i="4"/>
  <c r="G3045" i="4"/>
  <c r="G4335" i="4"/>
  <c r="G3044" i="4"/>
  <c r="G1770" i="4"/>
  <c r="G4334" i="4"/>
  <c r="G575" i="4"/>
  <c r="G1323" i="4"/>
  <c r="G1694" i="4"/>
  <c r="G2668" i="4"/>
  <c r="G1205" i="4"/>
  <c r="G809" i="4"/>
  <c r="G3731" i="4"/>
  <c r="G3043" i="4"/>
  <c r="G1577" i="4"/>
  <c r="G4333" i="4"/>
  <c r="G3525" i="4"/>
  <c r="G1693" i="4"/>
  <c r="G239" i="4"/>
  <c r="G4332" i="4"/>
  <c r="G1943" i="4"/>
  <c r="G1769" i="4"/>
  <c r="G3042" i="4"/>
  <c r="G2834" i="4"/>
  <c r="G3041" i="4"/>
  <c r="G1576" i="4"/>
  <c r="G4331" i="4"/>
  <c r="G3040" i="4"/>
  <c r="G4330" i="4"/>
  <c r="G3524" i="4"/>
  <c r="G2523" i="4"/>
  <c r="G4329" i="4"/>
  <c r="G2522" i="4"/>
  <c r="G2521" i="4"/>
  <c r="G4328" i="4"/>
  <c r="G4327" i="4"/>
  <c r="G3523" i="4"/>
  <c r="G4326" i="4"/>
  <c r="G3522" i="4"/>
  <c r="G1204" i="4"/>
  <c r="G1768" i="4"/>
  <c r="G3521" i="4"/>
  <c r="G2520" i="4"/>
  <c r="G3039" i="4"/>
  <c r="G3038" i="4"/>
  <c r="G4325" i="4"/>
  <c r="G3037" i="4"/>
  <c r="G440" i="4"/>
  <c r="G770" i="4"/>
  <c r="G2833" i="4"/>
  <c r="G3520" i="4"/>
  <c r="G3519" i="4"/>
  <c r="G3036" i="4"/>
  <c r="G3518" i="4"/>
  <c r="G3517" i="4"/>
  <c r="G4324" i="4"/>
  <c r="G3516" i="4"/>
  <c r="G3035" i="4"/>
  <c r="G1288" i="4"/>
  <c r="G1287" i="4"/>
  <c r="G1575" i="4"/>
  <c r="G1574" i="4"/>
  <c r="G945" i="4"/>
  <c r="G2519" i="4"/>
  <c r="G494" i="4"/>
  <c r="G2518" i="4"/>
  <c r="G563" i="4"/>
  <c r="G2517" i="4"/>
  <c r="G1573" i="4"/>
  <c r="G2516" i="4"/>
  <c r="G2515" i="4"/>
  <c r="G2832" i="4"/>
  <c r="G3515" i="4"/>
  <c r="G1942" i="4"/>
  <c r="G2514" i="4"/>
  <c r="G3514" i="4"/>
  <c r="G4436" i="4"/>
  <c r="G3034" i="4"/>
  <c r="G3033" i="4"/>
  <c r="G3513" i="4"/>
  <c r="G4323" i="4"/>
  <c r="G748" i="4"/>
  <c r="G1322" i="4"/>
  <c r="G1767" i="4"/>
  <c r="G4322" i="4"/>
  <c r="G3668" i="4"/>
  <c r="G4321" i="4"/>
  <c r="G4574" i="4"/>
  <c r="G3032" i="4"/>
  <c r="G1766" i="4"/>
  <c r="G579" i="4"/>
  <c r="G4320" i="4"/>
  <c r="G4319" i="4"/>
  <c r="G1692" i="4"/>
  <c r="G1941" i="4"/>
  <c r="G1203" i="4"/>
  <c r="G747" i="4"/>
  <c r="G4573" i="4"/>
  <c r="G2831" i="4"/>
  <c r="G4572" i="4"/>
  <c r="G3512" i="4"/>
  <c r="G2830" i="4"/>
  <c r="G5570" i="4"/>
  <c r="G337" i="4"/>
  <c r="G1013" i="4"/>
  <c r="G1012" i="4"/>
  <c r="G3511" i="4"/>
  <c r="G1841" i="4"/>
  <c r="G4318" i="4"/>
  <c r="G245" i="4"/>
  <c r="G2513" i="4"/>
  <c r="G2512" i="4"/>
  <c r="G994" i="4"/>
  <c r="G4317" i="4"/>
  <c r="G1691" i="4"/>
  <c r="G3510" i="4"/>
  <c r="G1940" i="4"/>
  <c r="G1765" i="4"/>
  <c r="G1148" i="4"/>
  <c r="G2511" i="4"/>
  <c r="G796" i="4"/>
  <c r="G2510" i="4"/>
  <c r="G3509" i="4"/>
  <c r="G1764" i="4"/>
  <c r="G275" i="4"/>
  <c r="G2509" i="4"/>
  <c r="G4316" i="4"/>
  <c r="G746" i="4"/>
  <c r="G1572" i="4"/>
  <c r="G3508" i="4"/>
  <c r="G1939" i="4"/>
  <c r="G1234" i="4"/>
  <c r="G4315" i="4"/>
  <c r="G4314" i="4"/>
  <c r="G2508" i="4"/>
  <c r="G4313" i="4"/>
  <c r="G3073" i="4"/>
  <c r="G2829" i="4"/>
  <c r="G4312" i="4"/>
  <c r="G4311" i="4"/>
  <c r="G4310" i="4"/>
  <c r="G266" i="4"/>
  <c r="G3507" i="4"/>
  <c r="G2828" i="4"/>
  <c r="G3128" i="4"/>
  <c r="G1051" i="4"/>
  <c r="G361" i="4"/>
  <c r="G1202" i="4"/>
  <c r="G1304" i="4"/>
  <c r="G2507" i="4"/>
  <c r="G4795" i="4"/>
  <c r="G234" i="4"/>
  <c r="G233" i="4"/>
  <c r="G28" i="4"/>
  <c r="G2506" i="4"/>
  <c r="G1938" i="4"/>
  <c r="G1690" i="4"/>
  <c r="G323" i="4"/>
  <c r="G220" i="4"/>
  <c r="G1147" i="4"/>
  <c r="G1286" i="4"/>
  <c r="G420" i="4"/>
  <c r="G1338" i="4"/>
  <c r="G356" i="4"/>
  <c r="G73" i="4"/>
  <c r="G782" i="4"/>
  <c r="G944" i="4"/>
  <c r="G1663" i="4"/>
  <c r="G1571" i="4"/>
  <c r="G213" i="4"/>
  <c r="G12" i="4"/>
  <c r="G2505" i="4"/>
  <c r="G943" i="4"/>
  <c r="G2504" i="4"/>
  <c r="G793" i="4"/>
  <c r="G942" i="4"/>
  <c r="G199" i="4"/>
  <c r="G2503" i="4"/>
  <c r="G4309" i="4"/>
  <c r="G198" i="4"/>
  <c r="G2502" i="4"/>
  <c r="G138" i="4"/>
  <c r="G808" i="4"/>
  <c r="G1937" i="4"/>
  <c r="G520" i="4"/>
  <c r="G3506" i="4"/>
  <c r="G1840" i="4"/>
  <c r="G1689" i="4"/>
  <c r="G2501" i="4"/>
  <c r="G4308" i="4"/>
  <c r="G5399" i="4"/>
  <c r="G436" i="4"/>
  <c r="G67" i="4"/>
  <c r="G562" i="4"/>
  <c r="G656" i="4"/>
  <c r="G2869" i="4"/>
  <c r="G1050" i="4"/>
  <c r="G1285" i="4"/>
  <c r="G1936" i="4"/>
  <c r="G2827" i="4"/>
  <c r="G3505" i="4"/>
  <c r="G244" i="4"/>
  <c r="G1146" i="4"/>
  <c r="G171" i="4"/>
  <c r="G1570" i="4"/>
  <c r="G561" i="4"/>
  <c r="G336" i="4"/>
  <c r="G3667" i="4"/>
  <c r="G1569" i="4"/>
  <c r="G1568" i="4"/>
  <c r="G4307" i="4"/>
  <c r="G941" i="4"/>
  <c r="G940" i="4"/>
  <c r="G253" i="4"/>
  <c r="G655" i="4"/>
  <c r="G329" i="4"/>
  <c r="G1567" i="4"/>
  <c r="G1061" i="4"/>
  <c r="G1017" i="4"/>
  <c r="G4306" i="4"/>
  <c r="G135" i="4"/>
  <c r="G2826" i="4"/>
  <c r="G4794" i="4"/>
  <c r="G5398" i="4"/>
  <c r="G4305" i="4"/>
  <c r="G4571" i="4"/>
  <c r="G4793" i="4"/>
  <c r="G4792" i="4"/>
  <c r="G4791" i="4"/>
  <c r="G4570" i="4"/>
  <c r="G4487" i="4"/>
  <c r="G5622" i="4"/>
  <c r="G4790" i="4"/>
  <c r="G4789" i="4"/>
  <c r="G4569" i="4"/>
  <c r="G3720" i="4"/>
  <c r="G4788" i="4"/>
  <c r="G4787" i="4"/>
  <c r="G61" i="4"/>
  <c r="G3031" i="4"/>
  <c r="G993" i="4"/>
  <c r="G3504" i="4"/>
  <c r="G5397" i="4"/>
  <c r="G2500" i="4"/>
  <c r="G3503" i="4"/>
  <c r="G97" i="4"/>
  <c r="G4304" i="4"/>
  <c r="G2499" i="4"/>
  <c r="G1145" i="4"/>
  <c r="G2498" i="4"/>
  <c r="G1144" i="4"/>
  <c r="G654" i="4"/>
  <c r="G1793" i="4"/>
  <c r="G1839" i="4"/>
  <c r="G200" i="4"/>
  <c r="G2497" i="4"/>
  <c r="G3502" i="4"/>
  <c r="G5396" i="4"/>
  <c r="G3092" i="4"/>
  <c r="G4303" i="4"/>
  <c r="G5395" i="4"/>
  <c r="G5394" i="4"/>
  <c r="G4786" i="4"/>
  <c r="G5393" i="4"/>
  <c r="G2496" i="4"/>
  <c r="G2495" i="4"/>
  <c r="G3501" i="4"/>
  <c r="G3719" i="4"/>
  <c r="G2875" i="4"/>
  <c r="G3500" i="4"/>
  <c r="G1935" i="4"/>
  <c r="G3666" i="4"/>
  <c r="G3499" i="4"/>
  <c r="G2494" i="4"/>
  <c r="G1284" i="4"/>
  <c r="G706" i="4"/>
  <c r="G2493" i="4"/>
  <c r="G493" i="4"/>
  <c r="G528" i="4"/>
  <c r="G252" i="4"/>
  <c r="G4302" i="4"/>
  <c r="G4301" i="4"/>
  <c r="G4300" i="4"/>
  <c r="G5392" i="4"/>
  <c r="G4299" i="4"/>
  <c r="G1283" i="4"/>
  <c r="G1282" i="4"/>
  <c r="G4298" i="4"/>
  <c r="G444" i="4"/>
  <c r="G1233" i="4"/>
  <c r="G4297" i="4"/>
  <c r="G1281" i="4"/>
  <c r="G4296" i="4"/>
  <c r="G5391" i="4"/>
  <c r="G4295" i="4"/>
  <c r="G705" i="4"/>
  <c r="G4294" i="4"/>
  <c r="G4293" i="4"/>
  <c r="G4292" i="4"/>
  <c r="G1049" i="4"/>
  <c r="G1048" i="4"/>
  <c r="G1047" i="4"/>
  <c r="G4291" i="4"/>
  <c r="G4290" i="4"/>
  <c r="G4289" i="4"/>
  <c r="G3127" i="4"/>
  <c r="G1566" i="4"/>
  <c r="G569" i="4"/>
  <c r="G335" i="4"/>
  <c r="G3030" i="4"/>
  <c r="G1565" i="4"/>
  <c r="G1981" i="4"/>
  <c r="G1970" i="4"/>
  <c r="G1031" i="4"/>
  <c r="G1143" i="4"/>
  <c r="G2825" i="4"/>
  <c r="G2824" i="4"/>
  <c r="G398" i="4"/>
  <c r="G2823" i="4"/>
  <c r="G745" i="4"/>
  <c r="G2492" i="4"/>
  <c r="G1232" i="4"/>
  <c r="G2491" i="4"/>
  <c r="G4288" i="4"/>
  <c r="G3498" i="4"/>
  <c r="G2490" i="4"/>
  <c r="G322" i="4"/>
  <c r="G527" i="4"/>
  <c r="G2822" i="4"/>
  <c r="G3497" i="4"/>
  <c r="G1934" i="4"/>
  <c r="G3029" i="4"/>
  <c r="G992" i="4"/>
  <c r="G1933" i="4"/>
  <c r="G3496" i="4"/>
  <c r="G382" i="4"/>
  <c r="G318" i="4"/>
  <c r="G2489" i="4"/>
  <c r="G4486" i="4"/>
  <c r="G4287" i="4"/>
  <c r="G4785" i="4"/>
  <c r="G2488" i="4"/>
  <c r="G2487" i="4"/>
  <c r="G2486" i="4"/>
  <c r="G2485" i="4"/>
  <c r="G2484" i="4"/>
  <c r="G2483" i="4"/>
  <c r="G2482" i="4"/>
  <c r="G2481" i="4"/>
  <c r="G1011" i="4"/>
  <c r="G1046" i="4"/>
  <c r="G4286" i="4"/>
  <c r="G2480" i="4"/>
  <c r="G2821" i="4"/>
  <c r="G2479" i="4"/>
  <c r="G1932" i="4"/>
  <c r="G4285" i="4"/>
  <c r="G4784" i="4"/>
  <c r="G1838" i="4"/>
  <c r="G2478" i="4"/>
  <c r="G2477" i="4"/>
  <c r="G2476" i="4"/>
  <c r="G2475" i="4"/>
  <c r="G3495" i="4"/>
  <c r="G1045" i="4"/>
  <c r="G2820" i="4"/>
  <c r="G1564" i="4"/>
  <c r="G317" i="4"/>
  <c r="G492" i="4"/>
  <c r="G939" i="4"/>
  <c r="G458" i="4"/>
  <c r="G2474" i="4"/>
  <c r="G219" i="4"/>
  <c r="G1044" i="4"/>
  <c r="G2677" i="4"/>
  <c r="G1280" i="4"/>
  <c r="G2473" i="4"/>
  <c r="G1563" i="4"/>
  <c r="G1688" i="4"/>
  <c r="G653" i="4"/>
  <c r="G2472" i="4"/>
  <c r="G3494" i="4"/>
  <c r="G1705" i="4"/>
  <c r="G3607" i="4"/>
  <c r="G1279" i="4"/>
  <c r="G2819" i="4"/>
  <c r="G1142" i="4"/>
  <c r="G1562" i="4"/>
  <c r="G1763" i="4"/>
  <c r="G2471" i="4"/>
  <c r="G652" i="4"/>
  <c r="G938" i="4"/>
  <c r="G937" i="4"/>
  <c r="G1561" i="4"/>
  <c r="G1560" i="4"/>
  <c r="G936" i="4"/>
  <c r="G2818" i="4"/>
  <c r="G2470" i="4"/>
  <c r="G2469" i="4"/>
  <c r="G2468" i="4"/>
  <c r="G2467" i="4"/>
  <c r="G5390" i="4"/>
  <c r="G5389" i="4"/>
  <c r="G5388" i="4"/>
  <c r="G5387" i="4"/>
  <c r="G5386" i="4"/>
  <c r="G5385" i="4"/>
  <c r="G5384" i="4"/>
  <c r="G5383" i="4"/>
  <c r="G5382" i="4"/>
  <c r="G5381" i="4"/>
  <c r="G5380" i="4"/>
  <c r="G5379" i="4"/>
  <c r="G5378" i="4"/>
  <c r="G5377" i="4"/>
  <c r="G5376" i="4"/>
  <c r="G5375" i="4"/>
  <c r="G5374" i="4"/>
  <c r="G5373" i="4"/>
  <c r="G5372" i="4"/>
  <c r="G5371" i="4"/>
  <c r="G5370" i="4"/>
  <c r="G4783" i="4"/>
  <c r="G5369" i="4"/>
  <c r="G5368" i="4"/>
  <c r="G5367" i="4"/>
  <c r="G5366" i="4"/>
  <c r="G5365" i="4"/>
  <c r="G5364" i="4"/>
  <c r="G4284" i="4"/>
  <c r="G4283" i="4"/>
  <c r="G1687" i="4"/>
  <c r="G2466" i="4"/>
  <c r="G4485" i="4"/>
  <c r="G5363" i="4"/>
  <c r="G3665" i="4"/>
  <c r="G4282" i="4"/>
  <c r="G4782" i="4"/>
  <c r="G4568" i="4"/>
  <c r="G694" i="4"/>
  <c r="G4281" i="4"/>
  <c r="G4567" i="4"/>
  <c r="G4484" i="4"/>
  <c r="G4483" i="4"/>
  <c r="G4482" i="4"/>
  <c r="G4481" i="4"/>
  <c r="G4566" i="4"/>
  <c r="G4781" i="4"/>
  <c r="G4280" i="4"/>
  <c r="G4480" i="4"/>
  <c r="G5362" i="4"/>
  <c r="G5361" i="4"/>
  <c r="G4479" i="4"/>
  <c r="G316" i="4"/>
  <c r="G4279" i="4"/>
  <c r="G5360" i="4"/>
  <c r="G5359" i="4"/>
  <c r="G5358" i="4"/>
  <c r="G5357" i="4"/>
  <c r="G3028" i="4"/>
  <c r="G3027" i="4"/>
  <c r="G4278" i="4"/>
  <c r="G3026" i="4"/>
  <c r="G3493" i="4"/>
  <c r="G4277" i="4"/>
  <c r="G4276" i="4"/>
  <c r="G4275" i="4"/>
  <c r="G4274" i="4"/>
  <c r="G4273" i="4"/>
  <c r="G4272" i="4"/>
  <c r="G4271" i="4"/>
  <c r="G4270" i="4"/>
  <c r="G4269" i="4"/>
  <c r="G4780" i="4"/>
  <c r="G4779" i="4"/>
  <c r="G4268" i="4"/>
  <c r="G2465" i="4"/>
  <c r="G5356" i="4"/>
  <c r="G3606" i="4"/>
  <c r="G4778" i="4"/>
  <c r="G3605" i="4"/>
  <c r="G4777" i="4"/>
  <c r="G4776" i="4"/>
  <c r="G3072" i="4"/>
  <c r="G4267" i="4"/>
  <c r="G3718" i="4"/>
  <c r="G4266" i="4"/>
  <c r="G5355" i="4"/>
  <c r="G4478" i="4"/>
  <c r="G4565" i="4"/>
  <c r="G4477" i="4"/>
  <c r="G3492" i="4"/>
  <c r="G4564" i="4"/>
  <c r="G3664" i="4"/>
  <c r="G5354" i="4"/>
  <c r="G4476" i="4"/>
  <c r="G3604" i="4"/>
  <c r="G3663" i="4"/>
  <c r="G5353" i="4"/>
  <c r="G3717" i="4"/>
  <c r="G4265" i="4"/>
  <c r="G5352" i="4"/>
  <c r="G2667" i="4"/>
  <c r="G3662" i="4"/>
  <c r="G3071" i="4"/>
  <c r="G4475" i="4"/>
  <c r="G4474" i="4"/>
  <c r="G3025" i="4"/>
  <c r="G2656" i="4"/>
  <c r="G2464" i="4"/>
  <c r="G4264" i="4"/>
  <c r="G3024" i="4"/>
  <c r="G3491" i="4"/>
  <c r="G3490" i="4"/>
  <c r="G2817" i="4"/>
  <c r="G2816" i="4"/>
  <c r="G1762" i="4"/>
  <c r="G1559" i="4"/>
  <c r="G1931" i="4"/>
  <c r="G1761" i="4"/>
  <c r="G3489" i="4"/>
  <c r="G4263" i="4"/>
  <c r="G2815" i="4"/>
  <c r="G2884" i="4"/>
  <c r="G3488" i="4"/>
  <c r="G1760" i="4"/>
  <c r="G2463" i="4"/>
  <c r="G2814" i="4"/>
  <c r="G560" i="4"/>
  <c r="G935" i="4"/>
  <c r="G1837" i="4"/>
  <c r="G2813" i="4"/>
  <c r="G4775" i="4"/>
  <c r="G4563" i="4"/>
  <c r="G2462" i="4"/>
  <c r="G2461" i="4"/>
  <c r="G683" i="4"/>
  <c r="G2460" i="4"/>
  <c r="G2459" i="4"/>
  <c r="G2458" i="4"/>
  <c r="G2457" i="4"/>
  <c r="G2456" i="4"/>
  <c r="G2812" i="4"/>
  <c r="G3023" i="4"/>
  <c r="G3487" i="4"/>
  <c r="G651" i="4"/>
  <c r="G807" i="4"/>
  <c r="G3486" i="4"/>
  <c r="G3022" i="4"/>
  <c r="G2811" i="4"/>
  <c r="G1231" i="4"/>
  <c r="G781" i="4"/>
  <c r="G1686" i="4"/>
  <c r="G3021" i="4"/>
  <c r="G3485" i="4"/>
  <c r="G1653" i="4"/>
  <c r="G1558" i="4"/>
  <c r="G2455" i="4"/>
  <c r="G4774" i="4"/>
  <c r="G4262" i="4"/>
  <c r="G3716" i="4"/>
  <c r="G4261" i="4"/>
  <c r="G3715" i="4"/>
  <c r="G3714" i="4"/>
  <c r="G3713" i="4"/>
  <c r="G5351" i="4"/>
  <c r="G4260" i="4"/>
  <c r="G3712" i="4"/>
  <c r="G4259" i="4"/>
  <c r="G5350" i="4"/>
  <c r="G3711" i="4"/>
  <c r="G4258" i="4"/>
  <c r="G4257" i="4"/>
  <c r="G4256" i="4"/>
  <c r="G3710" i="4"/>
  <c r="G3709" i="4"/>
  <c r="G4773" i="4"/>
  <c r="G1557" i="4"/>
  <c r="G578" i="4"/>
  <c r="G4255" i="4"/>
  <c r="G4772" i="4"/>
  <c r="G4771" i="4"/>
  <c r="G4770" i="4"/>
  <c r="G2454" i="4"/>
  <c r="G4254" i="4"/>
  <c r="G4253" i="4"/>
  <c r="G3484" i="4"/>
  <c r="G4769" i="4"/>
  <c r="G3020" i="4"/>
  <c r="G4768" i="4"/>
  <c r="G2453" i="4"/>
  <c r="G3483" i="4"/>
  <c r="G4767" i="4"/>
  <c r="G4766" i="4"/>
  <c r="G4765" i="4"/>
  <c r="G3482" i="4"/>
  <c r="G3019" i="4"/>
  <c r="G5349" i="4"/>
  <c r="G4764" i="4"/>
  <c r="G4252" i="4"/>
  <c r="G4763" i="4"/>
  <c r="G934" i="4"/>
  <c r="G211" i="4"/>
  <c r="G2810" i="4"/>
  <c r="G769" i="4"/>
  <c r="G650" i="4"/>
  <c r="G210" i="4"/>
  <c r="G4251" i="4"/>
  <c r="G688" i="4"/>
  <c r="G286" i="4"/>
  <c r="G145" i="4"/>
  <c r="G1556" i="4"/>
  <c r="G4250" i="4"/>
  <c r="G744" i="4"/>
  <c r="G4249" i="4"/>
  <c r="G2452" i="4"/>
  <c r="G4248" i="4"/>
  <c r="G4247" i="4"/>
  <c r="G3018" i="4"/>
  <c r="G4246" i="4"/>
  <c r="G4245" i="4"/>
  <c r="G1555" i="4"/>
  <c r="G1554" i="4"/>
  <c r="G2451" i="4"/>
  <c r="G3481" i="4"/>
  <c r="G933" i="4"/>
  <c r="G2809" i="4"/>
  <c r="G2450" i="4"/>
  <c r="G2449" i="4"/>
  <c r="G2448" i="4"/>
  <c r="G3480" i="4"/>
  <c r="G2447" i="4"/>
  <c r="G3017" i="4"/>
  <c r="G2446" i="4"/>
  <c r="G241" i="4"/>
  <c r="G3479" i="4"/>
  <c r="G3478" i="4"/>
  <c r="G559" i="4"/>
  <c r="G3070" i="4"/>
  <c r="G2445" i="4"/>
  <c r="G1759" i="4"/>
  <c r="G1553" i="4"/>
  <c r="G2444" i="4"/>
  <c r="G3016" i="4"/>
  <c r="G3477" i="4"/>
  <c r="G4244" i="4"/>
  <c r="G405" i="4"/>
  <c r="G1141" i="4"/>
  <c r="G2808" i="4"/>
  <c r="G1930" i="4"/>
  <c r="G3708" i="4"/>
  <c r="G932" i="4"/>
  <c r="G595" i="4"/>
  <c r="G491" i="4"/>
  <c r="G1552" i="4"/>
  <c r="G5348" i="4"/>
  <c r="G2443" i="4"/>
  <c r="G315" i="4"/>
  <c r="G931" i="4"/>
  <c r="G1551" i="4"/>
  <c r="G743" i="4"/>
  <c r="G5347" i="4"/>
  <c r="G2442" i="4"/>
  <c r="G742" i="4"/>
  <c r="G419" i="4"/>
  <c r="G232" i="4"/>
  <c r="G328" i="4"/>
  <c r="G649" i="4"/>
  <c r="G930" i="4"/>
  <c r="G929" i="4"/>
  <c r="G261" i="4"/>
  <c r="G1550" i="4"/>
  <c r="G117" i="4"/>
  <c r="G163" i="4"/>
  <c r="G2441" i="4"/>
  <c r="G558" i="4"/>
  <c r="G1549" i="4"/>
  <c r="G557" i="4"/>
  <c r="G490" i="4"/>
  <c r="G3476" i="4"/>
  <c r="G3475" i="4"/>
  <c r="G2440" i="4"/>
  <c r="G3015" i="4"/>
  <c r="G3474" i="4"/>
  <c r="G3473" i="4"/>
  <c r="G2807" i="4"/>
  <c r="G2439" i="4"/>
  <c r="G4243" i="4"/>
  <c r="G4242" i="4"/>
  <c r="G1230" i="4"/>
  <c r="G3472" i="4"/>
  <c r="G928" i="4"/>
  <c r="G1548" i="4"/>
  <c r="G3471" i="4"/>
  <c r="G4241" i="4"/>
  <c r="G3470" i="4"/>
  <c r="G2438" i="4"/>
  <c r="G2437" i="4"/>
  <c r="G1140" i="4"/>
  <c r="G4240" i="4"/>
  <c r="G3014" i="4"/>
  <c r="G2436" i="4"/>
  <c r="G1547" i="4"/>
  <c r="G1546" i="4"/>
  <c r="G4239" i="4"/>
  <c r="G3469" i="4"/>
  <c r="G1030" i="4"/>
  <c r="G154" i="4"/>
  <c r="G1278" i="4"/>
  <c r="G1545" i="4"/>
  <c r="G381" i="4"/>
  <c r="G741" i="4"/>
  <c r="G556" i="4"/>
  <c r="G3468" i="4"/>
  <c r="G4473" i="4"/>
  <c r="G3467" i="4"/>
  <c r="G4238" i="4"/>
  <c r="G2806" i="4"/>
  <c r="G1758" i="4"/>
  <c r="G3661" i="4"/>
  <c r="G4472" i="4"/>
  <c r="G2435" i="4"/>
  <c r="G4237" i="4"/>
  <c r="G4236" i="4"/>
  <c r="G3466" i="4"/>
  <c r="G3465" i="4"/>
  <c r="G4235" i="4"/>
  <c r="G3464" i="4"/>
  <c r="G3707" i="4"/>
  <c r="G5346" i="4"/>
  <c r="G4562" i="4"/>
  <c r="G4561" i="4"/>
  <c r="G4471" i="4"/>
  <c r="G5345" i="4"/>
  <c r="G5344" i="4"/>
  <c r="G3706" i="4"/>
  <c r="G5343" i="4"/>
  <c r="G5342" i="4"/>
  <c r="G3705" i="4"/>
  <c r="G5621" i="4"/>
  <c r="G4762" i="4"/>
  <c r="G5341" i="4"/>
  <c r="G5340" i="4"/>
  <c r="G5624" i="4"/>
  <c r="G5339" i="4"/>
  <c r="G3463" i="4"/>
  <c r="G2805" i="4"/>
  <c r="G314" i="4"/>
  <c r="G2804" i="4"/>
  <c r="G2803" i="4"/>
  <c r="G2434" i="4"/>
  <c r="G4761" i="4"/>
  <c r="G4760" i="4"/>
  <c r="G4759" i="4"/>
  <c r="G4470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5338" i="4"/>
  <c r="G4742" i="4"/>
  <c r="G4741" i="4"/>
  <c r="G4234" i="4"/>
  <c r="G4740" i="4"/>
  <c r="G1337" i="4"/>
  <c r="G5337" i="4"/>
  <c r="G2433" i="4"/>
  <c r="G1662" i="4"/>
  <c r="G4739" i="4"/>
  <c r="G5336" i="4"/>
  <c r="G5335" i="4"/>
  <c r="G5334" i="4"/>
  <c r="G4560" i="4"/>
  <c r="G4559" i="4"/>
  <c r="G3660" i="4"/>
  <c r="G5333" i="4"/>
  <c r="G3462" i="4"/>
  <c r="G4233" i="4"/>
  <c r="G5332" i="4"/>
  <c r="G3091" i="4"/>
  <c r="G4232" i="4"/>
  <c r="G3461" i="4"/>
  <c r="G4738" i="4"/>
  <c r="G4231" i="4"/>
  <c r="G4737" i="4"/>
  <c r="G5331" i="4"/>
  <c r="G5330" i="4"/>
  <c r="G4736" i="4"/>
  <c r="G1544" i="4"/>
  <c r="G4230" i="4"/>
  <c r="G3659" i="4"/>
  <c r="G3460" i="4"/>
  <c r="G4469" i="4"/>
  <c r="G4229" i="4"/>
  <c r="G3658" i="4"/>
  <c r="G3459" i="4"/>
  <c r="G4228" i="4"/>
  <c r="G4227" i="4"/>
  <c r="G4226" i="4"/>
  <c r="G4225" i="4"/>
  <c r="G4735" i="4"/>
  <c r="G5329" i="4"/>
  <c r="G5328" i="4"/>
  <c r="G5327" i="4"/>
  <c r="G5326" i="4"/>
  <c r="G5325" i="4"/>
  <c r="G5324" i="4"/>
  <c r="G5323" i="4"/>
  <c r="G5322" i="4"/>
  <c r="G5321" i="4"/>
  <c r="G5320" i="4"/>
  <c r="G4734" i="4"/>
  <c r="G5319" i="4"/>
  <c r="G4733" i="4"/>
  <c r="G5318" i="4"/>
  <c r="G2802" i="4"/>
  <c r="G1543" i="4"/>
  <c r="G4732" i="4"/>
  <c r="G4224" i="4"/>
  <c r="G3458" i="4"/>
  <c r="G4731" i="4"/>
  <c r="G4730" i="4"/>
  <c r="G4729" i="4"/>
  <c r="G4728" i="4"/>
  <c r="G4223" i="4"/>
  <c r="G347" i="4"/>
  <c r="G4558" i="4"/>
  <c r="G4727" i="4"/>
  <c r="G4222" i="4"/>
  <c r="G2432" i="4"/>
  <c r="G2431" i="4"/>
  <c r="G1542" i="4"/>
  <c r="G1541" i="4"/>
  <c r="G3457" i="4"/>
  <c r="G4221" i="4"/>
  <c r="G1540" i="4"/>
  <c r="G4220" i="4"/>
  <c r="G4219" i="4"/>
  <c r="G4218" i="4"/>
  <c r="G4726" i="4"/>
  <c r="G3456" i="4"/>
  <c r="G1277" i="4"/>
  <c r="G927" i="4"/>
  <c r="G1539" i="4"/>
  <c r="G3455" i="4"/>
  <c r="G926" i="4"/>
  <c r="G4217" i="4"/>
  <c r="G3454" i="4"/>
  <c r="G1929" i="4"/>
  <c r="G3013" i="4"/>
  <c r="G2801" i="4"/>
  <c r="G4216" i="4"/>
  <c r="G1276" i="4"/>
  <c r="G4215" i="4"/>
  <c r="G3453" i="4"/>
  <c r="G2650" i="4"/>
  <c r="G3452" i="4"/>
  <c r="G4214" i="4"/>
  <c r="G3451" i="4"/>
  <c r="G3450" i="4"/>
  <c r="G1538" i="4"/>
  <c r="G3449" i="4"/>
  <c r="G3448" i="4"/>
  <c r="G3447" i="4"/>
  <c r="G2800" i="4"/>
  <c r="G1836" i="4"/>
  <c r="G2799" i="4"/>
  <c r="G925" i="4"/>
  <c r="G2798" i="4"/>
  <c r="G4213" i="4"/>
  <c r="G3446" i="4"/>
  <c r="G1537" i="4"/>
  <c r="G2430" i="4"/>
  <c r="G294" i="4"/>
  <c r="G5317" i="4"/>
  <c r="G1275" i="4"/>
  <c r="G998" i="4"/>
  <c r="G3012" i="4"/>
  <c r="G648" i="4"/>
  <c r="G4212" i="4"/>
  <c r="G1685" i="4"/>
  <c r="G3011" i="4"/>
  <c r="G3010" i="4"/>
  <c r="G2429" i="4"/>
  <c r="G1928" i="4"/>
  <c r="G2428" i="4"/>
  <c r="G1229" i="4"/>
  <c r="G1659" i="4"/>
  <c r="G3009" i="4"/>
  <c r="G1201" i="4"/>
  <c r="G271" i="4"/>
  <c r="G1536" i="4"/>
  <c r="G3008" i="4"/>
  <c r="G2427" i="4"/>
  <c r="G3445" i="4"/>
  <c r="G2426" i="4"/>
  <c r="G3630" i="4"/>
  <c r="G2425" i="4"/>
  <c r="G2424" i="4"/>
  <c r="G647" i="4"/>
  <c r="G2423" i="4"/>
  <c r="G5620" i="4"/>
  <c r="G5619" i="4"/>
  <c r="G5618" i="4"/>
  <c r="G5617" i="4"/>
  <c r="G5616" i="4"/>
  <c r="G2883" i="4"/>
  <c r="G1927" i="4"/>
  <c r="G1060" i="4"/>
  <c r="G1321" i="4"/>
  <c r="G4211" i="4"/>
  <c r="G5316" i="4"/>
  <c r="G986" i="4"/>
  <c r="G3629" i="4"/>
  <c r="G5315" i="4"/>
  <c r="G4725" i="4"/>
  <c r="G3444" i="4"/>
  <c r="G924" i="4"/>
  <c r="G5314" i="4"/>
  <c r="G4724" i="4"/>
  <c r="G1535" i="4"/>
  <c r="G4723" i="4"/>
  <c r="G5313" i="4"/>
  <c r="G5312" i="4"/>
  <c r="G4557" i="4"/>
  <c r="G4722" i="4"/>
  <c r="G5311" i="4"/>
  <c r="G4556" i="4"/>
  <c r="G5310" i="4"/>
  <c r="G3007" i="4"/>
  <c r="G1242" i="4"/>
  <c r="G5309" i="4"/>
  <c r="G5308" i="4"/>
  <c r="G4555" i="4"/>
  <c r="G3126" i="4"/>
  <c r="G4721" i="4"/>
  <c r="G5307" i="4"/>
  <c r="G5306" i="4"/>
  <c r="G5305" i="4"/>
  <c r="G4210" i="4"/>
  <c r="G4720" i="4"/>
  <c r="G5304" i="4"/>
  <c r="G5303" i="4"/>
  <c r="G4719" i="4"/>
  <c r="G4718" i="4"/>
  <c r="G3628" i="4"/>
  <c r="G489" i="4"/>
  <c r="G1534" i="4"/>
  <c r="G231" i="4"/>
  <c r="G380" i="4"/>
  <c r="G1533" i="4"/>
  <c r="G1532" i="4"/>
  <c r="G1531" i="4"/>
  <c r="G2422" i="4"/>
  <c r="G1530" i="4"/>
  <c r="G740" i="4"/>
  <c r="G2421" i="4"/>
  <c r="G2420" i="4"/>
  <c r="G2419" i="4"/>
  <c r="G488" i="4"/>
  <c r="G2418" i="4"/>
  <c r="G487" i="4"/>
  <c r="G1757" i="4"/>
  <c r="G1529" i="4"/>
  <c r="G923" i="4"/>
  <c r="G2417" i="4"/>
  <c r="G646" i="4"/>
  <c r="G555" i="4"/>
  <c r="G1926" i="4"/>
  <c r="G1139" i="4"/>
  <c r="G4717" i="4"/>
  <c r="G4554" i="4"/>
  <c r="G1528" i="4"/>
  <c r="G1138" i="4"/>
  <c r="G1228" i="4"/>
  <c r="G2797" i="4"/>
  <c r="G1227" i="4"/>
  <c r="G5302" i="4"/>
  <c r="G1527" i="4"/>
  <c r="G2416" i="4"/>
  <c r="G2415" i="4"/>
  <c r="G1200" i="4"/>
  <c r="G4209" i="4"/>
  <c r="G4208" i="4"/>
  <c r="G922" i="4"/>
  <c r="G129" i="4"/>
  <c r="G86" i="4"/>
  <c r="G1274" i="4"/>
  <c r="G921" i="4"/>
  <c r="G2414" i="4"/>
  <c r="G1137" i="4"/>
  <c r="G2413" i="4"/>
  <c r="G1526" i="4"/>
  <c r="G346" i="4"/>
  <c r="G204" i="4"/>
  <c r="G486" i="4"/>
  <c r="G2874" i="4"/>
  <c r="G5301" i="4"/>
  <c r="G313" i="4"/>
  <c r="G485" i="4"/>
  <c r="G1756" i="4"/>
  <c r="G1755" i="4"/>
  <c r="G4716" i="4"/>
  <c r="G1525" i="4"/>
  <c r="G1524" i="4"/>
  <c r="G2412" i="4"/>
  <c r="G1020" i="4"/>
  <c r="G2666" i="4"/>
  <c r="G1925" i="4"/>
  <c r="G2411" i="4"/>
  <c r="G484" i="4"/>
  <c r="G108" i="4"/>
  <c r="G4207" i="4"/>
  <c r="G5300" i="4"/>
  <c r="G3006" i="4"/>
  <c r="G5299" i="4"/>
  <c r="G3704" i="4"/>
  <c r="G5298" i="4"/>
  <c r="G1980" i="4"/>
  <c r="G3703" i="4"/>
  <c r="G5297" i="4"/>
  <c r="G3443" i="4"/>
  <c r="G5296" i="4"/>
  <c r="G4206" i="4"/>
  <c r="G1273" i="4"/>
  <c r="G2796" i="4"/>
  <c r="G1869" i="4"/>
  <c r="G765" i="4"/>
  <c r="G1862" i="4"/>
  <c r="G4205" i="4"/>
  <c r="G4553" i="4"/>
  <c r="G4204" i="4"/>
  <c r="G3442" i="4"/>
  <c r="G4203" i="4"/>
  <c r="G2410" i="4"/>
  <c r="G680" i="4"/>
  <c r="G4202" i="4"/>
  <c r="G3005" i="4"/>
  <c r="G2409" i="4"/>
  <c r="G3441" i="4"/>
  <c r="G2408" i="4"/>
  <c r="G2407" i="4"/>
  <c r="G4201" i="4"/>
  <c r="G4552" i="4"/>
  <c r="G4551" i="4"/>
  <c r="G4550" i="4"/>
  <c r="G4549" i="4"/>
  <c r="G1835" i="4"/>
  <c r="G278" i="4"/>
  <c r="G4548" i="4"/>
  <c r="G4715" i="4"/>
  <c r="G4714" i="4"/>
  <c r="G5295" i="4"/>
  <c r="G5294" i="4"/>
  <c r="G5293" i="4"/>
  <c r="G5292" i="4"/>
  <c r="G2406" i="4"/>
  <c r="G704" i="4"/>
  <c r="G554" i="4"/>
  <c r="G920" i="4"/>
  <c r="G128" i="4"/>
  <c r="G645" i="4"/>
  <c r="G212" i="4"/>
  <c r="G292" i="4"/>
  <c r="G218" i="4"/>
  <c r="G2405" i="4"/>
  <c r="G2404" i="4"/>
  <c r="G1523" i="4"/>
  <c r="G2403" i="4"/>
  <c r="G4200" i="4"/>
  <c r="G84" i="4"/>
  <c r="G2402" i="4"/>
  <c r="G4199" i="4"/>
  <c r="G4198" i="4"/>
  <c r="G4197" i="4"/>
  <c r="G4196" i="4"/>
  <c r="G3004" i="4"/>
  <c r="G3003" i="4"/>
  <c r="G3440" i="4"/>
  <c r="G3002" i="4"/>
  <c r="G919" i="4"/>
  <c r="G1029" i="4"/>
  <c r="G1754" i="4"/>
  <c r="G3001" i="4"/>
  <c r="G2795" i="4"/>
  <c r="G3439" i="4"/>
  <c r="G3438" i="4"/>
  <c r="G3437" i="4"/>
  <c r="G4195" i="4"/>
  <c r="G4194" i="4"/>
  <c r="G5291" i="4"/>
  <c r="G3436" i="4"/>
  <c r="G3000" i="4"/>
  <c r="G1272" i="4"/>
  <c r="G1834" i="4"/>
  <c r="G3435" i="4"/>
  <c r="G4193" i="4"/>
  <c r="G4192" i="4"/>
  <c r="G4191" i="4"/>
  <c r="G4190" i="4"/>
  <c r="G2999" i="4"/>
  <c r="G4189" i="4"/>
  <c r="G4188" i="4"/>
  <c r="G2873" i="4"/>
  <c r="G4187" i="4"/>
  <c r="G4186" i="4"/>
  <c r="G3434" i="4"/>
  <c r="G4185" i="4"/>
  <c r="G3433" i="4"/>
  <c r="G3432" i="4"/>
  <c r="G3431" i="4"/>
  <c r="G4468" i="4"/>
  <c r="G3430" i="4"/>
  <c r="G1710" i="4"/>
  <c r="G1332" i="4"/>
  <c r="G3627" i="4"/>
  <c r="G4184" i="4"/>
  <c r="G2401" i="4"/>
  <c r="G5290" i="4"/>
  <c r="G4183" i="4"/>
  <c r="G4182" i="4"/>
  <c r="G2400" i="4"/>
  <c r="G2998" i="4"/>
  <c r="G1043" i="4"/>
  <c r="G780" i="4"/>
  <c r="G1833" i="4"/>
  <c r="G2794" i="4"/>
  <c r="G5289" i="4"/>
  <c r="G2793" i="4"/>
  <c r="G1271" i="4"/>
  <c r="G4181" i="4"/>
  <c r="G297" i="4"/>
  <c r="G312" i="4"/>
  <c r="G3429" i="4"/>
  <c r="G1924" i="4"/>
  <c r="G1753" i="4"/>
  <c r="G3428" i="4"/>
  <c r="G918" i="4"/>
  <c r="G69" i="4"/>
  <c r="G739" i="4"/>
  <c r="G2399" i="4"/>
  <c r="G2665" i="4"/>
  <c r="G60" i="4"/>
  <c r="G526" i="4"/>
  <c r="G1270" i="4"/>
  <c r="G768" i="4"/>
  <c r="G1210" i="4"/>
  <c r="G116" i="4"/>
  <c r="G2894" i="4"/>
  <c r="G5288" i="4"/>
  <c r="G4180" i="4"/>
  <c r="G2997" i="4"/>
  <c r="G4179" i="4"/>
  <c r="G3427" i="4"/>
  <c r="G5287" i="4"/>
  <c r="G5286" i="4"/>
  <c r="G5285" i="4"/>
  <c r="G5284" i="4"/>
  <c r="G5283" i="4"/>
  <c r="G4178" i="4"/>
  <c r="G4177" i="4"/>
  <c r="G1522" i="4"/>
  <c r="G3426" i="4"/>
  <c r="G3425" i="4"/>
  <c r="G2398" i="4"/>
  <c r="G2996" i="4"/>
  <c r="G4713" i="4"/>
  <c r="G4176" i="4"/>
  <c r="G738" i="4"/>
  <c r="G2995" i="4"/>
  <c r="G2994" i="4"/>
  <c r="G2397" i="4"/>
  <c r="G2396" i="4"/>
  <c r="G2395" i="4"/>
  <c r="G2993" i="4"/>
  <c r="G2394" i="4"/>
  <c r="G345" i="4"/>
  <c r="G2872" i="4"/>
  <c r="G1521" i="4"/>
  <c r="G1520" i="4"/>
  <c r="G4175" i="4"/>
  <c r="G2393" i="4"/>
  <c r="G285" i="4"/>
  <c r="G1136" i="4"/>
  <c r="G353" i="4"/>
  <c r="G357" i="4"/>
  <c r="G576" i="4"/>
  <c r="G3125" i="4"/>
  <c r="G983" i="4"/>
  <c r="G2392" i="4"/>
  <c r="G3657" i="4"/>
  <c r="G3424" i="4"/>
  <c r="G4174" i="4"/>
  <c r="G4173" i="4"/>
  <c r="G3423" i="4"/>
  <c r="G2676" i="4"/>
  <c r="G4172" i="4"/>
  <c r="G3422" i="4"/>
  <c r="G2391" i="4"/>
  <c r="G5282" i="4"/>
  <c r="G5281" i="4"/>
  <c r="G5280" i="4"/>
  <c r="G5279" i="4"/>
  <c r="G5278" i="4"/>
  <c r="G5277" i="4"/>
  <c r="G5276" i="4"/>
  <c r="G4547" i="4"/>
  <c r="G5275" i="4"/>
  <c r="G3702" i="4"/>
  <c r="G4467" i="4"/>
  <c r="G1923" i="4"/>
  <c r="G1519" i="4"/>
  <c r="G644" i="4"/>
  <c r="G260" i="4"/>
  <c r="G643" i="4"/>
  <c r="G737" i="4"/>
  <c r="G311" i="4"/>
  <c r="G642" i="4"/>
  <c r="G1135" i="4"/>
  <c r="G2390" i="4"/>
  <c r="G1298" i="4"/>
  <c r="G277" i="4"/>
  <c r="G2389" i="4"/>
  <c r="G4171" i="4"/>
  <c r="G1518" i="4"/>
  <c r="G574" i="4"/>
  <c r="G1517" i="4"/>
  <c r="G265" i="4"/>
  <c r="G1516" i="4"/>
  <c r="G736" i="4"/>
  <c r="G2388" i="4"/>
  <c r="G1134" i="4"/>
  <c r="G1515" i="4"/>
  <c r="G641" i="4"/>
  <c r="G1514" i="4"/>
  <c r="G917" i="4"/>
  <c r="G3090" i="4"/>
  <c r="G243" i="4"/>
  <c r="G1513" i="4"/>
  <c r="G2387" i="4"/>
  <c r="G1512" i="4"/>
  <c r="G2386" i="4"/>
  <c r="G1511" i="4"/>
  <c r="G3421" i="4"/>
  <c r="G916" i="4"/>
  <c r="G1133" i="4"/>
  <c r="G2385" i="4"/>
  <c r="G4170" i="4"/>
  <c r="G2384" i="4"/>
  <c r="G1510" i="4"/>
  <c r="G1509" i="4"/>
  <c r="G1132" i="4"/>
  <c r="G2383" i="4"/>
  <c r="G2382" i="4"/>
  <c r="G2381" i="4"/>
  <c r="G2380" i="4"/>
  <c r="G2379" i="4"/>
  <c r="G2378" i="4"/>
  <c r="G2377" i="4"/>
  <c r="G2376" i="4"/>
  <c r="G767" i="4"/>
  <c r="G1131" i="4"/>
  <c r="G344" i="4"/>
  <c r="G553" i="4"/>
  <c r="G1752" i="4"/>
  <c r="G4712" i="4"/>
  <c r="G4169" i="4"/>
  <c r="G4168" i="4"/>
  <c r="G5274" i="4"/>
  <c r="G5273" i="4"/>
  <c r="G2375" i="4"/>
  <c r="G1751" i="4"/>
  <c r="G2374" i="4"/>
  <c r="G2373" i="4"/>
  <c r="G4167" i="4"/>
  <c r="G4166" i="4"/>
  <c r="G4165" i="4"/>
  <c r="G5272" i="4"/>
  <c r="G2792" i="4"/>
  <c r="G5271" i="4"/>
  <c r="G2791" i="4"/>
  <c r="G5270" i="4"/>
  <c r="G1684" i="4"/>
  <c r="G5269" i="4"/>
  <c r="G2790" i="4"/>
  <c r="G5268" i="4"/>
  <c r="G915" i="4"/>
  <c r="G1922" i="4"/>
  <c r="G3103" i="4"/>
  <c r="G2992" i="4"/>
  <c r="G1508" i="4"/>
  <c r="G2882" i="4"/>
  <c r="G1507" i="4"/>
  <c r="G2991" i="4"/>
  <c r="G914" i="4"/>
  <c r="G913" i="4"/>
  <c r="G2372" i="4"/>
  <c r="G912" i="4"/>
  <c r="G1704" i="4"/>
  <c r="G3420" i="4"/>
  <c r="G2990" i="4"/>
  <c r="G911" i="4"/>
  <c r="G3419" i="4"/>
  <c r="G2371" i="4"/>
  <c r="G2370" i="4"/>
  <c r="G3124" i="4"/>
  <c r="G2989" i="4"/>
  <c r="G435" i="4"/>
  <c r="G4164" i="4"/>
  <c r="G4163" i="4"/>
  <c r="G5267" i="4"/>
  <c r="G2988" i="4"/>
  <c r="G180" i="4"/>
  <c r="G779" i="4"/>
  <c r="G3418" i="4"/>
  <c r="G1506" i="4"/>
  <c r="G1832" i="4"/>
  <c r="G910" i="4"/>
  <c r="G1921" i="4"/>
  <c r="G4162" i="4"/>
  <c r="G4161" i="4"/>
  <c r="G2675" i="4"/>
  <c r="G4466" i="4"/>
  <c r="G2369" i="4"/>
  <c r="G4160" i="4"/>
  <c r="G2368" i="4"/>
  <c r="G5266" i="4"/>
  <c r="G3417" i="4"/>
  <c r="G1505" i="4"/>
  <c r="G4159" i="4"/>
  <c r="G2367" i="4"/>
  <c r="G2366" i="4"/>
  <c r="G4158" i="4"/>
  <c r="G3701" i="4"/>
  <c r="G3416" i="4"/>
  <c r="G2365" i="4"/>
  <c r="G763" i="4"/>
  <c r="G3415" i="4"/>
  <c r="G2364" i="4"/>
  <c r="G1683" i="4"/>
  <c r="G2363" i="4"/>
  <c r="G1504" i="4"/>
  <c r="G2362" i="4"/>
  <c r="G4157" i="4"/>
  <c r="G1018" i="4"/>
  <c r="G1861" i="4"/>
  <c r="G3611" i="4"/>
  <c r="G5265" i="4"/>
  <c r="G1957" i="4"/>
  <c r="G3102" i="4"/>
  <c r="G3414" i="4"/>
  <c r="G2678" i="4"/>
  <c r="G3101" i="4"/>
  <c r="G3413" i="4"/>
  <c r="G2987" i="4"/>
  <c r="G4711" i="4"/>
  <c r="G2361" i="4"/>
  <c r="G3412" i="4"/>
  <c r="G3411" i="4"/>
  <c r="G1860" i="4"/>
  <c r="G3410" i="4"/>
  <c r="G3123" i="4"/>
  <c r="G3409" i="4"/>
  <c r="G1130" i="4"/>
  <c r="G1503" i="4"/>
  <c r="G4156" i="4"/>
  <c r="G735" i="4"/>
  <c r="G909" i="4"/>
  <c r="G640" i="4"/>
  <c r="G908" i="4"/>
  <c r="G5264" i="4"/>
  <c r="G907" i="4"/>
  <c r="G906" i="4"/>
  <c r="G2360" i="4"/>
  <c r="G5263" i="4"/>
  <c r="G5262" i="4"/>
  <c r="G5261" i="4"/>
  <c r="G4155" i="4"/>
  <c r="G4710" i="4"/>
  <c r="G3069" i="4"/>
  <c r="G4709" i="4"/>
  <c r="G3408" i="4"/>
  <c r="G3089" i="4"/>
  <c r="G4154" i="4"/>
  <c r="G4153" i="4"/>
  <c r="G4708" i="4"/>
  <c r="G4707" i="4"/>
  <c r="G4706" i="4"/>
  <c r="G4705" i="4"/>
  <c r="G3626" i="4"/>
  <c r="G3603" i="4"/>
  <c r="G4152" i="4"/>
  <c r="G4704" i="4"/>
  <c r="G4703" i="4"/>
  <c r="G4702" i="4"/>
  <c r="G3656" i="4"/>
  <c r="G4701" i="4"/>
  <c r="G4700" i="4"/>
  <c r="G4699" i="4"/>
  <c r="G4698" i="4"/>
  <c r="G4151" i="4"/>
  <c r="G4697" i="4"/>
  <c r="G4696" i="4"/>
  <c r="G4546" i="4"/>
  <c r="G3068" i="4"/>
  <c r="G4545" i="4"/>
  <c r="G5260" i="4"/>
  <c r="G4695" i="4"/>
  <c r="G3655" i="4"/>
  <c r="G2986" i="4"/>
  <c r="G4694" i="4"/>
  <c r="G4693" i="4"/>
  <c r="G3654" i="4"/>
  <c r="G4692" i="4"/>
  <c r="G2359" i="4"/>
  <c r="G2358" i="4"/>
  <c r="G2357" i="4"/>
  <c r="G5259" i="4"/>
  <c r="G5258" i="4"/>
  <c r="G5257" i="4"/>
  <c r="G5256" i="4"/>
  <c r="G127" i="4"/>
  <c r="G52" i="4"/>
  <c r="G51" i="4"/>
  <c r="G89" i="4"/>
  <c r="G2356" i="4"/>
  <c r="G4150" i="4"/>
  <c r="G1786" i="4"/>
  <c r="G3407" i="4"/>
  <c r="G2985" i="4"/>
  <c r="G1042" i="4"/>
  <c r="G1502" i="4"/>
  <c r="G327" i="4"/>
  <c r="G2789" i="4"/>
  <c r="G5255" i="4"/>
  <c r="G1831" i="4"/>
  <c r="G3406" i="4"/>
  <c r="G4691" i="4"/>
  <c r="G1320" i="4"/>
  <c r="G3405" i="4"/>
  <c r="G814" i="4"/>
  <c r="G3404" i="4"/>
  <c r="G4149" i="4"/>
  <c r="G2788" i="4"/>
  <c r="G4690" i="4"/>
  <c r="G1830" i="4"/>
  <c r="G1829" i="4"/>
  <c r="G3625" i="4"/>
  <c r="G4148" i="4"/>
  <c r="G1859" i="4"/>
  <c r="G4147" i="4"/>
  <c r="G1184" i="4"/>
  <c r="G3403" i="4"/>
  <c r="G2984" i="4"/>
  <c r="G3402" i="4"/>
  <c r="G1269" i="4"/>
  <c r="G1792" i="4"/>
  <c r="G3401" i="4"/>
  <c r="G1652" i="4"/>
  <c r="G3400" i="4"/>
  <c r="G1661" i="4"/>
  <c r="G5254" i="4"/>
  <c r="G3100" i="4"/>
  <c r="G3399" i="4"/>
  <c r="G3653" i="4"/>
  <c r="G4146" i="4"/>
  <c r="G2355" i="4"/>
  <c r="G2787" i="4"/>
  <c r="G586" i="4"/>
  <c r="G985" i="4"/>
  <c r="G2354" i="4"/>
  <c r="G2353" i="4"/>
  <c r="G4145" i="4"/>
  <c r="G5253" i="4"/>
  <c r="G2352" i="4"/>
  <c r="G4144" i="4"/>
  <c r="G3398" i="4"/>
  <c r="G4544" i="4"/>
  <c r="G4143" i="4"/>
  <c r="G4543" i="4"/>
  <c r="G5252" i="4"/>
  <c r="G5251" i="4"/>
  <c r="G4142" i="4"/>
  <c r="G2893" i="4"/>
  <c r="G5250" i="4"/>
  <c r="G3700" i="4"/>
  <c r="G5249" i="4"/>
  <c r="G5248" i="4"/>
  <c r="G3397" i="4"/>
  <c r="G2351" i="4"/>
  <c r="G5247" i="4"/>
  <c r="G1920" i="4"/>
  <c r="G2350" i="4"/>
  <c r="G3396" i="4"/>
  <c r="G4141" i="4"/>
  <c r="G2349" i="4"/>
  <c r="G4689" i="4"/>
  <c r="G4542" i="4"/>
  <c r="G5246" i="4"/>
  <c r="G1501" i="4"/>
  <c r="G1129" i="4"/>
  <c r="G2348" i="4"/>
  <c r="G1128" i="4"/>
  <c r="G41" i="4"/>
  <c r="G483" i="4"/>
  <c r="G1500" i="4"/>
  <c r="G217" i="4"/>
  <c r="G3395" i="4"/>
  <c r="G3394" i="4"/>
  <c r="G3393" i="4"/>
  <c r="G1127" i="4"/>
  <c r="G1041" i="4"/>
  <c r="G1010" i="4"/>
  <c r="G3392" i="4"/>
  <c r="G1126" i="4"/>
  <c r="G4140" i="4"/>
  <c r="G4139" i="4"/>
  <c r="G5245" i="4"/>
  <c r="G639" i="4"/>
  <c r="G298" i="4"/>
  <c r="G2347" i="4"/>
  <c r="G284" i="4"/>
  <c r="G379" i="4"/>
  <c r="G85" i="4"/>
  <c r="G2346" i="4"/>
  <c r="G251" i="4"/>
  <c r="G2345" i="4"/>
  <c r="G1268" i="4"/>
  <c r="G401" i="4"/>
  <c r="G1125" i="4"/>
  <c r="G2344" i="4"/>
  <c r="G2343" i="4"/>
  <c r="G1124" i="4"/>
  <c r="G482" i="4"/>
  <c r="G378" i="4"/>
  <c r="G1123" i="4"/>
  <c r="G905" i="4"/>
  <c r="G1499" i="4"/>
  <c r="G734" i="4"/>
  <c r="G173" i="4"/>
  <c r="G638" i="4"/>
  <c r="G64" i="4"/>
  <c r="G2786" i="4"/>
  <c r="G3391" i="4"/>
  <c r="G1919" i="4"/>
  <c r="G2785" i="4"/>
  <c r="G2342" i="4"/>
  <c r="G4138" i="4"/>
  <c r="G3390" i="4"/>
  <c r="G3624" i="4"/>
  <c r="G4465" i="4"/>
  <c r="G3623" i="4"/>
  <c r="G3652" i="4"/>
  <c r="G3389" i="4"/>
  <c r="G3699" i="4"/>
  <c r="G4464" i="4"/>
  <c r="G4137" i="4"/>
  <c r="G2881" i="4"/>
  <c r="G4136" i="4"/>
  <c r="G3067" i="4"/>
  <c r="G4688" i="4"/>
  <c r="G4135" i="4"/>
  <c r="G3388" i="4"/>
  <c r="G4134" i="4"/>
  <c r="G4463" i="4"/>
  <c r="G3122" i="4"/>
  <c r="G4462" i="4"/>
  <c r="G4133" i="4"/>
  <c r="G4687" i="4"/>
  <c r="G3387" i="4"/>
  <c r="G1656" i="4"/>
  <c r="G4132" i="4"/>
  <c r="G3622" i="4"/>
  <c r="G3386" i="4"/>
  <c r="G3385" i="4"/>
  <c r="G3384" i="4"/>
  <c r="G2674" i="4"/>
  <c r="G3383" i="4"/>
  <c r="G3382" i="4"/>
  <c r="G2983" i="4"/>
  <c r="G1750" i="4"/>
  <c r="G2784" i="4"/>
  <c r="G2982" i="4"/>
  <c r="G4131" i="4"/>
  <c r="G4130" i="4"/>
  <c r="G1749" i="4"/>
  <c r="G2981" i="4"/>
  <c r="G4129" i="4"/>
  <c r="G3381" i="4"/>
  <c r="G1682" i="4"/>
  <c r="G3380" i="4"/>
  <c r="G3379" i="4"/>
  <c r="G3378" i="4"/>
  <c r="G2341" i="4"/>
  <c r="G904" i="4"/>
  <c r="G903" i="4"/>
  <c r="G733" i="4"/>
  <c r="G3088" i="4"/>
  <c r="G2340" i="4"/>
  <c r="G283" i="4"/>
  <c r="G126" i="4"/>
  <c r="G2339" i="4"/>
  <c r="G1122" i="4"/>
  <c r="G58" i="4"/>
  <c r="G2338" i="4"/>
  <c r="G552" i="4"/>
  <c r="G514" i="4"/>
  <c r="G413" i="4"/>
  <c r="G4128" i="4"/>
  <c r="G88" i="4"/>
  <c r="G2337" i="4"/>
  <c r="G2783" i="4"/>
  <c r="G2336" i="4"/>
  <c r="G5244" i="4"/>
  <c r="G5243" i="4"/>
  <c r="G4127" i="4"/>
  <c r="G4126" i="4"/>
  <c r="G5242" i="4"/>
  <c r="G4125" i="4"/>
  <c r="G4124" i="4"/>
  <c r="G5241" i="4"/>
  <c r="G4123" i="4"/>
  <c r="G4122" i="4"/>
  <c r="G4121" i="4"/>
  <c r="G5240" i="4"/>
  <c r="G5239" i="4"/>
  <c r="G4120" i="4"/>
  <c r="G115" i="4"/>
  <c r="G404" i="4"/>
  <c r="G1748" i="4"/>
  <c r="G2782" i="4"/>
  <c r="G230" i="4"/>
  <c r="G17" i="4"/>
  <c r="G2335" i="4"/>
  <c r="G481" i="4"/>
  <c r="G8" i="4"/>
  <c r="G94" i="4"/>
  <c r="G42" i="4"/>
  <c r="G19" i="4"/>
  <c r="G23" i="4"/>
  <c r="G343" i="4"/>
  <c r="G166" i="4"/>
  <c r="G377" i="4"/>
  <c r="G197" i="4"/>
  <c r="G2334" i="4"/>
  <c r="G2333" i="4"/>
  <c r="G687" i="4"/>
  <c r="G902" i="4"/>
  <c r="G16" i="4"/>
  <c r="G82" i="4"/>
  <c r="G2781" i="4"/>
  <c r="G1028" i="4"/>
  <c r="G2332" i="4"/>
  <c r="G901" i="4"/>
  <c r="G900" i="4"/>
  <c r="G1854" i="4"/>
  <c r="G4541" i="4"/>
  <c r="G310" i="4"/>
  <c r="G188" i="4"/>
  <c r="G110" i="4"/>
  <c r="G2331" i="4"/>
  <c r="G1868" i="4"/>
  <c r="G143" i="4"/>
  <c r="G1681" i="4"/>
  <c r="G3651" i="4"/>
  <c r="G2330" i="4"/>
  <c r="G1918" i="4"/>
  <c r="G637" i="4"/>
  <c r="G2980" i="4"/>
  <c r="G3377" i="4"/>
  <c r="G1226" i="4"/>
  <c r="G449" i="4"/>
  <c r="G2780" i="4"/>
  <c r="G594" i="4"/>
  <c r="G2779" i="4"/>
  <c r="G1319" i="4"/>
  <c r="G362" i="4"/>
  <c r="G3650" i="4"/>
  <c r="G1498" i="4"/>
  <c r="G1680" i="4"/>
  <c r="G4119" i="4"/>
  <c r="G4118" i="4"/>
  <c r="G2329" i="4"/>
  <c r="G2328" i="4"/>
  <c r="G4117" i="4"/>
  <c r="G3376" i="4"/>
  <c r="G3375" i="4"/>
  <c r="G2979" i="4"/>
  <c r="G3374" i="4"/>
  <c r="G4116" i="4"/>
  <c r="G2327" i="4"/>
  <c r="G2978" i="4"/>
  <c r="G141" i="4"/>
  <c r="G289" i="4"/>
  <c r="G2326" i="4"/>
  <c r="G2325" i="4"/>
  <c r="G4115" i="4"/>
  <c r="G2324" i="4"/>
  <c r="G899" i="4"/>
  <c r="G2323" i="4"/>
  <c r="G65" i="4"/>
  <c r="G229" i="4"/>
  <c r="G709" i="4"/>
  <c r="G134" i="4"/>
  <c r="G1747" i="4"/>
  <c r="G732" i="4"/>
  <c r="G731" i="4"/>
  <c r="G1121" i="4"/>
  <c r="G2322" i="4"/>
  <c r="G551" i="4"/>
  <c r="G2321" i="4"/>
  <c r="G1318" i="4"/>
  <c r="G4114" i="4"/>
  <c r="G3373" i="4"/>
  <c r="G2320" i="4"/>
  <c r="G3602" i="4"/>
  <c r="G4113" i="4"/>
  <c r="G1917" i="4"/>
  <c r="G4112" i="4"/>
  <c r="G4111" i="4"/>
  <c r="G5238" i="4"/>
  <c r="G1199" i="4"/>
  <c r="G3372" i="4"/>
  <c r="G3371" i="4"/>
  <c r="G3370" i="4"/>
  <c r="G1916" i="4"/>
  <c r="G2319" i="4"/>
  <c r="G2778" i="4"/>
  <c r="G2777" i="4"/>
  <c r="G257" i="4"/>
  <c r="G2318" i="4"/>
  <c r="G1120" i="4"/>
  <c r="G250" i="4"/>
  <c r="G5237" i="4"/>
  <c r="G5236" i="4"/>
  <c r="G2776" i="4"/>
  <c r="G176" i="4"/>
  <c r="G898" i="4"/>
  <c r="G2775" i="4"/>
  <c r="G1679" i="4"/>
  <c r="G1244" i="4"/>
  <c r="G1497" i="4"/>
  <c r="G4110" i="4"/>
  <c r="G3369" i="4"/>
  <c r="G2774" i="4"/>
  <c r="G1119" i="4"/>
  <c r="G2317" i="4"/>
  <c r="G2773" i="4"/>
  <c r="G730" i="4"/>
  <c r="G897" i="4"/>
  <c r="G2316" i="4"/>
  <c r="G1828" i="4"/>
  <c r="G3368" i="4"/>
  <c r="G2315" i="4"/>
  <c r="G1915" i="4"/>
  <c r="G4540" i="4"/>
  <c r="G3698" i="4"/>
  <c r="G4686" i="4"/>
  <c r="G1914" i="4"/>
  <c r="G4461" i="4"/>
  <c r="G2977" i="4"/>
  <c r="G3367" i="4"/>
  <c r="G3366" i="4"/>
  <c r="G1496" i="4"/>
  <c r="G2772" i="4"/>
  <c r="G2771" i="4"/>
  <c r="G2770" i="4"/>
  <c r="G96" i="4"/>
  <c r="G480" i="4"/>
  <c r="G153" i="4"/>
  <c r="G479" i="4"/>
  <c r="G2314" i="4"/>
  <c r="G2868" i="4"/>
  <c r="G1709" i="4"/>
  <c r="G3649" i="4"/>
  <c r="G1118" i="4"/>
  <c r="G2976" i="4"/>
  <c r="G2313" i="4"/>
  <c r="G729" i="4"/>
  <c r="G2769" i="4"/>
  <c r="G2975" i="4"/>
  <c r="G2655" i="4"/>
  <c r="G2312" i="4"/>
  <c r="G2311" i="4"/>
  <c r="G3365" i="4"/>
  <c r="G5235" i="4"/>
  <c r="G3364" i="4"/>
  <c r="G5234" i="4"/>
  <c r="G2310" i="4"/>
  <c r="G1827" i="4"/>
  <c r="G3363" i="4"/>
  <c r="G4109" i="4"/>
  <c r="G3362" i="4"/>
  <c r="G2309" i="4"/>
  <c r="G1826" i="4"/>
  <c r="G2308" i="4"/>
  <c r="G4108" i="4"/>
  <c r="G3361" i="4"/>
  <c r="G4107" i="4"/>
  <c r="G3360" i="4"/>
  <c r="G2307" i="4"/>
  <c r="G1825" i="4"/>
  <c r="G4106" i="4"/>
  <c r="G4105" i="4"/>
  <c r="G4104" i="4"/>
  <c r="G4685" i="4"/>
  <c r="G3087" i="4"/>
  <c r="G3359" i="4"/>
  <c r="G4684" i="4"/>
  <c r="G5233" i="4"/>
  <c r="G2892" i="4"/>
  <c r="G4460" i="4"/>
  <c r="G2880" i="4"/>
  <c r="G4683" i="4"/>
  <c r="G5232" i="4"/>
  <c r="G2974" i="4"/>
  <c r="G4682" i="4"/>
  <c r="G4681" i="4"/>
  <c r="G4680" i="4"/>
  <c r="G4679" i="4"/>
  <c r="G4678" i="4"/>
  <c r="G4677" i="4"/>
  <c r="G3621" i="4"/>
  <c r="G4103" i="4"/>
  <c r="G2306" i="4"/>
  <c r="G4102" i="4"/>
  <c r="G4101" i="4"/>
  <c r="G2973" i="4"/>
  <c r="G2972" i="4"/>
  <c r="G5231" i="4"/>
  <c r="G4100" i="4"/>
  <c r="G4099" i="4"/>
  <c r="G4098" i="4"/>
  <c r="G2971" i="4"/>
  <c r="G2768" i="4"/>
  <c r="G3358" i="4"/>
  <c r="G4097" i="4"/>
  <c r="G3357" i="4"/>
  <c r="G4096" i="4"/>
  <c r="G4459" i="4"/>
  <c r="G5230" i="4"/>
  <c r="G5229" i="4"/>
  <c r="G4676" i="4"/>
  <c r="G5228" i="4"/>
  <c r="G4675" i="4"/>
  <c r="G4458" i="4"/>
  <c r="G1495" i="4"/>
  <c r="G2654" i="4"/>
  <c r="G3648" i="4"/>
  <c r="G636" i="4"/>
  <c r="G1267" i="4"/>
  <c r="G403" i="4"/>
  <c r="G1225" i="4"/>
  <c r="G2767" i="4"/>
  <c r="G1746" i="4"/>
  <c r="G2305" i="4"/>
  <c r="G896" i="4"/>
  <c r="G187" i="4"/>
  <c r="G478" i="4"/>
  <c r="G114" i="4"/>
  <c r="G895" i="4"/>
  <c r="G27" i="4"/>
  <c r="G2766" i="4"/>
  <c r="G87" i="4"/>
  <c r="G477" i="4"/>
  <c r="G1494" i="4"/>
  <c r="G1117" i="4"/>
  <c r="G4674" i="4"/>
  <c r="G2765" i="4"/>
  <c r="G1116" i="4"/>
  <c r="G3356" i="4"/>
  <c r="G1745" i="4"/>
  <c r="G1744" i="4"/>
  <c r="G991" i="4"/>
  <c r="G1493" i="4"/>
  <c r="G3355" i="4"/>
  <c r="G2304" i="4"/>
  <c r="G152" i="4"/>
  <c r="G1115" i="4"/>
  <c r="G39" i="4"/>
  <c r="G550" i="4"/>
  <c r="G137" i="4"/>
  <c r="G1266" i="4"/>
  <c r="G30" i="4"/>
  <c r="G79" i="4"/>
  <c r="G635" i="4"/>
  <c r="G326" i="4"/>
  <c r="G476" i="4"/>
  <c r="G475" i="4"/>
  <c r="G728" i="4"/>
  <c r="G264" i="4"/>
  <c r="G1713" i="4"/>
  <c r="G415" i="4"/>
  <c r="G1492" i="4"/>
  <c r="G2303" i="4"/>
  <c r="G5227" i="4"/>
  <c r="G1858" i="4"/>
  <c r="G2302" i="4"/>
  <c r="G1491" i="4"/>
  <c r="G2301" i="4"/>
  <c r="G2300" i="4"/>
  <c r="G894" i="4"/>
  <c r="G585" i="4"/>
  <c r="G5226" i="4"/>
  <c r="G634" i="4"/>
  <c r="G893" i="4"/>
  <c r="G1114" i="4"/>
  <c r="G2299" i="4"/>
  <c r="G1317" i="4"/>
  <c r="G5225" i="4"/>
  <c r="G762" i="4"/>
  <c r="G892" i="4"/>
  <c r="G1224" i="4"/>
  <c r="G3354" i="4"/>
  <c r="G2867" i="4"/>
  <c r="G4095" i="4"/>
  <c r="G4094" i="4"/>
  <c r="G46" i="4"/>
  <c r="G2298" i="4"/>
  <c r="G3353" i="4"/>
  <c r="G4673" i="4"/>
  <c r="G1113" i="4"/>
  <c r="G682" i="4"/>
  <c r="G2764" i="4"/>
  <c r="G525" i="4"/>
  <c r="G1490" i="4"/>
  <c r="G1112" i="4"/>
  <c r="G1111" i="4"/>
  <c r="G727" i="4"/>
  <c r="G726" i="4"/>
  <c r="G1489" i="4"/>
  <c r="G2297" i="4"/>
  <c r="G2296" i="4"/>
  <c r="G228" i="4"/>
  <c r="G891" i="4"/>
  <c r="G1265" i="4"/>
  <c r="G890" i="4"/>
  <c r="G2295" i="4"/>
  <c r="G1488" i="4"/>
  <c r="G434" i="4"/>
  <c r="G2294" i="4"/>
  <c r="G227" i="4"/>
  <c r="G5224" i="4"/>
  <c r="G5223" i="4"/>
  <c r="G5222" i="4"/>
  <c r="G5221" i="4"/>
  <c r="G309" i="4"/>
  <c r="G308" i="4"/>
  <c r="G1110" i="4"/>
  <c r="G580" i="4"/>
  <c r="G1487" i="4"/>
  <c r="G4093" i="4"/>
  <c r="G2649" i="4"/>
  <c r="G1486" i="4"/>
  <c r="G512" i="4"/>
  <c r="G1743" i="4"/>
  <c r="G2293" i="4"/>
  <c r="G3352" i="4"/>
  <c r="G1485" i="4"/>
  <c r="G3351" i="4"/>
  <c r="G342" i="4"/>
  <c r="G573" i="4"/>
  <c r="G633" i="4"/>
  <c r="G273" i="4"/>
  <c r="G1484" i="4"/>
  <c r="G1000" i="4"/>
  <c r="G2292" i="4"/>
  <c r="G984" i="4"/>
  <c r="G889" i="4"/>
  <c r="G3350" i="4"/>
  <c r="G2291" i="4"/>
  <c r="G412" i="4"/>
  <c r="G725" i="4"/>
  <c r="G1009" i="4"/>
  <c r="G433" i="4"/>
  <c r="G1483" i="4"/>
  <c r="G675" i="4"/>
  <c r="G172" i="4"/>
  <c r="G1109" i="4"/>
  <c r="G242" i="4"/>
  <c r="G359" i="4"/>
  <c r="G1913" i="4"/>
  <c r="G474" i="4"/>
  <c r="G1482" i="4"/>
  <c r="G4092" i="4"/>
  <c r="G3349" i="4"/>
  <c r="G888" i="4"/>
  <c r="G1481" i="4"/>
  <c r="G1108" i="4"/>
  <c r="G1107" i="4"/>
  <c r="G291" i="4"/>
  <c r="G1785" i="4"/>
  <c r="G4091" i="4"/>
  <c r="G4539" i="4"/>
  <c r="G2970" i="4"/>
  <c r="G2969" i="4"/>
  <c r="G1969" i="4"/>
  <c r="G1303" i="4"/>
  <c r="G3348" i="4"/>
  <c r="G4090" i="4"/>
  <c r="G3347" i="4"/>
  <c r="G3346" i="4"/>
  <c r="G5220" i="4"/>
  <c r="G4089" i="4"/>
  <c r="G4088" i="4"/>
  <c r="G5219" i="4"/>
  <c r="G3345" i="4"/>
  <c r="G4087" i="4"/>
  <c r="G5218" i="4"/>
  <c r="G5217" i="4"/>
  <c r="G3344" i="4"/>
  <c r="G1297" i="4"/>
  <c r="G724" i="4"/>
  <c r="G4086" i="4"/>
  <c r="G4457" i="4"/>
  <c r="G5216" i="4"/>
  <c r="G3343" i="4"/>
  <c r="G3342" i="4"/>
  <c r="G5215" i="4"/>
  <c r="G2968" i="4"/>
  <c r="G4672" i="4"/>
  <c r="G1853" i="4"/>
  <c r="G4085" i="4"/>
  <c r="G441" i="4"/>
  <c r="G2290" i="4"/>
  <c r="G2763" i="4"/>
  <c r="G1106" i="4"/>
  <c r="G2967" i="4"/>
  <c r="G3341" i="4"/>
  <c r="G2289" i="4"/>
  <c r="G2288" i="4"/>
  <c r="G2966" i="4"/>
  <c r="G1912" i="4"/>
  <c r="G2287" i="4"/>
  <c r="G2286" i="4"/>
  <c r="G2285" i="4"/>
  <c r="G3340" i="4"/>
  <c r="G1911" i="4"/>
  <c r="G2284" i="4"/>
  <c r="G2965" i="4"/>
  <c r="G2283" i="4"/>
  <c r="G4671" i="4"/>
  <c r="G5214" i="4"/>
  <c r="G443" i="4"/>
  <c r="G3099" i="4"/>
  <c r="G2282" i="4"/>
  <c r="G418" i="4"/>
  <c r="G121" i="4"/>
  <c r="G2281" i="4"/>
  <c r="G93" i="4"/>
  <c r="G151" i="4"/>
  <c r="G4" i="4"/>
  <c r="G1105" i="4"/>
  <c r="G194" i="4"/>
  <c r="G3339" i="4"/>
  <c r="G80" i="4"/>
  <c r="G2762" i="4"/>
  <c r="G2761" i="4"/>
  <c r="G2648" i="4"/>
  <c r="G307" i="4"/>
  <c r="G1480" i="4"/>
  <c r="G549" i="4"/>
  <c r="G1316" i="4"/>
  <c r="G15" i="4"/>
  <c r="G473" i="4"/>
  <c r="G1479" i="4"/>
  <c r="G417" i="4"/>
  <c r="G186" i="4"/>
  <c r="G1478" i="4"/>
  <c r="G1315" i="4"/>
  <c r="G45" i="4"/>
  <c r="G472" i="4"/>
  <c r="G1477" i="4"/>
  <c r="G21" i="4"/>
  <c r="G216" i="4"/>
  <c r="G432" i="4"/>
  <c r="G632" i="4"/>
  <c r="G887" i="4"/>
  <c r="G886" i="4"/>
  <c r="G5213" i="4"/>
  <c r="G548" i="4"/>
  <c r="G885" i="4"/>
  <c r="G1476" i="4"/>
  <c r="G2964" i="4"/>
  <c r="G1475" i="4"/>
  <c r="G547" i="4"/>
  <c r="G884" i="4"/>
  <c r="G1474" i="4"/>
  <c r="G4670" i="4"/>
  <c r="G4669" i="4"/>
  <c r="G5212" i="4"/>
  <c r="G5211" i="4"/>
  <c r="G3338" i="4"/>
  <c r="G2280" i="4"/>
  <c r="G4084" i="4"/>
  <c r="G1787" i="4"/>
  <c r="G5210" i="4"/>
  <c r="G1712" i="4"/>
  <c r="G3098" i="4"/>
  <c r="G1198" i="4"/>
  <c r="G4538" i="4"/>
  <c r="G2891" i="4"/>
  <c r="G2664" i="4"/>
  <c r="G4083" i="4"/>
  <c r="G3337" i="4"/>
  <c r="G4537" i="4"/>
  <c r="G3121" i="4"/>
  <c r="G2963" i="4"/>
  <c r="G146" i="4"/>
  <c r="G332" i="4"/>
  <c r="G2760" i="4"/>
  <c r="G3336" i="4"/>
  <c r="G1473" i="4"/>
  <c r="G883" i="4"/>
  <c r="G4082" i="4"/>
  <c r="G1742" i="4"/>
  <c r="G1910" i="4"/>
  <c r="G1678" i="4"/>
  <c r="G1677" i="4"/>
  <c r="G778" i="4"/>
  <c r="G4081" i="4"/>
  <c r="G792" i="4"/>
  <c r="G1104" i="4"/>
  <c r="G2279" i="4"/>
  <c r="G3335" i="4"/>
  <c r="G1909" i="4"/>
  <c r="G2759" i="4"/>
  <c r="G2962" i="4"/>
  <c r="G2278" i="4"/>
  <c r="G1008" i="4"/>
  <c r="G990" i="4"/>
  <c r="G2961" i="4"/>
  <c r="G4080" i="4"/>
  <c r="G1472" i="4"/>
  <c r="G1336" i="4"/>
  <c r="G4079" i="4"/>
  <c r="G1471" i="4"/>
  <c r="G1470" i="4"/>
  <c r="G4668" i="4"/>
  <c r="G1469" i="4"/>
  <c r="G2277" i="4"/>
  <c r="G631" i="4"/>
  <c r="G1468" i="4"/>
  <c r="G1467" i="4"/>
  <c r="G2276" i="4"/>
  <c r="G1791" i="4"/>
  <c r="G2275" i="4"/>
  <c r="G1466" i="4"/>
  <c r="G2274" i="4"/>
  <c r="G2273" i="4"/>
  <c r="G2272" i="4"/>
  <c r="G1040" i="4"/>
  <c r="G2271" i="4"/>
  <c r="G630" i="4"/>
  <c r="G1103" i="4"/>
  <c r="G1465" i="4"/>
  <c r="G2270" i="4"/>
  <c r="G1464" i="4"/>
  <c r="G2269" i="4"/>
  <c r="G882" i="4"/>
  <c r="G5209" i="4"/>
  <c r="G5615" i="4"/>
  <c r="G5208" i="4"/>
  <c r="G1243" i="4"/>
  <c r="G4667" i="4"/>
  <c r="G3697" i="4"/>
  <c r="G5207" i="4"/>
  <c r="G3334" i="4"/>
  <c r="G5206" i="4"/>
  <c r="G5205" i="4"/>
  <c r="G5204" i="4"/>
  <c r="G5203" i="4"/>
  <c r="G4666" i="4"/>
  <c r="G2960" i="4"/>
  <c r="G2268" i="4"/>
  <c r="G881" i="4"/>
  <c r="G1741" i="4"/>
  <c r="G1740" i="4"/>
  <c r="G1463" i="4"/>
  <c r="G880" i="4"/>
  <c r="G3120" i="4"/>
  <c r="G1462" i="4"/>
  <c r="G1102" i="4"/>
  <c r="G1739" i="4"/>
  <c r="G1101" i="4"/>
  <c r="G879" i="4"/>
  <c r="G1100" i="4"/>
  <c r="G1461" i="4"/>
  <c r="G723" i="4"/>
  <c r="G722" i="4"/>
  <c r="G1460" i="4"/>
  <c r="G209" i="4"/>
  <c r="G1459" i="4"/>
  <c r="G2267" i="4"/>
  <c r="G2758" i="4"/>
  <c r="G4078" i="4"/>
  <c r="G2757" i="4"/>
  <c r="G1824" i="4"/>
  <c r="G1264" i="4"/>
  <c r="G4077" i="4"/>
  <c r="G4076" i="4"/>
  <c r="G4075" i="4"/>
  <c r="G3333" i="4"/>
  <c r="G2266" i="4"/>
  <c r="G3332" i="4"/>
  <c r="G2959" i="4"/>
  <c r="G2265" i="4"/>
  <c r="G1027" i="4"/>
  <c r="G1223" i="4"/>
  <c r="G2264" i="4"/>
  <c r="G4074" i="4"/>
  <c r="G4073" i="4"/>
  <c r="G1823" i="4"/>
  <c r="G1099" i="4"/>
  <c r="G3331" i="4"/>
  <c r="G4072" i="4"/>
  <c r="G511" i="4"/>
  <c r="G4071" i="4"/>
  <c r="G2263" i="4"/>
  <c r="G185" i="4"/>
  <c r="G3330" i="4"/>
  <c r="G1738" i="4"/>
  <c r="G2262" i="4"/>
  <c r="G1458" i="4"/>
  <c r="G3696" i="4"/>
  <c r="G2261" i="4"/>
  <c r="G791" i="4"/>
  <c r="G306" i="4"/>
  <c r="G1026" i="4"/>
  <c r="G878" i="4"/>
  <c r="G2260" i="4"/>
  <c r="G2259" i="4"/>
  <c r="G3329" i="4"/>
  <c r="G3328" i="4"/>
  <c r="G1302" i="4"/>
  <c r="G783" i="4"/>
  <c r="G629" i="4"/>
  <c r="G679" i="4"/>
  <c r="G790" i="4"/>
  <c r="G2756" i="4"/>
  <c r="G519" i="4"/>
  <c r="G1822" i="4"/>
  <c r="G3327" i="4"/>
  <c r="G3326" i="4"/>
  <c r="G628" i="4"/>
  <c r="G3325" i="4"/>
  <c r="G1676" i="4"/>
  <c r="G3324" i="4"/>
  <c r="G546" i="4"/>
  <c r="G1821" i="4"/>
  <c r="G1457" i="4"/>
  <c r="G4070" i="4"/>
  <c r="G3323" i="4"/>
  <c r="G2958" i="4"/>
  <c r="G1908" i="4"/>
  <c r="G2755" i="4"/>
  <c r="G4069" i="4"/>
  <c r="G3322" i="4"/>
  <c r="G4068" i="4"/>
  <c r="G3321" i="4"/>
  <c r="G1456" i="4"/>
  <c r="G2258" i="4"/>
  <c r="G3320" i="4"/>
  <c r="G2257" i="4"/>
  <c r="G1455" i="4"/>
  <c r="G2256" i="4"/>
  <c r="G3319" i="4"/>
  <c r="G2957" i="4"/>
  <c r="G877" i="4"/>
  <c r="G876" i="4"/>
  <c r="G2255" i="4"/>
  <c r="G2254" i="4"/>
  <c r="G806" i="4"/>
  <c r="G169" i="4"/>
  <c r="G1314" i="4"/>
  <c r="G2253" i="4"/>
  <c r="G4456" i="4"/>
  <c r="G5202" i="4"/>
  <c r="G5201" i="4"/>
  <c r="G2252" i="4"/>
  <c r="G1454" i="4"/>
  <c r="G1737" i="4"/>
  <c r="G1240" i="4"/>
  <c r="G3318" i="4"/>
  <c r="G296" i="4"/>
  <c r="G282" i="4"/>
  <c r="G1453" i="4"/>
  <c r="G1708" i="4"/>
  <c r="G142" i="4"/>
  <c r="G139" i="4"/>
  <c r="G1452" i="4"/>
  <c r="G777" i="4"/>
  <c r="G686" i="4"/>
  <c r="G2754" i="4"/>
  <c r="G2753" i="4"/>
  <c r="G4067" i="4"/>
  <c r="G2752" i="4"/>
  <c r="G5200" i="4"/>
  <c r="G226" i="4"/>
  <c r="G68" i="4"/>
  <c r="G184" i="4"/>
  <c r="G1736" i="4"/>
  <c r="G2751" i="4"/>
  <c r="G112" i="4"/>
  <c r="G545" i="4"/>
  <c r="G106" i="4"/>
  <c r="G150" i="4"/>
  <c r="G325" i="4"/>
  <c r="G2251" i="4"/>
  <c r="G1451" i="4"/>
  <c r="G1450" i="4"/>
  <c r="G2956" i="4"/>
  <c r="G1907" i="4"/>
  <c r="G875" i="4"/>
  <c r="G1449" i="4"/>
  <c r="G1448" i="4"/>
  <c r="G4066" i="4"/>
  <c r="G4065" i="4"/>
  <c r="G1867" i="4"/>
  <c r="G4064" i="4"/>
  <c r="G3317" i="4"/>
  <c r="G3316" i="4"/>
  <c r="G305" i="4"/>
  <c r="G874" i="4"/>
  <c r="G2250" i="4"/>
  <c r="G1447" i="4"/>
  <c r="G1098" i="4"/>
  <c r="G1446" i="4"/>
  <c r="G873" i="4"/>
  <c r="G1097" i="4"/>
  <c r="G4063" i="4"/>
  <c r="G5199" i="4"/>
  <c r="G4062" i="4"/>
  <c r="G4061" i="4"/>
  <c r="G5198" i="4"/>
  <c r="G4060" i="4"/>
  <c r="G4059" i="4"/>
  <c r="G4058" i="4"/>
  <c r="G1820" i="4"/>
  <c r="G4057" i="4"/>
  <c r="G2955" i="4"/>
  <c r="G2249" i="4"/>
  <c r="G2248" i="4"/>
  <c r="G2750" i="4"/>
  <c r="G5197" i="4"/>
  <c r="G5196" i="4"/>
  <c r="G5195" i="4"/>
  <c r="G5194" i="4"/>
  <c r="G4665" i="4"/>
  <c r="G4056" i="4"/>
  <c r="G5193" i="4"/>
  <c r="G4664" i="4"/>
  <c r="G4055" i="4"/>
  <c r="G4536" i="4"/>
  <c r="G4663" i="4"/>
  <c r="G4455" i="4"/>
  <c r="G471" i="4"/>
  <c r="G4054" i="4"/>
  <c r="G248" i="4"/>
  <c r="G2247" i="4"/>
  <c r="G4053" i="4"/>
  <c r="G3315" i="4"/>
  <c r="G872" i="4"/>
  <c r="G1445" i="4"/>
  <c r="G2246" i="4"/>
  <c r="G2749" i="4"/>
  <c r="G470" i="4"/>
  <c r="G331" i="4"/>
  <c r="G1444" i="4"/>
  <c r="G1443" i="4"/>
  <c r="G4052" i="4"/>
  <c r="G1979" i="4"/>
  <c r="G4051" i="4"/>
  <c r="G4050" i="4"/>
  <c r="G2245" i="4"/>
  <c r="G871" i="4"/>
  <c r="G5192" i="4"/>
  <c r="G5191" i="4"/>
  <c r="G5190" i="4"/>
  <c r="G5189" i="4"/>
  <c r="G5188" i="4"/>
  <c r="G4662" i="4"/>
  <c r="G5187" i="4"/>
  <c r="G4535" i="4"/>
  <c r="G5186" i="4"/>
  <c r="G469" i="4"/>
  <c r="G1339" i="4"/>
  <c r="G4661" i="4"/>
  <c r="G4660" i="4"/>
  <c r="G1063" i="4"/>
  <c r="G1968" i="4"/>
  <c r="G3132" i="4"/>
  <c r="G5626" i="4"/>
  <c r="G4659" i="4"/>
  <c r="G5185" i="4"/>
  <c r="G5184" i="4"/>
  <c r="G5183" i="4"/>
  <c r="G4049" i="4"/>
  <c r="G4048" i="4"/>
  <c r="G4047" i="4"/>
  <c r="G2748" i="4"/>
  <c r="G2244" i="4"/>
  <c r="G1442" i="4"/>
  <c r="G1441" i="4"/>
  <c r="G3314" i="4"/>
  <c r="G1675" i="4"/>
  <c r="G4046" i="4"/>
  <c r="G4045" i="4"/>
  <c r="G4044" i="4"/>
  <c r="G5182" i="4"/>
  <c r="G4043" i="4"/>
  <c r="G5181" i="4"/>
  <c r="G3313" i="4"/>
  <c r="G1440" i="4"/>
  <c r="G5180" i="4"/>
  <c r="G3312" i="4"/>
  <c r="G4042" i="4"/>
  <c r="G1819" i="4"/>
  <c r="G5179" i="4"/>
  <c r="G3311" i="4"/>
  <c r="G870" i="4"/>
  <c r="G1197" i="4"/>
  <c r="G1439" i="4"/>
  <c r="G5178" i="4"/>
  <c r="G5177" i="4"/>
  <c r="G4041" i="4"/>
  <c r="G170" i="4"/>
  <c r="G1906" i="4"/>
  <c r="G5176" i="4"/>
  <c r="G1222" i="4"/>
  <c r="G4040" i="4"/>
  <c r="G2243" i="4"/>
  <c r="G3310" i="4"/>
  <c r="G4039" i="4"/>
  <c r="G4038" i="4"/>
  <c r="G4037" i="4"/>
  <c r="G4036" i="4"/>
  <c r="G4035" i="4"/>
  <c r="G4034" i="4"/>
  <c r="G2242" i="4"/>
  <c r="G4033" i="4"/>
  <c r="G4032" i="4"/>
  <c r="G2241" i="4"/>
  <c r="G2240" i="4"/>
  <c r="G869" i="4"/>
  <c r="G3695" i="4"/>
  <c r="G4031" i="4"/>
  <c r="G3309" i="4"/>
  <c r="G868" i="4"/>
  <c r="G584" i="4"/>
  <c r="G867" i="4"/>
  <c r="G544" i="4"/>
  <c r="G805" i="4"/>
  <c r="G693" i="4"/>
  <c r="G5175" i="4"/>
  <c r="G4030" i="4"/>
  <c r="G4029" i="4"/>
  <c r="G2239" i="4"/>
  <c r="G866" i="4"/>
  <c r="G4028" i="4"/>
  <c r="G1905" i="4"/>
  <c r="G865" i="4"/>
  <c r="G4027" i="4"/>
  <c r="G864" i="4"/>
  <c r="G5174" i="4"/>
  <c r="G4026" i="4"/>
  <c r="G3308" i="4"/>
  <c r="G5614" i="4"/>
  <c r="G1438" i="4"/>
  <c r="G863" i="4"/>
  <c r="G1674" i="4"/>
  <c r="G3097" i="4"/>
  <c r="G1214" i="4"/>
  <c r="G4025" i="4"/>
  <c r="G1818" i="4"/>
  <c r="G1437" i="4"/>
  <c r="G3307" i="4"/>
  <c r="G4024" i="4"/>
  <c r="G179" i="4"/>
  <c r="G1817" i="4"/>
  <c r="G4023" i="4"/>
  <c r="G4022" i="4"/>
  <c r="G4021" i="4"/>
  <c r="G2954" i="4"/>
  <c r="G4020" i="4"/>
  <c r="G4019" i="4"/>
  <c r="G2238" i="4"/>
  <c r="G627" i="4"/>
  <c r="G1263" i="4"/>
  <c r="G2237" i="4"/>
  <c r="G4018" i="4"/>
  <c r="G2236" i="4"/>
  <c r="G3306" i="4"/>
  <c r="G4017" i="4"/>
  <c r="G4016" i="4"/>
  <c r="G1196" i="4"/>
  <c r="G5173" i="4"/>
  <c r="G4015" i="4"/>
  <c r="G4014" i="4"/>
  <c r="G4013" i="4"/>
  <c r="G4012" i="4"/>
  <c r="G4011" i="4"/>
  <c r="G4010" i="4"/>
  <c r="G862" i="4"/>
  <c r="G4009" i="4"/>
  <c r="G861" i="4"/>
  <c r="G5613" i="4"/>
  <c r="G2235" i="4"/>
  <c r="G1436" i="4"/>
  <c r="G1195" i="4"/>
  <c r="G3305" i="4"/>
  <c r="G3304" i="4"/>
  <c r="G4008" i="4"/>
  <c r="G4007" i="4"/>
  <c r="G860" i="4"/>
  <c r="G804" i="4"/>
  <c r="G4006" i="4"/>
  <c r="G3303" i="4"/>
  <c r="G2234" i="4"/>
  <c r="G3302" i="4"/>
  <c r="G859" i="4"/>
  <c r="G2233" i="4"/>
  <c r="G989" i="4"/>
  <c r="G5172" i="4"/>
  <c r="G4005" i="4"/>
  <c r="G2232" i="4"/>
  <c r="G3301" i="4"/>
  <c r="G2231" i="4"/>
  <c r="G2890" i="4"/>
  <c r="G4004" i="4"/>
  <c r="G4003" i="4"/>
  <c r="G4002" i="4"/>
  <c r="G4001" i="4"/>
  <c r="G4000" i="4"/>
  <c r="G3999" i="4"/>
  <c r="G1673" i="4"/>
  <c r="G3300" i="4"/>
  <c r="G1435" i="4"/>
  <c r="G3998" i="4"/>
  <c r="G3997" i="4"/>
  <c r="G626" i="4"/>
  <c r="G625" i="4"/>
  <c r="G376" i="4"/>
  <c r="G1735" i="4"/>
  <c r="G118" i="4"/>
  <c r="G2230" i="4"/>
  <c r="G2747" i="4"/>
  <c r="G1734" i="4"/>
  <c r="G1904" i="4"/>
  <c r="G2229" i="4"/>
  <c r="G3996" i="4"/>
  <c r="G1096" i="4"/>
  <c r="G543" i="4"/>
  <c r="G2746" i="4"/>
  <c r="G50" i="4"/>
  <c r="G1903" i="4"/>
  <c r="G411" i="4"/>
  <c r="G542" i="4"/>
  <c r="G1221" i="4"/>
  <c r="G1978" i="4"/>
  <c r="G1977" i="4"/>
  <c r="G416" i="4"/>
  <c r="G3995" i="4"/>
  <c r="G624" i="4"/>
  <c r="G3299" i="4"/>
  <c r="G431" i="4"/>
  <c r="G131" i="4"/>
  <c r="G430" i="4"/>
  <c r="G249" i="4"/>
  <c r="G22" i="4"/>
  <c r="G56" i="4"/>
  <c r="G400" i="4"/>
  <c r="G858" i="4"/>
  <c r="G721" i="4"/>
  <c r="G600" i="4"/>
  <c r="G43" i="4"/>
  <c r="G2228" i="4"/>
  <c r="G55" i="4"/>
  <c r="G2227" i="4"/>
  <c r="G522" i="4"/>
  <c r="G57" i="4"/>
  <c r="G1313" i="4"/>
  <c r="G541" i="4"/>
  <c r="G5171" i="4"/>
  <c r="G593" i="4"/>
  <c r="G2226" i="4"/>
  <c r="G1095" i="4"/>
  <c r="G3107" i="4"/>
  <c r="G623" i="4"/>
  <c r="G1262" i="4"/>
  <c r="G468" i="4"/>
  <c r="G5" i="4"/>
  <c r="G281" i="4"/>
  <c r="G1434" i="4"/>
  <c r="G857" i="4"/>
  <c r="G467" i="4"/>
  <c r="G26" i="4"/>
  <c r="G622" i="4"/>
  <c r="G1094" i="4"/>
  <c r="G402" i="4"/>
  <c r="G1433" i="4"/>
  <c r="G2225" i="4"/>
  <c r="G165" i="4"/>
  <c r="G3" i="4"/>
  <c r="G856" i="4"/>
  <c r="G74" i="4"/>
  <c r="G304" i="4"/>
  <c r="G815" i="4"/>
  <c r="G59" i="4"/>
  <c r="G1976" i="4"/>
  <c r="G530" i="4"/>
  <c r="G572" i="4"/>
  <c r="G119" i="4"/>
  <c r="G3298" i="4"/>
  <c r="G48" i="4"/>
  <c r="G5170" i="4"/>
  <c r="G429" i="4"/>
  <c r="G99" i="4"/>
  <c r="G2224" i="4"/>
  <c r="G1902" i="4"/>
  <c r="G2223" i="4"/>
  <c r="G1432" i="4"/>
  <c r="G3297" i="4"/>
  <c r="G1431" i="4"/>
  <c r="G1261" i="4"/>
  <c r="G3296" i="4"/>
  <c r="G5612" i="4"/>
  <c r="G5169" i="4"/>
  <c r="G5168" i="4"/>
  <c r="G5611" i="4"/>
  <c r="G4658" i="4"/>
  <c r="G4657" i="4"/>
  <c r="G2953" i="4"/>
  <c r="G5610" i="4"/>
  <c r="G3994" i="4"/>
  <c r="G5167" i="4"/>
  <c r="G5166" i="4"/>
  <c r="G5165" i="4"/>
  <c r="G3086" i="4"/>
  <c r="G4534" i="4"/>
  <c r="G5164" i="4"/>
  <c r="G5609" i="4"/>
  <c r="G5163" i="4"/>
  <c r="G4656" i="4"/>
  <c r="G5162" i="4"/>
  <c r="G5161" i="4"/>
  <c r="G4655" i="4"/>
  <c r="G5160" i="4"/>
  <c r="G5159" i="4"/>
  <c r="G3601" i="4"/>
  <c r="G5158" i="4"/>
  <c r="G3993" i="4"/>
  <c r="G5608" i="4"/>
  <c r="G5607" i="4"/>
  <c r="G5157" i="4"/>
  <c r="G5606" i="4"/>
  <c r="G2222" i="4"/>
  <c r="G4533" i="4"/>
  <c r="G5156" i="4"/>
  <c r="G3992" i="4"/>
  <c r="G3634" i="4"/>
  <c r="G5155" i="4"/>
  <c r="G5154" i="4"/>
  <c r="G2673" i="4"/>
  <c r="G1655" i="4"/>
  <c r="G3647" i="4"/>
  <c r="G5153" i="4"/>
  <c r="G5152" i="4"/>
  <c r="G4532" i="4"/>
  <c r="G4531" i="4"/>
  <c r="G1901" i="4"/>
  <c r="G3991" i="4"/>
  <c r="G3066" i="4"/>
  <c r="G4454" i="4"/>
  <c r="G3295" i="4"/>
  <c r="G3294" i="4"/>
  <c r="G5151" i="4"/>
  <c r="G5150" i="4"/>
  <c r="G5149" i="4"/>
  <c r="G4530" i="4"/>
  <c r="G5148" i="4"/>
  <c r="G3990" i="4"/>
  <c r="G4453" i="4"/>
  <c r="G3119" i="4"/>
  <c r="G5147" i="4"/>
  <c r="G3293" i="4"/>
  <c r="G4654" i="4"/>
  <c r="G3694" i="4"/>
  <c r="G3597" i="4"/>
  <c r="G4653" i="4"/>
  <c r="G5146" i="4"/>
  <c r="G4652" i="4"/>
  <c r="G4651" i="4"/>
  <c r="G4495" i="4"/>
  <c r="G3292" i="4"/>
  <c r="G3118" i="4"/>
  <c r="G3065" i="4"/>
  <c r="G3646" i="4"/>
  <c r="G2672" i="4"/>
  <c r="G5145" i="4"/>
  <c r="G5144" i="4"/>
  <c r="G3989" i="4"/>
  <c r="G3645" i="4"/>
  <c r="G3988" i="4"/>
  <c r="G1182" i="4"/>
  <c r="G5143" i="4"/>
  <c r="G4650" i="4"/>
  <c r="G4529" i="4"/>
  <c r="G4528" i="4"/>
  <c r="G5142" i="4"/>
  <c r="G4527" i="4"/>
  <c r="G5141" i="4"/>
  <c r="G1966" i="4"/>
  <c r="G5140" i="4"/>
  <c r="G4526" i="4"/>
  <c r="G5139" i="4"/>
  <c r="G2221" i="4"/>
  <c r="G3291" i="4"/>
  <c r="G3290" i="4"/>
  <c r="G4452" i="4"/>
  <c r="G4525" i="4"/>
  <c r="G3620" i="4"/>
  <c r="G3289" i="4"/>
  <c r="G5138" i="4"/>
  <c r="G5137" i="4"/>
  <c r="G4649" i="4"/>
  <c r="G5136" i="4"/>
  <c r="G4857" i="4"/>
  <c r="G1866" i="4"/>
  <c r="G5135" i="4"/>
  <c r="G5134" i="4"/>
  <c r="G5133" i="4"/>
  <c r="G3987" i="4"/>
  <c r="G4524" i="4"/>
  <c r="G5132" i="4"/>
  <c r="G4523" i="4"/>
  <c r="G3288" i="4"/>
  <c r="G4648" i="4"/>
  <c r="G4522" i="4"/>
  <c r="G4647" i="4"/>
  <c r="G5131" i="4"/>
  <c r="G5130" i="4"/>
  <c r="G3986" i="4"/>
  <c r="G5129" i="4"/>
  <c r="G3985" i="4"/>
  <c r="G5128" i="4"/>
  <c r="G5127" i="4"/>
  <c r="G5126" i="4"/>
  <c r="G3117" i="4"/>
  <c r="G4451" i="4"/>
  <c r="G4646" i="4"/>
  <c r="G5125" i="4"/>
  <c r="G5124" i="4"/>
  <c r="G5123" i="4"/>
  <c r="G5122" i="4"/>
  <c r="G4645" i="4"/>
  <c r="G5121" i="4"/>
  <c r="G2889" i="4"/>
  <c r="G3984" i="4"/>
  <c r="G3983" i="4"/>
  <c r="G5120" i="4"/>
  <c r="G1430" i="4"/>
  <c r="G1260" i="4"/>
  <c r="G162" i="4"/>
  <c r="G1733" i="4"/>
  <c r="G2745" i="4"/>
  <c r="G1732" i="4"/>
  <c r="G270" i="4"/>
  <c r="G2220" i="4"/>
  <c r="G2219" i="4"/>
  <c r="G803" i="4"/>
  <c r="G1731" i="4"/>
  <c r="G1093" i="4"/>
  <c r="G855" i="4"/>
  <c r="G678" i="4"/>
  <c r="G2218" i="4"/>
  <c r="G2217" i="4"/>
  <c r="G428" i="4"/>
  <c r="G2744" i="4"/>
  <c r="G1429" i="4"/>
  <c r="G2743" i="4"/>
  <c r="G3644" i="4"/>
  <c r="G5119" i="4"/>
  <c r="G3982" i="4"/>
  <c r="G4521" i="4"/>
  <c r="G3981" i="4"/>
  <c r="G3619" i="4"/>
  <c r="G3980" i="4"/>
  <c r="G5118" i="4"/>
  <c r="G3979" i="4"/>
  <c r="G3618" i="4"/>
  <c r="G2216" i="4"/>
  <c r="G1900" i="4"/>
  <c r="G2952" i="4"/>
  <c r="G3978" i="4"/>
  <c r="G3977" i="4"/>
  <c r="G3617" i="4"/>
  <c r="G3287" i="4"/>
  <c r="G3976" i="4"/>
  <c r="G3975" i="4"/>
  <c r="G3974" i="4"/>
  <c r="G4644" i="4"/>
  <c r="G3973" i="4"/>
  <c r="G5117" i="4"/>
  <c r="G4520" i="4"/>
  <c r="G3972" i="4"/>
  <c r="G4519" i="4"/>
  <c r="G3643" i="4"/>
  <c r="G5116" i="4"/>
  <c r="G4643" i="4"/>
  <c r="G5115" i="4"/>
  <c r="G321" i="4"/>
  <c r="G4518" i="4"/>
  <c r="G3971" i="4"/>
  <c r="G5114" i="4"/>
  <c r="G5113" i="4"/>
  <c r="G3970" i="4"/>
  <c r="G2653" i="4"/>
  <c r="G3969" i="4"/>
  <c r="G5112" i="4"/>
  <c r="G1816" i="4"/>
  <c r="G4450" i="4"/>
  <c r="G5111" i="4"/>
  <c r="G5110" i="4"/>
  <c r="G3968" i="4"/>
  <c r="G3693" i="4"/>
  <c r="G3286" i="4"/>
  <c r="G5109" i="4"/>
  <c r="G3967" i="4"/>
  <c r="G5108" i="4"/>
  <c r="G5107" i="4"/>
  <c r="G5106" i="4"/>
  <c r="G3966" i="4"/>
  <c r="G5105" i="4"/>
  <c r="G2888" i="4"/>
  <c r="G776" i="4"/>
  <c r="G3692" i="4"/>
  <c r="G5104" i="4"/>
  <c r="G3965" i="4"/>
  <c r="G5103" i="4"/>
  <c r="G3964" i="4"/>
  <c r="G5102" i="4"/>
  <c r="G1962" i="4"/>
  <c r="G1730" i="4"/>
  <c r="G2215" i="4"/>
  <c r="G621" i="4"/>
  <c r="G427" i="4"/>
  <c r="G3963" i="4"/>
  <c r="G3962" i="4"/>
  <c r="G3961" i="4"/>
  <c r="G3085" i="4"/>
  <c r="G3960" i="4"/>
  <c r="G3959" i="4"/>
  <c r="G3958" i="4"/>
  <c r="G3957" i="4"/>
  <c r="G3956" i="4"/>
  <c r="G583" i="4"/>
  <c r="G3955" i="4"/>
  <c r="G3954" i="4"/>
  <c r="G3953" i="4"/>
  <c r="G2951" i="4"/>
  <c r="G3952" i="4"/>
  <c r="G3951" i="4"/>
  <c r="G3950" i="4"/>
  <c r="G3949" i="4"/>
  <c r="G3948" i="4"/>
  <c r="G3947" i="4"/>
  <c r="G3946" i="4"/>
  <c r="G3945" i="4"/>
  <c r="G2950" i="4"/>
  <c r="G2949" i="4"/>
  <c r="G3944" i="4"/>
  <c r="G3600" i="4"/>
  <c r="G3943" i="4"/>
  <c r="G3942" i="4"/>
  <c r="G3616" i="4"/>
  <c r="G1899" i="4"/>
  <c r="G3941" i="4"/>
  <c r="G2948" i="4"/>
  <c r="G3940" i="4"/>
  <c r="G3939" i="4"/>
  <c r="G3285" i="4"/>
  <c r="G3284" i="4"/>
  <c r="G3283" i="4"/>
  <c r="G2742" i="4"/>
  <c r="G3938" i="4"/>
  <c r="G3282" i="4"/>
  <c r="G3937" i="4"/>
  <c r="G3936" i="4"/>
  <c r="G466" i="4"/>
  <c r="G3935" i="4"/>
  <c r="G3934" i="4"/>
  <c r="G3933" i="4"/>
  <c r="G3932" i="4"/>
  <c r="G3931" i="4"/>
  <c r="G3930" i="4"/>
  <c r="G2741" i="4"/>
  <c r="G2740" i="4"/>
  <c r="G3281" i="4"/>
  <c r="G2214" i="4"/>
  <c r="G3084" i="4"/>
  <c r="G2213" i="4"/>
  <c r="G1194" i="4"/>
  <c r="G2212" i="4"/>
  <c r="G1301" i="4"/>
  <c r="G3280" i="4"/>
  <c r="G1428" i="4"/>
  <c r="G1025" i="4"/>
  <c r="G3279" i="4"/>
  <c r="G2879" i="4"/>
  <c r="G2211" i="4"/>
  <c r="G3929" i="4"/>
  <c r="G133" i="4"/>
  <c r="G2210" i="4"/>
  <c r="G854" i="4"/>
  <c r="G1427" i="4"/>
  <c r="G120" i="4"/>
  <c r="G2947" i="4"/>
  <c r="G1426" i="4"/>
  <c r="G853" i="4"/>
  <c r="G1193" i="4"/>
  <c r="G196" i="4"/>
  <c r="G14" i="4"/>
  <c r="G13" i="4"/>
  <c r="G1425" i="4"/>
  <c r="G215" i="4"/>
  <c r="G375" i="4"/>
  <c r="G374" i="4"/>
  <c r="G540" i="4"/>
  <c r="G2946" i="4"/>
  <c r="G105" i="4"/>
  <c r="G92" i="4"/>
  <c r="G2209" i="4"/>
  <c r="G5101" i="4"/>
  <c r="G784" i="4"/>
  <c r="G2208" i="4"/>
  <c r="G3928" i="4"/>
  <c r="G3278" i="4"/>
  <c r="G1312" i="4"/>
  <c r="G2207" i="4"/>
  <c r="G703" i="4"/>
  <c r="G3927" i="4"/>
  <c r="G1898" i="4"/>
  <c r="G2206" i="4"/>
  <c r="G2205" i="4"/>
  <c r="G3926" i="4"/>
  <c r="G1897" i="4"/>
  <c r="G1896" i="4"/>
  <c r="G592" i="4"/>
  <c r="G3925" i="4"/>
  <c r="G2204" i="4"/>
  <c r="G2203" i="4"/>
  <c r="G2202" i="4"/>
  <c r="G3924" i="4"/>
  <c r="G3923" i="4"/>
  <c r="G3922" i="4"/>
  <c r="G1895" i="4"/>
  <c r="G5100" i="4"/>
  <c r="G5099" i="4"/>
  <c r="G3277" i="4"/>
  <c r="G2201" i="4"/>
  <c r="G1672" i="4"/>
  <c r="G1424" i="4"/>
  <c r="G3691" i="4"/>
  <c r="G5098" i="4"/>
  <c r="G5097" i="4"/>
  <c r="G3276" i="4"/>
  <c r="G5096" i="4"/>
  <c r="G5095" i="4"/>
  <c r="G4599" i="4"/>
  <c r="G5094" i="4"/>
  <c r="G5093" i="4"/>
  <c r="G4449" i="4"/>
  <c r="G5092" i="4"/>
  <c r="G5091" i="4"/>
  <c r="G5090" i="4"/>
  <c r="G5089" i="4"/>
  <c r="G5088" i="4"/>
  <c r="G5087" i="4"/>
  <c r="G5086" i="4"/>
  <c r="G4642" i="4"/>
  <c r="G3921" i="4"/>
  <c r="G4517" i="4"/>
  <c r="G4641" i="4"/>
  <c r="G5085" i="4"/>
  <c r="G5084" i="4"/>
  <c r="G4640" i="4"/>
  <c r="G3275" i="4"/>
  <c r="G3920" i="4"/>
  <c r="G3919" i="4"/>
  <c r="G3274" i="4"/>
  <c r="G1815" i="4"/>
  <c r="G3273" i="4"/>
  <c r="G3272" i="4"/>
  <c r="G3918" i="4"/>
  <c r="G3271" i="4"/>
  <c r="G3917" i="4"/>
  <c r="G3916" i="4"/>
  <c r="G3915" i="4"/>
  <c r="G3914" i="4"/>
  <c r="G3270" i="4"/>
  <c r="G3913" i="4"/>
  <c r="G3269" i="4"/>
  <c r="G3912" i="4"/>
  <c r="G2945" i="4"/>
  <c r="G988" i="4"/>
  <c r="G2200" i="4"/>
  <c r="G3911" i="4"/>
  <c r="G3910" i="4"/>
  <c r="G3909" i="4"/>
  <c r="G3268" i="4"/>
  <c r="G2944" i="4"/>
  <c r="G3267" i="4"/>
  <c r="G3266" i="4"/>
  <c r="G3265" i="4"/>
  <c r="G3908" i="4"/>
  <c r="G3264" i="4"/>
  <c r="G3263" i="4"/>
  <c r="G3262" i="4"/>
  <c r="G3261" i="4"/>
  <c r="G3260" i="4"/>
  <c r="G3907" i="4"/>
  <c r="G3259" i="4"/>
  <c r="G1311" i="4"/>
  <c r="G3258" i="4"/>
  <c r="G1894" i="4"/>
  <c r="G3257" i="4"/>
  <c r="G3256" i="4"/>
  <c r="G3255" i="4"/>
  <c r="G3906" i="4"/>
  <c r="G3254" i="4"/>
  <c r="G3253" i="4"/>
  <c r="G3905" i="4"/>
  <c r="G2943" i="4"/>
  <c r="G3252" i="4"/>
  <c r="G3251" i="4"/>
  <c r="G3904" i="4"/>
  <c r="G1423" i="4"/>
  <c r="G2739" i="4"/>
  <c r="G3250" i="4"/>
  <c r="G3903" i="4"/>
  <c r="G2199" i="4"/>
  <c r="G3902" i="4"/>
  <c r="G3901" i="4"/>
  <c r="G2738" i="4"/>
  <c r="G2198" i="4"/>
  <c r="G3249" i="4"/>
  <c r="G3900" i="4"/>
  <c r="G3248" i="4"/>
  <c r="G3247" i="4"/>
  <c r="G3899" i="4"/>
  <c r="G3898" i="4"/>
  <c r="G3897" i="4"/>
  <c r="G3116" i="4"/>
  <c r="G3896" i="4"/>
  <c r="G2737" i="4"/>
  <c r="G3246" i="4"/>
  <c r="G3895" i="4"/>
  <c r="G3245" i="4"/>
  <c r="G3244" i="4"/>
  <c r="G3243" i="4"/>
  <c r="G2736" i="4"/>
  <c r="G3894" i="4"/>
  <c r="G3893" i="4"/>
  <c r="G3892" i="4"/>
  <c r="G3891" i="4"/>
  <c r="G2197" i="4"/>
  <c r="G852" i="4"/>
  <c r="G1092" i="4"/>
  <c r="G3890" i="4"/>
  <c r="G702" i="4"/>
  <c r="G1975" i="4"/>
  <c r="G1259" i="4"/>
  <c r="G2196" i="4"/>
  <c r="G2942" i="4"/>
  <c r="G147" i="4"/>
  <c r="G1039" i="4"/>
  <c r="G3242" i="4"/>
  <c r="G5083" i="4"/>
  <c r="G2195" i="4"/>
  <c r="G3241" i="4"/>
  <c r="G2194" i="4"/>
  <c r="G2193" i="4"/>
  <c r="G2192" i="4"/>
  <c r="G2191" i="4"/>
  <c r="G1893" i="4"/>
  <c r="G3690" i="4"/>
  <c r="G1422" i="4"/>
  <c r="G9" i="4"/>
  <c r="G539" i="4"/>
  <c r="G2190" i="4"/>
  <c r="G720" i="4"/>
  <c r="G3240" i="4"/>
  <c r="G2941" i="4"/>
  <c r="G2189" i="4"/>
  <c r="G2188" i="4"/>
  <c r="G3615" i="4"/>
  <c r="G3239" i="4"/>
  <c r="G2887" i="4"/>
  <c r="G2187" i="4"/>
  <c r="G2186" i="4"/>
  <c r="G2735" i="4"/>
  <c r="G3889" i="4"/>
  <c r="G3888" i="4"/>
  <c r="G3238" i="4"/>
  <c r="G3887" i="4"/>
  <c r="G3886" i="4"/>
  <c r="G3885" i="4"/>
  <c r="G2940" i="4"/>
  <c r="G2734" i="4"/>
  <c r="G1671" i="4"/>
  <c r="G3884" i="4"/>
  <c r="G591" i="4"/>
  <c r="G2939" i="4"/>
  <c r="G1892" i="4"/>
  <c r="G2733" i="4"/>
  <c r="G1007" i="4"/>
  <c r="G2732" i="4"/>
  <c r="G2731" i="4"/>
  <c r="G2938" i="4"/>
  <c r="G2185" i="4"/>
  <c r="G3237" i="4"/>
  <c r="G3883" i="4"/>
  <c r="G3236" i="4"/>
  <c r="G1421" i="4"/>
  <c r="G3882" i="4"/>
  <c r="G3881" i="4"/>
  <c r="G851" i="4"/>
  <c r="G4448" i="4"/>
  <c r="G692" i="4"/>
  <c r="G1729" i="4"/>
  <c r="G1814" i="4"/>
  <c r="G5082" i="4"/>
  <c r="G3880" i="4"/>
  <c r="G2184" i="4"/>
  <c r="G2183" i="4"/>
  <c r="G2937" i="4"/>
  <c r="G2730" i="4"/>
  <c r="G1728" i="4"/>
  <c r="G3879" i="4"/>
  <c r="G3689" i="4"/>
  <c r="G1420" i="4"/>
  <c r="G3235" i="4"/>
  <c r="G2729" i="4"/>
  <c r="G5081" i="4"/>
  <c r="G2671" i="4"/>
  <c r="G5080" i="4"/>
  <c r="G2182" i="4"/>
  <c r="G1220" i="4"/>
  <c r="G3878" i="4"/>
  <c r="G2181" i="4"/>
  <c r="G5079" i="4"/>
  <c r="G1813" i="4"/>
  <c r="G1865" i="4"/>
  <c r="G523" i="4"/>
  <c r="G3877" i="4"/>
  <c r="G3115" i="4"/>
  <c r="G2728" i="4"/>
  <c r="G3876" i="4"/>
  <c r="G3234" i="4"/>
  <c r="G3233" i="4"/>
  <c r="G691" i="4"/>
  <c r="G4639" i="4"/>
  <c r="G4516" i="4"/>
  <c r="G2727" i="4"/>
  <c r="G2726" i="4"/>
  <c r="G1727" i="4"/>
  <c r="G453" i="4"/>
  <c r="G3232" i="4"/>
  <c r="G3231" i="4"/>
  <c r="G1670" i="4"/>
  <c r="G1310" i="4"/>
  <c r="G3688" i="4"/>
  <c r="G2725" i="4"/>
  <c r="G1419" i="4"/>
  <c r="G373" i="4"/>
  <c r="G3875" i="4"/>
  <c r="G5078" i="4"/>
  <c r="G1812" i="4"/>
  <c r="G3230" i="4"/>
  <c r="G5077" i="4"/>
  <c r="G5076" i="4"/>
  <c r="G4638" i="4"/>
  <c r="G5075" i="4"/>
  <c r="G4515" i="4"/>
  <c r="G3874" i="4"/>
  <c r="G5074" i="4"/>
  <c r="G3873" i="4"/>
  <c r="G5073" i="4"/>
  <c r="G5072" i="4"/>
  <c r="G3872" i="4"/>
  <c r="G3871" i="4"/>
  <c r="G3229" i="4"/>
  <c r="G3870" i="4"/>
  <c r="G5071" i="4"/>
  <c r="G5070" i="4"/>
  <c r="G850" i="4"/>
  <c r="G849" i="4"/>
  <c r="G1418" i="4"/>
  <c r="G1258" i="4"/>
  <c r="G1726" i="4"/>
  <c r="G1417" i="4"/>
  <c r="G2180" i="4"/>
  <c r="G2724" i="4"/>
  <c r="G620" i="4"/>
  <c r="G5069" i="4"/>
  <c r="G5068" i="4"/>
  <c r="G2179" i="4"/>
  <c r="G3869" i="4"/>
  <c r="G1891" i="4"/>
  <c r="G3868" i="4"/>
  <c r="G3867" i="4"/>
  <c r="G3866" i="4"/>
  <c r="G3865" i="4"/>
  <c r="G3864" i="4"/>
  <c r="G3863" i="4"/>
  <c r="G5067" i="4"/>
  <c r="G3862" i="4"/>
  <c r="G1890" i="4"/>
  <c r="G1091" i="4"/>
  <c r="G2723" i="4"/>
  <c r="G4637" i="4"/>
  <c r="G3861" i="4"/>
  <c r="G2722" i="4"/>
  <c r="G3860" i="4"/>
  <c r="G3859" i="4"/>
  <c r="G5066" i="4"/>
  <c r="G3642" i="4"/>
  <c r="G3687" i="4"/>
  <c r="G3858" i="4"/>
  <c r="G1416" i="4"/>
  <c r="G1415" i="4"/>
  <c r="G848" i="4"/>
  <c r="G1725" i="4"/>
  <c r="G1257" i="4"/>
  <c r="G397" i="4"/>
  <c r="G2178" i="4"/>
  <c r="G1414" i="4"/>
  <c r="G1413" i="4"/>
  <c r="G1412" i="4"/>
  <c r="G2177" i="4"/>
  <c r="G3857" i="4"/>
  <c r="G619" i="4"/>
  <c r="G2176" i="4"/>
  <c r="G802" i="4"/>
  <c r="G4636" i="4"/>
  <c r="G3856" i="4"/>
  <c r="G987" i="4"/>
  <c r="G4447" i="4"/>
  <c r="G3855" i="4"/>
  <c r="G1219" i="4"/>
  <c r="G2175" i="4"/>
  <c r="G2721" i="4"/>
  <c r="G801" i="4"/>
  <c r="G2174" i="4"/>
  <c r="G3854" i="4"/>
  <c r="G3686" i="4"/>
  <c r="G2173" i="4"/>
  <c r="G2720" i="4"/>
  <c r="G3228" i="4"/>
  <c r="G2172" i="4"/>
  <c r="G3853" i="4"/>
  <c r="G3227" i="4"/>
  <c r="G3226" i="4"/>
  <c r="G1811" i="4"/>
  <c r="G3599" i="4"/>
  <c r="G719" i="4"/>
  <c r="G426" i="4"/>
  <c r="G32" i="4"/>
  <c r="G149" i="4"/>
  <c r="G3598" i="4"/>
  <c r="G847" i="4"/>
  <c r="G36" i="4"/>
  <c r="G303" i="4"/>
  <c r="G775" i="4"/>
  <c r="G2171" i="4"/>
  <c r="G2170" i="4"/>
  <c r="G330" i="4"/>
  <c r="G425" i="4"/>
  <c r="G518" i="4"/>
  <c r="G2169" i="4"/>
  <c r="G3852" i="4"/>
  <c r="G846" i="4"/>
  <c r="G2168" i="4"/>
  <c r="G1183" i="4"/>
  <c r="G1411" i="4"/>
  <c r="G2167" i="4"/>
  <c r="G452" i="4"/>
  <c r="G1410" i="4"/>
  <c r="G582" i="4"/>
  <c r="G1409" i="4"/>
  <c r="G718" i="4"/>
  <c r="G717" i="4"/>
  <c r="G2166" i="4"/>
  <c r="G2165" i="4"/>
  <c r="G2164" i="4"/>
  <c r="G1192" i="4"/>
  <c r="G2163" i="4"/>
  <c r="G372" i="4"/>
  <c r="G1408" i="4"/>
  <c r="G513" i="4"/>
  <c r="G1090" i="4"/>
  <c r="G302" i="4"/>
  <c r="G2162" i="4"/>
  <c r="G1191" i="4"/>
  <c r="G1407" i="4"/>
  <c r="G371" i="4"/>
  <c r="G618" i="4"/>
  <c r="G617" i="4"/>
  <c r="G2161" i="4"/>
  <c r="G465" i="4"/>
  <c r="G845" i="4"/>
  <c r="G1406" i="4"/>
  <c r="G2160" i="4"/>
  <c r="G1089" i="4"/>
  <c r="G208" i="4"/>
  <c r="G2159" i="4"/>
  <c r="G370" i="4"/>
  <c r="G616" i="4"/>
  <c r="G2158" i="4"/>
  <c r="G1405" i="4"/>
  <c r="G1404" i="4"/>
  <c r="G1403" i="4"/>
  <c r="G301" i="4"/>
  <c r="G844" i="4"/>
  <c r="G843" i="4"/>
  <c r="G1402" i="4"/>
  <c r="G3225" i="4"/>
  <c r="G1889" i="4"/>
  <c r="G2157" i="4"/>
  <c r="G615" i="4"/>
  <c r="G2156" i="4"/>
  <c r="G2155" i="4"/>
  <c r="G1190" i="4"/>
  <c r="G1088" i="4"/>
  <c r="G1401" i="4"/>
  <c r="G1400" i="4"/>
  <c r="G3851" i="4"/>
  <c r="G3224" i="4"/>
  <c r="G3850" i="4"/>
  <c r="G1724" i="4"/>
  <c r="G5605" i="4"/>
  <c r="G5604" i="4"/>
  <c r="G5603" i="4"/>
  <c r="G5602" i="4"/>
  <c r="G5601" i="4"/>
  <c r="G3223" i="4"/>
  <c r="G4856" i="4"/>
  <c r="G5600" i="4"/>
  <c r="G5599" i="4"/>
  <c r="G5598" i="4"/>
  <c r="G5597" i="4"/>
  <c r="G5596" i="4"/>
  <c r="G4855" i="4"/>
  <c r="G5595" i="4"/>
  <c r="G5594" i="4"/>
  <c r="G5593" i="4"/>
  <c r="G5592" i="4"/>
  <c r="G5065" i="4"/>
  <c r="G4854" i="4"/>
  <c r="G5064" i="4"/>
  <c r="G5591" i="4"/>
  <c r="G5590" i="4"/>
  <c r="G5589" i="4"/>
  <c r="G5588" i="4"/>
  <c r="G5587" i="4"/>
  <c r="G2719" i="4"/>
  <c r="G3849" i="4"/>
  <c r="G2718" i="4"/>
  <c r="G2154" i="4"/>
  <c r="G1399" i="4"/>
  <c r="G571" i="4"/>
  <c r="G2153" i="4"/>
  <c r="G2936" i="4"/>
  <c r="G789" i="4"/>
  <c r="G1888" i="4"/>
  <c r="G842" i="4"/>
  <c r="G464" i="4"/>
  <c r="G614" i="4"/>
  <c r="G1038" i="4"/>
  <c r="G1790" i="4"/>
  <c r="G1810" i="4"/>
  <c r="G1809" i="4"/>
  <c r="G2152" i="4"/>
  <c r="G599" i="4"/>
  <c r="G2663" i="4"/>
  <c r="G1857" i="4"/>
  <c r="G2151" i="4"/>
  <c r="G2935" i="4"/>
  <c r="G1309" i="4"/>
  <c r="G1808" i="4"/>
  <c r="G2662" i="4"/>
  <c r="G2150" i="4"/>
  <c r="G2717" i="4"/>
  <c r="G3222" i="4"/>
  <c r="G2149" i="4"/>
  <c r="G2661" i="4"/>
  <c r="G598" i="4"/>
  <c r="G1024" i="4"/>
  <c r="G1308" i="4"/>
  <c r="G1856" i="4"/>
  <c r="G1023" i="4"/>
  <c r="G2878" i="4"/>
  <c r="G2148" i="4"/>
  <c r="G531" i="4"/>
  <c r="G3221" i="4"/>
  <c r="G247" i="4"/>
  <c r="G788" i="4"/>
  <c r="G1256" i="4"/>
  <c r="G2147" i="4"/>
  <c r="G1087" i="4"/>
  <c r="G716" i="4"/>
  <c r="G2146" i="4"/>
  <c r="G3848" i="4"/>
  <c r="G2145" i="4"/>
  <c r="G2716" i="4"/>
  <c r="G3220" i="4"/>
  <c r="G538" i="4"/>
  <c r="G4635" i="4"/>
  <c r="G3847" i="4"/>
  <c r="G1398" i="4"/>
  <c r="G225" i="4"/>
  <c r="G1397" i="4"/>
  <c r="G2144" i="4"/>
  <c r="G207" i="4"/>
  <c r="G206" i="4"/>
  <c r="G613" i="4"/>
  <c r="G2715" i="4"/>
  <c r="G369" i="4"/>
  <c r="G2143" i="4"/>
  <c r="G368" i="4"/>
  <c r="G2142" i="4"/>
  <c r="G841" i="4"/>
  <c r="G840" i="4"/>
  <c r="G2141" i="4"/>
  <c r="G3641" i="4"/>
  <c r="G3846" i="4"/>
  <c r="G2140" i="4"/>
  <c r="G3845" i="4"/>
  <c r="G3114" i="4"/>
  <c r="G3064" i="4"/>
  <c r="G1255" i="4"/>
  <c r="G1396" i="4"/>
  <c r="G1669" i="4"/>
  <c r="G263" i="4"/>
  <c r="G3219" i="4"/>
  <c r="G410" i="4"/>
  <c r="G2139" i="4"/>
  <c r="G612" i="4"/>
  <c r="G1218" i="4"/>
  <c r="G3218" i="4"/>
  <c r="G1887" i="4"/>
  <c r="G2660" i="4"/>
  <c r="G2647" i="4"/>
  <c r="G1395" i="4"/>
  <c r="G3844" i="4"/>
  <c r="G409" i="4"/>
  <c r="G1394" i="4"/>
  <c r="G1668" i="4"/>
  <c r="G3096" i="4"/>
  <c r="G3685" i="4"/>
  <c r="G3843" i="4"/>
  <c r="G4514" i="4"/>
  <c r="G4634" i="4"/>
  <c r="G1864" i="4"/>
  <c r="G5063" i="4"/>
  <c r="G5062" i="4"/>
  <c r="G3113" i="4"/>
  <c r="G5061" i="4"/>
  <c r="G1789" i="4"/>
  <c r="G5060" i="4"/>
  <c r="G3842" i="4"/>
  <c r="G2138" i="4"/>
  <c r="G1723" i="4"/>
  <c r="G3217" i="4"/>
  <c r="G2137" i="4"/>
  <c r="G3216" i="4"/>
  <c r="G2934" i="4"/>
  <c r="G2136" i="4"/>
  <c r="G3215" i="4"/>
  <c r="G2714" i="4"/>
  <c r="G3214" i="4"/>
  <c r="G2933" i="4"/>
  <c r="G2713" i="4"/>
  <c r="G2135" i="4"/>
  <c r="G2932" i="4"/>
  <c r="G3841" i="4"/>
  <c r="G3684" i="4"/>
  <c r="G2134" i="4"/>
  <c r="G1807" i="4"/>
  <c r="G3213" i="4"/>
  <c r="G2133" i="4"/>
  <c r="G3840" i="4"/>
  <c r="G3839" i="4"/>
  <c r="G1886" i="4"/>
  <c r="G4633" i="4"/>
  <c r="G3838" i="4"/>
  <c r="G3212" i="4"/>
  <c r="G3211" i="4"/>
  <c r="G2132" i="4"/>
  <c r="G3837" i="4"/>
  <c r="G3210" i="4"/>
  <c r="G3836" i="4"/>
  <c r="G448" i="4"/>
  <c r="G5059" i="4"/>
  <c r="G3835" i="4"/>
  <c r="G5058" i="4"/>
  <c r="G5057" i="4"/>
  <c r="G3112" i="4"/>
  <c r="G5056" i="4"/>
  <c r="G2886" i="4"/>
  <c r="G5055" i="4"/>
  <c r="G4632" i="4"/>
  <c r="G3834" i="4"/>
  <c r="G4513" i="4"/>
  <c r="G5054" i="4"/>
  <c r="G2131" i="4"/>
  <c r="G5053" i="4"/>
  <c r="G5052" i="4"/>
  <c r="G5051" i="4"/>
  <c r="G5050" i="4"/>
  <c r="G5049" i="4"/>
  <c r="G5048" i="4"/>
  <c r="G5047" i="4"/>
  <c r="G3083" i="4"/>
  <c r="G3833" i="4"/>
  <c r="G5046" i="4"/>
  <c r="G1254" i="4"/>
  <c r="G5045" i="4"/>
  <c r="G5044" i="4"/>
  <c r="G3832" i="4"/>
  <c r="G3831" i="4"/>
  <c r="G5043" i="4"/>
  <c r="G2712" i="4"/>
  <c r="G4631" i="4"/>
  <c r="G3111" i="4"/>
  <c r="G5042" i="4"/>
  <c r="G2711" i="4"/>
  <c r="G1667" i="4"/>
  <c r="G341" i="4"/>
  <c r="G2130" i="4"/>
  <c r="G1806" i="4"/>
  <c r="G2129" i="4"/>
  <c r="G3110" i="4"/>
  <c r="G2128" i="4"/>
  <c r="G1393" i="4"/>
  <c r="G3209" i="4"/>
  <c r="G364" i="4"/>
  <c r="G447" i="4"/>
  <c r="G1722" i="4"/>
  <c r="G839" i="4"/>
  <c r="G1392" i="4"/>
  <c r="G774" i="4"/>
  <c r="G1307" i="4"/>
  <c r="G457" i="4"/>
  <c r="G2127" i="4"/>
  <c r="G3830" i="4"/>
  <c r="G3109" i="4"/>
  <c r="G1885" i="4"/>
  <c r="G611" i="4"/>
  <c r="G352" i="4"/>
  <c r="G2931" i="4"/>
  <c r="G1666" i="4"/>
  <c r="G2126" i="4"/>
  <c r="G5041" i="4"/>
  <c r="G5040" i="4"/>
  <c r="G5039" i="4"/>
  <c r="G5038" i="4"/>
  <c r="G5037" i="4"/>
  <c r="G5036" i="4"/>
  <c r="G5035" i="4"/>
  <c r="G3208" i="4"/>
  <c r="G1391" i="4"/>
  <c r="G982" i="4"/>
  <c r="G1390" i="4"/>
  <c r="G2125" i="4"/>
  <c r="G800" i="4"/>
  <c r="G2124" i="4"/>
  <c r="G3108" i="4"/>
  <c r="G3082" i="4"/>
  <c r="G2930" i="4"/>
  <c r="G1086" i="4"/>
  <c r="G111" i="4"/>
  <c r="G2123" i="4"/>
  <c r="G463" i="4"/>
  <c r="G3207" i="4"/>
  <c r="G2929" i="4"/>
  <c r="G355" i="4"/>
  <c r="G838" i="4"/>
  <c r="G1389" i="4"/>
  <c r="G2122" i="4"/>
  <c r="G1181" i="4"/>
  <c r="G5034" i="4"/>
  <c r="G2928" i="4"/>
  <c r="G1253" i="4"/>
  <c r="G2121" i="4"/>
  <c r="G2120" i="4"/>
  <c r="G3206" i="4"/>
  <c r="G837" i="4"/>
  <c r="G72" i="4"/>
  <c r="G3829" i="4"/>
  <c r="G3205" i="4"/>
  <c r="G3828" i="4"/>
  <c r="G3640" i="4"/>
  <c r="G4630" i="4"/>
  <c r="G2927" i="4"/>
  <c r="G2926" i="4"/>
  <c r="G3683" i="4"/>
  <c r="G1085" i="4"/>
  <c r="G2119" i="4"/>
  <c r="G5033" i="4"/>
  <c r="G1388" i="4"/>
  <c r="G3204" i="4"/>
  <c r="G2118" i="4"/>
  <c r="G3203" i="4"/>
  <c r="G4512" i="4"/>
  <c r="G3202" i="4"/>
  <c r="G3201" i="4"/>
  <c r="G3200" i="4"/>
  <c r="G1387" i="4"/>
  <c r="G1386" i="4"/>
  <c r="G1385" i="4"/>
  <c r="G2117" i="4"/>
  <c r="G2116" i="4"/>
  <c r="G2115" i="4"/>
  <c r="G3199" i="4"/>
  <c r="G4511" i="4"/>
  <c r="G2114" i="4"/>
  <c r="G2113" i="4"/>
  <c r="G424" i="4"/>
  <c r="G3198" i="4"/>
  <c r="G3197" i="4"/>
  <c r="G2710" i="4"/>
  <c r="G1062" i="4"/>
  <c r="G3827" i="4"/>
  <c r="G2112" i="4"/>
  <c r="G274" i="4"/>
  <c r="G259" i="4"/>
  <c r="G3196" i="4"/>
  <c r="G517" i="4"/>
  <c r="G2111" i="4"/>
  <c r="G2110" i="4"/>
  <c r="G1805" i="4"/>
  <c r="G1384" i="4"/>
  <c r="G2925" i="4"/>
  <c r="G2109" i="4"/>
  <c r="G1217" i="4"/>
  <c r="G1383" i="4"/>
  <c r="G2108" i="4"/>
  <c r="G1382" i="4"/>
  <c r="G160" i="4"/>
  <c r="G2924" i="4"/>
  <c r="G3826" i="4"/>
  <c r="G2107" i="4"/>
  <c r="G1037" i="4"/>
  <c r="G2877" i="4"/>
  <c r="G2923" i="4"/>
  <c r="G1381" i="4"/>
  <c r="G2106" i="4"/>
  <c r="G5032" i="4"/>
  <c r="G1084" i="4"/>
  <c r="G1884" i="4"/>
  <c r="G5031" i="4"/>
  <c r="G2105" i="4"/>
  <c r="G2104" i="4"/>
  <c r="G799" i="4"/>
  <c r="G3195" i="4"/>
  <c r="G787" i="4"/>
  <c r="G2885" i="4"/>
  <c r="G1804" i="4"/>
  <c r="G3825" i="4"/>
  <c r="G1059" i="4"/>
  <c r="G699" i="4"/>
  <c r="G71" i="4"/>
  <c r="G1380" i="4"/>
  <c r="G1654" i="4"/>
  <c r="G178" i="4"/>
  <c r="G3194" i="4"/>
  <c r="G2103" i="4"/>
  <c r="G3193" i="4"/>
  <c r="G3192" i="4"/>
  <c r="G3824" i="4"/>
  <c r="G2102" i="4"/>
  <c r="G5030" i="4"/>
  <c r="G2101" i="4"/>
  <c r="G5029" i="4"/>
  <c r="G5028" i="4"/>
  <c r="G5027" i="4"/>
  <c r="G1335" i="4"/>
  <c r="G798" i="4"/>
  <c r="G1252" i="4"/>
  <c r="G3191" i="4"/>
  <c r="G3823" i="4"/>
  <c r="G183" i="4"/>
  <c r="G836" i="4"/>
  <c r="G690" i="4"/>
  <c r="G396" i="4"/>
  <c r="G3190" i="4"/>
  <c r="G3189" i="4"/>
  <c r="G3822" i="4"/>
  <c r="G2709" i="4"/>
  <c r="G95" i="4"/>
  <c r="G2708" i="4"/>
  <c r="G835" i="4"/>
  <c r="G2707" i="4"/>
  <c r="G4510" i="4"/>
  <c r="G37" i="4"/>
  <c r="G1379" i="4"/>
  <c r="G2100" i="4"/>
  <c r="G3188" i="4"/>
  <c r="G3821" i="4"/>
  <c r="G3820" i="4"/>
  <c r="G2922" i="4"/>
  <c r="G2099" i="4"/>
  <c r="G2098" i="4"/>
  <c r="G602" i="4"/>
  <c r="G2706" i="4"/>
  <c r="G2097" i="4"/>
  <c r="G834" i="4"/>
  <c r="G1721" i="4"/>
  <c r="G2705" i="4"/>
  <c r="G4446" i="4"/>
  <c r="G5026" i="4"/>
  <c r="G4445" i="4"/>
  <c r="G4444" i="4"/>
  <c r="G4443" i="4"/>
  <c r="G5025" i="4"/>
  <c r="G5024" i="4"/>
  <c r="G4442" i="4"/>
  <c r="G524" i="4"/>
  <c r="G1083" i="4"/>
  <c r="G610" i="4"/>
  <c r="G2096" i="4"/>
  <c r="G833" i="4"/>
  <c r="G1082" i="4"/>
  <c r="G1378" i="4"/>
  <c r="G125" i="4"/>
  <c r="G1377" i="4"/>
  <c r="G832" i="4"/>
  <c r="G537" i="4"/>
  <c r="G2095" i="4"/>
  <c r="G351" i="4"/>
  <c r="G5023" i="4"/>
  <c r="G2094" i="4"/>
  <c r="G2093" i="4"/>
  <c r="G766" i="4"/>
  <c r="G2704" i="4"/>
  <c r="G5022" i="4"/>
  <c r="G5586" i="4"/>
  <c r="G4441" i="4"/>
  <c r="G760" i="4"/>
  <c r="G1863" i="4"/>
  <c r="G5585" i="4"/>
  <c r="G5584" i="4"/>
  <c r="G5583" i="4"/>
  <c r="G5569" i="4"/>
  <c r="G2921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3819" i="4"/>
  <c r="G5005" i="4"/>
  <c r="G5004" i="4"/>
  <c r="G5003" i="4"/>
  <c r="G5002" i="4"/>
  <c r="G5001" i="4"/>
  <c r="G5000" i="4"/>
  <c r="G3818" i="4"/>
  <c r="G2092" i="4"/>
  <c r="G3817" i="4"/>
  <c r="G2646" i="4"/>
  <c r="G4629" i="4"/>
  <c r="G446" i="4"/>
  <c r="G3816" i="4"/>
  <c r="G3682" i="4"/>
  <c r="G3187" i="4"/>
  <c r="G2091" i="4"/>
  <c r="G3815" i="4"/>
  <c r="G1803" i="4"/>
  <c r="G609" i="4"/>
  <c r="G1376" i="4"/>
  <c r="G3814" i="4"/>
  <c r="G3813" i="4"/>
  <c r="G3186" i="4"/>
  <c r="G1375" i="4"/>
  <c r="G3812" i="4"/>
  <c r="G2703" i="4"/>
  <c r="G2090" i="4"/>
  <c r="G2702" i="4"/>
  <c r="G715" i="4"/>
  <c r="G3185" i="4"/>
  <c r="G714" i="4"/>
  <c r="G3811" i="4"/>
  <c r="G3810" i="4"/>
  <c r="G2870" i="4"/>
  <c r="G1802" i="4"/>
  <c r="G2701" i="4"/>
  <c r="G2700" i="4"/>
  <c r="G1720" i="4"/>
  <c r="G676" i="4"/>
  <c r="G3184" i="4"/>
  <c r="G1216" i="4"/>
  <c r="G577" i="4"/>
  <c r="G797" i="4"/>
  <c r="G2089" i="4"/>
  <c r="G786" i="4"/>
  <c r="G293" i="4"/>
  <c r="G1883" i="4"/>
  <c r="G2699" i="4"/>
  <c r="G1081" i="4"/>
  <c r="G4999" i="4"/>
  <c r="G2920" i="4"/>
  <c r="G1006" i="4"/>
  <c r="G1882" i="4"/>
  <c r="G589" i="4"/>
  <c r="G3183" i="4"/>
  <c r="G2698" i="4"/>
  <c r="G1719" i="4"/>
  <c r="G515" i="4"/>
  <c r="G2088" i="4"/>
  <c r="G1881" i="4"/>
  <c r="G1005" i="4"/>
  <c r="G2087" i="4"/>
  <c r="G2919" i="4"/>
  <c r="G536" i="4"/>
  <c r="G2086" i="4"/>
  <c r="G831" i="4"/>
  <c r="G1004" i="4"/>
  <c r="G2085" i="4"/>
  <c r="G830" i="4"/>
  <c r="G1880" i="4"/>
  <c r="G1374" i="4"/>
  <c r="G1373" i="4"/>
  <c r="G2084" i="4"/>
  <c r="G1251" i="4"/>
  <c r="G2697" i="4"/>
  <c r="G3182" i="4"/>
  <c r="G3809" i="4"/>
  <c r="G2658" i="4"/>
  <c r="G3639" i="4"/>
  <c r="G2083" i="4"/>
  <c r="G4998" i="4"/>
  <c r="G1961" i="4"/>
  <c r="G785" i="4"/>
  <c r="G2082" i="4"/>
  <c r="G2081" i="4"/>
  <c r="G1022" i="4"/>
  <c r="G1372" i="4"/>
  <c r="G608" i="4"/>
  <c r="G1080" i="4"/>
  <c r="G1079" i="4"/>
  <c r="G1371" i="4"/>
  <c r="G423" i="4"/>
  <c r="G2080" i="4"/>
  <c r="G262" i="4"/>
  <c r="G4997" i="4"/>
  <c r="G713" i="4"/>
  <c r="G354" i="4"/>
  <c r="G2652" i="4"/>
  <c r="G3181" i="4"/>
  <c r="G334" i="4"/>
  <c r="G1370" i="4"/>
  <c r="G2079" i="4"/>
  <c r="G2078" i="4"/>
  <c r="G2077" i="4"/>
  <c r="G2076" i="4"/>
  <c r="G367" i="4"/>
  <c r="G1078" i="4"/>
  <c r="G2075" i="4"/>
  <c r="G701" i="4"/>
  <c r="G1369" i="4"/>
  <c r="G1077" i="4"/>
  <c r="G1368" i="4"/>
  <c r="G2074" i="4"/>
  <c r="G451" i="4"/>
  <c r="G607" i="4"/>
  <c r="G2073" i="4"/>
  <c r="G2072" i="4"/>
  <c r="G2071" i="4"/>
  <c r="G77" i="4"/>
  <c r="G1076" i="4"/>
  <c r="G4996" i="4"/>
  <c r="G2070" i="4"/>
  <c r="G829" i="4"/>
  <c r="G1075" i="4"/>
  <c r="G422" i="4"/>
  <c r="G4995" i="4"/>
  <c r="G1367" i="4"/>
  <c r="G606" i="4"/>
  <c r="G828" i="4"/>
  <c r="G1074" i="4"/>
  <c r="G827" i="4"/>
  <c r="G2069" i="4"/>
  <c r="G2696" i="4"/>
  <c r="G826" i="4"/>
  <c r="G2068" i="4"/>
  <c r="G2067" i="4"/>
  <c r="G2918" i="4"/>
  <c r="G605" i="4"/>
  <c r="G1250" i="4"/>
  <c r="G1189" i="4"/>
  <c r="G1366" i="4"/>
  <c r="G2066" i="4"/>
  <c r="G4994" i="4"/>
  <c r="G825" i="4"/>
  <c r="G824" i="4"/>
  <c r="G823" i="4"/>
  <c r="G340" i="4"/>
  <c r="G712" i="4"/>
  <c r="G711" i="4"/>
  <c r="G462" i="4"/>
  <c r="G2695" i="4"/>
  <c r="G4993" i="4"/>
  <c r="G4992" i="4"/>
  <c r="G4628" i="4"/>
  <c r="G3180" i="4"/>
  <c r="G2917" i="4"/>
  <c r="G2065" i="4"/>
  <c r="G4509" i="4"/>
  <c r="G3179" i="4"/>
  <c r="G3178" i="4"/>
  <c r="G4991" i="4"/>
  <c r="G4627" i="4"/>
  <c r="G4990" i="4"/>
  <c r="G3177" i="4"/>
  <c r="G4989" i="4"/>
  <c r="G2916" i="4"/>
  <c r="G4508" i="4"/>
  <c r="G4988" i="4"/>
  <c r="G2694" i="4"/>
  <c r="G4987" i="4"/>
  <c r="G2064" i="4"/>
  <c r="G822" i="4"/>
  <c r="G581" i="4"/>
  <c r="G2063" i="4"/>
  <c r="G461" i="4"/>
  <c r="G1188" i="4"/>
  <c r="G295" i="4"/>
  <c r="G366" i="4"/>
  <c r="G2062" i="4"/>
  <c r="G997" i="4"/>
  <c r="G300" i="4"/>
  <c r="G195" i="4"/>
  <c r="G1073" i="4"/>
  <c r="G3808" i="4"/>
  <c r="G3807" i="4"/>
  <c r="G1879" i="4"/>
  <c r="G3806" i="4"/>
  <c r="G1878" i="4"/>
  <c r="G3805" i="4"/>
  <c r="G2061" i="4"/>
  <c r="G2060" i="4"/>
  <c r="G3176" i="4"/>
  <c r="G1877" i="4"/>
  <c r="G1660" i="4"/>
  <c r="G2670" i="4"/>
  <c r="G2059" i="4"/>
  <c r="G1703" i="4"/>
  <c r="G2058" i="4"/>
  <c r="G214" i="4"/>
  <c r="G3804" i="4"/>
  <c r="G4986" i="4"/>
  <c r="G1711" i="4"/>
  <c r="G3681" i="4"/>
  <c r="G1974" i="4"/>
  <c r="G3638" i="4"/>
  <c r="G1973" i="4"/>
  <c r="G1801" i="4"/>
  <c r="G2057" i="4"/>
  <c r="G1072" i="4"/>
  <c r="G2056" i="4"/>
  <c r="G2055" i="4"/>
  <c r="G2693" i="4"/>
  <c r="G2054" i="4"/>
  <c r="G3637" i="4"/>
  <c r="G2053" i="4"/>
  <c r="G2052" i="4"/>
  <c r="G2051" i="4"/>
  <c r="G3175" i="4"/>
  <c r="G1365" i="4"/>
  <c r="G2050" i="4"/>
  <c r="G1364" i="4"/>
  <c r="G1363" i="4"/>
  <c r="G1071" i="4"/>
  <c r="G1070" i="4"/>
  <c r="G1362" i="4"/>
  <c r="G2049" i="4"/>
  <c r="G1361" i="4"/>
  <c r="G2048" i="4"/>
  <c r="G2047" i="4"/>
  <c r="G2915" i="4"/>
  <c r="G3063" i="4"/>
  <c r="G2046" i="4"/>
  <c r="G2045" i="4"/>
  <c r="G3174" i="4"/>
  <c r="G2914" i="4"/>
  <c r="G3173" i="4"/>
  <c r="G1360" i="4"/>
  <c r="G2044" i="4"/>
  <c r="G2043" i="4"/>
  <c r="G2042" i="4"/>
  <c r="G1249" i="4"/>
  <c r="G3172" i="4"/>
  <c r="G1876" i="4"/>
  <c r="G3171" i="4"/>
  <c r="G2041" i="4"/>
  <c r="G2040" i="4"/>
  <c r="G3803" i="4"/>
  <c r="G3802" i="4"/>
  <c r="G1800" i="4"/>
  <c r="G3801" i="4"/>
  <c r="G3170" i="4"/>
  <c r="G1875" i="4"/>
  <c r="G2692" i="4"/>
  <c r="G2039" i="4"/>
  <c r="G2038" i="4"/>
  <c r="G3800" i="4"/>
  <c r="G3799" i="4"/>
  <c r="G3169" i="4"/>
  <c r="G3798" i="4"/>
  <c r="G3168" i="4"/>
  <c r="G3797" i="4"/>
  <c r="G3796" i="4"/>
  <c r="G3795" i="4"/>
  <c r="G2037" i="4"/>
  <c r="G2691" i="4"/>
  <c r="G1069" i="4"/>
  <c r="G3794" i="4"/>
  <c r="G2036" i="4"/>
  <c r="G1068" i="4"/>
  <c r="G1799" i="4"/>
  <c r="G3793" i="4"/>
  <c r="G3167" i="4"/>
  <c r="G3792" i="4"/>
  <c r="G3791" i="4"/>
  <c r="G3790" i="4"/>
  <c r="G1960" i="4"/>
  <c r="G3166" i="4"/>
  <c r="G3789" i="4"/>
  <c r="G2690" i="4"/>
  <c r="G3788" i="4"/>
  <c r="G3787" i="4"/>
  <c r="G3786" i="4"/>
  <c r="G3785" i="4"/>
  <c r="G3784" i="4"/>
  <c r="G2913" i="4"/>
  <c r="G1798" i="4"/>
  <c r="G2912" i="4"/>
  <c r="G2689" i="4"/>
  <c r="G1359" i="4"/>
  <c r="G3783" i="4"/>
  <c r="G3165" i="4"/>
  <c r="G3782" i="4"/>
  <c r="G3164" i="4"/>
  <c r="G3163" i="4"/>
  <c r="G1187" i="4"/>
  <c r="G1718" i="4"/>
  <c r="G104" i="4"/>
  <c r="G708" i="4"/>
  <c r="G3781" i="4"/>
  <c r="G3162" i="4"/>
  <c r="G4985" i="4"/>
  <c r="G3161" i="4"/>
  <c r="G3160" i="4"/>
  <c r="G4626" i="4"/>
  <c r="G4507" i="4"/>
  <c r="G1717" i="4"/>
  <c r="G3780" i="4"/>
  <c r="G4440" i="4"/>
  <c r="G4506" i="4"/>
  <c r="G3159" i="4"/>
  <c r="G1956" i="4"/>
  <c r="G4984" i="4"/>
  <c r="G2911" i="4"/>
  <c r="G1967" i="4"/>
  <c r="G4625" i="4"/>
  <c r="G3680" i="4"/>
  <c r="G4624" i="4"/>
  <c r="G4439" i="4"/>
  <c r="G1706" i="4"/>
  <c r="G3679" i="4"/>
  <c r="G3779" i="4"/>
  <c r="G5582" i="4"/>
  <c r="G4494" i="4"/>
  <c r="G4983" i="4"/>
  <c r="G4623" i="4"/>
  <c r="G3614" i="4"/>
  <c r="G4622" i="4"/>
  <c r="G4505" i="4"/>
  <c r="G4598" i="4"/>
  <c r="G3778" i="4"/>
  <c r="G2688" i="4"/>
  <c r="G4982" i="4"/>
  <c r="G3777" i="4"/>
  <c r="G3776" i="4"/>
  <c r="G3775" i="4"/>
  <c r="G3774" i="4"/>
  <c r="G3773" i="4"/>
  <c r="G3772" i="4"/>
  <c r="G3771" i="4"/>
  <c r="G3770" i="4"/>
  <c r="G3769" i="4"/>
  <c r="G3768" i="4"/>
  <c r="G3767" i="4"/>
  <c r="G4981" i="4"/>
  <c r="G4980" i="4"/>
  <c r="G4979" i="4"/>
  <c r="G4978" i="4"/>
  <c r="G4977" i="4"/>
  <c r="G4976" i="4"/>
  <c r="G4975" i="4"/>
  <c r="G2035" i="4"/>
  <c r="G3766" i="4"/>
  <c r="G3765" i="4"/>
  <c r="G821" i="4"/>
  <c r="G3764" i="4"/>
  <c r="G2910" i="4"/>
  <c r="G3763" i="4"/>
  <c r="G3762" i="4"/>
  <c r="G1874" i="4"/>
  <c r="G4621" i="4"/>
  <c r="G3761" i="4"/>
  <c r="G3760" i="4"/>
  <c r="G3158" i="4"/>
  <c r="G224" i="4"/>
  <c r="G1358" i="4"/>
  <c r="G1357" i="4"/>
  <c r="G3157" i="4"/>
  <c r="G2034" i="4"/>
  <c r="G1334" i="4"/>
  <c r="G81" i="4"/>
  <c r="G365" i="4"/>
  <c r="G2033" i="4"/>
  <c r="G2909" i="4"/>
  <c r="G1356" i="4"/>
  <c r="G1355" i="4"/>
  <c r="G2032" i="4"/>
  <c r="G1186" i="4"/>
  <c r="G2031" i="4"/>
  <c r="G1003" i="4"/>
  <c r="G3759" i="4"/>
  <c r="G258" i="4"/>
  <c r="G3758" i="4"/>
  <c r="G3678" i="4"/>
  <c r="G2030" i="4"/>
  <c r="G2029" i="4"/>
  <c r="G4974" i="4"/>
  <c r="G4853" i="4"/>
  <c r="G4973" i="4"/>
  <c r="G3633" i="4"/>
  <c r="G5581" i="4"/>
  <c r="G4972" i="4"/>
  <c r="G4504" i="4"/>
  <c r="G5580" i="4"/>
  <c r="G4971" i="4"/>
  <c r="G4620" i="4"/>
  <c r="G5579" i="4"/>
  <c r="G5578" i="4"/>
  <c r="G4970" i="4"/>
  <c r="G4969" i="4"/>
  <c r="G4852" i="4"/>
  <c r="G4851" i="4"/>
  <c r="G3674" i="4"/>
  <c r="G4619" i="4"/>
  <c r="G5577" i="4"/>
  <c r="G4968" i="4"/>
  <c r="G4850" i="4"/>
  <c r="G4967" i="4"/>
  <c r="G4597" i="4"/>
  <c r="G5576" i="4"/>
  <c r="G4849" i="4"/>
  <c r="G4848" i="4"/>
  <c r="G4618" i="4"/>
  <c r="G3156" i="4"/>
  <c r="G3757" i="4"/>
  <c r="G3081" i="4"/>
  <c r="G1797" i="4"/>
  <c r="G2645" i="4"/>
  <c r="G3756" i="4"/>
  <c r="G3755" i="4"/>
  <c r="G3754" i="4"/>
  <c r="G4966" i="4"/>
  <c r="G2028" i="4"/>
  <c r="G1354" i="4"/>
  <c r="G1353" i="4"/>
  <c r="G1352" i="4"/>
  <c r="G2027" i="4"/>
  <c r="G710" i="4"/>
  <c r="G240" i="4"/>
  <c r="G1351" i="4"/>
  <c r="G604" i="4"/>
  <c r="G1331" i="4"/>
  <c r="G535" i="4"/>
  <c r="G2026" i="4"/>
  <c r="G70" i="4"/>
  <c r="G280" i="4"/>
  <c r="G689" i="4"/>
  <c r="G33" i="4"/>
  <c r="G339" i="4"/>
  <c r="G2025" i="4"/>
  <c r="G1067" i="4"/>
  <c r="G1021" i="4"/>
  <c r="G83" i="4"/>
  <c r="G1350" i="4"/>
  <c r="G98" i="4"/>
  <c r="G47" i="4"/>
  <c r="G1349" i="4"/>
  <c r="G279" i="4"/>
  <c r="G10" i="4"/>
  <c r="G1036" i="4"/>
  <c r="G2024" i="4"/>
  <c r="G1348" i="4"/>
  <c r="G1066" i="4"/>
  <c r="G1211" i="4"/>
  <c r="G2023" i="4"/>
  <c r="G1716" i="4"/>
  <c r="G2022" i="4"/>
  <c r="G2021" i="4"/>
  <c r="G246" i="4"/>
  <c r="G299" i="4"/>
  <c r="G603" i="4"/>
  <c r="G534" i="4"/>
  <c r="G3155" i="4"/>
  <c r="G4617" i="4"/>
  <c r="G3154" i="4"/>
  <c r="G3753" i="4"/>
  <c r="G1248" i="4"/>
  <c r="G2020" i="4"/>
  <c r="G2871" i="4"/>
  <c r="G2019" i="4"/>
  <c r="G2018" i="4"/>
  <c r="G40" i="4"/>
  <c r="G3752" i="4"/>
  <c r="G3153" i="4"/>
  <c r="G3152" i="4"/>
  <c r="G2017" i="4"/>
  <c r="G3151" i="4"/>
  <c r="G3751" i="4"/>
  <c r="G3750" i="4"/>
  <c r="G2016" i="4"/>
  <c r="G4596" i="4"/>
  <c r="G4965" i="4"/>
  <c r="G4503" i="4"/>
  <c r="G4502" i="4"/>
  <c r="G3749" i="4"/>
  <c r="G4964" i="4"/>
  <c r="G4963" i="4"/>
  <c r="G4962" i="4"/>
  <c r="G4961" i="4"/>
  <c r="G4960" i="4"/>
  <c r="G4959" i="4"/>
  <c r="G4501" i="4"/>
  <c r="G5575" i="4"/>
  <c r="G4958" i="4"/>
  <c r="G4957" i="4"/>
  <c r="G4956" i="4"/>
  <c r="G4955" i="4"/>
  <c r="G4954" i="4"/>
  <c r="G4953" i="4"/>
  <c r="G4847" i="4"/>
  <c r="G4952" i="4"/>
  <c r="G4951" i="4"/>
  <c r="G4950" i="4"/>
  <c r="G4846" i="4"/>
  <c r="G4949" i="4"/>
  <c r="G4948" i="4"/>
  <c r="G1306" i="4"/>
  <c r="G1347" i="4"/>
  <c r="G2908" i="4"/>
  <c r="G3748" i="4"/>
  <c r="G2015" i="4"/>
  <c r="G2687" i="4"/>
  <c r="G2686" i="4"/>
  <c r="G2685" i="4"/>
  <c r="G2907" i="4"/>
  <c r="G1796" i="4"/>
  <c r="G1873" i="4"/>
  <c r="G202" i="4"/>
  <c r="G4616" i="4"/>
  <c r="G3150" i="4"/>
  <c r="G3747" i="4"/>
  <c r="G2684" i="4"/>
  <c r="G2683" i="4"/>
  <c r="G1795" i="4"/>
  <c r="G3149" i="4"/>
  <c r="G2682" i="4"/>
  <c r="G4947" i="4"/>
  <c r="G1665" i="4"/>
  <c r="G2014" i="4"/>
  <c r="G3148" i="4"/>
  <c r="G3147" i="4"/>
  <c r="G3746" i="4"/>
  <c r="G516" i="4"/>
  <c r="G3146" i="4"/>
  <c r="G3145" i="4"/>
  <c r="G4615" i="4"/>
  <c r="G2906" i="4"/>
  <c r="G4500" i="4"/>
  <c r="G677" i="4"/>
  <c r="G3144" i="4"/>
  <c r="G820" i="4"/>
  <c r="G3143" i="4"/>
  <c r="G3142" i="4"/>
  <c r="G3141" i="4"/>
  <c r="G2659" i="4"/>
  <c r="G4614" i="4"/>
  <c r="G3745" i="4"/>
  <c r="G3730" i="4"/>
  <c r="G4946" i="4"/>
  <c r="G1872" i="4"/>
  <c r="G3744" i="4"/>
  <c r="G2013" i="4"/>
  <c r="G5574" i="4"/>
  <c r="G4945" i="4"/>
  <c r="G4944" i="4"/>
  <c r="G1794" i="4"/>
  <c r="G4943" i="4"/>
  <c r="G601" i="4"/>
  <c r="G1034" i="4"/>
  <c r="G324" i="4"/>
  <c r="G3612" i="4"/>
  <c r="G3677" i="4"/>
  <c r="G570" i="4"/>
  <c r="G3140" i="4"/>
  <c r="G2905" i="4"/>
  <c r="G681" i="4"/>
  <c r="G2012" i="4"/>
  <c r="G2011" i="4"/>
  <c r="G3676" i="4"/>
  <c r="G1346" i="4"/>
  <c r="G1305" i="4"/>
  <c r="G460" i="4"/>
  <c r="G101" i="4"/>
  <c r="G2904" i="4"/>
  <c r="G819" i="4"/>
  <c r="G1185" i="4"/>
  <c r="G1972" i="4"/>
  <c r="G4942" i="4"/>
  <c r="G1871" i="4"/>
  <c r="G2010" i="4"/>
  <c r="G1065" i="4"/>
  <c r="G140" i="4"/>
  <c r="G2903" i="4"/>
  <c r="G1215" i="4"/>
  <c r="G2009" i="4"/>
  <c r="G4941" i="4"/>
  <c r="G1658" i="4"/>
  <c r="G1035" i="4"/>
  <c r="G2008" i="4"/>
  <c r="G2681" i="4"/>
  <c r="G2007" i="4"/>
  <c r="G1002" i="4"/>
  <c r="G2006" i="4"/>
  <c r="G3080" i="4"/>
  <c r="G2005" i="4"/>
  <c r="G2004" i="4"/>
  <c r="G3743" i="4"/>
  <c r="G2003" i="4"/>
  <c r="G2002" i="4"/>
  <c r="G3742" i="4"/>
  <c r="G698" i="4"/>
  <c r="G1345" i="4"/>
  <c r="G2902" i="4"/>
  <c r="G358" i="4"/>
  <c r="G1344" i="4"/>
  <c r="G773" i="4"/>
  <c r="G182" i="4"/>
  <c r="G2001" i="4"/>
  <c r="G2000" i="4"/>
  <c r="G818" i="4"/>
  <c r="G817" i="4"/>
  <c r="G197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1343" i="4"/>
  <c r="G1342" i="4"/>
  <c r="G1999" i="4"/>
  <c r="G2680" i="4"/>
  <c r="G3139" i="4"/>
  <c r="G1998" i="4"/>
  <c r="G4499" i="4"/>
  <c r="G3741" i="4"/>
  <c r="G1997" i="4"/>
  <c r="G3138" i="4"/>
  <c r="G3740" i="4"/>
  <c r="G1996" i="4"/>
  <c r="G3137" i="4"/>
  <c r="G1300" i="4"/>
  <c r="G3739" i="4"/>
  <c r="G2901" i="4"/>
  <c r="G1247" i="4"/>
  <c r="G3136" i="4"/>
  <c r="G3135" i="4"/>
  <c r="G4924" i="4"/>
  <c r="G4923" i="4"/>
  <c r="G4613" i="4"/>
  <c r="G4922" i="4"/>
  <c r="G4921" i="4"/>
  <c r="G4920" i="4"/>
  <c r="G4919" i="4"/>
  <c r="G4918" i="4"/>
  <c r="G4917" i="4"/>
  <c r="G4916" i="4"/>
  <c r="G1995" i="4"/>
  <c r="G4915" i="4"/>
  <c r="G421" i="4"/>
  <c r="G4914" i="4"/>
  <c r="G4913" i="4"/>
  <c r="G1994" i="4"/>
  <c r="G3134" i="4"/>
  <c r="G4912" i="4"/>
  <c r="G1993" i="4"/>
  <c r="G4911" i="4"/>
  <c r="G4910" i="4"/>
  <c r="G4909" i="4"/>
  <c r="G3738" i="4"/>
  <c r="G533" i="4"/>
  <c r="G4908" i="4"/>
  <c r="G1341" i="4"/>
  <c r="G4907" i="4"/>
  <c r="G1340" i="4"/>
  <c r="G223" i="4"/>
  <c r="G4906" i="4"/>
  <c r="G4905" i="4"/>
  <c r="G4904" i="4"/>
  <c r="G4903" i="4"/>
  <c r="G4902" i="4"/>
  <c r="G4901" i="4"/>
  <c r="G4612" i="4"/>
  <c r="G4900" i="4"/>
  <c r="G4899" i="4"/>
  <c r="G3062" i="4"/>
  <c r="G4898" i="4"/>
  <c r="G3632" i="4"/>
  <c r="G4897" i="4"/>
  <c r="G4595" i="4"/>
  <c r="G1965" i="4"/>
  <c r="G4611" i="4"/>
  <c r="G4896" i="4"/>
  <c r="G4895" i="4"/>
  <c r="G4610" i="4"/>
  <c r="G4894" i="4"/>
  <c r="G4893" i="4"/>
  <c r="G4892" i="4"/>
  <c r="G4891" i="4"/>
  <c r="G4890" i="4"/>
  <c r="G3737" i="4"/>
  <c r="G4609" i="4"/>
  <c r="G5573" i="4"/>
  <c r="G4594" i="4"/>
  <c r="G4889" i="4"/>
  <c r="G4888" i="4"/>
  <c r="G4887" i="4"/>
  <c r="G4438" i="4"/>
  <c r="G4593" i="4"/>
  <c r="G4886" i="4"/>
  <c r="G4885" i="4"/>
  <c r="G4608" i="4"/>
  <c r="G4884" i="4"/>
  <c r="G5572" i="4"/>
  <c r="G4883" i="4"/>
  <c r="G4882" i="4"/>
  <c r="G4881" i="4"/>
  <c r="G4880" i="4"/>
  <c r="G4879" i="4"/>
  <c r="G3636" i="4"/>
  <c r="G4878" i="4"/>
  <c r="G4877" i="4"/>
  <c r="G4607" i="4"/>
  <c r="G4876" i="4"/>
  <c r="G4875" i="4"/>
  <c r="G5571" i="4"/>
  <c r="G4874" i="4"/>
  <c r="G4873" i="4"/>
  <c r="G4872" i="4"/>
  <c r="G4871" i="4"/>
  <c r="G4870" i="4"/>
  <c r="G4498" i="4"/>
  <c r="G4606" i="4"/>
  <c r="G999" i="4"/>
  <c r="G1987" i="4"/>
  <c r="G4592" i="4"/>
  <c r="G4869" i="4"/>
  <c r="G4437" i="4"/>
  <c r="G4868" i="4"/>
  <c r="G4867" i="4"/>
  <c r="G3079" i="4"/>
  <c r="G1855" i="4"/>
  <c r="G3736" i="4"/>
  <c r="G4605" i="4"/>
  <c r="G2900" i="4"/>
  <c r="G3613" i="4"/>
  <c r="G3735" i="4"/>
  <c r="G4497" i="4"/>
  <c r="G2899" i="4"/>
  <c r="G2898" i="4"/>
  <c r="G4604" i="4"/>
  <c r="G3734" i="4"/>
  <c r="G3733" i="4"/>
  <c r="G4603" i="4"/>
  <c r="G4866" i="4"/>
  <c r="G4602" i="4"/>
  <c r="G3635" i="4"/>
  <c r="G1992" i="4"/>
  <c r="G11" i="4"/>
  <c r="G816" i="4"/>
  <c r="G1246" i="4"/>
  <c r="G1715" i="4"/>
  <c r="G181" i="4"/>
  <c r="G4865" i="4"/>
  <c r="G4864" i="4"/>
  <c r="G4863" i="4"/>
  <c r="G4862" i="4"/>
  <c r="G4861" i="4"/>
  <c r="G1714" i="4"/>
  <c r="G1991" i="4"/>
  <c r="G4601" i="4"/>
  <c r="G4600" i="4"/>
  <c r="G532" i="4"/>
  <c r="G1064" i="4"/>
  <c r="G1990" i="4"/>
  <c r="G222" i="4"/>
  <c r="G148" i="4"/>
  <c r="G1989" i="4"/>
  <c r="G1988" i="4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O251" i="3" s="1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O391" i="3" s="1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O72" i="3" s="1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O442" i="3" s="1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O457" i="3" s="1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O356" i="3" s="1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O449" i="3" s="1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O211" i="3" s="1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O349" i="3" s="1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O155" i="3" s="1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O109" i="3" s="1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N2" i="3"/>
  <c r="M2" i="3"/>
  <c r="L2" i="3"/>
  <c r="K2" i="3"/>
  <c r="J2" i="3"/>
  <c r="I2" i="3"/>
  <c r="H2" i="3"/>
  <c r="G2" i="3"/>
  <c r="F2" i="3"/>
  <c r="E2" i="3"/>
  <c r="D2" i="3"/>
  <c r="C2" i="3"/>
  <c r="B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O483" i="3" s="1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O23" i="3" s="1"/>
  <c r="N7" i="3"/>
  <c r="M7" i="3"/>
  <c r="L7" i="3"/>
  <c r="K7" i="3"/>
  <c r="J7" i="3"/>
  <c r="I7" i="3"/>
  <c r="H7" i="3"/>
  <c r="G7" i="3"/>
  <c r="F7" i="3"/>
  <c r="E7" i="3"/>
  <c r="D7" i="3"/>
  <c r="C7" i="3"/>
  <c r="B7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N8" i="3"/>
  <c r="M8" i="3"/>
  <c r="L8" i="3"/>
  <c r="K8" i="3"/>
  <c r="J8" i="3"/>
  <c r="I8" i="3"/>
  <c r="H8" i="3"/>
  <c r="G8" i="3"/>
  <c r="F8" i="3"/>
  <c r="E8" i="3"/>
  <c r="D8" i="3"/>
  <c r="C8" i="3"/>
  <c r="B8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O299" i="3" s="1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O448" i="3" s="1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O500" i="3" s="1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O409" i="3" s="1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O13" i="3" s="1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O499" i="3" s="1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O408" i="3" s="1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O307" i="3" s="1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O142" i="3" s="1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O351" i="3" s="1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N9" i="3"/>
  <c r="M9" i="3"/>
  <c r="L9" i="3"/>
  <c r="K9" i="3"/>
  <c r="J9" i="3"/>
  <c r="I9" i="3"/>
  <c r="H9" i="3"/>
  <c r="G9" i="3"/>
  <c r="F9" i="3"/>
  <c r="E9" i="3"/>
  <c r="D9" i="3"/>
  <c r="C9" i="3"/>
  <c r="B9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O85" i="3" s="1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O478" i="3" s="1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O115" i="3" s="1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O498" i="3" s="1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O119" i="3" s="1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O305" i="3" s="1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O87" i="3" s="1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O303" i="3" s="1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O543" i="3" s="1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O255" i="3" s="1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O241" i="3" s="1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O279" i="3" s="1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O276" i="3" s="1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O53" i="3" s="1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O166" i="3" s="1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O348" i="3" s="1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O495" i="3" s="1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O504" i="3" s="1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O295" i="3" s="1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O261" i="3" s="1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O95" i="3" s="1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O32" i="3" s="1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N4" i="3"/>
  <c r="M4" i="3"/>
  <c r="L4" i="3"/>
  <c r="K4" i="3"/>
  <c r="J4" i="3"/>
  <c r="I4" i="3"/>
  <c r="H4" i="3"/>
  <c r="G4" i="3"/>
  <c r="F4" i="3"/>
  <c r="E4" i="3"/>
  <c r="D4" i="3"/>
  <c r="C4" i="3"/>
  <c r="B4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O323" i="3" s="1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N5" i="3"/>
  <c r="M5" i="3"/>
  <c r="L5" i="3"/>
  <c r="K5" i="3"/>
  <c r="J5" i="3"/>
  <c r="I5" i="3"/>
  <c r="H5" i="3"/>
  <c r="G5" i="3"/>
  <c r="F5" i="3"/>
  <c r="E5" i="3"/>
  <c r="D5" i="3"/>
  <c r="C5" i="3"/>
  <c r="B5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O158" i="3" s="1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O114" i="3" s="1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O131" i="3" s="1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O246" i="3" s="1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O118" i="3" s="1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N3" i="3"/>
  <c r="M3" i="3"/>
  <c r="L3" i="3"/>
  <c r="K3" i="3"/>
  <c r="J3" i="3"/>
  <c r="I3" i="3"/>
  <c r="H3" i="3"/>
  <c r="G3" i="3"/>
  <c r="F3" i="3"/>
  <c r="E3" i="3"/>
  <c r="D3" i="3"/>
  <c r="C3" i="3"/>
  <c r="B3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O146" i="3" s="1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O337" i="3" s="1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O562" i="3" s="1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O113" i="3" s="1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O332" i="3" s="1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O394" i="3" s="1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O523" i="3" s="1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O331" i="3" s="1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O420" i="3" s="1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O91" i="3" s="1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O418" i="3" s="1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O440" i="3" s="1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O486" i="3" s="1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O310" i="3" s="1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O108" i="3" s="1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O360" i="3" s="1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O439" i="3" s="1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N6" i="3"/>
  <c r="M6" i="3"/>
  <c r="L6" i="3"/>
  <c r="K6" i="3"/>
  <c r="J6" i="3"/>
  <c r="I6" i="3"/>
  <c r="H6" i="3"/>
  <c r="G6" i="3"/>
  <c r="F6" i="3"/>
  <c r="E6" i="3"/>
  <c r="D6" i="3"/>
  <c r="C6" i="3"/>
  <c r="B6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O415" i="3" s="1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O96" i="3" s="1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O463" i="3" s="1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O413" i="3" s="1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O239" i="3" l="1"/>
  <c r="O206" i="3"/>
  <c r="O173" i="3"/>
  <c r="O107" i="3"/>
  <c r="O248" i="3"/>
  <c r="O550" i="3"/>
  <c r="O152" i="3"/>
  <c r="O218" i="3"/>
  <c r="O559" i="3"/>
  <c r="O458" i="3"/>
  <c r="O209" i="3"/>
  <c r="O335" i="3"/>
  <c r="O377" i="3"/>
  <c r="O244" i="3"/>
  <c r="O161" i="3"/>
  <c r="O123" i="3"/>
  <c r="O264" i="3"/>
  <c r="O174" i="3"/>
  <c r="O252" i="3"/>
  <c r="O94" i="3"/>
  <c r="O140" i="3"/>
  <c r="O242" i="3"/>
  <c r="O194" i="3"/>
  <c r="O15" i="3"/>
  <c r="O552" i="3"/>
  <c r="O76" i="3"/>
  <c r="O237" i="3"/>
  <c r="O553" i="3"/>
  <c r="O361" i="3"/>
  <c r="O103" i="3"/>
  <c r="O3" i="3"/>
  <c r="O490" i="3"/>
  <c r="O247" i="3"/>
  <c r="O51" i="3"/>
  <c r="O89" i="3"/>
  <c r="O352" i="3"/>
  <c r="O395" i="3"/>
  <c r="O563" i="3"/>
  <c r="O426" i="3"/>
  <c r="O120" i="3"/>
  <c r="O26" i="3"/>
  <c r="O369" i="3"/>
  <c r="O100" i="3"/>
  <c r="O474" i="3"/>
  <c r="O301" i="3"/>
  <c r="O197" i="3"/>
  <c r="O143" i="3"/>
  <c r="O186" i="3"/>
  <c r="O319" i="3"/>
  <c r="O240" i="3"/>
  <c r="O532" i="3"/>
  <c r="O147" i="3"/>
  <c r="O533" i="3"/>
  <c r="O148" i="3"/>
  <c r="O200" i="3"/>
  <c r="O538" i="3"/>
  <c r="O215" i="3"/>
  <c r="O145" i="3"/>
  <c r="O414" i="3"/>
  <c r="O383" i="3"/>
  <c r="O376" i="3"/>
  <c r="O443" i="3"/>
  <c r="O139" i="3"/>
  <c r="O149" i="3"/>
  <c r="O400" i="3"/>
  <c r="O487" i="3"/>
  <c r="O54" i="3"/>
  <c r="O545" i="3"/>
  <c r="O308" i="3"/>
  <c r="O345" i="3"/>
  <c r="O524" i="3"/>
  <c r="O378" i="3"/>
  <c r="O461" i="3"/>
  <c r="O398" i="3"/>
  <c r="O10" i="3"/>
  <c r="O199" i="3"/>
  <c r="O329" i="3"/>
  <c r="O364" i="3"/>
  <c r="O527" i="3"/>
  <c r="O33" i="3"/>
  <c r="O429" i="3"/>
  <c r="O213" i="3"/>
  <c r="O385" i="3"/>
  <c r="O374" i="3"/>
  <c r="O517" i="3"/>
  <c r="O315" i="3"/>
  <c r="O551" i="3"/>
  <c r="O208" i="3"/>
  <c r="O403" i="3"/>
  <c r="O519" i="3"/>
  <c r="O542" i="3"/>
  <c r="O372" i="3"/>
  <c r="O316" i="3"/>
  <c r="O434" i="3"/>
  <c r="O534" i="3"/>
  <c r="O334" i="3"/>
  <c r="O269" i="3"/>
  <c r="O163" i="3"/>
  <c r="O535" i="3"/>
  <c r="O127" i="3"/>
  <c r="O141" i="3"/>
  <c r="O506" i="3"/>
  <c r="O117" i="3"/>
  <c r="O437" i="3"/>
  <c r="O453" i="3"/>
  <c r="O544" i="3"/>
  <c r="O536" i="3"/>
  <c r="O235" i="3"/>
  <c r="O454" i="3"/>
  <c r="O558" i="3"/>
  <c r="O503" i="3"/>
  <c r="O220" i="3"/>
  <c r="O459" i="3"/>
  <c r="O219" i="3"/>
  <c r="O44" i="3"/>
  <c r="O359" i="3"/>
  <c r="O17" i="3"/>
  <c r="O282" i="3"/>
  <c r="O188" i="3"/>
  <c r="O68" i="3"/>
  <c r="O468" i="3"/>
  <c r="O508" i="3"/>
  <c r="O136" i="3"/>
  <c r="O249" i="3"/>
  <c r="O417" i="3"/>
  <c r="O67" i="3"/>
  <c r="O410" i="3"/>
  <c r="O321" i="3"/>
  <c r="O167" i="3"/>
  <c r="O170" i="3"/>
  <c r="O137" i="3"/>
  <c r="O216" i="3"/>
  <c r="O401" i="3"/>
  <c r="O245" i="3"/>
  <c r="O243" i="3"/>
  <c r="O176" i="3"/>
  <c r="O480" i="3"/>
  <c r="O195" i="3"/>
  <c r="O258" i="3"/>
  <c r="O259" i="3"/>
  <c r="O405" i="3"/>
  <c r="O84" i="3"/>
  <c r="O99" i="3"/>
  <c r="O296" i="3"/>
  <c r="O225" i="3"/>
  <c r="O11" i="3"/>
  <c r="O217" i="3"/>
  <c r="O25" i="3"/>
  <c r="O56" i="3"/>
  <c r="O444" i="3"/>
  <c r="O430" i="3"/>
  <c r="O318" i="3"/>
  <c r="O476" i="3"/>
  <c r="O370" i="3"/>
  <c r="O518" i="3"/>
  <c r="O175" i="3"/>
  <c r="O481" i="3"/>
  <c r="O29" i="3"/>
  <c r="O354" i="3"/>
  <c r="O302" i="3"/>
  <c r="O278" i="3"/>
  <c r="O291" i="3"/>
  <c r="O304" i="3"/>
  <c r="O150" i="3"/>
  <c r="O160" i="3"/>
  <c r="O49" i="3"/>
  <c r="O289" i="3"/>
  <c r="O271" i="3"/>
  <c r="O171" i="3"/>
  <c r="O404" i="3"/>
  <c r="O393" i="3"/>
  <c r="O42" i="3"/>
  <c r="O184" i="3"/>
  <c r="O154" i="3"/>
  <c r="O2" i="3"/>
  <c r="O193" i="3"/>
  <c r="O128" i="3"/>
  <c r="O317" i="3"/>
  <c r="O43" i="3"/>
  <c r="O180" i="3"/>
  <c r="O50" i="3"/>
  <c r="O505" i="3"/>
  <c r="O116" i="3"/>
  <c r="O485" i="3"/>
  <c r="O6" i="3"/>
  <c r="O75" i="3"/>
  <c r="O274" i="3"/>
  <c r="O64" i="3"/>
  <c r="O224" i="3"/>
  <c r="O465" i="3"/>
  <c r="O38" i="3"/>
  <c r="O62" i="3"/>
  <c r="O63" i="3"/>
  <c r="O46" i="3"/>
  <c r="O104" i="3"/>
  <c r="O281" i="3"/>
  <c r="O189" i="3"/>
  <c r="O421" i="3"/>
  <c r="O488" i="3"/>
  <c r="O169" i="3"/>
  <c r="O156" i="3"/>
  <c r="O346" i="3"/>
  <c r="O424" i="3"/>
  <c r="O93" i="3"/>
  <c r="O338" i="3"/>
  <c r="O386" i="3"/>
  <c r="O427" i="3"/>
  <c r="O469" i="3"/>
  <c r="O69" i="3"/>
  <c r="O28" i="3"/>
  <c r="O379" i="3"/>
  <c r="O165" i="3"/>
  <c r="O102" i="3"/>
  <c r="O529" i="3"/>
  <c r="O47" i="3"/>
  <c r="O283" i="3"/>
  <c r="O479" i="3"/>
  <c r="O61" i="3"/>
  <c r="O566" i="3"/>
  <c r="O494" i="3"/>
  <c r="O371" i="3"/>
  <c r="O431" i="3"/>
  <c r="O90" i="3"/>
  <c r="O353" i="3"/>
  <c r="O327" i="3"/>
  <c r="O446" i="3"/>
  <c r="O390" i="3"/>
  <c r="O406" i="3"/>
  <c r="O204" i="3"/>
  <c r="O482" i="3"/>
  <c r="O407" i="3"/>
  <c r="O569" i="3"/>
  <c r="O97" i="3"/>
  <c r="O187" i="3"/>
  <c r="O88" i="3"/>
  <c r="O238" i="3"/>
  <c r="O438" i="3"/>
  <c r="O233" i="3"/>
  <c r="O7" i="3"/>
  <c r="O110" i="3"/>
  <c r="O81" i="3"/>
  <c r="O92" i="3"/>
  <c r="O373" i="3"/>
  <c r="O270" i="3"/>
  <c r="O52" i="3"/>
  <c r="O191" i="3"/>
  <c r="O277" i="3"/>
  <c r="O214" i="3"/>
  <c r="O388" i="3"/>
  <c r="O416" i="3"/>
  <c r="O340" i="3"/>
  <c r="O399" i="3"/>
  <c r="O343" i="3"/>
  <c r="O212" i="3"/>
  <c r="O221" i="3"/>
  <c r="O168" i="3"/>
  <c r="O344" i="3"/>
  <c r="O57" i="3"/>
  <c r="O522" i="3"/>
  <c r="O412" i="3"/>
  <c r="O382" i="3"/>
  <c r="O475" i="3"/>
  <c r="O466" i="3"/>
  <c r="O460" i="3"/>
  <c r="O422" i="3"/>
  <c r="O126" i="3"/>
  <c r="O423" i="3"/>
  <c r="O22" i="3"/>
  <c r="O509" i="3"/>
  <c r="O336" i="3"/>
  <c r="O234" i="3"/>
  <c r="O425" i="3"/>
  <c r="O294" i="3"/>
  <c r="O515" i="3"/>
  <c r="O5" i="3"/>
  <c r="O121" i="3"/>
  <c r="O366" i="3"/>
  <c r="O66" i="3"/>
  <c r="O510" i="3"/>
  <c r="O182" i="3"/>
  <c r="O402" i="3"/>
  <c r="O547" i="3"/>
  <c r="O21" i="3"/>
  <c r="O548" i="3"/>
  <c r="O266" i="3"/>
  <c r="O312" i="3"/>
  <c r="O493" i="3"/>
  <c r="O555" i="3"/>
  <c r="O284" i="3"/>
  <c r="O201" i="3"/>
  <c r="O531" i="3"/>
  <c r="O556" i="3"/>
  <c r="O397" i="3"/>
  <c r="O472" i="3"/>
  <c r="O520" i="3"/>
  <c r="O178" i="3"/>
  <c r="O433" i="3"/>
  <c r="O396" i="3"/>
  <c r="O159" i="3"/>
  <c r="O122" i="3"/>
  <c r="O157" i="3"/>
  <c r="O229" i="3"/>
  <c r="O9" i="3"/>
  <c r="O257" i="3"/>
  <c r="O60" i="3"/>
  <c r="O357" i="3"/>
  <c r="O473" i="3"/>
  <c r="O14" i="3"/>
  <c r="O501" i="3"/>
  <c r="O73" i="3"/>
  <c r="O263" i="3"/>
  <c r="O287" i="3"/>
  <c r="O328" i="3"/>
  <c r="O111" i="3"/>
  <c r="O560" i="3"/>
  <c r="O450" i="3"/>
  <c r="O507" i="3"/>
  <c r="O521" i="3"/>
  <c r="O561" i="3"/>
  <c r="O236" i="3"/>
  <c r="O196" i="3"/>
  <c r="O16" i="3"/>
  <c r="O192" i="3"/>
  <c r="O275" i="3"/>
  <c r="O355" i="3"/>
  <c r="O419" i="3"/>
  <c r="O230" i="3"/>
  <c r="O58" i="3"/>
  <c r="O125" i="3"/>
  <c r="O183" i="3"/>
  <c r="O162" i="3"/>
  <c r="O525" i="3"/>
  <c r="O151" i="3"/>
  <c r="O138" i="3"/>
  <c r="O363" i="3"/>
  <c r="O451" i="3"/>
  <c r="O546" i="3"/>
  <c r="O462" i="3"/>
  <c r="O41" i="3"/>
  <c r="O325" i="3"/>
  <c r="O293" i="3"/>
  <c r="O512" i="3"/>
  <c r="O55" i="3"/>
  <c r="O326" i="3"/>
  <c r="O210" i="3"/>
  <c r="O290" i="3"/>
  <c r="O112" i="3"/>
  <c r="O567" i="3"/>
  <c r="O384" i="3"/>
  <c r="O432" i="3"/>
  <c r="O280" i="3"/>
  <c r="O285" i="3"/>
  <c r="O381" i="3"/>
  <c r="O253" i="3"/>
  <c r="O436" i="3"/>
  <c r="O190" i="3"/>
  <c r="O306" i="3"/>
  <c r="O172" i="3"/>
  <c r="O452" i="3"/>
  <c r="O130" i="3"/>
  <c r="O31" i="3"/>
  <c r="O568" i="3"/>
  <c r="O557" i="3"/>
  <c r="O330" i="3"/>
  <c r="O286" i="3"/>
  <c r="O8" i="3"/>
  <c r="O19" i="3"/>
  <c r="O222" i="3"/>
  <c r="O135" i="3"/>
  <c r="O320" i="3"/>
  <c r="O358" i="3"/>
  <c r="O537" i="3"/>
  <c r="O447" i="3"/>
  <c r="O40" i="3"/>
  <c r="O105" i="3"/>
  <c r="O106" i="3"/>
  <c r="O37" i="3"/>
  <c r="O484" i="3"/>
  <c r="O313" i="3"/>
  <c r="O153" i="3"/>
  <c r="O227" i="3"/>
  <c r="O256" i="3"/>
  <c r="O83" i="3"/>
  <c r="O464" i="3"/>
  <c r="O314" i="3"/>
  <c r="O265" i="3"/>
  <c r="O539" i="3"/>
  <c r="O78" i="3"/>
  <c r="O35" i="3"/>
  <c r="O309" i="3"/>
  <c r="O514" i="3"/>
  <c r="O12" i="3"/>
  <c r="O288" i="3"/>
  <c r="O526" i="3"/>
  <c r="O362" i="3"/>
  <c r="O489" i="3"/>
  <c r="O322" i="3"/>
  <c r="O260" i="3"/>
  <c r="O74" i="3"/>
  <c r="O411" i="3"/>
  <c r="O134" i="3"/>
  <c r="O365" i="3"/>
  <c r="O98" i="3"/>
  <c r="O70" i="3"/>
  <c r="O179" i="3"/>
  <c r="O554" i="3"/>
  <c r="O528" i="3"/>
  <c r="O564" i="3"/>
  <c r="O367" i="3"/>
  <c r="O202" i="3"/>
  <c r="O177" i="3"/>
  <c r="O34" i="3"/>
  <c r="O86" i="3"/>
  <c r="O477" i="3"/>
  <c r="O389" i="3"/>
  <c r="O471" i="3"/>
  <c r="O496" i="3"/>
  <c r="O79" i="3"/>
  <c r="O513" i="3"/>
  <c r="O549" i="3"/>
  <c r="O435" i="3"/>
  <c r="O497" i="3"/>
  <c r="O273" i="3"/>
  <c r="O232" i="3"/>
  <c r="O36" i="3"/>
  <c r="O39" i="3"/>
  <c r="O80" i="3"/>
  <c r="O226" i="3"/>
  <c r="O129" i="3"/>
  <c r="O341" i="3"/>
  <c r="O45" i="3"/>
  <c r="O502" i="3"/>
  <c r="O132" i="3"/>
  <c r="O387" i="3"/>
  <c r="O455" i="3"/>
  <c r="O24" i="3"/>
  <c r="O456" i="3"/>
  <c r="O48" i="3"/>
  <c r="O350" i="3"/>
  <c r="O262" i="3"/>
  <c r="O203" i="3"/>
  <c r="O339" i="3"/>
  <c r="O77" i="3"/>
  <c r="O347" i="3"/>
  <c r="O268" i="3"/>
  <c r="O254" i="3"/>
  <c r="O272" i="3"/>
  <c r="O492" i="3"/>
  <c r="O333" i="3"/>
  <c r="O392" i="3"/>
  <c r="O441" i="3"/>
  <c r="O267" i="3"/>
  <c r="O292" i="3"/>
  <c r="O311" i="3"/>
  <c r="O27" i="3"/>
  <c r="O368" i="3"/>
  <c r="O445" i="3"/>
  <c r="O511" i="3"/>
  <c r="O300" i="3"/>
  <c r="O4" i="3"/>
  <c r="O565" i="3"/>
  <c r="O380" i="3"/>
  <c r="O164" i="3"/>
  <c r="O470" i="3"/>
  <c r="O82" i="3"/>
  <c r="O428" i="3"/>
  <c r="O207" i="3"/>
  <c r="O228" i="3"/>
  <c r="O324" i="3"/>
  <c r="O181" i="3"/>
  <c r="O530" i="3"/>
  <c r="O65" i="3"/>
  <c r="O198" i="3"/>
  <c r="O101" i="3"/>
  <c r="O30" i="3"/>
  <c r="O205" i="3"/>
  <c r="O298" i="3"/>
  <c r="O124" i="3"/>
  <c r="O297" i="3"/>
  <c r="O133" i="3"/>
  <c r="O71" i="3"/>
  <c r="O223" i="3"/>
  <c r="O59" i="3"/>
  <c r="O541" i="3"/>
  <c r="O540" i="3"/>
  <c r="O20" i="3"/>
  <c r="O18" i="3"/>
  <c r="O342" i="3"/>
  <c r="O516" i="3"/>
  <c r="O375" i="3"/>
  <c r="O185" i="3"/>
  <c r="O250" i="3"/>
  <c r="O231" i="3"/>
  <c r="O491" i="3"/>
  <c r="O144" i="3"/>
  <c r="O467" i="3"/>
</calcChain>
</file>

<file path=xl/sharedStrings.xml><?xml version="1.0" encoding="utf-8"?>
<sst xmlns="http://schemas.openxmlformats.org/spreadsheetml/2006/main" count="44345" uniqueCount="2632">
  <si>
    <t>Customer</t>
  </si>
  <si>
    <t>Product</t>
  </si>
  <si>
    <t>Product Code</t>
  </si>
  <si>
    <t>Year</t>
  </si>
  <si>
    <t>Quantity (KG)</t>
  </si>
  <si>
    <t>Sales (AED, Ex VAT)</t>
  </si>
  <si>
    <t>Sales (AED, Incl VAT)</t>
  </si>
  <si>
    <t>Formulation</t>
  </si>
  <si>
    <t>A N D Global General Trading</t>
  </si>
  <si>
    <t>Downy Blue</t>
  </si>
  <si>
    <t>C781236- 5</t>
  </si>
  <si>
    <t>90% magic blue///warda 10%//than make 60%oil</t>
  </si>
  <si>
    <t>Wild Poppy</t>
  </si>
  <si>
    <t>A231710</t>
  </si>
  <si>
    <t>Crystal</t>
  </si>
  <si>
    <t>ABC International Ltd</t>
  </si>
  <si>
    <t>Black Rose</t>
  </si>
  <si>
    <t>A295987</t>
  </si>
  <si>
    <t>Pure</t>
  </si>
  <si>
    <t>Lavender</t>
  </si>
  <si>
    <t>A232126</t>
  </si>
  <si>
    <t>Lemon Top</t>
  </si>
  <si>
    <t>A231709</t>
  </si>
  <si>
    <t>ABS Lubricants</t>
  </si>
  <si>
    <t>Crown Lube</t>
  </si>
  <si>
    <t>A249720</t>
  </si>
  <si>
    <t>Flouramax</t>
  </si>
  <si>
    <t>A270578</t>
  </si>
  <si>
    <t>Flourescent Green Powder</t>
  </si>
  <si>
    <t>Flourescent Green Powder A-01</t>
  </si>
  <si>
    <t>Pineapple</t>
  </si>
  <si>
    <t>A234248</t>
  </si>
  <si>
    <t>Solvent Red 234</t>
  </si>
  <si>
    <t>AST Perfumes</t>
  </si>
  <si>
    <t>Caramel Powder Detergents</t>
  </si>
  <si>
    <t>Farbo Cos Pink AFCI-140318</t>
  </si>
  <si>
    <t>Powder Green GP</t>
  </si>
  <si>
    <t>Tattrazine Powder WS</t>
  </si>
  <si>
    <t>ATM Industries</t>
  </si>
  <si>
    <t>Flourescent Green Liquid</t>
  </si>
  <si>
    <t>AXCL Gulf Lubricants FZE</t>
  </si>
  <si>
    <t>Lemon</t>
  </si>
  <si>
    <t>A241225</t>
  </si>
  <si>
    <t>Lemon CL 1453 ECON</t>
  </si>
  <si>
    <t>A232425</t>
  </si>
  <si>
    <t>Solvent Blue 98</t>
  </si>
  <si>
    <t>Strawberry</t>
  </si>
  <si>
    <t>A233442</t>
  </si>
  <si>
    <t>Strawberry Silver</t>
  </si>
  <si>
    <t>Abdul Ghafoor Group/ Diesel Trading</t>
  </si>
  <si>
    <t>Abdul Hamid Perfumes LLC</t>
  </si>
  <si>
    <t>0022 BM (Brown Orchid) C</t>
  </si>
  <si>
    <t>P08232</t>
  </si>
  <si>
    <t>Agsa</t>
  </si>
  <si>
    <t>A339522</t>
  </si>
  <si>
    <t>Baccarat Rouge 540 56099</t>
  </si>
  <si>
    <t>Fidji by Guy Larorche (F)</t>
  </si>
  <si>
    <t>A241586</t>
  </si>
  <si>
    <t>Fidji by Guy Larorche (F) A241586/</t>
  </si>
  <si>
    <t>A415883</t>
  </si>
  <si>
    <t>Into The Blue</t>
  </si>
  <si>
    <t>A281055</t>
  </si>
  <si>
    <t>Lemon Special</t>
  </si>
  <si>
    <t>A242640</t>
  </si>
  <si>
    <t>Lemon Squeeze</t>
  </si>
  <si>
    <t>A233711</t>
  </si>
  <si>
    <t>Mukhalat Agsa A339522/</t>
  </si>
  <si>
    <t>A415886</t>
  </si>
  <si>
    <t>Orange</t>
  </si>
  <si>
    <t>A233444</t>
  </si>
  <si>
    <t>Silver Scent</t>
  </si>
  <si>
    <t>A349425</t>
  </si>
  <si>
    <t>So Oud</t>
  </si>
  <si>
    <t>A295591</t>
  </si>
  <si>
    <t>Splendor</t>
  </si>
  <si>
    <t>A338959</t>
  </si>
  <si>
    <t>True Coffee Flavour</t>
  </si>
  <si>
    <t>A258696</t>
  </si>
  <si>
    <t>Abdul Kalam Oud &amp; Perfume</t>
  </si>
  <si>
    <t>Adorable Woman</t>
  </si>
  <si>
    <t>A245190</t>
  </si>
  <si>
    <t>African Leather 19-0001532</t>
  </si>
  <si>
    <t>Amouge Interlude</t>
  </si>
  <si>
    <t>A295406</t>
  </si>
  <si>
    <t>Attar Mubhakar</t>
  </si>
  <si>
    <t>A273820</t>
  </si>
  <si>
    <t>Bakhour Jebel Ali</t>
  </si>
  <si>
    <t>A322649</t>
  </si>
  <si>
    <t>Body by Burberry (F) C</t>
  </si>
  <si>
    <t>P00861</t>
  </si>
  <si>
    <t>Class II</t>
  </si>
  <si>
    <t>A282275</t>
  </si>
  <si>
    <t>Eau De Cologne</t>
  </si>
  <si>
    <t>A241469</t>
  </si>
  <si>
    <t>Escentric Molecule 010 by Molecules (M) 42796</t>
  </si>
  <si>
    <t>Fendi Man</t>
  </si>
  <si>
    <t>A238385</t>
  </si>
  <si>
    <t>Frash 13</t>
  </si>
  <si>
    <t>A268070</t>
  </si>
  <si>
    <t>Golden Dust</t>
  </si>
  <si>
    <t>A234876</t>
  </si>
  <si>
    <t>Harris (So Oud Premium)</t>
  </si>
  <si>
    <t>A283876</t>
  </si>
  <si>
    <t>Jannat Al Firdaus</t>
  </si>
  <si>
    <t>A245955</t>
  </si>
  <si>
    <t>La Nuit Tresor by Lancome (F) C</t>
  </si>
  <si>
    <t>P19684</t>
  </si>
  <si>
    <t>A331329</t>
  </si>
  <si>
    <t>Leathery Oud (M)</t>
  </si>
  <si>
    <t>A329793</t>
  </si>
  <si>
    <t>Lemon Zeste</t>
  </si>
  <si>
    <t>A298567</t>
  </si>
  <si>
    <t>MIB C</t>
  </si>
  <si>
    <t>P16046</t>
  </si>
  <si>
    <t>Mango</t>
  </si>
  <si>
    <t>A249179</t>
  </si>
  <si>
    <t>Mannequin (F) C</t>
  </si>
  <si>
    <t>Maryam A347816/</t>
  </si>
  <si>
    <t>A403816</t>
  </si>
  <si>
    <t>Maydan 69478</t>
  </si>
  <si>
    <t>Mukhalat</t>
  </si>
  <si>
    <t>A292908</t>
  </si>
  <si>
    <t>Mukhalat Maysoon</t>
  </si>
  <si>
    <t>A273819</t>
  </si>
  <si>
    <t>Mukhalat Nizar 7312-9104/V/13</t>
  </si>
  <si>
    <t>Musk Silk by Ajmal 58249</t>
  </si>
  <si>
    <t>Musk Tahara Copper BW2019-2</t>
  </si>
  <si>
    <t>Musk Tahara Gold 19-0001415</t>
  </si>
  <si>
    <t>Musk Tahara Silver BW2019-4</t>
  </si>
  <si>
    <t>NB Touch Me 53995</t>
  </si>
  <si>
    <t>Night Lingot C</t>
  </si>
  <si>
    <t>Nude by Rasasi</t>
  </si>
  <si>
    <t>A293577</t>
  </si>
  <si>
    <t>Ombre Leather by Tom Ford (U)</t>
  </si>
  <si>
    <t>A405052</t>
  </si>
  <si>
    <t>One In A Million</t>
  </si>
  <si>
    <t>A241029</t>
  </si>
  <si>
    <t>Pacific Paradise</t>
  </si>
  <si>
    <t>A243394</t>
  </si>
  <si>
    <t>Parabiago Intense Men 18-0002335</t>
  </si>
  <si>
    <t>Polo (M)</t>
  </si>
  <si>
    <t>A246793</t>
  </si>
  <si>
    <t>Positive Attitude C</t>
  </si>
  <si>
    <t>P08499</t>
  </si>
  <si>
    <t>RC Black (F) C</t>
  </si>
  <si>
    <t>P08976</t>
  </si>
  <si>
    <t>Red Tobacco by Mancera (F) 66507</t>
  </si>
  <si>
    <t>40% oil &amp; 60 % DPG</t>
  </si>
  <si>
    <t>Sheikh Abdullah by Hind Al Oud 67976 (Gold)</t>
  </si>
  <si>
    <t>Sports Man</t>
  </si>
  <si>
    <t>A297626</t>
  </si>
  <si>
    <t>Sweet Musk A286825/</t>
  </si>
  <si>
    <t>A419379</t>
  </si>
  <si>
    <t>Ward Taifi</t>
  </si>
  <si>
    <t>A234651</t>
  </si>
  <si>
    <t>Watermelon &amp; Papaya</t>
  </si>
  <si>
    <t>A299988</t>
  </si>
  <si>
    <t>White Amber A</t>
  </si>
  <si>
    <t>F15632</t>
  </si>
  <si>
    <t>White Toon THG 21726/ C</t>
  </si>
  <si>
    <t>P19035</t>
  </si>
  <si>
    <t>Wisal by Ajmal</t>
  </si>
  <si>
    <t>A339373</t>
  </si>
  <si>
    <t>Yellow Musk</t>
  </si>
  <si>
    <t>A243193</t>
  </si>
  <si>
    <t>Abdul Mateen Dhamma Perfumes Industry</t>
  </si>
  <si>
    <t>0007</t>
  </si>
  <si>
    <t>A294848</t>
  </si>
  <si>
    <t>0013</t>
  </si>
  <si>
    <t>A294408</t>
  </si>
  <si>
    <t>0014</t>
  </si>
  <si>
    <t>A294849</t>
  </si>
  <si>
    <t>African</t>
  </si>
  <si>
    <t>A287421</t>
  </si>
  <si>
    <t>Aloe Vera</t>
  </si>
  <si>
    <t>A244191</t>
  </si>
  <si>
    <t>Beauty</t>
  </si>
  <si>
    <t>A259821</t>
  </si>
  <si>
    <t>Brown Orchid N 0022 C</t>
  </si>
  <si>
    <t>P06302</t>
  </si>
  <si>
    <t>Escape (F)</t>
  </si>
  <si>
    <t>A241367</t>
  </si>
  <si>
    <t>Fidji</t>
  </si>
  <si>
    <t>A189645</t>
  </si>
  <si>
    <t>Green Apple</t>
  </si>
  <si>
    <t>A231708</t>
  </si>
  <si>
    <t>A261819</t>
  </si>
  <si>
    <t>Mint</t>
  </si>
  <si>
    <t>A339929</t>
  </si>
  <si>
    <t>Oud Badar 41469</t>
  </si>
  <si>
    <t>Red C</t>
  </si>
  <si>
    <t>P01022</t>
  </si>
  <si>
    <t>Red Grape</t>
  </si>
  <si>
    <t>A299992</t>
  </si>
  <si>
    <t>Reved'Or</t>
  </si>
  <si>
    <t>A268850</t>
  </si>
  <si>
    <t>Sensual</t>
  </si>
  <si>
    <t>A282344</t>
  </si>
  <si>
    <t>Soir De Paris</t>
  </si>
  <si>
    <t>A239043</t>
  </si>
  <si>
    <t>Sports Jocky</t>
  </si>
  <si>
    <t>Touriste</t>
  </si>
  <si>
    <t>A241980</t>
  </si>
  <si>
    <t>Vanilla Flower</t>
  </si>
  <si>
    <t>A299996</t>
  </si>
  <si>
    <t>Abdul Samad Shoaib Trading LLC</t>
  </si>
  <si>
    <t>Cooler Man</t>
  </si>
  <si>
    <t>A235765</t>
  </si>
  <si>
    <t>D&amp;G Light Blue (F)</t>
  </si>
  <si>
    <t>A261335</t>
  </si>
  <si>
    <t>Into The Blue (M)</t>
  </si>
  <si>
    <t>Lady Million (F)</t>
  </si>
  <si>
    <t>A257635</t>
  </si>
  <si>
    <t>Splendor (M)</t>
  </si>
  <si>
    <t>The One Sport (M)</t>
  </si>
  <si>
    <t>Abeer Al Sharq Trading LLC</t>
  </si>
  <si>
    <t>212 Sexy</t>
  </si>
  <si>
    <t>A241372</t>
  </si>
  <si>
    <t>Billionaire</t>
  </si>
  <si>
    <t>Black Afgano</t>
  </si>
  <si>
    <t>A265729</t>
  </si>
  <si>
    <t>Boss Orange Zest</t>
  </si>
  <si>
    <t>A269415</t>
  </si>
  <si>
    <t>Fantasy Woman</t>
  </si>
  <si>
    <t>A245818</t>
  </si>
  <si>
    <t>Gents Only</t>
  </si>
  <si>
    <t>A261820</t>
  </si>
  <si>
    <t>Mirage 163228</t>
  </si>
  <si>
    <t>Nini Woman</t>
  </si>
  <si>
    <t>A238388</t>
  </si>
  <si>
    <t>Player</t>
  </si>
  <si>
    <t>A261824</t>
  </si>
  <si>
    <t>Sheikh</t>
  </si>
  <si>
    <t>A281733</t>
  </si>
  <si>
    <t>Sheikh Al Arab</t>
  </si>
  <si>
    <t>A280284</t>
  </si>
  <si>
    <t>Vers-Itas</t>
  </si>
  <si>
    <t>A269419</t>
  </si>
  <si>
    <t>Zest Man</t>
  </si>
  <si>
    <t>Aber Reliability International General Trading LLC</t>
  </si>
  <si>
    <t>Solvent Green 65</t>
  </si>
  <si>
    <t>Accelerator General Trading L.L.C</t>
  </si>
  <si>
    <t>Flourescent Green Powder D-01</t>
  </si>
  <si>
    <t>Adaliz Readymade Garments Trading LLC</t>
  </si>
  <si>
    <t>Black Orchid by Tom Ford (M)</t>
  </si>
  <si>
    <t>A238189</t>
  </si>
  <si>
    <t>Black XS Be A Legend Iggy Pop (M)</t>
  </si>
  <si>
    <t>A406595</t>
  </si>
  <si>
    <t>Black XS Lexes by Paco Rabanne (M)</t>
  </si>
  <si>
    <t>A343168</t>
  </si>
  <si>
    <t>Boss Orange by Hugo Boss (M)</t>
  </si>
  <si>
    <t>Cooler Man by Davidoff (M)</t>
  </si>
  <si>
    <t>Desire Red by Afred Dunhill (M) C</t>
  </si>
  <si>
    <t>Erba Pura by Sospiro A</t>
  </si>
  <si>
    <t>F15861</t>
  </si>
  <si>
    <t>Eternity By Calvin Klein (M)</t>
  </si>
  <si>
    <t>A242452</t>
  </si>
  <si>
    <t>Into The Blue by Chanel (M)</t>
  </si>
  <si>
    <t>La Vie Est Belle by Lancome (F) C</t>
  </si>
  <si>
    <t>P04017</t>
  </si>
  <si>
    <t>Leathery Oud by Christian Dior (M)</t>
  </si>
  <si>
    <t>Rebl Fleur by Rihanna (F)</t>
  </si>
  <si>
    <t>A276064</t>
  </si>
  <si>
    <t>Sauvage by Christian Dior (M) C</t>
  </si>
  <si>
    <t>P21021</t>
  </si>
  <si>
    <t>Sensual by Johan B (F)</t>
  </si>
  <si>
    <t>Si by Armani (F) C</t>
  </si>
  <si>
    <t>The One Sport by Dolce &amp; Gabbana (M)</t>
  </si>
  <si>
    <t>Afnan General Trading</t>
  </si>
  <si>
    <t>Lavender Match</t>
  </si>
  <si>
    <t>A249778</t>
  </si>
  <si>
    <t>Afnan Perfumes Factory</t>
  </si>
  <si>
    <t>Lotion</t>
  </si>
  <si>
    <t>Ahl Al Dar Perfume Industry/ London Show Perfumes</t>
  </si>
  <si>
    <t>Adventure Premium</t>
  </si>
  <si>
    <t>A295604</t>
  </si>
  <si>
    <t>Al Sheikh</t>
  </si>
  <si>
    <t>A256430</t>
  </si>
  <si>
    <t>Answer Woman</t>
  </si>
  <si>
    <t>A203136</t>
  </si>
  <si>
    <t>BS Fantasy</t>
  </si>
  <si>
    <t>Black Rocco</t>
  </si>
  <si>
    <t>A290972</t>
  </si>
  <si>
    <t>Blue Jockey</t>
  </si>
  <si>
    <t>A241480</t>
  </si>
  <si>
    <t>Bobby Valley</t>
  </si>
  <si>
    <t>A286582</t>
  </si>
  <si>
    <t>Chanel Blue</t>
  </si>
  <si>
    <t>Essential Man</t>
  </si>
  <si>
    <t>A260799</t>
  </si>
  <si>
    <t>Fidgi</t>
  </si>
  <si>
    <t>Fragrance 2029</t>
  </si>
  <si>
    <t>A281164</t>
  </si>
  <si>
    <t>Hind Kohil</t>
  </si>
  <si>
    <t>A292909</t>
  </si>
  <si>
    <t>Hypnotise</t>
  </si>
  <si>
    <t>A255234</t>
  </si>
  <si>
    <t>Jasmine</t>
  </si>
  <si>
    <t>A231705</t>
  </si>
  <si>
    <t>Kage Pour Homme</t>
  </si>
  <si>
    <t>A244980</t>
  </si>
  <si>
    <t>Kamar Bakhour</t>
  </si>
  <si>
    <t>A253376</t>
  </si>
  <si>
    <t>Khas</t>
  </si>
  <si>
    <t>A310589</t>
  </si>
  <si>
    <t>Noir De Noir</t>
  </si>
  <si>
    <t>A293669</t>
  </si>
  <si>
    <t>Nude</t>
  </si>
  <si>
    <t>Nude A256430 (OLD)</t>
  </si>
  <si>
    <t>Nude A284943 (NEW)</t>
  </si>
  <si>
    <t>Oud Mubhakar</t>
  </si>
  <si>
    <t>A235676</t>
  </si>
  <si>
    <t>Parisian</t>
  </si>
  <si>
    <t>A237939</t>
  </si>
  <si>
    <t>Rose</t>
  </si>
  <si>
    <t>A231706</t>
  </si>
  <si>
    <t>Rose Oud C</t>
  </si>
  <si>
    <t>P04981</t>
  </si>
  <si>
    <t>So Oud ECO</t>
  </si>
  <si>
    <t>A295590</t>
  </si>
  <si>
    <t>Sweet Musk</t>
  </si>
  <si>
    <t>A286824</t>
  </si>
  <si>
    <t>Tuscan Leather</t>
  </si>
  <si>
    <t>Two Twelve (M)</t>
  </si>
  <si>
    <t>A258812</t>
  </si>
  <si>
    <t>Zahrat</t>
  </si>
  <si>
    <t>A253320</t>
  </si>
  <si>
    <t>Ahlaa Jaw Trading LLC</t>
  </si>
  <si>
    <t>0022 BM C</t>
  </si>
  <si>
    <t>Coffee 180270</t>
  </si>
  <si>
    <t>Essential Oil</t>
  </si>
  <si>
    <t>A240864</t>
  </si>
  <si>
    <t>Pink Bubblegum</t>
  </si>
  <si>
    <t>A295741</t>
  </si>
  <si>
    <t>Raspberry</t>
  </si>
  <si>
    <t>A292781</t>
  </si>
  <si>
    <t>Vanilla</t>
  </si>
  <si>
    <t>A272782</t>
  </si>
  <si>
    <t>Ahmed Saeed Qureshi Trading LLC</t>
  </si>
  <si>
    <t>Ambree Water ECO</t>
  </si>
  <si>
    <t>Arabian Coffee</t>
  </si>
  <si>
    <t>A250659</t>
  </si>
  <si>
    <t>Saeed 2</t>
  </si>
  <si>
    <t>A258937</t>
  </si>
  <si>
    <t>Ain Hoor Perfumes</t>
  </si>
  <si>
    <t>Al Ameen Detergent Factory</t>
  </si>
  <si>
    <t>English Rose</t>
  </si>
  <si>
    <t>A275118</t>
  </si>
  <si>
    <t>English Rose A402005/</t>
  </si>
  <si>
    <t>Gardenia</t>
  </si>
  <si>
    <t>A299984</t>
  </si>
  <si>
    <t>Lavender WS A239076/</t>
  </si>
  <si>
    <t>A415892</t>
  </si>
  <si>
    <t>Al Anood Perfumes</t>
  </si>
  <si>
    <t>Aqua Di Gio By Giorgio Armani (M)</t>
  </si>
  <si>
    <t>A235767</t>
  </si>
  <si>
    <t>Bakhour Lucy</t>
  </si>
  <si>
    <t>A234399</t>
  </si>
  <si>
    <t>A237676</t>
  </si>
  <si>
    <t>Cool Water</t>
  </si>
  <si>
    <t>A245816</t>
  </si>
  <si>
    <t>Ellen</t>
  </si>
  <si>
    <t>A237675</t>
  </si>
  <si>
    <t>Excess Noir Man</t>
  </si>
  <si>
    <t>A238187</t>
  </si>
  <si>
    <t>Fendi (M)</t>
  </si>
  <si>
    <t>French Perfume</t>
  </si>
  <si>
    <t>A246762</t>
  </si>
  <si>
    <t>Gucci Rush</t>
  </si>
  <si>
    <t>A241368</t>
  </si>
  <si>
    <t>Mubhakar</t>
  </si>
  <si>
    <t>A292470</t>
  </si>
  <si>
    <t>One In A Million (M)</t>
  </si>
  <si>
    <t>One In A Million by Paco Rabanne (M)</t>
  </si>
  <si>
    <t>Silver</t>
  </si>
  <si>
    <t>Rebelious Flower</t>
  </si>
  <si>
    <t>Roses Roses</t>
  </si>
  <si>
    <t>A241274</t>
  </si>
  <si>
    <t>Rumba</t>
  </si>
  <si>
    <t>A242055</t>
  </si>
  <si>
    <t>Rushin Woman</t>
  </si>
  <si>
    <t>Sadaf</t>
  </si>
  <si>
    <t>A253600</t>
  </si>
  <si>
    <t>Sensual by Johan B (F) A282344/</t>
  </si>
  <si>
    <t>A418088</t>
  </si>
  <si>
    <t>A417151</t>
  </si>
  <si>
    <t>Super Sultan</t>
  </si>
  <si>
    <t>A240154</t>
  </si>
  <si>
    <t>Tim Forth Tuscany</t>
  </si>
  <si>
    <t>A246686</t>
  </si>
  <si>
    <t>Al Anwar Perfumes</t>
  </si>
  <si>
    <t>2028 Tonka</t>
  </si>
  <si>
    <t>A268517</t>
  </si>
  <si>
    <t>Alien</t>
  </si>
  <si>
    <t>A243962</t>
  </si>
  <si>
    <t>Body Musk Tahara 39854</t>
  </si>
  <si>
    <t>Debut Five (F)</t>
  </si>
  <si>
    <t>A277868</t>
  </si>
  <si>
    <t>Fragrance 2024</t>
  </si>
  <si>
    <t>A281163</t>
  </si>
  <si>
    <t>Fucking Fabulous (M) 18-0004655</t>
  </si>
  <si>
    <t>Maysoon</t>
  </si>
  <si>
    <t>Oud Asphan C</t>
  </si>
  <si>
    <t>P05636</t>
  </si>
  <si>
    <t>Oud Rose</t>
  </si>
  <si>
    <t>A272357</t>
  </si>
  <si>
    <t>Pink Musk</t>
  </si>
  <si>
    <t>A265681</t>
  </si>
  <si>
    <t>Rose Vanille 18-0006375</t>
  </si>
  <si>
    <t>Sauvage (M) C</t>
  </si>
  <si>
    <t>Shadow Leather (U)</t>
  </si>
  <si>
    <t>Sheikh Abdullah by Hind Al Oud 67976</t>
  </si>
  <si>
    <t>Silver Water</t>
  </si>
  <si>
    <t>A271046</t>
  </si>
  <si>
    <t>A286825</t>
  </si>
  <si>
    <t>White Toon THG 21726</t>
  </si>
  <si>
    <t>Al Arab</t>
  </si>
  <si>
    <t>Cherry</t>
  </si>
  <si>
    <t>A231076</t>
  </si>
  <si>
    <t>Al Areeq Trading</t>
  </si>
  <si>
    <t>Anamore TH</t>
  </si>
  <si>
    <t>G11102</t>
  </si>
  <si>
    <t>Italian Leather TH</t>
  </si>
  <si>
    <t>G20962</t>
  </si>
  <si>
    <t>Al Aseel Perfumes</t>
  </si>
  <si>
    <t>Rose Tea</t>
  </si>
  <si>
    <t>A249084</t>
  </si>
  <si>
    <t>Al Bait Aldimashqi Perfumes LLC</t>
  </si>
  <si>
    <t>Orchid Noir LYF</t>
  </si>
  <si>
    <t>A422597</t>
  </si>
  <si>
    <t>Sports Man LYF</t>
  </si>
  <si>
    <t>A422599</t>
  </si>
  <si>
    <t>Tim Forth Oud Wood LYF</t>
  </si>
  <si>
    <t>A422598</t>
  </si>
  <si>
    <t>Al Banafa Oud</t>
  </si>
  <si>
    <t>Al Banafsaj Industries Company LLC</t>
  </si>
  <si>
    <t>Al Baraha Oil Refining Factory LLC</t>
  </si>
  <si>
    <t>Al Baraha Sanitary</t>
  </si>
  <si>
    <t>Pine Fresh</t>
  </si>
  <si>
    <t>A306319</t>
  </si>
  <si>
    <t>Al Baraq Steel</t>
  </si>
  <si>
    <t>Cologne</t>
  </si>
  <si>
    <t>Gold</t>
  </si>
  <si>
    <t>Lemon 225</t>
  </si>
  <si>
    <t>60%, Lemon Grass 087 - 40%, SILVER (DPG)</t>
  </si>
  <si>
    <t>Al Basata Spare Parts</t>
  </si>
  <si>
    <t>Mask Me A401230/</t>
  </si>
  <si>
    <t>A410391</t>
  </si>
  <si>
    <t>30% key &amp; 70% dpg</t>
  </si>
  <si>
    <t>Al Basma Detergents &amp; Cleaning Industries LLC</t>
  </si>
  <si>
    <t>A272785</t>
  </si>
  <si>
    <t>Aloe Vera LYF A244191/</t>
  </si>
  <si>
    <t>A415790</t>
  </si>
  <si>
    <t>Carmosine Powder WS</t>
  </si>
  <si>
    <t>Cooling</t>
  </si>
  <si>
    <t>A305995</t>
  </si>
  <si>
    <t>Crunchy</t>
  </si>
  <si>
    <t>R221571</t>
  </si>
  <si>
    <t>Detergent Powder Yellow CR</t>
  </si>
  <si>
    <t>Dettex</t>
  </si>
  <si>
    <t>A252350</t>
  </si>
  <si>
    <t>Farbensol Blue 1503</t>
  </si>
  <si>
    <t>Fragrance 2041</t>
  </si>
  <si>
    <t>A281165</t>
  </si>
  <si>
    <t>50% A331329, 50% A23212</t>
  </si>
  <si>
    <t>Lavender Bubbles</t>
  </si>
  <si>
    <t>A230048</t>
  </si>
  <si>
    <t>Lemon A241225/</t>
  </si>
  <si>
    <t>A401495</t>
  </si>
  <si>
    <t>A410390</t>
  </si>
  <si>
    <t>20% KEY OIL</t>
  </si>
  <si>
    <t>Luxuria</t>
  </si>
  <si>
    <t>A287749</t>
  </si>
  <si>
    <t>Pine</t>
  </si>
  <si>
    <t>A235758</t>
  </si>
  <si>
    <t>A233185</t>
  </si>
  <si>
    <t>Rose Petal A233185/</t>
  </si>
  <si>
    <t>A402012</t>
  </si>
  <si>
    <t>A415792</t>
  </si>
  <si>
    <t>Rose Touch</t>
  </si>
  <si>
    <t>A282313</t>
  </si>
  <si>
    <t>Rose WS</t>
  </si>
  <si>
    <t>A287524</t>
  </si>
  <si>
    <t>Strawberry A233442/</t>
  </si>
  <si>
    <t>A402013</t>
  </si>
  <si>
    <t>Super D20</t>
  </si>
  <si>
    <t>A264618</t>
  </si>
  <si>
    <t>Super D20 Mod</t>
  </si>
  <si>
    <t>A285375</t>
  </si>
  <si>
    <t>Al Beeah Al Amenah Powder Detergent Mfg Pkg LLC</t>
  </si>
  <si>
    <t>Lavender &amp; Gardenia</t>
  </si>
  <si>
    <t>A241557</t>
  </si>
  <si>
    <t>PG</t>
  </si>
  <si>
    <t>Al Behar Detergent &amp; Cleaning Industries</t>
  </si>
  <si>
    <t>Al Brair Cleaning Detergent</t>
  </si>
  <si>
    <t>WS</t>
  </si>
  <si>
    <t>Rosey</t>
  </si>
  <si>
    <t>A408098</t>
  </si>
  <si>
    <t>Vanilla &amp; Black Orchid</t>
  </si>
  <si>
    <t>A249315</t>
  </si>
  <si>
    <t>Al Buraq Group</t>
  </si>
  <si>
    <t>Al Dammam Oil &amp; Grease Industries LLC</t>
  </si>
  <si>
    <t>Al Dhabiyaniya Oud &amp; Perfumes</t>
  </si>
  <si>
    <t>African Leather by Memo Paris (U) 19-0001532</t>
  </si>
  <si>
    <t>Brut by Faberge (M)</t>
  </si>
  <si>
    <t>A245809</t>
  </si>
  <si>
    <t>Cherry In The Air By Escada (F) A297629/</t>
  </si>
  <si>
    <t>A407971</t>
  </si>
  <si>
    <t>Clive Christian X</t>
  </si>
  <si>
    <t>Mukhalat Nizar 7312-9104/V/13 (Silver)</t>
  </si>
  <si>
    <t>Dirham Econ</t>
  </si>
  <si>
    <t>A352612</t>
  </si>
  <si>
    <t>Frank Incense</t>
  </si>
  <si>
    <t>Mukhalat Tahir A295776</t>
  </si>
  <si>
    <t>Invictus by Paco Rabanne (M)</t>
  </si>
  <si>
    <t>A305591</t>
  </si>
  <si>
    <t>Irish Leather by Memo (M) 52160</t>
  </si>
  <si>
    <t>Nero Assoluto by Roberto Cavalli (F) C</t>
  </si>
  <si>
    <t>Peach A248825/</t>
  </si>
  <si>
    <t>A403817</t>
  </si>
  <si>
    <t>Ralf by Ralph Lauren (F)</t>
  </si>
  <si>
    <t>A241371</t>
  </si>
  <si>
    <t>Touch Me by Nabeel 53995</t>
  </si>
  <si>
    <t>Al Dhia Cleaning/ Moon Cleaning Material Trading Company LLC</t>
  </si>
  <si>
    <t>Fabric Conditioner</t>
  </si>
  <si>
    <t>A338229</t>
  </si>
  <si>
    <t>Fragrance DD</t>
  </si>
  <si>
    <t>A270670</t>
  </si>
  <si>
    <t>Kajal</t>
  </si>
  <si>
    <t>A245994</t>
  </si>
  <si>
    <t>A235942</t>
  </si>
  <si>
    <t>Al Enaya Wipes Packaging LLC/ Care Wet Wipes</t>
  </si>
  <si>
    <t>Aloe Vera A244191/</t>
  </si>
  <si>
    <t>Cocoa Butter A275616/</t>
  </si>
  <si>
    <t>A415885</t>
  </si>
  <si>
    <t>Cocoa Butter 70%, Orange Peeling 25%, Lemon Top 5%</t>
  </si>
  <si>
    <t>Cooler Man by Davidoff (M) A235765/</t>
  </si>
  <si>
    <t>A401493</t>
  </si>
  <si>
    <t>Cuticura</t>
  </si>
  <si>
    <t>A246994</t>
  </si>
  <si>
    <t>Doven</t>
  </si>
  <si>
    <t>A320112</t>
  </si>
  <si>
    <t>L1212 Blanc by Lacoste (M) C</t>
  </si>
  <si>
    <t>Lemon Grass</t>
  </si>
  <si>
    <t>A271087</t>
  </si>
  <si>
    <t>Salt</t>
  </si>
  <si>
    <t>P782100</t>
  </si>
  <si>
    <t>Al Fajer Detergents Industries Co LLC</t>
  </si>
  <si>
    <t>Downy Blue Fragrance 502433</t>
  </si>
  <si>
    <t>Exotic Vanilla SG FRAG. 503483</t>
  </si>
  <si>
    <t>Al Fakhama Al Malakiya Perfumes</t>
  </si>
  <si>
    <t>Badar 41469</t>
  </si>
  <si>
    <t>Black Orchid (F)</t>
  </si>
  <si>
    <t>Cartier</t>
  </si>
  <si>
    <t>Lexes (M)</t>
  </si>
  <si>
    <t>Life C</t>
  </si>
  <si>
    <t>Al Fanous Cosmetics &amp; Trading</t>
  </si>
  <si>
    <t>Billionaire (F)</t>
  </si>
  <si>
    <t>Challenger (M)</t>
  </si>
  <si>
    <t>A278773</t>
  </si>
  <si>
    <t>Happy Split</t>
  </si>
  <si>
    <t>A255319</t>
  </si>
  <si>
    <t>Two One X Woman</t>
  </si>
  <si>
    <t>A279810</t>
  </si>
  <si>
    <t>Al Fattal Trading EST</t>
  </si>
  <si>
    <t>Fruity Apple</t>
  </si>
  <si>
    <t>A248265</t>
  </si>
  <si>
    <t>Herbal</t>
  </si>
  <si>
    <t>A276835</t>
  </si>
  <si>
    <t>Jasmine Hair Oil</t>
  </si>
  <si>
    <t>A269288</t>
  </si>
  <si>
    <t>Mint Skin Cream</t>
  </si>
  <si>
    <t>A244748</t>
  </si>
  <si>
    <t>Olive Oil</t>
  </si>
  <si>
    <t>A276839</t>
  </si>
  <si>
    <t>Peach</t>
  </si>
  <si>
    <t>A248259</t>
  </si>
  <si>
    <t>A248261</t>
  </si>
  <si>
    <t>Al Hafsa Perfumes Industries LLC</t>
  </si>
  <si>
    <t>Mukhalat Agsa</t>
  </si>
  <si>
    <t>Al Hajis Perfumes Industries LLC</t>
  </si>
  <si>
    <t>Aventis</t>
  </si>
  <si>
    <t>A302349</t>
  </si>
  <si>
    <t>Black XS Lexes (M)</t>
  </si>
  <si>
    <t>Silver Water (M)</t>
  </si>
  <si>
    <t>Al Hana Perfumes LLC</t>
  </si>
  <si>
    <t>Aventus by Creed (M) A302349/</t>
  </si>
  <si>
    <t>A416950</t>
  </si>
  <si>
    <t>Pure/ Mixed</t>
  </si>
  <si>
    <t>Bakhour A285878/</t>
  </si>
  <si>
    <t>A404821</t>
  </si>
  <si>
    <t>Black Afgano by Nasamato</t>
  </si>
  <si>
    <t>A351968</t>
  </si>
  <si>
    <t>Brown Orchid CP08232 /C</t>
  </si>
  <si>
    <t>P050220</t>
  </si>
  <si>
    <t>9.2 kg oil and rest dpg</t>
  </si>
  <si>
    <t>Fucking Fabulous by Tom Ford (M) 18-0004655</t>
  </si>
  <si>
    <t>Mukhalat A292908/</t>
  </si>
  <si>
    <t>A403149</t>
  </si>
  <si>
    <t>Silver Mountain Water by Creed (M)</t>
  </si>
  <si>
    <t>Splendor by Seris (M)</t>
  </si>
  <si>
    <t>Al Hanan Ind. LLC</t>
  </si>
  <si>
    <t>Cucumber</t>
  </si>
  <si>
    <t>A244199</t>
  </si>
  <si>
    <t>Terre D Hermes (M)</t>
  </si>
  <si>
    <t>A245395</t>
  </si>
  <si>
    <t>40% Oil</t>
  </si>
  <si>
    <t>Al Haramain Perfumes</t>
  </si>
  <si>
    <t>Taj Sunset by Escada (F) A29</t>
  </si>
  <si>
    <t>Al Hayat Perfumes</t>
  </si>
  <si>
    <t>Bakhur</t>
  </si>
  <si>
    <t>A243761</t>
  </si>
  <si>
    <t>Cuir Et Chic C</t>
  </si>
  <si>
    <t>P09390</t>
  </si>
  <si>
    <t>Dollar Dollar</t>
  </si>
  <si>
    <t>Luna Sparkle</t>
  </si>
  <si>
    <t>A281069</t>
  </si>
  <si>
    <t>Namer Al Oud</t>
  </si>
  <si>
    <t>A266854</t>
  </si>
  <si>
    <t>One In A Million/ Essential Oil</t>
  </si>
  <si>
    <t>Sculpt</t>
  </si>
  <si>
    <t>A258760</t>
  </si>
  <si>
    <t>Al Heera General Trading</t>
  </si>
  <si>
    <t>212 Men by Carolina Herrera</t>
  </si>
  <si>
    <t>Almond</t>
  </si>
  <si>
    <t>A246212</t>
  </si>
  <si>
    <t>Aventus by Creed (M)</t>
  </si>
  <si>
    <t>Avocado</t>
  </si>
  <si>
    <t>A248264</t>
  </si>
  <si>
    <t>Beef Bone</t>
  </si>
  <si>
    <t>A272788</t>
  </si>
  <si>
    <t>Chocolate</t>
  </si>
  <si>
    <t>A293451</t>
  </si>
  <si>
    <t>Cocoa Butter</t>
  </si>
  <si>
    <t>A275616</t>
  </si>
  <si>
    <t>Coconut</t>
  </si>
  <si>
    <t>A292785</t>
  </si>
  <si>
    <t>Desire by Alfred Dunhill (M)</t>
  </si>
  <si>
    <t>A241362</t>
  </si>
  <si>
    <t>Dolin</t>
  </si>
  <si>
    <t>A320111</t>
  </si>
  <si>
    <t>Essential by Lacoste (M)</t>
  </si>
  <si>
    <t>Farbo Cos Violet RG</t>
  </si>
  <si>
    <t>Fruity Smoothie</t>
  </si>
  <si>
    <t>A285349</t>
  </si>
  <si>
    <t>Garlic</t>
  </si>
  <si>
    <t>A263702</t>
  </si>
  <si>
    <t>Green Chamomile</t>
  </si>
  <si>
    <t>A324052</t>
  </si>
  <si>
    <t>Green Tea</t>
  </si>
  <si>
    <t>A318055</t>
  </si>
  <si>
    <t>Milk Fresh</t>
  </si>
  <si>
    <t>A331424</t>
  </si>
  <si>
    <t>Papaya</t>
  </si>
  <si>
    <t>A317824</t>
  </si>
  <si>
    <t>Premier by Chanel (F)</t>
  </si>
  <si>
    <t>Silver Scent by Jacques Bogart (M)</t>
  </si>
  <si>
    <t>Sweet Honey &amp; Milk</t>
  </si>
  <si>
    <t>A320337</t>
  </si>
  <si>
    <t>Al Hilali Investment SPC</t>
  </si>
  <si>
    <t>Bakhur A243761/</t>
  </si>
  <si>
    <t>A419371</t>
  </si>
  <si>
    <t>Breeze</t>
  </si>
  <si>
    <t>Breeze A338229/</t>
  </si>
  <si>
    <t>A417150</t>
  </si>
  <si>
    <t>Brilliant Blue 21518</t>
  </si>
  <si>
    <t>Floral Blush</t>
  </si>
  <si>
    <t>A406737</t>
  </si>
  <si>
    <t>Jasmine A231705/</t>
  </si>
  <si>
    <t>A402008</t>
  </si>
  <si>
    <t>A337704</t>
  </si>
  <si>
    <t>Lemon Fairy</t>
  </si>
  <si>
    <t>A257810</t>
  </si>
  <si>
    <t>A248825</t>
  </si>
  <si>
    <t>Rose A231706/</t>
  </si>
  <si>
    <t>A415791</t>
  </si>
  <si>
    <t>Sunset Yellow FCF</t>
  </si>
  <si>
    <t>Uomo by Valentino (M)</t>
  </si>
  <si>
    <t>A315997</t>
  </si>
  <si>
    <t>Vanilla Flower A299996/</t>
  </si>
  <si>
    <t>A417703</t>
  </si>
  <si>
    <t>Warda</t>
  </si>
  <si>
    <t>A236985</t>
  </si>
  <si>
    <t>Al Hoda Camp</t>
  </si>
  <si>
    <t>Lemon Tarpenes</t>
  </si>
  <si>
    <t>Al Hoda Cleaning Ind. Co. Ltd/ Costenaro FZC</t>
  </si>
  <si>
    <t>Green Apple A231708/</t>
  </si>
  <si>
    <t>A410392</t>
  </si>
  <si>
    <t>60 % OIL &amp; 40 % DPG</t>
  </si>
  <si>
    <t>20% Oil</t>
  </si>
  <si>
    <t>Al Jawhara-Gulf Perfumes Trading</t>
  </si>
  <si>
    <t>Mash Moom</t>
  </si>
  <si>
    <t>A253399</t>
  </si>
  <si>
    <t>Sheikh (Sadaf)</t>
  </si>
  <si>
    <t>A253321</t>
  </si>
  <si>
    <t>Al Jazeera Lubricants Factory LLC</t>
  </si>
  <si>
    <t>Citropine</t>
  </si>
  <si>
    <t>A241990</t>
  </si>
  <si>
    <t>A234285</t>
  </si>
  <si>
    <t>A236167</t>
  </si>
  <si>
    <t>Lemon Smoothie</t>
  </si>
  <si>
    <t>A241275</t>
  </si>
  <si>
    <t>Mask Me Too</t>
  </si>
  <si>
    <t>A401230</t>
  </si>
  <si>
    <t>Al Jazeera Perfumes Industry</t>
  </si>
  <si>
    <t>Body Burberry (F) C</t>
  </si>
  <si>
    <t>Pink Rose</t>
  </si>
  <si>
    <t>A319989</t>
  </si>
  <si>
    <t>Rose A233185/</t>
  </si>
  <si>
    <t>Saffron A285621/</t>
  </si>
  <si>
    <t>A419378</t>
  </si>
  <si>
    <t>Silver Mountain Water (M)</t>
  </si>
  <si>
    <t>Al Kamal Shampoo &amp; Cleaning</t>
  </si>
  <si>
    <t>Acid Violet 43</t>
  </si>
  <si>
    <t>Apricot</t>
  </si>
  <si>
    <t>A292789</t>
  </si>
  <si>
    <t>Apricot A292789/</t>
  </si>
  <si>
    <t>A402002</t>
  </si>
  <si>
    <t>Aventus (M)</t>
  </si>
  <si>
    <t>Bakhour</t>
  </si>
  <si>
    <t>Bakhur : A285878- 90%, A243761-10%</t>
  </si>
  <si>
    <t>Banana</t>
  </si>
  <si>
    <t>A238073</t>
  </si>
  <si>
    <t>Black Opium by Yves Saint Laurent (F) C</t>
  </si>
  <si>
    <t>P14424</t>
  </si>
  <si>
    <t>10% Oil</t>
  </si>
  <si>
    <t>Chocolate Truffle</t>
  </si>
  <si>
    <t>A299995</t>
  </si>
  <si>
    <t>Coffee</t>
  </si>
  <si>
    <t>Cooling - A235762 - 2</t>
  </si>
  <si>
    <t>Cooler Man by Davidoff (M) A235765/ A401493 (Silver)</t>
  </si>
  <si>
    <t>Essential (M)</t>
  </si>
  <si>
    <t>Essential by Lacoste</t>
  </si>
  <si>
    <t>L1212 Blanc by Lacoste (M) CP19035 -  (60%l1212) creed silver mountain 40% than make gold</t>
  </si>
  <si>
    <t>Exotic Flower</t>
  </si>
  <si>
    <t>A241556</t>
  </si>
  <si>
    <t>Flouramax A270578/</t>
  </si>
  <si>
    <t>P782894</t>
  </si>
  <si>
    <t>Imperial Oudh</t>
  </si>
  <si>
    <t>A245887</t>
  </si>
  <si>
    <t>La Vie Est Belle (F) C</t>
  </si>
  <si>
    <t>Lubricant</t>
  </si>
  <si>
    <t>A248596</t>
  </si>
  <si>
    <t>Mint Flavour 32274</t>
  </si>
  <si>
    <t>18% Oil</t>
  </si>
  <si>
    <t>Mukhalat Fatima</t>
  </si>
  <si>
    <t>35% oil</t>
  </si>
  <si>
    <t>A232125</t>
  </si>
  <si>
    <t>Pink</t>
  </si>
  <si>
    <t>P782345</t>
  </si>
  <si>
    <t>Sandalwood</t>
  </si>
  <si>
    <t>A230556</t>
  </si>
  <si>
    <t>Spun Silk</t>
  </si>
  <si>
    <t>A347009</t>
  </si>
  <si>
    <t>Studio</t>
  </si>
  <si>
    <t>A305994</t>
  </si>
  <si>
    <t>Weatgerm</t>
  </si>
  <si>
    <t>A263697</t>
  </si>
  <si>
    <t>Zaya</t>
  </si>
  <si>
    <t>A305993</t>
  </si>
  <si>
    <t>Al Lulu Grease &amp; Lubricants</t>
  </si>
  <si>
    <t>Flourescent Green Powder C-03</t>
  </si>
  <si>
    <t>Al Madani Lubricant &amp; Grease Mfg LLC</t>
  </si>
  <si>
    <t>Antibac 154295</t>
  </si>
  <si>
    <t>Solvent Brown Liquidation</t>
  </si>
  <si>
    <t>Al Madeena Automatic Bakery</t>
  </si>
  <si>
    <t>Chocolate Flavouring 32347</t>
  </si>
  <si>
    <t>8% Oil</t>
  </si>
  <si>
    <t>Pineapple Flavouring 32356</t>
  </si>
  <si>
    <t>15% Oil</t>
  </si>
  <si>
    <t>Strawberry Candy Flavour 28410</t>
  </si>
  <si>
    <t>10% oil</t>
  </si>
  <si>
    <t>Unripe Banana Flavour 28671</t>
  </si>
  <si>
    <t>7% oil</t>
  </si>
  <si>
    <t>Vanilla Flavouring 31756</t>
  </si>
  <si>
    <t>Al Maha Cleaning Materials Trading/ Al Wafi General Cleaning Est.</t>
  </si>
  <si>
    <t>A297444</t>
  </si>
  <si>
    <t>Lo Lemon</t>
  </si>
  <si>
    <t>A321587</t>
  </si>
  <si>
    <t>Susnhine</t>
  </si>
  <si>
    <t>A250893</t>
  </si>
  <si>
    <t>Al Maitha Trading LLC</t>
  </si>
  <si>
    <t>Adore - 18</t>
  </si>
  <si>
    <t>One In A Million by Paco Rabanne (M) A240864 (Gold)</t>
  </si>
  <si>
    <t>Al Bama 18</t>
  </si>
  <si>
    <t>Strawberry A233442/ A402013 ( strwaberry 50%///reb l fleur20%///green tea 20%///papaya10%//than make crystal)</t>
  </si>
  <si>
    <t>Albama - 18</t>
  </si>
  <si>
    <t>Green Tea A318055 - strwaberry 50%///reb l fleur20%///green tea 20%///papaya10%//than make crystal</t>
  </si>
  <si>
    <t>Bright Crystal by Versace (F)</t>
  </si>
  <si>
    <t>A235748</t>
  </si>
  <si>
    <t>Bright Crystal by Versace (F) A235748/</t>
  </si>
  <si>
    <t>A421292</t>
  </si>
  <si>
    <t>Maryam</t>
  </si>
  <si>
    <t>A347816</t>
  </si>
  <si>
    <t>Al Makhsoos Perfumes Trading</t>
  </si>
  <si>
    <t>Aqua Man</t>
  </si>
  <si>
    <t>A267112</t>
  </si>
  <si>
    <t>Coffee Classic</t>
  </si>
  <si>
    <t>A258695</t>
  </si>
  <si>
    <t>Pink Touch</t>
  </si>
  <si>
    <t>A232508</t>
  </si>
  <si>
    <t>Sculpt Man</t>
  </si>
  <si>
    <t>A245811</t>
  </si>
  <si>
    <t>Al Mashhoor Group/ Nazwa Perfume Industry</t>
  </si>
  <si>
    <t>Eternal Man</t>
  </si>
  <si>
    <t>A230746</t>
  </si>
  <si>
    <t>Al Mayas Perfumes</t>
  </si>
  <si>
    <t>Victorious (M)</t>
  </si>
  <si>
    <t>Al Mazaya Lubricants &amp; Oil Refinery</t>
  </si>
  <si>
    <t>Lavender WS</t>
  </si>
  <si>
    <t>A239076</t>
  </si>
  <si>
    <t>Al Meedan</t>
  </si>
  <si>
    <t>Al Mohamadi Light Industries Co Llc</t>
  </si>
  <si>
    <t>Orange Peeling A410433/</t>
  </si>
  <si>
    <t>A337724</t>
  </si>
  <si>
    <t>Al Muqarram Insulation Materials Industry Llc</t>
  </si>
  <si>
    <t>Al Narjes Perfumes</t>
  </si>
  <si>
    <t>Rakaan by Swiss Arabia 65394</t>
  </si>
  <si>
    <t>Al Naseem Gifts LLC</t>
  </si>
  <si>
    <t>Black Afgano (M)</t>
  </si>
  <si>
    <t>Musk Mutas</t>
  </si>
  <si>
    <t>A339521</t>
  </si>
  <si>
    <t>Al Nasmat Perfumes</t>
  </si>
  <si>
    <t>0022BM C</t>
  </si>
  <si>
    <t>Collection</t>
  </si>
  <si>
    <t>A249739</t>
  </si>
  <si>
    <t>Nina Woman</t>
  </si>
  <si>
    <t>Al Nasr Lubricant For Manufacturing &amp; Filling Lubes &amp; Greazes</t>
  </si>
  <si>
    <t>Lubrication Green</t>
  </si>
  <si>
    <t>Al Nisr Al Abyad Industries LLC</t>
  </si>
  <si>
    <t>Applemint A322909/</t>
  </si>
  <si>
    <t>A402001</t>
  </si>
  <si>
    <t>Lemon Matched - 2</t>
  </si>
  <si>
    <t>Lemon Zeste A298567 (20%) lemon 225(20%) and than 60% dpg</t>
  </si>
  <si>
    <t>Lemon Matched 1 - 3</t>
  </si>
  <si>
    <t>Lemon Zeste A298567 (Crystal)</t>
  </si>
  <si>
    <t>Mashmoom III</t>
  </si>
  <si>
    <t>A2333185</t>
  </si>
  <si>
    <t>Rose Petal A233185/ A415792</t>
  </si>
  <si>
    <t>Pacific Paradise by Escada (F)</t>
  </si>
  <si>
    <t>Al Noor Perfume</t>
  </si>
  <si>
    <t>Taj Sunset by Escada (F)</t>
  </si>
  <si>
    <t>Al Oraib Perfumes</t>
  </si>
  <si>
    <t>Addictive Woman</t>
  </si>
  <si>
    <t>A239215</t>
  </si>
  <si>
    <t>Give Play</t>
  </si>
  <si>
    <t>A250826</t>
  </si>
  <si>
    <t>Gucci Flora</t>
  </si>
  <si>
    <t>A252499</t>
  </si>
  <si>
    <t>JC Viva</t>
  </si>
  <si>
    <t>A263718</t>
  </si>
  <si>
    <t>La Challenge</t>
  </si>
  <si>
    <t>A252502</t>
  </si>
  <si>
    <t>Queen by Queen Latifah</t>
  </si>
  <si>
    <t>A252856</t>
  </si>
  <si>
    <t>Sensual Allure</t>
  </si>
  <si>
    <t>A253541</t>
  </si>
  <si>
    <t>Terrer Man</t>
  </si>
  <si>
    <t>A245052</t>
  </si>
  <si>
    <t>Al Rayaheen Industries LLC</t>
  </si>
  <si>
    <t>Al Rayyan Cleaning Material Factory</t>
  </si>
  <si>
    <t>Al Safa Lubricants</t>
  </si>
  <si>
    <t>Flourescent Green/ Lubrication Green</t>
  </si>
  <si>
    <t>Solvent Brown</t>
  </si>
  <si>
    <t>Solvent Yellow 174</t>
  </si>
  <si>
    <t>Al Saqr Industries LLC</t>
  </si>
  <si>
    <t>A401491</t>
  </si>
  <si>
    <t>Oud</t>
  </si>
  <si>
    <t>A241908</t>
  </si>
  <si>
    <t>Al Sayyadi Lebanese &amp; Emirates Factory LLC</t>
  </si>
  <si>
    <t>Almond Flavour F19-038425</t>
  </si>
  <si>
    <t>Banana Flavour F19-038426</t>
  </si>
  <si>
    <t>Milk Cream Flavour F19-038424</t>
  </si>
  <si>
    <t>Al Serkal Group</t>
  </si>
  <si>
    <t>Al Shams Chocolate Manufacturing</t>
  </si>
  <si>
    <t>Hazal Nut Flavour 32351</t>
  </si>
  <si>
    <t>7% Oil</t>
  </si>
  <si>
    <t>Al Shams Perfume</t>
  </si>
  <si>
    <t>Al Shawoush Detergents &amp; Disinfectants Trading</t>
  </si>
  <si>
    <t>Daisy Delight</t>
  </si>
  <si>
    <t>KJL</t>
  </si>
  <si>
    <t>A270671</t>
  </si>
  <si>
    <t>A267749</t>
  </si>
  <si>
    <t>Sunshine</t>
  </si>
  <si>
    <t>Al Shaza Perfumes Industry LLC</t>
  </si>
  <si>
    <t>BDV Blue Sapphire 52811</t>
  </si>
  <si>
    <t>RC Black C</t>
  </si>
  <si>
    <t>Al Sidrah Perfumes</t>
  </si>
  <si>
    <t>Attar Mobakhar</t>
  </si>
  <si>
    <t>A243878</t>
  </si>
  <si>
    <t>Ena</t>
  </si>
  <si>
    <t>A243752</t>
  </si>
  <si>
    <t>A253319</t>
  </si>
  <si>
    <t>Heaven</t>
  </si>
  <si>
    <t>A310591</t>
  </si>
  <si>
    <t>Kavali</t>
  </si>
  <si>
    <t>A283737</t>
  </si>
  <si>
    <t>Ricci Ricci</t>
  </si>
  <si>
    <t>A253969</t>
  </si>
  <si>
    <t>Sahvallia</t>
  </si>
  <si>
    <t>A237815</t>
  </si>
  <si>
    <t>True Coffee</t>
  </si>
  <si>
    <t>White Toon TH</t>
  </si>
  <si>
    <t>G21726</t>
  </si>
  <si>
    <t>Al Tawaam Cleaning Material Trading</t>
  </si>
  <si>
    <t>Comfy Blue</t>
  </si>
  <si>
    <t>A239535</t>
  </si>
  <si>
    <t>Floral Fruity/ Millefleurs</t>
  </si>
  <si>
    <t>A255224</t>
  </si>
  <si>
    <t>Magic Blue</t>
  </si>
  <si>
    <t>P781985</t>
  </si>
  <si>
    <t>Ocean Breeze</t>
  </si>
  <si>
    <t>A408570</t>
  </si>
  <si>
    <t>Powder Soap Extra</t>
  </si>
  <si>
    <t>A313001</t>
  </si>
  <si>
    <t>Rajashree</t>
  </si>
  <si>
    <t>A271403</t>
  </si>
  <si>
    <t>Al Tawuur Lubricants</t>
  </si>
  <si>
    <t>A255225</t>
  </si>
  <si>
    <t>Al Tayeb Detergents Ind Llc</t>
  </si>
  <si>
    <t>Al Wara Perfumes Industry LLC</t>
  </si>
  <si>
    <t>Escentric M01 42796</t>
  </si>
  <si>
    <t>Memoria Eire Cuero 52160</t>
  </si>
  <si>
    <t>Al Watan Perfumes Industries LLC</t>
  </si>
  <si>
    <t>P08282</t>
  </si>
  <si>
    <t>A285878</t>
  </si>
  <si>
    <t>Black Flower Afro C</t>
  </si>
  <si>
    <t>P08978</t>
  </si>
  <si>
    <t>Evidence</t>
  </si>
  <si>
    <t>A295952</t>
  </si>
  <si>
    <t>Iggy Pop Man</t>
  </si>
  <si>
    <t>L1212 Blanc (M) C</t>
  </si>
  <si>
    <t>Mukhalat LYF A292908/</t>
  </si>
  <si>
    <t>Nightflight</t>
  </si>
  <si>
    <t>A260960</t>
  </si>
  <si>
    <t>Tuscan Leather (F) C</t>
  </si>
  <si>
    <t>Al Watan Perfumes Industries LLC - Ajman</t>
  </si>
  <si>
    <t>Mukhakat</t>
  </si>
  <si>
    <t>Al Wazeer Detergent</t>
  </si>
  <si>
    <t>Lavender A236167/</t>
  </si>
  <si>
    <t>A402009</t>
  </si>
  <si>
    <t>Al Zahoor Detergent Factory</t>
  </si>
  <si>
    <t>Fruit</t>
  </si>
  <si>
    <t>A248486</t>
  </si>
  <si>
    <t>Al Zebaque Perfumes</t>
  </si>
  <si>
    <t>212 Man</t>
  </si>
  <si>
    <t>A254510</t>
  </si>
  <si>
    <t>A232879</t>
  </si>
  <si>
    <t>Alluring</t>
  </si>
  <si>
    <t>A243964</t>
  </si>
  <si>
    <t>Almas Extra</t>
  </si>
  <si>
    <t>A252906</t>
  </si>
  <si>
    <t>Asseel</t>
  </si>
  <si>
    <t>A256447</t>
  </si>
  <si>
    <t>A234281</t>
  </si>
  <si>
    <t>Black XS</t>
  </si>
  <si>
    <t>A238381</t>
  </si>
  <si>
    <t>Elixir</t>
  </si>
  <si>
    <t>A236477</t>
  </si>
  <si>
    <t>Fresh Peach</t>
  </si>
  <si>
    <t>A238607</t>
  </si>
  <si>
    <t>A234853</t>
  </si>
  <si>
    <t>Hot Aqua</t>
  </si>
  <si>
    <t>A254534</t>
  </si>
  <si>
    <t>Idol</t>
  </si>
  <si>
    <t>A256071</t>
  </si>
  <si>
    <t>Jannat Al Naeem</t>
  </si>
  <si>
    <t>A245856</t>
  </si>
  <si>
    <t>A247806</t>
  </si>
  <si>
    <t>Majmua</t>
  </si>
  <si>
    <t>A246897</t>
  </si>
  <si>
    <t>Misc</t>
  </si>
  <si>
    <t>Montana</t>
  </si>
  <si>
    <t>Poisonous</t>
  </si>
  <si>
    <t>A233759</t>
  </si>
  <si>
    <t>Sexy Carolina</t>
  </si>
  <si>
    <t>A231143</t>
  </si>
  <si>
    <t>Shaik</t>
  </si>
  <si>
    <t>A253398</t>
  </si>
  <si>
    <t>Sondos</t>
  </si>
  <si>
    <t>A256446</t>
  </si>
  <si>
    <t>The Queen</t>
  </si>
  <si>
    <t>A253955</t>
  </si>
  <si>
    <t>Versus</t>
  </si>
  <si>
    <t>A256077</t>
  </si>
  <si>
    <t>Zen by Sheseido</t>
  </si>
  <si>
    <t>A256075</t>
  </si>
  <si>
    <t>Ali Maklai Perfumes LLC</t>
  </si>
  <si>
    <t>Attar Bakhour</t>
  </si>
  <si>
    <t>A253954</t>
  </si>
  <si>
    <t>Insolent</t>
  </si>
  <si>
    <t>A234618</t>
  </si>
  <si>
    <t>Lady Million</t>
  </si>
  <si>
    <t>All Well LLC/ Leaders LLC</t>
  </si>
  <si>
    <t>DD</t>
  </si>
  <si>
    <t>Lemon Zest</t>
  </si>
  <si>
    <t>Allure International Aerosols LLC</t>
  </si>
  <si>
    <t>Black Drak</t>
  </si>
  <si>
    <t>A241361</t>
  </si>
  <si>
    <t>Allure Perfumes Mgf. Llc.</t>
  </si>
  <si>
    <t>Almaitha Trading LLC</t>
  </si>
  <si>
    <t>Bright Crystal (F)</t>
  </si>
  <si>
    <t>Pacific Paradise (F)</t>
  </si>
  <si>
    <t>Pasha De Cartier (M)</t>
  </si>
  <si>
    <t>Sensual (F)</t>
  </si>
  <si>
    <t>Almas Detergent &amp; Disinfectant Industry LLC</t>
  </si>
  <si>
    <t>Bakour</t>
  </si>
  <si>
    <t>Echoing Man</t>
  </si>
  <si>
    <t>A260935</t>
  </si>
  <si>
    <t>Joop! Night Flight (M)</t>
  </si>
  <si>
    <t>Alpha Plus Detergents &amp; Disinfectants Factory</t>
  </si>
  <si>
    <t>Conifer</t>
  </si>
  <si>
    <t>A262915</t>
  </si>
  <si>
    <t>Eriol</t>
  </si>
  <si>
    <t>A321852</t>
  </si>
  <si>
    <t>Lady II</t>
  </si>
  <si>
    <t>A321328</t>
  </si>
  <si>
    <t>A241257</t>
  </si>
  <si>
    <t>Orange Zest 172406</t>
  </si>
  <si>
    <t>Provencia</t>
  </si>
  <si>
    <t>A233708</t>
  </si>
  <si>
    <t>Silky Touch</t>
  </si>
  <si>
    <t>A404667</t>
  </si>
  <si>
    <t>Sportif A321239 /</t>
  </si>
  <si>
    <t>A419374</t>
  </si>
  <si>
    <t>Sportiff</t>
  </si>
  <si>
    <t>A321239</t>
  </si>
  <si>
    <t>Alsabah Oil Used Trading</t>
  </si>
  <si>
    <t>Ama Perfume Manufacturing</t>
  </si>
  <si>
    <t>22 Items</t>
  </si>
  <si>
    <t>28 Items</t>
  </si>
  <si>
    <t>7 Items</t>
  </si>
  <si>
    <t>89 Items</t>
  </si>
  <si>
    <t>Acqua DG</t>
  </si>
  <si>
    <t>A238185</t>
  </si>
  <si>
    <t>Adi active</t>
  </si>
  <si>
    <t>A255742</t>
  </si>
  <si>
    <t>Adorable</t>
  </si>
  <si>
    <t>A240828</t>
  </si>
  <si>
    <t>Amor Amor</t>
  </si>
  <si>
    <t>A236741</t>
  </si>
  <si>
    <t>Anais Anais</t>
  </si>
  <si>
    <t>A240245</t>
  </si>
  <si>
    <t>Azaroo Chrome</t>
  </si>
  <si>
    <t>A255593</t>
  </si>
  <si>
    <t>Brave Fuel</t>
  </si>
  <si>
    <t>A281061</t>
  </si>
  <si>
    <t>Ceekay One</t>
  </si>
  <si>
    <t>A231198</t>
  </si>
  <si>
    <t>Chloe</t>
  </si>
  <si>
    <t>A239846</t>
  </si>
  <si>
    <t>Coste Pour Femme</t>
  </si>
  <si>
    <t>A241381</t>
  </si>
  <si>
    <t>Declare Man ECO</t>
  </si>
  <si>
    <t>A255595</t>
  </si>
  <si>
    <t>Elsie</t>
  </si>
  <si>
    <t>A257272</t>
  </si>
  <si>
    <t>Encre Noir</t>
  </si>
  <si>
    <t>A244035</t>
  </si>
  <si>
    <t>Eternal Moment</t>
  </si>
  <si>
    <t>A241379</t>
  </si>
  <si>
    <t>Guiltless</t>
  </si>
  <si>
    <t>A284393</t>
  </si>
  <si>
    <t>Hugo Boss for Men</t>
  </si>
  <si>
    <t>A237094</t>
  </si>
  <si>
    <t>Light Blue</t>
  </si>
  <si>
    <t>A240833</t>
  </si>
  <si>
    <t>Marina Grove</t>
  </si>
  <si>
    <t>A253966</t>
  </si>
  <si>
    <t>Miraculous Woman</t>
  </si>
  <si>
    <t>A240823</t>
  </si>
  <si>
    <t>Oh Madame</t>
  </si>
  <si>
    <t>A261821</t>
  </si>
  <si>
    <t>PR Excess Noir Man</t>
  </si>
  <si>
    <t>Rasheqa</t>
  </si>
  <si>
    <t>A235280</t>
  </si>
  <si>
    <t>Romantic Woman</t>
  </si>
  <si>
    <t>A233706</t>
  </si>
  <si>
    <t>Safari Man</t>
  </si>
  <si>
    <t>A237375</t>
  </si>
  <si>
    <t>Sexy Graph</t>
  </si>
  <si>
    <t>A232509</t>
  </si>
  <si>
    <t>Amalia Perfumes International FZE</t>
  </si>
  <si>
    <t>Dehn Al Oudh</t>
  </si>
  <si>
    <t>A230908</t>
  </si>
  <si>
    <t>K Man</t>
  </si>
  <si>
    <t>A234432</t>
  </si>
  <si>
    <t>Lacoste White Toon TH</t>
  </si>
  <si>
    <t>Micalif</t>
  </si>
  <si>
    <t>A247454</t>
  </si>
  <si>
    <t>A251670</t>
  </si>
  <si>
    <t>Amazon Lubricants &amp; Grease</t>
  </si>
  <si>
    <t>Amegos Perfumes</t>
  </si>
  <si>
    <t>0013 (F)</t>
  </si>
  <si>
    <t>2001 Match</t>
  </si>
  <si>
    <t>A265082</t>
  </si>
  <si>
    <t>Ameya FZC</t>
  </si>
  <si>
    <t>Everlasting A235573 /</t>
  </si>
  <si>
    <t>A419373</t>
  </si>
  <si>
    <t>Everlasting 70%, Floral 20% &amp; Avocado 10%</t>
  </si>
  <si>
    <t>Sanitol A237612/</t>
  </si>
  <si>
    <t>P108729</t>
  </si>
  <si>
    <t>Amir Mosawer Company</t>
  </si>
  <si>
    <t>Fantasy by Britney Spears (F)</t>
  </si>
  <si>
    <t>Oxygen 581</t>
  </si>
  <si>
    <t>A404441</t>
  </si>
  <si>
    <t>PI by Givenchy L (M)</t>
  </si>
  <si>
    <t>Sparkle</t>
  </si>
  <si>
    <t>A350145</t>
  </si>
  <si>
    <t>Sportif</t>
  </si>
  <si>
    <t>Vanitas by Versace (F)</t>
  </si>
  <si>
    <t>Amreet Industries FZE</t>
  </si>
  <si>
    <t>Fruit Perfume</t>
  </si>
  <si>
    <t>Oudh Rose</t>
  </si>
  <si>
    <t>Softee Fragrance</t>
  </si>
  <si>
    <t>A241790</t>
  </si>
  <si>
    <t>Anchor Allied Factory Ltd</t>
  </si>
  <si>
    <t>Ceramide A339212/</t>
  </si>
  <si>
    <t>P108460</t>
  </si>
  <si>
    <t>Ceramide 70% &amp; Milk Fresh 30%</t>
  </si>
  <si>
    <t>Herbal Sea Breeze</t>
  </si>
  <si>
    <t>A306327</t>
  </si>
  <si>
    <t>Herbal Sea Breeze A306327/</t>
  </si>
  <si>
    <t>A416951</t>
  </si>
  <si>
    <t>Oudh</t>
  </si>
  <si>
    <t>Pot Pouri</t>
  </si>
  <si>
    <t>A240777</t>
  </si>
  <si>
    <t>Anwar Makkah Perfumes &amp; Gifts Trading</t>
  </si>
  <si>
    <t>212 Men by Carolina Herrera A258812 /</t>
  </si>
  <si>
    <t>A419375</t>
  </si>
  <si>
    <t>Aqua Gee Man</t>
  </si>
  <si>
    <t>Coco Vanille by Mancera (F) 67431</t>
  </si>
  <si>
    <t>Escape by Calvin Klein (F)</t>
  </si>
  <si>
    <t>Escentric Molecules 020 by Molecules (M) A</t>
  </si>
  <si>
    <t>F15711</t>
  </si>
  <si>
    <t>Happy Spirit by Chopard (F)</t>
  </si>
  <si>
    <t>Nemer by Boadicea C</t>
  </si>
  <si>
    <t>P06751</t>
  </si>
  <si>
    <t>Opulent Shaik Classic No. 77 by Shaik 70466</t>
  </si>
  <si>
    <t>Arabian Lubricants Co. LLC</t>
  </si>
  <si>
    <t>Cherish WS</t>
  </si>
  <si>
    <t>A250524</t>
  </si>
  <si>
    <t>Cherry Silver</t>
  </si>
  <si>
    <t>Crownlube</t>
  </si>
  <si>
    <t>Solvent Brown Dye</t>
  </si>
  <si>
    <t>A234247</t>
  </si>
  <si>
    <t>Arabian Mist Perfumes Trading</t>
  </si>
  <si>
    <t>Arabian Soul Perfumes</t>
  </si>
  <si>
    <t>Arabian Wet Wipes</t>
  </si>
  <si>
    <t>Arabol Lubricants Manufacturing LLC</t>
  </si>
  <si>
    <t>Ardh Al Shams Cleaning &amp; Detergent Trading</t>
  </si>
  <si>
    <t>Orchid</t>
  </si>
  <si>
    <t>A352534</t>
  </si>
  <si>
    <t>40% oil</t>
  </si>
  <si>
    <t>60% oil</t>
  </si>
  <si>
    <t>Yellow Musk A243193/ Mukhalat Alia</t>
  </si>
  <si>
    <t>A280535</t>
  </si>
  <si>
    <t>Arhams Jewellers FZCO/ Greata Enterprises/ Belleza Jewellery</t>
  </si>
  <si>
    <t>Aqua Heigh</t>
  </si>
  <si>
    <t>A275656</t>
  </si>
  <si>
    <t>Timeless</t>
  </si>
  <si>
    <t>A270524</t>
  </si>
  <si>
    <t>Ariyat International FZE</t>
  </si>
  <si>
    <t>Armor Lubricants Manufacturing</t>
  </si>
  <si>
    <t>Aroma Continental Perfumes</t>
  </si>
  <si>
    <t>Oil 1.50kg</t>
  </si>
  <si>
    <t>Aroma Perfumes LLC/ Euroarabian Perfumes</t>
  </si>
  <si>
    <t>Shay Oud</t>
  </si>
  <si>
    <t>Aroma Soaps &amp; Tissues Trading LLC</t>
  </si>
  <si>
    <t>Green</t>
  </si>
  <si>
    <t>A292115</t>
  </si>
  <si>
    <t>White</t>
  </si>
  <si>
    <t>A292112</t>
  </si>
  <si>
    <t>Around Africa General Trading</t>
  </si>
  <si>
    <t>Arpal Gulf LLC</t>
  </si>
  <si>
    <t>Arrows Cosmetics mfg CompanyTrading LLC</t>
  </si>
  <si>
    <t>Arrows Matched - 2 WS</t>
  </si>
  <si>
    <t>Cooler Man by Davidoff (M) A235765/ A401493 (WS)</t>
  </si>
  <si>
    <t>Ceramide</t>
  </si>
  <si>
    <t>A339212</t>
  </si>
  <si>
    <t>Dolin 85% &amp; Powder Soap Extra 15%</t>
  </si>
  <si>
    <t>Red Grape A299992 (Red Grape 50%/Rasberry 50%)</t>
  </si>
  <si>
    <t>Lemon Matched</t>
  </si>
  <si>
    <t>Lemon Grass A271087 (Lemon grass 80%/lemon 810 20%/than crystal)</t>
  </si>
  <si>
    <t>Menthol Crystal (CAS No. 89-78-1)</t>
  </si>
  <si>
    <t>Sunset Yellow FCF AFCZ-113/19-20</t>
  </si>
  <si>
    <t>Vanitas (F)</t>
  </si>
  <si>
    <t>Artek Cosmetics &amp; Perfumes LLC</t>
  </si>
  <si>
    <t>Artek</t>
  </si>
  <si>
    <t>A252885</t>
  </si>
  <si>
    <t>Balenciaga Paris</t>
  </si>
  <si>
    <t>A256076</t>
  </si>
  <si>
    <t>Eternal</t>
  </si>
  <si>
    <t>A259174</t>
  </si>
  <si>
    <t>Hot Water</t>
  </si>
  <si>
    <t>A256070</t>
  </si>
  <si>
    <t>Incredible Me</t>
  </si>
  <si>
    <t>A245550</t>
  </si>
  <si>
    <t>A256081</t>
  </si>
  <si>
    <t>Noir M</t>
  </si>
  <si>
    <t>A303292</t>
  </si>
  <si>
    <t>Noir W</t>
  </si>
  <si>
    <t>A303295</t>
  </si>
  <si>
    <t>Polo Black</t>
  </si>
  <si>
    <t>A256072</t>
  </si>
  <si>
    <t>Pure Musk</t>
  </si>
  <si>
    <t>A256079</t>
  </si>
  <si>
    <t>Asfar Laundry</t>
  </si>
  <si>
    <t>Samonia Savon</t>
  </si>
  <si>
    <t>A231707</t>
  </si>
  <si>
    <t>Asia Detergents &amp; Cleaning Industries LLC</t>
  </si>
  <si>
    <t>Asia Star Deisel Trading</t>
  </si>
  <si>
    <t>Aswar Elite Factory FZE</t>
  </si>
  <si>
    <t>Atlantic Grease &amp; Lubricants Manufacturing LLC</t>
  </si>
  <si>
    <t>Bubblegum</t>
  </si>
  <si>
    <t>A299986</t>
  </si>
  <si>
    <t>Gucci Guilty Absolute by Gucci (F)</t>
  </si>
  <si>
    <t>A413862</t>
  </si>
  <si>
    <t>Sauvage CP21021WS (polysorbate- 20 50%/dpg25%/sauvage25%)</t>
  </si>
  <si>
    <t>Ayaxxon Lubricants &amp; Grease LLC</t>
  </si>
  <si>
    <t>Azanco Lube Oil Industries FZE/ Iraqi Lubricant Company LLC</t>
  </si>
  <si>
    <t>Flourescent Green</t>
  </si>
  <si>
    <t>Oil Odorant GN 150</t>
  </si>
  <si>
    <t>A273911</t>
  </si>
  <si>
    <t>B-Safe</t>
  </si>
  <si>
    <t>Badr Cleaning Materials Manufacturing Co. LLC</t>
  </si>
  <si>
    <t>Badrul Islam Perfumes Trading LLC</t>
  </si>
  <si>
    <t>Acqua Di Gio</t>
  </si>
  <si>
    <t>A259815</t>
  </si>
  <si>
    <t>Almas</t>
  </si>
  <si>
    <t>A251671</t>
  </si>
  <si>
    <t>Applemint</t>
  </si>
  <si>
    <t>A322909</t>
  </si>
  <si>
    <t>A250695</t>
  </si>
  <si>
    <t>Arais Mod</t>
  </si>
  <si>
    <t>A259365</t>
  </si>
  <si>
    <t>Attar Bazar</t>
  </si>
  <si>
    <t>A263955</t>
  </si>
  <si>
    <t>Attar Full</t>
  </si>
  <si>
    <t>A251909</t>
  </si>
  <si>
    <t>Attar Mubakhar</t>
  </si>
  <si>
    <t>A261786</t>
  </si>
  <si>
    <t>Badr</t>
  </si>
  <si>
    <t>A251675</t>
  </si>
  <si>
    <t>A249717</t>
  </si>
  <si>
    <t>Big Pony 1 by Ralph Lauren</t>
  </si>
  <si>
    <t>Black XS Aphrodisiaque (F) C</t>
  </si>
  <si>
    <t>Blue Lady</t>
  </si>
  <si>
    <t>A250448</t>
  </si>
  <si>
    <t>Blue Sport</t>
  </si>
  <si>
    <t>A257931</t>
  </si>
  <si>
    <t>Bright Woman</t>
  </si>
  <si>
    <t>A245820</t>
  </si>
  <si>
    <t>A252816</t>
  </si>
  <si>
    <t>Damask Rose</t>
  </si>
  <si>
    <t>A249749</t>
  </si>
  <si>
    <t>Dinky NY</t>
  </si>
  <si>
    <t>Dunhill Desire</t>
  </si>
  <si>
    <t>Elemental</t>
  </si>
  <si>
    <t>A244282</t>
  </si>
  <si>
    <t>Escada</t>
  </si>
  <si>
    <t>A249718</t>
  </si>
  <si>
    <t>Escape by Calvin Klein</t>
  </si>
  <si>
    <t>Fahrenheit</t>
  </si>
  <si>
    <t>A259209</t>
  </si>
  <si>
    <t>Glamour</t>
  </si>
  <si>
    <t>A239044</t>
  </si>
  <si>
    <t>Hamil Al Mas</t>
  </si>
  <si>
    <t>A254433</t>
  </si>
  <si>
    <t>Hugo Boss</t>
  </si>
  <si>
    <t>A242451</t>
  </si>
  <si>
    <t>Hugo Green</t>
  </si>
  <si>
    <t>A241363</t>
  </si>
  <si>
    <t>A263719</t>
  </si>
  <si>
    <t>Jadid</t>
  </si>
  <si>
    <t>A265173</t>
  </si>
  <si>
    <t>Jadore</t>
  </si>
  <si>
    <t>A242059</t>
  </si>
  <si>
    <t>Lapidus by Ted Lapidus</t>
  </si>
  <si>
    <t>A235769</t>
  </si>
  <si>
    <t>Le Paradise De Nina By Nina Ricci</t>
  </si>
  <si>
    <t>A259807</t>
  </si>
  <si>
    <t>A246898</t>
  </si>
  <si>
    <t>Rose  A233185 (Pure)</t>
  </si>
  <si>
    <t>Moiselle A256803 (Madamoiselle)</t>
  </si>
  <si>
    <t>Mr. Tom Oudh</t>
  </si>
  <si>
    <t>A261642</t>
  </si>
  <si>
    <t>Narciso Rodrigues</t>
  </si>
  <si>
    <t>A243963</t>
  </si>
  <si>
    <t>Nina By Nina Ricci</t>
  </si>
  <si>
    <t>A236388</t>
  </si>
  <si>
    <t>Nina Ricci</t>
  </si>
  <si>
    <t>Nina Ricci Toil</t>
  </si>
  <si>
    <t>A253629</t>
  </si>
  <si>
    <t>Oh Madam</t>
  </si>
  <si>
    <t>One Gentleman</t>
  </si>
  <si>
    <t>A244283</t>
  </si>
  <si>
    <t>Orange by Givenchy</t>
  </si>
  <si>
    <t>A240243</t>
  </si>
  <si>
    <t>Parsian</t>
  </si>
  <si>
    <t>Raffy-Ralph Lauren</t>
  </si>
  <si>
    <t>Rakan</t>
  </si>
  <si>
    <t>A249811</t>
  </si>
  <si>
    <t>A250489</t>
  </si>
  <si>
    <t>40%OIL // 60%DPG</t>
  </si>
  <si>
    <t>Reve Dor</t>
  </si>
  <si>
    <t>A239042</t>
  </si>
  <si>
    <t>A249715</t>
  </si>
  <si>
    <t>Shek</t>
  </si>
  <si>
    <t>A256429</t>
  </si>
  <si>
    <t>Sultan</t>
  </si>
  <si>
    <t>A237621</t>
  </si>
  <si>
    <t>The Night</t>
  </si>
  <si>
    <t>A252503</t>
  </si>
  <si>
    <t>Tom Ford Tuscan Leather</t>
  </si>
  <si>
    <t>Two One Sensual Woman</t>
  </si>
  <si>
    <t>A239207</t>
  </si>
  <si>
    <t>Two One Two Woman</t>
  </si>
  <si>
    <t>A240831</t>
  </si>
  <si>
    <t>Two Sexy</t>
  </si>
  <si>
    <t>A241217</t>
  </si>
  <si>
    <t>Bait Al Ameera Perfumes Trading</t>
  </si>
  <si>
    <t>Escada Taj Sunset (Escada Pink) (F)</t>
  </si>
  <si>
    <t>Bait Al Oud General Trading LLC</t>
  </si>
  <si>
    <t>Crystal Bright Woman</t>
  </si>
  <si>
    <t>Givenchy PI</t>
  </si>
  <si>
    <t>Si (F) C</t>
  </si>
  <si>
    <t>Bait Al Zeot Industry</t>
  </si>
  <si>
    <t>30% Oil Key</t>
  </si>
  <si>
    <t>Barakath Detergents &amp; Disinfectants Manufacturing</t>
  </si>
  <si>
    <t>Barqan Perfumes</t>
  </si>
  <si>
    <t>Best Care General Trading LLLC</t>
  </si>
  <si>
    <t>Bright &amp; Beautiful</t>
  </si>
  <si>
    <t>P108621</t>
  </si>
  <si>
    <t>Citrus Fresh</t>
  </si>
  <si>
    <t>A238523</t>
  </si>
  <si>
    <t>30% Key Oil</t>
  </si>
  <si>
    <t>Passion</t>
  </si>
  <si>
    <t>P782007</t>
  </si>
  <si>
    <t>Sanitol</t>
  </si>
  <si>
    <t>A237612</t>
  </si>
  <si>
    <t>Best Detergents &amp; Disinfectants Manufacturing LLC</t>
  </si>
  <si>
    <t>Bethesda General Trading LLC</t>
  </si>
  <si>
    <t>Biethaan Personal Care Products</t>
  </si>
  <si>
    <t>Tea Rose</t>
  </si>
  <si>
    <t>A242052</t>
  </si>
  <si>
    <t>Biotechnology International Company LLC</t>
  </si>
  <si>
    <t>FLOURAMAX A270578/</t>
  </si>
  <si>
    <t>Flouramax40%, Strawberry 20%, Banana 20%g &amp; Cherry 20%</t>
  </si>
  <si>
    <t>Pink Rose A319989/</t>
  </si>
  <si>
    <t>A401488</t>
  </si>
  <si>
    <t>Red Grape 50%/ Fruity Smoothie 30% /Green Apple 20% /than make 60% oil</t>
  </si>
  <si>
    <t>Biotek Solutions</t>
  </si>
  <si>
    <t>Black Bulls (Orbit Grease &amp; Lubricants Ind. Factory LLC)</t>
  </si>
  <si>
    <t>Flourescent Green WS 20418</t>
  </si>
  <si>
    <t>Blends Frago</t>
  </si>
  <si>
    <t>Blue Bird Perfume Trading/ New Feeling Trading</t>
  </si>
  <si>
    <t>A244297</t>
  </si>
  <si>
    <t>Cuticure</t>
  </si>
  <si>
    <t>Excess Noir</t>
  </si>
  <si>
    <t>Irish Leather (M) 52160</t>
  </si>
  <si>
    <t>Noora</t>
  </si>
  <si>
    <t>A273822</t>
  </si>
  <si>
    <t>Oud Star C</t>
  </si>
  <si>
    <t>P14832</t>
  </si>
  <si>
    <t>Overt (Open)</t>
  </si>
  <si>
    <t>A233482</t>
  </si>
  <si>
    <t>Poison (F)</t>
  </si>
  <si>
    <t>A242628</t>
  </si>
  <si>
    <t>Poison by Christian Dior (F) A242628/</t>
  </si>
  <si>
    <t>A415887</t>
  </si>
  <si>
    <t>Tuscan Leather (M) C</t>
  </si>
  <si>
    <t>Bright Detergent &amp; Disinfectant Mfg LLC</t>
  </si>
  <si>
    <t>Brindal Lubricants/ Brindal International General Trading LLC</t>
  </si>
  <si>
    <t>Bu Essa General Trading/ Qtrade Marketing &amp; Distribution Co WWL</t>
  </si>
  <si>
    <t>Oil 4.5kg</t>
  </si>
  <si>
    <t>Café Coffee</t>
  </si>
  <si>
    <t>A258697</t>
  </si>
  <si>
    <t>Coastal Escape</t>
  </si>
  <si>
    <t>A318767</t>
  </si>
  <si>
    <t>Coco Mademoiselle by Chanel A413848 (F)</t>
  </si>
  <si>
    <t>Energise Tangerine</t>
  </si>
  <si>
    <t>A312322</t>
  </si>
  <si>
    <t>Floralia</t>
  </si>
  <si>
    <t>A290714</t>
  </si>
  <si>
    <t>Flower Potion C</t>
  </si>
  <si>
    <t>P12379</t>
  </si>
  <si>
    <t>Heather Highlands</t>
  </si>
  <si>
    <t>A318769</t>
  </si>
  <si>
    <t>Lemon &amp; Peppermint</t>
  </si>
  <si>
    <t>A275096</t>
  </si>
  <si>
    <t>Mountain Glacier</t>
  </si>
  <si>
    <t>A318768</t>
  </si>
  <si>
    <t>Sportsman</t>
  </si>
  <si>
    <t>Sunshine Couture C</t>
  </si>
  <si>
    <t>P12880</t>
  </si>
  <si>
    <t>Tuscan Leather by Tom Ford (F) C</t>
  </si>
  <si>
    <t>Burj Eiffel Int'l Grease &amp; Lubricants Mfg</t>
  </si>
  <si>
    <t>Camelicious</t>
  </si>
  <si>
    <t>Canroyal Oil Lubricants</t>
  </si>
  <si>
    <t>Canter Lube Oil/ Associated Oil &amp; Grease Industry LLC</t>
  </si>
  <si>
    <t>Lubrication/ Flourescent Green Dye</t>
  </si>
  <si>
    <t>Capitol Int'l General Trading</t>
  </si>
  <si>
    <t>Casablanca Trading</t>
  </si>
  <si>
    <t>Musk Tahara White 39854</t>
  </si>
  <si>
    <t>Supreme Bouquet by YSL C</t>
  </si>
  <si>
    <t>P09427</t>
  </si>
  <si>
    <t>Cash Customer</t>
  </si>
  <si>
    <t>Accento By Sospiro (U) 60464</t>
  </si>
  <si>
    <t>Bouquet Subtil C</t>
  </si>
  <si>
    <t>Coco Mademoiselle by Chanel (F)</t>
  </si>
  <si>
    <t>A413848</t>
  </si>
  <si>
    <t>Erba Pura by Sospiro (M) 71367</t>
  </si>
  <si>
    <t>Erba Pura by sospiro AF 15861 (SF)</t>
  </si>
  <si>
    <t>Escape by Calvin Klein (F) A241367/</t>
  </si>
  <si>
    <t>A403148</t>
  </si>
  <si>
    <t>Eternity By Calvin Klein (M) A242452/</t>
  </si>
  <si>
    <t>A423310</t>
  </si>
  <si>
    <t>Fantasy (F)</t>
  </si>
  <si>
    <t>Fantasy by Britney Spears (F) A245818 /</t>
  </si>
  <si>
    <t>A415891</t>
  </si>
  <si>
    <t>Fragile by Jean Paul Gautier (F)</t>
  </si>
  <si>
    <t>Jadore (F)</t>
  </si>
  <si>
    <t>Jadore by Christian Dior (F) A245190 /</t>
  </si>
  <si>
    <t>A419376</t>
  </si>
  <si>
    <t>Lady Million by Paco Rabanne (F)</t>
  </si>
  <si>
    <t>Light Blue by Dolce &amp; Gabbana (F)</t>
  </si>
  <si>
    <t>30% Key</t>
  </si>
  <si>
    <t>PEG40 Hydrigenated Castor Oil (RH40)</t>
  </si>
  <si>
    <t>Poison by Christian Dior (F)</t>
  </si>
  <si>
    <t>Cash Customer c/o Umair</t>
  </si>
  <si>
    <t>Cash Customer/ Nizar</t>
  </si>
  <si>
    <t>D &amp; G Light Blue (F)</t>
  </si>
  <si>
    <t>Fahrenheit by Christian Dior (M) A243757/</t>
  </si>
  <si>
    <t>A416429</t>
  </si>
  <si>
    <t>Happy Spirit (F)</t>
  </si>
  <si>
    <t>Champion Lubricants Oils LLC</t>
  </si>
  <si>
    <t>Chemcrown International Ltd</t>
  </si>
  <si>
    <t>BLV Man</t>
  </si>
  <si>
    <t>Chemex-Chemical &amp; Hygiene Products LLC</t>
  </si>
  <si>
    <t>2058 Frag El Madina A280536 (Warda)</t>
  </si>
  <si>
    <t>Citrus Fresh A238523/</t>
  </si>
  <si>
    <t>A401492</t>
  </si>
  <si>
    <t>Lazer Lemon</t>
  </si>
  <si>
    <t>A270903</t>
  </si>
  <si>
    <t>Orange 219560</t>
  </si>
  <si>
    <t>Orange Peeling</t>
  </si>
  <si>
    <t>Orange Zest 200484</t>
  </si>
  <si>
    <t>A244738</t>
  </si>
  <si>
    <t>Pine Extra Conifer</t>
  </si>
  <si>
    <t>Pine Mod</t>
  </si>
  <si>
    <t>A250892</t>
  </si>
  <si>
    <t>Pine Super</t>
  </si>
  <si>
    <t>A246165</t>
  </si>
  <si>
    <t>Pot Pourri</t>
  </si>
  <si>
    <t>SLES 70%</t>
  </si>
  <si>
    <t>Saffron</t>
  </si>
  <si>
    <t>Warda Mod</t>
  </si>
  <si>
    <t>Chemical Link Trading</t>
  </si>
  <si>
    <t>Choice Cleaning Products</t>
  </si>
  <si>
    <t>Citrol Lubricants LLC/ Enercon Lubricant (Plant Jabal Ali)</t>
  </si>
  <si>
    <t>Coolant Green 230573</t>
  </si>
  <si>
    <t>Coolant Red 110414</t>
  </si>
  <si>
    <t>Class Perfumes</t>
  </si>
  <si>
    <t>0010</t>
  </si>
  <si>
    <t>A294410</t>
  </si>
  <si>
    <t>20 One Two</t>
  </si>
  <si>
    <t>A281063</t>
  </si>
  <si>
    <t>Adventure C</t>
  </si>
  <si>
    <t>P01088</t>
  </si>
  <si>
    <t>Al Fares</t>
  </si>
  <si>
    <t>A283336</t>
  </si>
  <si>
    <t>Alias</t>
  </si>
  <si>
    <t>Alluring Woman</t>
  </si>
  <si>
    <t>A281054</t>
  </si>
  <si>
    <t>Angel Or devil</t>
  </si>
  <si>
    <t>A236201</t>
  </si>
  <si>
    <t>A235757</t>
  </si>
  <si>
    <t>Aqua Gee Woman</t>
  </si>
  <si>
    <t>A237357</t>
  </si>
  <si>
    <t>Aqua Height</t>
  </si>
  <si>
    <t>Balkis</t>
  </si>
  <si>
    <t>A282343</t>
  </si>
  <si>
    <t>Beautiful Life</t>
  </si>
  <si>
    <t>A290974</t>
  </si>
  <si>
    <t>Belle</t>
  </si>
  <si>
    <t>A266487</t>
  </si>
  <si>
    <t>Black Oud</t>
  </si>
  <si>
    <t>A275251</t>
  </si>
  <si>
    <t>Black Rose by Tom Ford C</t>
  </si>
  <si>
    <t>P03319</t>
  </si>
  <si>
    <t>Blue Orchid</t>
  </si>
  <si>
    <t>A281072</t>
  </si>
  <si>
    <t>Bobby Valley II</t>
  </si>
  <si>
    <t>Bokhra</t>
  </si>
  <si>
    <t>A287070</t>
  </si>
  <si>
    <t>CT 06751 C</t>
  </si>
  <si>
    <t>Carol</t>
  </si>
  <si>
    <t>A242631</t>
  </si>
  <si>
    <t>Chancer</t>
  </si>
  <si>
    <t>A234616</t>
  </si>
  <si>
    <t>A261788</t>
  </si>
  <si>
    <t>Cinematic</t>
  </si>
  <si>
    <t>A281067</t>
  </si>
  <si>
    <t>City Gold</t>
  </si>
  <si>
    <t>A292478</t>
  </si>
  <si>
    <t>Clive Christian X Malcolm 7912/V/12</t>
  </si>
  <si>
    <t>Coupable Intense C</t>
  </si>
  <si>
    <t>P00864</t>
  </si>
  <si>
    <t>Crystalize Noir</t>
  </si>
  <si>
    <t>A268938</t>
  </si>
  <si>
    <t>Damask Rose/ Tea Rose</t>
  </si>
  <si>
    <t>Dark Amber C</t>
  </si>
  <si>
    <t>P08026</t>
  </si>
  <si>
    <t>Declare Man</t>
  </si>
  <si>
    <t>A281064</t>
  </si>
  <si>
    <t>Dee Gee Man</t>
  </si>
  <si>
    <t>A238514</t>
  </si>
  <si>
    <t>Dee Homme Sport</t>
  </si>
  <si>
    <t>A244322</t>
  </si>
  <si>
    <t>Dolly Babe</t>
  </si>
  <si>
    <t>A281066</t>
  </si>
  <si>
    <t>Dora</t>
  </si>
  <si>
    <t>A281062</t>
  </si>
  <si>
    <t>Eau Tendre</t>
  </si>
  <si>
    <t>A276403</t>
  </si>
  <si>
    <t>Euphoric</t>
  </si>
  <si>
    <t>A270858</t>
  </si>
  <si>
    <t>Euphoric Woman</t>
  </si>
  <si>
    <t>A235735</t>
  </si>
  <si>
    <t>Excess Noir Woman</t>
  </si>
  <si>
    <t>A234434</t>
  </si>
  <si>
    <t>Fame by Lady Gaga C</t>
  </si>
  <si>
    <t>P04019</t>
  </si>
  <si>
    <t>Findi Man</t>
  </si>
  <si>
    <t>Goochie Goochie</t>
  </si>
  <si>
    <t>A241028</t>
  </si>
  <si>
    <t>Gucci Rush Woman</t>
  </si>
  <si>
    <t>Guilt-Trip</t>
  </si>
  <si>
    <t>A269984</t>
  </si>
  <si>
    <t>Guilty Pleasure</t>
  </si>
  <si>
    <t>A281057</t>
  </si>
  <si>
    <t>Gushing</t>
  </si>
  <si>
    <t>A234431</t>
  </si>
  <si>
    <t>Harris</t>
  </si>
  <si>
    <t>Her Play</t>
  </si>
  <si>
    <t>A261053</t>
  </si>
  <si>
    <t>Hugo Homme</t>
  </si>
  <si>
    <t>A289196</t>
  </si>
  <si>
    <t>Lancome Miracle 48746</t>
  </si>
  <si>
    <t>Le Croc</t>
  </si>
  <si>
    <t>A288320</t>
  </si>
  <si>
    <t>Legend by Mont Blanc C</t>
  </si>
  <si>
    <t>P00867</t>
  </si>
  <si>
    <t>Lord</t>
  </si>
  <si>
    <t>A282341</t>
  </si>
  <si>
    <t>Manifesto by Yves Saint Laurent C</t>
  </si>
  <si>
    <t>P04018</t>
  </si>
  <si>
    <t>Midnight</t>
  </si>
  <si>
    <t>A229845</t>
  </si>
  <si>
    <t>Miss Belle</t>
  </si>
  <si>
    <t>A291443</t>
  </si>
  <si>
    <t>A254190</t>
  </si>
  <si>
    <t>Mount Blanc</t>
  </si>
  <si>
    <t>A281058</t>
  </si>
  <si>
    <t>A294673</t>
  </si>
  <si>
    <t>Mukhalat Tahir</t>
  </si>
  <si>
    <t>A295776</t>
  </si>
  <si>
    <t>My Dear</t>
  </si>
  <si>
    <t>A250905</t>
  </si>
  <si>
    <t>Night Code</t>
  </si>
  <si>
    <t>A258553</t>
  </si>
  <si>
    <t>No.1</t>
  </si>
  <si>
    <t>A282947</t>
  </si>
  <si>
    <t>No.2</t>
  </si>
  <si>
    <t>A277122</t>
  </si>
  <si>
    <t>No.3</t>
  </si>
  <si>
    <t>A277123</t>
  </si>
  <si>
    <t>No.4</t>
  </si>
  <si>
    <t>A277124</t>
  </si>
  <si>
    <t>No.5</t>
  </si>
  <si>
    <t>A282498</t>
  </si>
  <si>
    <t>Nora</t>
  </si>
  <si>
    <t>A287071</t>
  </si>
  <si>
    <t>Ocean Linger</t>
  </si>
  <si>
    <t>A281070</t>
  </si>
  <si>
    <t>P05507</t>
  </si>
  <si>
    <t>Oud Mal C</t>
  </si>
  <si>
    <t>P04964</t>
  </si>
  <si>
    <t>Oudhwood</t>
  </si>
  <si>
    <t>A250525</t>
  </si>
  <si>
    <t>Peach WS</t>
  </si>
  <si>
    <t>Pink Jasmine C</t>
  </si>
  <si>
    <t>P04982</t>
  </si>
  <si>
    <t>Plaisir Fem</t>
  </si>
  <si>
    <t>A230743</t>
  </si>
  <si>
    <t>Platin Ego</t>
  </si>
  <si>
    <t>A281065</t>
  </si>
  <si>
    <t>Play Time</t>
  </si>
  <si>
    <t>A281071</t>
  </si>
  <si>
    <t>Poise Woman</t>
  </si>
  <si>
    <t>A281056</t>
  </si>
  <si>
    <t>Raffy</t>
  </si>
  <si>
    <t>Raj Sundown</t>
  </si>
  <si>
    <t>A281059</t>
  </si>
  <si>
    <t>Samo</t>
  </si>
  <si>
    <t>A287069</t>
  </si>
  <si>
    <t>Secret Dare</t>
  </si>
  <si>
    <t>A297621</t>
  </si>
  <si>
    <t>A261254</t>
  </si>
  <si>
    <t>Sexy Graphiti</t>
  </si>
  <si>
    <t>A239484</t>
  </si>
  <si>
    <t>Sexy Secret</t>
  </si>
  <si>
    <t>A297622</t>
  </si>
  <si>
    <t>She</t>
  </si>
  <si>
    <t>A293787</t>
  </si>
  <si>
    <t>Sheikh Al Oud C</t>
  </si>
  <si>
    <t>P10610</t>
  </si>
  <si>
    <t>Smart Blue</t>
  </si>
  <si>
    <t>A292477</t>
  </si>
  <si>
    <t>Soir</t>
  </si>
  <si>
    <t>A286755</t>
  </si>
  <si>
    <t>A282342</t>
  </si>
  <si>
    <t>Star</t>
  </si>
  <si>
    <t>A283335</t>
  </si>
  <si>
    <t>Sultan Mod</t>
  </si>
  <si>
    <t>Superman</t>
  </si>
  <si>
    <t>A283337</t>
  </si>
  <si>
    <t>Tender</t>
  </si>
  <si>
    <t>The Lovely One</t>
  </si>
  <si>
    <t>A281068</t>
  </si>
  <si>
    <t>The Premier</t>
  </si>
  <si>
    <t>A297623</t>
  </si>
  <si>
    <t>A281060</t>
  </si>
  <si>
    <t>Two One Man</t>
  </si>
  <si>
    <t>A235773</t>
  </si>
  <si>
    <t>Very important At 21</t>
  </si>
  <si>
    <t>A281073</t>
  </si>
  <si>
    <t>Zahra</t>
  </si>
  <si>
    <t>A287068</t>
  </si>
  <si>
    <t>Clean Globe Industries LLC</t>
  </si>
  <si>
    <t>Connection Zone Middle East General Trading LLC</t>
  </si>
  <si>
    <t>Continental Oil &amp; Lubricants FZE</t>
  </si>
  <si>
    <t>Solvent Red Cap/2/3001</t>
  </si>
  <si>
    <t>Coral Perfumes Industries</t>
  </si>
  <si>
    <t>Creek Locaters FZC</t>
  </si>
  <si>
    <t>Crystal Detergent &amp; Plastic Trading LLC</t>
  </si>
  <si>
    <t>Detergent Powder Green GP</t>
  </si>
  <si>
    <t>Everlasting</t>
  </si>
  <si>
    <t>A235537</t>
  </si>
  <si>
    <t>DDC International Factory FZC</t>
  </si>
  <si>
    <t>60% Oil</t>
  </si>
  <si>
    <t>Damas Paper Product Manufacturing</t>
  </si>
  <si>
    <t>Green Chamomile A324052/</t>
  </si>
  <si>
    <t>A415890</t>
  </si>
  <si>
    <t>Damascus Perfumes</t>
  </si>
  <si>
    <t>Dana Group of Companies (Dana Lubricants Factory LLC)</t>
  </si>
  <si>
    <t>citropine 85%/Pinefresh 15%</t>
  </si>
  <si>
    <t>Darhoon International Lubricants</t>
  </si>
  <si>
    <t>Flouramax Silver</t>
  </si>
  <si>
    <t>Delta Food industries FZE</t>
  </si>
  <si>
    <t>Allura Red E129</t>
  </si>
  <si>
    <t>Dilka Centre</t>
  </si>
  <si>
    <t>Disarp Global Hygiene Solutions/ Fam Holding LLC</t>
  </si>
  <si>
    <t>Ditra Sitra</t>
  </si>
  <si>
    <t>Dive Master Filling</t>
  </si>
  <si>
    <t>Oudh Rose A272357/</t>
  </si>
  <si>
    <t>A419009</t>
  </si>
  <si>
    <t>Dolphin Lubricants/ Al Dolphin Grease &amp; Lubricants Manufacturing LLC</t>
  </si>
  <si>
    <t>Mask Me</t>
  </si>
  <si>
    <t>30% key and 70% dpg</t>
  </si>
  <si>
    <t>Maskime</t>
  </si>
  <si>
    <t>A350049</t>
  </si>
  <si>
    <t>Dr. Scent</t>
  </si>
  <si>
    <t>Dubai Lubricants Waste Recycling LLC</t>
  </si>
  <si>
    <t>Eagle Grease &amp; Lubricants Manufacting LLC/ Exone International</t>
  </si>
  <si>
    <t>Black Pot Pourri</t>
  </si>
  <si>
    <t>A282771</t>
  </si>
  <si>
    <t>Eagle Oil Refining Company LLC</t>
  </si>
  <si>
    <t>Eastern Rose Laundry</t>
  </si>
  <si>
    <t>GC 131501 A233710/</t>
  </si>
  <si>
    <t>A415889</t>
  </si>
  <si>
    <t>Eili Industries FZC/ Emirates International Lub Industry</t>
  </si>
  <si>
    <t>Elegance Cosmetics Manufacturing Ind L.L.C</t>
  </si>
  <si>
    <t>Palmer</t>
  </si>
  <si>
    <t>cocoa butter 85%/chocolate 10%/pine fresh 5%/than mak crystal</t>
  </si>
  <si>
    <t>Elit Industry FZE/ Farmex Freshia Trading LLC</t>
  </si>
  <si>
    <t>Floral</t>
  </si>
  <si>
    <t>A292853</t>
  </si>
  <si>
    <t>Water Lily</t>
  </si>
  <si>
    <t>Elite Cleaning Products Factory LLC</t>
  </si>
  <si>
    <t>Sweet Musk Silver</t>
  </si>
  <si>
    <t>Emirates Lube Oil FZC</t>
  </si>
  <si>
    <t>Emirates Market General Trading</t>
  </si>
  <si>
    <t>Alluring (M)</t>
  </si>
  <si>
    <t>60 % Oil &amp; 40 % DPG</t>
  </si>
  <si>
    <t>Emirates Modern Lubricant Factory Llc</t>
  </si>
  <si>
    <t>Emirates Wet Wipes FZCO</t>
  </si>
  <si>
    <t>Fanny Mod</t>
  </si>
  <si>
    <t>A248856</t>
  </si>
  <si>
    <t>Emirol Lube &amp; Grease Manufacturing Company LLC</t>
  </si>
  <si>
    <t>Coolant Blue 240513</t>
  </si>
  <si>
    <t>Epoch Cosmetics</t>
  </si>
  <si>
    <t>Euroline Perufmes Industry</t>
  </si>
  <si>
    <t>A257634</t>
  </si>
  <si>
    <t>Boom Boom</t>
  </si>
  <si>
    <t>A280724</t>
  </si>
  <si>
    <t>MJ Boom</t>
  </si>
  <si>
    <t>A259817</t>
  </si>
  <si>
    <t>Midnight Treasure</t>
  </si>
  <si>
    <t>A287829</t>
  </si>
  <si>
    <t>Overdose</t>
  </si>
  <si>
    <t>A280726</t>
  </si>
  <si>
    <t>Sweetie</t>
  </si>
  <si>
    <t>A280727</t>
  </si>
  <si>
    <t>The Winner</t>
  </si>
  <si>
    <t>A261823</t>
  </si>
  <si>
    <t>Tim Ford</t>
  </si>
  <si>
    <t>A241866</t>
  </si>
  <si>
    <t>Wood Mystique Type II</t>
  </si>
  <si>
    <t>A288196</t>
  </si>
  <si>
    <t>European Cosmetic Manufacturing Co., LLC</t>
  </si>
  <si>
    <t>Blue Gel</t>
  </si>
  <si>
    <t>A258963</t>
  </si>
  <si>
    <t>R252075</t>
  </si>
  <si>
    <t>Fruit Smoothie</t>
  </si>
  <si>
    <t>Green Apple Perfume</t>
  </si>
  <si>
    <t>A248758</t>
  </si>
  <si>
    <t>Green Gel</t>
  </si>
  <si>
    <t>A258961</t>
  </si>
  <si>
    <t>Kiwi Flavoring</t>
  </si>
  <si>
    <t>M53092</t>
  </si>
  <si>
    <t>Orange Gel</t>
  </si>
  <si>
    <t>A258965</t>
  </si>
  <si>
    <t>Pink Gel</t>
  </si>
  <si>
    <t>A258964</t>
  </si>
  <si>
    <t>A246246</t>
  </si>
  <si>
    <t>Zaja</t>
  </si>
  <si>
    <t>European Perfume Works/ Emicos International/ Scion Group of Companies</t>
  </si>
  <si>
    <t>Kiwi Flavouring M53092 7K3663</t>
  </si>
  <si>
    <t>Wildberry Grass</t>
  </si>
  <si>
    <t>A197475</t>
  </si>
  <si>
    <t>Everglobal Trading LLC</t>
  </si>
  <si>
    <t>Faan Al Ibda Perfumes &amp; Cosmetics</t>
  </si>
  <si>
    <t>40% Oil &amp; 60 % DPG</t>
  </si>
  <si>
    <t>80 % Oil AND 20 % DPG</t>
  </si>
  <si>
    <t>Fairdeal Trading</t>
  </si>
  <si>
    <t>Afshan</t>
  </si>
  <si>
    <t>Fidji by Guy Larorche (F) A241586/A415883 - 40% Oil</t>
  </si>
  <si>
    <t>6kg oil and 10kg DPG</t>
  </si>
  <si>
    <t>Fakhama Perfumes Industry</t>
  </si>
  <si>
    <t>Class II A282275 (Victoria A282275)</t>
  </si>
  <si>
    <t>Mashmoom</t>
  </si>
  <si>
    <t>Fakhruddin Khuman Perfumes</t>
  </si>
  <si>
    <t>Falcon Detergent Industry</t>
  </si>
  <si>
    <t>Amber Oud</t>
  </si>
  <si>
    <t>70% (Mukhalat 90%, Bakhour 10%) &amp; DPG 30%</t>
  </si>
  <si>
    <t>Apricot 60 % oil and 40 % dpg</t>
  </si>
  <si>
    <t>Warda Mod A236985/</t>
  </si>
  <si>
    <t>A402014</t>
  </si>
  <si>
    <t>Fast Truck Grease &amp; Manufacturing</t>
  </si>
  <si>
    <t>Fayfa Chemicals</t>
  </si>
  <si>
    <t>April Fresh</t>
  </si>
  <si>
    <t>A233184</t>
  </si>
  <si>
    <t>GC 131501 Mod A233710/</t>
  </si>
  <si>
    <t>Lemon FBH Mod</t>
  </si>
  <si>
    <t>A236084</t>
  </si>
  <si>
    <t>Pine Matched 1-1</t>
  </si>
  <si>
    <t>Sanitol 50%, Pine Fresh 50% than Gold</t>
  </si>
  <si>
    <t>Tofa A233703/</t>
  </si>
  <si>
    <t>A415884</t>
  </si>
  <si>
    <t>Fine Hygiene Holding</t>
  </si>
  <si>
    <t>First Choice Dry Cleaning</t>
  </si>
  <si>
    <t>First Perfumes Industry</t>
  </si>
  <si>
    <t>A Honour</t>
  </si>
  <si>
    <t>A338180</t>
  </si>
  <si>
    <t>Alien (F)</t>
  </si>
  <si>
    <t>Black Orchid (M)</t>
  </si>
  <si>
    <t>CT0028 C</t>
  </si>
  <si>
    <t>Cherry In The Air By Escada (F)</t>
  </si>
  <si>
    <t>A297629</t>
  </si>
  <si>
    <t>Fahrenheit by Christian Dior (M)</t>
  </si>
  <si>
    <t>A243757</t>
  </si>
  <si>
    <t>Flash Point Lubricant</t>
  </si>
  <si>
    <t>Flora Perfumes/ Verona Perfumes</t>
  </si>
  <si>
    <t>0028 Hydro C</t>
  </si>
  <si>
    <t>P08975</t>
  </si>
  <si>
    <t>Amouge Interlude Woman</t>
  </si>
  <si>
    <t>A295732</t>
  </si>
  <si>
    <t>Black Candy C</t>
  </si>
  <si>
    <t>P09430</t>
  </si>
  <si>
    <t>Botanical Flowers</t>
  </si>
  <si>
    <t>A293785</t>
  </si>
  <si>
    <t>King Oud C</t>
  </si>
  <si>
    <t>P06775</t>
  </si>
  <si>
    <t>A235734</t>
  </si>
  <si>
    <t>A261338</t>
  </si>
  <si>
    <t>Mukhalat Red</t>
  </si>
  <si>
    <t>A246761</t>
  </si>
  <si>
    <t>Florence Cosmetics Manufacturing Industries LLC</t>
  </si>
  <si>
    <t>2008 Frag El Madina</t>
  </si>
  <si>
    <t>Black 7 Dye Powder</t>
  </si>
  <si>
    <t>Menthol Crystal</t>
  </si>
  <si>
    <t>Mukhalat Silver</t>
  </si>
  <si>
    <t>Ward</t>
  </si>
  <si>
    <t>A258815</t>
  </si>
  <si>
    <t>Flytex Lubricants</t>
  </si>
  <si>
    <t>Foto Petroleum Products LLC/ Grease &amp; Lubricants Mfg</t>
  </si>
  <si>
    <t>Fourtech Industries LLC</t>
  </si>
  <si>
    <t>Fragrance City/ Golden Tent Trading</t>
  </si>
  <si>
    <t>Future Lubricants</t>
  </si>
  <si>
    <t>BD C400</t>
  </si>
  <si>
    <t>Floral Fruity</t>
  </si>
  <si>
    <t>Flourescent Green-Liquid</t>
  </si>
  <si>
    <t>KT8602</t>
  </si>
  <si>
    <t>Oil Odorant</t>
  </si>
  <si>
    <t>Royal Lubricant</t>
  </si>
  <si>
    <t>A325874</t>
  </si>
  <si>
    <t>GD International</t>
  </si>
  <si>
    <t>Galal Ghaly/ TCL - Techinal Chemical Laboratories</t>
  </si>
  <si>
    <t>Sportif II</t>
  </si>
  <si>
    <t>Tattrazine Powder</t>
  </si>
  <si>
    <t>Galaxy Chemicals FZE</t>
  </si>
  <si>
    <t>Brilliant Blue 1503</t>
  </si>
  <si>
    <t>Comfort Matched</t>
  </si>
  <si>
    <t>Everlasting 70%, Magic Blue 20%, Warda 10%, than 40% oil</t>
  </si>
  <si>
    <t>A235573</t>
  </si>
  <si>
    <t>Lemon Ji Matched</t>
  </si>
  <si>
    <t>Lemon Zeste 70%, Lemon Special 25%, Lemon 55%, than make crystal</t>
  </si>
  <si>
    <t>75% Lemon Zeste, 25% lemon Top &amp; the Gold DPG)</t>
  </si>
  <si>
    <t>Galaxy DI SFZ</t>
  </si>
  <si>
    <t>Galaxy Overseas</t>
  </si>
  <si>
    <t>General Petroleum Products</t>
  </si>
  <si>
    <t>German Mirror Lubricants &amp; Greases Co., FZE</t>
  </si>
  <si>
    <t>Essence</t>
  </si>
  <si>
    <t>A248487</t>
  </si>
  <si>
    <t>A324053</t>
  </si>
  <si>
    <t>Global Lubricant - Oman</t>
  </si>
  <si>
    <t>Global Lubricant Industry</t>
  </si>
  <si>
    <t>Strawberry 40%, Floralia 10%, Cocoa Butter 5%, Pineapple 45%</t>
  </si>
  <si>
    <t>Strawberry 30%, Rasberry 30%, Cherry 20%, Mask Me 20%</t>
  </si>
  <si>
    <t>Flourmax</t>
  </si>
  <si>
    <t>30% key and 70% dep</t>
  </si>
  <si>
    <t>Global Perfumes Industry FZE</t>
  </si>
  <si>
    <t>Globe Chemicals Co LLC</t>
  </si>
  <si>
    <t>Globelink West Star Shipping LLC (C/O Motolube Shipment)</t>
  </si>
  <si>
    <t>Golden Nuts General Trading LLC</t>
  </si>
  <si>
    <t>Golden Perfumes</t>
  </si>
  <si>
    <t>Goz Cosmetics Industrial Trading FZC</t>
  </si>
  <si>
    <t>Matched 5</t>
  </si>
  <si>
    <t>Vanilla Flower 85%, Sweet Honey and Milk 10%, Doven 5%</t>
  </si>
  <si>
    <t>Gr8 Deals Trading FZE</t>
  </si>
  <si>
    <t>Grand Industries Limited</t>
  </si>
  <si>
    <t>Gardenia A299984/</t>
  </si>
  <si>
    <t>A403195</t>
  </si>
  <si>
    <t>Green Cosmetics &amp; Perfumes Industries LLC</t>
  </si>
  <si>
    <t>Blackberry 139874</t>
  </si>
  <si>
    <t>Honey</t>
  </si>
  <si>
    <t>R196888</t>
  </si>
  <si>
    <t>Green Environment Cleaning Building</t>
  </si>
  <si>
    <t>Green Petrochem Industry FZC</t>
  </si>
  <si>
    <t>Flourescent Green Liquid 2018</t>
  </si>
  <si>
    <t>Gulf Centre For Soap &amp; Chemical Ind. LLC</t>
  </si>
  <si>
    <t>Det Anti</t>
  </si>
  <si>
    <t>Gulf Continental Oil (A Division of NBhH)</t>
  </si>
  <si>
    <t>Gulf International Industries Co. LLC</t>
  </si>
  <si>
    <t>Gulf Oil Middle East Ltd</t>
  </si>
  <si>
    <t>Gulf Petrochem</t>
  </si>
  <si>
    <t>Gulf Worldwide Distribution</t>
  </si>
  <si>
    <t>Hadiqat Al Ward Perfumes Trading</t>
  </si>
  <si>
    <t>Hajr Al Aswad</t>
  </si>
  <si>
    <t>Hamburg Detergent &amp; Disinfectant Trading LLC</t>
  </si>
  <si>
    <t>Hamda Almulla Oud &amp; Ambor Perfumes Trading</t>
  </si>
  <si>
    <t>Hamil Al Musk</t>
  </si>
  <si>
    <t>Alf Zahra</t>
  </si>
  <si>
    <t>A287423</t>
  </si>
  <si>
    <t>Amber</t>
  </si>
  <si>
    <t>A247286</t>
  </si>
  <si>
    <t>Evening Primrose</t>
  </si>
  <si>
    <t>A253491</t>
  </si>
  <si>
    <t>Happy Home Detergents Manufacturing LLC</t>
  </si>
  <si>
    <t>Hassan Shahin Ahmed Perfumes LLC</t>
  </si>
  <si>
    <t>Hazen International FZC</t>
  </si>
  <si>
    <t>Henkel Lubricants/ Stanley International Lubricants Industry LLC</t>
  </si>
  <si>
    <t>Flouramax 90%, Mixture Black 10%</t>
  </si>
  <si>
    <t>Lubricants</t>
  </si>
  <si>
    <t>Mille Fleurs 66516</t>
  </si>
  <si>
    <t>Premier Mask Me</t>
  </si>
  <si>
    <t>FLOURAMAX A270578/ P782894 (Green Apple 40%, Strwaberry 30%, Flouramax 30%)</t>
  </si>
  <si>
    <t>FLOURAMAX A270578/ P782894 (Flouramax 50%, Cherry 30%, Pineapple 20%)</t>
  </si>
  <si>
    <t>(Millefleur 2019- Cecelia 50%, Mask Me key 15%, dpg 35%</t>
  </si>
  <si>
    <t>Mask Me A401230/A410391 (Millfler50%, Mask Me Key 15%, Dep 35%)</t>
  </si>
  <si>
    <t>Melange Milles Fleurs (Millefleur 50%, Mask Me Key 15%, Dep 35%)</t>
  </si>
  <si>
    <t>Hera Soap &amp; Cosmetics Manufacturing LLC</t>
  </si>
  <si>
    <t>Hi Way Lube Grease &amp; Lubricants Industry LLC</t>
  </si>
  <si>
    <t>Hira Chemicals LLC</t>
  </si>
  <si>
    <t>A293541</t>
  </si>
  <si>
    <t>Floralia 150440</t>
  </si>
  <si>
    <t>Holy Friends Trading FZC</t>
  </si>
  <si>
    <t>Black Afgano 17 ECON</t>
  </si>
  <si>
    <t>Cool Water A281163 (Fragrance 2024)</t>
  </si>
  <si>
    <t>Home Soap</t>
  </si>
  <si>
    <t>2057 El Madina A280535 (Black Musk A243193)</t>
  </si>
  <si>
    <t>Jojoba 189378</t>
  </si>
  <si>
    <t>So Oud A295591 (SO Oud A295590-1.25 &amp; DPG-3.75kg)</t>
  </si>
  <si>
    <t>Honest Perfume Trading</t>
  </si>
  <si>
    <t>Hygiene Detergent &amp; Disinfectants Trading LLC</t>
  </si>
  <si>
    <t>A225833</t>
  </si>
  <si>
    <t>Sweet Strawberry</t>
  </si>
  <si>
    <t>A269392</t>
  </si>
  <si>
    <t>Hygiene Fresh</t>
  </si>
  <si>
    <t>Ice Berg Laundry</t>
  </si>
  <si>
    <t>A2487749</t>
  </si>
  <si>
    <t>Indian Ocean Perfumes</t>
  </si>
  <si>
    <t>A241360</t>
  </si>
  <si>
    <t>Guilty</t>
  </si>
  <si>
    <t>A259820</t>
  </si>
  <si>
    <t>Mukhalat Kareem</t>
  </si>
  <si>
    <t>A241109</t>
  </si>
  <si>
    <t>Indigo Hospitality Supplies LLC</t>
  </si>
  <si>
    <t>Intercare Limited</t>
  </si>
  <si>
    <t>Lemon Fragrance</t>
  </si>
  <si>
    <t>Strawberry &amp; Caramel</t>
  </si>
  <si>
    <t>A242466</t>
  </si>
  <si>
    <t>Strawberry &amp; Caramel A242466 /</t>
  </si>
  <si>
    <t>A420025</t>
  </si>
  <si>
    <t>Interclean Detergent &amp; Disinfectants</t>
  </si>
  <si>
    <t>Ittar Al Oud Perfumes</t>
  </si>
  <si>
    <t>Mannequin C</t>
  </si>
  <si>
    <t>Men In Black by Bvlgari (M) C</t>
  </si>
  <si>
    <t>Jabal Al Noor PP</t>
  </si>
  <si>
    <t>Jabal Al Ward Perfumes Industry</t>
  </si>
  <si>
    <t>Jabal Ali Perfumes</t>
  </si>
  <si>
    <t>Jardina Perfumes</t>
  </si>
  <si>
    <t>Desire (M)</t>
  </si>
  <si>
    <t>Erba Pura A</t>
  </si>
  <si>
    <t>Jadore by Christian Dior (F)</t>
  </si>
  <si>
    <t>Jas Global Industries</t>
  </si>
  <si>
    <t>Flores</t>
  </si>
  <si>
    <t>Melange Milles Fleurs - Pure</t>
  </si>
  <si>
    <t>NAILA 508988</t>
  </si>
  <si>
    <t>Jas Perfumes</t>
  </si>
  <si>
    <t>Challenger</t>
  </si>
  <si>
    <t>Debut Five</t>
  </si>
  <si>
    <t>Jawharat Alkhaleej Factory</t>
  </si>
  <si>
    <t>Jazeerat Al Mas Perfumes</t>
  </si>
  <si>
    <t>Black Afgano 17</t>
  </si>
  <si>
    <t>A351967</t>
  </si>
  <si>
    <t>6kg oil and 19kg DPG</t>
  </si>
  <si>
    <t>Good Girl by Carolina Herera (F) 71365</t>
  </si>
  <si>
    <t>Mukhalat Alia</t>
  </si>
  <si>
    <t>Warda A236985/</t>
  </si>
  <si>
    <t>Jet Detergent</t>
  </si>
  <si>
    <t>Jiali General Trading</t>
  </si>
  <si>
    <t>Johnson Lubricants FZC</t>
  </si>
  <si>
    <t>Jumana Gallery</t>
  </si>
  <si>
    <t>K. Agyei 49 Enterprise</t>
  </si>
  <si>
    <t>Kalbaa Palace Cleaning Equipment Trading</t>
  </si>
  <si>
    <t>Kamal Uddin Perfumes Trading LLC</t>
  </si>
  <si>
    <t>Black Diamond C</t>
  </si>
  <si>
    <t>P15270</t>
  </si>
  <si>
    <t>Black Excess C</t>
  </si>
  <si>
    <t>P00859</t>
  </si>
  <si>
    <t>Desiring Hill</t>
  </si>
  <si>
    <t>Karkafi Hair/ Shatoora Cosmetics Trading</t>
  </si>
  <si>
    <t>A321238</t>
  </si>
  <si>
    <t>Kentz International Lubricants &amp; Grease</t>
  </si>
  <si>
    <t>Lubrication Green/ Flourescent Green</t>
  </si>
  <si>
    <t>Kenzol Multi Industries FZE</t>
  </si>
  <si>
    <t>Khadlaj Perfumes</t>
  </si>
  <si>
    <t>Angelic Woman</t>
  </si>
  <si>
    <t>A233460</t>
  </si>
  <si>
    <t>Khalid Perfumes</t>
  </si>
  <si>
    <t>Alien Premium</t>
  </si>
  <si>
    <t>A245020</t>
  </si>
  <si>
    <t>Attar Bakhur</t>
  </si>
  <si>
    <t>Historie D Amour</t>
  </si>
  <si>
    <t>A335298</t>
  </si>
  <si>
    <t>Love Story by Chloe (F)</t>
  </si>
  <si>
    <t>Musk I</t>
  </si>
  <si>
    <t>A284385</t>
  </si>
  <si>
    <t>Rakaan Eau De Parfum 65394</t>
  </si>
  <si>
    <t>Rose Match</t>
  </si>
  <si>
    <t>English Rose A402005/ A275118 (Rose 706 80%, Eng Rose 20%)</t>
  </si>
  <si>
    <t>Khalis Perfumes Mfg LLC</t>
  </si>
  <si>
    <t>Attar Full 1</t>
  </si>
  <si>
    <t>Bakhour Amber</t>
  </si>
  <si>
    <t>A269345</t>
  </si>
  <si>
    <t>Blackberry</t>
  </si>
  <si>
    <t>A263308</t>
  </si>
  <si>
    <t>Blueberry Blossom</t>
  </si>
  <si>
    <t>A241622</t>
  </si>
  <si>
    <t>Boss Man</t>
  </si>
  <si>
    <t>Celcius</t>
  </si>
  <si>
    <t>Chanelle Musk</t>
  </si>
  <si>
    <t>A261029</t>
  </si>
  <si>
    <t>Cool Aqua Man</t>
  </si>
  <si>
    <t>A240821</t>
  </si>
  <si>
    <t>A250903</t>
  </si>
  <si>
    <t>Juicy Peach</t>
  </si>
  <si>
    <t>A249166</t>
  </si>
  <si>
    <t>A234479</t>
  </si>
  <si>
    <t>A277086</t>
  </si>
  <si>
    <t>A241190</t>
  </si>
  <si>
    <t>Mukhalat Oil</t>
  </si>
  <si>
    <t>A244981</t>
  </si>
  <si>
    <t>Poison</t>
  </si>
  <si>
    <t>Kingdom Lubricant</t>
  </si>
  <si>
    <t>Kingdom petroleum</t>
  </si>
  <si>
    <t>Klayon Building Material Trading KKC</t>
  </si>
  <si>
    <t>Kuwait Voice General Trading Co.</t>
  </si>
  <si>
    <t>Kwality Specialities</t>
  </si>
  <si>
    <t>L'Origine FZC</t>
  </si>
  <si>
    <t>Love Spell</t>
  </si>
  <si>
    <t>A232596</t>
  </si>
  <si>
    <t>Mangosteen Madness</t>
  </si>
  <si>
    <t>A236391</t>
  </si>
  <si>
    <t>A235990</t>
  </si>
  <si>
    <t>Pomegrante Passion</t>
  </si>
  <si>
    <t>A236390</t>
  </si>
  <si>
    <t>La Famille Industries De Brilliant FZE</t>
  </si>
  <si>
    <t>Fragrance Sanitol</t>
  </si>
  <si>
    <t>Invictus (M)</t>
  </si>
  <si>
    <t>A317827</t>
  </si>
  <si>
    <t>70 % oil and 30 % dpg</t>
  </si>
  <si>
    <t>La Somone Cosmetics Trading</t>
  </si>
  <si>
    <t>Laura Mars Perfumes</t>
  </si>
  <si>
    <t>Boss Orange (M)</t>
  </si>
  <si>
    <t>Fidji (F)</t>
  </si>
  <si>
    <t>A234650</t>
  </si>
  <si>
    <t>Lazer Cleaning Products</t>
  </si>
  <si>
    <t>Apple</t>
  </si>
  <si>
    <t>A230054</t>
  </si>
  <si>
    <t>A247738</t>
  </si>
  <si>
    <t>Leader Soap &amp; Hair Care Products Ind. LLC</t>
  </si>
  <si>
    <t>Oud Handwash</t>
  </si>
  <si>
    <t>P783164</t>
  </si>
  <si>
    <t>20% oil and 80% dpg</t>
  </si>
  <si>
    <t>Lester TR</t>
  </si>
  <si>
    <t>Limra Perfumes Industry LLC</t>
  </si>
  <si>
    <t>Lozet General Trading</t>
  </si>
  <si>
    <t>Lube Chem International Ind. LLC</t>
  </si>
  <si>
    <t>Lubeco International FZE</t>
  </si>
  <si>
    <t>Lubrex LLC</t>
  </si>
  <si>
    <t>Cookie</t>
  </si>
  <si>
    <t>A232249</t>
  </si>
  <si>
    <t>Flourescent Green Liquid-WS</t>
  </si>
  <si>
    <t>Solvenr Blue 98</t>
  </si>
  <si>
    <t>Luxor International</t>
  </si>
  <si>
    <t>30% ,DPG 70 %</t>
  </si>
  <si>
    <t>Orange Peeling Mod</t>
  </si>
  <si>
    <t>A410433</t>
  </si>
  <si>
    <t>Luxury Scent General Trading</t>
  </si>
  <si>
    <t>Alien (F) by Thierry Mugler</t>
  </si>
  <si>
    <t>MB Lubricants</t>
  </si>
  <si>
    <t>Maaz International Trading LLC</t>
  </si>
  <si>
    <t>Oud Malaki (M) C</t>
  </si>
  <si>
    <t>Magic Glow/ Al Lamaa Al Sehriya Cosmetics &amp; Cleaning Ind. LLC</t>
  </si>
  <si>
    <t>Bubble Gum</t>
  </si>
  <si>
    <t>FLOURAMAX A270578/ P782894</t>
  </si>
  <si>
    <t>60%OIL, 40%DPG</t>
  </si>
  <si>
    <t>MG Fragrance Matched 2 - 1</t>
  </si>
  <si>
    <t>Aventus by Creed (M) A302349/A416950 - Lacoste White 70%, Aventus 30% than make gold</t>
  </si>
  <si>
    <t>Makina Grease &amp; Lubricants Manufacturing LLC</t>
  </si>
  <si>
    <t>Making Memories</t>
  </si>
  <si>
    <t>Perfume Favors-Bottles</t>
  </si>
  <si>
    <t>Makkah Trading Co LLC</t>
  </si>
  <si>
    <t>Malabar Bakery LLC</t>
  </si>
  <si>
    <t>5% Oil</t>
  </si>
  <si>
    <t>Marigold Fragrances</t>
  </si>
  <si>
    <t>Baby Johnson</t>
  </si>
  <si>
    <t>A406355</t>
  </si>
  <si>
    <t>One In A Million Silver</t>
  </si>
  <si>
    <t>Mark International</t>
  </si>
  <si>
    <t>Marvel Scent Perfume &amp; Cosmetics</t>
  </si>
  <si>
    <t>Masafi Co. LLC</t>
  </si>
  <si>
    <t>Sanitizing Wipes Matched - 1</t>
  </si>
  <si>
    <t>Herbal A234285</t>
  </si>
  <si>
    <t>Masakan Boxes &amp; Perfumes Ind</t>
  </si>
  <si>
    <t>Masum Perfumes LLC</t>
  </si>
  <si>
    <t>A266852</t>
  </si>
  <si>
    <t>Black Jasmine</t>
  </si>
  <si>
    <t>A24491</t>
  </si>
  <si>
    <t>Maysoon Type</t>
  </si>
  <si>
    <t>White Chime</t>
  </si>
  <si>
    <t>A281732</t>
  </si>
  <si>
    <t>White Musk</t>
  </si>
  <si>
    <t>A253134</t>
  </si>
  <si>
    <t>Max Lubricants</t>
  </si>
  <si>
    <t>Flourescent Green Powder B-02</t>
  </si>
  <si>
    <t>Medichem</t>
  </si>
  <si>
    <t>Red Grape A299992 - Red Grape 50%, Fruity Smoothie 30%, Green Apple 20%, than make 60% oil</t>
  </si>
  <si>
    <t>Meezan Oil/ Silver Stone FZ LLC</t>
  </si>
  <si>
    <t>Megaline General Trading LLC</t>
  </si>
  <si>
    <t>Meme Perfumes</t>
  </si>
  <si>
    <t>Millennium Grease &amp; Lubricants Manufacturing LLC</t>
  </si>
  <si>
    <t>A324660</t>
  </si>
  <si>
    <t>Millia Cosmetics</t>
  </si>
  <si>
    <t>Invincible (565)</t>
  </si>
  <si>
    <t>A347023</t>
  </si>
  <si>
    <t>Marguerite Daisy</t>
  </si>
  <si>
    <t>A314515</t>
  </si>
  <si>
    <t>Perfume 528M</t>
  </si>
  <si>
    <t>A347801</t>
  </si>
  <si>
    <t>Perfume 650M</t>
  </si>
  <si>
    <t>A347802</t>
  </si>
  <si>
    <t>Perfumes 528</t>
  </si>
  <si>
    <t>A346737</t>
  </si>
  <si>
    <t>VS Romantic &amp; Dreamy</t>
  </si>
  <si>
    <t>A352726</t>
  </si>
  <si>
    <t>VS Wild Girl</t>
  </si>
  <si>
    <t>A352725</t>
  </si>
  <si>
    <t>Mineral Oil Company Ltd</t>
  </si>
  <si>
    <t>Misam General Trading</t>
  </si>
  <si>
    <t>Frangi Pani</t>
  </si>
  <si>
    <t>A314832</t>
  </si>
  <si>
    <t>Sensual Silver</t>
  </si>
  <si>
    <t>Miskan Boxes &amp; Perfumes</t>
  </si>
  <si>
    <t>Misnad Trading</t>
  </si>
  <si>
    <t>Polo by Ralph Lauren (M)</t>
  </si>
  <si>
    <t>Mohammad Farooq Perfumes</t>
  </si>
  <si>
    <t>Mohammad Habibullah Perfumes &amp; Electronic Shop</t>
  </si>
  <si>
    <t>Escape</t>
  </si>
  <si>
    <t>Mohammad Touseef Perfumes Industries LLC</t>
  </si>
  <si>
    <t>Chic Black 0033</t>
  </si>
  <si>
    <t>A306776</t>
  </si>
  <si>
    <t>A241462</t>
  </si>
  <si>
    <t>Nina by Nina Ricci (F)</t>
  </si>
  <si>
    <t>Oud Abiad 27327</t>
  </si>
  <si>
    <t>Mohammed Kamal Oud &amp; Fragrances</t>
  </si>
  <si>
    <t>Mohammed Mahabub Perfumes Inc. LLC</t>
  </si>
  <si>
    <t>Moin International LLC</t>
  </si>
  <si>
    <t>Blue Jocky</t>
  </si>
  <si>
    <t>Cool Water Man</t>
  </si>
  <si>
    <t>A239217</t>
  </si>
  <si>
    <t>Cool Water Woman</t>
  </si>
  <si>
    <t>A237774</t>
  </si>
  <si>
    <t>Dunhill Blue</t>
  </si>
  <si>
    <t>A233713</t>
  </si>
  <si>
    <t>Fleur Kenzo</t>
  </si>
  <si>
    <t>A240480</t>
  </si>
  <si>
    <t>Ginny Shoe</t>
  </si>
  <si>
    <t>A276062</t>
  </si>
  <si>
    <t>Hush</t>
  </si>
  <si>
    <t>A284026</t>
  </si>
  <si>
    <t>Insense Must</t>
  </si>
  <si>
    <t>A236128</t>
  </si>
  <si>
    <t>Morrocan Wood</t>
  </si>
  <si>
    <t>A266969</t>
  </si>
  <si>
    <t>Neroli Fleur</t>
  </si>
  <si>
    <t>A257932</t>
  </si>
  <si>
    <t>Resistance</t>
  </si>
  <si>
    <t>A241482</t>
  </si>
  <si>
    <t>A241481</t>
  </si>
  <si>
    <t>Sportsman Rule</t>
  </si>
  <si>
    <t>A284023</t>
  </si>
  <si>
    <t>Victorious</t>
  </si>
  <si>
    <t>XS Man</t>
  </si>
  <si>
    <t>A240827</t>
  </si>
  <si>
    <t>Moja International</t>
  </si>
  <si>
    <t>Motolube Ltd</t>
  </si>
  <si>
    <t>Moulvi Perfumes LLC</t>
  </si>
  <si>
    <t>Mr. Abdul Elah</t>
  </si>
  <si>
    <t>Mr. Abdullah</t>
  </si>
  <si>
    <t>Gris Montaigne by Christian Dior (F) C</t>
  </si>
  <si>
    <t>P30860</t>
  </si>
  <si>
    <t>Mr. Abu Hakim</t>
  </si>
  <si>
    <t>Mr. Ahmed</t>
  </si>
  <si>
    <t>Amouge Interlude Women</t>
  </si>
  <si>
    <t>Mr. Ajmal Hussain</t>
  </si>
  <si>
    <t>Mr. Awad Abusin</t>
  </si>
  <si>
    <t>Mr. Bassam Badawie</t>
  </si>
  <si>
    <t>Mr. Burhan</t>
  </si>
  <si>
    <t>Mr. Danish Ismael</t>
  </si>
  <si>
    <t>Mr. Danish Shabbir</t>
  </si>
  <si>
    <t>Mr. Hamid</t>
  </si>
  <si>
    <t>Mr. Hamza</t>
  </si>
  <si>
    <t>Baby Powder</t>
  </si>
  <si>
    <t>Cuticura A246994</t>
  </si>
  <si>
    <t>Black Berry 1</t>
  </si>
  <si>
    <t>Strawberry A233442/ A402013</t>
  </si>
  <si>
    <t>Mr. Huzaifa Attari</t>
  </si>
  <si>
    <t>Cooler Man by Davidoff (M) A235765 WS</t>
  </si>
  <si>
    <t>15 % oil and 85% dpg</t>
  </si>
  <si>
    <t>12 % oil 88 % dpg</t>
  </si>
  <si>
    <t>Mr. Idrees</t>
  </si>
  <si>
    <t>Mr. Imran</t>
  </si>
  <si>
    <t>Mr. Islam</t>
  </si>
  <si>
    <t>Cuticura A246994 WS</t>
  </si>
  <si>
    <t>Mr. Kamal</t>
  </si>
  <si>
    <t>Mr. Khalaf</t>
  </si>
  <si>
    <t>Mr. Khurram</t>
  </si>
  <si>
    <t>Mr. Mahmood/ Cash Customer</t>
  </si>
  <si>
    <t>Mr. Mansoor</t>
  </si>
  <si>
    <t>Mr. Mudazir</t>
  </si>
  <si>
    <t>Mr. Mustafa</t>
  </si>
  <si>
    <t>Mr. Omar Muhamed</t>
  </si>
  <si>
    <t>Mr. Police</t>
  </si>
  <si>
    <t>Mr. Saad Mohamed</t>
  </si>
  <si>
    <t>Mr. Sabapathy/ Arabian Gulf Oil &amp; Grease Factory</t>
  </si>
  <si>
    <t>Mr. Wael</t>
  </si>
  <si>
    <t>Irish Leather</t>
  </si>
  <si>
    <t>A340473</t>
  </si>
  <si>
    <t>Jump</t>
  </si>
  <si>
    <t>A278776</t>
  </si>
  <si>
    <t>White Toon TF</t>
  </si>
  <si>
    <t>Muscat Modern Perfumes LLC/ Fragroman</t>
  </si>
  <si>
    <t>Fragrance Compound</t>
  </si>
  <si>
    <t>Fragrance Compund</t>
  </si>
  <si>
    <t>NG Beauty World FZCO</t>
  </si>
  <si>
    <t>Aloe Vera 1</t>
  </si>
  <si>
    <t>Doven 80%, Cucumber 10%, Gardenia 10%, than gold</t>
  </si>
  <si>
    <t>30 % OIL</t>
  </si>
  <si>
    <t>Thaliee Matched 4</t>
  </si>
  <si>
    <t>Irish Leather A340473 (So oud 591 60%, Amber 40%, than make 40% oil)</t>
  </si>
  <si>
    <t>Uomo by Valentino (M) A315997 (SF)</t>
  </si>
  <si>
    <t>Naas Petrol Factory LLC</t>
  </si>
  <si>
    <t>Nanak Trading LLC</t>
  </si>
  <si>
    <t>Naseem Al Hadaeq Perfumes</t>
  </si>
  <si>
    <t>Bobby Vally II</t>
  </si>
  <si>
    <t>Naseem Al Ward</t>
  </si>
  <si>
    <t>Drakkar</t>
  </si>
  <si>
    <t>Escada Taj Sunset (F)</t>
  </si>
  <si>
    <t>Flower Potion (F) C</t>
  </si>
  <si>
    <t>Mella Elsatys</t>
  </si>
  <si>
    <t>A352447</t>
  </si>
  <si>
    <t>Nasim</t>
  </si>
  <si>
    <t>A346819</t>
  </si>
  <si>
    <t>Natural Fragrance Perfumes Trading LLC</t>
  </si>
  <si>
    <t>New Automatic Laundry</t>
  </si>
  <si>
    <t>New Venture General Trading LLC</t>
  </si>
  <si>
    <t>New Vision Lubricant</t>
  </si>
  <si>
    <t>Nexus Gulf Oil</t>
  </si>
  <si>
    <t>Noor Al Amal General Trading LLC</t>
  </si>
  <si>
    <t>Evening Primerose</t>
  </si>
  <si>
    <t>Noor Al Yasmeen</t>
  </si>
  <si>
    <t>Noormak Perfumes Trading LLC</t>
  </si>
  <si>
    <t>North Star Lubricants</t>
  </si>
  <si>
    <t>ODIL (Oxford Detergents Industries LLC)/ Oxford Group of Companies</t>
  </si>
  <si>
    <t>2000 Light</t>
  </si>
  <si>
    <t>A263323</t>
  </si>
  <si>
    <t>Oasis Grease &amp; Lubricant Ind LLC</t>
  </si>
  <si>
    <t>Oclock Cleaners Trading</t>
  </si>
  <si>
    <t>Lemon Bloom</t>
  </si>
  <si>
    <t>P783181</t>
  </si>
  <si>
    <t>Oil Zone</t>
  </si>
  <si>
    <t>Om Energy DMCC</t>
  </si>
  <si>
    <t>Om International FZE</t>
  </si>
  <si>
    <t>Oman Lube/ Global Lubricant (Sohar Br.)</t>
  </si>
  <si>
    <t>Omar Hassan Auto Spare Parts LLC</t>
  </si>
  <si>
    <t>Orchid Perfume Factory</t>
  </si>
  <si>
    <t>Orchid Petrochem FZC</t>
  </si>
  <si>
    <t>Oryx Lubes &amp; Greases Ltd FZC</t>
  </si>
  <si>
    <t>Oscar Lubricants LLC</t>
  </si>
  <si>
    <t>Coolant Green</t>
  </si>
  <si>
    <t>Flourescent Green Liquid A-01</t>
  </si>
  <si>
    <t>Oud Com</t>
  </si>
  <si>
    <t>Rio Grande</t>
  </si>
  <si>
    <t>A247900</t>
  </si>
  <si>
    <t>Oxygen General Trading LLC</t>
  </si>
  <si>
    <t>Pacific Lubricants LLC</t>
  </si>
  <si>
    <t>Pacific Multi Products</t>
  </si>
  <si>
    <t>Palace of Oud &amp;  Perfumes LLC</t>
  </si>
  <si>
    <t>Paraffin Oil &amp; refinery Manufacturing LLC</t>
  </si>
  <si>
    <t>Paris Arabian Perfumes</t>
  </si>
  <si>
    <t>Paris Corner Perfumes LLC</t>
  </si>
  <si>
    <t>Parisvally Perfumes</t>
  </si>
  <si>
    <t>Al Khaleej</t>
  </si>
  <si>
    <t>A258487</t>
  </si>
  <si>
    <t>A233778</t>
  </si>
  <si>
    <t>My Dear (F)</t>
  </si>
  <si>
    <t>Patrol Oil LLC</t>
  </si>
  <si>
    <t>Penguin Lanudry</t>
  </si>
  <si>
    <t>Samonia Savon A231707 /</t>
  </si>
  <si>
    <t>A419370</t>
  </si>
  <si>
    <t>Perfume Scentre</t>
  </si>
  <si>
    <t>Black Opium (M) C</t>
  </si>
  <si>
    <t>Brut (M)</t>
  </si>
  <si>
    <t>Men In Black (M) C</t>
  </si>
  <si>
    <t>N 5 Eau Premier (F)</t>
  </si>
  <si>
    <t>PI Givenchy S (M)</t>
  </si>
  <si>
    <t>Rebl Fleur (F)</t>
  </si>
  <si>
    <t>Personality Garments &amp; Perfumes LLC</t>
  </si>
  <si>
    <t>A244973</t>
  </si>
  <si>
    <t>Green Sample</t>
  </si>
  <si>
    <t>A242703</t>
  </si>
  <si>
    <t>Yellow Fragrance</t>
  </si>
  <si>
    <t>Petro Master Ind. Ltd</t>
  </si>
  <si>
    <t>Coolant Red 250513</t>
  </si>
  <si>
    <t>Petro Tech Lubricants &amp; Grease</t>
  </si>
  <si>
    <t>Petrogulf Oil Manufacturing LLC</t>
  </si>
  <si>
    <t>Fruit 199483</t>
  </si>
  <si>
    <t>Heather 139874</t>
  </si>
  <si>
    <t>Perfume Fruits</t>
  </si>
  <si>
    <t>Petrolube Lubricants FZC</t>
  </si>
  <si>
    <t>Petrolube Oil &amp; Grease Lubricants</t>
  </si>
  <si>
    <t>Petromax Grease &amp; Lubricants</t>
  </si>
  <si>
    <t>Pheromone Perfumes</t>
  </si>
  <si>
    <t>Baccart Rouge 540 56099</t>
  </si>
  <si>
    <t>Pineland Cleaning</t>
  </si>
  <si>
    <t>Pineland Hygienic Products Factory LLC</t>
  </si>
  <si>
    <t>Pioneer Trading Company</t>
  </si>
  <si>
    <t>Planet Perfumes Factory</t>
  </si>
  <si>
    <t>Brutus</t>
  </si>
  <si>
    <t>Kenzo Flower</t>
  </si>
  <si>
    <t>A242625</t>
  </si>
  <si>
    <t>Open</t>
  </si>
  <si>
    <t>A236738</t>
  </si>
  <si>
    <t>Premier Lubricant FZ-LLC</t>
  </si>
  <si>
    <t>Pride International Lubricants</t>
  </si>
  <si>
    <t>Primax General Trading LLC</t>
  </si>
  <si>
    <t>Aloe Vera A244191/ A415790 (Aloe Vera 75%, Rose 5%, Magic Blue 20%, than amke crystal)</t>
  </si>
  <si>
    <t>Prince Lubricants</t>
  </si>
  <si>
    <t>Proline International FZE</t>
  </si>
  <si>
    <t>Old Spicy</t>
  </si>
  <si>
    <t>A238164</t>
  </si>
  <si>
    <t>Proniva Laboratories</t>
  </si>
  <si>
    <t>Pure Life Detergent &amp; Disinfectant Mfg LLC</t>
  </si>
  <si>
    <t>Coral</t>
  </si>
  <si>
    <t>Cherry In The Air By Escada (F) A297629/A407971 - Cherry in the air 90%, Orange 10% than 50% oil</t>
  </si>
  <si>
    <t>Rio Matched - 5</t>
  </si>
  <si>
    <t>Maryam A347816/ A403816 - 60% Oil</t>
  </si>
  <si>
    <t>Sunshine A250893/</t>
  </si>
  <si>
    <t>A415888</t>
  </si>
  <si>
    <t>Qamar Impex FZC</t>
  </si>
  <si>
    <t>A245896</t>
  </si>
  <si>
    <t>Sandal Qamar</t>
  </si>
  <si>
    <t>A240841</t>
  </si>
  <si>
    <t>Qasar Al Musk</t>
  </si>
  <si>
    <t>Quality Cosmetic manufacture</t>
  </si>
  <si>
    <t>Quality Wet Wipes</t>
  </si>
  <si>
    <t>Daily</t>
  </si>
  <si>
    <t>A320110</t>
  </si>
  <si>
    <t>Queen B Perfumes</t>
  </si>
  <si>
    <t>Black Opium by Yves Saint Laurent (M) C</t>
  </si>
  <si>
    <t>Queen Corner</t>
  </si>
  <si>
    <t>Racheme FZE</t>
  </si>
  <si>
    <t>Radiant Lubricants</t>
  </si>
  <si>
    <t>flouramax 40%, green apple 30%, strwaberry 15%, cocoa butter 15%</t>
  </si>
  <si>
    <t>30% Oil</t>
  </si>
  <si>
    <t>Oil Masking</t>
  </si>
  <si>
    <t>Green Apple 30%, Red Grape 30%, Maskme 30%, Banana 1%</t>
  </si>
  <si>
    <t>Oil Masking - 1</t>
  </si>
  <si>
    <t>50% flouramax and 50% strwaberry</t>
  </si>
  <si>
    <t>Raspberry A292781 (Flouramax A270578)</t>
  </si>
  <si>
    <t>Raf Oil Industries/ Black hawk</t>
  </si>
  <si>
    <t>Rapid Detergents &amp; Disinfectants Mfg. LLC</t>
  </si>
  <si>
    <t>Floral 60% &amp; Gardenia 40%</t>
  </si>
  <si>
    <t>A404505</t>
  </si>
  <si>
    <t>R208949</t>
  </si>
  <si>
    <t>75%Aloe Vera, 5% Black Rose, 20% Magic Blue, than make Crystal</t>
  </si>
  <si>
    <t>40% Oil &amp; 60% DPG</t>
  </si>
  <si>
    <t>Softee</t>
  </si>
  <si>
    <t>Rawaieh Al Zuhor Cleaning &amp; Detergent Tr.</t>
  </si>
  <si>
    <t>Real Detergent &amp; Disinfectant Industry LLC</t>
  </si>
  <si>
    <t>75% oil</t>
  </si>
  <si>
    <t>90% Magic Blue, 10% Warda</t>
  </si>
  <si>
    <t>Body by Burberry (F) CP00861 60%, Pacific Paradise 30%, Supreme bouqet 10%, than make gold</t>
  </si>
  <si>
    <t>Rectskin Cosmetics</t>
  </si>
  <si>
    <t>Flaminko</t>
  </si>
  <si>
    <t>A231112</t>
  </si>
  <si>
    <t>Reeha Perfumes Industries</t>
  </si>
  <si>
    <t>Regal Keynote Perfume Factory LLC</t>
  </si>
  <si>
    <t>Tuscan</t>
  </si>
  <si>
    <t>A281877</t>
  </si>
  <si>
    <t>Regent Perfumes</t>
  </si>
  <si>
    <t>Black Sense</t>
  </si>
  <si>
    <t>A266486</t>
  </si>
  <si>
    <t>Reliance Detergent &amp; Disinfectants Industry LLC</t>
  </si>
  <si>
    <t>Rose LYF A231706/</t>
  </si>
  <si>
    <t>Reliance Lubricants</t>
  </si>
  <si>
    <t>Solvent Green Dye 65</t>
  </si>
  <si>
    <t>Rose Oasis Trading LLC</t>
  </si>
  <si>
    <t>Ambros Oud</t>
  </si>
  <si>
    <t>A278029</t>
  </si>
  <si>
    <t>A270638</t>
  </si>
  <si>
    <t>Escapade</t>
  </si>
  <si>
    <t>A250985</t>
  </si>
  <si>
    <t>Rebelious</t>
  </si>
  <si>
    <t>A259363</t>
  </si>
  <si>
    <t>Rose Valley Perfumes LLC</t>
  </si>
  <si>
    <t>A249962</t>
  </si>
  <si>
    <t>Cartier Declaration</t>
  </si>
  <si>
    <t>Champion by Davidoff</t>
  </si>
  <si>
    <t>Escada Collection</t>
  </si>
  <si>
    <t>Escada by Pacific Paradise</t>
  </si>
  <si>
    <t>Guilty by Gucci</t>
  </si>
  <si>
    <t>Play by Givenchy</t>
  </si>
  <si>
    <t>Poison by Christian Dior</t>
  </si>
  <si>
    <t>Remedy Man</t>
  </si>
  <si>
    <t>The One Gentleman by D&amp;G</t>
  </si>
  <si>
    <t>The Tragedy of Lord George by Penhaligons (M) 70156</t>
  </si>
  <si>
    <t>Royal Beauty Perfumes Industry</t>
  </si>
  <si>
    <t>A245867</t>
  </si>
  <si>
    <t>One Man Show</t>
  </si>
  <si>
    <t>A238161</t>
  </si>
  <si>
    <t>A245815</t>
  </si>
  <si>
    <t>Ted Lapidus</t>
  </si>
  <si>
    <t>Royal Orange Chemicals Industry/ Globe Chemicals</t>
  </si>
  <si>
    <t>Orchid SV</t>
  </si>
  <si>
    <t>A306076</t>
  </si>
  <si>
    <t>Royal Palace Perfume Industry LLC</t>
  </si>
  <si>
    <t>Black 12</t>
  </si>
  <si>
    <t>A303291</t>
  </si>
  <si>
    <t>Happy Split Extra</t>
  </si>
  <si>
    <t>A255760</t>
  </si>
  <si>
    <t>Lapadu Man</t>
  </si>
  <si>
    <t>Mannequin TFG13374/5</t>
  </si>
  <si>
    <t>Touch Of Pink</t>
  </si>
  <si>
    <t>A233941</t>
  </si>
  <si>
    <t>Royal Petro Energy</t>
  </si>
  <si>
    <t>Royal Wipes Tissues Manufacturing</t>
  </si>
  <si>
    <t>Royal/ Regal Lubricants &amp; Grease Manufacturing LLC</t>
  </si>
  <si>
    <t>Rozai Perfumes</t>
  </si>
  <si>
    <t>Ruby Cosmetics</t>
  </si>
  <si>
    <t>Milk 179926</t>
  </si>
  <si>
    <t>Rukn Al Oud</t>
  </si>
  <si>
    <t>2057 El Madina</t>
  </si>
  <si>
    <t>Al Shiekh</t>
  </si>
  <si>
    <t>Citrus Woody</t>
  </si>
  <si>
    <t>Numer Uno 7312/9104</t>
  </si>
  <si>
    <t>A299590</t>
  </si>
  <si>
    <t>So Oud Eco Silver</t>
  </si>
  <si>
    <t>Rupal General Trading LLC</t>
  </si>
  <si>
    <t>SBAD General Trading FZE</t>
  </si>
  <si>
    <t>SR General Trading FZC</t>
  </si>
  <si>
    <t>A251910</t>
  </si>
  <si>
    <t>Tim Forth</t>
  </si>
  <si>
    <t>Saffron Negeen Perfumes</t>
  </si>
  <si>
    <t>Neggene</t>
  </si>
  <si>
    <t>A286353</t>
  </si>
  <si>
    <t>Noir Vendome C</t>
  </si>
  <si>
    <t>Pure Oud</t>
  </si>
  <si>
    <t>A322651</t>
  </si>
  <si>
    <t>A285621</t>
  </si>
  <si>
    <t>Sage Chemical International</t>
  </si>
  <si>
    <t>Sallan Industrial Investment LLC</t>
  </si>
  <si>
    <t>Sama Al Sahel Ind. / Emirates Safe Cleaning Solutions</t>
  </si>
  <si>
    <t>San Stefano General Trading</t>
  </si>
  <si>
    <t>Sanicleen International</t>
  </si>
  <si>
    <t>Sannine Automatic Bakery</t>
  </si>
  <si>
    <t>Sapphirscents</t>
  </si>
  <si>
    <t>Scent Idea Perfume</t>
  </si>
  <si>
    <t>Brown Orchid</t>
  </si>
  <si>
    <t>A341210</t>
  </si>
  <si>
    <t>Scent Passion Perfumes</t>
  </si>
  <si>
    <t>Scitra Soap &amp; Chemical Industrial &amp; Trading Company</t>
  </si>
  <si>
    <t>Shallalat General Trading LLC</t>
  </si>
  <si>
    <t>Desire Red (M) C</t>
  </si>
  <si>
    <t>Eternity for Men</t>
  </si>
  <si>
    <t>Sharafco Oil Refinery &amp; Ind. Co. LLC</t>
  </si>
  <si>
    <t>Sharlu Lubricants (Sharjah National Lube Oil Company Ltd)</t>
  </si>
  <si>
    <t>Sharq Al Jazeera Oil &amp; Grease Industries LLC</t>
  </si>
  <si>
    <t>Shattaf Trading</t>
  </si>
  <si>
    <t>Shining Diesel Trading</t>
  </si>
  <si>
    <t>Shining Star Detergent Industries/ Tesco Industries LLC</t>
  </si>
  <si>
    <t>Blueberry</t>
  </si>
  <si>
    <t>A236987</t>
  </si>
  <si>
    <t>Strawbery</t>
  </si>
  <si>
    <t>Silverdome Perfume Indy/ Abdullah Al Zarouni Perfume Indy</t>
  </si>
  <si>
    <t>Homme Intense By Christian Dior (M) 18-0003210</t>
  </si>
  <si>
    <t>Sino Gulf Lubricants</t>
  </si>
  <si>
    <t>Sino Lubricants LLC</t>
  </si>
  <si>
    <t>Sketchley Laundry/ Al Ahlia Group</t>
  </si>
  <si>
    <t>Smalt Detergents</t>
  </si>
  <si>
    <t>Solar Lubricants Factory</t>
  </si>
  <si>
    <t>Ambrex 169888</t>
  </si>
  <si>
    <t>Souqbeauty Gifts Trading Llc</t>
  </si>
  <si>
    <t>Sparklean General Trading Llc</t>
  </si>
  <si>
    <t>Spectrum Tissue Industries</t>
  </si>
  <si>
    <t>Spin Laundry</t>
  </si>
  <si>
    <t>Startec (Star Composed Chemical Manufacturing LLC)</t>
  </si>
  <si>
    <t>Stellar Technical Services LLC</t>
  </si>
  <si>
    <t>Emaar</t>
  </si>
  <si>
    <t>A422964</t>
  </si>
  <si>
    <t>Sterling Perfumes Industries LLC</t>
  </si>
  <si>
    <t>Cold Pressed Lemon</t>
  </si>
  <si>
    <t>Di Ethyl Phthalate</t>
  </si>
  <si>
    <t>Magnifique</t>
  </si>
  <si>
    <t>A240863</t>
  </si>
  <si>
    <t>Royal Mix</t>
  </si>
  <si>
    <t>A234653</t>
  </si>
  <si>
    <t>Sterling Wipes LLC</t>
  </si>
  <si>
    <t>Sun Clean Cleaning Industries</t>
  </si>
  <si>
    <t>Spring Rose 188793</t>
  </si>
  <si>
    <t>Sun Detergents &amp; Disinfectants Factory/ Al Shams Detergent &amp; Antiseptic Factory</t>
  </si>
  <si>
    <t>2058 Frag El Madina</t>
  </si>
  <si>
    <t>A280536</t>
  </si>
  <si>
    <t>A249085</t>
  </si>
  <si>
    <t>Sun Gulf Lubricants</t>
  </si>
  <si>
    <t>Sun International Oil Industries LLC</t>
  </si>
  <si>
    <t>Sunlube Lubricants/ Sun Lube Oil Grease Industry FZE LLC</t>
  </si>
  <si>
    <t>Floral B 860860-2</t>
  </si>
  <si>
    <t>Fluorescent Green/ Lubrication Green</t>
  </si>
  <si>
    <t>Oil Odorant 2N500 Type</t>
  </si>
  <si>
    <t>A273910</t>
  </si>
  <si>
    <t>Super Care Detergents &amp; Disinfectants Factory LLC</t>
  </si>
  <si>
    <t>A255286</t>
  </si>
  <si>
    <t>Super Middle East LLC</t>
  </si>
  <si>
    <t>Green Apple WS</t>
  </si>
  <si>
    <t>A287526</t>
  </si>
  <si>
    <t>Jasmine WS</t>
  </si>
  <si>
    <t>A287525</t>
  </si>
  <si>
    <t>A240130</t>
  </si>
  <si>
    <t>Supreme Chemical Industry LLC</t>
  </si>
  <si>
    <t>Swiss Perfumes FZC</t>
  </si>
  <si>
    <t>Crimson Rose (F)</t>
  </si>
  <si>
    <t>A344285</t>
  </si>
  <si>
    <t>Escada Cherry In The Air (F)</t>
  </si>
  <si>
    <t>Taher &amp; Sons</t>
  </si>
  <si>
    <t>Rah El Eh</t>
  </si>
  <si>
    <t>A250332</t>
  </si>
  <si>
    <t>Wardia</t>
  </si>
  <si>
    <t>A249923</t>
  </si>
  <si>
    <t>Tam Perfumes</t>
  </si>
  <si>
    <t>Techno Fab Engineering Llc</t>
  </si>
  <si>
    <t>Technolube LLC</t>
  </si>
  <si>
    <t>Teeb Al Khaleej Trading</t>
  </si>
  <si>
    <t>212 Men</t>
  </si>
  <si>
    <t>Teeb Emirates Perfumes</t>
  </si>
  <si>
    <t>Baccarat Rouge 540 by MFK 71368</t>
  </si>
  <si>
    <t>Tetra Gulf/ Solution Chemical Industries</t>
  </si>
  <si>
    <t>Comfy Blue Classic</t>
  </si>
  <si>
    <t>A233151</t>
  </si>
  <si>
    <t>Detergent Powder GP</t>
  </si>
  <si>
    <t>Tirsam</t>
  </si>
  <si>
    <t>Tosil Disinfectants &amp; Hygiene Products/ Inoquest Labs Industries LLC</t>
  </si>
  <si>
    <t>Touchstone General Trading L.L.C</t>
  </si>
  <si>
    <t>Trans Mediterranean LLC</t>
  </si>
  <si>
    <t>Trends For Beauty &amp; Personal Care Requisites Manufacturing LLC</t>
  </si>
  <si>
    <t>PI by Givenchy S (M)</t>
  </si>
  <si>
    <t>Trent International LLC</t>
  </si>
  <si>
    <t>Trice Chemicals Industries LLC</t>
  </si>
  <si>
    <t>Trio Chemicals</t>
  </si>
  <si>
    <t>Trion Surfactants Mfg Co. LLC</t>
  </si>
  <si>
    <t>Ultra Oil &amp; Grease/ Kassow Oil</t>
  </si>
  <si>
    <t>Solvent Red</t>
  </si>
  <si>
    <t>Umair Karim</t>
  </si>
  <si>
    <t>Unicare Group of Companies</t>
  </si>
  <si>
    <t>212 Sexy by Carolina Herrera (F)</t>
  </si>
  <si>
    <t>Coconut WS</t>
  </si>
  <si>
    <t>Naila 508988</t>
  </si>
  <si>
    <t>Unichem Detergent Industry</t>
  </si>
  <si>
    <t>Lavender Silver WS</t>
  </si>
  <si>
    <t>Union Chemicals Factory</t>
  </si>
  <si>
    <t>Caramel</t>
  </si>
  <si>
    <t>A234246</t>
  </si>
  <si>
    <t>Unipack Perfumes Llc</t>
  </si>
  <si>
    <t>United Detergent Manufacturing LLC</t>
  </si>
  <si>
    <t>United Grease &amp; Lubricants Co. LLC/ Scope Lubricants</t>
  </si>
  <si>
    <t>United Kaipara Dairies Company</t>
  </si>
  <si>
    <t>P31751</t>
  </si>
  <si>
    <t>P33141</t>
  </si>
  <si>
    <t>United Lubricants</t>
  </si>
  <si>
    <t>Universal Beauty FZC</t>
  </si>
  <si>
    <t>Universal Projects Factory for Petroleum Products</t>
  </si>
  <si>
    <t>VS Larome Pack</t>
  </si>
  <si>
    <t>Valencia Cosmetics Trading</t>
  </si>
  <si>
    <t>Downy Blue Fragrance 502433 (SF-8)</t>
  </si>
  <si>
    <t>Various Brand General Trading Company LLC</t>
  </si>
  <si>
    <t>Vee Oil Resources Ltd</t>
  </si>
  <si>
    <t>Vega Middle East LLC</t>
  </si>
  <si>
    <t>Visco Lubes LLC</t>
  </si>
  <si>
    <t>Viscotech Lubricants Industry LLC / V-Tech Lubricants</t>
  </si>
  <si>
    <t>Solvent Blue</t>
  </si>
  <si>
    <t>Solvent Green</t>
  </si>
  <si>
    <t>Vision Lubricants</t>
  </si>
  <si>
    <t>Vision Lubricants/ Vision Recycling &amp; Processing Industry LLc</t>
  </si>
  <si>
    <t>Wadha Al Mansoori Laundry</t>
  </si>
  <si>
    <t>Wadi Siji Perfume Industries LLC</t>
  </si>
  <si>
    <t>Wafa Lubricants</t>
  </si>
  <si>
    <t>Washio Dry Cleaners</t>
  </si>
  <si>
    <t>Weekly Laundry</t>
  </si>
  <si>
    <t>Welcome Diesel Trading LLC</t>
  </si>
  <si>
    <t>White Line Detergent Factory</t>
  </si>
  <si>
    <t>Green Powder</t>
  </si>
  <si>
    <t>Tattrazine Yellow Powder</t>
  </si>
  <si>
    <t>Winchem</t>
  </si>
  <si>
    <t>Sportif Silver WS</t>
  </si>
  <si>
    <t>X Design</t>
  </si>
  <si>
    <t>PI Givenchy L (M)</t>
  </si>
  <si>
    <t>Yas Perfumes</t>
  </si>
  <si>
    <t>Berri Man</t>
  </si>
  <si>
    <t>A280729</t>
  </si>
  <si>
    <t>Shocking</t>
  </si>
  <si>
    <t>A284396</t>
  </si>
  <si>
    <t>Yas The Royal Name of Perfumes</t>
  </si>
  <si>
    <t>Zahir Group of Industries</t>
  </si>
  <si>
    <t>Zahrat Al Amal Perfumes</t>
  </si>
  <si>
    <t>Zain Classic LLC</t>
  </si>
  <si>
    <t>Zain Detergent &amp; Disinfectants Manufacturing Industries LLC</t>
  </si>
  <si>
    <t>Ziat Al Khaleej Lubricant/ Autoline Lubricants &amp; Grease Trading FZE</t>
  </si>
  <si>
    <t>Ziva Wet Wipes FZCO</t>
  </si>
  <si>
    <t>Jeolys</t>
  </si>
  <si>
    <t>A350528</t>
  </si>
  <si>
    <t>Ziva Wet Wipes LLC</t>
  </si>
  <si>
    <t>Zulfiqar Hami Trading LLC</t>
  </si>
  <si>
    <t>Amara/ Alien</t>
  </si>
  <si>
    <t>A270632</t>
  </si>
  <si>
    <t>Black Oud Conc</t>
  </si>
  <si>
    <t>A284514</t>
  </si>
  <si>
    <t>Dora/Gucci Flora</t>
  </si>
  <si>
    <t>Givenchy Play by Givenchy</t>
  </si>
  <si>
    <t>A239847</t>
  </si>
  <si>
    <t>Hassayt Type</t>
  </si>
  <si>
    <t>A273821</t>
  </si>
  <si>
    <t>Issey Miyake Man</t>
  </si>
  <si>
    <t>A243758</t>
  </si>
  <si>
    <t>Play For Her by Givenchy</t>
  </si>
  <si>
    <t>Winner</t>
  </si>
  <si>
    <t>wadi Siji Perfume Industries LLC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</si>
  <si>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</si>
  <si>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</si>
  <si>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</si>
  <si>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</si>
  <si>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</si>
  <si>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</si>
  <si>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</si>
  <si>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</si>
  <si>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</si>
  <si>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</si>
  <si>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</si>
  <si>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</si>
  <si>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(thru May)</t>
  </si>
  <si>
    <t>Total</t>
  </si>
  <si>
    <t>Total Quantity (KG, all years)</t>
  </si>
  <si>
    <t>First Year Supplied</t>
  </si>
  <si>
    <t>Last Year Supplied</t>
  </si>
  <si>
    <t>Grand Total</t>
  </si>
  <si>
    <t>Item name and Year</t>
  </si>
  <si>
    <t>Quantity Supplied (In Kg)</t>
  </si>
  <si>
    <t>Value Generated (In 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</si>
</sst>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;\-#,##0.0;\-"/>
    <numFmt numFmtId="165" formatCode="#,##0.0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4" fontId="0" fillId="0" borderId="0" xfId="0" applyNumberFormat="1"/>
    <xf numFmtId="0" fontId="0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1" fillId="0" borderId="0" xfId="1"/>
    <xf numFmtId="43" fontId="4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[Captain&amp;CO_Sales_2009-2021_Cleaned.xlsx]Summary Sheet!PivotTable1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Sheet'!$B$3</c:f>
              <c:strCache>
                <c:ptCount val="1"/>
                <c:pt idx="0">
                  <c:v>Quantity Supplied (In 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Sheet'!$A$4:$A$11</c:f>
              <c:strCache>
                <c:ptCount val="7"/>
                <c:pt idx="0">
                  <c:v>Cooler Man</c:v>
                </c:pt>
                <c:pt idx="1">
                  <c:v>D&amp;G Light Blue (F)</c:v>
                </c:pt>
                <c:pt idx="2">
                  <c:v>Into The Blue (M)</c:v>
                </c:pt>
                <c:pt idx="3">
                  <c:v>Lady Million (F)</c:v>
                </c:pt>
                <c:pt idx="4">
                  <c:v>Mukhalat</c:v>
                </c:pt>
                <c:pt idx="5">
                  <c:v>Splendor (M)</c:v>
                </c:pt>
                <c:pt idx="6">
                  <c:v>The One Sport (M)</c:v>
                </c:pt>
              </c:strCache>
            </c:strRef>
          </c:cat>
          <c:val>
            <c:numRef>
              <c:f>'Summary Sheet'!$B$4:$B$11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6-419D-A056-2F0B5B0DFF64}"/>
            </c:ext>
          </c:extLst>
        </c:ser>
        <c:ser>
          <c:idx val="1"/>
          <c:order val="1"/>
          <c:tx>
            <c:strRef>
              <c:f>'Summary Sheet'!$C$3</c:f>
              <c:strCache>
                <c:ptCount val="1"/>
                <c:pt idx="0">
                  <c:v>Value Generated (In AED)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Sheet'!$A$4:$A$11</c:f>
              <c:strCache>
                <c:ptCount val="7"/>
                <c:pt idx="0">
                  <c:v>Cooler Man</c:v>
                </c:pt>
                <c:pt idx="1">
                  <c:v>D&amp;G Light Blue (F)</c:v>
                </c:pt>
                <c:pt idx="2">
                  <c:v>Into The Blue (M)</c:v>
                </c:pt>
                <c:pt idx="3">
                  <c:v>Lady Million (F)</c:v>
                </c:pt>
                <c:pt idx="4">
                  <c:v>Mukhalat</c:v>
                </c:pt>
                <c:pt idx="5">
                  <c:v>Splendor (M)</c:v>
                </c:pt>
                <c:pt idx="6">
                  <c:v>The One Sport (M)</c:v>
                </c:pt>
              </c:strCache>
            </c:strRef>
          </c:cat>
          <c:val>
            <c:numRef>
              <c:f>'Summary Sheet'!$C$4:$C$11</c:f>
              <c:numCache>
                <c:formatCode>General</c:formatCode>
                <c:ptCount val="7"/>
                <c:pt idx="0">
                  <c:v>55</c:v>
                </c:pt>
                <c:pt idx="1">
                  <c:v>55</c:v>
                </c:pt>
                <c:pt idx="2">
                  <c:v>105</c:v>
                </c:pt>
                <c:pt idx="3">
                  <c:v>105</c:v>
                </c:pt>
                <c:pt idx="5">
                  <c:v>100</c:v>
                </c:pt>
                <c:pt idx="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E6-419D-A056-2F0B5B0DF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143967"/>
        <c:axId val="307145215"/>
      </c:barChart>
      <c:catAx>
        <c:axId val="3071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145215"/>
        <c:crosses val="autoZero"/>
        <c:auto val="1"/>
        <c:lblAlgn val="ctr"/>
        <c:lblOffset val="100"/>
        <c:noMultiLvlLbl val="0"/>
      </c:catAx>
      <c:valAx>
        <c:axId val="30714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14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1</xdr:row>
      <xdr:rowOff>156210</xdr:rowOff>
    </xdr:from>
    <xdr:to>
      <xdr:col>19</xdr:col>
      <xdr:colOff>106680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27863-7810-4139-93EE-724543ECD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zal Azeez" refreshedDate="46216.56184988426" createdVersion="7" refreshedVersion="7" minRefreshableVersion="3" recordCount="8914" xr:uid="{9DCDB3E5-9C7C-4638-89F7-2DDA4F3909EB}">
  <cacheSource type="worksheet">
    <worksheetSource name="SalesDetail"/>
  </cacheSource>
  <cacheFields count="8">
    <cacheField name="Customer" numFmtId="0">
      <sharedItems count="567">
        <s v="A N D Global General Trading"/>
        <s v="ABC International Ltd"/>
        <s v="ABS Lubricants"/>
        <s v="AST Perfumes"/>
        <s v="ATM Industries"/>
        <s v="AXCL Gulf Lubricants FZE"/>
        <s v="Abdul Ghafoor Group/ Diesel Trading"/>
        <s v="Abdul Hamid Perfumes LLC"/>
        <s v="Abdul Kalam Oud &amp; Perfume"/>
        <s v="Abdul Mateen Dhamma Perfumes Industry"/>
        <s v="Abdul Samad Shoaib Trading LLC"/>
        <s v="Abeer Al Sharq Trading LLC"/>
        <s v="Aber Reliability International General Trading LLC"/>
        <s v="Accelerator General Trading L.L.C"/>
        <s v="Adaliz Readymade Garments Trading LLC"/>
        <s v="Afnan General Trading"/>
        <s v="Afnan Perfumes Factory"/>
        <s v="Ahl Al Dar Perfume Industry/ London Show Perfumes"/>
        <s v="Ahlaa Jaw Trading LLC"/>
        <s v="Ahmed Saeed Qureshi Trading LLC"/>
        <s v="Ain Hoor Perfumes"/>
        <s v="Al Ameen Detergent Factory"/>
        <s v="Al Anood Perfumes"/>
        <s v="Al Anwar Perfumes"/>
        <s v="Al Arab"/>
        <s v="Al Areeq Trading"/>
        <s v="Al Aseel Perfumes"/>
        <s v="Al Bait Aldimashqi Perfumes LLC"/>
        <s v="Al Banafa Oud"/>
        <s v="Al Banafsaj Industries Company LLC"/>
        <s v="Al Baraha Oil Refining Factory LLC"/>
        <s v="Al Baraha Sanitary"/>
        <s v="Al Baraq Steel"/>
        <s v="Al Basata Spare Parts"/>
        <s v="Al Basma Detergents &amp; Cleaning Industries LLC"/>
        <s v="Al Beeah Al Amenah Powder Detergent Mfg Pkg LLC"/>
        <s v="Al Behar Detergent &amp; Cleaning Industries"/>
        <s v="Al Brair Cleaning Detergent"/>
        <s v="Al Buraq Group"/>
        <s v="Al Dammam Oil &amp; Grease Industries LLC"/>
        <s v="Al Dhabiyaniya Oud &amp; Perfumes"/>
        <s v="Al Dhia Cleaning/ Moon Cleaning Material Trading Company LLC"/>
        <s v="Al Enaya Wipes Packaging LLC/ Care Wet Wipes"/>
        <s v="Al Fajer Detergents Industries Co LLC"/>
        <s v="Al Fakhama Al Malakiya Perfumes"/>
        <s v="Al Fanous Cosmetics &amp; Trading"/>
        <s v="Al Fattal Trading EST"/>
        <s v="Al Hafsa Perfumes Industries LLC"/>
        <s v="Al Hajis Perfumes Industries LLC"/>
        <s v="Al Hana Perfumes LLC"/>
        <s v="Al Hanan Ind. LLC"/>
        <s v="Al Haramain Perfumes"/>
        <s v="Al Hayat Perfumes"/>
        <s v="Al Heera General Trading"/>
        <s v="Al Hilali Investment SPC"/>
        <s v="Al Hoda Camp"/>
        <s v="Al Hoda Cleaning Ind. Co. Ltd/ Costenaro FZC"/>
        <s v="Al Jawhara-Gulf Perfumes Trading"/>
        <s v="Al Jazeera Lubricants Factory LLC"/>
        <s v="Al Jazeera Perfumes Industry"/>
        <s v="Al Kamal Shampoo &amp; Cleaning"/>
        <s v="Al Lulu Grease &amp; Lubricants"/>
        <s v="Al Madani Lubricant &amp; Grease Mfg LLC"/>
        <s v="Al Madeena Automatic Bakery"/>
        <s v="Al Maha Cleaning Materials Trading/ Al Wafi General Cleaning Est."/>
        <s v="Al Maitha Trading LLC"/>
        <s v="Al Makhsoos Perfumes Trading"/>
        <s v="Al Mashhoor Group/ Nazwa Perfume Industry"/>
        <s v="Al Mayas Perfumes"/>
        <s v="Al Mazaya Lubricants &amp; Oil Refinery"/>
        <s v="Al Meedan"/>
        <s v="Al Mohamadi Light Industries Co Llc"/>
        <s v="Al Muqarram Insulation Materials Industry Llc"/>
        <s v="Al Narjes Perfumes"/>
        <s v="Al Naseem Gifts LLC"/>
        <s v="Al Nasmat Perfumes"/>
        <s v="Al Nasr Lubricant For Manufacturing &amp; Filling Lubes &amp; Greazes"/>
        <s v="Al Nisr Al Abyad Industries LLC"/>
        <s v="Al Noor Perfume"/>
        <s v="Al Oraib Perfumes"/>
        <s v="Al Rayaheen Industries LLC"/>
        <s v="Al Rayyan Cleaning Material Factory"/>
        <s v="Al Safa Lubricants"/>
        <s v="Al Saqr Industries LLC"/>
        <s v="Al Sayyadi Lebanese &amp; Emirates Factory LLC"/>
        <s v="Al Serkal Group"/>
        <s v="Al Shams Chocolate Manufacturing"/>
        <s v="Al Shams Perfume"/>
        <s v="Al Shawoush Detergents &amp; Disinfectants Trading"/>
        <s v="Al Shaza Perfumes Industry LLC"/>
        <s v="Al Sidrah Perfumes"/>
        <s v="Al Tawaam Cleaning Material Trading"/>
        <s v="Al Tawuur Lubricants"/>
        <s v="Al Tayeb Detergents Ind Llc"/>
        <s v="Al Wara Perfumes Industry LLC"/>
        <s v="Al Watan Perfumes Industries LLC"/>
        <s v="Al Watan Perfumes Industries LLC - Ajman"/>
        <s v="Al Wazeer Detergent"/>
        <s v="Al Zahoor Detergent Factory"/>
        <s v="Al Zebaque Perfumes"/>
        <s v="Ali Maklai Perfumes LLC"/>
        <s v="All Well LLC/ Leaders LLC"/>
        <s v="Allure International Aerosols LLC"/>
        <s v="Allure Perfumes Mgf. Llc."/>
        <s v="Almaitha Trading LLC"/>
        <s v="Almas Detergent &amp; Disinfectant Industry LLC"/>
        <s v="Alpha Plus Detergents &amp; Disinfectants Factory"/>
        <s v="Alsabah Oil Used Trading"/>
        <s v="Ama Perfume Manufacturing"/>
        <s v="Amalia Perfumes International FZE"/>
        <s v="Amazon Lubricants &amp; Grease"/>
        <s v="Amegos Perfumes"/>
        <s v="Ameya FZC"/>
        <s v="Amir Mosawer Company"/>
        <s v="Amreet Industries FZE"/>
        <s v="Anchor Allied Factory Ltd"/>
        <s v="Anwar Makkah Perfumes &amp; Gifts Trading"/>
        <s v="Arabian Lubricants Co. LLC"/>
        <s v="Arabian Mist Perfumes Trading"/>
        <s v="Arabian Soul Perfumes"/>
        <s v="Arabian Wet Wipes"/>
        <s v="Arabol Lubricants Manufacturing LLC"/>
        <s v="Ardh Al Shams Cleaning &amp; Detergent Trading"/>
        <s v="Arhams Jewellers FZCO/ Greata Enterprises/ Belleza Jewellery"/>
        <s v="Ariyat International FZE"/>
        <s v="Armor Lubricants Manufacturing"/>
        <s v="Aroma Continental Perfumes"/>
        <s v="Aroma Perfumes LLC/ Euroarabian Perfumes"/>
        <s v="Aroma Soaps &amp; Tissues Trading LLC"/>
        <s v="Around Africa General Trading"/>
        <s v="Arpal Gulf LLC"/>
        <s v="Arrows Cosmetics mfg CompanyTrading LLC"/>
        <s v="Artek Cosmetics &amp; Perfumes LLC"/>
        <s v="Asfar Laundry"/>
        <s v="Asia Detergents &amp; Cleaning Industries LLC"/>
        <s v="Asia Star Deisel Trading"/>
        <s v="Aswar Elite Factory FZE"/>
        <s v="Atlantic Grease &amp; Lubricants Manufacturing LLC"/>
        <s v="Ayaxxon Lubricants &amp; Grease LLC"/>
        <s v="Azanco Lube Oil Industries FZE/ Iraqi Lubricant Company LLC"/>
        <s v="B-Safe"/>
        <s v="Badr Cleaning Materials Manufacturing Co. LLC"/>
        <s v="Badrul Islam Perfumes Trading LLC"/>
        <s v="Bait Al Ameera Perfumes Trading"/>
        <s v="Bait Al Oud General Trading LLC"/>
        <s v="Bait Al Zeot Industry"/>
        <s v="Barakath Detergents &amp; Disinfectants Manufacturing"/>
        <s v="Barqan Perfumes"/>
        <s v="Best Care General Trading LLLC"/>
        <s v="Best Detergents &amp; Disinfectants Manufacturing LLC"/>
        <s v="Bethesda General Trading LLC"/>
        <s v="Biethaan Personal Care Products"/>
        <s v="Biotechnology International Company LLC"/>
        <s v="Biotek Solutions"/>
        <s v="Black Bulls (Orbit Grease &amp; Lubricants Ind. Factory LLC)"/>
        <s v="Blends Frago"/>
        <s v="Blue Bird Perfume Trading/ New Feeling Trading"/>
        <s v="Bright Detergent &amp; Disinfectant Mfg LLC"/>
        <s v="Brindal Lubricants/ Brindal International General Trading LLC"/>
        <s v="Bu Essa General Trading/ Qtrade Marketing &amp; Distribution Co WWL"/>
        <s v="Burj Eiffel Int'l Grease &amp; Lubricants Mfg"/>
        <s v="Camelicious"/>
        <s v="Canroyal Oil Lubricants"/>
        <s v="Canter Lube Oil/ Associated Oil &amp; Grease Industry LLC"/>
        <s v="Capitol Int'l General Trading"/>
        <s v="Casablanca Trading"/>
        <s v="Cash Customer"/>
        <s v="Cash Customer c/o Umair"/>
        <s v="Cash Customer/ Nizar"/>
        <s v="Champion Lubricants Oils LLC"/>
        <s v="Chemcrown International Ltd"/>
        <s v="Chemex-Chemical &amp; Hygiene Products LLC"/>
        <s v="Chemical Link Trading"/>
        <s v="Choice Cleaning Products"/>
        <s v="Citrol Lubricants LLC/ Enercon Lubricant (Plant Jabal Ali)"/>
        <s v="Class Perfumes"/>
        <s v="Clean Globe Industries LLC"/>
        <s v="Connection Zone Middle East General Trading LLC"/>
        <s v="Continental Oil &amp; Lubricants FZE"/>
        <s v="Coral Perfumes Industries"/>
        <s v="Creek Locaters FZC"/>
        <s v="Crystal Detergent &amp; Plastic Trading LLC"/>
        <s v="DDC International Factory FZC"/>
        <s v="Damas Paper Product Manufacturing"/>
        <s v="Damascus Perfumes"/>
        <s v="Dana Group of Companies (Dana Lubricants Factory LLC)"/>
        <s v="Darhoon International Lubricants"/>
        <s v="Delta Food industries FZE"/>
        <s v="Dilka Centre"/>
        <s v="Disarp Global Hygiene Solutions/ Fam Holding LLC"/>
        <s v="Ditra Sitra"/>
        <s v="Dive Master Filling"/>
        <s v="Dolphin Lubricants/ Al Dolphin Grease &amp; Lubricants Manufacturing LLC"/>
        <s v="Dr. Scent"/>
        <s v="Dubai Lubricants Waste Recycling LLC"/>
        <s v="Eagle Grease &amp; Lubricants Manufacting LLC/ Exone International"/>
        <s v="Eagle Oil Refining Company LLC"/>
        <s v="Eastern Rose Laundry"/>
        <s v="Eili Industries FZC/ Emirates International Lub Industry"/>
        <s v="Elegance Cosmetics Manufacturing Ind L.L.C"/>
        <s v="Elit Industry FZE/ Farmex Freshia Trading LLC"/>
        <s v="Elite Cleaning Products Factory LLC"/>
        <s v="Emirates Lube Oil FZC"/>
        <s v="Emirates Market General Trading"/>
        <s v="Emirates Modern Lubricant Factory Llc"/>
        <s v="Emirates Wet Wipes FZCO"/>
        <s v="Emirol Lube &amp; Grease Manufacturing Company LLC"/>
        <s v="Epoch Cosmetics"/>
        <s v="Euroline Perufmes Industry"/>
        <s v="European Cosmetic Manufacturing Co., LLC"/>
        <s v="European Perfume Works/ Emicos International/ Scion Group of Companies"/>
        <s v="Everglobal Trading LLC"/>
        <s v="Faan Al Ibda Perfumes &amp; Cosmetics"/>
        <s v="Fairdeal Trading"/>
        <s v="Fakhama Perfumes Industry"/>
        <s v="Fakhruddin Khuman Perfumes"/>
        <s v="Falcon Detergent Industry"/>
        <s v="Fast Truck Grease &amp; Manufacturing"/>
        <s v="Fayfa Chemicals"/>
        <s v="Fine Hygiene Holding"/>
        <s v="First Choice Dry Cleaning"/>
        <s v="First Perfumes Industry"/>
        <s v="Flash Point Lubricant"/>
        <s v="Flora Perfumes/ Verona Perfumes"/>
        <s v="Florence Cosmetics Manufacturing Industries LLC"/>
        <s v="Flytex Lubricants"/>
        <s v="Foto Petroleum Products LLC/ Grease &amp; Lubricants Mfg"/>
        <s v="Fourtech Industries LLC"/>
        <s v="Fragrance City/ Golden Tent Trading"/>
        <s v="Future Lubricants"/>
        <s v="GD International"/>
        <s v="Galal Ghaly/ TCL - Techinal Chemical Laboratories"/>
        <s v="Galaxy Chemicals FZE"/>
        <s v="Galaxy DI SFZ"/>
        <s v="Galaxy Overseas"/>
        <s v="General Petroleum Products"/>
        <s v="German Mirror Lubricants &amp; Greases Co., FZE"/>
        <s v="Global Lubricant - Oman"/>
        <s v="Global Lubricant Industry"/>
        <s v="Global Perfumes Industry FZE"/>
        <s v="Globe Chemicals Co LLC"/>
        <s v="Globelink West Star Shipping LLC (C/O Motolube Shipment)"/>
        <s v="Golden Nuts General Trading LLC"/>
        <s v="Golden Perfumes"/>
        <s v="Goz Cosmetics Industrial Trading FZC"/>
        <s v="Gr8 Deals Trading FZE"/>
        <s v="Grand Industries Limited"/>
        <s v="Green Cosmetics &amp; Perfumes Industries LLC"/>
        <s v="Green Environment Cleaning Building"/>
        <s v="Green Petrochem Industry FZC"/>
        <s v="Gulf Centre For Soap &amp; Chemical Ind. LLC"/>
        <s v="Gulf Continental Oil (A Division of NBhH)"/>
        <s v="Gulf International Industries Co. LLC"/>
        <s v="Gulf Oil Middle East Ltd"/>
        <s v="Gulf Petrochem"/>
        <s v="Gulf Worldwide Distribution"/>
        <s v="Hadiqat Al Ward Perfumes Trading"/>
        <s v="Hajr Al Aswad"/>
        <s v="Hamburg Detergent &amp; Disinfectant Trading LLC"/>
        <s v="Hamda Almulla Oud &amp; Ambor Perfumes Trading"/>
        <s v="Hamil Al Musk"/>
        <s v="Happy Home Detergents Manufacturing LLC"/>
        <s v="Hassan Shahin Ahmed Perfumes LLC"/>
        <s v="Hazen International FZC"/>
        <s v="Henkel Lubricants/ Stanley International Lubricants Industry LLC"/>
        <s v="Hera Soap &amp; Cosmetics Manufacturing LLC"/>
        <s v="Hi Way Lube Grease &amp; Lubricants Industry LLC"/>
        <s v="Hira Chemicals LLC"/>
        <s v="Holy Friends Trading FZC"/>
        <s v="Home Soap"/>
        <s v="Honest Perfume Trading"/>
        <s v="Hygiene Detergent &amp; Disinfectants Trading LLC"/>
        <s v="Hygiene Fresh"/>
        <s v="Ice Berg Laundry"/>
        <s v="Indian Ocean Perfumes"/>
        <s v="Indigo Hospitality Supplies LLC"/>
        <s v="Intercare Limited"/>
        <s v="Interclean Detergent &amp; Disinfectants"/>
        <s v="Ittar Al Oud Perfumes"/>
        <s v="Jabal Al Noor PP"/>
        <s v="Jabal Al Ward Perfumes Industry"/>
        <s v="Jabal Ali Perfumes"/>
        <s v="Jardina Perfumes"/>
        <s v="Jas Global Industries"/>
        <s v="Jas Perfumes"/>
        <s v="Jawharat Alkhaleej Factory"/>
        <s v="Jazeerat Al Mas Perfumes"/>
        <s v="Jet Detergent"/>
        <s v="Jiali General Trading"/>
        <s v="Johnson Lubricants FZC"/>
        <s v="Jumana Gallery"/>
        <s v="K. Agyei 49 Enterprise"/>
        <s v="Kalbaa Palace Cleaning Equipment Trading"/>
        <s v="Kamal Uddin Perfumes Trading LLC"/>
        <s v="Karkafi Hair/ Shatoora Cosmetics Trading"/>
        <s v="Kentz International Lubricants &amp; Grease"/>
        <s v="Kenzol Multi Industries FZE"/>
        <s v="Khadlaj Perfumes"/>
        <s v="Khalid Perfumes"/>
        <s v="Khalis Perfumes Mfg LLC"/>
        <s v="Kingdom Lubricant"/>
        <s v="Kingdom petroleum"/>
        <s v="Klayon Building Material Trading KKC"/>
        <s v="Kuwait Voice General Trading Co."/>
        <s v="Kwality Specialities"/>
        <s v="L'Origine FZC"/>
        <s v="La Famille Industries De Brilliant FZE"/>
        <s v="La Somone Cosmetics Trading"/>
        <s v="Laura Mars Perfumes"/>
        <s v="Lazer Cleaning Products"/>
        <s v="Leader Soap &amp; Hair Care Products Ind. LLC"/>
        <s v="Lester TR"/>
        <s v="Limra Perfumes Industry LLC"/>
        <s v="Lozet General Trading"/>
        <s v="Lube Chem International Ind. LLC"/>
        <s v="Lubeco International FZE"/>
        <s v="Lubrex LLC"/>
        <s v="Luxor International"/>
        <s v="Luxury Scent General Trading"/>
        <s v="MB Lubricants"/>
        <s v="Maaz International Trading LLC"/>
        <s v="Magic Glow/ Al Lamaa Al Sehriya Cosmetics &amp; Cleaning Ind. LLC"/>
        <s v="Makina Grease &amp; Lubricants Manufacturing LLC"/>
        <s v="Making Memories"/>
        <s v="Makkah Trading Co LLC"/>
        <s v="Malabar Bakery LLC"/>
        <s v="Marigold Fragrances"/>
        <s v="Mark International"/>
        <s v="Marvel Scent Perfume &amp; Cosmetics"/>
        <s v="Masafi Co. LLC"/>
        <s v="Masakan Boxes &amp; Perfumes Ind"/>
        <s v="Masum Perfumes LLC"/>
        <s v="Max Lubricants"/>
        <s v="Medichem"/>
        <s v="Meezan Oil/ Silver Stone FZ LLC"/>
        <s v="Megaline General Trading LLC"/>
        <s v="Meme Perfumes"/>
        <s v="Millennium Grease &amp; Lubricants Manufacturing LLC"/>
        <s v="Millia Cosmetics"/>
        <s v="Mineral Oil Company Ltd"/>
        <s v="Misam General Trading"/>
        <s v="Miskan Boxes &amp; Perfumes"/>
        <s v="Misnad Trading"/>
        <s v="Mohammad Farooq Perfumes"/>
        <s v="Mohammad Habibullah Perfumes &amp; Electronic Shop"/>
        <s v="Mohammad Touseef Perfumes Industries LLC"/>
        <s v="Mohammed Kamal Oud &amp; Fragrances"/>
        <s v="Mohammed Mahabub Perfumes Inc. LLC"/>
        <s v="Moin International LLC"/>
        <s v="Moja International"/>
        <s v="Motolube Ltd"/>
        <s v="Moulvi Perfumes LLC"/>
        <s v="Mr. Abdul Elah"/>
        <s v="Mr. Abdullah"/>
        <s v="Mr. Abu Hakim"/>
        <s v="Mr. Ahmed"/>
        <s v="Mr. Ajmal Hussain"/>
        <s v="Mr. Awad Abusin"/>
        <s v="Mr. Bassam Badawie"/>
        <s v="Mr. Burhan"/>
        <s v="Mr. Danish Ismael"/>
        <s v="Mr. Danish Shabbir"/>
        <s v="Mr. Hamid"/>
        <s v="Mr. Hamza"/>
        <s v="Mr. Huzaifa Attari"/>
        <s v="Mr. Idrees"/>
        <s v="Mr. Imran"/>
        <s v="Mr. Islam"/>
        <s v="Mr. Kamal"/>
        <s v="Mr. Khalaf"/>
        <s v="Mr. Khurram"/>
        <s v="Mr. Mahmood/ Cash Customer"/>
        <s v="Mr. Mansoor"/>
        <s v="Mr. Mudazir"/>
        <s v="Mr. Mustafa"/>
        <s v="Mr. Omar Muhamed"/>
        <s v="Mr. Police"/>
        <s v="Mr. Saad Mohamed"/>
        <s v="Mr. Sabapathy/ Arabian Gulf Oil &amp; Grease Factory"/>
        <s v="Mr. Wael"/>
        <s v="Muscat Modern Perfumes LLC/ Fragroman"/>
        <s v="NG Beauty World FZCO"/>
        <s v="Naas Petrol Factory LLC"/>
        <s v="Nanak Trading LLC"/>
        <s v="Naseem Al Hadaeq Perfumes"/>
        <s v="Naseem Al Ward"/>
        <s v="Natural Fragrance Perfumes Trading LLC"/>
        <s v="New Automatic Laundry"/>
        <s v="New Venture General Trading LLC"/>
        <s v="New Vision Lubricant"/>
        <s v="Nexus Gulf Oil"/>
        <s v="Noor Al Amal General Trading LLC"/>
        <s v="Noor Al Yasmeen"/>
        <s v="Noormak Perfumes Trading LLC"/>
        <s v="North Star Lubricants"/>
        <s v="ODIL (Oxford Detergents Industries LLC)/ Oxford Group of Companies"/>
        <s v="Oasis Grease &amp; Lubricant Ind LLC"/>
        <s v="Oclock Cleaners Trading"/>
        <s v="Oil Zone"/>
        <s v="Om Energy DMCC"/>
        <s v="Om International FZE"/>
        <s v="Oman Lube/ Global Lubricant (Sohar Br.)"/>
        <s v="Omar Hassan Auto Spare Parts LLC"/>
        <s v="Orchid Perfume Factory"/>
        <s v="Orchid Petrochem FZC"/>
        <s v="Oryx Lubes &amp; Greases Ltd FZC"/>
        <s v="Oscar Lubricants LLC"/>
        <s v="Oud Com"/>
        <s v="Oxygen General Trading LLC"/>
        <s v="Pacific Lubricants LLC"/>
        <s v="Pacific Multi Products"/>
        <s v="Palace of Oud &amp;  Perfumes LLC"/>
        <s v="Paraffin Oil &amp; refinery Manufacturing LLC"/>
        <s v="Paris Arabian Perfumes"/>
        <s v="Paris Corner Perfumes LLC"/>
        <s v="Parisvally Perfumes"/>
        <s v="Patrol Oil LLC"/>
        <s v="Penguin Lanudry"/>
        <s v="Perfume Scentre"/>
        <s v="Personality Garments &amp; Perfumes LLC"/>
        <s v="Petro Master Ind. Ltd"/>
        <s v="Petro Tech Lubricants &amp; Grease"/>
        <s v="Petrogulf Oil Manufacturing LLC"/>
        <s v="Petrolube Lubricants FZC"/>
        <s v="Petrolube Oil &amp; Grease Lubricants"/>
        <s v="Petromax Grease &amp; Lubricants"/>
        <s v="Pheromone Perfumes"/>
        <s v="Pineland Cleaning"/>
        <s v="Pineland Hygienic Products Factory LLC"/>
        <s v="Pioneer Trading Company"/>
        <s v="Planet Perfumes Factory"/>
        <s v="Premier Lubricant FZ-LLC"/>
        <s v="Pride International Lubricants"/>
        <s v="Primax General Trading LLC"/>
        <s v="Prince Lubricants"/>
        <s v="Proline International FZE"/>
        <s v="Proniva Laboratories"/>
        <s v="Pure Life Detergent &amp; Disinfectant Mfg LLC"/>
        <s v="Qamar Impex FZC"/>
        <s v="Qasar Al Musk"/>
        <s v="Quality Cosmetic manufacture"/>
        <s v="Quality Wet Wipes"/>
        <s v="Queen B Perfumes"/>
        <s v="Queen Corner"/>
        <s v="Racheme FZE"/>
        <s v="Radiant Lubricants"/>
        <s v="Raf Oil Industries/ Black hawk"/>
        <s v="Rapid Detergents &amp; Disinfectants Mfg. LLC"/>
        <s v="Rawaieh Al Zuhor Cleaning &amp; Detergent Tr."/>
        <s v="Real Detergent &amp; Disinfectant Industry LLC"/>
        <s v="Rectskin Cosmetics"/>
        <s v="Reeha Perfumes Industries"/>
        <s v="Regal Keynote Perfume Factory LLC"/>
        <s v="Regent Perfumes"/>
        <s v="Reliance Detergent &amp; Disinfectants Industry LLC"/>
        <s v="Reliance Lubricants"/>
        <s v="Rose Oasis Trading LLC"/>
        <s v="Rose Valley Perfumes LLC"/>
        <s v="Royal Beauty Perfumes Industry"/>
        <s v="Royal Orange Chemicals Industry/ Globe Chemicals"/>
        <s v="Royal Palace Perfume Industry LLC"/>
        <s v="Royal Petro Energy"/>
        <s v="Royal Wipes Tissues Manufacturing"/>
        <s v="Royal/ Regal Lubricants &amp; Grease Manufacturing LLC"/>
        <s v="Rozai Perfumes"/>
        <s v="Ruby Cosmetics"/>
        <s v="Rukn Al Oud"/>
        <s v="Rupal General Trading LLC"/>
        <s v="SBAD General Trading FZE"/>
        <s v="SR General Trading FZC"/>
        <s v="Saffron Negeen Perfumes"/>
        <s v="Sage Chemical International"/>
        <s v="Sallan Industrial Investment LLC"/>
        <s v="Sama Al Sahel Ind. / Emirates Safe Cleaning Solutions"/>
        <s v="San Stefano General Trading"/>
        <s v="Sanicleen International"/>
        <s v="Sannine Automatic Bakery"/>
        <s v="Sapphirscents"/>
        <s v="Scent Idea Perfume"/>
        <s v="Scent Passion Perfumes"/>
        <s v="Scitra Soap &amp; Chemical Industrial &amp; Trading Company"/>
        <s v="Shallalat General Trading LLC"/>
        <s v="Sharafco Oil Refinery &amp; Ind. Co. LLC"/>
        <s v="Sharlu Lubricants (Sharjah National Lube Oil Company Ltd)"/>
        <s v="Sharq Al Jazeera Oil &amp; Grease Industries LLC"/>
        <s v="Shattaf Trading"/>
        <s v="Shining Diesel Trading"/>
        <s v="Shining Star Detergent Industries/ Tesco Industries LLC"/>
        <s v="Silverdome Perfume Indy/ Abdullah Al Zarouni Perfume Indy"/>
        <s v="Sino Gulf Lubricants"/>
        <s v="Sino Lubricants LLC"/>
        <s v="Sketchley Laundry/ Al Ahlia Group"/>
        <s v="Smalt Detergents"/>
        <s v="Solar Lubricants Factory"/>
        <s v="Souqbeauty Gifts Trading Llc"/>
        <s v="Sparklean General Trading Llc"/>
        <s v="Spectrum Tissue Industries"/>
        <s v="Spin Laundry"/>
        <s v="Startec (Star Composed Chemical Manufacturing LLC)"/>
        <s v="Stellar Technical Services LLC"/>
        <s v="Sterling Perfumes Industries LLC"/>
        <s v="Sterling Wipes LLC"/>
        <s v="Sun Clean Cleaning Industries"/>
        <s v="Sun Detergents &amp; Disinfectants Factory/ Al Shams Detergent &amp; Antiseptic Factory"/>
        <s v="Sun Gulf Lubricants"/>
        <s v="Sun International Oil Industries LLC"/>
        <s v="Sunlube Lubricants/ Sun Lube Oil Grease Industry FZE LLC"/>
        <s v="Super Care Detergents &amp; Disinfectants Factory LLC"/>
        <s v="Super Middle East LLC"/>
        <s v="Supreme Chemical Industry LLC"/>
        <s v="Swiss Perfumes FZC"/>
        <s v="Taher &amp; Sons"/>
        <s v="Tam Perfumes"/>
        <s v="Techno Fab Engineering Llc"/>
        <s v="Technolube LLC"/>
        <s v="Teeb Al Khaleej Trading"/>
        <s v="Teeb Emirates Perfumes"/>
        <s v="Tetra Gulf/ Solution Chemical Industries"/>
        <s v="Tirsam"/>
        <s v="Tosil Disinfectants &amp; Hygiene Products/ Inoquest Labs Industries LLC"/>
        <s v="Touchstone General Trading L.L.C"/>
        <s v="Trans Mediterranean LLC"/>
        <s v="Trends For Beauty &amp; Personal Care Requisites Manufacturing LLC"/>
        <s v="Trent International LLC"/>
        <s v="Trice Chemicals Industries LLC"/>
        <s v="Trio Chemicals"/>
        <s v="Trion Surfactants Mfg Co. LLC"/>
        <s v="Ultra Oil &amp; Grease/ Kassow Oil"/>
        <s v="Umair Karim"/>
        <s v="Unicare Group of Companies"/>
        <s v="Unichem Detergent Industry"/>
        <s v="Union Chemicals Factory"/>
        <s v="Unipack Perfumes Llc"/>
        <s v="United Detergent Manufacturing LLC"/>
        <s v="United Grease &amp; Lubricants Co. LLC/ Scope Lubricants"/>
        <s v="United Kaipara Dairies Company"/>
        <s v="United Lubricants"/>
        <s v="Universal Beauty FZC"/>
        <s v="Universal Projects Factory for Petroleum Products"/>
        <s v="VS Larome Pack"/>
        <s v="Valencia Cosmetics Trading"/>
        <s v="Various Brand General Trading Company LLC"/>
        <s v="Vee Oil Resources Ltd"/>
        <s v="Vega Middle East LLC"/>
        <s v="Visco Lubes LLC"/>
        <s v="Viscotech Lubricants Industry LLC / V-Tech Lubricants"/>
        <s v="Vision Lubricants"/>
        <s v="Vision Lubricants/ Vision Recycling &amp; Processing Industry LLc"/>
        <s v="Wadha Al Mansoori Laundry"/>
        <s v="Wadi Siji Perfume Industries LLC"/>
        <s v="Wafa Lubricants"/>
        <s v="Washio Dry Cleaners"/>
        <s v="Weekly Laundry"/>
        <s v="Welcome Diesel Trading LLC"/>
        <s v="White Line Detergent Factory"/>
        <s v="Winchem"/>
        <s v="X Design"/>
        <s v="Yas Perfumes"/>
        <s v="Yas The Royal Name of Perfumes"/>
        <s v="Zahir Group of Industries"/>
        <s v="Zahrat Al Amal Perfumes"/>
        <s v="Zain Classic LLC"/>
        <s v="Zain Detergent &amp; Disinfectants Manufacturing Industries LLC"/>
        <s v="Ziat Al Khaleej Lubricant/ Autoline Lubricants &amp; Grease Trading FZE"/>
        <s v="Ziva Wet Wipes FZCO"/>
        <s v="Ziva Wet Wipes LLC"/>
        <s v="Zulfiqar Hami Trading LLC"/>
      </sharedItems>
    </cacheField>
    <cacheField name="Product" numFmtId="0">
      <sharedItems count="1143">
        <s v="Downy Blue"/>
        <s v="Wild Poppy"/>
        <s v="Black Rose"/>
        <s v="Lavender"/>
        <s v="Lemon Top"/>
        <s v="Crown Lube"/>
        <s v="Flouramax"/>
        <s v="Flourescent Green Powder"/>
        <s v="Flourescent Green Powder A-01"/>
        <s v="Pineapple"/>
        <s v="Solvent Red 234"/>
        <s v="Caramel Powder Detergents"/>
        <s v="Farbo Cos Pink AFCI-140318"/>
        <s v="Powder Green GP"/>
        <s v="Tattrazine Powder WS"/>
        <s v="Flourescent Green Liquid"/>
        <s v="Lemon"/>
        <s v="Lemon CL 1453 ECON"/>
        <s v="Solvent Blue 98"/>
        <s v="Strawberry"/>
        <s v="Strawberry Silver"/>
        <s v="0022 BM (Brown Orchid) C"/>
        <s v="Agsa"/>
        <s v="Baccarat Rouge 540 56099"/>
        <s v="Fidji by Guy Larorche (F)"/>
        <s v="Fidji by Guy Larorche (F) A241586/"/>
        <s v="Into The Blue"/>
        <s v="Lemon Special"/>
        <s v="Lemon Squeeze"/>
        <s v="Mukhalat Agsa A339522/"/>
        <s v="Orange"/>
        <s v="Silver Scent"/>
        <s v="So Oud"/>
        <s v="Splendor"/>
        <s v="True Coffee Flavour"/>
        <s v="Adorable Woman"/>
        <s v="African Leather 19-0001532"/>
        <s v="Amouge Interlude"/>
        <s v="Attar Mubhakar"/>
        <s v="Bakhour Jebel Ali"/>
        <s v="Body by Burberry (F) C"/>
        <s v="Class II"/>
        <s v="Eau De Cologne"/>
        <s v="Escentric Molecule 010 by Molecules (M) 42796"/>
        <s v="Fendi Man"/>
        <s v="Frash 13"/>
        <s v="Golden Dust"/>
        <s v="Harris (So Oud Premium)"/>
        <s v="Jannat Al Firdaus"/>
        <s v="La Nuit Tresor by Lancome (F) C"/>
        <s v="Leathery Oud (M)"/>
        <s v="Lemon Zeste"/>
        <s v="MIB C"/>
        <s v="Mango"/>
        <s v="Mannequin (F) C"/>
        <s v="Maryam A347816/"/>
        <s v="Maydan 69478"/>
        <s v="Mukhalat"/>
        <s v="Mukhalat Maysoon"/>
        <s v="Mukhalat Nizar 7312-9104/V/13"/>
        <s v="Musk Silk by Ajmal 58249"/>
        <s v="Musk Tahara Copper BW2019-2"/>
        <s v="Musk Tahara Gold 19-0001415"/>
        <s v="Musk Tahara Silver BW2019-4"/>
        <s v="NB Touch Me 53995"/>
        <s v="Night Lingot C"/>
        <s v="Nude by Rasasi"/>
        <s v="Ombre Leather by Tom Ford (U)"/>
        <s v="One In A Million"/>
        <s v="Pacific Paradise"/>
        <s v="Parabiago Intense Men 18-0002335"/>
        <s v="Polo (M)"/>
        <s v="Positive Attitude C"/>
        <s v="RC Black (F) C"/>
        <s v="Red Tobacco by Mancera (F) 66507"/>
        <s v="Sheikh Abdullah by Hind Al Oud 67976 (Gold)"/>
        <s v="Sports Man"/>
        <s v="Sweet Musk A286825/"/>
        <s v="Ward Taifi"/>
        <s v="Watermelon &amp; Papaya"/>
        <s v="White Amber A"/>
        <s v="White Toon THG 21726/ C"/>
        <s v="Wisal by Ajmal"/>
        <s v="Yellow Musk"/>
        <s v="0007"/>
        <s v="0013"/>
        <s v="0014"/>
        <s v="African"/>
        <s v="Aloe Vera"/>
        <s v="Beauty"/>
        <s v="Brown Orchid N 0022 C"/>
        <s v="Escape (F)"/>
        <s v="Fidji"/>
        <s v="Green Apple"/>
        <s v="Mint"/>
        <s v="Oud Badar 41469"/>
        <s v="Red C"/>
        <s v="Red Grape"/>
        <s v="Reved'Or"/>
        <s v="Sensual"/>
        <s v="Soir De Paris"/>
        <s v="Sports Jocky"/>
        <s v="Touriste"/>
        <s v="Vanilla Flower"/>
        <s v="Cooler Man"/>
        <s v="D&amp;G Light Blue (F)"/>
        <s v="Into The Blue (M)"/>
        <s v="Lady Million (F)"/>
        <s v="Splendor (M)"/>
        <s v="The One Sport (M)"/>
        <s v="212 Sexy"/>
        <s v="Billionaire"/>
        <s v="Black Afgano"/>
        <s v="Boss Orange Zest"/>
        <s v="Fantasy Woman"/>
        <s v="Gents Only"/>
        <s v="Mirage 163228"/>
        <s v="Nini Woman"/>
        <s v="Player"/>
        <s v="Sheikh"/>
        <s v="Sheikh Al Arab"/>
        <s v="Vers-Itas"/>
        <s v="Zest Man"/>
        <s v="Solvent Green 65"/>
        <s v="Flourescent Green Powder D-01"/>
        <s v="Black Orchid by Tom Ford (M)"/>
        <s v="Black XS Be A Legend Iggy Pop (M)"/>
        <s v="Black XS Lexes by Paco Rabanne (M)"/>
        <s v="Boss Orange by Hugo Boss (M)"/>
        <s v="Cooler Man by Davidoff (M)"/>
        <s v="Desire Red by Afred Dunhill (M) C"/>
        <s v="Erba Pura by Sospiro A"/>
        <s v="Eternity By Calvin Klein (M)"/>
        <s v="Into The Blue by Chanel (M)"/>
        <s v="La Vie Est Belle by Lancome (F) C"/>
        <s v="Leathery Oud by Christian Dior (M)"/>
        <s v="Rebl Fleur by Rihanna (F)"/>
        <s v="Sauvage by Christian Dior (M) C"/>
        <s v="Sensual by Johan B (F)"/>
        <s v="Si by Armani (F) C"/>
        <s v="The One Sport by Dolce &amp; Gabbana (M)"/>
        <s v="Lavender Match"/>
        <s v="Lotion"/>
        <s v="Adventure Premium"/>
        <s v="Al Sheikh"/>
        <s v="Answer Woman"/>
        <s v="BS Fantasy"/>
        <s v="Black Rocco"/>
        <s v="Blue Jockey"/>
        <s v="Bobby Valley"/>
        <s v="Chanel Blue"/>
        <s v="Essential Man"/>
        <s v="Fidgi"/>
        <s v="Fragrance 2029"/>
        <s v="Hind Kohil"/>
        <s v="Hypnotise"/>
        <s v="Jasmine"/>
        <s v="Kage Pour Homme"/>
        <s v="Kamar Bakhour"/>
        <s v="Khas"/>
        <s v="Noir De Noir"/>
        <s v="Nude"/>
        <s v="Nude A256430 (OLD)"/>
        <s v="Nude A284943 (NEW)"/>
        <s v="Oud Mubhakar"/>
        <s v="Parisian"/>
        <s v="Rose"/>
        <s v="Rose Oud C"/>
        <s v="So Oud ECO"/>
        <s v="Sweet Musk"/>
        <s v="Tuscan Leather"/>
        <s v="Two Twelve (M)"/>
        <s v="Zahrat"/>
        <s v="0022 BM C"/>
        <s v="Coffee 180270"/>
        <s v="Essential Oil"/>
        <s v="Pink Bubblegum"/>
        <s v="Raspberry"/>
        <s v="Vanilla"/>
        <s v="Ambree Water ECO"/>
        <s v="Arabian Coffee"/>
        <s v="Saeed 2"/>
        <s v="English Rose"/>
        <s v="English Rose A402005/"/>
        <s v="Gardenia"/>
        <s v="Lavender WS A239076/"/>
        <s v="Aqua Di Gio By Giorgio Armani (M)"/>
        <s v="Bakhour Lucy"/>
        <s v="Cool Water"/>
        <s v="Ellen"/>
        <s v="Excess Noir Man"/>
        <s v="Fendi (M)"/>
        <s v="French Perfume"/>
        <s v="Gucci Rush"/>
        <s v="Mubhakar"/>
        <s v="One In A Million (M)"/>
        <s v="One In A Million by Paco Rabanne (M)"/>
        <s v="Rebelious Flower"/>
        <s v="Roses Roses"/>
        <s v="Rumba"/>
        <s v="Rushin Woman"/>
        <s v="Sadaf"/>
        <s v="Sensual by Johan B (F) A282344/"/>
        <s v="Super Sultan"/>
        <s v="Tim Forth Tuscany"/>
        <s v="2028 Tonka"/>
        <s v="Alien"/>
        <s v="Body Musk Tahara 39854"/>
        <s v="Debut Five (F)"/>
        <s v="Fragrance 2024"/>
        <s v="Fucking Fabulous (M) 18-0004655"/>
        <s v="Maysoon"/>
        <s v="Oud Asphan C"/>
        <s v="Oud Rose"/>
        <s v="Pink Musk"/>
        <s v="Rose Vanille 18-0006375"/>
        <s v="Sauvage (M) C"/>
        <s v="Shadow Leather (U)"/>
        <s v="Sheikh Abdullah by Hind Al Oud 67976"/>
        <s v="Silver Water"/>
        <s v="White Toon THG 21726"/>
        <s v="Cherry"/>
        <s v="Anamore TH"/>
        <s v="Italian Leather TH"/>
        <s v="Rose Tea"/>
        <s v="Orchid Noir LYF"/>
        <s v="Sports Man LYF"/>
        <s v="Tim Forth Oud Wood LYF"/>
        <s v="Pine Fresh"/>
        <s v="Cologne"/>
        <s v="Lemon 225"/>
        <s v="Mask Me A401230/"/>
        <s v="Aloe Vera LYF A244191/"/>
        <s v="Carmosine Powder WS"/>
        <s v="Cooling"/>
        <s v="Crunchy"/>
        <s v="Detergent Powder Yellow CR"/>
        <s v="Dettex"/>
        <s v="Farbensol Blue 1503"/>
        <s v="Fragrance 2041"/>
        <s v="Lavender Bubbles"/>
        <s v="Lemon A241225/"/>
        <s v="Luxuria"/>
        <s v="Pine"/>
        <s v="Rose Petal A233185/"/>
        <s v="Rose Touch"/>
        <s v="Rose WS"/>
        <s v="Strawberry A233442/"/>
        <s v="Super D20"/>
        <s v="Super D20 Mod"/>
        <s v="Lavender &amp; Gardenia"/>
        <s v="PG"/>
        <s v="Rosey"/>
        <s v="Vanilla &amp; Black Orchid"/>
        <s v="African Leather by Memo Paris (U) 19-0001532"/>
        <s v="Brut by Faberge (M)"/>
        <s v="Cherry In The Air By Escada (F) A297629/"/>
        <s v="Clive Christian X"/>
        <s v="Dirham Econ"/>
        <s v="Frank Incense"/>
        <s v="Invictus by Paco Rabanne (M)"/>
        <s v="Irish Leather by Memo (M) 52160"/>
        <s v="Nero Assoluto by Roberto Cavalli (F) C"/>
        <s v="Peach A248825/"/>
        <s v="Ralf by Ralph Lauren (F)"/>
        <s v="Touch Me by Nabeel 53995"/>
        <s v="Fabric Conditioner"/>
        <s v="Fragrance DD"/>
        <s v="Kajal"/>
        <s v="Aloe Vera A244191/"/>
        <s v="Cocoa Butter A275616/"/>
        <s v="Cooler Man by Davidoff (M) A235765/"/>
        <s v="Cuticura"/>
        <s v="Doven"/>
        <s v="L1212 Blanc by Lacoste (M) C"/>
        <s v="Lemon Grass"/>
        <s v="Salt"/>
        <s v="Downy Blue Fragrance 502433"/>
        <s v="Exotic Vanilla SG FRAG. 503483"/>
        <s v="Badar 41469"/>
        <s v="Black Orchid (F)"/>
        <s v="Cartier"/>
        <s v="Lexes (M)"/>
        <s v="Life C"/>
        <s v="Billionaire (F)"/>
        <s v="Challenger (M)"/>
        <s v="Happy Split"/>
        <s v="Two One X Woman"/>
        <s v="Fruity Apple"/>
        <s v="Herbal"/>
        <s v="Jasmine Hair Oil"/>
        <s v="Mint Skin Cream"/>
        <s v="Olive Oil"/>
        <s v="Peach"/>
        <s v="Mukhalat Agsa"/>
        <s v="Aventis"/>
        <s v="Black XS Lexes (M)"/>
        <s v="Silver Water (M)"/>
        <s v="Aventus by Creed (M) A302349/"/>
        <s v="Bakhour A285878/"/>
        <s v="Black Afgano by Nasamato"/>
        <s v="Brown Orchid CP08232 /C"/>
        <s v="Fucking Fabulous by Tom Ford (M) 18-0004655"/>
        <s v="Mukhalat A292908/"/>
        <s v="Silver Mountain Water by Creed (M)"/>
        <s v="Splendor by Seris (M)"/>
        <s v="Cucumber"/>
        <s v="Terre D Hermes (M)"/>
        <s v="Taj Sunset by Escada (F) A29"/>
        <s v="Bakhur"/>
        <s v="Cuir Et Chic C"/>
        <s v="Dollar Dollar"/>
        <s v="Luna Sparkle"/>
        <s v="Namer Al Oud"/>
        <s v="One In A Million/ Essential Oil"/>
        <s v="Sculpt"/>
        <s v="212 Men by Carolina Herrera"/>
        <s v="Almond"/>
        <s v="Aventus by Creed (M)"/>
        <s v="Avocado"/>
        <s v="Beef Bone"/>
        <s v="Chocolate"/>
        <s v="Cocoa Butter"/>
        <s v="Coconut"/>
        <s v="Desire by Alfred Dunhill (M)"/>
        <s v="Dolin"/>
        <s v="Essential by Lacoste (M)"/>
        <s v="Farbo Cos Violet RG"/>
        <s v="Fruity Smoothie"/>
        <s v="Garlic"/>
        <s v="Green Chamomile"/>
        <s v="Green Tea"/>
        <s v="Milk Fresh"/>
        <s v="Papaya"/>
        <s v="Premier by Chanel (F)"/>
        <s v="Silver Scent by Jacques Bogart (M)"/>
        <s v="Sweet Honey &amp; Milk"/>
        <s v="Bakhur A243761/"/>
        <s v="Breeze"/>
        <s v="Breeze A338229/"/>
        <s v="Brilliant Blue 21518"/>
        <s v="Floral Blush"/>
        <s v="Jasmine A231705/"/>
        <s v="Lemon Fairy"/>
        <s v="Rose A231706/"/>
        <s v="Sunset Yellow FCF"/>
        <s v="Uomo by Valentino (M)"/>
        <s v="Vanilla Flower A299996/"/>
        <s v="Warda"/>
        <s v="Lemon Tarpenes"/>
        <s v="Green Apple A231708/"/>
        <s v="Mash Moom"/>
        <s v="Sheikh (Sadaf)"/>
        <s v="Citropine"/>
        <s v="Lemon Smoothie"/>
        <s v="Mask Me Too"/>
        <s v="Body Burberry (F) C"/>
        <s v="Pink Rose"/>
        <s v="Rose A233185/"/>
        <s v="Saffron A285621/"/>
        <s v="Silver Mountain Water (M)"/>
        <s v="Acid Violet 43"/>
        <s v="Apricot"/>
        <s v="Apricot A292789/"/>
        <s v="Aventus (M)"/>
        <s v="Bakhour"/>
        <s v="Banana"/>
        <s v="Black Opium by Yves Saint Laurent (F) C"/>
        <s v="Chocolate Truffle"/>
        <s v="Coffee"/>
        <s v="Cooling - A235762 - 2"/>
        <s v="Essential (M)"/>
        <s v="Essential by Lacoste"/>
        <s v="Exotic Flower"/>
        <s v="Flouramax A270578/"/>
        <s v="Imperial Oudh"/>
        <s v="La Vie Est Belle (F) C"/>
        <s v="Lubricant"/>
        <s v="Mint Flavour 32274"/>
        <s v="Mukhalat Fatima"/>
        <s v="Pink"/>
        <s v="Sandalwood"/>
        <s v="Spun Silk"/>
        <s v="Studio"/>
        <s v="Weatgerm"/>
        <s v="Zaya"/>
        <s v="Flourescent Green Powder C-03"/>
        <s v="Antibac 154295"/>
        <s v="Solvent Brown Liquidation"/>
        <s v="Chocolate Flavouring 32347"/>
        <s v="Pineapple Flavouring 32356"/>
        <s v="Strawberry Candy Flavour 28410"/>
        <s v="Unripe Banana Flavour 28671"/>
        <s v="Vanilla Flavouring 31756"/>
        <s v="Lo Lemon"/>
        <s v="Susnhine"/>
        <s v="Adore - 18"/>
        <s v="Al Bama 18"/>
        <s v="Albama - 18"/>
        <s v="Bright Crystal by Versace (F)"/>
        <s v="Bright Crystal by Versace (F) A235748/"/>
        <s v="Maryam"/>
        <s v="Aqua Man"/>
        <s v="Coffee Classic"/>
        <s v="Pink Touch"/>
        <s v="Sculpt Man"/>
        <s v="Eternal Man"/>
        <s v="Victorious (M)"/>
        <s v="Lavender WS"/>
        <s v="Orange Peeling A410433/"/>
        <s v="Rakaan by Swiss Arabia 65394"/>
        <s v="Black Afgano (M)"/>
        <s v="Musk Mutas"/>
        <s v="0022BM C"/>
        <s v="Collection"/>
        <s v="Nina Woman"/>
        <s v="Lubrication Green"/>
        <s v="Applemint A322909/"/>
        <s v="Lemon Matched - 2"/>
        <s v="Lemon Matched 1 - 3"/>
        <s v="Mashmoom III"/>
        <s v="Pacific Paradise by Escada (F)"/>
        <s v="Taj Sunset by Escada (F)"/>
        <s v="Addictive Woman"/>
        <s v="Give Play"/>
        <s v="Gucci Flora"/>
        <s v="JC Viva"/>
        <s v="La Challenge"/>
        <s v="Queen by Queen Latifah"/>
        <s v="Sensual Allure"/>
        <s v="Terrer Man"/>
        <s v="Flourescent Green/ Lubrication Green"/>
        <s v="Solvent Brown"/>
        <s v="Solvent Yellow 174"/>
        <s v="Oud"/>
        <s v="Almond Flavour F19-038425"/>
        <s v="Banana Flavour F19-038426"/>
        <s v="Milk Cream Flavour F19-038424"/>
        <s v="Hazal Nut Flavour 32351"/>
        <s v="Daisy Delight"/>
        <s v="KJL"/>
        <s v="Sunshine"/>
        <s v="BDV Blue Sapphire 52811"/>
        <s v="RC Black C"/>
        <s v="Attar Mobakhar"/>
        <s v="Ena"/>
        <s v="Heaven"/>
        <s v="Kavali"/>
        <s v="Ricci Ricci"/>
        <s v="Sahvallia"/>
        <s v="True Coffee"/>
        <s v="White Toon TH"/>
        <s v="Comfy Blue"/>
        <s v="Floral Fruity/ Millefleurs"/>
        <s v="Magic Blue"/>
        <s v="Ocean Breeze"/>
        <s v="Powder Soap Extra"/>
        <s v="Rajashree"/>
        <s v="Escentric M01 42796"/>
        <s v="Memoria Eire Cuero 52160"/>
        <s v="Black Flower Afro C"/>
        <s v="Evidence"/>
        <s v="Iggy Pop Man"/>
        <s v="L1212 Blanc (M) C"/>
        <s v="Mukhalat LYF A292908/"/>
        <s v="Nightflight"/>
        <s v="Tuscan Leather (F) C"/>
        <s v="Mukhakat"/>
        <s v="Lavender A236167/"/>
        <s v="Fruit"/>
        <s v="212 Man"/>
        <s v="Alluring"/>
        <s v="Almas Extra"/>
        <s v="Asseel"/>
        <s v="Black XS"/>
        <s v="Elixir"/>
        <s v="Fresh Peach"/>
        <s v="Hot Aqua"/>
        <s v="Idol"/>
        <s v="Jannat Al Naeem"/>
        <s v="Majmua"/>
        <s v="Misc"/>
        <s v="Montana"/>
        <s v="Poisonous"/>
        <s v="Sexy Carolina"/>
        <s v="Shaik"/>
        <s v="Sondos"/>
        <s v="The Queen"/>
        <s v="Versus"/>
        <s v="Zen by Sheseido"/>
        <s v="Attar Bakhour"/>
        <s v="Insolent"/>
        <s v="Lady Million"/>
        <s v="DD"/>
        <s v="Lemon Zest"/>
        <s v="Black Drak"/>
        <s v="Bright Crystal (F)"/>
        <s v="Pacific Paradise (F)"/>
        <s v="Pasha De Cartier (M)"/>
        <s v="Sensual (F)"/>
        <s v="Bakour"/>
        <s v="Echoing Man"/>
        <s v="Joop! Night Flight (M)"/>
        <s v="Conifer"/>
        <s v="Eriol"/>
        <s v="Lady II"/>
        <s v="Orange Zest 172406"/>
        <s v="Provencia"/>
        <s v="Silky Touch"/>
        <s v="Sportif A321239 /"/>
        <s v="Sportiff"/>
        <s v="22 Items"/>
        <s v="28 Items"/>
        <s v="7 Items"/>
        <s v="89 Items"/>
        <s v="Acqua DG"/>
        <s v="Adi active"/>
        <s v="Adorable"/>
        <s v="Amor Amor"/>
        <s v="Anais Anais"/>
        <s v="Azaroo Chrome"/>
        <s v="Brave Fuel"/>
        <s v="Ceekay One"/>
        <s v="Chloe"/>
        <s v="Coste Pour Femme"/>
        <s v="Declare Man ECO"/>
        <s v="Elsie"/>
        <s v="Encre Noir"/>
        <s v="Eternal Moment"/>
        <s v="Guiltless"/>
        <s v="Hugo Boss for Men"/>
        <s v="Light Blue"/>
        <s v="Marina Grove"/>
        <s v="Miraculous Woman"/>
        <s v="Oh Madame"/>
        <s v="PR Excess Noir Man"/>
        <s v="Rasheqa"/>
        <s v="Romantic Woman"/>
        <s v="Safari Man"/>
        <s v="Sexy Graph"/>
        <s v="Dehn Al Oudh"/>
        <s v="K Man"/>
        <s v="Lacoste White Toon TH"/>
        <s v="Micalif"/>
        <s v="0013 (F)"/>
        <s v="2001 Match"/>
        <s v="Everlasting A235573 /"/>
        <s v="Sanitol A237612/"/>
        <s v="Fantasy by Britney Spears (F)"/>
        <s v="Oxygen 581"/>
        <s v="PI by Givenchy L (M)"/>
        <s v="Sparkle"/>
        <s v="Sportif"/>
        <s v="Vanitas by Versace (F)"/>
        <s v="Fruit Perfume"/>
        <s v="Oudh Rose"/>
        <s v="Softee Fragrance"/>
        <s v="Ceramide A339212/"/>
        <s v="Herbal Sea Breeze"/>
        <s v="Herbal Sea Breeze A306327/"/>
        <s v="Oudh"/>
        <s v="Pot Pouri"/>
        <s v="212 Men by Carolina Herrera A258812 /"/>
        <s v="Aqua Gee Man"/>
        <s v="Coco Vanille by Mancera (F) 67431"/>
        <s v="Escape by Calvin Klein (F)"/>
        <s v="Escentric Molecules 020 by Molecules (M) A"/>
        <s v="Happy Spirit by Chopard (F)"/>
        <s v="Nemer by Boadicea C"/>
        <s v="Opulent Shaik Classic No. 77 by Shaik 70466"/>
        <s v="Cherish WS"/>
        <s v="Cherry Silver"/>
        <s v="Crownlube"/>
        <s v="Solvent Brown Dye"/>
        <s v="Orchid"/>
        <s v="Yellow Musk A243193/ Mukhalat Alia"/>
        <s v="Aqua Heigh"/>
        <s v="Timeless"/>
        <s v="Shay Oud"/>
        <s v="Green"/>
        <s v="White"/>
        <s v="Arrows Matched - 2 WS"/>
        <s v="Ceramide"/>
        <s v="Lemon Matched"/>
        <s v="Menthol Crystal (CAS No. 89-78-1)"/>
        <s v="Sunset Yellow FCF AFCZ-113/19-20"/>
        <s v="Vanitas (F)"/>
        <s v="Artek"/>
        <s v="Balenciaga Paris"/>
        <s v="Eternal"/>
        <s v="Hot Water"/>
        <s v="Incredible Me"/>
        <s v="Noir M"/>
        <s v="Noir W"/>
        <s v="Polo Black"/>
        <s v="Pure Musk"/>
        <s v="Samonia Savon"/>
        <s v="Bubblegum"/>
        <s v="Gucci Guilty Absolute by Gucci (F)"/>
        <s v="Flourescent Green"/>
        <s v="Oil Odorant GN 150"/>
        <s v="Acqua Di Gio"/>
        <s v="Almas"/>
        <s v="Applemint"/>
        <s v="Arais Mod"/>
        <s v="Attar Bazar"/>
        <s v="Attar Full"/>
        <s v="Attar Mubakhar"/>
        <s v="Badr"/>
        <s v="Big Pony 1 by Ralph Lauren"/>
        <s v="Black XS Aphrodisiaque (F) C"/>
        <s v="Blue Lady"/>
        <s v="Blue Sport"/>
        <s v="Bright Woman"/>
        <s v="Damask Rose"/>
        <s v="Dinky NY"/>
        <s v="Dunhill Desire"/>
        <s v="Elemental"/>
        <s v="Escada"/>
        <s v="Escape by Calvin Klein"/>
        <s v="Fahrenheit"/>
        <s v="Glamour"/>
        <s v="Hamil Al Mas"/>
        <s v="Hugo Boss"/>
        <s v="Hugo Green"/>
        <s v="Jadid"/>
        <s v="Jadore"/>
        <s v="Lapidus by Ted Lapidus"/>
        <s v="Le Paradise De Nina By Nina Ricci"/>
        <s v="Moiselle A256803 (Madamoiselle)"/>
        <s v="Mr. Tom Oudh"/>
        <s v="Narciso Rodrigues"/>
        <s v="Nina By Nina Ricci"/>
        <s v="Nina Ricci"/>
        <s v="Nina Ricci Toil"/>
        <s v="Oh Madam"/>
        <s v="One Gentleman"/>
        <s v="Orange by Givenchy"/>
        <s v="Parsian"/>
        <s v="Raffy-Ralph Lauren"/>
        <s v="Rakan"/>
        <s v="Reve Dor"/>
        <s v="Shek"/>
        <s v="Sultan"/>
        <s v="The Night"/>
        <s v="Tom Ford Tuscan Leather"/>
        <s v="Two One Sensual Woman"/>
        <s v="Two One Two Woman"/>
        <s v="Two Sexy"/>
        <s v="Escada Taj Sunset (Escada Pink) (F)"/>
        <s v="Crystal Bright Woman"/>
        <s v="Givenchy PI"/>
        <s v="Si (F) C"/>
        <s v="Bright &amp; Beautiful"/>
        <s v="Citrus Fresh"/>
        <s v="Passion"/>
        <s v="Sanitol"/>
        <s v="Tea Rose"/>
        <s v="Pink Rose A319989/"/>
        <s v="Flourescent Green WS 20418"/>
        <s v="Cuticure"/>
        <s v="Excess Noir"/>
        <s v="Irish Leather (M) 52160"/>
        <s v="Noora"/>
        <s v="Oud Star C"/>
        <s v="Overt (Open)"/>
        <s v="Poison (F)"/>
        <s v="Poison by Christian Dior (F) A242628/"/>
        <s v="Tuscan Leather (M) C"/>
        <s v="Café Coffee"/>
        <s v="Coastal Escape"/>
        <s v="Coco Mademoiselle by Chanel A413848 (F)"/>
        <s v="Energise Tangerine"/>
        <s v="Floralia"/>
        <s v="Flower Potion C"/>
        <s v="Heather Highlands"/>
        <s v="Lemon &amp; Peppermint"/>
        <s v="Mountain Glacier"/>
        <s v="Sportsman"/>
        <s v="Sunshine Couture C"/>
        <s v="Tuscan Leather by Tom Ford (F) C"/>
        <s v="Lubrication/ Flourescent Green Dye"/>
        <s v="Musk Tahara White 39854"/>
        <s v="Supreme Bouquet by YSL C"/>
        <s v="Accento By Sospiro (U) 60464"/>
        <s v="Bouquet Subtil C"/>
        <s v="Coco Mademoiselle by Chanel (F)"/>
        <s v="Erba Pura by Sospiro (M) 71367"/>
        <s v="Erba Pura by sospiro AF 15861 (SF)"/>
        <s v="Escape by Calvin Klein (F) A241367/"/>
        <s v="Eternity By Calvin Klein (M) A242452/"/>
        <s v="Fantasy (F)"/>
        <s v="Fantasy by Britney Spears (F) A245818 /"/>
        <s v="Fragile by Jean Paul Gautier (F)"/>
        <s v="Jadore (F)"/>
        <s v="Jadore by Christian Dior (F) A245190 /"/>
        <s v="Lady Million by Paco Rabanne (F)"/>
        <s v="Light Blue by Dolce &amp; Gabbana (F)"/>
        <s v="PEG40 Hydrigenated Castor Oil (RH40)"/>
        <s v="Poison by Christian Dior (F)"/>
        <s v="D &amp; G Light Blue (F)"/>
        <s v="Fahrenheit by Christian Dior (M) A243757/"/>
        <s v="Happy Spirit (F)"/>
        <s v="BLV Man"/>
        <s v="2058 Frag El Madina A280536 (Warda)"/>
        <s v="Citrus Fresh A238523/"/>
        <s v="Lazer Lemon"/>
        <s v="Orange 219560"/>
        <s v="Orange Peeling"/>
        <s v="Orange Zest 200484"/>
        <s v="Pine Extra Conifer"/>
        <s v="Pine Mod"/>
        <s v="Pine Super"/>
        <s v="Pot Pourri"/>
        <s v="SLES 70%"/>
        <s v="Saffron"/>
        <s v="Warda Mod"/>
        <s v="Coolant Green 230573"/>
        <s v="Coolant Red 110414"/>
        <s v="0010"/>
        <s v="20 One Two"/>
        <s v="Adventure C"/>
        <s v="Al Fares"/>
        <s v="Alias"/>
        <s v="Alluring Woman"/>
        <s v="Angel Or devil"/>
        <s v="Aqua Gee Woman"/>
        <s v="Aqua Height"/>
        <s v="Balkis"/>
        <s v="Beautiful Life"/>
        <s v="Belle"/>
        <s v="Black Oud"/>
        <s v="Black Rose by Tom Ford C"/>
        <s v="Blue Orchid"/>
        <s v="Bobby Valley II"/>
        <s v="Bokhra"/>
        <s v="CT 06751 C"/>
        <s v="Carol"/>
        <s v="Chancer"/>
        <s v="Cinematic"/>
        <s v="City Gold"/>
        <s v="Clive Christian X Malcolm 7912/V/12"/>
        <s v="Coupable Intense C"/>
        <s v="Crystalize Noir"/>
        <s v="Damask Rose/ Tea Rose"/>
        <s v="Dark Amber C"/>
        <s v="Declare Man"/>
        <s v="Dee Gee Man"/>
        <s v="Dee Homme Sport"/>
        <s v="Dolly Babe"/>
        <s v="Dora"/>
        <s v="Eau Tendre"/>
        <s v="Euphoric"/>
        <s v="Euphoric Woman"/>
        <s v="Excess Noir Woman"/>
        <s v="Fame by Lady Gaga C"/>
        <s v="Findi Man"/>
        <s v="Goochie Goochie"/>
        <s v="Gucci Rush Woman"/>
        <s v="Guilt-Trip"/>
        <s v="Guilty Pleasure"/>
        <s v="Gushing"/>
        <s v="Harris"/>
        <s v="Her Play"/>
        <s v="Hugo Homme"/>
        <s v="Lancome Miracle 48746"/>
        <s v="Le Croc"/>
        <s v="Legend by Mont Blanc C"/>
        <s v="Lord"/>
        <s v="Manifesto by Yves Saint Laurent C"/>
        <s v="Midnight"/>
        <s v="Miss Belle"/>
        <s v="Mount Blanc"/>
        <s v="Mukhalat Tahir"/>
        <s v="My Dear"/>
        <s v="Night Code"/>
        <s v="No.1"/>
        <s v="No.2"/>
        <s v="No.3"/>
        <s v="No.4"/>
        <s v="No.5"/>
        <s v="Nora"/>
        <s v="Ocean Linger"/>
        <s v="Oud Mal C"/>
        <s v="Oudhwood"/>
        <s v="Peach WS"/>
        <s v="Pink Jasmine C"/>
        <s v="Plaisir Fem"/>
        <s v="Platin Ego"/>
        <s v="Play Time"/>
        <s v="Poise Woman"/>
        <s v="Raffy"/>
        <s v="Raj Sundown"/>
        <s v="Samo"/>
        <s v="Secret Dare"/>
        <s v="Sexy Graphiti"/>
        <s v="Sexy Secret"/>
        <s v="She"/>
        <s v="Sheikh Al Oud C"/>
        <s v="Smart Blue"/>
        <s v="Soir"/>
        <s v="Star"/>
        <s v="Sultan Mod"/>
        <s v="Superman"/>
        <s v="Tender"/>
        <s v="The Lovely One"/>
        <s v="The Premier"/>
        <s v="Two One Man"/>
        <s v="Very important At 21"/>
        <s v="Zahra"/>
        <s v="Solvent Red Cap/2/3001"/>
        <s v="Detergent Powder Green GP"/>
        <s v="Everlasting"/>
        <s v="Green Chamomile A324052/"/>
        <s v="Flouramax Silver"/>
        <s v="Allura Red E129"/>
        <s v="Oudh Rose A272357/"/>
        <s v="Mask Me"/>
        <s v="Maskime"/>
        <s v="Black Pot Pourri"/>
        <s v="GC 131501 A233710/"/>
        <s v="Palmer"/>
        <s v="Floral"/>
        <s v="Water Lily"/>
        <s v="Sweet Musk Silver"/>
        <s v="Alluring (M)"/>
        <s v="Fanny Mod"/>
        <s v="Coolant Blue 240513"/>
        <s v="Boom Boom"/>
        <s v="MJ Boom"/>
        <s v="Midnight Treasure"/>
        <s v="Overdose"/>
        <s v="Sweetie"/>
        <s v="The Winner"/>
        <s v="Tim Ford"/>
        <s v="Wood Mystique Type II"/>
        <s v="Blue Gel"/>
        <s v="Fruit Smoothie"/>
        <s v="Green Apple Perfume"/>
        <s v="Green Gel"/>
        <s v="Kiwi Flavoring"/>
        <s v="Orange Gel"/>
        <s v="Pink Gel"/>
        <s v="Zaja"/>
        <s v="Kiwi Flavouring M53092 7K3663"/>
        <s v="Wildberry Grass"/>
        <s v="Afshan"/>
        <s v="Class II A282275 (Victoria A282275)"/>
        <s v="Mashmoom"/>
        <s v="Amber Oud"/>
        <s v="Warda Mod A236985/"/>
        <s v="April Fresh"/>
        <s v="GC 131501 Mod A233710/"/>
        <s v="Lemon FBH Mod"/>
        <s v="Pine Matched 1-1"/>
        <s v="Tofa A233703/"/>
        <s v="A Honour"/>
        <s v="Alien (F)"/>
        <s v="Black Orchid (M)"/>
        <s v="CT0028 C"/>
        <s v="Cherry In The Air By Escada (F)"/>
        <s v="Fahrenheit by Christian Dior (M)"/>
        <s v="0028 Hydro C"/>
        <s v="Amouge Interlude Woman"/>
        <s v="Black Candy C"/>
        <s v="Botanical Flowers"/>
        <s v="King Oud C"/>
        <s v="Mukhalat Red"/>
        <s v="2008 Frag El Madina"/>
        <s v="Black 7 Dye Powder"/>
        <s v="Menthol Crystal"/>
        <s v="Mukhalat Silver"/>
        <s v="Ward"/>
        <s v="BD C400"/>
        <s v="Floral Fruity"/>
        <s v="Flourescent Green-Liquid"/>
        <s v="KT8602"/>
        <s v="Oil Odorant"/>
        <s v="Royal Lubricant"/>
        <s v="Sportif II"/>
        <s v="Tattrazine Powder"/>
        <s v="Brilliant Blue 1503"/>
        <s v="Comfort Matched"/>
        <s v="Lemon Ji Matched"/>
        <s v="Essence"/>
        <s v="Flourmax"/>
        <s v="Matched 5"/>
        <s v="Gardenia A299984/"/>
        <s v="Blackberry 139874"/>
        <s v="Honey"/>
        <s v="Flourescent Green Liquid 2018"/>
        <s v="Det Anti"/>
        <s v="Alf Zahra"/>
        <s v="Amber"/>
        <s v="Evening Primrose"/>
        <s v="Lubricants"/>
        <s v="Mille Fleurs 66516"/>
        <s v="Premier Mask Me"/>
        <s v="Floralia 150440"/>
        <s v="Black Afgano 17 ECON"/>
        <s v="Cool Water A281163 (Fragrance 2024)"/>
        <s v="2057 El Madina A280535 (Black Musk A243193)"/>
        <s v="Jojoba 189378"/>
        <s v="So Oud A295591 (SO Oud A295590-1.25 &amp; DPG-3.75kg)"/>
        <s v="Sweet Strawberry"/>
        <s v="Guilty"/>
        <s v="Mukhalat Kareem"/>
        <s v="Lemon Fragrance"/>
        <s v="Strawberry &amp; Caramel"/>
        <s v="Strawberry &amp; Caramel A242466 /"/>
        <s v="Mannequin C"/>
        <s v="Men In Black by Bvlgari (M) C"/>
        <s v="Desire (M)"/>
        <s v="Erba Pura A"/>
        <s v="Jadore by Christian Dior (F)"/>
        <s v="Flores"/>
        <s v="NAILA 508988"/>
        <s v="Challenger"/>
        <s v="Debut Five"/>
        <s v="Black Afgano 17"/>
        <s v="Good Girl by Carolina Herera (F) 71365"/>
        <s v="Mukhalat Alia"/>
        <s v="Warda A236985/"/>
        <s v="Black Diamond C"/>
        <s v="Black Excess C"/>
        <s v="Desiring Hill"/>
        <s v="Lubrication Green/ Flourescent Green"/>
        <s v="Angelic Woman"/>
        <s v="Alien Premium"/>
        <s v="Attar Bakhur"/>
        <s v="Historie D Amour"/>
        <s v="Love Story by Chloe (F)"/>
        <s v="Musk I"/>
        <s v="Rakaan Eau De Parfum 65394"/>
        <s v="Rose Match"/>
        <s v="Attar Full 1"/>
        <s v="Bakhour Amber"/>
        <s v="Blackberry"/>
        <s v="Blueberry Blossom"/>
        <s v="Boss Man"/>
        <s v="Celcius"/>
        <s v="Chanelle Musk"/>
        <s v="Cool Aqua Man"/>
        <s v="Juicy Peach"/>
        <s v="Mukhalat Oil"/>
        <s v="Poison"/>
        <s v="Love Spell"/>
        <s v="Mangosteen Madness"/>
        <s v="Pomegrante Passion"/>
        <s v="Fragrance Sanitol"/>
        <s v="Invictus (M)"/>
        <s v="Boss Orange (M)"/>
        <s v="Fidji (F)"/>
        <s v="Apple"/>
        <s v="Oud Handwash"/>
        <s v="Cookie"/>
        <s v="Flourescent Green Liquid-WS"/>
        <s v="Solvenr Blue 98"/>
        <s v="Orange Peeling Mod"/>
        <s v="Alien (F) by Thierry Mugler"/>
        <s v="Oud Malaki (M) C"/>
        <s v="Bubble Gum"/>
        <s v="MG Fragrance Matched 2 - 1"/>
        <s v="Perfume Favors-Bottles"/>
        <s v="Baby Johnson"/>
        <s v="One In A Million Silver"/>
        <s v="Sanitizing Wipes Matched - 1"/>
        <s v="Black Jasmine"/>
        <s v="Maysoon Type"/>
        <s v="White Chime"/>
        <s v="White Musk"/>
        <s v="Flourescent Green Powder B-02"/>
        <s v="Invincible (565)"/>
        <s v="Marguerite Daisy"/>
        <s v="Perfume 528M"/>
        <s v="Perfume 650M"/>
        <s v="Perfumes 528"/>
        <s v="VS Romantic &amp; Dreamy"/>
        <s v="VS Wild Girl"/>
        <s v="Frangi Pani"/>
        <s v="Sensual Silver"/>
        <s v="Polo by Ralph Lauren (M)"/>
        <s v="Escape"/>
        <s v="Chic Black 0033"/>
        <s v="Nina by Nina Ricci (F)"/>
        <s v="Oud Abiad 27327"/>
        <s v="Blue Jocky"/>
        <s v="Cool Water Man"/>
        <s v="Cool Water Woman"/>
        <s v="Dunhill Blue"/>
        <s v="Fleur Kenzo"/>
        <s v="Ginny Shoe"/>
        <s v="Hush"/>
        <s v="Insense Must"/>
        <s v="Morrocan Wood"/>
        <s v="Neroli Fleur"/>
        <s v="Resistance"/>
        <s v="Sportsman Rule"/>
        <s v="Victorious"/>
        <s v="XS Man"/>
        <s v="Gris Montaigne by Christian Dior (F) C"/>
        <s v="Amouge Interlude Women"/>
        <s v="Baby Powder"/>
        <s v="Black Berry 1"/>
        <s v="Cooler Man by Davidoff (M) A235765 WS"/>
        <s v="Cuticura A246994 WS"/>
        <s v="Irish Leather"/>
        <s v="Jump"/>
        <s v="White Toon TF"/>
        <s v="Fragrance Compound"/>
        <s v="Fragrance Compund"/>
        <s v="Aloe Vera 1"/>
        <s v="Thaliee Matched 4"/>
        <s v="Uomo by Valentino (M) A315997 (SF)"/>
        <s v="Bobby Vally II"/>
        <s v="Drakkar"/>
        <s v="Escada Taj Sunset (F)"/>
        <s v="Flower Potion (F) C"/>
        <s v="Mella Elsatys"/>
        <s v="Nasim"/>
        <s v="Evening Primerose"/>
        <s v="2000 Light"/>
        <s v="Lemon Bloom"/>
        <s v="Coolant Green"/>
        <s v="Flourescent Green Liquid A-01"/>
        <s v="Rio Grande"/>
        <s v="Al Khaleej"/>
        <s v="My Dear (F)"/>
        <s v="Samonia Savon A231707 /"/>
        <s v="Black Opium (M) C"/>
        <s v="Brut (M)"/>
        <s v="Men In Black (M) C"/>
        <s v="N 5 Eau Premier (F)"/>
        <s v="PI Givenchy S (M)"/>
        <s v="Rebl Fleur (F)"/>
        <s v="Green Sample"/>
        <s v="Yellow Fragrance"/>
        <s v="Coolant Red 250513"/>
        <s v="Fruit 199483"/>
        <s v="Heather 139874"/>
        <s v="Perfume Fruits"/>
        <s v="Baccart Rouge 540 56099"/>
        <s v="Brutus"/>
        <s v="Kenzo Flower"/>
        <s v="Open"/>
        <s v="Old Spicy"/>
        <s v="Coral"/>
        <s v="Rio Matched - 5"/>
        <s v="Sunshine A250893/"/>
        <s v="Sandal Qamar"/>
        <s v="Daily"/>
        <s v="Black Opium by Yves Saint Laurent (M) C"/>
        <s v="Oil Masking"/>
        <s v="Oil Masking - 1"/>
        <s v="Raspberry A292781 (Flouramax A270578)"/>
        <s v="Softee"/>
        <s v="Flaminko"/>
        <s v="Tuscan"/>
        <s v="Black Sense"/>
        <s v="Rose LYF A231706/"/>
        <s v="Solvent Green Dye 65"/>
        <s v="Ambros Oud"/>
        <s v="Escapade"/>
        <s v="Rebelious"/>
        <s v="Cartier Declaration"/>
        <s v="Champion by Davidoff"/>
        <s v="Escada Collection"/>
        <s v="Escada by Pacific Paradise"/>
        <s v="Guilty by Gucci"/>
        <s v="Play by Givenchy"/>
        <s v="Poison by Christian Dior"/>
        <s v="Remedy Man"/>
        <s v="The One Gentleman by D&amp;G"/>
        <s v="The Tragedy of Lord George by Penhaligons (M) 70156"/>
        <s v="One Man Show"/>
        <s v="Ted Lapidus"/>
        <s v="Orchid SV"/>
        <s v="Black 12"/>
        <s v="Happy Split Extra"/>
        <s v="Lapadu Man"/>
        <s v="Mannequin TFG13374/5"/>
        <s v="Touch Of Pink"/>
        <s v="Milk 179926"/>
        <s v="2057 El Madina"/>
        <s v="Al Shiekh"/>
        <s v="Citrus Woody"/>
        <s v="Numer Uno 7312/9104"/>
        <s v="So Oud Eco Silver"/>
        <s v="Tim Forth"/>
        <s v="Neggene"/>
        <s v="Noir Vendome C"/>
        <s v="Pure Oud"/>
        <s v="Brown Orchid"/>
        <s v="Desire Red (M) C"/>
        <s v="Eternity for Men"/>
        <s v="Blueberry"/>
        <s v="Strawbery"/>
        <s v="Homme Intense By Christian Dior (M) 18-0003210"/>
        <s v="Ambrex 169888"/>
        <s v="Emaar"/>
        <s v="Cold Pressed Lemon"/>
        <s v="Di Ethyl Phthalate"/>
        <s v="Magnifique"/>
        <s v="Royal Mix"/>
        <s v="Spring Rose 188793"/>
        <s v="2058 Frag El Madina"/>
        <s v="Floral B 860860-2"/>
        <s v="Fluorescent Green/ Lubrication Green"/>
        <s v="Oil Odorant 2N500 Type"/>
        <s v="Green Apple WS"/>
        <s v="Jasmine WS"/>
        <s v="Crimson Rose (F)"/>
        <s v="Escada Cherry In The Air (F)"/>
        <s v="Rah El Eh"/>
        <s v="Wardia"/>
        <s v="212 Men"/>
        <s v="Baccarat Rouge 540 by MFK 71368"/>
        <s v="Comfy Blue Classic"/>
        <s v="Detergent Powder GP"/>
        <s v="PI by Givenchy S (M)"/>
        <s v="Solvent Red"/>
        <s v="212 Sexy by Carolina Herrera (F)"/>
        <s v="Coconut WS"/>
        <s v="Lavender Silver WS"/>
        <s v="Caramel"/>
        <s v="Downy Blue Fragrance 502433 (SF-8)"/>
        <s v="Solvent Blue"/>
        <s v="Solvent Green"/>
        <s v="Green Powder"/>
        <s v="Tattrazine Yellow Powder"/>
        <s v="Sportif Silver WS"/>
        <s v="PI Givenchy L (M)"/>
        <s v="Berri Man"/>
        <s v="Shocking"/>
        <s v="Jeolys"/>
        <s v="Amara/ Alien"/>
        <s v="Black Oud Conc"/>
        <s v="Dora/Gucci Flora"/>
        <s v="Givenchy Play by Givenchy"/>
        <s v="Hassayt Type"/>
        <s v="Issey Miyake Man"/>
        <s v="Play For Her by Givenchy"/>
        <s v="Winner"/>
      </sharedItems>
    </cacheField>
    <cacheField name="Product Code" numFmtId="0">
      <sharedItems containsBlank="1"/>
    </cacheField>
    <cacheField name="Year" numFmtId="0">
      <sharedItems containsSemiMixedTypes="0" containsString="0" containsNumber="1" containsInteger="1" minValue="2009" maxValue="2021" count="13">
        <n v="2021"/>
        <n v="2018"/>
        <n v="2019"/>
        <n v="2010"/>
        <n v="2011"/>
        <n v="2012"/>
        <n v="2013"/>
        <n v="2014"/>
        <n v="2016"/>
        <n v="2017"/>
        <n v="2015"/>
        <n v="2020"/>
        <n v="2009"/>
      </sharedItems>
    </cacheField>
    <cacheField name="Quantity (KG)" numFmtId="4">
      <sharedItems containsSemiMixedTypes="0" containsString="0" containsNumber="1" minValue="0.2" maxValue="27900"/>
    </cacheField>
    <cacheField name="Sales (AED, Ex VAT)" numFmtId="4">
      <sharedItems containsString="0" containsBlank="1" containsNumber="1" minValue="27.5" maxValue="810552"/>
    </cacheField>
    <cacheField name="Sales (AED, Incl VAT)" numFmtId="4">
      <sharedItems containsString="0" containsBlank="1" containsNumber="1" minValue="27.5" maxValue="452235"/>
    </cacheField>
    <cacheField name="Formulation" numFmtId="0">
      <sharedItems containsBlank="1" count="106">
        <s v="90% magic blue///warda 10%//than make 60%oil"/>
        <s v="Crystal"/>
        <s v="Pure"/>
        <m/>
        <s v="40% oil &amp; 60 % DPG"/>
        <s v="Silver"/>
        <s v="Gold"/>
        <s v="60%, Lemon Grass 087 - 40%, SILVER (DPG)"/>
        <s v="30% key &amp; 70% dpg"/>
        <s v="50% A331329, 50% A23212"/>
        <s v="20% KEY OIL"/>
        <s v="WS"/>
        <s v="Mukhalat Nizar 7312-9104/V/13 (Silver)"/>
        <s v="Mukhalat Tahir A295776"/>
        <s v="Cocoa Butter 70%, Orange Peeling 25%, Lemon Top 5%"/>
        <s v="Pure/ Mixed"/>
        <s v="9.2 kg oil and rest dpg"/>
        <s v="40% Oil"/>
        <s v="60 % OIL &amp; 40 % DPG"/>
        <s v="20% Oil"/>
        <s v="Bakhur : A285878- 90%, A243761-10%"/>
        <s v="10% Oil"/>
        <s v="Cooler Man by Davidoff (M) A235765/ A401493 (Silver)"/>
        <s v="L1212 Blanc by Lacoste (M) CP19035 -  (60%l1212) creed silver mountain 40% than make gold"/>
        <s v="18% Oil"/>
        <s v="35% oil"/>
        <s v="8% Oil"/>
        <s v="15% Oil"/>
        <s v="7% oil"/>
        <s v="One In A Million by Paco Rabanne (M) A240864 (Gold)"/>
        <s v="Strawberry A233442/ A402013 ( strwaberry 50%///reb l fleur20%///green tea 20%///papaya10%//than make crystal)"/>
        <s v="Green Tea A318055 - strwaberry 50%///reb l fleur20%///green tea 20%///papaya10%//than make crystal"/>
        <s v="Lemon Zeste A298567 (20%) lemon 225(20%) and than 60% dpg"/>
        <s v="Lemon Zeste A298567 (Crystal)"/>
        <s v="Rose Petal A233185/ A415792"/>
        <s v="Everlasting 70%, Floral 20% &amp; Avocado 10%"/>
        <s v="Ceramide 70% &amp; Milk Fresh 30%"/>
        <s v="60% oil"/>
        <s v="Oil 1.50kg"/>
        <s v="Cooler Man by Davidoff (M) A235765/ A401493 (WS)"/>
        <s v="Dolin 85% &amp; Powder Soap Extra 15%"/>
        <s v="Red Grape A299992 (Red Grape 50%/Rasberry 50%)"/>
        <s v="Lemon Grass A271087 (Lemon grass 80%/lemon 810 20%/than crystal)"/>
        <s v="Sauvage CP21021WS (polysorbate- 20 50%/dpg25%/sauvage25%)"/>
        <s v="Rose  A233185 (Pure)"/>
        <s v="40%OIL // 60%DPG"/>
        <s v="30% Oil Key"/>
        <s v="30% Key Oil"/>
        <s v="Flouramax40%, Strawberry 20%, Banana 20%g &amp; Cherry 20%"/>
        <s v="Red Grape 50%/ Fruity Smoothie 30% /Green Apple 20% /than make 60% oil"/>
        <s v="Oil 4.5kg"/>
        <s v="30% Key"/>
        <s v="citropine 85%/Pinefresh 15%"/>
        <s v="30% key and 70% dpg"/>
        <s v="cocoa butter 85%/chocolate 10%/pine fresh 5%/than mak crystal"/>
        <s v="80 % Oil AND 20 % DPG"/>
        <s v="Fidji by Guy Larorche (F) A241586/A415883 - 40% Oil"/>
        <s v="6kg oil and 10kg DPG"/>
        <s v="70% (Mukhalat 90%, Bakhour 10%) &amp; DPG 30%"/>
        <s v="Apricot 60 % oil and 40 % dpg"/>
        <s v="Sanitol 50%, Pine Fresh 50% than Gold"/>
        <s v="Everlasting 70%, Magic Blue 20%, Warda 10%, than 40% oil"/>
        <s v="Lemon Zeste 70%, Lemon Special 25%, Lemon 55%, than make crystal"/>
        <s v="75% Lemon Zeste, 25% lemon Top &amp; the Gold DPG)"/>
        <s v="Strawberry 40%, Floralia 10%, Cocoa Butter 5%, Pineapple 45%"/>
        <s v="Strawberry 30%, Rasberry 30%, Cherry 20%, Mask Me 20%"/>
        <s v="30% key and 70% dep"/>
        <s v="Vanilla Flower 85%, Sweet Honey and Milk 10%, Doven 5%"/>
        <s v="Flouramax 90%, Mixture Black 10%"/>
        <s v="FLOURAMAX A270578/ P782894 (Green Apple 40%, Strwaberry 30%, Flouramax 30%)"/>
        <s v="FLOURAMAX A270578/ P782894 (Flouramax 50%, Cherry 30%, Pineapple 20%)"/>
        <s v="(Millefleur 2019- Cecelia 50%, Mask Me key 15%, dpg 35%"/>
        <s v="Mask Me A401230/A410391 (Millfler50%, Mask Me Key 15%, Dep 35%)"/>
        <s v="Melange Milles Fleurs (Millefleur 50%, Mask Me Key 15%, Dep 35%)"/>
        <s v="Melange Milles Fleurs - Pure"/>
        <s v="6kg oil and 19kg DPG"/>
        <s v="English Rose A402005/ A275118 (Rose 706 80%, Eng Rose 20%)"/>
        <s v="70 % oil and 30 % dpg"/>
        <s v="20% oil and 80% dpg"/>
        <s v="30% ,DPG 70 %"/>
        <s v="FLOURAMAX A270578/ P782894"/>
        <s v="60%OIL, 40%DPG"/>
        <s v="Aventus by Creed (M) A302349/A416950 - Lacoste White 70%, Aventus 30% than make gold"/>
        <s v="5% Oil"/>
        <s v="Herbal A234285"/>
        <s v="Red Grape A299992 - Red Grape 50%, Fruity Smoothie 30%, Green Apple 20%, than make 60% oil"/>
        <s v="Cuticura A246994"/>
        <s v="Strawberry A233442/ A402013"/>
        <s v="15 % oil and 85% dpg"/>
        <s v="12 % oil 88 % dpg"/>
        <s v="Doven 80%, Cucumber 10%, Gardenia 10%, than gold"/>
        <s v="30 % OIL"/>
        <s v="Irish Leather A340473 (So oud 591 60%, Amber 40%, than make 40% oil)"/>
        <s v="Aloe Vera A244191/ A415790 (Aloe Vera 75%, Rose 5%, Magic Blue 20%, than amke crystal)"/>
        <s v="Cherry In The Air By Escada (F) A297629/A407971 - Cherry in the air 90%, Orange 10% than 50% oil"/>
        <s v="Maryam A347816/ A403816 - 60% Oil"/>
        <s v="flouramax 40%, green apple 30%, strwaberry 15%, cocoa butter 15%"/>
        <s v="30% Oil"/>
        <s v="Green Apple 30%, Red Grape 30%, Maskme 30%, Banana 1%"/>
        <s v="50% flouramax and 50% strwaberry"/>
        <s v="Floral 60% &amp; Gardenia 40%"/>
        <s v="75%Aloe Vera, 5% Black Rose, 20% Magic Blue, than make Crystal"/>
        <s v="40% Oil &amp; 60% DPG"/>
        <s v="75% oil"/>
        <s v="90% Magic Blue, 10% Warda"/>
        <s v="Body by Burberry (F) CP00861 60%, Pacific Paradise 30%, Supreme bouqet 10%, than make 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4">
  <r>
    <x v="0"/>
    <x v="0"/>
    <s v="C781236- 5"/>
    <x v="0"/>
    <n v="25"/>
    <n v="1950"/>
    <n v="2047.5"/>
    <x v="0"/>
  </r>
  <r>
    <x v="0"/>
    <x v="1"/>
    <s v="A231710"/>
    <x v="0"/>
    <n v="25"/>
    <n v="1750"/>
    <n v="1837.5"/>
    <x v="1"/>
  </r>
  <r>
    <x v="1"/>
    <x v="2"/>
    <s v="A295987"/>
    <x v="1"/>
    <n v="200"/>
    <n v="18000"/>
    <n v="18900"/>
    <x v="2"/>
  </r>
  <r>
    <x v="1"/>
    <x v="2"/>
    <s v="A295987"/>
    <x v="2"/>
    <n v="300"/>
    <n v="27000"/>
    <n v="28350"/>
    <x v="2"/>
  </r>
  <r>
    <x v="1"/>
    <x v="2"/>
    <s v="A295987"/>
    <x v="0"/>
    <n v="100"/>
    <n v="9000"/>
    <n v="9450"/>
    <x v="2"/>
  </r>
  <r>
    <x v="1"/>
    <x v="3"/>
    <s v="A232126"/>
    <x v="3"/>
    <n v="25"/>
    <n v="1375"/>
    <m/>
    <x v="3"/>
  </r>
  <r>
    <x v="1"/>
    <x v="3"/>
    <s v="A232126"/>
    <x v="4"/>
    <n v="25"/>
    <n v="2375"/>
    <m/>
    <x v="3"/>
  </r>
  <r>
    <x v="1"/>
    <x v="3"/>
    <s v="A232126"/>
    <x v="5"/>
    <n v="80"/>
    <n v="7350"/>
    <m/>
    <x v="3"/>
  </r>
  <r>
    <x v="1"/>
    <x v="3"/>
    <s v="A232126"/>
    <x v="6"/>
    <n v="25"/>
    <n v="2375"/>
    <m/>
    <x v="3"/>
  </r>
  <r>
    <x v="1"/>
    <x v="3"/>
    <s v="A232126"/>
    <x v="7"/>
    <n v="25"/>
    <n v="2375"/>
    <m/>
    <x v="3"/>
  </r>
  <r>
    <x v="1"/>
    <x v="3"/>
    <s v="A232126"/>
    <x v="8"/>
    <n v="50"/>
    <n v="4750"/>
    <m/>
    <x v="3"/>
  </r>
  <r>
    <x v="1"/>
    <x v="3"/>
    <s v="A232126"/>
    <x v="9"/>
    <n v="100"/>
    <n v="9500"/>
    <m/>
    <x v="3"/>
  </r>
  <r>
    <x v="1"/>
    <x v="3"/>
    <s v="A232126"/>
    <x v="1"/>
    <n v="75"/>
    <n v="7125"/>
    <n v="7481.25"/>
    <x v="3"/>
  </r>
  <r>
    <x v="1"/>
    <x v="4"/>
    <s v="A231709"/>
    <x v="3"/>
    <n v="25"/>
    <n v="1375"/>
    <m/>
    <x v="3"/>
  </r>
  <r>
    <x v="2"/>
    <x v="5"/>
    <s v="A249720"/>
    <x v="9"/>
    <n v="75"/>
    <n v="7125"/>
    <m/>
    <x v="3"/>
  </r>
  <r>
    <x v="2"/>
    <x v="6"/>
    <s v="A270578"/>
    <x v="8"/>
    <n v="100"/>
    <n v="7000"/>
    <m/>
    <x v="3"/>
  </r>
  <r>
    <x v="2"/>
    <x v="6"/>
    <s v="A270578"/>
    <x v="9"/>
    <n v="75"/>
    <n v="5250"/>
    <m/>
    <x v="3"/>
  </r>
  <r>
    <x v="2"/>
    <x v="7"/>
    <m/>
    <x v="10"/>
    <n v="2"/>
    <n v="1000"/>
    <m/>
    <x v="3"/>
  </r>
  <r>
    <x v="2"/>
    <x v="8"/>
    <m/>
    <x v="8"/>
    <n v="2"/>
    <n v="990"/>
    <m/>
    <x v="3"/>
  </r>
  <r>
    <x v="2"/>
    <x v="9"/>
    <s v="A234248"/>
    <x v="8"/>
    <n v="25"/>
    <n v="2250"/>
    <m/>
    <x v="3"/>
  </r>
  <r>
    <x v="2"/>
    <x v="10"/>
    <m/>
    <x v="9"/>
    <n v="40"/>
    <n v="3600"/>
    <m/>
    <x v="3"/>
  </r>
  <r>
    <x v="3"/>
    <x v="11"/>
    <m/>
    <x v="0"/>
    <n v="1"/>
    <n v="90"/>
    <n v="94.5"/>
    <x v="2"/>
  </r>
  <r>
    <x v="3"/>
    <x v="12"/>
    <m/>
    <x v="0"/>
    <n v="1"/>
    <n v="100"/>
    <n v="105"/>
    <x v="2"/>
  </r>
  <r>
    <x v="3"/>
    <x v="13"/>
    <m/>
    <x v="0"/>
    <n v="1"/>
    <n v="90"/>
    <n v="94.5"/>
    <x v="2"/>
  </r>
  <r>
    <x v="3"/>
    <x v="14"/>
    <m/>
    <x v="0"/>
    <n v="1"/>
    <n v="80"/>
    <n v="84"/>
    <x v="2"/>
  </r>
  <r>
    <x v="4"/>
    <x v="15"/>
    <m/>
    <x v="11"/>
    <n v="1"/>
    <n v="268"/>
    <n v="281.39999999999998"/>
    <x v="3"/>
  </r>
  <r>
    <x v="5"/>
    <x v="16"/>
    <s v="A241225"/>
    <x v="5"/>
    <n v="200"/>
    <n v="9000"/>
    <m/>
    <x v="3"/>
  </r>
  <r>
    <x v="5"/>
    <x v="16"/>
    <s v="A241225"/>
    <x v="7"/>
    <n v="300"/>
    <n v="18000"/>
    <m/>
    <x v="3"/>
  </r>
  <r>
    <x v="5"/>
    <x v="17"/>
    <s v="A232425"/>
    <x v="3"/>
    <n v="40"/>
    <n v="2200"/>
    <m/>
    <x v="3"/>
  </r>
  <r>
    <x v="5"/>
    <x v="18"/>
    <m/>
    <x v="9"/>
    <n v="60"/>
    <n v="3900"/>
    <m/>
    <x v="3"/>
  </r>
  <r>
    <x v="5"/>
    <x v="19"/>
    <s v="A233442"/>
    <x v="8"/>
    <n v="100"/>
    <n v="4000"/>
    <m/>
    <x v="3"/>
  </r>
  <r>
    <x v="5"/>
    <x v="20"/>
    <s v="A233442"/>
    <x v="8"/>
    <n v="900"/>
    <n v="36000"/>
    <m/>
    <x v="3"/>
  </r>
  <r>
    <x v="5"/>
    <x v="20"/>
    <s v="A233442"/>
    <x v="9"/>
    <n v="3200"/>
    <n v="120000"/>
    <m/>
    <x v="3"/>
  </r>
  <r>
    <x v="5"/>
    <x v="20"/>
    <s v="A233442"/>
    <x v="1"/>
    <n v="2000"/>
    <n v="80000"/>
    <n v="84000"/>
    <x v="3"/>
  </r>
  <r>
    <x v="6"/>
    <x v="6"/>
    <s v="A270578"/>
    <x v="10"/>
    <n v="25"/>
    <n v="2750"/>
    <m/>
    <x v="3"/>
  </r>
  <r>
    <x v="7"/>
    <x v="21"/>
    <s v="P08232"/>
    <x v="1"/>
    <n v="2"/>
    <n v="480"/>
    <n v="504"/>
    <x v="3"/>
  </r>
  <r>
    <x v="7"/>
    <x v="21"/>
    <s v="P08232"/>
    <x v="2"/>
    <n v="5"/>
    <n v="1000"/>
    <n v="1050"/>
    <x v="3"/>
  </r>
  <r>
    <x v="7"/>
    <x v="22"/>
    <s v="A339522"/>
    <x v="2"/>
    <n v="2"/>
    <n v="500"/>
    <n v="525"/>
    <x v="3"/>
  </r>
  <r>
    <x v="7"/>
    <x v="23"/>
    <m/>
    <x v="1"/>
    <n v="1"/>
    <n v="310"/>
    <n v="325.5"/>
    <x v="3"/>
  </r>
  <r>
    <x v="7"/>
    <x v="2"/>
    <s v="A295987"/>
    <x v="1"/>
    <n v="2"/>
    <n v="360"/>
    <n v="378"/>
    <x v="3"/>
  </r>
  <r>
    <x v="7"/>
    <x v="24"/>
    <s v="A241586"/>
    <x v="2"/>
    <n v="5"/>
    <n v="900"/>
    <n v="945"/>
    <x v="3"/>
  </r>
  <r>
    <x v="7"/>
    <x v="25"/>
    <s v="A415883"/>
    <x v="0"/>
    <n v="5"/>
    <n v="900"/>
    <n v="945"/>
    <x v="2"/>
  </r>
  <r>
    <x v="7"/>
    <x v="26"/>
    <s v="A281055"/>
    <x v="1"/>
    <n v="2"/>
    <n v="340"/>
    <n v="357"/>
    <x v="3"/>
  </r>
  <r>
    <x v="7"/>
    <x v="3"/>
    <s v="A232126"/>
    <x v="2"/>
    <n v="5"/>
    <n v="725"/>
    <n v="761.25"/>
    <x v="3"/>
  </r>
  <r>
    <x v="7"/>
    <x v="3"/>
    <s v="A232126"/>
    <x v="11"/>
    <n v="10"/>
    <n v="1450"/>
    <n v="1522.5"/>
    <x v="3"/>
  </r>
  <r>
    <x v="7"/>
    <x v="27"/>
    <s v="A242640"/>
    <x v="2"/>
    <n v="5"/>
    <n v="550"/>
    <n v="577.5"/>
    <x v="2"/>
  </r>
  <r>
    <x v="7"/>
    <x v="27"/>
    <s v="A242640"/>
    <x v="11"/>
    <n v="5"/>
    <n v="550"/>
    <n v="577.5"/>
    <x v="2"/>
  </r>
  <r>
    <x v="7"/>
    <x v="27"/>
    <s v="A242640"/>
    <x v="0"/>
    <n v="5"/>
    <n v="550"/>
    <n v="577.5"/>
    <x v="2"/>
  </r>
  <r>
    <x v="7"/>
    <x v="28"/>
    <s v="A233711"/>
    <x v="2"/>
    <n v="3"/>
    <n v="345"/>
    <n v="362.25"/>
    <x v="3"/>
  </r>
  <r>
    <x v="7"/>
    <x v="4"/>
    <s v="A231709"/>
    <x v="2"/>
    <n v="5"/>
    <n v="690"/>
    <n v="724.5"/>
    <x v="3"/>
  </r>
  <r>
    <x v="7"/>
    <x v="29"/>
    <s v="A415886"/>
    <x v="2"/>
    <n v="2"/>
    <n v="500"/>
    <n v="525"/>
    <x v="3"/>
  </r>
  <r>
    <x v="7"/>
    <x v="29"/>
    <s v="A415886"/>
    <x v="11"/>
    <n v="6"/>
    <n v="1500"/>
    <n v="1575"/>
    <x v="3"/>
  </r>
  <r>
    <x v="7"/>
    <x v="30"/>
    <s v="A233444"/>
    <x v="2"/>
    <n v="10"/>
    <n v="1380"/>
    <n v="1449"/>
    <x v="3"/>
  </r>
  <r>
    <x v="7"/>
    <x v="30"/>
    <s v="A233444"/>
    <x v="11"/>
    <n v="5"/>
    <n v="690"/>
    <n v="724.5"/>
    <x v="3"/>
  </r>
  <r>
    <x v="7"/>
    <x v="31"/>
    <s v="A349425"/>
    <x v="1"/>
    <n v="2"/>
    <n v="360"/>
    <n v="378"/>
    <x v="3"/>
  </r>
  <r>
    <x v="7"/>
    <x v="32"/>
    <s v="A295591"/>
    <x v="11"/>
    <n v="5"/>
    <n v="825"/>
    <n v="866.25"/>
    <x v="3"/>
  </r>
  <r>
    <x v="7"/>
    <x v="33"/>
    <s v="A338959"/>
    <x v="1"/>
    <n v="2"/>
    <n v="400"/>
    <n v="420"/>
    <x v="3"/>
  </r>
  <r>
    <x v="7"/>
    <x v="33"/>
    <s v="A338959"/>
    <x v="2"/>
    <n v="30"/>
    <n v="5400"/>
    <n v="5670"/>
    <x v="3"/>
  </r>
  <r>
    <x v="7"/>
    <x v="34"/>
    <s v="A258696"/>
    <x v="2"/>
    <n v="8"/>
    <n v="920"/>
    <n v="966"/>
    <x v="2"/>
  </r>
  <r>
    <x v="7"/>
    <x v="34"/>
    <s v="A258696"/>
    <x v="0"/>
    <n v="5"/>
    <n v="575"/>
    <n v="603.75"/>
    <x v="2"/>
  </r>
  <r>
    <x v="8"/>
    <x v="21"/>
    <s v="P08232"/>
    <x v="1"/>
    <n v="1"/>
    <n v="280"/>
    <n v="294"/>
    <x v="3"/>
  </r>
  <r>
    <x v="8"/>
    <x v="35"/>
    <s v="A245190"/>
    <x v="1"/>
    <n v="1"/>
    <n v="200"/>
    <n v="210"/>
    <x v="3"/>
  </r>
  <r>
    <x v="8"/>
    <x v="36"/>
    <m/>
    <x v="2"/>
    <n v="4"/>
    <n v="1040"/>
    <n v="1092"/>
    <x v="3"/>
  </r>
  <r>
    <x v="8"/>
    <x v="22"/>
    <s v="A339522"/>
    <x v="1"/>
    <n v="1"/>
    <n v="260"/>
    <n v="273"/>
    <x v="3"/>
  </r>
  <r>
    <x v="8"/>
    <x v="37"/>
    <s v="A295406"/>
    <x v="2"/>
    <n v="1.5"/>
    <n v="825"/>
    <n v="866.25"/>
    <x v="2"/>
  </r>
  <r>
    <x v="8"/>
    <x v="37"/>
    <s v="A295406"/>
    <x v="0"/>
    <n v="1"/>
    <n v="480"/>
    <n v="504"/>
    <x v="2"/>
  </r>
  <r>
    <x v="8"/>
    <x v="38"/>
    <s v="A273820"/>
    <x v="8"/>
    <n v="1"/>
    <n v="240"/>
    <m/>
    <x v="2"/>
  </r>
  <r>
    <x v="8"/>
    <x v="38"/>
    <s v="A273820"/>
    <x v="9"/>
    <n v="5"/>
    <n v="1080"/>
    <m/>
    <x v="2"/>
  </r>
  <r>
    <x v="8"/>
    <x v="38"/>
    <s v="A273820"/>
    <x v="1"/>
    <n v="10"/>
    <n v="2400"/>
    <n v="2520"/>
    <x v="2"/>
  </r>
  <r>
    <x v="8"/>
    <x v="38"/>
    <s v="A273820"/>
    <x v="2"/>
    <n v="4.5"/>
    <n v="1080"/>
    <n v="1134"/>
    <x v="2"/>
  </r>
  <r>
    <x v="8"/>
    <x v="38"/>
    <s v="A273820"/>
    <x v="11"/>
    <n v="4"/>
    <n v="840"/>
    <n v="882"/>
    <x v="2"/>
  </r>
  <r>
    <x v="8"/>
    <x v="38"/>
    <s v="A273820"/>
    <x v="0"/>
    <n v="1"/>
    <n v="240"/>
    <n v="252"/>
    <x v="2"/>
  </r>
  <r>
    <x v="8"/>
    <x v="23"/>
    <m/>
    <x v="1"/>
    <n v="4"/>
    <n v="1200"/>
    <n v="1260"/>
    <x v="2"/>
  </r>
  <r>
    <x v="8"/>
    <x v="23"/>
    <m/>
    <x v="2"/>
    <n v="11"/>
    <n v="3210"/>
    <n v="3370.5"/>
    <x v="2"/>
  </r>
  <r>
    <x v="8"/>
    <x v="23"/>
    <m/>
    <x v="11"/>
    <n v="3"/>
    <n v="810"/>
    <n v="850.5"/>
    <x v="2"/>
  </r>
  <r>
    <x v="8"/>
    <x v="23"/>
    <m/>
    <x v="0"/>
    <n v="75"/>
    <n v="1755"/>
    <n v="1842.75"/>
    <x v="2"/>
  </r>
  <r>
    <x v="8"/>
    <x v="39"/>
    <s v="A322649"/>
    <x v="1"/>
    <n v="2"/>
    <n v="700"/>
    <n v="735"/>
    <x v="3"/>
  </r>
  <r>
    <x v="8"/>
    <x v="40"/>
    <s v="P00861"/>
    <x v="2"/>
    <n v="1"/>
    <n v="280"/>
    <n v="294"/>
    <x v="2"/>
  </r>
  <r>
    <x v="8"/>
    <x v="40"/>
    <s v="P00861"/>
    <x v="11"/>
    <n v="1"/>
    <n v="280"/>
    <n v="294"/>
    <x v="2"/>
  </r>
  <r>
    <x v="8"/>
    <x v="40"/>
    <s v="P00861"/>
    <x v="0"/>
    <n v="1"/>
    <n v="280"/>
    <n v="294"/>
    <x v="2"/>
  </r>
  <r>
    <x v="8"/>
    <x v="41"/>
    <s v="A282275"/>
    <x v="0"/>
    <n v="1"/>
    <n v="450"/>
    <n v="472.5"/>
    <x v="2"/>
  </r>
  <r>
    <x v="8"/>
    <x v="42"/>
    <s v="A241469"/>
    <x v="1"/>
    <n v="1"/>
    <n v="220"/>
    <n v="231"/>
    <x v="3"/>
  </r>
  <r>
    <x v="8"/>
    <x v="43"/>
    <m/>
    <x v="2"/>
    <n v="1"/>
    <n v="325"/>
    <n v="341.25"/>
    <x v="3"/>
  </r>
  <r>
    <x v="8"/>
    <x v="44"/>
    <s v="A238385"/>
    <x v="1"/>
    <n v="1"/>
    <n v="220"/>
    <n v="231"/>
    <x v="3"/>
  </r>
  <r>
    <x v="8"/>
    <x v="25"/>
    <s v="A415883"/>
    <x v="11"/>
    <n v="1"/>
    <n v="230"/>
    <n v="241.5"/>
    <x v="3"/>
  </r>
  <r>
    <x v="8"/>
    <x v="45"/>
    <s v="A268070"/>
    <x v="1"/>
    <n v="0.5"/>
    <n v="90"/>
    <n v="94.5"/>
    <x v="3"/>
  </r>
  <r>
    <x v="8"/>
    <x v="46"/>
    <s v="A234876"/>
    <x v="9"/>
    <n v="1"/>
    <n v="280"/>
    <m/>
    <x v="3"/>
  </r>
  <r>
    <x v="8"/>
    <x v="47"/>
    <s v="A283876"/>
    <x v="1"/>
    <n v="1"/>
    <n v="270"/>
    <n v="283.5"/>
    <x v="3"/>
  </r>
  <r>
    <x v="8"/>
    <x v="26"/>
    <s v="A281055"/>
    <x v="9"/>
    <n v="1"/>
    <n v="200"/>
    <m/>
    <x v="3"/>
  </r>
  <r>
    <x v="8"/>
    <x v="26"/>
    <s v="A281055"/>
    <x v="1"/>
    <n v="1"/>
    <n v="200"/>
    <n v="210"/>
    <x v="3"/>
  </r>
  <r>
    <x v="8"/>
    <x v="48"/>
    <s v="A245955"/>
    <x v="2"/>
    <n v="1"/>
    <n v="130"/>
    <n v="136.5"/>
    <x v="3"/>
  </r>
  <r>
    <x v="8"/>
    <x v="49"/>
    <s v="P19684"/>
    <x v="11"/>
    <n v="1"/>
    <n v="140"/>
    <n v="147"/>
    <x v="3"/>
  </r>
  <r>
    <x v="8"/>
    <x v="3"/>
    <s v="A331329"/>
    <x v="1"/>
    <n v="1"/>
    <n v="150"/>
    <n v="157.5"/>
    <x v="3"/>
  </r>
  <r>
    <x v="8"/>
    <x v="3"/>
    <s v="A232126"/>
    <x v="2"/>
    <n v="1"/>
    <n v="75"/>
    <n v="78.75"/>
    <x v="3"/>
  </r>
  <r>
    <x v="8"/>
    <x v="3"/>
    <s v="A232126"/>
    <x v="11"/>
    <n v="6"/>
    <n v="750"/>
    <n v="787.5"/>
    <x v="3"/>
  </r>
  <r>
    <x v="8"/>
    <x v="50"/>
    <s v="A329793"/>
    <x v="9"/>
    <n v="1"/>
    <n v="280"/>
    <m/>
    <x v="3"/>
  </r>
  <r>
    <x v="8"/>
    <x v="51"/>
    <s v="A298567"/>
    <x v="2"/>
    <n v="1"/>
    <n v="110"/>
    <n v="115.5"/>
    <x v="3"/>
  </r>
  <r>
    <x v="8"/>
    <x v="52"/>
    <s v="P16046"/>
    <x v="1"/>
    <n v="1"/>
    <n v="250"/>
    <n v="262.5"/>
    <x v="3"/>
  </r>
  <r>
    <x v="8"/>
    <x v="53"/>
    <s v="A249179"/>
    <x v="1"/>
    <n v="1"/>
    <n v="150"/>
    <n v="157.5"/>
    <x v="3"/>
  </r>
  <r>
    <x v="8"/>
    <x v="54"/>
    <s v="P00861"/>
    <x v="1"/>
    <n v="0.5"/>
    <n v="140"/>
    <n v="147"/>
    <x v="3"/>
  </r>
  <r>
    <x v="8"/>
    <x v="55"/>
    <s v="A403816"/>
    <x v="0"/>
    <n v="1"/>
    <n v="200"/>
    <n v="210"/>
    <x v="2"/>
  </r>
  <r>
    <x v="8"/>
    <x v="56"/>
    <m/>
    <x v="11"/>
    <n v="1"/>
    <n v="200"/>
    <n v="210"/>
    <x v="2"/>
  </r>
  <r>
    <x v="8"/>
    <x v="56"/>
    <m/>
    <x v="0"/>
    <n v="1"/>
    <n v="200"/>
    <n v="210"/>
    <x v="2"/>
  </r>
  <r>
    <x v="8"/>
    <x v="57"/>
    <s v="A292908"/>
    <x v="8"/>
    <n v="1"/>
    <n v="260"/>
    <m/>
    <x v="3"/>
  </r>
  <r>
    <x v="8"/>
    <x v="58"/>
    <s v="A273819"/>
    <x v="1"/>
    <n v="1"/>
    <n v="280"/>
    <n v="294"/>
    <x v="3"/>
  </r>
  <r>
    <x v="8"/>
    <x v="59"/>
    <m/>
    <x v="2"/>
    <n v="2.5"/>
    <n v="900"/>
    <n v="945"/>
    <x v="3"/>
  </r>
  <r>
    <x v="8"/>
    <x v="60"/>
    <m/>
    <x v="1"/>
    <n v="1"/>
    <n v="350"/>
    <n v="367.5"/>
    <x v="3"/>
  </r>
  <r>
    <x v="8"/>
    <x v="60"/>
    <m/>
    <x v="11"/>
    <n v="3"/>
    <n v="1050"/>
    <n v="1102.5"/>
    <x v="3"/>
  </r>
  <r>
    <x v="8"/>
    <x v="61"/>
    <m/>
    <x v="2"/>
    <n v="1"/>
    <n v="125"/>
    <n v="131.25"/>
    <x v="3"/>
  </r>
  <r>
    <x v="8"/>
    <x v="62"/>
    <m/>
    <x v="2"/>
    <n v="1"/>
    <n v="125"/>
    <n v="131.25"/>
    <x v="3"/>
  </r>
  <r>
    <x v="8"/>
    <x v="63"/>
    <m/>
    <x v="2"/>
    <n v="1"/>
    <n v="125"/>
    <n v="131.25"/>
    <x v="3"/>
  </r>
  <r>
    <x v="8"/>
    <x v="64"/>
    <m/>
    <x v="9"/>
    <n v="1"/>
    <n v="280"/>
    <m/>
    <x v="3"/>
  </r>
  <r>
    <x v="8"/>
    <x v="64"/>
    <m/>
    <x v="1"/>
    <n v="1.5"/>
    <n v="420"/>
    <n v="441"/>
    <x v="3"/>
  </r>
  <r>
    <x v="8"/>
    <x v="65"/>
    <s v="P19684"/>
    <x v="1"/>
    <n v="0.5"/>
    <n v="140"/>
    <n v="147"/>
    <x v="3"/>
  </r>
  <r>
    <x v="8"/>
    <x v="66"/>
    <s v="A293577"/>
    <x v="1"/>
    <n v="1"/>
    <n v="230"/>
    <n v="241.5"/>
    <x v="3"/>
  </r>
  <r>
    <x v="8"/>
    <x v="66"/>
    <s v="A293577"/>
    <x v="11"/>
    <n v="1"/>
    <n v="190"/>
    <n v="199.5"/>
    <x v="3"/>
  </r>
  <r>
    <x v="8"/>
    <x v="67"/>
    <s v="A405052"/>
    <x v="2"/>
    <n v="3"/>
    <n v="1050"/>
    <n v="1102.5"/>
    <x v="3"/>
  </r>
  <r>
    <x v="8"/>
    <x v="67"/>
    <s v="A405052"/>
    <x v="11"/>
    <n v="1"/>
    <n v="350"/>
    <n v="367.5"/>
    <x v="2"/>
  </r>
  <r>
    <x v="8"/>
    <x v="67"/>
    <s v="A405052"/>
    <x v="0"/>
    <n v="1"/>
    <n v="350"/>
    <n v="367.5"/>
    <x v="2"/>
  </r>
  <r>
    <x v="8"/>
    <x v="68"/>
    <s v="A241029"/>
    <x v="8"/>
    <n v="1"/>
    <n v="200"/>
    <m/>
    <x v="3"/>
  </r>
  <r>
    <x v="8"/>
    <x v="30"/>
    <s v="A233444"/>
    <x v="1"/>
    <n v="1"/>
    <n v="170"/>
    <n v="178.5"/>
    <x v="3"/>
  </r>
  <r>
    <x v="8"/>
    <x v="69"/>
    <s v="A243394"/>
    <x v="8"/>
    <n v="1"/>
    <n v="240"/>
    <m/>
    <x v="3"/>
  </r>
  <r>
    <x v="8"/>
    <x v="70"/>
    <m/>
    <x v="1"/>
    <n v="1"/>
    <n v="270"/>
    <n v="283.5"/>
    <x v="3"/>
  </r>
  <r>
    <x v="8"/>
    <x v="71"/>
    <s v="A246793"/>
    <x v="2"/>
    <n v="1"/>
    <n v="150"/>
    <n v="157.5"/>
    <x v="3"/>
  </r>
  <r>
    <x v="8"/>
    <x v="72"/>
    <s v="P08499"/>
    <x v="8"/>
    <n v="1"/>
    <n v="220"/>
    <m/>
    <x v="3"/>
  </r>
  <r>
    <x v="8"/>
    <x v="72"/>
    <s v="P08499"/>
    <x v="1"/>
    <n v="1"/>
    <n v="220"/>
    <n v="231"/>
    <x v="3"/>
  </r>
  <r>
    <x v="8"/>
    <x v="73"/>
    <s v="P08976"/>
    <x v="1"/>
    <n v="1"/>
    <n v="300"/>
    <n v="315"/>
    <x v="3"/>
  </r>
  <r>
    <x v="8"/>
    <x v="74"/>
    <m/>
    <x v="0"/>
    <n v="1"/>
    <n v="310"/>
    <n v="325.5"/>
    <x v="4"/>
  </r>
  <r>
    <x v="8"/>
    <x v="75"/>
    <m/>
    <x v="0"/>
    <n v="2"/>
    <n v="660"/>
    <n v="693"/>
    <x v="2"/>
  </r>
  <r>
    <x v="8"/>
    <x v="32"/>
    <s v="A295591"/>
    <x v="9"/>
    <n v="1"/>
    <n v="270"/>
    <m/>
    <x v="3"/>
  </r>
  <r>
    <x v="8"/>
    <x v="32"/>
    <s v="A295591"/>
    <x v="1"/>
    <n v="7.5"/>
    <n v="1237.5"/>
    <n v="1299.375"/>
    <x v="3"/>
  </r>
  <r>
    <x v="8"/>
    <x v="32"/>
    <s v="A295591"/>
    <x v="2"/>
    <n v="11"/>
    <n v="2925"/>
    <n v="3071.25"/>
    <x v="3"/>
  </r>
  <r>
    <x v="8"/>
    <x v="32"/>
    <s v="A295591"/>
    <x v="11"/>
    <n v="8"/>
    <n v="2400"/>
    <n v="2520"/>
    <x v="3"/>
  </r>
  <r>
    <x v="8"/>
    <x v="76"/>
    <s v="A297626"/>
    <x v="1"/>
    <n v="2.5"/>
    <n v="575"/>
    <n v="603.75"/>
    <x v="3"/>
  </r>
  <r>
    <x v="8"/>
    <x v="77"/>
    <s v="A419379"/>
    <x v="0"/>
    <n v="1"/>
    <n v="240"/>
    <n v="252"/>
    <x v="2"/>
  </r>
  <r>
    <x v="8"/>
    <x v="78"/>
    <s v="A234651"/>
    <x v="8"/>
    <n v="1"/>
    <n v="230"/>
    <m/>
    <x v="2"/>
  </r>
  <r>
    <x v="8"/>
    <x v="78"/>
    <s v="A234651"/>
    <x v="1"/>
    <n v="0.5"/>
    <n v="125"/>
    <n v="131.25"/>
    <x v="2"/>
  </r>
  <r>
    <x v="8"/>
    <x v="78"/>
    <s v="A234651"/>
    <x v="2"/>
    <n v="4"/>
    <n v="1000"/>
    <n v="1050"/>
    <x v="2"/>
  </r>
  <r>
    <x v="8"/>
    <x v="78"/>
    <s v="A234651"/>
    <x v="0"/>
    <n v="2"/>
    <n v="500"/>
    <n v="525"/>
    <x v="2"/>
  </r>
  <r>
    <x v="8"/>
    <x v="79"/>
    <s v="A299988"/>
    <x v="1"/>
    <n v="1"/>
    <n v="150"/>
    <n v="157.5"/>
    <x v="3"/>
  </r>
  <r>
    <x v="8"/>
    <x v="80"/>
    <s v="F15632"/>
    <x v="2"/>
    <n v="1.5"/>
    <n v="600"/>
    <n v="630"/>
    <x v="2"/>
  </r>
  <r>
    <x v="8"/>
    <x v="80"/>
    <s v="F15632"/>
    <x v="11"/>
    <n v="6"/>
    <n v="3300"/>
    <n v="3465"/>
    <x v="2"/>
  </r>
  <r>
    <x v="8"/>
    <x v="80"/>
    <s v="F15632"/>
    <x v="0"/>
    <n v="7"/>
    <n v="3850"/>
    <n v="4042.5"/>
    <x v="2"/>
  </r>
  <r>
    <x v="8"/>
    <x v="81"/>
    <s v="P19035"/>
    <x v="1"/>
    <n v="1"/>
    <n v="240"/>
    <n v="252"/>
    <x v="3"/>
  </r>
  <r>
    <x v="8"/>
    <x v="82"/>
    <s v="A339373"/>
    <x v="2"/>
    <n v="1"/>
    <n v="265"/>
    <n v="278.25"/>
    <x v="3"/>
  </r>
  <r>
    <x v="8"/>
    <x v="83"/>
    <s v="A243193"/>
    <x v="2"/>
    <n v="2"/>
    <n v="400"/>
    <n v="420"/>
    <x v="3"/>
  </r>
  <r>
    <x v="9"/>
    <x v="84"/>
    <s v="A294848"/>
    <x v="10"/>
    <n v="1"/>
    <n v="270"/>
    <m/>
    <x v="3"/>
  </r>
  <r>
    <x v="9"/>
    <x v="85"/>
    <s v="A294408"/>
    <x v="10"/>
    <n v="1"/>
    <n v="160"/>
    <m/>
    <x v="3"/>
  </r>
  <r>
    <x v="9"/>
    <x v="86"/>
    <s v="A294849"/>
    <x v="10"/>
    <n v="1"/>
    <n v="180"/>
    <m/>
    <x v="3"/>
  </r>
  <r>
    <x v="9"/>
    <x v="35"/>
    <s v="A245190"/>
    <x v="9"/>
    <n v="1"/>
    <n v="135"/>
    <m/>
    <x v="3"/>
  </r>
  <r>
    <x v="9"/>
    <x v="87"/>
    <s v="A287421"/>
    <x v="10"/>
    <n v="1"/>
    <n v="150"/>
    <m/>
    <x v="3"/>
  </r>
  <r>
    <x v="9"/>
    <x v="88"/>
    <s v="A244191"/>
    <x v="9"/>
    <n v="1"/>
    <n v="75"/>
    <m/>
    <x v="3"/>
  </r>
  <r>
    <x v="9"/>
    <x v="89"/>
    <s v="A259821"/>
    <x v="4"/>
    <n v="100"/>
    <n v="17296"/>
    <m/>
    <x v="3"/>
  </r>
  <r>
    <x v="9"/>
    <x v="89"/>
    <s v="A259821"/>
    <x v="4"/>
    <n v="100"/>
    <n v="16192"/>
    <m/>
    <x v="3"/>
  </r>
  <r>
    <x v="9"/>
    <x v="89"/>
    <s v="A259821"/>
    <x v="5"/>
    <n v="150"/>
    <n v="24552.5"/>
    <m/>
    <x v="3"/>
  </r>
  <r>
    <x v="9"/>
    <x v="89"/>
    <s v="A259821"/>
    <x v="6"/>
    <n v="50"/>
    <n v="8360.5"/>
    <m/>
    <x v="3"/>
  </r>
  <r>
    <x v="9"/>
    <x v="90"/>
    <s v="P06302"/>
    <x v="7"/>
    <n v="50"/>
    <n v="14500"/>
    <m/>
    <x v="3"/>
  </r>
  <r>
    <x v="9"/>
    <x v="91"/>
    <s v="A241367"/>
    <x v="9"/>
    <n v="1"/>
    <n v="140"/>
    <m/>
    <x v="3"/>
  </r>
  <r>
    <x v="9"/>
    <x v="92"/>
    <s v="A189645"/>
    <x v="7"/>
    <n v="50"/>
    <n v="7000"/>
    <m/>
    <x v="3"/>
  </r>
  <r>
    <x v="9"/>
    <x v="93"/>
    <s v="A231708"/>
    <x v="9"/>
    <n v="1"/>
    <n v="65"/>
    <m/>
    <x v="3"/>
  </r>
  <r>
    <x v="9"/>
    <x v="26"/>
    <s v="A261819"/>
    <x v="4"/>
    <n v="75"/>
    <n v="12696"/>
    <m/>
    <x v="3"/>
  </r>
  <r>
    <x v="9"/>
    <x v="26"/>
    <s v="A261819"/>
    <x v="5"/>
    <n v="50"/>
    <n v="8464"/>
    <m/>
    <x v="3"/>
  </r>
  <r>
    <x v="9"/>
    <x v="26"/>
    <s v="A261819"/>
    <x v="6"/>
    <n v="40"/>
    <n v="6771.2"/>
    <m/>
    <x v="3"/>
  </r>
  <r>
    <x v="9"/>
    <x v="26"/>
    <s v="A261819"/>
    <x v="8"/>
    <n v="10"/>
    <n v="2000"/>
    <m/>
    <x v="3"/>
  </r>
  <r>
    <x v="9"/>
    <x v="48"/>
    <s v="A245955"/>
    <x v="9"/>
    <n v="5"/>
    <n v="850"/>
    <m/>
    <x v="3"/>
  </r>
  <r>
    <x v="9"/>
    <x v="3"/>
    <s v="A232126"/>
    <x v="9"/>
    <n v="1"/>
    <n v="95"/>
    <m/>
    <x v="3"/>
  </r>
  <r>
    <x v="9"/>
    <x v="16"/>
    <s v="A241225"/>
    <x v="9"/>
    <n v="1"/>
    <n v="70"/>
    <m/>
    <x v="3"/>
  </r>
  <r>
    <x v="9"/>
    <x v="94"/>
    <s v="A339929"/>
    <x v="9"/>
    <n v="1"/>
    <n v="75"/>
    <m/>
    <x v="3"/>
  </r>
  <r>
    <x v="9"/>
    <x v="68"/>
    <s v="A241029"/>
    <x v="7"/>
    <n v="20"/>
    <n v="3540"/>
    <m/>
    <x v="3"/>
  </r>
  <r>
    <x v="9"/>
    <x v="68"/>
    <s v="A241029"/>
    <x v="8"/>
    <n v="5"/>
    <n v="1000"/>
    <m/>
    <x v="3"/>
  </r>
  <r>
    <x v="9"/>
    <x v="30"/>
    <s v="A233444"/>
    <x v="9"/>
    <n v="1"/>
    <n v="75"/>
    <m/>
    <x v="3"/>
  </r>
  <r>
    <x v="9"/>
    <x v="95"/>
    <m/>
    <x v="2"/>
    <n v="10"/>
    <n v="5000"/>
    <n v="5250"/>
    <x v="3"/>
  </r>
  <r>
    <x v="9"/>
    <x v="96"/>
    <s v="P01022"/>
    <x v="5"/>
    <n v="25"/>
    <n v="4250"/>
    <m/>
    <x v="3"/>
  </r>
  <r>
    <x v="9"/>
    <x v="97"/>
    <s v="A299992"/>
    <x v="9"/>
    <n v="1"/>
    <n v="70"/>
    <m/>
    <x v="3"/>
  </r>
  <r>
    <x v="9"/>
    <x v="98"/>
    <s v="A268850"/>
    <x v="10"/>
    <n v="1"/>
    <n v="180"/>
    <m/>
    <x v="3"/>
  </r>
  <r>
    <x v="9"/>
    <x v="99"/>
    <s v="A282344"/>
    <x v="6"/>
    <n v="25"/>
    <n v="3750"/>
    <m/>
    <x v="3"/>
  </r>
  <r>
    <x v="9"/>
    <x v="99"/>
    <s v="A282344"/>
    <x v="7"/>
    <n v="100"/>
    <n v="15000"/>
    <m/>
    <x v="3"/>
  </r>
  <r>
    <x v="9"/>
    <x v="99"/>
    <s v="A282344"/>
    <x v="10"/>
    <n v="75"/>
    <n v="11250"/>
    <m/>
    <x v="3"/>
  </r>
  <r>
    <x v="9"/>
    <x v="99"/>
    <s v="A282344"/>
    <x v="9"/>
    <n v="25"/>
    <n v="3750"/>
    <m/>
    <x v="3"/>
  </r>
  <r>
    <x v="9"/>
    <x v="100"/>
    <s v="A239043"/>
    <x v="10"/>
    <n v="1"/>
    <n v="200"/>
    <m/>
    <x v="3"/>
  </r>
  <r>
    <x v="9"/>
    <x v="101"/>
    <m/>
    <x v="5"/>
    <n v="25"/>
    <n v="4625"/>
    <m/>
    <x v="3"/>
  </r>
  <r>
    <x v="9"/>
    <x v="19"/>
    <s v="A233442"/>
    <x v="9"/>
    <n v="1"/>
    <n v="70"/>
    <m/>
    <x v="3"/>
  </r>
  <r>
    <x v="9"/>
    <x v="102"/>
    <s v="A241980"/>
    <x v="10"/>
    <n v="1"/>
    <n v="150"/>
    <m/>
    <x v="3"/>
  </r>
  <r>
    <x v="9"/>
    <x v="103"/>
    <s v="A299996"/>
    <x v="9"/>
    <n v="1"/>
    <n v="75"/>
    <m/>
    <x v="3"/>
  </r>
  <r>
    <x v="10"/>
    <x v="104"/>
    <s v="A235765"/>
    <x v="2"/>
    <n v="1"/>
    <n v="55"/>
    <n v="55"/>
    <x v="3"/>
  </r>
  <r>
    <x v="10"/>
    <x v="105"/>
    <s v="A261335"/>
    <x v="2"/>
    <n v="1"/>
    <n v="55"/>
    <n v="55"/>
    <x v="3"/>
  </r>
  <r>
    <x v="10"/>
    <x v="106"/>
    <s v="A281055"/>
    <x v="2"/>
    <n v="1"/>
    <n v="105"/>
    <n v="105"/>
    <x v="3"/>
  </r>
  <r>
    <x v="10"/>
    <x v="107"/>
    <s v="A257635"/>
    <x v="2"/>
    <n v="1"/>
    <n v="105"/>
    <n v="105"/>
    <x v="3"/>
  </r>
  <r>
    <x v="10"/>
    <x v="57"/>
    <s v="A292908"/>
    <x v="9"/>
    <n v="2"/>
    <n v="360"/>
    <m/>
    <x v="3"/>
  </r>
  <r>
    <x v="10"/>
    <x v="108"/>
    <s v="A338959"/>
    <x v="2"/>
    <n v="1"/>
    <n v="100"/>
    <n v="100"/>
    <x v="3"/>
  </r>
  <r>
    <x v="10"/>
    <x v="109"/>
    <s v="A297626"/>
    <x v="2"/>
    <n v="1"/>
    <n v="120"/>
    <n v="120"/>
    <x v="3"/>
  </r>
  <r>
    <x v="11"/>
    <x v="110"/>
    <s v="A241372"/>
    <x v="4"/>
    <n v="5"/>
    <n v="1000"/>
    <m/>
    <x v="3"/>
  </r>
  <r>
    <x v="11"/>
    <x v="110"/>
    <s v="A241372"/>
    <x v="5"/>
    <n v="5"/>
    <n v="1000"/>
    <m/>
    <x v="3"/>
  </r>
  <r>
    <x v="11"/>
    <x v="38"/>
    <s v="A273820"/>
    <x v="9"/>
    <n v="5"/>
    <n v="1075"/>
    <m/>
    <x v="3"/>
  </r>
  <r>
    <x v="11"/>
    <x v="38"/>
    <s v="A273820"/>
    <x v="1"/>
    <n v="5"/>
    <n v="1075"/>
    <n v="1128.75"/>
    <x v="3"/>
  </r>
  <r>
    <x v="11"/>
    <x v="111"/>
    <s v="A257635"/>
    <x v="4"/>
    <n v="5"/>
    <n v="1000"/>
    <m/>
    <x v="3"/>
  </r>
  <r>
    <x v="11"/>
    <x v="111"/>
    <s v="A257635"/>
    <x v="5"/>
    <n v="40"/>
    <n v="8500"/>
    <m/>
    <x v="3"/>
  </r>
  <r>
    <x v="11"/>
    <x v="111"/>
    <s v="A257635"/>
    <x v="6"/>
    <n v="10"/>
    <n v="2000"/>
    <m/>
    <x v="3"/>
  </r>
  <r>
    <x v="11"/>
    <x v="111"/>
    <s v="A257635"/>
    <x v="7"/>
    <n v="5"/>
    <n v="1000"/>
    <m/>
    <x v="3"/>
  </r>
  <r>
    <x v="11"/>
    <x v="112"/>
    <s v="A265729"/>
    <x v="4"/>
    <n v="5"/>
    <n v="1000"/>
    <m/>
    <x v="3"/>
  </r>
  <r>
    <x v="11"/>
    <x v="112"/>
    <s v="A265729"/>
    <x v="5"/>
    <n v="10"/>
    <n v="2000"/>
    <m/>
    <x v="3"/>
  </r>
  <r>
    <x v="11"/>
    <x v="113"/>
    <s v="A269415"/>
    <x v="4"/>
    <n v="5"/>
    <n v="1100"/>
    <m/>
    <x v="3"/>
  </r>
  <r>
    <x v="11"/>
    <x v="114"/>
    <s v="A245818"/>
    <x v="4"/>
    <n v="5"/>
    <n v="1000"/>
    <m/>
    <x v="3"/>
  </r>
  <r>
    <x v="11"/>
    <x v="114"/>
    <s v="A245818"/>
    <x v="5"/>
    <n v="10"/>
    <n v="2000"/>
    <m/>
    <x v="3"/>
  </r>
  <r>
    <x v="11"/>
    <x v="114"/>
    <s v="A245818"/>
    <x v="6"/>
    <n v="15"/>
    <n v="3000"/>
    <m/>
    <x v="3"/>
  </r>
  <r>
    <x v="11"/>
    <x v="114"/>
    <s v="A245818"/>
    <x v="7"/>
    <n v="5"/>
    <n v="1000"/>
    <m/>
    <x v="3"/>
  </r>
  <r>
    <x v="11"/>
    <x v="114"/>
    <s v="A245818"/>
    <x v="9"/>
    <n v="11"/>
    <n v="2200"/>
    <m/>
    <x v="3"/>
  </r>
  <r>
    <x v="11"/>
    <x v="114"/>
    <s v="A245818"/>
    <x v="1"/>
    <n v="10"/>
    <n v="2000"/>
    <n v="2100"/>
    <x v="3"/>
  </r>
  <r>
    <x v="11"/>
    <x v="115"/>
    <s v="A261820"/>
    <x v="5"/>
    <n v="10"/>
    <n v="2000"/>
    <m/>
    <x v="3"/>
  </r>
  <r>
    <x v="11"/>
    <x v="116"/>
    <m/>
    <x v="5"/>
    <n v="15"/>
    <n v="3000"/>
    <m/>
    <x v="3"/>
  </r>
  <r>
    <x v="11"/>
    <x v="116"/>
    <m/>
    <x v="6"/>
    <n v="10"/>
    <n v="1800"/>
    <m/>
    <x v="3"/>
  </r>
  <r>
    <x v="11"/>
    <x v="64"/>
    <m/>
    <x v="9"/>
    <n v="5"/>
    <n v="1250"/>
    <m/>
    <x v="3"/>
  </r>
  <r>
    <x v="11"/>
    <x v="117"/>
    <s v="A238388"/>
    <x v="5"/>
    <n v="10"/>
    <n v="1550"/>
    <m/>
    <x v="3"/>
  </r>
  <r>
    <x v="11"/>
    <x v="118"/>
    <s v="A261824"/>
    <x v="5"/>
    <n v="25"/>
    <n v="6750"/>
    <m/>
    <x v="3"/>
  </r>
  <r>
    <x v="11"/>
    <x v="119"/>
    <s v="A281733"/>
    <x v="5"/>
    <n v="5"/>
    <n v="1175"/>
    <m/>
    <x v="3"/>
  </r>
  <r>
    <x v="11"/>
    <x v="120"/>
    <s v="A280284"/>
    <x v="5"/>
    <n v="3"/>
    <n v="960"/>
    <m/>
    <x v="3"/>
  </r>
  <r>
    <x v="11"/>
    <x v="121"/>
    <s v="A269419"/>
    <x v="4"/>
    <n v="5"/>
    <n v="1000"/>
    <m/>
    <x v="3"/>
  </r>
  <r>
    <x v="11"/>
    <x v="121"/>
    <s v="A269419"/>
    <x v="5"/>
    <n v="5"/>
    <n v="1000"/>
    <m/>
    <x v="3"/>
  </r>
  <r>
    <x v="11"/>
    <x v="121"/>
    <s v="A269419"/>
    <x v="6"/>
    <n v="10"/>
    <n v="2000"/>
    <m/>
    <x v="3"/>
  </r>
  <r>
    <x v="11"/>
    <x v="121"/>
    <s v="A269419"/>
    <x v="7"/>
    <n v="5"/>
    <n v="1000"/>
    <m/>
    <x v="3"/>
  </r>
  <r>
    <x v="11"/>
    <x v="122"/>
    <s v="A269415"/>
    <x v="6"/>
    <n v="10"/>
    <n v="2200"/>
    <m/>
    <x v="3"/>
  </r>
  <r>
    <x v="12"/>
    <x v="123"/>
    <m/>
    <x v="1"/>
    <n v="20"/>
    <n v="1600"/>
    <n v="1680"/>
    <x v="3"/>
  </r>
  <r>
    <x v="13"/>
    <x v="124"/>
    <m/>
    <x v="0"/>
    <n v="25"/>
    <n v="10000"/>
    <n v="10500"/>
    <x v="2"/>
  </r>
  <r>
    <x v="13"/>
    <x v="123"/>
    <m/>
    <x v="0"/>
    <n v="50"/>
    <n v="4250"/>
    <n v="4462.5"/>
    <x v="2"/>
  </r>
  <r>
    <x v="13"/>
    <x v="10"/>
    <m/>
    <x v="0"/>
    <n v="50"/>
    <n v="3750"/>
    <n v="3937.5"/>
    <x v="2"/>
  </r>
  <r>
    <x v="14"/>
    <x v="125"/>
    <s v="A238189"/>
    <x v="2"/>
    <n v="1"/>
    <n v="220"/>
    <n v="231"/>
    <x v="3"/>
  </r>
  <r>
    <x v="14"/>
    <x v="126"/>
    <s v="A406595"/>
    <x v="2"/>
    <n v="1"/>
    <n v="210"/>
    <n v="220.5"/>
    <x v="3"/>
  </r>
  <r>
    <x v="14"/>
    <x v="127"/>
    <s v="A343168"/>
    <x v="2"/>
    <n v="1"/>
    <n v="230"/>
    <n v="241.5"/>
    <x v="3"/>
  </r>
  <r>
    <x v="14"/>
    <x v="128"/>
    <s v="A269415"/>
    <x v="2"/>
    <n v="1"/>
    <n v="210"/>
    <n v="220.5"/>
    <x v="3"/>
  </r>
  <r>
    <x v="14"/>
    <x v="129"/>
    <s v="A235765"/>
    <x v="2"/>
    <n v="1"/>
    <n v="170"/>
    <n v="178.5"/>
    <x v="3"/>
  </r>
  <r>
    <x v="14"/>
    <x v="130"/>
    <s v="P01022"/>
    <x v="2"/>
    <n v="1"/>
    <n v="220"/>
    <n v="231"/>
    <x v="3"/>
  </r>
  <r>
    <x v="14"/>
    <x v="131"/>
    <s v="F15861"/>
    <x v="2"/>
    <n v="1"/>
    <n v="240"/>
    <n v="252"/>
    <x v="3"/>
  </r>
  <r>
    <x v="14"/>
    <x v="132"/>
    <s v="A242452"/>
    <x v="2"/>
    <n v="1"/>
    <n v="175"/>
    <n v="183.75"/>
    <x v="3"/>
  </r>
  <r>
    <x v="14"/>
    <x v="133"/>
    <s v="A281055"/>
    <x v="2"/>
    <n v="1"/>
    <n v="180"/>
    <n v="189"/>
    <x v="3"/>
  </r>
  <r>
    <x v="14"/>
    <x v="134"/>
    <s v="P04017"/>
    <x v="2"/>
    <n v="1"/>
    <n v="230"/>
    <n v="241.5"/>
    <x v="3"/>
  </r>
  <r>
    <x v="14"/>
    <x v="135"/>
    <s v="A329793"/>
    <x v="2"/>
    <n v="1"/>
    <n v="240"/>
    <n v="252"/>
    <x v="3"/>
  </r>
  <r>
    <x v="14"/>
    <x v="136"/>
    <s v="A276064"/>
    <x v="2"/>
    <n v="1"/>
    <n v="200"/>
    <n v="210"/>
    <x v="3"/>
  </r>
  <r>
    <x v="14"/>
    <x v="137"/>
    <s v="P21021"/>
    <x v="2"/>
    <n v="1"/>
    <n v="240"/>
    <n v="252"/>
    <x v="3"/>
  </r>
  <r>
    <x v="14"/>
    <x v="138"/>
    <s v="A282344"/>
    <x v="2"/>
    <n v="1"/>
    <n v="180"/>
    <n v="189"/>
    <x v="3"/>
  </r>
  <r>
    <x v="14"/>
    <x v="139"/>
    <s v="P08499"/>
    <x v="2"/>
    <n v="1"/>
    <n v="230"/>
    <n v="241.5"/>
    <x v="3"/>
  </r>
  <r>
    <x v="14"/>
    <x v="140"/>
    <s v="A297626"/>
    <x v="2"/>
    <n v="1"/>
    <n v="220"/>
    <n v="231"/>
    <x v="3"/>
  </r>
  <r>
    <x v="15"/>
    <x v="141"/>
    <s v="A249778"/>
    <x v="1"/>
    <n v="26"/>
    <n v="1378"/>
    <n v="1378"/>
    <x v="3"/>
  </r>
  <r>
    <x v="15"/>
    <x v="51"/>
    <s v="A298567"/>
    <x v="1"/>
    <n v="100"/>
    <n v="5000"/>
    <n v="5000"/>
    <x v="3"/>
  </r>
  <r>
    <x v="15"/>
    <x v="30"/>
    <s v="A233444"/>
    <x v="1"/>
    <n v="100"/>
    <n v="5800"/>
    <n v="5800"/>
    <x v="3"/>
  </r>
  <r>
    <x v="15"/>
    <x v="19"/>
    <s v="A233442"/>
    <x v="1"/>
    <n v="25"/>
    <n v="1250"/>
    <n v="1250"/>
    <x v="3"/>
  </r>
  <r>
    <x v="16"/>
    <x v="111"/>
    <s v="A257635"/>
    <x v="3"/>
    <n v="25"/>
    <n v="4416"/>
    <m/>
    <x v="3"/>
  </r>
  <r>
    <x v="16"/>
    <x v="142"/>
    <m/>
    <x v="12"/>
    <n v="300"/>
    <n v="4200"/>
    <m/>
    <x v="3"/>
  </r>
  <r>
    <x v="16"/>
    <x v="142"/>
    <m/>
    <x v="3"/>
    <n v="200"/>
    <n v="3000"/>
    <m/>
    <x v="3"/>
  </r>
  <r>
    <x v="16"/>
    <x v="99"/>
    <s v="A282344"/>
    <x v="5"/>
    <n v="90"/>
    <n v="18000"/>
    <m/>
    <x v="3"/>
  </r>
  <r>
    <x v="16"/>
    <x v="99"/>
    <s v="A282344"/>
    <x v="7"/>
    <n v="25"/>
    <n v="5000"/>
    <m/>
    <x v="3"/>
  </r>
  <r>
    <x v="17"/>
    <x v="143"/>
    <s v="A295604"/>
    <x v="6"/>
    <n v="25"/>
    <n v="11750"/>
    <m/>
    <x v="3"/>
  </r>
  <r>
    <x v="17"/>
    <x v="143"/>
    <s v="A295604"/>
    <x v="7"/>
    <n v="25"/>
    <n v="11750"/>
    <m/>
    <x v="3"/>
  </r>
  <r>
    <x v="17"/>
    <x v="144"/>
    <s v="A256430"/>
    <x v="6"/>
    <n v="100"/>
    <n v="28000"/>
    <m/>
    <x v="3"/>
  </r>
  <r>
    <x v="17"/>
    <x v="144"/>
    <s v="A256430"/>
    <x v="7"/>
    <n v="100"/>
    <n v="28000"/>
    <m/>
    <x v="3"/>
  </r>
  <r>
    <x v="17"/>
    <x v="144"/>
    <s v="A256430"/>
    <x v="8"/>
    <n v="61.5"/>
    <n v="17220"/>
    <m/>
    <x v="3"/>
  </r>
  <r>
    <x v="17"/>
    <x v="37"/>
    <s v="A295406"/>
    <x v="6"/>
    <n v="15"/>
    <n v="12000"/>
    <m/>
    <x v="3"/>
  </r>
  <r>
    <x v="17"/>
    <x v="145"/>
    <s v="A203136"/>
    <x v="5"/>
    <n v="50"/>
    <n v="5500"/>
    <m/>
    <x v="3"/>
  </r>
  <r>
    <x v="17"/>
    <x v="38"/>
    <s v="A273820"/>
    <x v="7"/>
    <n v="50"/>
    <n v="9750"/>
    <m/>
    <x v="3"/>
  </r>
  <r>
    <x v="17"/>
    <x v="38"/>
    <s v="A273820"/>
    <x v="8"/>
    <n v="81"/>
    <n v="15795"/>
    <m/>
    <x v="3"/>
  </r>
  <r>
    <x v="17"/>
    <x v="146"/>
    <s v="A245818"/>
    <x v="6"/>
    <n v="5"/>
    <n v="1150"/>
    <m/>
    <x v="3"/>
  </r>
  <r>
    <x v="17"/>
    <x v="147"/>
    <s v="A290972"/>
    <x v="6"/>
    <n v="25"/>
    <n v="6375"/>
    <m/>
    <x v="3"/>
  </r>
  <r>
    <x v="17"/>
    <x v="148"/>
    <s v="A241480"/>
    <x v="7"/>
    <n v="25"/>
    <n v="3800"/>
    <m/>
    <x v="3"/>
  </r>
  <r>
    <x v="17"/>
    <x v="149"/>
    <s v="A286582"/>
    <x v="10"/>
    <n v="5"/>
    <n v="1150"/>
    <m/>
    <x v="3"/>
  </r>
  <r>
    <x v="17"/>
    <x v="150"/>
    <s v="A261819"/>
    <x v="5"/>
    <n v="25"/>
    <n v="6000"/>
    <m/>
    <x v="3"/>
  </r>
  <r>
    <x v="17"/>
    <x v="151"/>
    <s v="A260799"/>
    <x v="8"/>
    <n v="25"/>
    <n v="1837.5"/>
    <m/>
    <x v="3"/>
  </r>
  <r>
    <x v="17"/>
    <x v="152"/>
    <s v="A241586"/>
    <x v="10"/>
    <n v="13"/>
    <n v="2990"/>
    <m/>
    <x v="3"/>
  </r>
  <r>
    <x v="17"/>
    <x v="153"/>
    <s v="A281164"/>
    <x v="8"/>
    <n v="25"/>
    <n v="1837.5"/>
    <m/>
    <x v="3"/>
  </r>
  <r>
    <x v="17"/>
    <x v="46"/>
    <s v="A234876"/>
    <x v="6"/>
    <n v="40"/>
    <n v="9000"/>
    <m/>
    <x v="3"/>
  </r>
  <r>
    <x v="17"/>
    <x v="46"/>
    <s v="A234876"/>
    <x v="7"/>
    <n v="25"/>
    <n v="5625"/>
    <m/>
    <x v="3"/>
  </r>
  <r>
    <x v="17"/>
    <x v="46"/>
    <s v="A234876"/>
    <x v="8"/>
    <n v="25"/>
    <n v="5625"/>
    <m/>
    <x v="3"/>
  </r>
  <r>
    <x v="17"/>
    <x v="93"/>
    <s v="A231708"/>
    <x v="5"/>
    <n v="25"/>
    <n v="1750"/>
    <m/>
    <x v="3"/>
  </r>
  <r>
    <x v="17"/>
    <x v="154"/>
    <s v="A292909"/>
    <x v="6"/>
    <n v="20"/>
    <n v="9800"/>
    <m/>
    <x v="3"/>
  </r>
  <r>
    <x v="17"/>
    <x v="155"/>
    <s v="A255234"/>
    <x v="5"/>
    <n v="25"/>
    <n v="2500"/>
    <m/>
    <x v="3"/>
  </r>
  <r>
    <x v="17"/>
    <x v="156"/>
    <s v="A231705"/>
    <x v="6"/>
    <n v="5"/>
    <n v="800"/>
    <m/>
    <x v="3"/>
  </r>
  <r>
    <x v="17"/>
    <x v="156"/>
    <s v="A231705"/>
    <x v="7"/>
    <n v="50"/>
    <n v="8000"/>
    <m/>
    <x v="3"/>
  </r>
  <r>
    <x v="17"/>
    <x v="156"/>
    <s v="A231705"/>
    <x v="8"/>
    <n v="25"/>
    <n v="4000"/>
    <m/>
    <x v="3"/>
  </r>
  <r>
    <x v="17"/>
    <x v="157"/>
    <s v="A244980"/>
    <x v="6"/>
    <n v="5"/>
    <n v="1200"/>
    <m/>
    <x v="3"/>
  </r>
  <r>
    <x v="17"/>
    <x v="157"/>
    <s v="A244980"/>
    <x v="7"/>
    <n v="42"/>
    <n v="10080"/>
    <m/>
    <x v="3"/>
  </r>
  <r>
    <x v="17"/>
    <x v="158"/>
    <s v="A253376"/>
    <x v="10"/>
    <n v="1"/>
    <n v="350"/>
    <m/>
    <x v="3"/>
  </r>
  <r>
    <x v="17"/>
    <x v="159"/>
    <s v="A310589"/>
    <x v="10"/>
    <n v="25"/>
    <n v="5500"/>
    <m/>
    <x v="3"/>
  </r>
  <r>
    <x v="17"/>
    <x v="57"/>
    <s v="A292908"/>
    <x v="7"/>
    <n v="40"/>
    <n v="8000"/>
    <m/>
    <x v="3"/>
  </r>
  <r>
    <x v="17"/>
    <x v="57"/>
    <s v="A292908"/>
    <x v="10"/>
    <n v="25"/>
    <n v="5000"/>
    <m/>
    <x v="3"/>
  </r>
  <r>
    <x v="17"/>
    <x v="160"/>
    <s v="A293669"/>
    <x v="6"/>
    <n v="15"/>
    <n v="5625"/>
    <m/>
    <x v="3"/>
  </r>
  <r>
    <x v="17"/>
    <x v="161"/>
    <s v="A293577"/>
    <x v="6"/>
    <n v="150"/>
    <n v="30000"/>
    <m/>
    <x v="3"/>
  </r>
  <r>
    <x v="17"/>
    <x v="161"/>
    <s v="A293577"/>
    <x v="7"/>
    <n v="200"/>
    <n v="40000"/>
    <m/>
    <x v="3"/>
  </r>
  <r>
    <x v="17"/>
    <x v="161"/>
    <s v="A293577"/>
    <x v="10"/>
    <n v="194"/>
    <n v="39800"/>
    <m/>
    <x v="3"/>
  </r>
  <r>
    <x v="17"/>
    <x v="161"/>
    <s v="A293577"/>
    <x v="8"/>
    <n v="100"/>
    <n v="20000"/>
    <m/>
    <x v="3"/>
  </r>
  <r>
    <x v="17"/>
    <x v="162"/>
    <m/>
    <x v="5"/>
    <n v="75"/>
    <n v="21000"/>
    <m/>
    <x v="3"/>
  </r>
  <r>
    <x v="17"/>
    <x v="163"/>
    <m/>
    <x v="5"/>
    <n v="25"/>
    <n v="11000"/>
    <m/>
    <x v="3"/>
  </r>
  <r>
    <x v="17"/>
    <x v="68"/>
    <s v="A241029"/>
    <x v="5"/>
    <n v="30"/>
    <n v="5400"/>
    <m/>
    <x v="3"/>
  </r>
  <r>
    <x v="17"/>
    <x v="164"/>
    <s v="A235676"/>
    <x v="10"/>
    <n v="1"/>
    <n v="250"/>
    <m/>
    <x v="3"/>
  </r>
  <r>
    <x v="17"/>
    <x v="69"/>
    <s v="A243394"/>
    <x v="6"/>
    <n v="1"/>
    <n v="210"/>
    <m/>
    <x v="3"/>
  </r>
  <r>
    <x v="17"/>
    <x v="69"/>
    <s v="A243394"/>
    <x v="10"/>
    <n v="25"/>
    <n v="4375"/>
    <m/>
    <x v="3"/>
  </r>
  <r>
    <x v="17"/>
    <x v="165"/>
    <s v="A237939"/>
    <x v="4"/>
    <n v="25"/>
    <n v="3325"/>
    <m/>
    <x v="3"/>
  </r>
  <r>
    <x v="17"/>
    <x v="165"/>
    <s v="A237939"/>
    <x v="10"/>
    <n v="45"/>
    <n v="4950"/>
    <m/>
    <x v="3"/>
  </r>
  <r>
    <x v="17"/>
    <x v="166"/>
    <s v="A231706"/>
    <x v="6"/>
    <n v="100"/>
    <n v="10000"/>
    <m/>
    <x v="3"/>
  </r>
  <r>
    <x v="17"/>
    <x v="167"/>
    <s v="P04981"/>
    <x v="6"/>
    <n v="15"/>
    <n v="7950"/>
    <m/>
    <x v="3"/>
  </r>
  <r>
    <x v="17"/>
    <x v="99"/>
    <s v="A282344"/>
    <x v="5"/>
    <n v="85"/>
    <n v="19550"/>
    <m/>
    <x v="3"/>
  </r>
  <r>
    <x v="17"/>
    <x v="99"/>
    <s v="A282344"/>
    <x v="6"/>
    <n v="360"/>
    <n v="82800"/>
    <m/>
    <x v="3"/>
  </r>
  <r>
    <x v="17"/>
    <x v="99"/>
    <s v="A282344"/>
    <x v="7"/>
    <n v="300"/>
    <n v="69000"/>
    <m/>
    <x v="3"/>
  </r>
  <r>
    <x v="17"/>
    <x v="99"/>
    <s v="A282344"/>
    <x v="10"/>
    <n v="25"/>
    <n v="5750"/>
    <m/>
    <x v="3"/>
  </r>
  <r>
    <x v="17"/>
    <x v="99"/>
    <s v="A282344"/>
    <x v="8"/>
    <n v="100"/>
    <n v="23000"/>
    <m/>
    <x v="3"/>
  </r>
  <r>
    <x v="17"/>
    <x v="32"/>
    <s v="A283876"/>
    <x v="6"/>
    <n v="50"/>
    <n v="22250"/>
    <m/>
    <x v="3"/>
  </r>
  <r>
    <x v="17"/>
    <x v="32"/>
    <s v="A283876"/>
    <x v="7"/>
    <n v="150"/>
    <n v="66750"/>
    <m/>
    <x v="3"/>
  </r>
  <r>
    <x v="17"/>
    <x v="168"/>
    <s v="A295590"/>
    <x v="6"/>
    <n v="30"/>
    <n v="7050"/>
    <m/>
    <x v="3"/>
  </r>
  <r>
    <x v="17"/>
    <x v="168"/>
    <s v="A295590"/>
    <x v="7"/>
    <n v="25"/>
    <n v="5875"/>
    <m/>
    <x v="3"/>
  </r>
  <r>
    <x v="17"/>
    <x v="169"/>
    <s v="A286824"/>
    <x v="7"/>
    <n v="50"/>
    <n v="10000"/>
    <m/>
    <x v="3"/>
  </r>
  <r>
    <x v="17"/>
    <x v="170"/>
    <m/>
    <x v="6"/>
    <n v="6"/>
    <n v="1530"/>
    <m/>
    <x v="3"/>
  </r>
  <r>
    <x v="17"/>
    <x v="171"/>
    <s v="A258812"/>
    <x v="8"/>
    <n v="25"/>
    <n v="1837.5"/>
    <m/>
    <x v="3"/>
  </r>
  <r>
    <x v="17"/>
    <x v="172"/>
    <s v="A253320"/>
    <x v="6"/>
    <n v="25"/>
    <n v="4750"/>
    <m/>
    <x v="3"/>
  </r>
  <r>
    <x v="18"/>
    <x v="173"/>
    <s v="P08232"/>
    <x v="7"/>
    <n v="6"/>
    <n v="1380"/>
    <m/>
    <x v="3"/>
  </r>
  <r>
    <x v="18"/>
    <x v="173"/>
    <s v="P08232"/>
    <x v="10"/>
    <n v="135"/>
    <n v="24500"/>
    <m/>
    <x v="3"/>
  </r>
  <r>
    <x v="18"/>
    <x v="174"/>
    <m/>
    <x v="10"/>
    <n v="15"/>
    <n v="2400"/>
    <m/>
    <x v="3"/>
  </r>
  <r>
    <x v="18"/>
    <x v="175"/>
    <m/>
    <x v="7"/>
    <n v="10"/>
    <n v="2200"/>
    <m/>
    <x v="3"/>
  </r>
  <r>
    <x v="18"/>
    <x v="46"/>
    <s v="A234876"/>
    <x v="7"/>
    <n v="120"/>
    <n v="26600"/>
    <m/>
    <x v="3"/>
  </r>
  <r>
    <x v="18"/>
    <x v="46"/>
    <s v="A234876"/>
    <x v="10"/>
    <n v="50"/>
    <n v="9500"/>
    <m/>
    <x v="3"/>
  </r>
  <r>
    <x v="18"/>
    <x v="156"/>
    <s v="A231705"/>
    <x v="7"/>
    <n v="6"/>
    <n v="720"/>
    <m/>
    <x v="3"/>
  </r>
  <r>
    <x v="18"/>
    <x v="68"/>
    <s v="A240864"/>
    <x v="7"/>
    <n v="8.4"/>
    <n v="1596"/>
    <m/>
    <x v="3"/>
  </r>
  <r>
    <x v="18"/>
    <x v="68"/>
    <s v="A241029"/>
    <x v="7"/>
    <n v="115"/>
    <n v="23800"/>
    <m/>
    <x v="3"/>
  </r>
  <r>
    <x v="18"/>
    <x v="68"/>
    <s v="A241029"/>
    <x v="10"/>
    <n v="175"/>
    <n v="33250"/>
    <m/>
    <x v="3"/>
  </r>
  <r>
    <x v="18"/>
    <x v="69"/>
    <s v="A243394"/>
    <x v="6"/>
    <n v="1"/>
    <n v="200"/>
    <m/>
    <x v="3"/>
  </r>
  <r>
    <x v="18"/>
    <x v="69"/>
    <s v="A243394"/>
    <x v="7"/>
    <n v="30"/>
    <n v="6000"/>
    <m/>
    <x v="3"/>
  </r>
  <r>
    <x v="18"/>
    <x v="69"/>
    <s v="A243394"/>
    <x v="10"/>
    <n v="50"/>
    <n v="9500"/>
    <m/>
    <x v="3"/>
  </r>
  <r>
    <x v="18"/>
    <x v="176"/>
    <s v="A295741"/>
    <x v="6"/>
    <n v="1"/>
    <n v="82"/>
    <m/>
    <x v="3"/>
  </r>
  <r>
    <x v="18"/>
    <x v="176"/>
    <s v="A295741"/>
    <x v="7"/>
    <n v="75"/>
    <n v="6150"/>
    <m/>
    <x v="3"/>
  </r>
  <r>
    <x v="18"/>
    <x v="176"/>
    <s v="A295741"/>
    <x v="10"/>
    <n v="75"/>
    <n v="6150"/>
    <m/>
    <x v="3"/>
  </r>
  <r>
    <x v="18"/>
    <x v="177"/>
    <s v="A292781"/>
    <x v="6"/>
    <n v="1"/>
    <n v="80"/>
    <m/>
    <x v="3"/>
  </r>
  <r>
    <x v="18"/>
    <x v="99"/>
    <s v="A282344"/>
    <x v="7"/>
    <n v="35"/>
    <n v="6775"/>
    <m/>
    <x v="3"/>
  </r>
  <r>
    <x v="18"/>
    <x v="178"/>
    <s v="A272782"/>
    <x v="6"/>
    <n v="1"/>
    <n v="85"/>
    <m/>
    <x v="3"/>
  </r>
  <r>
    <x v="19"/>
    <x v="179"/>
    <m/>
    <x v="3"/>
    <n v="1"/>
    <n v="240"/>
    <m/>
    <x v="3"/>
  </r>
  <r>
    <x v="19"/>
    <x v="180"/>
    <s v="A250659"/>
    <x v="3"/>
    <n v="0.5"/>
    <n v="240"/>
    <m/>
    <x v="3"/>
  </r>
  <r>
    <x v="19"/>
    <x v="111"/>
    <s v="A257635"/>
    <x v="3"/>
    <n v="25"/>
    <n v="5000"/>
    <m/>
    <x v="3"/>
  </r>
  <r>
    <x v="19"/>
    <x v="46"/>
    <s v="A234876"/>
    <x v="3"/>
    <n v="5"/>
    <n v="1200"/>
    <m/>
    <x v="3"/>
  </r>
  <r>
    <x v="19"/>
    <x v="68"/>
    <s v="A241029"/>
    <x v="3"/>
    <n v="30"/>
    <n v="6000"/>
    <m/>
    <x v="3"/>
  </r>
  <r>
    <x v="19"/>
    <x v="181"/>
    <s v="A258937"/>
    <x v="3"/>
    <n v="1"/>
    <n v="880"/>
    <m/>
    <x v="3"/>
  </r>
  <r>
    <x v="19"/>
    <x v="172"/>
    <s v="A253320"/>
    <x v="3"/>
    <n v="5.5"/>
    <n v="1440"/>
    <m/>
    <x v="3"/>
  </r>
  <r>
    <x v="20"/>
    <x v="144"/>
    <s v="A256430"/>
    <x v="9"/>
    <n v="5"/>
    <n v="1250"/>
    <m/>
    <x v="3"/>
  </r>
  <r>
    <x v="20"/>
    <x v="14"/>
    <m/>
    <x v="2"/>
    <n v="2"/>
    <n v="240"/>
    <n v="252"/>
    <x v="3"/>
  </r>
  <r>
    <x v="21"/>
    <x v="182"/>
    <s v="A275118"/>
    <x v="11"/>
    <n v="22"/>
    <n v="1980"/>
    <n v="2079"/>
    <x v="3"/>
  </r>
  <r>
    <x v="21"/>
    <x v="183"/>
    <s v="A275118"/>
    <x v="11"/>
    <n v="10"/>
    <n v="900"/>
    <n v="945"/>
    <x v="3"/>
  </r>
  <r>
    <x v="21"/>
    <x v="184"/>
    <s v="A299984"/>
    <x v="11"/>
    <n v="10"/>
    <n v="780"/>
    <n v="819"/>
    <x v="3"/>
  </r>
  <r>
    <x v="21"/>
    <x v="156"/>
    <s v="A231705"/>
    <x v="11"/>
    <n v="10"/>
    <n v="700"/>
    <n v="735"/>
    <x v="3"/>
  </r>
  <r>
    <x v="21"/>
    <x v="141"/>
    <s v="A249778"/>
    <x v="11"/>
    <n v="100"/>
    <n v="4600"/>
    <n v="4830"/>
    <x v="3"/>
  </r>
  <r>
    <x v="21"/>
    <x v="185"/>
    <s v="A415892"/>
    <x v="0"/>
    <n v="10"/>
    <n v="460"/>
    <n v="483"/>
    <x v="2"/>
  </r>
  <r>
    <x v="21"/>
    <x v="51"/>
    <s v="A298567"/>
    <x v="11"/>
    <n v="145"/>
    <n v="7250"/>
    <n v="7612.5"/>
    <x v="3"/>
  </r>
  <r>
    <x v="21"/>
    <x v="13"/>
    <m/>
    <x v="11"/>
    <n v="2"/>
    <n v="180"/>
    <n v="189"/>
    <x v="2"/>
  </r>
  <r>
    <x v="21"/>
    <x v="13"/>
    <m/>
    <x v="0"/>
    <n v="1"/>
    <n v="90"/>
    <n v="94.5"/>
    <x v="2"/>
  </r>
  <r>
    <x v="21"/>
    <x v="14"/>
    <m/>
    <x v="11"/>
    <n v="10"/>
    <n v="700"/>
    <n v="735"/>
    <x v="2"/>
  </r>
  <r>
    <x v="21"/>
    <x v="14"/>
    <m/>
    <x v="0"/>
    <n v="5"/>
    <n v="350"/>
    <n v="367.5"/>
    <x v="2"/>
  </r>
  <r>
    <x v="22"/>
    <x v="186"/>
    <s v="A235767"/>
    <x v="2"/>
    <n v="2"/>
    <n v="420"/>
    <n v="441"/>
    <x v="3"/>
  </r>
  <r>
    <x v="22"/>
    <x v="187"/>
    <s v="A234399"/>
    <x v="12"/>
    <n v="10"/>
    <n v="1750"/>
    <m/>
    <x v="3"/>
  </r>
  <r>
    <x v="22"/>
    <x v="89"/>
    <s v="A237676"/>
    <x v="12"/>
    <n v="10"/>
    <n v="1800"/>
    <m/>
    <x v="3"/>
  </r>
  <r>
    <x v="22"/>
    <x v="111"/>
    <s v="A257635"/>
    <x v="3"/>
    <n v="25"/>
    <n v="4250"/>
    <m/>
    <x v="3"/>
  </r>
  <r>
    <x v="22"/>
    <x v="111"/>
    <s v="A257635"/>
    <x v="4"/>
    <n v="40"/>
    <n v="6800"/>
    <m/>
    <x v="3"/>
  </r>
  <r>
    <x v="22"/>
    <x v="111"/>
    <s v="A257635"/>
    <x v="5"/>
    <n v="25"/>
    <n v="4250"/>
    <m/>
    <x v="3"/>
  </r>
  <r>
    <x v="22"/>
    <x v="111"/>
    <s v="A257635"/>
    <x v="6"/>
    <n v="10"/>
    <n v="1700"/>
    <m/>
    <x v="3"/>
  </r>
  <r>
    <x v="22"/>
    <x v="111"/>
    <s v="A257635"/>
    <x v="7"/>
    <n v="25"/>
    <n v="4250"/>
    <m/>
    <x v="3"/>
  </r>
  <r>
    <x v="22"/>
    <x v="111"/>
    <s v="A257635"/>
    <x v="10"/>
    <n v="25"/>
    <n v="4250"/>
    <m/>
    <x v="3"/>
  </r>
  <r>
    <x v="22"/>
    <x v="111"/>
    <s v="A257635"/>
    <x v="9"/>
    <n v="10"/>
    <n v="1700"/>
    <m/>
    <x v="3"/>
  </r>
  <r>
    <x v="22"/>
    <x v="111"/>
    <s v="A257635"/>
    <x v="1"/>
    <n v="25"/>
    <n v="4250"/>
    <n v="4462.5"/>
    <x v="3"/>
  </r>
  <r>
    <x v="22"/>
    <x v="150"/>
    <s v="A261819"/>
    <x v="4"/>
    <n v="5"/>
    <n v="1075"/>
    <m/>
    <x v="3"/>
  </r>
  <r>
    <x v="22"/>
    <x v="188"/>
    <s v="A245816"/>
    <x v="12"/>
    <n v="10"/>
    <n v="1500"/>
    <m/>
    <x v="3"/>
  </r>
  <r>
    <x v="22"/>
    <x v="189"/>
    <s v="A237675"/>
    <x v="12"/>
    <n v="10"/>
    <n v="1800"/>
    <m/>
    <x v="3"/>
  </r>
  <r>
    <x v="22"/>
    <x v="175"/>
    <m/>
    <x v="7"/>
    <n v="25"/>
    <n v="4000"/>
    <m/>
    <x v="3"/>
  </r>
  <r>
    <x v="22"/>
    <x v="190"/>
    <s v="A238187"/>
    <x v="4"/>
    <n v="25"/>
    <n v="4250"/>
    <m/>
    <x v="3"/>
  </r>
  <r>
    <x v="22"/>
    <x v="190"/>
    <s v="A238187"/>
    <x v="6"/>
    <n v="20"/>
    <n v="3400"/>
    <m/>
    <x v="3"/>
  </r>
  <r>
    <x v="22"/>
    <x v="191"/>
    <s v="A238385"/>
    <x v="2"/>
    <n v="1"/>
    <n v="180"/>
    <n v="189"/>
    <x v="3"/>
  </r>
  <r>
    <x v="22"/>
    <x v="192"/>
    <s v="A246762"/>
    <x v="12"/>
    <n v="20"/>
    <n v="3360"/>
    <m/>
    <x v="3"/>
  </r>
  <r>
    <x v="22"/>
    <x v="46"/>
    <s v="A234876"/>
    <x v="12"/>
    <n v="10"/>
    <n v="1650"/>
    <m/>
    <x v="3"/>
  </r>
  <r>
    <x v="22"/>
    <x v="193"/>
    <s v="A241368"/>
    <x v="12"/>
    <n v="10"/>
    <n v="1500"/>
    <m/>
    <x v="3"/>
  </r>
  <r>
    <x v="22"/>
    <x v="193"/>
    <s v="A241368"/>
    <x v="5"/>
    <n v="10"/>
    <n v="1500"/>
    <m/>
    <x v="3"/>
  </r>
  <r>
    <x v="22"/>
    <x v="193"/>
    <s v="A241368"/>
    <x v="6"/>
    <n v="10"/>
    <n v="1500"/>
    <m/>
    <x v="3"/>
  </r>
  <r>
    <x v="22"/>
    <x v="193"/>
    <s v="A241368"/>
    <x v="10"/>
    <n v="5"/>
    <n v="750"/>
    <m/>
    <x v="3"/>
  </r>
  <r>
    <x v="22"/>
    <x v="26"/>
    <s v="A281055"/>
    <x v="10"/>
    <n v="10"/>
    <n v="1750"/>
    <m/>
    <x v="3"/>
  </r>
  <r>
    <x v="22"/>
    <x v="26"/>
    <s v="A281055"/>
    <x v="9"/>
    <n v="10"/>
    <n v="1750"/>
    <m/>
    <x v="3"/>
  </r>
  <r>
    <x v="22"/>
    <x v="48"/>
    <s v="A245955"/>
    <x v="12"/>
    <n v="20"/>
    <n v="4000"/>
    <m/>
    <x v="3"/>
  </r>
  <r>
    <x v="22"/>
    <x v="107"/>
    <s v="A257635"/>
    <x v="2"/>
    <n v="5"/>
    <n v="850"/>
    <n v="892.5"/>
    <x v="3"/>
  </r>
  <r>
    <x v="22"/>
    <x v="194"/>
    <s v="A292470"/>
    <x v="6"/>
    <n v="10"/>
    <n v="2200"/>
    <m/>
    <x v="3"/>
  </r>
  <r>
    <x v="22"/>
    <x v="62"/>
    <m/>
    <x v="2"/>
    <n v="2"/>
    <n v="460"/>
    <n v="483"/>
    <x v="3"/>
  </r>
  <r>
    <x v="22"/>
    <x v="68"/>
    <s v="A241029"/>
    <x v="12"/>
    <n v="75"/>
    <n v="11250"/>
    <m/>
    <x v="3"/>
  </r>
  <r>
    <x v="22"/>
    <x v="68"/>
    <s v="A241029"/>
    <x v="3"/>
    <n v="75"/>
    <n v="11250"/>
    <m/>
    <x v="3"/>
  </r>
  <r>
    <x v="22"/>
    <x v="68"/>
    <s v="A241029"/>
    <x v="4"/>
    <n v="25"/>
    <n v="4125"/>
    <m/>
    <x v="3"/>
  </r>
  <r>
    <x v="22"/>
    <x v="68"/>
    <s v="A241029"/>
    <x v="5"/>
    <n v="25"/>
    <n v="4000"/>
    <m/>
    <x v="3"/>
  </r>
  <r>
    <x v="22"/>
    <x v="68"/>
    <s v="A241029"/>
    <x v="6"/>
    <n v="58"/>
    <n v="9250"/>
    <m/>
    <x v="3"/>
  </r>
  <r>
    <x v="22"/>
    <x v="68"/>
    <s v="A241029"/>
    <x v="7"/>
    <n v="30"/>
    <n v="4800"/>
    <m/>
    <x v="3"/>
  </r>
  <r>
    <x v="22"/>
    <x v="68"/>
    <s v="A241029"/>
    <x v="10"/>
    <n v="50"/>
    <n v="8000"/>
    <m/>
    <x v="3"/>
  </r>
  <r>
    <x v="22"/>
    <x v="68"/>
    <s v="A241029"/>
    <x v="8"/>
    <n v="25"/>
    <n v="4000"/>
    <m/>
    <x v="3"/>
  </r>
  <r>
    <x v="22"/>
    <x v="68"/>
    <s v="A241029"/>
    <x v="9"/>
    <n v="75"/>
    <n v="12000"/>
    <m/>
    <x v="3"/>
  </r>
  <r>
    <x v="22"/>
    <x v="68"/>
    <s v="A241029"/>
    <x v="1"/>
    <n v="25"/>
    <n v="4000"/>
    <n v="4200"/>
    <x v="3"/>
  </r>
  <r>
    <x v="22"/>
    <x v="195"/>
    <s v="A240864"/>
    <x v="2"/>
    <n v="30"/>
    <n v="4800"/>
    <n v="5040"/>
    <x v="3"/>
  </r>
  <r>
    <x v="22"/>
    <x v="196"/>
    <s v="A240864"/>
    <x v="11"/>
    <n v="25"/>
    <n v="4200"/>
    <n v="4410"/>
    <x v="5"/>
  </r>
  <r>
    <x v="22"/>
    <x v="196"/>
    <s v="A240864"/>
    <x v="0"/>
    <n v="10"/>
    <n v="1600"/>
    <n v="1680"/>
    <x v="5"/>
  </r>
  <r>
    <x v="22"/>
    <x v="197"/>
    <s v="A276064"/>
    <x v="7"/>
    <n v="5"/>
    <n v="1000"/>
    <m/>
    <x v="3"/>
  </r>
  <r>
    <x v="22"/>
    <x v="197"/>
    <s v="A276064"/>
    <x v="10"/>
    <n v="10"/>
    <n v="2000"/>
    <m/>
    <x v="3"/>
  </r>
  <r>
    <x v="22"/>
    <x v="198"/>
    <s v="A241274"/>
    <x v="12"/>
    <n v="20"/>
    <n v="3000"/>
    <m/>
    <x v="3"/>
  </r>
  <r>
    <x v="22"/>
    <x v="199"/>
    <s v="A242055"/>
    <x v="12"/>
    <n v="20"/>
    <n v="3000"/>
    <m/>
    <x v="3"/>
  </r>
  <r>
    <x v="22"/>
    <x v="200"/>
    <s v="A241368"/>
    <x v="7"/>
    <n v="10"/>
    <n v="1500"/>
    <m/>
    <x v="3"/>
  </r>
  <r>
    <x v="22"/>
    <x v="200"/>
    <s v="A241368"/>
    <x v="9"/>
    <n v="10"/>
    <n v="1500"/>
    <m/>
    <x v="3"/>
  </r>
  <r>
    <x v="22"/>
    <x v="201"/>
    <s v="A253600"/>
    <x v="6"/>
    <n v="25"/>
    <n v="6250"/>
    <m/>
    <x v="3"/>
  </r>
  <r>
    <x v="22"/>
    <x v="202"/>
    <s v="A418088"/>
    <x v="2"/>
    <n v="5"/>
    <n v="900"/>
    <n v="945"/>
    <x v="3"/>
  </r>
  <r>
    <x v="22"/>
    <x v="202"/>
    <s v="A418088"/>
    <x v="11"/>
    <n v="10"/>
    <n v="1800"/>
    <n v="1890"/>
    <x v="3"/>
  </r>
  <r>
    <x v="22"/>
    <x v="202"/>
    <s v="A417151"/>
    <x v="0"/>
    <n v="5"/>
    <n v="900"/>
    <n v="945"/>
    <x v="2"/>
  </r>
  <r>
    <x v="22"/>
    <x v="203"/>
    <s v="A240154"/>
    <x v="3"/>
    <n v="25"/>
    <n v="6000"/>
    <m/>
    <x v="3"/>
  </r>
  <r>
    <x v="22"/>
    <x v="203"/>
    <s v="A240154"/>
    <x v="7"/>
    <n v="25"/>
    <n v="5500"/>
    <m/>
    <x v="3"/>
  </r>
  <r>
    <x v="22"/>
    <x v="204"/>
    <s v="A246686"/>
    <x v="12"/>
    <n v="20"/>
    <n v="4000"/>
    <m/>
    <x v="3"/>
  </r>
  <r>
    <x v="22"/>
    <x v="204"/>
    <s v="A246686"/>
    <x v="5"/>
    <n v="10"/>
    <n v="2000"/>
    <m/>
    <x v="3"/>
  </r>
  <r>
    <x v="22"/>
    <x v="204"/>
    <s v="A246686"/>
    <x v="7"/>
    <n v="25"/>
    <n v="5000"/>
    <m/>
    <x v="3"/>
  </r>
  <r>
    <x v="23"/>
    <x v="205"/>
    <s v="A268517"/>
    <x v="9"/>
    <n v="1"/>
    <n v="90"/>
    <m/>
    <x v="3"/>
  </r>
  <r>
    <x v="23"/>
    <x v="206"/>
    <s v="A243962"/>
    <x v="9"/>
    <n v="1"/>
    <n v="110"/>
    <m/>
    <x v="3"/>
  </r>
  <r>
    <x v="23"/>
    <x v="37"/>
    <s v="A295406"/>
    <x v="9"/>
    <n v="1.5"/>
    <n v="427.5"/>
    <m/>
    <x v="3"/>
  </r>
  <r>
    <x v="23"/>
    <x v="23"/>
    <m/>
    <x v="0"/>
    <n v="1"/>
    <n v="280"/>
    <n v="294"/>
    <x v="2"/>
  </r>
  <r>
    <x v="23"/>
    <x v="207"/>
    <m/>
    <x v="9"/>
    <n v="1"/>
    <n v="280"/>
    <m/>
    <x v="3"/>
  </r>
  <r>
    <x v="23"/>
    <x v="105"/>
    <s v="A261335"/>
    <x v="2"/>
    <n v="1"/>
    <n v="180"/>
    <n v="189"/>
    <x v="3"/>
  </r>
  <r>
    <x v="23"/>
    <x v="208"/>
    <s v="A277868"/>
    <x v="9"/>
    <n v="1"/>
    <n v="90"/>
    <m/>
    <x v="3"/>
  </r>
  <r>
    <x v="23"/>
    <x v="208"/>
    <s v="A277868"/>
    <x v="1"/>
    <n v="0.5"/>
    <n v="45"/>
    <n v="47.25"/>
    <x v="3"/>
  </r>
  <r>
    <x v="23"/>
    <x v="209"/>
    <s v="A281163"/>
    <x v="8"/>
    <n v="1"/>
    <n v="180"/>
    <m/>
    <x v="3"/>
  </r>
  <r>
    <x v="23"/>
    <x v="210"/>
    <m/>
    <x v="2"/>
    <n v="1"/>
    <n v="220"/>
    <n v="231"/>
    <x v="3"/>
  </r>
  <r>
    <x v="23"/>
    <x v="46"/>
    <s v="A234876"/>
    <x v="8"/>
    <n v="1"/>
    <n v="180"/>
    <m/>
    <x v="3"/>
  </r>
  <r>
    <x v="23"/>
    <x v="47"/>
    <s v="A283876"/>
    <x v="1"/>
    <n v="1"/>
    <n v="240"/>
    <n v="252"/>
    <x v="3"/>
  </r>
  <r>
    <x v="23"/>
    <x v="211"/>
    <s v="A273819"/>
    <x v="9"/>
    <n v="1"/>
    <n v="240"/>
    <m/>
    <x v="3"/>
  </r>
  <r>
    <x v="23"/>
    <x v="67"/>
    <s v="A405052"/>
    <x v="0"/>
    <n v="1"/>
    <n v="220"/>
    <n v="231"/>
    <x v="5"/>
  </r>
  <r>
    <x v="23"/>
    <x v="212"/>
    <s v="P05636"/>
    <x v="1"/>
    <n v="0.5"/>
    <n v="140"/>
    <n v="147"/>
    <x v="3"/>
  </r>
  <r>
    <x v="23"/>
    <x v="213"/>
    <s v="A272357"/>
    <x v="1"/>
    <n v="1"/>
    <n v="180"/>
    <n v="189"/>
    <x v="3"/>
  </r>
  <r>
    <x v="23"/>
    <x v="213"/>
    <s v="A272357"/>
    <x v="2"/>
    <n v="2"/>
    <n v="360"/>
    <n v="378"/>
    <x v="3"/>
  </r>
  <r>
    <x v="23"/>
    <x v="214"/>
    <s v="A265681"/>
    <x v="8"/>
    <n v="1"/>
    <n v="280"/>
    <m/>
    <x v="3"/>
  </r>
  <r>
    <x v="23"/>
    <x v="215"/>
    <m/>
    <x v="0"/>
    <n v="1"/>
    <n v="210"/>
    <n v="220.5"/>
    <x v="5"/>
  </r>
  <r>
    <x v="23"/>
    <x v="216"/>
    <s v="P21021"/>
    <x v="2"/>
    <n v="1"/>
    <n v="230"/>
    <n v="241.5"/>
    <x v="3"/>
  </r>
  <r>
    <x v="23"/>
    <x v="217"/>
    <s v="A405052"/>
    <x v="2"/>
    <n v="1"/>
    <n v="350"/>
    <n v="367.5"/>
    <x v="3"/>
  </r>
  <r>
    <x v="23"/>
    <x v="218"/>
    <m/>
    <x v="0"/>
    <n v="1"/>
    <n v="335"/>
    <n v="351.75"/>
    <x v="2"/>
  </r>
  <r>
    <x v="23"/>
    <x v="219"/>
    <s v="A271046"/>
    <x v="8"/>
    <n v="1"/>
    <n v="220"/>
    <m/>
    <x v="3"/>
  </r>
  <r>
    <x v="23"/>
    <x v="32"/>
    <s v="A295591"/>
    <x v="8"/>
    <n v="2"/>
    <n v="480"/>
    <m/>
    <x v="3"/>
  </r>
  <r>
    <x v="23"/>
    <x v="32"/>
    <s v="A295591"/>
    <x v="9"/>
    <n v="3"/>
    <n v="720"/>
    <m/>
    <x v="3"/>
  </r>
  <r>
    <x v="23"/>
    <x v="169"/>
    <s v="A286825"/>
    <x v="8"/>
    <n v="1"/>
    <n v="240"/>
    <m/>
    <x v="3"/>
  </r>
  <r>
    <x v="23"/>
    <x v="169"/>
    <s v="A286825"/>
    <x v="9"/>
    <n v="1"/>
    <n v="240"/>
    <m/>
    <x v="3"/>
  </r>
  <r>
    <x v="23"/>
    <x v="169"/>
    <s v="A286825"/>
    <x v="2"/>
    <n v="1"/>
    <n v="240"/>
    <n v="252"/>
    <x v="3"/>
  </r>
  <r>
    <x v="23"/>
    <x v="78"/>
    <s v="A234651"/>
    <x v="8"/>
    <n v="1"/>
    <n v="220"/>
    <m/>
    <x v="3"/>
  </r>
  <r>
    <x v="23"/>
    <x v="78"/>
    <s v="A234651"/>
    <x v="9"/>
    <n v="2"/>
    <n v="440"/>
    <m/>
    <x v="3"/>
  </r>
  <r>
    <x v="23"/>
    <x v="220"/>
    <m/>
    <x v="8"/>
    <n v="1"/>
    <n v="240"/>
    <m/>
    <x v="3"/>
  </r>
  <r>
    <x v="23"/>
    <x v="83"/>
    <s v="A243193"/>
    <x v="9"/>
    <n v="1"/>
    <n v="220"/>
    <m/>
    <x v="3"/>
  </r>
  <r>
    <x v="23"/>
    <x v="83"/>
    <s v="A243193"/>
    <x v="1"/>
    <n v="0.5"/>
    <n v="110"/>
    <n v="115.5"/>
    <x v="3"/>
  </r>
  <r>
    <x v="23"/>
    <x v="83"/>
    <s v="A243193"/>
    <x v="2"/>
    <n v="1"/>
    <n v="220"/>
    <n v="231"/>
    <x v="3"/>
  </r>
  <r>
    <x v="24"/>
    <x v="221"/>
    <s v="A231076"/>
    <x v="12"/>
    <n v="25"/>
    <n v="1500"/>
    <m/>
    <x v="3"/>
  </r>
  <r>
    <x v="25"/>
    <x v="222"/>
    <s v="G11102"/>
    <x v="10"/>
    <n v="5"/>
    <n v="783.776991150443"/>
    <m/>
    <x v="3"/>
  </r>
  <r>
    <x v="25"/>
    <x v="223"/>
    <s v="G20962"/>
    <x v="10"/>
    <n v="5"/>
    <n v="1430.3930088495599"/>
    <m/>
    <x v="3"/>
  </r>
  <r>
    <x v="26"/>
    <x v="224"/>
    <s v="A249084"/>
    <x v="6"/>
    <n v="10"/>
    <n v="1200"/>
    <m/>
    <x v="3"/>
  </r>
  <r>
    <x v="27"/>
    <x v="225"/>
    <s v="A422597"/>
    <x v="11"/>
    <n v="25"/>
    <n v="3192"/>
    <n v="3351.6"/>
    <x v="3"/>
  </r>
  <r>
    <x v="27"/>
    <x v="226"/>
    <s v="A422599"/>
    <x v="11"/>
    <n v="10"/>
    <n v="535.79999999999995"/>
    <n v="562.59"/>
    <x v="3"/>
  </r>
  <r>
    <x v="27"/>
    <x v="227"/>
    <s v="A422598"/>
    <x v="11"/>
    <n v="10"/>
    <n v="912"/>
    <n v="957.6"/>
    <x v="3"/>
  </r>
  <r>
    <x v="28"/>
    <x v="21"/>
    <s v="P08232"/>
    <x v="2"/>
    <n v="5"/>
    <n v="1000"/>
    <n v="1050"/>
    <x v="3"/>
  </r>
  <r>
    <x v="29"/>
    <x v="51"/>
    <s v="A298567"/>
    <x v="1"/>
    <n v="550"/>
    <n v="22000"/>
    <n v="23100"/>
    <x v="3"/>
  </r>
  <r>
    <x v="29"/>
    <x v="51"/>
    <s v="A298567"/>
    <x v="2"/>
    <n v="1400"/>
    <n v="56000"/>
    <n v="58800"/>
    <x v="3"/>
  </r>
  <r>
    <x v="30"/>
    <x v="141"/>
    <s v="A249778"/>
    <x v="2"/>
    <n v="25"/>
    <n v="1675"/>
    <n v="1758.75"/>
    <x v="3"/>
  </r>
  <r>
    <x v="31"/>
    <x v="228"/>
    <s v="A306319"/>
    <x v="8"/>
    <n v="25"/>
    <n v="2125"/>
    <m/>
    <x v="3"/>
  </r>
  <r>
    <x v="32"/>
    <x v="229"/>
    <s v="A241469"/>
    <x v="0"/>
    <n v="18"/>
    <n v="1556"/>
    <n v="1633.8"/>
    <x v="6"/>
  </r>
  <r>
    <x v="32"/>
    <x v="230"/>
    <m/>
    <x v="0"/>
    <n v="25"/>
    <n v="1175"/>
    <n v="1233.75"/>
    <x v="7"/>
  </r>
  <r>
    <x v="33"/>
    <x v="185"/>
    <s v="A415892"/>
    <x v="11"/>
    <n v="25"/>
    <n v="2125"/>
    <n v="2231.25"/>
    <x v="2"/>
  </r>
  <r>
    <x v="33"/>
    <x v="185"/>
    <s v="A415892"/>
    <x v="0"/>
    <n v="35"/>
    <n v="2975"/>
    <n v="3123.75"/>
    <x v="2"/>
  </r>
  <r>
    <x v="33"/>
    <x v="231"/>
    <s v="A410391"/>
    <x v="0"/>
    <n v="5"/>
    <n v="300"/>
    <n v="315"/>
    <x v="8"/>
  </r>
  <r>
    <x v="33"/>
    <x v="228"/>
    <s v="A306319"/>
    <x v="0"/>
    <n v="10"/>
    <n v="700"/>
    <n v="735"/>
    <x v="2"/>
  </r>
  <r>
    <x v="33"/>
    <x v="123"/>
    <m/>
    <x v="11"/>
    <n v="2"/>
    <n v="170"/>
    <n v="178.5"/>
    <x v="3"/>
  </r>
  <r>
    <x v="33"/>
    <x v="10"/>
    <m/>
    <x v="11"/>
    <n v="10"/>
    <n v="820"/>
    <n v="861"/>
    <x v="3"/>
  </r>
  <r>
    <x v="34"/>
    <x v="88"/>
    <s v="A272785"/>
    <x v="4"/>
    <n v="25"/>
    <n v="2125"/>
    <m/>
    <x v="3"/>
  </r>
  <r>
    <x v="34"/>
    <x v="88"/>
    <s v="A272785"/>
    <x v="8"/>
    <n v="25"/>
    <n v="2125"/>
    <m/>
    <x v="3"/>
  </r>
  <r>
    <x v="34"/>
    <x v="88"/>
    <s v="A272785"/>
    <x v="9"/>
    <n v="50"/>
    <n v="4250"/>
    <m/>
    <x v="3"/>
  </r>
  <r>
    <x v="34"/>
    <x v="88"/>
    <s v="A272785"/>
    <x v="1"/>
    <n v="25"/>
    <n v="2125"/>
    <n v="2231.25"/>
    <x v="3"/>
  </r>
  <r>
    <x v="34"/>
    <x v="88"/>
    <s v="A272785"/>
    <x v="2"/>
    <n v="50"/>
    <n v="4250"/>
    <n v="4462.5"/>
    <x v="3"/>
  </r>
  <r>
    <x v="34"/>
    <x v="232"/>
    <s v="A415790"/>
    <x v="2"/>
    <n v="50"/>
    <n v="4250"/>
    <n v="4462.5"/>
    <x v="1"/>
  </r>
  <r>
    <x v="34"/>
    <x v="232"/>
    <s v="A415790"/>
    <x v="11"/>
    <n v="50"/>
    <n v="4250"/>
    <n v="4462.5"/>
    <x v="1"/>
  </r>
  <r>
    <x v="34"/>
    <x v="232"/>
    <s v="A415790"/>
    <x v="0"/>
    <n v="50"/>
    <n v="4250"/>
    <n v="4462.5"/>
    <x v="1"/>
  </r>
  <r>
    <x v="34"/>
    <x v="2"/>
    <s v="A295987"/>
    <x v="10"/>
    <n v="50"/>
    <n v="5375"/>
    <m/>
    <x v="3"/>
  </r>
  <r>
    <x v="34"/>
    <x v="2"/>
    <s v="A295987"/>
    <x v="8"/>
    <n v="175"/>
    <n v="18375"/>
    <m/>
    <x v="3"/>
  </r>
  <r>
    <x v="34"/>
    <x v="2"/>
    <s v="A295987"/>
    <x v="9"/>
    <n v="75"/>
    <n v="7875"/>
    <m/>
    <x v="3"/>
  </r>
  <r>
    <x v="34"/>
    <x v="233"/>
    <m/>
    <x v="1"/>
    <n v="206"/>
    <n v="13390"/>
    <n v="14059.5"/>
    <x v="3"/>
  </r>
  <r>
    <x v="34"/>
    <x v="233"/>
    <m/>
    <x v="2"/>
    <n v="126"/>
    <n v="8190"/>
    <n v="8599.5"/>
    <x v="3"/>
  </r>
  <r>
    <x v="34"/>
    <x v="233"/>
    <m/>
    <x v="11"/>
    <n v="51"/>
    <n v="3315"/>
    <n v="3480.75"/>
    <x v="3"/>
  </r>
  <r>
    <x v="34"/>
    <x v="234"/>
    <s v="A305995"/>
    <x v="7"/>
    <n v="25"/>
    <n v="2250"/>
    <m/>
    <x v="3"/>
  </r>
  <r>
    <x v="34"/>
    <x v="235"/>
    <s v="R221571"/>
    <x v="5"/>
    <n v="25"/>
    <n v="1175"/>
    <m/>
    <x v="3"/>
  </r>
  <r>
    <x v="34"/>
    <x v="236"/>
    <m/>
    <x v="10"/>
    <n v="20"/>
    <n v="1400"/>
    <m/>
    <x v="3"/>
  </r>
  <r>
    <x v="34"/>
    <x v="236"/>
    <m/>
    <x v="8"/>
    <n v="20"/>
    <n v="1400"/>
    <m/>
    <x v="3"/>
  </r>
  <r>
    <x v="34"/>
    <x v="237"/>
    <s v="A252350"/>
    <x v="4"/>
    <n v="25"/>
    <n v="2000"/>
    <m/>
    <x v="3"/>
  </r>
  <r>
    <x v="34"/>
    <x v="238"/>
    <m/>
    <x v="9"/>
    <n v="17"/>
    <n v="1105"/>
    <m/>
    <x v="3"/>
  </r>
  <r>
    <x v="34"/>
    <x v="238"/>
    <m/>
    <x v="1"/>
    <n v="51"/>
    <n v="3315"/>
    <n v="3480.75"/>
    <x v="3"/>
  </r>
  <r>
    <x v="34"/>
    <x v="6"/>
    <s v="A270578"/>
    <x v="5"/>
    <n v="75"/>
    <n v="5625"/>
    <m/>
    <x v="3"/>
  </r>
  <r>
    <x v="34"/>
    <x v="239"/>
    <s v="A281165"/>
    <x v="9"/>
    <n v="50"/>
    <n v="3250"/>
    <m/>
    <x v="3"/>
  </r>
  <r>
    <x v="34"/>
    <x v="93"/>
    <s v="A231708"/>
    <x v="4"/>
    <n v="25"/>
    <n v="975"/>
    <m/>
    <x v="3"/>
  </r>
  <r>
    <x v="34"/>
    <x v="156"/>
    <s v="A231705"/>
    <x v="4"/>
    <n v="30"/>
    <n v="1740"/>
    <m/>
    <x v="3"/>
  </r>
  <r>
    <x v="34"/>
    <x v="156"/>
    <s v="A231705"/>
    <x v="6"/>
    <n v="25"/>
    <n v="1575"/>
    <m/>
    <x v="3"/>
  </r>
  <r>
    <x v="34"/>
    <x v="156"/>
    <s v="A231705"/>
    <x v="1"/>
    <n v="25"/>
    <n v="1725"/>
    <n v="1811.25"/>
    <x v="3"/>
  </r>
  <r>
    <x v="34"/>
    <x v="3"/>
    <s v="A232126"/>
    <x v="4"/>
    <n v="50"/>
    <n v="4500"/>
    <m/>
    <x v="1"/>
  </r>
  <r>
    <x v="34"/>
    <x v="3"/>
    <s v="A232126"/>
    <x v="5"/>
    <n v="200"/>
    <n v="18100"/>
    <m/>
    <x v="1"/>
  </r>
  <r>
    <x v="34"/>
    <x v="3"/>
    <s v="A232126"/>
    <x v="6"/>
    <n v="235"/>
    <n v="21515"/>
    <m/>
    <x v="1"/>
  </r>
  <r>
    <x v="34"/>
    <x v="3"/>
    <s v="A232126"/>
    <x v="7"/>
    <n v="420"/>
    <n v="39900"/>
    <m/>
    <x v="1"/>
  </r>
  <r>
    <x v="34"/>
    <x v="3"/>
    <s v="A232126"/>
    <x v="10"/>
    <n v="450"/>
    <n v="45125"/>
    <m/>
    <x v="1"/>
  </r>
  <r>
    <x v="34"/>
    <x v="3"/>
    <s v="A232126"/>
    <x v="8"/>
    <n v="725"/>
    <n v="68025"/>
    <m/>
    <x v="1"/>
  </r>
  <r>
    <x v="34"/>
    <x v="3"/>
    <s v="A232126"/>
    <x v="9"/>
    <n v="1195"/>
    <n v="109610"/>
    <m/>
    <x v="1"/>
  </r>
  <r>
    <x v="34"/>
    <x v="3"/>
    <s v="A232126"/>
    <x v="1"/>
    <n v="1075"/>
    <n v="111375"/>
    <n v="116943.75"/>
    <x v="1"/>
  </r>
  <r>
    <x v="34"/>
    <x v="3"/>
    <s v="A232126"/>
    <x v="2"/>
    <n v="1250"/>
    <n v="130750"/>
    <n v="137287.5"/>
    <x v="1"/>
  </r>
  <r>
    <x v="34"/>
    <x v="3"/>
    <s v="A232126"/>
    <x v="11"/>
    <n v="1100"/>
    <n v="115500"/>
    <n v="121275"/>
    <x v="1"/>
  </r>
  <r>
    <x v="34"/>
    <x v="3"/>
    <s v="A331329"/>
    <x v="11"/>
    <n v="100"/>
    <n v="10500"/>
    <n v="11025"/>
    <x v="9"/>
  </r>
  <r>
    <x v="34"/>
    <x v="3"/>
    <s v="A232126"/>
    <x v="0"/>
    <n v="50"/>
    <n v="5150"/>
    <n v="5407.5"/>
    <x v="1"/>
  </r>
  <r>
    <x v="34"/>
    <x v="3"/>
    <s v="A331329"/>
    <x v="0"/>
    <n v="225"/>
    <n v="23175"/>
    <n v="24333.75"/>
    <x v="9"/>
  </r>
  <r>
    <x v="34"/>
    <x v="240"/>
    <s v="A230048"/>
    <x v="4"/>
    <n v="25"/>
    <n v="1875"/>
    <m/>
    <x v="3"/>
  </r>
  <r>
    <x v="34"/>
    <x v="240"/>
    <s v="A230048"/>
    <x v="6"/>
    <n v="25"/>
    <m/>
    <m/>
    <x v="3"/>
  </r>
  <r>
    <x v="34"/>
    <x v="16"/>
    <s v="A241225"/>
    <x v="4"/>
    <n v="150"/>
    <n v="7125"/>
    <m/>
    <x v="3"/>
  </r>
  <r>
    <x v="34"/>
    <x v="16"/>
    <s v="A241225"/>
    <x v="5"/>
    <n v="400"/>
    <n v="20000"/>
    <m/>
    <x v="3"/>
  </r>
  <r>
    <x v="34"/>
    <x v="16"/>
    <s v="A241225"/>
    <x v="6"/>
    <n v="300"/>
    <n v="15000"/>
    <m/>
    <x v="3"/>
  </r>
  <r>
    <x v="34"/>
    <x v="16"/>
    <s v="A241225"/>
    <x v="7"/>
    <n v="125"/>
    <n v="6250"/>
    <m/>
    <x v="3"/>
  </r>
  <r>
    <x v="34"/>
    <x v="16"/>
    <s v="A241225"/>
    <x v="10"/>
    <n v="100"/>
    <n v="5000"/>
    <m/>
    <x v="3"/>
  </r>
  <r>
    <x v="34"/>
    <x v="16"/>
    <s v="A241225"/>
    <x v="8"/>
    <n v="200"/>
    <n v="10000"/>
    <m/>
    <x v="3"/>
  </r>
  <r>
    <x v="34"/>
    <x v="16"/>
    <s v="A241225"/>
    <x v="9"/>
    <n v="225"/>
    <n v="11250"/>
    <m/>
    <x v="3"/>
  </r>
  <r>
    <x v="34"/>
    <x v="16"/>
    <s v="A241225"/>
    <x v="1"/>
    <n v="125"/>
    <n v="6250"/>
    <n v="6562.5"/>
    <x v="3"/>
  </r>
  <r>
    <x v="34"/>
    <x v="16"/>
    <s v="A241225"/>
    <x v="2"/>
    <n v="25"/>
    <n v="1250"/>
    <n v="1312.5"/>
    <x v="3"/>
  </r>
  <r>
    <x v="34"/>
    <x v="241"/>
    <s v="A401495"/>
    <x v="1"/>
    <n v="100"/>
    <n v="6250"/>
    <n v="6562.5"/>
    <x v="1"/>
  </r>
  <r>
    <x v="34"/>
    <x v="241"/>
    <s v="A401495"/>
    <x v="2"/>
    <n v="275"/>
    <n v="13750"/>
    <n v="14437.5"/>
    <x v="1"/>
  </r>
  <r>
    <x v="34"/>
    <x v="241"/>
    <s v="A401495"/>
    <x v="11"/>
    <n v="325"/>
    <n v="16250"/>
    <n v="17062.5"/>
    <x v="1"/>
  </r>
  <r>
    <x v="34"/>
    <x v="241"/>
    <s v="A401495"/>
    <x v="0"/>
    <n v="175"/>
    <n v="8750"/>
    <n v="9187.5"/>
    <x v="1"/>
  </r>
  <r>
    <x v="34"/>
    <x v="241"/>
    <s v="A410390"/>
    <x v="0"/>
    <n v="50"/>
    <n v="2500"/>
    <n v="2625"/>
    <x v="10"/>
  </r>
  <r>
    <x v="34"/>
    <x v="51"/>
    <s v="A298567"/>
    <x v="1"/>
    <n v="25"/>
    <n v="1250"/>
    <n v="1312.5"/>
    <x v="5"/>
  </r>
  <r>
    <x v="34"/>
    <x v="51"/>
    <s v="A298567"/>
    <x v="2"/>
    <n v="175"/>
    <n v="8750"/>
    <n v="9187.5"/>
    <x v="5"/>
  </r>
  <r>
    <x v="34"/>
    <x v="51"/>
    <s v="A298567"/>
    <x v="11"/>
    <n v="600"/>
    <n v="30000"/>
    <n v="31500"/>
    <x v="5"/>
  </r>
  <r>
    <x v="34"/>
    <x v="51"/>
    <s v="A298567"/>
    <x v="0"/>
    <n v="225"/>
    <n v="11250"/>
    <n v="11812.5"/>
    <x v="5"/>
  </r>
  <r>
    <x v="34"/>
    <x v="242"/>
    <s v="A287749"/>
    <x v="10"/>
    <n v="10"/>
    <n v="740"/>
    <m/>
    <x v="3"/>
  </r>
  <r>
    <x v="34"/>
    <x v="242"/>
    <s v="A287749"/>
    <x v="8"/>
    <n v="75"/>
    <n v="5550"/>
    <m/>
    <x v="3"/>
  </r>
  <r>
    <x v="34"/>
    <x v="30"/>
    <s v="A233444"/>
    <x v="6"/>
    <n v="25"/>
    <n v="1875"/>
    <m/>
    <x v="3"/>
  </r>
  <r>
    <x v="34"/>
    <x v="30"/>
    <s v="A233444"/>
    <x v="7"/>
    <n v="50"/>
    <n v="3750"/>
    <m/>
    <x v="3"/>
  </r>
  <r>
    <x v="34"/>
    <x v="243"/>
    <s v="A235758"/>
    <x v="4"/>
    <n v="25"/>
    <n v="1125"/>
    <m/>
    <x v="3"/>
  </r>
  <r>
    <x v="34"/>
    <x v="166"/>
    <s v="A231706"/>
    <x v="4"/>
    <n v="50"/>
    <n v="3250"/>
    <m/>
    <x v="3"/>
  </r>
  <r>
    <x v="34"/>
    <x v="166"/>
    <s v="A233185"/>
    <x v="4"/>
    <n v="135"/>
    <n v="7830"/>
    <m/>
    <x v="3"/>
  </r>
  <r>
    <x v="34"/>
    <x v="166"/>
    <s v="A231706"/>
    <x v="5"/>
    <n v="100"/>
    <n v="6500"/>
    <m/>
    <x v="3"/>
  </r>
  <r>
    <x v="34"/>
    <x v="166"/>
    <s v="A233185"/>
    <x v="5"/>
    <n v="400"/>
    <n v="25300"/>
    <m/>
    <x v="3"/>
  </r>
  <r>
    <x v="34"/>
    <x v="166"/>
    <s v="A231706"/>
    <x v="6"/>
    <n v="75"/>
    <n v="4875"/>
    <m/>
    <x v="3"/>
  </r>
  <r>
    <x v="34"/>
    <x v="166"/>
    <s v="A233185"/>
    <x v="6"/>
    <n v="275"/>
    <n v="17875"/>
    <m/>
    <x v="3"/>
  </r>
  <r>
    <x v="34"/>
    <x v="166"/>
    <s v="A231706"/>
    <x v="7"/>
    <n v="50"/>
    <n v="3250"/>
    <m/>
    <x v="3"/>
  </r>
  <r>
    <x v="34"/>
    <x v="166"/>
    <s v="A233185"/>
    <x v="7"/>
    <n v="125"/>
    <n v="8125"/>
    <m/>
    <x v="3"/>
  </r>
  <r>
    <x v="34"/>
    <x v="166"/>
    <s v="A233185"/>
    <x v="10"/>
    <n v="275"/>
    <n v="17875"/>
    <m/>
    <x v="3"/>
  </r>
  <r>
    <x v="34"/>
    <x v="166"/>
    <s v="A233185"/>
    <x v="8"/>
    <n v="350"/>
    <n v="22750"/>
    <m/>
    <x v="3"/>
  </r>
  <r>
    <x v="34"/>
    <x v="166"/>
    <s v="A233185"/>
    <x v="9"/>
    <n v="400"/>
    <n v="26000"/>
    <m/>
    <x v="3"/>
  </r>
  <r>
    <x v="34"/>
    <x v="166"/>
    <s v="A233185"/>
    <x v="1"/>
    <n v="200"/>
    <n v="15425"/>
    <n v="16196.25"/>
    <x v="3"/>
  </r>
  <r>
    <x v="34"/>
    <x v="166"/>
    <s v="A233185"/>
    <x v="2"/>
    <n v="25"/>
    <n v="1725"/>
    <n v="1811.25"/>
    <x v="3"/>
  </r>
  <r>
    <x v="34"/>
    <x v="244"/>
    <s v="A402012"/>
    <x v="1"/>
    <n v="75"/>
    <n v="5175"/>
    <n v="5433.75"/>
    <x v="3"/>
  </r>
  <r>
    <x v="34"/>
    <x v="244"/>
    <s v="A402012"/>
    <x v="2"/>
    <n v="60"/>
    <n v="4140"/>
    <n v="4347"/>
    <x v="3"/>
  </r>
  <r>
    <x v="34"/>
    <x v="244"/>
    <s v="A415792"/>
    <x v="2"/>
    <n v="50"/>
    <n v="3450"/>
    <n v="3622.5"/>
    <x v="1"/>
  </r>
  <r>
    <x v="34"/>
    <x v="244"/>
    <s v="A415792"/>
    <x v="11"/>
    <n v="200"/>
    <n v="13800"/>
    <n v="14490"/>
    <x v="1"/>
  </r>
  <r>
    <x v="34"/>
    <x v="244"/>
    <s v="A415792"/>
    <x v="0"/>
    <n v="75"/>
    <n v="5175"/>
    <n v="5433.75"/>
    <x v="1"/>
  </r>
  <r>
    <x v="34"/>
    <x v="245"/>
    <s v="A282313"/>
    <x v="5"/>
    <n v="75"/>
    <n v="5400"/>
    <m/>
    <x v="1"/>
  </r>
  <r>
    <x v="34"/>
    <x v="245"/>
    <s v="A282313"/>
    <x v="7"/>
    <n v="75"/>
    <n v="5400"/>
    <m/>
    <x v="1"/>
  </r>
  <r>
    <x v="34"/>
    <x v="245"/>
    <s v="A282313"/>
    <x v="10"/>
    <n v="125"/>
    <n v="9000"/>
    <m/>
    <x v="1"/>
  </r>
  <r>
    <x v="34"/>
    <x v="245"/>
    <s v="A282313"/>
    <x v="8"/>
    <n v="150"/>
    <n v="10800"/>
    <m/>
    <x v="1"/>
  </r>
  <r>
    <x v="34"/>
    <x v="245"/>
    <s v="A282313"/>
    <x v="9"/>
    <n v="150"/>
    <n v="10800"/>
    <m/>
    <x v="1"/>
  </r>
  <r>
    <x v="34"/>
    <x v="245"/>
    <s v="A282313"/>
    <x v="1"/>
    <n v="75"/>
    <n v="5400"/>
    <n v="5670"/>
    <x v="1"/>
  </r>
  <r>
    <x v="34"/>
    <x v="245"/>
    <s v="A282313"/>
    <x v="2"/>
    <n v="185"/>
    <n v="13320"/>
    <n v="13986"/>
    <x v="1"/>
  </r>
  <r>
    <x v="34"/>
    <x v="245"/>
    <s v="A282313"/>
    <x v="11"/>
    <n v="268"/>
    <n v="19296"/>
    <n v="20260.8"/>
    <x v="1"/>
  </r>
  <r>
    <x v="34"/>
    <x v="245"/>
    <s v="A282313"/>
    <x v="0"/>
    <n v="125"/>
    <n v="9000"/>
    <n v="9450"/>
    <x v="1"/>
  </r>
  <r>
    <x v="34"/>
    <x v="246"/>
    <s v="A287524"/>
    <x v="5"/>
    <n v="25"/>
    <n v="1950"/>
    <m/>
    <x v="3"/>
  </r>
  <r>
    <x v="34"/>
    <x v="19"/>
    <s v="A233442"/>
    <x v="4"/>
    <n v="25"/>
    <n v="1700"/>
    <m/>
    <x v="3"/>
  </r>
  <r>
    <x v="34"/>
    <x v="19"/>
    <s v="A233442"/>
    <x v="6"/>
    <n v="25"/>
    <n v="1700"/>
    <m/>
    <x v="3"/>
  </r>
  <r>
    <x v="34"/>
    <x v="19"/>
    <s v="A233442"/>
    <x v="10"/>
    <n v="50"/>
    <n v="3250"/>
    <m/>
    <x v="3"/>
  </r>
  <r>
    <x v="34"/>
    <x v="19"/>
    <s v="A233442"/>
    <x v="1"/>
    <n v="50"/>
    <n v="3250"/>
    <n v="3412.5"/>
    <x v="3"/>
  </r>
  <r>
    <x v="34"/>
    <x v="19"/>
    <s v="A233442"/>
    <x v="2"/>
    <n v="25"/>
    <n v="1625"/>
    <n v="1706.25"/>
    <x v="3"/>
  </r>
  <r>
    <x v="34"/>
    <x v="247"/>
    <s v="A402013"/>
    <x v="11"/>
    <n v="52"/>
    <n v="3250"/>
    <n v="3412.5"/>
    <x v="3"/>
  </r>
  <r>
    <x v="34"/>
    <x v="248"/>
    <s v="A264618"/>
    <x v="5"/>
    <n v="75"/>
    <n v="5100"/>
    <m/>
    <x v="3"/>
  </r>
  <r>
    <x v="34"/>
    <x v="248"/>
    <s v="A264618"/>
    <x v="6"/>
    <n v="75"/>
    <n v="5100"/>
    <m/>
    <x v="3"/>
  </r>
  <r>
    <x v="34"/>
    <x v="249"/>
    <s v="A285375"/>
    <x v="5"/>
    <n v="25"/>
    <n v="2375"/>
    <m/>
    <x v="3"/>
  </r>
  <r>
    <x v="34"/>
    <x v="249"/>
    <s v="A285375"/>
    <x v="6"/>
    <n v="25"/>
    <n v="2375"/>
    <m/>
    <x v="3"/>
  </r>
  <r>
    <x v="34"/>
    <x v="14"/>
    <m/>
    <x v="9"/>
    <n v="17"/>
    <n v="1105"/>
    <m/>
    <x v="3"/>
  </r>
  <r>
    <x v="34"/>
    <x v="14"/>
    <m/>
    <x v="1"/>
    <n v="206"/>
    <n v="13390"/>
    <n v="14059.5"/>
    <x v="3"/>
  </r>
  <r>
    <x v="34"/>
    <x v="14"/>
    <m/>
    <x v="2"/>
    <n v="126"/>
    <n v="8190"/>
    <n v="8599.5"/>
    <x v="3"/>
  </r>
  <r>
    <x v="34"/>
    <x v="14"/>
    <m/>
    <x v="11"/>
    <n v="41"/>
    <n v="2665"/>
    <n v="2798.25"/>
    <x v="3"/>
  </r>
  <r>
    <x v="34"/>
    <x v="1"/>
    <s v="A231710"/>
    <x v="8"/>
    <n v="50"/>
    <n v="3900"/>
    <m/>
    <x v="3"/>
  </r>
  <r>
    <x v="34"/>
    <x v="1"/>
    <s v="A231710"/>
    <x v="1"/>
    <n v="25"/>
    <n v="1950"/>
    <n v="2047.5"/>
    <x v="3"/>
  </r>
  <r>
    <x v="34"/>
    <x v="1"/>
    <s v="A231710"/>
    <x v="11"/>
    <n v="50"/>
    <n v="3900"/>
    <n v="4095"/>
    <x v="3"/>
  </r>
  <r>
    <x v="35"/>
    <x v="250"/>
    <s v="A241557"/>
    <x v="1"/>
    <n v="25"/>
    <n v="2625"/>
    <n v="2756.25"/>
    <x v="3"/>
  </r>
  <r>
    <x v="35"/>
    <x v="141"/>
    <s v="A249778"/>
    <x v="1"/>
    <n v="25"/>
    <n v="1875"/>
    <n v="1968.75"/>
    <x v="3"/>
  </r>
  <r>
    <x v="35"/>
    <x v="141"/>
    <s v="A249778"/>
    <x v="11"/>
    <n v="25"/>
    <n v="1750"/>
    <n v="1837.5"/>
    <x v="3"/>
  </r>
  <r>
    <x v="35"/>
    <x v="51"/>
    <s v="A298567"/>
    <x v="1"/>
    <n v="50"/>
    <n v="3000"/>
    <n v="3150"/>
    <x v="3"/>
  </r>
  <r>
    <x v="35"/>
    <x v="251"/>
    <m/>
    <x v="1"/>
    <n v="50"/>
    <n v="1250"/>
    <n v="1312.5"/>
    <x v="3"/>
  </r>
  <r>
    <x v="35"/>
    <x v="166"/>
    <s v="A231706"/>
    <x v="1"/>
    <n v="25"/>
    <n v="1875"/>
    <n v="1968.75"/>
    <x v="3"/>
  </r>
  <r>
    <x v="36"/>
    <x v="156"/>
    <s v="A231705"/>
    <x v="2"/>
    <n v="1"/>
    <n v="80"/>
    <n v="80"/>
    <x v="3"/>
  </r>
  <r>
    <x v="37"/>
    <x v="3"/>
    <s v="A331329"/>
    <x v="0"/>
    <n v="5"/>
    <n v="300"/>
    <n v="315"/>
    <x v="11"/>
  </r>
  <r>
    <x v="37"/>
    <x v="252"/>
    <s v="A408098"/>
    <x v="0"/>
    <n v="5"/>
    <n v="340"/>
    <n v="357"/>
    <x v="11"/>
  </r>
  <r>
    <x v="37"/>
    <x v="253"/>
    <s v="A249315"/>
    <x v="0"/>
    <n v="5"/>
    <n v="360"/>
    <n v="378"/>
    <x v="11"/>
  </r>
  <r>
    <x v="38"/>
    <x v="221"/>
    <s v="A231706"/>
    <x v="7"/>
    <n v="24"/>
    <n v="1920"/>
    <m/>
    <x v="3"/>
  </r>
  <r>
    <x v="39"/>
    <x v="6"/>
    <s v="A270578"/>
    <x v="1"/>
    <n v="25"/>
    <n v="1250"/>
    <n v="1312.5"/>
    <x v="3"/>
  </r>
  <r>
    <x v="39"/>
    <x v="6"/>
    <s v="A270578"/>
    <x v="11"/>
    <n v="10"/>
    <n v="650"/>
    <n v="682.5"/>
    <x v="3"/>
  </r>
  <r>
    <x v="39"/>
    <x v="8"/>
    <m/>
    <x v="1"/>
    <n v="13"/>
    <n v="6500"/>
    <n v="6825"/>
    <x v="3"/>
  </r>
  <r>
    <x v="39"/>
    <x v="10"/>
    <m/>
    <x v="2"/>
    <n v="5"/>
    <n v="325"/>
    <n v="341.25"/>
    <x v="3"/>
  </r>
  <r>
    <x v="39"/>
    <x v="247"/>
    <s v="A402013"/>
    <x v="11"/>
    <n v="10"/>
    <n v="650"/>
    <n v="682.5"/>
    <x v="3"/>
  </r>
  <r>
    <x v="40"/>
    <x v="21"/>
    <s v="P08232"/>
    <x v="2"/>
    <n v="1"/>
    <n v="130"/>
    <n v="136.5"/>
    <x v="3"/>
  </r>
  <r>
    <x v="40"/>
    <x v="21"/>
    <s v="P08232"/>
    <x v="11"/>
    <n v="1"/>
    <n v="200"/>
    <n v="210"/>
    <x v="3"/>
  </r>
  <r>
    <x v="40"/>
    <x v="254"/>
    <m/>
    <x v="2"/>
    <n v="0.5"/>
    <n v="135"/>
    <n v="141.75"/>
    <x v="3"/>
  </r>
  <r>
    <x v="40"/>
    <x v="254"/>
    <m/>
    <x v="11"/>
    <n v="1"/>
    <n v="260"/>
    <n v="273"/>
    <x v="3"/>
  </r>
  <r>
    <x v="40"/>
    <x v="144"/>
    <s v="A256430"/>
    <x v="9"/>
    <n v="1"/>
    <n v="230"/>
    <m/>
    <x v="3"/>
  </r>
  <r>
    <x v="40"/>
    <x v="144"/>
    <s v="A256430"/>
    <x v="1"/>
    <n v="0.5"/>
    <n v="115"/>
    <n v="120.75"/>
    <x v="3"/>
  </r>
  <r>
    <x v="40"/>
    <x v="206"/>
    <s v="A243962"/>
    <x v="1"/>
    <n v="0.5"/>
    <n v="100"/>
    <n v="105"/>
    <x v="3"/>
  </r>
  <r>
    <x v="40"/>
    <x v="39"/>
    <s v="A322649"/>
    <x v="2"/>
    <n v="1"/>
    <n v="120"/>
    <n v="126"/>
    <x v="2"/>
  </r>
  <r>
    <x v="40"/>
    <x v="39"/>
    <s v="A322649"/>
    <x v="11"/>
    <n v="1"/>
    <n v="120"/>
    <n v="126"/>
    <x v="2"/>
  </r>
  <r>
    <x v="40"/>
    <x v="39"/>
    <s v="A322649"/>
    <x v="0"/>
    <n v="0.5"/>
    <n v="110"/>
    <n v="115.5"/>
    <x v="2"/>
  </r>
  <r>
    <x v="40"/>
    <x v="2"/>
    <s v="A295987"/>
    <x v="0"/>
    <n v="1"/>
    <n v="120"/>
    <n v="126"/>
    <x v="2"/>
  </r>
  <r>
    <x v="40"/>
    <x v="255"/>
    <s v="A245809"/>
    <x v="2"/>
    <n v="0.5"/>
    <n v="95"/>
    <n v="99.75"/>
    <x v="3"/>
  </r>
  <r>
    <x v="40"/>
    <x v="255"/>
    <s v="A245809"/>
    <x v="11"/>
    <n v="1"/>
    <n v="180"/>
    <n v="189"/>
    <x v="3"/>
  </r>
  <r>
    <x v="40"/>
    <x v="256"/>
    <s v="A407971"/>
    <x v="0"/>
    <n v="1"/>
    <n v="210"/>
    <n v="220.5"/>
    <x v="5"/>
  </r>
  <r>
    <x v="40"/>
    <x v="257"/>
    <m/>
    <x v="0"/>
    <n v="0.5"/>
    <n v="140"/>
    <n v="147"/>
    <x v="12"/>
  </r>
  <r>
    <x v="40"/>
    <x v="258"/>
    <s v="A352612"/>
    <x v="2"/>
    <n v="1"/>
    <n v="200"/>
    <n v="210"/>
    <x v="3"/>
  </r>
  <r>
    <x v="40"/>
    <x v="258"/>
    <s v="A352612"/>
    <x v="11"/>
    <n v="1"/>
    <n v="100"/>
    <n v="105"/>
    <x v="3"/>
  </r>
  <r>
    <x v="40"/>
    <x v="191"/>
    <s v="A238385"/>
    <x v="2"/>
    <n v="3.5"/>
    <n v="700"/>
    <n v="735"/>
    <x v="2"/>
  </r>
  <r>
    <x v="40"/>
    <x v="191"/>
    <s v="A238385"/>
    <x v="11"/>
    <n v="2"/>
    <n v="380"/>
    <n v="399"/>
    <x v="2"/>
  </r>
  <r>
    <x v="40"/>
    <x v="191"/>
    <s v="A238385"/>
    <x v="0"/>
    <n v="1"/>
    <n v="180"/>
    <n v="189"/>
    <x v="2"/>
  </r>
  <r>
    <x v="40"/>
    <x v="259"/>
    <m/>
    <x v="2"/>
    <n v="0.5"/>
    <n v="130"/>
    <n v="136.5"/>
    <x v="13"/>
  </r>
  <r>
    <x v="40"/>
    <x v="259"/>
    <m/>
    <x v="0"/>
    <n v="1"/>
    <n v="175"/>
    <n v="183.75"/>
    <x v="13"/>
  </r>
  <r>
    <x v="40"/>
    <x v="260"/>
    <s v="A305591"/>
    <x v="2"/>
    <n v="1"/>
    <n v="100"/>
    <n v="105"/>
    <x v="2"/>
  </r>
  <r>
    <x v="40"/>
    <x v="260"/>
    <s v="A305591"/>
    <x v="0"/>
    <n v="0.5"/>
    <n v="100"/>
    <n v="105"/>
    <x v="2"/>
  </r>
  <r>
    <x v="40"/>
    <x v="261"/>
    <m/>
    <x v="0"/>
    <n v="1"/>
    <n v="275"/>
    <n v="288.75"/>
    <x v="2"/>
  </r>
  <r>
    <x v="40"/>
    <x v="50"/>
    <s v="A329793"/>
    <x v="9"/>
    <n v="1"/>
    <n v="230"/>
    <m/>
    <x v="3"/>
  </r>
  <r>
    <x v="40"/>
    <x v="56"/>
    <m/>
    <x v="0"/>
    <n v="0.5"/>
    <n v="95"/>
    <n v="99.75"/>
    <x v="2"/>
  </r>
  <r>
    <x v="40"/>
    <x v="29"/>
    <s v="A415886"/>
    <x v="0"/>
    <n v="0.5"/>
    <n v="110"/>
    <n v="115.5"/>
    <x v="2"/>
  </r>
  <r>
    <x v="40"/>
    <x v="60"/>
    <m/>
    <x v="1"/>
    <n v="0.5"/>
    <n v="175"/>
    <n v="183.75"/>
    <x v="3"/>
  </r>
  <r>
    <x v="40"/>
    <x v="60"/>
    <m/>
    <x v="2"/>
    <n v="1.5"/>
    <n v="262.5"/>
    <n v="275.625"/>
    <x v="3"/>
  </r>
  <r>
    <x v="40"/>
    <x v="262"/>
    <s v="P08976"/>
    <x v="11"/>
    <n v="1"/>
    <n v="230"/>
    <n v="241.5"/>
    <x v="3"/>
  </r>
  <r>
    <x v="40"/>
    <x v="66"/>
    <s v="A293577"/>
    <x v="0"/>
    <n v="0.5"/>
    <n v="90"/>
    <n v="94.5"/>
    <x v="2"/>
  </r>
  <r>
    <x v="40"/>
    <x v="67"/>
    <s v="A405052"/>
    <x v="2"/>
    <n v="0.5"/>
    <n v="170"/>
    <n v="178.5"/>
    <x v="3"/>
  </r>
  <r>
    <x v="40"/>
    <x v="67"/>
    <s v="A405052"/>
    <x v="11"/>
    <n v="2.5"/>
    <n v="540"/>
    <n v="567"/>
    <x v="3"/>
  </r>
  <r>
    <x v="40"/>
    <x v="263"/>
    <s v="A403817"/>
    <x v="2"/>
    <n v="1"/>
    <n v="90"/>
    <n v="94.5"/>
    <x v="3"/>
  </r>
  <r>
    <x v="40"/>
    <x v="73"/>
    <s v="P08976"/>
    <x v="1"/>
    <n v="0.5"/>
    <n v="150"/>
    <n v="157.5"/>
    <x v="3"/>
  </r>
  <r>
    <x v="40"/>
    <x v="264"/>
    <s v="A241371"/>
    <x v="9"/>
    <n v="4"/>
    <n v="800"/>
    <m/>
    <x v="3"/>
  </r>
  <r>
    <x v="40"/>
    <x v="264"/>
    <s v="A241371"/>
    <x v="1"/>
    <n v="2"/>
    <n v="400"/>
    <n v="420"/>
    <x v="3"/>
  </r>
  <r>
    <x v="40"/>
    <x v="264"/>
    <s v="A241371"/>
    <x v="2"/>
    <n v="1.5"/>
    <n v="300"/>
    <n v="315"/>
    <x v="3"/>
  </r>
  <r>
    <x v="40"/>
    <x v="244"/>
    <s v="A415792"/>
    <x v="11"/>
    <n v="1"/>
    <n v="130"/>
    <n v="136.5"/>
    <x v="3"/>
  </r>
  <r>
    <x v="40"/>
    <x v="265"/>
    <m/>
    <x v="9"/>
    <n v="1"/>
    <n v="250"/>
    <m/>
    <x v="3"/>
  </r>
  <r>
    <x v="40"/>
    <x v="265"/>
    <m/>
    <x v="2"/>
    <n v="0.5"/>
    <n v="125"/>
    <n v="131.25"/>
    <x v="3"/>
  </r>
  <r>
    <x v="40"/>
    <x v="80"/>
    <s v="F15632"/>
    <x v="0"/>
    <n v="1"/>
    <n v="260"/>
    <n v="273"/>
    <x v="2"/>
  </r>
  <r>
    <x v="41"/>
    <x v="2"/>
    <s v="A295987"/>
    <x v="8"/>
    <n v="5"/>
    <n v="500"/>
    <m/>
    <x v="3"/>
  </r>
  <r>
    <x v="41"/>
    <x v="2"/>
    <s v="A295987"/>
    <x v="9"/>
    <n v="20"/>
    <n v="2000"/>
    <m/>
    <x v="3"/>
  </r>
  <r>
    <x v="41"/>
    <x v="266"/>
    <s v="A338229"/>
    <x v="8"/>
    <n v="25"/>
    <n v="2500"/>
    <m/>
    <x v="3"/>
  </r>
  <r>
    <x v="41"/>
    <x v="267"/>
    <s v="A270670"/>
    <x v="8"/>
    <n v="6"/>
    <n v="660"/>
    <m/>
    <x v="3"/>
  </r>
  <r>
    <x v="41"/>
    <x v="93"/>
    <s v="A231708"/>
    <x v="8"/>
    <n v="5"/>
    <n v="350"/>
    <m/>
    <x v="3"/>
  </r>
  <r>
    <x v="41"/>
    <x v="268"/>
    <s v="A245994"/>
    <x v="8"/>
    <n v="155"/>
    <n v="11160"/>
    <m/>
    <x v="2"/>
  </r>
  <r>
    <x v="41"/>
    <x v="268"/>
    <s v="A245994"/>
    <x v="9"/>
    <n v="75"/>
    <n v="5550"/>
    <m/>
    <x v="2"/>
  </r>
  <r>
    <x v="41"/>
    <x v="268"/>
    <s v="A245994"/>
    <x v="1"/>
    <n v="20"/>
    <n v="1680"/>
    <n v="1764"/>
    <x v="2"/>
  </r>
  <r>
    <x v="41"/>
    <x v="268"/>
    <s v="A245994"/>
    <x v="2"/>
    <n v="70"/>
    <n v="5525"/>
    <n v="5801.25"/>
    <x v="2"/>
  </r>
  <r>
    <x v="41"/>
    <x v="268"/>
    <s v="A245994"/>
    <x v="11"/>
    <n v="25"/>
    <n v="1800"/>
    <n v="1890"/>
    <x v="2"/>
  </r>
  <r>
    <x v="41"/>
    <x v="268"/>
    <s v="A245994"/>
    <x v="0"/>
    <n v="20"/>
    <n v="1440"/>
    <n v="1512"/>
    <x v="2"/>
  </r>
  <r>
    <x v="41"/>
    <x v="16"/>
    <s v="A235942"/>
    <x v="8"/>
    <n v="5"/>
    <n v="325"/>
    <m/>
    <x v="3"/>
  </r>
  <r>
    <x v="41"/>
    <x v="242"/>
    <s v="A287749"/>
    <x v="8"/>
    <n v="90"/>
    <n v="7020"/>
    <m/>
    <x v="3"/>
  </r>
  <r>
    <x v="41"/>
    <x v="1"/>
    <s v="A231710"/>
    <x v="8"/>
    <n v="25"/>
    <n v="1950"/>
    <m/>
    <x v="3"/>
  </r>
  <r>
    <x v="42"/>
    <x v="269"/>
    <s v="A415790"/>
    <x v="11"/>
    <n v="70"/>
    <n v="6300"/>
    <n v="6615"/>
    <x v="3"/>
  </r>
  <r>
    <x v="42"/>
    <x v="270"/>
    <s v="A415885"/>
    <x v="11"/>
    <n v="5"/>
    <n v="425"/>
    <n v="446.25"/>
    <x v="14"/>
  </r>
  <r>
    <x v="42"/>
    <x v="270"/>
    <s v="A415885"/>
    <x v="0"/>
    <n v="20"/>
    <n v="1700"/>
    <n v="1785"/>
    <x v="14"/>
  </r>
  <r>
    <x v="42"/>
    <x v="271"/>
    <s v="A401493"/>
    <x v="1"/>
    <n v="25"/>
    <n v="3125"/>
    <n v="3281.25"/>
    <x v="3"/>
  </r>
  <r>
    <x v="42"/>
    <x v="271"/>
    <s v="A401493"/>
    <x v="11"/>
    <n v="25"/>
    <n v="2750"/>
    <n v="2887.5"/>
    <x v="3"/>
  </r>
  <r>
    <x v="42"/>
    <x v="272"/>
    <s v="A246994"/>
    <x v="1"/>
    <n v="25"/>
    <n v="3125"/>
    <n v="3281.25"/>
    <x v="3"/>
  </r>
  <r>
    <x v="42"/>
    <x v="272"/>
    <s v="A246994"/>
    <x v="11"/>
    <n v="25"/>
    <n v="2750"/>
    <n v="2887.5"/>
    <x v="3"/>
  </r>
  <r>
    <x v="42"/>
    <x v="273"/>
    <s v="A320112"/>
    <x v="11"/>
    <n v="5"/>
    <n v="425"/>
    <n v="446.25"/>
    <x v="2"/>
  </r>
  <r>
    <x v="42"/>
    <x v="273"/>
    <s v="A320112"/>
    <x v="0"/>
    <n v="10"/>
    <n v="850"/>
    <n v="892.5"/>
    <x v="2"/>
  </r>
  <r>
    <x v="42"/>
    <x v="93"/>
    <s v="A231708"/>
    <x v="1"/>
    <n v="25"/>
    <n v="2250"/>
    <n v="2362.5"/>
    <x v="3"/>
  </r>
  <r>
    <x v="42"/>
    <x v="274"/>
    <s v="P19035"/>
    <x v="1"/>
    <n v="75"/>
    <n v="10500"/>
    <n v="11025"/>
    <x v="5"/>
  </r>
  <r>
    <x v="42"/>
    <x v="274"/>
    <s v="P19035"/>
    <x v="2"/>
    <n v="75"/>
    <n v="10500"/>
    <n v="11025"/>
    <x v="5"/>
  </r>
  <r>
    <x v="42"/>
    <x v="274"/>
    <s v="P19035"/>
    <x v="11"/>
    <n v="25"/>
    <n v="3125"/>
    <n v="3281.25"/>
    <x v="5"/>
  </r>
  <r>
    <x v="42"/>
    <x v="274"/>
    <s v="P19035"/>
    <x v="0"/>
    <n v="75"/>
    <n v="9375"/>
    <n v="9843.75"/>
    <x v="5"/>
  </r>
  <r>
    <x v="42"/>
    <x v="275"/>
    <s v="A271087"/>
    <x v="8"/>
    <n v="16"/>
    <n v="1280"/>
    <m/>
    <x v="1"/>
  </r>
  <r>
    <x v="42"/>
    <x v="275"/>
    <s v="A271087"/>
    <x v="9"/>
    <n v="130"/>
    <n v="10400"/>
    <m/>
    <x v="1"/>
  </r>
  <r>
    <x v="42"/>
    <x v="275"/>
    <s v="A271087"/>
    <x v="1"/>
    <n v="250"/>
    <n v="20000"/>
    <n v="21000"/>
    <x v="1"/>
  </r>
  <r>
    <x v="42"/>
    <x v="275"/>
    <s v="A271087"/>
    <x v="2"/>
    <n v="200"/>
    <n v="16000"/>
    <n v="16800"/>
    <x v="1"/>
  </r>
  <r>
    <x v="42"/>
    <x v="275"/>
    <s v="A271087"/>
    <x v="11"/>
    <n v="300"/>
    <n v="23625"/>
    <n v="24806.25"/>
    <x v="1"/>
  </r>
  <r>
    <x v="42"/>
    <x v="275"/>
    <s v="A271087"/>
    <x v="0"/>
    <n v="175"/>
    <n v="14000"/>
    <n v="14700"/>
    <x v="1"/>
  </r>
  <r>
    <x v="42"/>
    <x v="28"/>
    <s v="A233711"/>
    <x v="8"/>
    <n v="1"/>
    <n v="65"/>
    <m/>
    <x v="1"/>
  </r>
  <r>
    <x v="42"/>
    <x v="28"/>
    <s v="A233711"/>
    <x v="1"/>
    <n v="25"/>
    <n v="2250"/>
    <n v="2362.5"/>
    <x v="1"/>
  </r>
  <r>
    <x v="42"/>
    <x v="28"/>
    <s v="A233711"/>
    <x v="0"/>
    <n v="25"/>
    <n v="2000"/>
    <n v="2100"/>
    <x v="1"/>
  </r>
  <r>
    <x v="42"/>
    <x v="276"/>
    <s v="P782100"/>
    <x v="2"/>
    <n v="25"/>
    <n v="2875"/>
    <n v="3018.75"/>
    <x v="3"/>
  </r>
  <r>
    <x v="42"/>
    <x v="139"/>
    <s v="P08499"/>
    <x v="11"/>
    <n v="10"/>
    <n v="800"/>
    <n v="840"/>
    <x v="3"/>
  </r>
  <r>
    <x v="43"/>
    <x v="277"/>
    <m/>
    <x v="11"/>
    <n v="50"/>
    <n v="5306"/>
    <m/>
    <x v="3"/>
  </r>
  <r>
    <x v="43"/>
    <x v="278"/>
    <m/>
    <x v="11"/>
    <n v="50"/>
    <n v="3491"/>
    <n v="3665.55"/>
    <x v="3"/>
  </r>
  <r>
    <x v="43"/>
    <x v="3"/>
    <s v="A232126"/>
    <x v="11"/>
    <n v="400"/>
    <n v="29400"/>
    <n v="30870"/>
    <x v="3"/>
  </r>
  <r>
    <x v="44"/>
    <x v="144"/>
    <s v="A256430"/>
    <x v="1"/>
    <n v="10"/>
    <n v="2700"/>
    <n v="2835"/>
    <x v="3"/>
  </r>
  <r>
    <x v="44"/>
    <x v="37"/>
    <s v="A295406"/>
    <x v="1"/>
    <n v="5"/>
    <n v="2500"/>
    <n v="2625"/>
    <x v="3"/>
  </r>
  <r>
    <x v="44"/>
    <x v="279"/>
    <m/>
    <x v="1"/>
    <n v="5"/>
    <n v="2750"/>
    <n v="2887.5"/>
    <x v="3"/>
  </r>
  <r>
    <x v="44"/>
    <x v="280"/>
    <s v="A238189"/>
    <x v="1"/>
    <n v="2"/>
    <n v="360"/>
    <n v="378"/>
    <x v="3"/>
  </r>
  <r>
    <x v="44"/>
    <x v="281"/>
    <s v="A281164"/>
    <x v="1"/>
    <n v="30"/>
    <n v="3000"/>
    <n v="3150"/>
    <x v="3"/>
  </r>
  <r>
    <x v="44"/>
    <x v="282"/>
    <s v="A343168"/>
    <x v="1"/>
    <n v="5"/>
    <n v="900"/>
    <n v="945"/>
    <x v="3"/>
  </r>
  <r>
    <x v="44"/>
    <x v="283"/>
    <s v="P04017"/>
    <x v="1"/>
    <n v="5"/>
    <n v="1050"/>
    <n v="1102.5"/>
    <x v="3"/>
  </r>
  <r>
    <x v="44"/>
    <x v="55"/>
    <s v="A403816"/>
    <x v="1"/>
    <n v="15"/>
    <n v="3450"/>
    <n v="3622.5"/>
    <x v="3"/>
  </r>
  <r>
    <x v="44"/>
    <x v="73"/>
    <s v="P08976"/>
    <x v="1"/>
    <n v="5"/>
    <n v="1150"/>
    <n v="1207.5"/>
    <x v="3"/>
  </r>
  <r>
    <x v="44"/>
    <x v="99"/>
    <s v="A282344"/>
    <x v="1"/>
    <n v="100"/>
    <n v="17100"/>
    <n v="17955"/>
    <x v="3"/>
  </r>
  <r>
    <x v="44"/>
    <x v="31"/>
    <s v="A349425"/>
    <x v="1"/>
    <n v="5"/>
    <n v="900"/>
    <n v="945"/>
    <x v="3"/>
  </r>
  <r>
    <x v="44"/>
    <x v="168"/>
    <s v="A295590"/>
    <x v="1"/>
    <n v="5"/>
    <n v="900"/>
    <n v="945"/>
    <x v="3"/>
  </r>
  <r>
    <x v="44"/>
    <x v="103"/>
    <s v="A299996"/>
    <x v="1"/>
    <n v="25"/>
    <n v="2375"/>
    <n v="2493.75"/>
    <x v="3"/>
  </r>
  <r>
    <x v="45"/>
    <x v="205"/>
    <s v="A268517"/>
    <x v="9"/>
    <n v="1"/>
    <n v="100"/>
    <m/>
    <x v="3"/>
  </r>
  <r>
    <x v="45"/>
    <x v="284"/>
    <s v="A257635"/>
    <x v="9"/>
    <n v="1"/>
    <n v="100"/>
    <m/>
    <x v="3"/>
  </r>
  <r>
    <x v="45"/>
    <x v="285"/>
    <s v="A278773"/>
    <x v="9"/>
    <n v="1"/>
    <n v="100"/>
    <m/>
    <x v="3"/>
  </r>
  <r>
    <x v="45"/>
    <x v="286"/>
    <s v="A255319"/>
    <x v="9"/>
    <n v="1"/>
    <n v="100"/>
    <m/>
    <x v="3"/>
  </r>
  <r>
    <x v="45"/>
    <x v="26"/>
    <s v="A281055"/>
    <x v="9"/>
    <n v="1"/>
    <n v="90"/>
    <m/>
    <x v="3"/>
  </r>
  <r>
    <x v="45"/>
    <x v="117"/>
    <s v="A238388"/>
    <x v="9"/>
    <n v="1"/>
    <n v="100"/>
    <m/>
    <x v="3"/>
  </r>
  <r>
    <x v="45"/>
    <x v="287"/>
    <s v="A279810"/>
    <x v="9"/>
    <n v="1"/>
    <n v="100"/>
    <m/>
    <x v="3"/>
  </r>
  <r>
    <x v="46"/>
    <x v="88"/>
    <s v="A244191"/>
    <x v="6"/>
    <n v="5"/>
    <n v="494"/>
    <m/>
    <x v="3"/>
  </r>
  <r>
    <x v="46"/>
    <x v="288"/>
    <s v="A248265"/>
    <x v="6"/>
    <n v="5"/>
    <n v="500"/>
    <m/>
    <x v="3"/>
  </r>
  <r>
    <x v="46"/>
    <x v="93"/>
    <s v="A231708"/>
    <x v="6"/>
    <n v="5"/>
    <n v="438"/>
    <m/>
    <x v="3"/>
  </r>
  <r>
    <x v="46"/>
    <x v="289"/>
    <s v="A276835"/>
    <x v="6"/>
    <n v="5"/>
    <n v="604"/>
    <m/>
    <x v="3"/>
  </r>
  <r>
    <x v="46"/>
    <x v="290"/>
    <s v="A269288"/>
    <x v="6"/>
    <n v="5"/>
    <n v="535"/>
    <m/>
    <x v="3"/>
  </r>
  <r>
    <x v="46"/>
    <x v="291"/>
    <s v="A244748"/>
    <x v="6"/>
    <n v="5"/>
    <n v="508"/>
    <m/>
    <x v="3"/>
  </r>
  <r>
    <x v="46"/>
    <x v="292"/>
    <s v="A276839"/>
    <x v="6"/>
    <n v="5"/>
    <n v="573"/>
    <m/>
    <x v="3"/>
  </r>
  <r>
    <x v="46"/>
    <x v="293"/>
    <s v="A248259"/>
    <x v="6"/>
    <n v="5"/>
    <n v="542"/>
    <m/>
    <x v="3"/>
  </r>
  <r>
    <x v="46"/>
    <x v="177"/>
    <s v="A292781"/>
    <x v="6"/>
    <n v="5"/>
    <n v="470"/>
    <m/>
    <x v="3"/>
  </r>
  <r>
    <x v="46"/>
    <x v="19"/>
    <s v="A248261"/>
    <x v="6"/>
    <n v="5"/>
    <n v="383"/>
    <m/>
    <x v="3"/>
  </r>
  <r>
    <x v="47"/>
    <x v="46"/>
    <s v="A234876"/>
    <x v="9"/>
    <n v="5"/>
    <n v="1000"/>
    <m/>
    <x v="3"/>
  </r>
  <r>
    <x v="47"/>
    <x v="294"/>
    <s v="A339522"/>
    <x v="2"/>
    <n v="1"/>
    <n v="200"/>
    <n v="210"/>
    <x v="3"/>
  </r>
  <r>
    <x v="47"/>
    <x v="72"/>
    <s v="P08499"/>
    <x v="9"/>
    <n v="10"/>
    <n v="2300"/>
    <m/>
    <x v="3"/>
  </r>
  <r>
    <x v="47"/>
    <x v="72"/>
    <s v="P08499"/>
    <x v="1"/>
    <n v="10"/>
    <n v="2300"/>
    <n v="2415"/>
    <x v="3"/>
  </r>
  <r>
    <x v="47"/>
    <x v="33"/>
    <s v="A338959"/>
    <x v="9"/>
    <n v="5"/>
    <n v="1000"/>
    <m/>
    <x v="3"/>
  </r>
  <r>
    <x v="48"/>
    <x v="295"/>
    <s v="A302349"/>
    <x v="1"/>
    <n v="2.5"/>
    <n v="550"/>
    <n v="577.5"/>
    <x v="3"/>
  </r>
  <r>
    <x v="48"/>
    <x v="23"/>
    <m/>
    <x v="2"/>
    <n v="3"/>
    <n v="780"/>
    <n v="819"/>
    <x v="3"/>
  </r>
  <r>
    <x v="48"/>
    <x v="296"/>
    <s v="A343168"/>
    <x v="2"/>
    <n v="2"/>
    <n v="440"/>
    <n v="462"/>
    <x v="3"/>
  </r>
  <r>
    <x v="48"/>
    <x v="207"/>
    <m/>
    <x v="1"/>
    <n v="5"/>
    <n v="1300"/>
    <n v="1365"/>
    <x v="3"/>
  </r>
  <r>
    <x v="48"/>
    <x v="207"/>
    <m/>
    <x v="2"/>
    <n v="3"/>
    <n v="650"/>
    <n v="682.5"/>
    <x v="3"/>
  </r>
  <r>
    <x v="48"/>
    <x v="190"/>
    <s v="A238187"/>
    <x v="1"/>
    <n v="2"/>
    <n v="440"/>
    <n v="462"/>
    <x v="3"/>
  </r>
  <r>
    <x v="48"/>
    <x v="62"/>
    <m/>
    <x v="2"/>
    <n v="1"/>
    <n v="260"/>
    <n v="273"/>
    <x v="3"/>
  </r>
  <r>
    <x v="48"/>
    <x v="297"/>
    <s v="A271046"/>
    <x v="1"/>
    <n v="2.5"/>
    <n v="630"/>
    <n v="252"/>
    <x v="3"/>
  </r>
  <r>
    <x v="48"/>
    <x v="297"/>
    <s v="A271046"/>
    <x v="2"/>
    <n v="1"/>
    <n v="260"/>
    <n v="273"/>
    <x v="3"/>
  </r>
  <r>
    <x v="48"/>
    <x v="169"/>
    <s v="A286825"/>
    <x v="1"/>
    <n v="0.5"/>
    <n v="130"/>
    <n v="136.5"/>
    <x v="3"/>
  </r>
  <r>
    <x v="49"/>
    <x v="21"/>
    <s v="P08232"/>
    <x v="0"/>
    <n v="5"/>
    <n v="11550"/>
    <n v="11550"/>
    <x v="2"/>
  </r>
  <r>
    <x v="49"/>
    <x v="298"/>
    <s v="A416950"/>
    <x v="11"/>
    <n v="6"/>
    <n v="1170"/>
    <n v="1170"/>
    <x v="3"/>
  </r>
  <r>
    <x v="49"/>
    <x v="23"/>
    <m/>
    <x v="0"/>
    <n v="43"/>
    <n v="12040"/>
    <n v="12040"/>
    <x v="15"/>
  </r>
  <r>
    <x v="49"/>
    <x v="299"/>
    <s v="A404821"/>
    <x v="0"/>
    <n v="4"/>
    <n v="640"/>
    <n v="640"/>
    <x v="2"/>
  </r>
  <r>
    <x v="49"/>
    <x v="300"/>
    <s v="A351968"/>
    <x v="11"/>
    <n v="2"/>
    <n v="460"/>
    <n v="460"/>
    <x v="3"/>
  </r>
  <r>
    <x v="49"/>
    <x v="301"/>
    <s v="P050220"/>
    <x v="0"/>
    <n v="6"/>
    <n v="1320"/>
    <n v="1320"/>
    <x v="2"/>
  </r>
  <r>
    <x v="49"/>
    <x v="130"/>
    <s v="P01022"/>
    <x v="0"/>
    <n v="2"/>
    <n v="440"/>
    <n v="440"/>
    <x v="2"/>
  </r>
  <r>
    <x v="49"/>
    <x v="258"/>
    <s v="A352612"/>
    <x v="11"/>
    <n v="7"/>
    <n v="1200"/>
    <n v="1200"/>
    <x v="2"/>
  </r>
  <r>
    <x v="49"/>
    <x v="258"/>
    <s v="A352612"/>
    <x v="0"/>
    <n v="20"/>
    <n v="3600"/>
    <n v="3600"/>
    <x v="2"/>
  </r>
  <r>
    <x v="49"/>
    <x v="191"/>
    <s v="A238385"/>
    <x v="11"/>
    <n v="5"/>
    <n v="1100"/>
    <n v="1100"/>
    <x v="16"/>
  </r>
  <r>
    <x v="49"/>
    <x v="191"/>
    <s v="A238385"/>
    <x v="0"/>
    <n v="10"/>
    <n v="2200"/>
    <n v="2200"/>
    <x v="16"/>
  </r>
  <r>
    <x v="49"/>
    <x v="302"/>
    <m/>
    <x v="11"/>
    <n v="1"/>
    <n v="240"/>
    <n v="240"/>
    <x v="3"/>
  </r>
  <r>
    <x v="49"/>
    <x v="48"/>
    <s v="A245955"/>
    <x v="2"/>
    <n v="29"/>
    <n v="5510"/>
    <n v="5510"/>
    <x v="3"/>
  </r>
  <r>
    <x v="49"/>
    <x v="156"/>
    <s v="A231705"/>
    <x v="2"/>
    <n v="10"/>
    <n v="900"/>
    <n v="900"/>
    <x v="3"/>
  </r>
  <r>
    <x v="49"/>
    <x v="274"/>
    <s v="P19035"/>
    <x v="0"/>
    <n v="3"/>
    <n v="690"/>
    <n v="690"/>
    <x v="2"/>
  </r>
  <r>
    <x v="49"/>
    <x v="303"/>
    <s v="A403149"/>
    <x v="11"/>
    <n v="4"/>
    <n v="880"/>
    <n v="880"/>
    <x v="3"/>
  </r>
  <r>
    <x v="49"/>
    <x v="60"/>
    <m/>
    <x v="2"/>
    <n v="5"/>
    <n v="1600"/>
    <n v="1600"/>
    <x v="3"/>
  </r>
  <r>
    <x v="49"/>
    <x v="95"/>
    <m/>
    <x v="2"/>
    <n v="40"/>
    <n v="19200"/>
    <n v="19200"/>
    <x v="3"/>
  </r>
  <r>
    <x v="49"/>
    <x v="137"/>
    <s v="P21021"/>
    <x v="11"/>
    <n v="3"/>
    <n v="750"/>
    <n v="750"/>
    <x v="3"/>
  </r>
  <r>
    <x v="49"/>
    <x v="304"/>
    <s v="A271046"/>
    <x v="11"/>
    <n v="2"/>
    <n v="480"/>
    <n v="480"/>
    <x v="3"/>
  </r>
  <r>
    <x v="49"/>
    <x v="32"/>
    <s v="A295590"/>
    <x v="2"/>
    <n v="10"/>
    <n v="1750"/>
    <n v="1750"/>
    <x v="3"/>
  </r>
  <r>
    <x v="49"/>
    <x v="305"/>
    <s v="A338959"/>
    <x v="11"/>
    <n v="5"/>
    <n v="990"/>
    <n v="990"/>
    <x v="2"/>
  </r>
  <r>
    <x v="49"/>
    <x v="305"/>
    <s v="A338959"/>
    <x v="0"/>
    <n v="5"/>
    <n v="1000"/>
    <n v="1000"/>
    <x v="2"/>
  </r>
  <r>
    <x v="50"/>
    <x v="306"/>
    <s v="A244199"/>
    <x v="0"/>
    <n v="1"/>
    <n v="90"/>
    <n v="94.5"/>
    <x v="2"/>
  </r>
  <r>
    <x v="50"/>
    <x v="228"/>
    <s v="A306319"/>
    <x v="11"/>
    <n v="10"/>
    <n v="800"/>
    <n v="840"/>
    <x v="3"/>
  </r>
  <r>
    <x v="50"/>
    <x v="276"/>
    <s v="P782100"/>
    <x v="0"/>
    <n v="5"/>
    <n v="624"/>
    <n v="655.20000000000005"/>
    <x v="2"/>
  </r>
  <r>
    <x v="50"/>
    <x v="307"/>
    <s v="A245395"/>
    <x v="11"/>
    <n v="76"/>
    <n v="7980"/>
    <n v="8379"/>
    <x v="17"/>
  </r>
  <r>
    <x v="50"/>
    <x v="307"/>
    <s v="A245395"/>
    <x v="0"/>
    <n v="50"/>
    <n v="5250"/>
    <n v="5512.5"/>
    <x v="17"/>
  </r>
  <r>
    <x v="51"/>
    <x v="308"/>
    <m/>
    <x v="8"/>
    <n v="175"/>
    <n v="21836.5"/>
    <m/>
    <x v="3"/>
  </r>
  <r>
    <x v="51"/>
    <x v="308"/>
    <m/>
    <x v="1"/>
    <n v="150"/>
    <n v="18742.5"/>
    <n v="19679.625"/>
    <x v="3"/>
  </r>
  <r>
    <x v="51"/>
    <x v="308"/>
    <m/>
    <x v="2"/>
    <n v="500"/>
    <n v="67620"/>
    <n v="71001"/>
    <x v="3"/>
  </r>
  <r>
    <x v="52"/>
    <x v="38"/>
    <s v="A273820"/>
    <x v="10"/>
    <n v="10"/>
    <n v="2100"/>
    <m/>
    <x v="3"/>
  </r>
  <r>
    <x v="52"/>
    <x v="38"/>
    <s v="A273820"/>
    <x v="8"/>
    <n v="30"/>
    <n v="6000"/>
    <m/>
    <x v="3"/>
  </r>
  <r>
    <x v="52"/>
    <x v="146"/>
    <s v="A245818"/>
    <x v="6"/>
    <n v="10"/>
    <n v="2000"/>
    <m/>
    <x v="3"/>
  </r>
  <r>
    <x v="52"/>
    <x v="146"/>
    <s v="A245818"/>
    <x v="7"/>
    <n v="50"/>
    <n v="10000"/>
    <m/>
    <x v="3"/>
  </r>
  <r>
    <x v="52"/>
    <x v="146"/>
    <s v="A245818"/>
    <x v="10"/>
    <n v="10"/>
    <n v="2000"/>
    <m/>
    <x v="3"/>
  </r>
  <r>
    <x v="52"/>
    <x v="309"/>
    <s v="A243761"/>
    <x v="8"/>
    <n v="10"/>
    <n v="1250"/>
    <m/>
    <x v="3"/>
  </r>
  <r>
    <x v="52"/>
    <x v="310"/>
    <s v="P09390"/>
    <x v="8"/>
    <n v="10"/>
    <n v="2700"/>
    <m/>
    <x v="3"/>
  </r>
  <r>
    <x v="52"/>
    <x v="208"/>
    <s v="A277868"/>
    <x v="8"/>
    <n v="5"/>
    <n v="625"/>
    <m/>
    <x v="3"/>
  </r>
  <r>
    <x v="52"/>
    <x v="311"/>
    <s v="A246793"/>
    <x v="6"/>
    <n v="5"/>
    <n v="1000"/>
    <m/>
    <x v="3"/>
  </r>
  <r>
    <x v="52"/>
    <x v="311"/>
    <s v="A246793"/>
    <x v="8"/>
    <n v="5"/>
    <n v="625"/>
    <m/>
    <x v="3"/>
  </r>
  <r>
    <x v="52"/>
    <x v="153"/>
    <s v="A281164"/>
    <x v="8"/>
    <n v="5"/>
    <n v="625"/>
    <m/>
    <x v="3"/>
  </r>
  <r>
    <x v="52"/>
    <x v="282"/>
    <s v="A343168"/>
    <x v="9"/>
    <n v="50"/>
    <n v="11750"/>
    <m/>
    <x v="3"/>
  </r>
  <r>
    <x v="52"/>
    <x v="312"/>
    <s v="A281069"/>
    <x v="7"/>
    <n v="20"/>
    <n v="4500"/>
    <m/>
    <x v="3"/>
  </r>
  <r>
    <x v="52"/>
    <x v="313"/>
    <s v="A266854"/>
    <x v="4"/>
    <n v="5"/>
    <n v="1100"/>
    <m/>
    <x v="3"/>
  </r>
  <r>
    <x v="52"/>
    <x v="313"/>
    <s v="A266854"/>
    <x v="5"/>
    <n v="10"/>
    <n v="2200"/>
    <m/>
    <x v="3"/>
  </r>
  <r>
    <x v="52"/>
    <x v="68"/>
    <s v="A241029"/>
    <x v="7"/>
    <n v="10"/>
    <n v="2400"/>
    <m/>
    <x v="3"/>
  </r>
  <r>
    <x v="52"/>
    <x v="68"/>
    <s v="A241029"/>
    <x v="10"/>
    <n v="25"/>
    <n v="6000"/>
    <m/>
    <x v="3"/>
  </r>
  <r>
    <x v="52"/>
    <x v="314"/>
    <m/>
    <x v="6"/>
    <n v="10"/>
    <n v="2400"/>
    <m/>
    <x v="3"/>
  </r>
  <r>
    <x v="52"/>
    <x v="314"/>
    <m/>
    <x v="7"/>
    <n v="5"/>
    <n v="1200"/>
    <m/>
    <x v="3"/>
  </r>
  <r>
    <x v="52"/>
    <x v="315"/>
    <s v="A258760"/>
    <x v="8"/>
    <n v="5"/>
    <n v="625"/>
    <m/>
    <x v="3"/>
  </r>
  <r>
    <x v="52"/>
    <x v="168"/>
    <s v="A295590"/>
    <x v="7"/>
    <n v="5"/>
    <n v="1100"/>
    <m/>
    <x v="3"/>
  </r>
  <r>
    <x v="52"/>
    <x v="287"/>
    <s v="A279810"/>
    <x v="8"/>
    <n v="5"/>
    <n v="625"/>
    <m/>
    <x v="3"/>
  </r>
  <r>
    <x v="52"/>
    <x v="171"/>
    <s v="A258812"/>
    <x v="8"/>
    <n v="5"/>
    <n v="625"/>
    <m/>
    <x v="3"/>
  </r>
  <r>
    <x v="53"/>
    <x v="316"/>
    <s v="A258812"/>
    <x v="2"/>
    <n v="5"/>
    <n v="375"/>
    <n v="1050"/>
    <x v="3"/>
  </r>
  <r>
    <x v="53"/>
    <x v="317"/>
    <s v="A246212"/>
    <x v="2"/>
    <n v="20"/>
    <n v="1400"/>
    <n v="1470"/>
    <x v="3"/>
  </r>
  <r>
    <x v="53"/>
    <x v="318"/>
    <s v="A302349"/>
    <x v="2"/>
    <n v="5"/>
    <n v="1000"/>
    <n v="1050"/>
    <x v="3"/>
  </r>
  <r>
    <x v="53"/>
    <x v="319"/>
    <s v="A248264"/>
    <x v="2"/>
    <n v="10"/>
    <n v="700"/>
    <n v="735"/>
    <x v="3"/>
  </r>
  <r>
    <x v="53"/>
    <x v="320"/>
    <s v="A272788"/>
    <x v="2"/>
    <n v="15"/>
    <n v="1125"/>
    <n v="1181.25"/>
    <x v="3"/>
  </r>
  <r>
    <x v="53"/>
    <x v="320"/>
    <s v="A272788"/>
    <x v="11"/>
    <n v="13"/>
    <n v="975"/>
    <n v="1023.75"/>
    <x v="3"/>
  </r>
  <r>
    <x v="53"/>
    <x v="11"/>
    <m/>
    <x v="2"/>
    <n v="5"/>
    <n v="450"/>
    <n v="472.5"/>
    <x v="3"/>
  </r>
  <r>
    <x v="53"/>
    <x v="233"/>
    <m/>
    <x v="2"/>
    <n v="5"/>
    <n v="425"/>
    <n v="446.25"/>
    <x v="3"/>
  </r>
  <r>
    <x v="53"/>
    <x v="221"/>
    <s v="A231076"/>
    <x v="2"/>
    <n v="5"/>
    <n v="300"/>
    <n v="315"/>
    <x v="3"/>
  </r>
  <r>
    <x v="53"/>
    <x v="321"/>
    <s v="A293451"/>
    <x v="2"/>
    <n v="10"/>
    <n v="700"/>
    <n v="735"/>
    <x v="3"/>
  </r>
  <r>
    <x v="53"/>
    <x v="322"/>
    <s v="A275616"/>
    <x v="2"/>
    <n v="5"/>
    <n v="400"/>
    <n v="420"/>
    <x v="3"/>
  </r>
  <r>
    <x v="53"/>
    <x v="323"/>
    <s v="A292785"/>
    <x v="2"/>
    <n v="35"/>
    <n v="2500"/>
    <n v="2625"/>
    <x v="3"/>
  </r>
  <r>
    <x v="53"/>
    <x v="229"/>
    <s v="A241469"/>
    <x v="2"/>
    <n v="50"/>
    <n v="3750"/>
    <n v="3937.5"/>
    <x v="3"/>
  </r>
  <r>
    <x v="53"/>
    <x v="229"/>
    <s v="A241469"/>
    <x v="11"/>
    <n v="25"/>
    <n v="1875"/>
    <n v="1968.75"/>
    <x v="3"/>
  </r>
  <r>
    <x v="53"/>
    <x v="306"/>
    <s v="A244199"/>
    <x v="2"/>
    <n v="25"/>
    <n v="1875"/>
    <n v="1968.75"/>
    <x v="3"/>
  </r>
  <r>
    <x v="53"/>
    <x v="324"/>
    <s v="A241362"/>
    <x v="2"/>
    <n v="5"/>
    <n v="550"/>
    <n v="577.5"/>
    <x v="3"/>
  </r>
  <r>
    <x v="53"/>
    <x v="325"/>
    <s v="A320111"/>
    <x v="2"/>
    <n v="75"/>
    <n v="5625"/>
    <n v="5906.25"/>
    <x v="3"/>
  </r>
  <r>
    <x v="53"/>
    <x v="273"/>
    <s v="A320112"/>
    <x v="2"/>
    <n v="20"/>
    <n v="1300"/>
    <n v="1365"/>
    <x v="3"/>
  </r>
  <r>
    <x v="53"/>
    <x v="183"/>
    <s v="A275118"/>
    <x v="2"/>
    <n v="25"/>
    <n v="1750"/>
    <n v="1837.5"/>
    <x v="3"/>
  </r>
  <r>
    <x v="53"/>
    <x v="326"/>
    <s v="A260799"/>
    <x v="2"/>
    <n v="5"/>
    <n v="550"/>
    <n v="577.5"/>
    <x v="3"/>
  </r>
  <r>
    <x v="53"/>
    <x v="12"/>
    <m/>
    <x v="2"/>
    <n v="5"/>
    <n v="550"/>
    <n v="577.5"/>
    <x v="3"/>
  </r>
  <r>
    <x v="53"/>
    <x v="327"/>
    <m/>
    <x v="2"/>
    <n v="5"/>
    <n v="550"/>
    <n v="577.5"/>
    <x v="3"/>
  </r>
  <r>
    <x v="53"/>
    <x v="328"/>
    <s v="A285349"/>
    <x v="2"/>
    <n v="10"/>
    <n v="800"/>
    <n v="840"/>
    <x v="3"/>
  </r>
  <r>
    <x v="53"/>
    <x v="329"/>
    <s v="A263702"/>
    <x v="2"/>
    <n v="5"/>
    <n v="425"/>
    <n v="446.25"/>
    <x v="3"/>
  </r>
  <r>
    <x v="53"/>
    <x v="330"/>
    <s v="A324052"/>
    <x v="2"/>
    <n v="10"/>
    <n v="750"/>
    <n v="787.5"/>
    <x v="3"/>
  </r>
  <r>
    <x v="53"/>
    <x v="331"/>
    <s v="A318055"/>
    <x v="2"/>
    <n v="5"/>
    <n v="400"/>
    <n v="420"/>
    <x v="3"/>
  </r>
  <r>
    <x v="53"/>
    <x v="274"/>
    <s v="P19035"/>
    <x v="2"/>
    <n v="5"/>
    <n v="550"/>
    <n v="577.5"/>
    <x v="3"/>
  </r>
  <r>
    <x v="53"/>
    <x v="51"/>
    <s v="A298567"/>
    <x v="2"/>
    <n v="25"/>
    <n v="1125"/>
    <n v="1181.25"/>
    <x v="3"/>
  </r>
  <r>
    <x v="53"/>
    <x v="332"/>
    <s v="A331424"/>
    <x v="2"/>
    <n v="25"/>
    <n v="1750"/>
    <n v="1837.5"/>
    <x v="3"/>
  </r>
  <r>
    <x v="53"/>
    <x v="292"/>
    <s v="A276839"/>
    <x v="2"/>
    <n v="20"/>
    <n v="1600"/>
    <n v="1680"/>
    <x v="3"/>
  </r>
  <r>
    <x v="53"/>
    <x v="333"/>
    <s v="A317824"/>
    <x v="2"/>
    <n v="30"/>
    <n v="2140"/>
    <n v="2247"/>
    <x v="3"/>
  </r>
  <r>
    <x v="53"/>
    <x v="263"/>
    <s v="A403817"/>
    <x v="2"/>
    <n v="10"/>
    <n v="700"/>
    <n v="735"/>
    <x v="3"/>
  </r>
  <r>
    <x v="53"/>
    <x v="13"/>
    <m/>
    <x v="2"/>
    <n v="5"/>
    <n v="425"/>
    <n v="446.25"/>
    <x v="3"/>
  </r>
  <r>
    <x v="53"/>
    <x v="334"/>
    <s v="A277868"/>
    <x v="2"/>
    <n v="35"/>
    <n v="2750"/>
    <n v="2887.5"/>
    <x v="3"/>
  </r>
  <r>
    <x v="53"/>
    <x v="138"/>
    <s v="A282344"/>
    <x v="2"/>
    <n v="5"/>
    <n v="550"/>
    <n v="577.5"/>
    <x v="3"/>
  </r>
  <r>
    <x v="53"/>
    <x v="335"/>
    <s v="A349425"/>
    <x v="2"/>
    <n v="5"/>
    <n v="550"/>
    <n v="577.5"/>
    <x v="3"/>
  </r>
  <r>
    <x v="53"/>
    <x v="247"/>
    <s v="A402013"/>
    <x v="2"/>
    <n v="25"/>
    <n v="1625"/>
    <n v="1706.25"/>
    <x v="3"/>
  </r>
  <r>
    <x v="53"/>
    <x v="336"/>
    <s v="A320337"/>
    <x v="2"/>
    <n v="25"/>
    <n v="1750"/>
    <n v="1837.5"/>
    <x v="3"/>
  </r>
  <r>
    <x v="53"/>
    <x v="14"/>
    <m/>
    <x v="2"/>
    <n v="10"/>
    <n v="700"/>
    <n v="735"/>
    <x v="3"/>
  </r>
  <r>
    <x v="53"/>
    <x v="140"/>
    <s v="A297626"/>
    <x v="2"/>
    <n v="30"/>
    <n v="6600"/>
    <n v="6930"/>
    <x v="3"/>
  </r>
  <r>
    <x v="53"/>
    <x v="103"/>
    <s v="A299996"/>
    <x v="2"/>
    <n v="10"/>
    <n v="850"/>
    <n v="892.5"/>
    <x v="3"/>
  </r>
  <r>
    <x v="53"/>
    <x v="1"/>
    <s v="A231710"/>
    <x v="2"/>
    <n v="10"/>
    <n v="750"/>
    <n v="787.5"/>
    <x v="3"/>
  </r>
  <r>
    <x v="53"/>
    <x v="1"/>
    <s v="A231710"/>
    <x v="11"/>
    <n v="50"/>
    <n v="3750"/>
    <n v="3937.5"/>
    <x v="3"/>
  </r>
  <r>
    <x v="54"/>
    <x v="309"/>
    <s v="A243761"/>
    <x v="2"/>
    <n v="25"/>
    <n v="2250"/>
    <n v="2250"/>
    <x v="3"/>
  </r>
  <r>
    <x v="54"/>
    <x v="337"/>
    <s v="A419371"/>
    <x v="11"/>
    <n v="25"/>
    <n v="2000"/>
    <n v="2000"/>
    <x v="3"/>
  </r>
  <r>
    <x v="54"/>
    <x v="338"/>
    <s v="A338229"/>
    <x v="2"/>
    <n v="25"/>
    <n v="2375"/>
    <n v="2375"/>
    <x v="3"/>
  </r>
  <r>
    <x v="54"/>
    <x v="339"/>
    <s v="A417150"/>
    <x v="11"/>
    <n v="50"/>
    <n v="4375"/>
    <n v="4375"/>
    <x v="3"/>
  </r>
  <r>
    <x v="54"/>
    <x v="340"/>
    <m/>
    <x v="2"/>
    <n v="10"/>
    <n v="1300"/>
    <n v="1300"/>
    <x v="3"/>
  </r>
  <r>
    <x v="54"/>
    <x v="11"/>
    <m/>
    <x v="2"/>
    <n v="15"/>
    <n v="1425"/>
    <n v="1425"/>
    <x v="3"/>
  </r>
  <r>
    <x v="54"/>
    <x v="233"/>
    <m/>
    <x v="2"/>
    <n v="10"/>
    <n v="950"/>
    <n v="950"/>
    <x v="3"/>
  </r>
  <r>
    <x v="54"/>
    <x v="256"/>
    <s v="A407971"/>
    <x v="11"/>
    <n v="25"/>
    <n v="2100"/>
    <n v="2100"/>
    <x v="3"/>
  </r>
  <r>
    <x v="54"/>
    <x v="323"/>
    <s v="A292785"/>
    <x v="11"/>
    <n v="25"/>
    <n v="2125"/>
    <n v="2125"/>
    <x v="3"/>
  </r>
  <r>
    <x v="54"/>
    <x v="12"/>
    <m/>
    <x v="2"/>
    <n v="14"/>
    <n v="1540"/>
    <n v="1540"/>
    <x v="3"/>
  </r>
  <r>
    <x v="54"/>
    <x v="327"/>
    <m/>
    <x v="2"/>
    <n v="15"/>
    <n v="1800"/>
    <n v="1800"/>
    <x v="3"/>
  </r>
  <r>
    <x v="54"/>
    <x v="341"/>
    <s v="A406737"/>
    <x v="2"/>
    <n v="25"/>
    <n v="1500"/>
    <n v="1500"/>
    <x v="3"/>
  </r>
  <r>
    <x v="54"/>
    <x v="6"/>
    <s v="A270578"/>
    <x v="2"/>
    <n v="25"/>
    <n v="1875"/>
    <n v="1875"/>
    <x v="3"/>
  </r>
  <r>
    <x v="54"/>
    <x v="93"/>
    <s v="A231708"/>
    <x v="2"/>
    <n v="50"/>
    <n v="3500"/>
    <n v="3500"/>
    <x v="3"/>
  </r>
  <r>
    <x v="54"/>
    <x v="342"/>
    <s v="A402008"/>
    <x v="2"/>
    <n v="25"/>
    <n v="2000"/>
    <n v="2000"/>
    <x v="3"/>
  </r>
  <r>
    <x v="54"/>
    <x v="3"/>
    <s v="A337704"/>
    <x v="11"/>
    <n v="50"/>
    <n v="4000"/>
    <n v="4000"/>
    <x v="3"/>
  </r>
  <r>
    <x v="54"/>
    <x v="141"/>
    <s v="A249778"/>
    <x v="2"/>
    <n v="25"/>
    <n v="2000"/>
    <n v="2000"/>
    <x v="3"/>
  </r>
  <r>
    <x v="54"/>
    <x v="141"/>
    <s v="A249778"/>
    <x v="11"/>
    <n v="50"/>
    <n v="3950"/>
    <n v="3950"/>
    <x v="3"/>
  </r>
  <r>
    <x v="54"/>
    <x v="343"/>
    <s v="A257810"/>
    <x v="2"/>
    <n v="50"/>
    <n v="4250"/>
    <n v="4250"/>
    <x v="3"/>
  </r>
  <r>
    <x v="54"/>
    <x v="343"/>
    <s v="A257810"/>
    <x v="11"/>
    <n v="25"/>
    <n v="1750"/>
    <n v="1750"/>
    <x v="3"/>
  </r>
  <r>
    <x v="54"/>
    <x v="28"/>
    <s v="A233711"/>
    <x v="2"/>
    <n v="50"/>
    <n v="4750"/>
    <n v="4750"/>
    <x v="3"/>
  </r>
  <r>
    <x v="54"/>
    <x v="94"/>
    <s v="A339929"/>
    <x v="2"/>
    <n v="50"/>
    <n v="4500"/>
    <n v="4500"/>
    <x v="3"/>
  </r>
  <r>
    <x v="54"/>
    <x v="213"/>
    <s v="A272357"/>
    <x v="2"/>
    <n v="25"/>
    <n v="2500"/>
    <n v="2500"/>
    <x v="3"/>
  </r>
  <r>
    <x v="54"/>
    <x v="293"/>
    <s v="A248825"/>
    <x v="2"/>
    <n v="25"/>
    <n v="2250"/>
    <n v="2250"/>
    <x v="3"/>
  </r>
  <r>
    <x v="54"/>
    <x v="293"/>
    <s v="A248825"/>
    <x v="11"/>
    <n v="25"/>
    <n v="1875"/>
    <n v="1875"/>
    <x v="3"/>
  </r>
  <r>
    <x v="54"/>
    <x v="13"/>
    <m/>
    <x v="2"/>
    <n v="10"/>
    <n v="1000"/>
    <n v="1000"/>
    <x v="3"/>
  </r>
  <r>
    <x v="54"/>
    <x v="177"/>
    <s v="A292781"/>
    <x v="2"/>
    <n v="25"/>
    <n v="2250"/>
    <n v="2250"/>
    <x v="3"/>
  </r>
  <r>
    <x v="54"/>
    <x v="344"/>
    <s v="A415791"/>
    <x v="11"/>
    <n v="25"/>
    <n v="1550"/>
    <n v="1550"/>
    <x v="3"/>
  </r>
  <r>
    <x v="54"/>
    <x v="247"/>
    <s v="A402013"/>
    <x v="2"/>
    <n v="25"/>
    <n v="1750"/>
    <n v="1750"/>
    <x v="3"/>
  </r>
  <r>
    <x v="54"/>
    <x v="345"/>
    <m/>
    <x v="2"/>
    <n v="7"/>
    <n v="630"/>
    <n v="630"/>
    <x v="3"/>
  </r>
  <r>
    <x v="54"/>
    <x v="169"/>
    <s v="A286825"/>
    <x v="2"/>
    <n v="25"/>
    <n v="5125"/>
    <n v="5125"/>
    <x v="3"/>
  </r>
  <r>
    <x v="54"/>
    <x v="14"/>
    <m/>
    <x v="2"/>
    <n v="20"/>
    <n v="1900"/>
    <n v="1900"/>
    <x v="3"/>
  </r>
  <r>
    <x v="54"/>
    <x v="346"/>
    <s v="A315997"/>
    <x v="2"/>
    <n v="25"/>
    <n v="4625"/>
    <n v="4625"/>
    <x v="3"/>
  </r>
  <r>
    <x v="54"/>
    <x v="347"/>
    <s v="A417703"/>
    <x v="11"/>
    <n v="25"/>
    <n v="2500"/>
    <n v="2500"/>
    <x v="3"/>
  </r>
  <r>
    <x v="54"/>
    <x v="348"/>
    <s v="A236985"/>
    <x v="2"/>
    <n v="25"/>
    <n v="2000"/>
    <n v="2000"/>
    <x v="3"/>
  </r>
  <r>
    <x v="54"/>
    <x v="348"/>
    <s v="A236985"/>
    <x v="11"/>
    <n v="50"/>
    <n v="3875"/>
    <n v="3875"/>
    <x v="3"/>
  </r>
  <r>
    <x v="55"/>
    <x v="221"/>
    <s v="A231706"/>
    <x v="6"/>
    <n v="25"/>
    <n v="925"/>
    <m/>
    <x v="3"/>
  </r>
  <r>
    <x v="55"/>
    <x v="349"/>
    <m/>
    <x v="3"/>
    <n v="35"/>
    <n v="735"/>
    <m/>
    <x v="3"/>
  </r>
  <r>
    <x v="56"/>
    <x v="340"/>
    <m/>
    <x v="2"/>
    <n v="1"/>
    <n v="110"/>
    <n v="115.5"/>
    <x v="2"/>
  </r>
  <r>
    <x v="56"/>
    <x v="340"/>
    <m/>
    <x v="11"/>
    <n v="5"/>
    <n v="475"/>
    <n v="498.75"/>
    <x v="2"/>
  </r>
  <r>
    <x v="56"/>
    <x v="340"/>
    <m/>
    <x v="0"/>
    <n v="20"/>
    <n v="1900"/>
    <n v="1995"/>
    <x v="2"/>
  </r>
  <r>
    <x v="56"/>
    <x v="11"/>
    <m/>
    <x v="2"/>
    <n v="1"/>
    <n v="90"/>
    <n v="94.5"/>
    <x v="3"/>
  </r>
  <r>
    <x v="56"/>
    <x v="11"/>
    <m/>
    <x v="11"/>
    <n v="6"/>
    <n v="480"/>
    <n v="504"/>
    <x v="3"/>
  </r>
  <r>
    <x v="56"/>
    <x v="233"/>
    <m/>
    <x v="2"/>
    <n v="1"/>
    <n v="90"/>
    <n v="94.5"/>
    <x v="2"/>
  </r>
  <r>
    <x v="56"/>
    <x v="233"/>
    <m/>
    <x v="11"/>
    <n v="5"/>
    <n v="400"/>
    <n v="420"/>
    <x v="2"/>
  </r>
  <r>
    <x v="56"/>
    <x v="233"/>
    <m/>
    <x v="0"/>
    <n v="20"/>
    <n v="1600"/>
    <n v="1680"/>
    <x v="2"/>
  </r>
  <r>
    <x v="56"/>
    <x v="238"/>
    <m/>
    <x v="2"/>
    <n v="1"/>
    <n v="80"/>
    <n v="84"/>
    <x v="3"/>
  </r>
  <r>
    <x v="56"/>
    <x v="238"/>
    <m/>
    <x v="11"/>
    <n v="5"/>
    <n v="375"/>
    <n v="393.75"/>
    <x v="3"/>
  </r>
  <r>
    <x v="56"/>
    <x v="12"/>
    <m/>
    <x v="2"/>
    <n v="1"/>
    <n v="100"/>
    <n v="105"/>
    <x v="2"/>
  </r>
  <r>
    <x v="56"/>
    <x v="12"/>
    <m/>
    <x v="11"/>
    <n v="20"/>
    <n v="1900"/>
    <n v="1995"/>
    <x v="2"/>
  </r>
  <r>
    <x v="56"/>
    <x v="12"/>
    <m/>
    <x v="0"/>
    <n v="20"/>
    <n v="1900"/>
    <n v="1995"/>
    <x v="2"/>
  </r>
  <r>
    <x v="56"/>
    <x v="327"/>
    <m/>
    <x v="2"/>
    <n v="1"/>
    <n v="100"/>
    <n v="105"/>
    <x v="3"/>
  </r>
  <r>
    <x v="56"/>
    <x v="350"/>
    <s v="A410392"/>
    <x v="0"/>
    <n v="5"/>
    <n v="486.75"/>
    <n v="511.08749999999998"/>
    <x v="18"/>
  </r>
  <r>
    <x v="56"/>
    <x v="3"/>
    <s v="A232126"/>
    <x v="2"/>
    <n v="25"/>
    <n v="1125"/>
    <n v="1181.25"/>
    <x v="19"/>
  </r>
  <r>
    <x v="56"/>
    <x v="3"/>
    <s v="A232126"/>
    <x v="11"/>
    <n v="200"/>
    <n v="8000"/>
    <n v="8400"/>
    <x v="19"/>
  </r>
  <r>
    <x v="56"/>
    <x v="3"/>
    <s v="A232126"/>
    <x v="0"/>
    <n v="200"/>
    <n v="8000"/>
    <n v="8400"/>
    <x v="19"/>
  </r>
  <r>
    <x v="56"/>
    <x v="51"/>
    <s v="A298567"/>
    <x v="0"/>
    <n v="25"/>
    <n v="505"/>
    <n v="530.25"/>
    <x v="18"/>
  </r>
  <r>
    <x v="56"/>
    <x v="13"/>
    <m/>
    <x v="2"/>
    <n v="4"/>
    <n v="95"/>
    <n v="99.75"/>
    <x v="2"/>
  </r>
  <r>
    <x v="56"/>
    <x v="13"/>
    <m/>
    <x v="11"/>
    <n v="20"/>
    <n v="1800"/>
    <n v="1890"/>
    <x v="2"/>
  </r>
  <r>
    <x v="56"/>
    <x v="13"/>
    <m/>
    <x v="0"/>
    <n v="20"/>
    <n v="1800"/>
    <n v="1890"/>
    <x v="2"/>
  </r>
  <r>
    <x v="56"/>
    <x v="247"/>
    <s v="A402013"/>
    <x v="0"/>
    <n v="25"/>
    <n v="532.75"/>
    <n v="559.38750000000005"/>
    <x v="18"/>
  </r>
  <r>
    <x v="56"/>
    <x v="345"/>
    <m/>
    <x v="2"/>
    <n v="1"/>
    <n v="90"/>
    <n v="94.5"/>
    <x v="2"/>
  </r>
  <r>
    <x v="56"/>
    <x v="345"/>
    <m/>
    <x v="0"/>
    <n v="20"/>
    <n v="1800"/>
    <n v="1890"/>
    <x v="2"/>
  </r>
  <r>
    <x v="56"/>
    <x v="14"/>
    <m/>
    <x v="2"/>
    <n v="1"/>
    <n v="75"/>
    <n v="78.75"/>
    <x v="2"/>
  </r>
  <r>
    <x v="56"/>
    <x v="14"/>
    <m/>
    <x v="11"/>
    <n v="25"/>
    <n v="1720"/>
    <n v="1806"/>
    <x v="2"/>
  </r>
  <r>
    <x v="56"/>
    <x v="14"/>
    <m/>
    <x v="0"/>
    <n v="20"/>
    <n v="1360"/>
    <n v="1428"/>
    <x v="2"/>
  </r>
  <r>
    <x v="57"/>
    <x v="173"/>
    <s v="P08232"/>
    <x v="7"/>
    <n v="30"/>
    <n v="7200"/>
    <m/>
    <x v="3"/>
  </r>
  <r>
    <x v="57"/>
    <x v="114"/>
    <s v="A245818"/>
    <x v="7"/>
    <n v="10"/>
    <n v="2200"/>
    <m/>
    <x v="3"/>
  </r>
  <r>
    <x v="57"/>
    <x v="156"/>
    <s v="A231705"/>
    <x v="5"/>
    <n v="25"/>
    <n v="3750"/>
    <m/>
    <x v="3"/>
  </r>
  <r>
    <x v="57"/>
    <x v="157"/>
    <s v="A244980"/>
    <x v="3"/>
    <n v="10"/>
    <n v="4400"/>
    <m/>
    <x v="3"/>
  </r>
  <r>
    <x v="57"/>
    <x v="157"/>
    <s v="A244980"/>
    <x v="4"/>
    <n v="5"/>
    <n v="2200"/>
    <m/>
    <x v="3"/>
  </r>
  <r>
    <x v="57"/>
    <x v="157"/>
    <s v="A244980"/>
    <x v="5"/>
    <n v="10"/>
    <n v="4400"/>
    <m/>
    <x v="3"/>
  </r>
  <r>
    <x v="57"/>
    <x v="158"/>
    <s v="A253376"/>
    <x v="4"/>
    <n v="5"/>
    <n v="1750"/>
    <m/>
    <x v="3"/>
  </r>
  <r>
    <x v="57"/>
    <x v="283"/>
    <s v="P04017"/>
    <x v="7"/>
    <n v="30"/>
    <n v="7950"/>
    <m/>
    <x v="3"/>
  </r>
  <r>
    <x v="57"/>
    <x v="351"/>
    <s v="A253399"/>
    <x v="4"/>
    <n v="5"/>
    <n v="1550"/>
    <m/>
    <x v="3"/>
  </r>
  <r>
    <x v="57"/>
    <x v="72"/>
    <s v="P08499"/>
    <x v="7"/>
    <n v="30"/>
    <n v="8100"/>
    <m/>
    <x v="3"/>
  </r>
  <r>
    <x v="57"/>
    <x v="352"/>
    <s v="A253321"/>
    <x v="4"/>
    <n v="5"/>
    <n v="1950"/>
    <m/>
    <x v="3"/>
  </r>
  <r>
    <x v="57"/>
    <x v="203"/>
    <s v="A240154"/>
    <x v="4"/>
    <n v="5"/>
    <n v="1600"/>
    <m/>
    <x v="3"/>
  </r>
  <r>
    <x v="58"/>
    <x v="353"/>
    <s v="A241990"/>
    <x v="9"/>
    <n v="75"/>
    <n v="6000"/>
    <m/>
    <x v="3"/>
  </r>
  <r>
    <x v="58"/>
    <x v="5"/>
    <s v="A249720"/>
    <x v="4"/>
    <n v="25"/>
    <n v="2375"/>
    <m/>
    <x v="3"/>
  </r>
  <r>
    <x v="58"/>
    <x v="5"/>
    <s v="A249720"/>
    <x v="5"/>
    <n v="50"/>
    <n v="4750"/>
    <m/>
    <x v="3"/>
  </r>
  <r>
    <x v="58"/>
    <x v="5"/>
    <s v="A249720"/>
    <x v="6"/>
    <n v="25"/>
    <n v="2500"/>
    <m/>
    <x v="3"/>
  </r>
  <r>
    <x v="58"/>
    <x v="5"/>
    <s v="A249720"/>
    <x v="7"/>
    <n v="25"/>
    <n v="2500"/>
    <m/>
    <x v="3"/>
  </r>
  <r>
    <x v="58"/>
    <x v="5"/>
    <s v="A249720"/>
    <x v="10"/>
    <n v="75"/>
    <n v="7200"/>
    <m/>
    <x v="3"/>
  </r>
  <r>
    <x v="58"/>
    <x v="5"/>
    <s v="A249720"/>
    <x v="8"/>
    <n v="250"/>
    <n v="23750"/>
    <m/>
    <x v="3"/>
  </r>
  <r>
    <x v="58"/>
    <x v="5"/>
    <s v="A249720"/>
    <x v="9"/>
    <n v="25"/>
    <n v="2375"/>
    <m/>
    <x v="3"/>
  </r>
  <r>
    <x v="58"/>
    <x v="6"/>
    <s v="A270578"/>
    <x v="7"/>
    <n v="75"/>
    <n v="5625"/>
    <m/>
    <x v="3"/>
  </r>
  <r>
    <x v="58"/>
    <x v="6"/>
    <s v="A270578"/>
    <x v="10"/>
    <n v="175"/>
    <n v="13125"/>
    <m/>
    <x v="3"/>
  </r>
  <r>
    <x v="58"/>
    <x v="6"/>
    <s v="A270578"/>
    <x v="8"/>
    <n v="50"/>
    <n v="3750"/>
    <m/>
    <x v="3"/>
  </r>
  <r>
    <x v="58"/>
    <x v="289"/>
    <s v="A234285"/>
    <x v="8"/>
    <n v="69"/>
    <n v="5520"/>
    <m/>
    <x v="3"/>
  </r>
  <r>
    <x v="58"/>
    <x v="289"/>
    <s v="A234285"/>
    <x v="9"/>
    <n v="25"/>
    <n v="2000"/>
    <m/>
    <x v="3"/>
  </r>
  <r>
    <x v="58"/>
    <x v="3"/>
    <s v="A236167"/>
    <x v="8"/>
    <n v="25"/>
    <n v="2000"/>
    <m/>
    <x v="3"/>
  </r>
  <r>
    <x v="58"/>
    <x v="16"/>
    <s v="A241225"/>
    <x v="4"/>
    <n v="50"/>
    <n v="2500"/>
    <m/>
    <x v="3"/>
  </r>
  <r>
    <x v="58"/>
    <x v="16"/>
    <s v="A241225"/>
    <x v="5"/>
    <n v="50"/>
    <n v="2500"/>
    <m/>
    <x v="3"/>
  </r>
  <r>
    <x v="58"/>
    <x v="16"/>
    <s v="A241225"/>
    <x v="6"/>
    <n v="38"/>
    <n v="2280"/>
    <m/>
    <x v="3"/>
  </r>
  <r>
    <x v="58"/>
    <x v="16"/>
    <s v="A241225"/>
    <x v="7"/>
    <n v="50"/>
    <n v="3000"/>
    <m/>
    <x v="3"/>
  </r>
  <r>
    <x v="58"/>
    <x v="16"/>
    <s v="A241225"/>
    <x v="10"/>
    <n v="25"/>
    <n v="1500"/>
    <m/>
    <x v="3"/>
  </r>
  <r>
    <x v="58"/>
    <x v="16"/>
    <s v="A235942"/>
    <x v="8"/>
    <n v="175"/>
    <n v="12250"/>
    <m/>
    <x v="3"/>
  </r>
  <r>
    <x v="58"/>
    <x v="16"/>
    <s v="A241225"/>
    <x v="8"/>
    <n v="94"/>
    <n v="6580"/>
    <m/>
    <x v="3"/>
  </r>
  <r>
    <x v="58"/>
    <x v="16"/>
    <s v="A235942"/>
    <x v="9"/>
    <n v="75"/>
    <n v="5250"/>
    <m/>
    <x v="3"/>
  </r>
  <r>
    <x v="58"/>
    <x v="354"/>
    <s v="A241275"/>
    <x v="12"/>
    <n v="70"/>
    <n v="3150"/>
    <m/>
    <x v="3"/>
  </r>
  <r>
    <x v="58"/>
    <x v="4"/>
    <s v="A231709"/>
    <x v="12"/>
    <n v="150"/>
    <n v="6750"/>
    <m/>
    <x v="3"/>
  </r>
  <r>
    <x v="58"/>
    <x v="4"/>
    <s v="A231709"/>
    <x v="3"/>
    <n v="50"/>
    <n v="2250"/>
    <m/>
    <x v="3"/>
  </r>
  <r>
    <x v="58"/>
    <x v="355"/>
    <s v="A401230"/>
    <x v="2"/>
    <n v="25"/>
    <n v="1875"/>
    <n v="1968.75"/>
    <x v="3"/>
  </r>
  <r>
    <x v="58"/>
    <x v="10"/>
    <m/>
    <x v="10"/>
    <n v="20"/>
    <n v="1800"/>
    <m/>
    <x v="3"/>
  </r>
  <r>
    <x v="58"/>
    <x v="10"/>
    <m/>
    <x v="8"/>
    <n v="100"/>
    <n v="9000"/>
    <m/>
    <x v="3"/>
  </r>
  <r>
    <x v="58"/>
    <x v="10"/>
    <m/>
    <x v="9"/>
    <n v="20"/>
    <n v="1800"/>
    <m/>
    <x v="3"/>
  </r>
  <r>
    <x v="58"/>
    <x v="10"/>
    <m/>
    <x v="1"/>
    <n v="20"/>
    <n v="1500"/>
    <n v="1575"/>
    <x v="3"/>
  </r>
  <r>
    <x v="58"/>
    <x v="19"/>
    <s v="A233442"/>
    <x v="6"/>
    <n v="50"/>
    <n v="4250"/>
    <m/>
    <x v="3"/>
  </r>
  <r>
    <x v="58"/>
    <x v="19"/>
    <s v="A233442"/>
    <x v="9"/>
    <n v="50"/>
    <n v="3750"/>
    <m/>
    <x v="3"/>
  </r>
  <r>
    <x v="59"/>
    <x v="36"/>
    <m/>
    <x v="2"/>
    <n v="25"/>
    <n v="7000"/>
    <n v="7350"/>
    <x v="3"/>
  </r>
  <r>
    <x v="59"/>
    <x v="295"/>
    <s v="A302349"/>
    <x v="1"/>
    <n v="1"/>
    <n v="170"/>
    <n v="178.5"/>
    <x v="3"/>
  </r>
  <r>
    <x v="59"/>
    <x v="23"/>
    <m/>
    <x v="2"/>
    <n v="10"/>
    <n v="2800"/>
    <n v="2940"/>
    <x v="3"/>
  </r>
  <r>
    <x v="59"/>
    <x v="23"/>
    <m/>
    <x v="11"/>
    <n v="10"/>
    <n v="2800"/>
    <n v="2940"/>
    <x v="3"/>
  </r>
  <r>
    <x v="59"/>
    <x v="356"/>
    <s v="P00861"/>
    <x v="2"/>
    <n v="1"/>
    <n v="110"/>
    <n v="115.5"/>
    <x v="3"/>
  </r>
  <r>
    <x v="59"/>
    <x v="104"/>
    <s v="A235765"/>
    <x v="2"/>
    <n v="3"/>
    <n v="300"/>
    <n v="315"/>
    <x v="3"/>
  </r>
  <r>
    <x v="59"/>
    <x v="272"/>
    <s v="A246994"/>
    <x v="2"/>
    <n v="5"/>
    <n v="700"/>
    <n v="735"/>
    <x v="3"/>
  </r>
  <r>
    <x v="59"/>
    <x v="272"/>
    <s v="A246994"/>
    <x v="11"/>
    <n v="10"/>
    <n v="1400"/>
    <n v="1470"/>
    <x v="3"/>
  </r>
  <r>
    <x v="59"/>
    <x v="91"/>
    <s v="A241367"/>
    <x v="2"/>
    <n v="1"/>
    <n v="100"/>
    <n v="105"/>
    <x v="3"/>
  </r>
  <r>
    <x v="59"/>
    <x v="210"/>
    <m/>
    <x v="2"/>
    <n v="10"/>
    <n v="2095"/>
    <n v="2199.75"/>
    <x v="3"/>
  </r>
  <r>
    <x v="59"/>
    <x v="156"/>
    <s v="A231705"/>
    <x v="2"/>
    <n v="1"/>
    <n v="80"/>
    <n v="84"/>
    <x v="3"/>
  </r>
  <r>
    <x v="59"/>
    <x v="3"/>
    <s v="A232126"/>
    <x v="2"/>
    <n v="2"/>
    <n v="160"/>
    <n v="168"/>
    <x v="3"/>
  </r>
  <r>
    <x v="59"/>
    <x v="141"/>
    <s v="A249778"/>
    <x v="2"/>
    <n v="1"/>
    <n v="80"/>
    <n v="84"/>
    <x v="3"/>
  </r>
  <r>
    <x v="59"/>
    <x v="212"/>
    <s v="P05636"/>
    <x v="2"/>
    <n v="10"/>
    <n v="4750"/>
    <n v="4987.5"/>
    <x v="3"/>
  </r>
  <r>
    <x v="59"/>
    <x v="357"/>
    <s v="A319989"/>
    <x v="2"/>
    <n v="10"/>
    <n v="900"/>
    <n v="945"/>
    <x v="3"/>
  </r>
  <r>
    <x v="59"/>
    <x v="358"/>
    <s v="A402012"/>
    <x v="2"/>
    <n v="3"/>
    <n v="240"/>
    <n v="252"/>
    <x v="3"/>
  </r>
  <r>
    <x v="59"/>
    <x v="359"/>
    <s v="A419378"/>
    <x v="11"/>
    <n v="25"/>
    <n v="4250"/>
    <n v="4462.5"/>
    <x v="3"/>
  </r>
  <r>
    <x v="59"/>
    <x v="137"/>
    <s v="P21021"/>
    <x v="2"/>
    <n v="10"/>
    <n v="2300"/>
    <n v="2415"/>
    <x v="3"/>
  </r>
  <r>
    <x v="59"/>
    <x v="137"/>
    <s v="P21021"/>
    <x v="11"/>
    <n v="5"/>
    <n v="1150"/>
    <n v="1207.5"/>
    <x v="3"/>
  </r>
  <r>
    <x v="59"/>
    <x v="218"/>
    <m/>
    <x v="11"/>
    <n v="10"/>
    <n v="5100"/>
    <n v="5355"/>
    <x v="3"/>
  </r>
  <r>
    <x v="59"/>
    <x v="360"/>
    <s v="A271046"/>
    <x v="2"/>
    <n v="2"/>
    <n v="450"/>
    <n v="472.5"/>
    <x v="3"/>
  </r>
  <r>
    <x v="59"/>
    <x v="76"/>
    <s v="A297626"/>
    <x v="1"/>
    <n v="1"/>
    <n v="180"/>
    <n v="189"/>
    <x v="3"/>
  </r>
  <r>
    <x v="59"/>
    <x v="81"/>
    <s v="P19035"/>
    <x v="1"/>
    <n v="1"/>
    <n v="180"/>
    <n v="189"/>
    <x v="3"/>
  </r>
  <r>
    <x v="60"/>
    <x v="361"/>
    <m/>
    <x v="1"/>
    <n v="5"/>
    <n v="1200"/>
    <n v="1260"/>
    <x v="3"/>
  </r>
  <r>
    <x v="60"/>
    <x v="361"/>
    <m/>
    <x v="2"/>
    <n v="15"/>
    <n v="6300"/>
    <n v="6615"/>
    <x v="3"/>
  </r>
  <r>
    <x v="60"/>
    <x v="88"/>
    <s v="A244191"/>
    <x v="8"/>
    <n v="50"/>
    <n v="3100"/>
    <m/>
    <x v="3"/>
  </r>
  <r>
    <x v="60"/>
    <x v="88"/>
    <s v="A244191"/>
    <x v="9"/>
    <n v="75"/>
    <n v="4650"/>
    <m/>
    <x v="3"/>
  </r>
  <r>
    <x v="60"/>
    <x v="88"/>
    <s v="A244191"/>
    <x v="1"/>
    <n v="25"/>
    <n v="1550"/>
    <n v="1627.5"/>
    <x v="3"/>
  </r>
  <r>
    <x v="60"/>
    <x v="88"/>
    <s v="A244191"/>
    <x v="2"/>
    <n v="50"/>
    <n v="3100"/>
    <n v="3255"/>
    <x v="3"/>
  </r>
  <r>
    <x v="60"/>
    <x v="269"/>
    <s v="A415790"/>
    <x v="2"/>
    <n v="25"/>
    <n v="1550"/>
    <n v="1627.5"/>
    <x v="3"/>
  </r>
  <r>
    <x v="60"/>
    <x v="269"/>
    <s v="A415790"/>
    <x v="11"/>
    <n v="100"/>
    <n v="6200"/>
    <n v="6510"/>
    <x v="3"/>
  </r>
  <r>
    <x v="60"/>
    <x v="362"/>
    <s v="A292789"/>
    <x v="9"/>
    <n v="25"/>
    <n v="2000"/>
    <m/>
    <x v="3"/>
  </r>
  <r>
    <x v="60"/>
    <x v="362"/>
    <s v="A292789"/>
    <x v="1"/>
    <n v="100"/>
    <n v="8000"/>
    <n v="8400"/>
    <x v="3"/>
  </r>
  <r>
    <x v="60"/>
    <x v="363"/>
    <s v="A402002"/>
    <x v="1"/>
    <n v="25"/>
    <n v="2000"/>
    <n v="2100"/>
    <x v="1"/>
  </r>
  <r>
    <x v="60"/>
    <x v="363"/>
    <s v="A402002"/>
    <x v="2"/>
    <n v="50"/>
    <n v="4000"/>
    <n v="4200"/>
    <x v="1"/>
  </r>
  <r>
    <x v="60"/>
    <x v="363"/>
    <s v="A402002"/>
    <x v="11"/>
    <n v="100"/>
    <n v="7750"/>
    <n v="8137.5"/>
    <x v="1"/>
  </r>
  <r>
    <x v="60"/>
    <x v="363"/>
    <s v="A402002"/>
    <x v="0"/>
    <n v="100"/>
    <n v="6800"/>
    <n v="7140"/>
    <x v="1"/>
  </r>
  <r>
    <x v="60"/>
    <x v="364"/>
    <s v="A302349"/>
    <x v="2"/>
    <n v="100"/>
    <n v="13000"/>
    <n v="13650"/>
    <x v="3"/>
  </r>
  <r>
    <x v="60"/>
    <x v="298"/>
    <s v="A416950"/>
    <x v="11"/>
    <n v="25"/>
    <n v="3250"/>
    <n v="3412.5"/>
    <x v="2"/>
  </r>
  <r>
    <x v="60"/>
    <x v="298"/>
    <s v="A416950"/>
    <x v="0"/>
    <n v="75"/>
    <n v="8850"/>
    <n v="9292.5"/>
    <x v="2"/>
  </r>
  <r>
    <x v="60"/>
    <x v="319"/>
    <s v="A248264"/>
    <x v="9"/>
    <n v="50"/>
    <n v="4500"/>
    <m/>
    <x v="2"/>
  </r>
  <r>
    <x v="60"/>
    <x v="319"/>
    <s v="A248264"/>
    <x v="11"/>
    <n v="25"/>
    <n v="2250"/>
    <n v="2362.5"/>
    <x v="2"/>
  </r>
  <r>
    <x v="60"/>
    <x v="319"/>
    <s v="A248264"/>
    <x v="0"/>
    <n v="25"/>
    <n v="1875"/>
    <n v="1968.75"/>
    <x v="2"/>
  </r>
  <r>
    <x v="60"/>
    <x v="365"/>
    <s v="A243761"/>
    <x v="3"/>
    <n v="1"/>
    <n v="80"/>
    <m/>
    <x v="3"/>
  </r>
  <r>
    <x v="60"/>
    <x v="299"/>
    <s v="A404821"/>
    <x v="0"/>
    <n v="25"/>
    <n v="1875"/>
    <n v="1968.75"/>
    <x v="20"/>
  </r>
  <r>
    <x v="60"/>
    <x v="337"/>
    <s v="A419371"/>
    <x v="11"/>
    <n v="50"/>
    <n v="3750"/>
    <n v="3937.5"/>
    <x v="3"/>
  </r>
  <r>
    <x v="60"/>
    <x v="366"/>
    <s v="A238073"/>
    <x v="8"/>
    <n v="10"/>
    <n v="780"/>
    <m/>
    <x v="3"/>
  </r>
  <r>
    <x v="60"/>
    <x v="366"/>
    <s v="A238073"/>
    <x v="2"/>
    <n v="10"/>
    <n v="780"/>
    <n v="819"/>
    <x v="3"/>
  </r>
  <r>
    <x v="60"/>
    <x v="366"/>
    <s v="A238073"/>
    <x v="11"/>
    <n v="50"/>
    <n v="3650"/>
    <n v="3832.5"/>
    <x v="3"/>
  </r>
  <r>
    <x v="60"/>
    <x v="367"/>
    <s v="P14424"/>
    <x v="2"/>
    <n v="25"/>
    <n v="2750"/>
    <n v="2887.5"/>
    <x v="3"/>
  </r>
  <r>
    <x v="60"/>
    <x v="367"/>
    <s v="P14424"/>
    <x v="11"/>
    <n v="35"/>
    <n v="3850"/>
    <n v="4042.5"/>
    <x v="3"/>
  </r>
  <r>
    <x v="60"/>
    <x v="125"/>
    <s v="A238189"/>
    <x v="2"/>
    <n v="75"/>
    <n v="9000"/>
    <n v="9450"/>
    <x v="21"/>
  </r>
  <r>
    <x v="60"/>
    <x v="125"/>
    <s v="A238189"/>
    <x v="11"/>
    <n v="25"/>
    <n v="3000"/>
    <n v="3150"/>
    <x v="21"/>
  </r>
  <r>
    <x v="60"/>
    <x v="125"/>
    <s v="A238189"/>
    <x v="0"/>
    <n v="50"/>
    <n v="5250"/>
    <n v="5512.5"/>
    <x v="21"/>
  </r>
  <r>
    <x v="60"/>
    <x v="368"/>
    <s v="A299995"/>
    <x v="7"/>
    <n v="15"/>
    <n v="1050"/>
    <m/>
    <x v="3"/>
  </r>
  <r>
    <x v="60"/>
    <x v="322"/>
    <s v="A275616"/>
    <x v="2"/>
    <n v="25"/>
    <n v="2375"/>
    <n v="2493.75"/>
    <x v="3"/>
  </r>
  <r>
    <x v="60"/>
    <x v="270"/>
    <s v="A415885"/>
    <x v="11"/>
    <n v="25"/>
    <n v="2375"/>
    <n v="2493.75"/>
    <x v="3"/>
  </r>
  <r>
    <x v="60"/>
    <x v="323"/>
    <s v="A292785"/>
    <x v="2"/>
    <n v="25"/>
    <n v="1750"/>
    <n v="1837.5"/>
    <x v="8"/>
  </r>
  <r>
    <x v="60"/>
    <x v="323"/>
    <s v="A292785"/>
    <x v="11"/>
    <n v="25"/>
    <n v="1750"/>
    <n v="1837.5"/>
    <x v="8"/>
  </r>
  <r>
    <x v="60"/>
    <x v="323"/>
    <s v="A292785"/>
    <x v="0"/>
    <n v="50"/>
    <n v="3400"/>
    <n v="3570"/>
    <x v="8"/>
  </r>
  <r>
    <x v="60"/>
    <x v="369"/>
    <m/>
    <x v="9"/>
    <n v="20"/>
    <n v="1600"/>
    <m/>
    <x v="3"/>
  </r>
  <r>
    <x v="60"/>
    <x v="234"/>
    <s v="A305995"/>
    <x v="7"/>
    <n v="25"/>
    <n v="2000"/>
    <m/>
    <x v="2"/>
  </r>
  <r>
    <x v="60"/>
    <x v="370"/>
    <m/>
    <x v="0"/>
    <n v="100"/>
    <n v="7800"/>
    <n v="8190"/>
    <x v="22"/>
  </r>
  <r>
    <x v="60"/>
    <x v="306"/>
    <s v="A244199"/>
    <x v="4"/>
    <n v="25"/>
    <n v="1750"/>
    <m/>
    <x v="3"/>
  </r>
  <r>
    <x v="60"/>
    <x v="306"/>
    <s v="A244199"/>
    <x v="8"/>
    <n v="25"/>
    <n v="1800"/>
    <m/>
    <x v="3"/>
  </r>
  <r>
    <x v="60"/>
    <x v="306"/>
    <s v="A244199"/>
    <x v="0"/>
    <n v="25"/>
    <n v="1750"/>
    <n v="1837.5"/>
    <x v="3"/>
  </r>
  <r>
    <x v="60"/>
    <x v="371"/>
    <s v="A260799"/>
    <x v="2"/>
    <n v="100"/>
    <n v="9500"/>
    <n v="9975"/>
    <x v="3"/>
  </r>
  <r>
    <x v="60"/>
    <x v="372"/>
    <s v="A260799"/>
    <x v="11"/>
    <n v="50"/>
    <n v="4750"/>
    <n v="4987.5"/>
    <x v="23"/>
  </r>
  <r>
    <x v="60"/>
    <x v="372"/>
    <s v="A260799"/>
    <x v="0"/>
    <n v="100"/>
    <n v="8500"/>
    <n v="8925"/>
    <x v="23"/>
  </r>
  <r>
    <x v="60"/>
    <x v="373"/>
    <s v="A241556"/>
    <x v="4"/>
    <n v="25"/>
    <n v="1750"/>
    <m/>
    <x v="3"/>
  </r>
  <r>
    <x v="60"/>
    <x v="373"/>
    <s v="A241556"/>
    <x v="7"/>
    <n v="25"/>
    <n v="1750"/>
    <m/>
    <x v="3"/>
  </r>
  <r>
    <x v="60"/>
    <x v="238"/>
    <m/>
    <x v="9"/>
    <n v="1"/>
    <n v="130"/>
    <m/>
    <x v="3"/>
  </r>
  <r>
    <x v="60"/>
    <x v="6"/>
    <s v="A270578"/>
    <x v="1"/>
    <n v="50"/>
    <n v="3750"/>
    <n v="3937.5"/>
    <x v="3"/>
  </r>
  <r>
    <x v="60"/>
    <x v="6"/>
    <s v="A270578"/>
    <x v="2"/>
    <n v="100"/>
    <n v="7500"/>
    <n v="7875"/>
    <x v="3"/>
  </r>
  <r>
    <x v="60"/>
    <x v="6"/>
    <s v="A270578"/>
    <x v="11"/>
    <n v="75"/>
    <n v="5625"/>
    <n v="5906.25"/>
    <x v="3"/>
  </r>
  <r>
    <x v="60"/>
    <x v="374"/>
    <s v="P782894"/>
    <x v="0"/>
    <n v="75"/>
    <n v="5250"/>
    <n v="5512.5"/>
    <x v="1"/>
  </r>
  <r>
    <x v="60"/>
    <x v="93"/>
    <s v="A231708"/>
    <x v="3"/>
    <n v="75"/>
    <n v="3000"/>
    <m/>
    <x v="3"/>
  </r>
  <r>
    <x v="60"/>
    <x v="93"/>
    <s v="A231708"/>
    <x v="4"/>
    <n v="25"/>
    <n v="1375"/>
    <m/>
    <x v="3"/>
  </r>
  <r>
    <x v="60"/>
    <x v="289"/>
    <s v="A234285"/>
    <x v="8"/>
    <n v="25"/>
    <n v="2000"/>
    <m/>
    <x v="3"/>
  </r>
  <r>
    <x v="60"/>
    <x v="375"/>
    <s v="A245887"/>
    <x v="3"/>
    <n v="1"/>
    <n v="150"/>
    <m/>
    <x v="3"/>
  </r>
  <r>
    <x v="60"/>
    <x v="376"/>
    <s v="P04017"/>
    <x v="2"/>
    <n v="50"/>
    <n v="5250"/>
    <n v="5512.5"/>
    <x v="3"/>
  </r>
  <r>
    <x v="60"/>
    <x v="376"/>
    <s v="P04017"/>
    <x v="11"/>
    <n v="25"/>
    <n v="2625"/>
    <n v="2756.25"/>
    <x v="3"/>
  </r>
  <r>
    <x v="60"/>
    <x v="3"/>
    <s v="A232126"/>
    <x v="4"/>
    <n v="25"/>
    <n v="2200"/>
    <m/>
    <x v="5"/>
  </r>
  <r>
    <x v="60"/>
    <x v="3"/>
    <s v="A232126"/>
    <x v="6"/>
    <n v="25"/>
    <n v="2200"/>
    <m/>
    <x v="5"/>
  </r>
  <r>
    <x v="60"/>
    <x v="3"/>
    <s v="A232126"/>
    <x v="7"/>
    <n v="25"/>
    <n v="2200"/>
    <m/>
    <x v="5"/>
  </r>
  <r>
    <x v="60"/>
    <x v="3"/>
    <s v="A232126"/>
    <x v="10"/>
    <n v="100"/>
    <n v="9500"/>
    <m/>
    <x v="5"/>
  </r>
  <r>
    <x v="60"/>
    <x v="3"/>
    <s v="A232126"/>
    <x v="8"/>
    <n v="240"/>
    <n v="20425"/>
    <m/>
    <x v="5"/>
  </r>
  <r>
    <x v="60"/>
    <x v="3"/>
    <s v="A232126"/>
    <x v="9"/>
    <n v="377"/>
    <n v="36085"/>
    <m/>
    <x v="5"/>
  </r>
  <r>
    <x v="60"/>
    <x v="3"/>
    <s v="A232126"/>
    <x v="1"/>
    <n v="75"/>
    <n v="5250"/>
    <n v="5512.5"/>
    <x v="5"/>
  </r>
  <r>
    <x v="60"/>
    <x v="3"/>
    <s v="A232126"/>
    <x v="2"/>
    <n v="25"/>
    <n v="1750"/>
    <n v="1837.5"/>
    <x v="5"/>
  </r>
  <r>
    <x v="60"/>
    <x v="3"/>
    <s v="A232126"/>
    <x v="11"/>
    <n v="150"/>
    <n v="10500"/>
    <n v="11025"/>
    <x v="5"/>
  </r>
  <r>
    <x v="60"/>
    <x v="3"/>
    <s v="A232126"/>
    <x v="0"/>
    <n v="100"/>
    <n v="7000"/>
    <n v="7350"/>
    <x v="5"/>
  </r>
  <r>
    <x v="60"/>
    <x v="16"/>
    <s v="A241225"/>
    <x v="8"/>
    <n v="25"/>
    <n v="1750"/>
    <m/>
    <x v="3"/>
  </r>
  <r>
    <x v="60"/>
    <x v="275"/>
    <s v="A271087"/>
    <x v="9"/>
    <n v="25"/>
    <n v="2250"/>
    <m/>
    <x v="3"/>
  </r>
  <r>
    <x v="60"/>
    <x v="4"/>
    <s v="A231709"/>
    <x v="8"/>
    <n v="25"/>
    <n v="1500"/>
    <m/>
    <x v="3"/>
  </r>
  <r>
    <x v="60"/>
    <x v="51"/>
    <s v="A298567"/>
    <x v="9"/>
    <n v="50"/>
    <n v="3000"/>
    <m/>
    <x v="3"/>
  </r>
  <r>
    <x v="60"/>
    <x v="51"/>
    <s v="A298567"/>
    <x v="1"/>
    <n v="25"/>
    <n v="1500"/>
    <n v="1575"/>
    <x v="3"/>
  </r>
  <r>
    <x v="60"/>
    <x v="51"/>
    <s v="A298567"/>
    <x v="2"/>
    <n v="25"/>
    <n v="1500"/>
    <n v="1575"/>
    <x v="3"/>
  </r>
  <r>
    <x v="60"/>
    <x v="51"/>
    <s v="A298567"/>
    <x v="11"/>
    <n v="50"/>
    <n v="3000"/>
    <n v="3150"/>
    <x v="3"/>
  </r>
  <r>
    <x v="60"/>
    <x v="377"/>
    <s v="A248596"/>
    <x v="6"/>
    <n v="5"/>
    <n v="375"/>
    <m/>
    <x v="3"/>
  </r>
  <r>
    <x v="60"/>
    <x v="377"/>
    <s v="A248596"/>
    <x v="10"/>
    <n v="75"/>
    <n v="5625"/>
    <m/>
    <x v="3"/>
  </r>
  <r>
    <x v="60"/>
    <x v="377"/>
    <s v="A248596"/>
    <x v="8"/>
    <n v="75"/>
    <n v="5625"/>
    <m/>
    <x v="3"/>
  </r>
  <r>
    <x v="60"/>
    <x v="377"/>
    <s v="A248596"/>
    <x v="9"/>
    <n v="50"/>
    <n v="3750"/>
    <m/>
    <x v="3"/>
  </r>
  <r>
    <x v="60"/>
    <x v="242"/>
    <s v="A287749"/>
    <x v="2"/>
    <n v="25"/>
    <n v="1550"/>
    <n v="1627.5"/>
    <x v="3"/>
  </r>
  <r>
    <x v="60"/>
    <x v="53"/>
    <s v="A249179"/>
    <x v="2"/>
    <n v="25"/>
    <n v="2000"/>
    <n v="2100"/>
    <x v="3"/>
  </r>
  <r>
    <x v="60"/>
    <x v="53"/>
    <s v="A249179"/>
    <x v="11"/>
    <n v="25"/>
    <n v="2000"/>
    <n v="2100"/>
    <x v="3"/>
  </r>
  <r>
    <x v="60"/>
    <x v="94"/>
    <s v="A339929"/>
    <x v="8"/>
    <n v="25"/>
    <n v="2000"/>
    <m/>
    <x v="3"/>
  </r>
  <r>
    <x v="60"/>
    <x v="94"/>
    <s v="A339929"/>
    <x v="9"/>
    <n v="25"/>
    <n v="2000"/>
    <m/>
    <x v="3"/>
  </r>
  <r>
    <x v="60"/>
    <x v="94"/>
    <s v="A339929"/>
    <x v="1"/>
    <n v="25"/>
    <n v="2000"/>
    <n v="2100"/>
    <x v="3"/>
  </r>
  <r>
    <x v="60"/>
    <x v="378"/>
    <m/>
    <x v="0"/>
    <n v="50"/>
    <n v="4250"/>
    <n v="4462.5"/>
    <x v="24"/>
  </r>
  <r>
    <x v="60"/>
    <x v="379"/>
    <s v="A292908"/>
    <x v="8"/>
    <n v="5"/>
    <n v="675"/>
    <m/>
    <x v="3"/>
  </r>
  <r>
    <x v="60"/>
    <x v="379"/>
    <s v="A292908"/>
    <x v="9"/>
    <n v="50"/>
    <n v="6750"/>
    <m/>
    <x v="3"/>
  </r>
  <r>
    <x v="60"/>
    <x v="379"/>
    <s v="A292908"/>
    <x v="1"/>
    <n v="25"/>
    <n v="3375"/>
    <n v="3543.75"/>
    <x v="3"/>
  </r>
  <r>
    <x v="60"/>
    <x v="379"/>
    <s v="A292908"/>
    <x v="2"/>
    <n v="50"/>
    <n v="6750"/>
    <n v="7087.5"/>
    <x v="3"/>
  </r>
  <r>
    <x v="60"/>
    <x v="292"/>
    <s v="A276839"/>
    <x v="1"/>
    <n v="25"/>
    <n v="2300"/>
    <n v="2415"/>
    <x v="3"/>
  </r>
  <r>
    <x v="60"/>
    <x v="196"/>
    <s v="A240864"/>
    <x v="11"/>
    <n v="25"/>
    <n v="3375"/>
    <n v="3543.75"/>
    <x v="25"/>
  </r>
  <r>
    <x v="60"/>
    <x v="196"/>
    <s v="A240864"/>
    <x v="0"/>
    <n v="50"/>
    <n v="5900"/>
    <n v="6195"/>
    <x v="25"/>
  </r>
  <r>
    <x v="60"/>
    <x v="30"/>
    <s v="A233444"/>
    <x v="3"/>
    <n v="25"/>
    <n v="1200"/>
    <m/>
    <x v="3"/>
  </r>
  <r>
    <x v="60"/>
    <x v="30"/>
    <s v="A233444"/>
    <x v="4"/>
    <n v="25"/>
    <n v="1500"/>
    <m/>
    <x v="3"/>
  </r>
  <r>
    <x v="60"/>
    <x v="30"/>
    <s v="A233444"/>
    <x v="1"/>
    <n v="100"/>
    <n v="8500"/>
    <n v="8925"/>
    <x v="3"/>
  </r>
  <r>
    <x v="60"/>
    <x v="30"/>
    <s v="A233444"/>
    <x v="2"/>
    <n v="50"/>
    <n v="4250"/>
    <n v="4462.5"/>
    <x v="3"/>
  </r>
  <r>
    <x v="60"/>
    <x v="30"/>
    <s v="A233444"/>
    <x v="11"/>
    <n v="50"/>
    <n v="4250"/>
    <n v="4462.5"/>
    <x v="3"/>
  </r>
  <r>
    <x v="60"/>
    <x v="213"/>
    <s v="A272357"/>
    <x v="8"/>
    <n v="25"/>
    <n v="2500"/>
    <m/>
    <x v="3"/>
  </r>
  <r>
    <x v="60"/>
    <x v="333"/>
    <s v="A317824"/>
    <x v="2"/>
    <n v="25"/>
    <n v="2125"/>
    <n v="2231.25"/>
    <x v="3"/>
  </r>
  <r>
    <x v="60"/>
    <x v="293"/>
    <s v="A248825"/>
    <x v="11"/>
    <n v="25"/>
    <n v="2000"/>
    <n v="2100"/>
    <x v="3"/>
  </r>
  <r>
    <x v="60"/>
    <x v="243"/>
    <s v="A232125"/>
    <x v="4"/>
    <n v="25"/>
    <n v="2250"/>
    <m/>
    <x v="3"/>
  </r>
  <r>
    <x v="60"/>
    <x v="380"/>
    <s v="P782345"/>
    <x v="11"/>
    <n v="50"/>
    <n v="4000"/>
    <n v="4200"/>
    <x v="3"/>
  </r>
  <r>
    <x v="60"/>
    <x v="357"/>
    <s v="A319989"/>
    <x v="8"/>
    <n v="35"/>
    <n v="2625"/>
    <m/>
    <x v="3"/>
  </r>
  <r>
    <x v="60"/>
    <x v="357"/>
    <s v="A319989"/>
    <x v="9"/>
    <n v="175"/>
    <n v="13125"/>
    <m/>
    <x v="3"/>
  </r>
  <r>
    <x v="60"/>
    <x v="357"/>
    <s v="A319989"/>
    <x v="1"/>
    <n v="45"/>
    <n v="3625"/>
    <n v="3806.25"/>
    <x v="3"/>
  </r>
  <r>
    <x v="60"/>
    <x v="357"/>
    <s v="A319989"/>
    <x v="2"/>
    <n v="25"/>
    <n v="1875"/>
    <n v="1968.75"/>
    <x v="3"/>
  </r>
  <r>
    <x v="60"/>
    <x v="177"/>
    <s v="A292781"/>
    <x v="8"/>
    <n v="10"/>
    <n v="750"/>
    <m/>
    <x v="3"/>
  </r>
  <r>
    <x v="60"/>
    <x v="97"/>
    <s v="A299992"/>
    <x v="8"/>
    <n v="23"/>
    <n v="1610"/>
    <m/>
    <x v="3"/>
  </r>
  <r>
    <x v="60"/>
    <x v="166"/>
    <s v="A231706"/>
    <x v="8"/>
    <n v="15"/>
    <n v="1125"/>
    <m/>
    <x v="3"/>
  </r>
  <r>
    <x v="60"/>
    <x v="166"/>
    <s v="A231706"/>
    <x v="1"/>
    <n v="125"/>
    <n v="9375"/>
    <n v="9843.75"/>
    <x v="3"/>
  </r>
  <r>
    <x v="60"/>
    <x v="166"/>
    <s v="A231706"/>
    <x v="2"/>
    <n v="125"/>
    <n v="9375"/>
    <n v="9843.75"/>
    <x v="3"/>
  </r>
  <r>
    <x v="60"/>
    <x v="344"/>
    <s v="A415791"/>
    <x v="11"/>
    <n v="125"/>
    <n v="9375"/>
    <n v="9843.75"/>
    <x v="3"/>
  </r>
  <r>
    <x v="60"/>
    <x v="381"/>
    <s v="A230556"/>
    <x v="3"/>
    <n v="1"/>
    <n v="80"/>
    <m/>
    <x v="3"/>
  </r>
  <r>
    <x v="60"/>
    <x v="335"/>
    <s v="A349425"/>
    <x v="2"/>
    <n v="200"/>
    <n v="20750"/>
    <n v="21787.5"/>
    <x v="2"/>
  </r>
  <r>
    <x v="60"/>
    <x v="335"/>
    <s v="A349425"/>
    <x v="11"/>
    <n v="50"/>
    <n v="5375"/>
    <n v="5643.75"/>
    <x v="2"/>
  </r>
  <r>
    <x v="60"/>
    <x v="335"/>
    <s v="A349425"/>
    <x v="0"/>
    <n v="100"/>
    <n v="9800"/>
    <n v="10290"/>
    <x v="2"/>
  </r>
  <r>
    <x v="60"/>
    <x v="382"/>
    <s v="A347009"/>
    <x v="9"/>
    <n v="25"/>
    <n v="1875"/>
    <m/>
    <x v="3"/>
  </r>
  <r>
    <x v="60"/>
    <x v="19"/>
    <s v="A233442"/>
    <x v="3"/>
    <n v="25"/>
    <n v="1200"/>
    <m/>
    <x v="3"/>
  </r>
  <r>
    <x v="60"/>
    <x v="19"/>
    <s v="A233442"/>
    <x v="4"/>
    <n v="25"/>
    <n v="1150"/>
    <m/>
    <x v="3"/>
  </r>
  <r>
    <x v="60"/>
    <x v="19"/>
    <s v="A233442"/>
    <x v="6"/>
    <n v="25"/>
    <n v="1625"/>
    <m/>
    <x v="3"/>
  </r>
  <r>
    <x v="60"/>
    <x v="19"/>
    <s v="A233442"/>
    <x v="7"/>
    <n v="50"/>
    <n v="3250"/>
    <m/>
    <x v="3"/>
  </r>
  <r>
    <x v="60"/>
    <x v="19"/>
    <s v="A233442"/>
    <x v="9"/>
    <n v="100"/>
    <n v="6500"/>
    <m/>
    <x v="3"/>
  </r>
  <r>
    <x v="60"/>
    <x v="383"/>
    <s v="A305994"/>
    <x v="7"/>
    <n v="25"/>
    <n v="1875"/>
    <m/>
    <x v="3"/>
  </r>
  <r>
    <x v="60"/>
    <x v="383"/>
    <s v="A305994"/>
    <x v="11"/>
    <n v="25"/>
    <n v="1875"/>
    <n v="1968.75"/>
    <x v="3"/>
  </r>
  <r>
    <x v="60"/>
    <x v="34"/>
    <s v="A258696"/>
    <x v="1"/>
    <n v="25"/>
    <n v="2000"/>
    <n v="2100"/>
    <x v="5"/>
  </r>
  <r>
    <x v="60"/>
    <x v="34"/>
    <s v="A258696"/>
    <x v="2"/>
    <n v="25"/>
    <n v="2000"/>
    <n v="2100"/>
    <x v="5"/>
  </r>
  <r>
    <x v="60"/>
    <x v="34"/>
    <s v="A258696"/>
    <x v="0"/>
    <n v="25"/>
    <n v="1800"/>
    <n v="1890"/>
    <x v="5"/>
  </r>
  <r>
    <x v="60"/>
    <x v="253"/>
    <s v="A249315"/>
    <x v="4"/>
    <n v="25"/>
    <n v="2125"/>
    <m/>
    <x v="3"/>
  </r>
  <r>
    <x v="60"/>
    <x v="253"/>
    <s v="A249315"/>
    <x v="6"/>
    <n v="25"/>
    <n v="2125"/>
    <m/>
    <x v="3"/>
  </r>
  <r>
    <x v="60"/>
    <x v="253"/>
    <s v="A249315"/>
    <x v="8"/>
    <n v="25"/>
    <n v="2500"/>
    <m/>
    <x v="3"/>
  </r>
  <r>
    <x v="60"/>
    <x v="103"/>
    <s v="A299996"/>
    <x v="8"/>
    <n v="50"/>
    <n v="4000"/>
    <m/>
    <x v="3"/>
  </r>
  <r>
    <x v="60"/>
    <x v="103"/>
    <s v="A299996"/>
    <x v="9"/>
    <n v="75"/>
    <n v="6000"/>
    <m/>
    <x v="3"/>
  </r>
  <r>
    <x v="60"/>
    <x v="103"/>
    <s v="A299996"/>
    <x v="1"/>
    <n v="25"/>
    <n v="2000"/>
    <n v="2100"/>
    <x v="3"/>
  </r>
  <r>
    <x v="60"/>
    <x v="347"/>
    <s v="A417703"/>
    <x v="11"/>
    <n v="50"/>
    <n v="4000"/>
    <n v="4200"/>
    <x v="3"/>
  </r>
  <r>
    <x v="60"/>
    <x v="79"/>
    <s v="A299988"/>
    <x v="9"/>
    <n v="10"/>
    <n v="850"/>
    <m/>
    <x v="2"/>
  </r>
  <r>
    <x v="60"/>
    <x v="79"/>
    <s v="A299988"/>
    <x v="1"/>
    <n v="50"/>
    <n v="4250"/>
    <n v="4462.5"/>
    <x v="2"/>
  </r>
  <r>
    <x v="60"/>
    <x v="79"/>
    <s v="A299988"/>
    <x v="0"/>
    <n v="25"/>
    <n v="1875"/>
    <n v="1968.75"/>
    <x v="2"/>
  </r>
  <r>
    <x v="60"/>
    <x v="384"/>
    <s v="A263697"/>
    <x v="4"/>
    <n v="25"/>
    <n v="1750"/>
    <m/>
    <x v="3"/>
  </r>
  <r>
    <x v="60"/>
    <x v="385"/>
    <s v="A305993"/>
    <x v="7"/>
    <n v="25"/>
    <n v="1925"/>
    <m/>
    <x v="3"/>
  </r>
  <r>
    <x v="61"/>
    <x v="353"/>
    <s v="A241990"/>
    <x v="9"/>
    <n v="110"/>
    <n v="8925"/>
    <m/>
    <x v="3"/>
  </r>
  <r>
    <x v="61"/>
    <x v="8"/>
    <m/>
    <x v="9"/>
    <n v="28"/>
    <n v="13820"/>
    <m/>
    <x v="3"/>
  </r>
  <r>
    <x v="61"/>
    <x v="386"/>
    <m/>
    <x v="1"/>
    <n v="1"/>
    <n v="490"/>
    <n v="514.5"/>
    <x v="3"/>
  </r>
  <r>
    <x v="61"/>
    <x v="228"/>
    <s v="A306319"/>
    <x v="9"/>
    <n v="25"/>
    <n v="1625"/>
    <m/>
    <x v="3"/>
  </r>
  <r>
    <x v="61"/>
    <x v="123"/>
    <m/>
    <x v="9"/>
    <n v="2"/>
    <n v="160"/>
    <m/>
    <x v="3"/>
  </r>
  <r>
    <x v="61"/>
    <x v="123"/>
    <m/>
    <x v="1"/>
    <n v="5"/>
    <n v="500"/>
    <n v="525"/>
    <x v="3"/>
  </r>
  <r>
    <x v="61"/>
    <x v="10"/>
    <m/>
    <x v="8"/>
    <n v="2.5"/>
    <n v="225"/>
    <m/>
    <x v="3"/>
  </r>
  <r>
    <x v="61"/>
    <x v="10"/>
    <m/>
    <x v="9"/>
    <n v="20"/>
    <n v="1800"/>
    <m/>
    <x v="3"/>
  </r>
  <r>
    <x v="62"/>
    <x v="387"/>
    <m/>
    <x v="10"/>
    <n v="5"/>
    <n v="325"/>
    <m/>
    <x v="3"/>
  </r>
  <r>
    <x v="62"/>
    <x v="6"/>
    <s v="A270578"/>
    <x v="10"/>
    <n v="10"/>
    <n v="950"/>
    <m/>
    <x v="3"/>
  </r>
  <r>
    <x v="62"/>
    <x v="388"/>
    <m/>
    <x v="7"/>
    <n v="20"/>
    <n v="1800"/>
    <m/>
    <x v="3"/>
  </r>
  <r>
    <x v="62"/>
    <x v="10"/>
    <m/>
    <x v="7"/>
    <n v="60"/>
    <n v="5100"/>
    <m/>
    <x v="3"/>
  </r>
  <r>
    <x v="63"/>
    <x v="389"/>
    <m/>
    <x v="0"/>
    <n v="25"/>
    <n v="1000"/>
    <n v="1050"/>
    <x v="26"/>
  </r>
  <r>
    <x v="63"/>
    <x v="390"/>
    <m/>
    <x v="0"/>
    <n v="50"/>
    <n v="2000"/>
    <n v="2100"/>
    <x v="27"/>
  </r>
  <r>
    <x v="63"/>
    <x v="391"/>
    <m/>
    <x v="0"/>
    <n v="50"/>
    <n v="2000"/>
    <n v="2100"/>
    <x v="21"/>
  </r>
  <r>
    <x v="63"/>
    <x v="392"/>
    <m/>
    <x v="0"/>
    <n v="30"/>
    <n v="1020"/>
    <n v="1071"/>
    <x v="28"/>
  </r>
  <r>
    <x v="63"/>
    <x v="393"/>
    <m/>
    <x v="0"/>
    <n v="100"/>
    <n v="3500"/>
    <n v="3675"/>
    <x v="21"/>
  </r>
  <r>
    <x v="64"/>
    <x v="373"/>
    <s v="A241556"/>
    <x v="10"/>
    <n v="25"/>
    <n v="2750"/>
    <m/>
    <x v="3"/>
  </r>
  <r>
    <x v="64"/>
    <x v="93"/>
    <s v="A231708"/>
    <x v="8"/>
    <n v="50"/>
    <n v="3250"/>
    <m/>
    <x v="3"/>
  </r>
  <r>
    <x v="64"/>
    <x v="93"/>
    <s v="A231708"/>
    <x v="9"/>
    <n v="40"/>
    <n v="2600"/>
    <m/>
    <x v="3"/>
  </r>
  <r>
    <x v="64"/>
    <x v="141"/>
    <s v="A249778"/>
    <x v="8"/>
    <n v="25"/>
    <n v="2125"/>
    <m/>
    <x v="3"/>
  </r>
  <r>
    <x v="64"/>
    <x v="141"/>
    <s v="A249778"/>
    <x v="9"/>
    <n v="65"/>
    <n v="5025"/>
    <m/>
    <x v="3"/>
  </r>
  <r>
    <x v="64"/>
    <x v="141"/>
    <s v="A249778"/>
    <x v="1"/>
    <n v="10"/>
    <n v="770"/>
    <n v="808.5"/>
    <x v="3"/>
  </r>
  <r>
    <x v="64"/>
    <x v="16"/>
    <s v="A297444"/>
    <x v="8"/>
    <n v="25"/>
    <n v="1875"/>
    <m/>
    <x v="3"/>
  </r>
  <r>
    <x v="64"/>
    <x v="394"/>
    <s v="A242640"/>
    <x v="10"/>
    <n v="25"/>
    <n v="1625"/>
    <m/>
    <x v="3"/>
  </r>
  <r>
    <x v="64"/>
    <x v="394"/>
    <s v="A242640"/>
    <x v="8"/>
    <n v="50"/>
    <n v="3250"/>
    <m/>
    <x v="3"/>
  </r>
  <r>
    <x v="64"/>
    <x v="394"/>
    <s v="A242640"/>
    <x v="9"/>
    <n v="90"/>
    <n v="5850"/>
    <m/>
    <x v="3"/>
  </r>
  <r>
    <x v="64"/>
    <x v="394"/>
    <s v="A242640"/>
    <x v="1"/>
    <n v="10"/>
    <n v="650"/>
    <n v="682.5"/>
    <x v="3"/>
  </r>
  <r>
    <x v="64"/>
    <x v="242"/>
    <s v="A321587"/>
    <x v="10"/>
    <n v="15"/>
    <n v="1200"/>
    <m/>
    <x v="3"/>
  </r>
  <r>
    <x v="64"/>
    <x v="228"/>
    <s v="A306319"/>
    <x v="9"/>
    <n v="25"/>
    <n v="1875"/>
    <m/>
    <x v="3"/>
  </r>
  <r>
    <x v="64"/>
    <x v="166"/>
    <s v="A231706"/>
    <x v="8"/>
    <n v="25"/>
    <n v="1875"/>
    <m/>
    <x v="3"/>
  </r>
  <r>
    <x v="64"/>
    <x v="166"/>
    <s v="A231706"/>
    <x v="9"/>
    <n v="40"/>
    <n v="2600"/>
    <m/>
    <x v="3"/>
  </r>
  <r>
    <x v="64"/>
    <x v="166"/>
    <s v="A231706"/>
    <x v="1"/>
    <n v="25"/>
    <n v="2000"/>
    <n v="2100"/>
    <x v="3"/>
  </r>
  <r>
    <x v="64"/>
    <x v="395"/>
    <s v="A250893"/>
    <x v="10"/>
    <n v="10"/>
    <n v="900"/>
    <m/>
    <x v="3"/>
  </r>
  <r>
    <x v="64"/>
    <x v="395"/>
    <s v="A250893"/>
    <x v="8"/>
    <n v="20"/>
    <n v="2250"/>
    <m/>
    <x v="3"/>
  </r>
  <r>
    <x v="64"/>
    <x v="1"/>
    <s v="A231710"/>
    <x v="10"/>
    <n v="25"/>
    <n v="2250"/>
    <m/>
    <x v="3"/>
  </r>
  <r>
    <x v="65"/>
    <x v="21"/>
    <s v="P08232"/>
    <x v="2"/>
    <n v="41"/>
    <n v="6558"/>
    <n v="6885.9"/>
    <x v="5"/>
  </r>
  <r>
    <x v="65"/>
    <x v="21"/>
    <s v="P08232"/>
    <x v="11"/>
    <n v="135"/>
    <n v="21275"/>
    <n v="22338.75"/>
    <x v="5"/>
  </r>
  <r>
    <x v="65"/>
    <x v="21"/>
    <s v="P08232"/>
    <x v="0"/>
    <n v="10"/>
    <n v="1550"/>
    <n v="1627.5"/>
    <x v="5"/>
  </r>
  <r>
    <x v="65"/>
    <x v="396"/>
    <m/>
    <x v="2"/>
    <n v="20"/>
    <n v="2800"/>
    <n v="2940"/>
    <x v="29"/>
  </r>
  <r>
    <x v="65"/>
    <x v="396"/>
    <m/>
    <x v="11"/>
    <n v="15"/>
    <n v="2200"/>
    <n v="2310"/>
    <x v="29"/>
  </r>
  <r>
    <x v="65"/>
    <x v="396"/>
    <m/>
    <x v="0"/>
    <n v="5"/>
    <n v="800"/>
    <n v="840"/>
    <x v="29"/>
  </r>
  <r>
    <x v="65"/>
    <x v="397"/>
    <m/>
    <x v="0"/>
    <n v="20"/>
    <n v="1600"/>
    <n v="1680"/>
    <x v="30"/>
  </r>
  <r>
    <x v="65"/>
    <x v="398"/>
    <m/>
    <x v="11"/>
    <n v="5"/>
    <n v="475"/>
    <n v="498.75"/>
    <x v="31"/>
  </r>
  <r>
    <x v="65"/>
    <x v="398"/>
    <m/>
    <x v="0"/>
    <n v="5"/>
    <n v="400"/>
    <n v="420"/>
    <x v="31"/>
  </r>
  <r>
    <x v="65"/>
    <x v="399"/>
    <s v="A235748"/>
    <x v="2"/>
    <n v="93"/>
    <n v="14864"/>
    <n v="15607.2"/>
    <x v="1"/>
  </r>
  <r>
    <x v="65"/>
    <x v="399"/>
    <s v="A235748"/>
    <x v="11"/>
    <n v="40"/>
    <n v="6400"/>
    <n v="6720"/>
    <x v="1"/>
  </r>
  <r>
    <x v="65"/>
    <x v="399"/>
    <s v="A235748"/>
    <x v="0"/>
    <n v="25"/>
    <n v="4000"/>
    <n v="4200"/>
    <x v="1"/>
  </r>
  <r>
    <x v="65"/>
    <x v="400"/>
    <s v="A421292"/>
    <x v="0"/>
    <n v="30"/>
    <n v="4800"/>
    <n v="5040"/>
    <x v="1"/>
  </r>
  <r>
    <x v="65"/>
    <x v="301"/>
    <s v="P050220"/>
    <x v="0"/>
    <n v="90"/>
    <n v="13950"/>
    <n v="14647.5"/>
    <x v="5"/>
  </r>
  <r>
    <x v="65"/>
    <x v="306"/>
    <s v="A244199"/>
    <x v="11"/>
    <n v="15"/>
    <n v="1200"/>
    <n v="1260"/>
    <x v="3"/>
  </r>
  <r>
    <x v="65"/>
    <x v="134"/>
    <s v="P04017"/>
    <x v="2"/>
    <n v="1"/>
    <n v="210"/>
    <n v="220.5"/>
    <x v="3"/>
  </r>
  <r>
    <x v="65"/>
    <x v="343"/>
    <s v="A257810"/>
    <x v="11"/>
    <n v="55"/>
    <n v="4125"/>
    <n v="4331.25"/>
    <x v="2"/>
  </r>
  <r>
    <x v="65"/>
    <x v="343"/>
    <s v="A257810"/>
    <x v="0"/>
    <n v="20"/>
    <n v="1500"/>
    <n v="1575"/>
    <x v="2"/>
  </r>
  <r>
    <x v="65"/>
    <x v="275"/>
    <s v="A271087"/>
    <x v="2"/>
    <n v="20"/>
    <n v="1640"/>
    <n v="1722"/>
    <x v="3"/>
  </r>
  <r>
    <x v="65"/>
    <x v="401"/>
    <s v="A347816"/>
    <x v="11"/>
    <n v="20"/>
    <n v="3200"/>
    <n v="3360"/>
    <x v="5"/>
  </r>
  <r>
    <x v="65"/>
    <x v="401"/>
    <s v="A347816"/>
    <x v="0"/>
    <n v="10"/>
    <n v="1550"/>
    <n v="1627.5"/>
    <x v="5"/>
  </r>
  <r>
    <x v="65"/>
    <x v="55"/>
    <s v="A403816"/>
    <x v="2"/>
    <n v="100"/>
    <n v="16000"/>
    <n v="16800"/>
    <x v="5"/>
  </r>
  <r>
    <x v="65"/>
    <x v="55"/>
    <s v="A403816"/>
    <x v="11"/>
    <n v="170"/>
    <n v="26850"/>
    <n v="28192.5"/>
    <x v="5"/>
  </r>
  <r>
    <x v="65"/>
    <x v="55"/>
    <s v="A403816"/>
    <x v="0"/>
    <n v="40"/>
    <n v="6200"/>
    <n v="6510"/>
    <x v="5"/>
  </r>
  <r>
    <x v="65"/>
    <x v="333"/>
    <s v="A317824"/>
    <x v="2"/>
    <n v="25"/>
    <n v="1750"/>
    <n v="1837.5"/>
    <x v="3"/>
  </r>
  <r>
    <x v="65"/>
    <x v="333"/>
    <s v="A317824"/>
    <x v="11"/>
    <n v="85"/>
    <n v="6800"/>
    <n v="7140"/>
    <x v="3"/>
  </r>
  <r>
    <x v="65"/>
    <x v="138"/>
    <s v="A282344"/>
    <x v="2"/>
    <n v="25"/>
    <n v="3500"/>
    <n v="3675"/>
    <x v="3"/>
  </r>
  <r>
    <x v="65"/>
    <x v="202"/>
    <s v="A418088"/>
    <x v="11"/>
    <n v="165"/>
    <n v="22995"/>
    <n v="2940"/>
    <x v="3"/>
  </r>
  <r>
    <x v="65"/>
    <x v="202"/>
    <s v="A417151"/>
    <x v="0"/>
    <n v="107"/>
    <n v="14766"/>
    <n v="15504.3"/>
    <x v="1"/>
  </r>
  <r>
    <x v="65"/>
    <x v="305"/>
    <s v="A338959"/>
    <x v="2"/>
    <n v="30"/>
    <n v="4800"/>
    <n v="5040"/>
    <x v="1"/>
  </r>
  <r>
    <x v="65"/>
    <x v="305"/>
    <s v="A338959"/>
    <x v="0"/>
    <n v="35"/>
    <n v="5600"/>
    <n v="5880"/>
    <x v="1"/>
  </r>
  <r>
    <x v="66"/>
    <x v="402"/>
    <s v="A267112"/>
    <x v="4"/>
    <n v="10"/>
    <n v="2084.6999999999998"/>
    <m/>
    <x v="3"/>
  </r>
  <r>
    <x v="66"/>
    <x v="403"/>
    <s v="A258695"/>
    <x v="3"/>
    <n v="60"/>
    <n v="8390.4"/>
    <m/>
    <x v="3"/>
  </r>
  <r>
    <x v="66"/>
    <x v="403"/>
    <s v="A258695"/>
    <x v="4"/>
    <n v="88.2"/>
    <n v="12337.84"/>
    <m/>
    <x v="3"/>
  </r>
  <r>
    <x v="66"/>
    <x v="404"/>
    <s v="A232508"/>
    <x v="4"/>
    <n v="40"/>
    <n v="7065.6"/>
    <m/>
    <x v="3"/>
  </r>
  <r>
    <x v="66"/>
    <x v="405"/>
    <s v="A245811"/>
    <x v="4"/>
    <n v="20"/>
    <n v="2612.8000000000002"/>
    <m/>
    <x v="3"/>
  </r>
  <r>
    <x v="66"/>
    <x v="203"/>
    <s v="A240154"/>
    <x v="3"/>
    <n v="5"/>
    <n v="1067.2"/>
    <m/>
    <x v="3"/>
  </r>
  <r>
    <x v="66"/>
    <x v="203"/>
    <s v="A240154"/>
    <x v="4"/>
    <n v="15"/>
    <n v="2700"/>
    <m/>
    <x v="3"/>
  </r>
  <r>
    <x v="67"/>
    <x v="146"/>
    <s v="A245818"/>
    <x v="6"/>
    <n v="25"/>
    <n v="4875"/>
    <m/>
    <x v="3"/>
  </r>
  <r>
    <x v="67"/>
    <x v="146"/>
    <s v="A245818"/>
    <x v="10"/>
    <n v="5"/>
    <n v="975"/>
    <m/>
    <x v="3"/>
  </r>
  <r>
    <x v="67"/>
    <x v="146"/>
    <s v="A245818"/>
    <x v="9"/>
    <n v="5"/>
    <n v="975"/>
    <m/>
    <x v="3"/>
  </r>
  <r>
    <x v="67"/>
    <x v="111"/>
    <s v="A257635"/>
    <x v="6"/>
    <n v="5"/>
    <n v="1000"/>
    <m/>
    <x v="3"/>
  </r>
  <r>
    <x v="67"/>
    <x v="111"/>
    <s v="A257635"/>
    <x v="7"/>
    <n v="13.45"/>
    <n v="2690"/>
    <m/>
    <x v="3"/>
  </r>
  <r>
    <x v="67"/>
    <x v="406"/>
    <s v="A230746"/>
    <x v="6"/>
    <n v="5"/>
    <n v="1000"/>
    <m/>
    <x v="3"/>
  </r>
  <r>
    <x v="67"/>
    <x v="48"/>
    <s v="A245955"/>
    <x v="1"/>
    <n v="5"/>
    <n v="1150"/>
    <n v="1207.5"/>
    <x v="3"/>
  </r>
  <r>
    <x v="67"/>
    <x v="57"/>
    <s v="A292908"/>
    <x v="10"/>
    <n v="50"/>
    <n v="7500"/>
    <m/>
    <x v="3"/>
  </r>
  <r>
    <x v="67"/>
    <x v="57"/>
    <s v="A292908"/>
    <x v="8"/>
    <n v="25"/>
    <n v="3750"/>
    <m/>
    <x v="3"/>
  </r>
  <r>
    <x v="67"/>
    <x v="57"/>
    <s v="A292908"/>
    <x v="1"/>
    <n v="50"/>
    <n v="7500"/>
    <n v="7875"/>
    <x v="3"/>
  </r>
  <r>
    <x v="67"/>
    <x v="99"/>
    <s v="A282344"/>
    <x v="5"/>
    <n v="10"/>
    <n v="2000"/>
    <m/>
    <x v="3"/>
  </r>
  <r>
    <x v="67"/>
    <x v="31"/>
    <s v="A349425"/>
    <x v="9"/>
    <n v="125"/>
    <n v="12500"/>
    <m/>
    <x v="3"/>
  </r>
  <r>
    <x v="67"/>
    <x v="219"/>
    <s v="A271046"/>
    <x v="6"/>
    <n v="10"/>
    <n v="2350"/>
    <m/>
    <x v="3"/>
  </r>
  <r>
    <x v="67"/>
    <x v="219"/>
    <s v="A271046"/>
    <x v="10"/>
    <n v="10"/>
    <n v="2350"/>
    <m/>
    <x v="3"/>
  </r>
  <r>
    <x v="67"/>
    <x v="168"/>
    <s v="A295590"/>
    <x v="6"/>
    <n v="25"/>
    <n v="7500"/>
    <m/>
    <x v="3"/>
  </r>
  <r>
    <x v="67"/>
    <x v="78"/>
    <s v="A234651"/>
    <x v="6"/>
    <n v="15"/>
    <n v="3000"/>
    <m/>
    <x v="3"/>
  </r>
  <r>
    <x v="67"/>
    <x v="78"/>
    <s v="A234651"/>
    <x v="9"/>
    <n v="5"/>
    <n v="1000"/>
    <m/>
    <x v="3"/>
  </r>
  <r>
    <x v="68"/>
    <x v="144"/>
    <s v="A256430"/>
    <x v="1"/>
    <n v="5"/>
    <n v="1325"/>
    <m/>
    <x v="3"/>
  </r>
  <r>
    <x v="68"/>
    <x v="37"/>
    <s v="A295406"/>
    <x v="8"/>
    <n v="15"/>
    <n v="6750"/>
    <m/>
    <x v="3"/>
  </r>
  <r>
    <x v="68"/>
    <x v="37"/>
    <s v="A295406"/>
    <x v="1"/>
    <n v="5"/>
    <n v="2250"/>
    <n v="2362.5"/>
    <x v="3"/>
  </r>
  <r>
    <x v="68"/>
    <x v="37"/>
    <s v="A295406"/>
    <x v="2"/>
    <n v="10"/>
    <n v="4500"/>
    <n v="4725"/>
    <x v="3"/>
  </r>
  <r>
    <x v="68"/>
    <x v="37"/>
    <s v="A295406"/>
    <x v="11"/>
    <n v="20"/>
    <n v="9000"/>
    <n v="9450"/>
    <x v="3"/>
  </r>
  <r>
    <x v="68"/>
    <x v="38"/>
    <s v="A273820"/>
    <x v="8"/>
    <n v="10"/>
    <n v="1800"/>
    <m/>
    <x v="3"/>
  </r>
  <r>
    <x v="68"/>
    <x v="207"/>
    <m/>
    <x v="1"/>
    <n v="5"/>
    <n v="1200"/>
    <n v="1260"/>
    <x v="3"/>
  </r>
  <r>
    <x v="68"/>
    <x v="151"/>
    <s v="A260799"/>
    <x v="8"/>
    <n v="5"/>
    <n v="800"/>
    <m/>
    <x v="3"/>
  </r>
  <r>
    <x v="68"/>
    <x v="32"/>
    <s v="A295591"/>
    <x v="10"/>
    <n v="25"/>
    <n v="7125"/>
    <m/>
    <x v="3"/>
  </r>
  <r>
    <x v="68"/>
    <x v="32"/>
    <s v="A295591"/>
    <x v="8"/>
    <n v="25"/>
    <n v="7125"/>
    <m/>
    <x v="3"/>
  </r>
  <r>
    <x v="68"/>
    <x v="32"/>
    <s v="A295591"/>
    <x v="9"/>
    <n v="50"/>
    <n v="14250"/>
    <m/>
    <x v="3"/>
  </r>
  <r>
    <x v="68"/>
    <x v="32"/>
    <s v="A295591"/>
    <x v="1"/>
    <n v="25"/>
    <n v="7125"/>
    <m/>
    <x v="3"/>
  </r>
  <r>
    <x v="68"/>
    <x v="32"/>
    <s v="A295591"/>
    <x v="2"/>
    <n v="25"/>
    <n v="7125"/>
    <n v="7481.25"/>
    <x v="3"/>
  </r>
  <r>
    <x v="68"/>
    <x v="32"/>
    <s v="A295590"/>
    <x v="11"/>
    <n v="25"/>
    <n v="7125"/>
    <n v="7481.25"/>
    <x v="2"/>
  </r>
  <r>
    <x v="68"/>
    <x v="32"/>
    <s v="A295590"/>
    <x v="0"/>
    <n v="25"/>
    <n v="7125"/>
    <n v="7481.25"/>
    <x v="2"/>
  </r>
  <r>
    <x v="68"/>
    <x v="33"/>
    <s v="A338959"/>
    <x v="1"/>
    <n v="35"/>
    <n v="6000"/>
    <n v="6300"/>
    <x v="3"/>
  </r>
  <r>
    <x v="68"/>
    <x v="407"/>
    <s v="A305591"/>
    <x v="1"/>
    <n v="5"/>
    <n v="900"/>
    <n v="945"/>
    <x v="3"/>
  </r>
  <r>
    <x v="69"/>
    <x v="408"/>
    <s v="A239076"/>
    <x v="1"/>
    <n v="25"/>
    <n v="2500"/>
    <n v="2625"/>
    <x v="3"/>
  </r>
  <r>
    <x v="70"/>
    <x v="268"/>
    <s v="A245994"/>
    <x v="3"/>
    <n v="10"/>
    <n v="790"/>
    <m/>
    <x v="3"/>
  </r>
  <r>
    <x v="71"/>
    <x v="11"/>
    <m/>
    <x v="0"/>
    <n v="6"/>
    <n v="510"/>
    <n v="535.5"/>
    <x v="2"/>
  </r>
  <r>
    <x v="71"/>
    <x v="12"/>
    <m/>
    <x v="11"/>
    <n v="5"/>
    <n v="400"/>
    <n v="420"/>
    <x v="3"/>
  </r>
  <r>
    <x v="71"/>
    <x v="409"/>
    <s v="A337724"/>
    <x v="11"/>
    <n v="40"/>
    <n v="2530"/>
    <n v="2656.5"/>
    <x v="11"/>
  </r>
  <r>
    <x v="71"/>
    <x v="409"/>
    <s v="A337724"/>
    <x v="0"/>
    <n v="170"/>
    <n v="10540"/>
    <n v="11067"/>
    <x v="11"/>
  </r>
  <r>
    <x v="71"/>
    <x v="13"/>
    <m/>
    <x v="0"/>
    <n v="2"/>
    <n v="170"/>
    <n v="178.5"/>
    <x v="2"/>
  </r>
  <r>
    <x v="71"/>
    <x v="14"/>
    <m/>
    <x v="11"/>
    <n v="5"/>
    <n v="375"/>
    <n v="393.75"/>
    <x v="2"/>
  </r>
  <r>
    <x v="71"/>
    <x v="14"/>
    <m/>
    <x v="0"/>
    <n v="19"/>
    <n v="1425"/>
    <n v="1496.25"/>
    <x v="2"/>
  </r>
  <r>
    <x v="72"/>
    <x v="268"/>
    <s v="A245994"/>
    <x v="0"/>
    <n v="5"/>
    <n v="325"/>
    <n v="341.25"/>
    <x v="2"/>
  </r>
  <r>
    <x v="72"/>
    <x v="343"/>
    <s v="A257810"/>
    <x v="11"/>
    <n v="25"/>
    <n v="1125"/>
    <n v="1181.25"/>
    <x v="3"/>
  </r>
  <r>
    <x v="73"/>
    <x v="23"/>
    <m/>
    <x v="0"/>
    <n v="5"/>
    <n v="1374"/>
    <n v="1374"/>
    <x v="2"/>
  </r>
  <r>
    <x v="73"/>
    <x v="299"/>
    <s v="A404821"/>
    <x v="11"/>
    <n v="1"/>
    <n v="180"/>
    <n v="189"/>
    <x v="3"/>
  </r>
  <r>
    <x v="73"/>
    <x v="127"/>
    <s v="A343168"/>
    <x v="11"/>
    <n v="1"/>
    <n v="220"/>
    <n v="231"/>
    <x v="3"/>
  </r>
  <r>
    <x v="73"/>
    <x v="272"/>
    <s v="A246994"/>
    <x v="11"/>
    <n v="1"/>
    <n v="160"/>
    <n v="168"/>
    <x v="3"/>
  </r>
  <r>
    <x v="73"/>
    <x v="3"/>
    <s v="A337704"/>
    <x v="11"/>
    <n v="1"/>
    <n v="130"/>
    <n v="136.5"/>
    <x v="3"/>
  </r>
  <r>
    <x v="73"/>
    <x v="303"/>
    <s v="A403149"/>
    <x v="11"/>
    <n v="1"/>
    <n v="180"/>
    <n v="189"/>
    <x v="3"/>
  </r>
  <r>
    <x v="73"/>
    <x v="410"/>
    <m/>
    <x v="11"/>
    <n v="1"/>
    <n v="300"/>
    <n v="315"/>
    <x v="3"/>
  </r>
  <r>
    <x v="73"/>
    <x v="32"/>
    <s v="A295590"/>
    <x v="0"/>
    <n v="5"/>
    <n v="925"/>
    <n v="925"/>
    <x v="2"/>
  </r>
  <r>
    <x v="74"/>
    <x v="38"/>
    <s v="A273820"/>
    <x v="8"/>
    <n v="1"/>
    <n v="180"/>
    <m/>
    <x v="3"/>
  </r>
  <r>
    <x v="74"/>
    <x v="23"/>
    <m/>
    <x v="2"/>
    <n v="1"/>
    <n v="300"/>
    <n v="315"/>
    <x v="3"/>
  </r>
  <r>
    <x v="74"/>
    <x v="411"/>
    <s v="A265729"/>
    <x v="1"/>
    <n v="1"/>
    <n v="115"/>
    <n v="120.75"/>
    <x v="3"/>
  </r>
  <r>
    <x v="74"/>
    <x v="207"/>
    <m/>
    <x v="9"/>
    <n v="1"/>
    <n v="280"/>
    <m/>
    <x v="3"/>
  </r>
  <r>
    <x v="74"/>
    <x v="151"/>
    <s v="A260799"/>
    <x v="8"/>
    <n v="1"/>
    <n v="170"/>
    <m/>
    <x v="3"/>
  </r>
  <r>
    <x v="74"/>
    <x v="44"/>
    <s v="A238385"/>
    <x v="9"/>
    <n v="1"/>
    <n v="115"/>
    <m/>
    <x v="3"/>
  </r>
  <r>
    <x v="74"/>
    <x v="286"/>
    <s v="A255319"/>
    <x v="1"/>
    <n v="1"/>
    <n v="140"/>
    <n v="147"/>
    <x v="3"/>
  </r>
  <r>
    <x v="74"/>
    <x v="260"/>
    <s v="A305591"/>
    <x v="2"/>
    <n v="1"/>
    <n v="220"/>
    <n v="231"/>
    <x v="3"/>
  </r>
  <r>
    <x v="74"/>
    <x v="48"/>
    <s v="A245955"/>
    <x v="9"/>
    <n v="1"/>
    <n v="240"/>
    <m/>
    <x v="3"/>
  </r>
  <r>
    <x v="74"/>
    <x v="412"/>
    <s v="A339521"/>
    <x v="1"/>
    <n v="1"/>
    <n v="260"/>
    <n v="273"/>
    <x v="3"/>
  </r>
  <r>
    <x v="74"/>
    <x v="214"/>
    <s v="A265681"/>
    <x v="8"/>
    <n v="1"/>
    <n v="290"/>
    <m/>
    <x v="3"/>
  </r>
  <r>
    <x v="74"/>
    <x v="72"/>
    <s v="P08499"/>
    <x v="1"/>
    <n v="1"/>
    <n v="120"/>
    <n v="126"/>
    <x v="3"/>
  </r>
  <r>
    <x v="74"/>
    <x v="99"/>
    <s v="A282344"/>
    <x v="1"/>
    <n v="1"/>
    <n v="150"/>
    <n v="157.5"/>
    <x v="3"/>
  </r>
  <r>
    <x v="74"/>
    <x v="219"/>
    <s v="A271046"/>
    <x v="8"/>
    <n v="1"/>
    <n v="240"/>
    <m/>
    <x v="3"/>
  </r>
  <r>
    <x v="74"/>
    <x v="169"/>
    <s v="A286825"/>
    <x v="8"/>
    <n v="1"/>
    <n v="240"/>
    <m/>
    <x v="3"/>
  </r>
  <r>
    <x v="74"/>
    <x v="407"/>
    <s v="A305591"/>
    <x v="9"/>
    <n v="1"/>
    <n v="220"/>
    <m/>
    <x v="3"/>
  </r>
  <r>
    <x v="75"/>
    <x v="413"/>
    <s v="P08232"/>
    <x v="8"/>
    <n v="10"/>
    <n v="1800"/>
    <m/>
    <x v="3"/>
  </r>
  <r>
    <x v="75"/>
    <x v="413"/>
    <s v="P08232"/>
    <x v="9"/>
    <n v="5"/>
    <n v="875"/>
    <m/>
    <x v="3"/>
  </r>
  <r>
    <x v="75"/>
    <x v="38"/>
    <s v="A273820"/>
    <x v="9"/>
    <n v="0.8"/>
    <n v="128"/>
    <m/>
    <x v="3"/>
  </r>
  <r>
    <x v="75"/>
    <x v="146"/>
    <s v="A245818"/>
    <x v="9"/>
    <n v="0.5"/>
    <n v="100"/>
    <m/>
    <x v="3"/>
  </r>
  <r>
    <x v="75"/>
    <x v="411"/>
    <s v="A265729"/>
    <x v="9"/>
    <n v="0.5"/>
    <n v="100"/>
    <m/>
    <x v="3"/>
  </r>
  <r>
    <x v="75"/>
    <x v="414"/>
    <s v="A249739"/>
    <x v="9"/>
    <n v="0.5"/>
    <n v="100"/>
    <m/>
    <x v="3"/>
  </r>
  <r>
    <x v="75"/>
    <x v="57"/>
    <s v="A292908"/>
    <x v="9"/>
    <n v="21"/>
    <n v="3960"/>
    <m/>
    <x v="3"/>
  </r>
  <r>
    <x v="75"/>
    <x v="57"/>
    <s v="A292908"/>
    <x v="1"/>
    <n v="10"/>
    <n v="1800"/>
    <n v="1890"/>
    <x v="3"/>
  </r>
  <r>
    <x v="75"/>
    <x v="415"/>
    <s v="A238388"/>
    <x v="6"/>
    <n v="120"/>
    <n v="13200"/>
    <m/>
    <x v="3"/>
  </r>
  <r>
    <x v="75"/>
    <x v="415"/>
    <s v="A238388"/>
    <x v="8"/>
    <n v="4"/>
    <n v="720"/>
    <m/>
    <x v="3"/>
  </r>
  <r>
    <x v="75"/>
    <x v="99"/>
    <s v="A282344"/>
    <x v="9"/>
    <n v="4"/>
    <n v="720"/>
    <m/>
    <x v="3"/>
  </r>
  <r>
    <x v="75"/>
    <x v="297"/>
    <s v="A271046"/>
    <x v="9"/>
    <n v="0.5"/>
    <n v="100"/>
    <m/>
    <x v="3"/>
  </r>
  <r>
    <x v="76"/>
    <x v="416"/>
    <m/>
    <x v="8"/>
    <n v="1"/>
    <n v="330"/>
    <m/>
    <x v="3"/>
  </r>
  <r>
    <x v="76"/>
    <x v="18"/>
    <m/>
    <x v="7"/>
    <n v="20"/>
    <n v="2300"/>
    <m/>
    <x v="3"/>
  </r>
  <r>
    <x v="76"/>
    <x v="10"/>
    <m/>
    <x v="6"/>
    <n v="120"/>
    <n v="13200"/>
    <m/>
    <x v="3"/>
  </r>
  <r>
    <x v="77"/>
    <x v="417"/>
    <s v="A402001"/>
    <x v="2"/>
    <n v="25"/>
    <n v="850"/>
    <n v="892.5"/>
    <x v="3"/>
  </r>
  <r>
    <x v="77"/>
    <x v="340"/>
    <m/>
    <x v="2"/>
    <n v="25"/>
    <n v="2500"/>
    <n v="2625"/>
    <x v="3"/>
  </r>
  <r>
    <x v="77"/>
    <x v="11"/>
    <m/>
    <x v="1"/>
    <n v="1"/>
    <n v="90"/>
    <n v="94.5"/>
    <x v="3"/>
  </r>
  <r>
    <x v="77"/>
    <x v="233"/>
    <m/>
    <x v="1"/>
    <n v="119"/>
    <n v="9265"/>
    <n v="9728.25"/>
    <x v="3"/>
  </r>
  <r>
    <x v="77"/>
    <x v="233"/>
    <m/>
    <x v="2"/>
    <n v="110"/>
    <n v="9350"/>
    <n v="9817.5"/>
    <x v="3"/>
  </r>
  <r>
    <x v="77"/>
    <x v="233"/>
    <m/>
    <x v="11"/>
    <n v="40"/>
    <n v="3400"/>
    <n v="3570"/>
    <x v="3"/>
  </r>
  <r>
    <x v="77"/>
    <x v="331"/>
    <s v="A318055"/>
    <x v="0"/>
    <n v="25"/>
    <n v="2000"/>
    <n v="2100"/>
    <x v="2"/>
  </r>
  <r>
    <x v="77"/>
    <x v="260"/>
    <s v="A305591"/>
    <x v="11"/>
    <n v="100"/>
    <n v="16500"/>
    <n v="17325"/>
    <x v="1"/>
  </r>
  <r>
    <x v="77"/>
    <x v="260"/>
    <s v="A305591"/>
    <x v="0"/>
    <n v="75"/>
    <n v="12375"/>
    <n v="12993.75"/>
    <x v="1"/>
  </r>
  <r>
    <x v="77"/>
    <x v="241"/>
    <s v="A401495"/>
    <x v="2"/>
    <n v="50"/>
    <n v="1750"/>
    <n v="1837.5"/>
    <x v="3"/>
  </r>
  <r>
    <x v="77"/>
    <x v="241"/>
    <s v="A401495"/>
    <x v="11"/>
    <n v="50"/>
    <n v="1750"/>
    <n v="1837.5"/>
    <x v="3"/>
  </r>
  <r>
    <x v="77"/>
    <x v="418"/>
    <m/>
    <x v="0"/>
    <n v="50"/>
    <n v="1750"/>
    <n v="1837.5"/>
    <x v="32"/>
  </r>
  <r>
    <x v="77"/>
    <x v="419"/>
    <m/>
    <x v="1"/>
    <n v="50"/>
    <n v="1750"/>
    <n v="1837.5"/>
    <x v="33"/>
  </r>
  <r>
    <x v="77"/>
    <x v="419"/>
    <m/>
    <x v="2"/>
    <n v="400"/>
    <n v="14000"/>
    <n v="14700"/>
    <x v="33"/>
  </r>
  <r>
    <x v="77"/>
    <x v="419"/>
    <m/>
    <x v="11"/>
    <n v="200"/>
    <n v="7000"/>
    <n v="7350"/>
    <x v="33"/>
  </r>
  <r>
    <x v="77"/>
    <x v="419"/>
    <m/>
    <x v="0"/>
    <n v="50"/>
    <n v="1750"/>
    <n v="1837.5"/>
    <x v="33"/>
  </r>
  <r>
    <x v="77"/>
    <x v="51"/>
    <s v="A298567"/>
    <x v="0"/>
    <n v="50"/>
    <n v="1750"/>
    <n v="1837.5"/>
    <x v="1"/>
  </r>
  <r>
    <x v="77"/>
    <x v="420"/>
    <s v="A2333185"/>
    <x v="0"/>
    <n v="75"/>
    <n v="5625"/>
    <n v="5906.25"/>
    <x v="34"/>
  </r>
  <r>
    <x v="77"/>
    <x v="30"/>
    <s v="A233444"/>
    <x v="1"/>
    <n v="50"/>
    <n v="2750"/>
    <n v="2887.5"/>
    <x v="3"/>
  </r>
  <r>
    <x v="77"/>
    <x v="30"/>
    <s v="A233444"/>
    <x v="2"/>
    <n v="50"/>
    <n v="2750"/>
    <n v="2887.5"/>
    <x v="3"/>
  </r>
  <r>
    <x v="77"/>
    <x v="421"/>
    <s v="A243394"/>
    <x v="11"/>
    <n v="25"/>
    <n v="4300"/>
    <n v="4515"/>
    <x v="3"/>
  </r>
  <r>
    <x v="77"/>
    <x v="358"/>
    <s v="A402012"/>
    <x v="1"/>
    <n v="75"/>
    <n v="5500"/>
    <n v="5775"/>
    <x v="3"/>
  </r>
  <r>
    <x v="77"/>
    <x v="358"/>
    <s v="A402012"/>
    <x v="2"/>
    <n v="75"/>
    <n v="5625"/>
    <n v="5906.25"/>
    <x v="3"/>
  </r>
  <r>
    <x v="77"/>
    <x v="247"/>
    <s v="A402013"/>
    <x v="11"/>
    <n v="50"/>
    <n v="3250"/>
    <n v="3412.5"/>
    <x v="2"/>
  </r>
  <r>
    <x v="77"/>
    <x v="247"/>
    <s v="A402013"/>
    <x v="0"/>
    <n v="25"/>
    <n v="1625"/>
    <n v="1706.25"/>
    <x v="2"/>
  </r>
  <r>
    <x v="77"/>
    <x v="14"/>
    <m/>
    <x v="1"/>
    <n v="160"/>
    <n v="11200"/>
    <n v="11760"/>
    <x v="3"/>
  </r>
  <r>
    <x v="77"/>
    <x v="14"/>
    <m/>
    <x v="11"/>
    <n v="20"/>
    <n v="1400"/>
    <n v="1470"/>
    <x v="3"/>
  </r>
  <r>
    <x v="78"/>
    <x v="40"/>
    <s v="P00861"/>
    <x v="11"/>
    <n v="4"/>
    <n v="770"/>
    <n v="770"/>
    <x v="3"/>
  </r>
  <r>
    <x v="78"/>
    <x v="340"/>
    <m/>
    <x v="0"/>
    <n v="1"/>
    <n v="110"/>
    <n v="115.5"/>
    <x v="3"/>
  </r>
  <r>
    <x v="78"/>
    <x v="233"/>
    <m/>
    <x v="0"/>
    <n v="1"/>
    <n v="90"/>
    <n v="94.5"/>
    <x v="3"/>
  </r>
  <r>
    <x v="78"/>
    <x v="324"/>
    <s v="A241362"/>
    <x v="11"/>
    <n v="4"/>
    <n v="770"/>
    <n v="770"/>
    <x v="3"/>
  </r>
  <r>
    <x v="78"/>
    <x v="302"/>
    <m/>
    <x v="11"/>
    <n v="4"/>
    <n v="770"/>
    <n v="770"/>
    <x v="3"/>
  </r>
  <r>
    <x v="78"/>
    <x v="137"/>
    <s v="P21021"/>
    <x v="11"/>
    <n v="4"/>
    <n v="770"/>
    <n v="770"/>
    <x v="3"/>
  </r>
  <r>
    <x v="78"/>
    <x v="345"/>
    <m/>
    <x v="0"/>
    <n v="1"/>
    <n v="90"/>
    <n v="94.5"/>
    <x v="3"/>
  </r>
  <r>
    <x v="78"/>
    <x v="422"/>
    <s v="A294408"/>
    <x v="11"/>
    <n v="4"/>
    <n v="595"/>
    <n v="595"/>
    <x v="3"/>
  </r>
  <r>
    <x v="79"/>
    <x v="423"/>
    <s v="A239215"/>
    <x v="4"/>
    <n v="20"/>
    <n v="4800"/>
    <m/>
    <x v="3"/>
  </r>
  <r>
    <x v="79"/>
    <x v="424"/>
    <s v="A250826"/>
    <x v="3"/>
    <n v="25"/>
    <n v="5425"/>
    <m/>
    <x v="3"/>
  </r>
  <r>
    <x v="79"/>
    <x v="424"/>
    <s v="A250826"/>
    <x v="4"/>
    <n v="15"/>
    <n v="3600"/>
    <m/>
    <x v="3"/>
  </r>
  <r>
    <x v="79"/>
    <x v="425"/>
    <s v="A252499"/>
    <x v="3"/>
    <n v="100"/>
    <n v="22788"/>
    <m/>
    <x v="3"/>
  </r>
  <r>
    <x v="79"/>
    <x v="286"/>
    <s v="A255319"/>
    <x v="3"/>
    <n v="25"/>
    <n v="5980"/>
    <m/>
    <x v="3"/>
  </r>
  <r>
    <x v="79"/>
    <x v="426"/>
    <s v="A263718"/>
    <x v="4"/>
    <n v="20"/>
    <n v="6480"/>
    <m/>
    <x v="3"/>
  </r>
  <r>
    <x v="79"/>
    <x v="427"/>
    <s v="A252502"/>
    <x v="3"/>
    <n v="35"/>
    <n v="10393.1"/>
    <m/>
    <x v="3"/>
  </r>
  <r>
    <x v="79"/>
    <x v="427"/>
    <s v="A252502"/>
    <x v="4"/>
    <n v="116"/>
    <n v="37613.760000000002"/>
    <m/>
    <x v="3"/>
  </r>
  <r>
    <x v="79"/>
    <x v="428"/>
    <s v="A252856"/>
    <x v="3"/>
    <n v="25"/>
    <n v="6700"/>
    <m/>
    <x v="3"/>
  </r>
  <r>
    <x v="79"/>
    <x v="429"/>
    <s v="A253541"/>
    <x v="3"/>
    <n v="25"/>
    <n v="8572.5"/>
    <m/>
    <x v="3"/>
  </r>
  <r>
    <x v="79"/>
    <x v="430"/>
    <s v="A245052"/>
    <x v="3"/>
    <n v="15"/>
    <n v="5409.6"/>
    <m/>
    <x v="3"/>
  </r>
  <r>
    <x v="80"/>
    <x v="350"/>
    <s v="A410392"/>
    <x v="11"/>
    <n v="5"/>
    <n v="340"/>
    <n v="357"/>
    <x v="3"/>
  </r>
  <r>
    <x v="80"/>
    <x v="213"/>
    <s v="A272357"/>
    <x v="11"/>
    <n v="5"/>
    <n v="400"/>
    <n v="420"/>
    <x v="3"/>
  </r>
  <r>
    <x v="81"/>
    <x v="11"/>
    <m/>
    <x v="0"/>
    <n v="10"/>
    <n v="800"/>
    <n v="840"/>
    <x v="2"/>
  </r>
  <r>
    <x v="81"/>
    <x v="3"/>
    <s v="A337704"/>
    <x v="11"/>
    <n v="25"/>
    <n v="2000"/>
    <n v="2100"/>
    <x v="3"/>
  </r>
  <r>
    <x v="81"/>
    <x v="245"/>
    <s v="A282313"/>
    <x v="11"/>
    <n v="50"/>
    <n v="3750"/>
    <n v="3937.5"/>
    <x v="3"/>
  </r>
  <r>
    <x v="82"/>
    <x v="5"/>
    <s v="A249720"/>
    <x v="4"/>
    <n v="50"/>
    <n v="4750"/>
    <m/>
    <x v="3"/>
  </r>
  <r>
    <x v="82"/>
    <x v="5"/>
    <s v="A249720"/>
    <x v="5"/>
    <n v="450"/>
    <n v="42750"/>
    <m/>
    <x v="3"/>
  </r>
  <r>
    <x v="82"/>
    <x v="5"/>
    <s v="A249720"/>
    <x v="6"/>
    <n v="448"/>
    <n v="42560"/>
    <m/>
    <x v="3"/>
  </r>
  <r>
    <x v="82"/>
    <x v="5"/>
    <s v="A249720"/>
    <x v="7"/>
    <n v="475"/>
    <n v="45125"/>
    <m/>
    <x v="3"/>
  </r>
  <r>
    <x v="82"/>
    <x v="5"/>
    <s v="A249720"/>
    <x v="10"/>
    <n v="249"/>
    <n v="23655"/>
    <m/>
    <x v="3"/>
  </r>
  <r>
    <x v="82"/>
    <x v="5"/>
    <s v="A249720"/>
    <x v="8"/>
    <n v="150"/>
    <n v="14250"/>
    <m/>
    <x v="3"/>
  </r>
  <r>
    <x v="82"/>
    <x v="5"/>
    <s v="A249720"/>
    <x v="9"/>
    <n v="200"/>
    <n v="19000"/>
    <m/>
    <x v="3"/>
  </r>
  <r>
    <x v="82"/>
    <x v="7"/>
    <m/>
    <x v="10"/>
    <n v="3"/>
    <n v="1500"/>
    <m/>
    <x v="3"/>
  </r>
  <r>
    <x v="82"/>
    <x v="431"/>
    <m/>
    <x v="5"/>
    <n v="20"/>
    <n v="6600"/>
    <m/>
    <x v="3"/>
  </r>
  <r>
    <x v="82"/>
    <x v="231"/>
    <s v="A410391"/>
    <x v="11"/>
    <n v="100"/>
    <n v="6300"/>
    <n v="6615"/>
    <x v="3"/>
  </r>
  <r>
    <x v="82"/>
    <x v="432"/>
    <m/>
    <x v="5"/>
    <n v="20"/>
    <n v="1800"/>
    <m/>
    <x v="3"/>
  </r>
  <r>
    <x v="82"/>
    <x v="10"/>
    <m/>
    <x v="5"/>
    <n v="160"/>
    <n v="13400"/>
    <m/>
    <x v="2"/>
  </r>
  <r>
    <x v="82"/>
    <x v="10"/>
    <m/>
    <x v="6"/>
    <n v="60"/>
    <n v="5100"/>
    <m/>
    <x v="2"/>
  </r>
  <r>
    <x v="82"/>
    <x v="10"/>
    <m/>
    <x v="7"/>
    <n v="140"/>
    <n v="12300"/>
    <m/>
    <x v="2"/>
  </r>
  <r>
    <x v="82"/>
    <x v="10"/>
    <m/>
    <x v="10"/>
    <n v="200"/>
    <n v="18000"/>
    <m/>
    <x v="2"/>
  </r>
  <r>
    <x v="82"/>
    <x v="10"/>
    <m/>
    <x v="8"/>
    <n v="180"/>
    <n v="16200"/>
    <m/>
    <x v="2"/>
  </r>
  <r>
    <x v="82"/>
    <x v="10"/>
    <m/>
    <x v="9"/>
    <n v="80"/>
    <n v="7200"/>
    <m/>
    <x v="2"/>
  </r>
  <r>
    <x v="82"/>
    <x v="10"/>
    <m/>
    <x v="2"/>
    <n v="80"/>
    <n v="6520"/>
    <n v="6846"/>
    <x v="2"/>
  </r>
  <r>
    <x v="82"/>
    <x v="10"/>
    <m/>
    <x v="0"/>
    <n v="20"/>
    <n v="1460"/>
    <n v="1533"/>
    <x v="2"/>
  </r>
  <r>
    <x v="82"/>
    <x v="433"/>
    <m/>
    <x v="9"/>
    <n v="20"/>
    <n v="1800"/>
    <m/>
    <x v="3"/>
  </r>
  <r>
    <x v="83"/>
    <x v="11"/>
    <m/>
    <x v="11"/>
    <n v="5"/>
    <n v="450"/>
    <n v="472.5"/>
    <x v="3"/>
  </r>
  <r>
    <x v="83"/>
    <x v="233"/>
    <m/>
    <x v="2"/>
    <n v="10"/>
    <n v="780"/>
    <n v="819"/>
    <x v="3"/>
  </r>
  <r>
    <x v="83"/>
    <x v="238"/>
    <m/>
    <x v="2"/>
    <n v="10"/>
    <n v="800"/>
    <n v="840"/>
    <x v="3"/>
  </r>
  <r>
    <x v="83"/>
    <x v="350"/>
    <s v="A401491"/>
    <x v="2"/>
    <n v="74.25"/>
    <n v="4677.75"/>
    <n v="4911.6374999999998"/>
    <x v="3"/>
  </r>
  <r>
    <x v="83"/>
    <x v="350"/>
    <s v="A401491"/>
    <x v="11"/>
    <n v="175"/>
    <n v="11025"/>
    <n v="11576.25"/>
    <x v="3"/>
  </r>
  <r>
    <x v="83"/>
    <x v="3"/>
    <s v="A337704"/>
    <x v="2"/>
    <n v="35"/>
    <n v="2625"/>
    <n v="2756.25"/>
    <x v="3"/>
  </r>
  <r>
    <x v="83"/>
    <x v="3"/>
    <s v="A337704"/>
    <x v="11"/>
    <n v="100"/>
    <n v="7500"/>
    <n v="7875"/>
    <x v="3"/>
  </r>
  <r>
    <x v="83"/>
    <x v="343"/>
    <s v="A257810"/>
    <x v="11"/>
    <n v="100"/>
    <n v="6000"/>
    <n v="6300"/>
    <x v="3"/>
  </r>
  <r>
    <x v="83"/>
    <x v="27"/>
    <s v="A242640"/>
    <x v="2"/>
    <n v="75"/>
    <n v="4500"/>
    <n v="4725"/>
    <x v="2"/>
  </r>
  <r>
    <x v="83"/>
    <x v="27"/>
    <s v="A242640"/>
    <x v="11"/>
    <n v="225"/>
    <n v="13500"/>
    <n v="14175"/>
    <x v="2"/>
  </r>
  <r>
    <x v="83"/>
    <x v="27"/>
    <s v="A242640"/>
    <x v="0"/>
    <n v="200"/>
    <n v="12000"/>
    <n v="12600"/>
    <x v="2"/>
  </r>
  <r>
    <x v="83"/>
    <x v="51"/>
    <s v="A298567"/>
    <x v="2"/>
    <n v="5"/>
    <n v="400"/>
    <n v="420"/>
    <x v="3"/>
  </r>
  <r>
    <x v="83"/>
    <x v="434"/>
    <s v="A241908"/>
    <x v="2"/>
    <n v="10"/>
    <n v="800"/>
    <n v="840"/>
    <x v="3"/>
  </r>
  <r>
    <x v="83"/>
    <x v="13"/>
    <m/>
    <x v="2"/>
    <n v="10"/>
    <n v="850"/>
    <n v="892.5"/>
    <x v="3"/>
  </r>
  <r>
    <x v="83"/>
    <x v="13"/>
    <m/>
    <x v="11"/>
    <n v="50"/>
    <n v="4300"/>
    <n v="4515"/>
    <x v="3"/>
  </r>
  <r>
    <x v="83"/>
    <x v="14"/>
    <m/>
    <x v="2"/>
    <n v="10"/>
    <n v="700"/>
    <n v="735"/>
    <x v="3"/>
  </r>
  <r>
    <x v="83"/>
    <x v="14"/>
    <m/>
    <x v="11"/>
    <n v="95"/>
    <n v="6650"/>
    <n v="6982.5"/>
    <x v="3"/>
  </r>
  <r>
    <x v="84"/>
    <x v="435"/>
    <m/>
    <x v="2"/>
    <n v="51"/>
    <n v="3575"/>
    <n v="3675"/>
    <x v="3"/>
  </r>
  <r>
    <x v="84"/>
    <x v="436"/>
    <m/>
    <x v="2"/>
    <n v="1"/>
    <n v="80"/>
    <n v="80"/>
    <x v="3"/>
  </r>
  <r>
    <x v="84"/>
    <x v="437"/>
    <m/>
    <x v="2"/>
    <n v="1"/>
    <n v="80"/>
    <n v="80"/>
    <x v="3"/>
  </r>
  <r>
    <x v="85"/>
    <x v="156"/>
    <s v="A231705"/>
    <x v="5"/>
    <n v="1"/>
    <n v="125"/>
    <m/>
    <x v="3"/>
  </r>
  <r>
    <x v="85"/>
    <x v="3"/>
    <s v="A232126"/>
    <x v="6"/>
    <n v="25"/>
    <n v="2375"/>
    <m/>
    <x v="3"/>
  </r>
  <r>
    <x v="85"/>
    <x v="4"/>
    <s v="A231709"/>
    <x v="5"/>
    <n v="1"/>
    <n v="125"/>
    <m/>
    <x v="3"/>
  </r>
  <r>
    <x v="86"/>
    <x v="438"/>
    <m/>
    <x v="0"/>
    <n v="25"/>
    <n v="1400"/>
    <n v="1470"/>
    <x v="28"/>
  </r>
  <r>
    <x v="87"/>
    <x v="48"/>
    <s v="A245955"/>
    <x v="0"/>
    <n v="5"/>
    <n v="1150"/>
    <n v="1207.5"/>
    <x v="2"/>
  </r>
  <r>
    <x v="87"/>
    <x v="55"/>
    <s v="A403816"/>
    <x v="0"/>
    <n v="10"/>
    <n v="2050"/>
    <n v="2152.5"/>
    <x v="2"/>
  </r>
  <r>
    <x v="87"/>
    <x v="60"/>
    <m/>
    <x v="0"/>
    <n v="10"/>
    <n v="2950"/>
    <n v="3097.5"/>
    <x v="2"/>
  </r>
  <r>
    <x v="87"/>
    <x v="95"/>
    <m/>
    <x v="0"/>
    <n v="25"/>
    <n v="5875"/>
    <n v="6168.75"/>
    <x v="2"/>
  </r>
  <r>
    <x v="87"/>
    <x v="32"/>
    <s v="A295590"/>
    <x v="0"/>
    <n v="10"/>
    <n v="1750"/>
    <n v="1837.5"/>
    <x v="2"/>
  </r>
  <r>
    <x v="88"/>
    <x v="439"/>
    <s v="A270670"/>
    <x v="4"/>
    <n v="25"/>
    <n v="2625"/>
    <m/>
    <x v="3"/>
  </r>
  <r>
    <x v="88"/>
    <x v="439"/>
    <s v="A270670"/>
    <x v="5"/>
    <n v="75"/>
    <n v="8250"/>
    <m/>
    <x v="3"/>
  </r>
  <r>
    <x v="88"/>
    <x v="439"/>
    <s v="A270670"/>
    <x v="7"/>
    <n v="75"/>
    <n v="8250"/>
    <m/>
    <x v="3"/>
  </r>
  <r>
    <x v="88"/>
    <x v="439"/>
    <s v="A270670"/>
    <x v="10"/>
    <n v="50"/>
    <n v="5500"/>
    <m/>
    <x v="3"/>
  </r>
  <r>
    <x v="88"/>
    <x v="439"/>
    <s v="A270670"/>
    <x v="8"/>
    <n v="40"/>
    <n v="4400"/>
    <m/>
    <x v="3"/>
  </r>
  <r>
    <x v="88"/>
    <x v="439"/>
    <s v="A270670"/>
    <x v="9"/>
    <n v="45"/>
    <n v="4950"/>
    <m/>
    <x v="3"/>
  </r>
  <r>
    <x v="88"/>
    <x v="439"/>
    <s v="A270670"/>
    <x v="1"/>
    <n v="75"/>
    <n v="6375"/>
    <n v="6693.75"/>
    <x v="3"/>
  </r>
  <r>
    <x v="88"/>
    <x v="439"/>
    <s v="A270670"/>
    <x v="2"/>
    <n v="50"/>
    <n v="4250"/>
    <n v="4462.5"/>
    <x v="3"/>
  </r>
  <r>
    <x v="88"/>
    <x v="439"/>
    <s v="A270670"/>
    <x v="11"/>
    <n v="75"/>
    <n v="6375"/>
    <n v="6693.75"/>
    <x v="3"/>
  </r>
  <r>
    <x v="88"/>
    <x v="93"/>
    <s v="A231708"/>
    <x v="3"/>
    <n v="25"/>
    <n v="1125"/>
    <m/>
    <x v="3"/>
  </r>
  <r>
    <x v="88"/>
    <x v="93"/>
    <s v="A231708"/>
    <x v="4"/>
    <n v="23.5"/>
    <n v="1010.5"/>
    <m/>
    <x v="3"/>
  </r>
  <r>
    <x v="88"/>
    <x v="440"/>
    <s v="A270671"/>
    <x v="4"/>
    <n v="25"/>
    <n v="2375"/>
    <m/>
    <x v="3"/>
  </r>
  <r>
    <x v="88"/>
    <x v="440"/>
    <s v="A270671"/>
    <x v="5"/>
    <n v="25"/>
    <n v="2375"/>
    <m/>
    <x v="3"/>
  </r>
  <r>
    <x v="88"/>
    <x v="268"/>
    <s v="A245994"/>
    <x v="12"/>
    <n v="30"/>
    <n v="2160"/>
    <m/>
    <x v="3"/>
  </r>
  <r>
    <x v="88"/>
    <x v="268"/>
    <s v="A245994"/>
    <x v="3"/>
    <n v="274.7"/>
    <n v="18467.099999999999"/>
    <m/>
    <x v="3"/>
  </r>
  <r>
    <x v="88"/>
    <x v="268"/>
    <s v="A245994"/>
    <x v="4"/>
    <n v="425"/>
    <n v="33025"/>
    <m/>
    <x v="3"/>
  </r>
  <r>
    <x v="88"/>
    <x v="268"/>
    <s v="A245994"/>
    <x v="5"/>
    <n v="400"/>
    <n v="31750"/>
    <m/>
    <x v="3"/>
  </r>
  <r>
    <x v="88"/>
    <x v="268"/>
    <s v="A245994"/>
    <x v="6"/>
    <n v="50"/>
    <n v="3750"/>
    <m/>
    <x v="3"/>
  </r>
  <r>
    <x v="88"/>
    <x v="268"/>
    <s v="A245994"/>
    <x v="7"/>
    <n v="10"/>
    <n v="750"/>
    <m/>
    <x v="3"/>
  </r>
  <r>
    <x v="88"/>
    <x v="268"/>
    <s v="A245994"/>
    <x v="9"/>
    <n v="25"/>
    <n v="1625"/>
    <m/>
    <x v="3"/>
  </r>
  <r>
    <x v="88"/>
    <x v="3"/>
    <s v="A236167"/>
    <x v="8"/>
    <n v="55"/>
    <n v="3600"/>
    <m/>
    <x v="3"/>
  </r>
  <r>
    <x v="88"/>
    <x v="3"/>
    <s v="A232126"/>
    <x v="9"/>
    <n v="131"/>
    <n v="10480"/>
    <m/>
    <x v="3"/>
  </r>
  <r>
    <x v="88"/>
    <x v="3"/>
    <s v="A236167"/>
    <x v="9"/>
    <n v="24"/>
    <n v="1560"/>
    <m/>
    <x v="3"/>
  </r>
  <r>
    <x v="88"/>
    <x v="408"/>
    <s v="A239076"/>
    <x v="8"/>
    <n v="5"/>
    <n v="450"/>
    <m/>
    <x v="3"/>
  </r>
  <r>
    <x v="88"/>
    <x v="16"/>
    <s v="A241225"/>
    <x v="4"/>
    <n v="25"/>
    <n v="1375"/>
    <m/>
    <x v="3"/>
  </r>
  <r>
    <x v="88"/>
    <x v="16"/>
    <s v="A241225"/>
    <x v="6"/>
    <n v="10"/>
    <n v="550"/>
    <m/>
    <x v="3"/>
  </r>
  <r>
    <x v="88"/>
    <x v="4"/>
    <s v="A231709"/>
    <x v="3"/>
    <n v="16.399999999999999"/>
    <n v="820"/>
    <m/>
    <x v="3"/>
  </r>
  <r>
    <x v="88"/>
    <x v="242"/>
    <s v="A267749"/>
    <x v="7"/>
    <n v="10"/>
    <n v="750"/>
    <m/>
    <x v="3"/>
  </r>
  <r>
    <x v="88"/>
    <x v="242"/>
    <s v="A267749"/>
    <x v="8"/>
    <n v="25"/>
    <n v="1875"/>
    <m/>
    <x v="3"/>
  </r>
  <r>
    <x v="88"/>
    <x v="242"/>
    <s v="A267749"/>
    <x v="9"/>
    <n v="75"/>
    <n v="5625"/>
    <m/>
    <x v="3"/>
  </r>
  <r>
    <x v="88"/>
    <x v="441"/>
    <s v="A250893"/>
    <x v="3"/>
    <n v="10"/>
    <n v="750"/>
    <m/>
    <x v="3"/>
  </r>
  <r>
    <x v="88"/>
    <x v="1"/>
    <s v="A231710"/>
    <x v="7"/>
    <n v="50"/>
    <n v="3850"/>
    <m/>
    <x v="3"/>
  </r>
  <r>
    <x v="88"/>
    <x v="1"/>
    <s v="A231710"/>
    <x v="8"/>
    <n v="30"/>
    <n v="2310"/>
    <m/>
    <x v="3"/>
  </r>
  <r>
    <x v="88"/>
    <x v="1"/>
    <s v="A231710"/>
    <x v="9"/>
    <n v="25"/>
    <n v="1925"/>
    <m/>
    <x v="3"/>
  </r>
  <r>
    <x v="89"/>
    <x v="37"/>
    <s v="A295406"/>
    <x v="1"/>
    <n v="25"/>
    <n v="12000"/>
    <n v="12600"/>
    <x v="3"/>
  </r>
  <r>
    <x v="89"/>
    <x v="442"/>
    <m/>
    <x v="9"/>
    <n v="25"/>
    <n v="11250"/>
    <m/>
    <x v="3"/>
  </r>
  <r>
    <x v="89"/>
    <x v="16"/>
    <s v="A241225"/>
    <x v="9"/>
    <n v="1"/>
    <n v="80"/>
    <m/>
    <x v="3"/>
  </r>
  <r>
    <x v="89"/>
    <x v="443"/>
    <s v="P08976"/>
    <x v="10"/>
    <n v="5"/>
    <n v="1450"/>
    <m/>
    <x v="3"/>
  </r>
  <r>
    <x v="89"/>
    <x v="443"/>
    <s v="P08976"/>
    <x v="8"/>
    <n v="25"/>
    <n v="6000"/>
    <m/>
    <x v="3"/>
  </r>
  <r>
    <x v="89"/>
    <x v="99"/>
    <s v="A282344"/>
    <x v="9"/>
    <n v="25"/>
    <n v="3750"/>
    <m/>
    <x v="3"/>
  </r>
  <r>
    <x v="89"/>
    <x v="99"/>
    <s v="A282344"/>
    <x v="1"/>
    <n v="50"/>
    <n v="11250"/>
    <n v="11812.5"/>
    <x v="3"/>
  </r>
  <r>
    <x v="89"/>
    <x v="19"/>
    <s v="A233442"/>
    <x v="9"/>
    <n v="1"/>
    <n v="90"/>
    <m/>
    <x v="3"/>
  </r>
  <r>
    <x v="90"/>
    <x v="144"/>
    <s v="A256430"/>
    <x v="8"/>
    <n v="25"/>
    <n v="7000"/>
    <m/>
    <x v="3"/>
  </r>
  <r>
    <x v="90"/>
    <x v="444"/>
    <s v="A273820"/>
    <x v="5"/>
    <n v="50"/>
    <n v="9000"/>
    <m/>
    <x v="3"/>
  </r>
  <r>
    <x v="90"/>
    <x v="442"/>
    <m/>
    <x v="9"/>
    <n v="15"/>
    <n v="6750"/>
    <m/>
    <x v="3"/>
  </r>
  <r>
    <x v="90"/>
    <x v="146"/>
    <s v="A243878"/>
    <x v="3"/>
    <n v="17"/>
    <n v="4250"/>
    <m/>
    <x v="3"/>
  </r>
  <r>
    <x v="90"/>
    <x v="111"/>
    <s v="A257635"/>
    <x v="3"/>
    <n v="50"/>
    <n v="11960"/>
    <m/>
    <x v="3"/>
  </r>
  <r>
    <x v="90"/>
    <x v="111"/>
    <s v="A257635"/>
    <x v="4"/>
    <n v="30"/>
    <n v="6600"/>
    <m/>
    <x v="3"/>
  </r>
  <r>
    <x v="90"/>
    <x v="112"/>
    <s v="A265729"/>
    <x v="4"/>
    <n v="25"/>
    <n v="4875"/>
    <m/>
    <x v="3"/>
  </r>
  <r>
    <x v="90"/>
    <x v="207"/>
    <m/>
    <x v="9"/>
    <n v="5"/>
    <n v="1400"/>
    <m/>
    <x v="3"/>
  </r>
  <r>
    <x v="90"/>
    <x v="445"/>
    <s v="A243752"/>
    <x v="3"/>
    <n v="15"/>
    <n v="5505"/>
    <m/>
    <x v="3"/>
  </r>
  <r>
    <x v="90"/>
    <x v="46"/>
    <s v="A234876"/>
    <x v="5"/>
    <n v="88"/>
    <n v="15240"/>
    <m/>
    <x v="3"/>
  </r>
  <r>
    <x v="90"/>
    <x v="46"/>
    <s v="A234876"/>
    <x v="6"/>
    <n v="125"/>
    <n v="22500"/>
    <m/>
    <x v="3"/>
  </r>
  <r>
    <x v="90"/>
    <x v="46"/>
    <s v="A234876"/>
    <x v="7"/>
    <n v="40"/>
    <n v="7200"/>
    <m/>
    <x v="3"/>
  </r>
  <r>
    <x v="90"/>
    <x v="46"/>
    <s v="A234876"/>
    <x v="10"/>
    <n v="115"/>
    <n v="20700"/>
    <m/>
    <x v="3"/>
  </r>
  <r>
    <x v="90"/>
    <x v="46"/>
    <s v="A234876"/>
    <x v="8"/>
    <n v="50"/>
    <n v="9000"/>
    <m/>
    <x v="3"/>
  </r>
  <r>
    <x v="90"/>
    <x v="46"/>
    <s v="A234876"/>
    <x v="9"/>
    <n v="100"/>
    <n v="18000"/>
    <m/>
    <x v="3"/>
  </r>
  <r>
    <x v="90"/>
    <x v="46"/>
    <s v="A234876"/>
    <x v="1"/>
    <n v="50"/>
    <n v="9000"/>
    <n v="9450"/>
    <x v="3"/>
  </r>
  <r>
    <x v="90"/>
    <x v="46"/>
    <s v="A234876"/>
    <x v="11"/>
    <n v="10"/>
    <n v="1800"/>
    <n v="1890"/>
    <x v="3"/>
  </r>
  <r>
    <x v="90"/>
    <x v="286"/>
    <s v="A253319"/>
    <x v="3"/>
    <n v="50"/>
    <n v="11250"/>
    <m/>
    <x v="3"/>
  </r>
  <r>
    <x v="90"/>
    <x v="446"/>
    <s v="A310591"/>
    <x v="10"/>
    <n v="25"/>
    <n v="11000"/>
    <m/>
    <x v="3"/>
  </r>
  <r>
    <x v="90"/>
    <x v="447"/>
    <s v="A283737"/>
    <x v="5"/>
    <n v="25"/>
    <n v="4500"/>
    <m/>
    <x v="3"/>
  </r>
  <r>
    <x v="90"/>
    <x v="447"/>
    <s v="A283737"/>
    <x v="6"/>
    <n v="25"/>
    <n v="4500"/>
    <m/>
    <x v="3"/>
  </r>
  <r>
    <x v="90"/>
    <x v="282"/>
    <s v="A343168"/>
    <x v="9"/>
    <n v="25"/>
    <n v="5750"/>
    <m/>
    <x v="3"/>
  </r>
  <r>
    <x v="90"/>
    <x v="282"/>
    <s v="A343168"/>
    <x v="1"/>
    <n v="40"/>
    <n v="9100"/>
    <n v="9555"/>
    <x v="3"/>
  </r>
  <r>
    <x v="90"/>
    <x v="52"/>
    <s v="P16046"/>
    <x v="10"/>
    <n v="25"/>
    <n v="6500"/>
    <m/>
    <x v="3"/>
  </r>
  <r>
    <x v="90"/>
    <x v="401"/>
    <s v="A347816"/>
    <x v="1"/>
    <n v="15"/>
    <n v="3450"/>
    <n v="3622.5"/>
    <x v="3"/>
  </r>
  <r>
    <x v="90"/>
    <x v="57"/>
    <s v="A292908"/>
    <x v="7"/>
    <n v="40"/>
    <n v="8800"/>
    <m/>
    <x v="3"/>
  </r>
  <r>
    <x v="90"/>
    <x v="57"/>
    <s v="A292908"/>
    <x v="8"/>
    <n v="10"/>
    <n v="2200"/>
    <m/>
    <x v="3"/>
  </r>
  <r>
    <x v="90"/>
    <x v="72"/>
    <s v="P08499"/>
    <x v="8"/>
    <n v="25"/>
    <n v="5500"/>
    <m/>
    <x v="3"/>
  </r>
  <r>
    <x v="90"/>
    <x v="72"/>
    <s v="P08499"/>
    <x v="1"/>
    <n v="10"/>
    <n v="2200"/>
    <n v="2310"/>
    <x v="3"/>
  </r>
  <r>
    <x v="90"/>
    <x v="448"/>
    <s v="A253969"/>
    <x v="3"/>
    <n v="25"/>
    <n v="5625"/>
    <m/>
    <x v="3"/>
  </r>
  <r>
    <x v="90"/>
    <x v="449"/>
    <s v="A237815"/>
    <x v="4"/>
    <n v="25"/>
    <n v="5125"/>
    <m/>
    <x v="3"/>
  </r>
  <r>
    <x v="90"/>
    <x v="99"/>
    <s v="A282344"/>
    <x v="6"/>
    <n v="60"/>
    <n v="13200"/>
    <m/>
    <x v="3"/>
  </r>
  <r>
    <x v="90"/>
    <x v="99"/>
    <s v="A282344"/>
    <x v="9"/>
    <n v="75"/>
    <n v="13000"/>
    <m/>
    <x v="3"/>
  </r>
  <r>
    <x v="90"/>
    <x v="99"/>
    <s v="A282344"/>
    <x v="1"/>
    <n v="50"/>
    <n v="9825"/>
    <n v="10316.25"/>
    <x v="3"/>
  </r>
  <r>
    <x v="90"/>
    <x v="219"/>
    <s v="A271046"/>
    <x v="6"/>
    <n v="10"/>
    <n v="3000"/>
    <m/>
    <x v="3"/>
  </r>
  <r>
    <x v="90"/>
    <x v="32"/>
    <s v="A295591"/>
    <x v="6"/>
    <n v="100"/>
    <n v="24000"/>
    <m/>
    <x v="3"/>
  </r>
  <r>
    <x v="90"/>
    <x v="32"/>
    <s v="A295591"/>
    <x v="7"/>
    <n v="45"/>
    <n v="10600"/>
    <m/>
    <x v="3"/>
  </r>
  <r>
    <x v="90"/>
    <x v="32"/>
    <s v="A295591"/>
    <x v="10"/>
    <n v="95"/>
    <n v="21850"/>
    <m/>
    <x v="3"/>
  </r>
  <r>
    <x v="90"/>
    <x v="32"/>
    <s v="A295591"/>
    <x v="8"/>
    <n v="30"/>
    <n v="11500"/>
    <m/>
    <x v="3"/>
  </r>
  <r>
    <x v="90"/>
    <x v="32"/>
    <s v="A295591"/>
    <x v="9"/>
    <n v="50"/>
    <n v="11500"/>
    <m/>
    <x v="3"/>
  </r>
  <r>
    <x v="90"/>
    <x v="32"/>
    <s v="A295591"/>
    <x v="1"/>
    <n v="40"/>
    <n v="9200"/>
    <n v="9660"/>
    <x v="3"/>
  </r>
  <r>
    <x v="90"/>
    <x v="430"/>
    <s v="A245052"/>
    <x v="3"/>
    <n v="50"/>
    <n v="18216"/>
    <m/>
    <x v="3"/>
  </r>
  <r>
    <x v="90"/>
    <x v="430"/>
    <s v="A245052"/>
    <x v="4"/>
    <n v="140"/>
    <n v="47788.800000000003"/>
    <m/>
    <x v="3"/>
  </r>
  <r>
    <x v="90"/>
    <x v="430"/>
    <s v="A245052"/>
    <x v="5"/>
    <n v="100"/>
    <n v="30000"/>
    <m/>
    <x v="3"/>
  </r>
  <r>
    <x v="90"/>
    <x v="430"/>
    <s v="A245052"/>
    <x v="6"/>
    <n v="50"/>
    <n v="15000"/>
    <m/>
    <x v="3"/>
  </r>
  <r>
    <x v="90"/>
    <x v="450"/>
    <s v="A258696"/>
    <x v="5"/>
    <n v="25"/>
    <n v="4500"/>
    <m/>
    <x v="3"/>
  </r>
  <r>
    <x v="90"/>
    <x v="171"/>
    <s v="A258812"/>
    <x v="8"/>
    <n v="5"/>
    <n v="800"/>
    <m/>
    <x v="3"/>
  </r>
  <r>
    <x v="90"/>
    <x v="451"/>
    <s v="G21726"/>
    <x v="10"/>
    <n v="40"/>
    <n v="9800"/>
    <m/>
    <x v="3"/>
  </r>
  <r>
    <x v="90"/>
    <x v="451"/>
    <s v="G21726"/>
    <x v="1"/>
    <n v="37"/>
    <n v="9065"/>
    <n v="9518.25"/>
    <x v="3"/>
  </r>
  <r>
    <x v="91"/>
    <x v="366"/>
    <s v="A238073"/>
    <x v="7"/>
    <n v="10"/>
    <n v="700"/>
    <m/>
    <x v="2"/>
  </r>
  <r>
    <x v="91"/>
    <x v="366"/>
    <s v="A238073"/>
    <x v="0"/>
    <n v="10"/>
    <n v="700"/>
    <n v="735"/>
    <x v="2"/>
  </r>
  <r>
    <x v="91"/>
    <x v="221"/>
    <s v="A231076"/>
    <x v="0"/>
    <n v="10"/>
    <n v="650"/>
    <n v="682.5"/>
    <x v="2"/>
  </r>
  <r>
    <x v="91"/>
    <x v="368"/>
    <s v="A299995"/>
    <x v="7"/>
    <n v="10"/>
    <n v="750"/>
    <m/>
    <x v="3"/>
  </r>
  <r>
    <x v="91"/>
    <x v="353"/>
    <s v="A241990"/>
    <x v="5"/>
    <n v="50"/>
    <n v="4100"/>
    <m/>
    <x v="3"/>
  </r>
  <r>
    <x v="91"/>
    <x v="353"/>
    <s v="A241990"/>
    <x v="6"/>
    <n v="150"/>
    <n v="10250"/>
    <m/>
    <x v="3"/>
  </r>
  <r>
    <x v="91"/>
    <x v="353"/>
    <s v="A241990"/>
    <x v="10"/>
    <n v="25"/>
    <n v="1625"/>
    <m/>
    <x v="3"/>
  </r>
  <r>
    <x v="91"/>
    <x v="452"/>
    <s v="A239535"/>
    <x v="5"/>
    <n v="25"/>
    <n v="2550"/>
    <m/>
    <x v="3"/>
  </r>
  <r>
    <x v="91"/>
    <x v="373"/>
    <s v="A241556"/>
    <x v="5"/>
    <n v="25"/>
    <n v="2250"/>
    <m/>
    <x v="3"/>
  </r>
  <r>
    <x v="91"/>
    <x v="12"/>
    <m/>
    <x v="0"/>
    <n v="3"/>
    <n v="270"/>
    <n v="283.5"/>
    <x v="3"/>
  </r>
  <r>
    <x v="91"/>
    <x v="453"/>
    <m/>
    <x v="7"/>
    <n v="10"/>
    <n v="550"/>
    <m/>
    <x v="3"/>
  </r>
  <r>
    <x v="91"/>
    <x v="3"/>
    <s v="A232126"/>
    <x v="6"/>
    <n v="25"/>
    <n v="2250"/>
    <m/>
    <x v="3"/>
  </r>
  <r>
    <x v="91"/>
    <x v="141"/>
    <s v="A249778"/>
    <x v="2"/>
    <n v="25"/>
    <n v="1750"/>
    <n v="1837.5"/>
    <x v="3"/>
  </r>
  <r>
    <x v="91"/>
    <x v="16"/>
    <s v="A255224"/>
    <x v="5"/>
    <n v="25"/>
    <n v="1750"/>
    <m/>
    <x v="3"/>
  </r>
  <r>
    <x v="91"/>
    <x v="16"/>
    <s v="A297444"/>
    <x v="6"/>
    <n v="50"/>
    <n v="3750"/>
    <m/>
    <x v="3"/>
  </r>
  <r>
    <x v="91"/>
    <x v="343"/>
    <s v="A257810"/>
    <x v="11"/>
    <n v="25"/>
    <n v="1000"/>
    <n v="1050"/>
    <x v="1"/>
  </r>
  <r>
    <x v="91"/>
    <x v="343"/>
    <s v="A257810"/>
    <x v="0"/>
    <n v="25"/>
    <n v="1000"/>
    <n v="1050"/>
    <x v="1"/>
  </r>
  <r>
    <x v="91"/>
    <x v="4"/>
    <s v="A231709"/>
    <x v="1"/>
    <n v="25"/>
    <n v="1750"/>
    <n v="1837.5"/>
    <x v="3"/>
  </r>
  <r>
    <x v="91"/>
    <x v="4"/>
    <s v="A231709"/>
    <x v="2"/>
    <n v="25"/>
    <n v="1700"/>
    <n v="1785"/>
    <x v="3"/>
  </r>
  <r>
    <x v="91"/>
    <x v="51"/>
    <s v="A298567"/>
    <x v="11"/>
    <n v="10"/>
    <n v="580"/>
    <n v="609"/>
    <x v="3"/>
  </r>
  <r>
    <x v="91"/>
    <x v="454"/>
    <s v="P781985"/>
    <x v="2"/>
    <n v="10"/>
    <n v="800"/>
    <n v="840"/>
    <x v="3"/>
  </r>
  <r>
    <x v="91"/>
    <x v="455"/>
    <s v="A408570"/>
    <x v="2"/>
    <n v="10"/>
    <n v="800"/>
    <n v="840"/>
    <x v="3"/>
  </r>
  <r>
    <x v="91"/>
    <x v="13"/>
    <m/>
    <x v="0"/>
    <n v="3"/>
    <n v="255"/>
    <n v="267.75"/>
    <x v="2"/>
  </r>
  <r>
    <x v="91"/>
    <x v="456"/>
    <s v="A313001"/>
    <x v="2"/>
    <n v="10"/>
    <n v="750"/>
    <n v="787.5"/>
    <x v="3"/>
  </r>
  <r>
    <x v="91"/>
    <x v="457"/>
    <s v="A271403"/>
    <x v="10"/>
    <n v="25"/>
    <n v="2125"/>
    <m/>
    <x v="3"/>
  </r>
  <r>
    <x v="91"/>
    <x v="97"/>
    <s v="A299992"/>
    <x v="7"/>
    <n v="10"/>
    <n v="680"/>
    <m/>
    <x v="3"/>
  </r>
  <r>
    <x v="91"/>
    <x v="19"/>
    <s v="A233442"/>
    <x v="6"/>
    <n v="25"/>
    <n v="1750"/>
    <m/>
    <x v="3"/>
  </r>
  <r>
    <x v="91"/>
    <x v="19"/>
    <s v="A233442"/>
    <x v="7"/>
    <n v="25"/>
    <n v="1750"/>
    <m/>
    <x v="3"/>
  </r>
  <r>
    <x v="91"/>
    <x v="14"/>
    <m/>
    <x v="0"/>
    <n v="1"/>
    <n v="75"/>
    <n v="78.75"/>
    <x v="2"/>
  </r>
  <r>
    <x v="92"/>
    <x v="16"/>
    <s v="A255225"/>
    <x v="4"/>
    <n v="25"/>
    <n v="1875"/>
    <m/>
    <x v="3"/>
  </r>
  <r>
    <x v="93"/>
    <x v="1"/>
    <s v="A231710"/>
    <x v="11"/>
    <n v="75"/>
    <n v="4875"/>
    <n v="5118.75"/>
    <x v="3"/>
  </r>
  <r>
    <x v="94"/>
    <x v="35"/>
    <s v="A245190"/>
    <x v="9"/>
    <n v="6"/>
    <n v="1080"/>
    <m/>
    <x v="3"/>
  </r>
  <r>
    <x v="94"/>
    <x v="127"/>
    <s v="A343168"/>
    <x v="2"/>
    <n v="15"/>
    <n v="3300"/>
    <n v="3465"/>
    <x v="3"/>
  </r>
  <r>
    <x v="94"/>
    <x v="458"/>
    <m/>
    <x v="2"/>
    <n v="15"/>
    <n v="3525"/>
    <n v="3701.25"/>
    <x v="3"/>
  </r>
  <r>
    <x v="94"/>
    <x v="50"/>
    <s v="A329793"/>
    <x v="2"/>
    <n v="2"/>
    <n v="400"/>
    <n v="420"/>
    <x v="3"/>
  </r>
  <r>
    <x v="94"/>
    <x v="55"/>
    <s v="A403816"/>
    <x v="1"/>
    <n v="7"/>
    <n v="15540"/>
    <n v="16317"/>
    <x v="3"/>
  </r>
  <r>
    <x v="94"/>
    <x v="459"/>
    <m/>
    <x v="1"/>
    <n v="5"/>
    <n v="1000"/>
    <n v="1050"/>
    <x v="3"/>
  </r>
  <r>
    <x v="94"/>
    <x v="73"/>
    <s v="P08976"/>
    <x v="9"/>
    <n v="10"/>
    <n v="2300"/>
    <m/>
    <x v="3"/>
  </r>
  <r>
    <x v="94"/>
    <x v="335"/>
    <s v="A349425"/>
    <x v="0"/>
    <n v="5"/>
    <n v="950"/>
    <n v="997.5"/>
    <x v="2"/>
  </r>
  <r>
    <x v="94"/>
    <x v="346"/>
    <s v="A315997"/>
    <x v="2"/>
    <n v="1185"/>
    <n v="199190"/>
    <n v="209149.5"/>
    <x v="3"/>
  </r>
  <r>
    <x v="95"/>
    <x v="413"/>
    <s v="P08282"/>
    <x v="7"/>
    <n v="10"/>
    <n v="2000"/>
    <m/>
    <x v="3"/>
  </r>
  <r>
    <x v="95"/>
    <x v="413"/>
    <s v="P08282"/>
    <x v="10"/>
    <n v="60"/>
    <n v="11400"/>
    <m/>
    <x v="3"/>
  </r>
  <r>
    <x v="95"/>
    <x v="413"/>
    <s v="P08282"/>
    <x v="8"/>
    <n v="30"/>
    <n v="5400"/>
    <m/>
    <x v="3"/>
  </r>
  <r>
    <x v="95"/>
    <x v="37"/>
    <s v="A295406"/>
    <x v="8"/>
    <n v="10"/>
    <n v="6500"/>
    <m/>
    <x v="3"/>
  </r>
  <r>
    <x v="95"/>
    <x v="365"/>
    <s v="A285878"/>
    <x v="2"/>
    <n v="25"/>
    <n v="4000"/>
    <n v="4200"/>
    <x v="3"/>
  </r>
  <r>
    <x v="95"/>
    <x v="112"/>
    <s v="A265729"/>
    <x v="1"/>
    <n v="25"/>
    <n v="6000"/>
    <n v="6300"/>
    <x v="3"/>
  </r>
  <r>
    <x v="95"/>
    <x v="460"/>
    <s v="P08978"/>
    <x v="7"/>
    <n v="10"/>
    <n v="2550"/>
    <m/>
    <x v="3"/>
  </r>
  <r>
    <x v="95"/>
    <x v="460"/>
    <s v="P08978"/>
    <x v="1"/>
    <n v="50"/>
    <n v="12000"/>
    <n v="12600"/>
    <x v="3"/>
  </r>
  <r>
    <x v="95"/>
    <x v="127"/>
    <s v="A343168"/>
    <x v="0"/>
    <n v="15"/>
    <n v="3450"/>
    <n v="3622.5"/>
    <x v="3"/>
  </r>
  <r>
    <x v="95"/>
    <x v="183"/>
    <s v="A275118"/>
    <x v="11"/>
    <n v="1"/>
    <n v="95"/>
    <n v="99.75"/>
    <x v="3"/>
  </r>
  <r>
    <x v="95"/>
    <x v="461"/>
    <s v="A295952"/>
    <x v="7"/>
    <n v="25"/>
    <n v="6250"/>
    <m/>
    <x v="3"/>
  </r>
  <r>
    <x v="95"/>
    <x v="461"/>
    <s v="A295952"/>
    <x v="10"/>
    <n v="25"/>
    <n v="5500"/>
    <m/>
    <x v="3"/>
  </r>
  <r>
    <x v="95"/>
    <x v="461"/>
    <s v="A295952"/>
    <x v="8"/>
    <n v="24"/>
    <n v="5280"/>
    <m/>
    <x v="3"/>
  </r>
  <r>
    <x v="95"/>
    <x v="47"/>
    <s v="A283876"/>
    <x v="1"/>
    <n v="25"/>
    <n v="4500"/>
    <n v="4725"/>
    <x v="3"/>
  </r>
  <r>
    <x v="95"/>
    <x v="462"/>
    <s v="A406595"/>
    <x v="2"/>
    <n v="50"/>
    <n v="9000"/>
    <n v="9450"/>
    <x v="3"/>
  </r>
  <r>
    <x v="95"/>
    <x v="26"/>
    <s v="A281055"/>
    <x v="7"/>
    <n v="15"/>
    <n v="3300"/>
    <m/>
    <x v="3"/>
  </r>
  <r>
    <x v="95"/>
    <x v="26"/>
    <s v="A281055"/>
    <x v="1"/>
    <n v="85"/>
    <n v="18700"/>
    <n v="19635"/>
    <x v="3"/>
  </r>
  <r>
    <x v="95"/>
    <x v="260"/>
    <s v="A305591"/>
    <x v="7"/>
    <n v="40"/>
    <n v="9200"/>
    <m/>
    <x v="3"/>
  </r>
  <r>
    <x v="95"/>
    <x v="260"/>
    <s v="A305591"/>
    <x v="10"/>
    <n v="45"/>
    <n v="10650"/>
    <m/>
    <x v="3"/>
  </r>
  <r>
    <x v="95"/>
    <x v="260"/>
    <s v="A305591"/>
    <x v="8"/>
    <n v="15"/>
    <n v="2700"/>
    <m/>
    <x v="3"/>
  </r>
  <r>
    <x v="95"/>
    <x v="260"/>
    <s v="A305591"/>
    <x v="9"/>
    <n v="75"/>
    <n v="13500"/>
    <m/>
    <x v="3"/>
  </r>
  <r>
    <x v="95"/>
    <x v="260"/>
    <s v="A305591"/>
    <x v="1"/>
    <n v="75"/>
    <n v="13500"/>
    <n v="14175"/>
    <x v="3"/>
  </r>
  <r>
    <x v="95"/>
    <x v="260"/>
    <s v="A305591"/>
    <x v="2"/>
    <n v="5"/>
    <n v="900"/>
    <n v="945"/>
    <x v="3"/>
  </r>
  <r>
    <x v="95"/>
    <x v="260"/>
    <s v="A305591"/>
    <x v="11"/>
    <n v="10"/>
    <n v="1800"/>
    <n v="1890"/>
    <x v="3"/>
  </r>
  <r>
    <x v="95"/>
    <x v="463"/>
    <s v="P19035"/>
    <x v="2"/>
    <n v="15"/>
    <n v="3300"/>
    <n v="3465"/>
    <x v="3"/>
  </r>
  <r>
    <x v="95"/>
    <x v="50"/>
    <s v="A329793"/>
    <x v="8"/>
    <n v="10"/>
    <n v="2600"/>
    <m/>
    <x v="3"/>
  </r>
  <r>
    <x v="95"/>
    <x v="282"/>
    <s v="A343168"/>
    <x v="9"/>
    <n v="25"/>
    <n v="4500"/>
    <m/>
    <x v="3"/>
  </r>
  <r>
    <x v="95"/>
    <x v="282"/>
    <s v="A343168"/>
    <x v="1"/>
    <n v="175"/>
    <n v="31500"/>
    <n v="33075"/>
    <x v="3"/>
  </r>
  <r>
    <x v="95"/>
    <x v="459"/>
    <m/>
    <x v="9"/>
    <n v="25"/>
    <n v="6500"/>
    <m/>
    <x v="3"/>
  </r>
  <r>
    <x v="95"/>
    <x v="57"/>
    <s v="A292908"/>
    <x v="7"/>
    <n v="45"/>
    <n v="9775"/>
    <m/>
    <x v="3"/>
  </r>
  <r>
    <x v="95"/>
    <x v="57"/>
    <s v="A292908"/>
    <x v="10"/>
    <n v="100"/>
    <n v="19750"/>
    <m/>
    <x v="3"/>
  </r>
  <r>
    <x v="95"/>
    <x v="57"/>
    <s v="A292908"/>
    <x v="8"/>
    <n v="125"/>
    <n v="22500"/>
    <m/>
    <x v="3"/>
  </r>
  <r>
    <x v="95"/>
    <x v="57"/>
    <s v="A292908"/>
    <x v="9"/>
    <n v="220"/>
    <n v="28600"/>
    <m/>
    <x v="3"/>
  </r>
  <r>
    <x v="95"/>
    <x v="57"/>
    <s v="A292908"/>
    <x v="1"/>
    <n v="200"/>
    <n v="32000"/>
    <n v="33600"/>
    <x v="3"/>
  </r>
  <r>
    <x v="95"/>
    <x v="57"/>
    <s v="A292908"/>
    <x v="2"/>
    <n v="105"/>
    <n v="16800"/>
    <n v="17640"/>
    <x v="3"/>
  </r>
  <r>
    <x v="95"/>
    <x v="464"/>
    <s v="A403149"/>
    <x v="2"/>
    <n v="50"/>
    <n v="8000"/>
    <n v="8400"/>
    <x v="3"/>
  </r>
  <r>
    <x v="95"/>
    <x v="464"/>
    <s v="A403149"/>
    <x v="11"/>
    <n v="25"/>
    <n v="4000"/>
    <n v="4200"/>
    <x v="3"/>
  </r>
  <r>
    <x v="95"/>
    <x v="465"/>
    <s v="A260960"/>
    <x v="9"/>
    <n v="15"/>
    <n v="2250"/>
    <m/>
    <x v="3"/>
  </r>
  <r>
    <x v="95"/>
    <x v="68"/>
    <s v="A241029"/>
    <x v="10"/>
    <n v="3"/>
    <n v="540"/>
    <m/>
    <x v="3"/>
  </r>
  <r>
    <x v="95"/>
    <x v="68"/>
    <s v="A241029"/>
    <x v="8"/>
    <n v="10"/>
    <n v="1800"/>
    <m/>
    <x v="3"/>
  </r>
  <r>
    <x v="95"/>
    <x v="344"/>
    <s v="A415791"/>
    <x v="11"/>
    <n v="11"/>
    <n v="1045"/>
    <n v="1097.25"/>
    <x v="3"/>
  </r>
  <r>
    <x v="95"/>
    <x v="224"/>
    <s v="A249084"/>
    <x v="8"/>
    <n v="25"/>
    <n v="2750"/>
    <m/>
    <x v="3"/>
  </r>
  <r>
    <x v="95"/>
    <x v="99"/>
    <s v="A282344"/>
    <x v="7"/>
    <n v="30"/>
    <n v="6600"/>
    <m/>
    <x v="3"/>
  </r>
  <r>
    <x v="95"/>
    <x v="99"/>
    <s v="A282344"/>
    <x v="1"/>
    <n v="75"/>
    <n v="10500"/>
    <n v="11025"/>
    <x v="3"/>
  </r>
  <r>
    <x v="95"/>
    <x v="297"/>
    <s v="A271046"/>
    <x v="9"/>
    <n v="25"/>
    <n v="5500"/>
    <m/>
    <x v="3"/>
  </r>
  <r>
    <x v="95"/>
    <x v="168"/>
    <s v="A295590"/>
    <x v="10"/>
    <n v="25"/>
    <n v="4500"/>
    <m/>
    <x v="3"/>
  </r>
  <r>
    <x v="95"/>
    <x v="168"/>
    <s v="A295590"/>
    <x v="8"/>
    <n v="25"/>
    <n v="4000"/>
    <m/>
    <x v="3"/>
  </r>
  <r>
    <x v="95"/>
    <x v="76"/>
    <s v="A297626"/>
    <x v="10"/>
    <n v="25"/>
    <n v="5250"/>
    <m/>
    <x v="3"/>
  </r>
  <r>
    <x v="95"/>
    <x v="76"/>
    <s v="A297626"/>
    <x v="8"/>
    <n v="54"/>
    <n v="11340"/>
    <m/>
    <x v="3"/>
  </r>
  <r>
    <x v="95"/>
    <x v="76"/>
    <s v="A297626"/>
    <x v="9"/>
    <n v="20"/>
    <n v="4200"/>
    <m/>
    <x v="3"/>
  </r>
  <r>
    <x v="95"/>
    <x v="466"/>
    <s v="P09390"/>
    <x v="1"/>
    <n v="25"/>
    <n v="5750"/>
    <n v="6037.5"/>
    <x v="3"/>
  </r>
  <r>
    <x v="95"/>
    <x v="466"/>
    <s v="P09390"/>
    <x v="2"/>
    <n v="25"/>
    <n v="5750"/>
    <n v="6037.5"/>
    <x v="3"/>
  </r>
  <r>
    <x v="95"/>
    <x v="103"/>
    <s v="A299996"/>
    <x v="10"/>
    <n v="10"/>
    <n v="1500"/>
    <m/>
    <x v="3"/>
  </r>
  <r>
    <x v="96"/>
    <x v="461"/>
    <s v="A295952"/>
    <x v="8"/>
    <n v="1"/>
    <n v="230"/>
    <m/>
    <x v="3"/>
  </r>
  <r>
    <x v="96"/>
    <x v="467"/>
    <s v="A292908"/>
    <x v="8"/>
    <n v="1"/>
    <n v="250"/>
    <m/>
    <x v="3"/>
  </r>
  <r>
    <x v="96"/>
    <x v="168"/>
    <s v="A295590"/>
    <x v="8"/>
    <n v="1"/>
    <n v="200"/>
    <m/>
    <x v="3"/>
  </r>
  <r>
    <x v="97"/>
    <x v="342"/>
    <s v="A402008"/>
    <x v="0"/>
    <n v="1"/>
    <n v="75"/>
    <n v="75"/>
    <x v="2"/>
  </r>
  <r>
    <x v="97"/>
    <x v="468"/>
    <s v="A402009"/>
    <x v="0"/>
    <n v="1"/>
    <n v="85"/>
    <n v="85"/>
    <x v="1"/>
  </r>
  <r>
    <x v="97"/>
    <x v="51"/>
    <s v="A298567"/>
    <x v="0"/>
    <n v="1"/>
    <n v="45"/>
    <n v="45"/>
    <x v="1"/>
  </r>
  <r>
    <x v="97"/>
    <x v="344"/>
    <s v="A415791"/>
    <x v="0"/>
    <n v="1"/>
    <n v="75"/>
    <n v="75"/>
    <x v="2"/>
  </r>
  <r>
    <x v="98"/>
    <x v="309"/>
    <s v="A243761"/>
    <x v="8"/>
    <n v="25"/>
    <n v="2125"/>
    <m/>
    <x v="3"/>
  </r>
  <r>
    <x v="98"/>
    <x v="11"/>
    <m/>
    <x v="1"/>
    <n v="15"/>
    <n v="1650"/>
    <n v="1732.5"/>
    <x v="3"/>
  </r>
  <r>
    <x v="98"/>
    <x v="11"/>
    <m/>
    <x v="2"/>
    <n v="10"/>
    <n v="1100"/>
    <n v="1155"/>
    <x v="3"/>
  </r>
  <r>
    <x v="98"/>
    <x v="11"/>
    <m/>
    <x v="11"/>
    <n v="20"/>
    <n v="2200"/>
    <n v="2310"/>
    <x v="3"/>
  </r>
  <r>
    <x v="98"/>
    <x v="233"/>
    <m/>
    <x v="2"/>
    <n v="15"/>
    <n v="1200"/>
    <n v="1260"/>
    <x v="3"/>
  </r>
  <r>
    <x v="98"/>
    <x v="353"/>
    <s v="A241990"/>
    <x v="8"/>
    <n v="50"/>
    <n v="3000"/>
    <m/>
    <x v="3"/>
  </r>
  <r>
    <x v="98"/>
    <x v="353"/>
    <s v="A241990"/>
    <x v="9"/>
    <n v="218"/>
    <n v="13080"/>
    <m/>
    <x v="3"/>
  </r>
  <r>
    <x v="98"/>
    <x v="182"/>
    <s v="A275118"/>
    <x v="9"/>
    <n v="100"/>
    <n v="8000"/>
    <m/>
    <x v="3"/>
  </r>
  <r>
    <x v="98"/>
    <x v="182"/>
    <s v="A275118"/>
    <x v="1"/>
    <n v="50"/>
    <n v="4000"/>
    <n v="4200"/>
    <x v="3"/>
  </r>
  <r>
    <x v="98"/>
    <x v="238"/>
    <m/>
    <x v="1"/>
    <n v="5"/>
    <n v="400"/>
    <n v="420"/>
    <x v="3"/>
  </r>
  <r>
    <x v="98"/>
    <x v="238"/>
    <m/>
    <x v="2"/>
    <n v="25"/>
    <n v="2000"/>
    <n v="2100"/>
    <x v="3"/>
  </r>
  <r>
    <x v="98"/>
    <x v="327"/>
    <m/>
    <x v="2"/>
    <n v="1"/>
    <n v="100"/>
    <n v="105"/>
    <x v="2"/>
  </r>
  <r>
    <x v="98"/>
    <x v="327"/>
    <m/>
    <x v="0"/>
    <n v="10"/>
    <n v="1150"/>
    <n v="1207.5"/>
    <x v="2"/>
  </r>
  <r>
    <x v="98"/>
    <x v="469"/>
    <s v="A248486"/>
    <x v="1"/>
    <n v="5"/>
    <n v="350"/>
    <n v="367.5"/>
    <x v="3"/>
  </r>
  <r>
    <x v="98"/>
    <x v="328"/>
    <s v="A285349"/>
    <x v="1"/>
    <n v="25"/>
    <n v="1750"/>
    <n v="1837.5"/>
    <x v="3"/>
  </r>
  <r>
    <x v="98"/>
    <x v="93"/>
    <s v="A231708"/>
    <x v="8"/>
    <n v="25"/>
    <n v="1500"/>
    <m/>
    <x v="3"/>
  </r>
  <r>
    <x v="98"/>
    <x v="93"/>
    <s v="A231708"/>
    <x v="9"/>
    <n v="150"/>
    <n v="9000"/>
    <m/>
    <x v="3"/>
  </r>
  <r>
    <x v="98"/>
    <x v="93"/>
    <s v="A231708"/>
    <x v="1"/>
    <n v="28"/>
    <n v="1680"/>
    <n v="1764"/>
    <x v="3"/>
  </r>
  <r>
    <x v="98"/>
    <x v="156"/>
    <s v="A231705"/>
    <x v="9"/>
    <n v="30"/>
    <n v="2250"/>
    <m/>
    <x v="3"/>
  </r>
  <r>
    <x v="98"/>
    <x v="156"/>
    <s v="A231705"/>
    <x v="1"/>
    <n v="25"/>
    <n v="1875"/>
    <n v="1968.75"/>
    <x v="3"/>
  </r>
  <r>
    <x v="98"/>
    <x v="3"/>
    <s v="A236167"/>
    <x v="9"/>
    <n v="115"/>
    <n v="8225"/>
    <m/>
    <x v="3"/>
  </r>
  <r>
    <x v="98"/>
    <x v="3"/>
    <s v="A331329"/>
    <x v="9"/>
    <n v="50"/>
    <n v="3600"/>
    <m/>
    <x v="3"/>
  </r>
  <r>
    <x v="98"/>
    <x v="250"/>
    <s v="A241557"/>
    <x v="8"/>
    <n v="25"/>
    <n v="2500"/>
    <m/>
    <x v="3"/>
  </r>
  <r>
    <x v="98"/>
    <x v="250"/>
    <s v="A241557"/>
    <x v="9"/>
    <n v="25"/>
    <n v="2500"/>
    <m/>
    <x v="3"/>
  </r>
  <r>
    <x v="98"/>
    <x v="250"/>
    <s v="A241557"/>
    <x v="1"/>
    <n v="50"/>
    <n v="5000"/>
    <n v="5250"/>
    <x v="3"/>
  </r>
  <r>
    <x v="98"/>
    <x v="275"/>
    <s v="A271087"/>
    <x v="9"/>
    <n v="40"/>
    <n v="3400"/>
    <m/>
    <x v="3"/>
  </r>
  <r>
    <x v="98"/>
    <x v="28"/>
    <s v="A233711"/>
    <x v="8"/>
    <n v="25"/>
    <n v="1500"/>
    <m/>
    <x v="3"/>
  </r>
  <r>
    <x v="98"/>
    <x v="28"/>
    <s v="A233711"/>
    <x v="9"/>
    <n v="185"/>
    <n v="11100"/>
    <m/>
    <x v="3"/>
  </r>
  <r>
    <x v="98"/>
    <x v="4"/>
    <s v="A231709"/>
    <x v="9"/>
    <n v="92.55"/>
    <n v="6478.5"/>
    <m/>
    <x v="3"/>
  </r>
  <r>
    <x v="98"/>
    <x v="4"/>
    <s v="A231709"/>
    <x v="1"/>
    <n v="160"/>
    <n v="11200"/>
    <n v="11760"/>
    <x v="3"/>
  </r>
  <r>
    <x v="98"/>
    <x v="51"/>
    <s v="A298567"/>
    <x v="1"/>
    <n v="10"/>
    <n v="500"/>
    <n v="525"/>
    <x v="3"/>
  </r>
  <r>
    <x v="98"/>
    <x v="30"/>
    <s v="A233444"/>
    <x v="8"/>
    <n v="25"/>
    <n v="1750"/>
    <m/>
    <x v="3"/>
  </r>
  <r>
    <x v="98"/>
    <x v="30"/>
    <s v="A233444"/>
    <x v="9"/>
    <n v="25"/>
    <n v="1750"/>
    <m/>
    <x v="3"/>
  </r>
  <r>
    <x v="98"/>
    <x v="293"/>
    <s v="A248825"/>
    <x v="9"/>
    <n v="20"/>
    <n v="1500"/>
    <m/>
    <x v="3"/>
  </r>
  <r>
    <x v="98"/>
    <x v="293"/>
    <s v="A248825"/>
    <x v="1"/>
    <n v="5"/>
    <n v="375"/>
    <n v="393.75"/>
    <x v="3"/>
  </r>
  <r>
    <x v="98"/>
    <x v="13"/>
    <m/>
    <x v="9"/>
    <n v="1"/>
    <n v="80"/>
    <m/>
    <x v="3"/>
  </r>
  <r>
    <x v="98"/>
    <x v="13"/>
    <m/>
    <x v="2"/>
    <n v="5"/>
    <n v="450"/>
    <n v="472.5"/>
    <x v="3"/>
  </r>
  <r>
    <x v="98"/>
    <x v="13"/>
    <m/>
    <x v="11"/>
    <n v="5"/>
    <n v="450"/>
    <n v="472.5"/>
    <x v="3"/>
  </r>
  <r>
    <x v="98"/>
    <x v="97"/>
    <s v="A299992"/>
    <x v="2"/>
    <n v="25"/>
    <n v="1625"/>
    <n v="1706.25"/>
    <x v="3"/>
  </r>
  <r>
    <x v="98"/>
    <x v="166"/>
    <s v="A233185"/>
    <x v="8"/>
    <n v="25"/>
    <n v="1500"/>
    <m/>
    <x v="3"/>
  </r>
  <r>
    <x v="98"/>
    <x v="166"/>
    <s v="A231706"/>
    <x v="1"/>
    <n v="35"/>
    <n v="2100"/>
    <n v="2205"/>
    <x v="3"/>
  </r>
  <r>
    <x v="98"/>
    <x v="19"/>
    <s v="A233442"/>
    <x v="8"/>
    <n v="75"/>
    <n v="4500"/>
    <m/>
    <x v="3"/>
  </r>
  <r>
    <x v="98"/>
    <x v="19"/>
    <s v="A233442"/>
    <x v="9"/>
    <n v="150"/>
    <n v="9000"/>
    <m/>
    <x v="3"/>
  </r>
  <r>
    <x v="98"/>
    <x v="19"/>
    <s v="A233442"/>
    <x v="1"/>
    <n v="50"/>
    <n v="3000"/>
    <n v="3150"/>
    <x v="3"/>
  </r>
  <r>
    <x v="98"/>
    <x v="248"/>
    <s v="A264618"/>
    <x v="9"/>
    <n v="45"/>
    <n v="2925"/>
    <m/>
    <x v="3"/>
  </r>
  <r>
    <x v="98"/>
    <x v="14"/>
    <m/>
    <x v="2"/>
    <n v="20"/>
    <n v="1400"/>
    <n v="1470"/>
    <x v="3"/>
  </r>
  <r>
    <x v="99"/>
    <x v="470"/>
    <s v="A254510"/>
    <x v="3"/>
    <n v="1"/>
    <n v="280"/>
    <m/>
    <x v="3"/>
  </r>
  <r>
    <x v="99"/>
    <x v="206"/>
    <s v="A232879"/>
    <x v="3"/>
    <n v="11"/>
    <n v="3080"/>
    <m/>
    <x v="3"/>
  </r>
  <r>
    <x v="99"/>
    <x v="471"/>
    <s v="A243964"/>
    <x v="3"/>
    <n v="2"/>
    <n v="560"/>
    <m/>
    <x v="3"/>
  </r>
  <r>
    <x v="99"/>
    <x v="472"/>
    <s v="A252906"/>
    <x v="3"/>
    <n v="20"/>
    <n v="5250"/>
    <m/>
    <x v="3"/>
  </r>
  <r>
    <x v="99"/>
    <x v="473"/>
    <s v="A256447"/>
    <x v="3"/>
    <n v="1"/>
    <n v="350"/>
    <m/>
    <x v="3"/>
  </r>
  <r>
    <x v="99"/>
    <x v="146"/>
    <s v="A234281"/>
    <x v="3"/>
    <n v="5"/>
    <n v="1400"/>
    <m/>
    <x v="3"/>
  </r>
  <r>
    <x v="99"/>
    <x v="474"/>
    <s v="A238381"/>
    <x v="3"/>
    <n v="5"/>
    <n v="1350"/>
    <m/>
    <x v="3"/>
  </r>
  <r>
    <x v="99"/>
    <x v="272"/>
    <s v="A246994"/>
    <x v="3"/>
    <n v="1"/>
    <n v="280"/>
    <m/>
    <x v="3"/>
  </r>
  <r>
    <x v="99"/>
    <x v="475"/>
    <s v="A236477"/>
    <x v="3"/>
    <n v="1"/>
    <n v="340"/>
    <m/>
    <x v="3"/>
  </r>
  <r>
    <x v="99"/>
    <x v="114"/>
    <s v="A245818"/>
    <x v="3"/>
    <n v="35"/>
    <n v="8050"/>
    <m/>
    <x v="3"/>
  </r>
  <r>
    <x v="99"/>
    <x v="114"/>
    <s v="A245818"/>
    <x v="4"/>
    <n v="25"/>
    <n v="5750"/>
    <m/>
    <x v="3"/>
  </r>
  <r>
    <x v="99"/>
    <x v="476"/>
    <s v="A238607"/>
    <x v="3"/>
    <n v="1"/>
    <n v="150"/>
    <m/>
    <x v="3"/>
  </r>
  <r>
    <x v="99"/>
    <x v="46"/>
    <s v="A234853"/>
    <x v="3"/>
    <n v="5"/>
    <n v="1400"/>
    <m/>
    <x v="3"/>
  </r>
  <r>
    <x v="99"/>
    <x v="46"/>
    <s v="A234876"/>
    <x v="3"/>
    <n v="8"/>
    <n v="2240"/>
    <m/>
    <x v="3"/>
  </r>
  <r>
    <x v="99"/>
    <x v="46"/>
    <s v="A234876"/>
    <x v="4"/>
    <n v="5"/>
    <n v="1400"/>
    <m/>
    <x v="3"/>
  </r>
  <r>
    <x v="99"/>
    <x v="477"/>
    <s v="A254534"/>
    <x v="3"/>
    <n v="1"/>
    <n v="280"/>
    <m/>
    <x v="3"/>
  </r>
  <r>
    <x v="99"/>
    <x v="478"/>
    <s v="A256071"/>
    <x v="3"/>
    <n v="1"/>
    <n v="280"/>
    <m/>
    <x v="3"/>
  </r>
  <r>
    <x v="99"/>
    <x v="48"/>
    <s v="A245955"/>
    <x v="3"/>
    <n v="1"/>
    <n v="280"/>
    <m/>
    <x v="3"/>
  </r>
  <r>
    <x v="99"/>
    <x v="479"/>
    <s v="A245856"/>
    <x v="3"/>
    <n v="1"/>
    <n v="280"/>
    <m/>
    <x v="3"/>
  </r>
  <r>
    <x v="99"/>
    <x v="156"/>
    <s v="A247806"/>
    <x v="3"/>
    <n v="1"/>
    <n v="280"/>
    <m/>
    <x v="3"/>
  </r>
  <r>
    <x v="99"/>
    <x v="480"/>
    <s v="A246897"/>
    <x v="3"/>
    <n v="1"/>
    <n v="280"/>
    <m/>
    <x v="3"/>
  </r>
  <r>
    <x v="99"/>
    <x v="351"/>
    <s v="A253399"/>
    <x v="3"/>
    <n v="1"/>
    <n v="290"/>
    <m/>
    <x v="3"/>
  </r>
  <r>
    <x v="99"/>
    <x v="481"/>
    <m/>
    <x v="3"/>
    <n v="25"/>
    <n v="7024.87"/>
    <m/>
    <x v="3"/>
  </r>
  <r>
    <x v="99"/>
    <x v="482"/>
    <s v="A245190"/>
    <x v="3"/>
    <n v="1"/>
    <n v="300"/>
    <m/>
    <x v="3"/>
  </r>
  <r>
    <x v="99"/>
    <x v="68"/>
    <s v="A241029"/>
    <x v="4"/>
    <n v="3"/>
    <n v="840"/>
    <m/>
    <x v="3"/>
  </r>
  <r>
    <x v="99"/>
    <x v="483"/>
    <s v="A233759"/>
    <x v="4"/>
    <n v="5"/>
    <n v="1100"/>
    <m/>
    <x v="3"/>
  </r>
  <r>
    <x v="99"/>
    <x v="201"/>
    <s v="A253600"/>
    <x v="3"/>
    <n v="2"/>
    <n v="640"/>
    <m/>
    <x v="3"/>
  </r>
  <r>
    <x v="99"/>
    <x v="484"/>
    <s v="A231143"/>
    <x v="3"/>
    <n v="1"/>
    <n v="340"/>
    <m/>
    <x v="3"/>
  </r>
  <r>
    <x v="99"/>
    <x v="485"/>
    <s v="A253398"/>
    <x v="3"/>
    <n v="16"/>
    <n v="6160"/>
    <m/>
    <x v="3"/>
  </r>
  <r>
    <x v="99"/>
    <x v="486"/>
    <s v="A256446"/>
    <x v="3"/>
    <n v="1"/>
    <n v="340"/>
    <m/>
    <x v="3"/>
  </r>
  <r>
    <x v="99"/>
    <x v="203"/>
    <s v="A240154"/>
    <x v="3"/>
    <n v="1"/>
    <n v="340"/>
    <m/>
    <x v="3"/>
  </r>
  <r>
    <x v="99"/>
    <x v="203"/>
    <s v="A240154"/>
    <x v="4"/>
    <n v="10"/>
    <n v="3400"/>
    <m/>
    <x v="3"/>
  </r>
  <r>
    <x v="99"/>
    <x v="487"/>
    <s v="A253955"/>
    <x v="3"/>
    <n v="1"/>
    <n v="280"/>
    <m/>
    <x v="3"/>
  </r>
  <r>
    <x v="99"/>
    <x v="488"/>
    <s v="A256077"/>
    <x v="3"/>
    <n v="1"/>
    <n v="340"/>
    <m/>
    <x v="3"/>
  </r>
  <r>
    <x v="99"/>
    <x v="172"/>
    <s v="A253320"/>
    <x v="4"/>
    <n v="5"/>
    <n v="1425"/>
    <m/>
    <x v="3"/>
  </r>
  <r>
    <x v="99"/>
    <x v="489"/>
    <s v="A256075"/>
    <x v="3"/>
    <n v="1"/>
    <n v="340"/>
    <m/>
    <x v="3"/>
  </r>
  <r>
    <x v="100"/>
    <x v="490"/>
    <s v="A253954"/>
    <x v="3"/>
    <n v="210"/>
    <n v="21407.4"/>
    <m/>
    <x v="3"/>
  </r>
  <r>
    <x v="100"/>
    <x v="491"/>
    <s v="A234618"/>
    <x v="4"/>
    <n v="5"/>
    <n v="1250"/>
    <m/>
    <x v="3"/>
  </r>
  <r>
    <x v="100"/>
    <x v="492"/>
    <s v="A257635"/>
    <x v="3"/>
    <n v="5"/>
    <n v="800"/>
    <m/>
    <x v="3"/>
  </r>
  <r>
    <x v="100"/>
    <x v="492"/>
    <s v="A257635"/>
    <x v="4"/>
    <n v="5"/>
    <n v="800"/>
    <m/>
    <x v="3"/>
  </r>
  <r>
    <x v="101"/>
    <x v="317"/>
    <s v="A246212"/>
    <x v="1"/>
    <n v="5"/>
    <n v="450"/>
    <n v="472.5"/>
    <x v="3"/>
  </r>
  <r>
    <x v="101"/>
    <x v="88"/>
    <s v="A244191"/>
    <x v="9"/>
    <n v="5"/>
    <n v="375"/>
    <m/>
    <x v="3"/>
  </r>
  <r>
    <x v="101"/>
    <x v="88"/>
    <s v="A244191"/>
    <x v="1"/>
    <n v="15"/>
    <n v="1125"/>
    <n v="1181.25"/>
    <x v="3"/>
  </r>
  <r>
    <x v="101"/>
    <x v="88"/>
    <s v="A244191"/>
    <x v="2"/>
    <n v="5"/>
    <n v="375"/>
    <n v="393.75"/>
    <x v="3"/>
  </r>
  <r>
    <x v="101"/>
    <x v="269"/>
    <s v="A415790"/>
    <x v="11"/>
    <n v="10"/>
    <n v="750"/>
    <n v="787.5"/>
    <x v="3"/>
  </r>
  <r>
    <x v="101"/>
    <x v="362"/>
    <s v="A292789"/>
    <x v="1"/>
    <n v="10"/>
    <n v="850"/>
    <n v="892.5"/>
    <x v="3"/>
  </r>
  <r>
    <x v="101"/>
    <x v="363"/>
    <s v="A402002"/>
    <x v="1"/>
    <n v="5"/>
    <n v="425"/>
    <n v="446.25"/>
    <x v="3"/>
  </r>
  <r>
    <x v="101"/>
    <x v="281"/>
    <s v="A281164"/>
    <x v="9"/>
    <n v="2"/>
    <n v="300"/>
    <m/>
    <x v="3"/>
  </r>
  <r>
    <x v="101"/>
    <x v="323"/>
    <s v="A292785"/>
    <x v="9"/>
    <n v="5"/>
    <n v="425"/>
    <m/>
    <x v="3"/>
  </r>
  <r>
    <x v="101"/>
    <x v="323"/>
    <s v="A292785"/>
    <x v="1"/>
    <n v="15"/>
    <n v="975"/>
    <n v="1023.75"/>
    <x v="3"/>
  </r>
  <r>
    <x v="101"/>
    <x v="323"/>
    <s v="A292785"/>
    <x v="2"/>
    <n v="5"/>
    <n v="425"/>
    <n v="446.25"/>
    <x v="3"/>
  </r>
  <r>
    <x v="101"/>
    <x v="323"/>
    <s v="A292785"/>
    <x v="11"/>
    <n v="5"/>
    <n v="680"/>
    <n v="714"/>
    <x v="3"/>
  </r>
  <r>
    <x v="101"/>
    <x v="306"/>
    <s v="A244199"/>
    <x v="9"/>
    <n v="5"/>
    <n v="375"/>
    <m/>
    <x v="3"/>
  </r>
  <r>
    <x v="101"/>
    <x v="493"/>
    <s v="A270670"/>
    <x v="1"/>
    <n v="5"/>
    <n v="500"/>
    <n v="525"/>
    <x v="3"/>
  </r>
  <r>
    <x v="101"/>
    <x v="208"/>
    <s v="A277868"/>
    <x v="1"/>
    <n v="25"/>
    <n v="1875"/>
    <n v="1968.75"/>
    <x v="3"/>
  </r>
  <r>
    <x v="101"/>
    <x v="325"/>
    <s v="A320111"/>
    <x v="1"/>
    <n v="10"/>
    <n v="725"/>
    <n v="761.25"/>
    <x v="3"/>
  </r>
  <r>
    <x v="101"/>
    <x v="328"/>
    <s v="A285349"/>
    <x v="9"/>
    <n v="15"/>
    <n v="1275"/>
    <m/>
    <x v="3"/>
  </r>
  <r>
    <x v="101"/>
    <x v="328"/>
    <s v="A285349"/>
    <x v="1"/>
    <n v="10"/>
    <n v="850"/>
    <n v="892.5"/>
    <x v="3"/>
  </r>
  <r>
    <x v="101"/>
    <x v="328"/>
    <s v="A285349"/>
    <x v="2"/>
    <n v="10"/>
    <n v="850"/>
    <n v="892.5"/>
    <x v="3"/>
  </r>
  <r>
    <x v="101"/>
    <x v="93"/>
    <s v="A231708"/>
    <x v="9"/>
    <n v="25"/>
    <n v="1500"/>
    <m/>
    <x v="3"/>
  </r>
  <r>
    <x v="101"/>
    <x v="331"/>
    <s v="A318055"/>
    <x v="9"/>
    <n v="5"/>
    <n v="425"/>
    <m/>
    <x v="3"/>
  </r>
  <r>
    <x v="101"/>
    <x v="331"/>
    <s v="A318055"/>
    <x v="1"/>
    <n v="1"/>
    <n v="50"/>
    <n v="52.5"/>
    <x v="3"/>
  </r>
  <r>
    <x v="101"/>
    <x v="275"/>
    <s v="A271087"/>
    <x v="9"/>
    <n v="5"/>
    <n v="400"/>
    <m/>
    <x v="3"/>
  </r>
  <r>
    <x v="101"/>
    <x v="4"/>
    <s v="A231709"/>
    <x v="2"/>
    <n v="5"/>
    <n v="390"/>
    <n v="409.5"/>
    <x v="3"/>
  </r>
  <r>
    <x v="101"/>
    <x v="4"/>
    <s v="A231709"/>
    <x v="11"/>
    <n v="10"/>
    <n v="650"/>
    <n v="682.5"/>
    <x v="3"/>
  </r>
  <r>
    <x v="101"/>
    <x v="494"/>
    <s v="A257810"/>
    <x v="9"/>
    <n v="5"/>
    <n v="400"/>
    <m/>
    <x v="3"/>
  </r>
  <r>
    <x v="101"/>
    <x v="494"/>
    <s v="A257810"/>
    <x v="1"/>
    <n v="10"/>
    <n v="800"/>
    <n v="840"/>
    <x v="3"/>
  </r>
  <r>
    <x v="101"/>
    <x v="494"/>
    <s v="A257810"/>
    <x v="2"/>
    <n v="10"/>
    <n v="800"/>
    <n v="840"/>
    <x v="3"/>
  </r>
  <r>
    <x v="101"/>
    <x v="94"/>
    <s v="A339929"/>
    <x v="9"/>
    <n v="10"/>
    <n v="800"/>
    <m/>
    <x v="3"/>
  </r>
  <r>
    <x v="101"/>
    <x v="94"/>
    <s v="A339929"/>
    <x v="1"/>
    <n v="5"/>
    <n v="400"/>
    <n v="420"/>
    <x v="3"/>
  </r>
  <r>
    <x v="101"/>
    <x v="94"/>
    <s v="A339929"/>
    <x v="2"/>
    <n v="5"/>
    <n v="400"/>
    <n v="420"/>
    <x v="3"/>
  </r>
  <r>
    <x v="101"/>
    <x v="292"/>
    <s v="A276839"/>
    <x v="1"/>
    <n v="10"/>
    <n v="930"/>
    <n v="976.5"/>
    <x v="3"/>
  </r>
  <r>
    <x v="101"/>
    <x v="292"/>
    <s v="A276839"/>
    <x v="2"/>
    <n v="5"/>
    <n v="465"/>
    <n v="488.25"/>
    <x v="3"/>
  </r>
  <r>
    <x v="101"/>
    <x v="30"/>
    <s v="A233444"/>
    <x v="9"/>
    <n v="5"/>
    <n v="390"/>
    <m/>
    <x v="3"/>
  </r>
  <r>
    <x v="101"/>
    <x v="30"/>
    <s v="A233444"/>
    <x v="1"/>
    <n v="5"/>
    <n v="390"/>
    <n v="409.5"/>
    <x v="3"/>
  </r>
  <r>
    <x v="101"/>
    <x v="293"/>
    <s v="A248825"/>
    <x v="9"/>
    <n v="5"/>
    <n v="390"/>
    <m/>
    <x v="3"/>
  </r>
  <r>
    <x v="101"/>
    <x v="293"/>
    <s v="A248825"/>
    <x v="1"/>
    <n v="15"/>
    <n v="1170"/>
    <n v="1228.5"/>
    <x v="3"/>
  </r>
  <r>
    <x v="101"/>
    <x v="263"/>
    <s v="A403817"/>
    <x v="1"/>
    <n v="5"/>
    <n v="390"/>
    <n v="409.5"/>
    <x v="3"/>
  </r>
  <r>
    <x v="101"/>
    <x v="263"/>
    <s v="A403817"/>
    <x v="2"/>
    <n v="5"/>
    <n v="390"/>
    <n v="409.5"/>
    <x v="3"/>
  </r>
  <r>
    <x v="101"/>
    <x v="166"/>
    <s v="A231706"/>
    <x v="9"/>
    <n v="5"/>
    <n v="350"/>
    <m/>
    <x v="3"/>
  </r>
  <r>
    <x v="101"/>
    <x v="166"/>
    <s v="A231706"/>
    <x v="1"/>
    <n v="20"/>
    <n v="1400"/>
    <n v="1470"/>
    <x v="3"/>
  </r>
  <r>
    <x v="101"/>
    <x v="19"/>
    <s v="A233442"/>
    <x v="9"/>
    <n v="5"/>
    <n v="325"/>
    <m/>
    <x v="3"/>
  </r>
  <r>
    <x v="101"/>
    <x v="19"/>
    <s v="A233442"/>
    <x v="1"/>
    <n v="10"/>
    <n v="650"/>
    <n v="682.5"/>
    <x v="3"/>
  </r>
  <r>
    <x v="101"/>
    <x v="247"/>
    <s v="A402013"/>
    <x v="11"/>
    <n v="10"/>
    <n v="650"/>
    <n v="682.5"/>
    <x v="3"/>
  </r>
  <r>
    <x v="101"/>
    <x v="383"/>
    <s v="A305994"/>
    <x v="1"/>
    <n v="20"/>
    <n v="1400"/>
    <n v="1470"/>
    <x v="3"/>
  </r>
  <r>
    <x v="101"/>
    <x v="383"/>
    <s v="A305994"/>
    <x v="2"/>
    <n v="5"/>
    <n v="400"/>
    <n v="420"/>
    <x v="3"/>
  </r>
  <r>
    <x v="101"/>
    <x v="103"/>
    <s v="A299996"/>
    <x v="1"/>
    <n v="5"/>
    <n v="425"/>
    <n v="446.25"/>
    <x v="3"/>
  </r>
  <r>
    <x v="101"/>
    <x v="103"/>
    <s v="A299996"/>
    <x v="2"/>
    <n v="5"/>
    <n v="425"/>
    <n v="446.25"/>
    <x v="3"/>
  </r>
  <r>
    <x v="101"/>
    <x v="1"/>
    <s v="A231710"/>
    <x v="9"/>
    <n v="5"/>
    <n v="390"/>
    <m/>
    <x v="3"/>
  </r>
  <r>
    <x v="101"/>
    <x v="1"/>
    <s v="A231710"/>
    <x v="1"/>
    <n v="30"/>
    <n v="2340"/>
    <n v="2457"/>
    <x v="3"/>
  </r>
  <r>
    <x v="101"/>
    <x v="1"/>
    <s v="A231710"/>
    <x v="2"/>
    <n v="5"/>
    <n v="350"/>
    <n v="367.5"/>
    <x v="3"/>
  </r>
  <r>
    <x v="102"/>
    <x v="495"/>
    <s v="A241361"/>
    <x v="7"/>
    <n v="25"/>
    <n v="3000"/>
    <m/>
    <x v="3"/>
  </r>
  <r>
    <x v="103"/>
    <x v="305"/>
    <s v="A338959"/>
    <x v="11"/>
    <n v="5"/>
    <n v="700"/>
    <n v="735"/>
    <x v="3"/>
  </r>
  <r>
    <x v="104"/>
    <x v="21"/>
    <s v="P08232"/>
    <x v="2"/>
    <n v="1"/>
    <n v="160"/>
    <n v="168"/>
    <x v="3"/>
  </r>
  <r>
    <x v="104"/>
    <x v="496"/>
    <s v="A235748"/>
    <x v="2"/>
    <n v="36"/>
    <n v="6065"/>
    <n v="6368.25"/>
    <x v="3"/>
  </r>
  <r>
    <x v="104"/>
    <x v="321"/>
    <s v="A293451"/>
    <x v="2"/>
    <n v="1"/>
    <n v="85"/>
    <n v="89.25"/>
    <x v="3"/>
  </r>
  <r>
    <x v="104"/>
    <x v="331"/>
    <s v="A318055"/>
    <x v="2"/>
    <n v="11"/>
    <n v="1045"/>
    <n v="1097.25"/>
    <x v="3"/>
  </r>
  <r>
    <x v="104"/>
    <x v="494"/>
    <s v="A257810"/>
    <x v="2"/>
    <n v="1"/>
    <n v="75"/>
    <n v="78.75"/>
    <x v="3"/>
  </r>
  <r>
    <x v="104"/>
    <x v="55"/>
    <s v="A403816"/>
    <x v="2"/>
    <n v="1"/>
    <n v="160"/>
    <n v="168"/>
    <x v="3"/>
  </r>
  <r>
    <x v="104"/>
    <x v="195"/>
    <s v="A240864"/>
    <x v="2"/>
    <n v="31"/>
    <n v="4340"/>
    <n v="4557"/>
    <x v="3"/>
  </r>
  <r>
    <x v="104"/>
    <x v="497"/>
    <s v="A243394"/>
    <x v="2"/>
    <n v="2"/>
    <n v="290"/>
    <n v="304.5"/>
    <x v="3"/>
  </r>
  <r>
    <x v="104"/>
    <x v="498"/>
    <s v="A281164"/>
    <x v="2"/>
    <n v="3"/>
    <n v="405"/>
    <n v="425.25"/>
    <x v="3"/>
  </r>
  <r>
    <x v="104"/>
    <x v="499"/>
    <s v="A282344"/>
    <x v="2"/>
    <n v="5"/>
    <n v="825"/>
    <n v="866.25"/>
    <x v="3"/>
  </r>
  <r>
    <x v="104"/>
    <x v="19"/>
    <s v="A233442"/>
    <x v="2"/>
    <n v="6"/>
    <n v="320"/>
    <n v="336"/>
    <x v="3"/>
  </r>
  <r>
    <x v="105"/>
    <x v="88"/>
    <s v="A244191"/>
    <x v="10"/>
    <n v="2"/>
    <n v="170"/>
    <m/>
    <x v="3"/>
  </r>
  <r>
    <x v="105"/>
    <x v="88"/>
    <s v="A244191"/>
    <x v="8"/>
    <n v="10"/>
    <n v="850"/>
    <m/>
    <x v="3"/>
  </r>
  <r>
    <x v="105"/>
    <x v="269"/>
    <s v="A415790"/>
    <x v="2"/>
    <n v="10"/>
    <n v="850"/>
    <n v="892.5"/>
    <x v="2"/>
  </r>
  <r>
    <x v="105"/>
    <x v="269"/>
    <s v="A415790"/>
    <x v="11"/>
    <n v="25"/>
    <n v="2125"/>
    <n v="2231.25"/>
    <x v="2"/>
  </r>
  <r>
    <x v="105"/>
    <x v="269"/>
    <s v="A415790"/>
    <x v="0"/>
    <n v="10"/>
    <n v="850"/>
    <n v="892.5"/>
    <x v="2"/>
  </r>
  <r>
    <x v="105"/>
    <x v="500"/>
    <s v="A243761"/>
    <x v="8"/>
    <n v="25"/>
    <n v="1875"/>
    <m/>
    <x v="3"/>
  </r>
  <r>
    <x v="105"/>
    <x v="500"/>
    <s v="A243761"/>
    <x v="9"/>
    <n v="25"/>
    <n v="1875"/>
    <m/>
    <x v="3"/>
  </r>
  <r>
    <x v="105"/>
    <x v="366"/>
    <s v="A238073"/>
    <x v="10"/>
    <n v="36"/>
    <n v="2700"/>
    <m/>
    <x v="3"/>
  </r>
  <r>
    <x v="105"/>
    <x v="366"/>
    <s v="A238073"/>
    <x v="8"/>
    <n v="75"/>
    <n v="5625"/>
    <m/>
    <x v="3"/>
  </r>
  <r>
    <x v="105"/>
    <x v="366"/>
    <s v="A238073"/>
    <x v="9"/>
    <n v="25"/>
    <n v="1875"/>
    <m/>
    <x v="3"/>
  </r>
  <r>
    <x v="105"/>
    <x v="366"/>
    <s v="A238073"/>
    <x v="1"/>
    <n v="25"/>
    <n v="1875"/>
    <n v="1968.75"/>
    <x v="3"/>
  </r>
  <r>
    <x v="105"/>
    <x v="366"/>
    <s v="A238073"/>
    <x v="2"/>
    <n v="50"/>
    <n v="3750"/>
    <n v="3937.5"/>
    <x v="3"/>
  </r>
  <r>
    <x v="105"/>
    <x v="366"/>
    <s v="A238073"/>
    <x v="11"/>
    <n v="25"/>
    <n v="1875"/>
    <n v="1968.75"/>
    <x v="3"/>
  </r>
  <r>
    <x v="105"/>
    <x v="353"/>
    <s v="A241990"/>
    <x v="11"/>
    <n v="5"/>
    <n v="380"/>
    <n v="399"/>
    <x v="3"/>
  </r>
  <r>
    <x v="105"/>
    <x v="104"/>
    <s v="A235765"/>
    <x v="1"/>
    <n v="25"/>
    <n v="3375"/>
    <n v="3543.75"/>
    <x v="3"/>
  </r>
  <r>
    <x v="105"/>
    <x v="104"/>
    <s v="A235765"/>
    <x v="2"/>
    <n v="25"/>
    <n v="3375"/>
    <n v="3543.75"/>
    <x v="3"/>
  </r>
  <r>
    <x v="105"/>
    <x v="501"/>
    <s v="A260935"/>
    <x v="8"/>
    <n v="24"/>
    <n v="3360"/>
    <m/>
    <x v="3"/>
  </r>
  <r>
    <x v="105"/>
    <x v="469"/>
    <s v="A248486"/>
    <x v="10"/>
    <n v="22"/>
    <n v="1650"/>
    <m/>
    <x v="3"/>
  </r>
  <r>
    <x v="105"/>
    <x v="156"/>
    <s v="A231705"/>
    <x v="1"/>
    <n v="30"/>
    <n v="2040"/>
    <n v="2142"/>
    <x v="3"/>
  </r>
  <r>
    <x v="105"/>
    <x v="342"/>
    <s v="A402008"/>
    <x v="11"/>
    <n v="10"/>
    <n v="680"/>
    <n v="714"/>
    <x v="3"/>
  </r>
  <r>
    <x v="105"/>
    <x v="502"/>
    <s v="A260960"/>
    <x v="1"/>
    <n v="25"/>
    <n v="3000"/>
    <n v="3150"/>
    <x v="3"/>
  </r>
  <r>
    <x v="105"/>
    <x v="502"/>
    <s v="A260960"/>
    <x v="11"/>
    <n v="40"/>
    <n v="3100"/>
    <n v="3255"/>
    <x v="3"/>
  </r>
  <r>
    <x v="105"/>
    <x v="3"/>
    <s v="A232126"/>
    <x v="1"/>
    <n v="75"/>
    <n v="4650"/>
    <n v="4882.5"/>
    <x v="3"/>
  </r>
  <r>
    <x v="105"/>
    <x v="3"/>
    <s v="A331329"/>
    <x v="1"/>
    <n v="25"/>
    <n v="1500"/>
    <n v="1575"/>
    <x v="3"/>
  </r>
  <r>
    <x v="105"/>
    <x v="3"/>
    <s v="A232126"/>
    <x v="2"/>
    <n v="50"/>
    <n v="3150"/>
    <n v="3307.5"/>
    <x v="3"/>
  </r>
  <r>
    <x v="105"/>
    <x v="3"/>
    <s v="A232126"/>
    <x v="11"/>
    <n v="25"/>
    <n v="1500"/>
    <n v="1575"/>
    <x v="3"/>
  </r>
  <r>
    <x v="105"/>
    <x v="250"/>
    <s v="A241557"/>
    <x v="8"/>
    <n v="75"/>
    <n v="7875"/>
    <m/>
    <x v="3"/>
  </r>
  <r>
    <x v="105"/>
    <x v="250"/>
    <s v="A241557"/>
    <x v="9"/>
    <n v="100"/>
    <n v="10500"/>
    <m/>
    <x v="3"/>
  </r>
  <r>
    <x v="105"/>
    <x v="250"/>
    <s v="A241557"/>
    <x v="1"/>
    <n v="25"/>
    <n v="2625"/>
    <n v="2756.25"/>
    <x v="3"/>
  </r>
  <r>
    <x v="105"/>
    <x v="250"/>
    <s v="A241557"/>
    <x v="2"/>
    <n v="10"/>
    <n v="1050"/>
    <n v="1102.5"/>
    <x v="3"/>
  </r>
  <r>
    <x v="105"/>
    <x v="250"/>
    <s v="A241557"/>
    <x v="11"/>
    <n v="25"/>
    <n v="2625"/>
    <n v="2756.25"/>
    <x v="3"/>
  </r>
  <r>
    <x v="105"/>
    <x v="275"/>
    <s v="A271087"/>
    <x v="10"/>
    <n v="10"/>
    <n v="840"/>
    <m/>
    <x v="3"/>
  </r>
  <r>
    <x v="105"/>
    <x v="27"/>
    <s v="A242640"/>
    <x v="8"/>
    <n v="25"/>
    <n v="1200"/>
    <m/>
    <x v="1"/>
  </r>
  <r>
    <x v="105"/>
    <x v="27"/>
    <s v="A242640"/>
    <x v="9"/>
    <n v="75"/>
    <n v="3750"/>
    <m/>
    <x v="1"/>
  </r>
  <r>
    <x v="105"/>
    <x v="27"/>
    <s v="A242640"/>
    <x v="1"/>
    <n v="25"/>
    <n v="1250"/>
    <n v="1312.5"/>
    <x v="1"/>
  </r>
  <r>
    <x v="105"/>
    <x v="27"/>
    <s v="A242640"/>
    <x v="11"/>
    <n v="175"/>
    <n v="8750"/>
    <n v="9187.5"/>
    <x v="1"/>
  </r>
  <r>
    <x v="105"/>
    <x v="27"/>
    <s v="A242640"/>
    <x v="0"/>
    <n v="50"/>
    <n v="2500"/>
    <n v="2625"/>
    <x v="1"/>
  </r>
  <r>
    <x v="105"/>
    <x v="494"/>
    <s v="A257810"/>
    <x v="2"/>
    <n v="45"/>
    <n v="2250"/>
    <n v="2362.5"/>
    <x v="3"/>
  </r>
  <r>
    <x v="105"/>
    <x v="51"/>
    <s v="A298567"/>
    <x v="11"/>
    <n v="50"/>
    <n v="2500"/>
    <n v="2625"/>
    <x v="3"/>
  </r>
  <r>
    <x v="105"/>
    <x v="242"/>
    <s v="A287749"/>
    <x v="2"/>
    <n v="25"/>
    <n v="2050"/>
    <n v="2152.5"/>
    <x v="2"/>
  </r>
  <r>
    <x v="105"/>
    <x v="242"/>
    <s v="A287749"/>
    <x v="11"/>
    <n v="25"/>
    <n v="2050"/>
    <n v="2152.5"/>
    <x v="3"/>
  </r>
  <r>
    <x v="105"/>
    <x v="242"/>
    <s v="A287749"/>
    <x v="0"/>
    <n v="10"/>
    <n v="820"/>
    <n v="861"/>
    <x v="2"/>
  </r>
  <r>
    <x v="105"/>
    <x v="30"/>
    <s v="A233444"/>
    <x v="10"/>
    <n v="14"/>
    <n v="1092"/>
    <m/>
    <x v="3"/>
  </r>
  <r>
    <x v="105"/>
    <x v="434"/>
    <s v="A241908"/>
    <x v="10"/>
    <n v="11"/>
    <n v="1210"/>
    <m/>
    <x v="3"/>
  </r>
  <r>
    <x v="105"/>
    <x v="177"/>
    <s v="A292781"/>
    <x v="2"/>
    <n v="5"/>
    <n v="375"/>
    <n v="393.75"/>
    <x v="3"/>
  </r>
  <r>
    <x v="105"/>
    <x v="381"/>
    <s v="A230556"/>
    <x v="9"/>
    <n v="25"/>
    <n v="1625"/>
    <m/>
    <x v="3"/>
  </r>
  <r>
    <x v="105"/>
    <x v="103"/>
    <s v="A299996"/>
    <x v="2"/>
    <n v="5"/>
    <n v="375"/>
    <n v="393.75"/>
    <x v="3"/>
  </r>
  <r>
    <x v="106"/>
    <x v="309"/>
    <s v="A243761"/>
    <x v="10"/>
    <n v="2"/>
    <n v="146"/>
    <m/>
    <x v="3"/>
  </r>
  <r>
    <x v="106"/>
    <x v="309"/>
    <s v="A243761"/>
    <x v="9"/>
    <n v="5"/>
    <n v="325"/>
    <m/>
    <x v="3"/>
  </r>
  <r>
    <x v="106"/>
    <x v="503"/>
    <s v="A262915"/>
    <x v="11"/>
    <n v="25"/>
    <n v="800"/>
    <n v="840"/>
    <x v="3"/>
  </r>
  <r>
    <x v="106"/>
    <x v="5"/>
    <s v="A249720"/>
    <x v="11"/>
    <n v="100"/>
    <n v="3200"/>
    <n v="3360"/>
    <x v="3"/>
  </r>
  <r>
    <x v="106"/>
    <x v="504"/>
    <s v="A321852"/>
    <x v="10"/>
    <n v="25"/>
    <n v="1750"/>
    <m/>
    <x v="3"/>
  </r>
  <r>
    <x v="106"/>
    <x v="504"/>
    <s v="A321852"/>
    <x v="8"/>
    <n v="25"/>
    <n v="1750"/>
    <m/>
    <x v="3"/>
  </r>
  <r>
    <x v="106"/>
    <x v="504"/>
    <s v="A321852"/>
    <x v="1"/>
    <n v="25"/>
    <n v="1750"/>
    <n v="1837.5"/>
    <x v="3"/>
  </r>
  <r>
    <x v="106"/>
    <x v="504"/>
    <s v="A321852"/>
    <x v="11"/>
    <n v="25"/>
    <n v="1750"/>
    <n v="1837.5"/>
    <x v="3"/>
  </r>
  <r>
    <x v="106"/>
    <x v="156"/>
    <s v="A231705"/>
    <x v="10"/>
    <n v="25"/>
    <n v="1312.5"/>
    <m/>
    <x v="3"/>
  </r>
  <r>
    <x v="106"/>
    <x v="268"/>
    <s v="A245994"/>
    <x v="11"/>
    <n v="250"/>
    <n v="15500"/>
    <n v="16275"/>
    <x v="3"/>
  </r>
  <r>
    <x v="106"/>
    <x v="505"/>
    <s v="A321328"/>
    <x v="9"/>
    <n v="25"/>
    <n v="1750"/>
    <m/>
    <x v="3"/>
  </r>
  <r>
    <x v="106"/>
    <x v="3"/>
    <s v="A241257"/>
    <x v="12"/>
    <n v="10"/>
    <n v="750"/>
    <m/>
    <x v="3"/>
  </r>
  <r>
    <x v="106"/>
    <x v="3"/>
    <s v="A241257"/>
    <x v="3"/>
    <n v="10"/>
    <n v="750"/>
    <m/>
    <x v="3"/>
  </r>
  <r>
    <x v="106"/>
    <x v="3"/>
    <s v="A236167"/>
    <x v="7"/>
    <n v="25"/>
    <n v="1450"/>
    <m/>
    <x v="3"/>
  </r>
  <r>
    <x v="106"/>
    <x v="3"/>
    <s v="A236167"/>
    <x v="10"/>
    <n v="75"/>
    <n v="4350"/>
    <m/>
    <x v="3"/>
  </r>
  <r>
    <x v="106"/>
    <x v="3"/>
    <s v="A236167"/>
    <x v="8"/>
    <n v="25"/>
    <n v="1450"/>
    <m/>
    <x v="3"/>
  </r>
  <r>
    <x v="106"/>
    <x v="3"/>
    <s v="A236167"/>
    <x v="9"/>
    <n v="50"/>
    <n v="2900"/>
    <m/>
    <x v="3"/>
  </r>
  <r>
    <x v="106"/>
    <x v="3"/>
    <s v="A236167"/>
    <x v="1"/>
    <n v="50"/>
    <n v="2750"/>
    <n v="2887.5"/>
    <x v="3"/>
  </r>
  <r>
    <x v="106"/>
    <x v="3"/>
    <s v="A236167"/>
    <x v="2"/>
    <n v="25"/>
    <n v="1300"/>
    <n v="1365"/>
    <x v="3"/>
  </r>
  <r>
    <x v="106"/>
    <x v="468"/>
    <s v="A402009"/>
    <x v="2"/>
    <n v="25"/>
    <n v="1100"/>
    <n v="1155"/>
    <x v="3"/>
  </r>
  <r>
    <x v="106"/>
    <x v="468"/>
    <s v="A402009"/>
    <x v="11"/>
    <n v="125"/>
    <n v="5500"/>
    <n v="5775"/>
    <x v="3"/>
  </r>
  <r>
    <x v="106"/>
    <x v="16"/>
    <s v="A242640"/>
    <x v="7"/>
    <n v="50"/>
    <n v="2250"/>
    <m/>
    <x v="3"/>
  </r>
  <r>
    <x v="106"/>
    <x v="16"/>
    <s v="A242640"/>
    <x v="10"/>
    <n v="250"/>
    <n v="11250"/>
    <m/>
    <x v="3"/>
  </r>
  <r>
    <x v="106"/>
    <x v="16"/>
    <s v="A242640"/>
    <x v="8"/>
    <n v="150"/>
    <n v="6750"/>
    <m/>
    <x v="3"/>
  </r>
  <r>
    <x v="106"/>
    <x v="51"/>
    <s v="A298567"/>
    <x v="1"/>
    <n v="50"/>
    <n v="1800"/>
    <n v="1890"/>
    <x v="3"/>
  </r>
  <r>
    <x v="106"/>
    <x v="51"/>
    <s v="A298567"/>
    <x v="2"/>
    <n v="100"/>
    <n v="3600"/>
    <n v="3780"/>
    <x v="3"/>
  </r>
  <r>
    <x v="106"/>
    <x v="51"/>
    <s v="A298567"/>
    <x v="11"/>
    <n v="300"/>
    <n v="9900"/>
    <n v="10395"/>
    <x v="3"/>
  </r>
  <r>
    <x v="106"/>
    <x v="506"/>
    <m/>
    <x v="4"/>
    <n v="25"/>
    <n v="1375"/>
    <m/>
    <x v="3"/>
  </r>
  <r>
    <x v="106"/>
    <x v="263"/>
    <s v="A403817"/>
    <x v="11"/>
    <n v="50"/>
    <n v="2500"/>
    <n v="2625"/>
    <x v="3"/>
  </r>
  <r>
    <x v="106"/>
    <x v="228"/>
    <s v="A306319"/>
    <x v="7"/>
    <n v="25"/>
    <n v="1050"/>
    <m/>
    <x v="3"/>
  </r>
  <r>
    <x v="106"/>
    <x v="228"/>
    <s v="A306319"/>
    <x v="10"/>
    <n v="100"/>
    <n v="4200"/>
    <m/>
    <x v="3"/>
  </r>
  <r>
    <x v="106"/>
    <x v="228"/>
    <s v="A306319"/>
    <x v="8"/>
    <n v="200"/>
    <n v="8400"/>
    <m/>
    <x v="3"/>
  </r>
  <r>
    <x v="106"/>
    <x v="228"/>
    <s v="A306319"/>
    <x v="2"/>
    <n v="25"/>
    <n v="8000"/>
    <n v="8400"/>
    <x v="3"/>
  </r>
  <r>
    <x v="106"/>
    <x v="228"/>
    <s v="A306319"/>
    <x v="11"/>
    <n v="50"/>
    <n v="1600"/>
    <n v="1680"/>
    <x v="3"/>
  </r>
  <r>
    <x v="106"/>
    <x v="357"/>
    <s v="A319989"/>
    <x v="8"/>
    <n v="25"/>
    <n v="1500"/>
    <m/>
    <x v="3"/>
  </r>
  <r>
    <x v="106"/>
    <x v="357"/>
    <s v="A319989"/>
    <x v="2"/>
    <n v="25"/>
    <n v="950"/>
    <n v="997.5"/>
    <x v="3"/>
  </r>
  <r>
    <x v="106"/>
    <x v="13"/>
    <m/>
    <x v="11"/>
    <n v="5"/>
    <n v="400"/>
    <n v="420"/>
    <x v="3"/>
  </r>
  <r>
    <x v="106"/>
    <x v="507"/>
    <s v="A233708"/>
    <x v="10"/>
    <n v="2"/>
    <n v="134"/>
    <m/>
    <x v="3"/>
  </r>
  <r>
    <x v="106"/>
    <x v="508"/>
    <s v="A404667"/>
    <x v="11"/>
    <n v="175"/>
    <n v="10850"/>
    <n v="11392.5"/>
    <x v="3"/>
  </r>
  <r>
    <x v="106"/>
    <x v="509"/>
    <s v="A419374"/>
    <x v="11"/>
    <n v="10"/>
    <n v="700"/>
    <n v="735"/>
    <x v="3"/>
  </r>
  <r>
    <x v="106"/>
    <x v="510"/>
    <s v="A321239"/>
    <x v="8"/>
    <n v="10"/>
    <n v="700"/>
    <m/>
    <x v="3"/>
  </r>
  <r>
    <x v="106"/>
    <x v="510"/>
    <s v="A321239"/>
    <x v="1"/>
    <n v="10"/>
    <n v="700"/>
    <n v="735"/>
    <x v="3"/>
  </r>
  <r>
    <x v="106"/>
    <x v="19"/>
    <s v="A233442"/>
    <x v="12"/>
    <n v="10"/>
    <n v="750"/>
    <m/>
    <x v="3"/>
  </r>
  <r>
    <x v="106"/>
    <x v="19"/>
    <s v="A233442"/>
    <x v="3"/>
    <n v="10"/>
    <n v="500"/>
    <m/>
    <x v="3"/>
  </r>
  <r>
    <x v="106"/>
    <x v="19"/>
    <s v="A233442"/>
    <x v="2"/>
    <n v="5"/>
    <n v="175"/>
    <n v="183.75"/>
    <x v="3"/>
  </r>
  <r>
    <x v="106"/>
    <x v="14"/>
    <m/>
    <x v="11"/>
    <n v="5"/>
    <n v="367.5"/>
    <n v="385.875"/>
    <x v="3"/>
  </r>
  <r>
    <x v="107"/>
    <x v="6"/>
    <s v="A270578"/>
    <x v="1"/>
    <n v="25"/>
    <n v="1375"/>
    <n v="1443.75"/>
    <x v="3"/>
  </r>
  <r>
    <x v="107"/>
    <x v="156"/>
    <s v="A231705"/>
    <x v="2"/>
    <n v="100"/>
    <n v="6000"/>
    <n v="6300"/>
    <x v="3"/>
  </r>
  <r>
    <x v="107"/>
    <x v="156"/>
    <s v="A231705"/>
    <x v="11"/>
    <n v="25"/>
    <n v="1500"/>
    <n v="1575"/>
    <x v="3"/>
  </r>
  <r>
    <x v="107"/>
    <x v="342"/>
    <s v="A402008"/>
    <x v="11"/>
    <n v="75"/>
    <n v="4500"/>
    <n v="4725"/>
    <x v="3"/>
  </r>
  <r>
    <x v="107"/>
    <x v="355"/>
    <s v="A401230"/>
    <x v="1"/>
    <n v="25"/>
    <n v="1375"/>
    <n v="1443.75"/>
    <x v="3"/>
  </r>
  <r>
    <x v="107"/>
    <x v="10"/>
    <m/>
    <x v="1"/>
    <n v="20"/>
    <n v="1500"/>
    <n v="1575"/>
    <x v="2"/>
  </r>
  <r>
    <x v="107"/>
    <x v="10"/>
    <m/>
    <x v="2"/>
    <n v="20"/>
    <n v="1500"/>
    <n v="1575"/>
    <x v="2"/>
  </r>
  <r>
    <x v="107"/>
    <x v="10"/>
    <m/>
    <x v="0"/>
    <n v="20"/>
    <n v="1500"/>
    <n v="1575"/>
    <x v="2"/>
  </r>
  <r>
    <x v="108"/>
    <x v="511"/>
    <m/>
    <x v="3"/>
    <n v="110"/>
    <n v="20050.8"/>
    <m/>
    <x v="3"/>
  </r>
  <r>
    <x v="108"/>
    <x v="512"/>
    <m/>
    <x v="3"/>
    <n v="381"/>
    <n v="67208.399999999994"/>
    <m/>
    <x v="3"/>
  </r>
  <r>
    <x v="108"/>
    <x v="513"/>
    <m/>
    <x v="3"/>
    <n v="10"/>
    <n v="4487"/>
    <m/>
    <x v="3"/>
  </r>
  <r>
    <x v="108"/>
    <x v="514"/>
    <m/>
    <x v="12"/>
    <n v="178"/>
    <n v="37380"/>
    <m/>
    <x v="3"/>
  </r>
  <r>
    <x v="108"/>
    <x v="515"/>
    <s v="A238185"/>
    <x v="4"/>
    <n v="25"/>
    <n v="4150"/>
    <m/>
    <x v="3"/>
  </r>
  <r>
    <x v="108"/>
    <x v="516"/>
    <s v="A255742"/>
    <x v="4"/>
    <n v="17"/>
    <n v="3434"/>
    <m/>
    <x v="3"/>
  </r>
  <r>
    <x v="108"/>
    <x v="517"/>
    <s v="A240828"/>
    <x v="12"/>
    <n v="85"/>
    <n v="16150"/>
    <m/>
    <x v="3"/>
  </r>
  <r>
    <x v="108"/>
    <x v="206"/>
    <s v="A232879"/>
    <x v="3"/>
    <n v="32"/>
    <n v="11305.92"/>
    <m/>
    <x v="3"/>
  </r>
  <r>
    <x v="108"/>
    <x v="518"/>
    <s v="A236741"/>
    <x v="12"/>
    <n v="55"/>
    <n v="11715"/>
    <m/>
    <x v="3"/>
  </r>
  <r>
    <x v="108"/>
    <x v="519"/>
    <s v="A240245"/>
    <x v="12"/>
    <n v="85"/>
    <n v="15895"/>
    <m/>
    <x v="3"/>
  </r>
  <r>
    <x v="108"/>
    <x v="180"/>
    <s v="A250659"/>
    <x v="3"/>
    <n v="153"/>
    <n v="32821.56"/>
    <m/>
    <x v="3"/>
  </r>
  <r>
    <x v="108"/>
    <x v="520"/>
    <s v="A255593"/>
    <x v="4"/>
    <n v="22"/>
    <n v="2992"/>
    <m/>
    <x v="3"/>
  </r>
  <r>
    <x v="108"/>
    <x v="521"/>
    <s v="A281061"/>
    <x v="8"/>
    <n v="25"/>
    <n v="3950.625"/>
    <m/>
    <x v="3"/>
  </r>
  <r>
    <x v="108"/>
    <x v="522"/>
    <s v="A231198"/>
    <x v="8"/>
    <n v="10"/>
    <n v="1653.75"/>
    <m/>
    <x v="3"/>
  </r>
  <r>
    <x v="108"/>
    <x v="523"/>
    <s v="A239846"/>
    <x v="8"/>
    <n v="20"/>
    <n v="3307.5"/>
    <m/>
    <x v="3"/>
  </r>
  <r>
    <x v="108"/>
    <x v="524"/>
    <s v="A241381"/>
    <x v="8"/>
    <n v="25"/>
    <n v="4961.25"/>
    <m/>
    <x v="3"/>
  </r>
  <r>
    <x v="108"/>
    <x v="525"/>
    <s v="A255595"/>
    <x v="4"/>
    <n v="22"/>
    <n v="5522"/>
    <m/>
    <x v="3"/>
  </r>
  <r>
    <x v="108"/>
    <x v="526"/>
    <s v="A257272"/>
    <x v="8"/>
    <n v="35"/>
    <n v="5916.75"/>
    <m/>
    <x v="3"/>
  </r>
  <r>
    <x v="108"/>
    <x v="527"/>
    <s v="A244035"/>
    <x v="12"/>
    <n v="55"/>
    <n v="29260"/>
    <m/>
    <x v="3"/>
  </r>
  <r>
    <x v="108"/>
    <x v="528"/>
    <s v="A241379"/>
    <x v="12"/>
    <n v="15"/>
    <n v="5235"/>
    <m/>
    <x v="3"/>
  </r>
  <r>
    <x v="108"/>
    <x v="529"/>
    <s v="A284393"/>
    <x v="8"/>
    <n v="25"/>
    <n v="4410"/>
    <m/>
    <x v="3"/>
  </r>
  <r>
    <x v="108"/>
    <x v="530"/>
    <s v="A237094"/>
    <x v="4"/>
    <n v="32"/>
    <n v="4704"/>
    <m/>
    <x v="3"/>
  </r>
  <r>
    <x v="108"/>
    <x v="531"/>
    <s v="A240833"/>
    <x v="12"/>
    <n v="22"/>
    <n v="4840"/>
    <m/>
    <x v="3"/>
  </r>
  <r>
    <x v="108"/>
    <x v="532"/>
    <s v="A253966"/>
    <x v="3"/>
    <n v="153"/>
    <n v="42229.53"/>
    <m/>
    <x v="3"/>
  </r>
  <r>
    <x v="108"/>
    <x v="533"/>
    <s v="A240823"/>
    <x v="12"/>
    <n v="25"/>
    <n v="4350"/>
    <m/>
    <x v="3"/>
  </r>
  <r>
    <x v="108"/>
    <x v="534"/>
    <s v="A261821"/>
    <x v="8"/>
    <n v="35"/>
    <n v="6045.375"/>
    <m/>
    <x v="3"/>
  </r>
  <r>
    <x v="108"/>
    <x v="68"/>
    <s v="A241029"/>
    <x v="3"/>
    <n v="35"/>
    <n v="43129.8"/>
    <m/>
    <x v="3"/>
  </r>
  <r>
    <x v="108"/>
    <x v="535"/>
    <s v="A238381"/>
    <x v="4"/>
    <n v="36"/>
    <n v="7956"/>
    <m/>
    <x v="3"/>
  </r>
  <r>
    <x v="108"/>
    <x v="536"/>
    <s v="A235280"/>
    <x v="4"/>
    <n v="80"/>
    <n v="17600"/>
    <m/>
    <x v="3"/>
  </r>
  <r>
    <x v="108"/>
    <x v="537"/>
    <s v="A233706"/>
    <x v="8"/>
    <n v="150"/>
    <n v="27562.5"/>
    <m/>
    <x v="3"/>
  </r>
  <r>
    <x v="108"/>
    <x v="538"/>
    <s v="A237375"/>
    <x v="8"/>
    <n v="200"/>
    <n v="57330"/>
    <m/>
    <x v="3"/>
  </r>
  <r>
    <x v="108"/>
    <x v="539"/>
    <s v="A232509"/>
    <x v="12"/>
    <n v="100"/>
    <n v="15800"/>
    <m/>
    <x v="3"/>
  </r>
  <r>
    <x v="109"/>
    <x v="540"/>
    <s v="A230908"/>
    <x v="3"/>
    <n v="30"/>
    <n v="11139.9"/>
    <m/>
    <x v="3"/>
  </r>
  <r>
    <x v="109"/>
    <x v="541"/>
    <s v="A234432"/>
    <x v="3"/>
    <n v="110"/>
    <n v="14647.6"/>
    <m/>
    <x v="3"/>
  </r>
  <r>
    <x v="109"/>
    <x v="542"/>
    <s v="G21726"/>
    <x v="5"/>
    <n v="15"/>
    <n v="4500"/>
    <m/>
    <x v="3"/>
  </r>
  <r>
    <x v="109"/>
    <x v="543"/>
    <s v="A247454"/>
    <x v="5"/>
    <n v="25"/>
    <n v="5625"/>
    <m/>
    <x v="3"/>
  </r>
  <r>
    <x v="109"/>
    <x v="404"/>
    <s v="A232508"/>
    <x v="12"/>
    <n v="70"/>
    <n v="11550"/>
    <m/>
    <x v="3"/>
  </r>
  <r>
    <x v="109"/>
    <x v="404"/>
    <s v="A232508"/>
    <x v="3"/>
    <n v="100"/>
    <n v="16858"/>
    <m/>
    <x v="3"/>
  </r>
  <r>
    <x v="109"/>
    <x v="430"/>
    <s v="A251670"/>
    <x v="5"/>
    <n v="50"/>
    <n v="15000"/>
    <m/>
    <x v="3"/>
  </r>
  <r>
    <x v="110"/>
    <x v="221"/>
    <s v="A231076"/>
    <x v="0"/>
    <n v="25"/>
    <n v="1600"/>
    <n v="1680"/>
    <x v="2"/>
  </r>
  <r>
    <x v="110"/>
    <x v="432"/>
    <m/>
    <x v="2"/>
    <n v="20"/>
    <n v="1700"/>
    <n v="1785"/>
    <x v="3"/>
  </r>
  <r>
    <x v="110"/>
    <x v="123"/>
    <m/>
    <x v="0"/>
    <n v="5"/>
    <n v="350"/>
    <n v="367.5"/>
    <x v="2"/>
  </r>
  <r>
    <x v="110"/>
    <x v="10"/>
    <m/>
    <x v="2"/>
    <n v="20"/>
    <n v="1460"/>
    <n v="1533"/>
    <x v="3"/>
  </r>
  <r>
    <x v="111"/>
    <x v="544"/>
    <s v="A294408"/>
    <x v="1"/>
    <n v="0.5"/>
    <n v="115"/>
    <n v="120.75"/>
    <x v="3"/>
  </r>
  <r>
    <x v="111"/>
    <x v="21"/>
    <s v="P08232"/>
    <x v="1"/>
    <n v="0.5"/>
    <n v="125"/>
    <n v="131.25"/>
    <x v="3"/>
  </r>
  <r>
    <x v="111"/>
    <x v="545"/>
    <s v="A261335"/>
    <x v="1"/>
    <n v="0.5"/>
    <n v="100"/>
    <n v="105"/>
    <x v="3"/>
  </r>
  <r>
    <x v="111"/>
    <x v="205"/>
    <s v="A265082"/>
    <x v="1"/>
    <n v="0.5"/>
    <n v="90"/>
    <n v="94.5"/>
    <x v="3"/>
  </r>
  <r>
    <x v="111"/>
    <x v="206"/>
    <s v="A243962"/>
    <x v="1"/>
    <n v="0.5"/>
    <n v="100"/>
    <n v="105"/>
    <x v="3"/>
  </r>
  <r>
    <x v="111"/>
    <x v="37"/>
    <s v="A295406"/>
    <x v="1"/>
    <n v="1"/>
    <n v="500"/>
    <n v="525"/>
    <x v="3"/>
  </r>
  <r>
    <x v="111"/>
    <x v="295"/>
    <s v="A302349"/>
    <x v="1"/>
    <n v="1.5"/>
    <n v="285.24"/>
    <n v="299.50200000000001"/>
    <x v="3"/>
  </r>
  <r>
    <x v="111"/>
    <x v="207"/>
    <m/>
    <x v="1"/>
    <n v="1"/>
    <n v="280"/>
    <n v="294"/>
    <x v="3"/>
  </r>
  <r>
    <x v="111"/>
    <x v="414"/>
    <s v="A249739"/>
    <x v="1"/>
    <n v="0.5"/>
    <n v="100"/>
    <n v="105"/>
    <x v="3"/>
  </r>
  <r>
    <x v="111"/>
    <x v="190"/>
    <s v="A238187"/>
    <x v="1"/>
    <n v="0.5"/>
    <n v="100"/>
    <n v="105"/>
    <x v="3"/>
  </r>
  <r>
    <x v="111"/>
    <x v="44"/>
    <s v="A238385"/>
    <x v="1"/>
    <n v="0.5"/>
    <n v="105"/>
    <n v="110.25"/>
    <x v="3"/>
  </r>
  <r>
    <x v="111"/>
    <x v="46"/>
    <s v="A234876"/>
    <x v="1"/>
    <n v="0.5"/>
    <n v="125"/>
    <n v="131.25"/>
    <x v="3"/>
  </r>
  <r>
    <x v="111"/>
    <x v="26"/>
    <s v="A281055"/>
    <x v="1"/>
    <n v="1.5"/>
    <n v="215"/>
    <n v="225.75"/>
    <x v="3"/>
  </r>
  <r>
    <x v="111"/>
    <x v="156"/>
    <s v="A231705"/>
    <x v="1"/>
    <n v="0.5"/>
    <n v="75.239999999999995"/>
    <n v="79.001999999999995"/>
    <x v="3"/>
  </r>
  <r>
    <x v="111"/>
    <x v="50"/>
    <s v="A329793"/>
    <x v="1"/>
    <n v="0.5"/>
    <n v="125"/>
    <n v="131.25"/>
    <x v="3"/>
  </r>
  <r>
    <x v="111"/>
    <x v="283"/>
    <s v="P04017"/>
    <x v="1"/>
    <n v="0.5"/>
    <n v="120"/>
    <n v="126"/>
    <x v="3"/>
  </r>
  <r>
    <x v="111"/>
    <x v="52"/>
    <s v="P16046"/>
    <x v="1"/>
    <n v="0.5"/>
    <n v="120"/>
    <n v="126"/>
    <x v="3"/>
  </r>
  <r>
    <x v="111"/>
    <x v="57"/>
    <s v="A292908"/>
    <x v="1"/>
    <n v="0.5"/>
    <n v="52.5"/>
    <n v="55.125"/>
    <x v="3"/>
  </r>
  <r>
    <x v="111"/>
    <x v="60"/>
    <m/>
    <x v="1"/>
    <n v="1.5"/>
    <n v="350"/>
    <n v="367.5"/>
    <x v="3"/>
  </r>
  <r>
    <x v="111"/>
    <x v="68"/>
    <s v="A240864"/>
    <x v="1"/>
    <n v="10"/>
    <n v="100"/>
    <n v="105"/>
    <x v="3"/>
  </r>
  <r>
    <x v="111"/>
    <x v="72"/>
    <s v="P08499"/>
    <x v="1"/>
    <n v="0.5"/>
    <n v="120"/>
    <n v="126"/>
    <x v="3"/>
  </r>
  <r>
    <x v="111"/>
    <x v="297"/>
    <s v="A271046"/>
    <x v="1"/>
    <n v="0.5"/>
    <n v="120"/>
    <n v="126"/>
    <x v="3"/>
  </r>
  <r>
    <x v="111"/>
    <x v="168"/>
    <s v="A295590"/>
    <x v="1"/>
    <n v="0.5"/>
    <n v="110"/>
    <n v="115.5"/>
    <x v="3"/>
  </r>
  <r>
    <x v="111"/>
    <x v="121"/>
    <s v="A269419"/>
    <x v="1"/>
    <n v="0.5"/>
    <n v="110"/>
    <n v="115.5"/>
    <x v="3"/>
  </r>
  <r>
    <x v="111"/>
    <x v="81"/>
    <s v="P19035"/>
    <x v="1"/>
    <n v="0.5"/>
    <n v="120"/>
    <n v="126"/>
    <x v="3"/>
  </r>
  <r>
    <x v="112"/>
    <x v="546"/>
    <s v="A419373"/>
    <x v="11"/>
    <n v="20"/>
    <n v="1380"/>
    <n v="1380"/>
    <x v="35"/>
  </r>
  <r>
    <x v="112"/>
    <x v="546"/>
    <s v="A419373"/>
    <x v="0"/>
    <n v="20"/>
    <n v="1380"/>
    <n v="1449"/>
    <x v="35"/>
  </r>
  <r>
    <x v="112"/>
    <x v="3"/>
    <s v="A232126"/>
    <x v="0"/>
    <n v="5"/>
    <n v="350"/>
    <n v="367.5"/>
    <x v="5"/>
  </r>
  <r>
    <x v="112"/>
    <x v="28"/>
    <s v="A233711"/>
    <x v="11"/>
    <n v="5"/>
    <n v="290"/>
    <n v="290"/>
    <x v="11"/>
  </r>
  <r>
    <x v="112"/>
    <x v="28"/>
    <s v="A233711"/>
    <x v="0"/>
    <n v="5"/>
    <n v="290"/>
    <n v="304.5"/>
    <x v="11"/>
  </r>
  <r>
    <x v="112"/>
    <x v="547"/>
    <s v="P108729"/>
    <x v="0"/>
    <n v="5"/>
    <n v="390"/>
    <n v="409.5"/>
    <x v="4"/>
  </r>
  <r>
    <x v="113"/>
    <x v="269"/>
    <s v="A415790"/>
    <x v="2"/>
    <n v="50"/>
    <n v="3750"/>
    <n v="3750"/>
    <x v="3"/>
  </r>
  <r>
    <x v="113"/>
    <x v="366"/>
    <s v="A238073"/>
    <x v="2"/>
    <n v="50"/>
    <n v="6825"/>
    <n v="6825"/>
    <x v="3"/>
  </r>
  <r>
    <x v="113"/>
    <x v="126"/>
    <s v="A406595"/>
    <x v="2"/>
    <n v="25"/>
    <n v="1875"/>
    <n v="1875"/>
    <x v="3"/>
  </r>
  <r>
    <x v="113"/>
    <x v="126"/>
    <s v="A406595"/>
    <x v="11"/>
    <n v="50"/>
    <n v="3750"/>
    <n v="3750"/>
    <x v="3"/>
  </r>
  <r>
    <x v="113"/>
    <x v="233"/>
    <m/>
    <x v="2"/>
    <n v="70"/>
    <n v="4620"/>
    <n v="4620"/>
    <x v="3"/>
  </r>
  <r>
    <x v="113"/>
    <x v="131"/>
    <s v="F15861"/>
    <x v="2"/>
    <n v="25"/>
    <n v="1875"/>
    <n v="1875"/>
    <x v="3"/>
  </r>
  <r>
    <x v="113"/>
    <x v="504"/>
    <s v="A321852"/>
    <x v="2"/>
    <n v="25"/>
    <n v="1875"/>
    <n v="1875"/>
    <x v="3"/>
  </r>
  <r>
    <x v="113"/>
    <x v="326"/>
    <s v="A260799"/>
    <x v="2"/>
    <n v="150"/>
    <n v="12250"/>
    <n v="12250"/>
    <x v="3"/>
  </r>
  <r>
    <x v="113"/>
    <x v="548"/>
    <s v="A245818"/>
    <x v="2"/>
    <n v="25"/>
    <n v="1875"/>
    <n v="1875"/>
    <x v="3"/>
  </r>
  <r>
    <x v="113"/>
    <x v="238"/>
    <m/>
    <x v="2"/>
    <n v="10"/>
    <n v="800"/>
    <n v="800"/>
    <x v="3"/>
  </r>
  <r>
    <x v="113"/>
    <x v="238"/>
    <m/>
    <x v="11"/>
    <n v="20"/>
    <n v="1600"/>
    <n v="1600"/>
    <x v="3"/>
  </r>
  <r>
    <x v="113"/>
    <x v="12"/>
    <m/>
    <x v="2"/>
    <n v="10"/>
    <n v="700"/>
    <n v="700"/>
    <x v="3"/>
  </r>
  <r>
    <x v="113"/>
    <x v="341"/>
    <s v="A406737"/>
    <x v="2"/>
    <n v="50"/>
    <n v="2750"/>
    <n v="2750"/>
    <x v="3"/>
  </r>
  <r>
    <x v="113"/>
    <x v="6"/>
    <s v="A270578"/>
    <x v="2"/>
    <n v="100"/>
    <n v="5500"/>
    <n v="5500"/>
    <x v="3"/>
  </r>
  <r>
    <x v="113"/>
    <x v="350"/>
    <s v="A401491"/>
    <x v="2"/>
    <n v="100"/>
    <n v="5500"/>
    <n v="5500"/>
    <x v="3"/>
  </r>
  <r>
    <x v="113"/>
    <x v="289"/>
    <s v="A234285"/>
    <x v="2"/>
    <n v="300"/>
    <n v="21000"/>
    <n v="21000"/>
    <x v="3"/>
  </r>
  <r>
    <x v="113"/>
    <x v="133"/>
    <s v="A281055"/>
    <x v="2"/>
    <n v="50"/>
    <n v="3750"/>
    <n v="3750"/>
    <x v="3"/>
  </r>
  <r>
    <x v="113"/>
    <x v="156"/>
    <s v="A231705"/>
    <x v="2"/>
    <n v="50"/>
    <n v="3250"/>
    <n v="3250"/>
    <x v="3"/>
  </r>
  <r>
    <x v="113"/>
    <x v="505"/>
    <s v="A321328"/>
    <x v="2"/>
    <n v="50"/>
    <n v="3750"/>
    <n v="3750"/>
    <x v="3"/>
  </r>
  <r>
    <x v="113"/>
    <x v="275"/>
    <s v="A271087"/>
    <x v="2"/>
    <n v="25"/>
    <n v="1750"/>
    <n v="1750"/>
    <x v="3"/>
  </r>
  <r>
    <x v="113"/>
    <x v="4"/>
    <s v="A231709"/>
    <x v="11"/>
    <n v="150"/>
    <n v="9000"/>
    <n v="9000"/>
    <x v="3"/>
  </r>
  <r>
    <x v="113"/>
    <x v="51"/>
    <s v="A298567"/>
    <x v="2"/>
    <n v="250"/>
    <n v="13750"/>
    <n v="13750"/>
    <x v="3"/>
  </r>
  <r>
    <x v="113"/>
    <x v="455"/>
    <s v="A408570"/>
    <x v="2"/>
    <n v="25"/>
    <n v="2000"/>
    <n v="2000"/>
    <x v="3"/>
  </r>
  <r>
    <x v="113"/>
    <x v="30"/>
    <s v="A233444"/>
    <x v="2"/>
    <n v="450"/>
    <n v="27000"/>
    <n v="27000"/>
    <x v="3"/>
  </r>
  <r>
    <x v="113"/>
    <x v="549"/>
    <s v="A404441"/>
    <x v="2"/>
    <n v="25"/>
    <n v="2000"/>
    <n v="2000"/>
    <x v="3"/>
  </r>
  <r>
    <x v="113"/>
    <x v="549"/>
    <s v="A404441"/>
    <x v="11"/>
    <n v="50"/>
    <n v="4000"/>
    <n v="4000"/>
    <x v="3"/>
  </r>
  <r>
    <x v="113"/>
    <x v="550"/>
    <s v="A265082"/>
    <x v="2"/>
    <n v="25"/>
    <n v="1875"/>
    <n v="1875"/>
    <x v="3"/>
  </r>
  <r>
    <x v="113"/>
    <x v="9"/>
    <s v="A234248"/>
    <x v="2"/>
    <n v="50"/>
    <n v="3500"/>
    <n v="3500"/>
    <x v="3"/>
  </r>
  <r>
    <x v="113"/>
    <x v="166"/>
    <s v="A231706"/>
    <x v="2"/>
    <n v="100"/>
    <n v="6000"/>
    <n v="6000"/>
    <x v="3"/>
  </r>
  <r>
    <x v="113"/>
    <x v="344"/>
    <s v="A415791"/>
    <x v="2"/>
    <n v="200"/>
    <n v="12000"/>
    <n v="12000"/>
    <x v="3"/>
  </r>
  <r>
    <x v="113"/>
    <x v="551"/>
    <s v="A350145"/>
    <x v="2"/>
    <n v="25"/>
    <n v="1875"/>
    <n v="1875"/>
    <x v="3"/>
  </r>
  <r>
    <x v="113"/>
    <x v="552"/>
    <s v="A321239"/>
    <x v="2"/>
    <n v="150"/>
    <n v="12000"/>
    <n v="12000"/>
    <x v="3"/>
  </r>
  <r>
    <x v="113"/>
    <x v="509"/>
    <s v="A419374"/>
    <x v="11"/>
    <n v="150"/>
    <n v="12000"/>
    <n v="12000"/>
    <x v="3"/>
  </r>
  <r>
    <x v="113"/>
    <x v="247"/>
    <s v="A402013"/>
    <x v="2"/>
    <n v="250"/>
    <n v="13750"/>
    <n v="13750"/>
    <x v="3"/>
  </r>
  <r>
    <x v="113"/>
    <x v="383"/>
    <s v="A305994"/>
    <x v="2"/>
    <n v="50"/>
    <n v="4000"/>
    <n v="4000"/>
    <x v="3"/>
  </r>
  <r>
    <x v="113"/>
    <x v="14"/>
    <m/>
    <x v="2"/>
    <n v="20"/>
    <n v="1100"/>
    <n v="1100"/>
    <x v="3"/>
  </r>
  <r>
    <x v="113"/>
    <x v="14"/>
    <m/>
    <x v="11"/>
    <n v="50"/>
    <n v="2750"/>
    <n v="2750"/>
    <x v="3"/>
  </r>
  <r>
    <x v="113"/>
    <x v="553"/>
    <s v="A269419"/>
    <x v="2"/>
    <n v="25"/>
    <n v="1875"/>
    <n v="1875"/>
    <x v="3"/>
  </r>
  <r>
    <x v="113"/>
    <x v="348"/>
    <s v="A236985"/>
    <x v="2"/>
    <n v="300"/>
    <n v="19500"/>
    <n v="19500"/>
    <x v="3"/>
  </r>
  <r>
    <x v="114"/>
    <x v="366"/>
    <s v="A238073"/>
    <x v="4"/>
    <n v="25"/>
    <n v="2125"/>
    <m/>
    <x v="3"/>
  </r>
  <r>
    <x v="114"/>
    <x v="366"/>
    <s v="A238073"/>
    <x v="5"/>
    <n v="50"/>
    <n v="4250"/>
    <m/>
    <x v="3"/>
  </r>
  <r>
    <x v="114"/>
    <x v="353"/>
    <s v="A241990"/>
    <x v="3"/>
    <n v="14.5"/>
    <n v="986"/>
    <m/>
    <x v="3"/>
  </r>
  <r>
    <x v="114"/>
    <x v="353"/>
    <s v="A241990"/>
    <x v="4"/>
    <n v="50"/>
    <n v="4000"/>
    <m/>
    <x v="3"/>
  </r>
  <r>
    <x v="114"/>
    <x v="353"/>
    <s v="A241990"/>
    <x v="5"/>
    <n v="125"/>
    <n v="11250"/>
    <m/>
    <x v="3"/>
  </r>
  <r>
    <x v="114"/>
    <x v="554"/>
    <s v="A248486"/>
    <x v="4"/>
    <n v="50"/>
    <n v="4000"/>
    <m/>
    <x v="3"/>
  </r>
  <r>
    <x v="114"/>
    <x v="93"/>
    <s v="A231708"/>
    <x v="3"/>
    <n v="25"/>
    <n v="1500"/>
    <m/>
    <x v="3"/>
  </r>
  <r>
    <x v="114"/>
    <x v="93"/>
    <s v="A231708"/>
    <x v="4"/>
    <n v="225"/>
    <n v="13250"/>
    <m/>
    <x v="3"/>
  </r>
  <r>
    <x v="114"/>
    <x v="156"/>
    <s v="A231705"/>
    <x v="4"/>
    <n v="25"/>
    <n v="1750"/>
    <m/>
    <x v="3"/>
  </r>
  <r>
    <x v="114"/>
    <x v="3"/>
    <s v="A236167"/>
    <x v="3"/>
    <n v="20"/>
    <n v="1700"/>
    <m/>
    <x v="3"/>
  </r>
  <r>
    <x v="114"/>
    <x v="3"/>
    <s v="A236167"/>
    <x v="7"/>
    <n v="50"/>
    <n v="3600"/>
    <m/>
    <x v="3"/>
  </r>
  <r>
    <x v="114"/>
    <x v="16"/>
    <s v="A241225"/>
    <x v="4"/>
    <n v="25"/>
    <n v="1625"/>
    <m/>
    <x v="3"/>
  </r>
  <r>
    <x v="114"/>
    <x v="4"/>
    <s v="A231709"/>
    <x v="3"/>
    <n v="25"/>
    <n v="1625"/>
    <m/>
    <x v="3"/>
  </r>
  <r>
    <x v="114"/>
    <x v="555"/>
    <s v="A272357"/>
    <x v="4"/>
    <n v="25"/>
    <n v="2750"/>
    <m/>
    <x v="3"/>
  </r>
  <r>
    <x v="114"/>
    <x v="243"/>
    <s v="A232125"/>
    <x v="4"/>
    <n v="125"/>
    <n v="10000"/>
    <m/>
    <x v="3"/>
  </r>
  <r>
    <x v="114"/>
    <x v="556"/>
    <s v="A241790"/>
    <x v="12"/>
    <n v="25"/>
    <n v="1350"/>
    <m/>
    <x v="3"/>
  </r>
  <r>
    <x v="114"/>
    <x v="556"/>
    <s v="A241790"/>
    <x v="3"/>
    <n v="50"/>
    <n v="3500"/>
    <m/>
    <x v="3"/>
  </r>
  <r>
    <x v="114"/>
    <x v="556"/>
    <s v="A241790"/>
    <x v="5"/>
    <n v="50"/>
    <n v="4000"/>
    <m/>
    <x v="3"/>
  </r>
  <r>
    <x v="114"/>
    <x v="19"/>
    <s v="A233442"/>
    <x v="3"/>
    <n v="25"/>
    <n v="1500"/>
    <m/>
    <x v="3"/>
  </r>
  <r>
    <x v="114"/>
    <x v="19"/>
    <s v="A233442"/>
    <x v="4"/>
    <n v="25"/>
    <n v="1500"/>
    <m/>
    <x v="3"/>
  </r>
  <r>
    <x v="115"/>
    <x v="365"/>
    <s v="A243761"/>
    <x v="5"/>
    <n v="50"/>
    <n v="5500"/>
    <m/>
    <x v="3"/>
  </r>
  <r>
    <x v="115"/>
    <x v="365"/>
    <s v="A243761"/>
    <x v="7"/>
    <n v="50"/>
    <n v="5500"/>
    <m/>
    <x v="3"/>
  </r>
  <r>
    <x v="115"/>
    <x v="365"/>
    <s v="A243761"/>
    <x v="10"/>
    <n v="60"/>
    <n v="6600"/>
    <m/>
    <x v="3"/>
  </r>
  <r>
    <x v="115"/>
    <x v="299"/>
    <s v="A404821"/>
    <x v="11"/>
    <n v="50"/>
    <n v="4800"/>
    <n v="5040"/>
    <x v="3"/>
  </r>
  <r>
    <x v="115"/>
    <x v="2"/>
    <s v="A295987"/>
    <x v="11"/>
    <n v="130"/>
    <n v="11700"/>
    <n v="12285"/>
    <x v="1"/>
  </r>
  <r>
    <x v="115"/>
    <x v="2"/>
    <s v="A295987"/>
    <x v="0"/>
    <n v="75"/>
    <n v="6750"/>
    <n v="7087.5"/>
    <x v="1"/>
  </r>
  <r>
    <x v="115"/>
    <x v="557"/>
    <s v="P108460"/>
    <x v="0"/>
    <n v="25"/>
    <n v="1875"/>
    <n v="1968.75"/>
    <x v="36"/>
  </r>
  <r>
    <x v="115"/>
    <x v="271"/>
    <s v="A401493"/>
    <x v="0"/>
    <n v="50"/>
    <n v="7750"/>
    <n v="8137.5"/>
    <x v="2"/>
  </r>
  <r>
    <x v="115"/>
    <x v="182"/>
    <s v="A275118"/>
    <x v="10"/>
    <n v="22"/>
    <n v="1738"/>
    <m/>
    <x v="3"/>
  </r>
  <r>
    <x v="115"/>
    <x v="182"/>
    <s v="A275118"/>
    <x v="8"/>
    <n v="50"/>
    <n v="3950"/>
    <m/>
    <x v="3"/>
  </r>
  <r>
    <x v="115"/>
    <x v="183"/>
    <s v="A275118"/>
    <x v="1"/>
    <n v="25"/>
    <n v="2050"/>
    <n v="2152.5"/>
    <x v="3"/>
  </r>
  <r>
    <x v="115"/>
    <x v="328"/>
    <s v="A285349"/>
    <x v="11"/>
    <n v="75"/>
    <n v="6000"/>
    <n v="6300"/>
    <x v="1"/>
  </r>
  <r>
    <x v="115"/>
    <x v="328"/>
    <s v="A285349"/>
    <x v="0"/>
    <n v="25"/>
    <n v="2000"/>
    <n v="2100"/>
    <x v="1"/>
  </r>
  <r>
    <x v="115"/>
    <x v="331"/>
    <s v="A318055"/>
    <x v="11"/>
    <n v="5"/>
    <n v="400"/>
    <n v="420"/>
    <x v="3"/>
  </r>
  <r>
    <x v="115"/>
    <x v="558"/>
    <s v="A306327"/>
    <x v="2"/>
    <n v="25"/>
    <n v="1875"/>
    <n v="1968.75"/>
    <x v="3"/>
  </r>
  <r>
    <x v="115"/>
    <x v="559"/>
    <s v="A416951"/>
    <x v="11"/>
    <n v="160"/>
    <n v="12125"/>
    <n v="12731.25"/>
    <x v="1"/>
  </r>
  <r>
    <x v="115"/>
    <x v="559"/>
    <s v="A416951"/>
    <x v="0"/>
    <n v="25"/>
    <n v="1875"/>
    <n v="1968.75"/>
    <x v="1"/>
  </r>
  <r>
    <x v="115"/>
    <x v="156"/>
    <s v="A231705"/>
    <x v="5"/>
    <n v="50"/>
    <n v="3500"/>
    <m/>
    <x v="3"/>
  </r>
  <r>
    <x v="115"/>
    <x v="156"/>
    <s v="A231705"/>
    <x v="7"/>
    <n v="50"/>
    <n v="3500"/>
    <m/>
    <x v="3"/>
  </r>
  <r>
    <x v="115"/>
    <x v="156"/>
    <s v="A231705"/>
    <x v="10"/>
    <n v="100"/>
    <n v="7000"/>
    <m/>
    <x v="3"/>
  </r>
  <r>
    <x v="115"/>
    <x v="156"/>
    <s v="A231705"/>
    <x v="8"/>
    <n v="25"/>
    <n v="1750"/>
    <m/>
    <x v="3"/>
  </r>
  <r>
    <x v="115"/>
    <x v="3"/>
    <s v="A232126"/>
    <x v="5"/>
    <n v="50"/>
    <n v="4750"/>
    <m/>
    <x v="3"/>
  </r>
  <r>
    <x v="115"/>
    <x v="3"/>
    <s v="A232126"/>
    <x v="7"/>
    <n v="75"/>
    <n v="7125"/>
    <m/>
    <x v="3"/>
  </r>
  <r>
    <x v="115"/>
    <x v="3"/>
    <s v="A232126"/>
    <x v="10"/>
    <n v="114.4"/>
    <n v="12668"/>
    <m/>
    <x v="3"/>
  </r>
  <r>
    <x v="115"/>
    <x v="3"/>
    <s v="A232126"/>
    <x v="2"/>
    <n v="25"/>
    <n v="2875"/>
    <n v="3018.75"/>
    <x v="3"/>
  </r>
  <r>
    <x v="115"/>
    <x v="3"/>
    <s v="A232126"/>
    <x v="11"/>
    <n v="25"/>
    <n v="2875"/>
    <n v="3018.75"/>
    <x v="3"/>
  </r>
  <r>
    <x v="115"/>
    <x v="3"/>
    <s v="A331329"/>
    <x v="11"/>
    <n v="25"/>
    <n v="2875"/>
    <n v="3018.75"/>
    <x v="3"/>
  </r>
  <r>
    <x v="115"/>
    <x v="275"/>
    <s v="A271087"/>
    <x v="11"/>
    <n v="25"/>
    <n v="1625"/>
    <n v="1706.25"/>
    <x v="3"/>
  </r>
  <r>
    <x v="115"/>
    <x v="27"/>
    <s v="A242640"/>
    <x v="11"/>
    <n v="115"/>
    <n v="6900"/>
    <n v="7245"/>
    <x v="3"/>
  </r>
  <r>
    <x v="115"/>
    <x v="4"/>
    <s v="A231709"/>
    <x v="12"/>
    <n v="200"/>
    <n v="7800"/>
    <m/>
    <x v="3"/>
  </r>
  <r>
    <x v="115"/>
    <x v="4"/>
    <s v="A231709"/>
    <x v="5"/>
    <n v="50"/>
    <n v="3750"/>
    <m/>
    <x v="3"/>
  </r>
  <r>
    <x v="115"/>
    <x v="4"/>
    <s v="A231709"/>
    <x v="7"/>
    <n v="50"/>
    <n v="3750"/>
    <m/>
    <x v="3"/>
  </r>
  <r>
    <x v="115"/>
    <x v="51"/>
    <s v="A298567"/>
    <x v="8"/>
    <n v="25"/>
    <n v="825"/>
    <m/>
    <x v="3"/>
  </r>
  <r>
    <x v="115"/>
    <x v="51"/>
    <s v="A298567"/>
    <x v="9"/>
    <n v="500"/>
    <n v="16500"/>
    <m/>
    <x v="3"/>
  </r>
  <r>
    <x v="115"/>
    <x v="51"/>
    <s v="A298567"/>
    <x v="1"/>
    <n v="1000"/>
    <n v="42000"/>
    <n v="44100"/>
    <x v="3"/>
  </r>
  <r>
    <x v="115"/>
    <x v="51"/>
    <s v="A298567"/>
    <x v="11"/>
    <n v="500"/>
    <n v="17000"/>
    <n v="17850"/>
    <x v="3"/>
  </r>
  <r>
    <x v="115"/>
    <x v="560"/>
    <s v="A241908"/>
    <x v="5"/>
    <n v="50"/>
    <n v="6500"/>
    <m/>
    <x v="3"/>
  </r>
  <r>
    <x v="115"/>
    <x v="560"/>
    <s v="A241908"/>
    <x v="7"/>
    <n v="50"/>
    <n v="6500"/>
    <m/>
    <x v="3"/>
  </r>
  <r>
    <x v="115"/>
    <x v="421"/>
    <s v="A243394"/>
    <x v="0"/>
    <n v="9"/>
    <n v="1530"/>
    <n v="1606.5"/>
    <x v="1"/>
  </r>
  <r>
    <x v="115"/>
    <x v="9"/>
    <s v="A234248"/>
    <x v="7"/>
    <n v="75"/>
    <n v="6750"/>
    <m/>
    <x v="2"/>
  </r>
  <r>
    <x v="115"/>
    <x v="9"/>
    <s v="A234248"/>
    <x v="10"/>
    <n v="125"/>
    <n v="11250"/>
    <m/>
    <x v="2"/>
  </r>
  <r>
    <x v="115"/>
    <x v="9"/>
    <s v="A234248"/>
    <x v="9"/>
    <n v="125"/>
    <n v="11250"/>
    <m/>
    <x v="2"/>
  </r>
  <r>
    <x v="115"/>
    <x v="9"/>
    <s v="A234248"/>
    <x v="1"/>
    <n v="100"/>
    <n v="9000"/>
    <n v="9450"/>
    <x v="2"/>
  </r>
  <r>
    <x v="115"/>
    <x v="9"/>
    <s v="A234248"/>
    <x v="2"/>
    <n v="50"/>
    <n v="4500"/>
    <n v="4725"/>
    <x v="2"/>
  </r>
  <r>
    <x v="115"/>
    <x v="9"/>
    <s v="A234248"/>
    <x v="11"/>
    <n v="75"/>
    <n v="6625"/>
    <n v="6956.25"/>
    <x v="2"/>
  </r>
  <r>
    <x v="115"/>
    <x v="9"/>
    <s v="A234248"/>
    <x v="0"/>
    <n v="50"/>
    <n v="4250"/>
    <n v="4462.5"/>
    <x v="2"/>
  </r>
  <r>
    <x v="115"/>
    <x v="561"/>
    <s v="A240777"/>
    <x v="12"/>
    <n v="50"/>
    <n v="2400"/>
    <m/>
    <x v="3"/>
  </r>
  <r>
    <x v="115"/>
    <x v="561"/>
    <s v="A240777"/>
    <x v="5"/>
    <n v="50"/>
    <n v="3750"/>
    <m/>
    <x v="3"/>
  </r>
  <r>
    <x v="115"/>
    <x v="561"/>
    <s v="A240777"/>
    <x v="6"/>
    <n v="250"/>
    <n v="18750"/>
    <m/>
    <x v="3"/>
  </r>
  <r>
    <x v="115"/>
    <x v="561"/>
    <s v="A240777"/>
    <x v="7"/>
    <n v="1900"/>
    <n v="142500"/>
    <m/>
    <x v="3"/>
  </r>
  <r>
    <x v="115"/>
    <x v="166"/>
    <s v="A231706"/>
    <x v="5"/>
    <n v="50"/>
    <n v="3600"/>
    <m/>
    <x v="3"/>
  </r>
  <r>
    <x v="115"/>
    <x v="166"/>
    <s v="A231706"/>
    <x v="7"/>
    <n v="100"/>
    <n v="7200"/>
    <m/>
    <x v="3"/>
  </r>
  <r>
    <x v="115"/>
    <x v="166"/>
    <s v="A231706"/>
    <x v="10"/>
    <n v="75"/>
    <n v="5400"/>
    <m/>
    <x v="3"/>
  </r>
  <r>
    <x v="115"/>
    <x v="381"/>
    <s v="A230556"/>
    <x v="5"/>
    <n v="50"/>
    <n v="4250"/>
    <m/>
    <x v="3"/>
  </r>
  <r>
    <x v="115"/>
    <x v="381"/>
    <s v="A230556"/>
    <x v="7"/>
    <n v="50"/>
    <n v="4250"/>
    <m/>
    <x v="3"/>
  </r>
  <r>
    <x v="115"/>
    <x v="381"/>
    <s v="A230556"/>
    <x v="10"/>
    <n v="25"/>
    <n v="2125"/>
    <m/>
    <x v="3"/>
  </r>
  <r>
    <x v="115"/>
    <x v="202"/>
    <s v="A417151"/>
    <x v="0"/>
    <n v="9"/>
    <n v="1440"/>
    <n v="1512"/>
    <x v="2"/>
  </r>
  <r>
    <x v="116"/>
    <x v="562"/>
    <s v="A419375"/>
    <x v="11"/>
    <n v="35"/>
    <n v="4900"/>
    <n v="5145"/>
    <x v="3"/>
  </r>
  <r>
    <x v="116"/>
    <x v="37"/>
    <s v="A295406"/>
    <x v="11"/>
    <n v="10"/>
    <n v="2095"/>
    <n v="2199.75"/>
    <x v="3"/>
  </r>
  <r>
    <x v="116"/>
    <x v="563"/>
    <s v="A235767"/>
    <x v="2"/>
    <n v="10"/>
    <n v="2100"/>
    <n v="2205"/>
    <x v="3"/>
  </r>
  <r>
    <x v="116"/>
    <x v="318"/>
    <s v="A302349"/>
    <x v="2"/>
    <n v="5"/>
    <n v="950"/>
    <n v="997.5"/>
    <x v="3"/>
  </r>
  <r>
    <x v="116"/>
    <x v="298"/>
    <s v="A416950"/>
    <x v="11"/>
    <n v="25"/>
    <n v="4500"/>
    <n v="4725"/>
    <x v="3"/>
  </r>
  <r>
    <x v="116"/>
    <x v="300"/>
    <s v="A351968"/>
    <x v="2"/>
    <n v="10"/>
    <n v="2000"/>
    <n v="2100"/>
    <x v="3"/>
  </r>
  <r>
    <x v="116"/>
    <x v="564"/>
    <m/>
    <x v="11"/>
    <n v="20"/>
    <n v="4400"/>
    <n v="4620"/>
    <x v="3"/>
  </r>
  <r>
    <x v="116"/>
    <x v="183"/>
    <s v="A275118"/>
    <x v="11"/>
    <n v="25"/>
    <n v="2750"/>
    <n v="2887.5"/>
    <x v="3"/>
  </r>
  <r>
    <x v="116"/>
    <x v="565"/>
    <s v="A241367"/>
    <x v="11"/>
    <n v="6"/>
    <n v="960"/>
    <n v="1008"/>
    <x v="3"/>
  </r>
  <r>
    <x v="116"/>
    <x v="566"/>
    <s v="F15711"/>
    <x v="2"/>
    <n v="5"/>
    <n v="950"/>
    <n v="997.5"/>
    <x v="3"/>
  </r>
  <r>
    <x v="116"/>
    <x v="25"/>
    <s v="A415883"/>
    <x v="11"/>
    <n v="25"/>
    <n v="2750"/>
    <n v="2887.5"/>
    <x v="3"/>
  </r>
  <r>
    <x v="116"/>
    <x v="46"/>
    <s v="A234876"/>
    <x v="11"/>
    <n v="105"/>
    <n v="16800"/>
    <n v="17640"/>
    <x v="3"/>
  </r>
  <r>
    <x v="116"/>
    <x v="567"/>
    <s v="A255319"/>
    <x v="2"/>
    <n v="10"/>
    <n v="1800"/>
    <n v="1890"/>
    <x v="3"/>
  </r>
  <r>
    <x v="116"/>
    <x v="567"/>
    <s v="A255319"/>
    <x v="11"/>
    <n v="10"/>
    <n v="1800"/>
    <n v="1890"/>
    <x v="3"/>
  </r>
  <r>
    <x v="116"/>
    <x v="289"/>
    <s v="A234285"/>
    <x v="11"/>
    <n v="25"/>
    <n v="2750"/>
    <n v="2887.5"/>
    <x v="3"/>
  </r>
  <r>
    <x v="116"/>
    <x v="261"/>
    <m/>
    <x v="11"/>
    <n v="65"/>
    <n v="15000"/>
    <n v="15750"/>
    <x v="3"/>
  </r>
  <r>
    <x v="116"/>
    <x v="49"/>
    <s v="P19684"/>
    <x v="2"/>
    <n v="5"/>
    <n v="950"/>
    <n v="997.5"/>
    <x v="3"/>
  </r>
  <r>
    <x v="116"/>
    <x v="568"/>
    <s v="P06751"/>
    <x v="2"/>
    <n v="2"/>
    <n v="1260"/>
    <n v="1323"/>
    <x v="3"/>
  </r>
  <r>
    <x v="116"/>
    <x v="568"/>
    <s v="P06751"/>
    <x v="2"/>
    <n v="2"/>
    <n v="1680"/>
    <n v="1764"/>
    <x v="3"/>
  </r>
  <r>
    <x v="116"/>
    <x v="569"/>
    <m/>
    <x v="11"/>
    <n v="95"/>
    <n v="30875"/>
    <n v="30875"/>
    <x v="3"/>
  </r>
  <r>
    <x v="116"/>
    <x v="212"/>
    <s v="P05636"/>
    <x v="2"/>
    <n v="5"/>
    <n v="2350"/>
    <n v="2467.5"/>
    <x v="3"/>
  </r>
  <r>
    <x v="116"/>
    <x v="95"/>
    <m/>
    <x v="2"/>
    <n v="2"/>
    <n v="1000"/>
    <n v="1050"/>
    <x v="3"/>
  </r>
  <r>
    <x v="116"/>
    <x v="498"/>
    <s v="A281164"/>
    <x v="2"/>
    <n v="25"/>
    <n v="3000"/>
    <n v="3150"/>
    <x v="3"/>
  </r>
  <r>
    <x v="116"/>
    <x v="498"/>
    <s v="A281164"/>
    <x v="11"/>
    <n v="80"/>
    <n v="8400"/>
    <n v="8820"/>
    <x v="3"/>
  </r>
  <r>
    <x v="116"/>
    <x v="138"/>
    <s v="A282344"/>
    <x v="2"/>
    <n v="25"/>
    <n v="2750"/>
    <n v="2887.5"/>
    <x v="3"/>
  </r>
  <r>
    <x v="116"/>
    <x v="218"/>
    <m/>
    <x v="11"/>
    <n v="100"/>
    <n v="32500"/>
    <n v="32500"/>
    <x v="3"/>
  </r>
  <r>
    <x v="116"/>
    <x v="218"/>
    <m/>
    <x v="0"/>
    <n v="50"/>
    <n v="15000"/>
    <n v="15000"/>
    <x v="3"/>
  </r>
  <r>
    <x v="116"/>
    <x v="169"/>
    <s v="A286825"/>
    <x v="2"/>
    <n v="5"/>
    <n v="1000"/>
    <n v="1050"/>
    <x v="3"/>
  </r>
  <r>
    <x v="116"/>
    <x v="346"/>
    <s v="A315997"/>
    <x v="2"/>
    <n v="25"/>
    <n v="3750"/>
    <n v="3937.5"/>
    <x v="3"/>
  </r>
  <r>
    <x v="117"/>
    <x v="570"/>
    <s v="A250524"/>
    <x v="3"/>
    <n v="50"/>
    <n v="6350"/>
    <m/>
    <x v="3"/>
  </r>
  <r>
    <x v="117"/>
    <x v="571"/>
    <s v="A231076"/>
    <x v="8"/>
    <n v="50"/>
    <n v="2750"/>
    <m/>
    <x v="3"/>
  </r>
  <r>
    <x v="117"/>
    <x v="572"/>
    <s v="A249720"/>
    <x v="10"/>
    <n v="50"/>
    <n v="4750"/>
    <m/>
    <x v="3"/>
  </r>
  <r>
    <x v="117"/>
    <x v="3"/>
    <s v="A249778"/>
    <x v="5"/>
    <n v="25"/>
    <n v="2125"/>
    <m/>
    <x v="3"/>
  </r>
  <r>
    <x v="117"/>
    <x v="9"/>
    <s v="A234248"/>
    <x v="5"/>
    <n v="100"/>
    <n v="8250"/>
    <m/>
    <x v="3"/>
  </r>
  <r>
    <x v="117"/>
    <x v="9"/>
    <s v="A234248"/>
    <x v="6"/>
    <n v="25"/>
    <n v="2000"/>
    <m/>
    <x v="3"/>
  </r>
  <r>
    <x v="117"/>
    <x v="9"/>
    <s v="A234248"/>
    <x v="7"/>
    <n v="99"/>
    <n v="7920"/>
    <m/>
    <x v="3"/>
  </r>
  <r>
    <x v="117"/>
    <x v="9"/>
    <s v="A234248"/>
    <x v="8"/>
    <n v="25"/>
    <n v="2125"/>
    <m/>
    <x v="3"/>
  </r>
  <r>
    <x v="117"/>
    <x v="18"/>
    <m/>
    <x v="3"/>
    <n v="20"/>
    <n v="1800"/>
    <m/>
    <x v="3"/>
  </r>
  <r>
    <x v="117"/>
    <x v="18"/>
    <m/>
    <x v="7"/>
    <n v="20"/>
    <n v="1800"/>
    <m/>
    <x v="3"/>
  </r>
  <r>
    <x v="117"/>
    <x v="18"/>
    <m/>
    <x v="9"/>
    <n v="20"/>
    <n v="1800"/>
    <m/>
    <x v="3"/>
  </r>
  <r>
    <x v="117"/>
    <x v="573"/>
    <m/>
    <x v="3"/>
    <n v="20"/>
    <n v="1800"/>
    <m/>
    <x v="3"/>
  </r>
  <r>
    <x v="117"/>
    <x v="573"/>
    <m/>
    <x v="4"/>
    <n v="20"/>
    <n v="1800"/>
    <m/>
    <x v="3"/>
  </r>
  <r>
    <x v="117"/>
    <x v="10"/>
    <m/>
    <x v="3"/>
    <n v="40"/>
    <n v="3600"/>
    <m/>
    <x v="3"/>
  </r>
  <r>
    <x v="117"/>
    <x v="10"/>
    <m/>
    <x v="6"/>
    <n v="20"/>
    <n v="1800"/>
    <m/>
    <x v="3"/>
  </r>
  <r>
    <x v="117"/>
    <x v="10"/>
    <m/>
    <x v="7"/>
    <n v="20"/>
    <n v="1800"/>
    <m/>
    <x v="3"/>
  </r>
  <r>
    <x v="117"/>
    <x v="10"/>
    <m/>
    <x v="10"/>
    <n v="20"/>
    <n v="1800"/>
    <m/>
    <x v="3"/>
  </r>
  <r>
    <x v="117"/>
    <x v="178"/>
    <s v="A234247"/>
    <x v="12"/>
    <n v="25"/>
    <n v="2450"/>
    <m/>
    <x v="3"/>
  </r>
  <r>
    <x v="117"/>
    <x v="178"/>
    <s v="A234247"/>
    <x v="3"/>
    <n v="25"/>
    <n v="2625"/>
    <m/>
    <x v="3"/>
  </r>
  <r>
    <x v="117"/>
    <x v="253"/>
    <s v="A249315"/>
    <x v="3"/>
    <n v="25"/>
    <n v="3175"/>
    <m/>
    <x v="3"/>
  </r>
  <r>
    <x v="117"/>
    <x v="253"/>
    <s v="A249315"/>
    <x v="5"/>
    <n v="25"/>
    <n v="2875"/>
    <m/>
    <x v="3"/>
  </r>
  <r>
    <x v="118"/>
    <x v="202"/>
    <s v="A417151"/>
    <x v="0"/>
    <n v="5"/>
    <n v="900"/>
    <n v="945"/>
    <x v="2"/>
  </r>
  <r>
    <x v="119"/>
    <x v="39"/>
    <s v="A322649"/>
    <x v="1"/>
    <n v="1"/>
    <n v="275"/>
    <n v="288.75"/>
    <x v="3"/>
  </r>
  <r>
    <x v="119"/>
    <x v="39"/>
    <s v="A322649"/>
    <x v="2"/>
    <n v="5"/>
    <n v="1375"/>
    <n v="1443.75"/>
    <x v="3"/>
  </r>
  <r>
    <x v="119"/>
    <x v="272"/>
    <s v="A246994"/>
    <x v="1"/>
    <n v="7"/>
    <n v="1540"/>
    <n v="1617"/>
    <x v="3"/>
  </r>
  <r>
    <x v="119"/>
    <x v="26"/>
    <s v="A281055"/>
    <x v="1"/>
    <n v="1"/>
    <n v="750"/>
    <n v="787.5"/>
    <x v="3"/>
  </r>
  <r>
    <x v="119"/>
    <x v="60"/>
    <m/>
    <x v="1"/>
    <n v="5"/>
    <n v="1600"/>
    <n v="1680"/>
    <x v="3"/>
  </r>
  <r>
    <x v="119"/>
    <x v="76"/>
    <s v="A297626"/>
    <x v="1"/>
    <n v="5"/>
    <n v="1200"/>
    <n v="1260"/>
    <x v="3"/>
  </r>
  <r>
    <x v="119"/>
    <x v="81"/>
    <s v="P19035"/>
    <x v="1"/>
    <n v="20"/>
    <n v="4800"/>
    <n v="5040"/>
    <x v="3"/>
  </r>
  <r>
    <x v="120"/>
    <x v="274"/>
    <s v="P19035"/>
    <x v="0"/>
    <n v="5"/>
    <n v="425"/>
    <n v="446.25"/>
    <x v="6"/>
  </r>
  <r>
    <x v="121"/>
    <x v="7"/>
    <m/>
    <x v="10"/>
    <n v="2"/>
    <n v="1000"/>
    <m/>
    <x v="3"/>
  </r>
  <r>
    <x v="121"/>
    <x v="10"/>
    <m/>
    <x v="10"/>
    <n v="20"/>
    <n v="1800"/>
    <m/>
    <x v="3"/>
  </r>
  <r>
    <x v="121"/>
    <x v="19"/>
    <s v="A233442"/>
    <x v="7"/>
    <n v="25"/>
    <n v="1500"/>
    <m/>
    <x v="3"/>
  </r>
  <r>
    <x v="121"/>
    <x v="19"/>
    <s v="A233442"/>
    <x v="10"/>
    <n v="50"/>
    <n v="3000"/>
    <m/>
    <x v="3"/>
  </r>
  <r>
    <x v="122"/>
    <x v="22"/>
    <s v="A339522"/>
    <x v="1"/>
    <n v="5"/>
    <n v="875"/>
    <n v="918.75"/>
    <x v="3"/>
  </r>
  <r>
    <x v="122"/>
    <x v="22"/>
    <s v="A339522"/>
    <x v="2"/>
    <n v="25"/>
    <n v="1875"/>
    <n v="1968.75"/>
    <x v="3"/>
  </r>
  <r>
    <x v="122"/>
    <x v="399"/>
    <s v="A235748"/>
    <x v="0"/>
    <n v="5"/>
    <n v="575"/>
    <n v="575"/>
    <x v="5"/>
  </r>
  <r>
    <x v="122"/>
    <x v="233"/>
    <m/>
    <x v="0"/>
    <n v="1"/>
    <n v="102"/>
    <n v="102"/>
    <x v="2"/>
  </r>
  <r>
    <x v="122"/>
    <x v="221"/>
    <s v="A231076"/>
    <x v="1"/>
    <n v="5"/>
    <n v="300"/>
    <n v="315"/>
    <x v="3"/>
  </r>
  <r>
    <x v="122"/>
    <x v="6"/>
    <s v="A270578"/>
    <x v="1"/>
    <n v="5"/>
    <n v="300"/>
    <n v="315"/>
    <x v="3"/>
  </r>
  <r>
    <x v="122"/>
    <x v="46"/>
    <s v="A234876"/>
    <x v="0"/>
    <n v="5"/>
    <n v="550"/>
    <n v="550"/>
    <x v="17"/>
  </r>
  <r>
    <x v="122"/>
    <x v="196"/>
    <s v="A240864"/>
    <x v="0"/>
    <n v="5"/>
    <n v="650"/>
    <n v="650"/>
    <x v="6"/>
  </r>
  <r>
    <x v="122"/>
    <x v="574"/>
    <s v="A352534"/>
    <x v="0"/>
    <n v="5"/>
    <n v="740"/>
    <n v="740"/>
    <x v="17"/>
  </r>
  <r>
    <x v="122"/>
    <x v="421"/>
    <s v="A243394"/>
    <x v="0"/>
    <n v="5"/>
    <n v="675"/>
    <n v="675"/>
    <x v="37"/>
  </r>
  <r>
    <x v="122"/>
    <x v="335"/>
    <s v="A349425"/>
    <x v="1"/>
    <n v="5"/>
    <n v="650"/>
    <n v="682.5"/>
    <x v="3"/>
  </r>
  <r>
    <x v="122"/>
    <x v="335"/>
    <s v="A349425"/>
    <x v="2"/>
    <n v="25"/>
    <n v="1875"/>
    <n v="1968.75"/>
    <x v="3"/>
  </r>
  <r>
    <x v="122"/>
    <x v="19"/>
    <s v="A233442"/>
    <x v="1"/>
    <n v="5"/>
    <n v="300"/>
    <n v="315"/>
    <x v="3"/>
  </r>
  <r>
    <x v="122"/>
    <x v="575"/>
    <s v="A280535"/>
    <x v="2"/>
    <n v="25"/>
    <n v="1875"/>
    <n v="1968.75"/>
    <x v="3"/>
  </r>
  <r>
    <x v="123"/>
    <x v="576"/>
    <s v="A275656"/>
    <x v="7"/>
    <n v="1"/>
    <n v="500"/>
    <m/>
    <x v="3"/>
  </r>
  <r>
    <x v="123"/>
    <x v="577"/>
    <s v="A270524"/>
    <x v="7"/>
    <n v="1"/>
    <n v="550"/>
    <m/>
    <x v="3"/>
  </r>
  <r>
    <x v="124"/>
    <x v="353"/>
    <s v="A241990"/>
    <x v="1"/>
    <n v="100"/>
    <n v="8000"/>
    <n v="8400"/>
    <x v="3"/>
  </r>
  <r>
    <x v="124"/>
    <x v="353"/>
    <s v="A241990"/>
    <x v="2"/>
    <n v="50"/>
    <n v="4000"/>
    <n v="4200"/>
    <x v="3"/>
  </r>
  <r>
    <x v="124"/>
    <x v="15"/>
    <m/>
    <x v="11"/>
    <n v="20"/>
    <n v="5200"/>
    <n v="5460"/>
    <x v="3"/>
  </r>
  <r>
    <x v="124"/>
    <x v="16"/>
    <s v="A241225"/>
    <x v="1"/>
    <n v="25"/>
    <n v="1750"/>
    <n v="1837.5"/>
    <x v="3"/>
  </r>
  <r>
    <x v="124"/>
    <x v="241"/>
    <s v="A401495"/>
    <x v="11"/>
    <n v="50"/>
    <n v="3250"/>
    <n v="3412.5"/>
    <x v="3"/>
  </r>
  <r>
    <x v="124"/>
    <x v="123"/>
    <m/>
    <x v="11"/>
    <n v="40"/>
    <n v="3600"/>
    <n v="3780"/>
    <x v="3"/>
  </r>
  <r>
    <x v="124"/>
    <x v="10"/>
    <m/>
    <x v="1"/>
    <n v="20"/>
    <n v="1700"/>
    <n v="1785"/>
    <x v="3"/>
  </r>
  <r>
    <x v="124"/>
    <x v="10"/>
    <m/>
    <x v="11"/>
    <n v="40"/>
    <n v="3200"/>
    <n v="3360"/>
    <x v="3"/>
  </r>
  <r>
    <x v="125"/>
    <x v="6"/>
    <s v="A270578"/>
    <x v="10"/>
    <n v="50"/>
    <n v="2500"/>
    <m/>
    <x v="3"/>
  </r>
  <r>
    <x v="125"/>
    <x v="3"/>
    <s v="A232126"/>
    <x v="8"/>
    <n v="100"/>
    <n v="9000"/>
    <m/>
    <x v="3"/>
  </r>
  <r>
    <x v="125"/>
    <x v="416"/>
    <m/>
    <x v="10"/>
    <n v="100"/>
    <n v="32000"/>
    <m/>
    <x v="3"/>
  </r>
  <r>
    <x v="126"/>
    <x v="269"/>
    <s v="A415790"/>
    <x v="0"/>
    <n v="1"/>
    <n v="130"/>
    <n v="136.5"/>
    <x v="2"/>
  </r>
  <r>
    <x v="126"/>
    <x v="323"/>
    <s v="A292785"/>
    <x v="0"/>
    <n v="1"/>
    <n v="120"/>
    <n v="126"/>
    <x v="2"/>
  </r>
  <r>
    <x v="126"/>
    <x v="350"/>
    <s v="A410392"/>
    <x v="0"/>
    <n v="5"/>
    <n v="550"/>
    <n v="577.5"/>
    <x v="38"/>
  </r>
  <r>
    <x v="126"/>
    <x v="60"/>
    <m/>
    <x v="2"/>
    <n v="5"/>
    <n v="1650"/>
    <n v="1732.5"/>
    <x v="3"/>
  </r>
  <r>
    <x v="126"/>
    <x v="60"/>
    <m/>
    <x v="11"/>
    <n v="5"/>
    <n v="1650"/>
    <n v="1732.5"/>
    <x v="3"/>
  </r>
  <r>
    <x v="126"/>
    <x v="9"/>
    <s v="A234248"/>
    <x v="0"/>
    <n v="5"/>
    <n v="550"/>
    <n v="577.5"/>
    <x v="2"/>
  </r>
  <r>
    <x v="126"/>
    <x v="410"/>
    <m/>
    <x v="2"/>
    <n v="5"/>
    <n v="1400"/>
    <n v="1470"/>
    <x v="3"/>
  </r>
  <r>
    <x v="126"/>
    <x v="247"/>
    <s v="A402013"/>
    <x v="0"/>
    <n v="1"/>
    <n v="110"/>
    <n v="115.5"/>
    <x v="2"/>
  </r>
  <r>
    <x v="126"/>
    <x v="34"/>
    <s v="A258696"/>
    <x v="0"/>
    <n v="1"/>
    <n v="200"/>
    <n v="210"/>
    <x v="2"/>
  </r>
  <r>
    <x v="126"/>
    <x v="347"/>
    <s v="A417703"/>
    <x v="0"/>
    <n v="5"/>
    <n v="450"/>
    <n v="472.5"/>
    <x v="2"/>
  </r>
  <r>
    <x v="126"/>
    <x v="79"/>
    <s v="A299988"/>
    <x v="0"/>
    <n v="1"/>
    <n v="120"/>
    <n v="126"/>
    <x v="2"/>
  </r>
  <r>
    <x v="127"/>
    <x v="127"/>
    <s v="A343168"/>
    <x v="11"/>
    <n v="5"/>
    <n v="1000"/>
    <n v="1050"/>
    <x v="3"/>
  </r>
  <r>
    <x v="127"/>
    <x v="152"/>
    <s v="A241586"/>
    <x v="10"/>
    <n v="1"/>
    <n v="240"/>
    <m/>
    <x v="3"/>
  </r>
  <r>
    <x v="127"/>
    <x v="152"/>
    <s v="A241586"/>
    <x v="1"/>
    <n v="2"/>
    <n v="366"/>
    <n v="366"/>
    <x v="3"/>
  </r>
  <r>
    <x v="127"/>
    <x v="303"/>
    <s v="A403149"/>
    <x v="11"/>
    <n v="1"/>
    <n v="180"/>
    <n v="189"/>
    <x v="3"/>
  </r>
  <r>
    <x v="127"/>
    <x v="161"/>
    <s v="A293577"/>
    <x v="10"/>
    <n v="1"/>
    <n v="230"/>
    <m/>
    <x v="3"/>
  </r>
  <r>
    <x v="127"/>
    <x v="161"/>
    <s v="A293577"/>
    <x v="1"/>
    <n v="1"/>
    <n v="167"/>
    <n v="167"/>
    <x v="3"/>
  </r>
  <r>
    <x v="127"/>
    <x v="196"/>
    <s v="A240864"/>
    <x v="11"/>
    <n v="1"/>
    <n v="190"/>
    <n v="199.5"/>
    <x v="3"/>
  </r>
  <r>
    <x v="127"/>
    <x v="578"/>
    <s v="A283876"/>
    <x v="11"/>
    <n v="1"/>
    <n v="220"/>
    <n v="231"/>
    <x v="3"/>
  </r>
  <r>
    <x v="128"/>
    <x v="579"/>
    <s v="A292115"/>
    <x v="6"/>
    <n v="10"/>
    <n v="980"/>
    <m/>
    <x v="3"/>
  </r>
  <r>
    <x v="128"/>
    <x v="580"/>
    <s v="A292112"/>
    <x v="6"/>
    <n v="10"/>
    <n v="1800"/>
    <m/>
    <x v="3"/>
  </r>
  <r>
    <x v="128"/>
    <x v="580"/>
    <s v="A292112"/>
    <x v="7"/>
    <n v="25"/>
    <n v="4500"/>
    <m/>
    <x v="3"/>
  </r>
  <r>
    <x v="129"/>
    <x v="18"/>
    <m/>
    <x v="0"/>
    <n v="1"/>
    <n v="85"/>
    <n v="89.25"/>
    <x v="2"/>
  </r>
  <r>
    <x v="129"/>
    <x v="432"/>
    <m/>
    <x v="2"/>
    <n v="2"/>
    <n v="154"/>
    <n v="161.69999999999999"/>
    <x v="3"/>
  </r>
  <r>
    <x v="129"/>
    <x v="432"/>
    <m/>
    <x v="11"/>
    <n v="3"/>
    <n v="385"/>
    <n v="385"/>
    <x v="3"/>
  </r>
  <r>
    <x v="130"/>
    <x v="93"/>
    <s v="A231708"/>
    <x v="9"/>
    <n v="75"/>
    <n v="4500"/>
    <m/>
    <x v="3"/>
  </r>
  <r>
    <x v="130"/>
    <x v="93"/>
    <s v="A231708"/>
    <x v="1"/>
    <n v="75"/>
    <n v="4500"/>
    <n v="4725"/>
    <x v="3"/>
  </r>
  <r>
    <x v="130"/>
    <x v="93"/>
    <s v="A231708"/>
    <x v="2"/>
    <n v="100"/>
    <n v="6500"/>
    <n v="6825"/>
    <x v="3"/>
  </r>
  <r>
    <x v="130"/>
    <x v="350"/>
    <s v="A410392"/>
    <x v="11"/>
    <n v="50"/>
    <n v="3250"/>
    <n v="3412.5"/>
    <x v="3"/>
  </r>
  <r>
    <x v="130"/>
    <x v="3"/>
    <s v="A232126"/>
    <x v="9"/>
    <n v="10"/>
    <n v="950"/>
    <m/>
    <x v="3"/>
  </r>
  <r>
    <x v="130"/>
    <x v="3"/>
    <s v="A232126"/>
    <x v="1"/>
    <n v="10"/>
    <n v="900"/>
    <n v="945"/>
    <x v="3"/>
  </r>
  <r>
    <x v="131"/>
    <x v="562"/>
    <s v="A419375"/>
    <x v="11"/>
    <n v="6"/>
    <n v="810"/>
    <n v="850.5"/>
    <x v="3"/>
  </r>
  <r>
    <x v="131"/>
    <x v="88"/>
    <s v="A244191"/>
    <x v="1"/>
    <n v="25"/>
    <n v="1875"/>
    <n v="1968.75"/>
    <x v="3"/>
  </r>
  <r>
    <x v="131"/>
    <x v="88"/>
    <s v="A244191"/>
    <x v="2"/>
    <n v="30"/>
    <n v="2250"/>
    <n v="2362.5"/>
    <x v="3"/>
  </r>
  <r>
    <x v="131"/>
    <x v="232"/>
    <s v="A415790"/>
    <x v="2"/>
    <n v="10"/>
    <n v="750"/>
    <n v="787.5"/>
    <x v="1"/>
  </r>
  <r>
    <x v="131"/>
    <x v="232"/>
    <s v="A415790"/>
    <x v="11"/>
    <n v="20"/>
    <n v="1500"/>
    <n v="1575"/>
    <x v="1"/>
  </r>
  <r>
    <x v="131"/>
    <x v="232"/>
    <s v="A415790"/>
    <x v="0"/>
    <n v="15"/>
    <n v="1125"/>
    <n v="1181.25"/>
    <x v="1"/>
  </r>
  <r>
    <x v="131"/>
    <x v="362"/>
    <s v="A292789"/>
    <x v="1"/>
    <n v="10"/>
    <n v="850"/>
    <n v="892.5"/>
    <x v="3"/>
  </r>
  <r>
    <x v="131"/>
    <x v="363"/>
    <s v="A402002"/>
    <x v="11"/>
    <n v="5"/>
    <n v="425"/>
    <n v="446.25"/>
    <x v="2"/>
  </r>
  <r>
    <x v="131"/>
    <x v="363"/>
    <s v="A402002"/>
    <x v="0"/>
    <n v="5"/>
    <n v="500"/>
    <n v="525"/>
    <x v="2"/>
  </r>
  <r>
    <x v="131"/>
    <x v="581"/>
    <m/>
    <x v="11"/>
    <n v="130"/>
    <n v="9375"/>
    <n v="9843.75"/>
    <x v="39"/>
  </r>
  <r>
    <x v="131"/>
    <x v="581"/>
    <m/>
    <x v="0"/>
    <n v="75"/>
    <n v="5250"/>
    <n v="5512.5"/>
    <x v="39"/>
  </r>
  <r>
    <x v="131"/>
    <x v="319"/>
    <s v="A248264"/>
    <x v="1"/>
    <n v="20"/>
    <n v="1800"/>
    <n v="1890"/>
    <x v="3"/>
  </r>
  <r>
    <x v="131"/>
    <x v="319"/>
    <s v="A248264"/>
    <x v="2"/>
    <n v="10"/>
    <n v="900"/>
    <n v="945"/>
    <x v="3"/>
  </r>
  <r>
    <x v="131"/>
    <x v="319"/>
    <s v="A248264"/>
    <x v="11"/>
    <n v="10"/>
    <n v="900"/>
    <n v="945"/>
    <x v="3"/>
  </r>
  <r>
    <x v="131"/>
    <x v="366"/>
    <s v="A238073"/>
    <x v="1"/>
    <n v="10"/>
    <n v="850"/>
    <n v="892.5"/>
    <x v="3"/>
  </r>
  <r>
    <x v="131"/>
    <x v="366"/>
    <s v="A238073"/>
    <x v="2"/>
    <n v="10"/>
    <n v="850"/>
    <n v="892.5"/>
    <x v="3"/>
  </r>
  <r>
    <x v="131"/>
    <x v="128"/>
    <s v="A269415"/>
    <x v="11"/>
    <n v="10"/>
    <n v="1000"/>
    <n v="1050"/>
    <x v="11"/>
  </r>
  <r>
    <x v="131"/>
    <x v="128"/>
    <s v="A269415"/>
    <x v="0"/>
    <n v="10"/>
    <n v="1000"/>
    <n v="1050"/>
    <x v="11"/>
  </r>
  <r>
    <x v="131"/>
    <x v="11"/>
    <m/>
    <x v="1"/>
    <n v="2"/>
    <n v="240"/>
    <n v="252"/>
    <x v="2"/>
  </r>
  <r>
    <x v="131"/>
    <x v="11"/>
    <m/>
    <x v="0"/>
    <n v="1"/>
    <n v="110"/>
    <n v="115.5"/>
    <x v="2"/>
  </r>
  <r>
    <x v="131"/>
    <x v="233"/>
    <m/>
    <x v="1"/>
    <n v="2"/>
    <n v="220"/>
    <n v="231"/>
    <x v="3"/>
  </r>
  <r>
    <x v="131"/>
    <x v="582"/>
    <s v="A339212"/>
    <x v="1"/>
    <n v="25"/>
    <n v="2000"/>
    <n v="2100"/>
    <x v="3"/>
  </r>
  <r>
    <x v="131"/>
    <x v="582"/>
    <s v="A339212"/>
    <x v="2"/>
    <n v="80"/>
    <n v="6400"/>
    <n v="6720"/>
    <x v="3"/>
  </r>
  <r>
    <x v="131"/>
    <x v="582"/>
    <s v="A339212"/>
    <x v="11"/>
    <n v="30"/>
    <n v="2400"/>
    <n v="2520"/>
    <x v="3"/>
  </r>
  <r>
    <x v="131"/>
    <x v="557"/>
    <s v="P108460"/>
    <x v="0"/>
    <n v="10"/>
    <n v="800"/>
    <n v="840"/>
    <x v="1"/>
  </r>
  <r>
    <x v="131"/>
    <x v="221"/>
    <s v="A231076"/>
    <x v="1"/>
    <n v="10"/>
    <n v="850"/>
    <n v="892.5"/>
    <x v="3"/>
  </r>
  <r>
    <x v="131"/>
    <x v="256"/>
    <s v="A407971"/>
    <x v="11"/>
    <n v="5"/>
    <n v="375"/>
    <n v="393.75"/>
    <x v="3"/>
  </r>
  <r>
    <x v="131"/>
    <x v="322"/>
    <s v="A275616"/>
    <x v="1"/>
    <n v="5"/>
    <n v="450"/>
    <n v="472.5"/>
    <x v="3"/>
  </r>
  <r>
    <x v="131"/>
    <x v="322"/>
    <s v="A275616"/>
    <x v="2"/>
    <n v="15"/>
    <n v="1350"/>
    <n v="1417.5"/>
    <x v="3"/>
  </r>
  <r>
    <x v="131"/>
    <x v="323"/>
    <s v="A292785"/>
    <x v="2"/>
    <n v="10"/>
    <n v="750"/>
    <n v="787.5"/>
    <x v="3"/>
  </r>
  <r>
    <x v="131"/>
    <x v="323"/>
    <s v="A292785"/>
    <x v="11"/>
    <n v="1"/>
    <n v="65"/>
    <n v="68.25"/>
    <x v="3"/>
  </r>
  <r>
    <x v="131"/>
    <x v="229"/>
    <s v="A241469"/>
    <x v="11"/>
    <n v="5"/>
    <n v="450"/>
    <n v="472.5"/>
    <x v="3"/>
  </r>
  <r>
    <x v="131"/>
    <x v="129"/>
    <s v="A235765"/>
    <x v="1"/>
    <n v="35"/>
    <n v="5600"/>
    <n v="5880"/>
    <x v="3"/>
  </r>
  <r>
    <x v="131"/>
    <x v="129"/>
    <s v="A235765"/>
    <x v="2"/>
    <n v="106"/>
    <n v="7945"/>
    <n v="8342.25"/>
    <x v="3"/>
  </r>
  <r>
    <x v="131"/>
    <x v="129"/>
    <s v="A235765"/>
    <x v="11"/>
    <n v="40"/>
    <n v="3000"/>
    <n v="3150"/>
    <x v="3"/>
  </r>
  <r>
    <x v="131"/>
    <x v="306"/>
    <s v="A244199"/>
    <x v="1"/>
    <n v="20"/>
    <n v="1400"/>
    <n v="1470"/>
    <x v="3"/>
  </r>
  <r>
    <x v="131"/>
    <x v="306"/>
    <s v="A244199"/>
    <x v="2"/>
    <n v="5"/>
    <n v="350"/>
    <n v="367.5"/>
    <x v="3"/>
  </r>
  <r>
    <x v="131"/>
    <x v="306"/>
    <s v="A244199"/>
    <x v="11"/>
    <n v="6"/>
    <n v="390"/>
    <n v="409.5"/>
    <x v="3"/>
  </r>
  <r>
    <x v="131"/>
    <x v="325"/>
    <s v="A320111"/>
    <x v="2"/>
    <n v="5"/>
    <n v="400"/>
    <n v="420"/>
    <x v="40"/>
  </r>
  <r>
    <x v="131"/>
    <x v="325"/>
    <s v="A320111"/>
    <x v="11"/>
    <n v="15"/>
    <n v="1075"/>
    <n v="1128.75"/>
    <x v="40"/>
  </r>
  <r>
    <x v="131"/>
    <x v="325"/>
    <s v="A320111"/>
    <x v="0"/>
    <n v="15"/>
    <n v="1050"/>
    <n v="1102.5"/>
    <x v="40"/>
  </r>
  <r>
    <x v="131"/>
    <x v="12"/>
    <m/>
    <x v="0"/>
    <n v="1"/>
    <n v="85"/>
    <n v="89.25"/>
    <x v="2"/>
  </r>
  <r>
    <x v="131"/>
    <x v="469"/>
    <s v="A248486"/>
    <x v="11"/>
    <n v="5"/>
    <n v="375"/>
    <n v="393.75"/>
    <x v="3"/>
  </r>
  <r>
    <x v="131"/>
    <x v="469"/>
    <s v="A248486"/>
    <x v="0"/>
    <n v="20"/>
    <n v="1500"/>
    <n v="1575"/>
    <x v="41"/>
  </r>
  <r>
    <x v="131"/>
    <x v="350"/>
    <s v="A410392"/>
    <x v="11"/>
    <n v="5"/>
    <n v="350"/>
    <n v="367.5"/>
    <x v="3"/>
  </r>
  <r>
    <x v="131"/>
    <x v="331"/>
    <s v="A318055"/>
    <x v="1"/>
    <n v="20"/>
    <n v="1750"/>
    <n v="1837.5"/>
    <x v="1"/>
  </r>
  <r>
    <x v="131"/>
    <x v="331"/>
    <s v="A318055"/>
    <x v="2"/>
    <n v="15"/>
    <n v="1200"/>
    <n v="1260"/>
    <x v="1"/>
  </r>
  <r>
    <x v="131"/>
    <x v="331"/>
    <s v="A318055"/>
    <x v="11"/>
    <n v="20"/>
    <n v="1600"/>
    <n v="1680"/>
    <x v="1"/>
  </r>
  <r>
    <x v="131"/>
    <x v="331"/>
    <s v="A318055"/>
    <x v="0"/>
    <n v="10"/>
    <n v="800"/>
    <n v="840"/>
    <x v="1"/>
  </r>
  <r>
    <x v="131"/>
    <x v="558"/>
    <s v="A306327"/>
    <x v="1"/>
    <n v="5"/>
    <n v="375"/>
    <n v="393.75"/>
    <x v="3"/>
  </r>
  <r>
    <x v="131"/>
    <x v="558"/>
    <s v="A306327"/>
    <x v="2"/>
    <n v="20"/>
    <n v="1500"/>
    <n v="1575"/>
    <x v="3"/>
  </r>
  <r>
    <x v="131"/>
    <x v="3"/>
    <s v="A331329"/>
    <x v="11"/>
    <n v="1"/>
    <n v="65"/>
    <n v="68.25"/>
    <x v="3"/>
  </r>
  <r>
    <x v="131"/>
    <x v="141"/>
    <s v="A249778"/>
    <x v="1"/>
    <n v="10"/>
    <n v="1000"/>
    <n v="1050"/>
    <x v="3"/>
  </r>
  <r>
    <x v="131"/>
    <x v="141"/>
    <s v="A249778"/>
    <x v="2"/>
    <n v="11"/>
    <n v="1070"/>
    <n v="1123.5"/>
    <x v="3"/>
  </r>
  <r>
    <x v="131"/>
    <x v="343"/>
    <s v="A257810"/>
    <x v="2"/>
    <n v="1"/>
    <n v="70"/>
    <n v="73.5"/>
    <x v="3"/>
  </r>
  <r>
    <x v="131"/>
    <x v="583"/>
    <m/>
    <x v="11"/>
    <n v="10"/>
    <n v="650"/>
    <n v="682.5"/>
    <x v="42"/>
  </r>
  <r>
    <x v="131"/>
    <x v="583"/>
    <m/>
    <x v="0"/>
    <n v="10"/>
    <n v="650"/>
    <n v="682.5"/>
    <x v="42"/>
  </r>
  <r>
    <x v="131"/>
    <x v="53"/>
    <s v="A249179"/>
    <x v="2"/>
    <n v="10"/>
    <n v="850"/>
    <n v="892.5"/>
    <x v="3"/>
  </r>
  <r>
    <x v="131"/>
    <x v="584"/>
    <m/>
    <x v="0"/>
    <n v="50"/>
    <n v="5250"/>
    <n v="5512.5"/>
    <x v="2"/>
  </r>
  <r>
    <x v="131"/>
    <x v="94"/>
    <s v="A339929"/>
    <x v="2"/>
    <n v="1"/>
    <n v="65"/>
    <n v="68.25"/>
    <x v="3"/>
  </r>
  <r>
    <x v="131"/>
    <x v="94"/>
    <s v="A339929"/>
    <x v="11"/>
    <n v="5"/>
    <n v="325"/>
    <n v="341.25"/>
    <x v="3"/>
  </r>
  <r>
    <x v="131"/>
    <x v="303"/>
    <s v="A403149"/>
    <x v="0"/>
    <n v="5"/>
    <n v="700"/>
    <n v="735"/>
    <x v="5"/>
  </r>
  <r>
    <x v="131"/>
    <x v="292"/>
    <s v="A276839"/>
    <x v="1"/>
    <n v="20"/>
    <n v="1900"/>
    <n v="1995"/>
    <x v="3"/>
  </r>
  <r>
    <x v="131"/>
    <x v="292"/>
    <s v="A276839"/>
    <x v="2"/>
    <n v="20"/>
    <n v="1900"/>
    <n v="1995"/>
    <x v="3"/>
  </r>
  <r>
    <x v="131"/>
    <x v="30"/>
    <s v="A233444"/>
    <x v="11"/>
    <n v="20"/>
    <n v="1500"/>
    <n v="1575"/>
    <x v="3"/>
  </r>
  <r>
    <x v="131"/>
    <x v="213"/>
    <s v="A272357"/>
    <x v="1"/>
    <n v="5"/>
    <n v="500"/>
    <n v="525"/>
    <x v="3"/>
  </r>
  <r>
    <x v="131"/>
    <x v="213"/>
    <s v="A272357"/>
    <x v="2"/>
    <n v="5"/>
    <n v="500"/>
    <n v="525"/>
    <x v="3"/>
  </r>
  <r>
    <x v="131"/>
    <x v="213"/>
    <s v="A272357"/>
    <x v="11"/>
    <n v="5"/>
    <n v="500"/>
    <n v="525"/>
    <x v="3"/>
  </r>
  <r>
    <x v="131"/>
    <x v="497"/>
    <s v="A243394"/>
    <x v="2"/>
    <n v="5"/>
    <n v="600"/>
    <n v="630"/>
    <x v="11"/>
  </r>
  <r>
    <x v="131"/>
    <x v="497"/>
    <s v="A243394"/>
    <x v="0"/>
    <n v="20"/>
    <n v="1400"/>
    <n v="1470"/>
    <x v="11"/>
  </r>
  <r>
    <x v="131"/>
    <x v="333"/>
    <s v="A317824"/>
    <x v="1"/>
    <n v="5"/>
    <n v="400"/>
    <n v="420"/>
    <x v="3"/>
  </r>
  <r>
    <x v="131"/>
    <x v="333"/>
    <s v="A317824"/>
    <x v="2"/>
    <n v="10"/>
    <n v="800"/>
    <n v="840"/>
    <x v="3"/>
  </r>
  <r>
    <x v="131"/>
    <x v="333"/>
    <s v="A317824"/>
    <x v="11"/>
    <n v="10"/>
    <n v="800"/>
    <n v="840"/>
    <x v="3"/>
  </r>
  <r>
    <x v="131"/>
    <x v="263"/>
    <s v="A403817"/>
    <x v="2"/>
    <n v="5"/>
    <n v="425"/>
    <n v="446.25"/>
    <x v="3"/>
  </r>
  <r>
    <x v="131"/>
    <x v="13"/>
    <m/>
    <x v="0"/>
    <n v="1"/>
    <n v="85"/>
    <n v="89.25"/>
    <x v="2"/>
  </r>
  <r>
    <x v="131"/>
    <x v="177"/>
    <s v="A292781"/>
    <x v="2"/>
    <n v="35"/>
    <n v="1735"/>
    <n v="1821.75"/>
    <x v="3"/>
  </r>
  <r>
    <x v="131"/>
    <x v="247"/>
    <s v="A402013"/>
    <x v="1"/>
    <n v="10"/>
    <n v="700"/>
    <n v="735"/>
    <x v="1"/>
  </r>
  <r>
    <x v="131"/>
    <x v="247"/>
    <s v="A402013"/>
    <x v="2"/>
    <n v="25"/>
    <n v="1750"/>
    <n v="1837.5"/>
    <x v="1"/>
  </r>
  <r>
    <x v="131"/>
    <x v="247"/>
    <s v="A402013"/>
    <x v="0"/>
    <n v="5"/>
    <n v="350"/>
    <n v="367.5"/>
    <x v="1"/>
  </r>
  <r>
    <x v="131"/>
    <x v="383"/>
    <s v="A305994"/>
    <x v="1"/>
    <n v="20"/>
    <n v="1600"/>
    <n v="1680"/>
    <x v="1"/>
  </r>
  <r>
    <x v="131"/>
    <x v="383"/>
    <s v="A305994"/>
    <x v="2"/>
    <n v="105"/>
    <n v="8400"/>
    <n v="8820"/>
    <x v="1"/>
  </r>
  <r>
    <x v="131"/>
    <x v="383"/>
    <s v="A305994"/>
    <x v="0"/>
    <n v="10"/>
    <n v="800"/>
    <n v="840"/>
    <x v="1"/>
  </r>
  <r>
    <x v="131"/>
    <x v="585"/>
    <m/>
    <x v="2"/>
    <n v="2"/>
    <n v="170"/>
    <n v="178.5"/>
    <x v="3"/>
  </r>
  <r>
    <x v="131"/>
    <x v="585"/>
    <m/>
    <x v="11"/>
    <n v="2"/>
    <n v="170"/>
    <n v="178.5"/>
    <x v="3"/>
  </r>
  <r>
    <x v="131"/>
    <x v="336"/>
    <s v="A320337"/>
    <x v="1"/>
    <n v="25"/>
    <n v="2270"/>
    <n v="2383.5"/>
    <x v="1"/>
  </r>
  <r>
    <x v="131"/>
    <x v="336"/>
    <s v="A320337"/>
    <x v="2"/>
    <n v="50"/>
    <n v="4400"/>
    <n v="4620"/>
    <x v="1"/>
  </r>
  <r>
    <x v="131"/>
    <x v="336"/>
    <s v="A320337"/>
    <x v="11"/>
    <n v="20"/>
    <n v="1760"/>
    <n v="1848"/>
    <x v="1"/>
  </r>
  <r>
    <x v="131"/>
    <x v="336"/>
    <s v="A320337"/>
    <x v="0"/>
    <n v="5"/>
    <n v="400"/>
    <n v="420"/>
    <x v="1"/>
  </r>
  <r>
    <x v="131"/>
    <x v="14"/>
    <m/>
    <x v="1"/>
    <n v="2"/>
    <n v="180"/>
    <n v="189"/>
    <x v="2"/>
  </r>
  <r>
    <x v="131"/>
    <x v="14"/>
    <m/>
    <x v="2"/>
    <n v="2"/>
    <n v="180"/>
    <n v="189"/>
    <x v="2"/>
  </r>
  <r>
    <x v="131"/>
    <x v="14"/>
    <m/>
    <x v="0"/>
    <n v="1"/>
    <n v="85"/>
    <n v="89.25"/>
    <x v="2"/>
  </r>
  <r>
    <x v="131"/>
    <x v="253"/>
    <s v="A249315"/>
    <x v="1"/>
    <n v="5"/>
    <n v="475"/>
    <n v="498.75"/>
    <x v="3"/>
  </r>
  <r>
    <x v="131"/>
    <x v="103"/>
    <s v="A299996"/>
    <x v="9"/>
    <n v="25"/>
    <n v="2375"/>
    <m/>
    <x v="3"/>
  </r>
  <r>
    <x v="131"/>
    <x v="103"/>
    <s v="A299996"/>
    <x v="1"/>
    <n v="10"/>
    <n v="950"/>
    <n v="997.5"/>
    <x v="3"/>
  </r>
  <r>
    <x v="131"/>
    <x v="103"/>
    <s v="A299996"/>
    <x v="2"/>
    <n v="15"/>
    <n v="1425"/>
    <n v="1496.25"/>
    <x v="3"/>
  </r>
  <r>
    <x v="131"/>
    <x v="347"/>
    <s v="A417703"/>
    <x v="11"/>
    <n v="10"/>
    <n v="950"/>
    <n v="997.5"/>
    <x v="3"/>
  </r>
  <r>
    <x v="131"/>
    <x v="586"/>
    <s v="A269419"/>
    <x v="2"/>
    <n v="5"/>
    <n v="600"/>
    <n v="630"/>
    <x v="3"/>
  </r>
  <r>
    <x v="132"/>
    <x v="180"/>
    <s v="A250659"/>
    <x v="3"/>
    <n v="10"/>
    <n v="2300"/>
    <m/>
    <x v="3"/>
  </r>
  <r>
    <x v="132"/>
    <x v="587"/>
    <s v="A252885"/>
    <x v="3"/>
    <n v="25"/>
    <n v="7675"/>
    <m/>
    <x v="3"/>
  </r>
  <r>
    <x v="132"/>
    <x v="588"/>
    <s v="A256076"/>
    <x v="3"/>
    <n v="5"/>
    <n v="1104"/>
    <m/>
    <x v="3"/>
  </r>
  <r>
    <x v="132"/>
    <x v="588"/>
    <s v="A256076"/>
    <x v="4"/>
    <n v="10"/>
    <n v="2518"/>
    <m/>
    <x v="3"/>
  </r>
  <r>
    <x v="132"/>
    <x v="89"/>
    <s v="A259821"/>
    <x v="4"/>
    <n v="20"/>
    <n v="4404"/>
    <m/>
    <x v="3"/>
  </r>
  <r>
    <x v="132"/>
    <x v="111"/>
    <s v="A257635"/>
    <x v="4"/>
    <n v="20"/>
    <n v="4037"/>
    <m/>
    <x v="3"/>
  </r>
  <r>
    <x v="132"/>
    <x v="445"/>
    <s v="A243752"/>
    <x v="3"/>
    <n v="45"/>
    <n v="14319"/>
    <m/>
    <x v="3"/>
  </r>
  <r>
    <x v="132"/>
    <x v="445"/>
    <s v="A243752"/>
    <x v="4"/>
    <n v="45"/>
    <n v="14924"/>
    <m/>
    <x v="3"/>
  </r>
  <r>
    <x v="132"/>
    <x v="589"/>
    <s v="A259174"/>
    <x v="4"/>
    <n v="20"/>
    <n v="4822.3999999999996"/>
    <m/>
    <x v="3"/>
  </r>
  <r>
    <x v="132"/>
    <x v="46"/>
    <s v="A234876"/>
    <x v="7"/>
    <n v="30"/>
    <n v="4800"/>
    <m/>
    <x v="3"/>
  </r>
  <r>
    <x v="132"/>
    <x v="590"/>
    <s v="A256070"/>
    <x v="3"/>
    <n v="5"/>
    <n v="1380"/>
    <m/>
    <x v="3"/>
  </r>
  <r>
    <x v="132"/>
    <x v="590"/>
    <s v="A256070"/>
    <x v="4"/>
    <n v="10"/>
    <n v="2760"/>
    <m/>
    <x v="3"/>
  </r>
  <r>
    <x v="132"/>
    <x v="591"/>
    <s v="A245550"/>
    <x v="12"/>
    <n v="75"/>
    <n v="13125"/>
    <m/>
    <x v="3"/>
  </r>
  <r>
    <x v="132"/>
    <x v="591"/>
    <s v="A245550"/>
    <x v="3"/>
    <n v="20"/>
    <n v="3500"/>
    <m/>
    <x v="3"/>
  </r>
  <r>
    <x v="132"/>
    <x v="591"/>
    <s v="A245550"/>
    <x v="4"/>
    <n v="20"/>
    <n v="3500"/>
    <m/>
    <x v="3"/>
  </r>
  <r>
    <x v="132"/>
    <x v="591"/>
    <s v="A245550"/>
    <x v="5"/>
    <n v="20"/>
    <n v="3500"/>
    <m/>
    <x v="3"/>
  </r>
  <r>
    <x v="132"/>
    <x v="591"/>
    <s v="A245550"/>
    <x v="7"/>
    <n v="20"/>
    <n v="4400"/>
    <m/>
    <x v="3"/>
  </r>
  <r>
    <x v="132"/>
    <x v="156"/>
    <s v="A256081"/>
    <x v="3"/>
    <n v="5"/>
    <n v="1380"/>
    <m/>
    <x v="3"/>
  </r>
  <r>
    <x v="132"/>
    <x v="592"/>
    <s v="A303292"/>
    <x v="7"/>
    <n v="10"/>
    <n v="2400"/>
    <m/>
    <x v="3"/>
  </r>
  <r>
    <x v="132"/>
    <x v="592"/>
    <s v="A303292"/>
    <x v="9"/>
    <n v="25"/>
    <n v="6000"/>
    <m/>
    <x v="3"/>
  </r>
  <r>
    <x v="132"/>
    <x v="592"/>
    <s v="A303292"/>
    <x v="2"/>
    <n v="10"/>
    <n v="2400"/>
    <n v="2520"/>
    <x v="3"/>
  </r>
  <r>
    <x v="132"/>
    <x v="593"/>
    <s v="A303295"/>
    <x v="7"/>
    <n v="10"/>
    <n v="2300"/>
    <m/>
    <x v="3"/>
  </r>
  <r>
    <x v="132"/>
    <x v="593"/>
    <s v="A303295"/>
    <x v="8"/>
    <n v="10"/>
    <n v="2300"/>
    <m/>
    <x v="3"/>
  </r>
  <r>
    <x v="132"/>
    <x v="594"/>
    <s v="A256072"/>
    <x v="3"/>
    <n v="5"/>
    <n v="1012"/>
    <m/>
    <x v="3"/>
  </r>
  <r>
    <x v="132"/>
    <x v="594"/>
    <s v="A256072"/>
    <x v="4"/>
    <n v="10"/>
    <n v="2024"/>
    <m/>
    <x v="3"/>
  </r>
  <r>
    <x v="132"/>
    <x v="595"/>
    <s v="A256079"/>
    <x v="3"/>
    <n v="5"/>
    <n v="1472"/>
    <m/>
    <x v="3"/>
  </r>
  <r>
    <x v="133"/>
    <x v="330"/>
    <s v="A324052"/>
    <x v="2"/>
    <n v="5"/>
    <n v="450"/>
    <n v="472.5"/>
    <x v="3"/>
  </r>
  <r>
    <x v="133"/>
    <x v="250"/>
    <s v="A241557"/>
    <x v="2"/>
    <n v="5"/>
    <n v="575"/>
    <n v="603.75"/>
    <x v="3"/>
  </r>
  <r>
    <x v="133"/>
    <x v="242"/>
    <s v="A287749"/>
    <x v="11"/>
    <n v="10"/>
    <n v="950"/>
    <n v="997.5"/>
    <x v="3"/>
  </r>
  <r>
    <x v="133"/>
    <x v="244"/>
    <s v="A415792"/>
    <x v="11"/>
    <n v="5"/>
    <n v="45"/>
    <n v="47.25"/>
    <x v="3"/>
  </r>
  <r>
    <x v="133"/>
    <x v="596"/>
    <s v="A231707"/>
    <x v="2"/>
    <n v="5"/>
    <n v="450"/>
    <n v="472.5"/>
    <x v="3"/>
  </r>
  <r>
    <x v="134"/>
    <x v="141"/>
    <s v="A249778"/>
    <x v="1"/>
    <n v="20"/>
    <n v="1500"/>
    <n v="1575"/>
    <x v="3"/>
  </r>
  <r>
    <x v="134"/>
    <x v="16"/>
    <s v="A235942"/>
    <x v="4"/>
    <n v="25"/>
    <n v="1625"/>
    <m/>
    <x v="3"/>
  </r>
  <r>
    <x v="134"/>
    <x v="16"/>
    <s v="A241225"/>
    <x v="4"/>
    <n v="25"/>
    <n v="1500"/>
    <m/>
    <x v="3"/>
  </r>
  <r>
    <x v="135"/>
    <x v="15"/>
    <m/>
    <x v="2"/>
    <n v="1"/>
    <n v="300"/>
    <n v="315"/>
    <x v="3"/>
  </r>
  <r>
    <x v="135"/>
    <x v="15"/>
    <m/>
    <x v="11"/>
    <n v="15"/>
    <n v="3690"/>
    <n v="3874.5"/>
    <x v="3"/>
  </r>
  <r>
    <x v="136"/>
    <x v="412"/>
    <s v="A339521"/>
    <x v="11"/>
    <n v="10"/>
    <n v="1900"/>
    <n v="1995"/>
    <x v="3"/>
  </r>
  <r>
    <x v="136"/>
    <x v="78"/>
    <s v="A234651"/>
    <x v="11"/>
    <n v="8"/>
    <n v="1920"/>
    <n v="2016"/>
    <x v="3"/>
  </r>
  <r>
    <x v="137"/>
    <x v="298"/>
    <s v="A416950"/>
    <x v="11"/>
    <n v="25"/>
    <n v="4625"/>
    <n v="4856.25"/>
    <x v="3"/>
  </r>
  <r>
    <x v="137"/>
    <x v="337"/>
    <s v="A419371"/>
    <x v="0"/>
    <n v="25"/>
    <n v="1750"/>
    <n v="1837.5"/>
    <x v="1"/>
  </r>
  <r>
    <x v="137"/>
    <x v="125"/>
    <s v="A238189"/>
    <x v="11"/>
    <n v="15"/>
    <n v="3300"/>
    <n v="3465"/>
    <x v="3"/>
  </r>
  <r>
    <x v="137"/>
    <x v="126"/>
    <s v="A406595"/>
    <x v="0"/>
    <n v="10"/>
    <n v="2000"/>
    <n v="2100"/>
    <x v="1"/>
  </r>
  <r>
    <x v="137"/>
    <x v="597"/>
    <s v="A299986"/>
    <x v="8"/>
    <n v="25"/>
    <n v="1250"/>
    <m/>
    <x v="3"/>
  </r>
  <r>
    <x v="137"/>
    <x v="597"/>
    <s v="A299986"/>
    <x v="9"/>
    <n v="100"/>
    <n v="5000"/>
    <m/>
    <x v="3"/>
  </r>
  <r>
    <x v="137"/>
    <x v="221"/>
    <s v="A231076"/>
    <x v="7"/>
    <n v="25"/>
    <n v="1700"/>
    <m/>
    <x v="3"/>
  </r>
  <r>
    <x v="137"/>
    <x v="353"/>
    <s v="A241990"/>
    <x v="7"/>
    <n v="150"/>
    <n v="10500"/>
    <m/>
    <x v="3"/>
  </r>
  <r>
    <x v="137"/>
    <x v="353"/>
    <s v="A241990"/>
    <x v="11"/>
    <n v="25"/>
    <n v="1950"/>
    <n v="2047.5"/>
    <x v="3"/>
  </r>
  <r>
    <x v="137"/>
    <x v="6"/>
    <s v="A270578"/>
    <x v="5"/>
    <n v="150"/>
    <n v="7650"/>
    <m/>
    <x v="3"/>
  </r>
  <r>
    <x v="137"/>
    <x v="6"/>
    <s v="A270578"/>
    <x v="6"/>
    <n v="200"/>
    <n v="11000"/>
    <m/>
    <x v="3"/>
  </r>
  <r>
    <x v="137"/>
    <x v="6"/>
    <s v="A270578"/>
    <x v="7"/>
    <n v="775"/>
    <n v="45375"/>
    <m/>
    <x v="3"/>
  </r>
  <r>
    <x v="137"/>
    <x v="6"/>
    <s v="A270578"/>
    <x v="10"/>
    <n v="1350"/>
    <n v="67500"/>
    <m/>
    <x v="3"/>
  </r>
  <r>
    <x v="137"/>
    <x v="6"/>
    <s v="A270578"/>
    <x v="8"/>
    <n v="1400"/>
    <n v="70000"/>
    <m/>
    <x v="3"/>
  </r>
  <r>
    <x v="137"/>
    <x v="6"/>
    <s v="A270578"/>
    <x v="9"/>
    <n v="2100"/>
    <n v="105000"/>
    <m/>
    <x v="3"/>
  </r>
  <r>
    <x v="137"/>
    <x v="6"/>
    <s v="A270578"/>
    <x v="1"/>
    <n v="900"/>
    <n v="43000"/>
    <n v="45150"/>
    <x v="3"/>
  </r>
  <r>
    <x v="137"/>
    <x v="6"/>
    <s v="A270578"/>
    <x v="2"/>
    <n v="100"/>
    <n v="4000"/>
    <n v="4200"/>
    <x v="3"/>
  </r>
  <r>
    <x v="137"/>
    <x v="350"/>
    <s v="A401491"/>
    <x v="2"/>
    <n v="50"/>
    <n v="2900"/>
    <n v="3045"/>
    <x v="3"/>
  </r>
  <r>
    <x v="137"/>
    <x v="598"/>
    <s v="A413862"/>
    <x v="0"/>
    <n v="6"/>
    <n v="1200"/>
    <n v="1260"/>
    <x v="2"/>
  </r>
  <r>
    <x v="137"/>
    <x v="342"/>
    <s v="A402008"/>
    <x v="11"/>
    <n v="5"/>
    <n v="350"/>
    <n v="367.5"/>
    <x v="2"/>
  </r>
  <r>
    <x v="137"/>
    <x v="342"/>
    <s v="A402008"/>
    <x v="0"/>
    <n v="25"/>
    <n v="1750"/>
    <n v="1837.5"/>
    <x v="2"/>
  </r>
  <r>
    <x v="137"/>
    <x v="3"/>
    <s v="A337704"/>
    <x v="0"/>
    <n v="25"/>
    <n v="2000"/>
    <n v="2100"/>
    <x v="2"/>
  </r>
  <r>
    <x v="137"/>
    <x v="343"/>
    <s v="A257810"/>
    <x v="0"/>
    <n v="25"/>
    <n v="1375"/>
    <n v="1443.75"/>
    <x v="5"/>
  </r>
  <r>
    <x v="137"/>
    <x v="377"/>
    <s v="A248596"/>
    <x v="8"/>
    <n v="25"/>
    <n v="1250"/>
    <m/>
    <x v="3"/>
  </r>
  <r>
    <x v="137"/>
    <x v="434"/>
    <s v="A241908"/>
    <x v="0"/>
    <n v="25"/>
    <n v="2000"/>
    <n v="2100"/>
    <x v="1"/>
  </r>
  <r>
    <x v="137"/>
    <x v="95"/>
    <m/>
    <x v="0"/>
    <n v="10"/>
    <n v="2400"/>
    <n v="2520"/>
    <x v="6"/>
  </r>
  <r>
    <x v="137"/>
    <x v="344"/>
    <s v="A415791"/>
    <x v="0"/>
    <n v="25"/>
    <n v="1750"/>
    <n v="1837.5"/>
    <x v="2"/>
  </r>
  <r>
    <x v="137"/>
    <x v="137"/>
    <s v="P21021"/>
    <x v="0"/>
    <n v="1"/>
    <n v="130"/>
    <n v="136.5"/>
    <x v="43"/>
  </r>
  <r>
    <x v="137"/>
    <x v="32"/>
    <s v="A295590"/>
    <x v="11"/>
    <n v="10"/>
    <n v="1800"/>
    <n v="1890"/>
    <x v="3"/>
  </r>
  <r>
    <x v="137"/>
    <x v="10"/>
    <m/>
    <x v="1"/>
    <n v="60"/>
    <n v="4080"/>
    <n v="4284"/>
    <x v="2"/>
  </r>
  <r>
    <x v="137"/>
    <x v="10"/>
    <m/>
    <x v="0"/>
    <n v="20"/>
    <n v="1300"/>
    <n v="1365"/>
    <x v="2"/>
  </r>
  <r>
    <x v="137"/>
    <x v="19"/>
    <s v="A233442"/>
    <x v="6"/>
    <n v="5"/>
    <n v="400"/>
    <m/>
    <x v="3"/>
  </r>
  <r>
    <x v="137"/>
    <x v="19"/>
    <s v="A233442"/>
    <x v="7"/>
    <n v="200"/>
    <n v="13525"/>
    <m/>
    <x v="3"/>
  </r>
  <r>
    <x v="137"/>
    <x v="19"/>
    <s v="A233442"/>
    <x v="10"/>
    <n v="100"/>
    <n v="6650"/>
    <m/>
    <x v="3"/>
  </r>
  <r>
    <x v="137"/>
    <x v="19"/>
    <s v="A233442"/>
    <x v="8"/>
    <n v="100"/>
    <n v="6800"/>
    <m/>
    <x v="3"/>
  </r>
  <r>
    <x v="137"/>
    <x v="19"/>
    <s v="A233442"/>
    <x v="2"/>
    <n v="200"/>
    <n v="8000"/>
    <n v="8400"/>
    <x v="3"/>
  </r>
  <r>
    <x v="137"/>
    <x v="307"/>
    <s v="A245395"/>
    <x v="11"/>
    <n v="15"/>
    <n v="2700"/>
    <n v="2835"/>
    <x v="3"/>
  </r>
  <r>
    <x v="138"/>
    <x v="228"/>
    <s v="A306319"/>
    <x v="9"/>
    <n v="25"/>
    <n v="1375"/>
    <m/>
    <x v="3"/>
  </r>
  <r>
    <x v="139"/>
    <x v="599"/>
    <m/>
    <x v="6"/>
    <n v="45"/>
    <n v="14850"/>
    <m/>
    <x v="3"/>
  </r>
  <r>
    <x v="139"/>
    <x v="599"/>
    <m/>
    <x v="7"/>
    <n v="15"/>
    <n v="4950"/>
    <m/>
    <x v="3"/>
  </r>
  <r>
    <x v="139"/>
    <x v="600"/>
    <s v="A273911"/>
    <x v="6"/>
    <n v="1"/>
    <n v="90"/>
    <m/>
    <x v="3"/>
  </r>
  <r>
    <x v="139"/>
    <x v="600"/>
    <s v="A273911"/>
    <x v="7"/>
    <n v="25"/>
    <n v="2250"/>
    <m/>
    <x v="3"/>
  </r>
  <r>
    <x v="139"/>
    <x v="10"/>
    <m/>
    <x v="6"/>
    <n v="50"/>
    <n v="4500"/>
    <m/>
    <x v="3"/>
  </r>
  <r>
    <x v="139"/>
    <x v="10"/>
    <m/>
    <x v="7"/>
    <n v="20"/>
    <n v="1800"/>
    <m/>
    <x v="3"/>
  </r>
  <r>
    <x v="139"/>
    <x v="10"/>
    <m/>
    <x v="10"/>
    <n v="60"/>
    <n v="5400"/>
    <m/>
    <x v="3"/>
  </r>
  <r>
    <x v="140"/>
    <x v="229"/>
    <s v="A241469"/>
    <x v="2"/>
    <n v="5"/>
    <n v="575"/>
    <n v="603.75"/>
    <x v="3"/>
  </r>
  <r>
    <x v="141"/>
    <x v="341"/>
    <s v="A406737"/>
    <x v="11"/>
    <n v="75"/>
    <n v="4125"/>
    <n v="4331.25"/>
    <x v="3"/>
  </r>
  <r>
    <x v="141"/>
    <x v="27"/>
    <s v="A242640"/>
    <x v="11"/>
    <n v="100"/>
    <n v="5500"/>
    <n v="5775"/>
    <x v="3"/>
  </r>
  <r>
    <x v="141"/>
    <x v="247"/>
    <s v="A402013"/>
    <x v="11"/>
    <n v="25"/>
    <n v="1500"/>
    <n v="1575"/>
    <x v="3"/>
  </r>
  <r>
    <x v="142"/>
    <x v="601"/>
    <s v="A259815"/>
    <x v="4"/>
    <n v="5"/>
    <n v="800"/>
    <m/>
    <x v="3"/>
  </r>
  <r>
    <x v="142"/>
    <x v="602"/>
    <s v="A251671"/>
    <x v="3"/>
    <n v="5"/>
    <n v="700"/>
    <m/>
    <x v="3"/>
  </r>
  <r>
    <x v="142"/>
    <x v="603"/>
    <s v="A322909"/>
    <x v="2"/>
    <n v="5"/>
    <n v="650"/>
    <n v="682.5"/>
    <x v="3"/>
  </r>
  <r>
    <x v="142"/>
    <x v="180"/>
    <s v="A250695"/>
    <x v="4"/>
    <n v="5"/>
    <n v="800"/>
    <m/>
    <x v="3"/>
  </r>
  <r>
    <x v="142"/>
    <x v="604"/>
    <s v="A259365"/>
    <x v="3"/>
    <n v="20"/>
    <n v="2500"/>
    <m/>
    <x v="3"/>
  </r>
  <r>
    <x v="142"/>
    <x v="605"/>
    <s v="A263955"/>
    <x v="4"/>
    <n v="10"/>
    <n v="1500"/>
    <m/>
    <x v="3"/>
  </r>
  <r>
    <x v="142"/>
    <x v="606"/>
    <s v="A251909"/>
    <x v="4"/>
    <n v="10"/>
    <n v="1300"/>
    <m/>
    <x v="3"/>
  </r>
  <r>
    <x v="142"/>
    <x v="607"/>
    <s v="A261786"/>
    <x v="4"/>
    <n v="10"/>
    <n v="1500"/>
    <m/>
    <x v="3"/>
  </r>
  <r>
    <x v="142"/>
    <x v="38"/>
    <s v="A273820"/>
    <x v="7"/>
    <n v="5"/>
    <n v="825"/>
    <m/>
    <x v="3"/>
  </r>
  <r>
    <x v="142"/>
    <x v="608"/>
    <s v="A251675"/>
    <x v="4"/>
    <n v="10"/>
    <n v="4700"/>
    <m/>
    <x v="3"/>
  </r>
  <r>
    <x v="142"/>
    <x v="365"/>
    <s v="A249717"/>
    <x v="12"/>
    <n v="10"/>
    <n v="1500"/>
    <m/>
    <x v="3"/>
  </r>
  <r>
    <x v="142"/>
    <x v="365"/>
    <s v="A249717"/>
    <x v="3"/>
    <n v="10"/>
    <n v="1500"/>
    <m/>
    <x v="3"/>
  </r>
  <r>
    <x v="142"/>
    <x v="609"/>
    <m/>
    <x v="3"/>
    <n v="5"/>
    <n v="650"/>
    <m/>
    <x v="3"/>
  </r>
  <r>
    <x v="142"/>
    <x v="610"/>
    <s v="P08978"/>
    <x v="2"/>
    <n v="11"/>
    <n v="2200"/>
    <n v="2310"/>
    <x v="3"/>
  </r>
  <r>
    <x v="142"/>
    <x v="611"/>
    <s v="A250448"/>
    <x v="3"/>
    <n v="5"/>
    <n v="600"/>
    <m/>
    <x v="3"/>
  </r>
  <r>
    <x v="142"/>
    <x v="612"/>
    <s v="A257931"/>
    <x v="3"/>
    <n v="5"/>
    <n v="800"/>
    <m/>
    <x v="3"/>
  </r>
  <r>
    <x v="142"/>
    <x v="149"/>
    <s v="A286582"/>
    <x v="7"/>
    <n v="5"/>
    <n v="850"/>
    <m/>
    <x v="3"/>
  </r>
  <r>
    <x v="142"/>
    <x v="613"/>
    <s v="A245820"/>
    <x v="12"/>
    <n v="5"/>
    <n v="490"/>
    <m/>
    <x v="3"/>
  </r>
  <r>
    <x v="142"/>
    <x v="613"/>
    <s v="A245820"/>
    <x v="3"/>
    <n v="5"/>
    <n v="490"/>
    <m/>
    <x v="3"/>
  </r>
  <r>
    <x v="142"/>
    <x v="150"/>
    <s v="A261819"/>
    <x v="4"/>
    <n v="10"/>
    <n v="1600"/>
    <m/>
    <x v="3"/>
  </r>
  <r>
    <x v="142"/>
    <x v="188"/>
    <s v="A252816"/>
    <x v="3"/>
    <n v="5"/>
    <n v="625"/>
    <m/>
    <x v="3"/>
  </r>
  <r>
    <x v="142"/>
    <x v="614"/>
    <s v="A249749"/>
    <x v="12"/>
    <n v="10"/>
    <n v="1000"/>
    <m/>
    <x v="3"/>
  </r>
  <r>
    <x v="142"/>
    <x v="615"/>
    <m/>
    <x v="12"/>
    <n v="25"/>
    <n v="2125"/>
    <m/>
    <x v="3"/>
  </r>
  <r>
    <x v="142"/>
    <x v="616"/>
    <s v="A241362"/>
    <x v="3"/>
    <n v="10"/>
    <n v="1200"/>
    <m/>
    <x v="3"/>
  </r>
  <r>
    <x v="142"/>
    <x v="616"/>
    <s v="A241362"/>
    <x v="4"/>
    <n v="10"/>
    <n v="1250"/>
    <m/>
    <x v="3"/>
  </r>
  <r>
    <x v="142"/>
    <x v="617"/>
    <s v="A244282"/>
    <x v="3"/>
    <n v="5"/>
    <n v="600"/>
    <m/>
    <x v="3"/>
  </r>
  <r>
    <x v="142"/>
    <x v="618"/>
    <s v="A249718"/>
    <x v="3"/>
    <n v="5"/>
    <n v="625"/>
    <m/>
    <x v="3"/>
  </r>
  <r>
    <x v="142"/>
    <x v="619"/>
    <s v="A241367"/>
    <x v="4"/>
    <n v="25"/>
    <n v="2750"/>
    <m/>
    <x v="3"/>
  </r>
  <r>
    <x v="142"/>
    <x v="406"/>
    <m/>
    <x v="12"/>
    <n v="5"/>
    <n v="425"/>
    <m/>
    <x v="3"/>
  </r>
  <r>
    <x v="142"/>
    <x v="620"/>
    <s v="A259209"/>
    <x v="4"/>
    <n v="10"/>
    <n v="1600"/>
    <m/>
    <x v="3"/>
  </r>
  <r>
    <x v="142"/>
    <x v="114"/>
    <s v="A245818"/>
    <x v="12"/>
    <n v="5"/>
    <n v="490"/>
    <m/>
    <x v="3"/>
  </r>
  <r>
    <x v="142"/>
    <x v="114"/>
    <s v="A245818"/>
    <x v="3"/>
    <n v="15"/>
    <n v="1470"/>
    <m/>
    <x v="3"/>
  </r>
  <r>
    <x v="142"/>
    <x v="92"/>
    <s v="A241586"/>
    <x v="3"/>
    <n v="50"/>
    <n v="6000"/>
    <m/>
    <x v="3"/>
  </r>
  <r>
    <x v="142"/>
    <x v="184"/>
    <s v="A299984"/>
    <x v="2"/>
    <n v="5"/>
    <n v="575"/>
    <n v="603.75"/>
    <x v="3"/>
  </r>
  <r>
    <x v="142"/>
    <x v="621"/>
    <s v="A239044"/>
    <x v="4"/>
    <n v="10"/>
    <n v="1400"/>
    <m/>
    <x v="3"/>
  </r>
  <r>
    <x v="142"/>
    <x v="46"/>
    <s v="A234876"/>
    <x v="4"/>
    <n v="10"/>
    <n v="1600"/>
    <m/>
    <x v="3"/>
  </r>
  <r>
    <x v="142"/>
    <x v="193"/>
    <s v="A241368"/>
    <x v="3"/>
    <n v="15"/>
    <n v="1800"/>
    <m/>
    <x v="3"/>
  </r>
  <r>
    <x v="142"/>
    <x v="622"/>
    <s v="A254433"/>
    <x v="3"/>
    <n v="5"/>
    <n v="675"/>
    <m/>
    <x v="3"/>
  </r>
  <r>
    <x v="142"/>
    <x v="623"/>
    <s v="A242451"/>
    <x v="3"/>
    <n v="10"/>
    <n v="1200"/>
    <m/>
    <x v="3"/>
  </r>
  <r>
    <x v="142"/>
    <x v="624"/>
    <s v="A241363"/>
    <x v="12"/>
    <n v="5"/>
    <n v="425"/>
    <m/>
    <x v="3"/>
  </r>
  <r>
    <x v="142"/>
    <x v="624"/>
    <s v="A241363"/>
    <x v="3"/>
    <n v="5"/>
    <n v="600"/>
    <m/>
    <x v="3"/>
  </r>
  <r>
    <x v="142"/>
    <x v="133"/>
    <s v="A281055"/>
    <x v="0"/>
    <n v="5"/>
    <n v="900"/>
    <n v="945"/>
    <x v="2"/>
  </r>
  <r>
    <x v="142"/>
    <x v="426"/>
    <s v="A263719"/>
    <x v="4"/>
    <n v="10"/>
    <n v="1300"/>
    <m/>
    <x v="3"/>
  </r>
  <r>
    <x v="142"/>
    <x v="625"/>
    <s v="A265173"/>
    <x v="4"/>
    <n v="10"/>
    <n v="1900"/>
    <m/>
    <x v="3"/>
  </r>
  <r>
    <x v="142"/>
    <x v="626"/>
    <s v="A245190"/>
    <x v="12"/>
    <n v="5"/>
    <n v="425"/>
    <m/>
    <x v="3"/>
  </r>
  <r>
    <x v="142"/>
    <x v="626"/>
    <s v="A245190"/>
    <x v="3"/>
    <n v="5"/>
    <n v="600"/>
    <m/>
    <x v="3"/>
  </r>
  <r>
    <x v="142"/>
    <x v="156"/>
    <s v="A242059"/>
    <x v="12"/>
    <n v="10"/>
    <n v="900"/>
    <m/>
    <x v="3"/>
  </r>
  <r>
    <x v="142"/>
    <x v="156"/>
    <s v="A242059"/>
    <x v="3"/>
    <n v="10"/>
    <n v="900"/>
    <m/>
    <x v="3"/>
  </r>
  <r>
    <x v="142"/>
    <x v="156"/>
    <s v="A242059"/>
    <x v="4"/>
    <n v="10"/>
    <n v="1100"/>
    <m/>
    <x v="3"/>
  </r>
  <r>
    <x v="142"/>
    <x v="627"/>
    <s v="A235769"/>
    <x v="4"/>
    <n v="10"/>
    <n v="1400"/>
    <m/>
    <x v="3"/>
  </r>
  <r>
    <x v="142"/>
    <x v="3"/>
    <s v="A232126"/>
    <x v="2"/>
    <n v="30"/>
    <n v="3420"/>
    <n v="3591"/>
    <x v="2"/>
  </r>
  <r>
    <x v="142"/>
    <x v="3"/>
    <s v="A232126"/>
    <x v="11"/>
    <n v="15"/>
    <n v="1710"/>
    <n v="1795.5"/>
    <x v="2"/>
  </r>
  <r>
    <x v="142"/>
    <x v="3"/>
    <s v="A232126"/>
    <x v="0"/>
    <n v="10"/>
    <n v="1140"/>
    <n v="1197"/>
    <x v="2"/>
  </r>
  <r>
    <x v="142"/>
    <x v="628"/>
    <s v="A259807"/>
    <x v="4"/>
    <n v="10"/>
    <n v="1350"/>
    <m/>
    <x v="3"/>
  </r>
  <r>
    <x v="142"/>
    <x v="480"/>
    <s v="A246898"/>
    <x v="3"/>
    <n v="5"/>
    <n v="700"/>
    <m/>
    <x v="3"/>
  </r>
  <r>
    <x v="142"/>
    <x v="420"/>
    <s v="A2333185"/>
    <x v="0"/>
    <n v="10"/>
    <n v="1200"/>
    <n v="1260"/>
    <x v="44"/>
  </r>
  <r>
    <x v="142"/>
    <x v="629"/>
    <m/>
    <x v="4"/>
    <n v="10"/>
    <n v="1300"/>
    <m/>
    <x v="3"/>
  </r>
  <r>
    <x v="142"/>
    <x v="630"/>
    <s v="A261642"/>
    <x v="4"/>
    <n v="10"/>
    <n v="1500"/>
    <m/>
    <x v="3"/>
  </r>
  <r>
    <x v="142"/>
    <x v="631"/>
    <s v="A243963"/>
    <x v="4"/>
    <n v="10"/>
    <n v="1250"/>
    <m/>
    <x v="3"/>
  </r>
  <r>
    <x v="142"/>
    <x v="632"/>
    <s v="A236388"/>
    <x v="4"/>
    <n v="10"/>
    <n v="1400"/>
    <m/>
    <x v="3"/>
  </r>
  <r>
    <x v="142"/>
    <x v="633"/>
    <s v="A259807"/>
    <x v="3"/>
    <n v="5"/>
    <n v="600"/>
    <m/>
    <x v="3"/>
  </r>
  <r>
    <x v="142"/>
    <x v="634"/>
    <s v="A253629"/>
    <x v="4"/>
    <n v="10"/>
    <n v="1500"/>
    <m/>
    <x v="3"/>
  </r>
  <r>
    <x v="142"/>
    <x v="635"/>
    <s v="A261821"/>
    <x v="4"/>
    <n v="10"/>
    <n v="1450"/>
    <m/>
    <x v="3"/>
  </r>
  <r>
    <x v="142"/>
    <x v="636"/>
    <s v="A261820"/>
    <x v="4"/>
    <n v="10"/>
    <n v="1500"/>
    <m/>
    <x v="3"/>
  </r>
  <r>
    <x v="142"/>
    <x v="68"/>
    <s v="A244283"/>
    <x v="3"/>
    <n v="15"/>
    <n v="1800"/>
    <m/>
    <x v="3"/>
  </r>
  <r>
    <x v="142"/>
    <x v="637"/>
    <s v="A240243"/>
    <x v="4"/>
    <n v="10"/>
    <n v="2400"/>
    <m/>
    <x v="3"/>
  </r>
  <r>
    <x v="142"/>
    <x v="95"/>
    <m/>
    <x v="0"/>
    <n v="5"/>
    <n v="2500"/>
    <n v="2625"/>
    <x v="1"/>
  </r>
  <r>
    <x v="142"/>
    <x v="560"/>
    <s v="A235676"/>
    <x v="12"/>
    <n v="5"/>
    <n v="750"/>
    <m/>
    <x v="3"/>
  </r>
  <r>
    <x v="142"/>
    <x v="69"/>
    <s v="A243394"/>
    <x v="3"/>
    <n v="5"/>
    <n v="625"/>
    <m/>
    <x v="3"/>
  </r>
  <r>
    <x v="142"/>
    <x v="638"/>
    <s v="A237939"/>
    <x v="3"/>
    <n v="25"/>
    <n v="3000"/>
    <m/>
    <x v="3"/>
  </r>
  <r>
    <x v="142"/>
    <x v="293"/>
    <s v="A248825"/>
    <x v="0"/>
    <n v="95"/>
    <n v="10260"/>
    <n v="10773"/>
    <x v="3"/>
  </r>
  <r>
    <x v="142"/>
    <x v="639"/>
    <s v="A241371"/>
    <x v="12"/>
    <n v="10"/>
    <n v="890"/>
    <m/>
    <x v="3"/>
  </r>
  <r>
    <x v="142"/>
    <x v="639"/>
    <s v="A241371"/>
    <x v="3"/>
    <n v="5"/>
    <n v="490"/>
    <m/>
    <x v="3"/>
  </r>
  <r>
    <x v="142"/>
    <x v="640"/>
    <s v="A249811"/>
    <x v="3"/>
    <n v="5"/>
    <n v="850"/>
    <m/>
    <x v="3"/>
  </r>
  <r>
    <x v="142"/>
    <x v="536"/>
    <s v="A250489"/>
    <x v="4"/>
    <n v="10"/>
    <n v="1600"/>
    <m/>
    <x v="3"/>
  </r>
  <r>
    <x v="142"/>
    <x v="74"/>
    <m/>
    <x v="0"/>
    <n v="5"/>
    <n v="1500"/>
    <n v="1575"/>
    <x v="45"/>
  </r>
  <r>
    <x v="142"/>
    <x v="641"/>
    <s v="A239042"/>
    <x v="4"/>
    <n v="10"/>
    <n v="1400"/>
    <m/>
    <x v="3"/>
  </r>
  <r>
    <x v="142"/>
    <x v="166"/>
    <s v="A249715"/>
    <x v="3"/>
    <n v="5"/>
    <n v="675"/>
    <m/>
    <x v="3"/>
  </r>
  <r>
    <x v="142"/>
    <x v="201"/>
    <s v="A253600"/>
    <x v="3"/>
    <n v="5"/>
    <n v="1125"/>
    <m/>
    <x v="3"/>
  </r>
  <r>
    <x v="142"/>
    <x v="642"/>
    <s v="A256429"/>
    <x v="3"/>
    <n v="5"/>
    <n v="675"/>
    <m/>
    <x v="3"/>
  </r>
  <r>
    <x v="142"/>
    <x v="168"/>
    <s v="A295590"/>
    <x v="7"/>
    <n v="5"/>
    <n v="825"/>
    <m/>
    <x v="3"/>
  </r>
  <r>
    <x v="142"/>
    <x v="100"/>
    <s v="A239043"/>
    <x v="4"/>
    <n v="10"/>
    <n v="1600"/>
    <m/>
    <x v="3"/>
  </r>
  <r>
    <x v="142"/>
    <x v="76"/>
    <s v="A297626"/>
    <x v="7"/>
    <n v="5"/>
    <n v="850"/>
    <m/>
    <x v="3"/>
  </r>
  <r>
    <x v="142"/>
    <x v="643"/>
    <s v="A237621"/>
    <x v="3"/>
    <n v="10"/>
    <n v="2250"/>
    <m/>
    <x v="3"/>
  </r>
  <r>
    <x v="142"/>
    <x v="644"/>
    <s v="A252503"/>
    <x v="4"/>
    <n v="10"/>
    <n v="2000"/>
    <m/>
    <x v="3"/>
  </r>
  <r>
    <x v="142"/>
    <x v="645"/>
    <s v="A246686"/>
    <x v="12"/>
    <n v="5"/>
    <n v="825"/>
    <m/>
    <x v="3"/>
  </r>
  <r>
    <x v="142"/>
    <x v="645"/>
    <s v="A246686"/>
    <x v="3"/>
    <n v="15"/>
    <n v="2475"/>
    <m/>
    <x v="3"/>
  </r>
  <r>
    <x v="142"/>
    <x v="645"/>
    <s v="A246686"/>
    <x v="4"/>
    <n v="15"/>
    <n v="2475"/>
    <m/>
    <x v="3"/>
  </r>
  <r>
    <x v="142"/>
    <x v="646"/>
    <s v="A239207"/>
    <x v="4"/>
    <n v="10"/>
    <n v="1600"/>
    <m/>
    <x v="3"/>
  </r>
  <r>
    <x v="142"/>
    <x v="647"/>
    <s v="A240831"/>
    <x v="3"/>
    <n v="5"/>
    <n v="625"/>
    <m/>
    <x v="3"/>
  </r>
  <r>
    <x v="142"/>
    <x v="648"/>
    <s v="A241217"/>
    <x v="3"/>
    <n v="5"/>
    <n v="625"/>
    <m/>
    <x v="3"/>
  </r>
  <r>
    <x v="142"/>
    <x v="172"/>
    <s v="A253320"/>
    <x v="3"/>
    <n v="10"/>
    <n v="1650"/>
    <m/>
    <x v="3"/>
  </r>
  <r>
    <x v="143"/>
    <x v="38"/>
    <s v="A273820"/>
    <x v="2"/>
    <n v="1"/>
    <n v="200"/>
    <n v="210"/>
    <x v="3"/>
  </r>
  <r>
    <x v="143"/>
    <x v="38"/>
    <s v="A273820"/>
    <x v="11"/>
    <n v="1"/>
    <n v="200"/>
    <n v="210"/>
    <x v="3"/>
  </r>
  <r>
    <x v="143"/>
    <x v="365"/>
    <s v="A285878"/>
    <x v="2"/>
    <n v="1"/>
    <n v="200"/>
    <n v="210"/>
    <x v="3"/>
  </r>
  <r>
    <x v="143"/>
    <x v="39"/>
    <s v="A322649"/>
    <x v="2"/>
    <n v="1"/>
    <n v="240"/>
    <n v="252"/>
    <x v="3"/>
  </r>
  <r>
    <x v="143"/>
    <x v="649"/>
    <s v="A294408"/>
    <x v="2"/>
    <n v="2"/>
    <n v="390"/>
    <n v="409.5"/>
    <x v="3"/>
  </r>
  <r>
    <x v="143"/>
    <x v="3"/>
    <s v="A232126"/>
    <x v="2"/>
    <n v="3"/>
    <n v="440"/>
    <n v="462"/>
    <x v="3"/>
  </r>
  <r>
    <x v="143"/>
    <x v="499"/>
    <s v="A282344"/>
    <x v="2"/>
    <n v="5"/>
    <n v="1000"/>
    <n v="1050"/>
    <x v="3"/>
  </r>
  <r>
    <x v="143"/>
    <x v="202"/>
    <s v="A418088"/>
    <x v="11"/>
    <n v="2"/>
    <n v="400"/>
    <n v="420"/>
    <x v="3"/>
  </r>
  <r>
    <x v="143"/>
    <x v="32"/>
    <s v="A295590"/>
    <x v="11"/>
    <n v="1"/>
    <n v="180"/>
    <n v="189"/>
    <x v="3"/>
  </r>
  <r>
    <x v="143"/>
    <x v="169"/>
    <s v="A286825"/>
    <x v="2"/>
    <n v="1"/>
    <n v="240"/>
    <n v="252"/>
    <x v="3"/>
  </r>
  <r>
    <x v="143"/>
    <x v="422"/>
    <s v="A294408"/>
    <x v="11"/>
    <n v="1"/>
    <n v="190"/>
    <n v="199.5"/>
    <x v="3"/>
  </r>
  <r>
    <x v="144"/>
    <x v="205"/>
    <s v="A265082"/>
    <x v="1"/>
    <n v="1"/>
    <n v="140"/>
    <n v="147"/>
    <x v="3"/>
  </r>
  <r>
    <x v="144"/>
    <x v="281"/>
    <s v="A281164"/>
    <x v="1"/>
    <n v="1"/>
    <n v="140"/>
    <n v="147"/>
    <x v="3"/>
  </r>
  <r>
    <x v="144"/>
    <x v="285"/>
    <s v="A278773"/>
    <x v="1"/>
    <n v="1"/>
    <n v="140"/>
    <n v="147"/>
    <x v="3"/>
  </r>
  <r>
    <x v="144"/>
    <x v="104"/>
    <s v="A235765"/>
    <x v="1"/>
    <n v="1"/>
    <n v="140"/>
    <n v="147"/>
    <x v="3"/>
  </r>
  <r>
    <x v="144"/>
    <x v="650"/>
    <s v="A235748"/>
    <x v="1"/>
    <n v="4"/>
    <n v="640"/>
    <n v="672"/>
    <x v="3"/>
  </r>
  <r>
    <x v="144"/>
    <x v="208"/>
    <s v="A277868"/>
    <x v="1"/>
    <n v="1"/>
    <n v="140"/>
    <n v="147"/>
    <x v="3"/>
  </r>
  <r>
    <x v="144"/>
    <x v="311"/>
    <s v="A246793"/>
    <x v="1"/>
    <n v="1"/>
    <n v="110"/>
    <n v="115.5"/>
    <x v="3"/>
  </r>
  <r>
    <x v="144"/>
    <x v="44"/>
    <s v="A238385"/>
    <x v="1"/>
    <n v="2.5"/>
    <n v="400"/>
    <n v="420"/>
    <x v="3"/>
  </r>
  <r>
    <x v="144"/>
    <x v="651"/>
    <s v="A265082"/>
    <x v="1"/>
    <n v="1"/>
    <n v="160"/>
    <n v="168"/>
    <x v="3"/>
  </r>
  <r>
    <x v="144"/>
    <x v="26"/>
    <s v="A281055"/>
    <x v="1"/>
    <n v="1"/>
    <n v="160"/>
    <n v="168"/>
    <x v="3"/>
  </r>
  <r>
    <x v="144"/>
    <x v="355"/>
    <s v="A401230"/>
    <x v="2"/>
    <n v="10"/>
    <n v="700"/>
    <n v="735"/>
    <x v="3"/>
  </r>
  <r>
    <x v="144"/>
    <x v="465"/>
    <s v="A260960"/>
    <x v="1"/>
    <n v="1"/>
    <n v="140"/>
    <n v="147"/>
    <x v="3"/>
  </r>
  <r>
    <x v="144"/>
    <x v="315"/>
    <s v="A258760"/>
    <x v="1"/>
    <n v="1"/>
    <n v="140"/>
    <n v="147"/>
    <x v="3"/>
  </r>
  <r>
    <x v="144"/>
    <x v="652"/>
    <s v="P08499"/>
    <x v="1"/>
    <n v="5"/>
    <n v="800"/>
    <n v="840"/>
    <x v="3"/>
  </r>
  <r>
    <x v="144"/>
    <x v="652"/>
    <s v="P08499"/>
    <x v="2"/>
    <n v="1"/>
    <n v="160"/>
    <n v="168"/>
    <x v="3"/>
  </r>
  <r>
    <x v="145"/>
    <x v="231"/>
    <s v="A410391"/>
    <x v="11"/>
    <n v="25"/>
    <n v="1750"/>
    <n v="1837.5"/>
    <x v="46"/>
  </r>
  <r>
    <x v="145"/>
    <x v="231"/>
    <s v="A410391"/>
    <x v="0"/>
    <n v="25"/>
    <n v="1750"/>
    <n v="1837.5"/>
    <x v="46"/>
  </r>
  <r>
    <x v="145"/>
    <x v="355"/>
    <s v="A401230"/>
    <x v="2"/>
    <n v="35"/>
    <n v="2450"/>
    <n v="2572.5"/>
    <x v="3"/>
  </r>
  <r>
    <x v="145"/>
    <x v="355"/>
    <s v="A401230"/>
    <x v="11"/>
    <n v="10"/>
    <n v="700"/>
    <m/>
    <x v="3"/>
  </r>
  <r>
    <x v="145"/>
    <x v="228"/>
    <s v="A306319"/>
    <x v="8"/>
    <n v="25"/>
    <n v="2125"/>
    <m/>
    <x v="3"/>
  </r>
  <r>
    <x v="146"/>
    <x v="14"/>
    <m/>
    <x v="0"/>
    <n v="10"/>
    <n v="950"/>
    <n v="997.5"/>
    <x v="2"/>
  </r>
  <r>
    <x v="147"/>
    <x v="57"/>
    <s v="A292908"/>
    <x v="8"/>
    <n v="1"/>
    <n v="200"/>
    <m/>
    <x v="3"/>
  </r>
  <r>
    <x v="147"/>
    <x v="203"/>
    <s v="A240154"/>
    <x v="8"/>
    <n v="1"/>
    <n v="240"/>
    <m/>
    <x v="3"/>
  </r>
  <r>
    <x v="148"/>
    <x v="269"/>
    <s v="A415790"/>
    <x v="11"/>
    <n v="30"/>
    <n v="1950"/>
    <n v="2047.5"/>
    <x v="3"/>
  </r>
  <r>
    <x v="148"/>
    <x v="299"/>
    <s v="A404821"/>
    <x v="11"/>
    <n v="5"/>
    <n v="375"/>
    <n v="393.75"/>
    <x v="3"/>
  </r>
  <r>
    <x v="148"/>
    <x v="653"/>
    <s v="P108621"/>
    <x v="11"/>
    <n v="5"/>
    <n v="350"/>
    <n v="367.5"/>
    <x v="3"/>
  </r>
  <r>
    <x v="148"/>
    <x v="654"/>
    <s v="A238523"/>
    <x v="11"/>
    <n v="5"/>
    <n v="325"/>
    <n v="341.25"/>
    <x v="3"/>
  </r>
  <r>
    <x v="148"/>
    <x v="350"/>
    <s v="A410392"/>
    <x v="0"/>
    <n v="25"/>
    <n v="1250"/>
    <n v="1312.5"/>
    <x v="47"/>
  </r>
  <r>
    <x v="148"/>
    <x v="559"/>
    <s v="A416951"/>
    <x v="0"/>
    <n v="25"/>
    <n v="1625"/>
    <n v="1706.25"/>
    <x v="1"/>
  </r>
  <r>
    <x v="148"/>
    <x v="342"/>
    <s v="A402008"/>
    <x v="0"/>
    <n v="25"/>
    <n v="1450"/>
    <n v="1522.5"/>
    <x v="1"/>
  </r>
  <r>
    <x v="148"/>
    <x v="3"/>
    <s v="A232126"/>
    <x v="11"/>
    <n v="5"/>
    <n v="525"/>
    <n v="551.25"/>
    <x v="3"/>
  </r>
  <r>
    <x v="148"/>
    <x v="343"/>
    <s v="A257810"/>
    <x v="11"/>
    <n v="30"/>
    <n v="1400"/>
    <n v="1470"/>
    <x v="5"/>
  </r>
  <r>
    <x v="148"/>
    <x v="343"/>
    <s v="A257810"/>
    <x v="0"/>
    <n v="125"/>
    <n v="6200"/>
    <n v="6510"/>
    <x v="5"/>
  </r>
  <r>
    <x v="148"/>
    <x v="30"/>
    <s v="A233444"/>
    <x v="11"/>
    <n v="30"/>
    <n v="1950"/>
    <n v="2047.5"/>
    <x v="3"/>
  </r>
  <r>
    <x v="148"/>
    <x v="434"/>
    <s v="A241908"/>
    <x v="11"/>
    <n v="5"/>
    <n v="425"/>
    <n v="446.25"/>
    <x v="2"/>
  </r>
  <r>
    <x v="148"/>
    <x v="434"/>
    <s v="A241908"/>
    <x v="0"/>
    <n v="25"/>
    <n v="2125"/>
    <n v="2231.25"/>
    <x v="2"/>
  </r>
  <r>
    <x v="148"/>
    <x v="655"/>
    <s v="P782007"/>
    <x v="11"/>
    <n v="5"/>
    <n v="400"/>
    <n v="420"/>
    <x v="3"/>
  </r>
  <r>
    <x v="148"/>
    <x v="228"/>
    <s v="A306319"/>
    <x v="11"/>
    <n v="25"/>
    <n v="1625"/>
    <n v="1706.25"/>
    <x v="3"/>
  </r>
  <r>
    <x v="148"/>
    <x v="244"/>
    <s v="A415792"/>
    <x v="0"/>
    <n v="25"/>
    <n v="1450"/>
    <n v="1522.5"/>
    <x v="1"/>
  </r>
  <r>
    <x v="148"/>
    <x v="656"/>
    <s v="A237612"/>
    <x v="11"/>
    <n v="30"/>
    <n v="3451"/>
    <n v="3623.55"/>
    <x v="3"/>
  </r>
  <r>
    <x v="148"/>
    <x v="335"/>
    <s v="A349425"/>
    <x v="11"/>
    <n v="5"/>
    <n v="550"/>
    <n v="577.5"/>
    <x v="3"/>
  </r>
  <r>
    <x v="148"/>
    <x v="248"/>
    <s v="A264618"/>
    <x v="11"/>
    <n v="45"/>
    <n v="2925"/>
    <n v="3071.25"/>
    <x v="2"/>
  </r>
  <r>
    <x v="148"/>
    <x v="248"/>
    <s v="A264618"/>
    <x v="0"/>
    <n v="85"/>
    <n v="5975"/>
    <n v="6273.75"/>
    <x v="2"/>
  </r>
  <r>
    <x v="148"/>
    <x v="1"/>
    <s v="A231710"/>
    <x v="0"/>
    <n v="25"/>
    <n v="1750"/>
    <n v="1837.5"/>
    <x v="1"/>
  </r>
  <r>
    <x v="149"/>
    <x v="277"/>
    <m/>
    <x v="11"/>
    <n v="55"/>
    <n v="4900"/>
    <n v="5145"/>
    <x v="3"/>
  </r>
  <r>
    <x v="149"/>
    <x v="156"/>
    <s v="A231705"/>
    <x v="11"/>
    <n v="5"/>
    <n v="375"/>
    <n v="393.75"/>
    <x v="2"/>
  </r>
  <r>
    <x v="149"/>
    <x v="156"/>
    <s v="A231705"/>
    <x v="0"/>
    <n v="5"/>
    <n v="375"/>
    <n v="393.75"/>
    <x v="2"/>
  </r>
  <r>
    <x v="149"/>
    <x v="342"/>
    <s v="A402008"/>
    <x v="11"/>
    <n v="5"/>
    <n v="375"/>
    <n v="393.75"/>
    <x v="3"/>
  </r>
  <r>
    <x v="149"/>
    <x v="268"/>
    <s v="A245994"/>
    <x v="11"/>
    <n v="5"/>
    <n v="375"/>
    <n v="393.75"/>
    <x v="1"/>
  </r>
  <r>
    <x v="149"/>
    <x v="268"/>
    <s v="A245994"/>
    <x v="0"/>
    <n v="20"/>
    <n v="1500"/>
    <n v="1575"/>
    <x v="1"/>
  </r>
  <r>
    <x v="149"/>
    <x v="1"/>
    <s v="A231710"/>
    <x v="11"/>
    <n v="11"/>
    <n v="825"/>
    <n v="866.25"/>
    <x v="1"/>
  </r>
  <r>
    <x v="149"/>
    <x v="1"/>
    <s v="A231710"/>
    <x v="0"/>
    <n v="100"/>
    <n v="7500"/>
    <n v="7875"/>
    <x v="1"/>
  </r>
  <r>
    <x v="150"/>
    <x v="268"/>
    <s v="A245994"/>
    <x v="2"/>
    <n v="1"/>
    <n v="90"/>
    <n v="94.5"/>
    <x v="3"/>
  </r>
  <r>
    <x v="151"/>
    <x v="657"/>
    <s v="A242052"/>
    <x v="1"/>
    <n v="25"/>
    <n v="3000"/>
    <n v="3150"/>
    <x v="3"/>
  </r>
  <r>
    <x v="152"/>
    <x v="603"/>
    <s v="A322909"/>
    <x v="8"/>
    <n v="100"/>
    <n v="7700"/>
    <m/>
    <x v="3"/>
  </r>
  <r>
    <x v="152"/>
    <x v="603"/>
    <s v="A322909"/>
    <x v="9"/>
    <n v="400"/>
    <n v="30800"/>
    <m/>
    <x v="3"/>
  </r>
  <r>
    <x v="152"/>
    <x v="603"/>
    <s v="A322909"/>
    <x v="1"/>
    <n v="325"/>
    <n v="26600"/>
    <n v="27930"/>
    <x v="3"/>
  </r>
  <r>
    <x v="152"/>
    <x v="603"/>
    <s v="A322909"/>
    <x v="2"/>
    <n v="150"/>
    <n v="10700"/>
    <n v="11235"/>
    <x v="3"/>
  </r>
  <r>
    <x v="152"/>
    <x v="417"/>
    <s v="A402001"/>
    <x v="1"/>
    <n v="75"/>
    <n v="6450"/>
    <n v="6772.5"/>
    <x v="1"/>
  </r>
  <r>
    <x v="152"/>
    <x v="417"/>
    <s v="A402001"/>
    <x v="2"/>
    <n v="275"/>
    <n v="23650"/>
    <n v="24832.5"/>
    <x v="1"/>
  </r>
  <r>
    <x v="152"/>
    <x v="417"/>
    <s v="A402001"/>
    <x v="11"/>
    <n v="350"/>
    <n v="30000"/>
    <n v="31500"/>
    <x v="1"/>
  </r>
  <r>
    <x v="152"/>
    <x v="417"/>
    <s v="A402001"/>
    <x v="0"/>
    <n v="125"/>
    <n v="10750"/>
    <n v="11287.5"/>
    <x v="1"/>
  </r>
  <r>
    <x v="152"/>
    <x v="233"/>
    <m/>
    <x v="11"/>
    <n v="5"/>
    <n v="475"/>
    <n v="498.75"/>
    <x v="2"/>
  </r>
  <r>
    <x v="152"/>
    <x v="233"/>
    <m/>
    <x v="0"/>
    <n v="10"/>
    <n v="950"/>
    <n v="997.5"/>
    <x v="2"/>
  </r>
  <r>
    <x v="152"/>
    <x v="353"/>
    <s v="A241990"/>
    <x v="4"/>
    <n v="75"/>
    <n v="5625"/>
    <m/>
    <x v="3"/>
  </r>
  <r>
    <x v="152"/>
    <x v="353"/>
    <s v="A241990"/>
    <x v="5"/>
    <n v="50"/>
    <n v="3750"/>
    <m/>
    <x v="3"/>
  </r>
  <r>
    <x v="152"/>
    <x v="353"/>
    <s v="A241990"/>
    <x v="6"/>
    <n v="50"/>
    <n v="3750"/>
    <m/>
    <x v="3"/>
  </r>
  <r>
    <x v="152"/>
    <x v="374"/>
    <s v="P782894"/>
    <x v="0"/>
    <n v="250"/>
    <n v="13750"/>
    <n v="14437.5"/>
    <x v="48"/>
  </r>
  <r>
    <x v="152"/>
    <x v="6"/>
    <s v="A270578"/>
    <x v="0"/>
    <n v="250"/>
    <n v="13750"/>
    <n v="14437.5"/>
    <x v="48"/>
  </r>
  <r>
    <x v="152"/>
    <x v="250"/>
    <s v="A241557"/>
    <x v="5"/>
    <n v="50"/>
    <n v="5500"/>
    <m/>
    <x v="3"/>
  </r>
  <r>
    <x v="152"/>
    <x v="250"/>
    <s v="A241557"/>
    <x v="6"/>
    <n v="50"/>
    <n v="5500"/>
    <m/>
    <x v="3"/>
  </r>
  <r>
    <x v="152"/>
    <x v="250"/>
    <s v="A241557"/>
    <x v="7"/>
    <n v="150"/>
    <n v="16500"/>
    <m/>
    <x v="3"/>
  </r>
  <r>
    <x v="152"/>
    <x v="250"/>
    <s v="A241557"/>
    <x v="10"/>
    <n v="125"/>
    <n v="13750"/>
    <m/>
    <x v="3"/>
  </r>
  <r>
    <x v="152"/>
    <x v="250"/>
    <s v="A241557"/>
    <x v="8"/>
    <n v="50"/>
    <n v="5500"/>
    <m/>
    <x v="3"/>
  </r>
  <r>
    <x v="152"/>
    <x v="343"/>
    <s v="A257810"/>
    <x v="11"/>
    <n v="50"/>
    <n v="3250"/>
    <n v="3412.5"/>
    <x v="3"/>
  </r>
  <r>
    <x v="152"/>
    <x v="27"/>
    <s v="A242640"/>
    <x v="7"/>
    <n v="200"/>
    <n v="10000"/>
    <m/>
    <x v="1"/>
  </r>
  <r>
    <x v="152"/>
    <x v="27"/>
    <s v="A242640"/>
    <x v="10"/>
    <n v="800"/>
    <n v="40000"/>
    <m/>
    <x v="1"/>
  </r>
  <r>
    <x v="152"/>
    <x v="27"/>
    <s v="A242640"/>
    <x v="8"/>
    <n v="1000"/>
    <n v="50000"/>
    <m/>
    <x v="1"/>
  </r>
  <r>
    <x v="152"/>
    <x v="27"/>
    <s v="A242640"/>
    <x v="9"/>
    <n v="600"/>
    <n v="30000"/>
    <m/>
    <x v="1"/>
  </r>
  <r>
    <x v="152"/>
    <x v="27"/>
    <s v="A242640"/>
    <x v="1"/>
    <n v="750"/>
    <n v="45000"/>
    <n v="47250"/>
    <x v="1"/>
  </r>
  <r>
    <x v="152"/>
    <x v="27"/>
    <s v="A242640"/>
    <x v="2"/>
    <n v="575"/>
    <n v="34376"/>
    <n v="36094.800000000003"/>
    <x v="1"/>
  </r>
  <r>
    <x v="152"/>
    <x v="27"/>
    <s v="A242640"/>
    <x v="11"/>
    <n v="400"/>
    <n v="26000"/>
    <n v="27300"/>
    <x v="1"/>
  </r>
  <r>
    <x v="152"/>
    <x v="27"/>
    <s v="A242640"/>
    <x v="0"/>
    <n v="250"/>
    <n v="16250"/>
    <n v="17062.5"/>
    <x v="1"/>
  </r>
  <r>
    <x v="152"/>
    <x v="28"/>
    <s v="A233711"/>
    <x v="8"/>
    <n v="44"/>
    <n v="3476"/>
    <m/>
    <x v="1"/>
  </r>
  <r>
    <x v="152"/>
    <x v="28"/>
    <s v="A233711"/>
    <x v="9"/>
    <n v="450"/>
    <n v="34850"/>
    <m/>
    <x v="1"/>
  </r>
  <r>
    <x v="152"/>
    <x v="28"/>
    <s v="A233711"/>
    <x v="1"/>
    <n v="1025"/>
    <n v="89650"/>
    <n v="94132.5"/>
    <x v="1"/>
  </r>
  <r>
    <x v="152"/>
    <x v="28"/>
    <s v="A233711"/>
    <x v="2"/>
    <n v="1350"/>
    <n v="121500"/>
    <n v="127575"/>
    <x v="1"/>
  </r>
  <r>
    <x v="152"/>
    <x v="28"/>
    <s v="A233711"/>
    <x v="11"/>
    <n v="875"/>
    <n v="74250"/>
    <n v="77962.5"/>
    <x v="1"/>
  </r>
  <r>
    <x v="152"/>
    <x v="28"/>
    <s v="A233711"/>
    <x v="0"/>
    <n v="125"/>
    <n v="11250"/>
    <n v="11812.5"/>
    <x v="1"/>
  </r>
  <r>
    <x v="152"/>
    <x v="51"/>
    <s v="A298567"/>
    <x v="9"/>
    <n v="100"/>
    <n v="5000"/>
    <m/>
    <x v="3"/>
  </r>
  <r>
    <x v="152"/>
    <x v="51"/>
    <s v="A298567"/>
    <x v="2"/>
    <n v="100"/>
    <n v="13250"/>
    <n v="13912.5"/>
    <x v="3"/>
  </r>
  <r>
    <x v="152"/>
    <x v="51"/>
    <s v="A298567"/>
    <x v="11"/>
    <n v="275"/>
    <n v="18475"/>
    <n v="19398.75"/>
    <x v="3"/>
  </r>
  <r>
    <x v="152"/>
    <x v="293"/>
    <s v="A248825"/>
    <x v="11"/>
    <n v="70"/>
    <n v="3850"/>
    <n v="4042.5"/>
    <x v="3"/>
  </r>
  <r>
    <x v="152"/>
    <x v="228"/>
    <s v="A306319"/>
    <x v="11"/>
    <n v="100"/>
    <n v="7000"/>
    <n v="7350"/>
    <x v="3"/>
  </r>
  <r>
    <x v="152"/>
    <x v="357"/>
    <s v="A319989"/>
    <x v="2"/>
    <n v="50"/>
    <n v="3600"/>
    <n v="3780"/>
    <x v="3"/>
  </r>
  <r>
    <x v="152"/>
    <x v="658"/>
    <s v="A401488"/>
    <x v="11"/>
    <n v="15"/>
    <n v="1080"/>
    <n v="1134"/>
    <x v="3"/>
  </r>
  <r>
    <x v="152"/>
    <x v="457"/>
    <s v="A271403"/>
    <x v="4"/>
    <n v="75"/>
    <n v="5250"/>
    <m/>
    <x v="1"/>
  </r>
  <r>
    <x v="152"/>
    <x v="457"/>
    <s v="A271403"/>
    <x v="5"/>
    <n v="100"/>
    <n v="7000"/>
    <m/>
    <x v="1"/>
  </r>
  <r>
    <x v="152"/>
    <x v="457"/>
    <s v="A271403"/>
    <x v="7"/>
    <n v="100"/>
    <n v="7000"/>
    <m/>
    <x v="1"/>
  </r>
  <r>
    <x v="152"/>
    <x v="457"/>
    <s v="A271403"/>
    <x v="10"/>
    <n v="125"/>
    <n v="8750"/>
    <m/>
    <x v="1"/>
  </r>
  <r>
    <x v="152"/>
    <x v="457"/>
    <s v="A271403"/>
    <x v="8"/>
    <n v="50"/>
    <n v="3500"/>
    <m/>
    <x v="1"/>
  </r>
  <r>
    <x v="152"/>
    <x v="457"/>
    <s v="A271403"/>
    <x v="9"/>
    <n v="50"/>
    <n v="3500"/>
    <m/>
    <x v="1"/>
  </r>
  <r>
    <x v="152"/>
    <x v="457"/>
    <s v="A271403"/>
    <x v="1"/>
    <n v="50"/>
    <n v="3500"/>
    <n v="3675"/>
    <x v="1"/>
  </r>
  <r>
    <x v="152"/>
    <x v="457"/>
    <s v="A271403"/>
    <x v="2"/>
    <n v="75"/>
    <n v="5250"/>
    <n v="5512.5"/>
    <x v="1"/>
  </r>
  <r>
    <x v="152"/>
    <x v="457"/>
    <s v="A271403"/>
    <x v="11"/>
    <n v="75"/>
    <n v="5250"/>
    <n v="5512.5"/>
    <x v="1"/>
  </r>
  <r>
    <x v="152"/>
    <x v="457"/>
    <s v="A271403"/>
    <x v="0"/>
    <n v="25"/>
    <n v="1750"/>
    <n v="1837.5"/>
    <x v="1"/>
  </r>
  <r>
    <x v="152"/>
    <x v="97"/>
    <s v="A299992"/>
    <x v="0"/>
    <n v="50"/>
    <n v="3400"/>
    <n v="3570"/>
    <x v="49"/>
  </r>
  <r>
    <x v="152"/>
    <x v="344"/>
    <s v="A415791"/>
    <x v="11"/>
    <n v="75"/>
    <n v="5400"/>
    <n v="5670"/>
    <x v="1"/>
  </r>
  <r>
    <x v="152"/>
    <x v="344"/>
    <s v="A415791"/>
    <x v="0"/>
    <n v="25"/>
    <n v="1800"/>
    <n v="1890"/>
    <x v="1"/>
  </r>
  <r>
    <x v="152"/>
    <x v="19"/>
    <s v="A233442"/>
    <x v="1"/>
    <n v="25"/>
    <n v="1700"/>
    <n v="1785"/>
    <x v="3"/>
  </r>
  <r>
    <x v="152"/>
    <x v="247"/>
    <s v="A402013"/>
    <x v="2"/>
    <n v="100"/>
    <n v="6800"/>
    <n v="7140"/>
    <x v="1"/>
  </r>
  <r>
    <x v="152"/>
    <x v="247"/>
    <s v="A402013"/>
    <x v="11"/>
    <n v="500"/>
    <n v="28800"/>
    <n v="30240"/>
    <x v="1"/>
  </r>
  <r>
    <x v="152"/>
    <x v="247"/>
    <s v="A402013"/>
    <x v="0"/>
    <n v="75"/>
    <n v="5100"/>
    <n v="5355"/>
    <x v="1"/>
  </r>
  <r>
    <x v="153"/>
    <x v="3"/>
    <s v="A232126"/>
    <x v="0"/>
    <n v="5"/>
    <n v="350"/>
    <n v="367.5"/>
    <x v="5"/>
  </r>
  <r>
    <x v="154"/>
    <x v="234"/>
    <s v="A305995"/>
    <x v="9"/>
    <n v="25"/>
    <n v="2375"/>
    <m/>
    <x v="3"/>
  </r>
  <r>
    <x v="154"/>
    <x v="7"/>
    <m/>
    <x v="10"/>
    <n v="2"/>
    <n v="1000"/>
    <m/>
    <x v="3"/>
  </r>
  <r>
    <x v="154"/>
    <x v="7"/>
    <m/>
    <x v="8"/>
    <n v="15"/>
    <n v="7500"/>
    <m/>
    <x v="3"/>
  </r>
  <r>
    <x v="154"/>
    <x v="8"/>
    <m/>
    <x v="1"/>
    <n v="5"/>
    <n v="2500"/>
    <n v="2625"/>
    <x v="3"/>
  </r>
  <r>
    <x v="154"/>
    <x v="8"/>
    <m/>
    <x v="2"/>
    <n v="5"/>
    <n v="2250"/>
    <n v="2362.5"/>
    <x v="3"/>
  </r>
  <r>
    <x v="154"/>
    <x v="659"/>
    <m/>
    <x v="11"/>
    <n v="40"/>
    <n v="4000"/>
    <n v="4200"/>
    <x v="2"/>
  </r>
  <r>
    <x v="154"/>
    <x v="659"/>
    <m/>
    <x v="0"/>
    <n v="45"/>
    <n v="4500"/>
    <n v="4725"/>
    <x v="2"/>
  </r>
  <r>
    <x v="154"/>
    <x v="156"/>
    <s v="A231705"/>
    <x v="9"/>
    <n v="50"/>
    <n v="3750"/>
    <m/>
    <x v="3"/>
  </r>
  <r>
    <x v="154"/>
    <x v="416"/>
    <m/>
    <x v="10"/>
    <n v="10"/>
    <n v="3300"/>
    <m/>
    <x v="3"/>
  </r>
  <r>
    <x v="154"/>
    <x v="432"/>
    <m/>
    <x v="9"/>
    <n v="20"/>
    <n v="1760"/>
    <m/>
    <x v="3"/>
  </r>
  <r>
    <x v="154"/>
    <x v="432"/>
    <m/>
    <x v="2"/>
    <n v="16"/>
    <n v="1440"/>
    <n v="1512"/>
    <x v="3"/>
  </r>
  <r>
    <x v="154"/>
    <x v="432"/>
    <m/>
    <x v="11"/>
    <n v="20"/>
    <n v="1700"/>
    <n v="1785"/>
    <x v="3"/>
  </r>
  <r>
    <x v="154"/>
    <x v="123"/>
    <m/>
    <x v="6"/>
    <n v="5"/>
    <n v="500"/>
    <m/>
    <x v="3"/>
  </r>
  <r>
    <x v="154"/>
    <x v="123"/>
    <m/>
    <x v="7"/>
    <n v="20"/>
    <n v="1800"/>
    <m/>
    <x v="3"/>
  </r>
  <r>
    <x v="154"/>
    <x v="10"/>
    <m/>
    <x v="6"/>
    <n v="5"/>
    <n v="500"/>
    <m/>
    <x v="3"/>
  </r>
  <r>
    <x v="154"/>
    <x v="10"/>
    <m/>
    <x v="9"/>
    <n v="20"/>
    <n v="1800"/>
    <m/>
    <x v="3"/>
  </r>
  <r>
    <x v="154"/>
    <x v="10"/>
    <m/>
    <x v="1"/>
    <n v="45"/>
    <n v="4050"/>
    <n v="4252.5"/>
    <x v="3"/>
  </r>
  <r>
    <x v="154"/>
    <x v="433"/>
    <m/>
    <x v="6"/>
    <n v="5"/>
    <n v="500"/>
    <m/>
    <x v="3"/>
  </r>
  <r>
    <x v="154"/>
    <x v="433"/>
    <m/>
    <x v="8"/>
    <n v="20"/>
    <n v="1860"/>
    <m/>
    <x v="3"/>
  </r>
  <r>
    <x v="154"/>
    <x v="19"/>
    <s v="A233442"/>
    <x v="9"/>
    <n v="13"/>
    <n v="875"/>
    <m/>
    <x v="3"/>
  </r>
  <r>
    <x v="154"/>
    <x v="247"/>
    <s v="A402013"/>
    <x v="2"/>
    <n v="25"/>
    <n v="1675"/>
    <n v="1758.75"/>
    <x v="3"/>
  </r>
  <r>
    <x v="155"/>
    <x v="298"/>
    <s v="A416950"/>
    <x v="11"/>
    <n v="10"/>
    <n v="1900"/>
    <n v="1995"/>
    <x v="3"/>
  </r>
  <r>
    <x v="155"/>
    <x v="127"/>
    <s v="A343168"/>
    <x v="11"/>
    <n v="20"/>
    <n v="4000"/>
    <n v="4200"/>
    <x v="3"/>
  </r>
  <r>
    <x v="155"/>
    <x v="258"/>
    <s v="A352612"/>
    <x v="0"/>
    <n v="20"/>
    <n v="3200"/>
    <n v="3360"/>
    <x v="2"/>
  </r>
  <r>
    <x v="156"/>
    <x v="362"/>
    <s v="A292789"/>
    <x v="1"/>
    <n v="5"/>
    <n v="500"/>
    <n v="525"/>
    <x v="3"/>
  </r>
  <r>
    <x v="156"/>
    <x v="604"/>
    <s v="A259365"/>
    <x v="4"/>
    <n v="5"/>
    <n v="1250"/>
    <m/>
    <x v="3"/>
  </r>
  <r>
    <x v="156"/>
    <x v="490"/>
    <s v="A244297"/>
    <x v="4"/>
    <n v="5"/>
    <n v="950"/>
    <m/>
    <x v="3"/>
  </r>
  <r>
    <x v="156"/>
    <x v="23"/>
    <m/>
    <x v="1"/>
    <n v="5"/>
    <n v="1100"/>
    <n v="1155"/>
    <x v="3"/>
  </r>
  <r>
    <x v="156"/>
    <x v="284"/>
    <s v="A257635"/>
    <x v="9"/>
    <n v="5"/>
    <n v="1000"/>
    <m/>
    <x v="3"/>
  </r>
  <r>
    <x v="156"/>
    <x v="112"/>
    <s v="A265729"/>
    <x v="8"/>
    <n v="5"/>
    <n v="1100"/>
    <m/>
    <x v="3"/>
  </r>
  <r>
    <x v="156"/>
    <x v="2"/>
    <s v="A295987"/>
    <x v="9"/>
    <n v="25"/>
    <n v="3000"/>
    <m/>
    <x v="2"/>
  </r>
  <r>
    <x v="156"/>
    <x v="2"/>
    <s v="A295987"/>
    <x v="1"/>
    <n v="30"/>
    <n v="3600"/>
    <n v="3780"/>
    <x v="2"/>
  </r>
  <r>
    <x v="156"/>
    <x v="2"/>
    <s v="A295987"/>
    <x v="2"/>
    <n v="65"/>
    <n v="7800"/>
    <n v="8190"/>
    <x v="2"/>
  </r>
  <r>
    <x v="156"/>
    <x v="2"/>
    <s v="A295987"/>
    <x v="11"/>
    <n v="55"/>
    <n v="6600"/>
    <n v="6930"/>
    <x v="2"/>
  </r>
  <r>
    <x v="156"/>
    <x v="2"/>
    <s v="A295987"/>
    <x v="0"/>
    <n v="25"/>
    <n v="3000"/>
    <n v="3150"/>
    <x v="2"/>
  </r>
  <r>
    <x v="156"/>
    <x v="611"/>
    <s v="A250448"/>
    <x v="4"/>
    <n v="5"/>
    <n v="850"/>
    <m/>
    <x v="3"/>
  </r>
  <r>
    <x v="156"/>
    <x v="400"/>
    <s v="A421292"/>
    <x v="11"/>
    <n v="5"/>
    <n v="1000"/>
    <n v="1050"/>
    <x v="3"/>
  </r>
  <r>
    <x v="156"/>
    <x v="255"/>
    <s v="A245809"/>
    <x v="4"/>
    <n v="5"/>
    <n v="850"/>
    <m/>
    <x v="3"/>
  </r>
  <r>
    <x v="156"/>
    <x v="255"/>
    <s v="A245809"/>
    <x v="11"/>
    <n v="5"/>
    <n v="800"/>
    <n v="840"/>
    <x v="3"/>
  </r>
  <r>
    <x v="156"/>
    <x v="321"/>
    <s v="A293451"/>
    <x v="8"/>
    <n v="5"/>
    <n v="800"/>
    <m/>
    <x v="3"/>
  </r>
  <r>
    <x v="156"/>
    <x v="104"/>
    <s v="A235765"/>
    <x v="9"/>
    <n v="5"/>
    <n v="750"/>
    <m/>
    <x v="3"/>
  </r>
  <r>
    <x v="156"/>
    <x v="104"/>
    <s v="A235765"/>
    <x v="1"/>
    <n v="5"/>
    <n v="750"/>
    <n v="787.5"/>
    <x v="3"/>
  </r>
  <r>
    <x v="156"/>
    <x v="104"/>
    <s v="A235765"/>
    <x v="2"/>
    <n v="10"/>
    <n v="1500"/>
    <n v="1575"/>
    <x v="3"/>
  </r>
  <r>
    <x v="156"/>
    <x v="310"/>
    <s v="P09390"/>
    <x v="8"/>
    <n v="5"/>
    <n v="1200"/>
    <m/>
    <x v="3"/>
  </r>
  <r>
    <x v="156"/>
    <x v="310"/>
    <s v="P09390"/>
    <x v="9"/>
    <n v="5"/>
    <n v="1200"/>
    <m/>
    <x v="3"/>
  </r>
  <r>
    <x v="156"/>
    <x v="660"/>
    <s v="A246994"/>
    <x v="4"/>
    <n v="5"/>
    <n v="1200"/>
    <m/>
    <x v="3"/>
  </r>
  <r>
    <x v="156"/>
    <x v="660"/>
    <s v="A246994"/>
    <x v="9"/>
    <n v="5"/>
    <n v="800"/>
    <m/>
    <x v="3"/>
  </r>
  <r>
    <x v="156"/>
    <x v="324"/>
    <s v="A241362"/>
    <x v="2"/>
    <n v="5"/>
    <n v="1000"/>
    <n v="1050"/>
    <x v="3"/>
  </r>
  <r>
    <x v="156"/>
    <x v="324"/>
    <s v="A241362"/>
    <x v="11"/>
    <n v="5"/>
    <n v="1000"/>
    <n v="1050"/>
    <x v="3"/>
  </r>
  <r>
    <x v="156"/>
    <x v="258"/>
    <s v="A352612"/>
    <x v="1"/>
    <n v="5"/>
    <n v="875"/>
    <n v="918.75"/>
    <x v="3"/>
  </r>
  <r>
    <x v="156"/>
    <x v="661"/>
    <s v="A238187"/>
    <x v="8"/>
    <n v="5"/>
    <n v="1000"/>
    <m/>
    <x v="3"/>
  </r>
  <r>
    <x v="156"/>
    <x v="46"/>
    <s v="A234876"/>
    <x v="4"/>
    <n v="5"/>
    <n v="1000"/>
    <m/>
    <x v="3"/>
  </r>
  <r>
    <x v="156"/>
    <x v="46"/>
    <s v="A234876"/>
    <x v="10"/>
    <n v="5"/>
    <n v="1000"/>
    <m/>
    <x v="3"/>
  </r>
  <r>
    <x v="156"/>
    <x v="46"/>
    <s v="A234876"/>
    <x v="1"/>
    <n v="5"/>
    <n v="1000"/>
    <n v="1050"/>
    <x v="3"/>
  </r>
  <r>
    <x v="156"/>
    <x v="662"/>
    <m/>
    <x v="2"/>
    <n v="5"/>
    <n v="1200"/>
    <n v="1260"/>
    <x v="3"/>
  </r>
  <r>
    <x v="156"/>
    <x v="48"/>
    <s v="A245955"/>
    <x v="4"/>
    <n v="5"/>
    <n v="1200"/>
    <m/>
    <x v="2"/>
  </r>
  <r>
    <x v="156"/>
    <x v="48"/>
    <s v="A245955"/>
    <x v="8"/>
    <n v="10"/>
    <n v="2400"/>
    <m/>
    <x v="2"/>
  </r>
  <r>
    <x v="156"/>
    <x v="48"/>
    <s v="A245955"/>
    <x v="9"/>
    <n v="5"/>
    <n v="1200"/>
    <m/>
    <x v="2"/>
  </r>
  <r>
    <x v="156"/>
    <x v="48"/>
    <s v="A245955"/>
    <x v="1"/>
    <n v="5"/>
    <n v="1200"/>
    <n v="1260"/>
    <x v="2"/>
  </r>
  <r>
    <x v="156"/>
    <x v="48"/>
    <s v="A245955"/>
    <x v="0"/>
    <n v="5"/>
    <n v="1200"/>
    <n v="1260"/>
    <x v="2"/>
  </r>
  <r>
    <x v="156"/>
    <x v="157"/>
    <s v="A244980"/>
    <x v="4"/>
    <n v="5"/>
    <n v="1700"/>
    <m/>
    <x v="3"/>
  </r>
  <r>
    <x v="156"/>
    <x v="157"/>
    <s v="A244980"/>
    <x v="9"/>
    <n v="3"/>
    <n v="450"/>
    <m/>
    <x v="3"/>
  </r>
  <r>
    <x v="156"/>
    <x v="53"/>
    <s v="A249179"/>
    <x v="1"/>
    <n v="5"/>
    <n v="500"/>
    <n v="525"/>
    <x v="3"/>
  </r>
  <r>
    <x v="156"/>
    <x v="60"/>
    <m/>
    <x v="0"/>
    <n v="5"/>
    <n v="1400"/>
    <n v="1470"/>
    <x v="2"/>
  </r>
  <r>
    <x v="156"/>
    <x v="663"/>
    <s v="A273822"/>
    <x v="9"/>
    <n v="9"/>
    <n v="1440"/>
    <m/>
    <x v="3"/>
  </r>
  <r>
    <x v="156"/>
    <x v="161"/>
    <s v="A293577"/>
    <x v="8"/>
    <n v="5"/>
    <n v="1000"/>
    <m/>
    <x v="3"/>
  </r>
  <r>
    <x v="156"/>
    <x v="196"/>
    <s v="A240864"/>
    <x v="9"/>
    <n v="5"/>
    <n v="875"/>
    <m/>
    <x v="2"/>
  </r>
  <r>
    <x v="156"/>
    <x v="196"/>
    <s v="A240864"/>
    <x v="1"/>
    <n v="5"/>
    <n v="875"/>
    <n v="918.75"/>
    <x v="2"/>
  </r>
  <r>
    <x v="156"/>
    <x v="196"/>
    <s v="A240864"/>
    <x v="0"/>
    <n v="5"/>
    <n v="750"/>
    <n v="787.5"/>
    <x v="2"/>
  </r>
  <r>
    <x v="156"/>
    <x v="212"/>
    <s v="P05636"/>
    <x v="1"/>
    <n v="5"/>
    <n v="1000"/>
    <n v="1050"/>
    <x v="3"/>
  </r>
  <r>
    <x v="156"/>
    <x v="212"/>
    <s v="P05636"/>
    <x v="2"/>
    <n v="5"/>
    <n v="1000"/>
    <n v="1050"/>
    <x v="3"/>
  </r>
  <r>
    <x v="156"/>
    <x v="212"/>
    <s v="P05636"/>
    <x v="11"/>
    <n v="5"/>
    <n v="1000"/>
    <n v="1050"/>
    <x v="3"/>
  </r>
  <r>
    <x v="156"/>
    <x v="664"/>
    <s v="P14832"/>
    <x v="9"/>
    <n v="5"/>
    <n v="1000"/>
    <m/>
    <x v="3"/>
  </r>
  <r>
    <x v="156"/>
    <x v="665"/>
    <s v="A233482"/>
    <x v="4"/>
    <n v="5"/>
    <n v="1150"/>
    <m/>
    <x v="3"/>
  </r>
  <r>
    <x v="156"/>
    <x v="69"/>
    <s v="A243394"/>
    <x v="9"/>
    <n v="5"/>
    <n v="875"/>
    <m/>
    <x v="3"/>
  </r>
  <r>
    <x v="156"/>
    <x v="293"/>
    <s v="A248825"/>
    <x v="1"/>
    <n v="5"/>
    <n v="500"/>
    <n v="525"/>
    <x v="3"/>
  </r>
  <r>
    <x v="156"/>
    <x v="666"/>
    <s v="A242628"/>
    <x v="1"/>
    <n v="5"/>
    <n v="950"/>
    <n v="997.5"/>
    <x v="3"/>
  </r>
  <r>
    <x v="156"/>
    <x v="667"/>
    <s v="A415887"/>
    <x v="11"/>
    <n v="5"/>
    <n v="950"/>
    <n v="997.5"/>
    <x v="3"/>
  </r>
  <r>
    <x v="156"/>
    <x v="72"/>
    <s v="P08499"/>
    <x v="8"/>
    <n v="5"/>
    <n v="1100"/>
    <m/>
    <x v="3"/>
  </r>
  <r>
    <x v="156"/>
    <x v="73"/>
    <s v="P08976"/>
    <x v="9"/>
    <n v="5"/>
    <n v="1150"/>
    <m/>
    <x v="3"/>
  </r>
  <r>
    <x v="156"/>
    <x v="536"/>
    <s v="A250489"/>
    <x v="4"/>
    <n v="5"/>
    <n v="1050"/>
    <m/>
    <x v="3"/>
  </r>
  <r>
    <x v="156"/>
    <x v="536"/>
    <s v="A250489"/>
    <x v="8"/>
    <n v="10"/>
    <n v="2100"/>
    <m/>
    <x v="3"/>
  </r>
  <r>
    <x v="156"/>
    <x v="99"/>
    <s v="A282344"/>
    <x v="8"/>
    <n v="5"/>
    <n v="1000"/>
    <m/>
    <x v="3"/>
  </r>
  <r>
    <x v="156"/>
    <x v="31"/>
    <s v="A349425"/>
    <x v="1"/>
    <n v="5"/>
    <n v="650"/>
    <n v="682.5"/>
    <x v="3"/>
  </r>
  <r>
    <x v="156"/>
    <x v="32"/>
    <s v="A295591"/>
    <x v="9"/>
    <n v="5"/>
    <n v="450"/>
    <m/>
    <x v="3"/>
  </r>
  <r>
    <x v="156"/>
    <x v="168"/>
    <s v="A295590"/>
    <x v="10"/>
    <n v="5"/>
    <n v="900"/>
    <m/>
    <x v="3"/>
  </r>
  <r>
    <x v="156"/>
    <x v="168"/>
    <s v="A295590"/>
    <x v="8"/>
    <n v="150"/>
    <n v="2700"/>
    <m/>
    <x v="3"/>
  </r>
  <r>
    <x v="156"/>
    <x v="168"/>
    <s v="A295590"/>
    <x v="9"/>
    <n v="5"/>
    <n v="750"/>
    <m/>
    <x v="3"/>
  </r>
  <r>
    <x v="156"/>
    <x v="33"/>
    <s v="A338959"/>
    <x v="1"/>
    <n v="5"/>
    <n v="950"/>
    <n v="997.5"/>
    <x v="3"/>
  </r>
  <r>
    <x v="156"/>
    <x v="305"/>
    <s v="A338959"/>
    <x v="11"/>
    <n v="5"/>
    <n v="950"/>
    <n v="997.5"/>
    <x v="3"/>
  </r>
  <r>
    <x v="156"/>
    <x v="552"/>
    <s v="A321239"/>
    <x v="9"/>
    <n v="5"/>
    <n v="600"/>
    <m/>
    <x v="3"/>
  </r>
  <r>
    <x v="156"/>
    <x v="657"/>
    <s v="A242052"/>
    <x v="4"/>
    <n v="5"/>
    <n v="850"/>
    <m/>
    <x v="3"/>
  </r>
  <r>
    <x v="156"/>
    <x v="668"/>
    <s v="P09390"/>
    <x v="2"/>
    <n v="5"/>
    <n v="1200"/>
    <n v="1260"/>
    <x v="3"/>
  </r>
  <r>
    <x v="156"/>
    <x v="103"/>
    <s v="A299996"/>
    <x v="10"/>
    <n v="3"/>
    <n v="510"/>
    <m/>
    <x v="3"/>
  </r>
  <r>
    <x v="156"/>
    <x v="103"/>
    <s v="A299996"/>
    <x v="8"/>
    <n v="5"/>
    <n v="850"/>
    <m/>
    <x v="3"/>
  </r>
  <r>
    <x v="156"/>
    <x v="103"/>
    <s v="A299996"/>
    <x v="9"/>
    <n v="5"/>
    <n v="600"/>
    <m/>
    <x v="3"/>
  </r>
  <r>
    <x v="156"/>
    <x v="121"/>
    <s v="A269419"/>
    <x v="9"/>
    <n v="5"/>
    <n v="1100"/>
    <m/>
    <x v="3"/>
  </r>
  <r>
    <x v="156"/>
    <x v="407"/>
    <s v="A305591"/>
    <x v="1"/>
    <n v="5"/>
    <n v="900"/>
    <n v="945"/>
    <x v="3"/>
  </r>
  <r>
    <x v="156"/>
    <x v="81"/>
    <s v="P19035"/>
    <x v="1"/>
    <n v="5"/>
    <n v="1200"/>
    <n v="1260"/>
    <x v="3"/>
  </r>
  <r>
    <x v="157"/>
    <x v="330"/>
    <s v="A324052"/>
    <x v="8"/>
    <n v="25"/>
    <n v="1875"/>
    <m/>
    <x v="3"/>
  </r>
  <r>
    <x v="157"/>
    <x v="330"/>
    <s v="A324052"/>
    <x v="9"/>
    <n v="150"/>
    <n v="11250"/>
    <m/>
    <x v="3"/>
  </r>
  <r>
    <x v="157"/>
    <x v="330"/>
    <s v="A324052"/>
    <x v="1"/>
    <n v="50"/>
    <n v="3750"/>
    <n v="3937.5"/>
    <x v="3"/>
  </r>
  <r>
    <x v="157"/>
    <x v="268"/>
    <s v="A245994"/>
    <x v="1"/>
    <n v="150"/>
    <n v="12000"/>
    <n v="12600"/>
    <x v="3"/>
  </r>
  <r>
    <x v="158"/>
    <x v="6"/>
    <s v="A270578"/>
    <x v="10"/>
    <n v="25"/>
    <n v="1875"/>
    <m/>
    <x v="3"/>
  </r>
  <r>
    <x v="158"/>
    <x v="10"/>
    <m/>
    <x v="10"/>
    <n v="40"/>
    <n v="3300"/>
    <m/>
    <x v="3"/>
  </r>
  <r>
    <x v="159"/>
    <x v="21"/>
    <s v="P08232"/>
    <x v="1"/>
    <n v="3"/>
    <n v="660"/>
    <n v="693"/>
    <x v="3"/>
  </r>
  <r>
    <x v="159"/>
    <x v="21"/>
    <s v="P08232"/>
    <x v="2"/>
    <n v="5"/>
    <n v="1100"/>
    <n v="1155"/>
    <x v="3"/>
  </r>
  <r>
    <x v="159"/>
    <x v="21"/>
    <s v="P08232"/>
    <x v="11"/>
    <n v="20"/>
    <n v="4400"/>
    <n v="4620"/>
    <x v="3"/>
  </r>
  <r>
    <x v="159"/>
    <x v="144"/>
    <s v="A256430"/>
    <x v="1"/>
    <n v="1"/>
    <n v="150"/>
    <n v="157.5"/>
    <x v="3"/>
  </r>
  <r>
    <x v="159"/>
    <x v="363"/>
    <s v="A402002"/>
    <x v="0"/>
    <n v="5"/>
    <n v="400"/>
    <n v="420"/>
    <x v="2"/>
  </r>
  <r>
    <x v="159"/>
    <x v="295"/>
    <s v="A302349"/>
    <x v="1"/>
    <n v="1"/>
    <n v="170"/>
    <n v="178.5"/>
    <x v="3"/>
  </r>
  <r>
    <x v="159"/>
    <x v="298"/>
    <s v="A416950"/>
    <x v="11"/>
    <n v="5"/>
    <n v="850"/>
    <n v="892.5"/>
    <x v="3"/>
  </r>
  <r>
    <x v="159"/>
    <x v="146"/>
    <s v="A245818"/>
    <x v="10"/>
    <n v="1"/>
    <n v="190"/>
    <m/>
    <x v="3"/>
  </r>
  <r>
    <x v="159"/>
    <x v="365"/>
    <s v="A285878"/>
    <x v="1"/>
    <n v="1"/>
    <n v="120"/>
    <n v="126"/>
    <x v="3"/>
  </r>
  <r>
    <x v="159"/>
    <x v="365"/>
    <s v="A285878"/>
    <x v="2"/>
    <n v="5"/>
    <n v="600"/>
    <n v="630"/>
    <x v="3"/>
  </r>
  <r>
    <x v="159"/>
    <x v="366"/>
    <s v="A238073"/>
    <x v="11"/>
    <n v="5"/>
    <n v="375"/>
    <n v="393.75"/>
    <x v="2"/>
  </r>
  <r>
    <x v="159"/>
    <x v="366"/>
    <s v="A238073"/>
    <x v="0"/>
    <n v="110"/>
    <n v="8140"/>
    <n v="8547"/>
    <x v="2"/>
  </r>
  <r>
    <x v="159"/>
    <x v="127"/>
    <s v="A343168"/>
    <x v="2"/>
    <n v="11"/>
    <n v="2475"/>
    <n v="2598.75"/>
    <x v="3"/>
  </r>
  <r>
    <x v="159"/>
    <x v="127"/>
    <s v="A343168"/>
    <x v="11"/>
    <n v="5"/>
    <n v="1125"/>
    <n v="1181.25"/>
    <x v="3"/>
  </r>
  <r>
    <x v="159"/>
    <x v="128"/>
    <s v="A269415"/>
    <x v="2"/>
    <n v="1"/>
    <n v="190"/>
    <n v="199.5"/>
    <x v="3"/>
  </r>
  <r>
    <x v="159"/>
    <x v="301"/>
    <s v="P050220"/>
    <x v="0"/>
    <n v="5"/>
    <n v="1100"/>
    <n v="1155"/>
    <x v="50"/>
  </r>
  <r>
    <x v="159"/>
    <x v="669"/>
    <s v="A258697"/>
    <x v="8"/>
    <n v="1"/>
    <n v="160"/>
    <m/>
    <x v="3"/>
  </r>
  <r>
    <x v="159"/>
    <x v="368"/>
    <s v="A299995"/>
    <x v="10"/>
    <n v="1"/>
    <n v="180"/>
    <m/>
    <x v="3"/>
  </r>
  <r>
    <x v="159"/>
    <x v="670"/>
    <s v="A318767"/>
    <x v="8"/>
    <n v="1"/>
    <n v="230"/>
    <m/>
    <x v="3"/>
  </r>
  <r>
    <x v="159"/>
    <x v="671"/>
    <m/>
    <x v="2"/>
    <n v="5"/>
    <n v="650"/>
    <n v="682.5"/>
    <x v="3"/>
  </r>
  <r>
    <x v="159"/>
    <x v="414"/>
    <s v="A249739"/>
    <x v="10"/>
    <n v="1"/>
    <n v="230"/>
    <m/>
    <x v="3"/>
  </r>
  <r>
    <x v="159"/>
    <x v="271"/>
    <s v="A401493"/>
    <x v="0"/>
    <n v="10"/>
    <n v="900"/>
    <n v="945"/>
    <x v="5"/>
  </r>
  <r>
    <x v="159"/>
    <x v="272"/>
    <s v="A246994"/>
    <x v="1"/>
    <n v="1"/>
    <n v="180"/>
    <n v="189"/>
    <x v="3"/>
  </r>
  <r>
    <x v="159"/>
    <x v="272"/>
    <s v="A246994"/>
    <x v="2"/>
    <n v="5"/>
    <n v="900"/>
    <n v="945"/>
    <x v="3"/>
  </r>
  <r>
    <x v="159"/>
    <x v="273"/>
    <s v="A320112"/>
    <x v="0"/>
    <n v="5"/>
    <n v="400"/>
    <n v="420"/>
    <x v="2"/>
  </r>
  <r>
    <x v="159"/>
    <x v="672"/>
    <s v="A312322"/>
    <x v="8"/>
    <n v="1"/>
    <n v="200"/>
    <m/>
    <x v="3"/>
  </r>
  <r>
    <x v="159"/>
    <x v="565"/>
    <s v="A241367"/>
    <x v="2"/>
    <n v="1"/>
    <n v="170"/>
    <n v="178.5"/>
    <x v="3"/>
  </r>
  <r>
    <x v="159"/>
    <x v="326"/>
    <s v="A260799"/>
    <x v="2"/>
    <n v="4"/>
    <n v="640"/>
    <n v="672"/>
    <x v="3"/>
  </r>
  <r>
    <x v="159"/>
    <x v="673"/>
    <s v="A290714"/>
    <x v="0"/>
    <n v="35"/>
    <n v="2275"/>
    <n v="2388.75"/>
    <x v="2"/>
  </r>
  <r>
    <x v="159"/>
    <x v="674"/>
    <s v="P12379"/>
    <x v="10"/>
    <n v="1"/>
    <n v="270"/>
    <m/>
    <x v="3"/>
  </r>
  <r>
    <x v="159"/>
    <x v="328"/>
    <s v="A285349"/>
    <x v="9"/>
    <n v="5"/>
    <n v="750"/>
    <m/>
    <x v="3"/>
  </r>
  <r>
    <x v="159"/>
    <x v="46"/>
    <s v="A234876"/>
    <x v="1"/>
    <n v="3"/>
    <n v="360"/>
    <n v="378"/>
    <x v="3"/>
  </r>
  <r>
    <x v="159"/>
    <x v="46"/>
    <s v="A234876"/>
    <x v="2"/>
    <n v="20"/>
    <n v="2400"/>
    <n v="2520"/>
    <x v="3"/>
  </r>
  <r>
    <x v="159"/>
    <x v="350"/>
    <s v="A410392"/>
    <x v="11"/>
    <n v="5"/>
    <n v="350"/>
    <n v="367.5"/>
    <x v="3"/>
  </r>
  <r>
    <x v="159"/>
    <x v="286"/>
    <s v="A255319"/>
    <x v="10"/>
    <n v="1"/>
    <n v="230"/>
    <m/>
    <x v="3"/>
  </r>
  <r>
    <x v="159"/>
    <x v="675"/>
    <s v="A318769"/>
    <x v="8"/>
    <n v="1"/>
    <n v="230"/>
    <m/>
    <x v="3"/>
  </r>
  <r>
    <x v="159"/>
    <x v="133"/>
    <s v="A281055"/>
    <x v="0"/>
    <n v="5"/>
    <n v="825"/>
    <n v="866.25"/>
    <x v="2"/>
  </r>
  <r>
    <x v="159"/>
    <x v="156"/>
    <s v="A231705"/>
    <x v="10"/>
    <n v="1"/>
    <n v="180"/>
    <m/>
    <x v="3"/>
  </r>
  <r>
    <x v="159"/>
    <x v="156"/>
    <s v="A231705"/>
    <x v="1"/>
    <n v="2"/>
    <n v="367"/>
    <m/>
    <x v="3"/>
  </r>
  <r>
    <x v="159"/>
    <x v="3"/>
    <s v="A232126"/>
    <x v="9"/>
    <n v="75"/>
    <n v="9750"/>
    <m/>
    <x v="3"/>
  </r>
  <r>
    <x v="159"/>
    <x v="3"/>
    <s v="A232126"/>
    <x v="1"/>
    <n v="110"/>
    <n v="14600"/>
    <n v="15330"/>
    <x v="3"/>
  </r>
  <r>
    <x v="159"/>
    <x v="3"/>
    <s v="A232126"/>
    <x v="2"/>
    <n v="35"/>
    <n v="4650"/>
    <n v="4882.5"/>
    <x v="3"/>
  </r>
  <r>
    <x v="159"/>
    <x v="3"/>
    <s v="A232126"/>
    <x v="11"/>
    <n v="75"/>
    <n v="9750"/>
    <n v="10237.5"/>
    <x v="3"/>
  </r>
  <r>
    <x v="159"/>
    <x v="250"/>
    <s v="A241557"/>
    <x v="10"/>
    <n v="1"/>
    <n v="210"/>
    <m/>
    <x v="3"/>
  </r>
  <r>
    <x v="159"/>
    <x v="16"/>
    <s v="A242640"/>
    <x v="1"/>
    <n v="2"/>
    <n v="200"/>
    <m/>
    <x v="3"/>
  </r>
  <r>
    <x v="159"/>
    <x v="676"/>
    <s v="A275096"/>
    <x v="8"/>
    <n v="1"/>
    <n v="190"/>
    <m/>
    <x v="3"/>
  </r>
  <r>
    <x v="159"/>
    <x v="275"/>
    <s v="A271087"/>
    <x v="8"/>
    <n v="1"/>
    <n v="160"/>
    <m/>
    <x v="3"/>
  </r>
  <r>
    <x v="159"/>
    <x v="275"/>
    <s v="A271087"/>
    <x v="1"/>
    <n v="1"/>
    <n v="85"/>
    <m/>
    <x v="3"/>
  </r>
  <r>
    <x v="159"/>
    <x v="275"/>
    <s v="A271087"/>
    <x v="2"/>
    <n v="5"/>
    <n v="425"/>
    <n v="446.25"/>
    <x v="3"/>
  </r>
  <r>
    <x v="159"/>
    <x v="282"/>
    <s v="A343168"/>
    <x v="1"/>
    <n v="3"/>
    <n v="720"/>
    <n v="756"/>
    <x v="3"/>
  </r>
  <r>
    <x v="159"/>
    <x v="53"/>
    <s v="A249179"/>
    <x v="0"/>
    <n v="5"/>
    <n v="400"/>
    <n v="420"/>
    <x v="2"/>
  </r>
  <r>
    <x v="159"/>
    <x v="401"/>
    <s v="A347816"/>
    <x v="1"/>
    <n v="3"/>
    <n v="450"/>
    <n v="472.5"/>
    <x v="3"/>
  </r>
  <r>
    <x v="159"/>
    <x v="677"/>
    <s v="A318768"/>
    <x v="8"/>
    <n v="1"/>
    <n v="230"/>
    <m/>
    <x v="3"/>
  </r>
  <r>
    <x v="159"/>
    <x v="57"/>
    <s v="A292908"/>
    <x v="2"/>
    <n v="5"/>
    <n v="750"/>
    <n v="787.5"/>
    <x v="3"/>
  </r>
  <r>
    <x v="159"/>
    <x v="465"/>
    <s v="A260960"/>
    <x v="1"/>
    <n v="2"/>
    <n v="300"/>
    <m/>
    <x v="3"/>
  </r>
  <r>
    <x v="159"/>
    <x v="30"/>
    <s v="A233444"/>
    <x v="11"/>
    <n v="5"/>
    <n v="500"/>
    <n v="525"/>
    <x v="3"/>
  </r>
  <r>
    <x v="159"/>
    <x v="95"/>
    <m/>
    <x v="2"/>
    <n v="5"/>
    <n v="1195"/>
    <n v="1254.75"/>
    <x v="3"/>
  </r>
  <r>
    <x v="159"/>
    <x v="69"/>
    <s v="A243394"/>
    <x v="10"/>
    <n v="5"/>
    <n v="1100"/>
    <m/>
    <x v="3"/>
  </r>
  <r>
    <x v="159"/>
    <x v="293"/>
    <s v="A248825"/>
    <x v="0"/>
    <n v="10"/>
    <n v="780"/>
    <n v="819"/>
    <x v="2"/>
  </r>
  <r>
    <x v="159"/>
    <x v="666"/>
    <s v="A242628"/>
    <x v="1"/>
    <n v="3"/>
    <n v="510"/>
    <n v="535.5"/>
    <x v="3"/>
  </r>
  <r>
    <x v="159"/>
    <x v="666"/>
    <s v="A242628"/>
    <x v="2"/>
    <n v="5"/>
    <n v="850"/>
    <n v="892.5"/>
    <x v="3"/>
  </r>
  <r>
    <x v="159"/>
    <x v="667"/>
    <s v="A415887"/>
    <x v="11"/>
    <n v="5"/>
    <n v="850"/>
    <n v="892.5"/>
    <x v="3"/>
  </r>
  <r>
    <x v="159"/>
    <x v="97"/>
    <s v="A299992"/>
    <x v="0"/>
    <n v="5"/>
    <n v="375"/>
    <n v="393.75"/>
    <x v="1"/>
  </r>
  <r>
    <x v="159"/>
    <x v="138"/>
    <s v="A282344"/>
    <x v="2"/>
    <n v="15"/>
    <n v="1350"/>
    <n v="1417.5"/>
    <x v="3"/>
  </r>
  <r>
    <x v="159"/>
    <x v="202"/>
    <s v="A418088"/>
    <x v="11"/>
    <n v="25"/>
    <n v="2250"/>
    <n v="2362.5"/>
    <x v="3"/>
  </r>
  <r>
    <x v="159"/>
    <x v="202"/>
    <s v="A417151"/>
    <x v="0"/>
    <n v="30"/>
    <n v="2700"/>
    <n v="2835"/>
    <x v="5"/>
  </r>
  <r>
    <x v="159"/>
    <x v="32"/>
    <s v="A295591"/>
    <x v="1"/>
    <n v="8"/>
    <n v="1050"/>
    <n v="1102.5"/>
    <x v="3"/>
  </r>
  <r>
    <x v="159"/>
    <x v="509"/>
    <s v="A419374"/>
    <x v="11"/>
    <n v="5"/>
    <n v="450"/>
    <n v="472.5"/>
    <x v="3"/>
  </r>
  <r>
    <x v="159"/>
    <x v="678"/>
    <s v="A297626"/>
    <x v="10"/>
    <n v="1"/>
    <n v="270"/>
    <m/>
    <x v="3"/>
  </r>
  <r>
    <x v="159"/>
    <x v="247"/>
    <s v="A402013"/>
    <x v="11"/>
    <n v="5"/>
    <n v="325"/>
    <n v="341.25"/>
    <x v="3"/>
  </r>
  <r>
    <x v="159"/>
    <x v="679"/>
    <s v="P12880"/>
    <x v="1"/>
    <n v="1"/>
    <n v="130"/>
    <m/>
    <x v="3"/>
  </r>
  <r>
    <x v="159"/>
    <x v="679"/>
    <s v="P12880"/>
    <x v="1"/>
    <n v="7"/>
    <n v="780"/>
    <n v="819"/>
    <x v="3"/>
  </r>
  <r>
    <x v="159"/>
    <x v="422"/>
    <s v="A294408"/>
    <x v="0"/>
    <n v="5"/>
    <n v="875"/>
    <n v="918.75"/>
    <x v="2"/>
  </r>
  <r>
    <x v="159"/>
    <x v="680"/>
    <s v="P09390"/>
    <x v="2"/>
    <n v="3"/>
    <n v="795"/>
    <n v="834.75"/>
    <x v="3"/>
  </r>
  <r>
    <x v="159"/>
    <x v="346"/>
    <s v="A315997"/>
    <x v="0"/>
    <n v="5"/>
    <n v="875"/>
    <n v="918.75"/>
    <x v="2"/>
  </r>
  <r>
    <x v="159"/>
    <x v="103"/>
    <s v="A299996"/>
    <x v="10"/>
    <n v="1"/>
    <n v="190"/>
    <m/>
    <x v="3"/>
  </r>
  <r>
    <x v="159"/>
    <x v="121"/>
    <s v="A269419"/>
    <x v="10"/>
    <n v="1"/>
    <n v="230"/>
    <m/>
    <x v="3"/>
  </r>
  <r>
    <x v="159"/>
    <x v="121"/>
    <s v="A269419"/>
    <x v="8"/>
    <n v="5"/>
    <n v="1200"/>
    <m/>
    <x v="3"/>
  </r>
  <r>
    <x v="159"/>
    <x v="121"/>
    <s v="A269419"/>
    <x v="1"/>
    <n v="1"/>
    <n v="240"/>
    <n v="252"/>
    <x v="3"/>
  </r>
  <r>
    <x v="159"/>
    <x v="79"/>
    <s v="A299988"/>
    <x v="0"/>
    <n v="20"/>
    <n v="1600"/>
    <n v="1680"/>
    <x v="2"/>
  </r>
  <r>
    <x v="160"/>
    <x v="16"/>
    <s v="A241225"/>
    <x v="5"/>
    <n v="50"/>
    <n v="2000"/>
    <m/>
    <x v="3"/>
  </r>
  <r>
    <x v="160"/>
    <x v="10"/>
    <m/>
    <x v="5"/>
    <n v="20"/>
    <n v="1600"/>
    <m/>
    <x v="3"/>
  </r>
  <r>
    <x v="160"/>
    <x v="19"/>
    <s v="A233442"/>
    <x v="6"/>
    <n v="225"/>
    <n v="10900"/>
    <m/>
    <x v="3"/>
  </r>
  <r>
    <x v="161"/>
    <x v="2"/>
    <s v="A295987"/>
    <x v="0"/>
    <n v="25"/>
    <n v="2125"/>
    <n v="2231.25"/>
    <x v="1"/>
  </r>
  <r>
    <x v="161"/>
    <x v="27"/>
    <s v="A242640"/>
    <x v="0"/>
    <n v="25"/>
    <n v="1000"/>
    <n v="1050"/>
    <x v="1"/>
  </r>
  <r>
    <x v="162"/>
    <x v="6"/>
    <s v="A270578"/>
    <x v="9"/>
    <n v="25"/>
    <n v="1300"/>
    <m/>
    <x v="3"/>
  </r>
  <r>
    <x v="162"/>
    <x v="6"/>
    <s v="A270578"/>
    <x v="2"/>
    <n v="70"/>
    <n v="5200"/>
    <n v="2730"/>
    <x v="3"/>
  </r>
  <r>
    <x v="162"/>
    <x v="6"/>
    <s v="A270578"/>
    <x v="11"/>
    <n v="50"/>
    <n v="2600"/>
    <n v="2600"/>
    <x v="3"/>
  </r>
  <r>
    <x v="162"/>
    <x v="15"/>
    <m/>
    <x v="9"/>
    <n v="50"/>
    <n v="16750"/>
    <m/>
    <x v="3"/>
  </r>
  <r>
    <x v="162"/>
    <x v="15"/>
    <m/>
    <x v="2"/>
    <n v="25"/>
    <n v="8375"/>
    <m/>
    <x v="3"/>
  </r>
  <r>
    <x v="162"/>
    <x v="15"/>
    <m/>
    <x v="11"/>
    <n v="25"/>
    <n v="8375"/>
    <n v="8375"/>
    <x v="3"/>
  </r>
  <r>
    <x v="162"/>
    <x v="9"/>
    <s v="A234248"/>
    <x v="11"/>
    <n v="75"/>
    <n v="3900"/>
    <n v="3900"/>
    <x v="3"/>
  </r>
  <r>
    <x v="162"/>
    <x v="18"/>
    <m/>
    <x v="1"/>
    <n v="20"/>
    <n v="1700"/>
    <n v="1785"/>
    <x v="3"/>
  </r>
  <r>
    <x v="162"/>
    <x v="18"/>
    <m/>
    <x v="11"/>
    <n v="20"/>
    <n v="1700"/>
    <n v="1700"/>
    <x v="3"/>
  </r>
  <r>
    <x v="162"/>
    <x v="10"/>
    <m/>
    <x v="9"/>
    <n v="20"/>
    <n v="1500"/>
    <m/>
    <x v="3"/>
  </r>
  <r>
    <x v="162"/>
    <x v="10"/>
    <m/>
    <x v="1"/>
    <n v="20"/>
    <n v="1500"/>
    <n v="1575"/>
    <x v="3"/>
  </r>
  <r>
    <x v="162"/>
    <x v="10"/>
    <m/>
    <x v="2"/>
    <n v="45"/>
    <n v="3375"/>
    <n v="3543.75"/>
    <x v="3"/>
  </r>
  <r>
    <x v="162"/>
    <x v="10"/>
    <m/>
    <x v="11"/>
    <n v="20"/>
    <n v="1500"/>
    <n v="1500"/>
    <x v="3"/>
  </r>
  <r>
    <x v="162"/>
    <x v="19"/>
    <s v="A233442"/>
    <x v="1"/>
    <n v="25"/>
    <n v="1500"/>
    <n v="1575"/>
    <x v="3"/>
  </r>
  <r>
    <x v="162"/>
    <x v="247"/>
    <s v="A402013"/>
    <x v="11"/>
    <n v="25"/>
    <n v="1500"/>
    <n v="1500"/>
    <x v="3"/>
  </r>
  <r>
    <x v="163"/>
    <x v="681"/>
    <m/>
    <x v="5"/>
    <n v="20"/>
    <n v="6300"/>
    <m/>
    <x v="3"/>
  </r>
  <r>
    <x v="163"/>
    <x v="681"/>
    <m/>
    <x v="6"/>
    <n v="60"/>
    <n v="18900"/>
    <m/>
    <x v="3"/>
  </r>
  <r>
    <x v="163"/>
    <x v="681"/>
    <m/>
    <x v="7"/>
    <n v="55"/>
    <n v="17325"/>
    <m/>
    <x v="3"/>
  </r>
  <r>
    <x v="163"/>
    <x v="681"/>
    <m/>
    <x v="10"/>
    <n v="60"/>
    <n v="18900"/>
    <m/>
    <x v="3"/>
  </r>
  <r>
    <x v="163"/>
    <x v="681"/>
    <m/>
    <x v="8"/>
    <n v="60"/>
    <n v="18900"/>
    <m/>
    <x v="3"/>
  </r>
  <r>
    <x v="163"/>
    <x v="681"/>
    <m/>
    <x v="9"/>
    <n v="90"/>
    <n v="28350"/>
    <m/>
    <x v="3"/>
  </r>
  <r>
    <x v="163"/>
    <x v="18"/>
    <m/>
    <x v="10"/>
    <n v="20"/>
    <n v="1800"/>
    <m/>
    <x v="3"/>
  </r>
  <r>
    <x v="163"/>
    <x v="18"/>
    <m/>
    <x v="9"/>
    <n v="20"/>
    <n v="1800"/>
    <m/>
    <x v="3"/>
  </r>
  <r>
    <x v="163"/>
    <x v="432"/>
    <m/>
    <x v="10"/>
    <n v="20"/>
    <n v="1800"/>
    <m/>
    <x v="3"/>
  </r>
  <r>
    <x v="163"/>
    <x v="123"/>
    <m/>
    <x v="6"/>
    <n v="20"/>
    <n v="1800"/>
    <m/>
    <x v="3"/>
  </r>
  <r>
    <x v="163"/>
    <x v="123"/>
    <m/>
    <x v="9"/>
    <n v="20"/>
    <n v="1800"/>
    <m/>
    <x v="3"/>
  </r>
  <r>
    <x v="163"/>
    <x v="10"/>
    <m/>
    <x v="5"/>
    <n v="220"/>
    <n v="15400"/>
    <m/>
    <x v="3"/>
  </r>
  <r>
    <x v="163"/>
    <x v="10"/>
    <m/>
    <x v="6"/>
    <n v="180"/>
    <n v="13500"/>
    <m/>
    <x v="3"/>
  </r>
  <r>
    <x v="163"/>
    <x v="10"/>
    <m/>
    <x v="7"/>
    <n v="80"/>
    <n v="6200"/>
    <m/>
    <x v="3"/>
  </r>
  <r>
    <x v="163"/>
    <x v="10"/>
    <m/>
    <x v="10"/>
    <n v="20"/>
    <n v="1600"/>
    <m/>
    <x v="3"/>
  </r>
  <r>
    <x v="163"/>
    <x v="10"/>
    <m/>
    <x v="8"/>
    <n v="20"/>
    <n v="1600"/>
    <m/>
    <x v="3"/>
  </r>
  <r>
    <x v="163"/>
    <x v="10"/>
    <m/>
    <x v="9"/>
    <n v="20"/>
    <n v="1600"/>
    <m/>
    <x v="3"/>
  </r>
  <r>
    <x v="163"/>
    <x v="10"/>
    <m/>
    <x v="1"/>
    <n v="20"/>
    <n v="1600"/>
    <n v="1680"/>
    <x v="3"/>
  </r>
  <r>
    <x v="163"/>
    <x v="433"/>
    <m/>
    <x v="6"/>
    <n v="20"/>
    <n v="1800"/>
    <m/>
    <x v="3"/>
  </r>
  <r>
    <x v="163"/>
    <x v="433"/>
    <m/>
    <x v="7"/>
    <n v="20"/>
    <n v="1800"/>
    <m/>
    <x v="3"/>
  </r>
  <r>
    <x v="163"/>
    <x v="433"/>
    <m/>
    <x v="8"/>
    <n v="20"/>
    <n v="1800"/>
    <m/>
    <x v="3"/>
  </r>
  <r>
    <x v="164"/>
    <x v="10"/>
    <m/>
    <x v="2"/>
    <n v="50"/>
    <n v="3250"/>
    <n v="3412.5"/>
    <x v="3"/>
  </r>
  <r>
    <x v="165"/>
    <x v="682"/>
    <m/>
    <x v="11"/>
    <n v="1"/>
    <n v="265"/>
    <n v="265"/>
    <x v="3"/>
  </r>
  <r>
    <x v="165"/>
    <x v="683"/>
    <s v="P09427"/>
    <x v="11"/>
    <n v="5"/>
    <n v="1100"/>
    <n v="1100"/>
    <x v="3"/>
  </r>
  <r>
    <x v="165"/>
    <x v="422"/>
    <s v="A294408"/>
    <x v="11"/>
    <n v="5"/>
    <n v="950"/>
    <n v="950"/>
    <x v="3"/>
  </r>
  <r>
    <x v="166"/>
    <x v="316"/>
    <s v="A258812"/>
    <x v="2"/>
    <n v="16"/>
    <n v="1760"/>
    <m/>
    <x v="3"/>
  </r>
  <r>
    <x v="166"/>
    <x v="562"/>
    <s v="A419375"/>
    <x v="11"/>
    <n v="1"/>
    <n v="170"/>
    <n v="170"/>
    <x v="3"/>
  </r>
  <r>
    <x v="166"/>
    <x v="684"/>
    <m/>
    <x v="0"/>
    <n v="2"/>
    <n v="500"/>
    <n v="500"/>
    <x v="4"/>
  </r>
  <r>
    <x v="166"/>
    <x v="144"/>
    <s v="A256430"/>
    <x v="2"/>
    <n v="1"/>
    <n v="250"/>
    <m/>
    <x v="3"/>
  </r>
  <r>
    <x v="166"/>
    <x v="606"/>
    <s v="A251909"/>
    <x v="2"/>
    <n v="1"/>
    <n v="160"/>
    <m/>
    <x v="3"/>
  </r>
  <r>
    <x v="166"/>
    <x v="38"/>
    <s v="A273820"/>
    <x v="2"/>
    <n v="1"/>
    <n v="85"/>
    <n v="89.25"/>
    <x v="3"/>
  </r>
  <r>
    <x v="166"/>
    <x v="364"/>
    <s v="A302349"/>
    <x v="2"/>
    <n v="1"/>
    <n v="235"/>
    <n v="246.75"/>
    <x v="3"/>
  </r>
  <r>
    <x v="166"/>
    <x v="298"/>
    <s v="A416950"/>
    <x v="0"/>
    <n v="2"/>
    <n v="420"/>
    <n v="420"/>
    <x v="2"/>
  </r>
  <r>
    <x v="166"/>
    <x v="23"/>
    <m/>
    <x v="2"/>
    <n v="1"/>
    <n v="350"/>
    <n v="367.5"/>
    <x v="2"/>
  </r>
  <r>
    <x v="166"/>
    <x v="23"/>
    <m/>
    <x v="0"/>
    <n v="3"/>
    <n v="850"/>
    <n v="270"/>
    <x v="2"/>
  </r>
  <r>
    <x v="166"/>
    <x v="279"/>
    <m/>
    <x v="2"/>
    <n v="11"/>
    <n v="2475"/>
    <n v="2415"/>
    <x v="3"/>
  </r>
  <r>
    <x v="166"/>
    <x v="365"/>
    <s v="A285878"/>
    <x v="2"/>
    <n v="1"/>
    <n v="160"/>
    <n v="168"/>
    <x v="3"/>
  </r>
  <r>
    <x v="166"/>
    <x v="320"/>
    <s v="A272788"/>
    <x v="0"/>
    <n v="1"/>
    <n v="80"/>
    <n v="80"/>
    <x v="1"/>
  </r>
  <r>
    <x v="166"/>
    <x v="411"/>
    <s v="A265729"/>
    <x v="2"/>
    <n v="1"/>
    <n v="270"/>
    <n v="283.5"/>
    <x v="3"/>
  </r>
  <r>
    <x v="166"/>
    <x v="367"/>
    <s v="P14424"/>
    <x v="11"/>
    <n v="1"/>
    <n v="220"/>
    <n v="220"/>
    <x v="1"/>
  </r>
  <r>
    <x v="166"/>
    <x v="367"/>
    <s v="P14424"/>
    <x v="0"/>
    <n v="4"/>
    <n v="437.5"/>
    <n v="220"/>
    <x v="1"/>
  </r>
  <r>
    <x v="166"/>
    <x v="125"/>
    <s v="A238189"/>
    <x v="11"/>
    <n v="1"/>
    <n v="240"/>
    <n v="240"/>
    <x v="3"/>
  </r>
  <r>
    <x v="166"/>
    <x v="126"/>
    <s v="A406595"/>
    <x v="2"/>
    <n v="5"/>
    <n v="900"/>
    <m/>
    <x v="3"/>
  </r>
  <r>
    <x v="166"/>
    <x v="127"/>
    <s v="A343168"/>
    <x v="0"/>
    <n v="1"/>
    <n v="120"/>
    <n v="120"/>
    <x v="2"/>
  </r>
  <r>
    <x v="166"/>
    <x v="207"/>
    <m/>
    <x v="2"/>
    <n v="1"/>
    <n v="260"/>
    <n v="273"/>
    <x v="3"/>
  </r>
  <r>
    <x v="166"/>
    <x v="128"/>
    <s v="A269415"/>
    <x v="2"/>
    <n v="1"/>
    <n v="50"/>
    <m/>
    <x v="2"/>
  </r>
  <r>
    <x v="166"/>
    <x v="128"/>
    <s v="A269415"/>
    <x v="0"/>
    <n v="1"/>
    <n v="190"/>
    <n v="190"/>
    <x v="2"/>
  </r>
  <r>
    <x v="166"/>
    <x v="685"/>
    <s v="P09427"/>
    <x v="2"/>
    <n v="3"/>
    <n v="1100"/>
    <n v="1155"/>
    <x v="3"/>
  </r>
  <r>
    <x v="166"/>
    <x v="400"/>
    <s v="A421292"/>
    <x v="11"/>
    <n v="1"/>
    <n v="190"/>
    <n v="190"/>
    <x v="2"/>
  </r>
  <r>
    <x v="166"/>
    <x v="400"/>
    <s v="A421292"/>
    <x v="0"/>
    <n v="1"/>
    <n v="200"/>
    <n v="200"/>
    <x v="2"/>
  </r>
  <r>
    <x v="166"/>
    <x v="340"/>
    <m/>
    <x v="11"/>
    <n v="10"/>
    <n v="800"/>
    <n v="800"/>
    <x v="3"/>
  </r>
  <r>
    <x v="166"/>
    <x v="256"/>
    <s v="A407971"/>
    <x v="11"/>
    <n v="3"/>
    <n v="600"/>
    <n v="600"/>
    <x v="3"/>
  </r>
  <r>
    <x v="166"/>
    <x v="686"/>
    <s v="A413848"/>
    <x v="0"/>
    <n v="1"/>
    <n v="175"/>
    <n v="175"/>
    <x v="2"/>
  </r>
  <r>
    <x v="166"/>
    <x v="271"/>
    <s v="A401493"/>
    <x v="11"/>
    <n v="2"/>
    <n v="360"/>
    <n v="360"/>
    <x v="2"/>
  </r>
  <r>
    <x v="166"/>
    <x v="271"/>
    <s v="A401493"/>
    <x v="0"/>
    <n v="1"/>
    <n v="180"/>
    <n v="180"/>
    <x v="2"/>
  </r>
  <r>
    <x v="166"/>
    <x v="5"/>
    <s v="A249720"/>
    <x v="9"/>
    <n v="5"/>
    <n v="4750"/>
    <m/>
    <x v="3"/>
  </r>
  <r>
    <x v="166"/>
    <x v="272"/>
    <s v="A246994"/>
    <x v="0"/>
    <n v="1"/>
    <n v="95"/>
    <n v="95"/>
    <x v="6"/>
  </r>
  <r>
    <x v="166"/>
    <x v="130"/>
    <s v="P01022"/>
    <x v="2"/>
    <n v="1"/>
    <n v="110"/>
    <m/>
    <x v="3"/>
  </r>
  <r>
    <x v="166"/>
    <x v="324"/>
    <s v="A241362"/>
    <x v="0"/>
    <n v="1"/>
    <n v="220"/>
    <n v="220"/>
    <x v="2"/>
  </r>
  <r>
    <x v="166"/>
    <x v="258"/>
    <s v="A352612"/>
    <x v="2"/>
    <n v="26"/>
    <n v="4200"/>
    <m/>
    <x v="3"/>
  </r>
  <r>
    <x v="166"/>
    <x v="258"/>
    <s v="A352612"/>
    <x v="11"/>
    <n v="5"/>
    <n v="875"/>
    <n v="875"/>
    <x v="3"/>
  </r>
  <r>
    <x v="166"/>
    <x v="687"/>
    <m/>
    <x v="0"/>
    <n v="1.5"/>
    <n v="257.5"/>
    <n v="257.5"/>
    <x v="3"/>
  </r>
  <r>
    <x v="166"/>
    <x v="688"/>
    <m/>
    <x v="0"/>
    <n v="1"/>
    <n v="70"/>
    <n v="70"/>
    <x v="3"/>
  </r>
  <r>
    <x v="166"/>
    <x v="689"/>
    <s v="A403148"/>
    <x v="11"/>
    <n v="1"/>
    <n v="180"/>
    <n v="180"/>
    <x v="2"/>
  </r>
  <r>
    <x v="166"/>
    <x v="689"/>
    <s v="A403148"/>
    <x v="0"/>
    <n v="1"/>
    <n v="180"/>
    <n v="180"/>
    <x v="2"/>
  </r>
  <r>
    <x v="166"/>
    <x v="132"/>
    <s v="A242452"/>
    <x v="11"/>
    <n v="1"/>
    <n v="180"/>
    <n v="180"/>
    <x v="3"/>
  </r>
  <r>
    <x v="166"/>
    <x v="690"/>
    <s v="A423310"/>
    <x v="11"/>
    <n v="1"/>
    <n v="180"/>
    <n v="180"/>
    <x v="3"/>
  </r>
  <r>
    <x v="166"/>
    <x v="374"/>
    <s v="P782894"/>
    <x v="0"/>
    <n v="10"/>
    <n v="750"/>
    <n v="750"/>
    <x v="2"/>
  </r>
  <r>
    <x v="166"/>
    <x v="691"/>
    <s v="A245818"/>
    <x v="2"/>
    <n v="8"/>
    <n v="1465"/>
    <m/>
    <x v="3"/>
  </r>
  <r>
    <x v="166"/>
    <x v="692"/>
    <s v="A415891"/>
    <x v="11"/>
    <n v="2"/>
    <n v="370"/>
    <n v="370"/>
    <x v="2"/>
  </r>
  <r>
    <x v="166"/>
    <x v="692"/>
    <s v="A415891"/>
    <x v="0"/>
    <n v="1"/>
    <n v="180"/>
    <n v="180"/>
    <x v="2"/>
  </r>
  <r>
    <x v="166"/>
    <x v="25"/>
    <s v="A415883"/>
    <x v="11"/>
    <n v="4"/>
    <n v="782"/>
    <n v="821.1"/>
    <x v="3"/>
  </r>
  <r>
    <x v="166"/>
    <x v="6"/>
    <s v="A270578"/>
    <x v="11"/>
    <n v="10"/>
    <n v="770"/>
    <n v="770"/>
    <x v="3"/>
  </r>
  <r>
    <x v="166"/>
    <x v="15"/>
    <m/>
    <x v="0"/>
    <n v="10"/>
    <n v="3050"/>
    <n v="3050"/>
    <x v="2"/>
  </r>
  <r>
    <x v="166"/>
    <x v="659"/>
    <m/>
    <x v="11"/>
    <n v="25"/>
    <n v="1905"/>
    <n v="2000.25"/>
    <x v="3"/>
  </r>
  <r>
    <x v="166"/>
    <x v="693"/>
    <s v="A268070"/>
    <x v="2"/>
    <n v="1"/>
    <n v="160"/>
    <m/>
    <x v="3"/>
  </r>
  <r>
    <x v="166"/>
    <x v="328"/>
    <s v="A285349"/>
    <x v="11"/>
    <n v="3"/>
    <n v="290"/>
    <n v="290"/>
    <x v="3"/>
  </r>
  <r>
    <x v="166"/>
    <x v="302"/>
    <m/>
    <x v="0"/>
    <n v="1"/>
    <n v="242"/>
    <n v="242"/>
    <x v="2"/>
  </r>
  <r>
    <x v="166"/>
    <x v="46"/>
    <s v="A234876"/>
    <x v="2"/>
    <n v="25"/>
    <n v="4860"/>
    <m/>
    <x v="2"/>
  </r>
  <r>
    <x v="166"/>
    <x v="46"/>
    <s v="A234876"/>
    <x v="11"/>
    <n v="1"/>
    <n v="220"/>
    <n v="220"/>
    <x v="2"/>
  </r>
  <r>
    <x v="166"/>
    <x v="46"/>
    <s v="A234876"/>
    <x v="0"/>
    <n v="1.5"/>
    <n v="330"/>
    <n v="110"/>
    <x v="2"/>
  </r>
  <r>
    <x v="166"/>
    <x v="567"/>
    <s v="A255319"/>
    <x v="11"/>
    <n v="1"/>
    <n v="180"/>
    <n v="180"/>
    <x v="3"/>
  </r>
  <r>
    <x v="166"/>
    <x v="133"/>
    <s v="A281055"/>
    <x v="2"/>
    <n v="1"/>
    <n v="180"/>
    <m/>
    <x v="2"/>
  </r>
  <r>
    <x v="166"/>
    <x v="133"/>
    <s v="A281055"/>
    <x v="11"/>
    <n v="1"/>
    <n v="180"/>
    <n v="180"/>
    <x v="2"/>
  </r>
  <r>
    <x v="166"/>
    <x v="133"/>
    <s v="A281055"/>
    <x v="0"/>
    <n v="1"/>
    <n v="170"/>
    <n v="170"/>
    <x v="2"/>
  </r>
  <r>
    <x v="166"/>
    <x v="261"/>
    <m/>
    <x v="0"/>
    <n v="1"/>
    <n v="273"/>
    <n v="273"/>
    <x v="2"/>
  </r>
  <r>
    <x v="166"/>
    <x v="694"/>
    <s v="A245190"/>
    <x v="2"/>
    <n v="3"/>
    <n v="550"/>
    <n v="189"/>
    <x v="3"/>
  </r>
  <r>
    <x v="166"/>
    <x v="695"/>
    <s v="A419376"/>
    <x v="11"/>
    <n v="2"/>
    <n v="370"/>
    <n v="370"/>
    <x v="2"/>
  </r>
  <r>
    <x v="166"/>
    <x v="695"/>
    <s v="A419376"/>
    <x v="0"/>
    <n v="1"/>
    <n v="180"/>
    <n v="180"/>
    <x v="2"/>
  </r>
  <r>
    <x v="166"/>
    <x v="48"/>
    <s v="A245955"/>
    <x v="2"/>
    <n v="2"/>
    <n v="275"/>
    <m/>
    <x v="3"/>
  </r>
  <r>
    <x v="166"/>
    <x v="502"/>
    <s v="A260960"/>
    <x v="11"/>
    <n v="1"/>
    <n v="65"/>
    <n v="65"/>
    <x v="3"/>
  </r>
  <r>
    <x v="166"/>
    <x v="274"/>
    <s v="P19035"/>
    <x v="2"/>
    <n v="70"/>
    <n v="11200"/>
    <m/>
    <x v="2"/>
  </r>
  <r>
    <x v="166"/>
    <x v="274"/>
    <s v="P19035"/>
    <x v="11"/>
    <n v="2"/>
    <n v="380"/>
    <n v="380"/>
    <x v="2"/>
  </r>
  <r>
    <x v="166"/>
    <x v="274"/>
    <s v="P19035"/>
    <x v="0"/>
    <n v="1"/>
    <n v="220"/>
    <n v="220"/>
    <x v="2"/>
  </r>
  <r>
    <x v="166"/>
    <x v="49"/>
    <s v="P19684"/>
    <x v="2"/>
    <n v="3"/>
    <n v="640"/>
    <n v="231"/>
    <x v="2"/>
  </r>
  <r>
    <x v="166"/>
    <x v="49"/>
    <s v="P19684"/>
    <x v="11"/>
    <n v="1"/>
    <n v="210"/>
    <n v="210"/>
    <x v="2"/>
  </r>
  <r>
    <x v="166"/>
    <x v="49"/>
    <s v="P19684"/>
    <x v="0"/>
    <n v="1"/>
    <n v="200"/>
    <n v="200"/>
    <x v="2"/>
  </r>
  <r>
    <x v="166"/>
    <x v="134"/>
    <s v="P04017"/>
    <x v="2"/>
    <n v="2"/>
    <n v="500"/>
    <n v="273"/>
    <x v="2"/>
  </r>
  <r>
    <x v="166"/>
    <x v="134"/>
    <s v="P04017"/>
    <x v="11"/>
    <n v="2"/>
    <n v="360"/>
    <n v="360"/>
    <x v="2"/>
  </r>
  <r>
    <x v="166"/>
    <x v="134"/>
    <s v="P04017"/>
    <x v="0"/>
    <n v="3"/>
    <n v="630"/>
    <n v="350"/>
    <x v="2"/>
  </r>
  <r>
    <x v="166"/>
    <x v="696"/>
    <s v="A257635"/>
    <x v="2"/>
    <n v="3"/>
    <n v="600"/>
    <n v="210"/>
    <x v="2"/>
  </r>
  <r>
    <x v="166"/>
    <x v="696"/>
    <s v="A257635"/>
    <x v="11"/>
    <n v="1"/>
    <n v="190"/>
    <n v="190"/>
    <x v="2"/>
  </r>
  <r>
    <x v="166"/>
    <x v="696"/>
    <s v="A257635"/>
    <x v="0"/>
    <n v="1"/>
    <n v="185"/>
    <n v="185"/>
    <x v="2"/>
  </r>
  <r>
    <x v="166"/>
    <x v="3"/>
    <s v="A236167"/>
    <x v="2"/>
    <n v="1"/>
    <n v="90"/>
    <n v="94.5"/>
    <x v="3"/>
  </r>
  <r>
    <x v="166"/>
    <x v="135"/>
    <s v="A329793"/>
    <x v="2"/>
    <n v="1"/>
    <n v="190"/>
    <n v="199.5"/>
    <x v="3"/>
  </r>
  <r>
    <x v="166"/>
    <x v="275"/>
    <s v="A271087"/>
    <x v="11"/>
    <n v="21"/>
    <n v="1740"/>
    <n v="1740"/>
    <x v="3"/>
  </r>
  <r>
    <x v="166"/>
    <x v="697"/>
    <s v="A261335"/>
    <x v="2"/>
    <n v="7"/>
    <n v="770"/>
    <m/>
    <x v="3"/>
  </r>
  <r>
    <x v="166"/>
    <x v="55"/>
    <s v="A403816"/>
    <x v="2"/>
    <n v="14"/>
    <n v="2700"/>
    <m/>
    <x v="3"/>
  </r>
  <r>
    <x v="166"/>
    <x v="231"/>
    <s v="A410391"/>
    <x v="0"/>
    <n v="11"/>
    <n v="825"/>
    <n v="825"/>
    <x v="51"/>
  </r>
  <r>
    <x v="166"/>
    <x v="94"/>
    <s v="A339929"/>
    <x v="0"/>
    <n v="10"/>
    <n v="770"/>
    <n v="770"/>
    <x v="2"/>
  </r>
  <r>
    <x v="166"/>
    <x v="303"/>
    <s v="A403149"/>
    <x v="11"/>
    <n v="2"/>
    <n v="350"/>
    <n v="350"/>
    <x v="2"/>
  </r>
  <r>
    <x v="166"/>
    <x v="303"/>
    <s v="A403149"/>
    <x v="0"/>
    <n v="1.5"/>
    <n v="177.5"/>
    <n v="177.5"/>
    <x v="2"/>
  </r>
  <r>
    <x v="166"/>
    <x v="60"/>
    <m/>
    <x v="11"/>
    <n v="2"/>
    <n v="620"/>
    <n v="620"/>
    <x v="3"/>
  </r>
  <r>
    <x v="166"/>
    <x v="61"/>
    <m/>
    <x v="11"/>
    <n v="2"/>
    <n v="600"/>
    <n v="600"/>
    <x v="3"/>
  </r>
  <r>
    <x v="166"/>
    <x v="62"/>
    <m/>
    <x v="2"/>
    <n v="1"/>
    <n v="260"/>
    <m/>
    <x v="3"/>
  </r>
  <r>
    <x v="166"/>
    <x v="63"/>
    <m/>
    <x v="11"/>
    <n v="2"/>
    <n v="600"/>
    <n v="600"/>
    <x v="3"/>
  </r>
  <r>
    <x v="166"/>
    <x v="682"/>
    <m/>
    <x v="2"/>
    <n v="1"/>
    <n v="260"/>
    <m/>
    <x v="2"/>
  </r>
  <r>
    <x v="166"/>
    <x v="682"/>
    <m/>
    <x v="11"/>
    <n v="5"/>
    <n v="1372"/>
    <n v="1372"/>
    <x v="2"/>
  </r>
  <r>
    <x v="166"/>
    <x v="682"/>
    <m/>
    <x v="0"/>
    <n v="3.5"/>
    <n v="797.5"/>
    <n v="260"/>
    <x v="2"/>
  </r>
  <r>
    <x v="166"/>
    <x v="262"/>
    <s v="P08976"/>
    <x v="2"/>
    <n v="5"/>
    <n v="1100"/>
    <n v="1155"/>
    <x v="3"/>
  </r>
  <r>
    <x v="166"/>
    <x v="262"/>
    <s v="P08976"/>
    <x v="11"/>
    <n v="1"/>
    <n v="230"/>
    <n v="230"/>
    <x v="3"/>
  </r>
  <r>
    <x v="166"/>
    <x v="196"/>
    <s v="A240864"/>
    <x v="11"/>
    <n v="1"/>
    <n v="200"/>
    <n v="200"/>
    <x v="5"/>
  </r>
  <r>
    <x v="166"/>
    <x v="196"/>
    <s v="A240864"/>
    <x v="0"/>
    <n v="1"/>
    <n v="200"/>
    <n v="200"/>
    <x v="5"/>
  </r>
  <r>
    <x v="166"/>
    <x v="30"/>
    <s v="A233444"/>
    <x v="0"/>
    <n v="10"/>
    <n v="870"/>
    <n v="870"/>
    <x v="2"/>
  </r>
  <r>
    <x v="166"/>
    <x v="212"/>
    <s v="P05636"/>
    <x v="2"/>
    <n v="1"/>
    <n v="262.5"/>
    <n v="275.625"/>
    <x v="3"/>
  </r>
  <r>
    <x v="166"/>
    <x v="95"/>
    <m/>
    <x v="2"/>
    <n v="1"/>
    <n v="550"/>
    <m/>
    <x v="3"/>
  </r>
  <r>
    <x v="166"/>
    <x v="95"/>
    <m/>
    <x v="11"/>
    <n v="10"/>
    <n v="2300"/>
    <n v="2300"/>
    <x v="3"/>
  </r>
  <r>
    <x v="166"/>
    <x v="698"/>
    <m/>
    <x v="11"/>
    <n v="4"/>
    <n v="56"/>
    <n v="56"/>
    <x v="3"/>
  </r>
  <r>
    <x v="166"/>
    <x v="421"/>
    <s v="A243394"/>
    <x v="2"/>
    <n v="1"/>
    <n v="190"/>
    <m/>
    <x v="2"/>
  </r>
  <r>
    <x v="166"/>
    <x v="421"/>
    <s v="A243394"/>
    <x v="11"/>
    <n v="3"/>
    <n v="520"/>
    <n v="520"/>
    <x v="2"/>
  </r>
  <r>
    <x v="166"/>
    <x v="421"/>
    <s v="A243394"/>
    <x v="0"/>
    <n v="1"/>
    <n v="170"/>
    <n v="170"/>
    <x v="2"/>
  </r>
  <r>
    <x v="166"/>
    <x v="699"/>
    <s v="A242628"/>
    <x v="11"/>
    <n v="1"/>
    <n v="90"/>
    <n v="90"/>
    <x v="3"/>
  </r>
  <r>
    <x v="166"/>
    <x v="667"/>
    <s v="A415887"/>
    <x v="11"/>
    <n v="2"/>
    <n v="350"/>
    <n v="350"/>
    <x v="2"/>
  </r>
  <r>
    <x v="166"/>
    <x v="667"/>
    <s v="A415887"/>
    <x v="0"/>
    <n v="1"/>
    <n v="175"/>
    <n v="175"/>
    <x v="2"/>
  </r>
  <r>
    <x v="166"/>
    <x v="410"/>
    <m/>
    <x v="2"/>
    <n v="1"/>
    <n v="280"/>
    <m/>
    <x v="3"/>
  </r>
  <r>
    <x v="166"/>
    <x v="166"/>
    <s v="A231706"/>
    <x v="2"/>
    <n v="1"/>
    <n v="85"/>
    <n v="89.25"/>
    <x v="3"/>
  </r>
  <r>
    <x v="166"/>
    <x v="344"/>
    <s v="A415791"/>
    <x v="11"/>
    <n v="1"/>
    <n v="137"/>
    <n v="137"/>
    <x v="3"/>
  </r>
  <r>
    <x v="166"/>
    <x v="245"/>
    <s v="A282313"/>
    <x v="0"/>
    <n v="10"/>
    <n v="670"/>
    <n v="670"/>
    <x v="2"/>
  </r>
  <r>
    <x v="166"/>
    <x v="252"/>
    <s v="A408098"/>
    <x v="0"/>
    <n v="10"/>
    <n v="720"/>
    <n v="720"/>
    <x v="5"/>
  </r>
  <r>
    <x v="166"/>
    <x v="137"/>
    <s v="P21021"/>
    <x v="11"/>
    <n v="1"/>
    <n v="240"/>
    <n v="240"/>
    <x v="5"/>
  </r>
  <r>
    <x v="166"/>
    <x v="137"/>
    <s v="P21021"/>
    <x v="0"/>
    <n v="3"/>
    <n v="472"/>
    <n v="230"/>
    <x v="5"/>
  </r>
  <r>
    <x v="166"/>
    <x v="499"/>
    <s v="A282344"/>
    <x v="2"/>
    <n v="7"/>
    <n v="1080"/>
    <m/>
    <x v="3"/>
  </r>
  <r>
    <x v="166"/>
    <x v="499"/>
    <s v="A282344"/>
    <x v="2"/>
    <n v="7"/>
    <n v="1190"/>
    <n v="1249.5"/>
    <x v="3"/>
  </r>
  <r>
    <x v="166"/>
    <x v="138"/>
    <s v="A282344"/>
    <x v="2"/>
    <n v="5"/>
    <n v="800"/>
    <n v="840"/>
    <x v="3"/>
  </r>
  <r>
    <x v="166"/>
    <x v="202"/>
    <s v="A417151"/>
    <x v="11"/>
    <n v="28"/>
    <n v="3790"/>
    <n v="3790"/>
    <x v="2"/>
  </r>
  <r>
    <x v="166"/>
    <x v="202"/>
    <s v="A418088"/>
    <x v="11"/>
    <n v="2"/>
    <n v="280"/>
    <n v="280"/>
    <x v="3"/>
  </r>
  <r>
    <x v="166"/>
    <x v="202"/>
    <s v="A418088"/>
    <x v="11"/>
    <n v="1"/>
    <n v="190"/>
    <n v="190"/>
    <x v="3"/>
  </r>
  <r>
    <x v="166"/>
    <x v="202"/>
    <s v="A417151"/>
    <x v="0"/>
    <n v="2"/>
    <n v="340"/>
    <n v="340"/>
    <x v="2"/>
  </r>
  <r>
    <x v="166"/>
    <x v="139"/>
    <s v="P08499"/>
    <x v="11"/>
    <n v="2"/>
    <n v="460"/>
    <n v="460"/>
    <x v="2"/>
  </r>
  <r>
    <x v="166"/>
    <x v="139"/>
    <s v="P08499"/>
    <x v="0"/>
    <n v="1"/>
    <n v="220"/>
    <n v="220"/>
    <x v="2"/>
  </r>
  <r>
    <x v="166"/>
    <x v="304"/>
    <s v="A271046"/>
    <x v="2"/>
    <n v="1"/>
    <n v="240"/>
    <n v="252"/>
    <x v="3"/>
  </r>
  <r>
    <x v="166"/>
    <x v="335"/>
    <s v="A349425"/>
    <x v="0"/>
    <n v="1"/>
    <n v="90"/>
    <n v="90"/>
    <x v="2"/>
  </r>
  <r>
    <x v="166"/>
    <x v="32"/>
    <s v="A295591"/>
    <x v="2"/>
    <n v="5"/>
    <n v="900"/>
    <m/>
    <x v="3"/>
  </r>
  <r>
    <x v="166"/>
    <x v="32"/>
    <s v="A295591"/>
    <x v="11"/>
    <n v="2"/>
    <n v="290"/>
    <n v="290"/>
    <x v="3"/>
  </r>
  <r>
    <x v="166"/>
    <x v="168"/>
    <s v="A295590"/>
    <x v="2"/>
    <n v="27"/>
    <n v="4115"/>
    <m/>
    <x v="2"/>
  </r>
  <r>
    <x v="166"/>
    <x v="168"/>
    <s v="A295590"/>
    <x v="11"/>
    <n v="13"/>
    <n v="2310"/>
    <n v="2310"/>
    <x v="2"/>
  </r>
  <r>
    <x v="166"/>
    <x v="168"/>
    <s v="A295590"/>
    <x v="0"/>
    <n v="8"/>
    <n v="1410"/>
    <n v="1410"/>
    <x v="2"/>
  </r>
  <r>
    <x v="166"/>
    <x v="432"/>
    <m/>
    <x v="1"/>
    <n v="1"/>
    <n v="90"/>
    <n v="94.5"/>
    <x v="3"/>
  </r>
  <r>
    <x v="166"/>
    <x v="432"/>
    <m/>
    <x v="2"/>
    <n v="20"/>
    <n v="1300"/>
    <n v="1365"/>
    <x v="3"/>
  </r>
  <r>
    <x v="166"/>
    <x v="305"/>
    <s v="A338959"/>
    <x v="11"/>
    <n v="1"/>
    <n v="190"/>
    <n v="190"/>
    <x v="3"/>
  </r>
  <r>
    <x v="166"/>
    <x v="247"/>
    <s v="A402013"/>
    <x v="2"/>
    <n v="1"/>
    <n v="80"/>
    <n v="84"/>
    <x v="3"/>
  </r>
  <r>
    <x v="166"/>
    <x v="683"/>
    <s v="P09427"/>
    <x v="2"/>
    <n v="3"/>
    <n v="1110"/>
    <n v="1165.5"/>
    <x v="5"/>
  </r>
  <r>
    <x v="166"/>
    <x v="683"/>
    <s v="P09427"/>
    <x v="11"/>
    <n v="1"/>
    <n v="215"/>
    <n v="215"/>
    <x v="5"/>
  </r>
  <r>
    <x v="166"/>
    <x v="683"/>
    <s v="P09427"/>
    <x v="0"/>
    <n v="3.5"/>
    <n v="657.5"/>
    <n v="657.5"/>
    <x v="5"/>
  </r>
  <r>
    <x v="166"/>
    <x v="169"/>
    <s v="A286825"/>
    <x v="2"/>
    <n v="5"/>
    <n v="1150"/>
    <n v="1207.5"/>
    <x v="3"/>
  </r>
  <r>
    <x v="166"/>
    <x v="422"/>
    <s v="A294408"/>
    <x v="11"/>
    <n v="1"/>
    <n v="190"/>
    <n v="190"/>
    <x v="3"/>
  </r>
  <r>
    <x v="166"/>
    <x v="680"/>
    <s v="P09390"/>
    <x v="2"/>
    <n v="1"/>
    <n v="280"/>
    <m/>
    <x v="3"/>
  </r>
  <r>
    <x v="166"/>
    <x v="680"/>
    <s v="P09390"/>
    <x v="11"/>
    <n v="2"/>
    <n v="510"/>
    <n v="510"/>
    <x v="3"/>
  </r>
  <r>
    <x v="167"/>
    <x v="355"/>
    <s v="A401230"/>
    <x v="1"/>
    <n v="25"/>
    <n v="1500"/>
    <n v="1575"/>
    <x v="3"/>
  </r>
  <r>
    <x v="168"/>
    <x v="544"/>
    <s v="A294408"/>
    <x v="1"/>
    <n v="0.5"/>
    <n v="110"/>
    <n v="115.5"/>
    <x v="3"/>
  </r>
  <r>
    <x v="168"/>
    <x v="545"/>
    <s v="A261335"/>
    <x v="1"/>
    <n v="1"/>
    <n v="250"/>
    <n v="262.5"/>
    <x v="3"/>
  </r>
  <r>
    <x v="168"/>
    <x v="205"/>
    <s v="A268517"/>
    <x v="1"/>
    <n v="0.5"/>
    <n v="85"/>
    <n v="89.25"/>
    <x v="3"/>
  </r>
  <r>
    <x v="168"/>
    <x v="146"/>
    <s v="A245818"/>
    <x v="1"/>
    <n v="0.5"/>
    <n v="100"/>
    <n v="105"/>
    <x v="3"/>
  </r>
  <r>
    <x v="168"/>
    <x v="23"/>
    <m/>
    <x v="1"/>
    <n v="5"/>
    <n v="1400"/>
    <m/>
    <x v="3"/>
  </r>
  <r>
    <x v="168"/>
    <x v="296"/>
    <s v="A343168"/>
    <x v="2"/>
    <n v="1"/>
    <n v="100"/>
    <n v="100"/>
    <x v="3"/>
  </r>
  <r>
    <x v="168"/>
    <x v="207"/>
    <m/>
    <x v="1"/>
    <n v="9"/>
    <n v="2550"/>
    <n v="2677.5"/>
    <x v="3"/>
  </r>
  <r>
    <x v="168"/>
    <x v="128"/>
    <s v="A269415"/>
    <x v="2"/>
    <n v="1"/>
    <n v="100"/>
    <n v="100"/>
    <x v="3"/>
  </r>
  <r>
    <x v="168"/>
    <x v="399"/>
    <s v="A235748"/>
    <x v="2"/>
    <n v="1"/>
    <n v="270"/>
    <n v="270"/>
    <x v="3"/>
  </r>
  <r>
    <x v="168"/>
    <x v="285"/>
    <s v="A278773"/>
    <x v="1"/>
    <n v="2"/>
    <n v="490"/>
    <n v="514.5"/>
    <x v="3"/>
  </r>
  <r>
    <x v="168"/>
    <x v="686"/>
    <s v="A413848"/>
    <x v="2"/>
    <n v="1"/>
    <n v="190"/>
    <n v="190"/>
    <x v="3"/>
  </r>
  <r>
    <x v="168"/>
    <x v="129"/>
    <s v="A235765"/>
    <x v="2"/>
    <n v="1"/>
    <n v="90"/>
    <n v="90"/>
    <x v="3"/>
  </r>
  <r>
    <x v="168"/>
    <x v="650"/>
    <s v="A235748"/>
    <x v="1"/>
    <n v="2"/>
    <n v="515"/>
    <n v="540.75"/>
    <x v="3"/>
  </r>
  <r>
    <x v="168"/>
    <x v="700"/>
    <s v="A261335"/>
    <x v="1"/>
    <n v="1"/>
    <n v="250"/>
    <n v="262.5"/>
    <x v="3"/>
  </r>
  <r>
    <x v="168"/>
    <x v="91"/>
    <s v="A241367"/>
    <x v="1"/>
    <n v="0.5"/>
    <n v="120"/>
    <n v="126"/>
    <x v="3"/>
  </r>
  <r>
    <x v="168"/>
    <x v="701"/>
    <s v="A416429"/>
    <x v="2"/>
    <n v="1"/>
    <n v="190"/>
    <n v="190"/>
    <x v="3"/>
  </r>
  <r>
    <x v="168"/>
    <x v="702"/>
    <s v="A255319"/>
    <x v="2"/>
    <n v="3"/>
    <n v="580"/>
    <n v="580"/>
    <x v="3"/>
  </r>
  <r>
    <x v="168"/>
    <x v="274"/>
    <s v="P19035"/>
    <x v="1"/>
    <n v="11"/>
    <n v="2440"/>
    <n v="2562"/>
    <x v="3"/>
  </r>
  <r>
    <x v="168"/>
    <x v="274"/>
    <s v="P19035"/>
    <x v="2"/>
    <n v="2"/>
    <n v="305"/>
    <n v="305"/>
    <x v="3"/>
  </r>
  <r>
    <x v="168"/>
    <x v="134"/>
    <s v="P04017"/>
    <x v="2"/>
    <n v="1"/>
    <n v="110"/>
    <n v="110"/>
    <x v="3"/>
  </r>
  <r>
    <x v="168"/>
    <x v="408"/>
    <s v="A239076"/>
    <x v="2"/>
    <n v="1"/>
    <n v="70"/>
    <n v="73.5"/>
    <x v="3"/>
  </r>
  <r>
    <x v="168"/>
    <x v="27"/>
    <s v="A242640"/>
    <x v="2"/>
    <n v="1"/>
    <n v="70"/>
    <n v="73.5"/>
    <x v="3"/>
  </r>
  <r>
    <x v="168"/>
    <x v="459"/>
    <m/>
    <x v="1"/>
    <n v="5"/>
    <n v="1175"/>
    <m/>
    <x v="3"/>
  </r>
  <r>
    <x v="168"/>
    <x v="69"/>
    <s v="A243394"/>
    <x v="1"/>
    <n v="0.5"/>
    <n v="105"/>
    <n v="110.25"/>
    <x v="3"/>
  </r>
  <r>
    <x v="168"/>
    <x v="138"/>
    <s v="A282344"/>
    <x v="1"/>
    <n v="10"/>
    <n v="2050"/>
    <m/>
    <x v="3"/>
  </r>
  <r>
    <x v="168"/>
    <x v="138"/>
    <s v="A282344"/>
    <x v="2"/>
    <n v="5"/>
    <n v="998"/>
    <m/>
    <x v="3"/>
  </r>
  <r>
    <x v="168"/>
    <x v="360"/>
    <s v="A271046"/>
    <x v="2"/>
    <n v="2"/>
    <n v="350"/>
    <n v="252"/>
    <x v="3"/>
  </r>
  <r>
    <x v="168"/>
    <x v="32"/>
    <s v="A295591"/>
    <x v="2"/>
    <n v="2"/>
    <n v="320"/>
    <m/>
    <x v="3"/>
  </r>
  <r>
    <x v="168"/>
    <x v="76"/>
    <s v="A297626"/>
    <x v="1"/>
    <n v="0.5"/>
    <n v="120"/>
    <n v="126"/>
    <x v="3"/>
  </r>
  <r>
    <x v="168"/>
    <x v="683"/>
    <s v="P09427"/>
    <x v="2"/>
    <n v="1"/>
    <n v="210"/>
    <m/>
    <x v="3"/>
  </r>
  <r>
    <x v="168"/>
    <x v="680"/>
    <s v="P09390"/>
    <x v="2"/>
    <n v="1"/>
    <n v="260"/>
    <n v="273"/>
    <x v="3"/>
  </r>
  <r>
    <x v="168"/>
    <x v="287"/>
    <s v="A279810"/>
    <x v="1"/>
    <n v="0.5"/>
    <n v="120"/>
    <n v="126"/>
    <x v="3"/>
  </r>
  <r>
    <x v="169"/>
    <x v="386"/>
    <m/>
    <x v="1"/>
    <n v="10"/>
    <n v="3500"/>
    <n v="3675"/>
    <x v="3"/>
  </r>
  <r>
    <x v="170"/>
    <x v="703"/>
    <s v="A257635"/>
    <x v="3"/>
    <n v="10"/>
    <n v="12144"/>
    <m/>
    <x v="3"/>
  </r>
  <r>
    <x v="170"/>
    <x v="703"/>
    <s v="A257635"/>
    <x v="4"/>
    <n v="50"/>
    <n v="6072"/>
    <m/>
    <x v="3"/>
  </r>
  <r>
    <x v="171"/>
    <x v="704"/>
    <m/>
    <x v="9"/>
    <n v="50"/>
    <n v="4000"/>
    <m/>
    <x v="3"/>
  </r>
  <r>
    <x v="171"/>
    <x v="387"/>
    <m/>
    <x v="4"/>
    <n v="10"/>
    <n v="580"/>
    <m/>
    <x v="3"/>
  </r>
  <r>
    <x v="171"/>
    <x v="309"/>
    <s v="A243761"/>
    <x v="9"/>
    <n v="50"/>
    <n v="5000"/>
    <m/>
    <x v="3"/>
  </r>
  <r>
    <x v="171"/>
    <x v="653"/>
    <s v="P108621"/>
    <x v="0"/>
    <n v="25"/>
    <n v="1875"/>
    <n v="1968.75"/>
    <x v="2"/>
  </r>
  <r>
    <x v="171"/>
    <x v="11"/>
    <m/>
    <x v="1"/>
    <n v="30"/>
    <n v="3290"/>
    <n v="3454.5"/>
    <x v="3"/>
  </r>
  <r>
    <x v="171"/>
    <x v="353"/>
    <s v="A241990"/>
    <x v="8"/>
    <n v="25"/>
    <n v="2250"/>
    <m/>
    <x v="3"/>
  </r>
  <r>
    <x v="171"/>
    <x v="654"/>
    <s v="A238523"/>
    <x v="10"/>
    <n v="25"/>
    <n v="1875"/>
    <m/>
    <x v="1"/>
  </r>
  <r>
    <x v="171"/>
    <x v="654"/>
    <s v="A238523"/>
    <x v="8"/>
    <n v="25"/>
    <n v="1875"/>
    <m/>
    <x v="1"/>
  </r>
  <r>
    <x v="171"/>
    <x v="654"/>
    <s v="A238523"/>
    <x v="9"/>
    <n v="175"/>
    <n v="13125"/>
    <m/>
    <x v="1"/>
  </r>
  <r>
    <x v="171"/>
    <x v="654"/>
    <s v="A238523"/>
    <x v="1"/>
    <n v="275"/>
    <n v="20625"/>
    <n v="21656.25"/>
    <x v="1"/>
  </r>
  <r>
    <x v="171"/>
    <x v="654"/>
    <s v="A238523"/>
    <x v="2"/>
    <n v="75"/>
    <n v="6600"/>
    <n v="6930"/>
    <x v="1"/>
  </r>
  <r>
    <x v="171"/>
    <x v="654"/>
    <s v="A238523"/>
    <x v="11"/>
    <n v="200"/>
    <n v="18200"/>
    <n v="19110"/>
    <x v="1"/>
  </r>
  <r>
    <x v="171"/>
    <x v="654"/>
    <s v="A238523"/>
    <x v="0"/>
    <n v="100"/>
    <n v="8900"/>
    <n v="9345"/>
    <x v="1"/>
  </r>
  <r>
    <x v="171"/>
    <x v="705"/>
    <s v="A401492"/>
    <x v="2"/>
    <n v="225"/>
    <n v="19800"/>
    <n v="20790"/>
    <x v="3"/>
  </r>
  <r>
    <x v="171"/>
    <x v="452"/>
    <s v="A239535"/>
    <x v="1"/>
    <n v="1"/>
    <n v="110"/>
    <n v="115.5"/>
    <x v="3"/>
  </r>
  <r>
    <x v="171"/>
    <x v="237"/>
    <s v="A252350"/>
    <x v="3"/>
    <n v="200"/>
    <n v="14000"/>
    <m/>
    <x v="3"/>
  </r>
  <r>
    <x v="171"/>
    <x v="237"/>
    <s v="A252350"/>
    <x v="4"/>
    <n v="325"/>
    <n v="28500"/>
    <m/>
    <x v="3"/>
  </r>
  <r>
    <x v="171"/>
    <x v="237"/>
    <s v="A252350"/>
    <x v="5"/>
    <n v="275"/>
    <n v="24500"/>
    <m/>
    <x v="3"/>
  </r>
  <r>
    <x v="171"/>
    <x v="237"/>
    <s v="A252350"/>
    <x v="6"/>
    <n v="150"/>
    <n v="13500"/>
    <m/>
    <x v="3"/>
  </r>
  <r>
    <x v="171"/>
    <x v="237"/>
    <s v="A252350"/>
    <x v="7"/>
    <n v="100"/>
    <n v="9000"/>
    <m/>
    <x v="3"/>
  </r>
  <r>
    <x v="171"/>
    <x v="237"/>
    <s v="A252350"/>
    <x v="10"/>
    <n v="50"/>
    <n v="4500"/>
    <m/>
    <x v="3"/>
  </r>
  <r>
    <x v="171"/>
    <x v="237"/>
    <s v="A252350"/>
    <x v="8"/>
    <n v="25"/>
    <n v="2250"/>
    <m/>
    <x v="3"/>
  </r>
  <r>
    <x v="171"/>
    <x v="237"/>
    <s v="A252350"/>
    <x v="1"/>
    <n v="200"/>
    <n v="18800"/>
    <n v="19740"/>
    <x v="3"/>
  </r>
  <r>
    <x v="171"/>
    <x v="237"/>
    <s v="A252350"/>
    <x v="2"/>
    <n v="100"/>
    <n v="9800"/>
    <n v="10290"/>
    <x v="3"/>
  </r>
  <r>
    <x v="171"/>
    <x v="237"/>
    <s v="A252350"/>
    <x v="11"/>
    <n v="225"/>
    <n v="25575"/>
    <n v="26853.75"/>
    <x v="3"/>
  </r>
  <r>
    <x v="171"/>
    <x v="273"/>
    <s v="A320112"/>
    <x v="2"/>
    <n v="10"/>
    <n v="900"/>
    <n v="945"/>
    <x v="3"/>
  </r>
  <r>
    <x v="171"/>
    <x v="453"/>
    <m/>
    <x v="7"/>
    <n v="250"/>
    <n v="17500"/>
    <m/>
    <x v="3"/>
  </r>
  <r>
    <x v="171"/>
    <x v="453"/>
    <m/>
    <x v="10"/>
    <n v="462"/>
    <n v="23100"/>
    <m/>
    <x v="3"/>
  </r>
  <r>
    <x v="171"/>
    <x v="453"/>
    <m/>
    <x v="9"/>
    <n v="25"/>
    <n v="1750"/>
    <m/>
    <x v="3"/>
  </r>
  <r>
    <x v="171"/>
    <x v="673"/>
    <s v="A290714"/>
    <x v="9"/>
    <n v="120"/>
    <n v="10200"/>
    <m/>
    <x v="3"/>
  </r>
  <r>
    <x v="171"/>
    <x v="673"/>
    <s v="A290714"/>
    <x v="1"/>
    <n v="50"/>
    <n v="4250"/>
    <n v="4462.5"/>
    <x v="3"/>
  </r>
  <r>
    <x v="171"/>
    <x v="239"/>
    <s v="A281165"/>
    <x v="8"/>
    <n v="50"/>
    <n v="3500"/>
    <m/>
    <x v="3"/>
  </r>
  <r>
    <x v="171"/>
    <x v="239"/>
    <s v="A281165"/>
    <x v="9"/>
    <n v="129"/>
    <n v="10430"/>
    <m/>
    <x v="3"/>
  </r>
  <r>
    <x v="171"/>
    <x v="184"/>
    <s v="A299984"/>
    <x v="8"/>
    <n v="26"/>
    <n v="2470"/>
    <m/>
    <x v="3"/>
  </r>
  <r>
    <x v="171"/>
    <x v="93"/>
    <s v="A231708"/>
    <x v="12"/>
    <n v="100"/>
    <n v="4400"/>
    <m/>
    <x v="3"/>
  </r>
  <r>
    <x v="171"/>
    <x v="93"/>
    <s v="A231708"/>
    <x v="3"/>
    <n v="125"/>
    <n v="6200"/>
    <m/>
    <x v="3"/>
  </r>
  <r>
    <x v="171"/>
    <x v="93"/>
    <s v="A231708"/>
    <x v="4"/>
    <n v="175"/>
    <n v="11125"/>
    <m/>
    <x v="3"/>
  </r>
  <r>
    <x v="171"/>
    <x v="93"/>
    <s v="A231708"/>
    <x v="5"/>
    <n v="125"/>
    <n v="8000"/>
    <m/>
    <x v="3"/>
  </r>
  <r>
    <x v="171"/>
    <x v="93"/>
    <s v="A231708"/>
    <x v="6"/>
    <n v="25"/>
    <n v="1625"/>
    <m/>
    <x v="3"/>
  </r>
  <r>
    <x v="171"/>
    <x v="93"/>
    <s v="A231708"/>
    <x v="10"/>
    <n v="125"/>
    <n v="8125"/>
    <m/>
    <x v="3"/>
  </r>
  <r>
    <x v="171"/>
    <x v="93"/>
    <s v="A231708"/>
    <x v="8"/>
    <n v="75"/>
    <n v="4875"/>
    <m/>
    <x v="3"/>
  </r>
  <r>
    <x v="171"/>
    <x v="93"/>
    <s v="A231708"/>
    <x v="9"/>
    <n v="135"/>
    <n v="10400"/>
    <m/>
    <x v="3"/>
  </r>
  <r>
    <x v="171"/>
    <x v="93"/>
    <s v="A231708"/>
    <x v="1"/>
    <n v="350"/>
    <n v="23200"/>
    <n v="24360"/>
    <x v="3"/>
  </r>
  <r>
    <x v="171"/>
    <x v="93"/>
    <s v="A231708"/>
    <x v="2"/>
    <n v="175"/>
    <n v="13825"/>
    <n v="14516.25"/>
    <x v="3"/>
  </r>
  <r>
    <x v="171"/>
    <x v="350"/>
    <s v="A401491"/>
    <x v="2"/>
    <n v="101"/>
    <n v="7980"/>
    <n v="8379"/>
    <x v="3"/>
  </r>
  <r>
    <x v="171"/>
    <x v="350"/>
    <s v="A410392"/>
    <x v="11"/>
    <n v="300"/>
    <n v="24000"/>
    <n v="25200"/>
    <x v="3"/>
  </r>
  <r>
    <x v="171"/>
    <x v="156"/>
    <s v="A231705"/>
    <x v="12"/>
    <n v="125"/>
    <n v="5800"/>
    <m/>
    <x v="3"/>
  </r>
  <r>
    <x v="171"/>
    <x v="156"/>
    <s v="A231705"/>
    <x v="3"/>
    <n v="150"/>
    <n v="7825"/>
    <m/>
    <x v="3"/>
  </r>
  <r>
    <x v="171"/>
    <x v="156"/>
    <s v="A231705"/>
    <x v="4"/>
    <n v="175"/>
    <n v="11125"/>
    <m/>
    <x v="3"/>
  </r>
  <r>
    <x v="171"/>
    <x v="156"/>
    <s v="A231705"/>
    <x v="5"/>
    <n v="100"/>
    <n v="7125"/>
    <m/>
    <x v="3"/>
  </r>
  <r>
    <x v="171"/>
    <x v="156"/>
    <s v="A231705"/>
    <x v="6"/>
    <n v="125"/>
    <n v="8125"/>
    <m/>
    <x v="3"/>
  </r>
  <r>
    <x v="171"/>
    <x v="156"/>
    <s v="A231705"/>
    <x v="7"/>
    <n v="75"/>
    <n v="5125"/>
    <m/>
    <x v="3"/>
  </r>
  <r>
    <x v="171"/>
    <x v="156"/>
    <s v="A231705"/>
    <x v="10"/>
    <n v="25"/>
    <n v="1750"/>
    <m/>
    <x v="3"/>
  </r>
  <r>
    <x v="171"/>
    <x v="156"/>
    <s v="A231705"/>
    <x v="8"/>
    <n v="55"/>
    <n v="3850"/>
    <m/>
    <x v="3"/>
  </r>
  <r>
    <x v="171"/>
    <x v="156"/>
    <s v="A231705"/>
    <x v="9"/>
    <n v="75"/>
    <n v="5250"/>
    <m/>
    <x v="3"/>
  </r>
  <r>
    <x v="171"/>
    <x v="156"/>
    <s v="A231705"/>
    <x v="1"/>
    <n v="125"/>
    <n v="9250"/>
    <n v="9712.5"/>
    <x v="3"/>
  </r>
  <r>
    <x v="171"/>
    <x v="156"/>
    <s v="A231705"/>
    <x v="2"/>
    <n v="100"/>
    <n v="7800"/>
    <n v="8190"/>
    <x v="3"/>
  </r>
  <r>
    <x v="171"/>
    <x v="156"/>
    <s v="A231705"/>
    <x v="11"/>
    <n v="25"/>
    <n v="2025"/>
    <n v="2126.25"/>
    <x v="3"/>
  </r>
  <r>
    <x v="171"/>
    <x v="342"/>
    <s v="A402008"/>
    <x v="2"/>
    <n v="50"/>
    <n v="3900"/>
    <n v="4095"/>
    <x v="3"/>
  </r>
  <r>
    <x v="171"/>
    <x v="342"/>
    <s v="A402008"/>
    <x v="11"/>
    <n v="50"/>
    <n v="4050"/>
    <n v="4252.5"/>
    <x v="3"/>
  </r>
  <r>
    <x v="171"/>
    <x v="3"/>
    <s v="A232126"/>
    <x v="3"/>
    <n v="17.149999999999999"/>
    <n v="1457.75"/>
    <m/>
    <x v="1"/>
  </r>
  <r>
    <x v="171"/>
    <x v="3"/>
    <s v="A232126"/>
    <x v="4"/>
    <n v="150"/>
    <n v="14000"/>
    <m/>
    <x v="1"/>
  </r>
  <r>
    <x v="171"/>
    <x v="3"/>
    <s v="A232126"/>
    <x v="5"/>
    <n v="430"/>
    <n v="40100"/>
    <m/>
    <x v="1"/>
  </r>
  <r>
    <x v="171"/>
    <x v="3"/>
    <s v="A232126"/>
    <x v="6"/>
    <n v="1045"/>
    <n v="97275"/>
    <m/>
    <x v="1"/>
  </r>
  <r>
    <x v="171"/>
    <x v="3"/>
    <s v="A232126"/>
    <x v="7"/>
    <n v="1785"/>
    <n v="169575"/>
    <m/>
    <x v="1"/>
  </r>
  <r>
    <x v="171"/>
    <x v="3"/>
    <s v="A232126"/>
    <x v="10"/>
    <n v="1200"/>
    <n v="114000"/>
    <m/>
    <x v="1"/>
  </r>
  <r>
    <x v="171"/>
    <x v="3"/>
    <s v="A232126"/>
    <x v="8"/>
    <n v="2031"/>
    <n v="193125"/>
    <m/>
    <x v="1"/>
  </r>
  <r>
    <x v="171"/>
    <x v="3"/>
    <s v="A232126"/>
    <x v="9"/>
    <n v="3100"/>
    <n v="294500"/>
    <m/>
    <x v="1"/>
  </r>
  <r>
    <x v="171"/>
    <x v="3"/>
    <s v="A232126"/>
    <x v="1"/>
    <n v="1400"/>
    <n v="147750"/>
    <n v="155137.5"/>
    <x v="1"/>
  </r>
  <r>
    <x v="171"/>
    <x v="3"/>
    <s v="A232126"/>
    <x v="2"/>
    <n v="3450"/>
    <n v="316248"/>
    <n v="332060.40000000002"/>
    <x v="1"/>
  </r>
  <r>
    <x v="171"/>
    <x v="3"/>
    <s v="A331329"/>
    <x v="2"/>
    <n v="250"/>
    <n v="28750"/>
    <n v="30187.5"/>
    <x v="3"/>
  </r>
  <r>
    <x v="171"/>
    <x v="3"/>
    <s v="A232126"/>
    <x v="11"/>
    <n v="3650"/>
    <n v="430700"/>
    <n v="452235"/>
    <x v="1"/>
  </r>
  <r>
    <x v="171"/>
    <x v="3"/>
    <s v="A331329"/>
    <x v="11"/>
    <n v="300"/>
    <n v="35400"/>
    <n v="37170"/>
    <x v="3"/>
  </r>
  <r>
    <x v="171"/>
    <x v="3"/>
    <s v="A232126"/>
    <x v="0"/>
    <n v="2250"/>
    <n v="264500"/>
    <n v="277725"/>
    <x v="1"/>
  </r>
  <r>
    <x v="171"/>
    <x v="141"/>
    <s v="A249778"/>
    <x v="10"/>
    <n v="25"/>
    <n v="2375"/>
    <m/>
    <x v="3"/>
  </r>
  <r>
    <x v="171"/>
    <x v="408"/>
    <s v="A239076"/>
    <x v="3"/>
    <n v="5"/>
    <n v="425"/>
    <m/>
    <x v="3"/>
  </r>
  <r>
    <x v="171"/>
    <x v="408"/>
    <s v="A239076"/>
    <x v="4"/>
    <n v="10"/>
    <n v="950"/>
    <m/>
    <x v="3"/>
  </r>
  <r>
    <x v="171"/>
    <x v="408"/>
    <s v="A239076"/>
    <x v="5"/>
    <n v="25"/>
    <n v="2375"/>
    <m/>
    <x v="3"/>
  </r>
  <r>
    <x v="171"/>
    <x v="408"/>
    <s v="A239076"/>
    <x v="6"/>
    <n v="25"/>
    <n v="2375"/>
    <m/>
    <x v="3"/>
  </r>
  <r>
    <x v="171"/>
    <x v="408"/>
    <s v="A239076"/>
    <x v="7"/>
    <n v="51"/>
    <n v="4845"/>
    <m/>
    <x v="3"/>
  </r>
  <r>
    <x v="171"/>
    <x v="408"/>
    <m/>
    <x v="10"/>
    <n v="50"/>
    <n v="4750"/>
    <m/>
    <x v="3"/>
  </r>
  <r>
    <x v="171"/>
    <x v="408"/>
    <s v="A239076"/>
    <x v="8"/>
    <n v="75"/>
    <n v="7125"/>
    <m/>
    <x v="3"/>
  </r>
  <r>
    <x v="171"/>
    <x v="408"/>
    <s v="A239076"/>
    <x v="9"/>
    <n v="50"/>
    <n v="4750"/>
    <m/>
    <x v="3"/>
  </r>
  <r>
    <x v="171"/>
    <x v="706"/>
    <s v="A270903"/>
    <x v="7"/>
    <n v="25"/>
    <n v="2125"/>
    <m/>
    <x v="3"/>
  </r>
  <r>
    <x v="171"/>
    <x v="706"/>
    <s v="A270903"/>
    <x v="10"/>
    <n v="50"/>
    <n v="4250"/>
    <m/>
    <x v="3"/>
  </r>
  <r>
    <x v="171"/>
    <x v="16"/>
    <s v="A241225"/>
    <x v="12"/>
    <n v="100"/>
    <n v="5500"/>
    <m/>
    <x v="3"/>
  </r>
  <r>
    <x v="171"/>
    <x v="16"/>
    <s v="A241225"/>
    <x v="3"/>
    <n v="125"/>
    <n v="7000"/>
    <m/>
    <x v="3"/>
  </r>
  <r>
    <x v="171"/>
    <x v="16"/>
    <s v="A235942"/>
    <x v="4"/>
    <n v="150"/>
    <n v="11250"/>
    <m/>
    <x v="3"/>
  </r>
  <r>
    <x v="171"/>
    <x v="16"/>
    <s v="A241225"/>
    <x v="4"/>
    <n v="350"/>
    <n v="24750"/>
    <m/>
    <x v="3"/>
  </r>
  <r>
    <x v="171"/>
    <x v="16"/>
    <s v="A241225"/>
    <x v="5"/>
    <n v="450"/>
    <n v="32500"/>
    <m/>
    <x v="3"/>
  </r>
  <r>
    <x v="171"/>
    <x v="16"/>
    <s v="A241225"/>
    <x v="6"/>
    <n v="100"/>
    <n v="7500"/>
    <m/>
    <x v="3"/>
  </r>
  <r>
    <x v="171"/>
    <x v="16"/>
    <s v="A241225"/>
    <x v="7"/>
    <n v="75"/>
    <n v="5625"/>
    <m/>
    <x v="3"/>
  </r>
  <r>
    <x v="171"/>
    <x v="16"/>
    <s v="A241225"/>
    <x v="10"/>
    <n v="575"/>
    <n v="34125"/>
    <m/>
    <x v="3"/>
  </r>
  <r>
    <x v="171"/>
    <x v="16"/>
    <s v="A241225"/>
    <x v="8"/>
    <n v="300"/>
    <n v="16500"/>
    <m/>
    <x v="3"/>
  </r>
  <r>
    <x v="171"/>
    <x v="16"/>
    <s v="A241225"/>
    <x v="9"/>
    <n v="500"/>
    <n v="32500"/>
    <m/>
    <x v="3"/>
  </r>
  <r>
    <x v="171"/>
    <x v="16"/>
    <s v="A242640"/>
    <x v="1"/>
    <n v="200"/>
    <n v="12800"/>
    <n v="13440"/>
    <x v="3"/>
  </r>
  <r>
    <x v="171"/>
    <x v="241"/>
    <s v="A401495"/>
    <x v="2"/>
    <n v="100"/>
    <n v="6000"/>
    <n v="6300"/>
    <x v="3"/>
  </r>
  <r>
    <x v="171"/>
    <x v="275"/>
    <s v="A271087"/>
    <x v="2"/>
    <n v="50"/>
    <n v="3750"/>
    <n v="3937.5"/>
    <x v="3"/>
  </r>
  <r>
    <x v="171"/>
    <x v="28"/>
    <s v="A233711"/>
    <x v="8"/>
    <n v="75"/>
    <n v="5625"/>
    <m/>
    <x v="3"/>
  </r>
  <r>
    <x v="171"/>
    <x v="28"/>
    <s v="A233711"/>
    <x v="1"/>
    <n v="100"/>
    <n v="7450"/>
    <n v="7822.5"/>
    <x v="3"/>
  </r>
  <r>
    <x v="171"/>
    <x v="28"/>
    <s v="A233711"/>
    <x v="2"/>
    <n v="100"/>
    <n v="8500"/>
    <n v="8925"/>
    <x v="3"/>
  </r>
  <r>
    <x v="171"/>
    <x v="28"/>
    <s v="A233711"/>
    <x v="11"/>
    <n v="50"/>
    <n v="4250"/>
    <n v="4462.5"/>
    <x v="3"/>
  </r>
  <r>
    <x v="171"/>
    <x v="4"/>
    <s v="A231709"/>
    <x v="12"/>
    <n v="950"/>
    <n v="47500"/>
    <m/>
    <x v="1"/>
  </r>
  <r>
    <x v="171"/>
    <x v="4"/>
    <s v="A231709"/>
    <x v="3"/>
    <n v="1375"/>
    <n v="72375"/>
    <m/>
    <x v="1"/>
  </r>
  <r>
    <x v="171"/>
    <x v="4"/>
    <s v="A231709"/>
    <x v="4"/>
    <n v="1425"/>
    <n v="106875"/>
    <m/>
    <x v="1"/>
  </r>
  <r>
    <x v="171"/>
    <x v="4"/>
    <s v="A231709"/>
    <x v="5"/>
    <n v="1250"/>
    <n v="93125"/>
    <m/>
    <x v="1"/>
  </r>
  <r>
    <x v="171"/>
    <x v="4"/>
    <s v="A231709"/>
    <x v="6"/>
    <n v="1125"/>
    <n v="76500"/>
    <m/>
    <x v="1"/>
  </r>
  <r>
    <x v="171"/>
    <x v="4"/>
    <s v="A231709"/>
    <x v="7"/>
    <n v="1175"/>
    <n v="68625"/>
    <m/>
    <x v="1"/>
  </r>
  <r>
    <x v="171"/>
    <x v="4"/>
    <s v="A231709"/>
    <x v="10"/>
    <n v="825"/>
    <n v="45825"/>
    <m/>
    <x v="1"/>
  </r>
  <r>
    <x v="171"/>
    <x v="4"/>
    <s v="A231709"/>
    <x v="8"/>
    <n v="1025"/>
    <n v="64525"/>
    <m/>
    <x v="1"/>
  </r>
  <r>
    <x v="171"/>
    <x v="4"/>
    <s v="A231709"/>
    <x v="9"/>
    <n v="525"/>
    <n v="46125"/>
    <m/>
    <x v="1"/>
  </r>
  <r>
    <x v="171"/>
    <x v="4"/>
    <s v="A231709"/>
    <x v="1"/>
    <n v="400"/>
    <n v="26500"/>
    <n v="27825"/>
    <x v="1"/>
  </r>
  <r>
    <x v="171"/>
    <x v="4"/>
    <s v="A231709"/>
    <x v="2"/>
    <n v="300"/>
    <n v="23400"/>
    <n v="24570"/>
    <x v="1"/>
  </r>
  <r>
    <x v="171"/>
    <x v="4"/>
    <s v="A231709"/>
    <x v="11"/>
    <n v="100"/>
    <n v="7800"/>
    <n v="8190"/>
    <x v="1"/>
  </r>
  <r>
    <x v="171"/>
    <x v="4"/>
    <s v="A231709"/>
    <x v="0"/>
    <n v="150"/>
    <n v="11700"/>
    <n v="12285"/>
    <x v="1"/>
  </r>
  <r>
    <x v="171"/>
    <x v="51"/>
    <s v="A298567"/>
    <x v="1"/>
    <n v="200"/>
    <n v="12800"/>
    <n v="13440"/>
    <x v="3"/>
  </r>
  <r>
    <x v="171"/>
    <x v="242"/>
    <s v="A287749"/>
    <x v="6"/>
    <n v="5"/>
    <n v="475"/>
    <m/>
    <x v="3"/>
  </r>
  <r>
    <x v="171"/>
    <x v="242"/>
    <s v="A287749"/>
    <x v="7"/>
    <n v="50"/>
    <n v="4750"/>
    <m/>
    <x v="3"/>
  </r>
  <r>
    <x v="171"/>
    <x v="242"/>
    <s v="A287749"/>
    <x v="9"/>
    <n v="5"/>
    <n v="475"/>
    <m/>
    <x v="3"/>
  </r>
  <r>
    <x v="171"/>
    <x v="30"/>
    <s v="A233444"/>
    <x v="9"/>
    <n v="25"/>
    <n v="2375"/>
    <m/>
    <x v="3"/>
  </r>
  <r>
    <x v="171"/>
    <x v="30"/>
    <s v="A233444"/>
    <x v="1"/>
    <n v="25"/>
    <n v="2700"/>
    <n v="2835"/>
    <x v="3"/>
  </r>
  <r>
    <x v="171"/>
    <x v="30"/>
    <s v="A233444"/>
    <x v="2"/>
    <n v="50"/>
    <n v="5150"/>
    <n v="5407.5"/>
    <x v="3"/>
  </r>
  <r>
    <x v="171"/>
    <x v="30"/>
    <s v="A233444"/>
    <x v="11"/>
    <n v="50"/>
    <n v="5400"/>
    <n v="5670"/>
    <x v="3"/>
  </r>
  <r>
    <x v="171"/>
    <x v="707"/>
    <m/>
    <x v="4"/>
    <n v="11.5"/>
    <n v="750.03"/>
    <m/>
    <x v="3"/>
  </r>
  <r>
    <x v="171"/>
    <x v="708"/>
    <s v="A337724"/>
    <x v="1"/>
    <n v="75"/>
    <n v="7075"/>
    <n v="7428.75"/>
    <x v="3"/>
  </r>
  <r>
    <x v="171"/>
    <x v="709"/>
    <m/>
    <x v="4"/>
    <n v="25"/>
    <n v="1125"/>
    <m/>
    <x v="3"/>
  </r>
  <r>
    <x v="171"/>
    <x v="574"/>
    <s v="A352534"/>
    <x v="1"/>
    <n v="80"/>
    <n v="20800"/>
    <n v="21840"/>
    <x v="3"/>
  </r>
  <r>
    <x v="171"/>
    <x v="574"/>
    <s v="A352534"/>
    <x v="2"/>
    <n v="75"/>
    <n v="19500"/>
    <n v="20475"/>
    <x v="3"/>
  </r>
  <r>
    <x v="171"/>
    <x v="213"/>
    <s v="A272357"/>
    <x v="1"/>
    <n v="1"/>
    <n v="120"/>
    <n v="126"/>
    <x v="3"/>
  </r>
  <r>
    <x v="171"/>
    <x v="333"/>
    <s v="A317824"/>
    <x v="9"/>
    <n v="100"/>
    <n v="8500"/>
    <m/>
    <x v="3"/>
  </r>
  <r>
    <x v="171"/>
    <x v="333"/>
    <s v="A317824"/>
    <x v="1"/>
    <n v="75"/>
    <n v="6350"/>
    <n v="6667.5"/>
    <x v="3"/>
  </r>
  <r>
    <x v="171"/>
    <x v="293"/>
    <s v="A238607"/>
    <x v="6"/>
    <n v="5"/>
    <n v="525"/>
    <m/>
    <x v="3"/>
  </r>
  <r>
    <x v="171"/>
    <x v="293"/>
    <s v="A238607"/>
    <x v="8"/>
    <n v="25"/>
    <n v="2625"/>
    <m/>
    <x v="3"/>
  </r>
  <r>
    <x v="171"/>
    <x v="293"/>
    <s v="A238607"/>
    <x v="9"/>
    <n v="25"/>
    <n v="2625"/>
    <m/>
    <x v="3"/>
  </r>
  <r>
    <x v="171"/>
    <x v="243"/>
    <s v="A232125"/>
    <x v="12"/>
    <n v="450"/>
    <n v="22950"/>
    <m/>
    <x v="3"/>
  </r>
  <r>
    <x v="171"/>
    <x v="243"/>
    <s v="A244738"/>
    <x v="12"/>
    <n v="25"/>
    <n v="1375"/>
    <m/>
    <x v="3"/>
  </r>
  <r>
    <x v="171"/>
    <x v="243"/>
    <s v="A232125"/>
    <x v="3"/>
    <n v="300"/>
    <n v="15900"/>
    <m/>
    <x v="3"/>
  </r>
  <r>
    <x v="171"/>
    <x v="243"/>
    <s v="A244738"/>
    <x v="3"/>
    <n v="17.55"/>
    <n v="1316.25"/>
    <m/>
    <x v="3"/>
  </r>
  <r>
    <x v="171"/>
    <x v="243"/>
    <s v="A232125"/>
    <x v="4"/>
    <n v="200"/>
    <n v="16250"/>
    <m/>
    <x v="3"/>
  </r>
  <r>
    <x v="171"/>
    <x v="243"/>
    <s v="A232125"/>
    <x v="5"/>
    <n v="25"/>
    <n v="1875"/>
    <m/>
    <x v="3"/>
  </r>
  <r>
    <x v="171"/>
    <x v="243"/>
    <s v="A232125"/>
    <x v="6"/>
    <n v="100"/>
    <n v="9000"/>
    <m/>
    <x v="3"/>
  </r>
  <r>
    <x v="171"/>
    <x v="243"/>
    <s v="A232125"/>
    <x v="7"/>
    <n v="25"/>
    <n v="2250"/>
    <m/>
    <x v="3"/>
  </r>
  <r>
    <x v="171"/>
    <x v="243"/>
    <s v="A244738"/>
    <x v="7"/>
    <n v="100"/>
    <n v="9000"/>
    <m/>
    <x v="3"/>
  </r>
  <r>
    <x v="171"/>
    <x v="243"/>
    <s v="A232125"/>
    <x v="10"/>
    <n v="75"/>
    <n v="6750"/>
    <m/>
    <x v="3"/>
  </r>
  <r>
    <x v="171"/>
    <x v="243"/>
    <s v="A244738"/>
    <x v="8"/>
    <n v="40"/>
    <n v="3600"/>
    <m/>
    <x v="3"/>
  </r>
  <r>
    <x v="171"/>
    <x v="243"/>
    <s v="A232125"/>
    <x v="9"/>
    <n v="150"/>
    <n v="12750"/>
    <m/>
    <x v="3"/>
  </r>
  <r>
    <x v="171"/>
    <x v="243"/>
    <s v="A232125"/>
    <x v="1"/>
    <n v="100"/>
    <n v="8900"/>
    <n v="9345"/>
    <x v="3"/>
  </r>
  <r>
    <x v="171"/>
    <x v="710"/>
    <s v="A262915"/>
    <x v="8"/>
    <n v="25"/>
    <n v="2250"/>
    <m/>
    <x v="3"/>
  </r>
  <r>
    <x v="171"/>
    <x v="228"/>
    <s v="A306319"/>
    <x v="9"/>
    <n v="100"/>
    <n v="9000"/>
    <m/>
    <x v="3"/>
  </r>
  <r>
    <x v="171"/>
    <x v="228"/>
    <s v="A306319"/>
    <x v="1"/>
    <n v="350"/>
    <n v="32400"/>
    <n v="34020"/>
    <x v="3"/>
  </r>
  <r>
    <x v="171"/>
    <x v="228"/>
    <s v="A306319"/>
    <x v="2"/>
    <n v="850"/>
    <n v="89250"/>
    <n v="93712.5"/>
    <x v="3"/>
  </r>
  <r>
    <x v="171"/>
    <x v="228"/>
    <s v="A306319"/>
    <x v="11"/>
    <n v="145"/>
    <n v="14935"/>
    <n v="15681.75"/>
    <x v="3"/>
  </r>
  <r>
    <x v="171"/>
    <x v="711"/>
    <s v="A250892"/>
    <x v="3"/>
    <n v="25"/>
    <n v="1500"/>
    <m/>
    <x v="3"/>
  </r>
  <r>
    <x v="171"/>
    <x v="712"/>
    <s v="A246165"/>
    <x v="4"/>
    <n v="25"/>
    <n v="2000"/>
    <m/>
    <x v="3"/>
  </r>
  <r>
    <x v="171"/>
    <x v="712"/>
    <s v="A246165"/>
    <x v="5"/>
    <n v="175"/>
    <n v="14375"/>
    <m/>
    <x v="3"/>
  </r>
  <r>
    <x v="171"/>
    <x v="712"/>
    <s v="A246165"/>
    <x v="6"/>
    <n v="50"/>
    <n v="4500"/>
    <m/>
    <x v="3"/>
  </r>
  <r>
    <x v="171"/>
    <x v="712"/>
    <s v="A246165"/>
    <x v="7"/>
    <n v="500"/>
    <n v="47250"/>
    <m/>
    <x v="3"/>
  </r>
  <r>
    <x v="171"/>
    <x v="712"/>
    <s v="A246165"/>
    <x v="10"/>
    <n v="125"/>
    <n v="11500"/>
    <m/>
    <x v="3"/>
  </r>
  <r>
    <x v="171"/>
    <x v="712"/>
    <s v="A246165"/>
    <x v="8"/>
    <n v="475"/>
    <n v="42750"/>
    <m/>
    <x v="3"/>
  </r>
  <r>
    <x v="171"/>
    <x v="712"/>
    <s v="A246165"/>
    <x v="9"/>
    <n v="350"/>
    <n v="31500"/>
    <m/>
    <x v="3"/>
  </r>
  <r>
    <x v="171"/>
    <x v="712"/>
    <s v="A246165"/>
    <x v="1"/>
    <n v="100"/>
    <n v="10000"/>
    <n v="10500"/>
    <x v="3"/>
  </r>
  <r>
    <x v="171"/>
    <x v="9"/>
    <s v="A234248"/>
    <x v="12"/>
    <n v="25"/>
    <n v="1125"/>
    <m/>
    <x v="3"/>
  </r>
  <r>
    <x v="171"/>
    <x v="9"/>
    <s v="A234248"/>
    <x v="3"/>
    <n v="25"/>
    <n v="1250"/>
    <m/>
    <x v="3"/>
  </r>
  <r>
    <x v="171"/>
    <x v="9"/>
    <s v="A234248"/>
    <x v="7"/>
    <n v="25"/>
    <n v="1875"/>
    <m/>
    <x v="3"/>
  </r>
  <r>
    <x v="171"/>
    <x v="9"/>
    <s v="A234248"/>
    <x v="8"/>
    <n v="50"/>
    <n v="3750"/>
    <m/>
    <x v="3"/>
  </r>
  <r>
    <x v="171"/>
    <x v="9"/>
    <s v="A234248"/>
    <x v="9"/>
    <n v="28"/>
    <n v="2100"/>
    <m/>
    <x v="3"/>
  </r>
  <r>
    <x v="171"/>
    <x v="713"/>
    <s v="A240777"/>
    <x v="4"/>
    <n v="75"/>
    <n v="5625"/>
    <m/>
    <x v="3"/>
  </r>
  <r>
    <x v="171"/>
    <x v="713"/>
    <s v="A240777"/>
    <x v="5"/>
    <n v="25"/>
    <n v="1875"/>
    <m/>
    <x v="3"/>
  </r>
  <r>
    <x v="171"/>
    <x v="713"/>
    <s v="A240777"/>
    <x v="6"/>
    <n v="25"/>
    <n v="1875"/>
    <m/>
    <x v="3"/>
  </r>
  <r>
    <x v="171"/>
    <x v="457"/>
    <s v="A271403"/>
    <x v="7"/>
    <n v="50"/>
    <n v="4750"/>
    <m/>
    <x v="3"/>
  </r>
  <r>
    <x v="171"/>
    <x v="457"/>
    <s v="A271403"/>
    <x v="8"/>
    <n v="25"/>
    <n v="2375"/>
    <m/>
    <x v="3"/>
  </r>
  <r>
    <x v="171"/>
    <x v="457"/>
    <s v="A271403"/>
    <x v="2"/>
    <n v="25"/>
    <n v="2750"/>
    <n v="2887.5"/>
    <x v="3"/>
  </r>
  <r>
    <x v="171"/>
    <x v="97"/>
    <s v="A299992"/>
    <x v="7"/>
    <n v="19"/>
    <n v="1425"/>
    <m/>
    <x v="1"/>
  </r>
  <r>
    <x v="171"/>
    <x v="97"/>
    <s v="A299992"/>
    <x v="1"/>
    <n v="50"/>
    <n v="3750"/>
    <n v="3937.5"/>
    <x v="1"/>
  </r>
  <r>
    <x v="171"/>
    <x v="97"/>
    <s v="A299992"/>
    <x v="2"/>
    <n v="75"/>
    <n v="5625"/>
    <n v="5906.25"/>
    <x v="1"/>
  </r>
  <r>
    <x v="171"/>
    <x v="97"/>
    <s v="A299992"/>
    <x v="11"/>
    <n v="25"/>
    <n v="1875"/>
    <n v="1968.75"/>
    <x v="1"/>
  </r>
  <r>
    <x v="171"/>
    <x v="97"/>
    <s v="A299992"/>
    <x v="0"/>
    <n v="75"/>
    <n v="5625"/>
    <n v="5906.25"/>
    <x v="1"/>
  </r>
  <r>
    <x v="171"/>
    <x v="166"/>
    <s v="A231706"/>
    <x v="12"/>
    <n v="425"/>
    <n v="19275"/>
    <m/>
    <x v="3"/>
  </r>
  <r>
    <x v="171"/>
    <x v="166"/>
    <s v="A231706"/>
    <x v="3"/>
    <n v="475"/>
    <n v="23500"/>
    <m/>
    <x v="3"/>
  </r>
  <r>
    <x v="171"/>
    <x v="166"/>
    <s v="A231706"/>
    <x v="4"/>
    <n v="250"/>
    <n v="18750"/>
    <m/>
    <x v="3"/>
  </r>
  <r>
    <x v="171"/>
    <x v="166"/>
    <s v="A233185"/>
    <x v="4"/>
    <n v="200"/>
    <n v="15000"/>
    <m/>
    <x v="3"/>
  </r>
  <r>
    <x v="171"/>
    <x v="166"/>
    <s v="A231706"/>
    <x v="5"/>
    <n v="100"/>
    <n v="7500"/>
    <m/>
    <x v="3"/>
  </r>
  <r>
    <x v="171"/>
    <x v="166"/>
    <s v="A233185"/>
    <x v="5"/>
    <n v="675"/>
    <n v="50000"/>
    <m/>
    <x v="3"/>
  </r>
  <r>
    <x v="171"/>
    <x v="166"/>
    <s v="A231706"/>
    <x v="6"/>
    <n v="25"/>
    <n v="1875"/>
    <m/>
    <x v="3"/>
  </r>
  <r>
    <x v="171"/>
    <x v="166"/>
    <s v="A233185"/>
    <x v="6"/>
    <n v="1064.5"/>
    <n v="79837.5"/>
    <m/>
    <x v="3"/>
  </r>
  <r>
    <x v="171"/>
    <x v="166"/>
    <s v="A231706"/>
    <x v="7"/>
    <n v="150"/>
    <n v="11250"/>
    <m/>
    <x v="3"/>
  </r>
  <r>
    <x v="171"/>
    <x v="166"/>
    <s v="A233185"/>
    <x v="7"/>
    <n v="285"/>
    <n v="21375"/>
    <m/>
    <x v="3"/>
  </r>
  <r>
    <x v="171"/>
    <x v="166"/>
    <s v="A233185"/>
    <x v="10"/>
    <n v="50"/>
    <n v="3750"/>
    <m/>
    <x v="3"/>
  </r>
  <r>
    <x v="171"/>
    <x v="166"/>
    <s v="A231706"/>
    <x v="8"/>
    <n v="19"/>
    <n v="1425"/>
    <m/>
    <x v="3"/>
  </r>
  <r>
    <x v="171"/>
    <x v="166"/>
    <s v="A233185"/>
    <x v="9"/>
    <n v="200"/>
    <n v="15000"/>
    <m/>
    <x v="3"/>
  </r>
  <r>
    <x v="171"/>
    <x v="166"/>
    <s v="A233185"/>
    <x v="1"/>
    <n v="175"/>
    <n v="9625"/>
    <n v="10106.25"/>
    <x v="3"/>
  </r>
  <r>
    <x v="171"/>
    <x v="166"/>
    <s v="A233185"/>
    <x v="2"/>
    <n v="150"/>
    <n v="12750"/>
    <n v="13387.5"/>
    <x v="3"/>
  </r>
  <r>
    <x v="171"/>
    <x v="244"/>
    <s v="A402012"/>
    <x v="1"/>
    <n v="50"/>
    <n v="4250"/>
    <n v="4462.5"/>
    <x v="3"/>
  </r>
  <r>
    <x v="171"/>
    <x v="244"/>
    <s v="A402012"/>
    <x v="2"/>
    <n v="225"/>
    <n v="19125"/>
    <n v="20081.25"/>
    <x v="3"/>
  </r>
  <r>
    <x v="171"/>
    <x v="244"/>
    <s v="A402012"/>
    <x v="11"/>
    <n v="100"/>
    <n v="8500"/>
    <n v="8925"/>
    <x v="3"/>
  </r>
  <r>
    <x v="171"/>
    <x v="244"/>
    <s v="A415792"/>
    <x v="11"/>
    <n v="225"/>
    <n v="19125"/>
    <n v="20081.25"/>
    <x v="3"/>
  </r>
  <r>
    <x v="171"/>
    <x v="224"/>
    <s v="A249084"/>
    <x v="3"/>
    <n v="150"/>
    <n v="9750"/>
    <m/>
    <x v="3"/>
  </r>
  <r>
    <x v="171"/>
    <x v="224"/>
    <s v="A249084"/>
    <x v="4"/>
    <n v="275"/>
    <n v="17875"/>
    <m/>
    <x v="3"/>
  </r>
  <r>
    <x v="171"/>
    <x v="224"/>
    <s v="A249084"/>
    <x v="5"/>
    <n v="100"/>
    <n v="6500"/>
    <m/>
    <x v="3"/>
  </r>
  <r>
    <x v="171"/>
    <x v="224"/>
    <s v="A249084"/>
    <x v="6"/>
    <n v="60"/>
    <n v="3900"/>
    <m/>
    <x v="3"/>
  </r>
  <r>
    <x v="171"/>
    <x v="224"/>
    <s v="A249084"/>
    <x v="9"/>
    <n v="100"/>
    <n v="6500"/>
    <m/>
    <x v="3"/>
  </r>
  <r>
    <x v="171"/>
    <x v="714"/>
    <m/>
    <x v="6"/>
    <n v="225"/>
    <n v="1192.5"/>
    <m/>
    <x v="3"/>
  </r>
  <r>
    <x v="171"/>
    <x v="715"/>
    <m/>
    <x v="12"/>
    <n v="10"/>
    <n v="7740"/>
    <m/>
    <x v="3"/>
  </r>
  <r>
    <x v="171"/>
    <x v="596"/>
    <s v="A231707"/>
    <x v="12"/>
    <n v="25"/>
    <n v="1500"/>
    <m/>
    <x v="3"/>
  </r>
  <r>
    <x v="171"/>
    <x v="596"/>
    <s v="A231707"/>
    <x v="3"/>
    <n v="25"/>
    <n v="2000"/>
    <m/>
    <x v="3"/>
  </r>
  <r>
    <x v="171"/>
    <x v="596"/>
    <s v="A231707"/>
    <x v="5"/>
    <n v="25"/>
    <n v="2500"/>
    <m/>
    <x v="3"/>
  </r>
  <r>
    <x v="171"/>
    <x v="596"/>
    <s v="A231707"/>
    <x v="6"/>
    <n v="25"/>
    <n v="2250"/>
    <m/>
    <x v="3"/>
  </r>
  <r>
    <x v="171"/>
    <x v="596"/>
    <s v="A231707"/>
    <x v="7"/>
    <n v="50"/>
    <n v="4750"/>
    <m/>
    <x v="3"/>
  </r>
  <r>
    <x v="171"/>
    <x v="432"/>
    <m/>
    <x v="10"/>
    <n v="5"/>
    <n v="450"/>
    <m/>
    <x v="3"/>
  </r>
  <r>
    <x v="171"/>
    <x v="19"/>
    <s v="A233442"/>
    <x v="5"/>
    <n v="10"/>
    <n v="750"/>
    <m/>
    <x v="3"/>
  </r>
  <r>
    <x v="171"/>
    <x v="19"/>
    <s v="A233442"/>
    <x v="8"/>
    <n v="150"/>
    <n v="9750"/>
    <m/>
    <x v="3"/>
  </r>
  <r>
    <x v="171"/>
    <x v="19"/>
    <s v="A233442"/>
    <x v="9"/>
    <n v="70"/>
    <n v="5250"/>
    <m/>
    <x v="3"/>
  </r>
  <r>
    <x v="171"/>
    <x v="169"/>
    <s v="A286824"/>
    <x v="1"/>
    <n v="26"/>
    <n v="3120"/>
    <n v="3276"/>
    <x v="3"/>
  </r>
  <r>
    <x v="171"/>
    <x v="169"/>
    <s v="A286825"/>
    <x v="1"/>
    <n v="1"/>
    <n v="230"/>
    <n v="241.5"/>
    <x v="3"/>
  </r>
  <r>
    <x v="171"/>
    <x v="169"/>
    <s v="A286825"/>
    <x v="2"/>
    <n v="25"/>
    <n v="3000"/>
    <n v="3150"/>
    <x v="3"/>
  </r>
  <r>
    <x v="171"/>
    <x v="14"/>
    <m/>
    <x v="1"/>
    <n v="65"/>
    <n v="6050"/>
    <n v="6352.5"/>
    <x v="3"/>
  </r>
  <r>
    <x v="171"/>
    <x v="103"/>
    <s v="A299996"/>
    <x v="9"/>
    <n v="75"/>
    <n v="6375"/>
    <m/>
    <x v="3"/>
  </r>
  <r>
    <x v="171"/>
    <x v="103"/>
    <s v="A299996"/>
    <x v="2"/>
    <n v="100"/>
    <n v="8500"/>
    <n v="8925"/>
    <x v="3"/>
  </r>
  <r>
    <x v="171"/>
    <x v="347"/>
    <s v="A417703"/>
    <x v="11"/>
    <n v="135"/>
    <n v="11880"/>
    <n v="12474"/>
    <x v="1"/>
  </r>
  <r>
    <x v="171"/>
    <x v="347"/>
    <s v="A417703"/>
    <x v="0"/>
    <n v="100"/>
    <n v="8800"/>
    <n v="9240"/>
    <x v="1"/>
  </r>
  <r>
    <x v="171"/>
    <x v="716"/>
    <s v="A236985"/>
    <x v="9"/>
    <n v="30"/>
    <n v="2400"/>
    <m/>
    <x v="3"/>
  </r>
  <r>
    <x v="171"/>
    <x v="1"/>
    <s v="A231710"/>
    <x v="12"/>
    <n v="100"/>
    <n v="6000"/>
    <m/>
    <x v="3"/>
  </r>
  <r>
    <x v="171"/>
    <x v="1"/>
    <s v="A231710"/>
    <x v="3"/>
    <n v="150"/>
    <n v="9625"/>
    <m/>
    <x v="3"/>
  </r>
  <r>
    <x v="171"/>
    <x v="1"/>
    <s v="A231710"/>
    <x v="4"/>
    <n v="150"/>
    <n v="12250"/>
    <m/>
    <x v="3"/>
  </r>
  <r>
    <x v="171"/>
    <x v="1"/>
    <s v="A231710"/>
    <x v="5"/>
    <n v="100"/>
    <n v="8750"/>
    <m/>
    <x v="3"/>
  </r>
  <r>
    <x v="171"/>
    <x v="1"/>
    <s v="A231710"/>
    <x v="6"/>
    <n v="75"/>
    <n v="6625"/>
    <m/>
    <x v="3"/>
  </r>
  <r>
    <x v="171"/>
    <x v="1"/>
    <s v="A231710"/>
    <x v="7"/>
    <n v="135"/>
    <n v="12150"/>
    <m/>
    <x v="3"/>
  </r>
  <r>
    <x v="171"/>
    <x v="1"/>
    <s v="A231710"/>
    <x v="10"/>
    <n v="50"/>
    <n v="4500"/>
    <m/>
    <x v="3"/>
  </r>
  <r>
    <x v="171"/>
    <x v="1"/>
    <s v="A231710"/>
    <x v="9"/>
    <n v="100"/>
    <n v="9000"/>
    <m/>
    <x v="3"/>
  </r>
  <r>
    <x v="171"/>
    <x v="1"/>
    <s v="A231710"/>
    <x v="1"/>
    <n v="360"/>
    <n v="32150"/>
    <n v="33757.5"/>
    <x v="3"/>
  </r>
  <r>
    <x v="171"/>
    <x v="1"/>
    <s v="A231710"/>
    <x v="2"/>
    <n v="325"/>
    <n v="32000"/>
    <n v="33600"/>
    <x v="3"/>
  </r>
  <r>
    <x v="172"/>
    <x v="432"/>
    <m/>
    <x v="10"/>
    <n v="20"/>
    <n v="1800"/>
    <m/>
    <x v="3"/>
  </r>
  <r>
    <x v="173"/>
    <x v="353"/>
    <s v="A241990"/>
    <x v="6"/>
    <n v="50"/>
    <n v="3900"/>
    <m/>
    <x v="3"/>
  </r>
  <r>
    <x v="173"/>
    <x v="353"/>
    <s v="A241990"/>
    <x v="7"/>
    <n v="25"/>
    <n v="1950"/>
    <m/>
    <x v="3"/>
  </r>
  <r>
    <x v="173"/>
    <x v="353"/>
    <s v="A241990"/>
    <x v="10"/>
    <n v="50"/>
    <n v="3825"/>
    <m/>
    <x v="3"/>
  </r>
  <r>
    <x v="173"/>
    <x v="353"/>
    <s v="A241990"/>
    <x v="8"/>
    <n v="50"/>
    <n v="3750"/>
    <m/>
    <x v="3"/>
  </r>
  <r>
    <x v="173"/>
    <x v="141"/>
    <s v="A249778"/>
    <x v="6"/>
    <n v="25"/>
    <n v="1625"/>
    <m/>
    <x v="3"/>
  </r>
  <r>
    <x v="173"/>
    <x v="141"/>
    <s v="A249778"/>
    <x v="7"/>
    <n v="25"/>
    <n v="1750"/>
    <m/>
    <x v="3"/>
  </r>
  <r>
    <x v="173"/>
    <x v="141"/>
    <s v="A249778"/>
    <x v="10"/>
    <n v="25"/>
    <n v="1750"/>
    <m/>
    <x v="3"/>
  </r>
  <r>
    <x v="173"/>
    <x v="4"/>
    <s v="A231709"/>
    <x v="10"/>
    <n v="5"/>
    <n v="375"/>
    <m/>
    <x v="3"/>
  </r>
  <r>
    <x v="173"/>
    <x v="166"/>
    <s v="A231706"/>
    <x v="6"/>
    <n v="25"/>
    <n v="1875"/>
    <m/>
    <x v="3"/>
  </r>
  <r>
    <x v="173"/>
    <x v="248"/>
    <s v="A264618"/>
    <x v="10"/>
    <n v="30"/>
    <n v="2275"/>
    <m/>
    <x v="3"/>
  </r>
  <r>
    <x v="174"/>
    <x v="717"/>
    <m/>
    <x v="8"/>
    <n v="20"/>
    <n v="2100"/>
    <m/>
    <x v="3"/>
  </r>
  <r>
    <x v="174"/>
    <x v="717"/>
    <m/>
    <x v="1"/>
    <n v="20"/>
    <n v="2100"/>
    <n v="2205"/>
    <x v="3"/>
  </r>
  <r>
    <x v="174"/>
    <x v="718"/>
    <m/>
    <x v="8"/>
    <n v="20"/>
    <n v="2100"/>
    <m/>
    <x v="3"/>
  </r>
  <r>
    <x v="174"/>
    <x v="6"/>
    <s v="A270578"/>
    <x v="10"/>
    <n v="25"/>
    <n v="1625"/>
    <m/>
    <x v="3"/>
  </r>
  <r>
    <x v="174"/>
    <x v="408"/>
    <s v="A239076"/>
    <x v="10"/>
    <n v="170"/>
    <n v="22100"/>
    <m/>
    <x v="3"/>
  </r>
  <r>
    <x v="174"/>
    <x v="408"/>
    <s v="A239076"/>
    <x v="8"/>
    <n v="325"/>
    <n v="39750"/>
    <m/>
    <x v="3"/>
  </r>
  <r>
    <x v="174"/>
    <x v="408"/>
    <s v="A239076"/>
    <x v="9"/>
    <n v="250"/>
    <n v="30000"/>
    <m/>
    <x v="3"/>
  </r>
  <r>
    <x v="174"/>
    <x v="10"/>
    <m/>
    <x v="1"/>
    <n v="40"/>
    <n v="3200"/>
    <n v="3360"/>
    <x v="3"/>
  </r>
  <r>
    <x v="175"/>
    <x v="84"/>
    <s v="A294848"/>
    <x v="6"/>
    <n v="250"/>
    <n v="95000"/>
    <m/>
    <x v="3"/>
  </r>
  <r>
    <x v="175"/>
    <x v="719"/>
    <s v="A294410"/>
    <x v="6"/>
    <n v="150"/>
    <n v="33000"/>
    <m/>
    <x v="3"/>
  </r>
  <r>
    <x v="175"/>
    <x v="85"/>
    <s v="A294408"/>
    <x v="6"/>
    <n v="150"/>
    <n v="30750"/>
    <m/>
    <x v="3"/>
  </r>
  <r>
    <x v="175"/>
    <x v="720"/>
    <s v="A281063"/>
    <x v="5"/>
    <n v="5"/>
    <n v="1150"/>
    <m/>
    <x v="3"/>
  </r>
  <r>
    <x v="175"/>
    <x v="35"/>
    <s v="A245190"/>
    <x v="5"/>
    <n v="5"/>
    <n v="1150"/>
    <m/>
    <x v="3"/>
  </r>
  <r>
    <x v="175"/>
    <x v="721"/>
    <s v="P01088"/>
    <x v="5"/>
    <n v="25"/>
    <n v="7000"/>
    <m/>
    <x v="3"/>
  </r>
  <r>
    <x v="175"/>
    <x v="721"/>
    <s v="P01088"/>
    <x v="6"/>
    <n v="25"/>
    <n v="7000"/>
    <m/>
    <x v="3"/>
  </r>
  <r>
    <x v="175"/>
    <x v="722"/>
    <s v="A283336"/>
    <x v="5"/>
    <n v="10"/>
    <n v="2800"/>
    <m/>
    <x v="3"/>
  </r>
  <r>
    <x v="175"/>
    <x v="723"/>
    <s v="A243962"/>
    <x v="5"/>
    <n v="45"/>
    <n v="10350"/>
    <m/>
    <x v="3"/>
  </r>
  <r>
    <x v="175"/>
    <x v="471"/>
    <s v="A243964"/>
    <x v="5"/>
    <n v="5"/>
    <n v="1150"/>
    <m/>
    <x v="3"/>
  </r>
  <r>
    <x v="175"/>
    <x v="724"/>
    <s v="A281054"/>
    <x v="5"/>
    <n v="5"/>
    <n v="1150"/>
    <m/>
    <x v="3"/>
  </r>
  <r>
    <x v="175"/>
    <x v="725"/>
    <s v="A236201"/>
    <x v="5"/>
    <n v="5"/>
    <n v="1150"/>
    <m/>
    <x v="3"/>
  </r>
  <r>
    <x v="175"/>
    <x v="563"/>
    <s v="A235757"/>
    <x v="5"/>
    <n v="5"/>
    <n v="1150"/>
    <m/>
    <x v="3"/>
  </r>
  <r>
    <x v="175"/>
    <x v="726"/>
    <s v="A237357"/>
    <x v="5"/>
    <n v="5"/>
    <n v="1150"/>
    <m/>
    <x v="3"/>
  </r>
  <r>
    <x v="175"/>
    <x v="727"/>
    <s v="A275656"/>
    <x v="5"/>
    <n v="5"/>
    <n v="1150"/>
    <m/>
    <x v="3"/>
  </r>
  <r>
    <x v="175"/>
    <x v="146"/>
    <s v="A245818"/>
    <x v="4"/>
    <n v="15"/>
    <n v="3150"/>
    <m/>
    <x v="3"/>
  </r>
  <r>
    <x v="175"/>
    <x v="146"/>
    <s v="A245818"/>
    <x v="6"/>
    <n v="1"/>
    <n v="183.75"/>
    <m/>
    <x v="3"/>
  </r>
  <r>
    <x v="175"/>
    <x v="365"/>
    <s v="A285878"/>
    <x v="6"/>
    <n v="25"/>
    <n v="5500"/>
    <m/>
    <x v="3"/>
  </r>
  <r>
    <x v="175"/>
    <x v="728"/>
    <s v="A282343"/>
    <x v="5"/>
    <n v="10"/>
    <n v="2400"/>
    <m/>
    <x v="3"/>
  </r>
  <r>
    <x v="175"/>
    <x v="729"/>
    <s v="A290974"/>
    <x v="6"/>
    <n v="25"/>
    <n v="7250"/>
    <m/>
    <x v="3"/>
  </r>
  <r>
    <x v="175"/>
    <x v="730"/>
    <s v="A266487"/>
    <x v="5"/>
    <n v="5"/>
    <n v="1150"/>
    <m/>
    <x v="3"/>
  </r>
  <r>
    <x v="175"/>
    <x v="111"/>
    <s v="A257635"/>
    <x v="10"/>
    <n v="1"/>
    <n v="190"/>
    <m/>
    <x v="3"/>
  </r>
  <r>
    <x v="175"/>
    <x v="112"/>
    <s v="A265729"/>
    <x v="5"/>
    <n v="50"/>
    <n v="12500"/>
    <m/>
    <x v="3"/>
  </r>
  <r>
    <x v="175"/>
    <x v="112"/>
    <s v="A265729"/>
    <x v="6"/>
    <n v="40"/>
    <n v="8800"/>
    <m/>
    <x v="3"/>
  </r>
  <r>
    <x v="175"/>
    <x v="112"/>
    <s v="A265729"/>
    <x v="8"/>
    <n v="5"/>
    <n v="1100"/>
    <m/>
    <x v="3"/>
  </r>
  <r>
    <x v="175"/>
    <x v="731"/>
    <s v="A275251"/>
    <x v="5"/>
    <n v="25"/>
    <n v="6750"/>
    <m/>
    <x v="3"/>
  </r>
  <r>
    <x v="175"/>
    <x v="732"/>
    <s v="P03319"/>
    <x v="6"/>
    <n v="100"/>
    <n v="40000"/>
    <m/>
    <x v="3"/>
  </r>
  <r>
    <x v="175"/>
    <x v="733"/>
    <s v="A281072"/>
    <x v="5"/>
    <n v="10"/>
    <n v="2550"/>
    <m/>
    <x v="3"/>
  </r>
  <r>
    <x v="175"/>
    <x v="734"/>
    <s v="A286582"/>
    <x v="6"/>
    <n v="25"/>
    <n v="6750"/>
    <m/>
    <x v="3"/>
  </r>
  <r>
    <x v="175"/>
    <x v="735"/>
    <s v="A287070"/>
    <x v="5"/>
    <n v="10"/>
    <n v="3000"/>
    <m/>
    <x v="3"/>
  </r>
  <r>
    <x v="175"/>
    <x v="521"/>
    <s v="A281061"/>
    <x v="5"/>
    <n v="5"/>
    <n v="1275"/>
    <m/>
    <x v="3"/>
  </r>
  <r>
    <x v="175"/>
    <x v="613"/>
    <s v="A245820"/>
    <x v="5"/>
    <n v="5"/>
    <n v="1150"/>
    <m/>
    <x v="3"/>
  </r>
  <r>
    <x v="175"/>
    <x v="613"/>
    <s v="A245820"/>
    <x v="6"/>
    <n v="100"/>
    <n v="22000"/>
    <m/>
    <x v="3"/>
  </r>
  <r>
    <x v="175"/>
    <x v="736"/>
    <s v="P06751"/>
    <x v="7"/>
    <n v="100"/>
    <n v="104000"/>
    <m/>
    <x v="3"/>
  </r>
  <r>
    <x v="175"/>
    <x v="737"/>
    <s v="A242631"/>
    <x v="5"/>
    <n v="5"/>
    <n v="1150"/>
    <m/>
    <x v="3"/>
  </r>
  <r>
    <x v="175"/>
    <x v="738"/>
    <s v="A234616"/>
    <x v="5"/>
    <n v="5"/>
    <n v="1150"/>
    <m/>
    <x v="3"/>
  </r>
  <r>
    <x v="175"/>
    <x v="150"/>
    <s v="A261788"/>
    <x v="4"/>
    <n v="10"/>
    <n v="2300"/>
    <m/>
    <x v="3"/>
  </r>
  <r>
    <x v="175"/>
    <x v="739"/>
    <s v="A281067"/>
    <x v="5"/>
    <n v="5"/>
    <n v="1150"/>
    <m/>
    <x v="3"/>
  </r>
  <r>
    <x v="175"/>
    <x v="739"/>
    <s v="A281067"/>
    <x v="6"/>
    <n v="5"/>
    <n v="1010.65"/>
    <m/>
    <x v="3"/>
  </r>
  <r>
    <x v="175"/>
    <x v="740"/>
    <s v="A292478"/>
    <x v="6"/>
    <n v="70"/>
    <n v="14000"/>
    <m/>
    <x v="3"/>
  </r>
  <r>
    <x v="175"/>
    <x v="41"/>
    <s v="A282275"/>
    <x v="5"/>
    <n v="25"/>
    <n v="16250"/>
    <m/>
    <x v="3"/>
  </r>
  <r>
    <x v="175"/>
    <x v="41"/>
    <s v="A282275"/>
    <x v="6"/>
    <n v="25"/>
    <n v="16250"/>
    <m/>
    <x v="3"/>
  </r>
  <r>
    <x v="175"/>
    <x v="741"/>
    <m/>
    <x v="6"/>
    <n v="25"/>
    <n v="14000"/>
    <m/>
    <x v="3"/>
  </r>
  <r>
    <x v="175"/>
    <x v="742"/>
    <s v="P00864"/>
    <x v="6"/>
    <n v="0.5"/>
    <n v="110.25"/>
    <m/>
    <x v="3"/>
  </r>
  <r>
    <x v="175"/>
    <x v="743"/>
    <s v="A268938"/>
    <x v="6"/>
    <n v="100"/>
    <n v="20000"/>
    <m/>
    <x v="3"/>
  </r>
  <r>
    <x v="175"/>
    <x v="744"/>
    <s v="A249749"/>
    <x v="5"/>
    <n v="5"/>
    <n v="1150"/>
    <m/>
    <x v="3"/>
  </r>
  <r>
    <x v="175"/>
    <x v="745"/>
    <s v="P08026"/>
    <x v="7"/>
    <n v="100"/>
    <n v="75000"/>
    <m/>
    <x v="3"/>
  </r>
  <r>
    <x v="175"/>
    <x v="746"/>
    <s v="A281064"/>
    <x v="5"/>
    <n v="5"/>
    <n v="1150"/>
    <m/>
    <x v="3"/>
  </r>
  <r>
    <x v="175"/>
    <x v="747"/>
    <s v="A238514"/>
    <x v="5"/>
    <n v="5"/>
    <n v="1125"/>
    <m/>
    <x v="3"/>
  </r>
  <r>
    <x v="175"/>
    <x v="748"/>
    <s v="A244322"/>
    <x v="5"/>
    <n v="5"/>
    <n v="1150"/>
    <m/>
    <x v="3"/>
  </r>
  <r>
    <x v="175"/>
    <x v="311"/>
    <s v="A246793"/>
    <x v="6"/>
    <n v="5"/>
    <n v="918.75"/>
    <m/>
    <x v="3"/>
  </r>
  <r>
    <x v="175"/>
    <x v="749"/>
    <s v="A281066"/>
    <x v="5"/>
    <n v="5"/>
    <n v="1150"/>
    <m/>
    <x v="3"/>
  </r>
  <r>
    <x v="175"/>
    <x v="750"/>
    <s v="A281062"/>
    <x v="5"/>
    <n v="5"/>
    <n v="1150"/>
    <m/>
    <x v="3"/>
  </r>
  <r>
    <x v="175"/>
    <x v="616"/>
    <s v="A241362"/>
    <x v="10"/>
    <n v="1"/>
    <n v="190"/>
    <m/>
    <x v="3"/>
  </r>
  <r>
    <x v="175"/>
    <x v="751"/>
    <s v="A276403"/>
    <x v="4"/>
    <n v="20"/>
    <n v="4000"/>
    <m/>
    <x v="3"/>
  </r>
  <r>
    <x v="175"/>
    <x v="751"/>
    <s v="A276403"/>
    <x v="6"/>
    <n v="50"/>
    <n v="10000"/>
    <m/>
    <x v="3"/>
  </r>
  <r>
    <x v="175"/>
    <x v="526"/>
    <s v="A257272"/>
    <x v="6"/>
    <n v="5"/>
    <n v="992.25"/>
    <m/>
    <x v="3"/>
  </r>
  <r>
    <x v="175"/>
    <x v="752"/>
    <s v="A270858"/>
    <x v="5"/>
    <n v="5"/>
    <n v="1150"/>
    <m/>
    <x v="3"/>
  </r>
  <r>
    <x v="175"/>
    <x v="753"/>
    <s v="A235735"/>
    <x v="5"/>
    <n v="5"/>
    <n v="1150"/>
    <m/>
    <x v="3"/>
  </r>
  <r>
    <x v="175"/>
    <x v="753"/>
    <s v="A235735"/>
    <x v="6"/>
    <n v="5"/>
    <n v="992.25"/>
    <m/>
    <x v="3"/>
  </r>
  <r>
    <x v="175"/>
    <x v="190"/>
    <s v="A238187"/>
    <x v="5"/>
    <n v="25"/>
    <n v="5750"/>
    <m/>
    <x v="3"/>
  </r>
  <r>
    <x v="175"/>
    <x v="754"/>
    <s v="A234434"/>
    <x v="5"/>
    <n v="5"/>
    <n v="1150"/>
    <m/>
    <x v="3"/>
  </r>
  <r>
    <x v="175"/>
    <x v="755"/>
    <s v="P04019"/>
    <x v="6"/>
    <n v="25"/>
    <n v="6500"/>
    <m/>
    <x v="3"/>
  </r>
  <r>
    <x v="175"/>
    <x v="92"/>
    <s v="A241586"/>
    <x v="5"/>
    <n v="10"/>
    <n v="2300"/>
    <m/>
    <x v="3"/>
  </r>
  <r>
    <x v="175"/>
    <x v="92"/>
    <s v="A241586"/>
    <x v="6"/>
    <n v="50"/>
    <n v="11500"/>
    <m/>
    <x v="3"/>
  </r>
  <r>
    <x v="175"/>
    <x v="756"/>
    <s v="A238385"/>
    <x v="6"/>
    <n v="150"/>
    <n v="25500"/>
    <m/>
    <x v="3"/>
  </r>
  <r>
    <x v="175"/>
    <x v="115"/>
    <s v="A261820"/>
    <x v="5"/>
    <n v="25"/>
    <n v="5750"/>
    <m/>
    <x v="3"/>
  </r>
  <r>
    <x v="175"/>
    <x v="46"/>
    <s v="A234876"/>
    <x v="4"/>
    <n v="5"/>
    <n v="1200"/>
    <m/>
    <x v="3"/>
  </r>
  <r>
    <x v="175"/>
    <x v="757"/>
    <s v="A241028"/>
    <x v="5"/>
    <n v="5"/>
    <n v="1150"/>
    <m/>
    <x v="3"/>
  </r>
  <r>
    <x v="175"/>
    <x v="758"/>
    <s v="A241368"/>
    <x v="5"/>
    <n v="15"/>
    <n v="3450"/>
    <m/>
    <x v="3"/>
  </r>
  <r>
    <x v="175"/>
    <x v="759"/>
    <s v="A269984"/>
    <x v="5"/>
    <n v="5"/>
    <n v="1150"/>
    <m/>
    <x v="3"/>
  </r>
  <r>
    <x v="175"/>
    <x v="760"/>
    <s v="A281057"/>
    <x v="5"/>
    <n v="5"/>
    <n v="1275"/>
    <m/>
    <x v="3"/>
  </r>
  <r>
    <x v="175"/>
    <x v="761"/>
    <s v="A234431"/>
    <x v="5"/>
    <n v="5"/>
    <n v="1150"/>
    <m/>
    <x v="3"/>
  </r>
  <r>
    <x v="175"/>
    <x v="286"/>
    <s v="A255319"/>
    <x v="5"/>
    <n v="10"/>
    <n v="2400"/>
    <m/>
    <x v="3"/>
  </r>
  <r>
    <x v="175"/>
    <x v="286"/>
    <s v="A255319"/>
    <x v="6"/>
    <n v="25"/>
    <n v="5625"/>
    <m/>
    <x v="3"/>
  </r>
  <r>
    <x v="175"/>
    <x v="762"/>
    <s v="A283876"/>
    <x v="5"/>
    <n v="250"/>
    <n v="108000"/>
    <m/>
    <x v="3"/>
  </r>
  <r>
    <x v="175"/>
    <x v="762"/>
    <s v="A283876"/>
    <x v="6"/>
    <n v="210"/>
    <n v="107500"/>
    <m/>
    <x v="3"/>
  </r>
  <r>
    <x v="175"/>
    <x v="762"/>
    <s v="A283876"/>
    <x v="7"/>
    <n v="50"/>
    <n v="21500"/>
    <m/>
    <x v="3"/>
  </r>
  <r>
    <x v="175"/>
    <x v="763"/>
    <s v="A261053"/>
    <x v="5"/>
    <n v="5"/>
    <n v="1150"/>
    <m/>
    <x v="3"/>
  </r>
  <r>
    <x v="175"/>
    <x v="154"/>
    <s v="A292909"/>
    <x v="6"/>
    <n v="10"/>
    <n v="4900"/>
    <m/>
    <x v="3"/>
  </r>
  <r>
    <x v="175"/>
    <x v="764"/>
    <s v="A289196"/>
    <x v="5"/>
    <n v="25"/>
    <n v="5500"/>
    <m/>
    <x v="3"/>
  </r>
  <r>
    <x v="175"/>
    <x v="764"/>
    <s v="A289196"/>
    <x v="6"/>
    <n v="25"/>
    <n v="5500"/>
    <m/>
    <x v="3"/>
  </r>
  <r>
    <x v="175"/>
    <x v="26"/>
    <s v="A261819"/>
    <x v="4"/>
    <n v="10"/>
    <n v="2300"/>
    <m/>
    <x v="3"/>
  </r>
  <r>
    <x v="175"/>
    <x v="26"/>
    <s v="A261819"/>
    <x v="5"/>
    <n v="25"/>
    <n v="5625"/>
    <m/>
    <x v="3"/>
  </r>
  <r>
    <x v="175"/>
    <x v="26"/>
    <s v="A281055"/>
    <x v="5"/>
    <n v="5"/>
    <n v="1150"/>
    <m/>
    <x v="3"/>
  </r>
  <r>
    <x v="175"/>
    <x v="156"/>
    <s v="A231705"/>
    <x v="5"/>
    <n v="10"/>
    <n v="1700"/>
    <m/>
    <x v="3"/>
  </r>
  <r>
    <x v="175"/>
    <x v="156"/>
    <s v="A231705"/>
    <x v="6"/>
    <n v="25"/>
    <n v="4250"/>
    <m/>
    <x v="3"/>
  </r>
  <r>
    <x v="175"/>
    <x v="156"/>
    <s v="A231705"/>
    <x v="10"/>
    <n v="6"/>
    <n v="1020"/>
    <m/>
    <x v="3"/>
  </r>
  <r>
    <x v="175"/>
    <x v="156"/>
    <s v="A231705"/>
    <x v="8"/>
    <n v="5"/>
    <n v="850"/>
    <m/>
    <x v="3"/>
  </r>
  <r>
    <x v="175"/>
    <x v="156"/>
    <s v="A231705"/>
    <x v="9"/>
    <n v="20"/>
    <n v="3400"/>
    <m/>
    <x v="3"/>
  </r>
  <r>
    <x v="175"/>
    <x v="765"/>
    <m/>
    <x v="5"/>
    <n v="12"/>
    <n v="1920"/>
    <m/>
    <x v="3"/>
  </r>
  <r>
    <x v="175"/>
    <x v="3"/>
    <s v="A232126"/>
    <x v="5"/>
    <n v="5"/>
    <n v="875"/>
    <m/>
    <x v="3"/>
  </r>
  <r>
    <x v="175"/>
    <x v="3"/>
    <s v="A232126"/>
    <x v="6"/>
    <n v="10"/>
    <n v="1750"/>
    <m/>
    <x v="3"/>
  </r>
  <r>
    <x v="175"/>
    <x v="3"/>
    <s v="A232126"/>
    <x v="7"/>
    <n v="25"/>
    <n v="4375"/>
    <m/>
    <x v="3"/>
  </r>
  <r>
    <x v="175"/>
    <x v="3"/>
    <s v="A232126"/>
    <x v="10"/>
    <n v="5"/>
    <n v="875"/>
    <m/>
    <x v="3"/>
  </r>
  <r>
    <x v="175"/>
    <x v="766"/>
    <s v="A288320"/>
    <x v="6"/>
    <n v="100"/>
    <n v="22000"/>
    <m/>
    <x v="3"/>
  </r>
  <r>
    <x v="175"/>
    <x v="767"/>
    <s v="P00867"/>
    <x v="6"/>
    <n v="50"/>
    <n v="13250"/>
    <m/>
    <x v="3"/>
  </r>
  <r>
    <x v="175"/>
    <x v="283"/>
    <s v="P04017"/>
    <x v="6"/>
    <n v="0.5"/>
    <n v="110.25"/>
    <m/>
    <x v="3"/>
  </r>
  <r>
    <x v="175"/>
    <x v="768"/>
    <s v="A282341"/>
    <x v="5"/>
    <n v="10"/>
    <n v="2400"/>
    <m/>
    <x v="3"/>
  </r>
  <r>
    <x v="175"/>
    <x v="312"/>
    <s v="A281069"/>
    <x v="5"/>
    <n v="5"/>
    <n v="1150"/>
    <m/>
    <x v="3"/>
  </r>
  <r>
    <x v="175"/>
    <x v="52"/>
    <s v="P16046"/>
    <x v="10"/>
    <n v="1"/>
    <n v="240"/>
    <m/>
    <x v="3"/>
  </r>
  <r>
    <x v="175"/>
    <x v="769"/>
    <s v="P04018"/>
    <x v="6"/>
    <n v="100"/>
    <n v="24000"/>
    <m/>
    <x v="3"/>
  </r>
  <r>
    <x v="175"/>
    <x v="770"/>
    <s v="A229845"/>
    <x v="5"/>
    <n v="5"/>
    <n v="1150"/>
    <m/>
    <x v="3"/>
  </r>
  <r>
    <x v="175"/>
    <x v="771"/>
    <s v="A291443"/>
    <x v="6"/>
    <n v="100"/>
    <n v="27000"/>
    <m/>
    <x v="3"/>
  </r>
  <r>
    <x v="175"/>
    <x v="482"/>
    <s v="A254190"/>
    <x v="5"/>
    <n v="30"/>
    <n v="6900"/>
    <m/>
    <x v="3"/>
  </r>
  <r>
    <x v="175"/>
    <x v="772"/>
    <s v="A281058"/>
    <x v="5"/>
    <n v="5"/>
    <n v="1275"/>
    <m/>
    <x v="3"/>
  </r>
  <r>
    <x v="175"/>
    <x v="194"/>
    <s v="A294673"/>
    <x v="6"/>
    <n v="100"/>
    <n v="22500"/>
    <m/>
    <x v="3"/>
  </r>
  <r>
    <x v="175"/>
    <x v="773"/>
    <s v="A295776"/>
    <x v="6"/>
    <n v="25"/>
    <n v="6500"/>
    <m/>
    <x v="3"/>
  </r>
  <r>
    <x v="175"/>
    <x v="774"/>
    <s v="A250905"/>
    <x v="5"/>
    <n v="5"/>
    <n v="1150"/>
    <m/>
    <x v="3"/>
  </r>
  <r>
    <x v="175"/>
    <x v="775"/>
    <s v="A258553"/>
    <x v="5"/>
    <n v="5"/>
    <n v="1150"/>
    <m/>
    <x v="3"/>
  </r>
  <r>
    <x v="175"/>
    <x v="415"/>
    <s v="A238388"/>
    <x v="10"/>
    <n v="1"/>
    <n v="180"/>
    <m/>
    <x v="3"/>
  </r>
  <r>
    <x v="175"/>
    <x v="776"/>
    <s v="A282947"/>
    <x v="5"/>
    <n v="125"/>
    <n v="24375"/>
    <m/>
    <x v="3"/>
  </r>
  <r>
    <x v="175"/>
    <x v="776"/>
    <s v="A282947"/>
    <x v="6"/>
    <n v="10"/>
    <n v="1950"/>
    <m/>
    <x v="3"/>
  </r>
  <r>
    <x v="175"/>
    <x v="777"/>
    <s v="A277122"/>
    <x v="5"/>
    <n v="105"/>
    <n v="21000"/>
    <m/>
    <x v="3"/>
  </r>
  <r>
    <x v="175"/>
    <x v="778"/>
    <s v="A277123"/>
    <x v="5"/>
    <n v="175"/>
    <n v="30075"/>
    <m/>
    <x v="3"/>
  </r>
  <r>
    <x v="175"/>
    <x v="779"/>
    <s v="A277124"/>
    <x v="5"/>
    <n v="70"/>
    <n v="13650"/>
    <m/>
    <x v="3"/>
  </r>
  <r>
    <x v="175"/>
    <x v="779"/>
    <s v="A277124"/>
    <x v="6"/>
    <n v="30"/>
    <n v="5850"/>
    <m/>
    <x v="3"/>
  </r>
  <r>
    <x v="175"/>
    <x v="780"/>
    <s v="A282498"/>
    <x v="5"/>
    <n v="160"/>
    <n v="26400"/>
    <m/>
    <x v="3"/>
  </r>
  <r>
    <x v="175"/>
    <x v="663"/>
    <s v="A273822"/>
    <x v="6"/>
    <n v="100"/>
    <n v="24500"/>
    <m/>
    <x v="3"/>
  </r>
  <r>
    <x v="175"/>
    <x v="781"/>
    <s v="A287071"/>
    <x v="5"/>
    <n v="10"/>
    <n v="2800"/>
    <m/>
    <x v="3"/>
  </r>
  <r>
    <x v="175"/>
    <x v="782"/>
    <s v="A281070"/>
    <x v="5"/>
    <n v="5"/>
    <n v="1150"/>
    <m/>
    <x v="3"/>
  </r>
  <r>
    <x v="175"/>
    <x v="68"/>
    <s v="A241029"/>
    <x v="6"/>
    <n v="5"/>
    <n v="992.25"/>
    <m/>
    <x v="3"/>
  </r>
  <r>
    <x v="175"/>
    <x v="68"/>
    <s v="A241029"/>
    <x v="10"/>
    <n v="1"/>
    <n v="200"/>
    <m/>
    <x v="3"/>
  </r>
  <r>
    <x v="175"/>
    <x v="212"/>
    <s v="P05507"/>
    <x v="6"/>
    <n v="100"/>
    <n v="105000"/>
    <m/>
    <x v="3"/>
  </r>
  <r>
    <x v="175"/>
    <x v="783"/>
    <s v="P04964"/>
    <x v="6"/>
    <n v="25"/>
    <n v="11500"/>
    <m/>
    <x v="3"/>
  </r>
  <r>
    <x v="175"/>
    <x v="784"/>
    <s v="A250525"/>
    <x v="5"/>
    <n v="25"/>
    <n v="9500"/>
    <m/>
    <x v="3"/>
  </r>
  <r>
    <x v="175"/>
    <x v="165"/>
    <s v="A237939"/>
    <x v="6"/>
    <n v="5"/>
    <n v="992.25"/>
    <m/>
    <x v="3"/>
  </r>
  <r>
    <x v="175"/>
    <x v="785"/>
    <s v="A238607"/>
    <x v="5"/>
    <n v="5"/>
    <n v="875"/>
    <m/>
    <x v="3"/>
  </r>
  <r>
    <x v="175"/>
    <x v="786"/>
    <s v="P04982"/>
    <x v="6"/>
    <n v="25"/>
    <n v="11000"/>
    <m/>
    <x v="3"/>
  </r>
  <r>
    <x v="175"/>
    <x v="787"/>
    <s v="A230743"/>
    <x v="6"/>
    <n v="5"/>
    <n v="1010.65"/>
    <m/>
    <x v="3"/>
  </r>
  <r>
    <x v="175"/>
    <x v="788"/>
    <s v="A281065"/>
    <x v="5"/>
    <n v="5"/>
    <n v="1150"/>
    <m/>
    <x v="3"/>
  </r>
  <r>
    <x v="175"/>
    <x v="789"/>
    <s v="A281071"/>
    <x v="5"/>
    <n v="5"/>
    <n v="1150"/>
    <m/>
    <x v="3"/>
  </r>
  <r>
    <x v="175"/>
    <x v="790"/>
    <s v="A281056"/>
    <x v="5"/>
    <n v="5"/>
    <n v="1275"/>
    <m/>
    <x v="3"/>
  </r>
  <r>
    <x v="175"/>
    <x v="791"/>
    <s v="A241371"/>
    <x v="6"/>
    <n v="5"/>
    <n v="918.75"/>
    <m/>
    <x v="3"/>
  </r>
  <r>
    <x v="175"/>
    <x v="792"/>
    <s v="A281059"/>
    <x v="5"/>
    <n v="5"/>
    <n v="1275"/>
    <m/>
    <x v="3"/>
  </r>
  <r>
    <x v="175"/>
    <x v="166"/>
    <s v="A231706"/>
    <x v="9"/>
    <n v="10"/>
    <n v="1300"/>
    <m/>
    <x v="3"/>
  </r>
  <r>
    <x v="175"/>
    <x v="167"/>
    <s v="P04981"/>
    <x v="6"/>
    <n v="25"/>
    <n v="13500"/>
    <m/>
    <x v="3"/>
  </r>
  <r>
    <x v="175"/>
    <x v="199"/>
    <s v="A242055"/>
    <x v="6"/>
    <n v="5"/>
    <n v="918.75"/>
    <m/>
    <x v="3"/>
  </r>
  <r>
    <x v="175"/>
    <x v="793"/>
    <s v="A287069"/>
    <x v="5"/>
    <n v="25"/>
    <n v="12875"/>
    <m/>
    <x v="3"/>
  </r>
  <r>
    <x v="175"/>
    <x v="793"/>
    <s v="A287069"/>
    <x v="6"/>
    <n v="40"/>
    <n v="20600"/>
    <m/>
    <x v="3"/>
  </r>
  <r>
    <x v="175"/>
    <x v="794"/>
    <s v="A297621"/>
    <x v="6"/>
    <n v="1"/>
    <n v="220.5"/>
    <m/>
    <x v="3"/>
  </r>
  <r>
    <x v="175"/>
    <x v="99"/>
    <s v="A261254"/>
    <x v="5"/>
    <n v="30"/>
    <n v="11400"/>
    <m/>
    <x v="3"/>
  </r>
  <r>
    <x v="175"/>
    <x v="99"/>
    <s v="A282344"/>
    <x v="5"/>
    <n v="100"/>
    <n v="24000"/>
    <m/>
    <x v="3"/>
  </r>
  <r>
    <x v="175"/>
    <x v="99"/>
    <s v="A282344"/>
    <x v="6"/>
    <n v="150"/>
    <n v="36000"/>
    <m/>
    <x v="3"/>
  </r>
  <r>
    <x v="175"/>
    <x v="99"/>
    <s v="A282344"/>
    <x v="7"/>
    <n v="275"/>
    <n v="66000"/>
    <m/>
    <x v="3"/>
  </r>
  <r>
    <x v="175"/>
    <x v="99"/>
    <s v="A282344"/>
    <x v="9"/>
    <n v="10"/>
    <n v="2400"/>
    <m/>
    <x v="3"/>
  </r>
  <r>
    <x v="175"/>
    <x v="795"/>
    <s v="A239484"/>
    <x v="5"/>
    <n v="5"/>
    <n v="1150"/>
    <m/>
    <x v="3"/>
  </r>
  <r>
    <x v="175"/>
    <x v="796"/>
    <s v="A297622"/>
    <x v="6"/>
    <n v="1"/>
    <n v="238.88"/>
    <m/>
    <x v="3"/>
  </r>
  <r>
    <x v="175"/>
    <x v="797"/>
    <s v="A293787"/>
    <x v="6"/>
    <n v="1"/>
    <n v="294"/>
    <m/>
    <x v="3"/>
  </r>
  <r>
    <x v="175"/>
    <x v="798"/>
    <s v="P10610"/>
    <x v="7"/>
    <n v="50"/>
    <n v="18000"/>
    <m/>
    <x v="3"/>
  </r>
  <r>
    <x v="175"/>
    <x v="799"/>
    <s v="A292477"/>
    <x v="6"/>
    <n v="70"/>
    <n v="14000"/>
    <m/>
    <x v="3"/>
  </r>
  <r>
    <x v="175"/>
    <x v="800"/>
    <s v="A286755"/>
    <x v="6"/>
    <n v="100"/>
    <n v="30000"/>
    <m/>
    <x v="3"/>
  </r>
  <r>
    <x v="175"/>
    <x v="486"/>
    <s v="A282342"/>
    <x v="5"/>
    <n v="10"/>
    <n v="2300"/>
    <m/>
    <x v="3"/>
  </r>
  <r>
    <x v="175"/>
    <x v="76"/>
    <s v="A297626"/>
    <x v="6"/>
    <n v="1"/>
    <n v="238.88"/>
    <m/>
    <x v="3"/>
  </r>
  <r>
    <x v="175"/>
    <x v="801"/>
    <s v="A283335"/>
    <x v="5"/>
    <n v="10"/>
    <n v="6000"/>
    <m/>
    <x v="3"/>
  </r>
  <r>
    <x v="175"/>
    <x v="801"/>
    <s v="A283335"/>
    <x v="6"/>
    <n v="25"/>
    <n v="15000"/>
    <m/>
    <x v="3"/>
  </r>
  <r>
    <x v="175"/>
    <x v="19"/>
    <s v="A233442"/>
    <x v="5"/>
    <n v="5"/>
    <n v="800"/>
    <m/>
    <x v="3"/>
  </r>
  <r>
    <x v="175"/>
    <x v="802"/>
    <s v="A237621"/>
    <x v="5"/>
    <n v="10"/>
    <n v="3200"/>
    <m/>
    <x v="3"/>
  </r>
  <r>
    <x v="175"/>
    <x v="679"/>
    <s v="P12880"/>
    <x v="10"/>
    <n v="1"/>
    <n v="180"/>
    <m/>
    <x v="3"/>
  </r>
  <r>
    <x v="175"/>
    <x v="203"/>
    <s v="A240154"/>
    <x v="5"/>
    <n v="25"/>
    <n v="8000"/>
    <m/>
    <x v="3"/>
  </r>
  <r>
    <x v="175"/>
    <x v="203"/>
    <s v="A240154"/>
    <x v="6"/>
    <n v="25"/>
    <n v="8000"/>
    <m/>
    <x v="3"/>
  </r>
  <r>
    <x v="175"/>
    <x v="803"/>
    <s v="A283337"/>
    <x v="5"/>
    <n v="10"/>
    <n v="3600"/>
    <m/>
    <x v="3"/>
  </r>
  <r>
    <x v="175"/>
    <x v="804"/>
    <s v="A276403"/>
    <x v="6"/>
    <n v="1"/>
    <n v="154.35"/>
    <m/>
    <x v="3"/>
  </r>
  <r>
    <x v="175"/>
    <x v="805"/>
    <s v="A281068"/>
    <x v="5"/>
    <n v="5"/>
    <n v="1150"/>
    <m/>
    <x v="3"/>
  </r>
  <r>
    <x v="175"/>
    <x v="806"/>
    <s v="A297623"/>
    <x v="6"/>
    <n v="1"/>
    <n v="294"/>
    <m/>
    <x v="3"/>
  </r>
  <r>
    <x v="175"/>
    <x v="204"/>
    <s v="A281060"/>
    <x v="5"/>
    <n v="5"/>
    <n v="1275"/>
    <m/>
    <x v="3"/>
  </r>
  <r>
    <x v="175"/>
    <x v="807"/>
    <s v="A235773"/>
    <x v="5"/>
    <n v="5"/>
    <n v="1150"/>
    <m/>
    <x v="3"/>
  </r>
  <r>
    <x v="175"/>
    <x v="808"/>
    <s v="A281073"/>
    <x v="5"/>
    <n v="5"/>
    <n v="1150"/>
    <m/>
    <x v="3"/>
  </r>
  <r>
    <x v="175"/>
    <x v="78"/>
    <s v="A234651"/>
    <x v="5"/>
    <n v="10"/>
    <n v="2500"/>
    <m/>
    <x v="3"/>
  </r>
  <r>
    <x v="175"/>
    <x v="78"/>
    <s v="A234651"/>
    <x v="6"/>
    <n v="25"/>
    <n v="6250"/>
    <m/>
    <x v="3"/>
  </r>
  <r>
    <x v="175"/>
    <x v="78"/>
    <s v="A234651"/>
    <x v="9"/>
    <n v="10"/>
    <n v="2700"/>
    <m/>
    <x v="3"/>
  </r>
  <r>
    <x v="175"/>
    <x v="809"/>
    <s v="A287068"/>
    <x v="5"/>
    <n v="10"/>
    <n v="2600"/>
    <m/>
    <x v="3"/>
  </r>
  <r>
    <x v="176"/>
    <x v="93"/>
    <s v="A231708"/>
    <x v="7"/>
    <n v="50"/>
    <n v="2000"/>
    <m/>
    <x v="3"/>
  </r>
  <r>
    <x v="177"/>
    <x v="317"/>
    <s v="A246212"/>
    <x v="2"/>
    <n v="50"/>
    <n v="4400"/>
    <n v="4620"/>
    <x v="3"/>
  </r>
  <r>
    <x v="177"/>
    <x v="88"/>
    <s v="A244191"/>
    <x v="2"/>
    <n v="25"/>
    <n v="1875"/>
    <n v="1968.75"/>
    <x v="3"/>
  </r>
  <r>
    <x v="178"/>
    <x v="228"/>
    <s v="A306319"/>
    <x v="1"/>
    <n v="20"/>
    <n v="1300"/>
    <n v="1365"/>
    <x v="3"/>
  </r>
  <r>
    <x v="178"/>
    <x v="810"/>
    <m/>
    <x v="0"/>
    <n v="5"/>
    <n v="360"/>
    <n v="378"/>
    <x v="2"/>
  </r>
  <r>
    <x v="179"/>
    <x v="545"/>
    <s v="A261335"/>
    <x v="9"/>
    <n v="5"/>
    <n v="700"/>
    <m/>
    <x v="3"/>
  </r>
  <r>
    <x v="179"/>
    <x v="207"/>
    <m/>
    <x v="9"/>
    <n v="5"/>
    <n v="1350"/>
    <m/>
    <x v="3"/>
  </r>
  <r>
    <x v="180"/>
    <x v="341"/>
    <s v="A406737"/>
    <x v="2"/>
    <n v="1"/>
    <n v="27.5"/>
    <n v="27.5"/>
    <x v="3"/>
  </r>
  <r>
    <x v="180"/>
    <x v="6"/>
    <s v="A270578"/>
    <x v="2"/>
    <n v="1"/>
    <n v="32.5"/>
    <n v="32.5"/>
    <x v="3"/>
  </r>
  <r>
    <x v="180"/>
    <x v="185"/>
    <s v="A415892"/>
    <x v="2"/>
    <n v="1"/>
    <n v="45"/>
    <n v="45"/>
    <x v="3"/>
  </r>
  <r>
    <x v="181"/>
    <x v="811"/>
    <m/>
    <x v="10"/>
    <n v="1"/>
    <n v="120"/>
    <m/>
    <x v="3"/>
  </r>
  <r>
    <x v="181"/>
    <x v="811"/>
    <m/>
    <x v="8"/>
    <n v="1"/>
    <n v="120"/>
    <m/>
    <x v="3"/>
  </r>
  <r>
    <x v="181"/>
    <x v="812"/>
    <s v="A235537"/>
    <x v="10"/>
    <n v="0.25"/>
    <n v="32.5"/>
    <m/>
    <x v="3"/>
  </r>
  <r>
    <x v="181"/>
    <x v="268"/>
    <s v="A245994"/>
    <x v="10"/>
    <n v="0.5"/>
    <n v="32.5"/>
    <m/>
    <x v="3"/>
  </r>
  <r>
    <x v="181"/>
    <x v="268"/>
    <s v="A245994"/>
    <x v="8"/>
    <n v="10"/>
    <n v="800"/>
    <m/>
    <x v="3"/>
  </r>
  <r>
    <x v="181"/>
    <x v="408"/>
    <s v="A239076"/>
    <x v="8"/>
    <n v="27"/>
    <n v="2565"/>
    <m/>
    <x v="3"/>
  </r>
  <r>
    <x v="181"/>
    <x v="16"/>
    <s v="A297444"/>
    <x v="10"/>
    <n v="25.25"/>
    <n v="1782.5"/>
    <m/>
    <x v="3"/>
  </r>
  <r>
    <x v="181"/>
    <x v="16"/>
    <s v="A297444"/>
    <x v="8"/>
    <n v="50"/>
    <n v="3500"/>
    <m/>
    <x v="3"/>
  </r>
  <r>
    <x v="181"/>
    <x v="30"/>
    <s v="A233444"/>
    <x v="10"/>
    <n v="2"/>
    <n v="180"/>
    <m/>
    <x v="3"/>
  </r>
  <r>
    <x v="181"/>
    <x v="97"/>
    <s v="A299992"/>
    <x v="10"/>
    <n v="2"/>
    <n v="180"/>
    <m/>
    <x v="3"/>
  </r>
  <r>
    <x v="181"/>
    <x v="441"/>
    <s v="A250893"/>
    <x v="10"/>
    <n v="0.5"/>
    <n v="32.5"/>
    <m/>
    <x v="3"/>
  </r>
  <r>
    <x v="181"/>
    <x v="441"/>
    <s v="A250893"/>
    <x v="8"/>
    <n v="50"/>
    <n v="4000"/>
    <m/>
    <x v="3"/>
  </r>
  <r>
    <x v="182"/>
    <x v="244"/>
    <s v="A415792"/>
    <x v="0"/>
    <n v="200"/>
    <n v="7157"/>
    <n v="7514.85"/>
    <x v="37"/>
  </r>
  <r>
    <x v="183"/>
    <x v="353"/>
    <s v="A241990"/>
    <x v="11"/>
    <n v="1"/>
    <n v="90"/>
    <n v="90"/>
    <x v="3"/>
  </r>
  <r>
    <x v="183"/>
    <x v="272"/>
    <s v="A246994"/>
    <x v="11"/>
    <n v="1"/>
    <n v="100"/>
    <n v="100"/>
    <x v="5"/>
  </r>
  <r>
    <x v="183"/>
    <x v="272"/>
    <s v="A246994"/>
    <x v="0"/>
    <n v="2"/>
    <n v="200"/>
    <n v="200"/>
    <x v="5"/>
  </r>
  <r>
    <x v="183"/>
    <x v="813"/>
    <s v="A415890"/>
    <x v="11"/>
    <n v="1"/>
    <n v="90"/>
    <n v="90"/>
    <x v="3"/>
  </r>
  <r>
    <x v="183"/>
    <x v="343"/>
    <s v="A257810"/>
    <x v="11"/>
    <n v="2"/>
    <n v="200"/>
    <n v="200"/>
    <x v="3"/>
  </r>
  <r>
    <x v="184"/>
    <x v="21"/>
    <s v="P08232"/>
    <x v="9"/>
    <n v="1"/>
    <n v="140"/>
    <m/>
    <x v="3"/>
  </r>
  <r>
    <x v="184"/>
    <x v="37"/>
    <s v="A295406"/>
    <x v="9"/>
    <n v="1"/>
    <n v="300"/>
    <m/>
    <x v="3"/>
  </r>
  <r>
    <x v="184"/>
    <x v="38"/>
    <s v="A273820"/>
    <x v="9"/>
    <n v="1"/>
    <n v="120"/>
    <m/>
    <x v="3"/>
  </r>
  <r>
    <x v="184"/>
    <x v="285"/>
    <s v="A278773"/>
    <x v="9"/>
    <n v="1"/>
    <n v="100"/>
    <m/>
    <x v="3"/>
  </r>
  <r>
    <x v="184"/>
    <x v="333"/>
    <s v="A317824"/>
    <x v="11"/>
    <n v="1"/>
    <n v="95"/>
    <n v="99.75"/>
    <x v="3"/>
  </r>
  <r>
    <x v="185"/>
    <x v="5"/>
    <s v="A249720"/>
    <x v="9"/>
    <n v="25"/>
    <n v="2500"/>
    <m/>
    <x v="52"/>
  </r>
  <r>
    <x v="185"/>
    <x v="5"/>
    <s v="A249720"/>
    <x v="2"/>
    <n v="25"/>
    <n v="2250"/>
    <n v="2362.5"/>
    <x v="52"/>
  </r>
  <r>
    <x v="185"/>
    <x v="5"/>
    <s v="A249720"/>
    <x v="11"/>
    <n v="25"/>
    <n v="2250"/>
    <n v="2362.5"/>
    <x v="52"/>
  </r>
  <r>
    <x v="185"/>
    <x v="5"/>
    <s v="A249720"/>
    <x v="0"/>
    <n v="25"/>
    <n v="2250"/>
    <n v="2362.5"/>
    <x v="52"/>
  </r>
  <r>
    <x v="185"/>
    <x v="51"/>
    <s v="A298567"/>
    <x v="0"/>
    <n v="25"/>
    <n v="1250"/>
    <n v="1312.5"/>
    <x v="1"/>
  </r>
  <r>
    <x v="185"/>
    <x v="432"/>
    <m/>
    <x v="11"/>
    <n v="5"/>
    <n v="400"/>
    <n v="420"/>
    <x v="3"/>
  </r>
  <r>
    <x v="185"/>
    <x v="123"/>
    <m/>
    <x v="11"/>
    <n v="5"/>
    <n v="425"/>
    <n v="446.25"/>
    <x v="3"/>
  </r>
  <r>
    <x v="185"/>
    <x v="19"/>
    <s v="A233442"/>
    <x v="8"/>
    <n v="25"/>
    <n v="2500"/>
    <m/>
    <x v="3"/>
  </r>
  <r>
    <x v="185"/>
    <x v="19"/>
    <s v="A233442"/>
    <x v="11"/>
    <n v="1"/>
    <n v="65"/>
    <n v="68.25"/>
    <x v="3"/>
  </r>
  <r>
    <x v="185"/>
    <x v="247"/>
    <s v="A402013"/>
    <x v="0"/>
    <n v="5"/>
    <n v="325"/>
    <n v="341.25"/>
    <x v="2"/>
  </r>
  <r>
    <x v="186"/>
    <x v="597"/>
    <s v="A299986"/>
    <x v="8"/>
    <n v="50"/>
    <n v="3250"/>
    <m/>
    <x v="3"/>
  </r>
  <r>
    <x v="186"/>
    <x v="221"/>
    <s v="A231076"/>
    <x v="9"/>
    <n v="50"/>
    <n v="3250"/>
    <m/>
    <x v="3"/>
  </r>
  <r>
    <x v="186"/>
    <x v="6"/>
    <s v="A270578"/>
    <x v="8"/>
    <n v="285"/>
    <n v="17025"/>
    <m/>
    <x v="3"/>
  </r>
  <r>
    <x v="186"/>
    <x v="814"/>
    <s v="A270578"/>
    <x v="8"/>
    <n v="200"/>
    <n v="9000"/>
    <m/>
    <x v="3"/>
  </r>
  <r>
    <x v="186"/>
    <x v="7"/>
    <m/>
    <x v="10"/>
    <n v="10"/>
    <n v="4900"/>
    <m/>
    <x v="3"/>
  </r>
  <r>
    <x v="186"/>
    <x v="7"/>
    <m/>
    <x v="8"/>
    <n v="10"/>
    <n v="4900"/>
    <m/>
    <x v="3"/>
  </r>
  <r>
    <x v="186"/>
    <x v="289"/>
    <s v="A234285"/>
    <x v="9"/>
    <n v="25"/>
    <n v="1750"/>
    <m/>
    <x v="3"/>
  </r>
  <r>
    <x v="186"/>
    <x v="16"/>
    <s v="A241225"/>
    <x v="7"/>
    <n v="50"/>
    <n v="3750"/>
    <m/>
    <x v="3"/>
  </r>
  <r>
    <x v="186"/>
    <x v="377"/>
    <s v="A248596"/>
    <x v="8"/>
    <n v="100"/>
    <n v="6500"/>
    <m/>
    <x v="3"/>
  </r>
  <r>
    <x v="186"/>
    <x v="416"/>
    <m/>
    <x v="8"/>
    <n v="10"/>
    <n v="3200"/>
    <m/>
    <x v="3"/>
  </r>
  <r>
    <x v="186"/>
    <x v="18"/>
    <m/>
    <x v="6"/>
    <n v="5"/>
    <n v="450"/>
    <m/>
    <x v="3"/>
  </r>
  <r>
    <x v="186"/>
    <x v="123"/>
    <m/>
    <x v="6"/>
    <n v="5"/>
    <n v="450"/>
    <m/>
    <x v="3"/>
  </r>
  <r>
    <x v="186"/>
    <x v="123"/>
    <m/>
    <x v="7"/>
    <n v="20"/>
    <n v="2000"/>
    <m/>
    <x v="3"/>
  </r>
  <r>
    <x v="186"/>
    <x v="10"/>
    <m/>
    <x v="6"/>
    <n v="40"/>
    <n v="3520"/>
    <m/>
    <x v="3"/>
  </r>
  <r>
    <x v="186"/>
    <x v="10"/>
    <m/>
    <x v="7"/>
    <n v="40"/>
    <n v="3400"/>
    <m/>
    <x v="3"/>
  </r>
  <r>
    <x v="186"/>
    <x v="10"/>
    <m/>
    <x v="10"/>
    <n v="80"/>
    <n v="6800"/>
    <m/>
    <x v="3"/>
  </r>
  <r>
    <x v="186"/>
    <x v="10"/>
    <m/>
    <x v="8"/>
    <n v="180"/>
    <n v="15300"/>
    <m/>
    <x v="3"/>
  </r>
  <r>
    <x v="186"/>
    <x v="10"/>
    <m/>
    <x v="9"/>
    <n v="40"/>
    <n v="3400"/>
    <m/>
    <x v="3"/>
  </r>
  <r>
    <x v="186"/>
    <x v="433"/>
    <m/>
    <x v="6"/>
    <n v="5"/>
    <n v="450"/>
    <m/>
    <x v="3"/>
  </r>
  <r>
    <x v="187"/>
    <x v="815"/>
    <m/>
    <x v="11"/>
    <n v="200"/>
    <n v="16800"/>
    <n v="17640"/>
    <x v="3"/>
  </r>
  <r>
    <x v="188"/>
    <x v="23"/>
    <m/>
    <x v="2"/>
    <n v="2"/>
    <n v="600"/>
    <n v="630"/>
    <x v="2"/>
  </r>
  <r>
    <x v="188"/>
    <x v="23"/>
    <m/>
    <x v="11"/>
    <n v="1"/>
    <n v="300"/>
    <n v="315"/>
    <x v="2"/>
  </r>
  <r>
    <x v="188"/>
    <x v="23"/>
    <m/>
    <x v="0"/>
    <n v="1"/>
    <n v="300"/>
    <n v="315"/>
    <x v="2"/>
  </r>
  <r>
    <x v="188"/>
    <x v="44"/>
    <s v="A238385"/>
    <x v="1"/>
    <n v="1"/>
    <n v="220"/>
    <n v="231"/>
    <x v="3"/>
  </r>
  <r>
    <x v="188"/>
    <x v="44"/>
    <s v="A238385"/>
    <x v="2"/>
    <n v="1"/>
    <n v="220"/>
    <n v="231"/>
    <x v="3"/>
  </r>
  <r>
    <x v="188"/>
    <x v="138"/>
    <s v="A282344"/>
    <x v="1"/>
    <n v="1"/>
    <n v="220"/>
    <n v="231"/>
    <x v="3"/>
  </r>
  <r>
    <x v="188"/>
    <x v="138"/>
    <s v="A282344"/>
    <x v="2"/>
    <n v="1"/>
    <n v="170"/>
    <n v="178.5"/>
    <x v="3"/>
  </r>
  <r>
    <x v="188"/>
    <x v="138"/>
    <s v="A282344"/>
    <x v="11"/>
    <n v="1"/>
    <n v="220"/>
    <n v="231"/>
    <x v="3"/>
  </r>
  <r>
    <x v="188"/>
    <x v="202"/>
    <s v="A418088"/>
    <x v="11"/>
    <n v="5"/>
    <n v="1100"/>
    <n v="1155"/>
    <x v="3"/>
  </r>
  <r>
    <x v="188"/>
    <x v="33"/>
    <s v="A338959"/>
    <x v="9"/>
    <n v="1"/>
    <n v="210"/>
    <m/>
    <x v="3"/>
  </r>
  <r>
    <x v="188"/>
    <x v="33"/>
    <s v="A338959"/>
    <x v="2"/>
    <n v="1"/>
    <n v="210"/>
    <n v="220.5"/>
    <x v="3"/>
  </r>
  <r>
    <x v="188"/>
    <x v="81"/>
    <s v="P19035"/>
    <x v="1"/>
    <n v="1"/>
    <n v="240"/>
    <n v="252"/>
    <x v="3"/>
  </r>
  <r>
    <x v="189"/>
    <x v="309"/>
    <s v="A243761"/>
    <x v="2"/>
    <n v="5"/>
    <n v="375"/>
    <n v="393.75"/>
    <x v="3"/>
  </r>
  <r>
    <x v="189"/>
    <x v="11"/>
    <m/>
    <x v="2"/>
    <n v="1"/>
    <n v="95"/>
    <n v="99.75"/>
    <x v="3"/>
  </r>
  <r>
    <x v="189"/>
    <x v="11"/>
    <m/>
    <x v="11"/>
    <n v="1"/>
    <n v="110"/>
    <n v="115.5"/>
    <x v="3"/>
  </r>
  <r>
    <x v="189"/>
    <x v="233"/>
    <m/>
    <x v="2"/>
    <n v="1"/>
    <n v="70"/>
    <n v="73.5"/>
    <x v="3"/>
  </r>
  <r>
    <x v="189"/>
    <x v="238"/>
    <m/>
    <x v="2"/>
    <n v="1"/>
    <n v="70"/>
    <n v="73.5"/>
    <x v="3"/>
  </r>
  <r>
    <x v="189"/>
    <x v="12"/>
    <m/>
    <x v="2"/>
    <n v="1"/>
    <n v="85"/>
    <n v="89.25"/>
    <x v="3"/>
  </r>
  <r>
    <x v="189"/>
    <x v="327"/>
    <m/>
    <x v="2"/>
    <n v="1"/>
    <n v="100"/>
    <n v="105"/>
    <x v="3"/>
  </r>
  <r>
    <x v="189"/>
    <x v="184"/>
    <s v="A299984"/>
    <x v="2"/>
    <n v="15"/>
    <n v="1425"/>
    <n v="1496.25"/>
    <x v="3"/>
  </r>
  <r>
    <x v="189"/>
    <x v="184"/>
    <s v="A299984"/>
    <x v="11"/>
    <n v="5"/>
    <n v="475"/>
    <n v="498.75"/>
    <x v="3"/>
  </r>
  <r>
    <x v="189"/>
    <x v="350"/>
    <s v="A401491"/>
    <x v="2"/>
    <n v="25"/>
    <n v="1250"/>
    <n v="1312.5"/>
    <x v="3"/>
  </r>
  <r>
    <x v="189"/>
    <x v="3"/>
    <s v="A232126"/>
    <x v="2"/>
    <n v="25"/>
    <n v="2500"/>
    <n v="2625"/>
    <x v="3"/>
  </r>
  <r>
    <x v="189"/>
    <x v="3"/>
    <s v="A331329"/>
    <x v="11"/>
    <n v="15"/>
    <n v="1125"/>
    <n v="1181.25"/>
    <x v="3"/>
  </r>
  <r>
    <x v="189"/>
    <x v="275"/>
    <s v="A271087"/>
    <x v="2"/>
    <n v="5"/>
    <n v="300"/>
    <n v="315"/>
    <x v="3"/>
  </r>
  <r>
    <x v="189"/>
    <x v="51"/>
    <s v="A298567"/>
    <x v="2"/>
    <n v="25"/>
    <n v="1125"/>
    <n v="1181.25"/>
    <x v="3"/>
  </r>
  <r>
    <x v="189"/>
    <x v="51"/>
    <s v="A298567"/>
    <x v="11"/>
    <n v="10"/>
    <n v="480"/>
    <n v="504"/>
    <x v="3"/>
  </r>
  <r>
    <x v="189"/>
    <x v="333"/>
    <s v="A317824"/>
    <x v="2"/>
    <n v="5"/>
    <n v="325"/>
    <n v="341.25"/>
    <x v="3"/>
  </r>
  <r>
    <x v="189"/>
    <x v="263"/>
    <s v="A403817"/>
    <x v="2"/>
    <n v="5"/>
    <n v="350"/>
    <n v="367.5"/>
    <x v="3"/>
  </r>
  <r>
    <x v="189"/>
    <x v="228"/>
    <s v="A306319"/>
    <x v="2"/>
    <n v="5"/>
    <n v="325"/>
    <n v="341.25"/>
    <x v="3"/>
  </r>
  <r>
    <x v="189"/>
    <x v="13"/>
    <m/>
    <x v="2"/>
    <n v="1"/>
    <n v="75"/>
    <n v="78.75"/>
    <x v="3"/>
  </r>
  <r>
    <x v="189"/>
    <x v="358"/>
    <s v="A402012"/>
    <x v="2"/>
    <n v="5"/>
    <n v="325"/>
    <n v="341.25"/>
    <x v="3"/>
  </r>
  <r>
    <x v="189"/>
    <x v="19"/>
    <s v="A233442"/>
    <x v="2"/>
    <n v="5"/>
    <n v="240"/>
    <n v="252"/>
    <x v="3"/>
  </r>
  <r>
    <x v="189"/>
    <x v="14"/>
    <m/>
    <x v="2"/>
    <n v="1"/>
    <n v="65"/>
    <n v="68.25"/>
    <x v="3"/>
  </r>
  <r>
    <x v="189"/>
    <x v="79"/>
    <s v="A299988"/>
    <x v="2"/>
    <n v="5"/>
    <n v="360"/>
    <n v="378"/>
    <x v="3"/>
  </r>
  <r>
    <x v="190"/>
    <x v="88"/>
    <s v="A244191"/>
    <x v="9"/>
    <n v="75"/>
    <n v="5000"/>
    <m/>
    <x v="3"/>
  </r>
  <r>
    <x v="190"/>
    <x v="323"/>
    <s v="A292785"/>
    <x v="9"/>
    <n v="100"/>
    <n v="8300"/>
    <m/>
    <x v="3"/>
  </r>
  <r>
    <x v="190"/>
    <x v="93"/>
    <s v="A231708"/>
    <x v="9"/>
    <n v="50"/>
    <n v="2750"/>
    <m/>
    <x v="3"/>
  </r>
  <r>
    <x v="190"/>
    <x v="3"/>
    <s v="A236167"/>
    <x v="9"/>
    <n v="75"/>
    <n v="4650"/>
    <m/>
    <x v="3"/>
  </r>
  <r>
    <x v="190"/>
    <x v="494"/>
    <s v="A257810"/>
    <x v="8"/>
    <n v="25"/>
    <n v="1750"/>
    <m/>
    <x v="3"/>
  </r>
  <r>
    <x v="190"/>
    <x v="494"/>
    <s v="A257810"/>
    <x v="9"/>
    <n v="25"/>
    <n v="1750"/>
    <m/>
    <x v="3"/>
  </r>
  <r>
    <x v="190"/>
    <x v="292"/>
    <s v="A276839"/>
    <x v="9"/>
    <n v="25"/>
    <n v="2075"/>
    <m/>
    <x v="3"/>
  </r>
  <r>
    <x v="190"/>
    <x v="177"/>
    <s v="A292781"/>
    <x v="8"/>
    <n v="25"/>
    <n v="1875"/>
    <m/>
    <x v="3"/>
  </r>
  <r>
    <x v="190"/>
    <x v="177"/>
    <s v="A292781"/>
    <x v="9"/>
    <n v="75"/>
    <n v="5625"/>
    <m/>
    <x v="3"/>
  </r>
  <r>
    <x v="190"/>
    <x v="166"/>
    <s v="A231706"/>
    <x v="9"/>
    <n v="300"/>
    <n v="18000"/>
    <m/>
    <x v="3"/>
  </r>
  <r>
    <x v="191"/>
    <x v="141"/>
    <s v="A249778"/>
    <x v="11"/>
    <n v="10"/>
    <n v="750"/>
    <n v="787.5"/>
    <x v="3"/>
  </r>
  <r>
    <x v="191"/>
    <x v="343"/>
    <s v="A257810"/>
    <x v="11"/>
    <n v="10"/>
    <n v="600"/>
    <n v="630"/>
    <x v="3"/>
  </r>
  <r>
    <x v="191"/>
    <x v="412"/>
    <s v="A339521"/>
    <x v="1"/>
    <n v="5"/>
    <n v="900"/>
    <n v="945"/>
    <x v="3"/>
  </r>
  <r>
    <x v="191"/>
    <x v="455"/>
    <s v="A408570"/>
    <x v="11"/>
    <n v="26"/>
    <n v="2030"/>
    <n v="2131.5"/>
    <x v="6"/>
  </r>
  <r>
    <x v="191"/>
    <x v="455"/>
    <s v="A408570"/>
    <x v="0"/>
    <n v="5"/>
    <n v="400"/>
    <n v="420"/>
    <x v="6"/>
  </r>
  <r>
    <x v="191"/>
    <x v="434"/>
    <s v="A241908"/>
    <x v="1"/>
    <n v="5"/>
    <n v="500"/>
    <n v="525"/>
    <x v="3"/>
  </r>
  <r>
    <x v="191"/>
    <x v="816"/>
    <s v="A419009"/>
    <x v="11"/>
    <n v="5"/>
    <n v="425"/>
    <n v="446.25"/>
    <x v="3"/>
  </r>
  <r>
    <x v="192"/>
    <x v="321"/>
    <s v="A293451"/>
    <x v="11"/>
    <n v="50"/>
    <n v="3250"/>
    <n v="3412.5"/>
    <x v="3"/>
  </r>
  <r>
    <x v="192"/>
    <x v="270"/>
    <s v="A415885"/>
    <x v="11"/>
    <n v="50"/>
    <n v="3250"/>
    <n v="3412.5"/>
    <x v="3"/>
  </r>
  <r>
    <x v="192"/>
    <x v="6"/>
    <s v="A270578"/>
    <x v="2"/>
    <n v="50"/>
    <n v="3250"/>
    <n v="3412.5"/>
    <x v="3"/>
  </r>
  <r>
    <x v="192"/>
    <x v="6"/>
    <s v="A270578"/>
    <x v="11"/>
    <n v="50"/>
    <n v="3250"/>
    <n v="3412.5"/>
    <x v="3"/>
  </r>
  <r>
    <x v="192"/>
    <x v="7"/>
    <m/>
    <x v="8"/>
    <n v="5"/>
    <n v="2700"/>
    <m/>
    <x v="3"/>
  </r>
  <r>
    <x v="192"/>
    <x v="7"/>
    <m/>
    <x v="1"/>
    <n v="25"/>
    <n v="8250"/>
    <n v="8662.5"/>
    <x v="3"/>
  </r>
  <r>
    <x v="192"/>
    <x v="8"/>
    <m/>
    <x v="10"/>
    <n v="10"/>
    <n v="5400"/>
    <m/>
    <x v="3"/>
  </r>
  <r>
    <x v="192"/>
    <x v="8"/>
    <m/>
    <x v="9"/>
    <n v="5"/>
    <n v="2700"/>
    <m/>
    <x v="3"/>
  </r>
  <r>
    <x v="192"/>
    <x v="124"/>
    <m/>
    <x v="11"/>
    <n v="25"/>
    <n v="9125"/>
    <n v="9581.25"/>
    <x v="2"/>
  </r>
  <r>
    <x v="192"/>
    <x v="124"/>
    <m/>
    <x v="0"/>
    <n v="25"/>
    <n v="9125"/>
    <n v="9581.25"/>
    <x v="2"/>
  </r>
  <r>
    <x v="192"/>
    <x v="350"/>
    <s v="A410392"/>
    <x v="11"/>
    <n v="50"/>
    <n v="3250"/>
    <n v="3412.5"/>
    <x v="3"/>
  </r>
  <r>
    <x v="192"/>
    <x v="289"/>
    <s v="A234285"/>
    <x v="11"/>
    <n v="25"/>
    <n v="1875"/>
    <n v="1968.75"/>
    <x v="3"/>
  </r>
  <r>
    <x v="192"/>
    <x v="416"/>
    <m/>
    <x v="8"/>
    <n v="100"/>
    <n v="33000"/>
    <m/>
    <x v="3"/>
  </r>
  <r>
    <x v="192"/>
    <x v="416"/>
    <m/>
    <x v="9"/>
    <n v="190"/>
    <n v="62700"/>
    <m/>
    <x v="3"/>
  </r>
  <r>
    <x v="192"/>
    <x v="817"/>
    <s v="A401230"/>
    <x v="2"/>
    <n v="525"/>
    <n v="34125"/>
    <n v="35831.25"/>
    <x v="3"/>
  </r>
  <r>
    <x v="192"/>
    <x v="817"/>
    <s v="A401230"/>
    <x v="11"/>
    <n v="75"/>
    <n v="4875"/>
    <n v="5118.75"/>
    <x v="3"/>
  </r>
  <r>
    <x v="192"/>
    <x v="231"/>
    <s v="A410391"/>
    <x v="11"/>
    <n v="550"/>
    <n v="35750"/>
    <n v="37537.5"/>
    <x v="53"/>
  </r>
  <r>
    <x v="192"/>
    <x v="231"/>
    <s v="A410391"/>
    <x v="0"/>
    <n v="275"/>
    <n v="17875"/>
    <n v="18768.75"/>
    <x v="53"/>
  </r>
  <r>
    <x v="192"/>
    <x v="818"/>
    <s v="A350049"/>
    <x v="1"/>
    <n v="175"/>
    <n v="11600"/>
    <n v="12180"/>
    <x v="3"/>
  </r>
  <r>
    <x v="192"/>
    <x v="228"/>
    <s v="A306319"/>
    <x v="8"/>
    <n v="25"/>
    <n v="1875"/>
    <m/>
    <x v="2"/>
  </r>
  <r>
    <x v="192"/>
    <x v="228"/>
    <s v="A306319"/>
    <x v="9"/>
    <n v="490"/>
    <n v="36750"/>
    <m/>
    <x v="2"/>
  </r>
  <r>
    <x v="192"/>
    <x v="228"/>
    <s v="A306319"/>
    <x v="1"/>
    <n v="50"/>
    <n v="3750"/>
    <n v="3937.5"/>
    <x v="2"/>
  </r>
  <r>
    <x v="192"/>
    <x v="228"/>
    <s v="A306319"/>
    <x v="11"/>
    <n v="125"/>
    <n v="9375"/>
    <n v="9843.75"/>
    <x v="2"/>
  </r>
  <r>
    <x v="192"/>
    <x v="228"/>
    <s v="A306319"/>
    <x v="0"/>
    <n v="100"/>
    <n v="7500"/>
    <n v="7875"/>
    <x v="2"/>
  </r>
  <r>
    <x v="192"/>
    <x v="18"/>
    <m/>
    <x v="8"/>
    <n v="5"/>
    <n v="400"/>
    <m/>
    <x v="2"/>
  </r>
  <r>
    <x v="192"/>
    <x v="18"/>
    <m/>
    <x v="1"/>
    <n v="5"/>
    <n v="400"/>
    <n v="420"/>
    <x v="2"/>
  </r>
  <r>
    <x v="192"/>
    <x v="18"/>
    <m/>
    <x v="0"/>
    <n v="10"/>
    <n v="800"/>
    <n v="840"/>
    <x v="2"/>
  </r>
  <r>
    <x v="192"/>
    <x v="10"/>
    <m/>
    <x v="9"/>
    <n v="20"/>
    <n v="1700"/>
    <m/>
    <x v="2"/>
  </r>
  <r>
    <x v="192"/>
    <x v="10"/>
    <m/>
    <x v="2"/>
    <n v="10"/>
    <n v="800"/>
    <n v="840"/>
    <x v="2"/>
  </r>
  <r>
    <x v="192"/>
    <x v="10"/>
    <m/>
    <x v="0"/>
    <n v="10"/>
    <n v="750"/>
    <n v="787.5"/>
    <x v="2"/>
  </r>
  <r>
    <x v="192"/>
    <x v="19"/>
    <s v="A233442"/>
    <x v="10"/>
    <n v="50"/>
    <n v="3250"/>
    <m/>
    <x v="3"/>
  </r>
  <r>
    <x v="192"/>
    <x v="19"/>
    <s v="A233442"/>
    <x v="8"/>
    <n v="200"/>
    <n v="13000"/>
    <m/>
    <x v="3"/>
  </r>
  <r>
    <x v="192"/>
    <x v="19"/>
    <s v="A233442"/>
    <x v="1"/>
    <n v="250"/>
    <n v="14450"/>
    <n v="15172.5"/>
    <x v="3"/>
  </r>
  <r>
    <x v="193"/>
    <x v="21"/>
    <s v="P08232"/>
    <x v="1"/>
    <n v="75"/>
    <n v="9750"/>
    <n v="10237.5"/>
    <x v="3"/>
  </r>
  <r>
    <x v="193"/>
    <x v="21"/>
    <s v="P08232"/>
    <x v="2"/>
    <n v="800"/>
    <n v="104000"/>
    <n v="109200"/>
    <x v="3"/>
  </r>
  <r>
    <x v="193"/>
    <x v="21"/>
    <s v="P08232"/>
    <x v="11"/>
    <n v="395"/>
    <n v="51350"/>
    <n v="53917.5"/>
    <x v="3"/>
  </r>
  <r>
    <x v="193"/>
    <x v="301"/>
    <s v="P050220"/>
    <x v="0"/>
    <n v="400"/>
    <n v="52000"/>
    <n v="54600"/>
    <x v="3"/>
  </r>
  <r>
    <x v="193"/>
    <x v="46"/>
    <s v="A234876"/>
    <x v="11"/>
    <n v="1"/>
    <n v="70"/>
    <n v="70"/>
    <x v="3"/>
  </r>
  <r>
    <x v="194"/>
    <x v="15"/>
    <m/>
    <x v="8"/>
    <n v="20"/>
    <n v="6600"/>
    <m/>
    <x v="3"/>
  </r>
  <r>
    <x v="194"/>
    <x v="7"/>
    <m/>
    <x v="8"/>
    <n v="5"/>
    <n v="2600"/>
    <m/>
    <x v="3"/>
  </r>
  <r>
    <x v="194"/>
    <x v="8"/>
    <m/>
    <x v="8"/>
    <n v="20"/>
    <n v="10800"/>
    <m/>
    <x v="3"/>
  </r>
  <r>
    <x v="194"/>
    <x v="433"/>
    <m/>
    <x v="9"/>
    <n v="20"/>
    <n v="1800"/>
    <m/>
    <x v="3"/>
  </r>
  <r>
    <x v="195"/>
    <x v="387"/>
    <m/>
    <x v="10"/>
    <n v="138"/>
    <n v="8004"/>
    <m/>
    <x v="3"/>
  </r>
  <r>
    <x v="195"/>
    <x v="819"/>
    <m/>
    <x v="8"/>
    <n v="75"/>
    <n v="4650"/>
    <m/>
    <x v="3"/>
  </r>
  <r>
    <x v="195"/>
    <x v="819"/>
    <m/>
    <x v="9"/>
    <n v="40"/>
    <n v="2480"/>
    <m/>
    <x v="3"/>
  </r>
  <r>
    <x v="195"/>
    <x v="221"/>
    <s v="A231076"/>
    <x v="2"/>
    <n v="50"/>
    <n v="3000"/>
    <n v="3150"/>
    <x v="3"/>
  </r>
  <r>
    <x v="195"/>
    <x v="353"/>
    <s v="A241990"/>
    <x v="8"/>
    <n v="200"/>
    <n v="13600"/>
    <m/>
    <x v="3"/>
  </r>
  <r>
    <x v="195"/>
    <x v="353"/>
    <s v="A241990"/>
    <x v="9"/>
    <n v="450"/>
    <n v="27900"/>
    <m/>
    <x v="3"/>
  </r>
  <r>
    <x v="195"/>
    <x v="6"/>
    <s v="A270578"/>
    <x v="10"/>
    <n v="200"/>
    <n v="14000"/>
    <m/>
    <x v="3"/>
  </r>
  <r>
    <x v="195"/>
    <x v="6"/>
    <s v="A270578"/>
    <x v="8"/>
    <n v="400"/>
    <n v="27400"/>
    <m/>
    <x v="3"/>
  </r>
  <r>
    <x v="195"/>
    <x v="6"/>
    <s v="A270578"/>
    <x v="1"/>
    <n v="25"/>
    <n v="1625"/>
    <n v="1706.25"/>
    <x v="3"/>
  </r>
  <r>
    <x v="195"/>
    <x v="7"/>
    <m/>
    <x v="10"/>
    <n v="10"/>
    <n v="5900"/>
    <m/>
    <x v="3"/>
  </r>
  <r>
    <x v="195"/>
    <x v="7"/>
    <m/>
    <x v="8"/>
    <n v="22"/>
    <n v="12560"/>
    <m/>
    <x v="3"/>
  </r>
  <r>
    <x v="195"/>
    <x v="7"/>
    <m/>
    <x v="1"/>
    <n v="10"/>
    <n v="3500"/>
    <n v="3675"/>
    <x v="3"/>
  </r>
  <r>
    <x v="195"/>
    <x v="818"/>
    <s v="A350049"/>
    <x v="1"/>
    <n v="50"/>
    <n v="3250"/>
    <n v="3412.5"/>
    <x v="3"/>
  </r>
  <r>
    <x v="195"/>
    <x v="228"/>
    <s v="A306319"/>
    <x v="8"/>
    <n v="275"/>
    <n v="18250"/>
    <m/>
    <x v="3"/>
  </r>
  <r>
    <x v="195"/>
    <x v="228"/>
    <s v="A306319"/>
    <x v="9"/>
    <n v="50"/>
    <n v="3100"/>
    <m/>
    <x v="3"/>
  </r>
  <r>
    <x v="195"/>
    <x v="713"/>
    <s v="A240777"/>
    <x v="10"/>
    <n v="25"/>
    <n v="1850"/>
    <m/>
    <x v="3"/>
  </r>
  <r>
    <x v="195"/>
    <x v="713"/>
    <s v="A240777"/>
    <x v="8"/>
    <n v="280"/>
    <n v="20470"/>
    <m/>
    <x v="3"/>
  </r>
  <r>
    <x v="195"/>
    <x v="656"/>
    <s v="A282771"/>
    <x v="9"/>
    <n v="10"/>
    <n v="620"/>
    <m/>
    <x v="3"/>
  </r>
  <r>
    <x v="195"/>
    <x v="18"/>
    <m/>
    <x v="8"/>
    <n v="2"/>
    <n v="210"/>
    <m/>
    <x v="3"/>
  </r>
  <r>
    <x v="195"/>
    <x v="18"/>
    <m/>
    <x v="1"/>
    <n v="60"/>
    <n v="4500"/>
    <n v="4725"/>
    <x v="3"/>
  </r>
  <r>
    <x v="195"/>
    <x v="10"/>
    <m/>
    <x v="10"/>
    <n v="20"/>
    <n v="1700"/>
    <m/>
    <x v="3"/>
  </r>
  <r>
    <x v="195"/>
    <x v="10"/>
    <m/>
    <x v="9"/>
    <n v="20"/>
    <n v="1700"/>
    <m/>
    <x v="3"/>
  </r>
  <r>
    <x v="195"/>
    <x v="19"/>
    <s v="A233442"/>
    <x v="1"/>
    <n v="50"/>
    <n v="2900"/>
    <n v="3045"/>
    <x v="3"/>
  </r>
  <r>
    <x v="196"/>
    <x v="228"/>
    <s v="A306319"/>
    <x v="9"/>
    <n v="25"/>
    <n v="1625"/>
    <m/>
    <x v="3"/>
  </r>
  <r>
    <x v="196"/>
    <x v="432"/>
    <m/>
    <x v="1"/>
    <n v="1"/>
    <n v="80"/>
    <n v="84"/>
    <x v="3"/>
  </r>
  <r>
    <x v="196"/>
    <x v="10"/>
    <m/>
    <x v="1"/>
    <n v="1"/>
    <n v="80"/>
    <n v="84"/>
    <x v="3"/>
  </r>
  <r>
    <x v="197"/>
    <x v="820"/>
    <s v="A415889"/>
    <x v="11"/>
    <n v="4"/>
    <n v="340"/>
    <n v="357"/>
    <x v="3"/>
  </r>
  <r>
    <x v="197"/>
    <x v="166"/>
    <s v="A231706"/>
    <x v="5"/>
    <n v="25"/>
    <n v="2050"/>
    <m/>
    <x v="3"/>
  </r>
  <r>
    <x v="198"/>
    <x v="353"/>
    <s v="A241990"/>
    <x v="9"/>
    <n v="55"/>
    <n v="4125"/>
    <m/>
    <x v="3"/>
  </r>
  <r>
    <x v="198"/>
    <x v="6"/>
    <s v="A270578"/>
    <x v="10"/>
    <n v="100"/>
    <n v="7000"/>
    <m/>
    <x v="3"/>
  </r>
  <r>
    <x v="198"/>
    <x v="6"/>
    <s v="A270578"/>
    <x v="8"/>
    <n v="239"/>
    <n v="16230"/>
    <m/>
    <x v="3"/>
  </r>
  <r>
    <x v="198"/>
    <x v="6"/>
    <s v="A270578"/>
    <x v="9"/>
    <n v="200"/>
    <n v="12000"/>
    <m/>
    <x v="3"/>
  </r>
  <r>
    <x v="198"/>
    <x v="3"/>
    <s v="A232126"/>
    <x v="9"/>
    <n v="105"/>
    <n v="10500"/>
    <m/>
    <x v="3"/>
  </r>
  <r>
    <x v="198"/>
    <x v="355"/>
    <s v="A401230"/>
    <x v="2"/>
    <n v="25"/>
    <n v="1375"/>
    <n v="1443.75"/>
    <x v="3"/>
  </r>
  <r>
    <x v="198"/>
    <x v="177"/>
    <s v="A292781"/>
    <x v="9"/>
    <n v="25"/>
    <n v="1500"/>
    <m/>
    <x v="3"/>
  </r>
  <r>
    <x v="198"/>
    <x v="18"/>
    <m/>
    <x v="10"/>
    <n v="20"/>
    <n v="2100"/>
    <m/>
    <x v="3"/>
  </r>
  <r>
    <x v="198"/>
    <x v="18"/>
    <m/>
    <x v="8"/>
    <n v="40"/>
    <n v="3700"/>
    <m/>
    <x v="3"/>
  </r>
  <r>
    <x v="198"/>
    <x v="18"/>
    <m/>
    <x v="9"/>
    <n v="40"/>
    <n v="3200"/>
    <m/>
    <x v="3"/>
  </r>
  <r>
    <x v="198"/>
    <x v="10"/>
    <m/>
    <x v="10"/>
    <n v="20"/>
    <n v="1600"/>
    <m/>
    <x v="3"/>
  </r>
  <r>
    <x v="198"/>
    <x v="10"/>
    <m/>
    <x v="8"/>
    <n v="40"/>
    <n v="3400"/>
    <m/>
    <x v="3"/>
  </r>
  <r>
    <x v="198"/>
    <x v="10"/>
    <m/>
    <x v="9"/>
    <n v="20"/>
    <n v="1700"/>
    <m/>
    <x v="3"/>
  </r>
  <r>
    <x v="198"/>
    <x v="10"/>
    <m/>
    <x v="1"/>
    <n v="20"/>
    <n v="1600"/>
    <n v="1680"/>
    <x v="3"/>
  </r>
  <r>
    <x v="199"/>
    <x v="255"/>
    <s v="A245809"/>
    <x v="0"/>
    <n v="15"/>
    <n v="2000"/>
    <n v="2100"/>
    <x v="1"/>
  </r>
  <r>
    <x v="199"/>
    <x v="11"/>
    <m/>
    <x v="0"/>
    <n v="10"/>
    <n v="900"/>
    <n v="945"/>
    <x v="2"/>
  </r>
  <r>
    <x v="199"/>
    <x v="306"/>
    <s v="A244199"/>
    <x v="0"/>
    <n v="25"/>
    <n v="1625"/>
    <n v="1706.25"/>
    <x v="2"/>
  </r>
  <r>
    <x v="199"/>
    <x v="584"/>
    <m/>
    <x v="0"/>
    <n v="50"/>
    <n v="5500"/>
    <n v="5775"/>
    <x v="2"/>
  </r>
  <r>
    <x v="199"/>
    <x v="303"/>
    <s v="A403149"/>
    <x v="0"/>
    <n v="25"/>
    <n v="3000"/>
    <n v="3150"/>
    <x v="5"/>
  </r>
  <r>
    <x v="199"/>
    <x v="30"/>
    <s v="A233444"/>
    <x v="0"/>
    <n v="10"/>
    <n v="650"/>
    <n v="682.5"/>
    <x v="5"/>
  </r>
  <r>
    <x v="199"/>
    <x v="549"/>
    <s v="A404441"/>
    <x v="0"/>
    <n v="25"/>
    <n v="1875"/>
    <n v="1968.75"/>
    <x v="5"/>
  </r>
  <r>
    <x v="199"/>
    <x v="821"/>
    <m/>
    <x v="0"/>
    <n v="50"/>
    <n v="3650"/>
    <n v="3832.5"/>
    <x v="54"/>
  </r>
  <r>
    <x v="199"/>
    <x v="333"/>
    <s v="A317824"/>
    <x v="0"/>
    <n v="10"/>
    <n v="750"/>
    <n v="787.5"/>
    <x v="2"/>
  </r>
  <r>
    <x v="200"/>
    <x v="562"/>
    <s v="A419375"/>
    <x v="11"/>
    <n v="5"/>
    <n v="750"/>
    <n v="787.5"/>
    <x v="3"/>
  </r>
  <r>
    <x v="200"/>
    <x v="295"/>
    <s v="A302349"/>
    <x v="9"/>
    <n v="5"/>
    <n v="900"/>
    <m/>
    <x v="3"/>
  </r>
  <r>
    <x v="200"/>
    <x v="295"/>
    <s v="A302349"/>
    <x v="1"/>
    <n v="5"/>
    <n v="900"/>
    <n v="945"/>
    <x v="3"/>
  </r>
  <r>
    <x v="200"/>
    <x v="298"/>
    <s v="A416950"/>
    <x v="11"/>
    <n v="5"/>
    <n v="900"/>
    <n v="945"/>
    <x v="3"/>
  </r>
  <r>
    <x v="200"/>
    <x v="340"/>
    <m/>
    <x v="11"/>
    <n v="10"/>
    <n v="1100"/>
    <n v="1155"/>
    <x v="2"/>
  </r>
  <r>
    <x v="200"/>
    <x v="340"/>
    <m/>
    <x v="0"/>
    <n v="10"/>
    <n v="1100"/>
    <n v="1155"/>
    <x v="2"/>
  </r>
  <r>
    <x v="200"/>
    <x v="233"/>
    <m/>
    <x v="2"/>
    <n v="20"/>
    <n v="1600"/>
    <n v="1680"/>
    <x v="3"/>
  </r>
  <r>
    <x v="200"/>
    <x v="233"/>
    <m/>
    <x v="11"/>
    <n v="10"/>
    <n v="800"/>
    <n v="840"/>
    <x v="3"/>
  </r>
  <r>
    <x v="200"/>
    <x v="582"/>
    <s v="A339212"/>
    <x v="9"/>
    <n v="5"/>
    <n v="400"/>
    <m/>
    <x v="3"/>
  </r>
  <r>
    <x v="200"/>
    <x v="582"/>
    <s v="A339212"/>
    <x v="1"/>
    <n v="10"/>
    <n v="800"/>
    <n v="840"/>
    <x v="3"/>
  </r>
  <r>
    <x v="200"/>
    <x v="353"/>
    <s v="A241990"/>
    <x v="7"/>
    <n v="10"/>
    <n v="750"/>
    <m/>
    <x v="3"/>
  </r>
  <r>
    <x v="200"/>
    <x v="822"/>
    <s v="A292853"/>
    <x v="9"/>
    <n v="5"/>
    <n v="525"/>
    <m/>
    <x v="3"/>
  </r>
  <r>
    <x v="200"/>
    <x v="239"/>
    <s v="A281165"/>
    <x v="9"/>
    <n v="50"/>
    <n v="2500"/>
    <m/>
    <x v="3"/>
  </r>
  <r>
    <x v="200"/>
    <x v="289"/>
    <s v="A234285"/>
    <x v="9"/>
    <n v="35"/>
    <n v="1995"/>
    <m/>
    <x v="3"/>
  </r>
  <r>
    <x v="200"/>
    <x v="133"/>
    <s v="A281055"/>
    <x v="11"/>
    <n v="175"/>
    <n v="8750"/>
    <n v="9187.5"/>
    <x v="3"/>
  </r>
  <r>
    <x v="200"/>
    <x v="156"/>
    <s v="A231705"/>
    <x v="8"/>
    <n v="10"/>
    <n v="650"/>
    <m/>
    <x v="3"/>
  </r>
  <r>
    <x v="200"/>
    <x v="3"/>
    <s v="A236167"/>
    <x v="8"/>
    <n v="45"/>
    <n v="2565"/>
    <m/>
    <x v="3"/>
  </r>
  <r>
    <x v="200"/>
    <x v="141"/>
    <s v="A249778"/>
    <x v="2"/>
    <n v="10"/>
    <n v="330"/>
    <n v="346.5"/>
    <x v="3"/>
  </r>
  <r>
    <x v="200"/>
    <x v="4"/>
    <s v="A231709"/>
    <x v="8"/>
    <n v="150"/>
    <n v="8500"/>
    <m/>
    <x v="3"/>
  </r>
  <r>
    <x v="200"/>
    <x v="94"/>
    <s v="A339929"/>
    <x v="11"/>
    <n v="10"/>
    <n v="500"/>
    <n v="525"/>
    <x v="3"/>
  </r>
  <r>
    <x v="200"/>
    <x v="30"/>
    <s v="A233444"/>
    <x v="7"/>
    <n v="10"/>
    <n v="750"/>
    <m/>
    <x v="3"/>
  </r>
  <r>
    <x v="200"/>
    <x v="434"/>
    <s v="A241908"/>
    <x v="2"/>
    <n v="35"/>
    <n v="2275"/>
    <n v="2388.75"/>
    <x v="3"/>
  </r>
  <r>
    <x v="200"/>
    <x v="293"/>
    <s v="A248825"/>
    <x v="8"/>
    <n v="25"/>
    <n v="1500"/>
    <m/>
    <x v="3"/>
  </r>
  <r>
    <x v="200"/>
    <x v="293"/>
    <s v="A248825"/>
    <x v="9"/>
    <n v="85"/>
    <n v="5100"/>
    <m/>
    <x v="3"/>
  </r>
  <r>
    <x v="200"/>
    <x v="293"/>
    <s v="A248825"/>
    <x v="1"/>
    <n v="50"/>
    <n v="3000"/>
    <n v="3150"/>
    <x v="3"/>
  </r>
  <r>
    <x v="200"/>
    <x v="293"/>
    <s v="A248825"/>
    <x v="2"/>
    <n v="25"/>
    <n v="1500"/>
    <n v="1575"/>
    <x v="3"/>
  </r>
  <r>
    <x v="200"/>
    <x v="713"/>
    <s v="A240777"/>
    <x v="10"/>
    <n v="10"/>
    <n v="700"/>
    <m/>
    <x v="3"/>
  </r>
  <r>
    <x v="200"/>
    <x v="713"/>
    <s v="A240777"/>
    <x v="8"/>
    <n v="10"/>
    <n v="700"/>
    <m/>
    <x v="3"/>
  </r>
  <r>
    <x v="200"/>
    <x v="166"/>
    <s v="A233185"/>
    <x v="8"/>
    <n v="110"/>
    <n v="5650"/>
    <m/>
    <x v="3"/>
  </r>
  <r>
    <x v="200"/>
    <x v="19"/>
    <s v="A233442"/>
    <x v="8"/>
    <n v="75"/>
    <n v="4125"/>
    <m/>
    <x v="3"/>
  </r>
  <r>
    <x v="200"/>
    <x v="19"/>
    <s v="A233442"/>
    <x v="9"/>
    <n v="60"/>
    <n v="3300"/>
    <m/>
    <x v="3"/>
  </r>
  <r>
    <x v="200"/>
    <x v="19"/>
    <s v="A233442"/>
    <x v="1"/>
    <n v="10"/>
    <n v="2200"/>
    <n v="2310"/>
    <x v="3"/>
  </r>
  <r>
    <x v="200"/>
    <x v="247"/>
    <s v="A402013"/>
    <x v="2"/>
    <n v="50"/>
    <n v="1900"/>
    <n v="1995"/>
    <x v="3"/>
  </r>
  <r>
    <x v="200"/>
    <x v="247"/>
    <s v="A402013"/>
    <x v="11"/>
    <n v="100"/>
    <n v="3800"/>
    <n v="3990"/>
    <x v="3"/>
  </r>
  <r>
    <x v="200"/>
    <x v="14"/>
    <m/>
    <x v="9"/>
    <n v="10"/>
    <n v="800"/>
    <m/>
    <x v="2"/>
  </r>
  <r>
    <x v="200"/>
    <x v="14"/>
    <m/>
    <x v="1"/>
    <n v="34"/>
    <n v="2720"/>
    <n v="2856"/>
    <x v="2"/>
  </r>
  <r>
    <x v="200"/>
    <x v="14"/>
    <m/>
    <x v="2"/>
    <n v="10"/>
    <n v="800"/>
    <n v="840"/>
    <x v="2"/>
  </r>
  <r>
    <x v="200"/>
    <x v="14"/>
    <m/>
    <x v="11"/>
    <n v="40"/>
    <n v="3200"/>
    <n v="3360"/>
    <x v="2"/>
  </r>
  <r>
    <x v="200"/>
    <x v="14"/>
    <m/>
    <x v="0"/>
    <n v="20"/>
    <n v="1600"/>
    <n v="1680"/>
    <x v="2"/>
  </r>
  <r>
    <x v="200"/>
    <x v="140"/>
    <s v="A297626"/>
    <x v="8"/>
    <n v="5"/>
    <n v="1100"/>
    <m/>
    <x v="3"/>
  </r>
  <r>
    <x v="200"/>
    <x v="140"/>
    <s v="A297626"/>
    <x v="1"/>
    <n v="26"/>
    <n v="4620"/>
    <n v="4851"/>
    <x v="3"/>
  </r>
  <r>
    <x v="200"/>
    <x v="140"/>
    <s v="A297626"/>
    <x v="2"/>
    <n v="15"/>
    <n v="3300"/>
    <n v="3465"/>
    <x v="3"/>
  </r>
  <r>
    <x v="200"/>
    <x v="140"/>
    <s v="A297626"/>
    <x v="11"/>
    <n v="10"/>
    <n v="2200"/>
    <n v="2310"/>
    <x v="3"/>
  </r>
  <r>
    <x v="200"/>
    <x v="171"/>
    <s v="A258812"/>
    <x v="9"/>
    <n v="5"/>
    <n v="750"/>
    <m/>
    <x v="3"/>
  </r>
  <r>
    <x v="200"/>
    <x v="171"/>
    <s v="A258812"/>
    <x v="1"/>
    <n v="5"/>
    <n v="750"/>
    <n v="787.5"/>
    <x v="3"/>
  </r>
  <r>
    <x v="200"/>
    <x v="823"/>
    <m/>
    <x v="9"/>
    <n v="10"/>
    <n v="500"/>
    <m/>
    <x v="3"/>
  </r>
  <r>
    <x v="201"/>
    <x v="93"/>
    <s v="A231708"/>
    <x v="2"/>
    <n v="25"/>
    <n v="1550"/>
    <n v="1627.5"/>
    <x v="3"/>
  </r>
  <r>
    <x v="201"/>
    <x v="350"/>
    <s v="A401491"/>
    <x v="2"/>
    <n v="25"/>
    <n v="1550"/>
    <n v="1627.5"/>
    <x v="3"/>
  </r>
  <r>
    <x v="201"/>
    <x v="156"/>
    <s v="A231705"/>
    <x v="9"/>
    <n v="25"/>
    <n v="1500"/>
    <m/>
    <x v="3"/>
  </r>
  <r>
    <x v="201"/>
    <x v="156"/>
    <s v="A231705"/>
    <x v="1"/>
    <n v="50"/>
    <n v="3000"/>
    <n v="3150"/>
    <x v="3"/>
  </r>
  <r>
    <x v="201"/>
    <x v="156"/>
    <s v="A231705"/>
    <x v="2"/>
    <n v="25"/>
    <n v="1500"/>
    <m/>
    <x v="3"/>
  </r>
  <r>
    <x v="201"/>
    <x v="3"/>
    <s v="A337704"/>
    <x v="1"/>
    <n v="50"/>
    <n v="4000"/>
    <n v="4200"/>
    <x v="3"/>
  </r>
  <r>
    <x v="201"/>
    <x v="3"/>
    <s v="A337704"/>
    <x v="2"/>
    <n v="35"/>
    <n v="2825"/>
    <n v="2966.25"/>
    <x v="3"/>
  </r>
  <r>
    <x v="201"/>
    <x v="16"/>
    <s v="A242640"/>
    <x v="9"/>
    <n v="225"/>
    <n v="11250"/>
    <m/>
    <x v="3"/>
  </r>
  <r>
    <x v="201"/>
    <x v="16"/>
    <s v="A242640"/>
    <x v="1"/>
    <n v="75"/>
    <n v="15000"/>
    <n v="15750"/>
    <x v="3"/>
  </r>
  <r>
    <x v="201"/>
    <x v="343"/>
    <s v="A257810"/>
    <x v="2"/>
    <n v="110"/>
    <n v="4500"/>
    <n v="4725"/>
    <x v="3"/>
  </r>
  <r>
    <x v="201"/>
    <x v="213"/>
    <s v="A272357"/>
    <x v="2"/>
    <n v="25"/>
    <n v="2625"/>
    <n v="2756.25"/>
    <x v="3"/>
  </r>
  <r>
    <x v="201"/>
    <x v="13"/>
    <m/>
    <x v="9"/>
    <n v="1"/>
    <n v="120"/>
    <m/>
    <x v="3"/>
  </r>
  <r>
    <x v="201"/>
    <x v="13"/>
    <m/>
    <x v="1"/>
    <n v="5"/>
    <n v="600"/>
    <n v="630"/>
    <x v="3"/>
  </r>
  <r>
    <x v="201"/>
    <x v="252"/>
    <s v="A408098"/>
    <x v="2"/>
    <n v="50"/>
    <n v="6000"/>
    <n v="6300"/>
    <x v="3"/>
  </r>
  <r>
    <x v="201"/>
    <x v="824"/>
    <s v="A286824"/>
    <x v="9"/>
    <n v="25"/>
    <n v="1875"/>
    <m/>
    <x v="3"/>
  </r>
  <r>
    <x v="202"/>
    <x v="432"/>
    <m/>
    <x v="8"/>
    <n v="40"/>
    <n v="2640"/>
    <m/>
    <x v="3"/>
  </r>
  <r>
    <x v="203"/>
    <x v="684"/>
    <m/>
    <x v="0"/>
    <n v="10"/>
    <n v="1200"/>
    <n v="1260"/>
    <x v="4"/>
  </r>
  <r>
    <x v="203"/>
    <x v="825"/>
    <s v="A243964"/>
    <x v="9"/>
    <n v="500"/>
    <n v="8000"/>
    <m/>
    <x v="3"/>
  </r>
  <r>
    <x v="203"/>
    <x v="88"/>
    <s v="A244191"/>
    <x v="9"/>
    <n v="25"/>
    <n v="2250"/>
    <m/>
    <x v="3"/>
  </r>
  <r>
    <x v="203"/>
    <x v="362"/>
    <s v="A292789"/>
    <x v="9"/>
    <n v="5"/>
    <n v="600"/>
    <m/>
    <x v="3"/>
  </r>
  <r>
    <x v="203"/>
    <x v="38"/>
    <s v="A273820"/>
    <x v="9"/>
    <n v="85"/>
    <n v="10880"/>
    <m/>
    <x v="2"/>
  </r>
  <r>
    <x v="203"/>
    <x v="38"/>
    <s v="A273820"/>
    <x v="1"/>
    <n v="50"/>
    <n v="6400"/>
    <n v="6720"/>
    <x v="2"/>
  </r>
  <r>
    <x v="203"/>
    <x v="38"/>
    <s v="A273820"/>
    <x v="2"/>
    <n v="50"/>
    <n v="6400"/>
    <n v="6720"/>
    <x v="2"/>
  </r>
  <r>
    <x v="203"/>
    <x v="38"/>
    <s v="A273820"/>
    <x v="0"/>
    <n v="10"/>
    <n v="1280"/>
    <n v="1344"/>
    <x v="2"/>
  </r>
  <r>
    <x v="203"/>
    <x v="23"/>
    <m/>
    <x v="0"/>
    <n v="5"/>
    <n v="1250"/>
    <n v="1312.5"/>
    <x v="2"/>
  </r>
  <r>
    <x v="203"/>
    <x v="39"/>
    <s v="A322649"/>
    <x v="0"/>
    <n v="10"/>
    <n v="2200"/>
    <n v="2310"/>
    <x v="2"/>
  </r>
  <r>
    <x v="203"/>
    <x v="309"/>
    <s v="A243761"/>
    <x v="9"/>
    <n v="25"/>
    <n v="2050"/>
    <m/>
    <x v="3"/>
  </r>
  <r>
    <x v="203"/>
    <x v="309"/>
    <s v="A243761"/>
    <x v="9"/>
    <n v="25"/>
    <n v="2050"/>
    <m/>
    <x v="3"/>
  </r>
  <r>
    <x v="203"/>
    <x v="309"/>
    <s v="A243761"/>
    <x v="1"/>
    <n v="25"/>
    <n v="2050"/>
    <n v="2152.5"/>
    <x v="3"/>
  </r>
  <r>
    <x v="203"/>
    <x v="112"/>
    <s v="A265729"/>
    <x v="9"/>
    <n v="35"/>
    <n v="6555"/>
    <m/>
    <x v="3"/>
  </r>
  <r>
    <x v="203"/>
    <x v="285"/>
    <s v="A278773"/>
    <x v="9"/>
    <n v="5"/>
    <n v="650"/>
    <m/>
    <x v="3"/>
  </r>
  <r>
    <x v="203"/>
    <x v="44"/>
    <s v="A238385"/>
    <x v="9"/>
    <n v="5"/>
    <n v="700"/>
    <m/>
    <x v="3"/>
  </r>
  <r>
    <x v="203"/>
    <x v="152"/>
    <s v="A241586"/>
    <x v="9"/>
    <n v="25"/>
    <n v="5000"/>
    <m/>
    <x v="3"/>
  </r>
  <r>
    <x v="203"/>
    <x v="46"/>
    <s v="A234876"/>
    <x v="9"/>
    <n v="25"/>
    <n v="4250"/>
    <m/>
    <x v="2"/>
  </r>
  <r>
    <x v="203"/>
    <x v="46"/>
    <s v="A234876"/>
    <x v="1"/>
    <n v="25"/>
    <n v="2050"/>
    <n v="2152.5"/>
    <x v="2"/>
  </r>
  <r>
    <x v="203"/>
    <x v="46"/>
    <s v="A234876"/>
    <x v="0"/>
    <n v="15"/>
    <n v="2550"/>
    <n v="2677.5"/>
    <x v="2"/>
  </r>
  <r>
    <x v="203"/>
    <x v="3"/>
    <s v="A232126"/>
    <x v="9"/>
    <n v="10"/>
    <n v="1200"/>
    <m/>
    <x v="2"/>
  </r>
  <r>
    <x v="203"/>
    <x v="3"/>
    <s v="A232126"/>
    <x v="1"/>
    <n v="35"/>
    <n v="4200"/>
    <n v="4410"/>
    <x v="2"/>
  </r>
  <r>
    <x v="203"/>
    <x v="3"/>
    <s v="A232126"/>
    <x v="2"/>
    <n v="25"/>
    <n v="3000"/>
    <n v="3150"/>
    <x v="2"/>
  </r>
  <r>
    <x v="203"/>
    <x v="3"/>
    <s v="A232126"/>
    <x v="0"/>
    <n v="15"/>
    <n v="1950"/>
    <n v="2047.5"/>
    <x v="2"/>
  </r>
  <r>
    <x v="203"/>
    <x v="16"/>
    <s v="A241225"/>
    <x v="9"/>
    <n v="25"/>
    <n v="2000"/>
    <m/>
    <x v="3"/>
  </r>
  <r>
    <x v="203"/>
    <x v="303"/>
    <s v="A403149"/>
    <x v="0"/>
    <n v="15"/>
    <n v="2600"/>
    <n v="2730"/>
    <x v="2"/>
  </r>
  <r>
    <x v="203"/>
    <x v="60"/>
    <m/>
    <x v="0"/>
    <n v="10"/>
    <n v="3000"/>
    <n v="3150"/>
    <x v="2"/>
  </r>
  <r>
    <x v="203"/>
    <x v="166"/>
    <s v="A231706"/>
    <x v="9"/>
    <n v="25"/>
    <n v="1925"/>
    <m/>
    <x v="3"/>
  </r>
  <r>
    <x v="203"/>
    <x v="244"/>
    <s v="A415792"/>
    <x v="0"/>
    <n v="10"/>
    <n v="1200"/>
    <n v="1260"/>
    <x v="2"/>
  </r>
  <r>
    <x v="203"/>
    <x v="218"/>
    <m/>
    <x v="0"/>
    <n v="5"/>
    <n v="1800"/>
    <n v="1890"/>
    <x v="2"/>
  </r>
  <r>
    <x v="203"/>
    <x v="679"/>
    <s v="P12880"/>
    <x v="9"/>
    <n v="5"/>
    <n v="700"/>
    <m/>
    <x v="3"/>
  </r>
  <r>
    <x v="203"/>
    <x v="307"/>
    <s v="A245395"/>
    <x v="0"/>
    <n v="5"/>
    <n v="1000"/>
    <n v="1050"/>
    <x v="18"/>
  </r>
  <r>
    <x v="203"/>
    <x v="668"/>
    <s v="P09390"/>
    <x v="9"/>
    <n v="25"/>
    <n v="5750"/>
    <m/>
    <x v="3"/>
  </r>
  <r>
    <x v="203"/>
    <x v="668"/>
    <s v="P09390"/>
    <x v="1"/>
    <n v="10"/>
    <n v="2300"/>
    <n v="2415"/>
    <x v="3"/>
  </r>
  <r>
    <x v="203"/>
    <x v="668"/>
    <s v="P09390"/>
    <x v="2"/>
    <n v="25"/>
    <n v="5750"/>
    <n v="6037.5"/>
    <x v="3"/>
  </r>
  <r>
    <x v="203"/>
    <x v="103"/>
    <s v="A299996"/>
    <x v="9"/>
    <n v="25"/>
    <n v="2250"/>
    <m/>
    <x v="3"/>
  </r>
  <r>
    <x v="203"/>
    <x v="103"/>
    <s v="A299996"/>
    <x v="2"/>
    <n v="10"/>
    <n v="900"/>
    <n v="945"/>
    <x v="3"/>
  </r>
  <r>
    <x v="203"/>
    <x v="347"/>
    <s v="A417703"/>
    <x v="0"/>
    <n v="20"/>
    <n v="1800"/>
    <n v="1890"/>
    <x v="2"/>
  </r>
  <r>
    <x v="204"/>
    <x v="123"/>
    <m/>
    <x v="0"/>
    <n v="5"/>
    <n v="450"/>
    <n v="472.5"/>
    <x v="3"/>
  </r>
  <r>
    <x v="204"/>
    <x v="810"/>
    <m/>
    <x v="0"/>
    <n v="20"/>
    <n v="1500"/>
    <n v="1575"/>
    <x v="3"/>
  </r>
  <r>
    <x v="204"/>
    <x v="247"/>
    <s v="A402013"/>
    <x v="0"/>
    <n v="25"/>
    <n v="1675"/>
    <n v="1758.75"/>
    <x v="3"/>
  </r>
  <r>
    <x v="205"/>
    <x v="371"/>
    <s v="A260799"/>
    <x v="2"/>
    <n v="50"/>
    <n v="6500"/>
    <n v="6825"/>
    <x v="3"/>
  </r>
  <r>
    <x v="205"/>
    <x v="826"/>
    <s v="A248856"/>
    <x v="3"/>
    <n v="50"/>
    <n v="4250"/>
    <m/>
    <x v="3"/>
  </r>
  <r>
    <x v="205"/>
    <x v="826"/>
    <s v="A248856"/>
    <x v="4"/>
    <n v="75"/>
    <n v="6375"/>
    <m/>
    <x v="3"/>
  </r>
  <r>
    <x v="205"/>
    <x v="826"/>
    <s v="A248856"/>
    <x v="5"/>
    <n v="75"/>
    <n v="6375"/>
    <m/>
    <x v="3"/>
  </r>
  <r>
    <x v="205"/>
    <x v="826"/>
    <s v="A248856"/>
    <x v="6"/>
    <n v="75"/>
    <n v="6375"/>
    <m/>
    <x v="3"/>
  </r>
  <r>
    <x v="205"/>
    <x v="826"/>
    <s v="A248856"/>
    <x v="8"/>
    <n v="75"/>
    <n v="6375"/>
    <m/>
    <x v="3"/>
  </r>
  <r>
    <x v="205"/>
    <x v="826"/>
    <s v="A248856"/>
    <x v="2"/>
    <n v="50"/>
    <n v="4250"/>
    <n v="4462.5"/>
    <x v="3"/>
  </r>
  <r>
    <x v="205"/>
    <x v="826"/>
    <s v="A248856"/>
    <x v="11"/>
    <n v="50"/>
    <n v="4250"/>
    <n v="4462.5"/>
    <x v="3"/>
  </r>
  <r>
    <x v="205"/>
    <x v="274"/>
    <s v="P19035"/>
    <x v="0"/>
    <n v="50"/>
    <n v="6250"/>
    <n v="6562.5"/>
    <x v="3"/>
  </r>
  <r>
    <x v="205"/>
    <x v="28"/>
    <s v="A233711"/>
    <x v="1"/>
    <n v="125"/>
    <n v="8125"/>
    <n v="8531.25"/>
    <x v="3"/>
  </r>
  <r>
    <x v="205"/>
    <x v="494"/>
    <s v="A257810"/>
    <x v="1"/>
    <n v="75"/>
    <n v="5625"/>
    <n v="5906.25"/>
    <x v="3"/>
  </r>
  <r>
    <x v="205"/>
    <x v="494"/>
    <s v="A257810"/>
    <x v="11"/>
    <n v="50"/>
    <n v="3750"/>
    <n v="3937.5"/>
    <x v="3"/>
  </r>
  <r>
    <x v="205"/>
    <x v="421"/>
    <s v="A243394"/>
    <x v="11"/>
    <n v="50"/>
    <n v="5250"/>
    <n v="5512.5"/>
    <x v="3"/>
  </r>
  <r>
    <x v="205"/>
    <x v="138"/>
    <s v="A282344"/>
    <x v="1"/>
    <n v="25"/>
    <n v="2375"/>
    <n v="2493.75"/>
    <x v="3"/>
  </r>
  <r>
    <x v="205"/>
    <x v="138"/>
    <s v="A282344"/>
    <x v="2"/>
    <n v="50"/>
    <n v="4750"/>
    <n v="4987.5"/>
    <x v="3"/>
  </r>
  <r>
    <x v="205"/>
    <x v="202"/>
    <s v="A418088"/>
    <x v="11"/>
    <n v="100"/>
    <n v="9000"/>
    <n v="9450"/>
    <x v="3"/>
  </r>
  <r>
    <x v="205"/>
    <x v="1"/>
    <s v="A231710"/>
    <x v="0"/>
    <n v="75"/>
    <n v="4725"/>
    <n v="4961.25"/>
    <x v="3"/>
  </r>
  <r>
    <x v="206"/>
    <x v="827"/>
    <m/>
    <x v="1"/>
    <n v="20"/>
    <n v="2400"/>
    <n v="2520"/>
    <x v="3"/>
  </r>
  <r>
    <x v="206"/>
    <x v="827"/>
    <m/>
    <x v="2"/>
    <n v="20"/>
    <n v="1700"/>
    <n v="1785"/>
    <x v="3"/>
  </r>
  <r>
    <x v="206"/>
    <x v="5"/>
    <s v="A249720"/>
    <x v="10"/>
    <n v="25"/>
    <n v="2375"/>
    <m/>
    <x v="3"/>
  </r>
  <r>
    <x v="206"/>
    <x v="5"/>
    <s v="A249720"/>
    <x v="8"/>
    <n v="25"/>
    <n v="2375"/>
    <m/>
    <x v="3"/>
  </r>
  <r>
    <x v="206"/>
    <x v="5"/>
    <s v="A249720"/>
    <x v="9"/>
    <n v="25"/>
    <n v="2375"/>
    <m/>
    <x v="3"/>
  </r>
  <r>
    <x v="206"/>
    <x v="6"/>
    <s v="A270578"/>
    <x v="2"/>
    <n v="50"/>
    <n v="3750"/>
    <n v="3937.5"/>
    <x v="3"/>
  </r>
  <r>
    <x v="206"/>
    <x v="15"/>
    <m/>
    <x v="8"/>
    <n v="1"/>
    <n v="330"/>
    <m/>
    <x v="3"/>
  </r>
  <r>
    <x v="206"/>
    <x v="15"/>
    <m/>
    <x v="1"/>
    <n v="10"/>
    <n v="750"/>
    <n v="787.5"/>
    <x v="3"/>
  </r>
  <r>
    <x v="206"/>
    <x v="141"/>
    <s v="A249778"/>
    <x v="2"/>
    <n v="100"/>
    <n v="8000"/>
    <n v="8400"/>
    <x v="3"/>
  </r>
  <r>
    <x v="206"/>
    <x v="355"/>
    <s v="A401230"/>
    <x v="2"/>
    <n v="50"/>
    <n v="3750"/>
    <n v="3937.5"/>
    <x v="3"/>
  </r>
  <r>
    <x v="206"/>
    <x v="18"/>
    <m/>
    <x v="10"/>
    <n v="20"/>
    <n v="1800"/>
    <m/>
    <x v="3"/>
  </r>
  <r>
    <x v="206"/>
    <x v="18"/>
    <m/>
    <x v="2"/>
    <n v="20"/>
    <n v="1900"/>
    <n v="1995"/>
    <x v="3"/>
  </r>
  <r>
    <x v="206"/>
    <x v="123"/>
    <m/>
    <x v="10"/>
    <n v="20"/>
    <n v="1800"/>
    <m/>
    <x v="3"/>
  </r>
  <r>
    <x v="206"/>
    <x v="123"/>
    <m/>
    <x v="8"/>
    <n v="20"/>
    <n v="1800"/>
    <m/>
    <x v="3"/>
  </r>
  <r>
    <x v="206"/>
    <x v="10"/>
    <m/>
    <x v="9"/>
    <n v="20"/>
    <n v="1800"/>
    <m/>
    <x v="3"/>
  </r>
  <r>
    <x v="206"/>
    <x v="10"/>
    <m/>
    <x v="1"/>
    <n v="40"/>
    <n v="3600"/>
    <n v="3780"/>
    <x v="3"/>
  </r>
  <r>
    <x v="206"/>
    <x v="10"/>
    <m/>
    <x v="2"/>
    <n v="40"/>
    <n v="2600"/>
    <n v="2730"/>
    <x v="3"/>
  </r>
  <r>
    <x v="207"/>
    <x v="289"/>
    <s v="A234285"/>
    <x v="11"/>
    <n v="25"/>
    <n v="1450"/>
    <n v="1522.5"/>
    <x v="3"/>
  </r>
  <r>
    <x v="208"/>
    <x v="111"/>
    <s v="A257634"/>
    <x v="3"/>
    <n v="5"/>
    <n v="3000"/>
    <m/>
    <x v="3"/>
  </r>
  <r>
    <x v="208"/>
    <x v="111"/>
    <s v="A257635"/>
    <x v="3"/>
    <n v="2"/>
    <n v="750"/>
    <m/>
    <x v="3"/>
  </r>
  <r>
    <x v="208"/>
    <x v="111"/>
    <s v="A257634"/>
    <x v="4"/>
    <n v="5"/>
    <n v="3000"/>
    <m/>
    <x v="3"/>
  </r>
  <r>
    <x v="208"/>
    <x v="111"/>
    <s v="A257634"/>
    <x v="6"/>
    <n v="5"/>
    <n v="3000"/>
    <m/>
    <x v="3"/>
  </r>
  <r>
    <x v="208"/>
    <x v="828"/>
    <s v="A280724"/>
    <x v="5"/>
    <n v="1"/>
    <n v="400"/>
    <m/>
    <x v="3"/>
  </r>
  <r>
    <x v="208"/>
    <x v="529"/>
    <s v="A284393"/>
    <x v="5"/>
    <n v="1"/>
    <n v="400"/>
    <m/>
    <x v="3"/>
  </r>
  <r>
    <x v="208"/>
    <x v="829"/>
    <s v="A259817"/>
    <x v="4"/>
    <n v="1"/>
    <n v="400"/>
    <m/>
    <x v="3"/>
  </r>
  <r>
    <x v="208"/>
    <x v="830"/>
    <s v="A287829"/>
    <x v="5"/>
    <n v="1"/>
    <n v="400"/>
    <m/>
    <x v="3"/>
  </r>
  <r>
    <x v="208"/>
    <x v="60"/>
    <m/>
    <x v="11"/>
    <n v="10"/>
    <n v="3000"/>
    <n v="3150"/>
    <x v="3"/>
  </r>
  <r>
    <x v="208"/>
    <x v="831"/>
    <s v="A280726"/>
    <x v="5"/>
    <n v="1"/>
    <n v="400"/>
    <m/>
    <x v="3"/>
  </r>
  <r>
    <x v="208"/>
    <x v="197"/>
    <s v="A276064"/>
    <x v="5"/>
    <n v="1"/>
    <n v="400"/>
    <m/>
    <x v="3"/>
  </r>
  <r>
    <x v="208"/>
    <x v="197"/>
    <s v="A276064"/>
    <x v="6"/>
    <n v="5"/>
    <n v="2000"/>
    <m/>
    <x v="3"/>
  </r>
  <r>
    <x v="208"/>
    <x v="832"/>
    <s v="A280727"/>
    <x v="5"/>
    <n v="2"/>
    <n v="800"/>
    <m/>
    <x v="3"/>
  </r>
  <r>
    <x v="208"/>
    <x v="307"/>
    <s v="A245395"/>
    <x v="3"/>
    <n v="11"/>
    <n v="3720"/>
    <m/>
    <x v="3"/>
  </r>
  <r>
    <x v="208"/>
    <x v="307"/>
    <s v="A245395"/>
    <x v="4"/>
    <n v="5"/>
    <n v="1875"/>
    <m/>
    <x v="3"/>
  </r>
  <r>
    <x v="208"/>
    <x v="307"/>
    <s v="A245395"/>
    <x v="5"/>
    <n v="5"/>
    <n v="2000"/>
    <m/>
    <x v="3"/>
  </r>
  <r>
    <x v="208"/>
    <x v="307"/>
    <s v="A245395"/>
    <x v="7"/>
    <n v="5"/>
    <n v="1875"/>
    <m/>
    <x v="3"/>
  </r>
  <r>
    <x v="208"/>
    <x v="307"/>
    <s v="A245395"/>
    <x v="8"/>
    <n v="5"/>
    <n v="1875"/>
    <m/>
    <x v="3"/>
  </r>
  <r>
    <x v="208"/>
    <x v="307"/>
    <s v="A245395"/>
    <x v="9"/>
    <n v="10"/>
    <n v="3750"/>
    <m/>
    <x v="3"/>
  </r>
  <r>
    <x v="208"/>
    <x v="307"/>
    <s v="A245395"/>
    <x v="11"/>
    <n v="20"/>
    <n v="7500"/>
    <n v="7875"/>
    <x v="3"/>
  </r>
  <r>
    <x v="208"/>
    <x v="833"/>
    <s v="A261823"/>
    <x v="4"/>
    <n v="1"/>
    <n v="400"/>
    <m/>
    <x v="3"/>
  </r>
  <r>
    <x v="208"/>
    <x v="834"/>
    <s v="A241866"/>
    <x v="5"/>
    <n v="0.5"/>
    <n v="300"/>
    <m/>
    <x v="3"/>
  </r>
  <r>
    <x v="208"/>
    <x v="835"/>
    <s v="A288196"/>
    <x v="5"/>
    <n v="1"/>
    <n v="400"/>
    <m/>
    <x v="3"/>
  </r>
  <r>
    <x v="209"/>
    <x v="88"/>
    <s v="A244191"/>
    <x v="8"/>
    <n v="100"/>
    <n v="6875"/>
    <m/>
    <x v="3"/>
  </r>
  <r>
    <x v="209"/>
    <x v="836"/>
    <s v="A258963"/>
    <x v="3"/>
    <n v="25"/>
    <n v="2225"/>
    <m/>
    <x v="3"/>
  </r>
  <r>
    <x v="209"/>
    <x v="582"/>
    <s v="A339212"/>
    <x v="8"/>
    <n v="50"/>
    <n v="3750"/>
    <m/>
    <x v="3"/>
  </r>
  <r>
    <x v="209"/>
    <x v="323"/>
    <s v="R252075"/>
    <x v="5"/>
    <n v="25"/>
    <n v="2000"/>
    <m/>
    <x v="3"/>
  </r>
  <r>
    <x v="209"/>
    <x v="837"/>
    <s v="A285349"/>
    <x v="5"/>
    <n v="50"/>
    <n v="4250"/>
    <m/>
    <x v="3"/>
  </r>
  <r>
    <x v="209"/>
    <x v="93"/>
    <s v="A231708"/>
    <x v="8"/>
    <n v="75"/>
    <n v="4300"/>
    <m/>
    <x v="3"/>
  </r>
  <r>
    <x v="209"/>
    <x v="838"/>
    <s v="A248758"/>
    <x v="12"/>
    <n v="25"/>
    <n v="1850"/>
    <m/>
    <x v="3"/>
  </r>
  <r>
    <x v="209"/>
    <x v="838"/>
    <s v="A248758"/>
    <x v="3"/>
    <n v="75"/>
    <n v="5525"/>
    <m/>
    <x v="3"/>
  </r>
  <r>
    <x v="209"/>
    <x v="838"/>
    <s v="A248758"/>
    <x v="4"/>
    <n v="25"/>
    <n v="1837.5"/>
    <m/>
    <x v="3"/>
  </r>
  <r>
    <x v="209"/>
    <x v="838"/>
    <s v="A248758"/>
    <x v="5"/>
    <n v="25"/>
    <n v="1837.5"/>
    <m/>
    <x v="3"/>
  </r>
  <r>
    <x v="209"/>
    <x v="839"/>
    <s v="A258961"/>
    <x v="3"/>
    <n v="25"/>
    <n v="2225"/>
    <m/>
    <x v="3"/>
  </r>
  <r>
    <x v="209"/>
    <x v="331"/>
    <s v="A318055"/>
    <x v="10"/>
    <n v="25"/>
    <n v="2375"/>
    <m/>
    <x v="3"/>
  </r>
  <r>
    <x v="209"/>
    <x v="331"/>
    <s v="A318055"/>
    <x v="8"/>
    <n v="55"/>
    <n v="5225"/>
    <m/>
    <x v="3"/>
  </r>
  <r>
    <x v="209"/>
    <x v="289"/>
    <s v="A234285"/>
    <x v="8"/>
    <n v="25"/>
    <n v="1550"/>
    <m/>
    <x v="3"/>
  </r>
  <r>
    <x v="209"/>
    <x v="156"/>
    <s v="A231705"/>
    <x v="8"/>
    <n v="25"/>
    <n v="1750"/>
    <m/>
    <x v="3"/>
  </r>
  <r>
    <x v="209"/>
    <x v="840"/>
    <s v="M53092"/>
    <x v="7"/>
    <n v="25"/>
    <n v="4500"/>
    <m/>
    <x v="3"/>
  </r>
  <r>
    <x v="209"/>
    <x v="3"/>
    <s v="A236167"/>
    <x v="8"/>
    <n v="50"/>
    <n v="3100"/>
    <m/>
    <x v="3"/>
  </r>
  <r>
    <x v="209"/>
    <x v="494"/>
    <s v="A257810"/>
    <x v="8"/>
    <n v="25"/>
    <n v="1750"/>
    <m/>
    <x v="3"/>
  </r>
  <r>
    <x v="209"/>
    <x v="292"/>
    <s v="A276839"/>
    <x v="8"/>
    <n v="36"/>
    <n v="2075"/>
    <m/>
    <x v="3"/>
  </r>
  <r>
    <x v="209"/>
    <x v="841"/>
    <s v="A258965"/>
    <x v="3"/>
    <n v="25"/>
    <n v="2225"/>
    <m/>
    <x v="3"/>
  </r>
  <r>
    <x v="209"/>
    <x v="842"/>
    <s v="A258964"/>
    <x v="3"/>
    <n v="25"/>
    <n v="2225"/>
    <m/>
    <x v="3"/>
  </r>
  <r>
    <x v="209"/>
    <x v="842"/>
    <s v="A258964"/>
    <x v="10"/>
    <n v="25"/>
    <n v="2225"/>
    <m/>
    <x v="3"/>
  </r>
  <r>
    <x v="209"/>
    <x v="177"/>
    <s v="A292781"/>
    <x v="8"/>
    <n v="50"/>
    <n v="3750"/>
    <m/>
    <x v="3"/>
  </r>
  <r>
    <x v="209"/>
    <x v="166"/>
    <s v="A231706"/>
    <x v="8"/>
    <n v="150"/>
    <n v="9000"/>
    <m/>
    <x v="3"/>
  </r>
  <r>
    <x v="209"/>
    <x v="315"/>
    <s v="A246246"/>
    <x v="3"/>
    <n v="25"/>
    <n v="2225"/>
    <m/>
    <x v="3"/>
  </r>
  <r>
    <x v="209"/>
    <x v="19"/>
    <s v="A233442"/>
    <x v="10"/>
    <n v="25"/>
    <n v="1850"/>
    <m/>
    <x v="3"/>
  </r>
  <r>
    <x v="209"/>
    <x v="19"/>
    <s v="A233442"/>
    <x v="8"/>
    <n v="25"/>
    <n v="1850"/>
    <m/>
    <x v="3"/>
  </r>
  <r>
    <x v="209"/>
    <x v="14"/>
    <m/>
    <x v="8"/>
    <n v="2"/>
    <n v="200"/>
    <m/>
    <x v="3"/>
  </r>
  <r>
    <x v="209"/>
    <x v="843"/>
    <s v="A305993"/>
    <x v="7"/>
    <n v="25"/>
    <n v="1875"/>
    <m/>
    <x v="3"/>
  </r>
  <r>
    <x v="209"/>
    <x v="843"/>
    <s v="A305993"/>
    <x v="10"/>
    <n v="25"/>
    <n v="1875"/>
    <m/>
    <x v="3"/>
  </r>
  <r>
    <x v="210"/>
    <x v="838"/>
    <s v="A248758"/>
    <x v="4"/>
    <n v="25"/>
    <n v="2050"/>
    <m/>
    <x v="3"/>
  </r>
  <r>
    <x v="210"/>
    <x v="838"/>
    <s v="A248758"/>
    <x v="5"/>
    <n v="25"/>
    <n v="2000"/>
    <m/>
    <x v="3"/>
  </r>
  <r>
    <x v="210"/>
    <x v="844"/>
    <m/>
    <x v="6"/>
    <n v="5"/>
    <n v="900"/>
    <m/>
    <x v="3"/>
  </r>
  <r>
    <x v="210"/>
    <x v="845"/>
    <s v="A197475"/>
    <x v="3"/>
    <n v="26"/>
    <n v="2966.08"/>
    <m/>
    <x v="3"/>
  </r>
  <r>
    <x v="210"/>
    <x v="845"/>
    <s v="A197475"/>
    <x v="6"/>
    <n v="25"/>
    <n v="3625"/>
    <m/>
    <x v="3"/>
  </r>
  <r>
    <x v="211"/>
    <x v="231"/>
    <s v="A410391"/>
    <x v="11"/>
    <n v="50"/>
    <n v="3500"/>
    <n v="3675"/>
    <x v="3"/>
  </r>
  <r>
    <x v="211"/>
    <x v="432"/>
    <m/>
    <x v="11"/>
    <n v="5"/>
    <n v="425"/>
    <n v="446.25"/>
    <x v="3"/>
  </r>
  <r>
    <x v="212"/>
    <x v="317"/>
    <s v="A246212"/>
    <x v="11"/>
    <n v="15"/>
    <n v="1125"/>
    <n v="1181.25"/>
    <x v="3"/>
  </r>
  <r>
    <x v="212"/>
    <x v="88"/>
    <s v="A244191"/>
    <x v="1"/>
    <n v="75"/>
    <n v="4875"/>
    <n v="5118.75"/>
    <x v="3"/>
  </r>
  <r>
    <x v="212"/>
    <x v="88"/>
    <s v="A244191"/>
    <x v="2"/>
    <n v="20"/>
    <n v="1300"/>
    <n v="1365"/>
    <x v="3"/>
  </r>
  <r>
    <x v="212"/>
    <x v="269"/>
    <s v="A415790"/>
    <x v="11"/>
    <n v="60"/>
    <n v="3900"/>
    <n v="4095"/>
    <x v="3"/>
  </r>
  <r>
    <x v="212"/>
    <x v="269"/>
    <s v="A415790"/>
    <x v="0"/>
    <n v="15"/>
    <n v="975"/>
    <n v="1023.75"/>
    <x v="1"/>
  </r>
  <r>
    <x v="212"/>
    <x v="269"/>
    <s v="A415790"/>
    <x v="0"/>
    <n v="15"/>
    <n v="975"/>
    <n v="1023.75"/>
    <x v="3"/>
  </r>
  <r>
    <x v="212"/>
    <x v="362"/>
    <s v="A292789"/>
    <x v="9"/>
    <n v="25"/>
    <n v="1300"/>
    <m/>
    <x v="3"/>
  </r>
  <r>
    <x v="212"/>
    <x v="363"/>
    <s v="A402002"/>
    <x v="11"/>
    <n v="15"/>
    <n v="780"/>
    <n v="819"/>
    <x v="3"/>
  </r>
  <r>
    <x v="212"/>
    <x v="321"/>
    <s v="A293451"/>
    <x v="2"/>
    <n v="5"/>
    <n v="275"/>
    <n v="288.75"/>
    <x v="3"/>
  </r>
  <r>
    <x v="212"/>
    <x v="321"/>
    <s v="A293451"/>
    <x v="11"/>
    <n v="15"/>
    <n v="825"/>
    <n v="866.25"/>
    <x v="3"/>
  </r>
  <r>
    <x v="212"/>
    <x v="322"/>
    <s v="A275616"/>
    <x v="1"/>
    <n v="20"/>
    <n v="1300"/>
    <n v="1365"/>
    <x v="3"/>
  </r>
  <r>
    <x v="212"/>
    <x v="322"/>
    <s v="A275616"/>
    <x v="2"/>
    <n v="10"/>
    <n v="650"/>
    <n v="682.5"/>
    <x v="3"/>
  </r>
  <r>
    <x v="212"/>
    <x v="270"/>
    <s v="A415885"/>
    <x v="0"/>
    <n v="10"/>
    <n v="650"/>
    <n v="682.5"/>
    <x v="4"/>
  </r>
  <r>
    <x v="212"/>
    <x v="306"/>
    <s v="A244199"/>
    <x v="9"/>
    <n v="25"/>
    <n v="1300"/>
    <m/>
    <x v="3"/>
  </r>
  <r>
    <x v="212"/>
    <x v="328"/>
    <s v="A285349"/>
    <x v="1"/>
    <n v="5"/>
    <n v="325"/>
    <n v="341.25"/>
    <x v="1"/>
  </r>
  <r>
    <x v="212"/>
    <x v="328"/>
    <s v="A285349"/>
    <x v="2"/>
    <n v="25"/>
    <n v="1625"/>
    <n v="1706.25"/>
    <x v="1"/>
  </r>
  <r>
    <x v="212"/>
    <x v="328"/>
    <s v="A285349"/>
    <x v="11"/>
    <n v="10"/>
    <n v="650"/>
    <n v="682.5"/>
    <x v="1"/>
  </r>
  <r>
    <x v="212"/>
    <x v="328"/>
    <s v="A285349"/>
    <x v="0"/>
    <n v="35"/>
    <n v="2380"/>
    <n v="2499"/>
    <x v="1"/>
  </r>
  <r>
    <x v="212"/>
    <x v="93"/>
    <s v="A231708"/>
    <x v="1"/>
    <n v="50"/>
    <n v="2900"/>
    <n v="3045"/>
    <x v="3"/>
  </r>
  <r>
    <x v="212"/>
    <x v="93"/>
    <s v="A231708"/>
    <x v="2"/>
    <n v="30"/>
    <n v="1740"/>
    <n v="1827"/>
    <x v="3"/>
  </r>
  <r>
    <x v="212"/>
    <x v="93"/>
    <s v="A231708"/>
    <x v="0"/>
    <n v="30"/>
    <n v="1740"/>
    <n v="1827"/>
    <x v="3"/>
  </r>
  <r>
    <x v="212"/>
    <x v="558"/>
    <s v="A306327"/>
    <x v="2"/>
    <n v="5"/>
    <n v="275"/>
    <n v="288.75"/>
    <x v="3"/>
  </r>
  <r>
    <x v="212"/>
    <x v="3"/>
    <s v="A232126"/>
    <x v="1"/>
    <n v="10"/>
    <n v="1000"/>
    <n v="1050"/>
    <x v="55"/>
  </r>
  <r>
    <x v="212"/>
    <x v="3"/>
    <s v="A232126"/>
    <x v="2"/>
    <n v="40"/>
    <n v="4000"/>
    <n v="4200"/>
    <x v="55"/>
  </r>
  <r>
    <x v="212"/>
    <x v="3"/>
    <s v="A232126"/>
    <x v="11"/>
    <n v="40"/>
    <n v="4000"/>
    <n v="4200"/>
    <x v="55"/>
  </r>
  <r>
    <x v="212"/>
    <x v="3"/>
    <s v="A232126"/>
    <x v="0"/>
    <n v="25"/>
    <n v="2500"/>
    <n v="2625"/>
    <x v="55"/>
  </r>
  <r>
    <x v="212"/>
    <x v="51"/>
    <s v="A298567"/>
    <x v="11"/>
    <n v="45"/>
    <n v="2250"/>
    <n v="2362.5"/>
    <x v="3"/>
  </r>
  <r>
    <x v="212"/>
    <x v="53"/>
    <s v="A249179"/>
    <x v="2"/>
    <n v="20"/>
    <n v="1400"/>
    <n v="1470"/>
    <x v="1"/>
  </r>
  <r>
    <x v="212"/>
    <x v="53"/>
    <s v="A249179"/>
    <x v="0"/>
    <n v="25"/>
    <n v="1750"/>
    <n v="1837.5"/>
    <x v="1"/>
  </r>
  <r>
    <x v="212"/>
    <x v="94"/>
    <s v="A339929"/>
    <x v="2"/>
    <n v="5"/>
    <n v="300"/>
    <n v="315"/>
    <x v="1"/>
  </r>
  <r>
    <x v="212"/>
    <x v="94"/>
    <s v="A339929"/>
    <x v="0"/>
    <n v="25"/>
    <n v="1500"/>
    <n v="1575"/>
    <x v="1"/>
  </r>
  <r>
    <x v="212"/>
    <x v="30"/>
    <s v="A233444"/>
    <x v="0"/>
    <n v="40"/>
    <n v="3000"/>
    <n v="3150"/>
    <x v="5"/>
  </r>
  <r>
    <x v="212"/>
    <x v="333"/>
    <s v="A317824"/>
    <x v="11"/>
    <n v="5"/>
    <n v="350"/>
    <n v="367.5"/>
    <x v="3"/>
  </r>
  <r>
    <x v="212"/>
    <x v="293"/>
    <s v="A248825"/>
    <x v="1"/>
    <n v="75"/>
    <n v="4500"/>
    <n v="4725"/>
    <x v="3"/>
  </r>
  <r>
    <x v="212"/>
    <x v="293"/>
    <s v="A248825"/>
    <x v="11"/>
    <n v="25"/>
    <n v="1500"/>
    <n v="1575"/>
    <x v="3"/>
  </r>
  <r>
    <x v="212"/>
    <x v="263"/>
    <s v="A403817"/>
    <x v="2"/>
    <n v="50"/>
    <n v="3000"/>
    <n v="3150"/>
    <x v="3"/>
  </r>
  <r>
    <x v="212"/>
    <x v="228"/>
    <s v="A306319"/>
    <x v="11"/>
    <n v="10"/>
    <n v="700"/>
    <n v="735"/>
    <x v="3"/>
  </r>
  <r>
    <x v="212"/>
    <x v="177"/>
    <s v="A292781"/>
    <x v="1"/>
    <n v="5"/>
    <n v="300"/>
    <n v="315"/>
    <x v="3"/>
  </r>
  <r>
    <x v="212"/>
    <x v="177"/>
    <s v="A292781"/>
    <x v="2"/>
    <n v="5"/>
    <n v="300"/>
    <n v="315"/>
    <x v="3"/>
  </r>
  <r>
    <x v="212"/>
    <x v="177"/>
    <s v="A292781"/>
    <x v="11"/>
    <n v="10"/>
    <n v="600"/>
    <n v="630"/>
    <x v="3"/>
  </r>
  <r>
    <x v="212"/>
    <x v="19"/>
    <s v="A233442"/>
    <x v="9"/>
    <n v="25"/>
    <n v="1300"/>
    <m/>
    <x v="3"/>
  </r>
  <r>
    <x v="212"/>
    <x v="19"/>
    <s v="A233442"/>
    <x v="1"/>
    <n v="75"/>
    <n v="3975"/>
    <n v="4173.75"/>
    <x v="3"/>
  </r>
  <r>
    <x v="212"/>
    <x v="19"/>
    <s v="A233442"/>
    <x v="2"/>
    <n v="185"/>
    <n v="9250"/>
    <n v="9712.5"/>
    <x v="3"/>
  </r>
  <r>
    <x v="212"/>
    <x v="247"/>
    <s v="A402013"/>
    <x v="2"/>
    <n v="435"/>
    <n v="21780"/>
    <n v="22869"/>
    <x v="2"/>
  </r>
  <r>
    <x v="212"/>
    <x v="247"/>
    <s v="A402013"/>
    <x v="11"/>
    <n v="25"/>
    <n v="12500"/>
    <n v="13125"/>
    <x v="2"/>
  </r>
  <r>
    <x v="212"/>
    <x v="247"/>
    <s v="A402013"/>
    <x v="0"/>
    <n v="150"/>
    <n v="7500"/>
    <n v="7875"/>
    <x v="2"/>
  </r>
  <r>
    <x v="212"/>
    <x v="336"/>
    <s v="A320337"/>
    <x v="11"/>
    <n v="15"/>
    <n v="1050"/>
    <n v="1102.5"/>
    <x v="3"/>
  </r>
  <r>
    <x v="213"/>
    <x v="846"/>
    <m/>
    <x v="0"/>
    <n v="11"/>
    <n v="1540"/>
    <n v="1540"/>
    <x v="56"/>
  </r>
  <r>
    <x v="213"/>
    <x v="299"/>
    <s v="A404821"/>
    <x v="0"/>
    <n v="3"/>
    <n v="480"/>
    <n v="480"/>
    <x v="2"/>
  </r>
  <r>
    <x v="213"/>
    <x v="301"/>
    <s v="P050220"/>
    <x v="0"/>
    <n v="10"/>
    <n v="1800"/>
    <n v="1800"/>
    <x v="1"/>
  </r>
  <r>
    <x v="213"/>
    <x v="258"/>
    <s v="A352612"/>
    <x v="0"/>
    <n v="5"/>
    <n v="800"/>
    <n v="800"/>
    <x v="2"/>
  </r>
  <r>
    <x v="213"/>
    <x v="687"/>
    <m/>
    <x v="0"/>
    <n v="22"/>
    <n v="2860"/>
    <n v="2860"/>
    <x v="2"/>
  </r>
  <r>
    <x v="213"/>
    <x v="688"/>
    <m/>
    <x v="0"/>
    <n v="16"/>
    <n v="2080"/>
    <n v="2080"/>
    <x v="57"/>
  </r>
  <r>
    <x v="213"/>
    <x v="49"/>
    <s v="P19684"/>
    <x v="0"/>
    <n v="3"/>
    <n v="600"/>
    <n v="600"/>
    <x v="2"/>
  </r>
  <r>
    <x v="213"/>
    <x v="696"/>
    <s v="A257635"/>
    <x v="11"/>
    <n v="14"/>
    <n v="2450"/>
    <n v="2450"/>
    <x v="2"/>
  </r>
  <r>
    <x v="213"/>
    <x v="696"/>
    <s v="A257635"/>
    <x v="0"/>
    <n v="56"/>
    <n v="9800"/>
    <n v="9800"/>
    <x v="2"/>
  </r>
  <r>
    <x v="213"/>
    <x v="574"/>
    <s v="A352534"/>
    <x v="0"/>
    <n v="12"/>
    <n v="2640"/>
    <n v="2640"/>
    <x v="2"/>
  </r>
  <r>
    <x v="213"/>
    <x v="202"/>
    <s v="A417151"/>
    <x v="0"/>
    <n v="41"/>
    <n v="6150"/>
    <n v="6150"/>
    <x v="2"/>
  </r>
  <r>
    <x v="213"/>
    <x v="304"/>
    <s v="A271046"/>
    <x v="0"/>
    <n v="1"/>
    <n v="230"/>
    <n v="230"/>
    <x v="2"/>
  </r>
  <r>
    <x v="213"/>
    <x v="305"/>
    <s v="A338959"/>
    <x v="11"/>
    <n v="10"/>
    <n v="1750"/>
    <n v="1750"/>
    <x v="2"/>
  </r>
  <r>
    <x v="213"/>
    <x v="305"/>
    <s v="A338959"/>
    <x v="0"/>
    <n v="27"/>
    <n v="4725"/>
    <n v="4725"/>
    <x v="2"/>
  </r>
  <r>
    <x v="213"/>
    <x v="77"/>
    <s v="A419379"/>
    <x v="0"/>
    <n v="5"/>
    <n v="1155"/>
    <n v="1155"/>
    <x v="2"/>
  </r>
  <r>
    <x v="214"/>
    <x v="847"/>
    <m/>
    <x v="9"/>
    <n v="25"/>
    <n v="11950"/>
    <m/>
    <x v="3"/>
  </r>
  <r>
    <x v="214"/>
    <x v="848"/>
    <s v="A248825"/>
    <x v="9"/>
    <n v="10"/>
    <n v="1500"/>
    <m/>
    <x v="3"/>
  </r>
  <r>
    <x v="215"/>
    <x v="295"/>
    <s v="A302349"/>
    <x v="7"/>
    <n v="1"/>
    <n v="220"/>
    <m/>
    <x v="3"/>
  </r>
  <r>
    <x v="215"/>
    <x v="112"/>
    <s v="A265729"/>
    <x v="7"/>
    <n v="1"/>
    <n v="220"/>
    <m/>
    <x v="3"/>
  </r>
  <r>
    <x v="215"/>
    <x v="283"/>
    <s v="P04017"/>
    <x v="10"/>
    <n v="2"/>
    <n v="520"/>
    <m/>
    <x v="3"/>
  </r>
  <r>
    <x v="215"/>
    <x v="57"/>
    <s v="A292909"/>
    <x v="10"/>
    <n v="2"/>
    <n v="440"/>
    <m/>
    <x v="3"/>
  </r>
  <r>
    <x v="216"/>
    <x v="269"/>
    <s v="A415790"/>
    <x v="11"/>
    <n v="50"/>
    <n v="2650"/>
    <n v="2782.5"/>
    <x v="3"/>
  </r>
  <r>
    <x v="216"/>
    <x v="849"/>
    <m/>
    <x v="11"/>
    <n v="25"/>
    <n v="1500"/>
    <n v="1575"/>
    <x v="58"/>
  </r>
  <r>
    <x v="216"/>
    <x v="849"/>
    <m/>
    <x v="0"/>
    <n v="75"/>
    <n v="4500"/>
    <n v="4725"/>
    <x v="58"/>
  </r>
  <r>
    <x v="216"/>
    <x v="417"/>
    <s v="A402001"/>
    <x v="11"/>
    <n v="175"/>
    <n v="8400"/>
    <n v="8820"/>
    <x v="3"/>
  </r>
  <r>
    <x v="216"/>
    <x v="363"/>
    <s v="A402002"/>
    <x v="11"/>
    <n v="50"/>
    <n v="2150"/>
    <n v="2257.5"/>
    <x v="3"/>
  </r>
  <r>
    <x v="216"/>
    <x v="295"/>
    <s v="A302349"/>
    <x v="9"/>
    <n v="15"/>
    <n v="1350"/>
    <m/>
    <x v="3"/>
  </r>
  <r>
    <x v="216"/>
    <x v="319"/>
    <s v="A248264"/>
    <x v="11"/>
    <n v="50"/>
    <n v="2650"/>
    <n v="2782.5"/>
    <x v="3"/>
  </r>
  <r>
    <x v="216"/>
    <x v="353"/>
    <s v="A241990"/>
    <x v="11"/>
    <n v="100"/>
    <n v="5000"/>
    <n v="5250"/>
    <x v="3"/>
  </r>
  <r>
    <x v="216"/>
    <x v="323"/>
    <s v="A292785"/>
    <x v="1"/>
    <n v="50"/>
    <n v="3500"/>
    <n v="3675"/>
    <x v="1"/>
  </r>
  <r>
    <x v="216"/>
    <x v="323"/>
    <s v="A292785"/>
    <x v="11"/>
    <n v="75"/>
    <n v="4500"/>
    <n v="4725"/>
    <x v="1"/>
  </r>
  <r>
    <x v="216"/>
    <x v="323"/>
    <s v="A292785"/>
    <x v="0"/>
    <n v="50"/>
    <n v="2750"/>
    <n v="2887.5"/>
    <x v="1"/>
  </r>
  <r>
    <x v="216"/>
    <x v="129"/>
    <s v="A235765"/>
    <x v="11"/>
    <n v="1"/>
    <n v="110.95"/>
    <n v="116.4975"/>
    <x v="3"/>
  </r>
  <r>
    <x v="216"/>
    <x v="93"/>
    <s v="A231708"/>
    <x v="5"/>
    <n v="100"/>
    <n v="2900"/>
    <m/>
    <x v="3"/>
  </r>
  <r>
    <x v="216"/>
    <x v="156"/>
    <s v="A231705"/>
    <x v="9"/>
    <n v="100"/>
    <n v="6000"/>
    <m/>
    <x v="3"/>
  </r>
  <r>
    <x v="216"/>
    <x v="3"/>
    <s v="A236167"/>
    <x v="9"/>
    <n v="150"/>
    <n v="8250"/>
    <m/>
    <x v="3"/>
  </r>
  <r>
    <x v="216"/>
    <x v="250"/>
    <s v="A241557"/>
    <x v="8"/>
    <n v="75"/>
    <n v="7770"/>
    <m/>
    <x v="3"/>
  </r>
  <r>
    <x v="216"/>
    <x v="250"/>
    <s v="A241557"/>
    <x v="9"/>
    <n v="100"/>
    <n v="10500"/>
    <m/>
    <x v="3"/>
  </r>
  <r>
    <x v="216"/>
    <x v="250"/>
    <s v="A241557"/>
    <x v="11"/>
    <n v="50"/>
    <n v="5000"/>
    <n v="5250"/>
    <x v="3"/>
  </r>
  <r>
    <x v="216"/>
    <x v="468"/>
    <s v="A402009"/>
    <x v="11"/>
    <n v="425"/>
    <n v="20825"/>
    <n v="21866.25"/>
    <x v="3"/>
  </r>
  <r>
    <x v="216"/>
    <x v="16"/>
    <s v="A242640"/>
    <x v="5"/>
    <n v="650"/>
    <n v="34450"/>
    <m/>
    <x v="3"/>
  </r>
  <r>
    <x v="216"/>
    <x v="16"/>
    <s v="A242640"/>
    <x v="6"/>
    <n v="1500"/>
    <n v="67800"/>
    <m/>
    <x v="3"/>
  </r>
  <r>
    <x v="216"/>
    <x v="16"/>
    <s v="A242640"/>
    <x v="7"/>
    <n v="350"/>
    <n v="14700"/>
    <m/>
    <x v="3"/>
  </r>
  <r>
    <x v="216"/>
    <x v="16"/>
    <s v="A242640"/>
    <x v="10"/>
    <n v="200"/>
    <n v="8400"/>
    <m/>
    <x v="3"/>
  </r>
  <r>
    <x v="216"/>
    <x v="16"/>
    <s v="A297444"/>
    <x v="9"/>
    <n v="50"/>
    <n v="2250"/>
    <m/>
    <x v="3"/>
  </r>
  <r>
    <x v="216"/>
    <x v="16"/>
    <s v="A242640"/>
    <x v="1"/>
    <n v="200"/>
    <n v="11000"/>
    <n v="11550"/>
    <x v="3"/>
  </r>
  <r>
    <x v="216"/>
    <x v="494"/>
    <s v="A257810"/>
    <x v="2"/>
    <n v="200"/>
    <n v="11000"/>
    <n v="11550"/>
    <x v="3"/>
  </r>
  <r>
    <x v="216"/>
    <x v="30"/>
    <s v="A233444"/>
    <x v="6"/>
    <n v="100"/>
    <n v="5500"/>
    <m/>
    <x v="3"/>
  </r>
  <r>
    <x v="216"/>
    <x v="30"/>
    <s v="A233444"/>
    <x v="7"/>
    <n v="400"/>
    <n v="14400"/>
    <m/>
    <x v="3"/>
  </r>
  <r>
    <x v="216"/>
    <x v="30"/>
    <s v="A233444"/>
    <x v="10"/>
    <n v="225"/>
    <n v="12375"/>
    <m/>
    <x v="3"/>
  </r>
  <r>
    <x v="216"/>
    <x v="30"/>
    <s v="A233444"/>
    <x v="8"/>
    <n v="25"/>
    <n v="1375"/>
    <m/>
    <x v="3"/>
  </r>
  <r>
    <x v="216"/>
    <x v="30"/>
    <s v="A233444"/>
    <x v="1"/>
    <n v="500"/>
    <n v="24700"/>
    <n v="25935"/>
    <x v="3"/>
  </r>
  <r>
    <x v="216"/>
    <x v="30"/>
    <s v="A233444"/>
    <x v="2"/>
    <n v="200"/>
    <n v="11000"/>
    <n v="11550"/>
    <x v="3"/>
  </r>
  <r>
    <x v="216"/>
    <x v="30"/>
    <s v="A233444"/>
    <x v="11"/>
    <n v="250"/>
    <n v="13750"/>
    <n v="14437.5"/>
    <x v="3"/>
  </r>
  <r>
    <x v="216"/>
    <x v="506"/>
    <m/>
    <x v="4"/>
    <n v="50"/>
    <n v="2250"/>
    <m/>
    <x v="3"/>
  </r>
  <r>
    <x v="216"/>
    <x v="506"/>
    <m/>
    <x v="5"/>
    <n v="5"/>
    <n v="225"/>
    <m/>
    <x v="3"/>
  </r>
  <r>
    <x v="216"/>
    <x v="293"/>
    <s v="A248825"/>
    <x v="0"/>
    <n v="50"/>
    <n v="2500"/>
    <n v="2625"/>
    <x v="59"/>
  </r>
  <r>
    <x v="216"/>
    <x v="243"/>
    <s v="A232125"/>
    <x v="4"/>
    <n v="200"/>
    <n v="13100"/>
    <m/>
    <x v="3"/>
  </r>
  <r>
    <x v="216"/>
    <x v="243"/>
    <s v="A232125"/>
    <x v="6"/>
    <n v="300"/>
    <n v="17100"/>
    <m/>
    <x v="3"/>
  </r>
  <r>
    <x v="216"/>
    <x v="13"/>
    <m/>
    <x v="8"/>
    <n v="10"/>
    <n v="1100"/>
    <m/>
    <x v="3"/>
  </r>
  <r>
    <x v="216"/>
    <x v="13"/>
    <m/>
    <x v="1"/>
    <n v="210"/>
    <n v="13100"/>
    <n v="13755"/>
    <x v="3"/>
  </r>
  <r>
    <x v="216"/>
    <x v="13"/>
    <m/>
    <x v="11"/>
    <n v="10"/>
    <n v="1100"/>
    <n v="1155"/>
    <x v="3"/>
  </r>
  <r>
    <x v="216"/>
    <x v="166"/>
    <s v="A231706"/>
    <x v="9"/>
    <n v="25"/>
    <n v="1500"/>
    <m/>
    <x v="3"/>
  </r>
  <r>
    <x v="216"/>
    <x v="166"/>
    <s v="A231706"/>
    <x v="2"/>
    <n v="25"/>
    <n v="1500"/>
    <n v="1575"/>
    <x v="3"/>
  </r>
  <r>
    <x v="216"/>
    <x v="224"/>
    <s v="A249084"/>
    <x v="5"/>
    <n v="100"/>
    <n v="4200"/>
    <m/>
    <x v="3"/>
  </r>
  <r>
    <x v="216"/>
    <x v="224"/>
    <s v="A249084"/>
    <x v="6"/>
    <n v="100"/>
    <n v="4200"/>
    <m/>
    <x v="3"/>
  </r>
  <r>
    <x v="216"/>
    <x v="19"/>
    <s v="A233442"/>
    <x v="6"/>
    <n v="400"/>
    <n v="12000"/>
    <m/>
    <x v="3"/>
  </r>
  <r>
    <x v="216"/>
    <x v="19"/>
    <s v="A233442"/>
    <x v="7"/>
    <n v="695"/>
    <n v="21850"/>
    <m/>
    <x v="3"/>
  </r>
  <r>
    <x v="216"/>
    <x v="19"/>
    <s v="A233442"/>
    <x v="10"/>
    <n v="541.5"/>
    <n v="21160"/>
    <m/>
    <x v="3"/>
  </r>
  <r>
    <x v="216"/>
    <x v="19"/>
    <s v="A233442"/>
    <x v="8"/>
    <n v="900"/>
    <n v="36000"/>
    <m/>
    <x v="3"/>
  </r>
  <r>
    <x v="216"/>
    <x v="19"/>
    <s v="A233442"/>
    <x v="9"/>
    <n v="700"/>
    <n v="28000"/>
    <m/>
    <x v="3"/>
  </r>
  <r>
    <x v="216"/>
    <x v="19"/>
    <s v="A233442"/>
    <x v="1"/>
    <n v="500"/>
    <n v="20000"/>
    <n v="21000"/>
    <x v="3"/>
  </r>
  <r>
    <x v="216"/>
    <x v="14"/>
    <m/>
    <x v="2"/>
    <n v="25"/>
    <n v="1500"/>
    <n v="1575"/>
    <x v="3"/>
  </r>
  <r>
    <x v="216"/>
    <x v="14"/>
    <m/>
    <x v="11"/>
    <n v="30"/>
    <n v="1800"/>
    <n v="1890"/>
    <x v="3"/>
  </r>
  <r>
    <x v="216"/>
    <x v="348"/>
    <s v="A236985"/>
    <x v="11"/>
    <n v="175"/>
    <n v="10500"/>
    <n v="11025"/>
    <x v="3"/>
  </r>
  <r>
    <x v="216"/>
    <x v="850"/>
    <s v="A402014"/>
    <x v="2"/>
    <n v="50"/>
    <n v="3000"/>
    <n v="3150"/>
    <x v="3"/>
  </r>
  <r>
    <x v="217"/>
    <x v="321"/>
    <s v="A293451"/>
    <x v="8"/>
    <n v="25"/>
    <n v="2125"/>
    <m/>
    <x v="3"/>
  </r>
  <r>
    <x v="217"/>
    <x v="321"/>
    <s v="A293451"/>
    <x v="9"/>
    <n v="200"/>
    <n v="17000"/>
    <m/>
    <x v="3"/>
  </r>
  <r>
    <x v="217"/>
    <x v="321"/>
    <s v="A293451"/>
    <x v="1"/>
    <n v="50"/>
    <n v="4250"/>
    <n v="4462.5"/>
    <x v="3"/>
  </r>
  <r>
    <x v="217"/>
    <x v="321"/>
    <s v="A293451"/>
    <x v="2"/>
    <n v="25"/>
    <n v="2125"/>
    <n v="2231.25"/>
    <x v="3"/>
  </r>
  <r>
    <x v="217"/>
    <x v="368"/>
    <s v="A299995"/>
    <x v="8"/>
    <n v="24"/>
    <n v="2040"/>
    <m/>
    <x v="3"/>
  </r>
  <r>
    <x v="217"/>
    <x v="93"/>
    <s v="A231708"/>
    <x v="10"/>
    <n v="20"/>
    <n v="1800"/>
    <m/>
    <x v="3"/>
  </r>
  <r>
    <x v="217"/>
    <x v="10"/>
    <m/>
    <x v="2"/>
    <n v="20"/>
    <n v="1500"/>
    <n v="1575"/>
    <x v="3"/>
  </r>
  <r>
    <x v="218"/>
    <x v="851"/>
    <s v="A233184"/>
    <x v="8"/>
    <n v="25"/>
    <n v="850"/>
    <m/>
    <x v="1"/>
  </r>
  <r>
    <x v="218"/>
    <x v="851"/>
    <s v="A233184"/>
    <x v="2"/>
    <n v="250"/>
    <n v="12500"/>
    <n v="13125"/>
    <x v="1"/>
  </r>
  <r>
    <x v="218"/>
    <x v="851"/>
    <s v="A233184"/>
    <x v="11"/>
    <n v="500"/>
    <n v="26150"/>
    <n v="27457.5"/>
    <x v="1"/>
  </r>
  <r>
    <x v="218"/>
    <x v="851"/>
    <s v="A233184"/>
    <x v="0"/>
    <n v="300"/>
    <n v="16500"/>
    <n v="17325"/>
    <x v="1"/>
  </r>
  <r>
    <x v="218"/>
    <x v="233"/>
    <m/>
    <x v="2"/>
    <n v="5"/>
    <n v="475"/>
    <n v="498.75"/>
    <x v="3"/>
  </r>
  <r>
    <x v="218"/>
    <x v="233"/>
    <m/>
    <x v="11"/>
    <n v="5"/>
    <n v="475"/>
    <n v="498.75"/>
    <x v="3"/>
  </r>
  <r>
    <x v="218"/>
    <x v="852"/>
    <s v="A415889"/>
    <x v="2"/>
    <n v="200"/>
    <n v="15000"/>
    <n v="15750"/>
    <x v="3"/>
  </r>
  <r>
    <x v="218"/>
    <x v="852"/>
    <s v="A415889"/>
    <x v="11"/>
    <n v="295"/>
    <n v="22500"/>
    <n v="23625"/>
    <x v="3"/>
  </r>
  <r>
    <x v="218"/>
    <x v="93"/>
    <s v="A231708"/>
    <x v="7"/>
    <n v="50"/>
    <n v="3000"/>
    <m/>
    <x v="3"/>
  </r>
  <r>
    <x v="218"/>
    <x v="93"/>
    <s v="A231708"/>
    <x v="10"/>
    <n v="25"/>
    <n v="1500"/>
    <m/>
    <x v="3"/>
  </r>
  <r>
    <x v="218"/>
    <x v="3"/>
    <s v="A232126"/>
    <x v="8"/>
    <n v="2850"/>
    <n v="205200"/>
    <m/>
    <x v="1"/>
  </r>
  <r>
    <x v="218"/>
    <x v="3"/>
    <s v="A232126"/>
    <x v="9"/>
    <n v="3075"/>
    <n v="240025"/>
    <m/>
    <x v="1"/>
  </r>
  <r>
    <x v="218"/>
    <x v="3"/>
    <s v="A232126"/>
    <x v="1"/>
    <n v="2475"/>
    <n v="234800"/>
    <n v="246540"/>
    <x v="1"/>
  </r>
  <r>
    <x v="218"/>
    <x v="3"/>
    <s v="A232126"/>
    <x v="1"/>
    <n v="25"/>
    <n v="2375"/>
    <n v="2493.75"/>
    <x v="3"/>
  </r>
  <r>
    <x v="218"/>
    <x v="3"/>
    <s v="A232126"/>
    <x v="2"/>
    <n v="3150"/>
    <n v="352500"/>
    <n v="370125"/>
    <x v="1"/>
  </r>
  <r>
    <x v="218"/>
    <x v="3"/>
    <s v="A232126"/>
    <x v="11"/>
    <n v="1900"/>
    <n v="201800"/>
    <n v="211890"/>
    <x v="3"/>
  </r>
  <r>
    <x v="218"/>
    <x v="3"/>
    <s v="A232126"/>
    <x v="0"/>
    <n v="500"/>
    <n v="45000"/>
    <n v="47250"/>
    <x v="1"/>
  </r>
  <r>
    <x v="218"/>
    <x v="853"/>
    <s v="A236084"/>
    <x v="11"/>
    <n v="600"/>
    <n v="43200"/>
    <n v="45360"/>
    <x v="3"/>
  </r>
  <r>
    <x v="218"/>
    <x v="28"/>
    <s v="A233711"/>
    <x v="2"/>
    <n v="250"/>
    <n v="17500"/>
    <n v="18375"/>
    <x v="3"/>
  </r>
  <r>
    <x v="218"/>
    <x v="28"/>
    <s v="A233711"/>
    <x v="11"/>
    <n v="700"/>
    <n v="50000"/>
    <n v="52500"/>
    <x v="3"/>
  </r>
  <r>
    <x v="218"/>
    <x v="434"/>
    <s v="A241908"/>
    <x v="1"/>
    <n v="25"/>
    <n v="2625"/>
    <n v="2756.25"/>
    <x v="3"/>
  </r>
  <r>
    <x v="218"/>
    <x v="854"/>
    <m/>
    <x v="2"/>
    <n v="25"/>
    <n v="1125"/>
    <n v="1181.25"/>
    <x v="60"/>
  </r>
  <r>
    <x v="218"/>
    <x v="854"/>
    <m/>
    <x v="11"/>
    <n v="500"/>
    <n v="25000"/>
    <n v="26250"/>
    <x v="60"/>
  </r>
  <r>
    <x v="218"/>
    <x v="854"/>
    <m/>
    <x v="0"/>
    <n v="200"/>
    <n v="10000"/>
    <n v="10500"/>
    <x v="60"/>
  </r>
  <r>
    <x v="218"/>
    <x v="456"/>
    <s v="A313001"/>
    <x v="7"/>
    <n v="10"/>
    <n v="1000"/>
    <m/>
    <x v="3"/>
  </r>
  <r>
    <x v="218"/>
    <x v="456"/>
    <s v="A313001"/>
    <x v="10"/>
    <n v="20"/>
    <n v="2000"/>
    <m/>
    <x v="3"/>
  </r>
  <r>
    <x v="218"/>
    <x v="456"/>
    <s v="A313001"/>
    <x v="8"/>
    <n v="25"/>
    <n v="2500"/>
    <m/>
    <x v="3"/>
  </r>
  <r>
    <x v="218"/>
    <x v="456"/>
    <s v="A313001"/>
    <x v="9"/>
    <n v="25"/>
    <n v="2500"/>
    <m/>
    <x v="3"/>
  </r>
  <r>
    <x v="218"/>
    <x v="456"/>
    <s v="A313001"/>
    <x v="2"/>
    <n v="50"/>
    <n v="4875"/>
    <n v="5118.75"/>
    <x v="3"/>
  </r>
  <r>
    <x v="218"/>
    <x v="456"/>
    <s v="A313001"/>
    <x v="11"/>
    <n v="100"/>
    <n v="9500"/>
    <n v="9975"/>
    <x v="3"/>
  </r>
  <r>
    <x v="218"/>
    <x v="19"/>
    <s v="A233442"/>
    <x v="1"/>
    <n v="25"/>
    <n v="2375"/>
    <n v="2493.75"/>
    <x v="3"/>
  </r>
  <r>
    <x v="218"/>
    <x v="422"/>
    <s v="A294408"/>
    <x v="2"/>
    <n v="3"/>
    <n v="555"/>
    <n v="582.75"/>
    <x v="3"/>
  </r>
  <r>
    <x v="218"/>
    <x v="422"/>
    <s v="A294408"/>
    <x v="11"/>
    <n v="9"/>
    <n v="1665"/>
    <n v="1748.25"/>
    <x v="3"/>
  </r>
  <r>
    <x v="218"/>
    <x v="855"/>
    <s v="A415884"/>
    <x v="2"/>
    <n v="75"/>
    <n v="6375"/>
    <n v="6693.75"/>
    <x v="1"/>
  </r>
  <r>
    <x v="218"/>
    <x v="855"/>
    <s v="A415884"/>
    <x v="11"/>
    <n v="70"/>
    <n v="5950"/>
    <n v="6247.5"/>
    <x v="1"/>
  </r>
  <r>
    <x v="218"/>
    <x v="855"/>
    <s v="A415884"/>
    <x v="0"/>
    <n v="70"/>
    <n v="5950"/>
    <n v="6247.5"/>
    <x v="1"/>
  </r>
  <r>
    <x v="219"/>
    <x v="275"/>
    <s v="A271087"/>
    <x v="11"/>
    <n v="1"/>
    <n v="80"/>
    <n v="84"/>
    <x v="3"/>
  </r>
  <r>
    <x v="220"/>
    <x v="452"/>
    <s v="A239535"/>
    <x v="8"/>
    <n v="2"/>
    <n v="500"/>
    <m/>
    <x v="3"/>
  </r>
  <r>
    <x v="221"/>
    <x v="856"/>
    <s v="A338180"/>
    <x v="9"/>
    <n v="25"/>
    <n v="13125"/>
    <m/>
    <x v="3"/>
  </r>
  <r>
    <x v="221"/>
    <x v="857"/>
    <s v="A243962"/>
    <x v="2"/>
    <n v="15"/>
    <n v="2670"/>
    <n v="2803.5"/>
    <x v="3"/>
  </r>
  <r>
    <x v="221"/>
    <x v="318"/>
    <s v="A302349"/>
    <x v="2"/>
    <n v="25"/>
    <n v="4750"/>
    <n v="4987.5"/>
    <x v="3"/>
  </r>
  <r>
    <x v="221"/>
    <x v="858"/>
    <s v="A238189"/>
    <x v="2"/>
    <n v="30"/>
    <n v="7050"/>
    <n v="7402.5"/>
    <x v="3"/>
  </r>
  <r>
    <x v="221"/>
    <x v="859"/>
    <s v="P06751"/>
    <x v="9"/>
    <n v="10"/>
    <n v="9750"/>
    <m/>
    <x v="3"/>
  </r>
  <r>
    <x v="221"/>
    <x v="860"/>
    <s v="A297629"/>
    <x v="2"/>
    <n v="25"/>
    <n v="4875"/>
    <n v="5118.75"/>
    <x v="3"/>
  </r>
  <r>
    <x v="221"/>
    <x v="861"/>
    <s v="A243757"/>
    <x v="2"/>
    <n v="25"/>
    <n v="5125"/>
    <n v="5381.25"/>
    <x v="3"/>
  </r>
  <r>
    <x v="221"/>
    <x v="25"/>
    <s v="A415883"/>
    <x v="2"/>
    <n v="25"/>
    <n v="4750"/>
    <n v="4987.5"/>
    <x v="3"/>
  </r>
  <r>
    <x v="221"/>
    <x v="210"/>
    <m/>
    <x v="2"/>
    <n v="30"/>
    <n v="6450"/>
    <n v="6772.5"/>
    <x v="3"/>
  </r>
  <r>
    <x v="221"/>
    <x v="218"/>
    <m/>
    <x v="11"/>
    <n v="15"/>
    <n v="14700"/>
    <n v="15435"/>
    <x v="3"/>
  </r>
  <r>
    <x v="221"/>
    <x v="305"/>
    <s v="A338959"/>
    <x v="2"/>
    <n v="25"/>
    <n v="5250"/>
    <n v="5512.5"/>
    <x v="3"/>
  </r>
  <r>
    <x v="222"/>
    <x v="353"/>
    <s v="A241990"/>
    <x v="8"/>
    <n v="25"/>
    <n v="2000"/>
    <m/>
    <x v="3"/>
  </r>
  <r>
    <x v="223"/>
    <x v="173"/>
    <s v="P08232"/>
    <x v="7"/>
    <n v="10"/>
    <n v="2400"/>
    <m/>
    <x v="3"/>
  </r>
  <r>
    <x v="223"/>
    <x v="862"/>
    <s v="P08975"/>
    <x v="10"/>
    <n v="5"/>
    <n v="3850"/>
    <m/>
    <x v="3"/>
  </r>
  <r>
    <x v="223"/>
    <x v="862"/>
    <s v="P08975"/>
    <x v="8"/>
    <n v="10"/>
    <n v="7700"/>
    <m/>
    <x v="3"/>
  </r>
  <r>
    <x v="223"/>
    <x v="37"/>
    <s v="A295406"/>
    <x v="6"/>
    <n v="30"/>
    <n v="15900"/>
    <m/>
    <x v="3"/>
  </r>
  <r>
    <x v="223"/>
    <x v="37"/>
    <s v="A295406"/>
    <x v="7"/>
    <n v="10"/>
    <n v="5300"/>
    <m/>
    <x v="3"/>
  </r>
  <r>
    <x v="223"/>
    <x v="37"/>
    <s v="A295406"/>
    <x v="10"/>
    <n v="10"/>
    <n v="5300"/>
    <m/>
    <x v="3"/>
  </r>
  <r>
    <x v="223"/>
    <x v="37"/>
    <s v="A295406"/>
    <x v="8"/>
    <n v="10"/>
    <n v="5300"/>
    <m/>
    <x v="3"/>
  </r>
  <r>
    <x v="223"/>
    <x v="37"/>
    <s v="A295406"/>
    <x v="9"/>
    <n v="15"/>
    <n v="7950"/>
    <m/>
    <x v="3"/>
  </r>
  <r>
    <x v="223"/>
    <x v="863"/>
    <s v="A295732"/>
    <x v="6"/>
    <n v="20"/>
    <n v="7000"/>
    <m/>
    <x v="3"/>
  </r>
  <r>
    <x v="223"/>
    <x v="38"/>
    <s v="A273820"/>
    <x v="10"/>
    <n v="25"/>
    <n v="4375"/>
    <m/>
    <x v="3"/>
  </r>
  <r>
    <x v="223"/>
    <x v="295"/>
    <s v="A302349"/>
    <x v="7"/>
    <n v="220"/>
    <n v="46400"/>
    <m/>
    <x v="3"/>
  </r>
  <r>
    <x v="223"/>
    <x v="23"/>
    <m/>
    <x v="1"/>
    <n v="5"/>
    <n v="1450"/>
    <n v="1522.5"/>
    <x v="3"/>
  </r>
  <r>
    <x v="223"/>
    <x v="112"/>
    <s v="A265729"/>
    <x v="8"/>
    <n v="5"/>
    <n v="1000"/>
    <m/>
    <x v="3"/>
  </r>
  <r>
    <x v="223"/>
    <x v="112"/>
    <s v="A265729"/>
    <x v="9"/>
    <n v="10"/>
    <n v="2000"/>
    <m/>
    <x v="3"/>
  </r>
  <r>
    <x v="223"/>
    <x v="112"/>
    <s v="A265729"/>
    <x v="1"/>
    <n v="15"/>
    <n v="3000"/>
    <n v="3150"/>
    <x v="3"/>
  </r>
  <r>
    <x v="223"/>
    <x v="112"/>
    <s v="A265729"/>
    <x v="2"/>
    <n v="3"/>
    <n v="600"/>
    <n v="630"/>
    <x v="3"/>
  </r>
  <r>
    <x v="223"/>
    <x v="300"/>
    <s v="A351968"/>
    <x v="11"/>
    <n v="2"/>
    <n v="400"/>
    <n v="420"/>
    <x v="3"/>
  </r>
  <r>
    <x v="223"/>
    <x v="864"/>
    <s v="P09430"/>
    <x v="10"/>
    <n v="15"/>
    <n v="4650"/>
    <m/>
    <x v="3"/>
  </r>
  <r>
    <x v="223"/>
    <x v="207"/>
    <m/>
    <x v="1"/>
    <n v="1"/>
    <n v="260"/>
    <n v="273"/>
    <x v="3"/>
  </r>
  <r>
    <x v="223"/>
    <x v="865"/>
    <s v="A293785"/>
    <x v="6"/>
    <n v="10"/>
    <n v="2750"/>
    <m/>
    <x v="3"/>
  </r>
  <r>
    <x v="223"/>
    <x v="41"/>
    <s v="A282275"/>
    <x v="8"/>
    <n v="10"/>
    <n v="6300"/>
    <m/>
    <x v="3"/>
  </r>
  <r>
    <x v="223"/>
    <x v="188"/>
    <s v="A281163"/>
    <x v="8"/>
    <n v="1"/>
    <n v="200"/>
    <m/>
    <x v="3"/>
  </r>
  <r>
    <x v="223"/>
    <x v="129"/>
    <s v="A235765"/>
    <x v="1"/>
    <n v="1"/>
    <n v="180"/>
    <n v="189"/>
    <x v="3"/>
  </r>
  <r>
    <x v="223"/>
    <x v="129"/>
    <s v="A235765"/>
    <x v="2"/>
    <n v="3"/>
    <n v="540"/>
    <n v="567"/>
    <x v="3"/>
  </r>
  <r>
    <x v="223"/>
    <x v="310"/>
    <s v="P09390"/>
    <x v="1"/>
    <n v="5"/>
    <n v="1350"/>
    <n v="1417.5"/>
    <x v="3"/>
  </r>
  <r>
    <x v="223"/>
    <x v="762"/>
    <s v="A283876"/>
    <x v="10"/>
    <n v="50"/>
    <n v="31000"/>
    <m/>
    <x v="3"/>
  </r>
  <r>
    <x v="223"/>
    <x v="762"/>
    <s v="A283876"/>
    <x v="8"/>
    <n v="50"/>
    <n v="31000"/>
    <m/>
    <x v="3"/>
  </r>
  <r>
    <x v="223"/>
    <x v="762"/>
    <s v="A283876"/>
    <x v="9"/>
    <n v="25"/>
    <n v="15500"/>
    <m/>
    <x v="3"/>
  </r>
  <r>
    <x v="223"/>
    <x v="260"/>
    <s v="A305591"/>
    <x v="7"/>
    <n v="35"/>
    <n v="8400"/>
    <m/>
    <x v="3"/>
  </r>
  <r>
    <x v="223"/>
    <x v="260"/>
    <s v="A305591"/>
    <x v="2"/>
    <n v="14"/>
    <n v="2520"/>
    <n v="2646"/>
    <x v="3"/>
  </r>
  <r>
    <x v="223"/>
    <x v="260"/>
    <s v="A305591"/>
    <x v="11"/>
    <n v="9"/>
    <n v="1620"/>
    <n v="1701"/>
    <x v="3"/>
  </r>
  <r>
    <x v="223"/>
    <x v="261"/>
    <m/>
    <x v="1"/>
    <n v="5"/>
    <n v="1300"/>
    <n v="1365"/>
    <x v="3"/>
  </r>
  <r>
    <x v="223"/>
    <x v="261"/>
    <m/>
    <x v="2"/>
    <n v="2"/>
    <n v="520"/>
    <n v="546"/>
    <x v="3"/>
  </r>
  <r>
    <x v="223"/>
    <x v="261"/>
    <m/>
    <x v="11"/>
    <n v="3"/>
    <n v="780"/>
    <n v="819"/>
    <x v="3"/>
  </r>
  <r>
    <x v="223"/>
    <x v="48"/>
    <s v="A245955"/>
    <x v="8"/>
    <n v="1"/>
    <n v="240"/>
    <m/>
    <x v="3"/>
  </r>
  <r>
    <x v="223"/>
    <x v="866"/>
    <s v="P06775"/>
    <x v="10"/>
    <n v="1"/>
    <n v="300"/>
    <m/>
    <x v="3"/>
  </r>
  <r>
    <x v="223"/>
    <x v="531"/>
    <s v="A235734"/>
    <x v="6"/>
    <n v="5"/>
    <n v="1200"/>
    <m/>
    <x v="3"/>
  </r>
  <r>
    <x v="223"/>
    <x v="830"/>
    <s v="A287829"/>
    <x v="6"/>
    <n v="10"/>
    <n v="2780"/>
    <m/>
    <x v="3"/>
  </r>
  <r>
    <x v="223"/>
    <x v="379"/>
    <s v="A261338"/>
    <x v="8"/>
    <n v="1"/>
    <n v="200"/>
    <m/>
    <x v="3"/>
  </r>
  <r>
    <x v="223"/>
    <x v="867"/>
    <s v="A246761"/>
    <x v="7"/>
    <n v="5"/>
    <n v="1400"/>
    <m/>
    <x v="3"/>
  </r>
  <r>
    <x v="223"/>
    <x v="60"/>
    <m/>
    <x v="1"/>
    <n v="5"/>
    <n v="1650"/>
    <n v="1732.5"/>
    <x v="3"/>
  </r>
  <r>
    <x v="223"/>
    <x v="663"/>
    <s v="A281163"/>
    <x v="8"/>
    <n v="1"/>
    <n v="240"/>
    <m/>
    <x v="3"/>
  </r>
  <r>
    <x v="223"/>
    <x v="783"/>
    <s v="P04964"/>
    <x v="6"/>
    <n v="10"/>
    <n v="4800"/>
    <m/>
    <x v="3"/>
  </r>
  <r>
    <x v="223"/>
    <x v="664"/>
    <s v="P14832"/>
    <x v="10"/>
    <n v="10"/>
    <n v="2300"/>
    <m/>
    <x v="3"/>
  </r>
  <r>
    <x v="223"/>
    <x v="70"/>
    <m/>
    <x v="1"/>
    <n v="5"/>
    <n v="1200"/>
    <n v="1260"/>
    <x v="3"/>
  </r>
  <r>
    <x v="223"/>
    <x v="72"/>
    <s v="P08499"/>
    <x v="9"/>
    <n v="10"/>
    <n v="2400"/>
    <m/>
    <x v="3"/>
  </r>
  <r>
    <x v="223"/>
    <x v="99"/>
    <s v="A282344"/>
    <x v="5"/>
    <n v="6"/>
    <n v="1650"/>
    <m/>
    <x v="3"/>
  </r>
  <r>
    <x v="223"/>
    <x v="99"/>
    <s v="A282344"/>
    <x v="6"/>
    <n v="25"/>
    <n v="6875"/>
    <m/>
    <x v="3"/>
  </r>
  <r>
    <x v="223"/>
    <x v="99"/>
    <s v="A282344"/>
    <x v="10"/>
    <n v="25"/>
    <n v="6875"/>
    <m/>
    <x v="3"/>
  </r>
  <r>
    <x v="223"/>
    <x v="219"/>
    <s v="A271046"/>
    <x v="8"/>
    <n v="10"/>
    <n v="2200"/>
    <m/>
    <x v="3"/>
  </r>
  <r>
    <x v="223"/>
    <x v="219"/>
    <s v="A271046"/>
    <x v="9"/>
    <n v="17"/>
    <n v="3696"/>
    <m/>
    <x v="3"/>
  </r>
  <r>
    <x v="223"/>
    <x v="32"/>
    <s v="A295591"/>
    <x v="6"/>
    <n v="15"/>
    <n v="7500"/>
    <m/>
    <x v="3"/>
  </r>
  <r>
    <x v="223"/>
    <x v="168"/>
    <s v="A295590"/>
    <x v="1"/>
    <n v="5"/>
    <n v="900"/>
    <n v="945"/>
    <x v="3"/>
  </r>
  <r>
    <x v="223"/>
    <x v="168"/>
    <s v="A295590"/>
    <x v="2"/>
    <n v="10"/>
    <n v="1800"/>
    <n v="1890"/>
    <x v="3"/>
  </r>
  <r>
    <x v="223"/>
    <x v="680"/>
    <s v="P09390"/>
    <x v="2"/>
    <n v="1"/>
    <n v="270"/>
    <n v="283.5"/>
    <x v="3"/>
  </r>
  <r>
    <x v="223"/>
    <x v="680"/>
    <s v="P09390"/>
    <x v="11"/>
    <n v="2"/>
    <n v="540"/>
    <n v="567"/>
    <x v="3"/>
  </r>
  <r>
    <x v="223"/>
    <x v="81"/>
    <s v="P19035"/>
    <x v="1"/>
    <n v="5"/>
    <n v="1200"/>
    <n v="1260"/>
    <x v="3"/>
  </r>
  <r>
    <x v="224"/>
    <x v="868"/>
    <s v="A261338"/>
    <x v="8"/>
    <n v="38"/>
    <n v="4560"/>
    <m/>
    <x v="3"/>
  </r>
  <r>
    <x v="224"/>
    <x v="317"/>
    <s v="A246212"/>
    <x v="7"/>
    <n v="25"/>
    <n v="2375"/>
    <m/>
    <x v="3"/>
  </r>
  <r>
    <x v="224"/>
    <x v="317"/>
    <s v="A246212"/>
    <x v="10"/>
    <n v="100"/>
    <n v="9500"/>
    <m/>
    <x v="3"/>
  </r>
  <r>
    <x v="224"/>
    <x v="317"/>
    <s v="A246212"/>
    <x v="9"/>
    <n v="45"/>
    <n v="4275"/>
    <m/>
    <x v="3"/>
  </r>
  <r>
    <x v="224"/>
    <x v="317"/>
    <s v="A246212"/>
    <x v="1"/>
    <n v="50"/>
    <n v="4750"/>
    <n v="4987.5"/>
    <x v="3"/>
  </r>
  <r>
    <x v="224"/>
    <x v="317"/>
    <s v="A246212"/>
    <x v="2"/>
    <n v="50"/>
    <n v="4750"/>
    <n v="4987.5"/>
    <x v="3"/>
  </r>
  <r>
    <x v="224"/>
    <x v="317"/>
    <s v="A246212"/>
    <x v="11"/>
    <n v="50"/>
    <n v="4750"/>
    <n v="4987.5"/>
    <x v="3"/>
  </r>
  <r>
    <x v="224"/>
    <x v="362"/>
    <s v="A292789"/>
    <x v="9"/>
    <n v="25"/>
    <n v="2000"/>
    <m/>
    <x v="3"/>
  </r>
  <r>
    <x v="224"/>
    <x v="362"/>
    <s v="A292789"/>
    <x v="1"/>
    <n v="50"/>
    <n v="4000"/>
    <n v="4200"/>
    <x v="3"/>
  </r>
  <r>
    <x v="224"/>
    <x v="363"/>
    <s v="A402002"/>
    <x v="2"/>
    <n v="25"/>
    <n v="2000"/>
    <n v="2100"/>
    <x v="3"/>
  </r>
  <r>
    <x v="224"/>
    <x v="363"/>
    <s v="A402002"/>
    <x v="11"/>
    <n v="50"/>
    <n v="4000"/>
    <n v="4200"/>
    <x v="3"/>
  </r>
  <r>
    <x v="224"/>
    <x v="365"/>
    <s v="A285878"/>
    <x v="1"/>
    <n v="25"/>
    <n v="3000"/>
    <n v="3150"/>
    <x v="3"/>
  </r>
  <r>
    <x v="224"/>
    <x v="365"/>
    <s v="A285878"/>
    <x v="2"/>
    <n v="25"/>
    <n v="3000"/>
    <n v="3150"/>
    <x v="3"/>
  </r>
  <r>
    <x v="224"/>
    <x v="366"/>
    <s v="A238073"/>
    <x v="9"/>
    <n v="25"/>
    <n v="1875"/>
    <m/>
    <x v="3"/>
  </r>
  <r>
    <x v="224"/>
    <x v="366"/>
    <s v="A238073"/>
    <x v="2"/>
    <n v="75"/>
    <n v="5625"/>
    <n v="5906.25"/>
    <x v="3"/>
  </r>
  <r>
    <x v="224"/>
    <x v="869"/>
    <m/>
    <x v="9"/>
    <n v="10"/>
    <n v="750"/>
    <m/>
    <x v="3"/>
  </r>
  <r>
    <x v="224"/>
    <x v="321"/>
    <s v="A293451"/>
    <x v="9"/>
    <n v="5"/>
    <n v="1875"/>
    <m/>
    <x v="3"/>
  </r>
  <r>
    <x v="224"/>
    <x v="270"/>
    <s v="A415885"/>
    <x v="11"/>
    <n v="50"/>
    <n v="3750"/>
    <n v="3937.5"/>
    <x v="3"/>
  </r>
  <r>
    <x v="224"/>
    <x v="323"/>
    <s v="A292785"/>
    <x v="9"/>
    <n v="125"/>
    <n v="10625"/>
    <m/>
    <x v="2"/>
  </r>
  <r>
    <x v="224"/>
    <x v="323"/>
    <s v="A292785"/>
    <x v="1"/>
    <n v="25"/>
    <n v="2125"/>
    <n v="2231.25"/>
    <x v="2"/>
  </r>
  <r>
    <x v="224"/>
    <x v="323"/>
    <s v="A292785"/>
    <x v="0"/>
    <n v="50"/>
    <n v="3400"/>
    <n v="3570"/>
    <x v="2"/>
  </r>
  <r>
    <x v="224"/>
    <x v="369"/>
    <m/>
    <x v="9"/>
    <n v="30"/>
    <n v="2250"/>
    <m/>
    <x v="3"/>
  </r>
  <r>
    <x v="224"/>
    <x v="229"/>
    <s v="A241469"/>
    <x v="10"/>
    <n v="60"/>
    <n v="11450"/>
    <m/>
    <x v="3"/>
  </r>
  <r>
    <x v="224"/>
    <x v="229"/>
    <s v="A241469"/>
    <x v="8"/>
    <n v="75"/>
    <n v="13875"/>
    <m/>
    <x v="3"/>
  </r>
  <r>
    <x v="224"/>
    <x v="229"/>
    <s v="A241469"/>
    <x v="9"/>
    <n v="50"/>
    <n v="9250"/>
    <m/>
    <x v="3"/>
  </r>
  <r>
    <x v="224"/>
    <x v="229"/>
    <s v="A241469"/>
    <x v="1"/>
    <n v="50"/>
    <n v="9250"/>
    <n v="9712.5"/>
    <x v="3"/>
  </r>
  <r>
    <x v="224"/>
    <x v="229"/>
    <s v="A241469"/>
    <x v="2"/>
    <n v="25"/>
    <n v="4500"/>
    <n v="4725"/>
    <x v="3"/>
  </r>
  <r>
    <x v="224"/>
    <x v="104"/>
    <s v="A235765"/>
    <x v="9"/>
    <n v="50"/>
    <n v="7500"/>
    <m/>
    <x v="3"/>
  </r>
  <r>
    <x v="224"/>
    <x v="104"/>
    <s v="A235765"/>
    <x v="1"/>
    <n v="35"/>
    <n v="5250"/>
    <n v="5512.5"/>
    <x v="3"/>
  </r>
  <r>
    <x v="224"/>
    <x v="104"/>
    <s v="A235765"/>
    <x v="2"/>
    <n v="300"/>
    <n v="36750"/>
    <n v="38587.5"/>
    <x v="3"/>
  </r>
  <r>
    <x v="224"/>
    <x v="271"/>
    <s v="A401493"/>
    <x v="2"/>
    <n v="25"/>
    <n v="3000"/>
    <n v="3150"/>
    <x v="3"/>
  </r>
  <r>
    <x v="224"/>
    <x v="271"/>
    <s v="A401493"/>
    <x v="11"/>
    <n v="50"/>
    <n v="6000"/>
    <n v="6300"/>
    <x v="3"/>
  </r>
  <r>
    <x v="224"/>
    <x v="306"/>
    <s v="A244199"/>
    <x v="8"/>
    <n v="25"/>
    <n v="1875"/>
    <m/>
    <x v="2"/>
  </r>
  <r>
    <x v="224"/>
    <x v="306"/>
    <s v="A244199"/>
    <x v="9"/>
    <n v="125"/>
    <n v="9375"/>
    <m/>
    <x v="2"/>
  </r>
  <r>
    <x v="224"/>
    <x v="306"/>
    <s v="A244199"/>
    <x v="1"/>
    <n v="25"/>
    <n v="1875"/>
    <n v="1968.75"/>
    <x v="2"/>
  </r>
  <r>
    <x v="224"/>
    <x v="306"/>
    <s v="A244199"/>
    <x v="2"/>
    <n v="125"/>
    <n v="8125"/>
    <n v="8531.25"/>
    <x v="2"/>
  </r>
  <r>
    <x v="224"/>
    <x v="306"/>
    <s v="A244199"/>
    <x v="11"/>
    <n v="175"/>
    <n v="10625"/>
    <n v="11156.25"/>
    <x v="2"/>
  </r>
  <r>
    <x v="224"/>
    <x v="306"/>
    <s v="A244199"/>
    <x v="0"/>
    <n v="50"/>
    <n v="3250"/>
    <n v="3412.5"/>
    <x v="2"/>
  </r>
  <r>
    <x v="224"/>
    <x v="209"/>
    <s v="A281163"/>
    <x v="8"/>
    <n v="59"/>
    <n v="8850"/>
    <m/>
    <x v="3"/>
  </r>
  <r>
    <x v="224"/>
    <x v="209"/>
    <s v="A281163"/>
    <x v="9"/>
    <n v="90"/>
    <n v="13500"/>
    <m/>
    <x v="3"/>
  </r>
  <r>
    <x v="224"/>
    <x v="469"/>
    <s v="A248486"/>
    <x v="8"/>
    <n v="25"/>
    <n v="1800"/>
    <m/>
    <x v="3"/>
  </r>
  <r>
    <x v="224"/>
    <x v="469"/>
    <s v="A248486"/>
    <x v="9"/>
    <n v="25"/>
    <n v="1800"/>
    <m/>
    <x v="3"/>
  </r>
  <r>
    <x v="224"/>
    <x v="93"/>
    <s v="A231708"/>
    <x v="7"/>
    <n v="25"/>
    <n v="1625"/>
    <m/>
    <x v="3"/>
  </r>
  <r>
    <x v="224"/>
    <x v="93"/>
    <s v="A231708"/>
    <x v="10"/>
    <n v="50"/>
    <n v="3250"/>
    <m/>
    <x v="3"/>
  </r>
  <r>
    <x v="224"/>
    <x v="93"/>
    <s v="A231708"/>
    <x v="8"/>
    <n v="50"/>
    <n v="3250"/>
    <m/>
    <x v="3"/>
  </r>
  <r>
    <x v="224"/>
    <x v="93"/>
    <s v="A231708"/>
    <x v="9"/>
    <n v="100"/>
    <n v="6500"/>
    <m/>
    <x v="3"/>
  </r>
  <r>
    <x v="224"/>
    <x v="331"/>
    <s v="A318055"/>
    <x v="8"/>
    <n v="25"/>
    <n v="2075"/>
    <m/>
    <x v="2"/>
  </r>
  <r>
    <x v="224"/>
    <x v="331"/>
    <s v="A318055"/>
    <x v="9"/>
    <n v="50"/>
    <n v="4150"/>
    <m/>
    <x v="2"/>
  </r>
  <r>
    <x v="224"/>
    <x v="331"/>
    <s v="A318055"/>
    <x v="11"/>
    <n v="10"/>
    <n v="830"/>
    <n v="871.5"/>
    <x v="2"/>
  </r>
  <r>
    <x v="224"/>
    <x v="331"/>
    <s v="A318055"/>
    <x v="0"/>
    <n v="5"/>
    <n v="415"/>
    <n v="435.75"/>
    <x v="2"/>
  </r>
  <r>
    <x v="224"/>
    <x v="156"/>
    <s v="A231705"/>
    <x v="7"/>
    <n v="25"/>
    <n v="1750"/>
    <m/>
    <x v="3"/>
  </r>
  <r>
    <x v="224"/>
    <x v="156"/>
    <s v="A231705"/>
    <x v="10"/>
    <n v="50"/>
    <n v="3500"/>
    <m/>
    <x v="3"/>
  </r>
  <r>
    <x v="224"/>
    <x v="156"/>
    <s v="A231705"/>
    <x v="9"/>
    <n v="50"/>
    <n v="3500"/>
    <m/>
    <x v="3"/>
  </r>
  <r>
    <x v="224"/>
    <x v="3"/>
    <s v="A232126"/>
    <x v="7"/>
    <n v="135"/>
    <n v="12825"/>
    <m/>
    <x v="3"/>
  </r>
  <r>
    <x v="224"/>
    <x v="3"/>
    <s v="A232126"/>
    <x v="10"/>
    <n v="100"/>
    <n v="9500"/>
    <m/>
    <x v="3"/>
  </r>
  <r>
    <x v="224"/>
    <x v="16"/>
    <s v="A241225"/>
    <x v="7"/>
    <n v="25"/>
    <n v="1375"/>
    <m/>
    <x v="3"/>
  </r>
  <r>
    <x v="224"/>
    <x v="275"/>
    <s v="A271087"/>
    <x v="11"/>
    <n v="10"/>
    <n v="800"/>
    <n v="840"/>
    <x v="3"/>
  </r>
  <r>
    <x v="224"/>
    <x v="53"/>
    <s v="A249179"/>
    <x v="8"/>
    <n v="25"/>
    <n v="2125"/>
    <m/>
    <x v="3"/>
  </r>
  <r>
    <x v="224"/>
    <x v="53"/>
    <s v="A249179"/>
    <x v="9"/>
    <n v="25"/>
    <n v="2125"/>
    <m/>
    <x v="3"/>
  </r>
  <r>
    <x v="224"/>
    <x v="53"/>
    <s v="A249179"/>
    <x v="1"/>
    <n v="25"/>
    <n v="2125"/>
    <n v="2231.25"/>
    <x v="3"/>
  </r>
  <r>
    <x v="224"/>
    <x v="53"/>
    <s v="A249179"/>
    <x v="2"/>
    <n v="25"/>
    <n v="2125"/>
    <n v="2231.25"/>
    <x v="3"/>
  </r>
  <r>
    <x v="224"/>
    <x v="870"/>
    <m/>
    <x v="11"/>
    <n v="96"/>
    <n v="10310"/>
    <n v="10825.5"/>
    <x v="3"/>
  </r>
  <r>
    <x v="224"/>
    <x v="94"/>
    <s v="A339929"/>
    <x v="1"/>
    <n v="25"/>
    <n v="2000"/>
    <n v="2100"/>
    <x v="3"/>
  </r>
  <r>
    <x v="224"/>
    <x v="871"/>
    <s v="A292908"/>
    <x v="8"/>
    <n v="25"/>
    <n v="3000"/>
    <m/>
    <x v="3"/>
  </r>
  <r>
    <x v="224"/>
    <x v="871"/>
    <s v="A292908"/>
    <x v="9"/>
    <n v="25"/>
    <n v="3000"/>
    <m/>
    <x v="3"/>
  </r>
  <r>
    <x v="224"/>
    <x v="871"/>
    <s v="A292908"/>
    <x v="1"/>
    <n v="16"/>
    <n v="1920"/>
    <n v="2016"/>
    <x v="3"/>
  </r>
  <r>
    <x v="224"/>
    <x v="871"/>
    <s v="A292908"/>
    <x v="2"/>
    <n v="25"/>
    <n v="3000"/>
    <n v="3150"/>
    <x v="3"/>
  </r>
  <r>
    <x v="224"/>
    <x v="455"/>
    <s v="A408570"/>
    <x v="11"/>
    <n v="50"/>
    <n v="4000"/>
    <n v="4200"/>
    <x v="3"/>
  </r>
  <r>
    <x v="224"/>
    <x v="30"/>
    <s v="A233444"/>
    <x v="7"/>
    <n v="67.2"/>
    <n v="4032"/>
    <m/>
    <x v="3"/>
  </r>
  <r>
    <x v="224"/>
    <x v="30"/>
    <s v="A233444"/>
    <x v="10"/>
    <n v="75"/>
    <n v="4500"/>
    <m/>
    <x v="3"/>
  </r>
  <r>
    <x v="224"/>
    <x v="30"/>
    <s v="A233444"/>
    <x v="8"/>
    <n v="100"/>
    <n v="6000"/>
    <m/>
    <x v="3"/>
  </r>
  <r>
    <x v="224"/>
    <x v="30"/>
    <s v="A233444"/>
    <x v="9"/>
    <n v="50"/>
    <n v="3000"/>
    <m/>
    <x v="3"/>
  </r>
  <r>
    <x v="224"/>
    <x v="30"/>
    <s v="A233444"/>
    <x v="1"/>
    <n v="50"/>
    <n v="3000"/>
    <n v="3150"/>
    <x v="3"/>
  </r>
  <r>
    <x v="224"/>
    <x v="549"/>
    <s v="A404441"/>
    <x v="11"/>
    <n v="100"/>
    <n v="7500"/>
    <n v="7875"/>
    <x v="5"/>
  </r>
  <r>
    <x v="224"/>
    <x v="549"/>
    <s v="A404441"/>
    <x v="0"/>
    <n v="50"/>
    <n v="3750"/>
    <n v="3937.5"/>
    <x v="5"/>
  </r>
  <r>
    <x v="224"/>
    <x v="333"/>
    <s v="A317824"/>
    <x v="8"/>
    <n v="20"/>
    <n v="1460"/>
    <m/>
    <x v="3"/>
  </r>
  <r>
    <x v="224"/>
    <x v="333"/>
    <s v="A317824"/>
    <x v="1"/>
    <n v="25"/>
    <n v="1875"/>
    <n v="1968.75"/>
    <x v="3"/>
  </r>
  <r>
    <x v="224"/>
    <x v="333"/>
    <s v="A317824"/>
    <x v="2"/>
    <n v="50"/>
    <n v="3750"/>
    <n v="3937.5"/>
    <x v="3"/>
  </r>
  <r>
    <x v="224"/>
    <x v="333"/>
    <s v="A317824"/>
    <x v="11"/>
    <n v="75"/>
    <n v="5425"/>
    <n v="5696.25"/>
    <x v="3"/>
  </r>
  <r>
    <x v="224"/>
    <x v="293"/>
    <s v="A248825"/>
    <x v="7"/>
    <n v="50"/>
    <n v="3500"/>
    <m/>
    <x v="3"/>
  </r>
  <r>
    <x v="224"/>
    <x v="293"/>
    <s v="A248825"/>
    <x v="10"/>
    <n v="75"/>
    <n v="5250"/>
    <m/>
    <x v="3"/>
  </r>
  <r>
    <x v="224"/>
    <x v="293"/>
    <s v="A248825"/>
    <x v="8"/>
    <n v="75"/>
    <n v="5250"/>
    <m/>
    <x v="3"/>
  </r>
  <r>
    <x v="224"/>
    <x v="293"/>
    <s v="A248825"/>
    <x v="9"/>
    <n v="50"/>
    <n v="3500"/>
    <m/>
    <x v="3"/>
  </r>
  <r>
    <x v="224"/>
    <x v="293"/>
    <s v="A248825"/>
    <x v="1"/>
    <n v="25"/>
    <n v="1750"/>
    <n v="1837.5"/>
    <x v="3"/>
  </r>
  <r>
    <x v="224"/>
    <x v="9"/>
    <s v="A234248"/>
    <x v="8"/>
    <n v="5"/>
    <n v="450"/>
    <m/>
    <x v="3"/>
  </r>
  <r>
    <x v="224"/>
    <x v="9"/>
    <s v="A234248"/>
    <x v="11"/>
    <n v="5"/>
    <n v="350"/>
    <n v="367.5"/>
    <x v="3"/>
  </r>
  <r>
    <x v="224"/>
    <x v="177"/>
    <s v="A292781"/>
    <x v="7"/>
    <n v="25"/>
    <n v="2125"/>
    <m/>
    <x v="3"/>
  </r>
  <r>
    <x v="224"/>
    <x v="177"/>
    <s v="A292781"/>
    <x v="10"/>
    <n v="25"/>
    <n v="2125"/>
    <m/>
    <x v="3"/>
  </r>
  <r>
    <x v="224"/>
    <x v="99"/>
    <s v="A282344"/>
    <x v="1"/>
    <n v="10"/>
    <n v="1200"/>
    <n v="1260"/>
    <x v="3"/>
  </r>
  <r>
    <x v="224"/>
    <x v="19"/>
    <s v="A233442"/>
    <x v="7"/>
    <n v="25"/>
    <n v="1625"/>
    <m/>
    <x v="3"/>
  </r>
  <r>
    <x v="224"/>
    <x v="34"/>
    <s v="A258696"/>
    <x v="2"/>
    <n v="15"/>
    <n v="1125"/>
    <n v="1181.25"/>
    <x v="5"/>
  </r>
  <r>
    <x v="224"/>
    <x v="34"/>
    <s v="A258696"/>
    <x v="0"/>
    <n v="25"/>
    <n v="1875"/>
    <n v="1968.75"/>
    <x v="5"/>
  </r>
  <r>
    <x v="224"/>
    <x v="103"/>
    <s v="A299996"/>
    <x v="10"/>
    <n v="10"/>
    <n v="880"/>
    <m/>
    <x v="3"/>
  </r>
  <r>
    <x v="224"/>
    <x v="103"/>
    <s v="A299996"/>
    <x v="8"/>
    <n v="25"/>
    <n v="2200"/>
    <m/>
    <x v="3"/>
  </r>
  <r>
    <x v="224"/>
    <x v="103"/>
    <s v="A299996"/>
    <x v="9"/>
    <n v="105"/>
    <n v="9240"/>
    <m/>
    <x v="3"/>
  </r>
  <r>
    <x v="224"/>
    <x v="103"/>
    <s v="A299996"/>
    <x v="1"/>
    <n v="50"/>
    <n v="4400"/>
    <n v="4620"/>
    <x v="3"/>
  </r>
  <r>
    <x v="224"/>
    <x v="347"/>
    <s v="A417703"/>
    <x v="11"/>
    <n v="25"/>
    <n v="2200"/>
    <n v="2310"/>
    <x v="2"/>
  </r>
  <r>
    <x v="224"/>
    <x v="347"/>
    <s v="A417703"/>
    <x v="0"/>
    <n v="25"/>
    <n v="2200"/>
    <n v="2310"/>
    <x v="2"/>
  </r>
  <r>
    <x v="224"/>
    <x v="872"/>
    <s v="A258815"/>
    <x v="8"/>
    <n v="24"/>
    <n v="2640"/>
    <m/>
    <x v="3"/>
  </r>
  <r>
    <x v="225"/>
    <x v="51"/>
    <s v="A298567"/>
    <x v="0"/>
    <n v="5"/>
    <n v="275"/>
    <n v="288.75"/>
    <x v="3"/>
  </r>
  <r>
    <x v="226"/>
    <x v="6"/>
    <s v="A270578"/>
    <x v="9"/>
    <n v="50"/>
    <n v="2750"/>
    <m/>
    <x v="3"/>
  </r>
  <r>
    <x v="227"/>
    <x v="353"/>
    <s v="A241990"/>
    <x v="8"/>
    <n v="114"/>
    <n v="6270"/>
    <m/>
    <x v="3"/>
  </r>
  <r>
    <x v="227"/>
    <x v="353"/>
    <s v="A241990"/>
    <x v="9"/>
    <n v="50"/>
    <n v="2750"/>
    <m/>
    <x v="3"/>
  </r>
  <r>
    <x v="227"/>
    <x v="325"/>
    <s v="A320111"/>
    <x v="8"/>
    <n v="25"/>
    <n v="2050"/>
    <m/>
    <x v="3"/>
  </r>
  <r>
    <x v="227"/>
    <x v="325"/>
    <s v="A320111"/>
    <x v="9"/>
    <n v="50"/>
    <n v="4100"/>
    <m/>
    <x v="3"/>
  </r>
  <r>
    <x v="227"/>
    <x v="394"/>
    <s v="A242640"/>
    <x v="8"/>
    <n v="300"/>
    <n v="12000"/>
    <m/>
    <x v="3"/>
  </r>
  <r>
    <x v="227"/>
    <x v="708"/>
    <s v="A337724"/>
    <x v="8"/>
    <n v="100"/>
    <n v="5500"/>
    <m/>
    <x v="3"/>
  </r>
  <r>
    <x v="227"/>
    <x v="708"/>
    <s v="A337724"/>
    <x v="9"/>
    <n v="200"/>
    <n v="11000"/>
    <m/>
    <x v="3"/>
  </r>
  <r>
    <x v="228"/>
    <x v="260"/>
    <s v="A305591"/>
    <x v="11"/>
    <n v="1"/>
    <n v="200"/>
    <n v="210"/>
    <x v="3"/>
  </r>
  <r>
    <x v="228"/>
    <x v="202"/>
    <s v="A418088"/>
    <x v="11"/>
    <n v="1"/>
    <n v="180"/>
    <n v="189"/>
    <x v="3"/>
  </r>
  <r>
    <x v="228"/>
    <x v="578"/>
    <s v="A283876"/>
    <x v="11"/>
    <n v="1"/>
    <n v="200"/>
    <n v="210"/>
    <x v="3"/>
  </r>
  <r>
    <x v="228"/>
    <x v="422"/>
    <s v="A294408"/>
    <x v="11"/>
    <n v="1"/>
    <n v="190"/>
    <n v="199.5"/>
    <x v="3"/>
  </r>
  <r>
    <x v="229"/>
    <x v="873"/>
    <m/>
    <x v="8"/>
    <n v="400"/>
    <n v="4800"/>
    <m/>
    <x v="3"/>
  </r>
  <r>
    <x v="229"/>
    <x v="819"/>
    <m/>
    <x v="8"/>
    <n v="25"/>
    <n v="1875"/>
    <m/>
    <x v="3"/>
  </r>
  <r>
    <x v="229"/>
    <x v="597"/>
    <s v="A299986"/>
    <x v="10"/>
    <n v="75"/>
    <n v="6375"/>
    <m/>
    <x v="3"/>
  </r>
  <r>
    <x v="229"/>
    <x v="597"/>
    <s v="A299986"/>
    <x v="8"/>
    <n v="150"/>
    <n v="12750"/>
    <m/>
    <x v="3"/>
  </r>
  <r>
    <x v="229"/>
    <x v="321"/>
    <s v="A293451"/>
    <x v="9"/>
    <n v="50"/>
    <n v="4500"/>
    <m/>
    <x v="3"/>
  </r>
  <r>
    <x v="229"/>
    <x v="353"/>
    <s v="A241990"/>
    <x v="8"/>
    <n v="25"/>
    <n v="2250"/>
    <m/>
    <x v="3"/>
  </r>
  <r>
    <x v="229"/>
    <x v="874"/>
    <m/>
    <x v="8"/>
    <n v="100"/>
    <n v="8000"/>
    <m/>
    <x v="3"/>
  </r>
  <r>
    <x v="229"/>
    <x v="7"/>
    <m/>
    <x v="10"/>
    <n v="20"/>
    <n v="10000"/>
    <m/>
    <x v="3"/>
  </r>
  <r>
    <x v="229"/>
    <x v="7"/>
    <m/>
    <x v="8"/>
    <n v="40"/>
    <n v="20000"/>
    <m/>
    <x v="3"/>
  </r>
  <r>
    <x v="229"/>
    <x v="875"/>
    <m/>
    <x v="8"/>
    <n v="100"/>
    <n v="35000"/>
    <m/>
    <x v="3"/>
  </r>
  <r>
    <x v="229"/>
    <x v="876"/>
    <m/>
    <x v="8"/>
    <n v="400"/>
    <n v="4800"/>
    <m/>
    <x v="3"/>
  </r>
  <r>
    <x v="229"/>
    <x v="3"/>
    <s v="A236167"/>
    <x v="8"/>
    <n v="25"/>
    <n v="2375"/>
    <m/>
    <x v="3"/>
  </r>
  <r>
    <x v="229"/>
    <x v="141"/>
    <s v="A249778"/>
    <x v="7"/>
    <n v="25"/>
    <n v="2375"/>
    <m/>
    <x v="3"/>
  </r>
  <r>
    <x v="229"/>
    <x v="16"/>
    <s v="A241225"/>
    <x v="7"/>
    <n v="25"/>
    <n v="1875"/>
    <m/>
    <x v="3"/>
  </r>
  <r>
    <x v="229"/>
    <x v="16"/>
    <s v="A241225"/>
    <x v="10"/>
    <n v="25"/>
    <n v="1875"/>
    <m/>
    <x v="3"/>
  </r>
  <r>
    <x v="229"/>
    <x v="377"/>
    <s v="A248596"/>
    <x v="10"/>
    <n v="50"/>
    <n v="4250"/>
    <m/>
    <x v="3"/>
  </r>
  <r>
    <x v="229"/>
    <x v="377"/>
    <s v="A248596"/>
    <x v="8"/>
    <n v="75"/>
    <n v="6375"/>
    <m/>
    <x v="3"/>
  </r>
  <r>
    <x v="229"/>
    <x v="877"/>
    <s v="A273911"/>
    <x v="8"/>
    <n v="125"/>
    <n v="11875"/>
    <m/>
    <x v="3"/>
  </r>
  <r>
    <x v="229"/>
    <x v="228"/>
    <s v="A306319"/>
    <x v="8"/>
    <n v="75"/>
    <n v="6750"/>
    <m/>
    <x v="3"/>
  </r>
  <r>
    <x v="229"/>
    <x v="712"/>
    <s v="A246165"/>
    <x v="8"/>
    <n v="75"/>
    <n v="7500"/>
    <m/>
    <x v="3"/>
  </r>
  <r>
    <x v="229"/>
    <x v="878"/>
    <s v="A325874"/>
    <x v="8"/>
    <n v="50"/>
    <n v="4250"/>
    <m/>
    <x v="3"/>
  </r>
  <r>
    <x v="229"/>
    <x v="18"/>
    <m/>
    <x v="10"/>
    <n v="20"/>
    <n v="2000"/>
    <m/>
    <x v="3"/>
  </r>
  <r>
    <x v="229"/>
    <x v="18"/>
    <m/>
    <x v="8"/>
    <n v="120"/>
    <n v="12000"/>
    <m/>
    <x v="3"/>
  </r>
  <r>
    <x v="229"/>
    <x v="18"/>
    <m/>
    <x v="9"/>
    <n v="40"/>
    <n v="4000"/>
    <m/>
    <x v="3"/>
  </r>
  <r>
    <x v="229"/>
    <x v="123"/>
    <m/>
    <x v="10"/>
    <n v="20"/>
    <n v="1800"/>
    <m/>
    <x v="3"/>
  </r>
  <r>
    <x v="229"/>
    <x v="10"/>
    <m/>
    <x v="7"/>
    <n v="20"/>
    <n v="1800"/>
    <m/>
    <x v="3"/>
  </r>
  <r>
    <x v="229"/>
    <x v="10"/>
    <m/>
    <x v="10"/>
    <n v="40"/>
    <n v="3600"/>
    <m/>
    <x v="3"/>
  </r>
  <r>
    <x v="229"/>
    <x v="10"/>
    <m/>
    <x v="8"/>
    <n v="80"/>
    <n v="7200"/>
    <m/>
    <x v="3"/>
  </r>
  <r>
    <x v="230"/>
    <x v="184"/>
    <s v="A299984"/>
    <x v="10"/>
    <n v="50"/>
    <n v="4750"/>
    <m/>
    <x v="3"/>
  </r>
  <r>
    <x v="230"/>
    <x v="184"/>
    <s v="A299984"/>
    <x v="9"/>
    <n v="25"/>
    <n v="1875"/>
    <m/>
    <x v="3"/>
  </r>
  <r>
    <x v="231"/>
    <x v="233"/>
    <m/>
    <x v="2"/>
    <n v="1"/>
    <n v="78"/>
    <n v="81.900000000000006"/>
    <x v="2"/>
  </r>
  <r>
    <x v="231"/>
    <x v="233"/>
    <m/>
    <x v="0"/>
    <n v="1"/>
    <n v="78"/>
    <n v="81.900000000000006"/>
    <x v="2"/>
  </r>
  <r>
    <x v="231"/>
    <x v="236"/>
    <m/>
    <x v="10"/>
    <n v="5"/>
    <n v="475"/>
    <m/>
    <x v="3"/>
  </r>
  <r>
    <x v="231"/>
    <x v="236"/>
    <m/>
    <x v="8"/>
    <n v="5"/>
    <n v="475"/>
    <m/>
    <x v="3"/>
  </r>
  <r>
    <x v="231"/>
    <x v="326"/>
    <s v="A260799"/>
    <x v="11"/>
    <n v="25"/>
    <n v="1400"/>
    <n v="1400"/>
    <x v="3"/>
  </r>
  <r>
    <x v="231"/>
    <x v="331"/>
    <s v="A318055"/>
    <x v="9"/>
    <n v="590"/>
    <n v="810552"/>
    <m/>
    <x v="1"/>
  </r>
  <r>
    <x v="231"/>
    <x v="331"/>
    <s v="A318055"/>
    <x v="1"/>
    <n v="300"/>
    <n v="23400"/>
    <n v="24570"/>
    <x v="1"/>
  </r>
  <r>
    <x v="231"/>
    <x v="331"/>
    <s v="A318055"/>
    <x v="2"/>
    <n v="475"/>
    <n v="36700"/>
    <n v="38535"/>
    <x v="1"/>
  </r>
  <r>
    <x v="231"/>
    <x v="331"/>
    <s v="A318055"/>
    <x v="11"/>
    <n v="200"/>
    <n v="15400"/>
    <n v="16170"/>
    <x v="1"/>
  </r>
  <r>
    <x v="231"/>
    <x v="331"/>
    <s v="A318055"/>
    <x v="0"/>
    <n v="125"/>
    <n v="9625"/>
    <n v="10106.25"/>
    <x v="1"/>
  </r>
  <r>
    <x v="231"/>
    <x v="275"/>
    <s v="A271087"/>
    <x v="2"/>
    <n v="5"/>
    <n v="390"/>
    <n v="409.5"/>
    <x v="3"/>
  </r>
  <r>
    <x v="231"/>
    <x v="4"/>
    <s v="A231709"/>
    <x v="9"/>
    <n v="5"/>
    <n v="340"/>
    <m/>
    <x v="3"/>
  </r>
  <r>
    <x v="231"/>
    <x v="494"/>
    <s v="A257810"/>
    <x v="9"/>
    <n v="19.8"/>
    <n v="1346.4"/>
    <m/>
    <x v="3"/>
  </r>
  <r>
    <x v="231"/>
    <x v="13"/>
    <m/>
    <x v="9"/>
    <n v="10"/>
    <n v="850"/>
    <m/>
    <x v="3"/>
  </r>
  <r>
    <x v="231"/>
    <x v="457"/>
    <s v="A271403"/>
    <x v="10"/>
    <n v="25"/>
    <n v="2050"/>
    <m/>
    <x v="3"/>
  </r>
  <r>
    <x v="231"/>
    <x v="457"/>
    <s v="A271403"/>
    <x v="1"/>
    <n v="15"/>
    <n v="1230"/>
    <n v="1291.5"/>
    <x v="3"/>
  </r>
  <r>
    <x v="231"/>
    <x v="457"/>
    <s v="A271403"/>
    <x v="2"/>
    <n v="25"/>
    <n v="2050"/>
    <n v="2152.5"/>
    <x v="3"/>
  </r>
  <r>
    <x v="231"/>
    <x v="879"/>
    <s v="A321239"/>
    <x v="10"/>
    <n v="25"/>
    <n v="2200"/>
    <m/>
    <x v="3"/>
  </r>
  <r>
    <x v="231"/>
    <x v="879"/>
    <s v="A321239"/>
    <x v="9"/>
    <n v="25"/>
    <n v="2200"/>
    <m/>
    <x v="3"/>
  </r>
  <r>
    <x v="231"/>
    <x v="879"/>
    <s v="A321239"/>
    <x v="1"/>
    <n v="25"/>
    <n v="2200"/>
    <n v="2310"/>
    <x v="3"/>
  </r>
  <r>
    <x v="231"/>
    <x v="879"/>
    <s v="A321239"/>
    <x v="2"/>
    <n v="25"/>
    <n v="2175"/>
    <n v="2283.75"/>
    <x v="3"/>
  </r>
  <r>
    <x v="231"/>
    <x v="880"/>
    <m/>
    <x v="8"/>
    <n v="10"/>
    <n v="850"/>
    <m/>
    <x v="2"/>
  </r>
  <r>
    <x v="231"/>
    <x v="880"/>
    <m/>
    <x v="9"/>
    <n v="20"/>
    <n v="1900"/>
    <m/>
    <x v="2"/>
  </r>
  <r>
    <x v="231"/>
    <x v="880"/>
    <m/>
    <x v="1"/>
    <n v="20"/>
    <n v="1900"/>
    <n v="1995"/>
    <x v="2"/>
  </r>
  <r>
    <x v="231"/>
    <x v="880"/>
    <m/>
    <x v="2"/>
    <n v="40"/>
    <n v="3950"/>
    <n v="4147.5"/>
    <x v="2"/>
  </r>
  <r>
    <x v="231"/>
    <x v="880"/>
    <m/>
    <x v="11"/>
    <n v="20"/>
    <n v="1500"/>
    <n v="1575"/>
    <x v="2"/>
  </r>
  <r>
    <x v="231"/>
    <x v="880"/>
    <m/>
    <x v="0"/>
    <n v="12"/>
    <n v="900"/>
    <n v="945"/>
    <x v="2"/>
  </r>
  <r>
    <x v="232"/>
    <x v="881"/>
    <m/>
    <x v="11"/>
    <n v="1"/>
    <n v="100"/>
    <n v="100"/>
    <x v="3"/>
  </r>
  <r>
    <x v="232"/>
    <x v="11"/>
    <m/>
    <x v="11"/>
    <n v="55"/>
    <n v="4150"/>
    <n v="4150"/>
    <x v="3"/>
  </r>
  <r>
    <x v="232"/>
    <x v="233"/>
    <m/>
    <x v="11"/>
    <n v="25"/>
    <n v="1905"/>
    <n v="2000.25"/>
    <x v="3"/>
  </r>
  <r>
    <x v="232"/>
    <x v="882"/>
    <m/>
    <x v="0"/>
    <n v="75"/>
    <n v="3750"/>
    <n v="3750"/>
    <x v="61"/>
  </r>
  <r>
    <x v="232"/>
    <x v="277"/>
    <m/>
    <x v="11"/>
    <n v="100"/>
    <n v="5500"/>
    <n v="5500"/>
    <x v="3"/>
  </r>
  <r>
    <x v="232"/>
    <x v="812"/>
    <s v="A235573"/>
    <x v="2"/>
    <n v="150"/>
    <n v="7440"/>
    <n v="7812"/>
    <x v="3"/>
  </r>
  <r>
    <x v="232"/>
    <x v="12"/>
    <m/>
    <x v="0"/>
    <n v="1"/>
    <n v="85"/>
    <n v="85"/>
    <x v="3"/>
  </r>
  <r>
    <x v="232"/>
    <x v="241"/>
    <s v="A401495"/>
    <x v="2"/>
    <n v="25"/>
    <n v="1000"/>
    <n v="1050"/>
    <x v="3"/>
  </r>
  <r>
    <x v="232"/>
    <x v="241"/>
    <s v="A401495"/>
    <x v="11"/>
    <n v="85"/>
    <n v="3300"/>
    <n v="3300"/>
    <x v="3"/>
  </r>
  <r>
    <x v="232"/>
    <x v="241"/>
    <s v="A401495"/>
    <x v="0"/>
    <n v="50"/>
    <n v="2500"/>
    <n v="2500"/>
    <x v="3"/>
  </r>
  <r>
    <x v="232"/>
    <x v="343"/>
    <s v="A257810"/>
    <x v="11"/>
    <n v="25"/>
    <n v="1000"/>
    <n v="1000"/>
    <x v="5"/>
  </r>
  <r>
    <x v="232"/>
    <x v="343"/>
    <s v="A257810"/>
    <x v="0"/>
    <n v="75"/>
    <n v="3000"/>
    <n v="3000"/>
    <x v="5"/>
  </r>
  <r>
    <x v="232"/>
    <x v="883"/>
    <m/>
    <x v="0"/>
    <n v="25"/>
    <n v="1250"/>
    <n v="1250"/>
    <x v="62"/>
  </r>
  <r>
    <x v="232"/>
    <x v="51"/>
    <s v="A298567"/>
    <x v="0"/>
    <n v="25"/>
    <n v="1250"/>
    <n v="1250"/>
    <x v="63"/>
  </r>
  <r>
    <x v="232"/>
    <x v="454"/>
    <s v="P781985"/>
    <x v="2"/>
    <n v="50"/>
    <n v="2380"/>
    <n v="2499"/>
    <x v="3"/>
  </r>
  <r>
    <x v="232"/>
    <x v="304"/>
    <s v="A271046"/>
    <x v="11"/>
    <n v="25"/>
    <n v="1400"/>
    <n v="1400"/>
    <x v="3"/>
  </r>
  <r>
    <x v="232"/>
    <x v="14"/>
    <m/>
    <x v="11"/>
    <n v="31"/>
    <n v="2010"/>
    <n v="2010"/>
    <x v="2"/>
  </r>
  <r>
    <x v="232"/>
    <x v="14"/>
    <m/>
    <x v="0"/>
    <n v="1"/>
    <n v="70"/>
    <n v="70"/>
    <x v="2"/>
  </r>
  <r>
    <x v="233"/>
    <x v="238"/>
    <m/>
    <x v="1"/>
    <n v="1"/>
    <n v="150"/>
    <n v="157.5"/>
    <x v="3"/>
  </r>
  <r>
    <x v="234"/>
    <x v="6"/>
    <s v="A270578"/>
    <x v="9"/>
    <n v="25"/>
    <n v="1750"/>
    <m/>
    <x v="3"/>
  </r>
  <r>
    <x v="235"/>
    <x v="5"/>
    <s v="A249720"/>
    <x v="10"/>
    <n v="50"/>
    <n v="4750"/>
    <m/>
    <x v="3"/>
  </r>
  <r>
    <x v="235"/>
    <x v="15"/>
    <m/>
    <x v="7"/>
    <n v="20"/>
    <n v="6200"/>
    <m/>
    <x v="3"/>
  </r>
  <r>
    <x v="235"/>
    <x v="15"/>
    <m/>
    <x v="10"/>
    <n v="113"/>
    <n v="35030"/>
    <m/>
    <x v="3"/>
  </r>
  <r>
    <x v="235"/>
    <x v="15"/>
    <m/>
    <x v="1"/>
    <n v="100"/>
    <n v="29500"/>
    <n v="30975"/>
    <x v="3"/>
  </r>
  <r>
    <x v="235"/>
    <x v="8"/>
    <m/>
    <x v="1"/>
    <n v="41"/>
    <n v="16810"/>
    <n v="17650.5"/>
    <x v="3"/>
  </r>
  <r>
    <x v="235"/>
    <x v="386"/>
    <m/>
    <x v="7"/>
    <n v="9"/>
    <n v="4410"/>
    <m/>
    <x v="3"/>
  </r>
  <r>
    <x v="235"/>
    <x v="386"/>
    <m/>
    <x v="10"/>
    <n v="172"/>
    <n v="83680"/>
    <m/>
    <x v="3"/>
  </r>
  <r>
    <x v="235"/>
    <x v="386"/>
    <m/>
    <x v="8"/>
    <n v="80"/>
    <n v="38400"/>
    <m/>
    <x v="3"/>
  </r>
  <r>
    <x v="235"/>
    <x v="386"/>
    <m/>
    <x v="9"/>
    <n v="50"/>
    <n v="21250"/>
    <m/>
    <x v="3"/>
  </r>
  <r>
    <x v="235"/>
    <x v="386"/>
    <m/>
    <x v="1"/>
    <n v="39"/>
    <n v="15990"/>
    <n v="16789.5"/>
    <x v="3"/>
  </r>
  <r>
    <x v="235"/>
    <x v="16"/>
    <s v="A242640"/>
    <x v="10"/>
    <n v="100"/>
    <n v="6000"/>
    <m/>
    <x v="3"/>
  </r>
  <r>
    <x v="235"/>
    <x v="16"/>
    <s v="A241225"/>
    <x v="8"/>
    <n v="125"/>
    <n v="7250"/>
    <m/>
    <x v="3"/>
  </r>
  <r>
    <x v="235"/>
    <x v="16"/>
    <s v="A242640"/>
    <x v="8"/>
    <n v="100"/>
    <n v="5850"/>
    <m/>
    <x v="3"/>
  </r>
  <r>
    <x v="235"/>
    <x v="51"/>
    <s v="A298567"/>
    <x v="1"/>
    <n v="200"/>
    <n v="11000"/>
    <n v="11550"/>
    <x v="3"/>
  </r>
  <r>
    <x v="235"/>
    <x v="416"/>
    <m/>
    <x v="8"/>
    <n v="80"/>
    <n v="28000"/>
    <m/>
    <x v="3"/>
  </r>
  <r>
    <x v="235"/>
    <x v="416"/>
    <m/>
    <x v="9"/>
    <n v="185"/>
    <n v="55500"/>
    <m/>
    <x v="3"/>
  </r>
  <r>
    <x v="235"/>
    <x v="416"/>
    <m/>
    <x v="1"/>
    <n v="25"/>
    <n v="8500"/>
    <n v="8925"/>
    <x v="3"/>
  </r>
  <r>
    <x v="235"/>
    <x v="228"/>
    <s v="A306319"/>
    <x v="9"/>
    <n v="150"/>
    <n v="9750"/>
    <m/>
    <x v="3"/>
  </r>
  <r>
    <x v="235"/>
    <x v="18"/>
    <m/>
    <x v="10"/>
    <n v="1100"/>
    <n v="99000"/>
    <m/>
    <x v="3"/>
  </r>
  <r>
    <x v="235"/>
    <x v="432"/>
    <m/>
    <x v="7"/>
    <n v="60"/>
    <n v="5400"/>
    <m/>
    <x v="3"/>
  </r>
  <r>
    <x v="235"/>
    <x v="432"/>
    <m/>
    <x v="10"/>
    <n v="580"/>
    <n v="52200"/>
    <m/>
    <x v="3"/>
  </r>
  <r>
    <x v="235"/>
    <x v="432"/>
    <m/>
    <x v="8"/>
    <n v="600"/>
    <n v="40800"/>
    <m/>
    <x v="3"/>
  </r>
  <r>
    <x v="235"/>
    <x v="432"/>
    <m/>
    <x v="9"/>
    <n v="740"/>
    <n v="48700"/>
    <m/>
    <x v="3"/>
  </r>
  <r>
    <x v="235"/>
    <x v="432"/>
    <m/>
    <x v="11"/>
    <n v="300"/>
    <n v="16500"/>
    <n v="17325"/>
    <x v="3"/>
  </r>
  <r>
    <x v="235"/>
    <x v="123"/>
    <m/>
    <x v="9"/>
    <n v="60"/>
    <n v="3900"/>
    <m/>
    <x v="3"/>
  </r>
  <r>
    <x v="235"/>
    <x v="10"/>
    <m/>
    <x v="10"/>
    <n v="480"/>
    <n v="42240"/>
    <m/>
    <x v="3"/>
  </r>
  <r>
    <x v="235"/>
    <x v="10"/>
    <m/>
    <x v="9"/>
    <n v="20"/>
    <n v="1360"/>
    <m/>
    <x v="3"/>
  </r>
  <r>
    <x v="235"/>
    <x v="10"/>
    <m/>
    <x v="1"/>
    <n v="60"/>
    <n v="4080"/>
    <n v="4284"/>
    <x v="3"/>
  </r>
  <r>
    <x v="235"/>
    <x v="10"/>
    <m/>
    <x v="11"/>
    <n v="100"/>
    <n v="5500"/>
    <n v="5775"/>
    <x v="3"/>
  </r>
  <r>
    <x v="235"/>
    <x v="19"/>
    <s v="A233442"/>
    <x v="5"/>
    <n v="150"/>
    <n v="12000"/>
    <m/>
    <x v="3"/>
  </r>
  <r>
    <x v="235"/>
    <x v="19"/>
    <s v="A233442"/>
    <x v="10"/>
    <n v="25"/>
    <n v="2000"/>
    <m/>
    <x v="3"/>
  </r>
  <r>
    <x v="236"/>
    <x v="221"/>
    <s v="A231076"/>
    <x v="12"/>
    <n v="200"/>
    <n v="8480"/>
    <m/>
    <x v="3"/>
  </r>
  <r>
    <x v="236"/>
    <x v="221"/>
    <s v="A231076"/>
    <x v="3"/>
    <n v="100"/>
    <n v="4416"/>
    <m/>
    <x v="3"/>
  </r>
  <r>
    <x v="236"/>
    <x v="221"/>
    <s v="A231076"/>
    <x v="4"/>
    <n v="450"/>
    <n v="28350"/>
    <m/>
    <x v="3"/>
  </r>
  <r>
    <x v="236"/>
    <x v="221"/>
    <s v="A231076"/>
    <x v="5"/>
    <n v="400"/>
    <n v="25800"/>
    <m/>
    <x v="3"/>
  </r>
  <r>
    <x v="236"/>
    <x v="221"/>
    <s v="A231076"/>
    <x v="6"/>
    <n v="200"/>
    <n v="12600"/>
    <m/>
    <x v="3"/>
  </r>
  <r>
    <x v="236"/>
    <x v="221"/>
    <s v="A231076"/>
    <x v="7"/>
    <n v="450"/>
    <n v="31050"/>
    <m/>
    <x v="3"/>
  </r>
  <r>
    <x v="236"/>
    <x v="221"/>
    <s v="A231076"/>
    <x v="10"/>
    <n v="150"/>
    <n v="10350"/>
    <m/>
    <x v="3"/>
  </r>
  <r>
    <x v="236"/>
    <x v="221"/>
    <s v="A231076"/>
    <x v="2"/>
    <n v="25"/>
    <n v="1375"/>
    <n v="1443.75"/>
    <x v="3"/>
  </r>
  <r>
    <x v="236"/>
    <x v="884"/>
    <s v="A248487"/>
    <x v="4"/>
    <n v="75"/>
    <n v="5850"/>
    <m/>
    <x v="3"/>
  </r>
  <r>
    <x v="236"/>
    <x v="6"/>
    <s v="A270578"/>
    <x v="5"/>
    <n v="350"/>
    <n v="19300"/>
    <m/>
    <x v="3"/>
  </r>
  <r>
    <x v="236"/>
    <x v="6"/>
    <s v="A270578"/>
    <x v="6"/>
    <n v="150"/>
    <n v="8700"/>
    <m/>
    <x v="3"/>
  </r>
  <r>
    <x v="236"/>
    <x v="6"/>
    <s v="A270578"/>
    <x v="7"/>
    <n v="100"/>
    <n v="6000"/>
    <m/>
    <x v="3"/>
  </r>
  <r>
    <x v="236"/>
    <x v="330"/>
    <s v="A324053"/>
    <x v="8"/>
    <n v="25"/>
    <n v="1950"/>
    <m/>
    <x v="3"/>
  </r>
  <r>
    <x v="236"/>
    <x v="289"/>
    <s v="A234285"/>
    <x v="11"/>
    <n v="10"/>
    <n v="750"/>
    <n v="787.5"/>
    <x v="3"/>
  </r>
  <r>
    <x v="236"/>
    <x v="30"/>
    <s v="A233444"/>
    <x v="6"/>
    <n v="50"/>
    <n v="3750"/>
    <m/>
    <x v="3"/>
  </r>
  <r>
    <x v="236"/>
    <x v="18"/>
    <m/>
    <x v="8"/>
    <n v="25"/>
    <n v="1950"/>
    <m/>
    <x v="3"/>
  </r>
  <r>
    <x v="236"/>
    <x v="18"/>
    <m/>
    <x v="2"/>
    <n v="20"/>
    <n v="1560"/>
    <n v="1638"/>
    <x v="3"/>
  </r>
  <r>
    <x v="236"/>
    <x v="18"/>
    <m/>
    <x v="11"/>
    <n v="50"/>
    <n v="3900"/>
    <n v="4095"/>
    <x v="3"/>
  </r>
  <r>
    <x v="236"/>
    <x v="123"/>
    <m/>
    <x v="4"/>
    <n v="40"/>
    <n v="3200"/>
    <m/>
    <x v="3"/>
  </r>
  <r>
    <x v="236"/>
    <x v="10"/>
    <m/>
    <x v="4"/>
    <n v="40"/>
    <n v="3200"/>
    <m/>
    <x v="3"/>
  </r>
  <r>
    <x v="236"/>
    <x v="433"/>
    <m/>
    <x v="9"/>
    <n v="10"/>
    <n v="800"/>
    <m/>
    <x v="3"/>
  </r>
  <r>
    <x v="236"/>
    <x v="19"/>
    <s v="A233442"/>
    <x v="8"/>
    <n v="25"/>
    <n v="1950"/>
    <m/>
    <x v="3"/>
  </r>
  <r>
    <x v="236"/>
    <x v="19"/>
    <s v="A233442"/>
    <x v="9"/>
    <n v="25"/>
    <n v="1750"/>
    <m/>
    <x v="3"/>
  </r>
  <r>
    <x v="236"/>
    <x v="19"/>
    <s v="A233442"/>
    <x v="1"/>
    <n v="25"/>
    <n v="1750"/>
    <n v="1837.5"/>
    <x v="3"/>
  </r>
  <r>
    <x v="237"/>
    <x v="659"/>
    <m/>
    <x v="1"/>
    <n v="20"/>
    <n v="5600"/>
    <m/>
    <x v="3"/>
  </r>
  <r>
    <x v="237"/>
    <x v="10"/>
    <m/>
    <x v="1"/>
    <n v="2"/>
    <n v="1600"/>
    <m/>
    <x v="3"/>
  </r>
  <r>
    <x v="238"/>
    <x v="321"/>
    <s v="A293451"/>
    <x v="9"/>
    <n v="75"/>
    <n v="7150"/>
    <m/>
    <x v="3"/>
  </r>
  <r>
    <x v="238"/>
    <x v="5"/>
    <s v="A249720"/>
    <x v="9"/>
    <n v="50"/>
    <n v="3750"/>
    <m/>
    <x v="3"/>
  </r>
  <r>
    <x v="238"/>
    <x v="6"/>
    <s v="A270578"/>
    <x v="0"/>
    <n v="50"/>
    <n v="2650"/>
    <n v="2782.5"/>
    <x v="64"/>
  </r>
  <r>
    <x v="238"/>
    <x v="6"/>
    <s v="A270578"/>
    <x v="0"/>
    <n v="150"/>
    <n v="7950"/>
    <n v="8347.5"/>
    <x v="65"/>
  </r>
  <r>
    <x v="238"/>
    <x v="374"/>
    <s v="P782894"/>
    <x v="0"/>
    <n v="1000"/>
    <n v="53000"/>
    <n v="55650"/>
    <x v="2"/>
  </r>
  <r>
    <x v="238"/>
    <x v="599"/>
    <m/>
    <x v="6"/>
    <n v="20"/>
    <n v="6400"/>
    <m/>
    <x v="3"/>
  </r>
  <r>
    <x v="238"/>
    <x v="885"/>
    <s v="A270578"/>
    <x v="8"/>
    <n v="50"/>
    <n v="4250"/>
    <m/>
    <x v="3"/>
  </r>
  <r>
    <x v="238"/>
    <x v="885"/>
    <s v="A270578"/>
    <x v="9"/>
    <n v="500"/>
    <n v="40250"/>
    <m/>
    <x v="3"/>
  </r>
  <r>
    <x v="238"/>
    <x v="885"/>
    <s v="A270578"/>
    <x v="1"/>
    <n v="1310"/>
    <n v="75878"/>
    <n v="79671.899999999994"/>
    <x v="3"/>
  </r>
  <r>
    <x v="238"/>
    <x v="885"/>
    <s v="A270578"/>
    <x v="2"/>
    <n v="600"/>
    <n v="31800"/>
    <n v="33390"/>
    <x v="3"/>
  </r>
  <r>
    <x v="238"/>
    <x v="93"/>
    <s v="A231708"/>
    <x v="2"/>
    <n v="100"/>
    <n v="6500"/>
    <n v="6825"/>
    <x v="3"/>
  </r>
  <r>
    <x v="238"/>
    <x v="350"/>
    <s v="A410392"/>
    <x v="11"/>
    <n v="550"/>
    <n v="35750"/>
    <n v="37537.5"/>
    <x v="66"/>
  </r>
  <r>
    <x v="238"/>
    <x v="350"/>
    <s v="A410392"/>
    <x v="0"/>
    <n v="200"/>
    <n v="13000"/>
    <n v="13650"/>
    <x v="66"/>
  </r>
  <r>
    <x v="238"/>
    <x v="377"/>
    <s v="A248596"/>
    <x v="10"/>
    <n v="75"/>
    <n v="6375"/>
    <m/>
    <x v="3"/>
  </r>
  <r>
    <x v="238"/>
    <x v="377"/>
    <s v="A248596"/>
    <x v="8"/>
    <n v="125"/>
    <n v="10625"/>
    <m/>
    <x v="3"/>
  </r>
  <r>
    <x v="238"/>
    <x v="231"/>
    <s v="A410391"/>
    <x v="11"/>
    <n v="350"/>
    <n v="18550"/>
    <n v="19477.5"/>
    <x v="3"/>
  </r>
  <r>
    <x v="238"/>
    <x v="231"/>
    <s v="A410391"/>
    <x v="0"/>
    <n v="150"/>
    <n v="7950"/>
    <n v="8347.5"/>
    <x v="3"/>
  </r>
  <r>
    <x v="238"/>
    <x v="9"/>
    <s v="A234248"/>
    <x v="11"/>
    <n v="100"/>
    <n v="5300"/>
    <n v="5565"/>
    <x v="3"/>
  </r>
  <r>
    <x v="238"/>
    <x v="177"/>
    <s v="A292781"/>
    <x v="1"/>
    <n v="25"/>
    <n v="1875"/>
    <n v="1968.75"/>
    <x v="3"/>
  </r>
  <r>
    <x v="238"/>
    <x v="18"/>
    <m/>
    <x v="10"/>
    <n v="20"/>
    <n v="1800"/>
    <m/>
    <x v="3"/>
  </r>
  <r>
    <x v="238"/>
    <x v="18"/>
    <m/>
    <x v="9"/>
    <n v="20"/>
    <n v="1800"/>
    <m/>
    <x v="3"/>
  </r>
  <r>
    <x v="238"/>
    <x v="388"/>
    <m/>
    <x v="6"/>
    <n v="20"/>
    <n v="1740"/>
    <m/>
    <x v="3"/>
  </r>
  <r>
    <x v="238"/>
    <x v="123"/>
    <m/>
    <x v="6"/>
    <n v="20"/>
    <n v="1700"/>
    <m/>
    <x v="3"/>
  </r>
  <r>
    <x v="238"/>
    <x v="123"/>
    <m/>
    <x v="10"/>
    <n v="20"/>
    <n v="1760"/>
    <m/>
    <x v="3"/>
  </r>
  <r>
    <x v="238"/>
    <x v="123"/>
    <m/>
    <x v="8"/>
    <n v="25"/>
    <n v="1760"/>
    <m/>
    <x v="3"/>
  </r>
  <r>
    <x v="238"/>
    <x v="10"/>
    <m/>
    <x v="6"/>
    <n v="40"/>
    <n v="3400"/>
    <m/>
    <x v="3"/>
  </r>
  <r>
    <x v="238"/>
    <x v="10"/>
    <m/>
    <x v="7"/>
    <n v="40"/>
    <n v="3500"/>
    <m/>
    <x v="3"/>
  </r>
  <r>
    <x v="238"/>
    <x v="10"/>
    <m/>
    <x v="10"/>
    <n v="20"/>
    <n v="1760"/>
    <m/>
    <x v="3"/>
  </r>
  <r>
    <x v="238"/>
    <x v="10"/>
    <m/>
    <x v="8"/>
    <n v="40"/>
    <n v="3520"/>
    <m/>
    <x v="3"/>
  </r>
  <r>
    <x v="238"/>
    <x v="10"/>
    <m/>
    <x v="9"/>
    <n v="100"/>
    <n v="7420"/>
    <m/>
    <x v="3"/>
  </r>
  <r>
    <x v="238"/>
    <x v="19"/>
    <s v="A233442"/>
    <x v="6"/>
    <n v="5"/>
    <n v="425"/>
    <m/>
    <x v="3"/>
  </r>
  <r>
    <x v="238"/>
    <x v="19"/>
    <s v="A233442"/>
    <x v="7"/>
    <n v="25"/>
    <n v="2125"/>
    <m/>
    <x v="3"/>
  </r>
  <r>
    <x v="238"/>
    <x v="19"/>
    <s v="A233442"/>
    <x v="8"/>
    <n v="5"/>
    <n v="425"/>
    <m/>
    <x v="3"/>
  </r>
  <r>
    <x v="238"/>
    <x v="19"/>
    <s v="A233442"/>
    <x v="9"/>
    <n v="25"/>
    <n v="2125"/>
    <m/>
    <x v="3"/>
  </r>
  <r>
    <x v="238"/>
    <x v="247"/>
    <s v="A402013"/>
    <x v="11"/>
    <n v="100"/>
    <n v="5300"/>
    <n v="5565"/>
    <x v="3"/>
  </r>
  <r>
    <x v="238"/>
    <x v="247"/>
    <s v="A402013"/>
    <x v="0"/>
    <n v="50"/>
    <n v="2650"/>
    <n v="2782.5"/>
    <x v="3"/>
  </r>
  <r>
    <x v="239"/>
    <x v="137"/>
    <s v="P21021"/>
    <x v="2"/>
    <n v="7"/>
    <n v="1400"/>
    <n v="1470"/>
    <x v="3"/>
  </r>
  <r>
    <x v="240"/>
    <x v="507"/>
    <s v="A233708"/>
    <x v="10"/>
    <n v="23"/>
    <n v="2500"/>
    <m/>
    <x v="3"/>
  </r>
  <r>
    <x v="241"/>
    <x v="177"/>
    <s v="A292781"/>
    <x v="10"/>
    <n v="50"/>
    <n v="4000"/>
    <m/>
    <x v="3"/>
  </r>
  <r>
    <x v="242"/>
    <x v="318"/>
    <s v="A302349"/>
    <x v="11"/>
    <n v="4"/>
    <n v="590"/>
    <n v="619.5"/>
    <x v="3"/>
  </r>
  <r>
    <x v="242"/>
    <x v="3"/>
    <s v="A337704"/>
    <x v="0"/>
    <n v="2"/>
    <n v="220"/>
    <n v="231"/>
    <x v="3"/>
  </r>
  <r>
    <x v="242"/>
    <x v="141"/>
    <s v="A249778"/>
    <x v="11"/>
    <n v="1"/>
    <n v="120"/>
    <n v="126"/>
    <x v="3"/>
  </r>
  <r>
    <x v="242"/>
    <x v="275"/>
    <s v="A271087"/>
    <x v="11"/>
    <n v="2"/>
    <n v="260"/>
    <n v="273"/>
    <x v="3"/>
  </r>
  <r>
    <x v="242"/>
    <x v="421"/>
    <s v="A243394"/>
    <x v="11"/>
    <n v="1"/>
    <n v="170"/>
    <n v="178.5"/>
    <x v="3"/>
  </r>
  <r>
    <x v="242"/>
    <x v="202"/>
    <s v="A417151"/>
    <x v="11"/>
    <n v="1"/>
    <n v="180"/>
    <n v="189"/>
    <x v="3"/>
  </r>
  <r>
    <x v="242"/>
    <x v="202"/>
    <s v="A418088"/>
    <x v="11"/>
    <n v="4"/>
    <n v="630"/>
    <n v="661.5"/>
    <x v="3"/>
  </r>
  <r>
    <x v="243"/>
    <x v="21"/>
    <s v="P08232"/>
    <x v="1"/>
    <n v="5"/>
    <n v="1000"/>
    <n v="1050"/>
    <x v="3"/>
  </r>
  <r>
    <x v="243"/>
    <x v="35"/>
    <s v="A245190"/>
    <x v="1"/>
    <n v="10"/>
    <n v="1800"/>
    <n v="1890"/>
    <x v="3"/>
  </r>
  <r>
    <x v="243"/>
    <x v="37"/>
    <s v="A295406"/>
    <x v="9"/>
    <n v="5"/>
    <n v="2500"/>
    <m/>
    <x v="3"/>
  </r>
  <r>
    <x v="243"/>
    <x v="864"/>
    <s v="P09430"/>
    <x v="1"/>
    <n v="10"/>
    <n v="1800"/>
    <n v="1890"/>
    <x v="3"/>
  </r>
  <r>
    <x v="243"/>
    <x v="281"/>
    <s v="A281164"/>
    <x v="9"/>
    <n v="15"/>
    <n v="1500"/>
    <m/>
    <x v="3"/>
  </r>
  <r>
    <x v="243"/>
    <x v="281"/>
    <s v="A281164"/>
    <x v="1"/>
    <n v="5"/>
    <n v="750"/>
    <n v="787.5"/>
    <x v="3"/>
  </r>
  <r>
    <x v="243"/>
    <x v="104"/>
    <s v="A235765"/>
    <x v="1"/>
    <n v="15"/>
    <n v="2625"/>
    <n v="2756.25"/>
    <x v="3"/>
  </r>
  <r>
    <x v="243"/>
    <x v="700"/>
    <s v="A261335"/>
    <x v="1"/>
    <n v="5"/>
    <n v="800"/>
    <n v="840"/>
    <x v="3"/>
  </r>
  <r>
    <x v="243"/>
    <x v="46"/>
    <s v="A234876"/>
    <x v="1"/>
    <n v="5"/>
    <n v="1000"/>
    <n v="1050"/>
    <x v="3"/>
  </r>
  <r>
    <x v="243"/>
    <x v="282"/>
    <s v="A343168"/>
    <x v="1"/>
    <n v="5"/>
    <n v="900"/>
    <n v="945"/>
    <x v="3"/>
  </r>
  <r>
    <x v="243"/>
    <x v="213"/>
    <s v="A272357"/>
    <x v="9"/>
    <n v="1"/>
    <n v="110"/>
    <m/>
    <x v="3"/>
  </r>
  <r>
    <x v="243"/>
    <x v="99"/>
    <s v="A282344"/>
    <x v="1"/>
    <n v="15"/>
    <n v="2550"/>
    <n v="2677.5"/>
    <x v="3"/>
  </r>
  <r>
    <x v="243"/>
    <x v="31"/>
    <s v="A349425"/>
    <x v="1"/>
    <n v="15"/>
    <n v="2400"/>
    <n v="2520"/>
    <x v="3"/>
  </r>
  <r>
    <x v="243"/>
    <x v="168"/>
    <s v="A295590"/>
    <x v="1"/>
    <n v="5"/>
    <n v="900"/>
    <n v="945"/>
    <x v="3"/>
  </r>
  <r>
    <x v="243"/>
    <x v="19"/>
    <s v="A233442"/>
    <x v="1"/>
    <n v="5"/>
    <n v="550"/>
    <n v="577.5"/>
    <x v="3"/>
  </r>
  <r>
    <x v="243"/>
    <x v="103"/>
    <s v="A299996"/>
    <x v="9"/>
    <n v="15"/>
    <n v="1425"/>
    <m/>
    <x v="3"/>
  </r>
  <r>
    <x v="243"/>
    <x v="103"/>
    <s v="A299996"/>
    <x v="1"/>
    <n v="10"/>
    <n v="1075"/>
    <n v="1128.75"/>
    <x v="3"/>
  </r>
  <r>
    <x v="243"/>
    <x v="843"/>
    <s v="A305993"/>
    <x v="1"/>
    <n v="5"/>
    <n v="750"/>
    <n v="787.5"/>
    <x v="3"/>
  </r>
  <r>
    <x v="244"/>
    <x v="562"/>
    <s v="A419375"/>
    <x v="11"/>
    <n v="2"/>
    <n v="160"/>
    <n v="168"/>
    <x v="6"/>
  </r>
  <r>
    <x v="244"/>
    <x v="562"/>
    <s v="A419375"/>
    <x v="0"/>
    <n v="6"/>
    <n v="480"/>
    <n v="480"/>
    <x v="6"/>
  </r>
  <r>
    <x v="244"/>
    <x v="269"/>
    <s v="A415790"/>
    <x v="11"/>
    <n v="2"/>
    <n v="150"/>
    <n v="157.5"/>
    <x v="3"/>
  </r>
  <r>
    <x v="244"/>
    <x v="318"/>
    <s v="A302349"/>
    <x v="11"/>
    <n v="2"/>
    <n v="160"/>
    <n v="168"/>
    <x v="3"/>
  </r>
  <r>
    <x v="244"/>
    <x v="353"/>
    <s v="A241990"/>
    <x v="11"/>
    <n v="2"/>
    <n v="160"/>
    <n v="168"/>
    <x v="3"/>
  </r>
  <r>
    <x v="244"/>
    <x v="323"/>
    <s v="A292785"/>
    <x v="11"/>
    <n v="2"/>
    <n v="160"/>
    <n v="168"/>
    <x v="3"/>
  </r>
  <r>
    <x v="244"/>
    <x v="271"/>
    <s v="A401493"/>
    <x v="11"/>
    <n v="2"/>
    <n v="160"/>
    <n v="168"/>
    <x v="3"/>
  </r>
  <r>
    <x v="244"/>
    <x v="701"/>
    <s v="A416429"/>
    <x v="11"/>
    <n v="2"/>
    <n v="160"/>
    <n v="168"/>
    <x v="3"/>
  </r>
  <r>
    <x v="244"/>
    <x v="25"/>
    <s v="A415883"/>
    <x v="11"/>
    <n v="15"/>
    <n v="1050"/>
    <n v="1102.5"/>
    <x v="3"/>
  </r>
  <r>
    <x v="244"/>
    <x v="822"/>
    <s v="A292853"/>
    <x v="11"/>
    <n v="1"/>
    <n v="70"/>
    <n v="73.5"/>
    <x v="3"/>
  </r>
  <r>
    <x v="244"/>
    <x v="328"/>
    <s v="A285349"/>
    <x v="11"/>
    <n v="2"/>
    <n v="180"/>
    <n v="189"/>
    <x v="3"/>
  </r>
  <r>
    <x v="244"/>
    <x v="886"/>
    <m/>
    <x v="11"/>
    <n v="16"/>
    <n v="1185"/>
    <n v="1244.25"/>
    <x v="67"/>
  </r>
  <r>
    <x v="244"/>
    <x v="886"/>
    <m/>
    <x v="0"/>
    <n v="1"/>
    <n v="90"/>
    <n v="90"/>
    <x v="67"/>
  </r>
  <r>
    <x v="244"/>
    <x v="94"/>
    <s v="A339929"/>
    <x v="0"/>
    <n v="4"/>
    <n v="320"/>
    <n v="320"/>
    <x v="2"/>
  </r>
  <r>
    <x v="244"/>
    <x v="816"/>
    <s v="A419009"/>
    <x v="11"/>
    <n v="16"/>
    <n v="1285"/>
    <n v="1349.25"/>
    <x v="3"/>
  </r>
  <r>
    <x v="244"/>
    <x v="202"/>
    <s v="A418088"/>
    <x v="11"/>
    <n v="2"/>
    <n v="360"/>
    <n v="378"/>
    <x v="3"/>
  </r>
  <r>
    <x v="244"/>
    <x v="202"/>
    <s v="A417151"/>
    <x v="0"/>
    <n v="1"/>
    <n v="180"/>
    <n v="180"/>
    <x v="2"/>
  </r>
  <r>
    <x v="244"/>
    <x v="247"/>
    <s v="A402013"/>
    <x v="11"/>
    <n v="5"/>
    <n v="325"/>
    <n v="341.25"/>
    <x v="2"/>
  </r>
  <r>
    <x v="244"/>
    <x v="247"/>
    <s v="A402013"/>
    <x v="0"/>
    <n v="5"/>
    <n v="325"/>
    <n v="325"/>
    <x v="2"/>
  </r>
  <r>
    <x v="244"/>
    <x v="383"/>
    <s v="A305994"/>
    <x v="11"/>
    <n v="10"/>
    <n v="800"/>
    <n v="840"/>
    <x v="2"/>
  </r>
  <r>
    <x v="244"/>
    <x v="383"/>
    <s v="A305994"/>
    <x v="0"/>
    <n v="3"/>
    <n v="240"/>
    <n v="240"/>
    <x v="2"/>
  </r>
  <r>
    <x v="244"/>
    <x v="79"/>
    <s v="A299988"/>
    <x v="11"/>
    <n v="2"/>
    <n v="170"/>
    <n v="178.5"/>
    <x v="3"/>
  </r>
  <r>
    <x v="245"/>
    <x v="99"/>
    <s v="A282344"/>
    <x v="10"/>
    <n v="5"/>
    <n v="1100"/>
    <m/>
    <x v="3"/>
  </r>
  <r>
    <x v="245"/>
    <x v="32"/>
    <s v="A295591"/>
    <x v="10"/>
    <n v="5"/>
    <n v="1225"/>
    <m/>
    <x v="3"/>
  </r>
  <r>
    <x v="245"/>
    <x v="169"/>
    <s v="A286824"/>
    <x v="10"/>
    <n v="5"/>
    <n v="900"/>
    <m/>
    <x v="3"/>
  </r>
  <r>
    <x v="246"/>
    <x v="317"/>
    <s v="A246212"/>
    <x v="11"/>
    <n v="10"/>
    <n v="700"/>
    <n v="735"/>
    <x v="1"/>
  </r>
  <r>
    <x v="246"/>
    <x v="317"/>
    <s v="A246212"/>
    <x v="0"/>
    <n v="25"/>
    <n v="1750"/>
    <n v="1837.5"/>
    <x v="1"/>
  </r>
  <r>
    <x v="246"/>
    <x v="269"/>
    <s v="A415790"/>
    <x v="0"/>
    <n v="25"/>
    <n v="1700"/>
    <n v="1785"/>
    <x v="1"/>
  </r>
  <r>
    <x v="246"/>
    <x v="319"/>
    <s v="A248264"/>
    <x v="11"/>
    <n v="10"/>
    <n v="600"/>
    <n v="630"/>
    <x v="3"/>
  </r>
  <r>
    <x v="246"/>
    <x v="320"/>
    <s v="A272788"/>
    <x v="11"/>
    <n v="5"/>
    <n v="375"/>
    <n v="393.75"/>
    <x v="3"/>
  </r>
  <r>
    <x v="246"/>
    <x v="323"/>
    <s v="A292785"/>
    <x v="11"/>
    <n v="10"/>
    <n v="600"/>
    <n v="630"/>
    <x v="3"/>
  </r>
  <r>
    <x v="246"/>
    <x v="271"/>
    <s v="A401493"/>
    <x v="11"/>
    <n v="5"/>
    <n v="600"/>
    <n v="630"/>
    <x v="3"/>
  </r>
  <r>
    <x v="246"/>
    <x v="328"/>
    <s v="A285349"/>
    <x v="11"/>
    <n v="25"/>
    <n v="1500"/>
    <n v="1575"/>
    <x v="3"/>
  </r>
  <r>
    <x v="246"/>
    <x v="887"/>
    <s v="A403195"/>
    <x v="11"/>
    <n v="10"/>
    <n v="600"/>
    <n v="630"/>
    <x v="2"/>
  </r>
  <r>
    <x v="246"/>
    <x v="887"/>
    <s v="A403195"/>
    <x v="0"/>
    <n v="25"/>
    <n v="1500"/>
    <n v="1575"/>
    <x v="2"/>
  </r>
  <r>
    <x v="246"/>
    <x v="350"/>
    <s v="A410392"/>
    <x v="11"/>
    <n v="25"/>
    <n v="1125"/>
    <n v="1181.25"/>
    <x v="3"/>
  </r>
  <r>
    <x v="246"/>
    <x v="331"/>
    <s v="A318055"/>
    <x v="11"/>
    <n v="10"/>
    <n v="700"/>
    <n v="735"/>
    <x v="3"/>
  </r>
  <r>
    <x v="246"/>
    <x v="559"/>
    <s v="A416951"/>
    <x v="11"/>
    <n v="5"/>
    <n v="300"/>
    <n v="315"/>
    <x v="3"/>
  </r>
  <r>
    <x v="246"/>
    <x v="141"/>
    <s v="A249778"/>
    <x v="11"/>
    <n v="10"/>
    <n v="600"/>
    <n v="630"/>
    <x v="3"/>
  </r>
  <r>
    <x v="246"/>
    <x v="94"/>
    <s v="A339929"/>
    <x v="11"/>
    <n v="10"/>
    <n v="600"/>
    <n v="630"/>
    <x v="2"/>
  </r>
  <r>
    <x v="246"/>
    <x v="94"/>
    <s v="A339929"/>
    <x v="0"/>
    <n v="25"/>
    <n v="1500"/>
    <n v="1575"/>
    <x v="2"/>
  </r>
  <r>
    <x v="246"/>
    <x v="292"/>
    <s v="A276839"/>
    <x v="0"/>
    <n v="25"/>
    <n v="1750"/>
    <n v="1837.5"/>
    <x v="1"/>
  </r>
  <r>
    <x v="246"/>
    <x v="333"/>
    <s v="A317824"/>
    <x v="11"/>
    <n v="1"/>
    <n v="65"/>
    <n v="68.25"/>
    <x v="3"/>
  </r>
  <r>
    <x v="246"/>
    <x v="34"/>
    <s v="A258696"/>
    <x v="11"/>
    <n v="10"/>
    <n v="600"/>
    <n v="630"/>
    <x v="3"/>
  </r>
  <r>
    <x v="246"/>
    <x v="346"/>
    <s v="A315997"/>
    <x v="11"/>
    <n v="1"/>
    <n v="110"/>
    <n v="115.5"/>
    <x v="3"/>
  </r>
  <r>
    <x v="246"/>
    <x v="347"/>
    <s v="A417703"/>
    <x v="11"/>
    <n v="10"/>
    <n v="700"/>
    <n v="735"/>
    <x v="3"/>
  </r>
  <r>
    <x v="247"/>
    <x v="88"/>
    <s v="A244191"/>
    <x v="8"/>
    <n v="25"/>
    <n v="1700"/>
    <m/>
    <x v="3"/>
  </r>
  <r>
    <x v="247"/>
    <x v="366"/>
    <s v="A238073"/>
    <x v="8"/>
    <n v="25"/>
    <n v="1750"/>
    <m/>
    <x v="3"/>
  </r>
  <r>
    <x v="247"/>
    <x v="888"/>
    <m/>
    <x v="8"/>
    <n v="23"/>
    <n v="1334"/>
    <m/>
    <x v="3"/>
  </r>
  <r>
    <x v="247"/>
    <x v="306"/>
    <s v="A244199"/>
    <x v="8"/>
    <n v="15"/>
    <n v="1200"/>
    <m/>
    <x v="3"/>
  </r>
  <r>
    <x v="247"/>
    <x v="889"/>
    <s v="R196888"/>
    <x v="5"/>
    <n v="20"/>
    <n v="1300"/>
    <m/>
    <x v="3"/>
  </r>
  <r>
    <x v="247"/>
    <x v="240"/>
    <s v="A230048"/>
    <x v="4"/>
    <n v="75"/>
    <n v="4575"/>
    <m/>
    <x v="3"/>
  </r>
  <r>
    <x v="247"/>
    <x v="240"/>
    <s v="A230048"/>
    <x v="5"/>
    <n v="50"/>
    <n v="3450"/>
    <m/>
    <x v="3"/>
  </r>
  <r>
    <x v="247"/>
    <x v="16"/>
    <s v="A241225"/>
    <x v="4"/>
    <n v="25"/>
    <n v="1500"/>
    <m/>
    <x v="3"/>
  </r>
  <r>
    <x v="247"/>
    <x v="293"/>
    <s v="A248825"/>
    <x v="8"/>
    <n v="15"/>
    <n v="975"/>
    <m/>
    <x v="3"/>
  </r>
  <r>
    <x v="247"/>
    <x v="19"/>
    <s v="A233442"/>
    <x v="4"/>
    <n v="25"/>
    <n v="1200"/>
    <m/>
    <x v="3"/>
  </r>
  <r>
    <x v="247"/>
    <x v="19"/>
    <s v="A233442"/>
    <x v="5"/>
    <n v="50"/>
    <n v="3000"/>
    <m/>
    <x v="3"/>
  </r>
  <r>
    <x v="248"/>
    <x v="247"/>
    <s v="A402013"/>
    <x v="2"/>
    <n v="7"/>
    <n v="560"/>
    <n v="588"/>
    <x v="3"/>
  </r>
  <r>
    <x v="249"/>
    <x v="15"/>
    <m/>
    <x v="1"/>
    <n v="2"/>
    <n v="600"/>
    <n v="630"/>
    <x v="3"/>
  </r>
  <r>
    <x v="249"/>
    <x v="15"/>
    <m/>
    <x v="11"/>
    <n v="40"/>
    <n v="9100"/>
    <n v="9555"/>
    <x v="3"/>
  </r>
  <r>
    <x v="249"/>
    <x v="890"/>
    <m/>
    <x v="1"/>
    <n v="19"/>
    <n v="4370"/>
    <n v="4588.5"/>
    <x v="3"/>
  </r>
  <r>
    <x v="250"/>
    <x v="88"/>
    <s v="A244191"/>
    <x v="1"/>
    <n v="25"/>
    <n v="2125"/>
    <n v="2231.25"/>
    <x v="3"/>
  </r>
  <r>
    <x v="250"/>
    <x v="891"/>
    <m/>
    <x v="3"/>
    <n v="200"/>
    <n v="8800"/>
    <m/>
    <x v="3"/>
  </r>
  <r>
    <x v="250"/>
    <x v="16"/>
    <s v="A241225"/>
    <x v="5"/>
    <n v="200"/>
    <n v="10800"/>
    <m/>
    <x v="3"/>
  </r>
  <r>
    <x v="250"/>
    <x v="16"/>
    <s v="A232425"/>
    <x v="8"/>
    <n v="150"/>
    <n v="12000"/>
    <m/>
    <x v="3"/>
  </r>
  <r>
    <x v="250"/>
    <x v="16"/>
    <s v="A232425"/>
    <x v="9"/>
    <n v="450"/>
    <n v="31500"/>
    <m/>
    <x v="3"/>
  </r>
  <r>
    <x v="250"/>
    <x v="17"/>
    <s v="A232425"/>
    <x v="12"/>
    <n v="100"/>
    <n v="6300"/>
    <m/>
    <x v="3"/>
  </r>
  <r>
    <x v="250"/>
    <x v="17"/>
    <s v="A232425"/>
    <x v="3"/>
    <n v="500"/>
    <n v="32250"/>
    <m/>
    <x v="3"/>
  </r>
  <r>
    <x v="250"/>
    <x v="17"/>
    <s v="A232425"/>
    <x v="6"/>
    <n v="320"/>
    <n v="22400"/>
    <m/>
    <x v="3"/>
  </r>
  <r>
    <x v="251"/>
    <x v="18"/>
    <m/>
    <x v="2"/>
    <n v="20"/>
    <n v="2000"/>
    <n v="2100"/>
    <x v="3"/>
  </r>
  <r>
    <x v="251"/>
    <x v="432"/>
    <m/>
    <x v="2"/>
    <n v="20"/>
    <n v="1800"/>
    <n v="1890"/>
    <x v="3"/>
  </r>
  <r>
    <x v="251"/>
    <x v="123"/>
    <m/>
    <x v="2"/>
    <n v="20"/>
    <n v="1800"/>
    <n v="1890"/>
    <x v="3"/>
  </r>
  <r>
    <x v="251"/>
    <x v="10"/>
    <m/>
    <x v="1"/>
    <n v="40"/>
    <n v="3400"/>
    <n v="3570"/>
    <x v="3"/>
  </r>
  <r>
    <x v="251"/>
    <x v="10"/>
    <m/>
    <x v="0"/>
    <n v="10"/>
    <n v="850"/>
    <n v="892.5"/>
    <x v="3"/>
  </r>
  <r>
    <x v="252"/>
    <x v="2"/>
    <s v="A295987"/>
    <x v="2"/>
    <n v="10"/>
    <n v="750"/>
    <n v="787.5"/>
    <x v="3"/>
  </r>
  <r>
    <x v="252"/>
    <x v="338"/>
    <s v="A338229"/>
    <x v="2"/>
    <n v="10"/>
    <n v="750"/>
    <n v="787.5"/>
    <x v="3"/>
  </r>
  <r>
    <x v="252"/>
    <x v="11"/>
    <m/>
    <x v="11"/>
    <n v="15"/>
    <n v="1425"/>
    <n v="1496.25"/>
    <x v="3"/>
  </r>
  <r>
    <x v="252"/>
    <x v="233"/>
    <m/>
    <x v="2"/>
    <n v="2"/>
    <n v="164"/>
    <n v="172.2"/>
    <x v="3"/>
  </r>
  <r>
    <x v="252"/>
    <x v="233"/>
    <m/>
    <x v="0"/>
    <n v="2"/>
    <n v="172"/>
    <n v="172"/>
    <x v="3"/>
  </r>
  <r>
    <x v="252"/>
    <x v="353"/>
    <s v="A241990"/>
    <x v="2"/>
    <n v="20"/>
    <n v="1540"/>
    <n v="1617"/>
    <x v="3"/>
  </r>
  <r>
    <x v="252"/>
    <x v="353"/>
    <s v="A241990"/>
    <x v="11"/>
    <n v="10"/>
    <n v="770"/>
    <n v="808.5"/>
    <x v="3"/>
  </r>
  <r>
    <x v="252"/>
    <x v="238"/>
    <m/>
    <x v="2"/>
    <n v="1"/>
    <n v="80"/>
    <n v="84"/>
    <x v="3"/>
  </r>
  <r>
    <x v="252"/>
    <x v="238"/>
    <m/>
    <x v="11"/>
    <n v="1"/>
    <n v="80"/>
    <n v="84"/>
    <x v="3"/>
  </r>
  <r>
    <x v="252"/>
    <x v="12"/>
    <m/>
    <x v="2"/>
    <n v="1"/>
    <n v="90"/>
    <n v="94.5"/>
    <x v="3"/>
  </r>
  <r>
    <x v="252"/>
    <x v="12"/>
    <m/>
    <x v="11"/>
    <n v="5"/>
    <n v="450"/>
    <n v="472.5"/>
    <x v="3"/>
  </r>
  <r>
    <x v="252"/>
    <x v="327"/>
    <m/>
    <x v="11"/>
    <n v="1"/>
    <n v="120"/>
    <n v="126"/>
    <x v="3"/>
  </r>
  <r>
    <x v="252"/>
    <x v="327"/>
    <m/>
    <x v="0"/>
    <n v="2"/>
    <n v="252"/>
    <n v="252"/>
    <x v="3"/>
  </r>
  <r>
    <x v="252"/>
    <x v="184"/>
    <s v="A299984"/>
    <x v="2"/>
    <n v="10"/>
    <n v="750"/>
    <n v="787.5"/>
    <x v="3"/>
  </r>
  <r>
    <x v="252"/>
    <x v="184"/>
    <s v="A299984"/>
    <x v="11"/>
    <n v="20"/>
    <n v="1500"/>
    <n v="1575"/>
    <x v="3"/>
  </r>
  <r>
    <x v="252"/>
    <x v="887"/>
    <s v="A403195"/>
    <x v="11"/>
    <n v="25"/>
    <n v="1875"/>
    <n v="1968.75"/>
    <x v="3"/>
  </r>
  <r>
    <x v="252"/>
    <x v="93"/>
    <s v="A231708"/>
    <x v="2"/>
    <n v="10"/>
    <n v="700"/>
    <n v="735"/>
    <x v="3"/>
  </r>
  <r>
    <x v="252"/>
    <x v="350"/>
    <s v="A410392"/>
    <x v="11"/>
    <n v="35"/>
    <n v="2450"/>
    <n v="2572.5"/>
    <x v="3"/>
  </r>
  <r>
    <x v="252"/>
    <x v="3"/>
    <s v="A331329"/>
    <x v="11"/>
    <n v="25"/>
    <n v="1925"/>
    <n v="2021.25"/>
    <x v="3"/>
  </r>
  <r>
    <x v="252"/>
    <x v="141"/>
    <s v="A249778"/>
    <x v="2"/>
    <n v="50"/>
    <n v="3850"/>
    <n v="4042.5"/>
    <x v="3"/>
  </r>
  <r>
    <x v="252"/>
    <x v="141"/>
    <s v="A249778"/>
    <x v="11"/>
    <n v="50"/>
    <n v="3850"/>
    <n v="4042.5"/>
    <x v="3"/>
  </r>
  <r>
    <x v="252"/>
    <x v="343"/>
    <s v="A257810"/>
    <x v="11"/>
    <n v="125"/>
    <n v="9375"/>
    <n v="9843.75"/>
    <x v="3"/>
  </r>
  <r>
    <x v="252"/>
    <x v="275"/>
    <s v="A271087"/>
    <x v="2"/>
    <n v="10"/>
    <n v="850"/>
    <n v="892.5"/>
    <x v="3"/>
  </r>
  <r>
    <x v="252"/>
    <x v="275"/>
    <s v="A271087"/>
    <x v="11"/>
    <n v="10"/>
    <n v="750"/>
    <n v="787.5"/>
    <x v="3"/>
  </r>
  <r>
    <x v="252"/>
    <x v="4"/>
    <s v="A231709"/>
    <x v="2"/>
    <n v="25"/>
    <n v="1925"/>
    <n v="2021.25"/>
    <x v="3"/>
  </r>
  <r>
    <x v="252"/>
    <x v="51"/>
    <s v="A298567"/>
    <x v="2"/>
    <n v="75"/>
    <n v="5375"/>
    <n v="5643.75"/>
    <x v="3"/>
  </r>
  <r>
    <x v="252"/>
    <x v="213"/>
    <s v="A272357"/>
    <x v="2"/>
    <n v="10"/>
    <n v="800"/>
    <n v="840"/>
    <x v="3"/>
  </r>
  <r>
    <x v="252"/>
    <x v="213"/>
    <s v="A272357"/>
    <x v="11"/>
    <n v="10"/>
    <n v="800"/>
    <n v="840"/>
    <x v="3"/>
  </r>
  <r>
    <x v="252"/>
    <x v="816"/>
    <s v="A419009"/>
    <x v="11"/>
    <n v="10"/>
    <n v="800"/>
    <n v="840"/>
    <x v="3"/>
  </r>
  <r>
    <x v="252"/>
    <x v="13"/>
    <m/>
    <x v="2"/>
    <n v="1"/>
    <n v="90"/>
    <n v="94.5"/>
    <x v="3"/>
  </r>
  <r>
    <x v="252"/>
    <x v="13"/>
    <m/>
    <x v="11"/>
    <n v="4"/>
    <n v="360"/>
    <n v="378"/>
    <x v="3"/>
  </r>
  <r>
    <x v="252"/>
    <x v="344"/>
    <s v="A415791"/>
    <x v="11"/>
    <n v="50"/>
    <n v="3500"/>
    <n v="3675"/>
    <x v="3"/>
  </r>
  <r>
    <x v="252"/>
    <x v="245"/>
    <s v="A282313"/>
    <x v="2"/>
    <n v="50"/>
    <n v="3500"/>
    <n v="3675"/>
    <x v="3"/>
  </r>
  <r>
    <x v="252"/>
    <x v="245"/>
    <s v="A282313"/>
    <x v="11"/>
    <n v="11"/>
    <n v="770"/>
    <n v="808.5"/>
    <x v="3"/>
  </r>
  <r>
    <x v="252"/>
    <x v="247"/>
    <s v="A402013"/>
    <x v="2"/>
    <n v="10"/>
    <n v="640"/>
    <n v="672"/>
    <x v="3"/>
  </r>
  <r>
    <x v="252"/>
    <x v="247"/>
    <s v="A402013"/>
    <x v="11"/>
    <n v="35"/>
    <n v="2240"/>
    <n v="2352"/>
    <x v="3"/>
  </r>
  <r>
    <x v="252"/>
    <x v="14"/>
    <m/>
    <x v="2"/>
    <n v="10"/>
    <n v="700"/>
    <n v="735"/>
    <x v="3"/>
  </r>
  <r>
    <x v="252"/>
    <x v="14"/>
    <m/>
    <x v="11"/>
    <n v="10"/>
    <n v="700"/>
    <n v="735"/>
    <x v="3"/>
  </r>
  <r>
    <x v="253"/>
    <x v="827"/>
    <m/>
    <x v="6"/>
    <n v="20"/>
    <n v="2400"/>
    <m/>
    <x v="3"/>
  </r>
  <r>
    <x v="253"/>
    <x v="827"/>
    <m/>
    <x v="7"/>
    <n v="80"/>
    <n v="9600"/>
    <m/>
    <x v="3"/>
  </r>
  <r>
    <x v="253"/>
    <x v="717"/>
    <m/>
    <x v="6"/>
    <n v="60"/>
    <n v="7200"/>
    <m/>
    <x v="3"/>
  </r>
  <r>
    <x v="253"/>
    <x v="717"/>
    <m/>
    <x v="7"/>
    <n v="160"/>
    <n v="19200"/>
    <m/>
    <x v="3"/>
  </r>
  <r>
    <x v="253"/>
    <x v="717"/>
    <m/>
    <x v="10"/>
    <n v="60"/>
    <n v="7200"/>
    <m/>
    <x v="3"/>
  </r>
  <r>
    <x v="253"/>
    <x v="717"/>
    <m/>
    <x v="8"/>
    <n v="60"/>
    <n v="7200"/>
    <m/>
    <x v="3"/>
  </r>
  <r>
    <x v="253"/>
    <x v="717"/>
    <m/>
    <x v="9"/>
    <n v="80"/>
    <n v="9600"/>
    <m/>
    <x v="3"/>
  </r>
  <r>
    <x v="253"/>
    <x v="717"/>
    <m/>
    <x v="1"/>
    <n v="40"/>
    <n v="4800"/>
    <n v="5040"/>
    <x v="3"/>
  </r>
  <r>
    <x v="253"/>
    <x v="717"/>
    <m/>
    <x v="2"/>
    <n v="60"/>
    <n v="5800"/>
    <n v="6090"/>
    <x v="3"/>
  </r>
  <r>
    <x v="253"/>
    <x v="659"/>
    <m/>
    <x v="2"/>
    <n v="20"/>
    <n v="2400"/>
    <n v="2520"/>
    <x v="3"/>
  </r>
  <r>
    <x v="253"/>
    <x v="156"/>
    <s v="A231705"/>
    <x v="8"/>
    <n v="1"/>
    <n v="90"/>
    <m/>
    <x v="3"/>
  </r>
  <r>
    <x v="253"/>
    <x v="3"/>
    <s v="A232126"/>
    <x v="8"/>
    <n v="1"/>
    <n v="90"/>
    <m/>
    <x v="3"/>
  </r>
  <r>
    <x v="253"/>
    <x v="16"/>
    <s v="A242640"/>
    <x v="5"/>
    <n v="50"/>
    <n v="3500"/>
    <m/>
    <x v="3"/>
  </r>
  <r>
    <x v="253"/>
    <x v="16"/>
    <s v="A297444"/>
    <x v="7"/>
    <n v="25"/>
    <n v="1750"/>
    <m/>
    <x v="3"/>
  </r>
  <r>
    <x v="253"/>
    <x v="16"/>
    <s v="A242640"/>
    <x v="10"/>
    <n v="25"/>
    <n v="1750"/>
    <m/>
    <x v="3"/>
  </r>
  <r>
    <x v="253"/>
    <x v="16"/>
    <s v="A232425"/>
    <x v="9"/>
    <n v="375"/>
    <n v="27375"/>
    <m/>
    <x v="3"/>
  </r>
  <r>
    <x v="253"/>
    <x v="10"/>
    <m/>
    <x v="5"/>
    <n v="90"/>
    <n v="8100"/>
    <m/>
    <x v="3"/>
  </r>
  <r>
    <x v="253"/>
    <x v="10"/>
    <m/>
    <x v="6"/>
    <n v="60"/>
    <n v="5400"/>
    <m/>
    <x v="3"/>
  </r>
  <r>
    <x v="253"/>
    <x v="10"/>
    <m/>
    <x v="9"/>
    <n v="20"/>
    <n v="1100"/>
    <m/>
    <x v="3"/>
  </r>
  <r>
    <x v="253"/>
    <x v="10"/>
    <m/>
    <x v="2"/>
    <n v="180"/>
    <n v="10395"/>
    <n v="10914.75"/>
    <x v="3"/>
  </r>
  <r>
    <x v="253"/>
    <x v="10"/>
    <m/>
    <x v="11"/>
    <n v="20"/>
    <n v="1100"/>
    <n v="1155"/>
    <x v="3"/>
  </r>
  <r>
    <x v="254"/>
    <x v="717"/>
    <m/>
    <x v="2"/>
    <n v="20"/>
    <n v="1660"/>
    <n v="1743"/>
    <x v="3"/>
  </r>
  <r>
    <x v="254"/>
    <x v="433"/>
    <m/>
    <x v="9"/>
    <n v="20"/>
    <n v="1800"/>
    <m/>
    <x v="3"/>
  </r>
  <r>
    <x v="254"/>
    <x v="19"/>
    <s v="A233442"/>
    <x v="7"/>
    <n v="25"/>
    <n v="2000"/>
    <m/>
    <x v="3"/>
  </r>
  <r>
    <x v="255"/>
    <x v="19"/>
    <s v="A233442"/>
    <x v="10"/>
    <n v="20"/>
    <n v="1600"/>
    <m/>
    <x v="3"/>
  </r>
  <r>
    <x v="255"/>
    <x v="19"/>
    <s v="A233442"/>
    <x v="8"/>
    <n v="10"/>
    <n v="800"/>
    <m/>
    <x v="3"/>
  </r>
  <r>
    <x v="256"/>
    <x v="300"/>
    <s v="A351968"/>
    <x v="11"/>
    <n v="10"/>
    <n v="2950"/>
    <n v="3097.5"/>
    <x v="3"/>
  </r>
  <r>
    <x v="256"/>
    <x v="401"/>
    <s v="A347816"/>
    <x v="1"/>
    <n v="10"/>
    <n v="2200"/>
    <n v="2310"/>
    <x v="3"/>
  </r>
  <r>
    <x v="256"/>
    <x v="99"/>
    <s v="A282344"/>
    <x v="1"/>
    <n v="10"/>
    <n v="1800"/>
    <n v="1890"/>
    <x v="3"/>
  </r>
  <r>
    <x v="256"/>
    <x v="168"/>
    <s v="A295590"/>
    <x v="1"/>
    <n v="20"/>
    <n v="3400"/>
    <n v="3570"/>
    <x v="3"/>
  </r>
  <r>
    <x v="256"/>
    <x v="168"/>
    <s v="A295590"/>
    <x v="11"/>
    <n v="50"/>
    <n v="9500"/>
    <n v="9975"/>
    <x v="3"/>
  </r>
  <r>
    <x v="257"/>
    <x v="95"/>
    <m/>
    <x v="2"/>
    <n v="1"/>
    <n v="500"/>
    <n v="525"/>
    <x v="3"/>
  </r>
  <r>
    <x v="257"/>
    <x v="138"/>
    <s v="A282344"/>
    <x v="2"/>
    <n v="5"/>
    <n v="900"/>
    <n v="945"/>
    <x v="3"/>
  </r>
  <r>
    <x v="258"/>
    <x v="309"/>
    <s v="A243761"/>
    <x v="10"/>
    <n v="5"/>
    <n v="375"/>
    <m/>
    <x v="3"/>
  </r>
  <r>
    <x v="258"/>
    <x v="11"/>
    <m/>
    <x v="9"/>
    <n v="5"/>
    <n v="600"/>
    <m/>
    <x v="3"/>
  </r>
  <r>
    <x v="258"/>
    <x v="11"/>
    <m/>
    <x v="1"/>
    <n v="5"/>
    <n v="600"/>
    <n v="630"/>
    <x v="3"/>
  </r>
  <r>
    <x v="258"/>
    <x v="11"/>
    <m/>
    <x v="1"/>
    <n v="10"/>
    <n v="1200"/>
    <n v="1260"/>
    <x v="3"/>
  </r>
  <r>
    <x v="258"/>
    <x v="11"/>
    <m/>
    <x v="2"/>
    <n v="5"/>
    <n v="600"/>
    <n v="630"/>
    <x v="3"/>
  </r>
  <r>
    <x v="258"/>
    <x v="11"/>
    <m/>
    <x v="11"/>
    <n v="5"/>
    <n v="600"/>
    <n v="630"/>
    <x v="3"/>
  </r>
  <r>
    <x v="258"/>
    <x v="233"/>
    <m/>
    <x v="2"/>
    <n v="5"/>
    <n v="450"/>
    <n v="472.5"/>
    <x v="3"/>
  </r>
  <r>
    <x v="258"/>
    <x v="236"/>
    <m/>
    <x v="10"/>
    <n v="9"/>
    <n v="630"/>
    <m/>
    <x v="3"/>
  </r>
  <r>
    <x v="258"/>
    <x v="266"/>
    <s v="A338229"/>
    <x v="1"/>
    <n v="25"/>
    <n v="1625"/>
    <n v="1706.25"/>
    <x v="3"/>
  </r>
  <r>
    <x v="258"/>
    <x v="238"/>
    <m/>
    <x v="9"/>
    <n v="5"/>
    <n v="525"/>
    <m/>
    <x v="3"/>
  </r>
  <r>
    <x v="258"/>
    <x v="238"/>
    <m/>
    <x v="1"/>
    <n v="5"/>
    <n v="525"/>
    <n v="551.25"/>
    <x v="3"/>
  </r>
  <r>
    <x v="258"/>
    <x v="12"/>
    <m/>
    <x v="2"/>
    <n v="5"/>
    <n v="427.5"/>
    <n v="448.875"/>
    <x v="3"/>
  </r>
  <r>
    <x v="258"/>
    <x v="93"/>
    <s v="A231708"/>
    <x v="8"/>
    <n v="30"/>
    <n v="1740"/>
    <m/>
    <x v="3"/>
  </r>
  <r>
    <x v="258"/>
    <x v="93"/>
    <s v="A231708"/>
    <x v="2"/>
    <n v="25"/>
    <n v="1625"/>
    <n v="1706.25"/>
    <x v="3"/>
  </r>
  <r>
    <x v="258"/>
    <x v="289"/>
    <s v="A234285"/>
    <x v="11"/>
    <n v="25"/>
    <n v="1875"/>
    <n v="1968.75"/>
    <x v="3"/>
  </r>
  <r>
    <x v="258"/>
    <x v="156"/>
    <s v="A231705"/>
    <x v="8"/>
    <n v="50"/>
    <n v="3000"/>
    <m/>
    <x v="3"/>
  </r>
  <r>
    <x v="258"/>
    <x v="156"/>
    <s v="A231705"/>
    <x v="9"/>
    <n v="75"/>
    <n v="4500"/>
    <m/>
    <x v="3"/>
  </r>
  <r>
    <x v="258"/>
    <x v="156"/>
    <s v="A231705"/>
    <x v="2"/>
    <n v="25"/>
    <n v="1500"/>
    <n v="1575"/>
    <x v="3"/>
  </r>
  <r>
    <x v="258"/>
    <x v="156"/>
    <s v="A231705"/>
    <x v="11"/>
    <n v="25"/>
    <n v="1500"/>
    <n v="1575"/>
    <x v="3"/>
  </r>
  <r>
    <x v="258"/>
    <x v="342"/>
    <s v="A402008"/>
    <x v="0"/>
    <n v="25"/>
    <n v="1500"/>
    <n v="1575"/>
    <x v="2"/>
  </r>
  <r>
    <x v="258"/>
    <x v="3"/>
    <s v="A236167"/>
    <x v="8"/>
    <n v="75"/>
    <n v="4500"/>
    <m/>
    <x v="3"/>
  </r>
  <r>
    <x v="258"/>
    <x v="3"/>
    <s v="A331329"/>
    <x v="1"/>
    <n v="25"/>
    <n v="1675"/>
    <n v="1758.75"/>
    <x v="2"/>
  </r>
  <r>
    <x v="258"/>
    <x v="3"/>
    <s v="A331329"/>
    <x v="2"/>
    <n v="50"/>
    <n v="3750"/>
    <n v="3937.5"/>
    <x v="2"/>
  </r>
  <r>
    <x v="258"/>
    <x v="3"/>
    <s v="A331329"/>
    <x v="11"/>
    <n v="25"/>
    <n v="1875"/>
    <n v="1968.75"/>
    <x v="2"/>
  </r>
  <r>
    <x v="258"/>
    <x v="3"/>
    <s v="A331329"/>
    <x v="0"/>
    <n v="25"/>
    <n v="1875"/>
    <n v="1968.75"/>
    <x v="2"/>
  </r>
  <r>
    <x v="258"/>
    <x v="141"/>
    <s v="A249778"/>
    <x v="8"/>
    <n v="50"/>
    <n v="3250"/>
    <m/>
    <x v="3"/>
  </r>
  <r>
    <x v="258"/>
    <x v="141"/>
    <s v="A249778"/>
    <x v="9"/>
    <n v="50"/>
    <n v="3300"/>
    <m/>
    <x v="3"/>
  </r>
  <r>
    <x v="258"/>
    <x v="141"/>
    <s v="A249778"/>
    <x v="1"/>
    <n v="25"/>
    <n v="1675"/>
    <n v="1758.75"/>
    <x v="3"/>
  </r>
  <r>
    <x v="258"/>
    <x v="408"/>
    <s v="A239076"/>
    <x v="1"/>
    <n v="15"/>
    <n v="1125"/>
    <n v="1181.25"/>
    <x v="3"/>
  </r>
  <r>
    <x v="258"/>
    <x v="408"/>
    <s v="A239076"/>
    <x v="2"/>
    <n v="25"/>
    <n v="1875"/>
    <n v="1968.75"/>
    <x v="3"/>
  </r>
  <r>
    <x v="258"/>
    <x v="27"/>
    <s v="A242640"/>
    <x v="8"/>
    <n v="600"/>
    <n v="25350"/>
    <m/>
    <x v="3"/>
  </r>
  <r>
    <x v="258"/>
    <x v="27"/>
    <s v="A242640"/>
    <x v="9"/>
    <n v="25"/>
    <n v="11250"/>
    <m/>
    <x v="3"/>
  </r>
  <r>
    <x v="258"/>
    <x v="27"/>
    <s v="A242640"/>
    <x v="1"/>
    <n v="50"/>
    <n v="2250"/>
    <n v="2362.5"/>
    <x v="3"/>
  </r>
  <r>
    <x v="258"/>
    <x v="28"/>
    <s v="A233711"/>
    <x v="10"/>
    <n v="55"/>
    <n v="3300"/>
    <m/>
    <x v="3"/>
  </r>
  <r>
    <x v="258"/>
    <x v="28"/>
    <s v="A233711"/>
    <x v="8"/>
    <n v="70.2"/>
    <n v="4071.6"/>
    <m/>
    <x v="3"/>
  </r>
  <r>
    <x v="258"/>
    <x v="494"/>
    <s v="A257810"/>
    <x v="1"/>
    <n v="100"/>
    <n v="4500"/>
    <n v="4725"/>
    <x v="3"/>
  </r>
  <r>
    <x v="258"/>
    <x v="494"/>
    <s v="A257810"/>
    <x v="2"/>
    <n v="300"/>
    <n v="13500"/>
    <n v="14175"/>
    <x v="3"/>
  </r>
  <r>
    <x v="258"/>
    <x v="51"/>
    <s v="A298567"/>
    <x v="9"/>
    <n v="300"/>
    <n v="13500"/>
    <m/>
    <x v="1"/>
  </r>
  <r>
    <x v="258"/>
    <x v="51"/>
    <s v="A298567"/>
    <x v="1"/>
    <n v="400"/>
    <n v="18000"/>
    <n v="18900"/>
    <x v="1"/>
  </r>
  <r>
    <x v="258"/>
    <x v="51"/>
    <s v="A298567"/>
    <x v="2"/>
    <n v="400"/>
    <n v="18000"/>
    <n v="18900"/>
    <x v="1"/>
  </r>
  <r>
    <x v="258"/>
    <x v="51"/>
    <s v="A298567"/>
    <x v="11"/>
    <n v="100"/>
    <n v="4500"/>
    <n v="4725"/>
    <x v="1"/>
  </r>
  <r>
    <x v="258"/>
    <x v="51"/>
    <s v="A298567"/>
    <x v="0"/>
    <n v="150"/>
    <n v="6750"/>
    <n v="7087.5"/>
    <x v="1"/>
  </r>
  <r>
    <x v="258"/>
    <x v="30"/>
    <s v="A233444"/>
    <x v="2"/>
    <n v="25"/>
    <n v="1875"/>
    <n v="1968.75"/>
    <x v="3"/>
  </r>
  <r>
    <x v="258"/>
    <x v="243"/>
    <s v="A232125"/>
    <x v="8"/>
    <n v="50"/>
    <n v="3250"/>
    <m/>
    <x v="3"/>
  </r>
  <r>
    <x v="258"/>
    <x v="243"/>
    <s v="A232125"/>
    <x v="9"/>
    <n v="25"/>
    <n v="1625"/>
    <m/>
    <x v="3"/>
  </r>
  <r>
    <x v="258"/>
    <x v="243"/>
    <s v="A232125"/>
    <x v="1"/>
    <n v="25"/>
    <n v="1700"/>
    <n v="1785"/>
    <x v="3"/>
  </r>
  <r>
    <x v="258"/>
    <x v="228"/>
    <s v="A306319"/>
    <x v="2"/>
    <n v="25"/>
    <n v="1700"/>
    <n v="1785"/>
    <x v="3"/>
  </r>
  <r>
    <x v="258"/>
    <x v="13"/>
    <m/>
    <x v="2"/>
    <n v="5"/>
    <n v="475"/>
    <n v="498.75"/>
    <x v="3"/>
  </r>
  <r>
    <x v="258"/>
    <x v="19"/>
    <s v="A233442"/>
    <x v="8"/>
    <n v="25"/>
    <n v="1250"/>
    <m/>
    <x v="3"/>
  </r>
  <r>
    <x v="258"/>
    <x v="247"/>
    <s v="A402013"/>
    <x v="2"/>
    <n v="25"/>
    <n v="1625"/>
    <n v="1706.25"/>
    <x v="3"/>
  </r>
  <r>
    <x v="258"/>
    <x v="880"/>
    <m/>
    <x v="8"/>
    <n v="59.5"/>
    <n v="4600"/>
    <m/>
    <x v="2"/>
  </r>
  <r>
    <x v="258"/>
    <x v="880"/>
    <m/>
    <x v="9"/>
    <n v="43"/>
    <n v="3096"/>
    <m/>
    <x v="2"/>
  </r>
  <r>
    <x v="258"/>
    <x v="880"/>
    <m/>
    <x v="1"/>
    <n v="80"/>
    <n v="5760"/>
    <n v="6048"/>
    <x v="2"/>
  </r>
  <r>
    <x v="258"/>
    <x v="880"/>
    <m/>
    <x v="2"/>
    <n v="100"/>
    <n v="7160"/>
    <n v="7518"/>
    <x v="2"/>
  </r>
  <r>
    <x v="258"/>
    <x v="880"/>
    <m/>
    <x v="11"/>
    <n v="20"/>
    <n v="1400"/>
    <n v="1470"/>
    <x v="2"/>
  </r>
  <r>
    <x v="258"/>
    <x v="880"/>
    <m/>
    <x v="0"/>
    <n v="20"/>
    <n v="1400"/>
    <n v="1470"/>
    <x v="2"/>
  </r>
  <r>
    <x v="258"/>
    <x v="1"/>
    <s v="A231710"/>
    <x v="8"/>
    <n v="185"/>
    <n v="10200"/>
    <m/>
    <x v="1"/>
  </r>
  <r>
    <x v="258"/>
    <x v="1"/>
    <s v="A231710"/>
    <x v="9"/>
    <n v="106"/>
    <n v="7434"/>
    <m/>
    <x v="1"/>
  </r>
  <r>
    <x v="258"/>
    <x v="1"/>
    <s v="A231710"/>
    <x v="1"/>
    <n v="125"/>
    <n v="9000"/>
    <n v="9450"/>
    <x v="1"/>
  </r>
  <r>
    <x v="258"/>
    <x v="1"/>
    <s v="A231710"/>
    <x v="2"/>
    <n v="150"/>
    <n v="10800"/>
    <n v="11340"/>
    <x v="1"/>
  </r>
  <r>
    <x v="258"/>
    <x v="1"/>
    <s v="A231710"/>
    <x v="11"/>
    <n v="50"/>
    <n v="3600"/>
    <n v="3780"/>
    <x v="1"/>
  </r>
  <r>
    <x v="258"/>
    <x v="1"/>
    <s v="A231710"/>
    <x v="0"/>
    <n v="25"/>
    <n v="1800"/>
    <n v="1890"/>
    <x v="1"/>
  </r>
  <r>
    <x v="259"/>
    <x v="23"/>
    <m/>
    <x v="2"/>
    <n v="5"/>
    <n v="1325"/>
    <n v="1391.25"/>
    <x v="3"/>
  </r>
  <r>
    <x v="259"/>
    <x v="23"/>
    <m/>
    <x v="11"/>
    <n v="10"/>
    <n v="2650"/>
    <n v="2782.5"/>
    <x v="3"/>
  </r>
  <r>
    <x v="259"/>
    <x v="365"/>
    <s v="A285878"/>
    <x v="2"/>
    <n v="25"/>
    <n v="3750"/>
    <n v="3937.5"/>
    <x v="3"/>
  </r>
  <r>
    <x v="259"/>
    <x v="207"/>
    <m/>
    <x v="2"/>
    <n v="5"/>
    <n v="1250"/>
    <n v="1312.5"/>
    <x v="3"/>
  </r>
  <r>
    <x v="259"/>
    <x v="47"/>
    <s v="A283876"/>
    <x v="2"/>
    <n v="10"/>
    <n v="2000"/>
    <n v="2100"/>
    <x v="3"/>
  </r>
  <r>
    <x v="259"/>
    <x v="62"/>
    <m/>
    <x v="2"/>
    <n v="10"/>
    <n v="2250"/>
    <n v="2362.5"/>
    <x v="3"/>
  </r>
  <r>
    <x v="259"/>
    <x v="62"/>
    <m/>
    <x v="11"/>
    <n v="5"/>
    <n v="1125"/>
    <n v="1181.25"/>
    <x v="3"/>
  </r>
  <r>
    <x v="259"/>
    <x v="682"/>
    <m/>
    <x v="11"/>
    <n v="10"/>
    <n v="2500"/>
    <n v="2625"/>
    <x v="3"/>
  </r>
  <r>
    <x v="259"/>
    <x v="161"/>
    <s v="A293577"/>
    <x v="2"/>
    <n v="10"/>
    <n v="1750"/>
    <n v="1837.5"/>
    <x v="3"/>
  </r>
  <r>
    <x v="260"/>
    <x v="413"/>
    <s v="P08232"/>
    <x v="8"/>
    <n v="5"/>
    <n v="900"/>
    <m/>
    <x v="3"/>
  </r>
  <r>
    <x v="260"/>
    <x v="892"/>
    <s v="A287423"/>
    <x v="5"/>
    <n v="25"/>
    <n v="2875"/>
    <m/>
    <x v="3"/>
  </r>
  <r>
    <x v="260"/>
    <x v="893"/>
    <s v="A247286"/>
    <x v="3"/>
    <n v="25"/>
    <n v="3875"/>
    <m/>
    <x v="3"/>
  </r>
  <r>
    <x v="260"/>
    <x v="37"/>
    <s v="A295406"/>
    <x v="8"/>
    <n v="5"/>
    <n v="2575"/>
    <m/>
    <x v="3"/>
  </r>
  <r>
    <x v="260"/>
    <x v="298"/>
    <s v="A416950"/>
    <x v="0"/>
    <n v="5"/>
    <n v="1000"/>
    <n v="1050"/>
    <x v="2"/>
  </r>
  <r>
    <x v="260"/>
    <x v="111"/>
    <s v="A257635"/>
    <x v="4"/>
    <n v="25"/>
    <n v="4140"/>
    <m/>
    <x v="3"/>
  </r>
  <r>
    <x v="260"/>
    <x v="111"/>
    <s v="A257635"/>
    <x v="6"/>
    <n v="20"/>
    <n v="3300"/>
    <m/>
    <x v="3"/>
  </r>
  <r>
    <x v="260"/>
    <x v="894"/>
    <s v="A253491"/>
    <x v="3"/>
    <n v="50"/>
    <n v="10850"/>
    <m/>
    <x v="3"/>
  </r>
  <r>
    <x v="260"/>
    <x v="691"/>
    <s v="A245818"/>
    <x v="2"/>
    <n v="7"/>
    <n v="1040"/>
    <n v="1092"/>
    <x v="3"/>
  </r>
  <r>
    <x v="260"/>
    <x v="46"/>
    <s v="A234876"/>
    <x v="12"/>
    <n v="25"/>
    <n v="4150"/>
    <m/>
    <x v="3"/>
  </r>
  <r>
    <x v="260"/>
    <x v="46"/>
    <s v="A234876"/>
    <x v="3"/>
    <n v="50"/>
    <n v="7350"/>
    <m/>
    <x v="3"/>
  </r>
  <r>
    <x v="260"/>
    <x v="46"/>
    <s v="A234876"/>
    <x v="5"/>
    <n v="100"/>
    <n v="15000"/>
    <m/>
    <x v="3"/>
  </r>
  <r>
    <x v="260"/>
    <x v="46"/>
    <s v="A234876"/>
    <x v="6"/>
    <n v="80"/>
    <n v="12000"/>
    <m/>
    <x v="3"/>
  </r>
  <r>
    <x v="260"/>
    <x v="294"/>
    <s v="A339522"/>
    <x v="8"/>
    <n v="10"/>
    <n v="1700"/>
    <m/>
    <x v="3"/>
  </r>
  <r>
    <x v="260"/>
    <x v="294"/>
    <s v="A339522"/>
    <x v="9"/>
    <n v="20"/>
    <n v="3400"/>
    <m/>
    <x v="3"/>
  </r>
  <r>
    <x v="260"/>
    <x v="294"/>
    <s v="A339522"/>
    <x v="1"/>
    <n v="10"/>
    <n v="1700"/>
    <n v="1785"/>
    <x v="3"/>
  </r>
  <r>
    <x v="260"/>
    <x v="294"/>
    <s v="A339522"/>
    <x v="2"/>
    <n v="15"/>
    <n v="2550"/>
    <n v="2677.5"/>
    <x v="3"/>
  </r>
  <r>
    <x v="260"/>
    <x v="29"/>
    <s v="A415886"/>
    <x v="11"/>
    <n v="15"/>
    <n v="2550"/>
    <n v="2677.5"/>
    <x v="2"/>
  </r>
  <r>
    <x v="260"/>
    <x v="29"/>
    <s v="A415886"/>
    <x v="0"/>
    <n v="5"/>
    <n v="850"/>
    <n v="892.5"/>
    <x v="2"/>
  </r>
  <r>
    <x v="260"/>
    <x v="412"/>
    <s v="A339521"/>
    <x v="8"/>
    <n v="25"/>
    <n v="4750"/>
    <m/>
    <x v="2"/>
  </r>
  <r>
    <x v="260"/>
    <x v="412"/>
    <s v="A339521"/>
    <x v="9"/>
    <n v="75"/>
    <n v="14250"/>
    <m/>
    <x v="2"/>
  </r>
  <r>
    <x v="260"/>
    <x v="412"/>
    <s v="A339521"/>
    <x v="1"/>
    <n v="10"/>
    <n v="1900"/>
    <n v="1995"/>
    <x v="2"/>
  </r>
  <r>
    <x v="260"/>
    <x v="412"/>
    <s v="A339521"/>
    <x v="2"/>
    <n v="25"/>
    <n v="4750"/>
    <n v="4987.5"/>
    <x v="2"/>
  </r>
  <r>
    <x v="260"/>
    <x v="412"/>
    <s v="A339521"/>
    <x v="11"/>
    <n v="10"/>
    <n v="1900"/>
    <n v="1995"/>
    <x v="2"/>
  </r>
  <r>
    <x v="260"/>
    <x v="412"/>
    <s v="A339521"/>
    <x v="0"/>
    <n v="10"/>
    <n v="1900"/>
    <n v="1995"/>
    <x v="2"/>
  </r>
  <r>
    <x v="260"/>
    <x v="68"/>
    <s v="A241029"/>
    <x v="9"/>
    <n v="10"/>
    <n v="1900"/>
    <m/>
    <x v="3"/>
  </r>
  <r>
    <x v="260"/>
    <x v="68"/>
    <s v="A241029"/>
    <x v="1"/>
    <n v="10"/>
    <n v="1900"/>
    <n v="1995"/>
    <x v="3"/>
  </r>
  <r>
    <x v="260"/>
    <x v="421"/>
    <s v="A243394"/>
    <x v="5"/>
    <n v="75"/>
    <n v="12750"/>
    <m/>
    <x v="3"/>
  </r>
  <r>
    <x v="260"/>
    <x v="421"/>
    <s v="A243394"/>
    <x v="6"/>
    <n v="50"/>
    <n v="8400"/>
    <m/>
    <x v="3"/>
  </r>
  <r>
    <x v="260"/>
    <x v="421"/>
    <s v="A243394"/>
    <x v="8"/>
    <n v="5"/>
    <n v="840"/>
    <m/>
    <x v="3"/>
  </r>
  <r>
    <x v="260"/>
    <x v="421"/>
    <s v="A243394"/>
    <x v="9"/>
    <n v="15"/>
    <n v="2520"/>
    <m/>
    <x v="3"/>
  </r>
  <r>
    <x v="260"/>
    <x v="421"/>
    <s v="A243394"/>
    <x v="1"/>
    <n v="35"/>
    <n v="5880"/>
    <n v="6174"/>
    <x v="3"/>
  </r>
  <r>
    <x v="260"/>
    <x v="421"/>
    <s v="A243394"/>
    <x v="2"/>
    <n v="15"/>
    <n v="2520"/>
    <n v="2646"/>
    <x v="3"/>
  </r>
  <r>
    <x v="260"/>
    <x v="421"/>
    <s v="A243394"/>
    <x v="11"/>
    <n v="15"/>
    <n v="2520"/>
    <n v="2646"/>
    <x v="3"/>
  </r>
  <r>
    <x v="260"/>
    <x v="99"/>
    <s v="A282344"/>
    <x v="9"/>
    <n v="20"/>
    <n v="4000"/>
    <m/>
    <x v="3"/>
  </r>
  <r>
    <x v="260"/>
    <x v="99"/>
    <s v="A282344"/>
    <x v="1"/>
    <n v="30"/>
    <n v="6000"/>
    <n v="6300"/>
    <x v="3"/>
  </r>
  <r>
    <x v="260"/>
    <x v="99"/>
    <s v="A282344"/>
    <x v="2"/>
    <n v="15"/>
    <n v="3000"/>
    <n v="3150"/>
    <x v="3"/>
  </r>
  <r>
    <x v="260"/>
    <x v="202"/>
    <s v="A418088"/>
    <x v="11"/>
    <n v="10"/>
    <n v="2000"/>
    <n v="2100"/>
    <x v="2"/>
  </r>
  <r>
    <x v="260"/>
    <x v="202"/>
    <s v="A418088"/>
    <x v="0"/>
    <n v="5"/>
    <n v="1000"/>
    <n v="1050"/>
    <x v="2"/>
  </r>
  <r>
    <x v="260"/>
    <x v="202"/>
    <s v="A417151"/>
    <x v="0"/>
    <n v="10"/>
    <n v="2000"/>
    <n v="2100"/>
    <x v="2"/>
  </r>
  <r>
    <x v="260"/>
    <x v="169"/>
    <s v="A286825"/>
    <x v="5"/>
    <n v="50"/>
    <n v="8600"/>
    <m/>
    <x v="3"/>
  </r>
  <r>
    <x v="260"/>
    <x v="169"/>
    <s v="A286825"/>
    <x v="6"/>
    <n v="100"/>
    <n v="17200"/>
    <m/>
    <x v="3"/>
  </r>
  <r>
    <x v="260"/>
    <x v="77"/>
    <s v="A419379"/>
    <x v="11"/>
    <n v="5"/>
    <n v="1150"/>
    <n v="1207.5"/>
    <x v="2"/>
  </r>
  <r>
    <x v="260"/>
    <x v="77"/>
    <s v="A419379"/>
    <x v="0"/>
    <n v="25"/>
    <n v="5750"/>
    <n v="6037.5"/>
    <x v="2"/>
  </r>
  <r>
    <x v="260"/>
    <x v="645"/>
    <s v="A246686"/>
    <x v="3"/>
    <n v="25"/>
    <n v="5050"/>
    <m/>
    <x v="3"/>
  </r>
  <r>
    <x v="260"/>
    <x v="103"/>
    <s v="A299996"/>
    <x v="2"/>
    <n v="7"/>
    <n v="780"/>
    <n v="819"/>
    <x v="3"/>
  </r>
  <r>
    <x v="260"/>
    <x v="78"/>
    <s v="A234651"/>
    <x v="9"/>
    <n v="10"/>
    <n v="2400"/>
    <m/>
    <x v="2"/>
  </r>
  <r>
    <x v="260"/>
    <x v="78"/>
    <s v="A234651"/>
    <x v="1"/>
    <n v="5"/>
    <n v="1200"/>
    <n v="1260"/>
    <x v="2"/>
  </r>
  <r>
    <x v="260"/>
    <x v="78"/>
    <s v="A234651"/>
    <x v="2"/>
    <n v="12"/>
    <n v="2240"/>
    <n v="2352"/>
    <x v="2"/>
  </r>
  <r>
    <x v="260"/>
    <x v="78"/>
    <s v="A234651"/>
    <x v="11"/>
    <n v="13"/>
    <n v="3120"/>
    <n v="3276"/>
    <x v="2"/>
  </r>
  <r>
    <x v="260"/>
    <x v="78"/>
    <s v="A234651"/>
    <x v="0"/>
    <n v="5"/>
    <n v="1200"/>
    <n v="1260"/>
    <x v="2"/>
  </r>
  <r>
    <x v="260"/>
    <x v="83"/>
    <s v="A243193"/>
    <x v="12"/>
    <n v="150"/>
    <n v="13787.5"/>
    <m/>
    <x v="2"/>
  </r>
  <r>
    <x v="260"/>
    <x v="83"/>
    <s v="A243193"/>
    <x v="4"/>
    <n v="150"/>
    <n v="16500"/>
    <m/>
    <x v="2"/>
  </r>
  <r>
    <x v="260"/>
    <x v="83"/>
    <s v="A243193"/>
    <x v="7"/>
    <n v="50"/>
    <n v="6000"/>
    <m/>
    <x v="2"/>
  </r>
  <r>
    <x v="260"/>
    <x v="83"/>
    <s v="A243193"/>
    <x v="8"/>
    <n v="100"/>
    <n v="12000"/>
    <m/>
    <x v="2"/>
  </r>
  <r>
    <x v="260"/>
    <x v="83"/>
    <s v="A243193"/>
    <x v="9"/>
    <n v="100"/>
    <n v="12000"/>
    <m/>
    <x v="2"/>
  </r>
  <r>
    <x v="260"/>
    <x v="83"/>
    <s v="A243193"/>
    <x v="1"/>
    <n v="25"/>
    <n v="3000"/>
    <n v="3150"/>
    <x v="2"/>
  </r>
  <r>
    <x v="260"/>
    <x v="83"/>
    <s v="A243193"/>
    <x v="2"/>
    <n v="10"/>
    <n v="1200"/>
    <n v="1260"/>
    <x v="2"/>
  </r>
  <r>
    <x v="260"/>
    <x v="83"/>
    <s v="A243193"/>
    <x v="11"/>
    <n v="20"/>
    <n v="2400"/>
    <n v="2520"/>
    <x v="2"/>
  </r>
  <r>
    <x v="260"/>
    <x v="83"/>
    <s v="A243193"/>
    <x v="0"/>
    <n v="20"/>
    <n v="2400"/>
    <n v="2520"/>
    <x v="2"/>
  </r>
  <r>
    <x v="260"/>
    <x v="575"/>
    <s v="A280535"/>
    <x v="2"/>
    <n v="31"/>
    <n v="3360"/>
    <n v="3528"/>
    <x v="3"/>
  </r>
  <r>
    <x v="261"/>
    <x v="343"/>
    <s v="A257810"/>
    <x v="0"/>
    <n v="25"/>
    <n v="1150"/>
    <n v="1207.5"/>
    <x v="1"/>
  </r>
  <r>
    <x v="262"/>
    <x v="38"/>
    <s v="A273820"/>
    <x v="7"/>
    <n v="300"/>
    <n v="39000"/>
    <m/>
    <x v="3"/>
  </r>
  <r>
    <x v="262"/>
    <x v="38"/>
    <s v="A273820"/>
    <x v="10"/>
    <n v="200"/>
    <n v="26000"/>
    <m/>
    <x v="3"/>
  </r>
  <r>
    <x v="262"/>
    <x v="38"/>
    <s v="A273820"/>
    <x v="11"/>
    <n v="300"/>
    <n v="38400"/>
    <n v="40320"/>
    <x v="3"/>
  </r>
  <r>
    <x v="262"/>
    <x v="365"/>
    <s v="A285878"/>
    <x v="7"/>
    <n v="300"/>
    <n v="39000"/>
    <m/>
    <x v="3"/>
  </r>
  <r>
    <x v="262"/>
    <x v="365"/>
    <s v="A285878"/>
    <x v="10"/>
    <n v="200"/>
    <n v="26000"/>
    <m/>
    <x v="3"/>
  </r>
  <r>
    <x v="262"/>
    <x v="299"/>
    <s v="A404821"/>
    <x v="11"/>
    <n v="300"/>
    <n v="38400"/>
    <n v="40320"/>
    <x v="3"/>
  </r>
  <r>
    <x v="263"/>
    <x v="5"/>
    <s v="A249720"/>
    <x v="5"/>
    <n v="1"/>
    <n v="90"/>
    <m/>
    <x v="3"/>
  </r>
  <r>
    <x v="263"/>
    <x v="5"/>
    <s v="A249720"/>
    <x v="6"/>
    <n v="2"/>
    <n v="190"/>
    <m/>
    <x v="3"/>
  </r>
  <r>
    <x v="264"/>
    <x v="869"/>
    <m/>
    <x v="9"/>
    <n v="13"/>
    <n v="1300"/>
    <m/>
    <x v="3"/>
  </r>
  <r>
    <x v="264"/>
    <x v="869"/>
    <m/>
    <x v="11"/>
    <n v="20"/>
    <n v="1560"/>
    <n v="1638"/>
    <x v="3"/>
  </r>
  <r>
    <x v="264"/>
    <x v="321"/>
    <s v="A293451"/>
    <x v="11"/>
    <n v="100"/>
    <n v="5000"/>
    <n v="5250"/>
    <x v="3"/>
  </r>
  <r>
    <x v="264"/>
    <x v="705"/>
    <s v="A401492"/>
    <x v="2"/>
    <n v="100"/>
    <n v="6500"/>
    <n v="6825"/>
    <x v="3"/>
  </r>
  <r>
    <x v="264"/>
    <x v="827"/>
    <m/>
    <x v="11"/>
    <n v="25"/>
    <n v="2625"/>
    <n v="2756.25"/>
    <x v="3"/>
  </r>
  <r>
    <x v="264"/>
    <x v="717"/>
    <m/>
    <x v="11"/>
    <n v="85"/>
    <n v="8925"/>
    <n v="9371.25"/>
    <x v="3"/>
  </r>
  <r>
    <x v="264"/>
    <x v="718"/>
    <m/>
    <x v="11"/>
    <n v="20"/>
    <n v="2200"/>
    <n v="2310"/>
    <x v="3"/>
  </r>
  <r>
    <x v="264"/>
    <x v="341"/>
    <s v="A406737"/>
    <x v="2"/>
    <n v="200"/>
    <n v="10000"/>
    <n v="10500"/>
    <x v="3"/>
  </r>
  <r>
    <x v="264"/>
    <x v="341"/>
    <s v="A406737"/>
    <x v="11"/>
    <n v="850"/>
    <n v="42500"/>
    <n v="44625"/>
    <x v="3"/>
  </r>
  <r>
    <x v="264"/>
    <x v="6"/>
    <s v="A270578"/>
    <x v="1"/>
    <n v="10"/>
    <n v="450"/>
    <n v="472.5"/>
    <x v="68"/>
  </r>
  <r>
    <x v="264"/>
    <x v="6"/>
    <s v="A270578"/>
    <x v="2"/>
    <n v="1200"/>
    <n v="60000"/>
    <n v="63000"/>
    <x v="68"/>
  </r>
  <r>
    <x v="264"/>
    <x v="6"/>
    <s v="A270578"/>
    <x v="11"/>
    <n v="1700"/>
    <n v="75000"/>
    <n v="78750"/>
    <x v="68"/>
  </r>
  <r>
    <x v="264"/>
    <x v="6"/>
    <s v="A270578"/>
    <x v="0"/>
    <n v="600"/>
    <n v="30000"/>
    <n v="31500"/>
    <x v="68"/>
  </r>
  <r>
    <x v="264"/>
    <x v="15"/>
    <m/>
    <x v="0"/>
    <n v="100"/>
    <n v="30000"/>
    <n v="31500"/>
    <x v="2"/>
  </r>
  <r>
    <x v="264"/>
    <x v="890"/>
    <m/>
    <x v="2"/>
    <n v="98"/>
    <n v="23520"/>
    <n v="24696"/>
    <x v="3"/>
  </r>
  <r>
    <x v="264"/>
    <x v="890"/>
    <m/>
    <x v="11"/>
    <n v="40"/>
    <n v="11200"/>
    <n v="11760"/>
    <x v="3"/>
  </r>
  <r>
    <x v="264"/>
    <x v="8"/>
    <m/>
    <x v="1"/>
    <n v="25"/>
    <n v="7500"/>
    <n v="7875"/>
    <x v="3"/>
  </r>
  <r>
    <x v="264"/>
    <x v="386"/>
    <m/>
    <x v="1"/>
    <n v="25"/>
    <n v="7500"/>
    <n v="7875"/>
    <x v="3"/>
  </r>
  <r>
    <x v="264"/>
    <x v="124"/>
    <m/>
    <x v="2"/>
    <n v="25"/>
    <n v="9500"/>
    <n v="9975"/>
    <x v="3"/>
  </r>
  <r>
    <x v="264"/>
    <x v="124"/>
    <m/>
    <x v="11"/>
    <n v="450"/>
    <n v="171000"/>
    <n v="179550"/>
    <x v="3"/>
  </r>
  <r>
    <x v="264"/>
    <x v="3"/>
    <s v="A232126"/>
    <x v="10"/>
    <n v="250"/>
    <n v="24350"/>
    <m/>
    <x v="3"/>
  </r>
  <r>
    <x v="264"/>
    <x v="16"/>
    <s v="A241225"/>
    <x v="5"/>
    <n v="450"/>
    <n v="19350"/>
    <m/>
    <x v="3"/>
  </r>
  <r>
    <x v="264"/>
    <x v="16"/>
    <s v="A241225"/>
    <x v="6"/>
    <n v="100"/>
    <n v="4600"/>
    <m/>
    <x v="3"/>
  </r>
  <r>
    <x v="264"/>
    <x v="241"/>
    <s v="A401495"/>
    <x v="1"/>
    <n v="75"/>
    <n v="4350"/>
    <n v="4567.5"/>
    <x v="3"/>
  </r>
  <r>
    <x v="264"/>
    <x v="241"/>
    <s v="A401495"/>
    <x v="2"/>
    <n v="200"/>
    <n v="12500"/>
    <n v="13125"/>
    <x v="3"/>
  </r>
  <r>
    <x v="264"/>
    <x v="895"/>
    <s v="A248596"/>
    <x v="5"/>
    <n v="401"/>
    <n v="30075"/>
    <m/>
    <x v="3"/>
  </r>
  <r>
    <x v="264"/>
    <x v="895"/>
    <s v="A248596"/>
    <x v="6"/>
    <n v="995"/>
    <n v="74625"/>
    <m/>
    <x v="3"/>
  </r>
  <r>
    <x v="264"/>
    <x v="895"/>
    <s v="A248596"/>
    <x v="7"/>
    <n v="1050"/>
    <n v="84000"/>
    <m/>
    <x v="3"/>
  </r>
  <r>
    <x v="264"/>
    <x v="895"/>
    <s v="A248596"/>
    <x v="10"/>
    <n v="250"/>
    <n v="21000"/>
    <m/>
    <x v="3"/>
  </r>
  <r>
    <x v="264"/>
    <x v="231"/>
    <s v="A410391"/>
    <x v="2"/>
    <n v="600"/>
    <n v="30000"/>
    <n v="31500"/>
    <x v="47"/>
  </r>
  <r>
    <x v="264"/>
    <x v="231"/>
    <s v="A410391"/>
    <x v="11"/>
    <n v="2000"/>
    <n v="100000"/>
    <n v="105000"/>
    <x v="47"/>
  </r>
  <r>
    <x v="264"/>
    <x v="231"/>
    <s v="A410391"/>
    <x v="0"/>
    <n v="650"/>
    <n v="33250"/>
    <n v="34912.5"/>
    <x v="47"/>
  </r>
  <r>
    <x v="264"/>
    <x v="355"/>
    <s v="A401230"/>
    <x v="2"/>
    <n v="1200"/>
    <n v="59000"/>
    <n v="61950"/>
    <x v="3"/>
  </r>
  <r>
    <x v="264"/>
    <x v="355"/>
    <s v="A401230"/>
    <x v="11"/>
    <n v="700"/>
    <n v="35000"/>
    <n v="36750"/>
    <x v="3"/>
  </r>
  <r>
    <x v="264"/>
    <x v="818"/>
    <s v="A350049"/>
    <x v="9"/>
    <n v="240"/>
    <n v="11040"/>
    <m/>
    <x v="3"/>
  </r>
  <r>
    <x v="264"/>
    <x v="818"/>
    <s v="A350049"/>
    <x v="1"/>
    <n v="710"/>
    <n v="33540"/>
    <n v="35217"/>
    <x v="3"/>
  </r>
  <r>
    <x v="264"/>
    <x v="896"/>
    <m/>
    <x v="11"/>
    <n v="7400"/>
    <n v="370000"/>
    <n v="388500"/>
    <x v="3"/>
  </r>
  <r>
    <x v="264"/>
    <x v="550"/>
    <s v="A265082"/>
    <x v="11"/>
    <n v="200"/>
    <n v="10000"/>
    <n v="10500"/>
    <x v="3"/>
  </r>
  <r>
    <x v="264"/>
    <x v="713"/>
    <s v="A240777"/>
    <x v="8"/>
    <n v="25"/>
    <n v="1625"/>
    <m/>
    <x v="3"/>
  </r>
  <r>
    <x v="264"/>
    <x v="897"/>
    <m/>
    <x v="0"/>
    <n v="600"/>
    <n v="30000"/>
    <n v="31500"/>
    <x v="69"/>
  </r>
  <r>
    <x v="264"/>
    <x v="897"/>
    <m/>
    <x v="0"/>
    <n v="100"/>
    <n v="5000"/>
    <n v="5250"/>
    <x v="70"/>
  </r>
  <r>
    <x v="264"/>
    <x v="897"/>
    <m/>
    <x v="0"/>
    <n v="500"/>
    <n v="25000"/>
    <n v="26250"/>
    <x v="71"/>
  </r>
  <r>
    <x v="264"/>
    <x v="897"/>
    <m/>
    <x v="0"/>
    <n v="1000"/>
    <n v="50000"/>
    <n v="52500"/>
    <x v="72"/>
  </r>
  <r>
    <x v="264"/>
    <x v="897"/>
    <m/>
    <x v="0"/>
    <n v="1200"/>
    <n v="60000"/>
    <n v="63000"/>
    <x v="73"/>
  </r>
  <r>
    <x v="264"/>
    <x v="18"/>
    <m/>
    <x v="10"/>
    <n v="20"/>
    <n v="1800"/>
    <m/>
    <x v="2"/>
  </r>
  <r>
    <x v="264"/>
    <x v="18"/>
    <m/>
    <x v="9"/>
    <n v="100"/>
    <n v="6500"/>
    <m/>
    <x v="2"/>
  </r>
  <r>
    <x v="264"/>
    <x v="18"/>
    <m/>
    <x v="11"/>
    <n v="240"/>
    <n v="20400"/>
    <n v="21420"/>
    <x v="2"/>
  </r>
  <r>
    <x v="264"/>
    <x v="18"/>
    <m/>
    <x v="0"/>
    <n v="40"/>
    <n v="3400"/>
    <n v="3570"/>
    <x v="2"/>
  </r>
  <r>
    <x v="264"/>
    <x v="432"/>
    <m/>
    <x v="11"/>
    <n v="20"/>
    <n v="1600"/>
    <n v="1680"/>
    <x v="3"/>
  </r>
  <r>
    <x v="264"/>
    <x v="123"/>
    <m/>
    <x v="10"/>
    <n v="40"/>
    <n v="3600"/>
    <m/>
    <x v="3"/>
  </r>
  <r>
    <x v="264"/>
    <x v="10"/>
    <m/>
    <x v="10"/>
    <n v="120"/>
    <n v="8160"/>
    <m/>
    <x v="2"/>
  </r>
  <r>
    <x v="264"/>
    <x v="10"/>
    <m/>
    <x v="1"/>
    <n v="20"/>
    <n v="1300"/>
    <n v="1365"/>
    <x v="2"/>
  </r>
  <r>
    <x v="264"/>
    <x v="10"/>
    <m/>
    <x v="0"/>
    <n v="100"/>
    <n v="7500"/>
    <n v="7875"/>
    <x v="2"/>
  </r>
  <r>
    <x v="264"/>
    <x v="19"/>
    <s v="A233442"/>
    <x v="6"/>
    <n v="50"/>
    <n v="3000"/>
    <m/>
    <x v="3"/>
  </r>
  <r>
    <x v="264"/>
    <x v="19"/>
    <s v="A233442"/>
    <x v="7"/>
    <n v="300"/>
    <n v="24000"/>
    <m/>
    <x v="3"/>
  </r>
  <r>
    <x v="264"/>
    <x v="19"/>
    <s v="A233442"/>
    <x v="10"/>
    <n v="400"/>
    <n v="32850"/>
    <m/>
    <x v="3"/>
  </r>
  <r>
    <x v="265"/>
    <x v="269"/>
    <s v="A415790"/>
    <x v="0"/>
    <n v="5"/>
    <n v="340"/>
    <n v="357"/>
    <x v="1"/>
  </r>
  <r>
    <x v="265"/>
    <x v="340"/>
    <m/>
    <x v="0"/>
    <n v="1"/>
    <n v="110"/>
    <n v="115.5"/>
    <x v="2"/>
  </r>
  <r>
    <x v="265"/>
    <x v="233"/>
    <m/>
    <x v="0"/>
    <n v="1"/>
    <n v="100"/>
    <n v="105"/>
    <x v="2"/>
  </r>
  <r>
    <x v="265"/>
    <x v="557"/>
    <s v="P108460"/>
    <x v="0"/>
    <n v="5"/>
    <n v="390"/>
    <n v="409.5"/>
    <x v="2"/>
  </r>
  <r>
    <x v="265"/>
    <x v="306"/>
    <s v="A244199"/>
    <x v="0"/>
    <n v="5"/>
    <n v="340"/>
    <n v="357"/>
    <x v="1"/>
  </r>
  <r>
    <x v="265"/>
    <x v="183"/>
    <s v="A275118"/>
    <x v="0"/>
    <n v="5"/>
    <n v="375"/>
    <n v="393.75"/>
    <x v="2"/>
  </r>
  <r>
    <x v="265"/>
    <x v="327"/>
    <m/>
    <x v="0"/>
    <n v="1"/>
    <n v="120"/>
    <n v="126"/>
    <x v="2"/>
  </r>
  <r>
    <x v="265"/>
    <x v="343"/>
    <s v="A257810"/>
    <x v="0"/>
    <n v="5"/>
    <n v="200"/>
    <n v="210"/>
    <x v="1"/>
  </r>
  <r>
    <x v="265"/>
    <x v="333"/>
    <s v="A317824"/>
    <x v="0"/>
    <n v="5"/>
    <n v="340"/>
    <n v="357"/>
    <x v="1"/>
  </r>
  <r>
    <x v="265"/>
    <x v="13"/>
    <m/>
    <x v="0"/>
    <n v="1"/>
    <n v="100"/>
    <n v="105"/>
    <x v="2"/>
  </r>
  <r>
    <x v="265"/>
    <x v="508"/>
    <s v="A404667"/>
    <x v="0"/>
    <n v="5"/>
    <n v="400"/>
    <n v="420"/>
    <x v="5"/>
  </r>
  <r>
    <x v="265"/>
    <x v="383"/>
    <s v="A305994"/>
    <x v="0"/>
    <n v="5"/>
    <n v="375"/>
    <n v="393.75"/>
    <x v="2"/>
  </r>
  <r>
    <x v="265"/>
    <x v="345"/>
    <m/>
    <x v="0"/>
    <n v="1"/>
    <n v="90"/>
    <n v="94.5"/>
    <x v="2"/>
  </r>
  <r>
    <x v="265"/>
    <x v="14"/>
    <m/>
    <x v="0"/>
    <n v="1"/>
    <n v="85"/>
    <n v="89.25"/>
    <x v="2"/>
  </r>
  <r>
    <x v="266"/>
    <x v="27"/>
    <s v="A242640"/>
    <x v="2"/>
    <n v="25"/>
    <n v="1875"/>
    <n v="1968.75"/>
    <x v="3"/>
  </r>
  <r>
    <x v="266"/>
    <x v="10"/>
    <m/>
    <x v="2"/>
    <n v="20"/>
    <n v="1500"/>
    <n v="1575"/>
    <x v="3"/>
  </r>
  <r>
    <x v="267"/>
    <x v="269"/>
    <s v="A415790"/>
    <x v="11"/>
    <n v="25"/>
    <n v="1500"/>
    <n v="1575"/>
    <x v="3"/>
  </r>
  <r>
    <x v="267"/>
    <x v="321"/>
    <s v="A293541"/>
    <x v="6"/>
    <n v="50"/>
    <n v="3150"/>
    <m/>
    <x v="3"/>
  </r>
  <r>
    <x v="267"/>
    <x v="321"/>
    <s v="A293541"/>
    <x v="7"/>
    <n v="125"/>
    <n v="7875"/>
    <m/>
    <x v="3"/>
  </r>
  <r>
    <x v="267"/>
    <x v="321"/>
    <s v="A293541"/>
    <x v="10"/>
    <n v="150"/>
    <n v="9450"/>
    <m/>
    <x v="3"/>
  </r>
  <r>
    <x v="267"/>
    <x v="321"/>
    <s v="A293541"/>
    <x v="8"/>
    <n v="100"/>
    <n v="6200"/>
    <m/>
    <x v="3"/>
  </r>
  <r>
    <x v="267"/>
    <x v="321"/>
    <s v="A293541"/>
    <x v="9"/>
    <n v="325"/>
    <n v="20150"/>
    <m/>
    <x v="3"/>
  </r>
  <r>
    <x v="267"/>
    <x v="321"/>
    <s v="A293541"/>
    <x v="1"/>
    <n v="100"/>
    <n v="6200"/>
    <n v="6510"/>
    <x v="3"/>
  </r>
  <r>
    <x v="267"/>
    <x v="321"/>
    <s v="A293541"/>
    <x v="2"/>
    <n v="100"/>
    <n v="6200"/>
    <n v="6510"/>
    <x v="3"/>
  </r>
  <r>
    <x v="267"/>
    <x v="321"/>
    <s v="A293541"/>
    <x v="11"/>
    <n v="50"/>
    <n v="3100"/>
    <n v="3255"/>
    <x v="3"/>
  </r>
  <r>
    <x v="267"/>
    <x v="238"/>
    <m/>
    <x v="2"/>
    <n v="5"/>
    <n v="425"/>
    <n v="446.25"/>
    <x v="3"/>
  </r>
  <r>
    <x v="267"/>
    <x v="673"/>
    <s v="A290714"/>
    <x v="6"/>
    <n v="50"/>
    <n v="3150"/>
    <m/>
    <x v="3"/>
  </r>
  <r>
    <x v="267"/>
    <x v="673"/>
    <s v="A290714"/>
    <x v="7"/>
    <n v="75"/>
    <n v="4725"/>
    <m/>
    <x v="3"/>
  </r>
  <r>
    <x v="267"/>
    <x v="673"/>
    <s v="A290714"/>
    <x v="8"/>
    <n v="25"/>
    <n v="1575"/>
    <m/>
    <x v="3"/>
  </r>
  <r>
    <x v="267"/>
    <x v="673"/>
    <s v="A290714"/>
    <x v="9"/>
    <n v="25"/>
    <n v="1575"/>
    <m/>
    <x v="3"/>
  </r>
  <r>
    <x v="267"/>
    <x v="673"/>
    <s v="A290714"/>
    <x v="1"/>
    <n v="25"/>
    <n v="1575"/>
    <n v="1653.75"/>
    <x v="3"/>
  </r>
  <r>
    <x v="267"/>
    <x v="673"/>
    <s v="A290714"/>
    <x v="2"/>
    <n v="25"/>
    <n v="1575"/>
    <n v="1653.75"/>
    <x v="3"/>
  </r>
  <r>
    <x v="267"/>
    <x v="673"/>
    <s v="A290714"/>
    <x v="11"/>
    <n v="10"/>
    <n v="630"/>
    <n v="661.5"/>
    <x v="3"/>
  </r>
  <r>
    <x v="267"/>
    <x v="898"/>
    <m/>
    <x v="4"/>
    <n v="100"/>
    <n v="5700"/>
    <m/>
    <x v="3"/>
  </r>
  <r>
    <x v="267"/>
    <x v="898"/>
    <m/>
    <x v="5"/>
    <n v="88"/>
    <n v="4966"/>
    <m/>
    <x v="3"/>
  </r>
  <r>
    <x v="267"/>
    <x v="93"/>
    <s v="A231708"/>
    <x v="4"/>
    <n v="25"/>
    <n v="1200"/>
    <m/>
    <x v="3"/>
  </r>
  <r>
    <x v="267"/>
    <x v="93"/>
    <s v="A231708"/>
    <x v="5"/>
    <n v="50"/>
    <n v="2400"/>
    <m/>
    <x v="3"/>
  </r>
  <r>
    <x v="267"/>
    <x v="93"/>
    <s v="A231708"/>
    <x v="6"/>
    <n v="25"/>
    <n v="1250"/>
    <m/>
    <x v="3"/>
  </r>
  <r>
    <x v="267"/>
    <x v="93"/>
    <s v="A231708"/>
    <x v="7"/>
    <n v="50"/>
    <n v="2500"/>
    <m/>
    <x v="3"/>
  </r>
  <r>
    <x v="267"/>
    <x v="93"/>
    <s v="A231708"/>
    <x v="10"/>
    <n v="25"/>
    <n v="1250"/>
    <m/>
    <x v="3"/>
  </r>
  <r>
    <x v="267"/>
    <x v="350"/>
    <s v="A410392"/>
    <x v="0"/>
    <n v="25"/>
    <n v="1250"/>
    <n v="1312.5"/>
    <x v="2"/>
  </r>
  <r>
    <x v="267"/>
    <x v="289"/>
    <s v="A234285"/>
    <x v="4"/>
    <n v="400"/>
    <n v="22400"/>
    <m/>
    <x v="3"/>
  </r>
  <r>
    <x v="267"/>
    <x v="289"/>
    <s v="A234285"/>
    <x v="5"/>
    <n v="425"/>
    <n v="23800"/>
    <m/>
    <x v="3"/>
  </r>
  <r>
    <x v="267"/>
    <x v="289"/>
    <s v="A234285"/>
    <x v="6"/>
    <n v="300"/>
    <n v="16800"/>
    <m/>
    <x v="3"/>
  </r>
  <r>
    <x v="267"/>
    <x v="289"/>
    <s v="A234285"/>
    <x v="7"/>
    <n v="75"/>
    <n v="4200"/>
    <m/>
    <x v="3"/>
  </r>
  <r>
    <x v="267"/>
    <x v="289"/>
    <s v="A234285"/>
    <x v="10"/>
    <n v="150"/>
    <n v="8400"/>
    <m/>
    <x v="3"/>
  </r>
  <r>
    <x v="267"/>
    <x v="289"/>
    <s v="A234285"/>
    <x v="9"/>
    <n v="25"/>
    <n v="1400"/>
    <m/>
    <x v="3"/>
  </r>
  <r>
    <x v="267"/>
    <x v="289"/>
    <s v="A234285"/>
    <x v="1"/>
    <n v="25"/>
    <n v="1400"/>
    <n v="1470"/>
    <x v="3"/>
  </r>
  <r>
    <x v="267"/>
    <x v="289"/>
    <s v="A234285"/>
    <x v="11"/>
    <n v="25"/>
    <n v="1400"/>
    <n v="1470"/>
    <x v="3"/>
  </r>
  <r>
    <x v="267"/>
    <x v="156"/>
    <s v="A231705"/>
    <x v="4"/>
    <n v="25"/>
    <n v="1575"/>
    <m/>
    <x v="3"/>
  </r>
  <r>
    <x v="267"/>
    <x v="156"/>
    <s v="A231705"/>
    <x v="5"/>
    <n v="25"/>
    <n v="1575"/>
    <m/>
    <x v="3"/>
  </r>
  <r>
    <x v="267"/>
    <x v="156"/>
    <s v="A231705"/>
    <x v="2"/>
    <n v="25"/>
    <n v="1625"/>
    <n v="1706.25"/>
    <x v="3"/>
  </r>
  <r>
    <x v="267"/>
    <x v="268"/>
    <s v="A245994"/>
    <x v="5"/>
    <n v="25"/>
    <n v="1850"/>
    <m/>
    <x v="3"/>
  </r>
  <r>
    <x v="267"/>
    <x v="16"/>
    <s v="A241225"/>
    <x v="4"/>
    <n v="175"/>
    <n v="7500"/>
    <m/>
    <x v="3"/>
  </r>
  <r>
    <x v="267"/>
    <x v="16"/>
    <s v="A241225"/>
    <x v="5"/>
    <n v="150"/>
    <n v="7500"/>
    <m/>
    <x v="3"/>
  </r>
  <r>
    <x v="267"/>
    <x v="16"/>
    <s v="A241225"/>
    <x v="6"/>
    <n v="100"/>
    <n v="5300"/>
    <m/>
    <x v="3"/>
  </r>
  <r>
    <x v="267"/>
    <x v="16"/>
    <s v="A241225"/>
    <x v="7"/>
    <n v="150"/>
    <n v="7950"/>
    <m/>
    <x v="3"/>
  </r>
  <r>
    <x v="267"/>
    <x v="16"/>
    <s v="A241225"/>
    <x v="10"/>
    <n v="100"/>
    <n v="5300"/>
    <m/>
    <x v="3"/>
  </r>
  <r>
    <x v="267"/>
    <x v="16"/>
    <s v="A241225"/>
    <x v="8"/>
    <n v="25"/>
    <n v="1325"/>
    <m/>
    <x v="3"/>
  </r>
  <r>
    <x v="267"/>
    <x v="241"/>
    <s v="A401495"/>
    <x v="2"/>
    <n v="150"/>
    <n v="7950"/>
    <n v="8347.5"/>
    <x v="1"/>
  </r>
  <r>
    <x v="267"/>
    <x v="241"/>
    <s v="A401495"/>
    <x v="11"/>
    <n v="150"/>
    <n v="7950"/>
    <n v="8347.5"/>
    <x v="1"/>
  </r>
  <r>
    <x v="267"/>
    <x v="241"/>
    <s v="A401495"/>
    <x v="0"/>
    <n v="25"/>
    <n v="1325"/>
    <n v="1391.25"/>
    <x v="1"/>
  </r>
  <r>
    <x v="267"/>
    <x v="293"/>
    <s v="A248825"/>
    <x v="10"/>
    <n v="25"/>
    <n v="1700"/>
    <m/>
    <x v="3"/>
  </r>
  <r>
    <x v="267"/>
    <x v="13"/>
    <m/>
    <x v="1"/>
    <n v="13"/>
    <n v="1860"/>
    <n v="1953"/>
    <x v="3"/>
  </r>
  <r>
    <x v="267"/>
    <x v="166"/>
    <s v="A231706"/>
    <x v="4"/>
    <n v="25"/>
    <n v="1625"/>
    <m/>
    <x v="3"/>
  </r>
  <r>
    <x v="267"/>
    <x v="166"/>
    <s v="A231706"/>
    <x v="5"/>
    <n v="25"/>
    <n v="1625"/>
    <m/>
    <x v="3"/>
  </r>
  <r>
    <x v="267"/>
    <x v="166"/>
    <s v="A231706"/>
    <x v="7"/>
    <n v="25"/>
    <n v="1625"/>
    <m/>
    <x v="3"/>
  </r>
  <r>
    <x v="267"/>
    <x v="166"/>
    <s v="A231706"/>
    <x v="8"/>
    <n v="25"/>
    <n v="1625"/>
    <m/>
    <x v="3"/>
  </r>
  <r>
    <x v="267"/>
    <x v="166"/>
    <s v="A231706"/>
    <x v="9"/>
    <n v="25"/>
    <n v="1625"/>
    <m/>
    <x v="3"/>
  </r>
  <r>
    <x v="267"/>
    <x v="19"/>
    <s v="A233442"/>
    <x v="4"/>
    <n v="25"/>
    <n v="1375"/>
    <m/>
    <x v="3"/>
  </r>
  <r>
    <x v="267"/>
    <x v="19"/>
    <s v="A233442"/>
    <x v="5"/>
    <n v="25"/>
    <n v="1375"/>
    <m/>
    <x v="3"/>
  </r>
  <r>
    <x v="267"/>
    <x v="19"/>
    <s v="A233442"/>
    <x v="7"/>
    <n v="50"/>
    <n v="2750"/>
    <m/>
    <x v="3"/>
  </r>
  <r>
    <x v="267"/>
    <x v="441"/>
    <s v="A250893"/>
    <x v="5"/>
    <n v="50"/>
    <n v="3450"/>
    <m/>
    <x v="3"/>
  </r>
  <r>
    <x v="267"/>
    <x v="441"/>
    <s v="A250893"/>
    <x v="7"/>
    <n v="50"/>
    <n v="3450"/>
    <m/>
    <x v="3"/>
  </r>
  <r>
    <x v="267"/>
    <x v="14"/>
    <m/>
    <x v="2"/>
    <n v="15"/>
    <n v="1050"/>
    <n v="1102.5"/>
    <x v="3"/>
  </r>
  <r>
    <x v="267"/>
    <x v="14"/>
    <m/>
    <x v="11"/>
    <n v="10"/>
    <n v="700"/>
    <n v="735"/>
    <x v="3"/>
  </r>
  <r>
    <x v="268"/>
    <x v="899"/>
    <s v="A351968"/>
    <x v="1"/>
    <n v="10"/>
    <n v="2200"/>
    <n v="2310"/>
    <x v="3"/>
  </r>
  <r>
    <x v="268"/>
    <x v="900"/>
    <m/>
    <x v="9"/>
    <n v="10"/>
    <n v="1400"/>
    <m/>
    <x v="3"/>
  </r>
  <r>
    <x v="268"/>
    <x v="209"/>
    <s v="A281163"/>
    <x v="8"/>
    <n v="10"/>
    <n v="1350"/>
    <m/>
    <x v="3"/>
  </r>
  <r>
    <x v="268"/>
    <x v="48"/>
    <s v="A245955"/>
    <x v="8"/>
    <n v="30"/>
    <n v="6950"/>
    <m/>
    <x v="3"/>
  </r>
  <r>
    <x v="268"/>
    <x v="48"/>
    <s v="A245955"/>
    <x v="1"/>
    <n v="5"/>
    <n v="1200"/>
    <n v="1260"/>
    <x v="3"/>
  </r>
  <r>
    <x v="268"/>
    <x v="48"/>
    <s v="A245955"/>
    <x v="2"/>
    <n v="10"/>
    <n v="2400"/>
    <n v="2520"/>
    <x v="3"/>
  </r>
  <r>
    <x v="268"/>
    <x v="156"/>
    <s v="A231705"/>
    <x v="1"/>
    <n v="10"/>
    <n v="1000"/>
    <n v="1050"/>
    <x v="3"/>
  </r>
  <r>
    <x v="268"/>
    <x v="50"/>
    <s v="A329793"/>
    <x v="1"/>
    <n v="5"/>
    <n v="1200"/>
    <n v="1260"/>
    <x v="3"/>
  </r>
  <r>
    <x v="268"/>
    <x v="28"/>
    <s v="A233711"/>
    <x v="8"/>
    <n v="5"/>
    <n v="700"/>
    <m/>
    <x v="3"/>
  </r>
  <r>
    <x v="268"/>
    <x v="28"/>
    <s v="A233711"/>
    <x v="9"/>
    <n v="10"/>
    <n v="1400"/>
    <m/>
    <x v="3"/>
  </r>
  <r>
    <x v="268"/>
    <x v="57"/>
    <s v="A292908"/>
    <x v="8"/>
    <n v="15"/>
    <n v="3100"/>
    <m/>
    <x v="3"/>
  </r>
  <r>
    <x v="268"/>
    <x v="57"/>
    <s v="A292908"/>
    <x v="9"/>
    <n v="25"/>
    <n v="5500"/>
    <m/>
    <x v="3"/>
  </r>
  <r>
    <x v="268"/>
    <x v="293"/>
    <s v="A248825"/>
    <x v="9"/>
    <n v="5"/>
    <n v="800"/>
    <m/>
    <x v="3"/>
  </r>
  <r>
    <x v="268"/>
    <x v="263"/>
    <s v="A403817"/>
    <x v="1"/>
    <n v="5"/>
    <n v="800"/>
    <n v="840"/>
    <x v="3"/>
  </r>
  <r>
    <x v="268"/>
    <x v="168"/>
    <s v="A295590"/>
    <x v="8"/>
    <n v="5"/>
    <n v="1100"/>
    <m/>
    <x v="3"/>
  </r>
  <r>
    <x v="268"/>
    <x v="168"/>
    <s v="A295590"/>
    <x v="9"/>
    <n v="10"/>
    <n v="2200"/>
    <m/>
    <x v="3"/>
  </r>
  <r>
    <x v="268"/>
    <x v="33"/>
    <s v="A338959"/>
    <x v="1"/>
    <n v="20"/>
    <n v="3650"/>
    <n v="3832.5"/>
    <x v="3"/>
  </r>
  <r>
    <x v="268"/>
    <x v="19"/>
    <s v="A233442"/>
    <x v="8"/>
    <n v="15"/>
    <n v="1650"/>
    <m/>
    <x v="3"/>
  </r>
  <r>
    <x v="268"/>
    <x v="19"/>
    <s v="A233442"/>
    <x v="9"/>
    <n v="25"/>
    <n v="2750"/>
    <m/>
    <x v="3"/>
  </r>
  <r>
    <x v="268"/>
    <x v="122"/>
    <s v="A269415"/>
    <x v="8"/>
    <n v="5"/>
    <n v="1100"/>
    <m/>
    <x v="3"/>
  </r>
  <r>
    <x v="268"/>
    <x v="122"/>
    <s v="A269415"/>
    <x v="9"/>
    <n v="5"/>
    <n v="1100"/>
    <m/>
    <x v="3"/>
  </r>
  <r>
    <x v="268"/>
    <x v="122"/>
    <s v="A269415"/>
    <x v="1"/>
    <n v="5"/>
    <n v="1100"/>
    <n v="1155"/>
    <x v="3"/>
  </r>
  <r>
    <x v="269"/>
    <x v="544"/>
    <s v="A294408"/>
    <x v="9"/>
    <n v="5"/>
    <n v="1250"/>
    <m/>
    <x v="3"/>
  </r>
  <r>
    <x v="269"/>
    <x v="544"/>
    <s v="A294408"/>
    <x v="1"/>
    <n v="5"/>
    <n v="1250"/>
    <n v="1312.5"/>
    <x v="3"/>
  </r>
  <r>
    <x v="269"/>
    <x v="901"/>
    <m/>
    <x v="9"/>
    <n v="10"/>
    <n v="2000"/>
    <m/>
    <x v="3"/>
  </r>
  <r>
    <x v="269"/>
    <x v="38"/>
    <s v="A273820"/>
    <x v="9"/>
    <n v="5"/>
    <n v="1000"/>
    <m/>
    <x v="2"/>
  </r>
  <r>
    <x v="269"/>
    <x v="38"/>
    <s v="A273820"/>
    <x v="1"/>
    <n v="5"/>
    <n v="1000"/>
    <n v="1050"/>
    <x v="2"/>
  </r>
  <r>
    <x v="269"/>
    <x v="38"/>
    <s v="A273820"/>
    <x v="2"/>
    <n v="4"/>
    <n v="800"/>
    <n v="840"/>
    <x v="2"/>
  </r>
  <r>
    <x v="269"/>
    <x v="38"/>
    <s v="A273820"/>
    <x v="11"/>
    <n v="6"/>
    <n v="1200"/>
    <n v="1260"/>
    <x v="2"/>
  </r>
  <r>
    <x v="269"/>
    <x v="38"/>
    <s v="A273820"/>
    <x v="0"/>
    <n v="1"/>
    <n v="200"/>
    <n v="210"/>
    <x v="2"/>
  </r>
  <r>
    <x v="269"/>
    <x v="11"/>
    <m/>
    <x v="9"/>
    <n v="10"/>
    <n v="1400"/>
    <m/>
    <x v="3"/>
  </r>
  <r>
    <x v="269"/>
    <x v="233"/>
    <m/>
    <x v="9"/>
    <n v="10"/>
    <n v="1500"/>
    <m/>
    <x v="3"/>
  </r>
  <r>
    <x v="269"/>
    <x v="256"/>
    <s v="A407971"/>
    <x v="2"/>
    <n v="2"/>
    <n v="360"/>
    <n v="378"/>
    <x v="5"/>
  </r>
  <r>
    <x v="269"/>
    <x v="256"/>
    <s v="A407971"/>
    <x v="11"/>
    <n v="6"/>
    <n v="1080"/>
    <n v="1134"/>
    <x v="5"/>
  </r>
  <r>
    <x v="269"/>
    <x v="256"/>
    <s v="A407971"/>
    <x v="0"/>
    <n v="2"/>
    <n v="360"/>
    <n v="378"/>
    <x v="5"/>
  </r>
  <r>
    <x v="269"/>
    <x v="469"/>
    <s v="A248486"/>
    <x v="10"/>
    <n v="3"/>
    <n v="360"/>
    <m/>
    <x v="3"/>
  </r>
  <r>
    <x v="269"/>
    <x v="469"/>
    <s v="A248486"/>
    <x v="9"/>
    <n v="5"/>
    <n v="600"/>
    <m/>
    <x v="3"/>
  </r>
  <r>
    <x v="269"/>
    <x v="902"/>
    <m/>
    <x v="8"/>
    <n v="5"/>
    <n v="650"/>
    <m/>
    <x v="3"/>
  </r>
  <r>
    <x v="269"/>
    <x v="3"/>
    <s v="A232126"/>
    <x v="10"/>
    <n v="4"/>
    <n v="600"/>
    <m/>
    <x v="2"/>
  </r>
  <r>
    <x v="269"/>
    <x v="3"/>
    <s v="A232126"/>
    <x v="8"/>
    <n v="10"/>
    <n v="1500"/>
    <m/>
    <x v="2"/>
  </r>
  <r>
    <x v="269"/>
    <x v="3"/>
    <s v="A232126"/>
    <x v="1"/>
    <n v="5"/>
    <n v="750"/>
    <n v="787.5"/>
    <x v="2"/>
  </r>
  <r>
    <x v="269"/>
    <x v="3"/>
    <s v="A232126"/>
    <x v="2"/>
    <n v="5"/>
    <n v="750"/>
    <n v="787.5"/>
    <x v="2"/>
  </r>
  <r>
    <x v="269"/>
    <x v="3"/>
    <s v="A232126"/>
    <x v="11"/>
    <n v="15"/>
    <n v="2250"/>
    <n v="2362.5"/>
    <x v="2"/>
  </r>
  <r>
    <x v="269"/>
    <x v="3"/>
    <s v="A232126"/>
    <x v="0"/>
    <n v="9"/>
    <n v="1350"/>
    <n v="1417.5"/>
    <x v="2"/>
  </r>
  <r>
    <x v="269"/>
    <x v="53"/>
    <s v="A249179"/>
    <x v="11"/>
    <n v="5"/>
    <n v="425"/>
    <n v="446.25"/>
    <x v="2"/>
  </r>
  <r>
    <x v="269"/>
    <x v="53"/>
    <s v="A249179"/>
    <x v="0"/>
    <n v="5"/>
    <n v="425"/>
    <n v="446.25"/>
    <x v="2"/>
  </r>
  <r>
    <x v="269"/>
    <x v="55"/>
    <s v="A403816"/>
    <x v="2"/>
    <n v="2"/>
    <n v="420"/>
    <n v="441"/>
    <x v="3"/>
  </r>
  <r>
    <x v="269"/>
    <x v="94"/>
    <s v="A339929"/>
    <x v="9"/>
    <n v="5"/>
    <n v="650"/>
    <m/>
    <x v="3"/>
  </r>
  <r>
    <x v="269"/>
    <x v="30"/>
    <s v="A233444"/>
    <x v="11"/>
    <n v="3"/>
    <n v="225"/>
    <n v="236.25"/>
    <x v="5"/>
  </r>
  <r>
    <x v="269"/>
    <x v="30"/>
    <s v="A233444"/>
    <x v="0"/>
    <n v="1"/>
    <n v="75"/>
    <n v="78.75"/>
    <x v="5"/>
  </r>
  <r>
    <x v="269"/>
    <x v="816"/>
    <s v="A419009"/>
    <x v="11"/>
    <n v="6"/>
    <n v="510"/>
    <n v="535.5"/>
    <x v="1"/>
  </r>
  <r>
    <x v="269"/>
    <x v="816"/>
    <s v="A419009"/>
    <x v="0"/>
    <n v="5"/>
    <n v="425"/>
    <n v="446.25"/>
    <x v="1"/>
  </r>
  <r>
    <x v="269"/>
    <x v="243"/>
    <s v="A232125"/>
    <x v="10"/>
    <n v="4"/>
    <n v="400"/>
    <m/>
    <x v="3"/>
  </r>
  <r>
    <x v="269"/>
    <x v="712"/>
    <s v="A246165"/>
    <x v="9"/>
    <n v="5"/>
    <n v="500"/>
    <m/>
    <x v="3"/>
  </r>
  <r>
    <x v="269"/>
    <x v="13"/>
    <m/>
    <x v="9"/>
    <n v="10"/>
    <n v="1500"/>
    <m/>
    <x v="3"/>
  </r>
  <r>
    <x v="269"/>
    <x v="166"/>
    <s v="A231706"/>
    <x v="9"/>
    <n v="5"/>
    <n v="650"/>
    <m/>
    <x v="3"/>
  </r>
  <r>
    <x v="269"/>
    <x v="344"/>
    <s v="A415791"/>
    <x v="11"/>
    <n v="2"/>
    <n v="260"/>
    <n v="273"/>
    <x v="3"/>
  </r>
  <r>
    <x v="269"/>
    <x v="578"/>
    <s v="A283876"/>
    <x v="11"/>
    <n v="9"/>
    <n v="1710"/>
    <n v="1795.5"/>
    <x v="6"/>
  </r>
  <r>
    <x v="269"/>
    <x v="578"/>
    <s v="A283876"/>
    <x v="0"/>
    <n v="5"/>
    <n v="950"/>
    <n v="997.5"/>
    <x v="6"/>
  </r>
  <r>
    <x v="269"/>
    <x v="31"/>
    <s v="A349425"/>
    <x v="1"/>
    <n v="5"/>
    <n v="1500"/>
    <n v="1575"/>
    <x v="3"/>
  </r>
  <r>
    <x v="269"/>
    <x v="32"/>
    <s v="A295590"/>
    <x v="1"/>
    <n v="5"/>
    <n v="1500"/>
    <n v="1575"/>
    <x v="3"/>
  </r>
  <r>
    <x v="269"/>
    <x v="32"/>
    <s v="A295590"/>
    <x v="2"/>
    <n v="10"/>
    <n v="3000"/>
    <n v="3150"/>
    <x v="3"/>
  </r>
  <r>
    <x v="269"/>
    <x v="32"/>
    <s v="A295590"/>
    <x v="11"/>
    <n v="2"/>
    <n v="600"/>
    <n v="630"/>
    <x v="3"/>
  </r>
  <r>
    <x v="269"/>
    <x v="903"/>
    <m/>
    <x v="9"/>
    <n v="5"/>
    <n v="3000"/>
    <m/>
    <x v="3"/>
  </r>
  <r>
    <x v="269"/>
    <x v="247"/>
    <s v="A402013"/>
    <x v="11"/>
    <n v="4"/>
    <n v="260"/>
    <n v="273"/>
    <x v="3"/>
  </r>
  <r>
    <x v="269"/>
    <x v="422"/>
    <s v="A294408"/>
    <x v="2"/>
    <n v="2"/>
    <n v="500"/>
    <n v="525"/>
    <x v="5"/>
  </r>
  <r>
    <x v="269"/>
    <x v="422"/>
    <s v="A294408"/>
    <x v="11"/>
    <n v="2"/>
    <n v="360"/>
    <n v="378"/>
    <x v="5"/>
  </r>
  <r>
    <x v="269"/>
    <x v="422"/>
    <s v="A294408"/>
    <x v="0"/>
    <n v="2"/>
    <n v="360"/>
    <n v="378"/>
    <x v="5"/>
  </r>
  <r>
    <x v="269"/>
    <x v="14"/>
    <m/>
    <x v="9"/>
    <n v="10"/>
    <n v="1400"/>
    <m/>
    <x v="3"/>
  </r>
  <r>
    <x v="269"/>
    <x v="34"/>
    <s v="A258696"/>
    <x v="11"/>
    <n v="3"/>
    <n v="285"/>
    <n v="299.25"/>
    <x v="5"/>
  </r>
  <r>
    <x v="269"/>
    <x v="34"/>
    <s v="A258696"/>
    <x v="0"/>
    <n v="4"/>
    <n v="380"/>
    <n v="399"/>
    <x v="5"/>
  </r>
  <r>
    <x v="269"/>
    <x v="347"/>
    <s v="A417703"/>
    <x v="11"/>
    <n v="4"/>
    <n v="340"/>
    <n v="357"/>
    <x v="2"/>
  </r>
  <r>
    <x v="269"/>
    <x v="347"/>
    <s v="A417703"/>
    <x v="0"/>
    <n v="4"/>
    <n v="340"/>
    <n v="357"/>
    <x v="2"/>
  </r>
  <r>
    <x v="269"/>
    <x v="83"/>
    <s v="A243193"/>
    <x v="0"/>
    <n v="4"/>
    <n v="800"/>
    <n v="840"/>
    <x v="2"/>
  </r>
  <r>
    <x v="269"/>
    <x v="575"/>
    <s v="A280535"/>
    <x v="11"/>
    <n v="8"/>
    <n v="1600"/>
    <n v="1680"/>
    <x v="3"/>
  </r>
  <r>
    <x v="270"/>
    <x v="23"/>
    <m/>
    <x v="0"/>
    <n v="10"/>
    <n v="2800"/>
    <n v="2940"/>
    <x v="2"/>
  </r>
  <r>
    <x v="270"/>
    <x v="55"/>
    <s v="A403816"/>
    <x v="2"/>
    <n v="5"/>
    <n v="1100"/>
    <n v="1155"/>
    <x v="3"/>
  </r>
  <r>
    <x v="270"/>
    <x v="161"/>
    <s v="A293577"/>
    <x v="1"/>
    <n v="25"/>
    <n v="4500"/>
    <n v="4725"/>
    <x v="3"/>
  </r>
  <r>
    <x v="270"/>
    <x v="680"/>
    <s v="P09390"/>
    <x v="11"/>
    <n v="10"/>
    <n v="2600"/>
    <n v="2730"/>
    <x v="2"/>
  </r>
  <r>
    <x v="270"/>
    <x v="680"/>
    <s v="P09390"/>
    <x v="0"/>
    <n v="10"/>
    <n v="2600"/>
    <n v="2730"/>
    <x v="2"/>
  </r>
  <r>
    <x v="271"/>
    <x v="233"/>
    <m/>
    <x v="9"/>
    <n v="10"/>
    <n v="950"/>
    <m/>
    <x v="3"/>
  </r>
  <r>
    <x v="271"/>
    <x v="233"/>
    <m/>
    <x v="2"/>
    <n v="10"/>
    <n v="950"/>
    <n v="997.5"/>
    <x v="3"/>
  </r>
  <r>
    <x v="271"/>
    <x v="233"/>
    <m/>
    <x v="11"/>
    <n v="10"/>
    <n v="950"/>
    <n v="997.5"/>
    <x v="3"/>
  </r>
  <r>
    <x v="271"/>
    <x v="238"/>
    <m/>
    <x v="9"/>
    <n v="10"/>
    <n v="1100"/>
    <m/>
    <x v="3"/>
  </r>
  <r>
    <x v="271"/>
    <x v="12"/>
    <m/>
    <x v="0"/>
    <n v="20"/>
    <n v="1860"/>
    <n v="1953"/>
    <x v="2"/>
  </r>
  <r>
    <x v="271"/>
    <x v="822"/>
    <s v="A292853"/>
    <x v="7"/>
    <n v="75"/>
    <n v="7875"/>
    <m/>
    <x v="2"/>
  </r>
  <r>
    <x v="271"/>
    <x v="822"/>
    <s v="A292853"/>
    <x v="10"/>
    <n v="175"/>
    <n v="18375"/>
    <m/>
    <x v="2"/>
  </r>
  <r>
    <x v="271"/>
    <x v="822"/>
    <s v="A292853"/>
    <x v="8"/>
    <n v="225"/>
    <n v="23625"/>
    <m/>
    <x v="2"/>
  </r>
  <r>
    <x v="271"/>
    <x v="822"/>
    <s v="A292853"/>
    <x v="9"/>
    <n v="195"/>
    <n v="20475"/>
    <m/>
    <x v="2"/>
  </r>
  <r>
    <x v="271"/>
    <x v="822"/>
    <s v="A292853"/>
    <x v="1"/>
    <n v="200"/>
    <n v="30500"/>
    <n v="32025"/>
    <x v="2"/>
  </r>
  <r>
    <x v="271"/>
    <x v="822"/>
    <s v="A292853"/>
    <x v="2"/>
    <n v="300"/>
    <n v="31500"/>
    <n v="33075"/>
    <x v="2"/>
  </r>
  <r>
    <x v="271"/>
    <x v="822"/>
    <s v="A292853"/>
    <x v="11"/>
    <n v="125"/>
    <n v="13125"/>
    <n v="13781.25"/>
    <x v="2"/>
  </r>
  <r>
    <x v="271"/>
    <x v="822"/>
    <s v="A292853"/>
    <x v="0"/>
    <n v="75"/>
    <n v="7875"/>
    <n v="8268.75"/>
    <x v="2"/>
  </r>
  <r>
    <x v="271"/>
    <x v="93"/>
    <s v="A231708"/>
    <x v="5"/>
    <n v="25"/>
    <n v="1750"/>
    <m/>
    <x v="3"/>
  </r>
  <r>
    <x v="271"/>
    <x v="93"/>
    <s v="A231708"/>
    <x v="6"/>
    <n v="25"/>
    <n v="1750"/>
    <m/>
    <x v="3"/>
  </r>
  <r>
    <x v="271"/>
    <x v="93"/>
    <s v="A231708"/>
    <x v="7"/>
    <n v="50"/>
    <n v="3500"/>
    <m/>
    <x v="3"/>
  </r>
  <r>
    <x v="271"/>
    <x v="93"/>
    <s v="A231708"/>
    <x v="10"/>
    <n v="25"/>
    <n v="1750"/>
    <m/>
    <x v="3"/>
  </r>
  <r>
    <x v="271"/>
    <x v="93"/>
    <s v="A231708"/>
    <x v="8"/>
    <n v="25"/>
    <n v="1750"/>
    <m/>
    <x v="3"/>
  </r>
  <r>
    <x v="271"/>
    <x v="141"/>
    <s v="A249778"/>
    <x v="4"/>
    <n v="50"/>
    <n v="3700"/>
    <m/>
    <x v="3"/>
  </r>
  <r>
    <x v="271"/>
    <x v="141"/>
    <s v="A249778"/>
    <x v="5"/>
    <n v="125"/>
    <n v="9400"/>
    <m/>
    <x v="3"/>
  </r>
  <r>
    <x v="271"/>
    <x v="141"/>
    <s v="A249778"/>
    <x v="6"/>
    <n v="25"/>
    <n v="2000"/>
    <m/>
    <x v="3"/>
  </r>
  <r>
    <x v="271"/>
    <x v="141"/>
    <s v="A249778"/>
    <x v="9"/>
    <n v="175"/>
    <n v="11375"/>
    <m/>
    <x v="3"/>
  </r>
  <r>
    <x v="271"/>
    <x v="141"/>
    <s v="A249778"/>
    <x v="1"/>
    <n v="125"/>
    <n v="8375"/>
    <n v="8793.75"/>
    <x v="3"/>
  </r>
  <r>
    <x v="271"/>
    <x v="141"/>
    <s v="A249778"/>
    <x v="2"/>
    <n v="25"/>
    <n v="1625"/>
    <n v="1706.25"/>
    <x v="3"/>
  </r>
  <r>
    <x v="271"/>
    <x v="16"/>
    <s v="A235942"/>
    <x v="4"/>
    <n v="75"/>
    <n v="4875"/>
    <m/>
    <x v="3"/>
  </r>
  <r>
    <x v="271"/>
    <x v="16"/>
    <s v="A241225"/>
    <x v="4"/>
    <n v="50"/>
    <n v="2000"/>
    <m/>
    <x v="3"/>
  </r>
  <r>
    <x v="271"/>
    <x v="16"/>
    <s v="A255224"/>
    <x v="4"/>
    <n v="50"/>
    <n v="3750"/>
    <m/>
    <x v="3"/>
  </r>
  <r>
    <x v="271"/>
    <x v="16"/>
    <s v="A235942"/>
    <x v="5"/>
    <n v="50"/>
    <n v="4125"/>
    <m/>
    <x v="3"/>
  </r>
  <r>
    <x v="271"/>
    <x v="16"/>
    <s v="A255224"/>
    <x v="5"/>
    <n v="50"/>
    <n v="3750"/>
    <m/>
    <x v="3"/>
  </r>
  <r>
    <x v="271"/>
    <x v="16"/>
    <s v="A297444"/>
    <x v="6"/>
    <n v="50"/>
    <n v="3600"/>
    <m/>
    <x v="3"/>
  </r>
  <r>
    <x v="271"/>
    <x v="16"/>
    <s v="A297444"/>
    <x v="7"/>
    <n v="25"/>
    <n v="1800"/>
    <m/>
    <x v="3"/>
  </r>
  <r>
    <x v="271"/>
    <x v="28"/>
    <s v="A233711"/>
    <x v="5"/>
    <n v="150"/>
    <n v="13200"/>
    <m/>
    <x v="3"/>
  </r>
  <r>
    <x v="271"/>
    <x v="28"/>
    <s v="A233711"/>
    <x v="6"/>
    <n v="50"/>
    <n v="4150"/>
    <m/>
    <x v="3"/>
  </r>
  <r>
    <x v="271"/>
    <x v="28"/>
    <s v="A233711"/>
    <x v="7"/>
    <n v="50"/>
    <n v="4150"/>
    <m/>
    <x v="3"/>
  </r>
  <r>
    <x v="271"/>
    <x v="4"/>
    <s v="A231709"/>
    <x v="7"/>
    <n v="25"/>
    <n v="1800"/>
    <m/>
    <x v="3"/>
  </r>
  <r>
    <x v="271"/>
    <x v="4"/>
    <s v="A231709"/>
    <x v="1"/>
    <n v="100"/>
    <n v="7000"/>
    <n v="7350"/>
    <x v="3"/>
  </r>
  <r>
    <x v="271"/>
    <x v="4"/>
    <s v="A231709"/>
    <x v="2"/>
    <n v="75"/>
    <n v="5250"/>
    <n v="5512.5"/>
    <x v="3"/>
  </r>
  <r>
    <x v="271"/>
    <x v="494"/>
    <s v="A257810"/>
    <x v="1"/>
    <n v="25"/>
    <n v="1800"/>
    <n v="1890"/>
    <x v="3"/>
  </r>
  <r>
    <x v="271"/>
    <x v="494"/>
    <s v="A257810"/>
    <x v="2"/>
    <n v="50"/>
    <n v="3600"/>
    <n v="3780"/>
    <x v="3"/>
  </r>
  <r>
    <x v="271"/>
    <x v="53"/>
    <s v="A249179"/>
    <x v="1"/>
    <n v="25"/>
    <n v="2125"/>
    <n v="2231.25"/>
    <x v="3"/>
  </r>
  <r>
    <x v="271"/>
    <x v="293"/>
    <s v="A248825"/>
    <x v="10"/>
    <n v="25"/>
    <n v="2125"/>
    <m/>
    <x v="3"/>
  </r>
  <r>
    <x v="271"/>
    <x v="243"/>
    <s v="A232125"/>
    <x v="5"/>
    <n v="25"/>
    <n v="1925"/>
    <m/>
    <x v="3"/>
  </r>
  <r>
    <x v="271"/>
    <x v="243"/>
    <s v="A232125"/>
    <x v="6"/>
    <n v="25"/>
    <n v="1925"/>
    <m/>
    <x v="3"/>
  </r>
  <r>
    <x v="271"/>
    <x v="243"/>
    <s v="A232125"/>
    <x v="7"/>
    <n v="25"/>
    <n v="1925"/>
    <m/>
    <x v="3"/>
  </r>
  <r>
    <x v="271"/>
    <x v="712"/>
    <s v="A246165"/>
    <x v="4"/>
    <n v="143"/>
    <n v="11011"/>
    <m/>
    <x v="3"/>
  </r>
  <r>
    <x v="271"/>
    <x v="712"/>
    <s v="A246165"/>
    <x v="5"/>
    <n v="100"/>
    <n v="7700"/>
    <m/>
    <x v="3"/>
  </r>
  <r>
    <x v="271"/>
    <x v="13"/>
    <m/>
    <x v="9"/>
    <n v="10"/>
    <n v="1200"/>
    <m/>
    <x v="2"/>
  </r>
  <r>
    <x v="271"/>
    <x v="13"/>
    <m/>
    <x v="1"/>
    <n v="10"/>
    <n v="1200"/>
    <n v="1260"/>
    <x v="2"/>
  </r>
  <r>
    <x v="271"/>
    <x v="13"/>
    <m/>
    <x v="2"/>
    <n v="20"/>
    <n v="2400"/>
    <n v="2520"/>
    <x v="2"/>
  </r>
  <r>
    <x v="271"/>
    <x v="13"/>
    <m/>
    <x v="11"/>
    <n v="10"/>
    <n v="1200"/>
    <n v="1260"/>
    <x v="2"/>
  </r>
  <r>
    <x v="271"/>
    <x v="13"/>
    <m/>
    <x v="0"/>
    <n v="10"/>
    <n v="1200"/>
    <n v="1260"/>
    <x v="2"/>
  </r>
  <r>
    <x v="271"/>
    <x v="97"/>
    <s v="A299992"/>
    <x v="9"/>
    <n v="25"/>
    <n v="1625"/>
    <m/>
    <x v="3"/>
  </r>
  <r>
    <x v="271"/>
    <x v="166"/>
    <s v="A231706"/>
    <x v="4"/>
    <n v="75"/>
    <n v="5250"/>
    <m/>
    <x v="3"/>
  </r>
  <r>
    <x v="271"/>
    <x v="166"/>
    <s v="A231706"/>
    <x v="5"/>
    <n v="75"/>
    <n v="5625"/>
    <m/>
    <x v="3"/>
  </r>
  <r>
    <x v="271"/>
    <x v="166"/>
    <s v="A231706"/>
    <x v="6"/>
    <n v="75"/>
    <n v="5625"/>
    <m/>
    <x v="3"/>
  </r>
  <r>
    <x v="271"/>
    <x v="166"/>
    <s v="A231706"/>
    <x v="7"/>
    <n v="75"/>
    <n v="5625"/>
    <m/>
    <x v="3"/>
  </r>
  <r>
    <x v="271"/>
    <x v="166"/>
    <s v="A231706"/>
    <x v="10"/>
    <n v="50"/>
    <n v="3750"/>
    <m/>
    <x v="3"/>
  </r>
  <r>
    <x v="271"/>
    <x v="166"/>
    <s v="A231706"/>
    <x v="8"/>
    <n v="25"/>
    <n v="1875"/>
    <m/>
    <x v="3"/>
  </r>
  <r>
    <x v="271"/>
    <x v="19"/>
    <s v="A225833"/>
    <x v="4"/>
    <n v="25"/>
    <n v="1375"/>
    <m/>
    <x v="3"/>
  </r>
  <r>
    <x v="271"/>
    <x v="19"/>
    <s v="A233442"/>
    <x v="4"/>
    <n v="25"/>
    <n v="1625"/>
    <m/>
    <x v="3"/>
  </r>
  <r>
    <x v="271"/>
    <x v="19"/>
    <s v="A233442"/>
    <x v="5"/>
    <n v="75"/>
    <n v="4875"/>
    <m/>
    <x v="3"/>
  </r>
  <r>
    <x v="271"/>
    <x v="19"/>
    <s v="A233442"/>
    <x v="6"/>
    <n v="170"/>
    <n v="11050"/>
    <m/>
    <x v="3"/>
  </r>
  <r>
    <x v="271"/>
    <x v="19"/>
    <s v="A233442"/>
    <x v="7"/>
    <n v="150"/>
    <n v="9750"/>
    <m/>
    <x v="3"/>
  </r>
  <r>
    <x v="271"/>
    <x v="19"/>
    <s v="A233442"/>
    <x v="10"/>
    <n v="200"/>
    <n v="13250"/>
    <m/>
    <x v="3"/>
  </r>
  <r>
    <x v="271"/>
    <x v="19"/>
    <s v="A233442"/>
    <x v="8"/>
    <n v="150"/>
    <n v="9750"/>
    <m/>
    <x v="3"/>
  </r>
  <r>
    <x v="271"/>
    <x v="19"/>
    <s v="A233442"/>
    <x v="9"/>
    <n v="125"/>
    <n v="8125"/>
    <m/>
    <x v="3"/>
  </r>
  <r>
    <x v="271"/>
    <x v="19"/>
    <s v="A233442"/>
    <x v="1"/>
    <n v="75"/>
    <n v="4875"/>
    <n v="5118.75"/>
    <x v="3"/>
  </r>
  <r>
    <x v="271"/>
    <x v="19"/>
    <s v="A233442"/>
    <x v="2"/>
    <n v="50"/>
    <n v="3250"/>
    <n v="3412.5"/>
    <x v="3"/>
  </r>
  <r>
    <x v="271"/>
    <x v="247"/>
    <s v="A402013"/>
    <x v="2"/>
    <n v="100"/>
    <n v="6500"/>
    <n v="6825"/>
    <x v="1"/>
  </r>
  <r>
    <x v="271"/>
    <x v="247"/>
    <s v="A402013"/>
    <x v="11"/>
    <n v="100"/>
    <n v="6500"/>
    <n v="6825"/>
    <x v="1"/>
  </r>
  <r>
    <x v="271"/>
    <x v="247"/>
    <s v="A402013"/>
    <x v="0"/>
    <n v="50"/>
    <n v="3250"/>
    <n v="3412.5"/>
    <x v="1"/>
  </r>
  <r>
    <x v="271"/>
    <x v="248"/>
    <s v="A264618"/>
    <x v="7"/>
    <n v="200"/>
    <n v="15000"/>
    <m/>
    <x v="3"/>
  </r>
  <r>
    <x v="271"/>
    <x v="248"/>
    <s v="A264618"/>
    <x v="10"/>
    <n v="25"/>
    <n v="1875"/>
    <m/>
    <x v="3"/>
  </r>
  <r>
    <x v="271"/>
    <x v="248"/>
    <s v="A264618"/>
    <x v="8"/>
    <n v="25"/>
    <n v="1875"/>
    <m/>
    <x v="3"/>
  </r>
  <r>
    <x v="271"/>
    <x v="248"/>
    <s v="A264618"/>
    <x v="1"/>
    <n v="25"/>
    <n v="1875"/>
    <n v="1968.75"/>
    <x v="3"/>
  </r>
  <r>
    <x v="271"/>
    <x v="248"/>
    <s v="A264618"/>
    <x v="2"/>
    <n v="25"/>
    <n v="1875"/>
    <n v="1968.75"/>
    <x v="3"/>
  </r>
  <r>
    <x v="271"/>
    <x v="248"/>
    <s v="A264618"/>
    <x v="11"/>
    <n v="25"/>
    <n v="1875"/>
    <n v="1968.75"/>
    <x v="3"/>
  </r>
  <r>
    <x v="271"/>
    <x v="904"/>
    <s v="A269392"/>
    <x v="5"/>
    <n v="25"/>
    <n v="1750"/>
    <m/>
    <x v="3"/>
  </r>
  <r>
    <x v="271"/>
    <x v="14"/>
    <m/>
    <x v="9"/>
    <n v="10"/>
    <n v="700"/>
    <m/>
    <x v="2"/>
  </r>
  <r>
    <x v="271"/>
    <x v="14"/>
    <m/>
    <x v="1"/>
    <n v="30"/>
    <n v="2100"/>
    <n v="2205"/>
    <x v="2"/>
  </r>
  <r>
    <x v="271"/>
    <x v="14"/>
    <m/>
    <x v="2"/>
    <n v="92.25"/>
    <n v="6457.5"/>
    <n v="6780.375"/>
    <x v="2"/>
  </r>
  <r>
    <x v="271"/>
    <x v="14"/>
    <m/>
    <x v="11"/>
    <n v="100"/>
    <n v="7000"/>
    <n v="7350"/>
    <x v="2"/>
  </r>
  <r>
    <x v="271"/>
    <x v="14"/>
    <m/>
    <x v="0"/>
    <n v="70"/>
    <n v="4900"/>
    <n v="5145"/>
    <x v="2"/>
  </r>
  <r>
    <x v="271"/>
    <x v="1"/>
    <s v="A231710"/>
    <x v="5"/>
    <n v="50"/>
    <n v="4250"/>
    <m/>
    <x v="3"/>
  </r>
  <r>
    <x v="271"/>
    <x v="1"/>
    <s v="A231710"/>
    <x v="6"/>
    <n v="25"/>
    <n v="2125"/>
    <m/>
    <x v="3"/>
  </r>
  <r>
    <x v="271"/>
    <x v="1"/>
    <s v="A231710"/>
    <x v="7"/>
    <n v="25"/>
    <n v="2125"/>
    <m/>
    <x v="3"/>
  </r>
  <r>
    <x v="271"/>
    <x v="1"/>
    <s v="A231710"/>
    <x v="2"/>
    <n v="50"/>
    <n v="4400"/>
    <n v="4620"/>
    <x v="3"/>
  </r>
  <r>
    <x v="272"/>
    <x v="233"/>
    <m/>
    <x v="9"/>
    <n v="1"/>
    <n v="120"/>
    <m/>
    <x v="3"/>
  </r>
  <r>
    <x v="273"/>
    <x v="2"/>
    <s v="A295987"/>
    <x v="8"/>
    <n v="5"/>
    <n v="550"/>
    <m/>
    <x v="3"/>
  </r>
  <r>
    <x v="273"/>
    <x v="141"/>
    <s v="A249778"/>
    <x v="8"/>
    <n v="5"/>
    <n v="550"/>
    <m/>
    <x v="3"/>
  </r>
  <r>
    <x v="273"/>
    <x v="242"/>
    <s v="A2487749"/>
    <x v="10"/>
    <n v="15"/>
    <n v="1650"/>
    <m/>
    <x v="3"/>
  </r>
  <r>
    <x v="273"/>
    <x v="242"/>
    <s v="A321587"/>
    <x v="10"/>
    <n v="10"/>
    <n v="1100"/>
    <m/>
    <x v="3"/>
  </r>
  <r>
    <x v="273"/>
    <x v="242"/>
    <s v="A2487749"/>
    <x v="8"/>
    <n v="20"/>
    <n v="2200"/>
    <m/>
    <x v="3"/>
  </r>
  <r>
    <x v="273"/>
    <x v="242"/>
    <s v="A2487749"/>
    <x v="9"/>
    <n v="25"/>
    <n v="2750"/>
    <m/>
    <x v="3"/>
  </r>
  <r>
    <x v="273"/>
    <x v="242"/>
    <s v="A2487749"/>
    <x v="1"/>
    <n v="5"/>
    <n v="550"/>
    <n v="577.5"/>
    <x v="3"/>
  </r>
  <r>
    <x v="273"/>
    <x v="242"/>
    <s v="A2487749"/>
    <x v="2"/>
    <n v="10"/>
    <n v="1100"/>
    <n v="1155"/>
    <x v="3"/>
  </r>
  <r>
    <x v="273"/>
    <x v="596"/>
    <s v="A231707"/>
    <x v="10"/>
    <n v="40"/>
    <n v="4400"/>
    <m/>
    <x v="3"/>
  </r>
  <r>
    <x v="273"/>
    <x v="596"/>
    <s v="A231707"/>
    <x v="8"/>
    <n v="15"/>
    <n v="1650"/>
    <m/>
    <x v="3"/>
  </r>
  <r>
    <x v="273"/>
    <x v="596"/>
    <s v="A231707"/>
    <x v="9"/>
    <n v="20"/>
    <n v="2200"/>
    <m/>
    <x v="3"/>
  </r>
  <r>
    <x v="273"/>
    <x v="596"/>
    <s v="A231707"/>
    <x v="1"/>
    <n v="5"/>
    <n v="550"/>
    <n v="577.5"/>
    <x v="3"/>
  </r>
  <r>
    <x v="273"/>
    <x v="596"/>
    <s v="A231707"/>
    <x v="2"/>
    <n v="10"/>
    <n v="1100"/>
    <n v="1155"/>
    <x v="3"/>
  </r>
  <r>
    <x v="273"/>
    <x v="441"/>
    <s v="A250893"/>
    <x v="10"/>
    <n v="35"/>
    <n v="3850"/>
    <m/>
    <x v="3"/>
  </r>
  <r>
    <x v="273"/>
    <x v="441"/>
    <s v="A250893"/>
    <x v="8"/>
    <n v="15"/>
    <n v="1650"/>
    <m/>
    <x v="3"/>
  </r>
  <r>
    <x v="273"/>
    <x v="441"/>
    <s v="A250893"/>
    <x v="9"/>
    <n v="20"/>
    <n v="2200"/>
    <m/>
    <x v="3"/>
  </r>
  <r>
    <x v="273"/>
    <x v="441"/>
    <s v="A250893"/>
    <x v="1"/>
    <n v="5"/>
    <n v="550"/>
    <n v="577.5"/>
    <x v="3"/>
  </r>
  <r>
    <x v="273"/>
    <x v="441"/>
    <s v="A250893"/>
    <x v="2"/>
    <n v="5"/>
    <n v="550"/>
    <n v="577.5"/>
    <x v="3"/>
  </r>
  <r>
    <x v="273"/>
    <x v="1"/>
    <s v="A231710"/>
    <x v="10"/>
    <n v="35"/>
    <n v="3850"/>
    <m/>
    <x v="3"/>
  </r>
  <r>
    <x v="273"/>
    <x v="1"/>
    <s v="A231710"/>
    <x v="8"/>
    <n v="20"/>
    <n v="2200"/>
    <m/>
    <x v="3"/>
  </r>
  <r>
    <x v="273"/>
    <x v="1"/>
    <s v="A231710"/>
    <x v="9"/>
    <n v="20"/>
    <n v="2200"/>
    <m/>
    <x v="3"/>
  </r>
  <r>
    <x v="274"/>
    <x v="188"/>
    <s v="A241360"/>
    <x v="4"/>
    <n v="10"/>
    <n v="1900"/>
    <m/>
    <x v="3"/>
  </r>
  <r>
    <x v="274"/>
    <x v="905"/>
    <s v="A259820"/>
    <x v="4"/>
    <n v="10"/>
    <n v="1700"/>
    <m/>
    <x v="3"/>
  </r>
  <r>
    <x v="274"/>
    <x v="906"/>
    <s v="A241109"/>
    <x v="4"/>
    <n v="10"/>
    <n v="3200"/>
    <m/>
    <x v="3"/>
  </r>
  <r>
    <x v="274"/>
    <x v="712"/>
    <s v="A246165"/>
    <x v="5"/>
    <n v="425"/>
    <n v="25500"/>
    <m/>
    <x v="3"/>
  </r>
  <r>
    <x v="275"/>
    <x v="138"/>
    <s v="A282344"/>
    <x v="2"/>
    <n v="50"/>
    <n v="8375"/>
    <n v="8793.75"/>
    <x v="3"/>
  </r>
  <r>
    <x v="276"/>
    <x v="907"/>
    <m/>
    <x v="12"/>
    <n v="100"/>
    <n v="3850"/>
    <m/>
    <x v="3"/>
  </r>
  <r>
    <x v="276"/>
    <x v="907"/>
    <m/>
    <x v="12"/>
    <n v="100"/>
    <n v="3671"/>
    <m/>
    <x v="3"/>
  </r>
  <r>
    <x v="276"/>
    <x v="712"/>
    <s v="A246165"/>
    <x v="12"/>
    <n v="50"/>
    <n v="2750"/>
    <m/>
    <x v="3"/>
  </r>
  <r>
    <x v="276"/>
    <x v="712"/>
    <s v="A246165"/>
    <x v="3"/>
    <n v="650"/>
    <n v="35750"/>
    <m/>
    <x v="3"/>
  </r>
  <r>
    <x v="276"/>
    <x v="712"/>
    <s v="A246165"/>
    <x v="4"/>
    <n v="525"/>
    <n v="28875"/>
    <m/>
    <x v="3"/>
  </r>
  <r>
    <x v="276"/>
    <x v="712"/>
    <s v="A246165"/>
    <x v="5"/>
    <n v="425"/>
    <n v="25500"/>
    <m/>
    <x v="3"/>
  </r>
  <r>
    <x v="276"/>
    <x v="712"/>
    <s v="A246165"/>
    <x v="6"/>
    <n v="300"/>
    <n v="18000"/>
    <m/>
    <x v="3"/>
  </r>
  <r>
    <x v="276"/>
    <x v="908"/>
    <s v="A242466"/>
    <x v="3"/>
    <n v="50"/>
    <n v="4784"/>
    <m/>
    <x v="3"/>
  </r>
  <r>
    <x v="276"/>
    <x v="908"/>
    <s v="A242466"/>
    <x v="10"/>
    <n v="25"/>
    <n v="2375"/>
    <m/>
    <x v="3"/>
  </r>
  <r>
    <x v="276"/>
    <x v="909"/>
    <s v="A420025"/>
    <x v="11"/>
    <n v="25"/>
    <n v="2375"/>
    <n v="2493.75"/>
    <x v="3"/>
  </r>
  <r>
    <x v="277"/>
    <x v="2"/>
    <s v="A295987"/>
    <x v="11"/>
    <n v="25"/>
    <n v="2250"/>
    <n v="2362.5"/>
    <x v="1"/>
  </r>
  <r>
    <x v="277"/>
    <x v="2"/>
    <s v="A295987"/>
    <x v="0"/>
    <n v="50"/>
    <n v="4500"/>
    <n v="4725"/>
    <x v="1"/>
  </r>
  <r>
    <x v="277"/>
    <x v="653"/>
    <s v="P108621"/>
    <x v="11"/>
    <n v="25"/>
    <n v="1375"/>
    <n v="1443.75"/>
    <x v="18"/>
  </r>
  <r>
    <x v="277"/>
    <x v="653"/>
    <s v="P108621"/>
    <x v="0"/>
    <n v="25"/>
    <n v="1375"/>
    <n v="1443.75"/>
    <x v="18"/>
  </r>
  <r>
    <x v="277"/>
    <x v="340"/>
    <m/>
    <x v="11"/>
    <n v="1"/>
    <n v="105"/>
    <n v="110.25"/>
    <x v="3"/>
  </r>
  <r>
    <x v="277"/>
    <x v="12"/>
    <m/>
    <x v="11"/>
    <n v="1"/>
    <n v="57.2"/>
    <n v="60.06"/>
    <x v="2"/>
  </r>
  <r>
    <x v="277"/>
    <x v="12"/>
    <m/>
    <x v="0"/>
    <n v="2"/>
    <n v="160"/>
    <n v="168"/>
    <x v="2"/>
  </r>
  <r>
    <x v="277"/>
    <x v="327"/>
    <m/>
    <x v="11"/>
    <n v="1"/>
    <n v="100"/>
    <n v="105"/>
    <x v="2"/>
  </r>
  <r>
    <x v="277"/>
    <x v="327"/>
    <m/>
    <x v="0"/>
    <n v="1"/>
    <n v="100"/>
    <n v="105"/>
    <x v="2"/>
  </r>
  <r>
    <x v="277"/>
    <x v="350"/>
    <s v="A410392"/>
    <x v="11"/>
    <n v="25"/>
    <n v="1250"/>
    <n v="1312.5"/>
    <x v="3"/>
  </r>
  <r>
    <x v="277"/>
    <x v="275"/>
    <s v="A271087"/>
    <x v="0"/>
    <n v="5"/>
    <n v="350"/>
    <n v="367.5"/>
    <x v="2"/>
  </r>
  <r>
    <x v="277"/>
    <x v="13"/>
    <m/>
    <x v="11"/>
    <n v="5"/>
    <n v="365"/>
    <n v="383.25"/>
    <x v="2"/>
  </r>
  <r>
    <x v="277"/>
    <x v="13"/>
    <m/>
    <x v="0"/>
    <n v="5"/>
    <n v="365"/>
    <n v="383.25"/>
    <x v="2"/>
  </r>
  <r>
    <x v="277"/>
    <x v="247"/>
    <s v="A402013"/>
    <x v="0"/>
    <n v="25"/>
    <n v="1375"/>
    <n v="1443.75"/>
    <x v="2"/>
  </r>
  <r>
    <x v="277"/>
    <x v="14"/>
    <m/>
    <x v="11"/>
    <n v="5"/>
    <n v="325"/>
    <n v="341.25"/>
    <x v="2"/>
  </r>
  <r>
    <x v="277"/>
    <x v="14"/>
    <m/>
    <x v="0"/>
    <n v="25"/>
    <n v="1625"/>
    <n v="1706.25"/>
    <x v="2"/>
  </r>
  <r>
    <x v="278"/>
    <x v="362"/>
    <s v="A292789"/>
    <x v="9"/>
    <n v="1"/>
    <n v="130"/>
    <m/>
    <x v="3"/>
  </r>
  <r>
    <x v="278"/>
    <x v="23"/>
    <m/>
    <x v="1"/>
    <n v="25"/>
    <n v="7375"/>
    <n v="7743.75"/>
    <x v="3"/>
  </r>
  <r>
    <x v="278"/>
    <x v="40"/>
    <s v="P00861"/>
    <x v="2"/>
    <n v="10"/>
    <n v="2300"/>
    <n v="2415"/>
    <x v="3"/>
  </r>
  <r>
    <x v="278"/>
    <x v="321"/>
    <s v="A293451"/>
    <x v="9"/>
    <n v="1"/>
    <n v="140"/>
    <m/>
    <x v="3"/>
  </r>
  <r>
    <x v="278"/>
    <x v="322"/>
    <s v="A275616"/>
    <x v="9"/>
    <n v="1"/>
    <n v="140"/>
    <m/>
    <x v="3"/>
  </r>
  <r>
    <x v="278"/>
    <x v="650"/>
    <s v="A235748"/>
    <x v="9"/>
    <n v="6"/>
    <n v="960"/>
    <m/>
    <x v="3"/>
  </r>
  <r>
    <x v="278"/>
    <x v="42"/>
    <s v="A241469"/>
    <x v="9"/>
    <n v="1"/>
    <n v="180"/>
    <m/>
    <x v="3"/>
  </r>
  <r>
    <x v="278"/>
    <x v="910"/>
    <s v="P00861"/>
    <x v="9"/>
    <n v="6"/>
    <n v="1380"/>
    <m/>
    <x v="3"/>
  </r>
  <r>
    <x v="278"/>
    <x v="910"/>
    <s v="P00861"/>
    <x v="1"/>
    <n v="10"/>
    <n v="2300"/>
    <n v="2415"/>
    <x v="3"/>
  </r>
  <r>
    <x v="278"/>
    <x v="911"/>
    <s v="P16046"/>
    <x v="2"/>
    <n v="5"/>
    <n v="825"/>
    <n v="866.25"/>
    <x v="3"/>
  </r>
  <r>
    <x v="278"/>
    <x v="870"/>
    <m/>
    <x v="11"/>
    <n v="1"/>
    <n v="165"/>
    <n v="173.25"/>
    <x v="3"/>
  </r>
  <r>
    <x v="278"/>
    <x v="94"/>
    <s v="A339929"/>
    <x v="9"/>
    <n v="1"/>
    <n v="110"/>
    <m/>
    <x v="3"/>
  </r>
  <r>
    <x v="278"/>
    <x v="61"/>
    <m/>
    <x v="2"/>
    <n v="3"/>
    <n v="675"/>
    <n v="708.75"/>
    <x v="3"/>
  </r>
  <r>
    <x v="278"/>
    <x v="62"/>
    <m/>
    <x v="2"/>
    <n v="5"/>
    <n v="1125"/>
    <n v="1181.25"/>
    <x v="3"/>
  </r>
  <r>
    <x v="278"/>
    <x v="63"/>
    <m/>
    <x v="2"/>
    <n v="3"/>
    <n v="675"/>
    <n v="708.75"/>
    <x v="3"/>
  </r>
  <r>
    <x v="278"/>
    <x v="32"/>
    <s v="A295591"/>
    <x v="1"/>
    <n v="10"/>
    <n v="2600"/>
    <n v="2730"/>
    <x v="3"/>
  </r>
  <r>
    <x v="278"/>
    <x v="19"/>
    <s v="A233442"/>
    <x v="1"/>
    <n v="5"/>
    <n v="650"/>
    <n v="682.5"/>
    <x v="3"/>
  </r>
  <r>
    <x v="278"/>
    <x v="422"/>
    <s v="A294408"/>
    <x v="11"/>
    <n v="25"/>
    <n v="3375"/>
    <n v="3543.75"/>
    <x v="3"/>
  </r>
  <r>
    <x v="278"/>
    <x v="103"/>
    <s v="A299996"/>
    <x v="9"/>
    <n v="1"/>
    <n v="140"/>
    <m/>
    <x v="3"/>
  </r>
  <r>
    <x v="278"/>
    <x v="80"/>
    <s v="F15632"/>
    <x v="1"/>
    <n v="5"/>
    <n v="3150"/>
    <n v="3307.5"/>
    <x v="3"/>
  </r>
  <r>
    <x v="278"/>
    <x v="82"/>
    <s v="A339373"/>
    <x v="1"/>
    <n v="25"/>
    <n v="14250"/>
    <n v="14962.5"/>
    <x v="3"/>
  </r>
  <r>
    <x v="279"/>
    <x v="55"/>
    <s v="A403816"/>
    <x v="1"/>
    <n v="25"/>
    <n v="5500"/>
    <n v="5775"/>
    <x v="3"/>
  </r>
  <r>
    <x v="279"/>
    <x v="99"/>
    <s v="A282344"/>
    <x v="6"/>
    <n v="21"/>
    <n v="5250"/>
    <m/>
    <x v="3"/>
  </r>
  <r>
    <x v="279"/>
    <x v="99"/>
    <s v="A282344"/>
    <x v="7"/>
    <n v="5"/>
    <n v="1250"/>
    <m/>
    <x v="3"/>
  </r>
  <r>
    <x v="279"/>
    <x v="99"/>
    <s v="A282344"/>
    <x v="10"/>
    <n v="5"/>
    <n v="1200"/>
    <m/>
    <x v="3"/>
  </r>
  <r>
    <x v="279"/>
    <x v="99"/>
    <s v="A282344"/>
    <x v="8"/>
    <n v="15"/>
    <n v="3600"/>
    <m/>
    <x v="3"/>
  </r>
  <r>
    <x v="279"/>
    <x v="99"/>
    <s v="A282344"/>
    <x v="1"/>
    <n v="50"/>
    <n v="9000"/>
    <n v="9450"/>
    <x v="3"/>
  </r>
  <r>
    <x v="279"/>
    <x v="168"/>
    <s v="A295590"/>
    <x v="6"/>
    <n v="15"/>
    <n v="3150"/>
    <m/>
    <x v="3"/>
  </r>
  <r>
    <x v="279"/>
    <x v="168"/>
    <s v="A295590"/>
    <x v="7"/>
    <n v="5"/>
    <n v="1050"/>
    <m/>
    <x v="3"/>
  </r>
  <r>
    <x v="279"/>
    <x v="168"/>
    <s v="A295590"/>
    <x v="10"/>
    <n v="5"/>
    <n v="1050"/>
    <m/>
    <x v="3"/>
  </r>
  <r>
    <x v="279"/>
    <x v="168"/>
    <s v="A295590"/>
    <x v="8"/>
    <n v="5"/>
    <n v="1050"/>
    <m/>
    <x v="3"/>
  </r>
  <r>
    <x v="279"/>
    <x v="168"/>
    <s v="A295590"/>
    <x v="9"/>
    <n v="5"/>
    <n v="1050"/>
    <m/>
    <x v="3"/>
  </r>
  <r>
    <x v="279"/>
    <x v="168"/>
    <s v="A295590"/>
    <x v="1"/>
    <n v="100"/>
    <n v="17000"/>
    <n v="17850"/>
    <x v="3"/>
  </r>
  <r>
    <x v="279"/>
    <x v="168"/>
    <s v="A295590"/>
    <x v="2"/>
    <n v="25"/>
    <n v="4250"/>
    <n v="4462.5"/>
    <x v="3"/>
  </r>
  <r>
    <x v="280"/>
    <x v="37"/>
    <s v="A295406"/>
    <x v="2"/>
    <n v="20"/>
    <n v="5700"/>
    <n v="5985"/>
    <x v="3"/>
  </r>
  <r>
    <x v="280"/>
    <x v="305"/>
    <s v="A338959"/>
    <x v="11"/>
    <n v="25"/>
    <n v="4575"/>
    <n v="4803.75"/>
    <x v="3"/>
  </r>
  <r>
    <x v="281"/>
    <x v="146"/>
    <s v="A245818"/>
    <x v="8"/>
    <n v="5"/>
    <n v="900"/>
    <m/>
    <x v="3"/>
  </r>
  <r>
    <x v="281"/>
    <x v="23"/>
    <m/>
    <x v="1"/>
    <n v="2"/>
    <n v="360"/>
    <n v="378"/>
    <x v="3"/>
  </r>
  <r>
    <x v="281"/>
    <x v="23"/>
    <m/>
    <x v="2"/>
    <n v="5"/>
    <n v="900"/>
    <n v="945"/>
    <x v="3"/>
  </r>
  <r>
    <x v="281"/>
    <x v="210"/>
    <m/>
    <x v="2"/>
    <n v="8"/>
    <n v="1760"/>
    <n v="1848"/>
    <x v="3"/>
  </r>
  <r>
    <x v="281"/>
    <x v="210"/>
    <m/>
    <x v="11"/>
    <n v="2"/>
    <n v="440"/>
    <n v="462"/>
    <x v="3"/>
  </r>
  <r>
    <x v="281"/>
    <x v="46"/>
    <s v="A234876"/>
    <x v="9"/>
    <n v="5"/>
    <n v="1100"/>
    <m/>
    <x v="3"/>
  </r>
  <r>
    <x v="281"/>
    <x v="46"/>
    <s v="A234876"/>
    <x v="2"/>
    <n v="5"/>
    <n v="950"/>
    <n v="997.5"/>
    <x v="3"/>
  </r>
  <r>
    <x v="281"/>
    <x v="46"/>
    <s v="A234876"/>
    <x v="11"/>
    <n v="2"/>
    <n v="380"/>
    <n v="399"/>
    <x v="3"/>
  </r>
  <r>
    <x v="281"/>
    <x v="49"/>
    <s v="P19684"/>
    <x v="2"/>
    <n v="1"/>
    <n v="220"/>
    <n v="231"/>
    <x v="3"/>
  </r>
  <r>
    <x v="281"/>
    <x v="57"/>
    <s v="A292908"/>
    <x v="6"/>
    <n v="21"/>
    <n v="5250"/>
    <m/>
    <x v="3"/>
  </r>
  <r>
    <x v="281"/>
    <x v="57"/>
    <s v="A292908"/>
    <x v="7"/>
    <n v="5"/>
    <n v="1250"/>
    <m/>
    <x v="3"/>
  </r>
  <r>
    <x v="281"/>
    <x v="57"/>
    <s v="A292908"/>
    <x v="10"/>
    <n v="5"/>
    <n v="1200"/>
    <m/>
    <x v="3"/>
  </r>
  <r>
    <x v="281"/>
    <x v="57"/>
    <s v="A292908"/>
    <x v="8"/>
    <n v="15"/>
    <n v="3600"/>
    <m/>
    <x v="3"/>
  </r>
  <r>
    <x v="281"/>
    <x v="867"/>
    <s v="A246761"/>
    <x v="7"/>
    <n v="10"/>
    <n v="2400"/>
    <m/>
    <x v="3"/>
  </r>
  <r>
    <x v="281"/>
    <x v="99"/>
    <s v="A282344"/>
    <x v="6"/>
    <n v="15"/>
    <n v="3150"/>
    <m/>
    <x v="3"/>
  </r>
  <r>
    <x v="281"/>
    <x v="99"/>
    <s v="A282344"/>
    <x v="7"/>
    <n v="5"/>
    <n v="1050"/>
    <m/>
    <x v="3"/>
  </r>
  <r>
    <x v="281"/>
    <x v="99"/>
    <s v="A282344"/>
    <x v="10"/>
    <n v="5"/>
    <n v="1050"/>
    <m/>
    <x v="3"/>
  </r>
  <r>
    <x v="281"/>
    <x v="99"/>
    <s v="A282344"/>
    <x v="8"/>
    <n v="5"/>
    <n v="1050"/>
    <m/>
    <x v="3"/>
  </r>
  <r>
    <x v="281"/>
    <x v="99"/>
    <s v="A282344"/>
    <x v="9"/>
    <n v="5"/>
    <n v="1050"/>
    <m/>
    <x v="3"/>
  </r>
  <r>
    <x v="281"/>
    <x v="99"/>
    <s v="A282344"/>
    <x v="1"/>
    <n v="2"/>
    <n v="420"/>
    <n v="441"/>
    <x v="3"/>
  </r>
  <r>
    <x v="281"/>
    <x v="99"/>
    <s v="A282344"/>
    <x v="2"/>
    <n v="12"/>
    <n v="2520"/>
    <n v="2646"/>
    <x v="3"/>
  </r>
  <r>
    <x v="281"/>
    <x v="304"/>
    <s v="A271046"/>
    <x v="11"/>
    <n v="10"/>
    <n v="2350"/>
    <n v="2467.5"/>
    <x v="3"/>
  </r>
  <r>
    <x v="281"/>
    <x v="32"/>
    <s v="A295590"/>
    <x v="2"/>
    <n v="10"/>
    <n v="1500"/>
    <n v="1575"/>
    <x v="2"/>
  </r>
  <r>
    <x v="281"/>
    <x v="32"/>
    <s v="A295590"/>
    <x v="11"/>
    <n v="16"/>
    <n v="2400"/>
    <n v="2520"/>
    <x v="2"/>
  </r>
  <r>
    <x v="281"/>
    <x v="32"/>
    <s v="A295590"/>
    <x v="0"/>
    <n v="10"/>
    <n v="1500"/>
    <n v="1575"/>
    <x v="2"/>
  </r>
  <r>
    <x v="282"/>
    <x v="21"/>
    <s v="P08232"/>
    <x v="2"/>
    <n v="60"/>
    <n v="11760"/>
    <n v="11760"/>
    <x v="3"/>
  </r>
  <r>
    <x v="282"/>
    <x v="254"/>
    <m/>
    <x v="2"/>
    <n v="10"/>
    <n v="1750"/>
    <n v="1750"/>
    <x v="3"/>
  </r>
  <r>
    <x v="282"/>
    <x v="38"/>
    <s v="A273820"/>
    <x v="2"/>
    <n v="15"/>
    <n v="2400"/>
    <n v="2400"/>
    <x v="3"/>
  </r>
  <r>
    <x v="282"/>
    <x v="318"/>
    <s v="A302349"/>
    <x v="2"/>
    <n v="10"/>
    <n v="1800"/>
    <n v="1800"/>
    <x v="3"/>
  </r>
  <r>
    <x v="282"/>
    <x v="23"/>
    <m/>
    <x v="2"/>
    <n v="71"/>
    <n v="20075"/>
    <n v="20075"/>
    <x v="3"/>
  </r>
  <r>
    <x v="282"/>
    <x v="279"/>
    <m/>
    <x v="2"/>
    <n v="5"/>
    <n v="750"/>
    <n v="750"/>
    <x v="3"/>
  </r>
  <r>
    <x v="282"/>
    <x v="365"/>
    <s v="A285878"/>
    <x v="2"/>
    <n v="32"/>
    <n v="5360"/>
    <n v="5360"/>
    <x v="3"/>
  </r>
  <r>
    <x v="282"/>
    <x v="127"/>
    <s v="A343168"/>
    <x v="2"/>
    <n v="5"/>
    <n v="1100"/>
    <n v="1100"/>
    <x v="3"/>
  </r>
  <r>
    <x v="282"/>
    <x v="912"/>
    <s v="A241362"/>
    <x v="2"/>
    <n v="8"/>
    <n v="1680"/>
    <n v="1680"/>
    <x v="3"/>
  </r>
  <r>
    <x v="282"/>
    <x v="258"/>
    <s v="A352612"/>
    <x v="2"/>
    <n v="30"/>
    <n v="5040"/>
    <n v="5040"/>
    <x v="2"/>
  </r>
  <r>
    <x v="282"/>
    <x v="258"/>
    <s v="A352612"/>
    <x v="0"/>
    <n v="5"/>
    <n v="800"/>
    <n v="800"/>
    <x v="2"/>
  </r>
  <r>
    <x v="282"/>
    <x v="913"/>
    <s v="F15861"/>
    <x v="2"/>
    <n v="35"/>
    <n v="7810"/>
    <n v="8085"/>
    <x v="3"/>
  </r>
  <r>
    <x v="282"/>
    <x v="191"/>
    <s v="A238385"/>
    <x v="11"/>
    <n v="2"/>
    <n v="360"/>
    <n v="360"/>
    <x v="3"/>
  </r>
  <r>
    <x v="282"/>
    <x v="25"/>
    <s v="A415883"/>
    <x v="11"/>
    <n v="15"/>
    <n v="2080"/>
    <n v="2080"/>
    <x v="17"/>
  </r>
  <r>
    <x v="282"/>
    <x v="25"/>
    <s v="A415883"/>
    <x v="0"/>
    <n v="5"/>
    <n v="700"/>
    <n v="700"/>
    <x v="17"/>
  </r>
  <r>
    <x v="282"/>
    <x v="46"/>
    <s v="A234876"/>
    <x v="0"/>
    <n v="5"/>
    <n v="900"/>
    <n v="900"/>
    <x v="1"/>
  </r>
  <r>
    <x v="282"/>
    <x v="914"/>
    <s v="A245190"/>
    <x v="2"/>
    <n v="10"/>
    <n v="1600"/>
    <n v="1600"/>
    <x v="3"/>
  </r>
  <r>
    <x v="282"/>
    <x v="274"/>
    <s v="P19035"/>
    <x v="2"/>
    <n v="77"/>
    <n v="19384"/>
    <n v="19384"/>
    <x v="3"/>
  </r>
  <r>
    <x v="282"/>
    <x v="274"/>
    <s v="P19035"/>
    <x v="11"/>
    <n v="25"/>
    <n v="4500"/>
    <n v="4500"/>
    <x v="3"/>
  </r>
  <r>
    <x v="282"/>
    <x v="135"/>
    <s v="A329793"/>
    <x v="2"/>
    <n v="10"/>
    <n v="2200"/>
    <n v="2200"/>
    <x v="3"/>
  </r>
  <r>
    <x v="282"/>
    <x v="55"/>
    <s v="A403816"/>
    <x v="2"/>
    <n v="45"/>
    <n v="8210"/>
    <n v="8210"/>
    <x v="3"/>
  </r>
  <r>
    <x v="282"/>
    <x v="55"/>
    <s v="A403816"/>
    <x v="11"/>
    <n v="10"/>
    <n v="1600"/>
    <n v="1600"/>
    <x v="3"/>
  </r>
  <r>
    <x v="282"/>
    <x v="57"/>
    <s v="A292908"/>
    <x v="2"/>
    <n v="2"/>
    <n v="350"/>
    <n v="350"/>
    <x v="3"/>
  </r>
  <r>
    <x v="282"/>
    <x v="574"/>
    <s v="A352534"/>
    <x v="2"/>
    <n v="10"/>
    <n v="2358"/>
    <n v="2358"/>
    <x v="3"/>
  </r>
  <r>
    <x v="282"/>
    <x v="95"/>
    <m/>
    <x v="2"/>
    <n v="35"/>
    <n v="9300"/>
    <n v="9300"/>
    <x v="3"/>
  </r>
  <r>
    <x v="282"/>
    <x v="498"/>
    <s v="A281164"/>
    <x v="2"/>
    <n v="1"/>
    <n v="170"/>
    <n v="170"/>
    <x v="3"/>
  </r>
  <r>
    <x v="282"/>
    <x v="410"/>
    <m/>
    <x v="2"/>
    <n v="20"/>
    <n v="5600"/>
    <n v="5600"/>
    <x v="3"/>
  </r>
  <r>
    <x v="282"/>
    <x v="99"/>
    <s v="A282344"/>
    <x v="1"/>
    <n v="15"/>
    <n v="2700"/>
    <n v="2835"/>
    <x v="3"/>
  </r>
  <r>
    <x v="282"/>
    <x v="99"/>
    <s v="A282344"/>
    <x v="2"/>
    <n v="275"/>
    <n v="37800"/>
    <n v="37800"/>
    <x v="3"/>
  </r>
  <r>
    <x v="282"/>
    <x v="202"/>
    <s v="A418088"/>
    <x v="2"/>
    <n v="50"/>
    <n v="6750"/>
    <n v="6750"/>
    <x v="3"/>
  </r>
  <r>
    <x v="282"/>
    <x v="31"/>
    <s v="A349425"/>
    <x v="2"/>
    <n v="80"/>
    <n v="10775"/>
    <n v="10775"/>
    <x v="3"/>
  </r>
  <r>
    <x v="282"/>
    <x v="32"/>
    <s v="A295591"/>
    <x v="2"/>
    <n v="15"/>
    <n v="2250"/>
    <n v="2250"/>
    <x v="3"/>
  </r>
  <r>
    <x v="282"/>
    <x v="168"/>
    <s v="A295590"/>
    <x v="2"/>
    <n v="10"/>
    <n v="1650"/>
    <n v="1650"/>
    <x v="3"/>
  </r>
  <r>
    <x v="282"/>
    <x v="305"/>
    <s v="A338959"/>
    <x v="2"/>
    <n v="17"/>
    <n v="2600"/>
    <n v="2600"/>
    <x v="1"/>
  </r>
  <r>
    <x v="282"/>
    <x v="305"/>
    <s v="A338959"/>
    <x v="11"/>
    <n v="20"/>
    <n v="3000"/>
    <n v="3000"/>
    <x v="1"/>
  </r>
  <r>
    <x v="282"/>
    <x v="305"/>
    <s v="A338959"/>
    <x v="0"/>
    <n v="1"/>
    <n v="150"/>
    <n v="150"/>
    <x v="1"/>
  </r>
  <r>
    <x v="282"/>
    <x v="680"/>
    <s v="P09390"/>
    <x v="2"/>
    <n v="5"/>
    <n v="1250"/>
    <n v="1250"/>
    <x v="3"/>
  </r>
  <r>
    <x v="282"/>
    <x v="346"/>
    <s v="A315997"/>
    <x v="2"/>
    <n v="25"/>
    <n v="4000"/>
    <n v="4000"/>
    <x v="3"/>
  </r>
  <r>
    <x v="283"/>
    <x v="915"/>
    <m/>
    <x v="0"/>
    <n v="1000"/>
    <n v="28500"/>
    <n v="29925"/>
    <x v="74"/>
  </r>
  <r>
    <x v="283"/>
    <x v="3"/>
    <s v="A232126"/>
    <x v="11"/>
    <n v="1500"/>
    <n v="78000"/>
    <n v="81900"/>
    <x v="3"/>
  </r>
  <r>
    <x v="283"/>
    <x v="896"/>
    <m/>
    <x v="11"/>
    <n v="1500"/>
    <n v="33000"/>
    <n v="34650"/>
    <x v="3"/>
  </r>
  <r>
    <x v="283"/>
    <x v="916"/>
    <m/>
    <x v="0"/>
    <n v="700"/>
    <n v="20300"/>
    <n v="21315"/>
    <x v="2"/>
  </r>
  <r>
    <x v="284"/>
    <x v="917"/>
    <s v="A278773"/>
    <x v="8"/>
    <n v="1"/>
    <n v="200"/>
    <m/>
    <x v="3"/>
  </r>
  <r>
    <x v="284"/>
    <x v="918"/>
    <s v="A277868"/>
    <x v="8"/>
    <n v="1"/>
    <n v="200"/>
    <m/>
    <x v="3"/>
  </r>
  <r>
    <x v="284"/>
    <x v="151"/>
    <s v="A260799"/>
    <x v="8"/>
    <n v="1"/>
    <n v="220"/>
    <m/>
    <x v="3"/>
  </r>
  <r>
    <x v="284"/>
    <x v="315"/>
    <s v="A258760"/>
    <x v="8"/>
    <n v="1"/>
    <n v="200"/>
    <m/>
    <x v="3"/>
  </r>
  <r>
    <x v="285"/>
    <x v="141"/>
    <s v="A249778"/>
    <x v="0"/>
    <n v="25"/>
    <n v="1875"/>
    <n v="1875"/>
    <x v="2"/>
  </r>
  <r>
    <x v="285"/>
    <x v="28"/>
    <s v="A233711"/>
    <x v="0"/>
    <n v="25"/>
    <n v="1250"/>
    <n v="1250"/>
    <x v="1"/>
  </r>
  <r>
    <x v="285"/>
    <x v="228"/>
    <s v="A306319"/>
    <x v="0"/>
    <n v="25"/>
    <n v="1875"/>
    <n v="1875"/>
    <x v="1"/>
  </r>
  <r>
    <x v="286"/>
    <x v="21"/>
    <s v="P08232"/>
    <x v="1"/>
    <n v="2"/>
    <n v="520"/>
    <n v="546"/>
    <x v="3"/>
  </r>
  <r>
    <x v="286"/>
    <x v="316"/>
    <s v="A258812"/>
    <x v="2"/>
    <n v="5"/>
    <n v="900"/>
    <n v="945"/>
    <x v="2"/>
  </r>
  <r>
    <x v="286"/>
    <x v="316"/>
    <s v="A258812"/>
    <x v="0"/>
    <n v="2"/>
    <n v="180"/>
    <n v="189"/>
    <x v="2"/>
  </r>
  <r>
    <x v="286"/>
    <x v="35"/>
    <s v="A245190"/>
    <x v="1"/>
    <n v="2"/>
    <n v="400"/>
    <n v="420"/>
    <x v="3"/>
  </r>
  <r>
    <x v="286"/>
    <x v="206"/>
    <s v="A243962"/>
    <x v="1"/>
    <n v="2"/>
    <n v="400"/>
    <n v="420"/>
    <x v="3"/>
  </r>
  <r>
    <x v="286"/>
    <x v="37"/>
    <s v="A295406"/>
    <x v="2"/>
    <n v="13"/>
    <n v="2500"/>
    <n v="2625"/>
    <x v="3"/>
  </r>
  <r>
    <x v="286"/>
    <x v="37"/>
    <s v="A295406"/>
    <x v="11"/>
    <n v="2"/>
    <n v="380"/>
    <n v="399"/>
    <x v="3"/>
  </r>
  <r>
    <x v="286"/>
    <x v="23"/>
    <m/>
    <x v="2"/>
    <n v="3"/>
    <n v="600"/>
    <n v="630"/>
    <x v="5"/>
  </r>
  <r>
    <x v="286"/>
    <x v="23"/>
    <m/>
    <x v="11"/>
    <n v="2"/>
    <n v="360"/>
    <n v="378"/>
    <x v="5"/>
  </r>
  <r>
    <x v="286"/>
    <x v="23"/>
    <m/>
    <x v="0"/>
    <n v="2"/>
    <n v="360"/>
    <n v="378"/>
    <x v="5"/>
  </r>
  <r>
    <x v="286"/>
    <x v="284"/>
    <s v="A257635"/>
    <x v="1"/>
    <n v="2"/>
    <n v="420"/>
    <n v="441"/>
    <x v="3"/>
  </r>
  <r>
    <x v="286"/>
    <x v="411"/>
    <s v="A265729"/>
    <x v="2"/>
    <n v="1"/>
    <n v="200"/>
    <n v="210"/>
    <x v="3"/>
  </r>
  <r>
    <x v="286"/>
    <x v="919"/>
    <s v="A351967"/>
    <x v="1"/>
    <n v="3"/>
    <n v="720"/>
    <n v="756"/>
    <x v="3"/>
  </r>
  <r>
    <x v="286"/>
    <x v="300"/>
    <s v="A351968"/>
    <x v="2"/>
    <n v="10"/>
    <n v="1900"/>
    <n v="1995"/>
    <x v="3"/>
  </r>
  <r>
    <x v="286"/>
    <x v="300"/>
    <s v="A351968"/>
    <x v="11"/>
    <n v="4"/>
    <n v="740"/>
    <n v="777"/>
    <x v="3"/>
  </r>
  <r>
    <x v="286"/>
    <x v="367"/>
    <s v="P14424"/>
    <x v="2"/>
    <n v="1"/>
    <n v="200"/>
    <n v="210"/>
    <x v="3"/>
  </r>
  <r>
    <x v="286"/>
    <x v="367"/>
    <s v="P14424"/>
    <x v="11"/>
    <n v="2"/>
    <n v="360"/>
    <n v="378"/>
    <x v="3"/>
  </r>
  <r>
    <x v="286"/>
    <x v="207"/>
    <m/>
    <x v="1"/>
    <n v="2"/>
    <n v="540"/>
    <n v="567"/>
    <x v="3"/>
  </r>
  <r>
    <x v="286"/>
    <x v="399"/>
    <s v="A235748"/>
    <x v="0"/>
    <n v="2"/>
    <n v="360"/>
    <n v="378"/>
    <x v="2"/>
  </r>
  <r>
    <x v="286"/>
    <x v="129"/>
    <s v="A235765"/>
    <x v="2"/>
    <n v="5"/>
    <n v="900"/>
    <n v="945"/>
    <x v="3"/>
  </r>
  <r>
    <x v="286"/>
    <x v="650"/>
    <s v="A235748"/>
    <x v="1"/>
    <n v="2"/>
    <n v="400"/>
    <n v="420"/>
    <x v="3"/>
  </r>
  <r>
    <x v="286"/>
    <x v="310"/>
    <s v="P09390"/>
    <x v="1"/>
    <n v="2"/>
    <n v="560"/>
    <n v="588"/>
    <x v="3"/>
  </r>
  <r>
    <x v="286"/>
    <x v="272"/>
    <s v="A246994"/>
    <x v="1"/>
    <n v="2"/>
    <n v="440"/>
    <n v="462"/>
    <x v="3"/>
  </r>
  <r>
    <x v="286"/>
    <x v="700"/>
    <s v="A261335"/>
    <x v="1"/>
    <n v="2"/>
    <n v="360"/>
    <n v="378"/>
    <x v="3"/>
  </r>
  <r>
    <x v="286"/>
    <x v="131"/>
    <s v="F15861"/>
    <x v="2"/>
    <n v="1"/>
    <n v="200"/>
    <n v="210"/>
    <x v="75"/>
  </r>
  <r>
    <x v="286"/>
    <x v="131"/>
    <s v="F15861"/>
    <x v="11"/>
    <n v="4"/>
    <n v="800"/>
    <n v="840"/>
    <x v="75"/>
  </r>
  <r>
    <x v="286"/>
    <x v="131"/>
    <s v="F15861"/>
    <x v="0"/>
    <n v="2"/>
    <n v="350"/>
    <n v="367.5"/>
    <x v="75"/>
  </r>
  <r>
    <x v="286"/>
    <x v="44"/>
    <s v="A238385"/>
    <x v="1"/>
    <n v="2"/>
    <n v="440"/>
    <n v="462"/>
    <x v="3"/>
  </r>
  <r>
    <x v="286"/>
    <x v="920"/>
    <m/>
    <x v="0"/>
    <n v="2"/>
    <n v="360"/>
    <n v="378"/>
    <x v="27"/>
  </r>
  <r>
    <x v="286"/>
    <x v="26"/>
    <s v="A281055"/>
    <x v="1"/>
    <n v="2"/>
    <n v="360"/>
    <n v="378"/>
    <x v="3"/>
  </r>
  <r>
    <x v="286"/>
    <x v="261"/>
    <m/>
    <x v="2"/>
    <n v="5"/>
    <n v="1125"/>
    <n v="1181.25"/>
    <x v="3"/>
  </r>
  <r>
    <x v="286"/>
    <x v="914"/>
    <s v="A245190"/>
    <x v="2"/>
    <n v="5"/>
    <n v="900"/>
    <n v="945"/>
    <x v="2"/>
  </r>
  <r>
    <x v="286"/>
    <x v="914"/>
    <s v="A245190"/>
    <x v="11"/>
    <n v="2"/>
    <n v="360"/>
    <n v="378"/>
    <x v="2"/>
  </r>
  <r>
    <x v="286"/>
    <x v="914"/>
    <s v="A245190"/>
    <x v="0"/>
    <n v="2"/>
    <n v="360"/>
    <n v="378"/>
    <x v="2"/>
  </r>
  <r>
    <x v="286"/>
    <x v="134"/>
    <s v="P04017"/>
    <x v="1"/>
    <n v="2"/>
    <n v="480"/>
    <n v="504"/>
    <x v="3"/>
  </r>
  <r>
    <x v="286"/>
    <x v="134"/>
    <s v="P04017"/>
    <x v="2"/>
    <n v="6"/>
    <n v="1125"/>
    <n v="1181.25"/>
    <x v="3"/>
  </r>
  <r>
    <x v="286"/>
    <x v="401"/>
    <s v="A347816"/>
    <x v="1"/>
    <n v="2"/>
    <n v="450"/>
    <n v="472.5"/>
    <x v="3"/>
  </r>
  <r>
    <x v="286"/>
    <x v="921"/>
    <s v="A280535"/>
    <x v="1"/>
    <n v="2"/>
    <n v="480"/>
    <n v="504"/>
    <x v="3"/>
  </r>
  <r>
    <x v="286"/>
    <x v="465"/>
    <s v="A260960"/>
    <x v="1"/>
    <n v="2"/>
    <n v="360"/>
    <n v="378"/>
    <x v="3"/>
  </r>
  <r>
    <x v="286"/>
    <x v="161"/>
    <s v="A293577"/>
    <x v="1"/>
    <n v="2"/>
    <n v="520"/>
    <n v="546"/>
    <x v="3"/>
  </r>
  <r>
    <x v="286"/>
    <x v="212"/>
    <s v="P05636"/>
    <x v="2"/>
    <n v="5"/>
    <n v="1100"/>
    <n v="1155"/>
    <x v="3"/>
  </r>
  <r>
    <x v="286"/>
    <x v="72"/>
    <s v="P08499"/>
    <x v="1"/>
    <n v="5"/>
    <n v="1200"/>
    <n v="1260"/>
    <x v="3"/>
  </r>
  <r>
    <x v="286"/>
    <x v="137"/>
    <s v="P21021"/>
    <x v="2"/>
    <n v="11"/>
    <n v="1980"/>
    <n v="2079"/>
    <x v="3"/>
  </r>
  <r>
    <x v="286"/>
    <x v="137"/>
    <s v="P21021"/>
    <x v="11"/>
    <n v="2"/>
    <n v="360"/>
    <n v="378"/>
    <x v="3"/>
  </r>
  <r>
    <x v="286"/>
    <x v="139"/>
    <s v="P08499"/>
    <x v="2"/>
    <n v="3"/>
    <n v="600"/>
    <n v="630"/>
    <x v="3"/>
  </r>
  <r>
    <x v="286"/>
    <x v="139"/>
    <s v="P08499"/>
    <x v="11"/>
    <n v="7"/>
    <n v="1360"/>
    <n v="1428"/>
    <x v="3"/>
  </r>
  <r>
    <x v="286"/>
    <x v="297"/>
    <s v="A271046"/>
    <x v="1"/>
    <n v="2"/>
    <n v="480"/>
    <n v="504"/>
    <x v="3"/>
  </r>
  <r>
    <x v="286"/>
    <x v="32"/>
    <s v="A295590"/>
    <x v="1"/>
    <n v="5"/>
    <n v="1100"/>
    <n v="1155"/>
    <x v="2"/>
  </r>
  <r>
    <x v="286"/>
    <x v="32"/>
    <s v="A295590"/>
    <x v="2"/>
    <n v="5"/>
    <n v="950"/>
    <n v="997.5"/>
    <x v="2"/>
  </r>
  <r>
    <x v="286"/>
    <x v="32"/>
    <s v="A295590"/>
    <x v="11"/>
    <n v="2"/>
    <n v="380"/>
    <n v="399"/>
    <x v="2"/>
  </r>
  <r>
    <x v="286"/>
    <x v="32"/>
    <s v="A295590"/>
    <x v="0"/>
    <n v="2"/>
    <n v="378"/>
    <n v="378"/>
    <x v="2"/>
  </r>
  <r>
    <x v="286"/>
    <x v="171"/>
    <s v="A258812"/>
    <x v="1"/>
    <n v="2"/>
    <n v="360"/>
    <n v="378"/>
    <x v="3"/>
  </r>
  <r>
    <x v="286"/>
    <x v="922"/>
    <s v="A402014"/>
    <x v="2"/>
    <n v="5"/>
    <n v="800"/>
    <n v="840"/>
    <x v="3"/>
  </r>
  <r>
    <x v="287"/>
    <x v="11"/>
    <m/>
    <x v="11"/>
    <n v="1"/>
    <n v="80"/>
    <n v="84"/>
    <x v="3"/>
  </r>
  <r>
    <x v="287"/>
    <x v="327"/>
    <m/>
    <x v="11"/>
    <n v="1"/>
    <n v="115"/>
    <n v="120.75"/>
    <x v="3"/>
  </r>
  <r>
    <x v="287"/>
    <x v="14"/>
    <m/>
    <x v="11"/>
    <n v="1"/>
    <n v="70"/>
    <n v="73.5"/>
    <x v="3"/>
  </r>
  <r>
    <x v="288"/>
    <x v="317"/>
    <s v="A246212"/>
    <x v="0"/>
    <n v="25"/>
    <n v="2125"/>
    <n v="2231.25"/>
    <x v="1"/>
  </r>
  <r>
    <x v="288"/>
    <x v="356"/>
    <s v="P00861"/>
    <x v="2"/>
    <n v="100"/>
    <n v="8700"/>
    <n v="9135"/>
    <x v="3"/>
  </r>
  <r>
    <x v="288"/>
    <x v="323"/>
    <s v="A292785"/>
    <x v="1"/>
    <n v="100"/>
    <n v="7500"/>
    <n v="7875"/>
    <x v="3"/>
  </r>
  <r>
    <x v="288"/>
    <x v="68"/>
    <s v="A240864"/>
    <x v="1"/>
    <n v="1"/>
    <n v="200"/>
    <n v="210"/>
    <x v="3"/>
  </r>
  <r>
    <x v="288"/>
    <x v="497"/>
    <s v="A243394"/>
    <x v="2"/>
    <n v="100"/>
    <n v="8200"/>
    <n v="8610"/>
    <x v="3"/>
  </r>
  <r>
    <x v="288"/>
    <x v="333"/>
    <s v="A317824"/>
    <x v="1"/>
    <n v="50"/>
    <n v="3600"/>
    <n v="3780"/>
    <x v="3"/>
  </r>
  <r>
    <x v="288"/>
    <x v="333"/>
    <s v="A317824"/>
    <x v="2"/>
    <n v="100"/>
    <n v="7200"/>
    <n v="7560"/>
    <x v="3"/>
  </r>
  <r>
    <x v="289"/>
    <x v="18"/>
    <m/>
    <x v="0"/>
    <n v="100"/>
    <n v="6500"/>
    <n v="6500"/>
    <x v="2"/>
  </r>
  <r>
    <x v="289"/>
    <x v="247"/>
    <s v="A402013"/>
    <x v="0"/>
    <n v="125"/>
    <n v="8125"/>
    <n v="8125"/>
    <x v="2"/>
  </r>
  <r>
    <x v="290"/>
    <x v="365"/>
    <s v="A285878"/>
    <x v="6"/>
    <n v="5"/>
    <n v="1200"/>
    <m/>
    <x v="3"/>
  </r>
  <r>
    <x v="291"/>
    <x v="717"/>
    <m/>
    <x v="0"/>
    <n v="50"/>
    <n v="6000"/>
    <n v="6300"/>
    <x v="2"/>
  </r>
  <r>
    <x v="292"/>
    <x v="268"/>
    <s v="A245994"/>
    <x v="4"/>
    <n v="75"/>
    <n v="5625"/>
    <m/>
    <x v="3"/>
  </r>
  <r>
    <x v="293"/>
    <x v="423"/>
    <s v="A239215"/>
    <x v="10"/>
    <n v="10"/>
    <n v="2900"/>
    <m/>
    <x v="3"/>
  </r>
  <r>
    <x v="293"/>
    <x v="206"/>
    <s v="A243962"/>
    <x v="10"/>
    <n v="10"/>
    <n v="2300"/>
    <m/>
    <x v="3"/>
  </r>
  <r>
    <x v="293"/>
    <x v="206"/>
    <s v="A243962"/>
    <x v="9"/>
    <n v="1"/>
    <n v="115"/>
    <m/>
    <x v="3"/>
  </r>
  <r>
    <x v="293"/>
    <x v="38"/>
    <s v="A273820"/>
    <x v="10"/>
    <n v="3"/>
    <n v="840"/>
    <m/>
    <x v="3"/>
  </r>
  <r>
    <x v="293"/>
    <x v="38"/>
    <s v="A273820"/>
    <x v="8"/>
    <n v="6"/>
    <n v="1680"/>
    <m/>
    <x v="3"/>
  </r>
  <r>
    <x v="293"/>
    <x v="38"/>
    <s v="A273820"/>
    <x v="9"/>
    <n v="1"/>
    <n v="140"/>
    <m/>
    <x v="3"/>
  </r>
  <r>
    <x v="293"/>
    <x v="295"/>
    <s v="A302349"/>
    <x v="10"/>
    <n v="22"/>
    <n v="5940"/>
    <m/>
    <x v="3"/>
  </r>
  <r>
    <x v="293"/>
    <x v="295"/>
    <s v="A302349"/>
    <x v="8"/>
    <n v="10"/>
    <n v="2700"/>
    <m/>
    <x v="3"/>
  </r>
  <r>
    <x v="293"/>
    <x v="923"/>
    <s v="P15270"/>
    <x v="8"/>
    <n v="10"/>
    <n v="3000"/>
    <m/>
    <x v="3"/>
  </r>
  <r>
    <x v="293"/>
    <x v="924"/>
    <s v="P00859"/>
    <x v="8"/>
    <n v="10"/>
    <n v="2900"/>
    <m/>
    <x v="3"/>
  </r>
  <r>
    <x v="293"/>
    <x v="127"/>
    <s v="A343168"/>
    <x v="2"/>
    <n v="25"/>
    <n v="6000"/>
    <n v="6300"/>
    <x v="3"/>
  </r>
  <r>
    <x v="293"/>
    <x v="272"/>
    <s v="A246994"/>
    <x v="9"/>
    <n v="2"/>
    <n v="292.5"/>
    <m/>
    <x v="3"/>
  </r>
  <r>
    <x v="293"/>
    <x v="130"/>
    <s v="P01022"/>
    <x v="2"/>
    <n v="15"/>
    <n v="3300"/>
    <n v="3465"/>
    <x v="3"/>
  </r>
  <r>
    <x v="293"/>
    <x v="925"/>
    <s v="A241362"/>
    <x v="8"/>
    <n v="10"/>
    <n v="2100"/>
    <m/>
    <x v="3"/>
  </r>
  <r>
    <x v="293"/>
    <x v="46"/>
    <s v="A234876"/>
    <x v="2"/>
    <n v="12"/>
    <n v="2220"/>
    <n v="2331"/>
    <x v="3"/>
  </r>
  <r>
    <x v="293"/>
    <x v="26"/>
    <s v="A281055"/>
    <x v="10"/>
    <n v="10"/>
    <n v="2600"/>
    <m/>
    <x v="3"/>
  </r>
  <r>
    <x v="293"/>
    <x v="26"/>
    <s v="A281055"/>
    <x v="8"/>
    <n v="10.5"/>
    <n v="2625"/>
    <m/>
    <x v="3"/>
  </r>
  <r>
    <x v="293"/>
    <x v="282"/>
    <s v="A343168"/>
    <x v="1"/>
    <n v="10"/>
    <n v="2500"/>
    <n v="2625"/>
    <x v="3"/>
  </r>
  <r>
    <x v="293"/>
    <x v="55"/>
    <s v="A403816"/>
    <x v="1"/>
    <n v="6"/>
    <n v="1260"/>
    <n v="1323"/>
    <x v="3"/>
  </r>
  <r>
    <x v="293"/>
    <x v="55"/>
    <s v="A403816"/>
    <x v="2"/>
    <n v="6"/>
    <n v="1290"/>
    <n v="1354.5"/>
    <x v="3"/>
  </r>
  <r>
    <x v="293"/>
    <x v="57"/>
    <s v="A292908"/>
    <x v="8"/>
    <n v="20"/>
    <n v="4600"/>
    <m/>
    <x v="3"/>
  </r>
  <r>
    <x v="293"/>
    <x v="57"/>
    <s v="A292908"/>
    <x v="9"/>
    <n v="9"/>
    <n v="1935"/>
    <m/>
    <x v="3"/>
  </r>
  <r>
    <x v="293"/>
    <x v="68"/>
    <s v="A241029"/>
    <x v="10"/>
    <n v="2"/>
    <n v="540"/>
    <m/>
    <x v="3"/>
  </r>
  <r>
    <x v="293"/>
    <x v="68"/>
    <s v="A241029"/>
    <x v="8"/>
    <n v="5.5"/>
    <n v="375"/>
    <m/>
    <x v="3"/>
  </r>
  <r>
    <x v="293"/>
    <x v="68"/>
    <s v="A240864"/>
    <x v="9"/>
    <n v="1"/>
    <n v="200"/>
    <m/>
    <x v="3"/>
  </r>
  <r>
    <x v="293"/>
    <x v="68"/>
    <s v="A241029"/>
    <x v="1"/>
    <n v="1"/>
    <n v="190"/>
    <n v="199.5"/>
    <x v="3"/>
  </r>
  <r>
    <x v="293"/>
    <x v="304"/>
    <s v="A271046"/>
    <x v="1"/>
    <n v="7"/>
    <n v="1540"/>
    <n v="1617"/>
    <x v="3"/>
  </r>
  <r>
    <x v="293"/>
    <x v="304"/>
    <s v="A271046"/>
    <x v="2"/>
    <n v="25"/>
    <n v="5500"/>
    <n v="5775"/>
    <x v="3"/>
  </r>
  <r>
    <x v="293"/>
    <x v="32"/>
    <s v="A295590"/>
    <x v="8"/>
    <n v="43"/>
    <n v="8385"/>
    <m/>
    <x v="3"/>
  </r>
  <r>
    <x v="293"/>
    <x v="32"/>
    <s v="A295590"/>
    <x v="9"/>
    <n v="14"/>
    <n v="2430"/>
    <m/>
    <x v="3"/>
  </r>
  <r>
    <x v="293"/>
    <x v="32"/>
    <s v="A295590"/>
    <x v="1"/>
    <n v="5"/>
    <n v="900"/>
    <n v="945"/>
    <x v="3"/>
  </r>
  <r>
    <x v="293"/>
    <x v="32"/>
    <s v="A295590"/>
    <x v="2"/>
    <n v="25"/>
    <n v="4500"/>
    <n v="4725"/>
    <x v="3"/>
  </r>
  <r>
    <x v="293"/>
    <x v="103"/>
    <s v="A299996"/>
    <x v="10"/>
    <n v="5"/>
    <n v="1000"/>
    <m/>
    <x v="3"/>
  </r>
  <r>
    <x v="294"/>
    <x v="46"/>
    <s v="A234876"/>
    <x v="1"/>
    <n v="25"/>
    <n v="5500"/>
    <n v="5775"/>
    <x v="3"/>
  </r>
  <r>
    <x v="294"/>
    <x v="505"/>
    <s v="A321238"/>
    <x v="8"/>
    <n v="50"/>
    <n v="4750"/>
    <m/>
    <x v="3"/>
  </r>
  <r>
    <x v="294"/>
    <x v="28"/>
    <s v="A233711"/>
    <x v="2"/>
    <n v="25"/>
    <n v="2500"/>
    <n v="2625"/>
    <x v="3"/>
  </r>
  <r>
    <x v="294"/>
    <x v="305"/>
    <s v="A338959"/>
    <x v="2"/>
    <n v="20"/>
    <n v="3900"/>
    <n v="4095"/>
    <x v="3"/>
  </r>
  <r>
    <x v="294"/>
    <x v="305"/>
    <s v="A338959"/>
    <x v="11"/>
    <n v="25"/>
    <n v="4750"/>
    <n v="4987.5"/>
    <x v="3"/>
  </r>
  <r>
    <x v="295"/>
    <x v="16"/>
    <s v="A241225"/>
    <x v="4"/>
    <n v="25"/>
    <n v="1250"/>
    <m/>
    <x v="3"/>
  </r>
  <r>
    <x v="295"/>
    <x v="926"/>
    <m/>
    <x v="6"/>
    <n v="10"/>
    <n v="3300"/>
    <m/>
    <x v="3"/>
  </r>
  <r>
    <x v="295"/>
    <x v="432"/>
    <m/>
    <x v="6"/>
    <n v="40"/>
    <n v="3200"/>
    <m/>
    <x v="3"/>
  </r>
  <r>
    <x v="295"/>
    <x v="432"/>
    <m/>
    <x v="10"/>
    <n v="82"/>
    <n v="7380"/>
    <m/>
    <x v="3"/>
  </r>
  <r>
    <x v="296"/>
    <x v="355"/>
    <s v="A401230"/>
    <x v="2"/>
    <n v="25"/>
    <n v="1550"/>
    <n v="1627.5"/>
    <x v="3"/>
  </r>
  <r>
    <x v="297"/>
    <x v="927"/>
    <s v="A233460"/>
    <x v="3"/>
    <n v="10"/>
    <n v="1766.4"/>
    <m/>
    <x v="3"/>
  </r>
  <r>
    <x v="298"/>
    <x v="928"/>
    <s v="A245020"/>
    <x v="6"/>
    <n v="1"/>
    <n v="970"/>
    <m/>
    <x v="3"/>
  </r>
  <r>
    <x v="298"/>
    <x v="928"/>
    <s v="A245020"/>
    <x v="7"/>
    <n v="5"/>
    <n v="4750"/>
    <m/>
    <x v="3"/>
  </r>
  <r>
    <x v="298"/>
    <x v="929"/>
    <s v="A253954"/>
    <x v="6"/>
    <n v="5"/>
    <n v="950"/>
    <m/>
    <x v="3"/>
  </r>
  <r>
    <x v="298"/>
    <x v="38"/>
    <s v="A273820"/>
    <x v="6"/>
    <n v="15"/>
    <n v="2625"/>
    <m/>
    <x v="3"/>
  </r>
  <r>
    <x v="298"/>
    <x v="38"/>
    <s v="A273820"/>
    <x v="7"/>
    <n v="10"/>
    <n v="1750"/>
    <m/>
    <x v="3"/>
  </r>
  <r>
    <x v="298"/>
    <x v="207"/>
    <m/>
    <x v="1"/>
    <n v="25"/>
    <n v="500"/>
    <n v="525"/>
    <x v="3"/>
  </r>
  <r>
    <x v="298"/>
    <x v="154"/>
    <s v="A292909"/>
    <x v="6"/>
    <n v="5"/>
    <n v="2250"/>
    <m/>
    <x v="3"/>
  </r>
  <r>
    <x v="298"/>
    <x v="930"/>
    <s v="A335298"/>
    <x v="9"/>
    <n v="25"/>
    <n v="8375"/>
    <m/>
    <x v="3"/>
  </r>
  <r>
    <x v="298"/>
    <x v="930"/>
    <s v="A335298"/>
    <x v="2"/>
    <n v="25"/>
    <n v="8375"/>
    <n v="8793.75"/>
    <x v="3"/>
  </r>
  <r>
    <x v="298"/>
    <x v="662"/>
    <m/>
    <x v="2"/>
    <n v="10"/>
    <n v="2300"/>
    <n v="2415"/>
    <x v="3"/>
  </r>
  <r>
    <x v="298"/>
    <x v="157"/>
    <s v="A244980"/>
    <x v="10"/>
    <n v="1"/>
    <n v="290"/>
    <m/>
    <x v="3"/>
  </r>
  <r>
    <x v="298"/>
    <x v="931"/>
    <s v="A335298"/>
    <x v="11"/>
    <n v="25"/>
    <n v="8375"/>
    <n v="8793.75"/>
    <x v="3"/>
  </r>
  <r>
    <x v="298"/>
    <x v="57"/>
    <s v="A292908"/>
    <x v="6"/>
    <n v="5"/>
    <n v="950"/>
    <m/>
    <x v="3"/>
  </r>
  <r>
    <x v="298"/>
    <x v="932"/>
    <s v="A284385"/>
    <x v="7"/>
    <n v="25"/>
    <n v="5000"/>
    <m/>
    <x v="3"/>
  </r>
  <r>
    <x v="298"/>
    <x v="60"/>
    <m/>
    <x v="2"/>
    <n v="4"/>
    <n v="1200"/>
    <n v="1260"/>
    <x v="3"/>
  </r>
  <r>
    <x v="298"/>
    <x v="212"/>
    <s v="P05507"/>
    <x v="6"/>
    <n v="1"/>
    <n v="1200"/>
    <m/>
    <x v="3"/>
  </r>
  <r>
    <x v="298"/>
    <x v="212"/>
    <s v="P05507"/>
    <x v="7"/>
    <n v="10"/>
    <n v="11750"/>
    <m/>
    <x v="3"/>
  </r>
  <r>
    <x v="298"/>
    <x v="212"/>
    <s v="P05507"/>
    <x v="10"/>
    <n v="5"/>
    <n v="5500"/>
    <m/>
    <x v="3"/>
  </r>
  <r>
    <x v="298"/>
    <x v="212"/>
    <s v="P05507"/>
    <x v="8"/>
    <n v="5"/>
    <n v="5500"/>
    <m/>
    <x v="3"/>
  </r>
  <r>
    <x v="298"/>
    <x v="95"/>
    <m/>
    <x v="2"/>
    <n v="5"/>
    <n v="2500"/>
    <n v="2625"/>
    <x v="3"/>
  </r>
  <r>
    <x v="298"/>
    <x v="783"/>
    <s v="P04964"/>
    <x v="6"/>
    <n v="5"/>
    <n v="2250"/>
    <m/>
    <x v="3"/>
  </r>
  <r>
    <x v="298"/>
    <x v="933"/>
    <m/>
    <x v="2"/>
    <n v="30"/>
    <n v="8700"/>
    <n v="9135"/>
    <x v="3"/>
  </r>
  <r>
    <x v="298"/>
    <x v="344"/>
    <s v="A415791"/>
    <x v="11"/>
    <n v="100"/>
    <n v="8500"/>
    <n v="8925"/>
    <x v="3"/>
  </r>
  <r>
    <x v="298"/>
    <x v="934"/>
    <m/>
    <x v="11"/>
    <n v="25"/>
    <n v="2250"/>
    <n v="2362.5"/>
    <x v="76"/>
  </r>
  <r>
    <x v="298"/>
    <x v="934"/>
    <m/>
    <x v="0"/>
    <n v="10"/>
    <n v="800"/>
    <n v="840"/>
    <x v="76"/>
  </r>
  <r>
    <x v="298"/>
    <x v="252"/>
    <s v="A408098"/>
    <x v="11"/>
    <n v="50"/>
    <n v="4500"/>
    <n v="4725"/>
    <x v="3"/>
  </r>
  <r>
    <x v="298"/>
    <x v="793"/>
    <s v="A287069"/>
    <x v="8"/>
    <n v="10"/>
    <n v="4800"/>
    <m/>
    <x v="3"/>
  </r>
  <r>
    <x v="298"/>
    <x v="99"/>
    <s v="A282344"/>
    <x v="6"/>
    <n v="25"/>
    <n v="4375"/>
    <m/>
    <x v="3"/>
  </r>
  <r>
    <x v="298"/>
    <x v="99"/>
    <s v="A282344"/>
    <x v="7"/>
    <n v="35"/>
    <n v="6125"/>
    <m/>
    <x v="3"/>
  </r>
  <r>
    <x v="298"/>
    <x v="99"/>
    <s v="A282344"/>
    <x v="10"/>
    <n v="25"/>
    <n v="4375"/>
    <m/>
    <x v="3"/>
  </r>
  <r>
    <x v="298"/>
    <x v="99"/>
    <s v="A282344"/>
    <x v="8"/>
    <n v="25"/>
    <n v="4375"/>
    <m/>
    <x v="3"/>
  </r>
  <r>
    <x v="298"/>
    <x v="99"/>
    <s v="A282344"/>
    <x v="2"/>
    <n v="5"/>
    <n v="875"/>
    <n v="918.75"/>
    <x v="3"/>
  </r>
  <r>
    <x v="298"/>
    <x v="32"/>
    <s v="A295591"/>
    <x v="6"/>
    <n v="15"/>
    <n v="4750"/>
    <m/>
    <x v="3"/>
  </r>
  <r>
    <x v="298"/>
    <x v="32"/>
    <s v="A295590"/>
    <x v="7"/>
    <n v="80"/>
    <n v="18400"/>
    <m/>
    <x v="3"/>
  </r>
  <r>
    <x v="298"/>
    <x v="32"/>
    <s v="A295590"/>
    <x v="10"/>
    <n v="75"/>
    <n v="16750"/>
    <m/>
    <x v="3"/>
  </r>
  <r>
    <x v="298"/>
    <x v="32"/>
    <s v="A295590"/>
    <x v="8"/>
    <n v="75"/>
    <n v="16500"/>
    <m/>
    <x v="3"/>
  </r>
  <r>
    <x v="298"/>
    <x v="32"/>
    <s v="A295590"/>
    <x v="9"/>
    <n v="96"/>
    <n v="15510"/>
    <m/>
    <x v="3"/>
  </r>
  <r>
    <x v="298"/>
    <x v="32"/>
    <s v="A295590"/>
    <x v="1"/>
    <n v="75"/>
    <n v="16500"/>
    <n v="17325"/>
    <x v="3"/>
  </r>
  <r>
    <x v="298"/>
    <x v="32"/>
    <s v="A295590"/>
    <x v="2"/>
    <n v="50"/>
    <n v="11000"/>
    <n v="11550"/>
    <x v="3"/>
  </r>
  <r>
    <x v="298"/>
    <x v="32"/>
    <s v="A295590"/>
    <x v="11"/>
    <n v="50"/>
    <n v="11000"/>
    <n v="11550"/>
    <x v="3"/>
  </r>
  <r>
    <x v="298"/>
    <x v="169"/>
    <s v="A286824"/>
    <x v="10"/>
    <n v="1"/>
    <n v="200"/>
    <m/>
    <x v="3"/>
  </r>
  <r>
    <x v="298"/>
    <x v="78"/>
    <s v="A234651"/>
    <x v="7"/>
    <n v="5"/>
    <n v="1000"/>
    <m/>
    <x v="3"/>
  </r>
  <r>
    <x v="298"/>
    <x v="80"/>
    <s v="F15632"/>
    <x v="2"/>
    <n v="5"/>
    <n v="2750"/>
    <n v="2887.5"/>
    <x v="3"/>
  </r>
  <r>
    <x v="299"/>
    <x v="935"/>
    <s v="A251909"/>
    <x v="5"/>
    <n v="200"/>
    <n v="19084"/>
    <m/>
    <x v="3"/>
  </r>
  <r>
    <x v="299"/>
    <x v="935"/>
    <s v="A251909"/>
    <x v="10"/>
    <n v="25"/>
    <n v="2750"/>
    <m/>
    <x v="3"/>
  </r>
  <r>
    <x v="299"/>
    <x v="38"/>
    <s v="A273820"/>
    <x v="5"/>
    <n v="15"/>
    <n v="2850"/>
    <m/>
    <x v="3"/>
  </r>
  <r>
    <x v="299"/>
    <x v="936"/>
    <s v="A269345"/>
    <x v="4"/>
    <n v="1"/>
    <n v="200"/>
    <m/>
    <x v="3"/>
  </r>
  <r>
    <x v="299"/>
    <x v="936"/>
    <s v="A269345"/>
    <x v="5"/>
    <n v="10"/>
    <n v="2000"/>
    <m/>
    <x v="3"/>
  </r>
  <r>
    <x v="299"/>
    <x v="937"/>
    <s v="A263308"/>
    <x v="4"/>
    <n v="25"/>
    <n v="1575"/>
    <m/>
    <x v="3"/>
  </r>
  <r>
    <x v="299"/>
    <x v="938"/>
    <s v="A241622"/>
    <x v="4"/>
    <n v="25"/>
    <n v="1525"/>
    <m/>
    <x v="3"/>
  </r>
  <r>
    <x v="299"/>
    <x v="939"/>
    <s v="A242451"/>
    <x v="5"/>
    <n v="10"/>
    <n v="2000"/>
    <m/>
    <x v="3"/>
  </r>
  <r>
    <x v="299"/>
    <x v="940"/>
    <s v="A243757"/>
    <x v="5"/>
    <n v="100"/>
    <n v="12863"/>
    <m/>
    <x v="3"/>
  </r>
  <r>
    <x v="299"/>
    <x v="941"/>
    <s v="A261029"/>
    <x v="5"/>
    <n v="15"/>
    <n v="3300"/>
    <m/>
    <x v="3"/>
  </r>
  <r>
    <x v="299"/>
    <x v="942"/>
    <s v="A240821"/>
    <x v="5"/>
    <n v="10"/>
    <n v="2200"/>
    <m/>
    <x v="3"/>
  </r>
  <r>
    <x v="299"/>
    <x v="744"/>
    <s v="A249749"/>
    <x v="4"/>
    <n v="14"/>
    <n v="3360"/>
    <m/>
    <x v="3"/>
  </r>
  <r>
    <x v="299"/>
    <x v="744"/>
    <s v="A249749"/>
    <x v="5"/>
    <n v="5"/>
    <n v="1200"/>
    <m/>
    <x v="3"/>
  </r>
  <r>
    <x v="299"/>
    <x v="744"/>
    <s v="A249749"/>
    <x v="6"/>
    <n v="25"/>
    <n v="6000"/>
    <m/>
    <x v="3"/>
  </r>
  <r>
    <x v="299"/>
    <x v="925"/>
    <s v="A241362"/>
    <x v="5"/>
    <n v="100"/>
    <n v="11025"/>
    <m/>
    <x v="3"/>
  </r>
  <r>
    <x v="299"/>
    <x v="93"/>
    <s v="A231708"/>
    <x v="4"/>
    <n v="25"/>
    <n v="1425"/>
    <m/>
    <x v="3"/>
  </r>
  <r>
    <x v="299"/>
    <x v="425"/>
    <s v="A250903"/>
    <x v="5"/>
    <n v="100"/>
    <n v="13965"/>
    <m/>
    <x v="3"/>
  </r>
  <r>
    <x v="299"/>
    <x v="286"/>
    <s v="A255319"/>
    <x v="5"/>
    <n v="100"/>
    <n v="11760"/>
    <m/>
    <x v="3"/>
  </r>
  <r>
    <x v="299"/>
    <x v="943"/>
    <s v="A249166"/>
    <x v="5"/>
    <n v="15"/>
    <n v="975"/>
    <m/>
    <x v="3"/>
  </r>
  <r>
    <x v="299"/>
    <x v="53"/>
    <s v="A249179"/>
    <x v="4"/>
    <n v="30"/>
    <n v="2010"/>
    <m/>
    <x v="3"/>
  </r>
  <r>
    <x v="299"/>
    <x v="53"/>
    <s v="A249179"/>
    <x v="5"/>
    <n v="10"/>
    <n v="670"/>
    <m/>
    <x v="3"/>
  </r>
  <r>
    <x v="299"/>
    <x v="53"/>
    <s v="A249179"/>
    <x v="6"/>
    <n v="10"/>
    <n v="670"/>
    <m/>
    <x v="3"/>
  </r>
  <r>
    <x v="299"/>
    <x v="57"/>
    <s v="A234479"/>
    <x v="4"/>
    <n v="6"/>
    <n v="2820"/>
    <m/>
    <x v="3"/>
  </r>
  <r>
    <x v="299"/>
    <x v="57"/>
    <s v="A277086"/>
    <x v="4"/>
    <n v="20"/>
    <n v="4800"/>
    <m/>
    <x v="3"/>
  </r>
  <r>
    <x v="299"/>
    <x v="57"/>
    <s v="A234479"/>
    <x v="5"/>
    <n v="11"/>
    <n v="4700"/>
    <m/>
    <x v="3"/>
  </r>
  <r>
    <x v="299"/>
    <x v="57"/>
    <s v="A277086"/>
    <x v="5"/>
    <n v="25"/>
    <n v="6000"/>
    <m/>
    <x v="3"/>
  </r>
  <r>
    <x v="299"/>
    <x v="57"/>
    <s v="A277086"/>
    <x v="6"/>
    <n v="5"/>
    <n v="1200"/>
    <m/>
    <x v="3"/>
  </r>
  <r>
    <x v="299"/>
    <x v="906"/>
    <s v="A241190"/>
    <x v="4"/>
    <n v="5"/>
    <n v="1350"/>
    <m/>
    <x v="3"/>
  </r>
  <r>
    <x v="299"/>
    <x v="906"/>
    <s v="A241190"/>
    <x v="5"/>
    <n v="10"/>
    <n v="2700"/>
    <m/>
    <x v="3"/>
  </r>
  <r>
    <x v="299"/>
    <x v="944"/>
    <s v="A244981"/>
    <x v="4"/>
    <n v="1"/>
    <n v="220"/>
    <m/>
    <x v="3"/>
  </r>
  <r>
    <x v="299"/>
    <x v="944"/>
    <s v="A244981"/>
    <x v="5"/>
    <n v="11"/>
    <n v="2200"/>
    <m/>
    <x v="3"/>
  </r>
  <r>
    <x v="299"/>
    <x v="30"/>
    <s v="A233444"/>
    <x v="4"/>
    <n v="30"/>
    <n v="2160"/>
    <m/>
    <x v="3"/>
  </r>
  <r>
    <x v="299"/>
    <x v="945"/>
    <s v="A242628"/>
    <x v="5"/>
    <n v="100"/>
    <n v="14406"/>
    <m/>
    <x v="3"/>
  </r>
  <r>
    <x v="299"/>
    <x v="201"/>
    <s v="A253600"/>
    <x v="4"/>
    <n v="1"/>
    <n v="340"/>
    <m/>
    <x v="3"/>
  </r>
  <r>
    <x v="300"/>
    <x v="717"/>
    <m/>
    <x v="1"/>
    <n v="20"/>
    <n v="1600"/>
    <n v="1680"/>
    <x v="3"/>
  </r>
  <r>
    <x v="300"/>
    <x v="718"/>
    <m/>
    <x v="2"/>
    <n v="1"/>
    <n v="85"/>
    <n v="89.25"/>
    <x v="3"/>
  </r>
  <r>
    <x v="300"/>
    <x v="5"/>
    <s v="A249720"/>
    <x v="9"/>
    <n v="5"/>
    <n v="475"/>
    <m/>
    <x v="3"/>
  </r>
  <r>
    <x v="300"/>
    <x v="5"/>
    <s v="A249720"/>
    <x v="1"/>
    <n v="40"/>
    <n v="3800"/>
    <n v="3990"/>
    <x v="3"/>
  </r>
  <r>
    <x v="300"/>
    <x v="8"/>
    <m/>
    <x v="9"/>
    <n v="1"/>
    <n v="520"/>
    <m/>
    <x v="3"/>
  </r>
  <r>
    <x v="300"/>
    <x v="18"/>
    <m/>
    <x v="9"/>
    <n v="20"/>
    <n v="1800"/>
    <m/>
    <x v="3"/>
  </r>
  <r>
    <x v="300"/>
    <x v="432"/>
    <m/>
    <x v="2"/>
    <n v="1"/>
    <n v="80"/>
    <n v="84"/>
    <x v="3"/>
  </r>
  <r>
    <x v="300"/>
    <x v="10"/>
    <m/>
    <x v="1"/>
    <n v="20"/>
    <n v="1300"/>
    <n v="1365"/>
    <x v="3"/>
  </r>
  <r>
    <x v="300"/>
    <x v="19"/>
    <s v="A233442"/>
    <x v="9"/>
    <n v="1"/>
    <n v="75"/>
    <m/>
    <x v="3"/>
  </r>
  <r>
    <x v="301"/>
    <x v="241"/>
    <s v="A401495"/>
    <x v="0"/>
    <n v="5"/>
    <n v="325"/>
    <n v="341.25"/>
    <x v="1"/>
  </r>
  <r>
    <x v="302"/>
    <x v="144"/>
    <s v="A256430"/>
    <x v="11"/>
    <n v="5"/>
    <n v="1200"/>
    <n v="1260"/>
    <x v="3"/>
  </r>
  <r>
    <x v="302"/>
    <x v="318"/>
    <s v="A302349"/>
    <x v="11"/>
    <n v="5"/>
    <n v="825"/>
    <n v="866.25"/>
    <x v="3"/>
  </r>
  <r>
    <x v="303"/>
    <x v="603"/>
    <s v="A322909"/>
    <x v="1"/>
    <n v="25"/>
    <n v="2000"/>
    <n v="2100"/>
    <x v="3"/>
  </r>
  <r>
    <x v="303"/>
    <x v="16"/>
    <s v="A242640"/>
    <x v="9"/>
    <n v="25"/>
    <n v="1625"/>
    <m/>
    <x v="3"/>
  </r>
  <r>
    <x v="303"/>
    <x v="10"/>
    <m/>
    <x v="9"/>
    <n v="20"/>
    <n v="1700"/>
    <m/>
    <x v="3"/>
  </r>
  <r>
    <x v="303"/>
    <x v="10"/>
    <m/>
    <x v="1"/>
    <n v="20"/>
    <n v="1700"/>
    <n v="1785"/>
    <x v="3"/>
  </r>
  <r>
    <x v="304"/>
    <x v="603"/>
    <s v="A322909"/>
    <x v="1"/>
    <n v="25"/>
    <n v="2000"/>
    <n v="2100"/>
    <x v="3"/>
  </r>
  <r>
    <x v="304"/>
    <x v="353"/>
    <s v="A241990"/>
    <x v="10"/>
    <n v="1"/>
    <n v="75"/>
    <m/>
    <x v="3"/>
  </r>
  <r>
    <x v="304"/>
    <x v="7"/>
    <m/>
    <x v="10"/>
    <n v="1"/>
    <n v="500"/>
    <m/>
    <x v="3"/>
  </r>
  <r>
    <x v="304"/>
    <x v="494"/>
    <s v="A257810"/>
    <x v="2"/>
    <n v="5"/>
    <n v="375"/>
    <n v="393.75"/>
    <x v="3"/>
  </r>
  <r>
    <x v="304"/>
    <x v="377"/>
    <s v="A248596"/>
    <x v="8"/>
    <n v="5"/>
    <n v="375"/>
    <m/>
    <x v="3"/>
  </r>
  <r>
    <x v="304"/>
    <x v="432"/>
    <m/>
    <x v="1"/>
    <n v="2"/>
    <n v="160"/>
    <n v="168"/>
    <x v="3"/>
  </r>
  <r>
    <x v="304"/>
    <x v="10"/>
    <m/>
    <x v="1"/>
    <n v="40"/>
    <n v="3100"/>
    <n v="3255"/>
    <x v="3"/>
  </r>
  <r>
    <x v="304"/>
    <x v="19"/>
    <s v="A233442"/>
    <x v="8"/>
    <n v="125"/>
    <n v="7275"/>
    <m/>
    <x v="3"/>
  </r>
  <r>
    <x v="304"/>
    <x v="19"/>
    <s v="A233442"/>
    <x v="9"/>
    <n v="50"/>
    <n v="2900"/>
    <m/>
    <x v="3"/>
  </r>
  <r>
    <x v="305"/>
    <x v="317"/>
    <s v="A246212"/>
    <x v="4"/>
    <n v="50"/>
    <n v="4750"/>
    <m/>
    <x v="3"/>
  </r>
  <r>
    <x v="305"/>
    <x v="317"/>
    <s v="A246212"/>
    <x v="5"/>
    <n v="75"/>
    <n v="7125"/>
    <m/>
    <x v="3"/>
  </r>
  <r>
    <x v="305"/>
    <x v="317"/>
    <s v="A246212"/>
    <x v="6"/>
    <n v="150"/>
    <n v="14250"/>
    <m/>
    <x v="3"/>
  </r>
  <r>
    <x v="305"/>
    <x v="93"/>
    <s v="A231708"/>
    <x v="3"/>
    <n v="50"/>
    <n v="2500"/>
    <m/>
    <x v="3"/>
  </r>
  <r>
    <x v="305"/>
    <x v="93"/>
    <s v="A231708"/>
    <x v="4"/>
    <n v="25"/>
    <n v="1250"/>
    <m/>
    <x v="3"/>
  </r>
  <r>
    <x v="305"/>
    <x v="3"/>
    <s v="A232126"/>
    <x v="3"/>
    <n v="25"/>
    <n v="2300"/>
    <m/>
    <x v="3"/>
  </r>
  <r>
    <x v="305"/>
    <x v="3"/>
    <s v="A232126"/>
    <x v="6"/>
    <n v="95"/>
    <n v="8740"/>
    <m/>
    <x v="3"/>
  </r>
  <r>
    <x v="305"/>
    <x v="4"/>
    <s v="A231709"/>
    <x v="12"/>
    <n v="25"/>
    <n v="1250"/>
    <m/>
    <x v="3"/>
  </r>
  <r>
    <x v="305"/>
    <x v="946"/>
    <s v="A232596"/>
    <x v="12"/>
    <n v="25"/>
    <n v="2100"/>
    <m/>
    <x v="3"/>
  </r>
  <r>
    <x v="305"/>
    <x v="947"/>
    <s v="A236391"/>
    <x v="12"/>
    <n v="25"/>
    <n v="2350"/>
    <m/>
    <x v="3"/>
  </r>
  <r>
    <x v="305"/>
    <x v="293"/>
    <s v="A248825"/>
    <x v="12"/>
    <n v="25"/>
    <n v="1875"/>
    <m/>
    <x v="3"/>
  </r>
  <r>
    <x v="305"/>
    <x v="293"/>
    <s v="A235990"/>
    <x v="4"/>
    <n v="25"/>
    <n v="1875"/>
    <m/>
    <x v="3"/>
  </r>
  <r>
    <x v="305"/>
    <x v="948"/>
    <s v="A236390"/>
    <x v="12"/>
    <n v="25"/>
    <n v="3125"/>
    <m/>
    <x v="3"/>
  </r>
  <r>
    <x v="305"/>
    <x v="19"/>
    <s v="A233442"/>
    <x v="10"/>
    <n v="25"/>
    <n v="1500"/>
    <m/>
    <x v="3"/>
  </r>
  <r>
    <x v="306"/>
    <x v="144"/>
    <s v="A256430"/>
    <x v="2"/>
    <n v="25"/>
    <n v="2200"/>
    <n v="2310"/>
    <x v="3"/>
  </r>
  <r>
    <x v="306"/>
    <x v="317"/>
    <s v="A246212"/>
    <x v="9"/>
    <n v="50"/>
    <n v="3500"/>
    <m/>
    <x v="3"/>
  </r>
  <r>
    <x v="306"/>
    <x v="317"/>
    <s v="A246212"/>
    <x v="2"/>
    <n v="25"/>
    <n v="1750"/>
    <n v="1837.5"/>
    <x v="3"/>
  </r>
  <r>
    <x v="306"/>
    <x v="88"/>
    <s v="A244191"/>
    <x v="9"/>
    <n v="50"/>
    <n v="3400"/>
    <m/>
    <x v="3"/>
  </r>
  <r>
    <x v="306"/>
    <x v="363"/>
    <s v="A402002"/>
    <x v="2"/>
    <n v="50"/>
    <n v="4000"/>
    <n v="4200"/>
    <x v="3"/>
  </r>
  <r>
    <x v="306"/>
    <x v="319"/>
    <s v="A248264"/>
    <x v="2"/>
    <n v="25"/>
    <n v="2000"/>
    <n v="2100"/>
    <x v="3"/>
  </r>
  <r>
    <x v="306"/>
    <x v="299"/>
    <s v="A404821"/>
    <x v="11"/>
    <n v="5"/>
    <n v="800"/>
    <n v="800"/>
    <x v="3"/>
  </r>
  <r>
    <x v="306"/>
    <x v="366"/>
    <s v="A238073"/>
    <x v="1"/>
    <n v="25"/>
    <n v="1625"/>
    <n v="1706.25"/>
    <x v="3"/>
  </r>
  <r>
    <x v="306"/>
    <x v="255"/>
    <s v="A245809"/>
    <x v="2"/>
    <n v="50"/>
    <n v="4250"/>
    <n v="4462.5"/>
    <x v="3"/>
  </r>
  <r>
    <x v="306"/>
    <x v="255"/>
    <s v="A245809"/>
    <x v="11"/>
    <n v="25"/>
    <n v="2125"/>
    <n v="2231.25"/>
    <x v="3"/>
  </r>
  <r>
    <x v="306"/>
    <x v="582"/>
    <s v="A339212"/>
    <x v="9"/>
    <n v="25"/>
    <n v="1900"/>
    <m/>
    <x v="3"/>
  </r>
  <r>
    <x v="306"/>
    <x v="582"/>
    <s v="A339212"/>
    <x v="1"/>
    <n v="25"/>
    <n v="1900"/>
    <n v="1995"/>
    <x v="3"/>
  </r>
  <r>
    <x v="306"/>
    <x v="582"/>
    <s v="A339212"/>
    <x v="2"/>
    <n v="50"/>
    <n v="3800"/>
    <n v="3990"/>
    <x v="3"/>
  </r>
  <r>
    <x v="306"/>
    <x v="557"/>
    <s v="P108460"/>
    <x v="0"/>
    <n v="10"/>
    <n v="760"/>
    <n v="798"/>
    <x v="1"/>
  </r>
  <r>
    <x v="306"/>
    <x v="323"/>
    <s v="A292785"/>
    <x v="1"/>
    <n v="50"/>
    <n v="4100"/>
    <n v="4305"/>
    <x v="3"/>
  </r>
  <r>
    <x v="306"/>
    <x v="129"/>
    <s v="A235765"/>
    <x v="2"/>
    <n v="25"/>
    <n v="2000"/>
    <n v="2100"/>
    <x v="3"/>
  </r>
  <r>
    <x v="306"/>
    <x v="271"/>
    <s v="A401493"/>
    <x v="11"/>
    <n v="50"/>
    <n v="4000"/>
    <n v="4200"/>
    <x v="3"/>
  </r>
  <r>
    <x v="306"/>
    <x v="234"/>
    <s v="A305995"/>
    <x v="2"/>
    <n v="25"/>
    <n v="2000"/>
    <n v="2100"/>
    <x v="3"/>
  </r>
  <r>
    <x v="306"/>
    <x v="306"/>
    <s v="A244199"/>
    <x v="8"/>
    <n v="50"/>
    <n v="3750"/>
    <m/>
    <x v="3"/>
  </r>
  <r>
    <x v="306"/>
    <x v="182"/>
    <s v="A275118"/>
    <x v="7"/>
    <n v="225"/>
    <n v="20250"/>
    <m/>
    <x v="3"/>
  </r>
  <r>
    <x v="306"/>
    <x v="182"/>
    <s v="A275118"/>
    <x v="9"/>
    <n v="50"/>
    <n v="4500"/>
    <m/>
    <x v="3"/>
  </r>
  <r>
    <x v="306"/>
    <x v="182"/>
    <s v="A275118"/>
    <x v="1"/>
    <n v="60"/>
    <n v="5400"/>
    <n v="5670"/>
    <x v="3"/>
  </r>
  <r>
    <x v="306"/>
    <x v="182"/>
    <s v="A275118"/>
    <x v="2"/>
    <n v="50"/>
    <n v="4500"/>
    <n v="4725"/>
    <x v="3"/>
  </r>
  <r>
    <x v="306"/>
    <x v="24"/>
    <s v="A241586"/>
    <x v="2"/>
    <n v="13"/>
    <n v="1040"/>
    <n v="1092"/>
    <x v="3"/>
  </r>
  <r>
    <x v="306"/>
    <x v="949"/>
    <s v="A237612"/>
    <x v="7"/>
    <n v="50"/>
    <n v="5250"/>
    <m/>
    <x v="3"/>
  </r>
  <r>
    <x v="306"/>
    <x v="949"/>
    <s v="A237612"/>
    <x v="10"/>
    <n v="50"/>
    <n v="5250"/>
    <m/>
    <x v="3"/>
  </r>
  <r>
    <x v="306"/>
    <x v="469"/>
    <s v="A248486"/>
    <x v="1"/>
    <n v="25"/>
    <n v="1375"/>
    <n v="1443.75"/>
    <x v="3"/>
  </r>
  <r>
    <x v="306"/>
    <x v="469"/>
    <s v="A248486"/>
    <x v="2"/>
    <n v="25"/>
    <n v="1375"/>
    <n v="1443.75"/>
    <x v="3"/>
  </r>
  <r>
    <x v="306"/>
    <x v="328"/>
    <s v="A285349"/>
    <x v="9"/>
    <n v="25"/>
    <n v="2125"/>
    <m/>
    <x v="3"/>
  </r>
  <r>
    <x v="306"/>
    <x v="328"/>
    <s v="A285349"/>
    <x v="2"/>
    <n v="100"/>
    <n v="9975"/>
    <n v="10473.75"/>
    <x v="3"/>
  </r>
  <r>
    <x v="306"/>
    <x v="328"/>
    <s v="A285349"/>
    <x v="11"/>
    <n v="25"/>
    <n v="2375"/>
    <n v="2493.75"/>
    <x v="3"/>
  </r>
  <r>
    <x v="306"/>
    <x v="184"/>
    <s v="A299984"/>
    <x v="1"/>
    <n v="25"/>
    <n v="1750"/>
    <n v="1837.5"/>
    <x v="3"/>
  </r>
  <r>
    <x v="306"/>
    <x v="184"/>
    <s v="A299984"/>
    <x v="2"/>
    <n v="25"/>
    <n v="1750"/>
    <n v="1837.5"/>
    <x v="3"/>
  </r>
  <r>
    <x v="306"/>
    <x v="950"/>
    <s v="A305591"/>
    <x v="2"/>
    <n v="75"/>
    <n v="6750"/>
    <n v="7087.5"/>
    <x v="3"/>
  </r>
  <r>
    <x v="306"/>
    <x v="156"/>
    <s v="A231705"/>
    <x v="1"/>
    <n v="25"/>
    <n v="1625"/>
    <n v="1706.25"/>
    <x v="3"/>
  </r>
  <r>
    <x v="306"/>
    <x v="274"/>
    <s v="P19035"/>
    <x v="2"/>
    <n v="100"/>
    <n v="7500"/>
    <n v="7875"/>
    <x v="3"/>
  </r>
  <r>
    <x v="306"/>
    <x v="274"/>
    <s v="P19035"/>
    <x v="11"/>
    <n v="25"/>
    <n v="1875"/>
    <n v="1968.75"/>
    <x v="3"/>
  </r>
  <r>
    <x v="306"/>
    <x v="28"/>
    <s v="A233711"/>
    <x v="2"/>
    <n v="50"/>
    <n v="4000"/>
    <n v="4200"/>
    <x v="3"/>
  </r>
  <r>
    <x v="306"/>
    <x v="51"/>
    <s v="A298567"/>
    <x v="9"/>
    <n v="75"/>
    <n v="3150"/>
    <m/>
    <x v="3"/>
  </r>
  <r>
    <x v="306"/>
    <x v="51"/>
    <s v="A298567"/>
    <x v="1"/>
    <n v="75"/>
    <n v="3150"/>
    <n v="3307.5"/>
    <x v="3"/>
  </r>
  <r>
    <x v="306"/>
    <x v="51"/>
    <s v="A298567"/>
    <x v="2"/>
    <n v="200"/>
    <n v="15000"/>
    <n v="15750"/>
    <x v="3"/>
  </r>
  <r>
    <x v="306"/>
    <x v="53"/>
    <s v="A249179"/>
    <x v="1"/>
    <n v="25"/>
    <n v="2000"/>
    <n v="2100"/>
    <x v="3"/>
  </r>
  <r>
    <x v="306"/>
    <x v="53"/>
    <s v="A249179"/>
    <x v="2"/>
    <n v="25"/>
    <n v="2000"/>
    <n v="2100"/>
    <x v="3"/>
  </r>
  <r>
    <x v="306"/>
    <x v="94"/>
    <s v="A339929"/>
    <x v="9"/>
    <n v="50"/>
    <n v="3750"/>
    <m/>
    <x v="3"/>
  </r>
  <r>
    <x v="306"/>
    <x v="94"/>
    <s v="A339929"/>
    <x v="1"/>
    <n v="70"/>
    <n v="5250"/>
    <n v="5512.5"/>
    <x v="3"/>
  </r>
  <r>
    <x v="306"/>
    <x v="94"/>
    <s v="A339929"/>
    <x v="2"/>
    <n v="50"/>
    <n v="3750"/>
    <n v="3937.5"/>
    <x v="3"/>
  </r>
  <r>
    <x v="306"/>
    <x v="57"/>
    <s v="A292908"/>
    <x v="2"/>
    <n v="50"/>
    <n v="6500"/>
    <n v="6825"/>
    <x v="3"/>
  </r>
  <r>
    <x v="306"/>
    <x v="708"/>
    <s v="A337724"/>
    <x v="1"/>
    <n v="5"/>
    <n v="375"/>
    <n v="393.75"/>
    <x v="3"/>
  </r>
  <r>
    <x v="306"/>
    <x v="409"/>
    <s v="A337724"/>
    <x v="0"/>
    <n v="25"/>
    <n v="1875"/>
    <n v="1968.75"/>
    <x v="1"/>
  </r>
  <r>
    <x v="306"/>
    <x v="333"/>
    <s v="A317827"/>
    <x v="8"/>
    <n v="5"/>
    <n v="350"/>
    <m/>
    <x v="3"/>
  </r>
  <r>
    <x v="306"/>
    <x v="333"/>
    <s v="A317827"/>
    <x v="9"/>
    <n v="125"/>
    <n v="8750"/>
    <m/>
    <x v="3"/>
  </r>
  <r>
    <x v="306"/>
    <x v="333"/>
    <s v="A317827"/>
    <x v="1"/>
    <n v="75"/>
    <n v="5250"/>
    <n v="5512.5"/>
    <x v="3"/>
  </r>
  <r>
    <x v="306"/>
    <x v="333"/>
    <s v="A317827"/>
    <x v="2"/>
    <n v="100"/>
    <n v="8750"/>
    <n v="9187.5"/>
    <x v="3"/>
  </r>
  <r>
    <x v="306"/>
    <x v="333"/>
    <s v="A317827"/>
    <x v="11"/>
    <n v="25"/>
    <n v="1750"/>
    <n v="1837.5"/>
    <x v="3"/>
  </r>
  <r>
    <x v="306"/>
    <x v="97"/>
    <s v="A299992"/>
    <x v="2"/>
    <n v="58"/>
    <n v="4524"/>
    <n v="4750.2"/>
    <x v="3"/>
  </r>
  <r>
    <x v="306"/>
    <x v="252"/>
    <s v="A408098"/>
    <x v="2"/>
    <n v="25"/>
    <n v="1375"/>
    <n v="1443.75"/>
    <x v="3"/>
  </r>
  <r>
    <x v="306"/>
    <x v="596"/>
    <s v="A231707"/>
    <x v="1"/>
    <n v="50"/>
    <n v="3500"/>
    <n v="3675"/>
    <x v="3"/>
  </r>
  <r>
    <x v="306"/>
    <x v="596"/>
    <s v="A231707"/>
    <x v="2"/>
    <n v="25"/>
    <n v="2125"/>
    <n v="2231.25"/>
    <x v="3"/>
  </r>
  <r>
    <x v="306"/>
    <x v="31"/>
    <s v="A349425"/>
    <x v="2"/>
    <n v="150"/>
    <n v="9500"/>
    <n v="9975"/>
    <x v="3"/>
  </r>
  <r>
    <x v="306"/>
    <x v="19"/>
    <s v="A233442"/>
    <x v="9"/>
    <n v="75"/>
    <n v="5625"/>
    <m/>
    <x v="3"/>
  </r>
  <r>
    <x v="306"/>
    <x v="19"/>
    <s v="A233442"/>
    <x v="1"/>
    <n v="100"/>
    <n v="7500"/>
    <n v="7875"/>
    <x v="3"/>
  </r>
  <r>
    <x v="306"/>
    <x v="19"/>
    <s v="A233442"/>
    <x v="2"/>
    <n v="125"/>
    <n v="9375"/>
    <n v="9843.75"/>
    <x v="3"/>
  </r>
  <r>
    <x v="306"/>
    <x v="247"/>
    <s v="A402013"/>
    <x v="2"/>
    <n v="100"/>
    <n v="7500"/>
    <n v="7875"/>
    <x v="3"/>
  </r>
  <r>
    <x v="306"/>
    <x v="247"/>
    <s v="A402013"/>
    <x v="11"/>
    <n v="25"/>
    <n v="1875"/>
    <n v="1968.75"/>
    <x v="3"/>
  </r>
  <r>
    <x v="306"/>
    <x v="336"/>
    <s v="A320337"/>
    <x v="9"/>
    <n v="75"/>
    <n v="6150"/>
    <m/>
    <x v="3"/>
  </r>
  <r>
    <x v="306"/>
    <x v="336"/>
    <s v="A320337"/>
    <x v="2"/>
    <n v="50"/>
    <n v="4250"/>
    <n v="4462.5"/>
    <x v="3"/>
  </r>
  <r>
    <x v="306"/>
    <x v="336"/>
    <s v="A320337"/>
    <x v="11"/>
    <n v="25"/>
    <n v="2375"/>
    <n v="2493.75"/>
    <x v="3"/>
  </r>
  <r>
    <x v="306"/>
    <x v="253"/>
    <s v="A249315"/>
    <x v="9"/>
    <n v="125"/>
    <n v="11250"/>
    <m/>
    <x v="3"/>
  </r>
  <r>
    <x v="306"/>
    <x v="253"/>
    <s v="A249315"/>
    <x v="1"/>
    <n v="50"/>
    <n v="4500"/>
    <n v="4725"/>
    <x v="3"/>
  </r>
  <r>
    <x v="306"/>
    <x v="253"/>
    <s v="A249315"/>
    <x v="2"/>
    <n v="150"/>
    <n v="13250"/>
    <n v="13912.5"/>
    <x v="3"/>
  </r>
  <r>
    <x v="306"/>
    <x v="253"/>
    <s v="A249315"/>
    <x v="11"/>
    <n v="35"/>
    <n v="2975"/>
    <n v="3123.75"/>
    <x v="3"/>
  </r>
  <r>
    <x v="306"/>
    <x v="103"/>
    <s v="A299996"/>
    <x v="1"/>
    <n v="75"/>
    <n v="6375"/>
    <n v="6693.75"/>
    <x v="3"/>
  </r>
  <r>
    <x v="306"/>
    <x v="103"/>
    <s v="A299996"/>
    <x v="2"/>
    <n v="75"/>
    <n v="6125"/>
    <n v="6431.25"/>
    <x v="3"/>
  </r>
  <r>
    <x v="306"/>
    <x v="347"/>
    <s v="A417703"/>
    <x v="11"/>
    <n v="25"/>
    <n v="2125"/>
    <n v="2231.25"/>
    <x v="77"/>
  </r>
  <r>
    <x v="306"/>
    <x v="347"/>
    <s v="A417703"/>
    <x v="0"/>
    <n v="25"/>
    <n v="2125"/>
    <n v="2231.25"/>
    <x v="77"/>
  </r>
  <r>
    <x v="306"/>
    <x v="843"/>
    <s v="A305993"/>
    <x v="8"/>
    <n v="5"/>
    <n v="375"/>
    <m/>
    <x v="3"/>
  </r>
  <r>
    <x v="306"/>
    <x v="843"/>
    <s v="A305993"/>
    <x v="2"/>
    <n v="25"/>
    <n v="2125"/>
    <n v="2231.25"/>
    <x v="3"/>
  </r>
  <r>
    <x v="307"/>
    <x v="887"/>
    <s v="A403195"/>
    <x v="0"/>
    <n v="4"/>
    <n v="300"/>
    <n v="315"/>
    <x v="2"/>
  </r>
  <r>
    <x v="307"/>
    <x v="813"/>
    <s v="A415890"/>
    <x v="0"/>
    <n v="6"/>
    <n v="476"/>
    <n v="499.8"/>
    <x v="2"/>
  </r>
  <r>
    <x v="307"/>
    <x v="263"/>
    <s v="A403817"/>
    <x v="0"/>
    <n v="1"/>
    <n v="75"/>
    <n v="78.75"/>
    <x v="2"/>
  </r>
  <r>
    <x v="307"/>
    <x v="347"/>
    <s v="A417703"/>
    <x v="0"/>
    <n v="3"/>
    <n v="240"/>
    <n v="252"/>
    <x v="2"/>
  </r>
  <r>
    <x v="308"/>
    <x v="951"/>
    <s v="A269415"/>
    <x v="2"/>
    <n v="1"/>
    <n v="220"/>
    <n v="231"/>
    <x v="3"/>
  </r>
  <r>
    <x v="308"/>
    <x v="91"/>
    <s v="A241367"/>
    <x v="2"/>
    <n v="1"/>
    <n v="170"/>
    <n v="178.5"/>
    <x v="3"/>
  </r>
  <r>
    <x v="308"/>
    <x v="952"/>
    <s v="A241586"/>
    <x v="2"/>
    <n v="1"/>
    <n v="200"/>
    <n v="210"/>
    <x v="3"/>
  </r>
  <r>
    <x v="308"/>
    <x v="48"/>
    <s v="A245955"/>
    <x v="2"/>
    <n v="1"/>
    <n v="240"/>
    <n v="252"/>
    <x v="3"/>
  </r>
  <r>
    <x v="308"/>
    <x v="666"/>
    <s v="A242628"/>
    <x v="2"/>
    <n v="1"/>
    <n v="200"/>
    <n v="210"/>
    <x v="3"/>
  </r>
  <r>
    <x v="308"/>
    <x v="466"/>
    <s v="P09390"/>
    <x v="2"/>
    <n v="1"/>
    <n v="280"/>
    <n v="294"/>
    <x v="3"/>
  </r>
  <r>
    <x v="308"/>
    <x v="83"/>
    <s v="A234650"/>
    <x v="2"/>
    <n v="1"/>
    <n v="180"/>
    <n v="189"/>
    <x v="3"/>
  </r>
  <r>
    <x v="309"/>
    <x v="88"/>
    <s v="A244191"/>
    <x v="8"/>
    <n v="25"/>
    <n v="1875"/>
    <m/>
    <x v="3"/>
  </r>
  <r>
    <x v="309"/>
    <x v="953"/>
    <s v="A230054"/>
    <x v="12"/>
    <n v="10"/>
    <n v="450"/>
    <m/>
    <x v="3"/>
  </r>
  <r>
    <x v="309"/>
    <x v="284"/>
    <s v="A257635"/>
    <x v="1"/>
    <n v="5"/>
    <n v="700"/>
    <n v="735"/>
    <x v="3"/>
  </r>
  <r>
    <x v="309"/>
    <x v="353"/>
    <s v="A241990"/>
    <x v="12"/>
    <n v="10"/>
    <n v="600"/>
    <m/>
    <x v="3"/>
  </r>
  <r>
    <x v="309"/>
    <x v="353"/>
    <s v="A241990"/>
    <x v="3"/>
    <n v="11"/>
    <n v="660"/>
    <m/>
    <x v="3"/>
  </r>
  <r>
    <x v="309"/>
    <x v="654"/>
    <s v="A238523"/>
    <x v="12"/>
    <n v="10"/>
    <n v="550"/>
    <m/>
    <x v="3"/>
  </r>
  <r>
    <x v="309"/>
    <x v="504"/>
    <s v="A321852"/>
    <x v="1"/>
    <n v="5"/>
    <n v="375"/>
    <n v="393.75"/>
    <x v="3"/>
  </r>
  <r>
    <x v="309"/>
    <x v="151"/>
    <s v="A260799"/>
    <x v="1"/>
    <n v="5"/>
    <n v="700"/>
    <n v="735"/>
    <x v="3"/>
  </r>
  <r>
    <x v="309"/>
    <x v="373"/>
    <s v="A241556"/>
    <x v="12"/>
    <n v="10"/>
    <n v="650"/>
    <m/>
    <x v="3"/>
  </r>
  <r>
    <x v="309"/>
    <x v="238"/>
    <m/>
    <x v="9"/>
    <n v="7"/>
    <n v="770"/>
    <m/>
    <x v="3"/>
  </r>
  <r>
    <x v="309"/>
    <x v="328"/>
    <s v="A285349"/>
    <x v="8"/>
    <n v="25"/>
    <n v="2125"/>
    <m/>
    <x v="3"/>
  </r>
  <r>
    <x v="309"/>
    <x v="93"/>
    <s v="A231708"/>
    <x v="3"/>
    <n v="24"/>
    <n v="1200"/>
    <m/>
    <x v="3"/>
  </r>
  <r>
    <x v="309"/>
    <x v="93"/>
    <s v="A231708"/>
    <x v="8"/>
    <n v="25"/>
    <n v="1500"/>
    <m/>
    <x v="3"/>
  </r>
  <r>
    <x v="309"/>
    <x v="93"/>
    <s v="A231708"/>
    <x v="1"/>
    <n v="50"/>
    <n v="3000"/>
    <n v="3150"/>
    <x v="3"/>
  </r>
  <r>
    <x v="309"/>
    <x v="268"/>
    <s v="A245994"/>
    <x v="2"/>
    <n v="11"/>
    <n v="935"/>
    <n v="981.75"/>
    <x v="3"/>
  </r>
  <r>
    <x v="309"/>
    <x v="3"/>
    <s v="A232126"/>
    <x v="12"/>
    <n v="10"/>
    <n v="650"/>
    <m/>
    <x v="3"/>
  </r>
  <r>
    <x v="309"/>
    <x v="3"/>
    <s v="A232126"/>
    <x v="3"/>
    <n v="9"/>
    <n v="585"/>
    <m/>
    <x v="3"/>
  </r>
  <r>
    <x v="309"/>
    <x v="3"/>
    <s v="A232126"/>
    <x v="1"/>
    <n v="100"/>
    <n v="7000"/>
    <n v="7350"/>
    <x v="3"/>
  </r>
  <r>
    <x v="309"/>
    <x v="3"/>
    <s v="A232126"/>
    <x v="2"/>
    <n v="50"/>
    <n v="3125"/>
    <n v="3281.25"/>
    <x v="3"/>
  </r>
  <r>
    <x v="309"/>
    <x v="28"/>
    <s v="A233711"/>
    <x v="12"/>
    <n v="10"/>
    <n v="450"/>
    <m/>
    <x v="3"/>
  </r>
  <r>
    <x v="309"/>
    <x v="28"/>
    <s v="A233711"/>
    <x v="3"/>
    <n v="25"/>
    <n v="1150"/>
    <m/>
    <x v="3"/>
  </r>
  <r>
    <x v="309"/>
    <x v="28"/>
    <s v="A233711"/>
    <x v="8"/>
    <n v="25"/>
    <n v="2000"/>
    <m/>
    <x v="3"/>
  </r>
  <r>
    <x v="309"/>
    <x v="28"/>
    <s v="A233711"/>
    <x v="2"/>
    <n v="10"/>
    <n v="800"/>
    <n v="840"/>
    <x v="3"/>
  </r>
  <r>
    <x v="309"/>
    <x v="28"/>
    <s v="A233711"/>
    <x v="11"/>
    <n v="193"/>
    <n v="15054"/>
    <n v="15806.7"/>
    <x v="3"/>
  </r>
  <r>
    <x v="309"/>
    <x v="4"/>
    <s v="A231709"/>
    <x v="3"/>
    <n v="91"/>
    <n v="4386"/>
    <m/>
    <x v="3"/>
  </r>
  <r>
    <x v="309"/>
    <x v="4"/>
    <s v="A231709"/>
    <x v="1"/>
    <n v="100"/>
    <n v="7500"/>
    <n v="7875"/>
    <x v="3"/>
  </r>
  <r>
    <x v="309"/>
    <x v="4"/>
    <s v="A231709"/>
    <x v="2"/>
    <n v="75"/>
    <n v="5625"/>
    <n v="5906.25"/>
    <x v="3"/>
  </r>
  <r>
    <x v="309"/>
    <x v="51"/>
    <s v="A298567"/>
    <x v="9"/>
    <n v="50"/>
    <n v="2750"/>
    <m/>
    <x v="3"/>
  </r>
  <r>
    <x v="309"/>
    <x v="51"/>
    <s v="A298567"/>
    <x v="1"/>
    <n v="25"/>
    <n v="1375"/>
    <n v="1443.75"/>
    <x v="3"/>
  </r>
  <r>
    <x v="309"/>
    <x v="394"/>
    <s v="A242640"/>
    <x v="8"/>
    <n v="25"/>
    <n v="1450"/>
    <m/>
    <x v="3"/>
  </r>
  <r>
    <x v="309"/>
    <x v="394"/>
    <s v="A242640"/>
    <x v="11"/>
    <n v="300"/>
    <n v="23400"/>
    <n v="24570"/>
    <x v="3"/>
  </r>
  <r>
    <x v="309"/>
    <x v="292"/>
    <s v="A276839"/>
    <x v="8"/>
    <n v="25"/>
    <n v="2125"/>
    <m/>
    <x v="3"/>
  </r>
  <r>
    <x v="309"/>
    <x v="213"/>
    <s v="A272357"/>
    <x v="1"/>
    <n v="5"/>
    <n v="500"/>
    <n v="525"/>
    <x v="3"/>
  </r>
  <r>
    <x v="309"/>
    <x v="549"/>
    <s v="A404441"/>
    <x v="11"/>
    <n v="50"/>
    <n v="5500"/>
    <n v="5775"/>
    <x v="3"/>
  </r>
  <r>
    <x v="309"/>
    <x v="243"/>
    <s v="A247738"/>
    <x v="3"/>
    <n v="18"/>
    <n v="1080"/>
    <m/>
    <x v="3"/>
  </r>
  <r>
    <x v="309"/>
    <x v="243"/>
    <s v="A232125"/>
    <x v="1"/>
    <n v="50"/>
    <n v="2900"/>
    <n v="3045"/>
    <x v="3"/>
  </r>
  <r>
    <x v="309"/>
    <x v="228"/>
    <s v="A306319"/>
    <x v="9"/>
    <n v="125"/>
    <n v="7250"/>
    <m/>
    <x v="3"/>
  </r>
  <r>
    <x v="309"/>
    <x v="228"/>
    <s v="A306319"/>
    <x v="1"/>
    <n v="75"/>
    <n v="4350"/>
    <n v="4567.5"/>
    <x v="3"/>
  </r>
  <r>
    <x v="309"/>
    <x v="228"/>
    <s v="A306319"/>
    <x v="2"/>
    <n v="50"/>
    <n v="3500"/>
    <n v="3675"/>
    <x v="3"/>
  </r>
  <r>
    <x v="309"/>
    <x v="228"/>
    <s v="A306319"/>
    <x v="11"/>
    <n v="25"/>
    <n v="1750"/>
    <n v="1837.5"/>
    <x v="3"/>
  </r>
  <r>
    <x v="309"/>
    <x v="711"/>
    <s v="A250892"/>
    <x v="3"/>
    <n v="25"/>
    <n v="1625"/>
    <m/>
    <x v="3"/>
  </r>
  <r>
    <x v="309"/>
    <x v="166"/>
    <s v="A231706"/>
    <x v="3"/>
    <n v="15"/>
    <n v="870"/>
    <m/>
    <x v="3"/>
  </r>
  <r>
    <x v="309"/>
    <x v="166"/>
    <s v="A233185"/>
    <x v="8"/>
    <n v="25"/>
    <n v="1750"/>
    <m/>
    <x v="3"/>
  </r>
  <r>
    <x v="309"/>
    <x v="358"/>
    <s v="A402012"/>
    <x v="1"/>
    <n v="25"/>
    <n v="1750"/>
    <n v="1837.5"/>
    <x v="3"/>
  </r>
  <r>
    <x v="309"/>
    <x v="381"/>
    <s v="A230556"/>
    <x v="9"/>
    <n v="25"/>
    <n v="1875"/>
    <m/>
    <x v="3"/>
  </r>
  <r>
    <x v="309"/>
    <x v="335"/>
    <s v="A349425"/>
    <x v="1"/>
    <n v="5"/>
    <n v="600"/>
    <n v="630"/>
    <x v="3"/>
  </r>
  <r>
    <x v="309"/>
    <x v="335"/>
    <s v="A349425"/>
    <x v="2"/>
    <n v="10"/>
    <n v="1200"/>
    <n v="1260"/>
    <x v="3"/>
  </r>
  <r>
    <x v="309"/>
    <x v="552"/>
    <s v="A321239"/>
    <x v="1"/>
    <n v="5"/>
    <n v="500"/>
    <n v="525"/>
    <x v="3"/>
  </r>
  <r>
    <x v="309"/>
    <x v="552"/>
    <s v="A321239"/>
    <x v="2"/>
    <n v="10"/>
    <n v="1000"/>
    <n v="1050"/>
    <x v="3"/>
  </r>
  <r>
    <x v="309"/>
    <x v="19"/>
    <s v="A233442"/>
    <x v="9"/>
    <n v="100"/>
    <n v="7900"/>
    <m/>
    <x v="3"/>
  </r>
  <r>
    <x v="309"/>
    <x v="19"/>
    <s v="A233442"/>
    <x v="1"/>
    <n v="25"/>
    <n v="2000"/>
    <n v="2100"/>
    <x v="3"/>
  </r>
  <r>
    <x v="309"/>
    <x v="336"/>
    <s v="A320337"/>
    <x v="1"/>
    <n v="5"/>
    <n v="440"/>
    <n v="462"/>
    <x v="3"/>
  </r>
  <r>
    <x v="309"/>
    <x v="14"/>
    <m/>
    <x v="2"/>
    <n v="2"/>
    <n v="140"/>
    <n v="147"/>
    <x v="3"/>
  </r>
  <r>
    <x v="309"/>
    <x v="253"/>
    <s v="A249315"/>
    <x v="1"/>
    <n v="5"/>
    <n v="500"/>
    <n v="525"/>
    <x v="3"/>
  </r>
  <r>
    <x v="309"/>
    <x v="253"/>
    <s v="A249315"/>
    <x v="2"/>
    <n v="10"/>
    <n v="1000"/>
    <n v="1050"/>
    <x v="3"/>
  </r>
  <r>
    <x v="309"/>
    <x v="843"/>
    <s v="A305993"/>
    <x v="9"/>
    <n v="25"/>
    <n v="2250"/>
    <m/>
    <x v="3"/>
  </r>
  <r>
    <x v="310"/>
    <x v="954"/>
    <s v="P783164"/>
    <x v="0"/>
    <n v="10"/>
    <n v="800"/>
    <n v="840"/>
    <x v="5"/>
  </r>
  <r>
    <x v="310"/>
    <x v="77"/>
    <s v="A419379"/>
    <x v="0"/>
    <n v="10"/>
    <n v="800"/>
    <n v="840"/>
    <x v="78"/>
  </r>
  <r>
    <x v="310"/>
    <x v="843"/>
    <s v="A305993"/>
    <x v="0"/>
    <n v="50"/>
    <n v="2500"/>
    <n v="2625"/>
    <x v="2"/>
  </r>
  <r>
    <x v="311"/>
    <x v="343"/>
    <s v="A257810"/>
    <x v="11"/>
    <n v="5"/>
    <n v="400"/>
    <n v="420"/>
    <x v="3"/>
  </r>
  <r>
    <x v="311"/>
    <x v="344"/>
    <s v="A415791"/>
    <x v="11"/>
    <n v="5"/>
    <n v="350"/>
    <n v="367.5"/>
    <x v="3"/>
  </r>
  <r>
    <x v="312"/>
    <x v="340"/>
    <m/>
    <x v="11"/>
    <n v="1"/>
    <n v="125"/>
    <n v="131.25"/>
    <x v="3"/>
  </r>
  <r>
    <x v="312"/>
    <x v="11"/>
    <m/>
    <x v="11"/>
    <n v="1"/>
    <n v="100"/>
    <n v="105"/>
    <x v="3"/>
  </r>
  <r>
    <x v="312"/>
    <x v="233"/>
    <m/>
    <x v="11"/>
    <n v="1"/>
    <n v="90"/>
    <n v="94.5"/>
    <x v="3"/>
  </r>
  <r>
    <x v="312"/>
    <x v="238"/>
    <m/>
    <x v="11"/>
    <n v="1"/>
    <n v="100"/>
    <n v="105"/>
    <x v="3"/>
  </r>
  <r>
    <x v="312"/>
    <x v="13"/>
    <m/>
    <x v="11"/>
    <n v="1"/>
    <n v="95"/>
    <n v="99.75"/>
    <x v="3"/>
  </r>
  <r>
    <x v="312"/>
    <x v="304"/>
    <s v="A271046"/>
    <x v="2"/>
    <n v="10"/>
    <n v="2400"/>
    <n v="2520"/>
    <x v="3"/>
  </r>
  <r>
    <x v="312"/>
    <x v="297"/>
    <s v="A271046"/>
    <x v="1"/>
    <n v="5"/>
    <n v="1200"/>
    <n v="1260"/>
    <x v="3"/>
  </r>
  <r>
    <x v="312"/>
    <x v="168"/>
    <s v="A295590"/>
    <x v="2"/>
    <n v="15"/>
    <n v="2700"/>
    <n v="2835"/>
    <x v="3"/>
  </r>
  <r>
    <x v="312"/>
    <x v="169"/>
    <s v="A286825"/>
    <x v="1"/>
    <n v="5"/>
    <n v="1200"/>
    <n v="1260"/>
    <x v="3"/>
  </r>
  <r>
    <x v="312"/>
    <x v="14"/>
    <m/>
    <x v="11"/>
    <n v="1"/>
    <n v="80"/>
    <n v="84"/>
    <x v="3"/>
  </r>
  <r>
    <x v="313"/>
    <x v="78"/>
    <s v="A234651"/>
    <x v="2"/>
    <n v="6"/>
    <n v="1380"/>
    <n v="1449"/>
    <x v="3"/>
  </r>
  <r>
    <x v="313"/>
    <x v="78"/>
    <s v="A234651"/>
    <x v="11"/>
    <n v="10"/>
    <n v="2300"/>
    <n v="2415"/>
    <x v="3"/>
  </r>
  <r>
    <x v="314"/>
    <x v="16"/>
    <s v="A241225"/>
    <x v="5"/>
    <n v="750"/>
    <n v="47400"/>
    <m/>
    <x v="3"/>
  </r>
  <r>
    <x v="314"/>
    <x v="18"/>
    <m/>
    <x v="6"/>
    <n v="20"/>
    <n v="1760"/>
    <m/>
    <x v="3"/>
  </r>
  <r>
    <x v="314"/>
    <x v="18"/>
    <m/>
    <x v="7"/>
    <n v="48.868000000000002"/>
    <n v="4495.8599999999997"/>
    <m/>
    <x v="3"/>
  </r>
  <r>
    <x v="314"/>
    <x v="432"/>
    <m/>
    <x v="5"/>
    <n v="20"/>
    <n v="1800"/>
    <m/>
    <x v="3"/>
  </r>
  <r>
    <x v="314"/>
    <x v="432"/>
    <m/>
    <x v="7"/>
    <n v="20"/>
    <n v="1920"/>
    <m/>
    <x v="3"/>
  </r>
  <r>
    <x v="314"/>
    <x v="432"/>
    <m/>
    <x v="10"/>
    <n v="60"/>
    <n v="5760"/>
    <m/>
    <x v="3"/>
  </r>
  <r>
    <x v="314"/>
    <x v="432"/>
    <m/>
    <x v="1"/>
    <n v="20"/>
    <n v="2000"/>
    <n v="2100"/>
    <x v="3"/>
  </r>
  <r>
    <x v="314"/>
    <x v="123"/>
    <m/>
    <x v="6"/>
    <n v="20"/>
    <n v="1760"/>
    <m/>
    <x v="3"/>
  </r>
  <r>
    <x v="314"/>
    <x v="123"/>
    <m/>
    <x v="7"/>
    <n v="40"/>
    <n v="3680"/>
    <m/>
    <x v="3"/>
  </r>
  <r>
    <x v="314"/>
    <x v="10"/>
    <m/>
    <x v="6"/>
    <n v="60"/>
    <n v="5280"/>
    <m/>
    <x v="3"/>
  </r>
  <r>
    <x v="314"/>
    <x v="10"/>
    <m/>
    <x v="7"/>
    <n v="60"/>
    <n v="5520"/>
    <m/>
    <x v="3"/>
  </r>
  <r>
    <x v="314"/>
    <x v="10"/>
    <m/>
    <x v="10"/>
    <n v="60"/>
    <n v="5520"/>
    <m/>
    <x v="3"/>
  </r>
  <r>
    <x v="314"/>
    <x v="19"/>
    <s v="A233442"/>
    <x v="5"/>
    <n v="750"/>
    <n v="49600"/>
    <m/>
    <x v="3"/>
  </r>
  <r>
    <x v="314"/>
    <x v="19"/>
    <s v="A233442"/>
    <x v="6"/>
    <n v="360"/>
    <n v="24660"/>
    <m/>
    <x v="3"/>
  </r>
  <r>
    <x v="314"/>
    <x v="19"/>
    <s v="A233442"/>
    <x v="7"/>
    <n v="100"/>
    <n v="7700"/>
    <m/>
    <x v="3"/>
  </r>
  <r>
    <x v="314"/>
    <x v="19"/>
    <s v="A233442"/>
    <x v="10"/>
    <n v="50"/>
    <n v="3850"/>
    <m/>
    <x v="3"/>
  </r>
  <r>
    <x v="314"/>
    <x v="19"/>
    <s v="A233442"/>
    <x v="8"/>
    <n v="150"/>
    <n v="11850"/>
    <m/>
    <x v="3"/>
  </r>
  <r>
    <x v="315"/>
    <x v="7"/>
    <m/>
    <x v="10"/>
    <n v="22"/>
    <n v="10450"/>
    <m/>
    <x v="3"/>
  </r>
  <r>
    <x v="316"/>
    <x v="366"/>
    <s v="A238073"/>
    <x v="9"/>
    <n v="25"/>
    <n v="2000"/>
    <m/>
    <x v="3"/>
  </r>
  <r>
    <x v="316"/>
    <x v="597"/>
    <s v="A299986"/>
    <x v="9"/>
    <n v="125"/>
    <n v="9375"/>
    <m/>
    <x v="3"/>
  </r>
  <r>
    <x v="316"/>
    <x v="221"/>
    <s v="A231076"/>
    <x v="8"/>
    <n v="800"/>
    <n v="48000"/>
    <m/>
    <x v="3"/>
  </r>
  <r>
    <x v="316"/>
    <x v="221"/>
    <s v="A231076"/>
    <x v="9"/>
    <n v="450"/>
    <n v="27000"/>
    <m/>
    <x v="3"/>
  </r>
  <r>
    <x v="316"/>
    <x v="571"/>
    <s v="A231706"/>
    <x v="8"/>
    <n v="100"/>
    <n v="6000"/>
    <m/>
    <x v="3"/>
  </r>
  <r>
    <x v="316"/>
    <x v="955"/>
    <s v="A232249"/>
    <x v="3"/>
    <n v="10"/>
    <n v="800"/>
    <m/>
    <x v="3"/>
  </r>
  <r>
    <x v="316"/>
    <x v="956"/>
    <m/>
    <x v="8"/>
    <n v="40"/>
    <n v="12000"/>
    <m/>
    <x v="3"/>
  </r>
  <r>
    <x v="316"/>
    <x v="156"/>
    <s v="A231705"/>
    <x v="9"/>
    <n v="5"/>
    <n v="3500"/>
    <m/>
    <x v="3"/>
  </r>
  <r>
    <x v="316"/>
    <x v="156"/>
    <s v="A231705"/>
    <x v="1"/>
    <n v="25"/>
    <n v="1750"/>
    <n v="1837.5"/>
    <x v="3"/>
  </r>
  <r>
    <x v="316"/>
    <x v="3"/>
    <s v="A232126"/>
    <x v="3"/>
    <n v="10"/>
    <n v="1050"/>
    <m/>
    <x v="3"/>
  </r>
  <r>
    <x v="316"/>
    <x v="4"/>
    <s v="A231709"/>
    <x v="10"/>
    <n v="100"/>
    <n v="4500"/>
    <m/>
    <x v="3"/>
  </r>
  <r>
    <x v="316"/>
    <x v="4"/>
    <s v="A231709"/>
    <x v="8"/>
    <n v="200"/>
    <n v="9000"/>
    <m/>
    <x v="3"/>
  </r>
  <r>
    <x v="316"/>
    <x v="416"/>
    <m/>
    <x v="8"/>
    <n v="60"/>
    <n v="18000"/>
    <m/>
    <x v="3"/>
  </r>
  <r>
    <x v="316"/>
    <x v="416"/>
    <m/>
    <x v="9"/>
    <n v="245"/>
    <n v="71500"/>
    <m/>
    <x v="3"/>
  </r>
  <r>
    <x v="316"/>
    <x v="957"/>
    <m/>
    <x v="8"/>
    <n v="5"/>
    <n v="450"/>
    <m/>
    <x v="3"/>
  </r>
  <r>
    <x v="316"/>
    <x v="10"/>
    <m/>
    <x v="8"/>
    <n v="60"/>
    <n v="5400"/>
    <m/>
    <x v="3"/>
  </r>
  <r>
    <x v="316"/>
    <x v="433"/>
    <m/>
    <x v="9"/>
    <n v="20"/>
    <n v="1700"/>
    <m/>
    <x v="3"/>
  </r>
  <r>
    <x v="317"/>
    <x v="327"/>
    <m/>
    <x v="0"/>
    <n v="1"/>
    <n v="110"/>
    <n v="115.5"/>
    <x v="2"/>
  </r>
  <r>
    <x v="317"/>
    <x v="3"/>
    <s v="A236167"/>
    <x v="2"/>
    <n v="35"/>
    <n v="2250"/>
    <n v="2362.5"/>
    <x v="3"/>
  </r>
  <r>
    <x v="317"/>
    <x v="3"/>
    <s v="A232126"/>
    <x v="0"/>
    <n v="20"/>
    <n v="1300"/>
    <n v="1365"/>
    <x v="79"/>
  </r>
  <r>
    <x v="317"/>
    <x v="468"/>
    <s v="A402009"/>
    <x v="2"/>
    <n v="95"/>
    <n v="6565"/>
    <n v="6893.25"/>
    <x v="3"/>
  </r>
  <r>
    <x v="317"/>
    <x v="468"/>
    <s v="A402009"/>
    <x v="11"/>
    <n v="20"/>
    <n v="1340"/>
    <n v="1407"/>
    <x v="3"/>
  </r>
  <r>
    <x v="317"/>
    <x v="51"/>
    <s v="A298567"/>
    <x v="2"/>
    <n v="80"/>
    <n v="4800"/>
    <n v="5040"/>
    <x v="3"/>
  </r>
  <r>
    <x v="317"/>
    <x v="958"/>
    <s v="A410433"/>
    <x v="2"/>
    <n v="15"/>
    <n v="950"/>
    <n v="997.5"/>
    <x v="3"/>
  </r>
  <r>
    <x v="317"/>
    <x v="252"/>
    <s v="A408098"/>
    <x v="2"/>
    <n v="25"/>
    <n v="1500"/>
    <n v="1575"/>
    <x v="3"/>
  </r>
  <r>
    <x v="317"/>
    <x v="14"/>
    <m/>
    <x v="2"/>
    <n v="5"/>
    <n v="365"/>
    <n v="383.25"/>
    <x v="3"/>
  </r>
  <r>
    <x v="318"/>
    <x v="959"/>
    <s v="A243962"/>
    <x v="2"/>
    <n v="5"/>
    <n v="800"/>
    <n v="840"/>
    <x v="3"/>
  </r>
  <r>
    <x v="318"/>
    <x v="46"/>
    <s v="A234876"/>
    <x v="2"/>
    <n v="1"/>
    <n v="130"/>
    <n v="136.5"/>
    <x v="3"/>
  </r>
  <r>
    <x v="318"/>
    <x v="3"/>
    <s v="A337704"/>
    <x v="2"/>
    <n v="25"/>
    <n v="2000"/>
    <n v="2100"/>
    <x v="3"/>
  </r>
  <r>
    <x v="318"/>
    <x v="275"/>
    <s v="A271087"/>
    <x v="2"/>
    <n v="5"/>
    <n v="350"/>
    <n v="367.5"/>
    <x v="3"/>
  </r>
  <r>
    <x v="319"/>
    <x v="8"/>
    <m/>
    <x v="8"/>
    <n v="8"/>
    <n v="4400"/>
    <m/>
    <x v="3"/>
  </r>
  <r>
    <x v="319"/>
    <x v="386"/>
    <m/>
    <x v="8"/>
    <n v="2"/>
    <n v="1000"/>
    <m/>
    <x v="3"/>
  </r>
  <r>
    <x v="319"/>
    <x v="386"/>
    <m/>
    <x v="11"/>
    <n v="50"/>
    <n v="15000"/>
    <n v="15000"/>
    <x v="3"/>
  </r>
  <r>
    <x v="319"/>
    <x v="10"/>
    <m/>
    <x v="1"/>
    <n v="42"/>
    <n v="2940"/>
    <n v="3087"/>
    <x v="3"/>
  </r>
  <r>
    <x v="320"/>
    <x v="685"/>
    <s v="P09427"/>
    <x v="2"/>
    <n v="10"/>
    <n v="3800"/>
    <n v="3990"/>
    <x v="3"/>
  </r>
  <r>
    <x v="320"/>
    <x v="686"/>
    <s v="A413848"/>
    <x v="2"/>
    <n v="4"/>
    <n v="760"/>
    <n v="798"/>
    <x v="3"/>
  </r>
  <r>
    <x v="320"/>
    <x v="44"/>
    <s v="A238385"/>
    <x v="1"/>
    <n v="5"/>
    <n v="900"/>
    <n v="945"/>
    <x v="3"/>
  </r>
  <r>
    <x v="320"/>
    <x v="44"/>
    <s v="A238385"/>
    <x v="2"/>
    <n v="5"/>
    <n v="900"/>
    <n v="945"/>
    <x v="3"/>
  </r>
  <r>
    <x v="320"/>
    <x v="960"/>
    <s v="P04964"/>
    <x v="2"/>
    <n v="10"/>
    <n v="3400"/>
    <n v="3570"/>
    <x v="3"/>
  </r>
  <r>
    <x v="320"/>
    <x v="499"/>
    <s v="A282344"/>
    <x v="2"/>
    <n v="10"/>
    <n v="1900"/>
    <n v="1995"/>
    <x v="3"/>
  </r>
  <r>
    <x v="320"/>
    <x v="32"/>
    <s v="A295590"/>
    <x v="0"/>
    <n v="5"/>
    <n v="950"/>
    <n v="997.5"/>
    <x v="2"/>
  </r>
  <r>
    <x v="321"/>
    <x v="562"/>
    <s v="A419375"/>
    <x v="0"/>
    <n v="10"/>
    <n v="750"/>
    <n v="787.5"/>
    <x v="5"/>
  </r>
  <r>
    <x v="321"/>
    <x v="317"/>
    <s v="A246212"/>
    <x v="0"/>
    <n v="5"/>
    <n v="350"/>
    <n v="367.5"/>
    <x v="5"/>
  </r>
  <r>
    <x v="321"/>
    <x v="365"/>
    <s v="A285878"/>
    <x v="2"/>
    <n v="5"/>
    <n v="450"/>
    <n v="472.5"/>
    <x v="3"/>
  </r>
  <r>
    <x v="321"/>
    <x v="320"/>
    <s v="A272788"/>
    <x v="2"/>
    <n v="18"/>
    <n v="1260"/>
    <n v="1323"/>
    <x v="3"/>
  </r>
  <r>
    <x v="321"/>
    <x v="961"/>
    <s v="A270578"/>
    <x v="0"/>
    <n v="5"/>
    <n v="325"/>
    <n v="341.25"/>
    <x v="80"/>
  </r>
  <r>
    <x v="321"/>
    <x v="270"/>
    <s v="A415885"/>
    <x v="0"/>
    <n v="5"/>
    <n v="400"/>
    <n v="420"/>
    <x v="2"/>
  </r>
  <r>
    <x v="321"/>
    <x v="271"/>
    <s v="A401493"/>
    <x v="0"/>
    <n v="15"/>
    <n v="1125"/>
    <n v="1181.25"/>
    <x v="5"/>
  </r>
  <r>
    <x v="321"/>
    <x v="278"/>
    <m/>
    <x v="0"/>
    <n v="5"/>
    <n v="375"/>
    <n v="393.75"/>
    <x v="81"/>
  </r>
  <r>
    <x v="321"/>
    <x v="6"/>
    <s v="A270578"/>
    <x v="11"/>
    <n v="5"/>
    <n v="325"/>
    <n v="341.25"/>
    <x v="3"/>
  </r>
  <r>
    <x v="321"/>
    <x v="328"/>
    <s v="A285349"/>
    <x v="0"/>
    <n v="5"/>
    <n v="350"/>
    <n v="367.5"/>
    <x v="1"/>
  </r>
  <r>
    <x v="321"/>
    <x v="887"/>
    <s v="A403195"/>
    <x v="0"/>
    <n v="5"/>
    <n v="350"/>
    <n v="367.5"/>
    <x v="47"/>
  </r>
  <r>
    <x v="321"/>
    <x v="133"/>
    <s v="A281055"/>
    <x v="0"/>
    <n v="10"/>
    <n v="750"/>
    <n v="787.5"/>
    <x v="5"/>
  </r>
  <r>
    <x v="321"/>
    <x v="3"/>
    <s v="A232126"/>
    <x v="11"/>
    <n v="15"/>
    <n v="1055"/>
    <n v="1107.75"/>
    <x v="5"/>
  </r>
  <r>
    <x v="321"/>
    <x v="3"/>
    <s v="A232126"/>
    <x v="0"/>
    <n v="20"/>
    <n v="1360"/>
    <n v="1428"/>
    <x v="5"/>
  </r>
  <r>
    <x v="321"/>
    <x v="343"/>
    <s v="A257810"/>
    <x v="11"/>
    <n v="60"/>
    <n v="3175"/>
    <n v="3333.75"/>
    <x v="3"/>
  </r>
  <r>
    <x v="321"/>
    <x v="962"/>
    <m/>
    <x v="0"/>
    <n v="15"/>
    <n v="1125"/>
    <n v="1181.25"/>
    <x v="82"/>
  </r>
  <r>
    <x v="321"/>
    <x v="53"/>
    <s v="A249179"/>
    <x v="0"/>
    <n v="10"/>
    <n v="750"/>
    <n v="787.5"/>
    <x v="1"/>
  </r>
  <r>
    <x v="321"/>
    <x v="870"/>
    <m/>
    <x v="11"/>
    <n v="1"/>
    <n v="80"/>
    <n v="84"/>
    <x v="3"/>
  </r>
  <r>
    <x v="321"/>
    <x v="94"/>
    <s v="A339929"/>
    <x v="11"/>
    <n v="5"/>
    <n v="350"/>
    <n v="367.5"/>
    <x v="3"/>
  </r>
  <r>
    <x v="321"/>
    <x v="196"/>
    <s v="A240864"/>
    <x v="0"/>
    <n v="5"/>
    <n v="375"/>
    <n v="393.75"/>
    <x v="2"/>
  </r>
  <r>
    <x v="321"/>
    <x v="333"/>
    <s v="A317824"/>
    <x v="0"/>
    <n v="10"/>
    <n v="750"/>
    <n v="787.5"/>
    <x v="2"/>
  </r>
  <r>
    <x v="321"/>
    <x v="97"/>
    <s v="A299992"/>
    <x v="11"/>
    <n v="10"/>
    <n v="650"/>
    <n v="682.5"/>
    <x v="3"/>
  </r>
  <r>
    <x v="321"/>
    <x v="344"/>
    <s v="A415791"/>
    <x v="0"/>
    <n v="10"/>
    <n v="650"/>
    <n v="682.5"/>
    <x v="2"/>
  </r>
  <r>
    <x v="321"/>
    <x v="168"/>
    <s v="A295590"/>
    <x v="2"/>
    <n v="5"/>
    <n v="850"/>
    <n v="892.5"/>
    <x v="2"/>
  </r>
  <r>
    <x v="321"/>
    <x v="168"/>
    <s v="A295590"/>
    <x v="11"/>
    <n v="5"/>
    <n v="850"/>
    <n v="892.5"/>
    <x v="2"/>
  </r>
  <r>
    <x v="321"/>
    <x v="168"/>
    <s v="A295590"/>
    <x v="0"/>
    <n v="10"/>
    <n v="1700"/>
    <n v="1785"/>
    <x v="2"/>
  </r>
  <r>
    <x v="321"/>
    <x v="34"/>
    <s v="A258696"/>
    <x v="2"/>
    <n v="5"/>
    <n v="450"/>
    <n v="472.5"/>
    <x v="2"/>
  </r>
  <r>
    <x v="321"/>
    <x v="34"/>
    <s v="A258696"/>
    <x v="11"/>
    <n v="5"/>
    <n v="450"/>
    <n v="472.5"/>
    <x v="2"/>
  </r>
  <r>
    <x v="321"/>
    <x v="34"/>
    <s v="A258696"/>
    <x v="0"/>
    <n v="5"/>
    <n v="450"/>
    <n v="472.5"/>
    <x v="2"/>
  </r>
  <r>
    <x v="322"/>
    <x v="717"/>
    <m/>
    <x v="9"/>
    <n v="20"/>
    <n v="2400"/>
    <m/>
    <x v="3"/>
  </r>
  <r>
    <x v="322"/>
    <x v="717"/>
    <m/>
    <x v="2"/>
    <n v="20"/>
    <n v="1660"/>
    <n v="1743"/>
    <x v="3"/>
  </r>
  <r>
    <x v="322"/>
    <x v="141"/>
    <s v="A249778"/>
    <x v="9"/>
    <n v="10"/>
    <n v="950"/>
    <m/>
    <x v="3"/>
  </r>
  <r>
    <x v="322"/>
    <x v="141"/>
    <s v="A249778"/>
    <x v="1"/>
    <n v="75"/>
    <n v="7125"/>
    <n v="7481.25"/>
    <x v="3"/>
  </r>
  <r>
    <x v="323"/>
    <x v="963"/>
    <m/>
    <x v="7"/>
    <n v="100"/>
    <n v="1000"/>
    <m/>
    <x v="3"/>
  </r>
  <r>
    <x v="324"/>
    <x v="2"/>
    <s v="A295987"/>
    <x v="11"/>
    <n v="5"/>
    <n v="600"/>
    <n v="600"/>
    <x v="1"/>
  </r>
  <r>
    <x v="324"/>
    <x v="2"/>
    <s v="A295987"/>
    <x v="0"/>
    <n v="10"/>
    <n v="1200"/>
    <n v="1200"/>
    <x v="1"/>
  </r>
  <r>
    <x v="324"/>
    <x v="272"/>
    <s v="A246994"/>
    <x v="11"/>
    <n v="5"/>
    <n v="800"/>
    <n v="800"/>
    <x v="2"/>
  </r>
  <r>
    <x v="324"/>
    <x v="272"/>
    <s v="A246994"/>
    <x v="0"/>
    <n v="5"/>
    <n v="800"/>
    <n v="800"/>
    <x v="2"/>
  </r>
  <r>
    <x v="324"/>
    <x v="46"/>
    <s v="A234876"/>
    <x v="11"/>
    <n v="5"/>
    <n v="1125"/>
    <n v="1125"/>
    <x v="2"/>
  </r>
  <r>
    <x v="324"/>
    <x v="46"/>
    <s v="A234876"/>
    <x v="0"/>
    <n v="10"/>
    <n v="2250"/>
    <n v="2250"/>
    <x v="2"/>
  </r>
  <r>
    <x v="324"/>
    <x v="303"/>
    <s v="A403149"/>
    <x v="11"/>
    <n v="5"/>
    <n v="850"/>
    <n v="850"/>
    <x v="2"/>
  </r>
  <r>
    <x v="324"/>
    <x v="303"/>
    <s v="A403149"/>
    <x v="0"/>
    <n v="10"/>
    <n v="1700"/>
    <n v="1700"/>
    <x v="2"/>
  </r>
  <r>
    <x v="324"/>
    <x v="568"/>
    <s v="P06751"/>
    <x v="11"/>
    <n v="5"/>
    <n v="4125"/>
    <n v="4125"/>
    <x v="3"/>
  </r>
  <r>
    <x v="324"/>
    <x v="359"/>
    <s v="A419378"/>
    <x v="0"/>
    <n v="5"/>
    <n v="1000"/>
    <n v="1000"/>
    <x v="2"/>
  </r>
  <r>
    <x v="324"/>
    <x v="77"/>
    <s v="A419379"/>
    <x v="11"/>
    <n v="5"/>
    <n v="1050"/>
    <n v="1050"/>
    <x v="3"/>
  </r>
  <r>
    <x v="324"/>
    <x v="265"/>
    <m/>
    <x v="11"/>
    <n v="5"/>
    <n v="1300"/>
    <n v="1300"/>
    <x v="3"/>
  </r>
  <r>
    <x v="325"/>
    <x v="389"/>
    <m/>
    <x v="0"/>
    <n v="25"/>
    <n v="750"/>
    <n v="787.5"/>
    <x v="83"/>
  </r>
  <r>
    <x v="326"/>
    <x v="21"/>
    <s v="P08232"/>
    <x v="8"/>
    <n v="175"/>
    <n v="31500"/>
    <m/>
    <x v="2"/>
  </r>
  <r>
    <x v="326"/>
    <x v="21"/>
    <s v="P08232"/>
    <x v="9"/>
    <n v="225"/>
    <n v="40500"/>
    <m/>
    <x v="2"/>
  </r>
  <r>
    <x v="326"/>
    <x v="21"/>
    <s v="P08232"/>
    <x v="1"/>
    <n v="275"/>
    <n v="49500"/>
    <n v="51975"/>
    <x v="2"/>
  </r>
  <r>
    <x v="326"/>
    <x v="21"/>
    <s v="P08232"/>
    <x v="2"/>
    <n v="185"/>
    <n v="33300"/>
    <n v="34965"/>
    <x v="2"/>
  </r>
  <r>
    <x v="326"/>
    <x v="21"/>
    <s v="P08232"/>
    <x v="11"/>
    <n v="65"/>
    <n v="11700"/>
    <n v="12285"/>
    <x v="2"/>
  </r>
  <r>
    <x v="326"/>
    <x v="21"/>
    <s v="P08232"/>
    <x v="0"/>
    <n v="100"/>
    <n v="18000"/>
    <n v="18900"/>
    <x v="2"/>
  </r>
  <r>
    <x v="326"/>
    <x v="364"/>
    <s v="A302349"/>
    <x v="2"/>
    <n v="5"/>
    <n v="875"/>
    <n v="918.75"/>
    <x v="3"/>
  </r>
  <r>
    <x v="326"/>
    <x v="964"/>
    <s v="A406355"/>
    <x v="0"/>
    <n v="25"/>
    <n v="2750"/>
    <n v="2887.5"/>
    <x v="2"/>
  </r>
  <r>
    <x v="326"/>
    <x v="301"/>
    <s v="P050220"/>
    <x v="0"/>
    <n v="50"/>
    <n v="9000"/>
    <n v="9450"/>
    <x v="1"/>
  </r>
  <r>
    <x v="326"/>
    <x v="261"/>
    <m/>
    <x v="0"/>
    <n v="25"/>
    <n v="6250"/>
    <n v="6562.5"/>
    <x v="2"/>
  </r>
  <r>
    <x v="326"/>
    <x v="16"/>
    <s v="A242640"/>
    <x v="2"/>
    <n v="25"/>
    <n v="1250"/>
    <n v="1312.5"/>
    <x v="3"/>
  </r>
  <r>
    <x v="326"/>
    <x v="68"/>
    <s v="A240864"/>
    <x v="1"/>
    <n v="75"/>
    <n v="9000"/>
    <n v="9450"/>
    <x v="3"/>
  </r>
  <r>
    <x v="326"/>
    <x v="68"/>
    <s v="A240864"/>
    <x v="2"/>
    <n v="350"/>
    <n v="41600"/>
    <n v="43680"/>
    <x v="3"/>
  </r>
  <r>
    <x v="326"/>
    <x v="965"/>
    <s v="A241029"/>
    <x v="8"/>
    <n v="25"/>
    <n v="3000"/>
    <m/>
    <x v="3"/>
  </r>
  <r>
    <x v="326"/>
    <x v="965"/>
    <s v="A241029"/>
    <x v="9"/>
    <n v="120"/>
    <n v="14400"/>
    <m/>
    <x v="3"/>
  </r>
  <r>
    <x v="326"/>
    <x v="965"/>
    <s v="A241029"/>
    <x v="1"/>
    <n v="175"/>
    <n v="21000"/>
    <n v="22050"/>
    <x v="3"/>
  </r>
  <r>
    <x v="326"/>
    <x v="421"/>
    <s v="A243394"/>
    <x v="8"/>
    <n v="150"/>
    <n v="25500"/>
    <m/>
    <x v="3"/>
  </r>
  <r>
    <x v="326"/>
    <x v="421"/>
    <s v="A243394"/>
    <x v="9"/>
    <n v="210"/>
    <n v="32180"/>
    <m/>
    <x v="3"/>
  </r>
  <r>
    <x v="326"/>
    <x v="421"/>
    <s v="A243394"/>
    <x v="2"/>
    <n v="50"/>
    <n v="6900"/>
    <n v="7245"/>
    <x v="3"/>
  </r>
  <r>
    <x v="326"/>
    <x v="421"/>
    <s v="A243394"/>
    <x v="11"/>
    <n v="25"/>
    <n v="3450"/>
    <n v="3622.5"/>
    <x v="3"/>
  </r>
  <r>
    <x v="326"/>
    <x v="176"/>
    <s v="A295741"/>
    <x v="9"/>
    <n v="100"/>
    <n v="8200"/>
    <m/>
    <x v="3"/>
  </r>
  <r>
    <x v="326"/>
    <x v="176"/>
    <s v="A295741"/>
    <x v="11"/>
    <n v="50"/>
    <n v="4100"/>
    <n v="4305"/>
    <x v="3"/>
  </r>
  <r>
    <x v="326"/>
    <x v="99"/>
    <s v="A282344"/>
    <x v="9"/>
    <n v="100"/>
    <n v="12500"/>
    <m/>
    <x v="3"/>
  </r>
  <r>
    <x v="326"/>
    <x v="99"/>
    <s v="A282344"/>
    <x v="1"/>
    <n v="250"/>
    <n v="31250"/>
    <n v="32812.5"/>
    <x v="3"/>
  </r>
  <r>
    <x v="326"/>
    <x v="99"/>
    <s v="A282344"/>
    <x v="2"/>
    <n v="350"/>
    <n v="42700"/>
    <n v="44835"/>
    <x v="3"/>
  </r>
  <r>
    <x v="326"/>
    <x v="202"/>
    <s v="A418088"/>
    <x v="2"/>
    <n v="50"/>
    <n v="6100"/>
    <n v="6405"/>
    <x v="3"/>
  </r>
  <r>
    <x v="326"/>
    <x v="202"/>
    <s v="A418088"/>
    <x v="11"/>
    <n v="125"/>
    <n v="15250"/>
    <n v="16012.5"/>
    <x v="3"/>
  </r>
  <r>
    <x v="326"/>
    <x v="202"/>
    <s v="A417151"/>
    <x v="0"/>
    <n v="100"/>
    <n v="12200"/>
    <n v="12810"/>
    <x v="1"/>
  </r>
  <r>
    <x v="326"/>
    <x v="169"/>
    <s v="A286825"/>
    <x v="9"/>
    <n v="25"/>
    <n v="5000"/>
    <m/>
    <x v="3"/>
  </r>
  <r>
    <x v="326"/>
    <x v="169"/>
    <s v="A286825"/>
    <x v="1"/>
    <n v="75"/>
    <n v="15000"/>
    <n v="15750"/>
    <x v="3"/>
  </r>
  <r>
    <x v="326"/>
    <x v="169"/>
    <s v="A286825"/>
    <x v="2"/>
    <n v="25"/>
    <n v="5000"/>
    <n v="5250"/>
    <x v="3"/>
  </r>
  <r>
    <x v="326"/>
    <x v="169"/>
    <s v="A286825"/>
    <x v="11"/>
    <n v="5"/>
    <n v="1000"/>
    <n v="1050"/>
    <x v="3"/>
  </r>
  <r>
    <x v="326"/>
    <x v="77"/>
    <s v="A419379"/>
    <x v="11"/>
    <n v="25"/>
    <n v="5000"/>
    <n v="5250"/>
    <x v="3"/>
  </r>
  <r>
    <x v="327"/>
    <x v="11"/>
    <m/>
    <x v="0"/>
    <n v="1"/>
    <n v="80"/>
    <n v="80"/>
    <x v="2"/>
  </r>
  <r>
    <x v="327"/>
    <x v="12"/>
    <m/>
    <x v="0"/>
    <n v="1"/>
    <n v="80"/>
    <n v="80"/>
    <x v="2"/>
  </r>
  <r>
    <x v="328"/>
    <x v="322"/>
    <s v="A275616"/>
    <x v="9"/>
    <n v="1"/>
    <n v="90"/>
    <m/>
    <x v="3"/>
  </r>
  <r>
    <x v="328"/>
    <x v="289"/>
    <s v="A234285"/>
    <x v="9"/>
    <n v="1"/>
    <n v="75"/>
    <m/>
    <x v="3"/>
  </r>
  <r>
    <x v="328"/>
    <x v="94"/>
    <s v="A339929"/>
    <x v="9"/>
    <n v="2"/>
    <n v="160"/>
    <m/>
    <x v="3"/>
  </r>
  <r>
    <x v="328"/>
    <x v="19"/>
    <s v="A233442"/>
    <x v="9"/>
    <n v="2"/>
    <n v="130"/>
    <m/>
    <x v="3"/>
  </r>
  <r>
    <x v="329"/>
    <x v="654"/>
    <s v="A238523"/>
    <x v="11"/>
    <n v="3"/>
    <n v="175"/>
    <n v="183.75"/>
    <x v="3"/>
  </r>
  <r>
    <x v="329"/>
    <x v="966"/>
    <m/>
    <x v="11"/>
    <n v="205"/>
    <n v="11975"/>
    <n v="12573.75"/>
    <x v="84"/>
  </r>
  <r>
    <x v="329"/>
    <x v="966"/>
    <m/>
    <x v="0"/>
    <n v="125"/>
    <n v="7250"/>
    <n v="7612.5"/>
    <x v="84"/>
  </r>
  <r>
    <x v="329"/>
    <x v="656"/>
    <s v="A237612"/>
    <x v="11"/>
    <n v="35"/>
    <n v="2800"/>
    <n v="2940"/>
    <x v="3"/>
  </r>
  <r>
    <x v="330"/>
    <x v="319"/>
    <s v="A248264"/>
    <x v="11"/>
    <n v="3"/>
    <n v="240"/>
    <n v="252"/>
    <x v="3"/>
  </r>
  <r>
    <x v="330"/>
    <x v="302"/>
    <m/>
    <x v="11"/>
    <n v="3"/>
    <n v="405"/>
    <n v="425.25"/>
    <x v="3"/>
  </r>
  <r>
    <x v="330"/>
    <x v="261"/>
    <m/>
    <x v="11"/>
    <n v="3"/>
    <n v="610.71428571428601"/>
    <n v="641.25"/>
    <x v="3"/>
  </r>
  <r>
    <x v="330"/>
    <x v="347"/>
    <s v="A417703"/>
    <x v="11"/>
    <n v="3"/>
    <n v="270"/>
    <n v="283.5"/>
    <x v="3"/>
  </r>
  <r>
    <x v="331"/>
    <x v="723"/>
    <s v="A243962"/>
    <x v="5"/>
    <n v="5"/>
    <n v="800"/>
    <m/>
    <x v="3"/>
  </r>
  <r>
    <x v="331"/>
    <x v="146"/>
    <s v="A266852"/>
    <x v="5"/>
    <n v="25"/>
    <n v="5750"/>
    <m/>
    <x v="3"/>
  </r>
  <r>
    <x v="331"/>
    <x v="112"/>
    <s v="A265729"/>
    <x v="5"/>
    <n v="25"/>
    <n v="6000"/>
    <m/>
    <x v="3"/>
  </r>
  <r>
    <x v="331"/>
    <x v="967"/>
    <s v="A24491"/>
    <x v="5"/>
    <n v="10"/>
    <n v="1800"/>
    <m/>
    <x v="3"/>
  </r>
  <r>
    <x v="331"/>
    <x v="286"/>
    <s v="A255319"/>
    <x v="5"/>
    <n v="25"/>
    <n v="6000"/>
    <m/>
    <x v="3"/>
  </r>
  <r>
    <x v="331"/>
    <x v="968"/>
    <s v="A273819"/>
    <x v="5"/>
    <n v="15"/>
    <n v="3375"/>
    <m/>
    <x v="3"/>
  </r>
  <r>
    <x v="331"/>
    <x v="68"/>
    <s v="A241029"/>
    <x v="5"/>
    <n v="5"/>
    <n v="900"/>
    <m/>
    <x v="3"/>
  </r>
  <r>
    <x v="331"/>
    <x v="69"/>
    <s v="A243394"/>
    <x v="4"/>
    <n v="35"/>
    <n v="6350"/>
    <m/>
    <x v="3"/>
  </r>
  <r>
    <x v="331"/>
    <x v="69"/>
    <s v="A243394"/>
    <x v="5"/>
    <n v="65"/>
    <n v="11700"/>
    <m/>
    <x v="3"/>
  </r>
  <r>
    <x v="331"/>
    <x v="69"/>
    <s v="A243394"/>
    <x v="6"/>
    <n v="45"/>
    <n v="8100"/>
    <m/>
    <x v="3"/>
  </r>
  <r>
    <x v="331"/>
    <x v="642"/>
    <s v="A256429"/>
    <x v="5"/>
    <n v="25"/>
    <n v="4500"/>
    <m/>
    <x v="3"/>
  </r>
  <r>
    <x v="331"/>
    <x v="430"/>
    <s v="A245052"/>
    <x v="5"/>
    <n v="5"/>
    <n v="1450"/>
    <m/>
    <x v="3"/>
  </r>
  <r>
    <x v="331"/>
    <x v="969"/>
    <s v="A281732"/>
    <x v="5"/>
    <n v="10"/>
    <n v="3200"/>
    <m/>
    <x v="3"/>
  </r>
  <r>
    <x v="331"/>
    <x v="970"/>
    <s v="A253134"/>
    <x v="5"/>
    <n v="5"/>
    <n v="1600"/>
    <m/>
    <x v="3"/>
  </r>
  <r>
    <x v="332"/>
    <x v="6"/>
    <s v="A270578"/>
    <x v="10"/>
    <n v="3"/>
    <n v="240"/>
    <m/>
    <x v="3"/>
  </r>
  <r>
    <x v="332"/>
    <x v="15"/>
    <m/>
    <x v="9"/>
    <n v="5"/>
    <n v="1650"/>
    <m/>
    <x v="3"/>
  </r>
  <r>
    <x v="332"/>
    <x v="7"/>
    <m/>
    <x v="10"/>
    <n v="5"/>
    <n v="2500"/>
    <m/>
    <x v="3"/>
  </r>
  <r>
    <x v="332"/>
    <x v="7"/>
    <m/>
    <x v="8"/>
    <n v="27"/>
    <n v="14140"/>
    <m/>
    <x v="3"/>
  </r>
  <r>
    <x v="332"/>
    <x v="8"/>
    <m/>
    <x v="8"/>
    <n v="106"/>
    <n v="57240"/>
    <m/>
    <x v="3"/>
  </r>
  <r>
    <x v="332"/>
    <x v="8"/>
    <m/>
    <x v="9"/>
    <n v="15"/>
    <n v="8100"/>
    <m/>
    <x v="3"/>
  </r>
  <r>
    <x v="332"/>
    <x v="971"/>
    <m/>
    <x v="10"/>
    <n v="27"/>
    <n v="14580"/>
    <m/>
    <x v="3"/>
  </r>
  <r>
    <x v="332"/>
    <x v="971"/>
    <m/>
    <x v="8"/>
    <n v="4"/>
    <n v="2160"/>
    <m/>
    <x v="3"/>
  </r>
  <r>
    <x v="332"/>
    <x v="123"/>
    <m/>
    <x v="9"/>
    <n v="20"/>
    <n v="1800"/>
    <m/>
    <x v="3"/>
  </r>
  <r>
    <x v="332"/>
    <x v="10"/>
    <m/>
    <x v="10"/>
    <n v="40"/>
    <n v="3400"/>
    <m/>
    <x v="3"/>
  </r>
  <r>
    <x v="332"/>
    <x v="10"/>
    <m/>
    <x v="9"/>
    <n v="20"/>
    <n v="1700"/>
    <m/>
    <x v="3"/>
  </r>
  <r>
    <x v="333"/>
    <x v="269"/>
    <s v="A415790"/>
    <x v="0"/>
    <n v="5"/>
    <n v="375"/>
    <n v="393.75"/>
    <x v="1"/>
  </r>
  <r>
    <x v="333"/>
    <x v="340"/>
    <m/>
    <x v="11"/>
    <n v="1"/>
    <n v="105"/>
    <n v="110.25"/>
    <x v="3"/>
  </r>
  <r>
    <x v="333"/>
    <x v="353"/>
    <s v="A241990"/>
    <x v="11"/>
    <n v="10"/>
    <n v="750"/>
    <n v="787.5"/>
    <x v="3"/>
  </r>
  <r>
    <x v="333"/>
    <x v="12"/>
    <m/>
    <x v="11"/>
    <n v="1"/>
    <n v="90"/>
    <n v="94.5"/>
    <x v="3"/>
  </r>
  <r>
    <x v="333"/>
    <x v="3"/>
    <s v="A232126"/>
    <x v="0"/>
    <n v="6"/>
    <n v="480"/>
    <n v="504"/>
    <x v="1"/>
  </r>
  <r>
    <x v="333"/>
    <x v="343"/>
    <s v="A257810"/>
    <x v="11"/>
    <n v="1"/>
    <n v="50"/>
    <n v="52.5"/>
    <x v="1"/>
  </r>
  <r>
    <x v="333"/>
    <x v="343"/>
    <s v="A257810"/>
    <x v="0"/>
    <n v="25"/>
    <n v="1200"/>
    <n v="1260"/>
    <x v="1"/>
  </r>
  <r>
    <x v="333"/>
    <x v="51"/>
    <s v="A298567"/>
    <x v="11"/>
    <n v="1"/>
    <n v="45"/>
    <n v="47.25"/>
    <x v="3"/>
  </r>
  <r>
    <x v="333"/>
    <x v="409"/>
    <s v="A337724"/>
    <x v="0"/>
    <n v="6"/>
    <n v="480"/>
    <n v="504"/>
    <x v="2"/>
  </r>
  <r>
    <x v="333"/>
    <x v="13"/>
    <m/>
    <x v="11"/>
    <n v="1"/>
    <n v="85"/>
    <n v="89.25"/>
    <x v="3"/>
  </r>
  <r>
    <x v="333"/>
    <x v="344"/>
    <s v="A415791"/>
    <x v="11"/>
    <n v="10"/>
    <n v="750"/>
    <n v="787.5"/>
    <x v="1"/>
  </r>
  <r>
    <x v="333"/>
    <x v="344"/>
    <s v="A415791"/>
    <x v="0"/>
    <n v="5"/>
    <n v="375"/>
    <n v="393.75"/>
    <x v="1"/>
  </r>
  <r>
    <x v="333"/>
    <x v="252"/>
    <s v="A408098"/>
    <x v="0"/>
    <n v="1"/>
    <n v="75"/>
    <n v="78.75"/>
    <x v="5"/>
  </r>
  <r>
    <x v="333"/>
    <x v="19"/>
    <m/>
    <x v="0"/>
    <n v="5"/>
    <n v="325"/>
    <n v="341.25"/>
    <x v="85"/>
  </r>
  <r>
    <x v="334"/>
    <x v="16"/>
    <s v="A241225"/>
    <x v="4"/>
    <n v="25"/>
    <n v="1875"/>
    <m/>
    <x v="3"/>
  </r>
  <r>
    <x v="334"/>
    <x v="16"/>
    <s v="A255224"/>
    <x v="4"/>
    <n v="25"/>
    <n v="2250"/>
    <m/>
    <x v="3"/>
  </r>
  <r>
    <x v="334"/>
    <x v="16"/>
    <s v="A241225"/>
    <x v="6"/>
    <n v="449"/>
    <n v="25450"/>
    <m/>
    <x v="3"/>
  </r>
  <r>
    <x v="334"/>
    <x v="16"/>
    <s v="A241225"/>
    <x v="7"/>
    <n v="150"/>
    <n v="9000"/>
    <m/>
    <x v="3"/>
  </r>
  <r>
    <x v="334"/>
    <x v="16"/>
    <s v="A242640"/>
    <x v="7"/>
    <n v="200"/>
    <n v="13000"/>
    <m/>
    <x v="3"/>
  </r>
  <r>
    <x v="334"/>
    <x v="16"/>
    <s v="A241225"/>
    <x v="10"/>
    <n v="200"/>
    <n v="13000"/>
    <m/>
    <x v="3"/>
  </r>
  <r>
    <x v="334"/>
    <x v="18"/>
    <m/>
    <x v="6"/>
    <n v="10"/>
    <n v="900"/>
    <m/>
    <x v="3"/>
  </r>
  <r>
    <x v="334"/>
    <x v="18"/>
    <m/>
    <x v="7"/>
    <n v="20"/>
    <n v="1800"/>
    <m/>
    <x v="3"/>
  </r>
  <r>
    <x v="334"/>
    <x v="123"/>
    <m/>
    <x v="10"/>
    <n v="1"/>
    <n v="120"/>
    <m/>
    <x v="3"/>
  </r>
  <r>
    <x v="334"/>
    <x v="123"/>
    <m/>
    <x v="1"/>
    <n v="21"/>
    <n v="1827"/>
    <n v="1918.35"/>
    <x v="3"/>
  </r>
  <r>
    <x v="334"/>
    <x v="10"/>
    <m/>
    <x v="6"/>
    <n v="79"/>
    <n v="7110"/>
    <m/>
    <x v="3"/>
  </r>
  <r>
    <x v="334"/>
    <x v="10"/>
    <m/>
    <x v="1"/>
    <n v="7"/>
    <n v="490"/>
    <n v="514.5"/>
    <x v="3"/>
  </r>
  <r>
    <x v="335"/>
    <x v="2"/>
    <s v="A295987"/>
    <x v="11"/>
    <n v="25"/>
    <n v="1875"/>
    <n v="1968.75"/>
    <x v="3"/>
  </r>
  <r>
    <x v="335"/>
    <x v="141"/>
    <s v="A249778"/>
    <x v="2"/>
    <n v="50"/>
    <n v="3250"/>
    <n v="3412.5"/>
    <x v="3"/>
  </r>
  <r>
    <x v="335"/>
    <x v="1"/>
    <s v="A231710"/>
    <x v="2"/>
    <n v="50"/>
    <n v="3250"/>
    <n v="3412.5"/>
    <x v="3"/>
  </r>
  <r>
    <x v="336"/>
    <x v="298"/>
    <s v="A416950"/>
    <x v="11"/>
    <n v="2"/>
    <n v="300"/>
    <n v="315"/>
    <x v="3"/>
  </r>
  <r>
    <x v="336"/>
    <x v="335"/>
    <s v="A349425"/>
    <x v="11"/>
    <n v="40"/>
    <n v="6000"/>
    <n v="6300"/>
    <x v="3"/>
  </r>
  <r>
    <x v="336"/>
    <x v="422"/>
    <s v="A294408"/>
    <x v="11"/>
    <n v="40"/>
    <n v="6000"/>
    <n v="6300"/>
    <x v="3"/>
  </r>
  <r>
    <x v="337"/>
    <x v="340"/>
    <m/>
    <x v="2"/>
    <n v="150"/>
    <n v="1500"/>
    <n v="1575"/>
    <x v="3"/>
  </r>
  <r>
    <x v="337"/>
    <x v="340"/>
    <m/>
    <x v="11"/>
    <n v="50"/>
    <n v="4800"/>
    <n v="5040"/>
    <x v="3"/>
  </r>
  <r>
    <x v="337"/>
    <x v="6"/>
    <s v="A270578"/>
    <x v="2"/>
    <n v="300"/>
    <n v="12600"/>
    <n v="13230"/>
    <x v="3"/>
  </r>
  <r>
    <x v="337"/>
    <x v="8"/>
    <m/>
    <x v="8"/>
    <n v="1"/>
    <n v="490"/>
    <m/>
    <x v="3"/>
  </r>
  <r>
    <x v="337"/>
    <x v="386"/>
    <m/>
    <x v="8"/>
    <n v="16"/>
    <n v="6940"/>
    <m/>
    <x v="3"/>
  </r>
  <r>
    <x v="337"/>
    <x v="386"/>
    <m/>
    <x v="1"/>
    <n v="1"/>
    <n v="300"/>
    <n v="315"/>
    <x v="3"/>
  </r>
  <r>
    <x v="337"/>
    <x v="386"/>
    <m/>
    <x v="2"/>
    <n v="1"/>
    <n v="265"/>
    <n v="278.25"/>
    <x v="3"/>
  </r>
  <r>
    <x v="337"/>
    <x v="124"/>
    <m/>
    <x v="0"/>
    <n v="200"/>
    <n v="91250"/>
    <n v="95812.5"/>
    <x v="2"/>
  </r>
  <r>
    <x v="337"/>
    <x v="16"/>
    <s v="A241225"/>
    <x v="10"/>
    <n v="250"/>
    <n v="16250"/>
    <m/>
    <x v="3"/>
  </r>
  <r>
    <x v="337"/>
    <x v="16"/>
    <s v="A242640"/>
    <x v="10"/>
    <n v="275"/>
    <n v="17875"/>
    <m/>
    <x v="3"/>
  </r>
  <r>
    <x v="337"/>
    <x v="16"/>
    <s v="A241225"/>
    <x v="8"/>
    <n v="50"/>
    <n v="3250"/>
    <m/>
    <x v="3"/>
  </r>
  <r>
    <x v="337"/>
    <x v="16"/>
    <s v="A241225"/>
    <x v="11"/>
    <n v="155"/>
    <n v="56575"/>
    <n v="59403.75"/>
    <x v="3"/>
  </r>
  <r>
    <x v="337"/>
    <x v="231"/>
    <s v="A410391"/>
    <x v="11"/>
    <n v="50"/>
    <n v="2000"/>
    <n v="2100"/>
    <x v="3"/>
  </r>
  <r>
    <x v="337"/>
    <x v="355"/>
    <s v="A401230"/>
    <x v="2"/>
    <n v="25"/>
    <n v="1050"/>
    <n v="1102.5"/>
    <x v="3"/>
  </r>
  <r>
    <x v="337"/>
    <x v="818"/>
    <s v="A350049"/>
    <x v="9"/>
    <n v="25"/>
    <n v="1150"/>
    <m/>
    <x v="3"/>
  </r>
  <r>
    <x v="337"/>
    <x v="818"/>
    <s v="A350049"/>
    <x v="1"/>
    <n v="50"/>
    <n v="3000"/>
    <n v="3150"/>
    <x v="3"/>
  </r>
  <r>
    <x v="337"/>
    <x v="243"/>
    <s v="A232125"/>
    <x v="9"/>
    <n v="25"/>
    <n v="1450"/>
    <m/>
    <x v="3"/>
  </r>
  <r>
    <x v="337"/>
    <x v="228"/>
    <s v="A306319"/>
    <x v="1"/>
    <n v="100"/>
    <n v="6500"/>
    <n v="6825"/>
    <x v="3"/>
  </r>
  <r>
    <x v="337"/>
    <x v="18"/>
    <m/>
    <x v="0"/>
    <n v="60"/>
    <n v="5100"/>
    <n v="5355"/>
    <x v="2"/>
  </r>
  <r>
    <x v="337"/>
    <x v="10"/>
    <m/>
    <x v="10"/>
    <n v="220"/>
    <n v="13200"/>
    <m/>
    <x v="2"/>
  </r>
  <r>
    <x v="337"/>
    <x v="10"/>
    <m/>
    <x v="11"/>
    <n v="500"/>
    <n v="29000"/>
    <n v="30450"/>
    <x v="2"/>
  </r>
  <r>
    <x v="337"/>
    <x v="10"/>
    <m/>
    <x v="0"/>
    <n v="300"/>
    <n v="19360"/>
    <n v="20328"/>
    <x v="2"/>
  </r>
  <r>
    <x v="337"/>
    <x v="19"/>
    <s v="A324660"/>
    <x v="10"/>
    <n v="500"/>
    <n v="32500"/>
    <m/>
    <x v="3"/>
  </r>
  <r>
    <x v="337"/>
    <x v="19"/>
    <s v="A324660"/>
    <x v="8"/>
    <n v="200"/>
    <n v="13000"/>
    <m/>
    <x v="3"/>
  </r>
  <r>
    <x v="337"/>
    <x v="20"/>
    <s v="A233442"/>
    <x v="8"/>
    <n v="100"/>
    <n v="6500"/>
    <m/>
    <x v="3"/>
  </r>
  <r>
    <x v="338"/>
    <x v="868"/>
    <s v="A261338"/>
    <x v="8"/>
    <n v="5"/>
    <n v="700"/>
    <m/>
    <x v="3"/>
  </r>
  <r>
    <x v="338"/>
    <x v="562"/>
    <s v="A419375"/>
    <x v="11"/>
    <n v="5"/>
    <n v="500"/>
    <n v="525"/>
    <x v="3"/>
  </r>
  <r>
    <x v="338"/>
    <x v="317"/>
    <s v="A246212"/>
    <x v="9"/>
    <n v="20"/>
    <n v="1440"/>
    <m/>
    <x v="2"/>
  </r>
  <r>
    <x v="338"/>
    <x v="317"/>
    <s v="A246212"/>
    <x v="11"/>
    <n v="25"/>
    <n v="1800"/>
    <n v="1890"/>
    <x v="2"/>
  </r>
  <r>
    <x v="338"/>
    <x v="317"/>
    <s v="A246212"/>
    <x v="0"/>
    <n v="25"/>
    <n v="1800"/>
    <n v="1890"/>
    <x v="2"/>
  </r>
  <r>
    <x v="338"/>
    <x v="363"/>
    <s v="A402002"/>
    <x v="2"/>
    <n v="25"/>
    <n v="2000"/>
    <n v="2100"/>
    <x v="3"/>
  </r>
  <r>
    <x v="338"/>
    <x v="186"/>
    <s v="A235767"/>
    <x v="11"/>
    <n v="25"/>
    <n v="1750"/>
    <n v="1837.5"/>
    <x v="3"/>
  </r>
  <r>
    <x v="338"/>
    <x v="367"/>
    <s v="P14424"/>
    <x v="2"/>
    <n v="50"/>
    <n v="4750"/>
    <n v="4987.5"/>
    <x v="3"/>
  </r>
  <r>
    <x v="338"/>
    <x v="233"/>
    <m/>
    <x v="11"/>
    <n v="1"/>
    <n v="95"/>
    <n v="99.75"/>
    <x v="3"/>
  </r>
  <r>
    <x v="338"/>
    <x v="582"/>
    <s v="A339212"/>
    <x v="9"/>
    <n v="65"/>
    <n v="4940"/>
    <m/>
    <x v="3"/>
  </r>
  <r>
    <x v="338"/>
    <x v="322"/>
    <s v="A275616"/>
    <x v="2"/>
    <n v="20"/>
    <n v="1600"/>
    <n v="1680"/>
    <x v="3"/>
  </r>
  <r>
    <x v="338"/>
    <x v="270"/>
    <s v="A415885"/>
    <x v="2"/>
    <n v="40"/>
    <n v="3200"/>
    <m/>
    <x v="3"/>
  </r>
  <r>
    <x v="338"/>
    <x v="270"/>
    <s v="A415885"/>
    <x v="11"/>
    <n v="25"/>
    <n v="2000"/>
    <n v="2100"/>
    <x v="3"/>
  </r>
  <r>
    <x v="338"/>
    <x v="323"/>
    <s v="A292785"/>
    <x v="1"/>
    <n v="25"/>
    <n v="1500"/>
    <n v="1575"/>
    <x v="3"/>
  </r>
  <r>
    <x v="338"/>
    <x v="323"/>
    <s v="A292785"/>
    <x v="2"/>
    <n v="50"/>
    <n v="3000"/>
    <n v="3150"/>
    <x v="3"/>
  </r>
  <r>
    <x v="338"/>
    <x v="42"/>
    <s v="A241469"/>
    <x v="1"/>
    <n v="25"/>
    <n v="3250"/>
    <n v="3412.5"/>
    <x v="3"/>
  </r>
  <r>
    <x v="338"/>
    <x v="42"/>
    <s v="A241469"/>
    <x v="2"/>
    <n v="25"/>
    <n v="3250"/>
    <n v="3412.5"/>
    <x v="3"/>
  </r>
  <r>
    <x v="338"/>
    <x v="12"/>
    <m/>
    <x v="11"/>
    <n v="1"/>
    <n v="90"/>
    <n v="94.5"/>
    <x v="2"/>
  </r>
  <r>
    <x v="338"/>
    <x v="12"/>
    <m/>
    <x v="0"/>
    <n v="2"/>
    <n v="180"/>
    <n v="189"/>
    <x v="2"/>
  </r>
  <r>
    <x v="338"/>
    <x v="327"/>
    <m/>
    <x v="11"/>
    <n v="1"/>
    <n v="130"/>
    <n v="136.5"/>
    <x v="2"/>
  </r>
  <r>
    <x v="338"/>
    <x v="327"/>
    <m/>
    <x v="0"/>
    <n v="1"/>
    <n v="135"/>
    <n v="141.75"/>
    <x v="2"/>
  </r>
  <r>
    <x v="338"/>
    <x v="328"/>
    <s v="A285349"/>
    <x v="11"/>
    <n v="75"/>
    <n v="4650"/>
    <n v="4882.5"/>
    <x v="3"/>
  </r>
  <r>
    <x v="338"/>
    <x v="972"/>
    <s v="A347023"/>
    <x v="1"/>
    <n v="30"/>
    <n v="3750"/>
    <n v="3937.5"/>
    <x v="3"/>
  </r>
  <r>
    <x v="338"/>
    <x v="3"/>
    <s v="A236167"/>
    <x v="9"/>
    <n v="25"/>
    <n v="1875"/>
    <m/>
    <x v="3"/>
  </r>
  <r>
    <x v="338"/>
    <x v="3"/>
    <s v="A236167"/>
    <x v="1"/>
    <n v="75"/>
    <n v="5625"/>
    <n v="5906.25"/>
    <x v="3"/>
  </r>
  <r>
    <x v="338"/>
    <x v="3"/>
    <s v="A236167"/>
    <x v="2"/>
    <n v="75"/>
    <n v="5625"/>
    <n v="5906.25"/>
    <x v="3"/>
  </r>
  <r>
    <x v="338"/>
    <x v="468"/>
    <s v="A402009"/>
    <x v="2"/>
    <n v="150"/>
    <n v="11250"/>
    <n v="11812.5"/>
    <x v="3"/>
  </r>
  <r>
    <x v="338"/>
    <x v="16"/>
    <s v="A241225"/>
    <x v="9"/>
    <n v="25"/>
    <n v="1900"/>
    <m/>
    <x v="3"/>
  </r>
  <r>
    <x v="338"/>
    <x v="51"/>
    <s v="A298567"/>
    <x v="1"/>
    <n v="25"/>
    <n v="1625"/>
    <n v="1706.25"/>
    <x v="3"/>
  </r>
  <r>
    <x v="338"/>
    <x v="51"/>
    <s v="A298567"/>
    <x v="2"/>
    <n v="75"/>
    <n v="4725"/>
    <n v="4961.25"/>
    <x v="3"/>
  </r>
  <r>
    <x v="338"/>
    <x v="973"/>
    <s v="A314515"/>
    <x v="11"/>
    <n v="50"/>
    <n v="5000"/>
    <n v="5250"/>
    <x v="3"/>
  </r>
  <r>
    <x v="338"/>
    <x v="974"/>
    <s v="A347801"/>
    <x v="1"/>
    <n v="40"/>
    <n v="3200"/>
    <n v="3360"/>
    <x v="3"/>
  </r>
  <r>
    <x v="338"/>
    <x v="975"/>
    <s v="A347802"/>
    <x v="1"/>
    <n v="100"/>
    <n v="9000"/>
    <n v="9450"/>
    <x v="3"/>
  </r>
  <r>
    <x v="338"/>
    <x v="975"/>
    <s v="A347802"/>
    <x v="2"/>
    <n v="50"/>
    <n v="4500"/>
    <n v="4725"/>
    <x v="3"/>
  </r>
  <r>
    <x v="338"/>
    <x v="975"/>
    <s v="A347802"/>
    <x v="11"/>
    <n v="50"/>
    <n v="4500"/>
    <n v="4725"/>
    <x v="3"/>
  </r>
  <r>
    <x v="338"/>
    <x v="976"/>
    <s v="A346737"/>
    <x v="1"/>
    <n v="25"/>
    <n v="1950"/>
    <n v="2047.5"/>
    <x v="3"/>
  </r>
  <r>
    <x v="338"/>
    <x v="177"/>
    <s v="A292781"/>
    <x v="9"/>
    <n v="75"/>
    <n v="4875"/>
    <m/>
    <x v="2"/>
  </r>
  <r>
    <x v="338"/>
    <x v="177"/>
    <s v="A292781"/>
    <x v="2"/>
    <n v="50"/>
    <n v="3250"/>
    <n v="3412.5"/>
    <x v="2"/>
  </r>
  <r>
    <x v="338"/>
    <x v="177"/>
    <s v="A292781"/>
    <x v="11"/>
    <n v="50"/>
    <n v="3250"/>
    <n v="3412.5"/>
    <x v="2"/>
  </r>
  <r>
    <x v="338"/>
    <x v="177"/>
    <s v="A292781"/>
    <x v="0"/>
    <n v="25"/>
    <n v="1625"/>
    <n v="1706.25"/>
    <x v="2"/>
  </r>
  <r>
    <x v="338"/>
    <x v="97"/>
    <s v="A299992"/>
    <x v="11"/>
    <n v="25"/>
    <n v="1625"/>
    <n v="1706.25"/>
    <x v="3"/>
  </r>
  <r>
    <x v="338"/>
    <x v="304"/>
    <s v="A271046"/>
    <x v="11"/>
    <n v="25"/>
    <n v="1875"/>
    <n v="1968.75"/>
    <x v="3"/>
  </r>
  <r>
    <x v="338"/>
    <x v="382"/>
    <s v="A347009"/>
    <x v="9"/>
    <n v="25"/>
    <n v="2250"/>
    <m/>
    <x v="3"/>
  </r>
  <r>
    <x v="338"/>
    <x v="383"/>
    <s v="A305994"/>
    <x v="9"/>
    <n v="50"/>
    <n v="4500"/>
    <m/>
    <x v="3"/>
  </r>
  <r>
    <x v="338"/>
    <x v="383"/>
    <s v="A305994"/>
    <x v="2"/>
    <n v="25"/>
    <n v="2250"/>
    <n v="2362.5"/>
    <x v="3"/>
  </r>
  <r>
    <x v="338"/>
    <x v="383"/>
    <s v="A305994"/>
    <x v="11"/>
    <n v="50"/>
    <n v="4500"/>
    <n v="4725"/>
    <x v="3"/>
  </r>
  <r>
    <x v="338"/>
    <x v="683"/>
    <s v="P09427"/>
    <x v="2"/>
    <n v="50"/>
    <n v="6000"/>
    <n v="6300"/>
    <x v="3"/>
  </r>
  <r>
    <x v="338"/>
    <x v="34"/>
    <s v="A258696"/>
    <x v="11"/>
    <n v="25"/>
    <n v="2125"/>
    <n v="2231.25"/>
    <x v="3"/>
  </r>
  <r>
    <x v="338"/>
    <x v="977"/>
    <s v="A352726"/>
    <x v="11"/>
    <n v="50"/>
    <n v="5000"/>
    <n v="5250"/>
    <x v="3"/>
  </r>
  <r>
    <x v="338"/>
    <x v="978"/>
    <s v="A352725"/>
    <x v="11"/>
    <n v="50"/>
    <n v="4750"/>
    <n v="4987.5"/>
    <x v="3"/>
  </r>
  <r>
    <x v="338"/>
    <x v="347"/>
    <s v="A417703"/>
    <x v="11"/>
    <n v="50"/>
    <n v="4500"/>
    <n v="4725"/>
    <x v="3"/>
  </r>
  <r>
    <x v="338"/>
    <x v="79"/>
    <s v="A299988"/>
    <x v="9"/>
    <n v="100"/>
    <n v="6200"/>
    <m/>
    <x v="3"/>
  </r>
  <r>
    <x v="338"/>
    <x v="79"/>
    <s v="A299988"/>
    <x v="11"/>
    <n v="150"/>
    <n v="9300"/>
    <n v="9765"/>
    <x v="3"/>
  </r>
  <r>
    <x v="339"/>
    <x v="353"/>
    <s v="A241990"/>
    <x v="9"/>
    <n v="200"/>
    <n v="13000"/>
    <m/>
    <x v="3"/>
  </r>
  <r>
    <x v="339"/>
    <x v="353"/>
    <s v="A241990"/>
    <x v="1"/>
    <n v="200"/>
    <n v="14000"/>
    <n v="14000"/>
    <x v="3"/>
  </r>
  <r>
    <x v="339"/>
    <x v="5"/>
    <s v="A249720"/>
    <x v="9"/>
    <n v="50"/>
    <n v="3250"/>
    <m/>
    <x v="3"/>
  </r>
  <r>
    <x v="339"/>
    <x v="10"/>
    <m/>
    <x v="9"/>
    <n v="200"/>
    <n v="16000"/>
    <m/>
    <x v="3"/>
  </r>
  <r>
    <x v="340"/>
    <x v="413"/>
    <s v="P08232"/>
    <x v="8"/>
    <n v="8"/>
    <n v="1560"/>
    <m/>
    <x v="3"/>
  </r>
  <r>
    <x v="340"/>
    <x v="144"/>
    <s v="A256430"/>
    <x v="8"/>
    <n v="2"/>
    <n v="580"/>
    <m/>
    <x v="3"/>
  </r>
  <r>
    <x v="340"/>
    <x v="182"/>
    <s v="A275118"/>
    <x v="10"/>
    <n v="2"/>
    <n v="350"/>
    <m/>
    <x v="3"/>
  </r>
  <r>
    <x v="340"/>
    <x v="153"/>
    <s v="A281164"/>
    <x v="8"/>
    <n v="1"/>
    <n v="160"/>
    <m/>
    <x v="3"/>
  </r>
  <r>
    <x v="340"/>
    <x v="979"/>
    <s v="A314832"/>
    <x v="9"/>
    <n v="1"/>
    <n v="140"/>
    <m/>
    <x v="3"/>
  </r>
  <r>
    <x v="340"/>
    <x v="184"/>
    <s v="A299984"/>
    <x v="8"/>
    <n v="2"/>
    <n v="300"/>
    <m/>
    <x v="3"/>
  </r>
  <r>
    <x v="340"/>
    <x v="46"/>
    <s v="A234876"/>
    <x v="10"/>
    <n v="5"/>
    <n v="1050"/>
    <m/>
    <x v="3"/>
  </r>
  <r>
    <x v="340"/>
    <x v="156"/>
    <s v="A231705"/>
    <x v="10"/>
    <n v="1"/>
    <n v="200"/>
    <m/>
    <x v="3"/>
  </r>
  <r>
    <x v="340"/>
    <x v="3"/>
    <s v="A232126"/>
    <x v="10"/>
    <n v="1"/>
    <n v="210"/>
    <m/>
    <x v="3"/>
  </r>
  <r>
    <x v="340"/>
    <x v="408"/>
    <s v="A239076"/>
    <x v="8"/>
    <n v="1"/>
    <n v="150"/>
    <m/>
    <x v="3"/>
  </r>
  <r>
    <x v="340"/>
    <x v="275"/>
    <s v="A271087"/>
    <x v="8"/>
    <n v="2"/>
    <n v="420"/>
    <m/>
    <x v="3"/>
  </r>
  <r>
    <x v="340"/>
    <x v="434"/>
    <s v="A241908"/>
    <x v="10"/>
    <n v="6"/>
    <n v="1800"/>
    <m/>
    <x v="3"/>
  </r>
  <r>
    <x v="340"/>
    <x v="434"/>
    <s v="A241908"/>
    <x v="8"/>
    <n v="5"/>
    <n v="1500"/>
    <m/>
    <x v="3"/>
  </r>
  <r>
    <x v="340"/>
    <x v="69"/>
    <s v="A243394"/>
    <x v="8"/>
    <n v="3"/>
    <n v="690"/>
    <m/>
    <x v="3"/>
  </r>
  <r>
    <x v="340"/>
    <x v="166"/>
    <s v="A231706"/>
    <x v="10"/>
    <n v="1"/>
    <n v="175"/>
    <m/>
    <x v="3"/>
  </r>
  <r>
    <x v="340"/>
    <x v="381"/>
    <s v="A230556"/>
    <x v="10"/>
    <n v="1"/>
    <n v="220"/>
    <m/>
    <x v="3"/>
  </r>
  <r>
    <x v="340"/>
    <x v="99"/>
    <s v="A282344"/>
    <x v="10"/>
    <n v="20"/>
    <n v="4400"/>
    <m/>
    <x v="3"/>
  </r>
  <r>
    <x v="340"/>
    <x v="99"/>
    <s v="A282344"/>
    <x v="8"/>
    <n v="34.5"/>
    <n v="7440"/>
    <m/>
    <x v="3"/>
  </r>
  <r>
    <x v="340"/>
    <x v="99"/>
    <s v="A282344"/>
    <x v="9"/>
    <n v="5"/>
    <n v="700"/>
    <m/>
    <x v="3"/>
  </r>
  <r>
    <x v="340"/>
    <x v="99"/>
    <s v="A282344"/>
    <x v="1"/>
    <n v="2"/>
    <n v="360"/>
    <n v="360"/>
    <x v="3"/>
  </r>
  <r>
    <x v="340"/>
    <x v="980"/>
    <s v="A282344"/>
    <x v="8"/>
    <n v="15"/>
    <n v="2700"/>
    <m/>
    <x v="3"/>
  </r>
  <r>
    <x v="340"/>
    <x v="103"/>
    <s v="A299996"/>
    <x v="8"/>
    <n v="1"/>
    <n v="180"/>
    <m/>
    <x v="3"/>
  </r>
  <r>
    <x v="341"/>
    <x v="319"/>
    <s v="A248264"/>
    <x v="11"/>
    <n v="3"/>
    <n v="240"/>
    <n v="252"/>
    <x v="3"/>
  </r>
  <r>
    <x v="341"/>
    <x v="272"/>
    <s v="A246994"/>
    <x v="11"/>
    <n v="1"/>
    <n v="170"/>
    <n v="178.5"/>
    <x v="3"/>
  </r>
  <r>
    <x v="341"/>
    <x v="302"/>
    <m/>
    <x v="11"/>
    <n v="2"/>
    <n v="270"/>
    <n v="283.5"/>
    <x v="3"/>
  </r>
  <r>
    <x v="341"/>
    <x v="261"/>
    <m/>
    <x v="11"/>
    <n v="3"/>
    <n v="585"/>
    <n v="614.25"/>
    <x v="3"/>
  </r>
  <r>
    <x v="341"/>
    <x v="333"/>
    <s v="A317824"/>
    <x v="11"/>
    <n v="1"/>
    <n v="130"/>
    <n v="136.5"/>
    <x v="3"/>
  </r>
  <r>
    <x v="341"/>
    <x v="247"/>
    <s v="A402013"/>
    <x v="11"/>
    <n v="1"/>
    <n v="110"/>
    <n v="115.5"/>
    <x v="3"/>
  </r>
  <r>
    <x v="341"/>
    <x v="347"/>
    <s v="A417703"/>
    <x v="11"/>
    <n v="2"/>
    <n v="180"/>
    <n v="189"/>
    <x v="3"/>
  </r>
  <r>
    <x v="342"/>
    <x v="39"/>
    <s v="A322649"/>
    <x v="11"/>
    <n v="50"/>
    <n v="6250"/>
    <n v="6562.5"/>
    <x v="3"/>
  </r>
  <r>
    <x v="342"/>
    <x v="869"/>
    <m/>
    <x v="8"/>
    <n v="2"/>
    <n v="200"/>
    <m/>
    <x v="3"/>
  </r>
  <r>
    <x v="342"/>
    <x v="129"/>
    <s v="A235765"/>
    <x v="11"/>
    <n v="1"/>
    <n v="180"/>
    <n v="189"/>
    <x v="3"/>
  </r>
  <r>
    <x v="342"/>
    <x v="66"/>
    <s v="A293577"/>
    <x v="2"/>
    <n v="50"/>
    <n v="6250"/>
    <n v="6562.5"/>
    <x v="3"/>
  </r>
  <r>
    <x v="342"/>
    <x v="66"/>
    <s v="A293577"/>
    <x v="11"/>
    <n v="50"/>
    <n v="6000"/>
    <n v="6300"/>
    <x v="3"/>
  </r>
  <r>
    <x v="342"/>
    <x v="981"/>
    <s v="A246793"/>
    <x v="2"/>
    <n v="10"/>
    <n v="750"/>
    <n v="787.5"/>
    <x v="3"/>
  </r>
  <r>
    <x v="343"/>
    <x v="205"/>
    <s v="A265082"/>
    <x v="8"/>
    <n v="1"/>
    <n v="160"/>
    <m/>
    <x v="3"/>
  </r>
  <r>
    <x v="343"/>
    <x v="205"/>
    <s v="A265082"/>
    <x v="9"/>
    <n v="1"/>
    <n v="180"/>
    <m/>
    <x v="3"/>
  </r>
  <r>
    <x v="343"/>
    <x v="365"/>
    <s v="A285878"/>
    <x v="9"/>
    <n v="1"/>
    <n v="180"/>
    <m/>
    <x v="3"/>
  </r>
  <r>
    <x v="343"/>
    <x v="151"/>
    <s v="A260799"/>
    <x v="8"/>
    <n v="1"/>
    <n v="160"/>
    <m/>
    <x v="3"/>
  </r>
  <r>
    <x v="343"/>
    <x v="151"/>
    <s v="A260799"/>
    <x v="9"/>
    <n v="2"/>
    <n v="320"/>
    <m/>
    <x v="3"/>
  </r>
  <r>
    <x v="343"/>
    <x v="151"/>
    <s v="A260799"/>
    <x v="1"/>
    <n v="5"/>
    <n v="800"/>
    <n v="840"/>
    <x v="3"/>
  </r>
  <r>
    <x v="343"/>
    <x v="274"/>
    <s v="P19035"/>
    <x v="8"/>
    <n v="5"/>
    <n v="1175"/>
    <m/>
    <x v="2"/>
  </r>
  <r>
    <x v="343"/>
    <x v="274"/>
    <s v="P19035"/>
    <x v="9"/>
    <n v="26"/>
    <n v="6110"/>
    <m/>
    <x v="2"/>
  </r>
  <r>
    <x v="343"/>
    <x v="274"/>
    <s v="P19035"/>
    <x v="1"/>
    <n v="20"/>
    <n v="4700"/>
    <n v="4935"/>
    <x v="2"/>
  </r>
  <r>
    <x v="343"/>
    <x v="274"/>
    <s v="P19035"/>
    <x v="2"/>
    <n v="35"/>
    <n v="8225"/>
    <n v="8636.25"/>
    <x v="2"/>
  </r>
  <r>
    <x v="343"/>
    <x v="274"/>
    <s v="P19035"/>
    <x v="0"/>
    <n v="10"/>
    <n v="2350"/>
    <n v="2467.5"/>
    <x v="2"/>
  </r>
  <r>
    <x v="343"/>
    <x v="161"/>
    <s v="A293577"/>
    <x v="9"/>
    <n v="1"/>
    <n v="230"/>
    <m/>
    <x v="3"/>
  </r>
  <r>
    <x v="343"/>
    <x v="69"/>
    <s v="A243394"/>
    <x v="1"/>
    <n v="5"/>
    <n v="950"/>
    <n v="997.5"/>
    <x v="3"/>
  </r>
  <r>
    <x v="343"/>
    <x v="305"/>
    <s v="A338959"/>
    <x v="8"/>
    <n v="25"/>
    <n v="4750"/>
    <m/>
    <x v="3"/>
  </r>
  <r>
    <x v="343"/>
    <x v="305"/>
    <s v="A338959"/>
    <x v="1"/>
    <n v="5"/>
    <n v="950"/>
    <n v="997.5"/>
    <x v="3"/>
  </r>
  <r>
    <x v="343"/>
    <x v="305"/>
    <s v="A338959"/>
    <x v="2"/>
    <n v="5"/>
    <n v="950"/>
    <n v="997.5"/>
    <x v="3"/>
  </r>
  <r>
    <x v="343"/>
    <x v="305"/>
    <s v="A338959"/>
    <x v="11"/>
    <n v="20"/>
    <n v="3800"/>
    <n v="3990"/>
    <x v="3"/>
  </r>
  <r>
    <x v="343"/>
    <x v="169"/>
    <s v="A286825"/>
    <x v="8"/>
    <n v="6"/>
    <n v="1440"/>
    <m/>
    <x v="3"/>
  </r>
  <r>
    <x v="343"/>
    <x v="169"/>
    <s v="A286825"/>
    <x v="9"/>
    <n v="17"/>
    <n v="4080"/>
    <m/>
    <x v="3"/>
  </r>
  <r>
    <x v="343"/>
    <x v="169"/>
    <s v="A286825"/>
    <x v="1"/>
    <n v="25"/>
    <n v="6000"/>
    <n v="6300"/>
    <x v="3"/>
  </r>
  <r>
    <x v="343"/>
    <x v="169"/>
    <s v="A286825"/>
    <x v="2"/>
    <n v="10"/>
    <n v="2400"/>
    <n v="2520"/>
    <x v="3"/>
  </r>
  <r>
    <x v="343"/>
    <x v="169"/>
    <s v="A286825"/>
    <x v="11"/>
    <n v="20"/>
    <n v="4800"/>
    <n v="5040"/>
    <x v="3"/>
  </r>
  <r>
    <x v="343"/>
    <x v="77"/>
    <s v="A419379"/>
    <x v="0"/>
    <n v="30"/>
    <n v="7200"/>
    <n v="7560"/>
    <x v="2"/>
  </r>
  <r>
    <x v="343"/>
    <x v="680"/>
    <s v="P09390"/>
    <x v="8"/>
    <n v="2"/>
    <n v="560"/>
    <m/>
    <x v="3"/>
  </r>
  <r>
    <x v="343"/>
    <x v="680"/>
    <s v="P09390"/>
    <x v="1"/>
    <n v="5"/>
    <n v="1400"/>
    <n v="1470"/>
    <x v="3"/>
  </r>
  <r>
    <x v="343"/>
    <x v="680"/>
    <s v="P09390"/>
    <x v="2"/>
    <n v="5"/>
    <n v="1400"/>
    <n v="1470"/>
    <x v="3"/>
  </r>
  <r>
    <x v="343"/>
    <x v="680"/>
    <s v="P09390"/>
    <x v="11"/>
    <n v="5"/>
    <n v="1400"/>
    <n v="1470"/>
    <x v="3"/>
  </r>
  <r>
    <x v="344"/>
    <x v="38"/>
    <s v="A273820"/>
    <x v="8"/>
    <n v="0.5"/>
    <n v="80"/>
    <m/>
    <x v="3"/>
  </r>
  <r>
    <x v="344"/>
    <x v="982"/>
    <s v="A241367"/>
    <x v="8"/>
    <n v="0.5"/>
    <n v="90"/>
    <m/>
    <x v="3"/>
  </r>
  <r>
    <x v="344"/>
    <x v="209"/>
    <s v="A281163"/>
    <x v="8"/>
    <n v="0.5"/>
    <n v="90"/>
    <m/>
    <x v="3"/>
  </r>
  <r>
    <x v="344"/>
    <x v="72"/>
    <s v="P08499"/>
    <x v="8"/>
    <n v="0.5"/>
    <n v="100"/>
    <m/>
    <x v="3"/>
  </r>
  <r>
    <x v="344"/>
    <x v="168"/>
    <s v="A295590"/>
    <x v="8"/>
    <n v="0.5"/>
    <n v="100"/>
    <m/>
    <x v="3"/>
  </r>
  <r>
    <x v="345"/>
    <x v="22"/>
    <s v="A339522"/>
    <x v="8"/>
    <n v="25"/>
    <n v="6000"/>
    <m/>
    <x v="3"/>
  </r>
  <r>
    <x v="345"/>
    <x v="37"/>
    <s v="A295406"/>
    <x v="7"/>
    <n v="30"/>
    <n v="16350"/>
    <m/>
    <x v="3"/>
  </r>
  <r>
    <x v="345"/>
    <x v="37"/>
    <s v="A295406"/>
    <x v="10"/>
    <n v="15"/>
    <n v="7725"/>
    <m/>
    <x v="3"/>
  </r>
  <r>
    <x v="345"/>
    <x v="37"/>
    <s v="A295406"/>
    <x v="8"/>
    <n v="95"/>
    <n v="48925"/>
    <m/>
    <x v="3"/>
  </r>
  <r>
    <x v="345"/>
    <x v="37"/>
    <s v="A295406"/>
    <x v="9"/>
    <n v="5"/>
    <n v="2575"/>
    <m/>
    <x v="3"/>
  </r>
  <r>
    <x v="345"/>
    <x v="37"/>
    <s v="A295406"/>
    <x v="2"/>
    <n v="5"/>
    <n v="1575"/>
    <n v="1653.75"/>
    <x v="3"/>
  </r>
  <r>
    <x v="345"/>
    <x v="23"/>
    <m/>
    <x v="2"/>
    <n v="25"/>
    <n v="6875"/>
    <n v="7218.75"/>
    <x v="3"/>
  </r>
  <r>
    <x v="345"/>
    <x v="112"/>
    <s v="A265729"/>
    <x v="10"/>
    <n v="20"/>
    <n v="4000"/>
    <m/>
    <x v="3"/>
  </r>
  <r>
    <x v="345"/>
    <x v="112"/>
    <s v="A265729"/>
    <x v="8"/>
    <n v="5"/>
    <n v="1000"/>
    <m/>
    <x v="3"/>
  </r>
  <r>
    <x v="345"/>
    <x v="207"/>
    <m/>
    <x v="9"/>
    <n v="3"/>
    <n v="780"/>
    <m/>
    <x v="3"/>
  </r>
  <r>
    <x v="345"/>
    <x v="207"/>
    <m/>
    <x v="1"/>
    <n v="5"/>
    <n v="1300"/>
    <n v="1365"/>
    <x v="3"/>
  </r>
  <r>
    <x v="345"/>
    <x v="983"/>
    <s v="A306776"/>
    <x v="1"/>
    <n v="25"/>
    <n v="7250"/>
    <n v="7612.5"/>
    <x v="3"/>
  </r>
  <r>
    <x v="345"/>
    <x v="925"/>
    <s v="A241462"/>
    <x v="10"/>
    <n v="10"/>
    <n v="2100"/>
    <m/>
    <x v="3"/>
  </r>
  <r>
    <x v="345"/>
    <x v="151"/>
    <s v="A260799"/>
    <x v="1"/>
    <n v="25"/>
    <n v="4500"/>
    <n v="4725"/>
    <x v="3"/>
  </r>
  <r>
    <x v="345"/>
    <x v="26"/>
    <s v="A281055"/>
    <x v="8"/>
    <n v="15"/>
    <n v="3150"/>
    <m/>
    <x v="3"/>
  </r>
  <r>
    <x v="345"/>
    <x v="463"/>
    <s v="P19035"/>
    <x v="1"/>
    <n v="25"/>
    <n v="5625"/>
    <n v="5906.25"/>
    <x v="3"/>
  </r>
  <r>
    <x v="345"/>
    <x v="463"/>
    <s v="P19035"/>
    <x v="2"/>
    <n v="25"/>
    <n v="5625"/>
    <n v="5906.25"/>
    <x v="3"/>
  </r>
  <r>
    <x v="345"/>
    <x v="135"/>
    <s v="A329793"/>
    <x v="8"/>
    <n v="25"/>
    <n v="6500"/>
    <m/>
    <x v="2"/>
  </r>
  <r>
    <x v="345"/>
    <x v="135"/>
    <s v="A329793"/>
    <x v="9"/>
    <n v="25"/>
    <n v="6500"/>
    <m/>
    <x v="2"/>
  </r>
  <r>
    <x v="345"/>
    <x v="135"/>
    <s v="A329793"/>
    <x v="1"/>
    <n v="160"/>
    <n v="34850"/>
    <n v="36592.5"/>
    <x v="2"/>
  </r>
  <r>
    <x v="345"/>
    <x v="135"/>
    <s v="A329793"/>
    <x v="11"/>
    <n v="75"/>
    <n v="19500"/>
    <n v="20475"/>
    <x v="2"/>
  </r>
  <r>
    <x v="345"/>
    <x v="135"/>
    <s v="A329793"/>
    <x v="0"/>
    <n v="60"/>
    <n v="15600"/>
    <n v="16380"/>
    <x v="2"/>
  </r>
  <r>
    <x v="345"/>
    <x v="57"/>
    <s v="A292908"/>
    <x v="8"/>
    <n v="10"/>
    <n v="2200"/>
    <m/>
    <x v="3"/>
  </r>
  <r>
    <x v="345"/>
    <x v="57"/>
    <s v="A292908"/>
    <x v="9"/>
    <n v="25"/>
    <n v="5500"/>
    <m/>
    <x v="3"/>
  </r>
  <r>
    <x v="345"/>
    <x v="57"/>
    <s v="A292908"/>
    <x v="1"/>
    <n v="35"/>
    <n v="7800"/>
    <n v="8190"/>
    <x v="3"/>
  </r>
  <r>
    <x v="345"/>
    <x v="65"/>
    <s v="P19684"/>
    <x v="9"/>
    <n v="15"/>
    <n v="3300"/>
    <m/>
    <x v="3"/>
  </r>
  <r>
    <x v="345"/>
    <x v="984"/>
    <s v="A238388"/>
    <x v="8"/>
    <n v="20"/>
    <n v="4400"/>
    <m/>
    <x v="2"/>
  </r>
  <r>
    <x v="345"/>
    <x v="984"/>
    <s v="A238388"/>
    <x v="2"/>
    <n v="2"/>
    <n v="440"/>
    <n v="462"/>
    <x v="2"/>
  </r>
  <r>
    <x v="345"/>
    <x v="984"/>
    <s v="A238388"/>
    <x v="0"/>
    <n v="25"/>
    <n v="5250"/>
    <n v="5512.5"/>
    <x v="2"/>
  </r>
  <r>
    <x v="345"/>
    <x v="67"/>
    <s v="A405052"/>
    <x v="11"/>
    <n v="20"/>
    <n v="6900"/>
    <n v="7245"/>
    <x v="2"/>
  </r>
  <r>
    <x v="345"/>
    <x v="67"/>
    <s v="A405052"/>
    <x v="0"/>
    <n v="45"/>
    <n v="15525"/>
    <n v="16301.25"/>
    <x v="2"/>
  </r>
  <r>
    <x v="345"/>
    <x v="985"/>
    <m/>
    <x v="9"/>
    <n v="25"/>
    <n v="7000"/>
    <m/>
    <x v="3"/>
  </r>
  <r>
    <x v="345"/>
    <x v="69"/>
    <s v="A243394"/>
    <x v="7"/>
    <n v="30"/>
    <n v="6600"/>
    <m/>
    <x v="3"/>
  </r>
  <r>
    <x v="345"/>
    <x v="70"/>
    <m/>
    <x v="1"/>
    <n v="25"/>
    <n v="5750"/>
    <n v="6037.5"/>
    <x v="3"/>
  </r>
  <r>
    <x v="345"/>
    <x v="72"/>
    <s v="P08499"/>
    <x v="7"/>
    <n v="15"/>
    <n v="3600"/>
    <m/>
    <x v="3"/>
  </r>
  <r>
    <x v="345"/>
    <x v="73"/>
    <s v="P08976"/>
    <x v="9"/>
    <n v="15"/>
    <n v="3750"/>
    <m/>
    <x v="3"/>
  </r>
  <r>
    <x v="345"/>
    <x v="197"/>
    <s v="A276064"/>
    <x v="8"/>
    <n v="30"/>
    <n v="6450"/>
    <m/>
    <x v="3"/>
  </r>
  <r>
    <x v="345"/>
    <x v="197"/>
    <s v="A276064"/>
    <x v="9"/>
    <n v="15"/>
    <n v="3225"/>
    <m/>
    <x v="3"/>
  </r>
  <r>
    <x v="345"/>
    <x v="315"/>
    <s v="A258760"/>
    <x v="8"/>
    <n v="5"/>
    <n v="1000"/>
    <m/>
    <x v="3"/>
  </r>
  <r>
    <x v="345"/>
    <x v="99"/>
    <s v="A282344"/>
    <x v="6"/>
    <n v="25"/>
    <n v="5500"/>
    <m/>
    <x v="3"/>
  </r>
  <r>
    <x v="345"/>
    <x v="99"/>
    <s v="A282344"/>
    <x v="7"/>
    <n v="50"/>
    <n v="11250"/>
    <m/>
    <x v="3"/>
  </r>
  <r>
    <x v="345"/>
    <x v="99"/>
    <s v="A282344"/>
    <x v="10"/>
    <n v="50"/>
    <n v="11000"/>
    <m/>
    <x v="3"/>
  </r>
  <r>
    <x v="345"/>
    <x v="99"/>
    <s v="A282344"/>
    <x v="1"/>
    <n v="25"/>
    <n v="4500"/>
    <n v="4725"/>
    <x v="3"/>
  </r>
  <r>
    <x v="345"/>
    <x v="217"/>
    <s v="A405052"/>
    <x v="2"/>
    <n v="15"/>
    <n v="5175"/>
    <n v="5433.75"/>
    <x v="3"/>
  </r>
  <r>
    <x v="345"/>
    <x v="203"/>
    <s v="A240154"/>
    <x v="6"/>
    <n v="50"/>
    <n v="12500"/>
    <m/>
    <x v="3"/>
  </r>
  <r>
    <x v="345"/>
    <x v="203"/>
    <s v="A240154"/>
    <x v="10"/>
    <n v="25"/>
    <n v="6250"/>
    <m/>
    <x v="3"/>
  </r>
  <r>
    <x v="345"/>
    <x v="203"/>
    <s v="A240154"/>
    <x v="8"/>
    <n v="19"/>
    <n v="4625"/>
    <m/>
    <x v="3"/>
  </r>
  <r>
    <x v="345"/>
    <x v="121"/>
    <s v="A269419"/>
    <x v="7"/>
    <n v="60"/>
    <n v="13950"/>
    <m/>
    <x v="3"/>
  </r>
  <r>
    <x v="346"/>
    <x v="303"/>
    <s v="A403149"/>
    <x v="11"/>
    <n v="1"/>
    <n v="170"/>
    <n v="178.5"/>
    <x v="3"/>
  </r>
  <r>
    <x v="347"/>
    <x v="130"/>
    <s v="P01022"/>
    <x v="1"/>
    <n v="5"/>
    <n v="1050"/>
    <n v="1102.5"/>
    <x v="2"/>
  </r>
  <r>
    <x v="347"/>
    <x v="130"/>
    <s v="P01022"/>
    <x v="2"/>
    <n v="200"/>
    <n v="42000"/>
    <n v="44100"/>
    <x v="2"/>
  </r>
  <r>
    <x v="347"/>
    <x v="130"/>
    <s v="P01022"/>
    <x v="11"/>
    <n v="75"/>
    <n v="15750"/>
    <n v="16537.5"/>
    <x v="2"/>
  </r>
  <r>
    <x v="347"/>
    <x v="130"/>
    <s v="P01022"/>
    <x v="0"/>
    <n v="30"/>
    <n v="6300"/>
    <n v="6615"/>
    <x v="2"/>
  </r>
  <r>
    <x v="347"/>
    <x v="59"/>
    <m/>
    <x v="2"/>
    <n v="10"/>
    <n v="2100"/>
    <n v="2205"/>
    <x v="3"/>
  </r>
  <r>
    <x v="347"/>
    <x v="59"/>
    <m/>
    <x v="11"/>
    <n v="15"/>
    <n v="3150"/>
    <n v="3307.5"/>
    <x v="3"/>
  </r>
  <r>
    <x v="348"/>
    <x v="413"/>
    <s v="P08232"/>
    <x v="7"/>
    <n v="50"/>
    <n v="10500"/>
    <m/>
    <x v="3"/>
  </r>
  <r>
    <x v="348"/>
    <x v="144"/>
    <s v="A256430"/>
    <x v="1"/>
    <n v="5"/>
    <n v="1350"/>
    <n v="1417.5"/>
    <x v="3"/>
  </r>
  <r>
    <x v="348"/>
    <x v="144"/>
    <s v="A256430"/>
    <x v="11"/>
    <n v="5"/>
    <n v="1350"/>
    <n v="1417.5"/>
    <x v="3"/>
  </r>
  <r>
    <x v="348"/>
    <x v="417"/>
    <s v="A402001"/>
    <x v="11"/>
    <n v="5"/>
    <n v="625"/>
    <n v="656.25"/>
    <x v="3"/>
  </r>
  <r>
    <x v="348"/>
    <x v="180"/>
    <s v="A250659"/>
    <x v="3"/>
    <n v="20"/>
    <n v="4738"/>
    <m/>
    <x v="3"/>
  </r>
  <r>
    <x v="348"/>
    <x v="111"/>
    <s v="A257635"/>
    <x v="3"/>
    <n v="20"/>
    <n v="4416"/>
    <m/>
    <x v="3"/>
  </r>
  <r>
    <x v="348"/>
    <x v="111"/>
    <s v="A257635"/>
    <x v="4"/>
    <n v="50"/>
    <n v="11040"/>
    <m/>
    <x v="3"/>
  </r>
  <r>
    <x v="348"/>
    <x v="111"/>
    <s v="A257635"/>
    <x v="7"/>
    <n v="30"/>
    <n v="6600"/>
    <m/>
    <x v="3"/>
  </r>
  <r>
    <x v="348"/>
    <x v="112"/>
    <s v="A265729"/>
    <x v="4"/>
    <n v="20"/>
    <n v="4400"/>
    <m/>
    <x v="3"/>
  </r>
  <r>
    <x v="348"/>
    <x v="986"/>
    <s v="A241480"/>
    <x v="12"/>
    <n v="10"/>
    <n v="1330"/>
    <m/>
    <x v="3"/>
  </r>
  <r>
    <x v="348"/>
    <x v="986"/>
    <s v="A241480"/>
    <x v="6"/>
    <n v="25"/>
    <n v="4750"/>
    <m/>
    <x v="3"/>
  </r>
  <r>
    <x v="348"/>
    <x v="523"/>
    <s v="A239846"/>
    <x v="12"/>
    <n v="10"/>
    <n v="1100"/>
    <m/>
    <x v="3"/>
  </r>
  <r>
    <x v="348"/>
    <x v="523"/>
    <s v="A239846"/>
    <x v="3"/>
    <n v="10"/>
    <n v="1100"/>
    <m/>
    <x v="3"/>
  </r>
  <r>
    <x v="348"/>
    <x v="686"/>
    <s v="A413848"/>
    <x v="11"/>
    <n v="10"/>
    <n v="2050"/>
    <n v="2152.5"/>
    <x v="3"/>
  </r>
  <r>
    <x v="348"/>
    <x v="987"/>
    <s v="A239217"/>
    <x v="12"/>
    <n v="10"/>
    <n v="1080"/>
    <m/>
    <x v="3"/>
  </r>
  <r>
    <x v="348"/>
    <x v="988"/>
    <s v="A237774"/>
    <x v="12"/>
    <n v="10"/>
    <n v="1760"/>
    <m/>
    <x v="3"/>
  </r>
  <r>
    <x v="348"/>
    <x v="311"/>
    <s v="A246793"/>
    <x v="5"/>
    <n v="50"/>
    <n v="4000"/>
    <m/>
    <x v="3"/>
  </r>
  <r>
    <x v="348"/>
    <x v="989"/>
    <s v="A233713"/>
    <x v="12"/>
    <n v="10"/>
    <n v="1030"/>
    <m/>
    <x v="3"/>
  </r>
  <r>
    <x v="348"/>
    <x v="990"/>
    <s v="A240480"/>
    <x v="12"/>
    <n v="10"/>
    <n v="1060"/>
    <m/>
    <x v="3"/>
  </r>
  <r>
    <x v="348"/>
    <x v="328"/>
    <s v="A285349"/>
    <x v="11"/>
    <n v="5"/>
    <n v="625"/>
    <n v="656.25"/>
    <x v="3"/>
  </r>
  <r>
    <x v="348"/>
    <x v="991"/>
    <s v="A276062"/>
    <x v="5"/>
    <n v="10"/>
    <n v="2350"/>
    <m/>
    <x v="3"/>
  </r>
  <r>
    <x v="348"/>
    <x v="286"/>
    <s v="A255319"/>
    <x v="8"/>
    <n v="24"/>
    <n v="4200"/>
    <m/>
    <x v="3"/>
  </r>
  <r>
    <x v="348"/>
    <x v="992"/>
    <s v="A284026"/>
    <x v="5"/>
    <n v="10"/>
    <n v="2400"/>
    <m/>
    <x v="3"/>
  </r>
  <r>
    <x v="348"/>
    <x v="993"/>
    <s v="A236128"/>
    <x v="12"/>
    <n v="5"/>
    <n v="1780"/>
    <m/>
    <x v="3"/>
  </r>
  <r>
    <x v="348"/>
    <x v="48"/>
    <s v="A245955"/>
    <x v="3"/>
    <n v="10"/>
    <n v="2400"/>
    <m/>
    <x v="3"/>
  </r>
  <r>
    <x v="348"/>
    <x v="48"/>
    <s v="A245955"/>
    <x v="7"/>
    <n v="25"/>
    <n v="6000"/>
    <m/>
    <x v="3"/>
  </r>
  <r>
    <x v="348"/>
    <x v="48"/>
    <s v="A245955"/>
    <x v="9"/>
    <n v="25"/>
    <n v="6000"/>
    <m/>
    <x v="3"/>
  </r>
  <r>
    <x v="348"/>
    <x v="53"/>
    <s v="A249179"/>
    <x v="11"/>
    <n v="5"/>
    <n v="550"/>
    <n v="577.5"/>
    <x v="3"/>
  </r>
  <r>
    <x v="348"/>
    <x v="994"/>
    <s v="A266969"/>
    <x v="4"/>
    <n v="10"/>
    <n v="2800"/>
    <m/>
    <x v="3"/>
  </r>
  <r>
    <x v="348"/>
    <x v="994"/>
    <s v="A266969"/>
    <x v="5"/>
    <n v="10"/>
    <n v="2800"/>
    <m/>
    <x v="3"/>
  </r>
  <r>
    <x v="348"/>
    <x v="995"/>
    <s v="A257932"/>
    <x v="12"/>
    <n v="5"/>
    <n v="1200"/>
    <m/>
    <x v="3"/>
  </r>
  <r>
    <x v="348"/>
    <x v="995"/>
    <s v="A257932"/>
    <x v="3"/>
    <n v="10"/>
    <n v="2208"/>
    <m/>
    <x v="3"/>
  </r>
  <r>
    <x v="348"/>
    <x v="212"/>
    <s v="P05636"/>
    <x v="6"/>
    <n v="10"/>
    <n v="5200"/>
    <m/>
    <x v="3"/>
  </r>
  <r>
    <x v="348"/>
    <x v="212"/>
    <s v="P05636"/>
    <x v="7"/>
    <n v="10"/>
    <n v="5200"/>
    <m/>
    <x v="3"/>
  </r>
  <r>
    <x v="348"/>
    <x v="212"/>
    <s v="P05636"/>
    <x v="9"/>
    <n v="10"/>
    <n v="5200"/>
    <m/>
    <x v="3"/>
  </r>
  <r>
    <x v="348"/>
    <x v="831"/>
    <s v="A280726"/>
    <x v="5"/>
    <n v="10"/>
    <n v="2250"/>
    <m/>
    <x v="3"/>
  </r>
  <r>
    <x v="348"/>
    <x v="333"/>
    <s v="A317824"/>
    <x v="11"/>
    <n v="5"/>
    <n v="600"/>
    <n v="630"/>
    <x v="3"/>
  </r>
  <r>
    <x v="348"/>
    <x v="165"/>
    <s v="A237939"/>
    <x v="5"/>
    <n v="100"/>
    <n v="8000"/>
    <m/>
    <x v="3"/>
  </r>
  <r>
    <x v="348"/>
    <x v="996"/>
    <s v="A241482"/>
    <x v="12"/>
    <n v="10"/>
    <n v="1870"/>
    <m/>
    <x v="3"/>
  </r>
  <r>
    <x v="348"/>
    <x v="137"/>
    <s v="P21021"/>
    <x v="2"/>
    <n v="25"/>
    <n v="5675"/>
    <n v="5958.75"/>
    <x v="5"/>
  </r>
  <r>
    <x v="348"/>
    <x v="137"/>
    <s v="P21021"/>
    <x v="0"/>
    <n v="25"/>
    <n v="5675"/>
    <n v="5958.75"/>
    <x v="5"/>
  </r>
  <r>
    <x v="348"/>
    <x v="32"/>
    <s v="A295591"/>
    <x v="6"/>
    <n v="50"/>
    <n v="14750"/>
    <m/>
    <x v="3"/>
  </r>
  <r>
    <x v="348"/>
    <x v="32"/>
    <s v="A295591"/>
    <x v="7"/>
    <n v="50"/>
    <n v="14750"/>
    <m/>
    <x v="3"/>
  </r>
  <r>
    <x v="348"/>
    <x v="101"/>
    <s v="A241481"/>
    <x v="12"/>
    <n v="10"/>
    <n v="1720"/>
    <m/>
    <x v="3"/>
  </r>
  <r>
    <x v="348"/>
    <x v="101"/>
    <s v="A241481"/>
    <x v="6"/>
    <n v="25"/>
    <n v="4300"/>
    <m/>
    <x v="3"/>
  </r>
  <r>
    <x v="348"/>
    <x v="101"/>
    <s v="A241481"/>
    <x v="10"/>
    <n v="25"/>
    <n v="5000"/>
    <m/>
    <x v="3"/>
  </r>
  <r>
    <x v="348"/>
    <x v="997"/>
    <s v="A284023"/>
    <x v="5"/>
    <n v="10"/>
    <n v="2750"/>
    <m/>
    <x v="3"/>
  </r>
  <r>
    <x v="348"/>
    <x v="247"/>
    <s v="A402013"/>
    <x v="11"/>
    <n v="2"/>
    <n v="250"/>
    <n v="262.5"/>
    <x v="3"/>
  </r>
  <r>
    <x v="348"/>
    <x v="34"/>
    <s v="A258696"/>
    <x v="11"/>
    <n v="5"/>
    <n v="625"/>
    <n v="656.25"/>
    <x v="3"/>
  </r>
  <r>
    <x v="348"/>
    <x v="346"/>
    <s v="A315997"/>
    <x v="11"/>
    <n v="5"/>
    <n v="400"/>
    <n v="420"/>
    <x v="3"/>
  </r>
  <r>
    <x v="348"/>
    <x v="347"/>
    <s v="A417703"/>
    <x v="11"/>
    <n v="5"/>
    <n v="625"/>
    <n v="656.25"/>
    <x v="3"/>
  </r>
  <r>
    <x v="348"/>
    <x v="998"/>
    <s v="A305591"/>
    <x v="10"/>
    <n v="25"/>
    <n v="4500"/>
    <m/>
    <x v="3"/>
  </r>
  <r>
    <x v="348"/>
    <x v="998"/>
    <s v="A305591"/>
    <x v="1"/>
    <n v="25"/>
    <n v="4500"/>
    <n v="4725"/>
    <x v="3"/>
  </r>
  <r>
    <x v="348"/>
    <x v="79"/>
    <s v="A299988"/>
    <x v="11"/>
    <n v="5"/>
    <n v="550"/>
    <n v="577.5"/>
    <x v="3"/>
  </r>
  <r>
    <x v="348"/>
    <x v="999"/>
    <s v="A240827"/>
    <x v="3"/>
    <n v="10"/>
    <n v="1780"/>
    <m/>
    <x v="3"/>
  </r>
  <r>
    <x v="349"/>
    <x v="343"/>
    <s v="A257810"/>
    <x v="0"/>
    <n v="50"/>
    <n v="2000"/>
    <n v="2000"/>
    <x v="1"/>
  </r>
  <r>
    <x v="350"/>
    <x v="6"/>
    <s v="A270578"/>
    <x v="10"/>
    <n v="50"/>
    <n v="4000"/>
    <m/>
    <x v="3"/>
  </r>
  <r>
    <x v="350"/>
    <x v="377"/>
    <s v="A248596"/>
    <x v="10"/>
    <n v="25"/>
    <n v="2000"/>
    <m/>
    <x v="3"/>
  </r>
  <r>
    <x v="350"/>
    <x v="177"/>
    <s v="A292781"/>
    <x v="10"/>
    <n v="25"/>
    <n v="2000"/>
    <m/>
    <x v="3"/>
  </r>
  <r>
    <x v="350"/>
    <x v="433"/>
    <m/>
    <x v="10"/>
    <n v="5"/>
    <n v="550"/>
    <m/>
    <x v="3"/>
  </r>
  <r>
    <x v="351"/>
    <x v="23"/>
    <m/>
    <x v="0"/>
    <n v="2"/>
    <n v="560"/>
    <n v="588"/>
    <x v="2"/>
  </r>
  <r>
    <x v="351"/>
    <x v="62"/>
    <m/>
    <x v="2"/>
    <n v="3"/>
    <n v="775"/>
    <n v="813.75"/>
    <x v="3"/>
  </r>
  <r>
    <x v="352"/>
    <x v="83"/>
    <s v="A243193"/>
    <x v="6"/>
    <n v="100"/>
    <n v="13900"/>
    <m/>
    <x v="3"/>
  </r>
  <r>
    <x v="352"/>
    <x v="83"/>
    <s v="A243193"/>
    <x v="7"/>
    <n v="75"/>
    <n v="10350"/>
    <m/>
    <x v="3"/>
  </r>
  <r>
    <x v="352"/>
    <x v="83"/>
    <s v="A243193"/>
    <x v="10"/>
    <n v="100"/>
    <n v="13800"/>
    <m/>
    <x v="3"/>
  </r>
  <r>
    <x v="353"/>
    <x v="444"/>
    <s v="A273820"/>
    <x v="5"/>
    <n v="5"/>
    <n v="1400"/>
    <m/>
    <x v="3"/>
  </r>
  <r>
    <x v="353"/>
    <x v="46"/>
    <s v="A234876"/>
    <x v="5"/>
    <n v="2"/>
    <n v="560"/>
    <m/>
    <x v="3"/>
  </r>
  <r>
    <x v="353"/>
    <x v="1000"/>
    <s v="P30860"/>
    <x v="0"/>
    <n v="2"/>
    <n v="480"/>
    <n v="504"/>
    <x v="5"/>
  </r>
  <r>
    <x v="353"/>
    <x v="68"/>
    <s v="A241029"/>
    <x v="5"/>
    <n v="2"/>
    <n v="560"/>
    <m/>
    <x v="3"/>
  </r>
  <r>
    <x v="353"/>
    <x v="120"/>
    <s v="A280284"/>
    <x v="5"/>
    <n v="2"/>
    <n v="660"/>
    <m/>
    <x v="3"/>
  </r>
  <r>
    <x v="354"/>
    <x v="149"/>
    <m/>
    <x v="7"/>
    <n v="10"/>
    <n v="2200"/>
    <m/>
    <x v="3"/>
  </r>
  <r>
    <x v="355"/>
    <x v="1001"/>
    <s v="A295732"/>
    <x v="6"/>
    <n v="5"/>
    <n v="1750"/>
    <m/>
    <x v="3"/>
  </r>
  <r>
    <x v="355"/>
    <x v="57"/>
    <s v="A292908"/>
    <x v="9"/>
    <n v="2"/>
    <n v="450"/>
    <m/>
    <x v="3"/>
  </r>
  <r>
    <x v="355"/>
    <x v="32"/>
    <s v="A295591"/>
    <x v="6"/>
    <n v="25"/>
    <n v="7125"/>
    <m/>
    <x v="3"/>
  </r>
  <r>
    <x v="355"/>
    <x v="32"/>
    <s v="A295591"/>
    <x v="7"/>
    <n v="25"/>
    <n v="7125"/>
    <m/>
    <x v="3"/>
  </r>
  <r>
    <x v="355"/>
    <x v="18"/>
    <m/>
    <x v="10"/>
    <n v="20"/>
    <n v="1800"/>
    <m/>
    <x v="3"/>
  </r>
  <r>
    <x v="356"/>
    <x v="46"/>
    <s v="A234876"/>
    <x v="8"/>
    <n v="1"/>
    <n v="300"/>
    <m/>
    <x v="3"/>
  </r>
  <r>
    <x v="357"/>
    <x v="93"/>
    <s v="A231708"/>
    <x v="8"/>
    <n v="2"/>
    <n v="190"/>
    <m/>
    <x v="3"/>
  </r>
  <r>
    <x v="357"/>
    <x v="4"/>
    <s v="A231709"/>
    <x v="8"/>
    <n v="1"/>
    <n v="105"/>
    <m/>
    <x v="3"/>
  </r>
  <r>
    <x v="357"/>
    <x v="30"/>
    <s v="A233444"/>
    <x v="8"/>
    <n v="2"/>
    <n v="240"/>
    <m/>
    <x v="3"/>
  </r>
  <r>
    <x v="357"/>
    <x v="166"/>
    <s v="A233185"/>
    <x v="8"/>
    <n v="1"/>
    <n v="120"/>
    <m/>
    <x v="3"/>
  </r>
  <r>
    <x v="358"/>
    <x v="309"/>
    <s v="A243761"/>
    <x v="10"/>
    <n v="1"/>
    <n v="140"/>
    <m/>
    <x v="3"/>
  </r>
  <r>
    <x v="358"/>
    <x v="321"/>
    <s v="A293451"/>
    <x v="10"/>
    <n v="1"/>
    <n v="140"/>
    <m/>
    <x v="3"/>
  </r>
  <r>
    <x v="358"/>
    <x v="182"/>
    <s v="A275118"/>
    <x v="10"/>
    <n v="1"/>
    <n v="150"/>
    <m/>
    <x v="3"/>
  </r>
  <r>
    <x v="358"/>
    <x v="152"/>
    <s v="A241586"/>
    <x v="10"/>
    <n v="1"/>
    <n v="180"/>
    <m/>
    <x v="3"/>
  </r>
  <r>
    <x v="358"/>
    <x v="469"/>
    <s v="A248486"/>
    <x v="10"/>
    <n v="1"/>
    <n v="120"/>
    <m/>
    <x v="3"/>
  </r>
  <r>
    <x v="358"/>
    <x v="3"/>
    <s v="A232126"/>
    <x v="10"/>
    <n v="1"/>
    <n v="150"/>
    <m/>
    <x v="3"/>
  </r>
  <r>
    <x v="358"/>
    <x v="243"/>
    <s v="A232125"/>
    <x v="10"/>
    <n v="1"/>
    <n v="100"/>
    <m/>
    <x v="3"/>
  </r>
  <r>
    <x v="358"/>
    <x v="166"/>
    <s v="A231706"/>
    <x v="10"/>
    <n v="1"/>
    <n v="180"/>
    <m/>
    <x v="3"/>
  </r>
  <r>
    <x v="358"/>
    <x v="381"/>
    <s v="A230556"/>
    <x v="10"/>
    <n v="1"/>
    <n v="180"/>
    <m/>
    <x v="3"/>
  </r>
  <r>
    <x v="359"/>
    <x v="48"/>
    <s v="A245955"/>
    <x v="9"/>
    <n v="2"/>
    <n v="560"/>
    <m/>
    <x v="3"/>
  </r>
  <r>
    <x v="360"/>
    <x v="298"/>
    <s v="A416950"/>
    <x v="11"/>
    <n v="5"/>
    <n v="1000"/>
    <n v="1000"/>
    <x v="3"/>
  </r>
  <r>
    <x v="360"/>
    <x v="299"/>
    <s v="A404821"/>
    <x v="11"/>
    <n v="5"/>
    <n v="800"/>
    <n v="800"/>
    <x v="3"/>
  </r>
  <r>
    <x v="360"/>
    <x v="686"/>
    <s v="A413848"/>
    <x v="11"/>
    <n v="5"/>
    <n v="900"/>
    <n v="900"/>
    <x v="3"/>
  </r>
  <r>
    <x v="360"/>
    <x v="137"/>
    <s v="P21021"/>
    <x v="11"/>
    <n v="5"/>
    <n v="1150"/>
    <n v="1150"/>
    <x v="3"/>
  </r>
  <r>
    <x v="360"/>
    <x v="202"/>
    <s v="A418088"/>
    <x v="11"/>
    <n v="10"/>
    <n v="1800"/>
    <n v="1800"/>
    <x v="3"/>
  </r>
  <r>
    <x v="361"/>
    <x v="25"/>
    <s v="A415883"/>
    <x v="11"/>
    <n v="7"/>
    <n v="980"/>
    <n v="980"/>
    <x v="3"/>
  </r>
  <r>
    <x v="361"/>
    <x v="696"/>
    <s v="A257635"/>
    <x v="11"/>
    <n v="5"/>
    <n v="900"/>
    <n v="900"/>
    <x v="3"/>
  </r>
  <r>
    <x v="361"/>
    <x v="569"/>
    <m/>
    <x v="11"/>
    <n v="4"/>
    <n v="1050"/>
    <n v="1050"/>
    <x v="3"/>
  </r>
  <r>
    <x v="361"/>
    <x v="304"/>
    <s v="A271046"/>
    <x v="11"/>
    <n v="10"/>
    <n v="2185"/>
    <n v="2185"/>
    <x v="3"/>
  </r>
  <r>
    <x v="361"/>
    <x v="305"/>
    <s v="A338959"/>
    <x v="11"/>
    <n v="7"/>
    <n v="1120"/>
    <n v="1120"/>
    <x v="3"/>
  </r>
  <r>
    <x v="361"/>
    <x v="422"/>
    <s v="A294408"/>
    <x v="11"/>
    <n v="5"/>
    <n v="825"/>
    <n v="825"/>
    <x v="3"/>
  </r>
  <r>
    <x v="362"/>
    <x v="123"/>
    <m/>
    <x v="10"/>
    <n v="50"/>
    <n v="3500"/>
    <m/>
    <x v="3"/>
  </r>
  <r>
    <x v="363"/>
    <x v="684"/>
    <m/>
    <x v="0"/>
    <n v="2"/>
    <n v="500"/>
    <n v="500"/>
    <x v="17"/>
  </r>
  <r>
    <x v="363"/>
    <x v="144"/>
    <s v="A256430"/>
    <x v="11"/>
    <n v="1"/>
    <n v="250"/>
    <n v="250"/>
    <x v="3"/>
  </r>
  <r>
    <x v="363"/>
    <x v="298"/>
    <s v="A416950"/>
    <x v="11"/>
    <n v="1"/>
    <n v="220"/>
    <n v="220"/>
    <x v="3"/>
  </r>
  <r>
    <x v="363"/>
    <x v="1002"/>
    <m/>
    <x v="0"/>
    <n v="2"/>
    <n v="320"/>
    <n v="320"/>
    <x v="86"/>
  </r>
  <r>
    <x v="363"/>
    <x v="23"/>
    <m/>
    <x v="11"/>
    <n v="4"/>
    <n v="1160"/>
    <n v="1160"/>
    <x v="2"/>
  </r>
  <r>
    <x v="363"/>
    <x v="23"/>
    <m/>
    <x v="0"/>
    <n v="1"/>
    <n v="290"/>
    <n v="290"/>
    <x v="2"/>
  </r>
  <r>
    <x v="363"/>
    <x v="1003"/>
    <m/>
    <x v="0"/>
    <n v="2"/>
    <n v="250"/>
    <n v="250"/>
    <x v="87"/>
  </r>
  <r>
    <x v="363"/>
    <x v="127"/>
    <s v="A343168"/>
    <x v="11"/>
    <n v="10"/>
    <n v="2200"/>
    <n v="2200"/>
    <x v="3"/>
  </r>
  <r>
    <x v="363"/>
    <x v="686"/>
    <s v="A413848"/>
    <x v="11"/>
    <n v="5"/>
    <n v="1000"/>
    <n v="1000"/>
    <x v="3"/>
  </r>
  <r>
    <x v="363"/>
    <x v="687"/>
    <m/>
    <x v="11"/>
    <n v="2"/>
    <n v="500"/>
    <n v="500"/>
    <x v="5"/>
  </r>
  <r>
    <x v="363"/>
    <x v="687"/>
    <m/>
    <x v="0"/>
    <n v="11"/>
    <n v="2750"/>
    <n v="2750"/>
    <x v="5"/>
  </r>
  <r>
    <x v="363"/>
    <x v="688"/>
    <m/>
    <x v="11"/>
    <n v="1"/>
    <n v="160"/>
    <n v="160"/>
    <x v="3"/>
  </r>
  <r>
    <x v="363"/>
    <x v="692"/>
    <s v="A415891"/>
    <x v="11"/>
    <n v="5"/>
    <n v="900"/>
    <n v="900"/>
    <x v="3"/>
  </r>
  <r>
    <x v="363"/>
    <x v="46"/>
    <s v="A234876"/>
    <x v="2"/>
    <n v="4"/>
    <n v="880"/>
    <m/>
    <x v="2"/>
  </r>
  <r>
    <x v="363"/>
    <x v="46"/>
    <s v="A234876"/>
    <x v="11"/>
    <n v="1"/>
    <n v="220"/>
    <n v="220"/>
    <x v="2"/>
  </r>
  <r>
    <x v="363"/>
    <x v="46"/>
    <s v="A234876"/>
    <x v="0"/>
    <n v="5"/>
    <n v="1100"/>
    <n v="1100"/>
    <x v="2"/>
  </r>
  <r>
    <x v="363"/>
    <x v="260"/>
    <s v="A305591"/>
    <x v="0"/>
    <n v="1"/>
    <n v="200"/>
    <n v="200"/>
    <x v="2"/>
  </r>
  <r>
    <x v="363"/>
    <x v="695"/>
    <s v="A419376"/>
    <x v="0"/>
    <n v="7"/>
    <n v="1260"/>
    <n v="1260"/>
    <x v="2"/>
  </r>
  <r>
    <x v="363"/>
    <x v="134"/>
    <s v="P04017"/>
    <x v="0"/>
    <n v="3"/>
    <n v="720"/>
    <n v="720"/>
    <x v="2"/>
  </r>
  <r>
    <x v="363"/>
    <x v="401"/>
    <s v="A347816"/>
    <x v="11"/>
    <n v="3"/>
    <n v="690"/>
    <n v="690"/>
    <x v="3"/>
  </r>
  <r>
    <x v="363"/>
    <x v="56"/>
    <m/>
    <x v="0"/>
    <n v="1"/>
    <n v="200"/>
    <n v="200"/>
    <x v="2"/>
  </r>
  <r>
    <x v="363"/>
    <x v="262"/>
    <s v="P08976"/>
    <x v="11"/>
    <n v="1"/>
    <n v="230"/>
    <n v="230"/>
    <x v="3"/>
  </r>
  <r>
    <x v="363"/>
    <x v="95"/>
    <m/>
    <x v="11"/>
    <n v="1"/>
    <n v="550"/>
    <n v="550"/>
    <x v="3"/>
  </r>
  <r>
    <x v="363"/>
    <x v="137"/>
    <s v="P21021"/>
    <x v="11"/>
    <n v="2"/>
    <n v="480"/>
    <n v="480"/>
    <x v="3"/>
  </r>
  <r>
    <x v="363"/>
    <x v="202"/>
    <s v="A418088"/>
    <x v="2"/>
    <n v="5"/>
    <n v="800"/>
    <n v="800"/>
    <x v="3"/>
  </r>
  <r>
    <x v="363"/>
    <x v="202"/>
    <s v="A417151"/>
    <x v="11"/>
    <n v="17"/>
    <n v="2720"/>
    <n v="2720"/>
    <x v="2"/>
  </r>
  <r>
    <x v="363"/>
    <x v="202"/>
    <s v="A418088"/>
    <x v="11"/>
    <n v="20"/>
    <n v="3200"/>
    <n v="3200"/>
    <x v="3"/>
  </r>
  <r>
    <x v="363"/>
    <x v="202"/>
    <s v="A417151"/>
    <x v="0"/>
    <n v="29"/>
    <n v="4640"/>
    <n v="4640"/>
    <x v="2"/>
  </r>
  <r>
    <x v="363"/>
    <x v="335"/>
    <s v="A349425"/>
    <x v="11"/>
    <n v="1"/>
    <n v="160"/>
    <n v="160"/>
    <x v="3"/>
  </r>
  <r>
    <x v="363"/>
    <x v="32"/>
    <s v="A295591"/>
    <x v="2"/>
    <n v="10"/>
    <n v="1800"/>
    <n v="1800"/>
    <x v="5"/>
  </r>
  <r>
    <x v="363"/>
    <x v="32"/>
    <s v="A295591"/>
    <x v="11"/>
    <n v="24"/>
    <n v="4320"/>
    <n v="4320"/>
    <x v="5"/>
  </r>
  <r>
    <x v="363"/>
    <x v="32"/>
    <s v="A295591"/>
    <x v="0"/>
    <n v="17"/>
    <n v="3060"/>
    <n v="3060"/>
    <x v="5"/>
  </r>
  <r>
    <x v="363"/>
    <x v="683"/>
    <s v="P09427"/>
    <x v="0"/>
    <n v="2"/>
    <n v="440"/>
    <n v="440"/>
    <x v="5"/>
  </r>
  <r>
    <x v="363"/>
    <x v="77"/>
    <s v="A419379"/>
    <x v="0"/>
    <n v="5"/>
    <n v="1100"/>
    <n v="1100"/>
    <x v="2"/>
  </r>
  <r>
    <x v="363"/>
    <x v="347"/>
    <s v="A417703"/>
    <x v="0"/>
    <n v="2"/>
    <n v="240"/>
    <n v="240"/>
    <x v="2"/>
  </r>
  <r>
    <x v="363"/>
    <x v="78"/>
    <s v="A234651"/>
    <x v="0"/>
    <n v="2"/>
    <n v="440"/>
    <n v="440"/>
    <x v="2"/>
  </r>
  <r>
    <x v="363"/>
    <x v="82"/>
    <s v="A339373"/>
    <x v="0"/>
    <n v="1"/>
    <n v="480"/>
    <n v="480"/>
    <x v="2"/>
  </r>
  <r>
    <x v="364"/>
    <x v="38"/>
    <s v="A273820"/>
    <x v="0"/>
    <n v="2"/>
    <n v="148"/>
    <n v="148"/>
    <x v="2"/>
  </r>
  <r>
    <x v="364"/>
    <x v="298"/>
    <s v="A416950"/>
    <x v="0"/>
    <n v="2"/>
    <n v="148"/>
    <n v="148"/>
    <x v="1"/>
  </r>
  <r>
    <x v="364"/>
    <x v="23"/>
    <m/>
    <x v="11"/>
    <n v="2"/>
    <n v="58.8"/>
    <n v="58.8"/>
    <x v="3"/>
  </r>
  <r>
    <x v="364"/>
    <x v="128"/>
    <s v="A269415"/>
    <x v="11"/>
    <n v="2"/>
    <n v="58.8"/>
    <n v="58.8"/>
    <x v="3"/>
  </r>
  <r>
    <x v="364"/>
    <x v="129"/>
    <s v="A235765"/>
    <x v="11"/>
    <n v="2"/>
    <n v="58.8"/>
    <n v="58.8"/>
    <x v="3"/>
  </r>
  <r>
    <x v="364"/>
    <x v="1004"/>
    <m/>
    <x v="11"/>
    <n v="2"/>
    <n v="58.8"/>
    <n v="58.8"/>
    <x v="3"/>
  </r>
  <r>
    <x v="364"/>
    <x v="692"/>
    <s v="A415891"/>
    <x v="0"/>
    <n v="2"/>
    <n v="148"/>
    <n v="148"/>
    <x v="1"/>
  </r>
  <r>
    <x v="364"/>
    <x v="46"/>
    <s v="A234876"/>
    <x v="0"/>
    <n v="2"/>
    <n v="140"/>
    <n v="140"/>
    <x v="5"/>
  </r>
  <r>
    <x v="364"/>
    <x v="274"/>
    <s v="P19035"/>
    <x v="11"/>
    <n v="2"/>
    <n v="58.8"/>
    <n v="58.8"/>
    <x v="3"/>
  </r>
  <r>
    <x v="364"/>
    <x v="303"/>
    <s v="A403149"/>
    <x v="0"/>
    <n v="2"/>
    <n v="148"/>
    <n v="148"/>
    <x v="18"/>
  </r>
  <r>
    <x v="364"/>
    <x v="59"/>
    <m/>
    <x v="0"/>
    <n v="2"/>
    <n v="198"/>
    <n v="198"/>
    <x v="6"/>
  </r>
  <r>
    <x v="364"/>
    <x v="60"/>
    <m/>
    <x v="0"/>
    <n v="2"/>
    <n v="154"/>
    <n v="154"/>
    <x v="6"/>
  </r>
  <r>
    <x v="364"/>
    <x v="66"/>
    <s v="A293577"/>
    <x v="0"/>
    <n v="2"/>
    <n v="140"/>
    <n v="140"/>
    <x v="1"/>
  </r>
  <r>
    <x v="364"/>
    <x v="212"/>
    <s v="P05636"/>
    <x v="0"/>
    <n v="2"/>
    <n v="162"/>
    <n v="162"/>
    <x v="88"/>
  </r>
  <r>
    <x v="364"/>
    <x v="95"/>
    <m/>
    <x v="0"/>
    <n v="2"/>
    <n v="148"/>
    <n v="148"/>
    <x v="21"/>
  </r>
  <r>
    <x v="364"/>
    <x v="410"/>
    <m/>
    <x v="0"/>
    <n v="2"/>
    <n v="148"/>
    <n v="148"/>
    <x v="79"/>
  </r>
  <r>
    <x v="364"/>
    <x v="578"/>
    <s v="A283876"/>
    <x v="11"/>
    <n v="2"/>
    <n v="58.8"/>
    <n v="58.8"/>
    <x v="89"/>
  </r>
  <r>
    <x v="364"/>
    <x v="578"/>
    <s v="A283876"/>
    <x v="0"/>
    <n v="2"/>
    <n v="112"/>
    <n v="112"/>
    <x v="89"/>
  </r>
  <r>
    <x v="364"/>
    <x v="304"/>
    <s v="A271046"/>
    <x v="0"/>
    <n v="2"/>
    <n v="162"/>
    <n v="162"/>
    <x v="4"/>
  </r>
  <r>
    <x v="364"/>
    <x v="77"/>
    <s v="A419379"/>
    <x v="0"/>
    <n v="2"/>
    <n v="162"/>
    <n v="162"/>
    <x v="5"/>
  </r>
  <r>
    <x v="364"/>
    <x v="265"/>
    <m/>
    <x v="0"/>
    <n v="2"/>
    <n v="148"/>
    <n v="148"/>
    <x v="6"/>
  </r>
  <r>
    <x v="365"/>
    <x v="243"/>
    <s v="A232125"/>
    <x v="6"/>
    <n v="25"/>
    <n v="1500"/>
    <m/>
    <x v="3"/>
  </r>
  <r>
    <x v="365"/>
    <x v="18"/>
    <m/>
    <x v="7"/>
    <n v="20"/>
    <n v="1800"/>
    <m/>
    <x v="3"/>
  </r>
  <r>
    <x v="365"/>
    <x v="123"/>
    <m/>
    <x v="7"/>
    <n v="20"/>
    <n v="1800"/>
    <m/>
    <x v="3"/>
  </r>
  <r>
    <x v="365"/>
    <x v="10"/>
    <m/>
    <x v="6"/>
    <n v="40"/>
    <n v="3200"/>
    <m/>
    <x v="3"/>
  </r>
  <r>
    <x v="365"/>
    <x v="10"/>
    <m/>
    <x v="7"/>
    <n v="220"/>
    <n v="18700"/>
    <m/>
    <x v="3"/>
  </r>
  <r>
    <x v="365"/>
    <x v="10"/>
    <m/>
    <x v="9"/>
    <n v="20"/>
    <n v="1700"/>
    <m/>
    <x v="3"/>
  </r>
  <r>
    <x v="365"/>
    <x v="10"/>
    <m/>
    <x v="2"/>
    <n v="20"/>
    <n v="1400"/>
    <n v="1470"/>
    <x v="3"/>
  </r>
  <r>
    <x v="365"/>
    <x v="433"/>
    <m/>
    <x v="6"/>
    <n v="20"/>
    <n v="1800"/>
    <m/>
    <x v="3"/>
  </r>
  <r>
    <x v="366"/>
    <x v="268"/>
    <s v="A245994"/>
    <x v="3"/>
    <n v="5"/>
    <n v="390"/>
    <m/>
    <x v="3"/>
  </r>
  <r>
    <x v="366"/>
    <x v="268"/>
    <s v="A245994"/>
    <x v="7"/>
    <n v="5"/>
    <n v="425"/>
    <m/>
    <x v="3"/>
  </r>
  <r>
    <x v="367"/>
    <x v="144"/>
    <s v="A256430"/>
    <x v="0"/>
    <n v="1"/>
    <n v="270"/>
    <n v="270"/>
    <x v="2"/>
  </r>
  <r>
    <x v="367"/>
    <x v="37"/>
    <s v="A295406"/>
    <x v="0"/>
    <n v="0.3"/>
    <n v="150"/>
    <n v="150"/>
    <x v="2"/>
  </r>
  <r>
    <x v="367"/>
    <x v="337"/>
    <s v="A419371"/>
    <x v="0"/>
    <n v="1"/>
    <n v="37.5"/>
    <n v="37.5"/>
    <x v="1"/>
  </r>
  <r>
    <x v="367"/>
    <x v="300"/>
    <s v="A351968"/>
    <x v="0"/>
    <n v="1"/>
    <n v="150"/>
    <n v="150"/>
    <x v="19"/>
  </r>
  <r>
    <x v="367"/>
    <x v="127"/>
    <s v="A343168"/>
    <x v="0"/>
    <n v="2"/>
    <n v="240"/>
    <n v="240"/>
    <x v="11"/>
  </r>
  <r>
    <x v="367"/>
    <x v="41"/>
    <s v="A282275"/>
    <x v="0"/>
    <n v="0.5"/>
    <n v="250"/>
    <n v="250"/>
    <x v="3"/>
  </r>
  <r>
    <x v="367"/>
    <x v="272"/>
    <s v="A246994"/>
    <x v="0"/>
    <n v="6"/>
    <n v="582.5"/>
    <n v="582.5"/>
    <x v="6"/>
  </r>
  <r>
    <x v="367"/>
    <x v="1005"/>
    <m/>
    <x v="0"/>
    <n v="1"/>
    <n v="110"/>
    <n v="110"/>
    <x v="11"/>
  </r>
  <r>
    <x v="367"/>
    <x v="46"/>
    <s v="A234876"/>
    <x v="0"/>
    <n v="1"/>
    <n v="150"/>
    <n v="150"/>
    <x v="2"/>
  </r>
  <r>
    <x v="367"/>
    <x v="231"/>
    <s v="A410391"/>
    <x v="0"/>
    <n v="6"/>
    <n v="412.5"/>
    <n v="412.5"/>
    <x v="53"/>
  </r>
  <r>
    <x v="367"/>
    <x v="434"/>
    <s v="A241908"/>
    <x v="0"/>
    <n v="1"/>
    <n v="42.5"/>
    <n v="42.5"/>
    <x v="2"/>
  </r>
  <r>
    <x v="367"/>
    <x v="410"/>
    <m/>
    <x v="0"/>
    <n v="1"/>
    <n v="150"/>
    <n v="150"/>
    <x v="2"/>
  </r>
  <r>
    <x v="367"/>
    <x v="202"/>
    <s v="A417151"/>
    <x v="0"/>
    <n v="4"/>
    <n v="397.5"/>
    <n v="397.5"/>
    <x v="11"/>
  </r>
  <r>
    <x v="367"/>
    <x v="335"/>
    <s v="A349425"/>
    <x v="0"/>
    <n v="3"/>
    <n v="480"/>
    <n v="480"/>
    <x v="2"/>
  </r>
  <r>
    <x v="367"/>
    <x v="32"/>
    <s v="A295590"/>
    <x v="0"/>
    <n v="3"/>
    <n v="440"/>
    <n v="440"/>
    <x v="2"/>
  </r>
  <r>
    <x v="367"/>
    <x v="680"/>
    <s v="P09390"/>
    <x v="0"/>
    <n v="1"/>
    <n v="150"/>
    <n v="150"/>
    <x v="2"/>
  </r>
  <r>
    <x v="368"/>
    <x v="99"/>
    <s v="A282344"/>
    <x v="10"/>
    <n v="6"/>
    <n v="1320"/>
    <m/>
    <x v="3"/>
  </r>
  <r>
    <x v="369"/>
    <x v="141"/>
    <s v="A249778"/>
    <x v="11"/>
    <n v="10"/>
    <n v="750"/>
    <n v="750"/>
    <x v="3"/>
  </r>
  <r>
    <x v="369"/>
    <x v="247"/>
    <s v="A402013"/>
    <x v="11"/>
    <n v="5"/>
    <n v="300"/>
    <n v="300"/>
    <x v="3"/>
  </r>
  <r>
    <x v="370"/>
    <x v="18"/>
    <m/>
    <x v="6"/>
    <n v="10"/>
    <n v="1050"/>
    <m/>
    <x v="3"/>
  </r>
  <r>
    <x v="370"/>
    <x v="123"/>
    <m/>
    <x v="6"/>
    <n v="10"/>
    <n v="1050"/>
    <m/>
    <x v="3"/>
  </r>
  <r>
    <x v="370"/>
    <x v="433"/>
    <m/>
    <x v="6"/>
    <n v="5"/>
    <n v="525"/>
    <m/>
    <x v="3"/>
  </r>
  <r>
    <x v="371"/>
    <x v="32"/>
    <s v="A295590"/>
    <x v="0"/>
    <n v="5"/>
    <n v="850"/>
    <n v="850"/>
    <x v="2"/>
  </r>
  <r>
    <x v="372"/>
    <x v="221"/>
    <s v="A231076"/>
    <x v="9"/>
    <n v="25"/>
    <n v="1375"/>
    <m/>
    <x v="3"/>
  </r>
  <r>
    <x v="373"/>
    <x v="38"/>
    <s v="A273820"/>
    <x v="9"/>
    <n v="3"/>
    <n v="660"/>
    <m/>
    <x v="3"/>
  </r>
  <r>
    <x v="373"/>
    <x v="38"/>
    <s v="A273820"/>
    <x v="1"/>
    <n v="1"/>
    <n v="200"/>
    <n v="210"/>
    <x v="3"/>
  </r>
  <r>
    <x v="373"/>
    <x v="57"/>
    <s v="A292908"/>
    <x v="9"/>
    <n v="6"/>
    <n v="1080"/>
    <m/>
    <x v="3"/>
  </r>
  <r>
    <x v="373"/>
    <x v="57"/>
    <s v="A292908"/>
    <x v="1"/>
    <n v="1"/>
    <n v="180"/>
    <n v="189"/>
    <x v="3"/>
  </r>
  <r>
    <x v="374"/>
    <x v="18"/>
    <m/>
    <x v="10"/>
    <n v="40"/>
    <n v="3600"/>
    <m/>
    <x v="3"/>
  </r>
  <r>
    <x v="374"/>
    <x v="10"/>
    <m/>
    <x v="10"/>
    <n v="20"/>
    <n v="1800"/>
    <m/>
    <x v="3"/>
  </r>
  <r>
    <x v="375"/>
    <x v="32"/>
    <s v="A295591"/>
    <x v="6"/>
    <n v="5"/>
    <n v="1600"/>
    <m/>
    <x v="3"/>
  </r>
  <r>
    <x v="375"/>
    <x v="168"/>
    <s v="A295590"/>
    <x v="6"/>
    <n v="10"/>
    <n v="2750"/>
    <m/>
    <x v="3"/>
  </r>
  <r>
    <x v="376"/>
    <x v="57"/>
    <s v="A292908"/>
    <x v="10"/>
    <n v="1"/>
    <n v="250"/>
    <m/>
    <x v="3"/>
  </r>
  <r>
    <x v="376"/>
    <x v="57"/>
    <s v="A292908"/>
    <x v="2"/>
    <n v="3"/>
    <n v="750"/>
    <n v="787.5"/>
    <x v="3"/>
  </r>
  <r>
    <x v="377"/>
    <x v="441"/>
    <s v="A250893"/>
    <x v="8"/>
    <n v="10"/>
    <n v="550"/>
    <m/>
    <x v="3"/>
  </r>
  <r>
    <x v="378"/>
    <x v="6"/>
    <s v="A270578"/>
    <x v="6"/>
    <n v="75"/>
    <n v="5250"/>
    <m/>
    <x v="3"/>
  </r>
  <r>
    <x v="378"/>
    <x v="6"/>
    <s v="A270578"/>
    <x v="10"/>
    <n v="25"/>
    <n v="1750"/>
    <m/>
    <x v="3"/>
  </r>
  <r>
    <x v="378"/>
    <x v="6"/>
    <s v="A270578"/>
    <x v="9"/>
    <n v="75"/>
    <n v="5250"/>
    <m/>
    <x v="3"/>
  </r>
  <r>
    <x v="378"/>
    <x v="3"/>
    <s v="A232126"/>
    <x v="9"/>
    <n v="125"/>
    <n v="9750"/>
    <m/>
    <x v="3"/>
  </r>
  <r>
    <x v="378"/>
    <x v="16"/>
    <s v="A241225"/>
    <x v="4"/>
    <n v="150"/>
    <n v="8250"/>
    <m/>
    <x v="3"/>
  </r>
  <r>
    <x v="378"/>
    <x v="16"/>
    <s v="A241225"/>
    <x v="5"/>
    <n v="50"/>
    <n v="2600"/>
    <m/>
    <x v="3"/>
  </r>
  <r>
    <x v="378"/>
    <x v="16"/>
    <s v="A241225"/>
    <x v="7"/>
    <n v="50"/>
    <n v="2600"/>
    <m/>
    <x v="3"/>
  </r>
  <r>
    <x v="378"/>
    <x v="228"/>
    <s v="A306319"/>
    <x v="9"/>
    <n v="50"/>
    <n v="3250"/>
    <m/>
    <x v="3"/>
  </r>
  <r>
    <x v="378"/>
    <x v="573"/>
    <m/>
    <x v="5"/>
    <n v="60"/>
    <n v="3900"/>
    <m/>
    <x v="3"/>
  </r>
  <r>
    <x v="378"/>
    <x v="10"/>
    <m/>
    <x v="6"/>
    <n v="20"/>
    <n v="1300"/>
    <m/>
    <x v="3"/>
  </r>
  <r>
    <x v="378"/>
    <x v="10"/>
    <m/>
    <x v="7"/>
    <n v="140"/>
    <n v="9300"/>
    <m/>
    <x v="3"/>
  </r>
  <r>
    <x v="378"/>
    <x v="10"/>
    <m/>
    <x v="10"/>
    <n v="200"/>
    <n v="13000"/>
    <m/>
    <x v="3"/>
  </r>
  <r>
    <x v="378"/>
    <x v="10"/>
    <m/>
    <x v="8"/>
    <n v="140"/>
    <n v="9100"/>
    <m/>
    <x v="3"/>
  </r>
  <r>
    <x v="378"/>
    <x v="10"/>
    <m/>
    <x v="9"/>
    <n v="100"/>
    <n v="6500"/>
    <m/>
    <x v="3"/>
  </r>
  <r>
    <x v="379"/>
    <x v="23"/>
    <m/>
    <x v="11"/>
    <n v="75"/>
    <n v="21000"/>
    <n v="21000"/>
    <x v="2"/>
  </r>
  <r>
    <x v="379"/>
    <x v="23"/>
    <m/>
    <x v="0"/>
    <n v="10"/>
    <n v="2800"/>
    <n v="2800"/>
    <x v="2"/>
  </r>
  <r>
    <x v="379"/>
    <x v="300"/>
    <s v="A351968"/>
    <x v="11"/>
    <n v="10"/>
    <n v="2500"/>
    <n v="2500"/>
    <x v="3"/>
  </r>
  <r>
    <x v="379"/>
    <x v="460"/>
    <s v="P08978"/>
    <x v="8"/>
    <n v="5"/>
    <n v="1300"/>
    <m/>
    <x v="3"/>
  </r>
  <r>
    <x v="379"/>
    <x v="687"/>
    <m/>
    <x v="11"/>
    <n v="25"/>
    <n v="6250"/>
    <n v="6250"/>
    <x v="4"/>
  </r>
  <r>
    <x v="379"/>
    <x v="687"/>
    <m/>
    <x v="0"/>
    <n v="25"/>
    <n v="6250"/>
    <n v="6250"/>
    <x v="4"/>
  </r>
  <r>
    <x v="379"/>
    <x v="131"/>
    <s v="F15861"/>
    <x v="11"/>
    <n v="50"/>
    <n v="8750"/>
    <n v="8750"/>
    <x v="3"/>
  </r>
  <r>
    <x v="379"/>
    <x v="1006"/>
    <s v="A340473"/>
    <x v="11"/>
    <n v="25"/>
    <n v="4250"/>
    <n v="4250"/>
    <x v="3"/>
  </r>
  <r>
    <x v="379"/>
    <x v="261"/>
    <m/>
    <x v="11"/>
    <n v="15"/>
    <n v="3450"/>
    <n v="3450"/>
    <x v="3"/>
  </r>
  <r>
    <x v="379"/>
    <x v="1007"/>
    <s v="A278776"/>
    <x v="8"/>
    <n v="5"/>
    <n v="900"/>
    <m/>
    <x v="3"/>
  </r>
  <r>
    <x v="379"/>
    <x v="274"/>
    <s v="P19035"/>
    <x v="11"/>
    <n v="75"/>
    <n v="12000"/>
    <n v="12000"/>
    <x v="3"/>
  </r>
  <r>
    <x v="379"/>
    <x v="55"/>
    <s v="A403816"/>
    <x v="11"/>
    <n v="25"/>
    <n v="4000"/>
    <n v="4000"/>
    <x v="3"/>
  </r>
  <r>
    <x v="379"/>
    <x v="569"/>
    <m/>
    <x v="11"/>
    <n v="25"/>
    <n v="5000"/>
    <n v="5000"/>
    <x v="3"/>
  </r>
  <r>
    <x v="379"/>
    <x v="95"/>
    <m/>
    <x v="11"/>
    <n v="10"/>
    <n v="2200"/>
    <n v="2200"/>
    <x v="3"/>
  </r>
  <r>
    <x v="379"/>
    <x v="197"/>
    <s v="A276064"/>
    <x v="8"/>
    <n v="5"/>
    <n v="1000"/>
    <m/>
    <x v="3"/>
  </r>
  <r>
    <x v="379"/>
    <x v="99"/>
    <s v="A282344"/>
    <x v="8"/>
    <n v="10"/>
    <n v="2200"/>
    <m/>
    <x v="3"/>
  </r>
  <r>
    <x v="379"/>
    <x v="202"/>
    <s v="A417151"/>
    <x v="11"/>
    <n v="25"/>
    <n v="3625"/>
    <n v="3625"/>
    <x v="2"/>
  </r>
  <r>
    <x v="379"/>
    <x v="202"/>
    <s v="A418088"/>
    <x v="11"/>
    <n v="100"/>
    <n v="14625"/>
    <n v="14625"/>
    <x v="3"/>
  </r>
  <r>
    <x v="379"/>
    <x v="202"/>
    <s v="A417151"/>
    <x v="0"/>
    <n v="25"/>
    <n v="3625"/>
    <n v="3625"/>
    <x v="2"/>
  </r>
  <r>
    <x v="379"/>
    <x v="32"/>
    <s v="A295590"/>
    <x v="0"/>
    <n v="10"/>
    <n v="1600"/>
    <n v="1600"/>
    <x v="2"/>
  </r>
  <r>
    <x v="379"/>
    <x v="683"/>
    <s v="P09427"/>
    <x v="11"/>
    <n v="65"/>
    <n v="12350"/>
    <n v="12350"/>
    <x v="3"/>
  </r>
  <r>
    <x v="379"/>
    <x v="1008"/>
    <s v="G21726"/>
    <x v="8"/>
    <n v="5"/>
    <n v="1150"/>
    <m/>
    <x v="3"/>
  </r>
  <r>
    <x v="380"/>
    <x v="207"/>
    <m/>
    <x v="9"/>
    <n v="5"/>
    <n v="1250"/>
    <m/>
    <x v="3"/>
  </r>
  <r>
    <x v="380"/>
    <x v="1009"/>
    <s v="A231705"/>
    <x v="8"/>
    <n v="15"/>
    <n v="1800"/>
    <m/>
    <x v="3"/>
  </r>
  <r>
    <x v="380"/>
    <x v="1009"/>
    <s v="A234651"/>
    <x v="8"/>
    <n v="5"/>
    <n v="900"/>
    <m/>
    <x v="3"/>
  </r>
  <r>
    <x v="380"/>
    <x v="1009"/>
    <s v="A234651"/>
    <x v="8"/>
    <n v="10"/>
    <n v="1800"/>
    <m/>
    <x v="3"/>
  </r>
  <r>
    <x v="380"/>
    <x v="1009"/>
    <s v="A241029"/>
    <x v="8"/>
    <n v="5"/>
    <n v="1000"/>
    <m/>
    <x v="3"/>
  </r>
  <r>
    <x v="380"/>
    <x v="1009"/>
    <s v="A245809"/>
    <x v="8"/>
    <n v="5"/>
    <n v="900"/>
    <m/>
    <x v="3"/>
  </r>
  <r>
    <x v="380"/>
    <x v="1009"/>
    <s v="A245955"/>
    <x v="8"/>
    <n v="15"/>
    <n v="2700"/>
    <m/>
    <x v="3"/>
  </r>
  <r>
    <x v="380"/>
    <x v="1009"/>
    <s v="A282344"/>
    <x v="8"/>
    <n v="10"/>
    <n v="2000"/>
    <m/>
    <x v="3"/>
  </r>
  <r>
    <x v="380"/>
    <x v="1009"/>
    <s v="A292908"/>
    <x v="8"/>
    <n v="10"/>
    <n v="2000"/>
    <m/>
    <x v="3"/>
  </r>
  <r>
    <x v="380"/>
    <x v="1009"/>
    <s v="A231705"/>
    <x v="9"/>
    <n v="10"/>
    <n v="1200"/>
    <m/>
    <x v="3"/>
  </r>
  <r>
    <x v="380"/>
    <x v="1009"/>
    <s v="A234651"/>
    <x v="9"/>
    <n v="5"/>
    <n v="900"/>
    <m/>
    <x v="3"/>
  </r>
  <r>
    <x v="380"/>
    <x v="1009"/>
    <s v="A241029"/>
    <x v="9"/>
    <n v="5"/>
    <n v="1000"/>
    <m/>
    <x v="3"/>
  </r>
  <r>
    <x v="380"/>
    <x v="1009"/>
    <s v="A245809"/>
    <x v="9"/>
    <n v="5"/>
    <n v="900"/>
    <m/>
    <x v="3"/>
  </r>
  <r>
    <x v="380"/>
    <x v="1009"/>
    <s v="A282344"/>
    <x v="9"/>
    <n v="15"/>
    <n v="3000"/>
    <m/>
    <x v="3"/>
  </r>
  <r>
    <x v="380"/>
    <x v="1010"/>
    <s v="A295590"/>
    <x v="8"/>
    <n v="5"/>
    <n v="1000"/>
    <m/>
    <x v="3"/>
  </r>
  <r>
    <x v="380"/>
    <x v="1010"/>
    <s v="A295590"/>
    <x v="9"/>
    <n v="5"/>
    <n v="1000"/>
    <m/>
    <x v="3"/>
  </r>
  <r>
    <x v="381"/>
    <x v="88"/>
    <s v="A244191"/>
    <x v="2"/>
    <n v="200"/>
    <n v="8925"/>
    <n v="9371.25"/>
    <x v="3"/>
  </r>
  <r>
    <x v="381"/>
    <x v="1011"/>
    <m/>
    <x v="11"/>
    <n v="125"/>
    <n v="4750"/>
    <n v="4987.5"/>
    <x v="90"/>
  </r>
  <r>
    <x v="381"/>
    <x v="1011"/>
    <m/>
    <x v="0"/>
    <n v="50"/>
    <n v="1900"/>
    <n v="1995"/>
    <x v="90"/>
  </r>
  <r>
    <x v="381"/>
    <x v="269"/>
    <s v="A415790"/>
    <x v="2"/>
    <n v="50"/>
    <n v="2450"/>
    <n v="2572.5"/>
    <x v="3"/>
  </r>
  <r>
    <x v="381"/>
    <x v="319"/>
    <s v="A248264"/>
    <x v="2"/>
    <n v="75"/>
    <n v="6375"/>
    <n v="6693.75"/>
    <x v="2"/>
  </r>
  <r>
    <x v="381"/>
    <x v="319"/>
    <s v="A248264"/>
    <x v="11"/>
    <n v="50"/>
    <n v="4250"/>
    <n v="4462.5"/>
    <x v="2"/>
  </r>
  <r>
    <x v="381"/>
    <x v="319"/>
    <s v="A248264"/>
    <x v="0"/>
    <n v="50"/>
    <n v="4250"/>
    <n v="4462.5"/>
    <x v="2"/>
  </r>
  <r>
    <x v="381"/>
    <x v="366"/>
    <s v="A238073"/>
    <x v="0"/>
    <n v="25"/>
    <n v="800"/>
    <n v="840"/>
    <x v="6"/>
  </r>
  <r>
    <x v="381"/>
    <x v="270"/>
    <s v="A415885"/>
    <x v="2"/>
    <n v="80"/>
    <n v="6400"/>
    <n v="6720"/>
    <x v="1"/>
  </r>
  <r>
    <x v="381"/>
    <x v="270"/>
    <s v="A415885"/>
    <x v="11"/>
    <n v="325"/>
    <n v="26000"/>
    <n v="27300"/>
    <x v="1"/>
  </r>
  <r>
    <x v="381"/>
    <x v="270"/>
    <s v="A415885"/>
    <x v="0"/>
    <n v="150"/>
    <n v="12000"/>
    <n v="12600"/>
    <x v="1"/>
  </r>
  <r>
    <x v="381"/>
    <x v="323"/>
    <s v="A292785"/>
    <x v="2"/>
    <n v="200"/>
    <n v="9000"/>
    <n v="9450"/>
    <x v="37"/>
  </r>
  <r>
    <x v="381"/>
    <x v="323"/>
    <s v="A292785"/>
    <x v="11"/>
    <n v="450"/>
    <n v="20250"/>
    <n v="21262.5"/>
    <x v="37"/>
  </r>
  <r>
    <x v="381"/>
    <x v="323"/>
    <s v="A292785"/>
    <x v="0"/>
    <n v="100"/>
    <n v="4500"/>
    <n v="4725"/>
    <x v="37"/>
  </r>
  <r>
    <x v="381"/>
    <x v="306"/>
    <s v="A244199"/>
    <x v="11"/>
    <n v="50"/>
    <n v="1900"/>
    <n v="1995"/>
    <x v="3"/>
  </r>
  <r>
    <x v="381"/>
    <x v="328"/>
    <s v="A285349"/>
    <x v="2"/>
    <n v="210"/>
    <n v="9300"/>
    <n v="9765"/>
    <x v="5"/>
  </r>
  <r>
    <x v="381"/>
    <x v="328"/>
    <s v="A285349"/>
    <x v="11"/>
    <n v="100"/>
    <n v="4400"/>
    <n v="4620"/>
    <x v="5"/>
  </r>
  <r>
    <x v="381"/>
    <x v="328"/>
    <s v="A285349"/>
    <x v="0"/>
    <n v="50"/>
    <n v="2450"/>
    <n v="2572.5"/>
    <x v="5"/>
  </r>
  <r>
    <x v="381"/>
    <x v="93"/>
    <s v="A231708"/>
    <x v="2"/>
    <n v="100"/>
    <n v="4800"/>
    <n v="5040"/>
    <x v="3"/>
  </r>
  <r>
    <x v="381"/>
    <x v="350"/>
    <s v="A401491"/>
    <x v="2"/>
    <n v="100"/>
    <n v="4800"/>
    <n v="5040"/>
    <x v="3"/>
  </r>
  <r>
    <x v="381"/>
    <x v="350"/>
    <s v="A410392"/>
    <x v="2"/>
    <n v="50"/>
    <n v="2520"/>
    <n v="2646"/>
    <x v="1"/>
  </r>
  <r>
    <x v="381"/>
    <x v="350"/>
    <s v="A410392"/>
    <x v="11"/>
    <n v="50"/>
    <n v="2400"/>
    <n v="2520"/>
    <x v="1"/>
  </r>
  <r>
    <x v="381"/>
    <x v="350"/>
    <s v="A410392"/>
    <x v="0"/>
    <n v="50"/>
    <n v="2400"/>
    <n v="2520"/>
    <x v="1"/>
  </r>
  <r>
    <x v="381"/>
    <x v="289"/>
    <s v="A234285"/>
    <x v="2"/>
    <n v="90"/>
    <n v="3780"/>
    <n v="3969"/>
    <x v="1"/>
  </r>
  <r>
    <x v="381"/>
    <x v="289"/>
    <s v="A234285"/>
    <x v="11"/>
    <n v="100"/>
    <n v="4200"/>
    <n v="4410"/>
    <x v="1"/>
  </r>
  <r>
    <x v="381"/>
    <x v="289"/>
    <s v="A234285"/>
    <x v="0"/>
    <n v="100"/>
    <n v="4200"/>
    <n v="4410"/>
    <x v="1"/>
  </r>
  <r>
    <x v="381"/>
    <x v="468"/>
    <s v="A402009"/>
    <x v="11"/>
    <n v="100"/>
    <n v="4200"/>
    <n v="4410"/>
    <x v="3"/>
  </r>
  <r>
    <x v="381"/>
    <x v="468"/>
    <s v="A402009"/>
    <x v="0"/>
    <n v="300"/>
    <n v="14800"/>
    <n v="15540"/>
    <x v="3"/>
  </r>
  <r>
    <x v="381"/>
    <x v="343"/>
    <s v="A257810"/>
    <x v="2"/>
    <n v="110"/>
    <n v="4620"/>
    <n v="4851"/>
    <x v="3"/>
  </r>
  <r>
    <x v="381"/>
    <x v="343"/>
    <s v="A257810"/>
    <x v="11"/>
    <n v="120"/>
    <n v="5040"/>
    <n v="5292"/>
    <x v="3"/>
  </r>
  <r>
    <x v="381"/>
    <x v="51"/>
    <s v="A298567"/>
    <x v="2"/>
    <n v="75"/>
    <n v="3150"/>
    <n v="3307.5"/>
    <x v="3"/>
  </r>
  <r>
    <x v="381"/>
    <x v="51"/>
    <s v="A298567"/>
    <x v="11"/>
    <n v="50"/>
    <n v="2100"/>
    <n v="2205"/>
    <x v="3"/>
  </r>
  <r>
    <x v="381"/>
    <x v="303"/>
    <s v="A403149"/>
    <x v="0"/>
    <n v="25"/>
    <n v="4150"/>
    <n v="4357.5"/>
    <x v="2"/>
  </r>
  <r>
    <x v="381"/>
    <x v="682"/>
    <m/>
    <x v="0"/>
    <n v="1"/>
    <n v="280"/>
    <n v="294"/>
    <x v="2"/>
  </r>
  <r>
    <x v="381"/>
    <x v="333"/>
    <s v="A317824"/>
    <x v="2"/>
    <n v="100"/>
    <n v="8000"/>
    <n v="8400"/>
    <x v="3"/>
  </r>
  <r>
    <x v="381"/>
    <x v="333"/>
    <s v="A317824"/>
    <x v="11"/>
    <n v="25"/>
    <n v="2000"/>
    <n v="2100"/>
    <x v="3"/>
  </r>
  <r>
    <x v="381"/>
    <x v="177"/>
    <s v="A292781"/>
    <x v="2"/>
    <n v="50"/>
    <n v="2400"/>
    <n v="2520"/>
    <x v="3"/>
  </r>
  <r>
    <x v="381"/>
    <x v="166"/>
    <s v="A231706"/>
    <x v="2"/>
    <n v="100"/>
    <n v="4500"/>
    <n v="4725"/>
    <x v="3"/>
  </r>
  <r>
    <x v="381"/>
    <x v="344"/>
    <s v="A415791"/>
    <x v="11"/>
    <n v="200"/>
    <n v="9000"/>
    <n v="9450"/>
    <x v="91"/>
  </r>
  <r>
    <x v="381"/>
    <x v="344"/>
    <s v="A415791"/>
    <x v="0"/>
    <n v="100"/>
    <n v="4500"/>
    <n v="4725"/>
    <x v="91"/>
  </r>
  <r>
    <x v="381"/>
    <x v="77"/>
    <s v="A419379"/>
    <x v="0"/>
    <n v="25"/>
    <n v="4750"/>
    <n v="4987.5"/>
    <x v="1"/>
  </r>
  <r>
    <x v="381"/>
    <x v="1012"/>
    <m/>
    <x v="0"/>
    <n v="1"/>
    <n v="150"/>
    <n v="157.5"/>
    <x v="92"/>
  </r>
  <r>
    <x v="381"/>
    <x v="1013"/>
    <m/>
    <x v="0"/>
    <n v="50"/>
    <n v="7750"/>
    <n v="8137.5"/>
    <x v="5"/>
  </r>
  <r>
    <x v="382"/>
    <x v="374"/>
    <s v="P782894"/>
    <x v="0"/>
    <n v="200"/>
    <n v="13000"/>
    <n v="13000"/>
    <x v="2"/>
  </r>
  <r>
    <x v="382"/>
    <x v="6"/>
    <s v="A270578"/>
    <x v="2"/>
    <n v="10"/>
    <n v="650"/>
    <n v="650"/>
    <x v="3"/>
  </r>
  <r>
    <x v="382"/>
    <x v="6"/>
    <s v="A270578"/>
    <x v="11"/>
    <n v="145"/>
    <n v="9270"/>
    <n v="9733.5"/>
    <x v="3"/>
  </r>
  <r>
    <x v="382"/>
    <x v="10"/>
    <m/>
    <x v="0"/>
    <n v="100"/>
    <n v="7500"/>
    <n v="7500"/>
    <x v="2"/>
  </r>
  <r>
    <x v="383"/>
    <x v="57"/>
    <s v="A292908"/>
    <x v="10"/>
    <n v="2"/>
    <n v="440"/>
    <m/>
    <x v="3"/>
  </r>
  <r>
    <x v="383"/>
    <x v="57"/>
    <s v="A292908"/>
    <x v="8"/>
    <n v="4"/>
    <n v="880"/>
    <m/>
    <x v="3"/>
  </r>
  <r>
    <x v="384"/>
    <x v="112"/>
    <s v="A265729"/>
    <x v="4"/>
    <n v="30"/>
    <n v="5078.3999999999996"/>
    <m/>
    <x v="3"/>
  </r>
  <r>
    <x v="384"/>
    <x v="1014"/>
    <s v="A286582"/>
    <x v="5"/>
    <n v="10"/>
    <n v="1500"/>
    <m/>
    <x v="3"/>
  </r>
  <r>
    <x v="384"/>
    <x v="1014"/>
    <s v="A286582"/>
    <x v="6"/>
    <n v="10"/>
    <n v="1500"/>
    <m/>
    <x v="3"/>
  </r>
  <r>
    <x v="385"/>
    <x v="719"/>
    <s v="A294410"/>
    <x v="7"/>
    <n v="75"/>
    <n v="16500"/>
    <m/>
    <x v="3"/>
  </r>
  <r>
    <x v="385"/>
    <x v="21"/>
    <s v="P08232"/>
    <x v="8"/>
    <n v="25"/>
    <n v="4125"/>
    <m/>
    <x v="3"/>
  </r>
  <r>
    <x v="385"/>
    <x v="21"/>
    <s v="P08232"/>
    <x v="9"/>
    <n v="115"/>
    <n v="18975"/>
    <m/>
    <x v="3"/>
  </r>
  <r>
    <x v="385"/>
    <x v="21"/>
    <s v="P08232"/>
    <x v="1"/>
    <n v="50"/>
    <n v="8250"/>
    <n v="8662.5"/>
    <x v="3"/>
  </r>
  <r>
    <x v="385"/>
    <x v="21"/>
    <s v="P08232"/>
    <x v="2"/>
    <n v="25"/>
    <n v="4125"/>
    <n v="4331.25"/>
    <x v="3"/>
  </r>
  <r>
    <x v="385"/>
    <x v="21"/>
    <s v="P08232"/>
    <x v="11"/>
    <n v="25"/>
    <n v="4125"/>
    <n v="4331.25"/>
    <x v="3"/>
  </r>
  <r>
    <x v="385"/>
    <x v="37"/>
    <s v="A295406"/>
    <x v="8"/>
    <n v="5"/>
    <n v="2450"/>
    <m/>
    <x v="3"/>
  </r>
  <r>
    <x v="385"/>
    <x v="38"/>
    <s v="A273820"/>
    <x v="9"/>
    <n v="10"/>
    <n v="1800"/>
    <m/>
    <x v="3"/>
  </r>
  <r>
    <x v="385"/>
    <x v="295"/>
    <s v="A302349"/>
    <x v="1"/>
    <n v="15"/>
    <n v="2850"/>
    <n v="2992.5"/>
    <x v="3"/>
  </r>
  <r>
    <x v="385"/>
    <x v="411"/>
    <s v="A265729"/>
    <x v="2"/>
    <n v="25"/>
    <n v="5500"/>
    <n v="5775"/>
    <x v="3"/>
  </r>
  <r>
    <x v="385"/>
    <x v="296"/>
    <s v="A343168"/>
    <x v="1"/>
    <n v="25"/>
    <n v="6000"/>
    <n v="6300"/>
    <x v="3"/>
  </r>
  <r>
    <x v="385"/>
    <x v="296"/>
    <s v="A343168"/>
    <x v="2"/>
    <n v="25"/>
    <n v="6000"/>
    <n v="6300"/>
    <x v="3"/>
  </r>
  <r>
    <x v="385"/>
    <x v="310"/>
    <s v="P09390"/>
    <x v="9"/>
    <n v="30"/>
    <n v="7670"/>
    <m/>
    <x v="3"/>
  </r>
  <r>
    <x v="385"/>
    <x v="310"/>
    <s v="P09390"/>
    <x v="1"/>
    <n v="10"/>
    <n v="2600"/>
    <n v="2730"/>
    <x v="3"/>
  </r>
  <r>
    <x v="385"/>
    <x v="258"/>
    <s v="A352612"/>
    <x v="11"/>
    <n v="25"/>
    <n v="4000"/>
    <n v="4200"/>
    <x v="3"/>
  </r>
  <r>
    <x v="385"/>
    <x v="1015"/>
    <s v="A241361"/>
    <x v="7"/>
    <n v="14"/>
    <n v="2240"/>
    <m/>
    <x v="3"/>
  </r>
  <r>
    <x v="385"/>
    <x v="1016"/>
    <s v="A294408"/>
    <x v="7"/>
    <n v="75"/>
    <n v="15375"/>
    <m/>
    <x v="3"/>
  </r>
  <r>
    <x v="385"/>
    <x v="1016"/>
    <s v="A294408"/>
    <x v="9"/>
    <n v="50"/>
    <n v="8500"/>
    <m/>
    <x v="3"/>
  </r>
  <r>
    <x v="385"/>
    <x v="1016"/>
    <s v="A294408"/>
    <x v="1"/>
    <n v="25"/>
    <n v="4250"/>
    <n v="4462.5"/>
    <x v="3"/>
  </r>
  <r>
    <x v="385"/>
    <x v="1016"/>
    <s v="A294408"/>
    <x v="2"/>
    <n v="25"/>
    <n v="4250"/>
    <n v="4462.5"/>
    <x v="3"/>
  </r>
  <r>
    <x v="385"/>
    <x v="91"/>
    <s v="A241367"/>
    <x v="9"/>
    <n v="10"/>
    <n v="2000"/>
    <m/>
    <x v="3"/>
  </r>
  <r>
    <x v="385"/>
    <x v="25"/>
    <s v="A415883"/>
    <x v="0"/>
    <n v="10"/>
    <n v="1750"/>
    <n v="1837.5"/>
    <x v="2"/>
  </r>
  <r>
    <x v="385"/>
    <x v="756"/>
    <s v="A238385"/>
    <x v="7"/>
    <n v="100"/>
    <n v="18500"/>
    <m/>
    <x v="3"/>
  </r>
  <r>
    <x v="385"/>
    <x v="756"/>
    <s v="A238385"/>
    <x v="10"/>
    <n v="200"/>
    <n v="37000"/>
    <m/>
    <x v="3"/>
  </r>
  <r>
    <x v="385"/>
    <x v="756"/>
    <s v="A238385"/>
    <x v="9"/>
    <n v="75"/>
    <n v="13875"/>
    <m/>
    <x v="3"/>
  </r>
  <r>
    <x v="385"/>
    <x v="756"/>
    <s v="A238385"/>
    <x v="1"/>
    <n v="15"/>
    <n v="2775"/>
    <n v="2913.75"/>
    <x v="3"/>
  </r>
  <r>
    <x v="385"/>
    <x v="1017"/>
    <s v="P12379"/>
    <x v="1"/>
    <n v="25"/>
    <n v="6000"/>
    <n v="6300"/>
    <x v="3"/>
  </r>
  <r>
    <x v="385"/>
    <x v="46"/>
    <s v="A234876"/>
    <x v="9"/>
    <n v="15"/>
    <n v="2850"/>
    <m/>
    <x v="3"/>
  </r>
  <r>
    <x v="385"/>
    <x v="762"/>
    <s v="A283876"/>
    <x v="10"/>
    <n v="25"/>
    <n v="11875"/>
    <m/>
    <x v="3"/>
  </r>
  <r>
    <x v="385"/>
    <x v="342"/>
    <s v="A402008"/>
    <x v="0"/>
    <n v="10"/>
    <n v="1200"/>
    <n v="1260"/>
    <x v="2"/>
  </r>
  <r>
    <x v="385"/>
    <x v="3"/>
    <s v="A232126"/>
    <x v="8"/>
    <n v="25"/>
    <n v="4375"/>
    <m/>
    <x v="3"/>
  </r>
  <r>
    <x v="385"/>
    <x v="1018"/>
    <s v="A352447"/>
    <x v="9"/>
    <n v="25"/>
    <n v="7750"/>
    <m/>
    <x v="3"/>
  </r>
  <r>
    <x v="385"/>
    <x v="1019"/>
    <s v="A346819"/>
    <x v="9"/>
    <n v="25"/>
    <n v="4875"/>
    <m/>
    <x v="3"/>
  </r>
  <r>
    <x v="385"/>
    <x v="161"/>
    <s v="A293577"/>
    <x v="9"/>
    <n v="10"/>
    <n v="1800"/>
    <m/>
    <x v="3"/>
  </r>
  <r>
    <x v="385"/>
    <x v="161"/>
    <s v="A293577"/>
    <x v="1"/>
    <n v="10"/>
    <n v="1800"/>
    <n v="1890"/>
    <x v="3"/>
  </r>
  <r>
    <x v="385"/>
    <x v="574"/>
    <s v="A352534"/>
    <x v="1"/>
    <n v="75"/>
    <n v="13500"/>
    <n v="14175"/>
    <x v="2"/>
  </r>
  <r>
    <x v="385"/>
    <x v="574"/>
    <s v="A352534"/>
    <x v="0"/>
    <n v="25"/>
    <n v="4000"/>
    <n v="4200"/>
    <x v="2"/>
  </r>
  <r>
    <x v="385"/>
    <x v="344"/>
    <s v="A415791"/>
    <x v="0"/>
    <n v="10"/>
    <n v="1200"/>
    <n v="1260"/>
    <x v="2"/>
  </r>
  <r>
    <x v="385"/>
    <x v="137"/>
    <s v="P21021"/>
    <x v="11"/>
    <n v="25"/>
    <n v="5500"/>
    <n v="5775"/>
    <x v="3"/>
  </r>
  <r>
    <x v="385"/>
    <x v="99"/>
    <s v="A282344"/>
    <x v="7"/>
    <n v="25"/>
    <n v="5000"/>
    <m/>
    <x v="3"/>
  </r>
  <r>
    <x v="385"/>
    <x v="99"/>
    <s v="A282344"/>
    <x v="1"/>
    <n v="25"/>
    <n v="5000"/>
    <n v="5250"/>
    <x v="3"/>
  </r>
  <r>
    <x v="385"/>
    <x v="305"/>
    <s v="A338959"/>
    <x v="11"/>
    <n v="50"/>
    <n v="8000"/>
    <n v="8400"/>
    <x v="3"/>
  </r>
  <r>
    <x v="385"/>
    <x v="78"/>
    <s v="A234651"/>
    <x v="9"/>
    <n v="5"/>
    <n v="1250"/>
    <m/>
    <x v="3"/>
  </r>
  <r>
    <x v="386"/>
    <x v="273"/>
    <s v="A320112"/>
    <x v="11"/>
    <n v="5"/>
    <n v="550"/>
    <n v="577.5"/>
    <x v="3"/>
  </r>
  <r>
    <x v="386"/>
    <x v="692"/>
    <s v="A415891"/>
    <x v="11"/>
    <n v="15"/>
    <n v="2550"/>
    <n v="2677.5"/>
    <x v="3"/>
  </r>
  <r>
    <x v="386"/>
    <x v="421"/>
    <s v="A243394"/>
    <x v="11"/>
    <n v="5"/>
    <n v="900"/>
    <n v="945"/>
    <x v="3"/>
  </r>
  <r>
    <x v="386"/>
    <x v="667"/>
    <s v="A415887"/>
    <x v="11"/>
    <n v="5"/>
    <n v="900"/>
    <n v="945"/>
    <x v="3"/>
  </r>
  <r>
    <x v="386"/>
    <x v="247"/>
    <s v="A402013"/>
    <x v="11"/>
    <n v="20"/>
    <n v="1900"/>
    <n v="1995"/>
    <x v="2"/>
  </r>
  <r>
    <x v="386"/>
    <x v="247"/>
    <s v="A402013"/>
    <x v="0"/>
    <n v="5"/>
    <n v="475"/>
    <n v="498.75"/>
    <x v="2"/>
  </r>
  <r>
    <x v="387"/>
    <x v="408"/>
    <s v="A239076"/>
    <x v="10"/>
    <n v="5"/>
    <n v="550"/>
    <m/>
    <x v="3"/>
  </r>
  <r>
    <x v="388"/>
    <x v="231"/>
    <s v="A410391"/>
    <x v="11"/>
    <n v="125"/>
    <n v="6250"/>
    <n v="6562.5"/>
    <x v="3"/>
  </r>
  <r>
    <x v="389"/>
    <x v="124"/>
    <m/>
    <x v="0"/>
    <n v="5"/>
    <n v="1825"/>
    <n v="1916.25"/>
    <x v="2"/>
  </r>
  <r>
    <x v="389"/>
    <x v="231"/>
    <s v="A410391"/>
    <x v="11"/>
    <n v="25"/>
    <n v="1575"/>
    <n v="1653.75"/>
    <x v="53"/>
  </r>
  <r>
    <x v="389"/>
    <x v="231"/>
    <s v="A410391"/>
    <x v="0"/>
    <n v="25"/>
    <n v="1575"/>
    <n v="1653.75"/>
    <x v="53"/>
  </r>
  <r>
    <x v="390"/>
    <x v="5"/>
    <s v="A249720"/>
    <x v="8"/>
    <n v="420"/>
    <n v="38650"/>
    <m/>
    <x v="3"/>
  </r>
  <r>
    <x v="390"/>
    <x v="5"/>
    <s v="A249720"/>
    <x v="9"/>
    <n v="200"/>
    <n v="19000"/>
    <m/>
    <x v="3"/>
  </r>
  <r>
    <x v="390"/>
    <x v="6"/>
    <s v="A270578"/>
    <x v="8"/>
    <n v="25"/>
    <n v="2375"/>
    <m/>
    <x v="3"/>
  </r>
  <r>
    <x v="390"/>
    <x v="6"/>
    <s v="A270578"/>
    <x v="9"/>
    <n v="300"/>
    <n v="18000"/>
    <m/>
    <x v="3"/>
  </r>
  <r>
    <x v="390"/>
    <x v="386"/>
    <m/>
    <x v="1"/>
    <n v="1"/>
    <n v="200"/>
    <n v="210"/>
    <x v="3"/>
  </r>
  <r>
    <x v="390"/>
    <x v="386"/>
    <m/>
    <x v="2"/>
    <n v="136"/>
    <n v="26930"/>
    <n v="28276.5"/>
    <x v="3"/>
  </r>
  <r>
    <x v="390"/>
    <x v="124"/>
    <m/>
    <x v="11"/>
    <n v="5"/>
    <n v="1475"/>
    <n v="1548.75"/>
    <x v="3"/>
  </r>
  <r>
    <x v="390"/>
    <x v="16"/>
    <s v="A241225"/>
    <x v="8"/>
    <n v="450"/>
    <n v="33750"/>
    <m/>
    <x v="3"/>
  </r>
  <r>
    <x v="390"/>
    <x v="177"/>
    <s v="A292781"/>
    <x v="9"/>
    <n v="150"/>
    <n v="9000"/>
    <m/>
    <x v="3"/>
  </r>
  <r>
    <x v="390"/>
    <x v="432"/>
    <m/>
    <x v="9"/>
    <n v="120"/>
    <n v="9600"/>
    <m/>
    <x v="3"/>
  </r>
  <r>
    <x v="390"/>
    <x v="123"/>
    <m/>
    <x v="10"/>
    <n v="20"/>
    <n v="1900"/>
    <m/>
    <x v="3"/>
  </r>
  <r>
    <x v="390"/>
    <x v="10"/>
    <m/>
    <x v="10"/>
    <n v="40"/>
    <n v="3600"/>
    <m/>
    <x v="3"/>
  </r>
  <r>
    <x v="390"/>
    <x v="10"/>
    <m/>
    <x v="8"/>
    <n v="65"/>
    <n v="5850"/>
    <m/>
    <x v="3"/>
  </r>
  <r>
    <x v="390"/>
    <x v="10"/>
    <m/>
    <x v="9"/>
    <n v="180"/>
    <n v="16200"/>
    <m/>
    <x v="3"/>
  </r>
  <r>
    <x v="390"/>
    <x v="10"/>
    <m/>
    <x v="1"/>
    <n v="160"/>
    <n v="14400"/>
    <n v="15120"/>
    <x v="3"/>
  </r>
  <r>
    <x v="390"/>
    <x v="19"/>
    <s v="A233442"/>
    <x v="10"/>
    <n v="75"/>
    <n v="6000"/>
    <m/>
    <x v="3"/>
  </r>
  <r>
    <x v="390"/>
    <x v="19"/>
    <s v="A233442"/>
    <x v="8"/>
    <n v="25"/>
    <n v="2000"/>
    <m/>
    <x v="3"/>
  </r>
  <r>
    <x v="391"/>
    <x v="959"/>
    <s v="A243962"/>
    <x v="0"/>
    <n v="2"/>
    <n v="360"/>
    <n v="378"/>
    <x v="2"/>
  </r>
  <r>
    <x v="391"/>
    <x v="38"/>
    <s v="A273820"/>
    <x v="9"/>
    <n v="5"/>
    <n v="800"/>
    <m/>
    <x v="3"/>
  </r>
  <r>
    <x v="391"/>
    <x v="298"/>
    <s v="A416950"/>
    <x v="0"/>
    <n v="2"/>
    <n v="360"/>
    <n v="378"/>
    <x v="2"/>
  </r>
  <r>
    <x v="391"/>
    <x v="23"/>
    <m/>
    <x v="2"/>
    <n v="1"/>
    <n v="300"/>
    <n v="315"/>
    <x v="3"/>
  </r>
  <r>
    <x v="391"/>
    <x v="111"/>
    <s v="A257635"/>
    <x v="7"/>
    <n v="5"/>
    <n v="825"/>
    <m/>
    <x v="3"/>
  </r>
  <r>
    <x v="391"/>
    <x v="111"/>
    <s v="A257635"/>
    <x v="8"/>
    <n v="10"/>
    <n v="1650"/>
    <m/>
    <x v="3"/>
  </r>
  <r>
    <x v="391"/>
    <x v="112"/>
    <s v="A265729"/>
    <x v="7"/>
    <n v="10"/>
    <n v="1800"/>
    <m/>
    <x v="3"/>
  </r>
  <r>
    <x v="391"/>
    <x v="367"/>
    <s v="P14424"/>
    <x v="0"/>
    <n v="2"/>
    <n v="430"/>
    <n v="451.5"/>
    <x v="1"/>
  </r>
  <r>
    <x v="391"/>
    <x v="686"/>
    <s v="A413848"/>
    <x v="0"/>
    <n v="2"/>
    <n v="360"/>
    <n v="378"/>
    <x v="2"/>
  </r>
  <r>
    <x v="391"/>
    <x v="271"/>
    <s v="A401493"/>
    <x v="0"/>
    <n v="2"/>
    <n v="350"/>
    <n v="367.5"/>
    <x v="2"/>
  </r>
  <r>
    <x v="391"/>
    <x v="1020"/>
    <s v="A253491"/>
    <x v="8"/>
    <n v="10"/>
    <n v="1800"/>
    <m/>
    <x v="3"/>
  </r>
  <r>
    <x v="391"/>
    <x v="46"/>
    <s v="A234876"/>
    <x v="9"/>
    <n v="25"/>
    <n v="3675"/>
    <m/>
    <x v="3"/>
  </r>
  <r>
    <x v="391"/>
    <x v="920"/>
    <m/>
    <x v="0"/>
    <n v="2"/>
    <n v="440"/>
    <n v="462"/>
    <x v="6"/>
  </r>
  <r>
    <x v="391"/>
    <x v="48"/>
    <s v="A245955"/>
    <x v="9"/>
    <n v="5"/>
    <n v="800"/>
    <m/>
    <x v="2"/>
  </r>
  <r>
    <x v="391"/>
    <x v="48"/>
    <s v="A245955"/>
    <x v="0"/>
    <n v="10"/>
    <n v="1600"/>
    <n v="1680"/>
    <x v="2"/>
  </r>
  <r>
    <x v="391"/>
    <x v="274"/>
    <s v="P19035"/>
    <x v="0"/>
    <n v="2"/>
    <n v="430"/>
    <n v="451.5"/>
    <x v="2"/>
  </r>
  <r>
    <x v="391"/>
    <x v="57"/>
    <s v="A292908"/>
    <x v="10"/>
    <n v="10"/>
    <n v="1700"/>
    <m/>
    <x v="3"/>
  </r>
  <r>
    <x v="391"/>
    <x v="412"/>
    <s v="A339521"/>
    <x v="0"/>
    <n v="5"/>
    <n v="1100"/>
    <n v="1155"/>
    <x v="2"/>
  </r>
  <r>
    <x v="391"/>
    <x v="65"/>
    <s v="P19684"/>
    <x v="9"/>
    <n v="5"/>
    <n v="800"/>
    <m/>
    <x v="3"/>
  </r>
  <r>
    <x v="391"/>
    <x v="69"/>
    <s v="A243394"/>
    <x v="8"/>
    <n v="25"/>
    <n v="4375"/>
    <m/>
    <x v="3"/>
  </r>
  <r>
    <x v="391"/>
    <x v="667"/>
    <s v="A415887"/>
    <x v="0"/>
    <n v="2"/>
    <n v="360"/>
    <n v="378"/>
    <x v="2"/>
  </r>
  <r>
    <x v="391"/>
    <x v="136"/>
    <s v="A276064"/>
    <x v="0"/>
    <n v="2"/>
    <n v="360"/>
    <n v="378"/>
    <x v="2"/>
  </r>
  <r>
    <x v="391"/>
    <x v="137"/>
    <s v="P21021"/>
    <x v="0"/>
    <n v="2"/>
    <n v="440"/>
    <n v="462"/>
    <x v="5"/>
  </r>
  <r>
    <x v="391"/>
    <x v="32"/>
    <s v="A295590"/>
    <x v="0"/>
    <n v="5"/>
    <n v="950"/>
    <n v="997.5"/>
    <x v="2"/>
  </r>
  <r>
    <x v="391"/>
    <x v="169"/>
    <s v="A286825"/>
    <x v="10"/>
    <n v="25"/>
    <n v="4300"/>
    <m/>
    <x v="3"/>
  </r>
  <r>
    <x v="391"/>
    <x v="169"/>
    <s v="A286825"/>
    <x v="9"/>
    <n v="25"/>
    <n v="4300"/>
    <m/>
    <x v="3"/>
  </r>
  <r>
    <x v="391"/>
    <x v="169"/>
    <s v="A286825"/>
    <x v="1"/>
    <n v="65"/>
    <n v="11180"/>
    <n v="11739"/>
    <x v="3"/>
  </r>
  <r>
    <x v="391"/>
    <x v="169"/>
    <s v="A286825"/>
    <x v="2"/>
    <n v="25"/>
    <n v="4300"/>
    <n v="4515"/>
    <x v="3"/>
  </r>
  <r>
    <x v="391"/>
    <x v="169"/>
    <s v="A286825"/>
    <x v="11"/>
    <n v="25"/>
    <n v="4300"/>
    <n v="4515"/>
    <x v="3"/>
  </r>
  <r>
    <x v="391"/>
    <x v="77"/>
    <s v="A419379"/>
    <x v="11"/>
    <n v="25"/>
    <n v="4300"/>
    <n v="4515"/>
    <x v="2"/>
  </r>
  <r>
    <x v="391"/>
    <x v="77"/>
    <s v="A419379"/>
    <x v="0"/>
    <n v="25"/>
    <n v="4300"/>
    <n v="4515"/>
    <x v="2"/>
  </r>
  <r>
    <x v="391"/>
    <x v="680"/>
    <s v="P09390"/>
    <x v="0"/>
    <n v="2"/>
    <n v="480"/>
    <n v="504"/>
    <x v="2"/>
  </r>
  <r>
    <x v="392"/>
    <x v="366"/>
    <s v="A238073"/>
    <x v="1"/>
    <n v="6"/>
    <n v="540"/>
    <n v="567"/>
    <x v="3"/>
  </r>
  <r>
    <x v="392"/>
    <x v="2"/>
    <s v="A295987"/>
    <x v="1"/>
    <n v="6"/>
    <n v="780"/>
    <n v="819"/>
    <x v="3"/>
  </r>
  <r>
    <x v="392"/>
    <x v="233"/>
    <m/>
    <x v="1"/>
    <n v="5"/>
    <n v="550"/>
    <n v="577.5"/>
    <x v="3"/>
  </r>
  <r>
    <x v="392"/>
    <x v="238"/>
    <m/>
    <x v="1"/>
    <n v="5"/>
    <n v="450"/>
    <n v="472.5"/>
    <x v="3"/>
  </r>
  <r>
    <x v="392"/>
    <x v="558"/>
    <s v="A306327"/>
    <x v="1"/>
    <n v="5"/>
    <n v="550"/>
    <n v="577.5"/>
    <x v="3"/>
  </r>
  <r>
    <x v="392"/>
    <x v="141"/>
    <s v="A249778"/>
    <x v="1"/>
    <n v="6"/>
    <n v="540"/>
    <n v="567"/>
    <x v="3"/>
  </r>
  <r>
    <x v="392"/>
    <x v="494"/>
    <s v="A257810"/>
    <x v="1"/>
    <n v="1"/>
    <n v="85"/>
    <n v="89.25"/>
    <x v="3"/>
  </r>
  <r>
    <x v="392"/>
    <x v="94"/>
    <s v="A339929"/>
    <x v="1"/>
    <n v="5"/>
    <n v="525"/>
    <n v="551.25"/>
    <x v="3"/>
  </r>
  <r>
    <x v="392"/>
    <x v="213"/>
    <s v="A272357"/>
    <x v="1"/>
    <n v="6"/>
    <n v="780"/>
    <n v="819"/>
    <x v="3"/>
  </r>
  <r>
    <x v="392"/>
    <x v="13"/>
    <m/>
    <x v="1"/>
    <n v="5"/>
    <n v="600"/>
    <n v="630"/>
    <x v="3"/>
  </r>
  <r>
    <x v="392"/>
    <x v="457"/>
    <s v="A271403"/>
    <x v="1"/>
    <n v="1"/>
    <n v="90"/>
    <n v="94.5"/>
    <x v="3"/>
  </r>
  <r>
    <x v="392"/>
    <x v="551"/>
    <s v="A350145"/>
    <x v="1"/>
    <n v="6"/>
    <n v="570"/>
    <n v="598.5"/>
    <x v="3"/>
  </r>
  <r>
    <x v="392"/>
    <x v="19"/>
    <s v="A233442"/>
    <x v="1"/>
    <n v="6"/>
    <n v="480"/>
    <n v="504"/>
    <x v="3"/>
  </r>
  <r>
    <x v="392"/>
    <x v="441"/>
    <s v="A250893"/>
    <x v="1"/>
    <n v="6"/>
    <n v="660"/>
    <n v="693"/>
    <x v="3"/>
  </r>
  <r>
    <x v="392"/>
    <x v="14"/>
    <m/>
    <x v="1"/>
    <n v="5"/>
    <n v="450"/>
    <n v="472.5"/>
    <x v="3"/>
  </r>
  <r>
    <x v="392"/>
    <x v="1"/>
    <s v="A231710"/>
    <x v="1"/>
    <n v="6"/>
    <n v="540"/>
    <n v="567"/>
    <x v="3"/>
  </r>
  <r>
    <x v="393"/>
    <x v="73"/>
    <s v="P08976"/>
    <x v="9"/>
    <n v="5"/>
    <n v="1200"/>
    <m/>
    <x v="3"/>
  </r>
  <r>
    <x v="393"/>
    <x v="99"/>
    <s v="A282344"/>
    <x v="9"/>
    <n v="2"/>
    <n v="360"/>
    <m/>
    <x v="3"/>
  </r>
  <r>
    <x v="394"/>
    <x v="3"/>
    <s v="A232126"/>
    <x v="8"/>
    <n v="25"/>
    <n v="2625"/>
    <m/>
    <x v="3"/>
  </r>
  <r>
    <x v="394"/>
    <x v="20"/>
    <s v="A233442"/>
    <x v="8"/>
    <n v="50"/>
    <n v="3500"/>
    <m/>
    <x v="3"/>
  </r>
  <r>
    <x v="395"/>
    <x v="1021"/>
    <s v="A263323"/>
    <x v="8"/>
    <n v="49"/>
    <n v="2940"/>
    <m/>
    <x v="3"/>
  </r>
  <r>
    <x v="395"/>
    <x v="309"/>
    <s v="A243761"/>
    <x v="8"/>
    <n v="10"/>
    <n v="850"/>
    <m/>
    <x v="3"/>
  </r>
  <r>
    <x v="395"/>
    <x v="2"/>
    <s v="A295987"/>
    <x v="8"/>
    <n v="15"/>
    <n v="1500"/>
    <m/>
    <x v="3"/>
  </r>
  <r>
    <x v="395"/>
    <x v="182"/>
    <s v="A275118"/>
    <x v="8"/>
    <n v="25"/>
    <n v="2050"/>
    <m/>
    <x v="3"/>
  </r>
  <r>
    <x v="395"/>
    <x v="182"/>
    <s v="A275118"/>
    <x v="1"/>
    <n v="20"/>
    <n v="1640"/>
    <n v="1722"/>
    <x v="3"/>
  </r>
  <r>
    <x v="395"/>
    <x v="93"/>
    <s v="A231708"/>
    <x v="8"/>
    <n v="50"/>
    <n v="2950"/>
    <m/>
    <x v="3"/>
  </r>
  <r>
    <x v="395"/>
    <x v="93"/>
    <s v="A231708"/>
    <x v="9"/>
    <n v="55"/>
    <n v="3275"/>
    <m/>
    <x v="3"/>
  </r>
  <r>
    <x v="395"/>
    <x v="93"/>
    <s v="A231708"/>
    <x v="1"/>
    <n v="10"/>
    <n v="650"/>
    <n v="682.5"/>
    <x v="3"/>
  </r>
  <r>
    <x v="395"/>
    <x v="156"/>
    <s v="A231705"/>
    <x v="8"/>
    <n v="55"/>
    <n v="3800"/>
    <m/>
    <x v="3"/>
  </r>
  <r>
    <x v="395"/>
    <x v="156"/>
    <s v="A231705"/>
    <x v="9"/>
    <n v="10"/>
    <n v="700"/>
    <m/>
    <x v="3"/>
  </r>
  <r>
    <x v="395"/>
    <x v="3"/>
    <s v="A232126"/>
    <x v="8"/>
    <n v="15"/>
    <n v="1230"/>
    <m/>
    <x v="3"/>
  </r>
  <r>
    <x v="395"/>
    <x v="3"/>
    <s v="A236167"/>
    <x v="9"/>
    <n v="15"/>
    <n v="1125"/>
    <m/>
    <x v="3"/>
  </r>
  <r>
    <x v="395"/>
    <x v="3"/>
    <s v="A232126"/>
    <x v="1"/>
    <n v="5"/>
    <n v="375"/>
    <n v="393.75"/>
    <x v="3"/>
  </r>
  <r>
    <x v="395"/>
    <x v="141"/>
    <s v="A249778"/>
    <x v="9"/>
    <n v="10"/>
    <n v="750"/>
    <m/>
    <x v="3"/>
  </r>
  <r>
    <x v="395"/>
    <x v="16"/>
    <s v="A242640"/>
    <x v="7"/>
    <n v="25"/>
    <n v="1375"/>
    <m/>
    <x v="3"/>
  </r>
  <r>
    <x v="395"/>
    <x v="16"/>
    <s v="A241225"/>
    <x v="8"/>
    <n v="5"/>
    <n v="350"/>
    <m/>
    <x v="3"/>
  </r>
  <r>
    <x v="395"/>
    <x v="16"/>
    <s v="A242640"/>
    <x v="8"/>
    <n v="100"/>
    <n v="5500"/>
    <m/>
    <x v="3"/>
  </r>
  <r>
    <x v="395"/>
    <x v="16"/>
    <s v="A241225"/>
    <x v="9"/>
    <n v="50"/>
    <n v="2875"/>
    <m/>
    <x v="3"/>
  </r>
  <r>
    <x v="395"/>
    <x v="16"/>
    <s v="A242640"/>
    <x v="9"/>
    <n v="25"/>
    <n v="1500"/>
    <m/>
    <x v="3"/>
  </r>
  <r>
    <x v="395"/>
    <x v="16"/>
    <s v="A241225"/>
    <x v="1"/>
    <n v="50"/>
    <n v="3125"/>
    <n v="3281.25"/>
    <x v="3"/>
  </r>
  <r>
    <x v="395"/>
    <x v="166"/>
    <s v="A233185"/>
    <x v="8"/>
    <n v="10"/>
    <n v="700"/>
    <m/>
    <x v="3"/>
  </r>
  <r>
    <x v="395"/>
    <x v="19"/>
    <s v="A233442"/>
    <x v="9"/>
    <n v="10"/>
    <n v="650"/>
    <m/>
    <x v="3"/>
  </r>
  <r>
    <x v="395"/>
    <x v="19"/>
    <s v="A233442"/>
    <x v="1"/>
    <n v="5"/>
    <n v="325"/>
    <n v="341.25"/>
    <x v="3"/>
  </r>
  <r>
    <x v="396"/>
    <x v="599"/>
    <m/>
    <x v="6"/>
    <n v="20"/>
    <n v="6600"/>
    <m/>
    <x v="3"/>
  </r>
  <r>
    <x v="396"/>
    <x v="228"/>
    <s v="A306319"/>
    <x v="8"/>
    <n v="25"/>
    <n v="1150"/>
    <m/>
    <x v="3"/>
  </r>
  <r>
    <x v="397"/>
    <x v="2"/>
    <s v="A295987"/>
    <x v="0"/>
    <n v="25"/>
    <n v="2325"/>
    <n v="2441.25"/>
    <x v="1"/>
  </r>
  <r>
    <x v="397"/>
    <x v="3"/>
    <s v="A232126"/>
    <x v="0"/>
    <n v="25"/>
    <n v="1800"/>
    <n v="1890"/>
    <x v="1"/>
  </r>
  <r>
    <x v="397"/>
    <x v="1022"/>
    <s v="P783181"/>
    <x v="0"/>
    <n v="25"/>
    <n v="1500"/>
    <n v="1575"/>
    <x v="1"/>
  </r>
  <r>
    <x v="397"/>
    <x v="202"/>
    <s v="A417151"/>
    <x v="0"/>
    <n v="25"/>
    <n v="4500"/>
    <n v="4725"/>
    <x v="2"/>
  </r>
  <r>
    <x v="398"/>
    <x v="10"/>
    <m/>
    <x v="6"/>
    <n v="40"/>
    <n v="3400"/>
    <m/>
    <x v="3"/>
  </r>
  <r>
    <x v="398"/>
    <x v="10"/>
    <m/>
    <x v="7"/>
    <n v="100"/>
    <n v="9000"/>
    <m/>
    <x v="3"/>
  </r>
  <r>
    <x v="399"/>
    <x v="353"/>
    <s v="A241990"/>
    <x v="2"/>
    <n v="25"/>
    <n v="1000"/>
    <n v="1050"/>
    <x v="3"/>
  </r>
  <r>
    <x v="400"/>
    <x v="353"/>
    <s v="A241990"/>
    <x v="8"/>
    <n v="25"/>
    <n v="1625"/>
    <m/>
    <x v="3"/>
  </r>
  <r>
    <x v="401"/>
    <x v="7"/>
    <m/>
    <x v="8"/>
    <n v="1"/>
    <n v="500"/>
    <m/>
    <x v="3"/>
  </r>
  <r>
    <x v="401"/>
    <x v="7"/>
    <m/>
    <x v="9"/>
    <n v="2"/>
    <n v="1000"/>
    <m/>
    <x v="3"/>
  </r>
  <r>
    <x v="402"/>
    <x v="386"/>
    <m/>
    <x v="8"/>
    <n v="1"/>
    <n v="500"/>
    <m/>
    <x v="3"/>
  </r>
  <r>
    <x v="402"/>
    <x v="386"/>
    <m/>
    <x v="9"/>
    <n v="1"/>
    <n v="500"/>
    <m/>
    <x v="3"/>
  </r>
  <r>
    <x v="402"/>
    <x v="10"/>
    <m/>
    <x v="9"/>
    <n v="20"/>
    <n v="1800"/>
    <m/>
    <x v="3"/>
  </r>
  <r>
    <x v="403"/>
    <x v="111"/>
    <s v="A257635"/>
    <x v="4"/>
    <n v="35"/>
    <n v="7000"/>
    <m/>
    <x v="3"/>
  </r>
  <r>
    <x v="403"/>
    <x v="616"/>
    <s v="A241362"/>
    <x v="4"/>
    <n v="100"/>
    <n v="18400"/>
    <m/>
    <x v="3"/>
  </r>
  <r>
    <x v="404"/>
    <x v="228"/>
    <s v="A306319"/>
    <x v="1"/>
    <n v="25"/>
    <n v="1750"/>
    <n v="1837.5"/>
    <x v="3"/>
  </r>
  <r>
    <x v="404"/>
    <x v="228"/>
    <s v="A306319"/>
    <x v="2"/>
    <n v="75"/>
    <n v="5250"/>
    <n v="5512.5"/>
    <x v="3"/>
  </r>
  <r>
    <x v="404"/>
    <x v="228"/>
    <s v="A306319"/>
    <x v="11"/>
    <n v="75"/>
    <n v="5850"/>
    <n v="6142.5"/>
    <x v="3"/>
  </r>
  <r>
    <x v="405"/>
    <x v="717"/>
    <m/>
    <x v="2"/>
    <n v="20"/>
    <n v="1600"/>
    <n v="1680"/>
    <x v="3"/>
  </r>
  <r>
    <x v="405"/>
    <x v="6"/>
    <s v="A270578"/>
    <x v="6"/>
    <n v="25"/>
    <n v="1875"/>
    <m/>
    <x v="3"/>
  </r>
  <r>
    <x v="405"/>
    <x v="599"/>
    <m/>
    <x v="6"/>
    <n v="20"/>
    <n v="6600"/>
    <m/>
    <x v="3"/>
  </r>
  <r>
    <x v="405"/>
    <x v="599"/>
    <m/>
    <x v="8"/>
    <n v="20"/>
    <n v="6500"/>
    <m/>
    <x v="3"/>
  </r>
  <r>
    <x v="405"/>
    <x v="228"/>
    <s v="A306319"/>
    <x v="1"/>
    <n v="10"/>
    <n v="650"/>
    <n v="682.5"/>
    <x v="3"/>
  </r>
  <r>
    <x v="405"/>
    <x v="13"/>
    <m/>
    <x v="1"/>
    <n v="17"/>
    <n v="1870"/>
    <n v="1963.5"/>
    <x v="3"/>
  </r>
  <r>
    <x v="405"/>
    <x v="10"/>
    <m/>
    <x v="6"/>
    <n v="20"/>
    <n v="1800"/>
    <m/>
    <x v="3"/>
  </r>
  <r>
    <x v="405"/>
    <x v="19"/>
    <s v="A233442"/>
    <x v="8"/>
    <n v="5"/>
    <n v="400"/>
    <m/>
    <x v="3"/>
  </r>
  <r>
    <x v="406"/>
    <x v="233"/>
    <m/>
    <x v="1"/>
    <n v="10"/>
    <n v="950"/>
    <n v="997.5"/>
    <x v="3"/>
  </r>
  <r>
    <x v="406"/>
    <x v="1023"/>
    <m/>
    <x v="8"/>
    <n v="20"/>
    <n v="1900"/>
    <m/>
    <x v="3"/>
  </r>
  <r>
    <x v="406"/>
    <x v="1023"/>
    <m/>
    <x v="1"/>
    <n v="20"/>
    <n v="1800"/>
    <n v="1890"/>
    <x v="3"/>
  </r>
  <r>
    <x v="406"/>
    <x v="1024"/>
    <m/>
    <x v="10"/>
    <n v="30"/>
    <n v="15000"/>
    <m/>
    <x v="3"/>
  </r>
  <r>
    <x v="406"/>
    <x v="16"/>
    <s v="A235942"/>
    <x v="1"/>
    <n v="50"/>
    <n v="3000"/>
    <n v="3150"/>
    <x v="3"/>
  </r>
  <r>
    <x v="406"/>
    <x v="416"/>
    <m/>
    <x v="8"/>
    <n v="20"/>
    <n v="6400"/>
    <m/>
    <x v="3"/>
  </r>
  <r>
    <x v="406"/>
    <x v="416"/>
    <m/>
    <x v="9"/>
    <n v="20"/>
    <n v="6400"/>
    <m/>
    <x v="3"/>
  </r>
  <r>
    <x v="406"/>
    <x v="432"/>
    <m/>
    <x v="8"/>
    <n v="20"/>
    <n v="1760"/>
    <m/>
    <x v="3"/>
  </r>
  <r>
    <x v="406"/>
    <x v="123"/>
    <m/>
    <x v="8"/>
    <n v="20"/>
    <n v="1900"/>
    <m/>
    <x v="3"/>
  </r>
  <r>
    <x v="407"/>
    <x v="1014"/>
    <s v="A286582"/>
    <x v="5"/>
    <n v="5"/>
    <n v="1350"/>
    <m/>
    <x v="3"/>
  </r>
  <r>
    <x v="407"/>
    <x v="1014"/>
    <s v="A286582"/>
    <x v="6"/>
    <n v="5"/>
    <n v="1350"/>
    <m/>
    <x v="3"/>
  </r>
  <r>
    <x v="407"/>
    <x v="1025"/>
    <s v="A247900"/>
    <x v="5"/>
    <n v="10"/>
    <n v="2600"/>
    <m/>
    <x v="3"/>
  </r>
  <r>
    <x v="407"/>
    <x v="199"/>
    <s v="A242055"/>
    <x v="5"/>
    <n v="10"/>
    <n v="1700"/>
    <m/>
    <x v="3"/>
  </r>
  <r>
    <x v="407"/>
    <x v="199"/>
    <s v="A242055"/>
    <x v="6"/>
    <n v="5"/>
    <n v="850"/>
    <m/>
    <x v="3"/>
  </r>
  <r>
    <x v="408"/>
    <x v="6"/>
    <s v="A270578"/>
    <x v="2"/>
    <n v="5"/>
    <n v="330"/>
    <n v="346.5"/>
    <x v="3"/>
  </r>
  <r>
    <x v="409"/>
    <x v="10"/>
    <m/>
    <x v="2"/>
    <n v="25"/>
    <n v="2125"/>
    <n v="2231.25"/>
    <x v="3"/>
  </r>
  <r>
    <x v="410"/>
    <x v="18"/>
    <m/>
    <x v="7"/>
    <n v="10"/>
    <n v="900"/>
    <m/>
    <x v="3"/>
  </r>
  <r>
    <x v="410"/>
    <x v="18"/>
    <m/>
    <x v="10"/>
    <n v="13"/>
    <n v="1170"/>
    <m/>
    <x v="3"/>
  </r>
  <r>
    <x v="410"/>
    <x v="123"/>
    <m/>
    <x v="7"/>
    <n v="15"/>
    <n v="1350"/>
    <m/>
    <x v="3"/>
  </r>
  <r>
    <x v="411"/>
    <x v="205"/>
    <s v="A265082"/>
    <x v="9"/>
    <n v="4"/>
    <n v="680"/>
    <m/>
    <x v="3"/>
  </r>
  <r>
    <x v="411"/>
    <x v="35"/>
    <s v="A245190"/>
    <x v="9"/>
    <n v="4"/>
    <n v="800"/>
    <m/>
    <x v="3"/>
  </r>
  <r>
    <x v="411"/>
    <x v="38"/>
    <s v="A273820"/>
    <x v="9"/>
    <n v="4"/>
    <n v="860"/>
    <m/>
    <x v="3"/>
  </r>
  <r>
    <x v="411"/>
    <x v="38"/>
    <s v="A273820"/>
    <x v="1"/>
    <n v="10"/>
    <n v="2150"/>
    <n v="2257.5"/>
    <x v="3"/>
  </r>
  <r>
    <x v="411"/>
    <x v="295"/>
    <s v="A302349"/>
    <x v="9"/>
    <n v="2"/>
    <n v="440"/>
    <m/>
    <x v="3"/>
  </r>
  <r>
    <x v="411"/>
    <x v="295"/>
    <s v="A302349"/>
    <x v="2"/>
    <n v="5"/>
    <n v="1100"/>
    <n v="1155"/>
    <x v="3"/>
  </r>
  <r>
    <x v="411"/>
    <x v="23"/>
    <m/>
    <x v="1"/>
    <n v="2"/>
    <n v="600"/>
    <n v="630"/>
    <x v="2"/>
  </r>
  <r>
    <x v="411"/>
    <x v="23"/>
    <m/>
    <x v="2"/>
    <n v="10"/>
    <n v="3000"/>
    <n v="3150"/>
    <x v="2"/>
  </r>
  <r>
    <x v="411"/>
    <x v="23"/>
    <m/>
    <x v="11"/>
    <n v="5"/>
    <n v="1500"/>
    <n v="1575"/>
    <x v="2"/>
  </r>
  <r>
    <x v="411"/>
    <x v="23"/>
    <m/>
    <x v="0"/>
    <n v="5"/>
    <n v="1450"/>
    <n v="1450"/>
    <x v="2"/>
  </r>
  <r>
    <x v="411"/>
    <x v="279"/>
    <m/>
    <x v="2"/>
    <n v="1"/>
    <n v="565"/>
    <n v="593.25"/>
    <x v="3"/>
  </r>
  <r>
    <x v="411"/>
    <x v="39"/>
    <s v="A322649"/>
    <x v="2"/>
    <n v="5"/>
    <n v="500"/>
    <n v="525"/>
    <x v="3"/>
  </r>
  <r>
    <x v="411"/>
    <x v="309"/>
    <s v="A243761"/>
    <x v="9"/>
    <n v="6"/>
    <n v="990"/>
    <m/>
    <x v="3"/>
  </r>
  <r>
    <x v="411"/>
    <x v="284"/>
    <s v="A257635"/>
    <x v="1"/>
    <n v="1"/>
    <n v="210"/>
    <n v="220.5"/>
    <x v="3"/>
  </r>
  <r>
    <x v="411"/>
    <x v="207"/>
    <m/>
    <x v="9"/>
    <n v="4"/>
    <n v="1060"/>
    <m/>
    <x v="3"/>
  </r>
  <r>
    <x v="411"/>
    <x v="207"/>
    <m/>
    <x v="1"/>
    <n v="3"/>
    <n v="795"/>
    <n v="834.75"/>
    <x v="3"/>
  </r>
  <r>
    <x v="411"/>
    <x v="281"/>
    <s v="A281164"/>
    <x v="9"/>
    <n v="4"/>
    <n v="760"/>
    <m/>
    <x v="3"/>
  </r>
  <r>
    <x v="411"/>
    <x v="281"/>
    <s v="A281164"/>
    <x v="1"/>
    <n v="5"/>
    <n v="950"/>
    <n v="997.5"/>
    <x v="3"/>
  </r>
  <r>
    <x v="411"/>
    <x v="414"/>
    <s v="A249739"/>
    <x v="9"/>
    <n v="4"/>
    <n v="860"/>
    <m/>
    <x v="3"/>
  </r>
  <r>
    <x v="411"/>
    <x v="104"/>
    <s v="A235765"/>
    <x v="9"/>
    <n v="1"/>
    <n v="200"/>
    <m/>
    <x v="3"/>
  </r>
  <r>
    <x v="411"/>
    <x v="912"/>
    <s v="A241362"/>
    <x v="2"/>
    <n v="7"/>
    <n v="1260"/>
    <n v="1323"/>
    <x v="3"/>
  </r>
  <r>
    <x v="411"/>
    <x v="48"/>
    <s v="A245955"/>
    <x v="9"/>
    <n v="1"/>
    <n v="225"/>
    <m/>
    <x v="3"/>
  </r>
  <r>
    <x v="411"/>
    <x v="48"/>
    <s v="A245955"/>
    <x v="1"/>
    <n v="2"/>
    <n v="450"/>
    <n v="472.5"/>
    <x v="3"/>
  </r>
  <r>
    <x v="411"/>
    <x v="274"/>
    <s v="P19035"/>
    <x v="0"/>
    <n v="10"/>
    <n v="2200"/>
    <n v="2310"/>
    <x v="2"/>
  </r>
  <r>
    <x v="411"/>
    <x v="50"/>
    <s v="A329793"/>
    <x v="9"/>
    <n v="4"/>
    <n v="1080"/>
    <m/>
    <x v="3"/>
  </r>
  <r>
    <x v="411"/>
    <x v="682"/>
    <m/>
    <x v="2"/>
    <n v="1"/>
    <n v="225"/>
    <n v="236.25"/>
    <x v="3"/>
  </r>
  <r>
    <x v="411"/>
    <x v="682"/>
    <m/>
    <x v="11"/>
    <n v="2"/>
    <n v="450"/>
    <n v="450"/>
    <x v="3"/>
  </r>
  <r>
    <x v="411"/>
    <x v="64"/>
    <m/>
    <x v="9"/>
    <n v="4"/>
    <n v="1080"/>
    <m/>
    <x v="3"/>
  </r>
  <r>
    <x v="411"/>
    <x v="666"/>
    <s v="A242628"/>
    <x v="1"/>
    <n v="1"/>
    <n v="180"/>
    <n v="189"/>
    <x v="3"/>
  </r>
  <r>
    <x v="411"/>
    <x v="137"/>
    <s v="P21021"/>
    <x v="2"/>
    <n v="5"/>
    <n v="1100"/>
    <n v="1155"/>
    <x v="3"/>
  </r>
  <r>
    <x v="411"/>
    <x v="99"/>
    <s v="A282344"/>
    <x v="1"/>
    <n v="6"/>
    <n v="1080"/>
    <n v="1134"/>
    <x v="3"/>
  </r>
  <r>
    <x v="411"/>
    <x v="202"/>
    <s v="A418088"/>
    <x v="11"/>
    <n v="5"/>
    <n v="900"/>
    <n v="900"/>
    <x v="3"/>
  </r>
  <r>
    <x v="411"/>
    <x v="32"/>
    <s v="A295591"/>
    <x v="9"/>
    <n v="4"/>
    <n v="1040"/>
    <m/>
    <x v="3"/>
  </r>
  <r>
    <x v="411"/>
    <x v="32"/>
    <s v="A295591"/>
    <x v="1"/>
    <n v="10"/>
    <n v="2600"/>
    <n v="2730"/>
    <x v="3"/>
  </r>
  <r>
    <x v="411"/>
    <x v="169"/>
    <s v="A286824"/>
    <x v="9"/>
    <n v="2"/>
    <n v="400"/>
    <m/>
    <x v="3"/>
  </r>
  <r>
    <x v="411"/>
    <x v="77"/>
    <s v="A419379"/>
    <x v="11"/>
    <n v="2"/>
    <n v="400"/>
    <n v="400"/>
    <x v="3"/>
  </r>
  <r>
    <x v="411"/>
    <x v="680"/>
    <s v="P09390"/>
    <x v="9"/>
    <n v="4"/>
    <n v="960"/>
    <m/>
    <x v="3"/>
  </r>
  <r>
    <x v="411"/>
    <x v="680"/>
    <s v="P09390"/>
    <x v="2"/>
    <n v="5"/>
    <n v="1200"/>
    <n v="1260"/>
    <x v="3"/>
  </r>
  <r>
    <x v="411"/>
    <x v="80"/>
    <s v="F15632"/>
    <x v="1"/>
    <n v="2"/>
    <n v="1500"/>
    <n v="1575"/>
    <x v="3"/>
  </r>
  <r>
    <x v="411"/>
    <x v="81"/>
    <s v="P19035"/>
    <x v="9"/>
    <n v="4"/>
    <n v="1040"/>
    <m/>
    <x v="3"/>
  </r>
  <r>
    <x v="411"/>
    <x v="81"/>
    <s v="P19035"/>
    <x v="1"/>
    <n v="5"/>
    <n v="1300"/>
    <n v="1365"/>
    <x v="3"/>
  </r>
  <r>
    <x v="411"/>
    <x v="122"/>
    <s v="A269415"/>
    <x v="1"/>
    <n v="1"/>
    <n v="220"/>
    <n v="231"/>
    <x v="3"/>
  </r>
  <r>
    <x v="412"/>
    <x v="6"/>
    <s v="A270578"/>
    <x v="1"/>
    <n v="25"/>
    <n v="1250"/>
    <n v="1312.5"/>
    <x v="3"/>
  </r>
  <r>
    <x v="413"/>
    <x v="23"/>
    <m/>
    <x v="0"/>
    <n v="5"/>
    <n v="1400"/>
    <n v="1470"/>
    <x v="2"/>
  </r>
  <r>
    <x v="413"/>
    <x v="127"/>
    <s v="A343168"/>
    <x v="0"/>
    <n v="2"/>
    <n v="400"/>
    <n v="420"/>
    <x v="2"/>
  </r>
  <r>
    <x v="413"/>
    <x v="400"/>
    <s v="A421292"/>
    <x v="0"/>
    <n v="2"/>
    <n v="400"/>
    <n v="420"/>
    <x v="2"/>
  </r>
  <r>
    <x v="413"/>
    <x v="132"/>
    <s v="A242452"/>
    <x v="11"/>
    <n v="5"/>
    <n v="900"/>
    <n v="945"/>
    <x v="3"/>
  </r>
  <r>
    <x v="413"/>
    <x v="48"/>
    <s v="A245955"/>
    <x v="2"/>
    <n v="5"/>
    <n v="1300"/>
    <n v="1365"/>
    <x v="3"/>
  </r>
  <r>
    <x v="413"/>
    <x v="274"/>
    <s v="P19035"/>
    <x v="0"/>
    <n v="5"/>
    <n v="1100"/>
    <n v="1155"/>
    <x v="2"/>
  </r>
  <r>
    <x v="413"/>
    <x v="28"/>
    <s v="A233711"/>
    <x v="2"/>
    <n v="5"/>
    <n v="500"/>
    <n v="525"/>
    <x v="3"/>
  </r>
  <r>
    <x v="413"/>
    <x v="62"/>
    <m/>
    <x v="2"/>
    <n v="5"/>
    <n v="1300"/>
    <n v="1365"/>
    <x v="3"/>
  </r>
  <r>
    <x v="413"/>
    <x v="682"/>
    <m/>
    <x v="0"/>
    <n v="5"/>
    <n v="1300"/>
    <n v="1365"/>
    <x v="2"/>
  </r>
  <r>
    <x v="413"/>
    <x v="30"/>
    <s v="A233444"/>
    <x v="0"/>
    <n v="5"/>
    <n v="550"/>
    <n v="577.5"/>
    <x v="2"/>
  </r>
  <r>
    <x v="413"/>
    <x v="95"/>
    <m/>
    <x v="2"/>
    <n v="3"/>
    <n v="1380"/>
    <n v="1449"/>
    <x v="1"/>
  </r>
  <r>
    <x v="413"/>
    <x v="95"/>
    <m/>
    <x v="0"/>
    <n v="2"/>
    <n v="920"/>
    <n v="966"/>
    <x v="1"/>
  </r>
  <r>
    <x v="413"/>
    <x v="293"/>
    <s v="A248825"/>
    <x v="0"/>
    <n v="5"/>
    <n v="550"/>
    <n v="577.5"/>
    <x v="2"/>
  </r>
  <r>
    <x v="413"/>
    <x v="699"/>
    <s v="A242628"/>
    <x v="11"/>
    <n v="5"/>
    <n v="900"/>
    <n v="945"/>
    <x v="2"/>
  </r>
  <r>
    <x v="413"/>
    <x v="699"/>
    <s v="A242628"/>
    <x v="0"/>
    <n v="5"/>
    <n v="900"/>
    <n v="945"/>
    <x v="2"/>
  </r>
  <r>
    <x v="413"/>
    <x v="74"/>
    <m/>
    <x v="0"/>
    <n v="15"/>
    <n v="4800"/>
    <n v="5040"/>
    <x v="17"/>
  </r>
  <r>
    <x v="413"/>
    <x v="138"/>
    <s v="A282344"/>
    <x v="2"/>
    <n v="5"/>
    <n v="900"/>
    <n v="945"/>
    <x v="3"/>
  </r>
  <r>
    <x v="413"/>
    <x v="305"/>
    <s v="A338959"/>
    <x v="2"/>
    <n v="5"/>
    <n v="1100"/>
    <n v="1155"/>
    <x v="3"/>
  </r>
  <r>
    <x v="413"/>
    <x v="305"/>
    <s v="A338959"/>
    <x v="11"/>
    <n v="10"/>
    <n v="2200"/>
    <n v="2310"/>
    <x v="3"/>
  </r>
  <r>
    <x v="413"/>
    <x v="422"/>
    <s v="A294408"/>
    <x v="2"/>
    <n v="10"/>
    <n v="2100"/>
    <n v="2205"/>
    <x v="2"/>
  </r>
  <r>
    <x v="413"/>
    <x v="422"/>
    <s v="A294408"/>
    <x v="0"/>
    <n v="5"/>
    <n v="1050"/>
    <n v="1102.5"/>
    <x v="2"/>
  </r>
  <r>
    <x v="414"/>
    <x v="321"/>
    <s v="A293451"/>
    <x v="9"/>
    <n v="1"/>
    <n v="80"/>
    <m/>
    <x v="3"/>
  </r>
  <r>
    <x v="414"/>
    <x v="44"/>
    <s v="A238385"/>
    <x v="9"/>
    <n v="1"/>
    <n v="120"/>
    <m/>
    <x v="3"/>
  </r>
  <r>
    <x v="414"/>
    <x v="99"/>
    <s v="A282344"/>
    <x v="9"/>
    <n v="1"/>
    <n v="120"/>
    <m/>
    <x v="3"/>
  </r>
  <r>
    <x v="414"/>
    <x v="32"/>
    <s v="A295591"/>
    <x v="9"/>
    <n v="1"/>
    <n v="130"/>
    <m/>
    <x v="3"/>
  </r>
  <r>
    <x v="415"/>
    <x v="1026"/>
    <s v="A258487"/>
    <x v="11"/>
    <n v="5"/>
    <n v="1150"/>
    <n v="1207.5"/>
    <x v="3"/>
  </r>
  <r>
    <x v="415"/>
    <x v="145"/>
    <s v="A233778"/>
    <x v="3"/>
    <n v="200"/>
    <n v="31600"/>
    <m/>
    <x v="3"/>
  </r>
  <r>
    <x v="415"/>
    <x v="145"/>
    <s v="A233778"/>
    <x v="4"/>
    <n v="100"/>
    <n v="15781"/>
    <m/>
    <x v="3"/>
  </r>
  <r>
    <x v="415"/>
    <x v="363"/>
    <s v="A402002"/>
    <x v="11"/>
    <n v="4"/>
    <n v="374"/>
    <n v="392.7"/>
    <x v="3"/>
  </r>
  <r>
    <x v="415"/>
    <x v="340"/>
    <m/>
    <x v="0"/>
    <n v="1"/>
    <n v="115"/>
    <n v="120.75"/>
    <x v="2"/>
  </r>
  <r>
    <x v="415"/>
    <x v="233"/>
    <m/>
    <x v="0"/>
    <n v="1"/>
    <n v="90"/>
    <n v="94.5"/>
    <x v="2"/>
  </r>
  <r>
    <x v="415"/>
    <x v="321"/>
    <s v="A293451"/>
    <x v="11"/>
    <n v="4"/>
    <n v="328"/>
    <n v="344.4"/>
    <x v="3"/>
  </r>
  <r>
    <x v="415"/>
    <x v="686"/>
    <s v="A413848"/>
    <x v="0"/>
    <n v="5"/>
    <n v="950"/>
    <n v="997.5"/>
    <x v="2"/>
  </r>
  <r>
    <x v="415"/>
    <x v="324"/>
    <s v="A241362"/>
    <x v="11"/>
    <n v="2"/>
    <n v="142.5"/>
    <n v="149.625"/>
    <x v="3"/>
  </r>
  <r>
    <x v="415"/>
    <x v="504"/>
    <s v="A321852"/>
    <x v="11"/>
    <n v="3"/>
    <n v="125"/>
    <n v="131.25"/>
    <x v="3"/>
  </r>
  <r>
    <x v="415"/>
    <x v="822"/>
    <s v="A292853"/>
    <x v="11"/>
    <n v="4"/>
    <n v="357"/>
    <n v="374.85"/>
    <x v="3"/>
  </r>
  <r>
    <x v="415"/>
    <x v="6"/>
    <s v="A270578"/>
    <x v="11"/>
    <n v="4"/>
    <n v="277"/>
    <n v="290.85000000000002"/>
    <x v="3"/>
  </r>
  <r>
    <x v="415"/>
    <x v="328"/>
    <s v="A285349"/>
    <x v="11"/>
    <n v="4"/>
    <n v="277"/>
    <n v="290.85000000000002"/>
    <x v="3"/>
  </r>
  <r>
    <x v="415"/>
    <x v="820"/>
    <s v="A415889"/>
    <x v="11"/>
    <n v="4"/>
    <n v="319"/>
    <n v="334.95"/>
    <x v="3"/>
  </r>
  <r>
    <x v="415"/>
    <x v="134"/>
    <s v="P04017"/>
    <x v="11"/>
    <n v="3"/>
    <n v="750"/>
    <n v="787.5"/>
    <x v="3"/>
  </r>
  <r>
    <x v="415"/>
    <x v="28"/>
    <s v="A233711"/>
    <x v="0"/>
    <n v="5"/>
    <n v="425"/>
    <n v="446.25"/>
    <x v="1"/>
  </r>
  <r>
    <x v="415"/>
    <x v="1027"/>
    <s v="A250905"/>
    <x v="11"/>
    <n v="60"/>
    <n v="12000"/>
    <n v="12600"/>
    <x v="2"/>
  </r>
  <r>
    <x v="415"/>
    <x v="1027"/>
    <s v="A250905"/>
    <x v="0"/>
    <n v="75"/>
    <n v="15000"/>
    <n v="15750"/>
    <x v="2"/>
  </r>
  <r>
    <x v="415"/>
    <x v="262"/>
    <s v="P08976"/>
    <x v="11"/>
    <n v="3"/>
    <n v="262.5"/>
    <n v="275.625"/>
    <x v="3"/>
  </r>
  <r>
    <x v="415"/>
    <x v="202"/>
    <s v="A418088"/>
    <x v="11"/>
    <n v="2"/>
    <n v="150"/>
    <n v="157.5"/>
    <x v="3"/>
  </r>
  <r>
    <x v="415"/>
    <x v="304"/>
    <s v="A271046"/>
    <x v="11"/>
    <n v="5"/>
    <n v="950"/>
    <n v="997.5"/>
    <x v="3"/>
  </r>
  <r>
    <x v="415"/>
    <x v="305"/>
    <s v="A338959"/>
    <x v="11"/>
    <n v="7"/>
    <n v="1225"/>
    <n v="1286.25"/>
    <x v="3"/>
  </r>
  <r>
    <x v="415"/>
    <x v="14"/>
    <m/>
    <x v="0"/>
    <n v="1"/>
    <n v="75"/>
    <n v="78.75"/>
    <x v="2"/>
  </r>
  <r>
    <x v="415"/>
    <x v="347"/>
    <s v="A417703"/>
    <x v="11"/>
    <n v="4"/>
    <n v="319"/>
    <n v="334.95"/>
    <x v="3"/>
  </r>
  <r>
    <x v="416"/>
    <x v="177"/>
    <s v="A292781"/>
    <x v="11"/>
    <n v="25"/>
    <n v="1250"/>
    <n v="1312.5"/>
    <x v="3"/>
  </r>
  <r>
    <x v="416"/>
    <x v="18"/>
    <m/>
    <x v="11"/>
    <n v="25"/>
    <n v="1825"/>
    <n v="1916.25"/>
    <x v="2"/>
  </r>
  <r>
    <x v="416"/>
    <x v="18"/>
    <m/>
    <x v="0"/>
    <n v="20"/>
    <n v="1460"/>
    <n v="1533"/>
    <x v="2"/>
  </r>
  <r>
    <x v="417"/>
    <x v="244"/>
    <s v="A415792"/>
    <x v="11"/>
    <n v="5"/>
    <n v="375"/>
    <n v="393.75"/>
    <x v="3"/>
  </r>
  <r>
    <x v="417"/>
    <x v="1028"/>
    <s v="A419370"/>
    <x v="11"/>
    <n v="5"/>
    <n v="425"/>
    <n v="446.25"/>
    <x v="3"/>
  </r>
  <r>
    <x v="418"/>
    <x v="1029"/>
    <s v="P14424"/>
    <x v="2"/>
    <n v="1"/>
    <n v="260"/>
    <n v="260"/>
    <x v="3"/>
  </r>
  <r>
    <x v="418"/>
    <x v="951"/>
    <s v="A269415"/>
    <x v="2"/>
    <n v="1"/>
    <n v="220"/>
    <n v="220"/>
    <x v="3"/>
  </r>
  <r>
    <x v="418"/>
    <x v="496"/>
    <s v="A235748"/>
    <x v="2"/>
    <n v="1"/>
    <n v="200"/>
    <n v="200"/>
    <x v="3"/>
  </r>
  <r>
    <x v="418"/>
    <x v="1030"/>
    <s v="A245809"/>
    <x v="2"/>
    <n v="1"/>
    <n v="180"/>
    <n v="180"/>
    <x v="3"/>
  </r>
  <r>
    <x v="418"/>
    <x v="104"/>
    <s v="A235765"/>
    <x v="2"/>
    <n v="1"/>
    <n v="220"/>
    <n v="220"/>
    <x v="3"/>
  </r>
  <r>
    <x v="418"/>
    <x v="912"/>
    <s v="A241362"/>
    <x v="2"/>
    <n v="1"/>
    <n v="220"/>
    <n v="220"/>
    <x v="3"/>
  </r>
  <r>
    <x v="418"/>
    <x v="649"/>
    <s v="A294408"/>
    <x v="2"/>
    <n v="2"/>
    <n v="440"/>
    <n v="440"/>
    <x v="3"/>
  </r>
  <r>
    <x v="418"/>
    <x v="91"/>
    <s v="A241367"/>
    <x v="2"/>
    <n v="1"/>
    <n v="180"/>
    <n v="180"/>
    <x v="3"/>
  </r>
  <r>
    <x v="418"/>
    <x v="691"/>
    <s v="A245818"/>
    <x v="2"/>
    <n v="1"/>
    <n v="220"/>
    <n v="220"/>
    <x v="3"/>
  </r>
  <r>
    <x v="418"/>
    <x v="46"/>
    <s v="A234876"/>
    <x v="2"/>
    <n v="1"/>
    <n v="240"/>
    <n v="240"/>
    <x v="3"/>
  </r>
  <r>
    <x v="418"/>
    <x v="106"/>
    <s v="A281055"/>
    <x v="2"/>
    <n v="1"/>
    <n v="230"/>
    <n v="230"/>
    <x v="3"/>
  </r>
  <r>
    <x v="418"/>
    <x v="950"/>
    <s v="A305591"/>
    <x v="2"/>
    <n v="1"/>
    <n v="210"/>
    <n v="210"/>
    <x v="3"/>
  </r>
  <r>
    <x v="418"/>
    <x v="694"/>
    <s v="A245190"/>
    <x v="2"/>
    <n v="1"/>
    <n v="220"/>
    <n v="220"/>
    <x v="3"/>
  </r>
  <r>
    <x v="418"/>
    <x v="502"/>
    <s v="A260960"/>
    <x v="2"/>
    <n v="1"/>
    <n v="180"/>
    <n v="180"/>
    <x v="3"/>
  </r>
  <r>
    <x v="418"/>
    <x v="1031"/>
    <s v="P16046"/>
    <x v="2"/>
    <n v="1"/>
    <n v="180"/>
    <n v="180"/>
    <x v="3"/>
  </r>
  <r>
    <x v="418"/>
    <x v="1032"/>
    <s v="A277868"/>
    <x v="2"/>
    <n v="1"/>
    <n v="175"/>
    <n v="175"/>
    <x v="3"/>
  </r>
  <r>
    <x v="418"/>
    <x v="1033"/>
    <s v="A268517"/>
    <x v="2"/>
    <n v="1"/>
    <n v="180"/>
    <n v="180"/>
    <x v="3"/>
  </r>
  <r>
    <x v="418"/>
    <x v="497"/>
    <s v="A243394"/>
    <x v="2"/>
    <n v="1"/>
    <n v="190"/>
    <n v="190"/>
    <x v="3"/>
  </r>
  <r>
    <x v="418"/>
    <x v="666"/>
    <s v="A242628"/>
    <x v="2"/>
    <n v="1"/>
    <n v="220"/>
    <n v="220"/>
    <x v="3"/>
  </r>
  <r>
    <x v="418"/>
    <x v="1034"/>
    <s v="A276064"/>
    <x v="2"/>
    <n v="1"/>
    <n v="220"/>
    <n v="220"/>
    <x v="3"/>
  </r>
  <r>
    <x v="418"/>
    <x v="216"/>
    <s v="P21021"/>
    <x v="2"/>
    <n v="1"/>
    <n v="230"/>
    <n v="230"/>
    <x v="3"/>
  </r>
  <r>
    <x v="418"/>
    <x v="652"/>
    <s v="P08499"/>
    <x v="2"/>
    <n v="1"/>
    <n v="245"/>
    <n v="245"/>
    <x v="3"/>
  </r>
  <r>
    <x v="418"/>
    <x v="360"/>
    <s v="A271046"/>
    <x v="2"/>
    <n v="1"/>
    <n v="230"/>
    <n v="230"/>
    <x v="3"/>
  </r>
  <r>
    <x v="418"/>
    <x v="31"/>
    <s v="A349425"/>
    <x v="2"/>
    <n v="1"/>
    <n v="180"/>
    <n v="180"/>
    <x v="3"/>
  </r>
  <r>
    <x v="418"/>
    <x v="108"/>
    <s v="A338959"/>
    <x v="2"/>
    <n v="1"/>
    <n v="210"/>
    <n v="210"/>
    <x v="3"/>
  </r>
  <r>
    <x v="418"/>
    <x v="247"/>
    <s v="A402013"/>
    <x v="2"/>
    <n v="1"/>
    <n v="150"/>
    <n v="150"/>
    <x v="3"/>
  </r>
  <r>
    <x v="418"/>
    <x v="109"/>
    <s v="A297626"/>
    <x v="2"/>
    <n v="1"/>
    <n v="210"/>
    <n v="210"/>
    <x v="3"/>
  </r>
  <r>
    <x v="418"/>
    <x v="586"/>
    <s v="A269419"/>
    <x v="2"/>
    <n v="1"/>
    <n v="200"/>
    <n v="200"/>
    <x v="3"/>
  </r>
  <r>
    <x v="419"/>
    <x v="579"/>
    <s v="A244973"/>
    <x v="4"/>
    <n v="25"/>
    <n v="2875"/>
    <m/>
    <x v="3"/>
  </r>
  <r>
    <x v="419"/>
    <x v="1035"/>
    <m/>
    <x v="12"/>
    <n v="25"/>
    <n v="2500"/>
    <m/>
    <x v="3"/>
  </r>
  <r>
    <x v="419"/>
    <x v="156"/>
    <s v="A242703"/>
    <x v="4"/>
    <n v="25"/>
    <n v="2400"/>
    <m/>
    <x v="3"/>
  </r>
  <r>
    <x v="419"/>
    <x v="1036"/>
    <m/>
    <x v="12"/>
    <n v="25"/>
    <n v="2295"/>
    <m/>
    <x v="3"/>
  </r>
  <r>
    <x v="420"/>
    <x v="827"/>
    <m/>
    <x v="6"/>
    <n v="20"/>
    <n v="5000"/>
    <m/>
    <x v="3"/>
  </r>
  <r>
    <x v="420"/>
    <x v="717"/>
    <m/>
    <x v="6"/>
    <n v="100"/>
    <n v="25000"/>
    <m/>
    <x v="3"/>
  </r>
  <r>
    <x v="420"/>
    <x v="1037"/>
    <m/>
    <x v="6"/>
    <n v="50"/>
    <n v="10000"/>
    <m/>
    <x v="3"/>
  </r>
  <r>
    <x v="420"/>
    <x v="388"/>
    <m/>
    <x v="6"/>
    <n v="50"/>
    <n v="4500"/>
    <m/>
    <x v="3"/>
  </r>
  <r>
    <x v="420"/>
    <x v="10"/>
    <m/>
    <x v="6"/>
    <n v="100"/>
    <n v="9000"/>
    <m/>
    <x v="3"/>
  </r>
  <r>
    <x v="421"/>
    <x v="6"/>
    <s v="A270578"/>
    <x v="2"/>
    <n v="50"/>
    <n v="2900"/>
    <n v="3045"/>
    <x v="3"/>
  </r>
  <r>
    <x v="421"/>
    <x v="6"/>
    <s v="A270578"/>
    <x v="11"/>
    <n v="50"/>
    <n v="2900"/>
    <n v="3045"/>
    <x v="3"/>
  </r>
  <r>
    <x v="422"/>
    <x v="387"/>
    <m/>
    <x v="4"/>
    <n v="100"/>
    <n v="15824"/>
    <m/>
    <x v="3"/>
  </r>
  <r>
    <x v="422"/>
    <x v="387"/>
    <m/>
    <x v="5"/>
    <n v="50"/>
    <n v="2600"/>
    <m/>
    <x v="3"/>
  </r>
  <r>
    <x v="422"/>
    <x v="717"/>
    <m/>
    <x v="9"/>
    <n v="20"/>
    <n v="2400"/>
    <m/>
    <x v="3"/>
  </r>
  <r>
    <x v="422"/>
    <x v="717"/>
    <m/>
    <x v="11"/>
    <n v="5"/>
    <n v="600"/>
    <n v="630"/>
    <x v="3"/>
  </r>
  <r>
    <x v="422"/>
    <x v="718"/>
    <m/>
    <x v="1"/>
    <n v="20"/>
    <n v="1900"/>
    <n v="1995"/>
    <x v="3"/>
  </r>
  <r>
    <x v="422"/>
    <x v="718"/>
    <m/>
    <x v="11"/>
    <n v="20"/>
    <n v="2300"/>
    <n v="2415"/>
    <x v="3"/>
  </r>
  <r>
    <x v="422"/>
    <x v="6"/>
    <s v="A270578"/>
    <x v="8"/>
    <n v="50"/>
    <n v="3250"/>
    <m/>
    <x v="3"/>
  </r>
  <r>
    <x v="422"/>
    <x v="15"/>
    <m/>
    <x v="1"/>
    <n v="35"/>
    <n v="11200"/>
    <n v="11760"/>
    <x v="3"/>
  </r>
  <r>
    <x v="422"/>
    <x v="15"/>
    <m/>
    <x v="11"/>
    <n v="40"/>
    <n v="11600"/>
    <n v="12180"/>
    <x v="3"/>
  </r>
  <r>
    <x v="422"/>
    <x v="890"/>
    <m/>
    <x v="1"/>
    <n v="20"/>
    <n v="6400"/>
    <n v="6720"/>
    <x v="3"/>
  </r>
  <r>
    <x v="422"/>
    <x v="956"/>
    <m/>
    <x v="1"/>
    <n v="60"/>
    <n v="17800"/>
    <n v="18690"/>
    <x v="3"/>
  </r>
  <r>
    <x v="422"/>
    <x v="7"/>
    <m/>
    <x v="8"/>
    <n v="9"/>
    <n v="4770"/>
    <m/>
    <x v="3"/>
  </r>
  <r>
    <x v="422"/>
    <x v="1038"/>
    <m/>
    <x v="4"/>
    <n v="44"/>
    <n v="2200"/>
    <m/>
    <x v="3"/>
  </r>
  <r>
    <x v="422"/>
    <x v="1039"/>
    <m/>
    <x v="5"/>
    <n v="10"/>
    <n v="550"/>
    <m/>
    <x v="3"/>
  </r>
  <r>
    <x v="422"/>
    <x v="354"/>
    <s v="A241275"/>
    <x v="12"/>
    <n v="25"/>
    <n v="1000"/>
    <m/>
    <x v="3"/>
  </r>
  <r>
    <x v="422"/>
    <x v="4"/>
    <s v="A231709"/>
    <x v="12"/>
    <n v="25"/>
    <n v="1000"/>
    <m/>
    <x v="3"/>
  </r>
  <r>
    <x v="422"/>
    <x v="4"/>
    <s v="A231709"/>
    <x v="3"/>
    <n v="125"/>
    <n v="5375"/>
    <m/>
    <x v="3"/>
  </r>
  <r>
    <x v="422"/>
    <x v="416"/>
    <m/>
    <x v="8"/>
    <n v="20"/>
    <n v="6600"/>
    <m/>
    <x v="3"/>
  </r>
  <r>
    <x v="422"/>
    <x v="416"/>
    <m/>
    <x v="9"/>
    <n v="25"/>
    <n v="8250"/>
    <m/>
    <x v="3"/>
  </r>
  <r>
    <x v="422"/>
    <x v="1040"/>
    <s v="A248486"/>
    <x v="3"/>
    <n v="50"/>
    <n v="4150"/>
    <m/>
    <x v="3"/>
  </r>
  <r>
    <x v="422"/>
    <x v="9"/>
    <s v="A234248"/>
    <x v="5"/>
    <n v="25"/>
    <n v="1975"/>
    <m/>
    <x v="3"/>
  </r>
  <r>
    <x v="422"/>
    <x v="18"/>
    <m/>
    <x v="6"/>
    <n v="20"/>
    <n v="1700"/>
    <m/>
    <x v="3"/>
  </r>
  <r>
    <x v="422"/>
    <x v="18"/>
    <m/>
    <x v="7"/>
    <n v="20"/>
    <n v="1800"/>
    <m/>
    <x v="3"/>
  </r>
  <r>
    <x v="422"/>
    <x v="18"/>
    <m/>
    <x v="11"/>
    <n v="20"/>
    <n v="1900"/>
    <n v="1995"/>
    <x v="3"/>
  </r>
  <r>
    <x v="422"/>
    <x v="432"/>
    <m/>
    <x v="2"/>
    <n v="20"/>
    <n v="1600"/>
    <n v="1680"/>
    <x v="3"/>
  </r>
  <r>
    <x v="422"/>
    <x v="432"/>
    <m/>
    <x v="11"/>
    <n v="1"/>
    <n v="200"/>
    <n v="210"/>
    <x v="3"/>
  </r>
  <r>
    <x v="422"/>
    <x v="123"/>
    <m/>
    <x v="3"/>
    <n v="20"/>
    <n v="1700"/>
    <m/>
    <x v="3"/>
  </r>
  <r>
    <x v="422"/>
    <x v="123"/>
    <m/>
    <x v="6"/>
    <n v="40"/>
    <n v="3400"/>
    <m/>
    <x v="3"/>
  </r>
  <r>
    <x v="422"/>
    <x v="123"/>
    <m/>
    <x v="7"/>
    <n v="20"/>
    <n v="1800"/>
    <m/>
    <x v="3"/>
  </r>
  <r>
    <x v="422"/>
    <x v="10"/>
    <m/>
    <x v="4"/>
    <n v="20"/>
    <n v="1600"/>
    <m/>
    <x v="2"/>
  </r>
  <r>
    <x v="422"/>
    <x v="10"/>
    <m/>
    <x v="5"/>
    <n v="60"/>
    <n v="4800"/>
    <m/>
    <x v="2"/>
  </r>
  <r>
    <x v="422"/>
    <x v="10"/>
    <m/>
    <x v="6"/>
    <n v="20"/>
    <n v="1700"/>
    <m/>
    <x v="2"/>
  </r>
  <r>
    <x v="422"/>
    <x v="10"/>
    <m/>
    <x v="7"/>
    <n v="60"/>
    <n v="5400"/>
    <m/>
    <x v="2"/>
  </r>
  <r>
    <x v="422"/>
    <x v="10"/>
    <m/>
    <x v="9"/>
    <n v="20"/>
    <n v="1800"/>
    <m/>
    <x v="2"/>
  </r>
  <r>
    <x v="422"/>
    <x v="10"/>
    <m/>
    <x v="1"/>
    <n v="20"/>
    <n v="1500"/>
    <n v="1575"/>
    <x v="2"/>
  </r>
  <r>
    <x v="422"/>
    <x v="10"/>
    <m/>
    <x v="2"/>
    <n v="20"/>
    <n v="1460"/>
    <n v="1533"/>
    <x v="2"/>
  </r>
  <r>
    <x v="422"/>
    <x v="10"/>
    <m/>
    <x v="0"/>
    <n v="200"/>
    <n v="14600"/>
    <n v="15330"/>
    <x v="2"/>
  </r>
  <r>
    <x v="423"/>
    <x v="6"/>
    <s v="A270578"/>
    <x v="9"/>
    <n v="25"/>
    <n v="1625"/>
    <m/>
    <x v="3"/>
  </r>
  <r>
    <x v="423"/>
    <x v="15"/>
    <m/>
    <x v="2"/>
    <n v="200"/>
    <n v="42000"/>
    <n v="42000"/>
    <x v="2"/>
  </r>
  <r>
    <x v="423"/>
    <x v="15"/>
    <m/>
    <x v="0"/>
    <n v="1"/>
    <n v="240"/>
    <n v="252"/>
    <x v="2"/>
  </r>
  <r>
    <x v="423"/>
    <x v="890"/>
    <m/>
    <x v="2"/>
    <n v="100"/>
    <n v="20000"/>
    <n v="21000"/>
    <x v="3"/>
  </r>
  <r>
    <x v="423"/>
    <x v="18"/>
    <m/>
    <x v="2"/>
    <n v="200"/>
    <n v="10000"/>
    <n v="4200"/>
    <x v="3"/>
  </r>
  <r>
    <x v="423"/>
    <x v="10"/>
    <m/>
    <x v="9"/>
    <n v="20"/>
    <n v="1460"/>
    <m/>
    <x v="3"/>
  </r>
  <r>
    <x v="423"/>
    <x v="10"/>
    <m/>
    <x v="1"/>
    <n v="80"/>
    <n v="5840"/>
    <n v="6132"/>
    <x v="3"/>
  </r>
  <r>
    <x v="423"/>
    <x v="10"/>
    <m/>
    <x v="2"/>
    <n v="200"/>
    <n v="10000"/>
    <n v="10500"/>
    <x v="3"/>
  </r>
  <r>
    <x v="424"/>
    <x v="15"/>
    <m/>
    <x v="11"/>
    <n v="50"/>
    <n v="11000"/>
    <n v="11000"/>
    <x v="3"/>
  </r>
  <r>
    <x v="424"/>
    <x v="432"/>
    <m/>
    <x v="10"/>
    <n v="20"/>
    <n v="1800"/>
    <m/>
    <x v="3"/>
  </r>
  <r>
    <x v="424"/>
    <x v="10"/>
    <m/>
    <x v="8"/>
    <n v="80"/>
    <n v="7160"/>
    <m/>
    <x v="3"/>
  </r>
  <r>
    <x v="425"/>
    <x v="15"/>
    <m/>
    <x v="2"/>
    <n v="5"/>
    <n v="1190"/>
    <n v="1249.5"/>
    <x v="3"/>
  </r>
  <r>
    <x v="425"/>
    <x v="15"/>
    <m/>
    <x v="11"/>
    <n v="5"/>
    <n v="1190"/>
    <n v="1249.5"/>
    <x v="3"/>
  </r>
  <r>
    <x v="425"/>
    <x v="18"/>
    <m/>
    <x v="7"/>
    <n v="20"/>
    <n v="1800"/>
    <m/>
    <x v="3"/>
  </r>
  <r>
    <x v="425"/>
    <x v="18"/>
    <m/>
    <x v="10"/>
    <n v="5"/>
    <n v="450"/>
    <m/>
    <x v="3"/>
  </r>
  <r>
    <x v="425"/>
    <x v="123"/>
    <m/>
    <x v="7"/>
    <n v="20"/>
    <n v="1800"/>
    <m/>
    <x v="3"/>
  </r>
  <r>
    <x v="425"/>
    <x v="123"/>
    <m/>
    <x v="10"/>
    <n v="5"/>
    <n v="450"/>
    <m/>
    <x v="3"/>
  </r>
  <r>
    <x v="425"/>
    <x v="433"/>
    <m/>
    <x v="7"/>
    <n v="20"/>
    <n v="1800"/>
    <m/>
    <x v="3"/>
  </r>
  <r>
    <x v="425"/>
    <x v="433"/>
    <m/>
    <x v="10"/>
    <n v="5"/>
    <n v="450"/>
    <m/>
    <x v="3"/>
  </r>
  <r>
    <x v="425"/>
    <x v="19"/>
    <s v="A233442"/>
    <x v="2"/>
    <n v="25"/>
    <n v="1625"/>
    <n v="1706.25"/>
    <x v="3"/>
  </r>
  <r>
    <x v="425"/>
    <x v="247"/>
    <s v="A402013"/>
    <x v="11"/>
    <n v="10"/>
    <n v="650"/>
    <n v="650"/>
    <x v="2"/>
  </r>
  <r>
    <x v="425"/>
    <x v="247"/>
    <s v="A402013"/>
    <x v="0"/>
    <n v="25"/>
    <n v="1625"/>
    <n v="1625"/>
    <x v="2"/>
  </r>
  <r>
    <x v="426"/>
    <x v="1041"/>
    <m/>
    <x v="1"/>
    <n v="2"/>
    <n v="580"/>
    <n v="609"/>
    <x v="3"/>
  </r>
  <r>
    <x v="426"/>
    <x v="111"/>
    <s v="A257635"/>
    <x v="7"/>
    <n v="5"/>
    <n v="925"/>
    <m/>
    <x v="3"/>
  </r>
  <r>
    <x v="426"/>
    <x v="411"/>
    <s v="A265729"/>
    <x v="9"/>
    <n v="30"/>
    <n v="6000"/>
    <m/>
    <x v="3"/>
  </r>
  <r>
    <x v="426"/>
    <x v="258"/>
    <s v="A352612"/>
    <x v="1"/>
    <n v="25"/>
    <n v="4000"/>
    <n v="4200"/>
    <x v="3"/>
  </r>
  <r>
    <x v="426"/>
    <x v="44"/>
    <s v="A238385"/>
    <x v="1"/>
    <n v="20"/>
    <n v="3600"/>
    <n v="3780"/>
    <x v="3"/>
  </r>
  <r>
    <x v="426"/>
    <x v="153"/>
    <s v="A281164"/>
    <x v="8"/>
    <n v="25"/>
    <n v="4000"/>
    <m/>
    <x v="3"/>
  </r>
  <r>
    <x v="426"/>
    <x v="68"/>
    <s v="A241029"/>
    <x v="7"/>
    <n v="5"/>
    <n v="900"/>
    <m/>
    <x v="3"/>
  </r>
  <r>
    <x v="426"/>
    <x v="99"/>
    <s v="A282344"/>
    <x v="7"/>
    <n v="5"/>
    <n v="900"/>
    <m/>
    <x v="3"/>
  </r>
  <r>
    <x v="426"/>
    <x v="99"/>
    <s v="A282344"/>
    <x v="10"/>
    <n v="75"/>
    <n v="12000"/>
    <m/>
    <x v="3"/>
  </r>
  <r>
    <x v="426"/>
    <x v="33"/>
    <s v="A338959"/>
    <x v="9"/>
    <n v="80"/>
    <n v="12000"/>
    <m/>
    <x v="3"/>
  </r>
  <r>
    <x v="426"/>
    <x v="33"/>
    <s v="A338959"/>
    <x v="1"/>
    <n v="10"/>
    <n v="1500"/>
    <n v="1575"/>
    <x v="3"/>
  </r>
  <r>
    <x v="427"/>
    <x v="93"/>
    <s v="A231708"/>
    <x v="6"/>
    <n v="25"/>
    <n v="1625"/>
    <m/>
    <x v="3"/>
  </r>
  <r>
    <x v="427"/>
    <x v="156"/>
    <s v="A231705"/>
    <x v="6"/>
    <n v="25"/>
    <n v="1750"/>
    <m/>
    <x v="3"/>
  </r>
  <r>
    <x v="427"/>
    <x v="3"/>
    <s v="A249778"/>
    <x v="6"/>
    <n v="25"/>
    <n v="2000"/>
    <m/>
    <x v="3"/>
  </r>
  <r>
    <x v="427"/>
    <x v="16"/>
    <s v="A241225"/>
    <x v="6"/>
    <n v="25"/>
    <n v="1700"/>
    <m/>
    <x v="3"/>
  </r>
  <r>
    <x v="428"/>
    <x v="93"/>
    <s v="A231708"/>
    <x v="5"/>
    <n v="25"/>
    <n v="1625"/>
    <m/>
    <x v="3"/>
  </r>
  <r>
    <x v="428"/>
    <x v="156"/>
    <s v="A231705"/>
    <x v="5"/>
    <n v="25"/>
    <n v="1750"/>
    <m/>
    <x v="3"/>
  </r>
  <r>
    <x v="428"/>
    <x v="3"/>
    <s v="A249778"/>
    <x v="5"/>
    <n v="25"/>
    <n v="2000"/>
    <m/>
    <x v="3"/>
  </r>
  <r>
    <x v="428"/>
    <x v="16"/>
    <s v="A241225"/>
    <x v="5"/>
    <n v="25"/>
    <n v="1700"/>
    <m/>
    <x v="3"/>
  </r>
  <r>
    <x v="429"/>
    <x v="2"/>
    <s v="A295987"/>
    <x v="9"/>
    <n v="2"/>
    <n v="170"/>
    <m/>
    <x v="3"/>
  </r>
  <r>
    <x v="429"/>
    <x v="717"/>
    <m/>
    <x v="0"/>
    <n v="5"/>
    <n v="415"/>
    <n v="435.75"/>
    <x v="2"/>
  </r>
  <r>
    <x v="429"/>
    <x v="890"/>
    <m/>
    <x v="2"/>
    <n v="3"/>
    <n v="270"/>
    <n v="283.5"/>
    <x v="2"/>
  </r>
  <r>
    <x v="429"/>
    <x v="890"/>
    <m/>
    <x v="0"/>
    <n v="1"/>
    <n v="95"/>
    <n v="99.75"/>
    <x v="2"/>
  </r>
  <r>
    <x v="429"/>
    <x v="3"/>
    <s v="A236167"/>
    <x v="9"/>
    <n v="25"/>
    <n v="1750"/>
    <m/>
    <x v="3"/>
  </r>
  <r>
    <x v="429"/>
    <x v="141"/>
    <s v="A249778"/>
    <x v="9"/>
    <n v="25"/>
    <n v="1700"/>
    <m/>
    <x v="3"/>
  </r>
  <r>
    <x v="429"/>
    <x v="141"/>
    <s v="A249778"/>
    <x v="1"/>
    <n v="225"/>
    <n v="14575"/>
    <n v="15303.75"/>
    <x v="3"/>
  </r>
  <r>
    <x v="429"/>
    <x v="141"/>
    <s v="A249778"/>
    <x v="2"/>
    <n v="50"/>
    <n v="3450"/>
    <n v="3622.5"/>
    <x v="3"/>
  </r>
  <r>
    <x v="429"/>
    <x v="1"/>
    <s v="A231710"/>
    <x v="9"/>
    <n v="50"/>
    <n v="3250"/>
    <m/>
    <x v="3"/>
  </r>
  <r>
    <x v="429"/>
    <x v="1"/>
    <s v="A231710"/>
    <x v="1"/>
    <n v="200"/>
    <n v="12500"/>
    <n v="13125"/>
    <x v="3"/>
  </r>
  <r>
    <x v="430"/>
    <x v="606"/>
    <s v="A251909"/>
    <x v="2"/>
    <n v="10"/>
    <n v="1400"/>
    <n v="1470"/>
    <x v="3"/>
  </r>
  <r>
    <x v="430"/>
    <x v="365"/>
    <s v="A249717"/>
    <x v="12"/>
    <n v="10"/>
    <n v="850"/>
    <m/>
    <x v="3"/>
  </r>
  <r>
    <x v="430"/>
    <x v="365"/>
    <s v="A249717"/>
    <x v="3"/>
    <n v="10"/>
    <n v="850"/>
    <m/>
    <x v="3"/>
  </r>
  <r>
    <x v="430"/>
    <x v="365"/>
    <s v="A249717"/>
    <x v="4"/>
    <n v="10"/>
    <n v="850"/>
    <m/>
    <x v="3"/>
  </r>
  <r>
    <x v="430"/>
    <x v="1042"/>
    <s v="A245809"/>
    <x v="6"/>
    <n v="50"/>
    <n v="5250"/>
    <m/>
    <x v="3"/>
  </r>
  <r>
    <x v="430"/>
    <x v="1042"/>
    <s v="A245809"/>
    <x v="10"/>
    <n v="25"/>
    <n v="2000"/>
    <m/>
    <x v="3"/>
  </r>
  <r>
    <x v="430"/>
    <x v="1042"/>
    <s v="A245809"/>
    <x v="8"/>
    <n v="20"/>
    <n v="2200"/>
    <m/>
    <x v="3"/>
  </r>
  <r>
    <x v="430"/>
    <x v="414"/>
    <s v="A249739"/>
    <x v="9"/>
    <n v="15"/>
    <n v="1800"/>
    <m/>
    <x v="3"/>
  </r>
  <r>
    <x v="430"/>
    <x v="272"/>
    <s v="A246994"/>
    <x v="12"/>
    <n v="30"/>
    <n v="3960"/>
    <m/>
    <x v="3"/>
  </r>
  <r>
    <x v="430"/>
    <x v="1015"/>
    <s v="A241361"/>
    <x v="4"/>
    <n v="10"/>
    <n v="1400"/>
    <m/>
    <x v="3"/>
  </r>
  <r>
    <x v="430"/>
    <x v="548"/>
    <s v="A245818"/>
    <x v="12"/>
    <n v="10"/>
    <n v="2390"/>
    <m/>
    <x v="3"/>
  </r>
  <r>
    <x v="430"/>
    <x v="548"/>
    <s v="A245818"/>
    <x v="2"/>
    <n v="10"/>
    <n v="1800"/>
    <n v="1890"/>
    <x v="3"/>
  </r>
  <r>
    <x v="430"/>
    <x v="48"/>
    <s v="A245955"/>
    <x v="12"/>
    <n v="110"/>
    <n v="16170"/>
    <m/>
    <x v="2"/>
  </r>
  <r>
    <x v="430"/>
    <x v="48"/>
    <s v="A245955"/>
    <x v="8"/>
    <n v="25"/>
    <n v="3750"/>
    <m/>
    <x v="2"/>
  </r>
  <r>
    <x v="430"/>
    <x v="48"/>
    <s v="A245955"/>
    <x v="1"/>
    <n v="20"/>
    <n v="3000"/>
    <n v="3150"/>
    <x v="2"/>
  </r>
  <r>
    <x v="430"/>
    <x v="48"/>
    <s v="A245955"/>
    <x v="2"/>
    <n v="10"/>
    <n v="1500"/>
    <n v="1575"/>
    <x v="2"/>
  </r>
  <r>
    <x v="430"/>
    <x v="48"/>
    <s v="A245955"/>
    <x v="11"/>
    <n v="10"/>
    <n v="1500"/>
    <n v="1500"/>
    <x v="2"/>
  </r>
  <r>
    <x v="430"/>
    <x v="48"/>
    <s v="A245955"/>
    <x v="0"/>
    <n v="5"/>
    <n v="750"/>
    <n v="787.5"/>
    <x v="2"/>
  </r>
  <r>
    <x v="430"/>
    <x v="156"/>
    <s v="A242703"/>
    <x v="12"/>
    <n v="25"/>
    <n v="2000"/>
    <m/>
    <x v="3"/>
  </r>
  <r>
    <x v="430"/>
    <x v="156"/>
    <s v="A231705"/>
    <x v="6"/>
    <n v="25"/>
    <n v="2500"/>
    <m/>
    <x v="3"/>
  </r>
  <r>
    <x v="430"/>
    <x v="156"/>
    <s v="A231705"/>
    <x v="10"/>
    <n v="100"/>
    <n v="7500"/>
    <m/>
    <x v="3"/>
  </r>
  <r>
    <x v="430"/>
    <x v="156"/>
    <s v="A231705"/>
    <x v="8"/>
    <n v="75"/>
    <n v="5625"/>
    <m/>
    <x v="3"/>
  </r>
  <r>
    <x v="430"/>
    <x v="156"/>
    <s v="A231705"/>
    <x v="9"/>
    <n v="25"/>
    <n v="1750"/>
    <m/>
    <x v="3"/>
  </r>
  <r>
    <x v="430"/>
    <x v="156"/>
    <s v="A231705"/>
    <x v="1"/>
    <n v="25"/>
    <n v="1875"/>
    <n v="1968.75"/>
    <x v="3"/>
  </r>
  <r>
    <x v="430"/>
    <x v="156"/>
    <s v="A231705"/>
    <x v="2"/>
    <n v="45"/>
    <n v="2715"/>
    <n v="2850.75"/>
    <x v="3"/>
  </r>
  <r>
    <x v="430"/>
    <x v="1043"/>
    <s v="A242625"/>
    <x v="12"/>
    <n v="10"/>
    <n v="1100"/>
    <m/>
    <x v="3"/>
  </r>
  <r>
    <x v="430"/>
    <x v="303"/>
    <s v="A403149"/>
    <x v="11"/>
    <n v="5"/>
    <n v="950"/>
    <n v="950"/>
    <x v="3"/>
  </r>
  <r>
    <x v="430"/>
    <x v="68"/>
    <s v="A241029"/>
    <x v="12"/>
    <n v="25"/>
    <n v="3750"/>
    <m/>
    <x v="3"/>
  </r>
  <r>
    <x v="430"/>
    <x v="1044"/>
    <s v="A236738"/>
    <x v="12"/>
    <n v="40"/>
    <n v="10440"/>
    <m/>
    <x v="3"/>
  </r>
  <r>
    <x v="430"/>
    <x v="1044"/>
    <s v="A236738"/>
    <x v="8"/>
    <n v="25"/>
    <n v="7125"/>
    <m/>
    <x v="3"/>
  </r>
  <r>
    <x v="430"/>
    <x v="19"/>
    <s v="A233442"/>
    <x v="10"/>
    <n v="25"/>
    <n v="2125"/>
    <m/>
    <x v="3"/>
  </r>
  <r>
    <x v="431"/>
    <x v="221"/>
    <s v="A231076"/>
    <x v="2"/>
    <n v="125"/>
    <n v="7875"/>
    <n v="8268.75"/>
    <x v="3"/>
  </r>
  <r>
    <x v="431"/>
    <x v="827"/>
    <m/>
    <x v="0"/>
    <n v="20"/>
    <n v="1800"/>
    <n v="1890"/>
    <x v="2"/>
  </r>
  <r>
    <x v="431"/>
    <x v="124"/>
    <m/>
    <x v="2"/>
    <n v="50"/>
    <n v="18000"/>
    <n v="18900"/>
    <x v="3"/>
  </r>
  <r>
    <x v="431"/>
    <x v="124"/>
    <m/>
    <x v="11"/>
    <n v="199"/>
    <n v="71640"/>
    <n v="75222"/>
    <x v="3"/>
  </r>
  <r>
    <x v="431"/>
    <x v="432"/>
    <m/>
    <x v="2"/>
    <n v="20"/>
    <n v="1500"/>
    <n v="1575"/>
    <x v="3"/>
  </r>
  <r>
    <x v="431"/>
    <x v="10"/>
    <m/>
    <x v="2"/>
    <n v="20"/>
    <n v="1200"/>
    <n v="1260"/>
    <x v="3"/>
  </r>
  <r>
    <x v="431"/>
    <x v="247"/>
    <s v="A402013"/>
    <x v="2"/>
    <n v="25"/>
    <n v="1675"/>
    <n v="1758.75"/>
    <x v="3"/>
  </r>
  <r>
    <x v="431"/>
    <x v="247"/>
    <s v="A402013"/>
    <x v="11"/>
    <n v="50"/>
    <n v="3350"/>
    <n v="3517.5"/>
    <x v="3"/>
  </r>
  <r>
    <x v="432"/>
    <x v="5"/>
    <s v="A249720"/>
    <x v="4"/>
    <n v="25"/>
    <n v="7125"/>
    <m/>
    <x v="3"/>
  </r>
  <r>
    <x v="432"/>
    <x v="5"/>
    <s v="A249720"/>
    <x v="10"/>
    <n v="25"/>
    <n v="2375"/>
    <m/>
    <x v="3"/>
  </r>
  <r>
    <x v="432"/>
    <x v="5"/>
    <s v="A249720"/>
    <x v="8"/>
    <n v="10"/>
    <n v="1000"/>
    <m/>
    <x v="3"/>
  </r>
  <r>
    <x v="432"/>
    <x v="5"/>
    <s v="A249720"/>
    <x v="9"/>
    <n v="20"/>
    <n v="2000"/>
    <m/>
    <x v="3"/>
  </r>
  <r>
    <x v="432"/>
    <x v="5"/>
    <s v="A249720"/>
    <x v="1"/>
    <n v="5"/>
    <n v="500"/>
    <n v="525"/>
    <x v="3"/>
  </r>
  <r>
    <x v="432"/>
    <x v="7"/>
    <m/>
    <x v="8"/>
    <n v="3"/>
    <n v="1500"/>
    <m/>
    <x v="3"/>
  </r>
  <r>
    <x v="432"/>
    <x v="7"/>
    <m/>
    <x v="2"/>
    <n v="24"/>
    <n v="5640"/>
    <n v="5922"/>
    <x v="3"/>
  </r>
  <r>
    <x v="432"/>
    <x v="8"/>
    <m/>
    <x v="8"/>
    <n v="26"/>
    <n v="14040"/>
    <m/>
    <x v="3"/>
  </r>
  <r>
    <x v="432"/>
    <x v="386"/>
    <m/>
    <x v="11"/>
    <n v="20"/>
    <n v="4700"/>
    <n v="4935"/>
    <x v="2"/>
  </r>
  <r>
    <x v="432"/>
    <x v="386"/>
    <m/>
    <x v="0"/>
    <n v="30"/>
    <n v="7500"/>
    <n v="7875"/>
    <x v="2"/>
  </r>
  <r>
    <x v="432"/>
    <x v="431"/>
    <m/>
    <x v="10"/>
    <n v="15"/>
    <n v="4875"/>
    <m/>
    <x v="3"/>
  </r>
  <r>
    <x v="432"/>
    <x v="10"/>
    <m/>
    <x v="8"/>
    <n v="60"/>
    <n v="4680"/>
    <m/>
    <x v="3"/>
  </r>
  <r>
    <x v="432"/>
    <x v="10"/>
    <m/>
    <x v="9"/>
    <n v="60"/>
    <n v="4680"/>
    <m/>
    <x v="3"/>
  </r>
  <r>
    <x v="432"/>
    <x v="10"/>
    <m/>
    <x v="1"/>
    <n v="100"/>
    <n v="7800"/>
    <n v="8190"/>
    <x v="3"/>
  </r>
  <r>
    <x v="432"/>
    <x v="10"/>
    <m/>
    <x v="2"/>
    <n v="60"/>
    <n v="4520"/>
    <n v="4746"/>
    <x v="3"/>
  </r>
  <r>
    <x v="433"/>
    <x v="242"/>
    <s v="A287749"/>
    <x v="11"/>
    <n v="50"/>
    <n v="3750"/>
    <n v="3937.5"/>
    <x v="2"/>
  </r>
  <r>
    <x v="433"/>
    <x v="242"/>
    <s v="A287749"/>
    <x v="0"/>
    <n v="25"/>
    <n v="1875"/>
    <n v="1968.75"/>
    <x v="93"/>
  </r>
  <r>
    <x v="433"/>
    <x v="242"/>
    <s v="A287749"/>
    <x v="0"/>
    <n v="97"/>
    <n v="7275"/>
    <n v="7638.75"/>
    <x v="2"/>
  </r>
  <r>
    <x v="433"/>
    <x v="1"/>
    <s v="A231710"/>
    <x v="0"/>
    <n v="50"/>
    <n v="3750"/>
    <n v="3937.5"/>
    <x v="1"/>
  </r>
  <r>
    <x v="434"/>
    <x v="819"/>
    <m/>
    <x v="8"/>
    <n v="1"/>
    <n v="500"/>
    <m/>
    <x v="3"/>
  </r>
  <r>
    <x v="434"/>
    <x v="819"/>
    <m/>
    <x v="9"/>
    <n v="10"/>
    <n v="600"/>
    <m/>
    <x v="3"/>
  </r>
  <r>
    <x v="435"/>
    <x v="174"/>
    <m/>
    <x v="5"/>
    <n v="5"/>
    <n v="425"/>
    <m/>
    <x v="3"/>
  </r>
  <r>
    <x v="435"/>
    <x v="1045"/>
    <s v="A238164"/>
    <x v="5"/>
    <n v="5"/>
    <n v="1000"/>
    <m/>
    <x v="3"/>
  </r>
  <r>
    <x v="436"/>
    <x v="317"/>
    <s v="A246212"/>
    <x v="2"/>
    <n v="5"/>
    <n v="475"/>
    <n v="498.75"/>
    <x v="3"/>
  </r>
  <r>
    <x v="436"/>
    <x v="331"/>
    <s v="A318055"/>
    <x v="11"/>
    <n v="80"/>
    <n v="6000"/>
    <n v="6300"/>
    <x v="3"/>
  </r>
  <r>
    <x v="436"/>
    <x v="51"/>
    <s v="A298567"/>
    <x v="11"/>
    <n v="80"/>
    <n v="4800"/>
    <n v="5040"/>
    <x v="3"/>
  </r>
  <r>
    <x v="436"/>
    <x v="333"/>
    <s v="A317824"/>
    <x v="11"/>
    <n v="80"/>
    <n v="6000"/>
    <n v="6300"/>
    <x v="3"/>
  </r>
  <r>
    <x v="436"/>
    <x v="381"/>
    <s v="A230556"/>
    <x v="2"/>
    <n v="5"/>
    <n v="400"/>
    <n v="420"/>
    <x v="3"/>
  </r>
  <r>
    <x v="436"/>
    <x v="336"/>
    <s v="A320337"/>
    <x v="2"/>
    <n v="5"/>
    <n v="425"/>
    <n v="446.25"/>
    <x v="3"/>
  </r>
  <r>
    <x v="436"/>
    <x v="103"/>
    <s v="A299996"/>
    <x v="2"/>
    <n v="5"/>
    <n v="425"/>
    <n v="446.25"/>
    <x v="3"/>
  </r>
  <r>
    <x v="436"/>
    <x v="1"/>
    <s v="A231710"/>
    <x v="11"/>
    <n v="130"/>
    <n v="10650"/>
    <n v="11182.5"/>
    <x v="3"/>
  </r>
  <r>
    <x v="437"/>
    <x v="221"/>
    <s v="A231076"/>
    <x v="11"/>
    <n v="5"/>
    <n v="325"/>
    <n v="341.25"/>
    <x v="3"/>
  </r>
  <r>
    <x v="437"/>
    <x v="1046"/>
    <m/>
    <x v="0"/>
    <n v="1"/>
    <n v="150"/>
    <n v="157.5"/>
    <x v="94"/>
  </r>
  <r>
    <x v="437"/>
    <x v="350"/>
    <s v="A410392"/>
    <x v="11"/>
    <n v="5"/>
    <n v="325"/>
    <n v="341.25"/>
    <x v="3"/>
  </r>
  <r>
    <x v="437"/>
    <x v="289"/>
    <s v="A234285"/>
    <x v="11"/>
    <n v="60"/>
    <n v="4500"/>
    <n v="4725"/>
    <x v="3"/>
  </r>
  <r>
    <x v="437"/>
    <x v="268"/>
    <s v="A245994"/>
    <x v="11"/>
    <n v="5"/>
    <n v="450"/>
    <n v="472.5"/>
    <x v="3"/>
  </r>
  <r>
    <x v="437"/>
    <x v="3"/>
    <s v="A232126"/>
    <x v="11"/>
    <n v="65"/>
    <n v="7150"/>
    <n v="7507.5"/>
    <x v="3"/>
  </r>
  <r>
    <x v="437"/>
    <x v="275"/>
    <s v="A271087"/>
    <x v="11"/>
    <n v="215"/>
    <n v="18250"/>
    <n v="19162.5"/>
    <x v="3"/>
  </r>
  <r>
    <x v="437"/>
    <x v="51"/>
    <s v="A298567"/>
    <x v="11"/>
    <n v="5"/>
    <n v="275"/>
    <n v="288.75"/>
    <x v="3"/>
  </r>
  <r>
    <x v="437"/>
    <x v="94"/>
    <s v="A339929"/>
    <x v="11"/>
    <n v="60"/>
    <n v="4800"/>
    <n v="5040"/>
    <x v="3"/>
  </r>
  <r>
    <x v="437"/>
    <x v="816"/>
    <s v="A419009"/>
    <x v="11"/>
    <n v="60"/>
    <n v="5100"/>
    <n v="5355"/>
    <x v="3"/>
  </r>
  <r>
    <x v="437"/>
    <x v="177"/>
    <s v="A292781"/>
    <x v="11"/>
    <n v="5"/>
    <n v="375"/>
    <n v="393.75"/>
    <x v="3"/>
  </r>
  <r>
    <x v="437"/>
    <x v="1047"/>
    <m/>
    <x v="0"/>
    <n v="1"/>
    <n v="145"/>
    <n v="152.25"/>
    <x v="95"/>
  </r>
  <r>
    <x v="437"/>
    <x v="245"/>
    <s v="A282313"/>
    <x v="11"/>
    <n v="5"/>
    <n v="400"/>
    <n v="420"/>
    <x v="3"/>
  </r>
  <r>
    <x v="437"/>
    <x v="1048"/>
    <s v="A415888"/>
    <x v="11"/>
    <n v="5"/>
    <n v="400"/>
    <n v="420"/>
    <x v="3"/>
  </r>
  <r>
    <x v="437"/>
    <x v="1"/>
    <s v="A231710"/>
    <x v="11"/>
    <n v="5"/>
    <n v="425"/>
    <n v="446.25"/>
    <x v="3"/>
  </r>
  <r>
    <x v="438"/>
    <x v="48"/>
    <s v="A245896"/>
    <x v="12"/>
    <n v="250"/>
    <n v="43000"/>
    <m/>
    <x v="3"/>
  </r>
  <r>
    <x v="438"/>
    <x v="48"/>
    <s v="A245896"/>
    <x v="3"/>
    <n v="125"/>
    <n v="21525"/>
    <m/>
    <x v="3"/>
  </r>
  <r>
    <x v="438"/>
    <x v="48"/>
    <s v="A245955"/>
    <x v="8"/>
    <n v="45"/>
    <n v="7740"/>
    <m/>
    <x v="3"/>
  </r>
  <r>
    <x v="438"/>
    <x v="48"/>
    <s v="A245955"/>
    <x v="9"/>
    <n v="45"/>
    <n v="7740"/>
    <m/>
    <x v="3"/>
  </r>
  <r>
    <x v="438"/>
    <x v="48"/>
    <s v="A245955"/>
    <x v="1"/>
    <n v="90"/>
    <n v="15480"/>
    <n v="16254"/>
    <x v="3"/>
  </r>
  <r>
    <x v="438"/>
    <x v="142"/>
    <m/>
    <x v="3"/>
    <n v="200"/>
    <n v="2400"/>
    <m/>
    <x v="3"/>
  </r>
  <r>
    <x v="438"/>
    <x v="1049"/>
    <s v="A240841"/>
    <x v="12"/>
    <n v="5"/>
    <n v="3856"/>
    <m/>
    <x v="3"/>
  </r>
  <r>
    <x v="438"/>
    <x v="1049"/>
    <s v="A240841"/>
    <x v="3"/>
    <n v="5"/>
    <n v="3435"/>
    <m/>
    <x v="3"/>
  </r>
  <r>
    <x v="438"/>
    <x v="1049"/>
    <s v="A240841"/>
    <x v="4"/>
    <n v="15"/>
    <n v="9633.75"/>
    <m/>
    <x v="3"/>
  </r>
  <r>
    <x v="438"/>
    <x v="78"/>
    <s v="A234651"/>
    <x v="12"/>
    <n v="100"/>
    <n v="15486"/>
    <m/>
    <x v="3"/>
  </r>
  <r>
    <x v="438"/>
    <x v="78"/>
    <s v="A234651"/>
    <x v="5"/>
    <n v="30"/>
    <n v="5350"/>
    <m/>
    <x v="3"/>
  </r>
  <r>
    <x v="439"/>
    <x v="413"/>
    <s v="P08232"/>
    <x v="8"/>
    <n v="10"/>
    <n v="1700"/>
    <m/>
    <x v="3"/>
  </r>
  <r>
    <x v="439"/>
    <x v="413"/>
    <s v="P08232"/>
    <x v="9"/>
    <n v="25"/>
    <n v="4250"/>
    <m/>
    <x v="3"/>
  </r>
  <r>
    <x v="439"/>
    <x v="413"/>
    <s v="P08232"/>
    <x v="1"/>
    <n v="25"/>
    <n v="4500"/>
    <n v="4725"/>
    <x v="3"/>
  </r>
  <r>
    <x v="439"/>
    <x v="144"/>
    <s v="A256430"/>
    <x v="8"/>
    <n v="25"/>
    <n v="6250"/>
    <m/>
    <x v="3"/>
  </r>
  <r>
    <x v="439"/>
    <x v="38"/>
    <s v="A273820"/>
    <x v="9"/>
    <n v="10"/>
    <n v="2000"/>
    <m/>
    <x v="3"/>
  </r>
  <r>
    <x v="439"/>
    <x v="48"/>
    <s v="A245955"/>
    <x v="9"/>
    <n v="5"/>
    <n v="1200"/>
    <m/>
    <x v="3"/>
  </r>
  <r>
    <x v="439"/>
    <x v="48"/>
    <s v="A245955"/>
    <x v="1"/>
    <n v="2"/>
    <n v="500"/>
    <n v="525"/>
    <x v="3"/>
  </r>
  <r>
    <x v="439"/>
    <x v="57"/>
    <s v="A292908"/>
    <x v="9"/>
    <n v="30"/>
    <n v="5400"/>
    <m/>
    <x v="3"/>
  </r>
  <r>
    <x v="439"/>
    <x v="68"/>
    <s v="A241029"/>
    <x v="9"/>
    <n v="10"/>
    <n v="2000"/>
    <m/>
    <x v="3"/>
  </r>
  <r>
    <x v="439"/>
    <x v="99"/>
    <s v="A282344"/>
    <x v="1"/>
    <n v="1"/>
    <n v="220"/>
    <n v="231"/>
    <x v="3"/>
  </r>
  <r>
    <x v="439"/>
    <x v="99"/>
    <s v="A282344"/>
    <x v="2"/>
    <n v="17"/>
    <n v="3230"/>
    <n v="3391.5"/>
    <x v="3"/>
  </r>
  <r>
    <x v="439"/>
    <x v="32"/>
    <s v="A295591"/>
    <x v="1"/>
    <n v="6"/>
    <n v="1080"/>
    <n v="1134"/>
    <x v="3"/>
  </r>
  <r>
    <x v="439"/>
    <x v="168"/>
    <s v="A295590"/>
    <x v="8"/>
    <n v="5"/>
    <n v="900"/>
    <m/>
    <x v="3"/>
  </r>
  <r>
    <x v="439"/>
    <x v="168"/>
    <s v="A295590"/>
    <x v="9"/>
    <n v="5"/>
    <n v="900"/>
    <m/>
    <x v="3"/>
  </r>
  <r>
    <x v="439"/>
    <x v="33"/>
    <s v="A338959"/>
    <x v="8"/>
    <n v="25"/>
    <n v="4300"/>
    <m/>
    <x v="3"/>
  </r>
  <r>
    <x v="439"/>
    <x v="407"/>
    <s v="A305591"/>
    <x v="1"/>
    <n v="25"/>
    <n v="4625"/>
    <n v="4856.25"/>
    <x v="3"/>
  </r>
  <r>
    <x v="440"/>
    <x v="329"/>
    <s v="A263702"/>
    <x v="11"/>
    <n v="1"/>
    <n v="80"/>
    <n v="84"/>
    <x v="3"/>
  </r>
  <r>
    <x v="440"/>
    <x v="28"/>
    <s v="A233711"/>
    <x v="11"/>
    <n v="2"/>
    <n v="154"/>
    <n v="161.69999999999999"/>
    <x v="3"/>
  </r>
  <r>
    <x v="440"/>
    <x v="333"/>
    <s v="A317824"/>
    <x v="11"/>
    <n v="1"/>
    <n v="90"/>
    <n v="94.5"/>
    <x v="3"/>
  </r>
  <r>
    <x v="440"/>
    <x v="247"/>
    <s v="A402013"/>
    <x v="11"/>
    <n v="1"/>
    <n v="80"/>
    <n v="84"/>
    <x v="3"/>
  </r>
  <r>
    <x v="441"/>
    <x v="21"/>
    <s v="P08232"/>
    <x v="9"/>
    <n v="5"/>
    <n v="1000"/>
    <m/>
    <x v="3"/>
  </r>
  <r>
    <x v="441"/>
    <x v="88"/>
    <s v="A244191"/>
    <x v="8"/>
    <n v="13"/>
    <n v="1105"/>
    <m/>
    <x v="3"/>
  </r>
  <r>
    <x v="441"/>
    <x v="269"/>
    <s v="A415790"/>
    <x v="11"/>
    <n v="1"/>
    <n v="83"/>
    <n v="87.15"/>
    <x v="3"/>
  </r>
  <r>
    <x v="441"/>
    <x v="309"/>
    <s v="A243761"/>
    <x v="10"/>
    <n v="10"/>
    <n v="750"/>
    <m/>
    <x v="3"/>
  </r>
  <r>
    <x v="441"/>
    <x v="900"/>
    <m/>
    <x v="9"/>
    <n v="25"/>
    <n v="3250"/>
    <m/>
    <x v="3"/>
  </r>
  <r>
    <x v="441"/>
    <x v="129"/>
    <s v="A235765"/>
    <x v="9"/>
    <n v="210"/>
    <n v="27300"/>
    <m/>
    <x v="3"/>
  </r>
  <r>
    <x v="441"/>
    <x v="129"/>
    <s v="A235765"/>
    <x v="1"/>
    <n v="212"/>
    <n v="27430"/>
    <n v="28801.5"/>
    <x v="3"/>
  </r>
  <r>
    <x v="441"/>
    <x v="129"/>
    <s v="A235765"/>
    <x v="2"/>
    <n v="50"/>
    <n v="6500"/>
    <n v="6825"/>
    <x v="3"/>
  </r>
  <r>
    <x v="441"/>
    <x v="271"/>
    <s v="A401493"/>
    <x v="0"/>
    <n v="35"/>
    <n v="4550"/>
    <n v="4777.5"/>
    <x v="1"/>
  </r>
  <r>
    <x v="441"/>
    <x v="306"/>
    <s v="A244199"/>
    <x v="8"/>
    <n v="35"/>
    <n v="2975"/>
    <m/>
    <x v="3"/>
  </r>
  <r>
    <x v="441"/>
    <x v="306"/>
    <s v="A244199"/>
    <x v="11"/>
    <n v="1"/>
    <n v="85"/>
    <n v="89.25"/>
    <x v="3"/>
  </r>
  <r>
    <x v="441"/>
    <x v="1050"/>
    <s v="A320110"/>
    <x v="9"/>
    <n v="50"/>
    <n v="3750"/>
    <m/>
    <x v="3"/>
  </r>
  <r>
    <x v="441"/>
    <x v="1050"/>
    <s v="A320110"/>
    <x v="1"/>
    <n v="100"/>
    <n v="7500"/>
    <n v="7875"/>
    <x v="3"/>
  </r>
  <r>
    <x v="441"/>
    <x v="325"/>
    <s v="A320111"/>
    <x v="10"/>
    <n v="50"/>
    <n v="4000"/>
    <m/>
    <x v="3"/>
  </r>
  <r>
    <x v="441"/>
    <x v="325"/>
    <s v="A320111"/>
    <x v="9"/>
    <n v="25"/>
    <n v="2000"/>
    <m/>
    <x v="3"/>
  </r>
  <r>
    <x v="441"/>
    <x v="273"/>
    <s v="A320112"/>
    <x v="8"/>
    <n v="25"/>
    <n v="1875"/>
    <m/>
    <x v="3"/>
  </r>
  <r>
    <x v="441"/>
    <x v="209"/>
    <s v="A281163"/>
    <x v="8"/>
    <n v="75"/>
    <n v="9750"/>
    <m/>
    <x v="3"/>
  </r>
  <r>
    <x v="441"/>
    <x v="184"/>
    <s v="A299984"/>
    <x v="8"/>
    <n v="21"/>
    <n v="1743"/>
    <m/>
    <x v="3"/>
  </r>
  <r>
    <x v="441"/>
    <x v="184"/>
    <s v="A299984"/>
    <x v="2"/>
    <n v="3"/>
    <n v="240"/>
    <n v="252"/>
    <x v="3"/>
  </r>
  <r>
    <x v="441"/>
    <x v="184"/>
    <s v="A299984"/>
    <x v="11"/>
    <n v="1"/>
    <n v="80"/>
    <n v="84"/>
    <x v="3"/>
  </r>
  <r>
    <x v="441"/>
    <x v="46"/>
    <s v="A234876"/>
    <x v="9"/>
    <n v="5"/>
    <n v="1000"/>
    <m/>
    <x v="3"/>
  </r>
  <r>
    <x v="441"/>
    <x v="275"/>
    <s v="A271087"/>
    <x v="10"/>
    <n v="40"/>
    <n v="3400"/>
    <m/>
    <x v="3"/>
  </r>
  <r>
    <x v="441"/>
    <x v="275"/>
    <s v="A271087"/>
    <x v="8"/>
    <n v="208"/>
    <n v="17680"/>
    <m/>
    <x v="3"/>
  </r>
  <r>
    <x v="441"/>
    <x v="275"/>
    <s v="A271087"/>
    <x v="9"/>
    <n v="410"/>
    <n v="34850"/>
    <m/>
    <x v="3"/>
  </r>
  <r>
    <x v="441"/>
    <x v="275"/>
    <s v="A271087"/>
    <x v="1"/>
    <n v="230"/>
    <n v="19550"/>
    <n v="20527.5"/>
    <x v="3"/>
  </r>
  <r>
    <x v="441"/>
    <x v="434"/>
    <s v="A241908"/>
    <x v="10"/>
    <n v="10"/>
    <n v="820"/>
    <m/>
    <x v="3"/>
  </r>
  <r>
    <x v="441"/>
    <x v="213"/>
    <s v="A272357"/>
    <x v="8"/>
    <n v="25"/>
    <n v="2450"/>
    <m/>
    <x v="3"/>
  </r>
  <r>
    <x v="441"/>
    <x v="333"/>
    <s v="A317824"/>
    <x v="11"/>
    <n v="1"/>
    <n v="90"/>
    <n v="94.5"/>
    <x v="3"/>
  </r>
  <r>
    <x v="441"/>
    <x v="293"/>
    <s v="A248825"/>
    <x v="8"/>
    <n v="10"/>
    <n v="850"/>
    <m/>
    <x v="3"/>
  </r>
  <r>
    <x v="441"/>
    <x v="228"/>
    <s v="A306319"/>
    <x v="8"/>
    <n v="20"/>
    <n v="1600"/>
    <m/>
    <x v="3"/>
  </r>
  <r>
    <x v="441"/>
    <x v="228"/>
    <s v="A306319"/>
    <x v="9"/>
    <n v="75"/>
    <n v="6375"/>
    <m/>
    <x v="3"/>
  </r>
  <r>
    <x v="441"/>
    <x v="357"/>
    <s v="A319989"/>
    <x v="10"/>
    <n v="10"/>
    <n v="700"/>
    <m/>
    <x v="3"/>
  </r>
  <r>
    <x v="441"/>
    <x v="357"/>
    <s v="A319989"/>
    <x v="8"/>
    <n v="5"/>
    <n v="350"/>
    <m/>
    <x v="3"/>
  </r>
  <r>
    <x v="441"/>
    <x v="335"/>
    <s v="A349425"/>
    <x v="9"/>
    <n v="25"/>
    <n v="2000"/>
    <m/>
    <x v="5"/>
  </r>
  <r>
    <x v="441"/>
    <x v="335"/>
    <s v="A349425"/>
    <x v="1"/>
    <n v="215"/>
    <n v="17200"/>
    <n v="18060"/>
    <x v="5"/>
  </r>
  <r>
    <x v="441"/>
    <x v="335"/>
    <s v="A349425"/>
    <x v="2"/>
    <n v="425"/>
    <n v="26875"/>
    <n v="28218.75"/>
    <x v="5"/>
  </r>
  <r>
    <x v="441"/>
    <x v="335"/>
    <s v="A349425"/>
    <x v="11"/>
    <n v="525"/>
    <n v="43625"/>
    <n v="45806.25"/>
    <x v="5"/>
  </r>
  <r>
    <x v="441"/>
    <x v="335"/>
    <s v="A349425"/>
    <x v="0"/>
    <n v="200"/>
    <n v="16000"/>
    <n v="16800"/>
    <x v="5"/>
  </r>
  <r>
    <x v="442"/>
    <x v="254"/>
    <m/>
    <x v="2"/>
    <n v="2"/>
    <n v="480"/>
    <n v="504"/>
    <x v="3"/>
  </r>
  <r>
    <x v="442"/>
    <x v="1051"/>
    <s v="P14424"/>
    <x v="2"/>
    <n v="2"/>
    <n v="440"/>
    <n v="462"/>
    <x v="3"/>
  </r>
  <r>
    <x v="442"/>
    <x v="131"/>
    <s v="F15861"/>
    <x v="2"/>
    <n v="6"/>
    <n v="1995"/>
    <n v="2094.75"/>
    <x v="3"/>
  </r>
  <r>
    <x v="442"/>
    <x v="261"/>
    <m/>
    <x v="2"/>
    <n v="3"/>
    <n v="825"/>
    <n v="866.25"/>
    <x v="3"/>
  </r>
  <r>
    <x v="442"/>
    <x v="134"/>
    <s v="P04017"/>
    <x v="2"/>
    <n v="2"/>
    <n v="440"/>
    <n v="462"/>
    <x v="3"/>
  </r>
  <r>
    <x v="442"/>
    <x v="135"/>
    <s v="A329793"/>
    <x v="2"/>
    <n v="2"/>
    <n v="440"/>
    <n v="462"/>
    <x v="3"/>
  </r>
  <r>
    <x v="442"/>
    <x v="421"/>
    <s v="A243394"/>
    <x v="2"/>
    <n v="0.5"/>
    <n v="142.5"/>
    <n v="149.625"/>
    <x v="3"/>
  </r>
  <r>
    <x v="442"/>
    <x v="138"/>
    <s v="A282344"/>
    <x v="2"/>
    <n v="4"/>
    <n v="480"/>
    <n v="504"/>
    <x v="3"/>
  </r>
  <r>
    <x v="442"/>
    <x v="32"/>
    <s v="A295591"/>
    <x v="2"/>
    <n v="3"/>
    <n v="750"/>
    <n v="787.5"/>
    <x v="3"/>
  </r>
  <r>
    <x v="442"/>
    <x v="683"/>
    <s v="P09427"/>
    <x v="2"/>
    <n v="2"/>
    <n v="740"/>
    <n v="777"/>
    <x v="3"/>
  </r>
  <r>
    <x v="442"/>
    <x v="680"/>
    <s v="P09390"/>
    <x v="2"/>
    <n v="2"/>
    <n v="480"/>
    <n v="504"/>
    <x v="3"/>
  </r>
  <r>
    <x v="443"/>
    <x v="37"/>
    <s v="A295406"/>
    <x v="2"/>
    <n v="2"/>
    <n v="440"/>
    <n v="462"/>
    <x v="3"/>
  </r>
  <r>
    <x v="443"/>
    <x v="318"/>
    <s v="A302349"/>
    <x v="2"/>
    <n v="1"/>
    <n v="190"/>
    <n v="199.5"/>
    <x v="3"/>
  </r>
  <r>
    <x v="443"/>
    <x v="318"/>
    <s v="A302349"/>
    <x v="11"/>
    <n v="2"/>
    <n v="380"/>
    <n v="399"/>
    <x v="3"/>
  </r>
  <r>
    <x v="443"/>
    <x v="298"/>
    <s v="A416950"/>
    <x v="11"/>
    <n v="5"/>
    <n v="900"/>
    <n v="945"/>
    <x v="3"/>
  </r>
  <r>
    <x v="443"/>
    <x v="23"/>
    <m/>
    <x v="0"/>
    <n v="1"/>
    <n v="290"/>
    <n v="304.5"/>
    <x v="2"/>
  </r>
  <r>
    <x v="443"/>
    <x v="680"/>
    <s v="P09390"/>
    <x v="11"/>
    <n v="1"/>
    <n v="255"/>
    <n v="267.75"/>
    <x v="2"/>
  </r>
  <r>
    <x v="443"/>
    <x v="680"/>
    <s v="P09390"/>
    <x v="0"/>
    <n v="1"/>
    <n v="250"/>
    <n v="262.5"/>
    <x v="2"/>
  </r>
  <r>
    <x v="444"/>
    <x v="10"/>
    <m/>
    <x v="1"/>
    <n v="20"/>
    <n v="1400"/>
    <n v="1470"/>
    <x v="3"/>
  </r>
  <r>
    <x v="445"/>
    <x v="6"/>
    <s v="A270578"/>
    <x v="9"/>
    <n v="175"/>
    <n v="11500"/>
    <m/>
    <x v="3"/>
  </r>
  <r>
    <x v="445"/>
    <x v="6"/>
    <s v="A270578"/>
    <x v="1"/>
    <n v="50"/>
    <n v="2500"/>
    <n v="2625"/>
    <x v="3"/>
  </r>
  <r>
    <x v="445"/>
    <x v="6"/>
    <s v="A270578"/>
    <x v="11"/>
    <n v="450"/>
    <n v="27000"/>
    <n v="28350"/>
    <x v="3"/>
  </r>
  <r>
    <x v="445"/>
    <x v="15"/>
    <m/>
    <x v="1"/>
    <n v="5"/>
    <n v="1500"/>
    <n v="1575"/>
    <x v="3"/>
  </r>
  <r>
    <x v="445"/>
    <x v="7"/>
    <m/>
    <x v="7"/>
    <n v="1"/>
    <n v="485"/>
    <m/>
    <x v="3"/>
  </r>
  <r>
    <x v="445"/>
    <x v="7"/>
    <m/>
    <x v="10"/>
    <n v="2"/>
    <n v="1000"/>
    <m/>
    <x v="3"/>
  </r>
  <r>
    <x v="445"/>
    <x v="7"/>
    <m/>
    <x v="8"/>
    <n v="28"/>
    <n v="15000"/>
    <m/>
    <x v="3"/>
  </r>
  <r>
    <x v="445"/>
    <x v="7"/>
    <m/>
    <x v="9"/>
    <n v="42"/>
    <n v="19150"/>
    <m/>
    <x v="3"/>
  </r>
  <r>
    <x v="445"/>
    <x v="7"/>
    <m/>
    <x v="1"/>
    <n v="5"/>
    <n v="2250"/>
    <n v="2362.5"/>
    <x v="3"/>
  </r>
  <r>
    <x v="445"/>
    <x v="7"/>
    <m/>
    <x v="2"/>
    <n v="10"/>
    <n v="3550"/>
    <n v="3727.5"/>
    <x v="3"/>
  </r>
  <r>
    <x v="445"/>
    <x v="8"/>
    <m/>
    <x v="7"/>
    <n v="1"/>
    <n v="485"/>
    <m/>
    <x v="3"/>
  </r>
  <r>
    <x v="445"/>
    <x v="8"/>
    <m/>
    <x v="10"/>
    <n v="2"/>
    <n v="1000"/>
    <m/>
    <x v="3"/>
  </r>
  <r>
    <x v="445"/>
    <x v="8"/>
    <m/>
    <x v="8"/>
    <n v="28"/>
    <n v="15000"/>
    <m/>
    <x v="3"/>
  </r>
  <r>
    <x v="445"/>
    <x v="8"/>
    <m/>
    <x v="9"/>
    <n v="42"/>
    <n v="19150"/>
    <m/>
    <x v="3"/>
  </r>
  <r>
    <x v="445"/>
    <x v="8"/>
    <m/>
    <x v="1"/>
    <n v="5"/>
    <n v="2250"/>
    <n v="2362.5"/>
    <x v="3"/>
  </r>
  <r>
    <x v="445"/>
    <x v="350"/>
    <s v="A410392"/>
    <x v="11"/>
    <n v="50"/>
    <n v="3000"/>
    <n v="3150"/>
    <x v="3"/>
  </r>
  <r>
    <x v="445"/>
    <x v="3"/>
    <s v="A232126"/>
    <x v="8"/>
    <n v="290"/>
    <n v="29000"/>
    <m/>
    <x v="3"/>
  </r>
  <r>
    <x v="445"/>
    <x v="817"/>
    <s v="A401230"/>
    <x v="0"/>
    <n v="150"/>
    <n v="9000"/>
    <n v="9450"/>
    <x v="96"/>
  </r>
  <r>
    <x v="445"/>
    <x v="231"/>
    <s v="A410391"/>
    <x v="11"/>
    <n v="75"/>
    <n v="4500"/>
    <n v="4725"/>
    <x v="97"/>
  </r>
  <r>
    <x v="445"/>
    <x v="231"/>
    <s v="A410391"/>
    <x v="0"/>
    <n v="300"/>
    <n v="18000"/>
    <n v="18900"/>
    <x v="97"/>
  </r>
  <r>
    <x v="445"/>
    <x v="1052"/>
    <m/>
    <x v="0"/>
    <n v="100"/>
    <n v="6000"/>
    <n v="6300"/>
    <x v="98"/>
  </r>
  <r>
    <x v="445"/>
    <x v="1053"/>
    <m/>
    <x v="0"/>
    <n v="100"/>
    <n v="6000"/>
    <n v="6300"/>
    <x v="99"/>
  </r>
  <r>
    <x v="445"/>
    <x v="9"/>
    <s v="A234248"/>
    <x v="8"/>
    <n v="5"/>
    <n v="365"/>
    <m/>
    <x v="3"/>
  </r>
  <r>
    <x v="445"/>
    <x v="1054"/>
    <m/>
    <x v="9"/>
    <n v="50"/>
    <n v="3500"/>
    <m/>
    <x v="3"/>
  </r>
  <r>
    <x v="445"/>
    <x v="166"/>
    <s v="A231706"/>
    <x v="7"/>
    <n v="50"/>
    <n v="3625"/>
    <m/>
    <x v="3"/>
  </r>
  <r>
    <x v="445"/>
    <x v="123"/>
    <m/>
    <x v="9"/>
    <n v="7"/>
    <n v="665"/>
    <m/>
    <x v="3"/>
  </r>
  <r>
    <x v="445"/>
    <x v="10"/>
    <m/>
    <x v="10"/>
    <n v="20"/>
    <n v="1800"/>
    <m/>
    <x v="3"/>
  </r>
  <r>
    <x v="445"/>
    <x v="10"/>
    <m/>
    <x v="8"/>
    <n v="80"/>
    <n v="7200"/>
    <m/>
    <x v="3"/>
  </r>
  <r>
    <x v="445"/>
    <x v="10"/>
    <m/>
    <x v="9"/>
    <n v="120"/>
    <n v="11400"/>
    <m/>
    <x v="3"/>
  </r>
  <r>
    <x v="445"/>
    <x v="10"/>
    <m/>
    <x v="2"/>
    <n v="60"/>
    <n v="4300"/>
    <n v="4515"/>
    <x v="3"/>
  </r>
  <r>
    <x v="445"/>
    <x v="247"/>
    <s v="A402013"/>
    <x v="11"/>
    <n v="175"/>
    <n v="10500"/>
    <n v="11025"/>
    <x v="3"/>
  </r>
  <r>
    <x v="446"/>
    <x v="353"/>
    <s v="A241990"/>
    <x v="9"/>
    <n v="50"/>
    <n v="3750"/>
    <m/>
    <x v="3"/>
  </r>
  <r>
    <x v="446"/>
    <x v="6"/>
    <s v="A270578"/>
    <x v="8"/>
    <n v="25"/>
    <n v="1750"/>
    <m/>
    <x v="3"/>
  </r>
  <r>
    <x v="446"/>
    <x v="6"/>
    <s v="A270578"/>
    <x v="9"/>
    <n v="150"/>
    <n v="10750"/>
    <m/>
    <x v="3"/>
  </r>
  <r>
    <x v="446"/>
    <x v="6"/>
    <s v="A270578"/>
    <x v="1"/>
    <n v="300"/>
    <n v="21750"/>
    <n v="22837.5"/>
    <x v="3"/>
  </r>
  <r>
    <x v="446"/>
    <x v="6"/>
    <s v="A270578"/>
    <x v="2"/>
    <n v="25"/>
    <n v="1750"/>
    <n v="1837.5"/>
    <x v="3"/>
  </r>
  <r>
    <x v="446"/>
    <x v="6"/>
    <s v="A270578"/>
    <x v="11"/>
    <n v="35"/>
    <n v="2450"/>
    <n v="2572.5"/>
    <x v="3"/>
  </r>
  <r>
    <x v="446"/>
    <x v="3"/>
    <s v="A232126"/>
    <x v="9"/>
    <n v="25"/>
    <n v="2375"/>
    <m/>
    <x v="3"/>
  </r>
  <r>
    <x v="446"/>
    <x v="3"/>
    <s v="A232126"/>
    <x v="1"/>
    <n v="25"/>
    <n v="2375"/>
    <n v="2493.75"/>
    <x v="3"/>
  </r>
  <r>
    <x v="446"/>
    <x v="3"/>
    <s v="A232126"/>
    <x v="2"/>
    <n v="25"/>
    <n v="2625"/>
    <n v="2756.25"/>
    <x v="3"/>
  </r>
  <r>
    <x v="446"/>
    <x v="377"/>
    <s v="A248596"/>
    <x v="7"/>
    <n v="50"/>
    <n v="3500"/>
    <m/>
    <x v="3"/>
  </r>
  <r>
    <x v="446"/>
    <x v="377"/>
    <s v="A248596"/>
    <x v="10"/>
    <n v="75"/>
    <n v="5000"/>
    <m/>
    <x v="3"/>
  </r>
  <r>
    <x v="446"/>
    <x v="377"/>
    <s v="A248596"/>
    <x v="8"/>
    <n v="50"/>
    <n v="3500"/>
    <m/>
    <x v="3"/>
  </r>
  <r>
    <x v="446"/>
    <x v="377"/>
    <s v="A248596"/>
    <x v="9"/>
    <n v="135"/>
    <n v="11950"/>
    <m/>
    <x v="3"/>
  </r>
  <r>
    <x v="446"/>
    <x v="377"/>
    <s v="A248596"/>
    <x v="1"/>
    <n v="75"/>
    <n v="5250"/>
    <n v="5512.5"/>
    <x v="3"/>
  </r>
  <r>
    <x v="446"/>
    <x v="243"/>
    <s v="A232125"/>
    <x v="1"/>
    <n v="10"/>
    <n v="750"/>
    <n v="787.5"/>
    <x v="3"/>
  </r>
  <r>
    <x v="446"/>
    <x v="18"/>
    <m/>
    <x v="6"/>
    <n v="20"/>
    <n v="1800"/>
    <m/>
    <x v="3"/>
  </r>
  <r>
    <x v="446"/>
    <x v="432"/>
    <m/>
    <x v="9"/>
    <n v="20"/>
    <n v="2000"/>
    <m/>
    <x v="3"/>
  </r>
  <r>
    <x v="446"/>
    <x v="432"/>
    <m/>
    <x v="1"/>
    <n v="10"/>
    <n v="1000"/>
    <n v="1050"/>
    <x v="3"/>
  </r>
  <r>
    <x v="446"/>
    <x v="123"/>
    <m/>
    <x v="6"/>
    <n v="20"/>
    <n v="1800"/>
    <m/>
    <x v="3"/>
  </r>
  <r>
    <x v="446"/>
    <x v="123"/>
    <m/>
    <x v="10"/>
    <n v="20"/>
    <n v="1800"/>
    <m/>
    <x v="3"/>
  </r>
  <r>
    <x v="446"/>
    <x v="123"/>
    <m/>
    <x v="9"/>
    <n v="20"/>
    <n v="1800"/>
    <m/>
    <x v="3"/>
  </r>
  <r>
    <x v="446"/>
    <x v="10"/>
    <m/>
    <x v="6"/>
    <n v="20"/>
    <n v="1800"/>
    <m/>
    <x v="3"/>
  </r>
  <r>
    <x v="446"/>
    <x v="10"/>
    <m/>
    <x v="9"/>
    <n v="40"/>
    <n v="3600"/>
    <m/>
    <x v="3"/>
  </r>
  <r>
    <x v="446"/>
    <x v="10"/>
    <m/>
    <x v="1"/>
    <n v="20"/>
    <n v="1800"/>
    <n v="1890"/>
    <x v="3"/>
  </r>
  <r>
    <x v="446"/>
    <x v="433"/>
    <m/>
    <x v="6"/>
    <n v="19"/>
    <n v="1710"/>
    <m/>
    <x v="3"/>
  </r>
  <r>
    <x v="446"/>
    <x v="19"/>
    <s v="A233442"/>
    <x v="6"/>
    <n v="150"/>
    <n v="10200"/>
    <m/>
    <x v="3"/>
  </r>
  <r>
    <x v="447"/>
    <x v="337"/>
    <s v="A419371"/>
    <x v="11"/>
    <n v="175"/>
    <n v="12975"/>
    <n v="13623.75"/>
    <x v="3"/>
  </r>
  <r>
    <x v="447"/>
    <x v="2"/>
    <s v="A295987"/>
    <x v="8"/>
    <n v="60"/>
    <n v="5500"/>
    <m/>
    <x v="1"/>
  </r>
  <r>
    <x v="447"/>
    <x v="2"/>
    <s v="A295987"/>
    <x v="9"/>
    <n v="105"/>
    <n v="9450"/>
    <m/>
    <x v="1"/>
  </r>
  <r>
    <x v="447"/>
    <x v="2"/>
    <s v="A295987"/>
    <x v="1"/>
    <n v="175"/>
    <n v="15750"/>
    <n v="16537.5"/>
    <x v="1"/>
  </r>
  <r>
    <x v="447"/>
    <x v="2"/>
    <s v="A295987"/>
    <x v="2"/>
    <n v="308"/>
    <n v="27720"/>
    <n v="29106"/>
    <x v="1"/>
  </r>
  <r>
    <x v="447"/>
    <x v="2"/>
    <s v="A295987"/>
    <x v="11"/>
    <n v="425"/>
    <n v="38225"/>
    <n v="40136.25"/>
    <x v="1"/>
  </r>
  <r>
    <x v="447"/>
    <x v="2"/>
    <s v="A295987"/>
    <x v="0"/>
    <n v="200"/>
    <n v="18000"/>
    <n v="18900"/>
    <x v="1"/>
  </r>
  <r>
    <x v="447"/>
    <x v="338"/>
    <s v="A338229"/>
    <x v="2"/>
    <n v="200"/>
    <n v="14000"/>
    <n v="14700"/>
    <x v="3"/>
  </r>
  <r>
    <x v="447"/>
    <x v="338"/>
    <s v="A338229"/>
    <x v="11"/>
    <n v="25"/>
    <n v="1750"/>
    <n v="1837.5"/>
    <x v="3"/>
  </r>
  <r>
    <x v="447"/>
    <x v="11"/>
    <m/>
    <x v="8"/>
    <n v="1"/>
    <n v="120"/>
    <m/>
    <x v="3"/>
  </r>
  <r>
    <x v="447"/>
    <x v="503"/>
    <s v="A262915"/>
    <x v="11"/>
    <n v="5"/>
    <n v="375"/>
    <n v="393.75"/>
    <x v="3"/>
  </r>
  <r>
    <x v="447"/>
    <x v="277"/>
    <m/>
    <x v="11"/>
    <n v="25"/>
    <n v="1625"/>
    <n v="1706.25"/>
    <x v="3"/>
  </r>
  <r>
    <x v="447"/>
    <x v="822"/>
    <s v="A292853"/>
    <x v="2"/>
    <n v="25"/>
    <n v="2000"/>
    <n v="2100"/>
    <x v="100"/>
  </r>
  <r>
    <x v="447"/>
    <x v="822"/>
    <s v="A292853"/>
    <x v="11"/>
    <n v="10"/>
    <n v="800"/>
    <n v="840"/>
    <x v="100"/>
  </r>
  <r>
    <x v="447"/>
    <x v="822"/>
    <s v="A292853"/>
    <x v="0"/>
    <n v="10"/>
    <n v="800"/>
    <n v="840"/>
    <x v="100"/>
  </r>
  <r>
    <x v="447"/>
    <x v="184"/>
    <s v="A299984"/>
    <x v="7"/>
    <n v="25"/>
    <n v="1875"/>
    <m/>
    <x v="3"/>
  </r>
  <r>
    <x v="447"/>
    <x v="184"/>
    <s v="A299984"/>
    <x v="11"/>
    <n v="10"/>
    <n v="800"/>
    <n v="840"/>
    <x v="3"/>
  </r>
  <r>
    <x v="447"/>
    <x v="887"/>
    <s v="A403195"/>
    <x v="11"/>
    <n v="10"/>
    <n v="800"/>
    <n v="840"/>
    <x v="3"/>
  </r>
  <r>
    <x v="447"/>
    <x v="93"/>
    <s v="A231708"/>
    <x v="4"/>
    <n v="25"/>
    <n v="1375"/>
    <m/>
    <x v="3"/>
  </r>
  <r>
    <x v="447"/>
    <x v="93"/>
    <s v="A231708"/>
    <x v="5"/>
    <n v="50"/>
    <n v="3125"/>
    <m/>
    <x v="3"/>
  </r>
  <r>
    <x v="447"/>
    <x v="93"/>
    <s v="A231708"/>
    <x v="9"/>
    <n v="35"/>
    <n v="825"/>
    <m/>
    <x v="3"/>
  </r>
  <r>
    <x v="447"/>
    <x v="93"/>
    <s v="A231708"/>
    <x v="1"/>
    <n v="55"/>
    <n v="2750"/>
    <n v="2887.5"/>
    <x v="3"/>
  </r>
  <r>
    <x v="447"/>
    <x v="93"/>
    <s v="A231708"/>
    <x v="2"/>
    <n v="20"/>
    <n v="1100"/>
    <n v="1155"/>
    <x v="3"/>
  </r>
  <r>
    <x v="447"/>
    <x v="350"/>
    <s v="A401491"/>
    <x v="2"/>
    <n v="30"/>
    <n v="1650"/>
    <n v="1732.5"/>
    <x v="3"/>
  </r>
  <r>
    <x v="447"/>
    <x v="350"/>
    <s v="A410392"/>
    <x v="11"/>
    <n v="80"/>
    <n v="4390"/>
    <n v="4609.5"/>
    <x v="51"/>
  </r>
  <r>
    <x v="447"/>
    <x v="350"/>
    <s v="A410392"/>
    <x v="0"/>
    <n v="25"/>
    <n v="1375"/>
    <n v="1443.75"/>
    <x v="51"/>
  </r>
  <r>
    <x v="447"/>
    <x v="330"/>
    <s v="A324052"/>
    <x v="9"/>
    <n v="245"/>
    <n v="17150"/>
    <m/>
    <x v="3"/>
  </r>
  <r>
    <x v="447"/>
    <x v="330"/>
    <s v="A324052"/>
    <x v="1"/>
    <n v="190"/>
    <n v="13300"/>
    <n v="13965"/>
    <x v="3"/>
  </r>
  <r>
    <x v="447"/>
    <x v="330"/>
    <s v="A324052"/>
    <x v="2"/>
    <n v="225"/>
    <n v="15750"/>
    <n v="16537.5"/>
    <x v="3"/>
  </r>
  <r>
    <x v="447"/>
    <x v="813"/>
    <s v="A415890"/>
    <x v="1"/>
    <n v="50"/>
    <n v="3500"/>
    <n v="3675"/>
    <x v="1"/>
  </r>
  <r>
    <x v="447"/>
    <x v="813"/>
    <s v="A415890"/>
    <x v="2"/>
    <n v="25"/>
    <n v="1750"/>
    <n v="1837.5"/>
    <x v="1"/>
  </r>
  <r>
    <x v="447"/>
    <x v="813"/>
    <s v="A404505"/>
    <x v="11"/>
    <n v="25"/>
    <n v="1750"/>
    <n v="1837.5"/>
    <x v="3"/>
  </r>
  <r>
    <x v="447"/>
    <x v="813"/>
    <s v="A415890"/>
    <x v="11"/>
    <n v="275"/>
    <n v="19250"/>
    <n v="20212.5"/>
    <x v="1"/>
  </r>
  <r>
    <x v="447"/>
    <x v="813"/>
    <s v="A415890"/>
    <x v="0"/>
    <n v="125"/>
    <n v="8750"/>
    <n v="9187.5"/>
    <x v="1"/>
  </r>
  <r>
    <x v="447"/>
    <x v="289"/>
    <s v="A234285"/>
    <x v="9"/>
    <n v="5"/>
    <n v="350"/>
    <m/>
    <x v="3"/>
  </r>
  <r>
    <x v="447"/>
    <x v="156"/>
    <s v="A231705"/>
    <x v="1"/>
    <n v="25"/>
    <n v="1425"/>
    <n v="1496.25"/>
    <x v="3"/>
  </r>
  <r>
    <x v="447"/>
    <x v="268"/>
    <s v="A245994"/>
    <x v="5"/>
    <n v="50"/>
    <n v="3900"/>
    <m/>
    <x v="3"/>
  </r>
  <r>
    <x v="447"/>
    <x v="268"/>
    <s v="A245994"/>
    <x v="7"/>
    <n v="25"/>
    <n v="1950"/>
    <m/>
    <x v="3"/>
  </r>
  <r>
    <x v="447"/>
    <x v="268"/>
    <s v="A245994"/>
    <x v="9"/>
    <n v="25"/>
    <n v="1450"/>
    <m/>
    <x v="3"/>
  </r>
  <r>
    <x v="447"/>
    <x v="268"/>
    <s v="A233185"/>
    <x v="2"/>
    <n v="25"/>
    <n v="1450"/>
    <n v="1522.5"/>
    <x v="1"/>
  </r>
  <r>
    <x v="447"/>
    <x v="268"/>
    <s v="A233185"/>
    <x v="11"/>
    <n v="300"/>
    <n v="17400"/>
    <n v="18270"/>
    <x v="1"/>
  </r>
  <r>
    <x v="447"/>
    <x v="268"/>
    <s v="A233185"/>
    <x v="0"/>
    <n v="150"/>
    <n v="8700"/>
    <n v="9135"/>
    <x v="1"/>
  </r>
  <r>
    <x v="447"/>
    <x v="3"/>
    <s v="R208949"/>
    <x v="5"/>
    <n v="25"/>
    <n v="1375"/>
    <m/>
    <x v="3"/>
  </r>
  <r>
    <x v="447"/>
    <x v="3"/>
    <s v="A236167"/>
    <x v="7"/>
    <n v="25"/>
    <n v="1750"/>
    <m/>
    <x v="3"/>
  </r>
  <r>
    <x v="447"/>
    <x v="3"/>
    <s v="A236167"/>
    <x v="9"/>
    <n v="25"/>
    <n v="1750"/>
    <m/>
    <x v="3"/>
  </r>
  <r>
    <x v="447"/>
    <x v="3"/>
    <s v="A236167"/>
    <x v="1"/>
    <n v="10"/>
    <n v="700"/>
    <n v="735"/>
    <x v="3"/>
  </r>
  <r>
    <x v="447"/>
    <x v="3"/>
    <s v="A236167"/>
    <x v="11"/>
    <n v="50"/>
    <n v="3500"/>
    <n v="3675"/>
    <x v="3"/>
  </r>
  <r>
    <x v="447"/>
    <x v="3"/>
    <s v="A337704"/>
    <x v="11"/>
    <n v="50"/>
    <n v="3500"/>
    <n v="3675"/>
    <x v="1"/>
  </r>
  <r>
    <x v="447"/>
    <x v="3"/>
    <s v="A331329"/>
    <x v="0"/>
    <n v="25"/>
    <n v="1800"/>
    <n v="1890"/>
    <x v="2"/>
  </r>
  <r>
    <x v="447"/>
    <x v="3"/>
    <s v="A337704"/>
    <x v="0"/>
    <n v="50"/>
    <n v="3500"/>
    <n v="3675"/>
    <x v="1"/>
  </r>
  <r>
    <x v="447"/>
    <x v="141"/>
    <s v="A249778"/>
    <x v="5"/>
    <n v="125"/>
    <n v="10150"/>
    <m/>
    <x v="1"/>
  </r>
  <r>
    <x v="447"/>
    <x v="141"/>
    <s v="A249778"/>
    <x v="6"/>
    <n v="225"/>
    <n v="16000"/>
    <m/>
    <x v="1"/>
  </r>
  <r>
    <x v="447"/>
    <x v="141"/>
    <s v="A249778"/>
    <x v="7"/>
    <n v="400"/>
    <n v="28000"/>
    <m/>
    <x v="1"/>
  </r>
  <r>
    <x v="447"/>
    <x v="141"/>
    <s v="A249778"/>
    <x v="10"/>
    <n v="1100"/>
    <n v="77000"/>
    <m/>
    <x v="1"/>
  </r>
  <r>
    <x v="447"/>
    <x v="141"/>
    <s v="A249778"/>
    <x v="8"/>
    <n v="670"/>
    <n v="46900"/>
    <m/>
    <x v="1"/>
  </r>
  <r>
    <x v="447"/>
    <x v="141"/>
    <s v="A249778"/>
    <x v="9"/>
    <n v="400"/>
    <n v="28000"/>
    <m/>
    <x v="1"/>
  </r>
  <r>
    <x v="447"/>
    <x v="141"/>
    <s v="A249778"/>
    <x v="1"/>
    <n v="375"/>
    <n v="26250"/>
    <n v="27562.5"/>
    <x v="1"/>
  </r>
  <r>
    <x v="447"/>
    <x v="141"/>
    <s v="A249778"/>
    <x v="2"/>
    <n v="500"/>
    <n v="35000"/>
    <n v="36750"/>
    <x v="1"/>
  </r>
  <r>
    <x v="447"/>
    <x v="141"/>
    <s v="A249778"/>
    <x v="11"/>
    <n v="600"/>
    <n v="42000"/>
    <n v="44100"/>
    <x v="1"/>
  </r>
  <r>
    <x v="447"/>
    <x v="141"/>
    <s v="A249778"/>
    <x v="0"/>
    <n v="235"/>
    <n v="16450"/>
    <n v="17272.5"/>
    <x v="1"/>
  </r>
  <r>
    <x v="447"/>
    <x v="408"/>
    <s v="A239076"/>
    <x v="9"/>
    <n v="10"/>
    <n v="700"/>
    <m/>
    <x v="3"/>
  </r>
  <r>
    <x v="447"/>
    <x v="408"/>
    <s v="A239076"/>
    <x v="1"/>
    <n v="210"/>
    <n v="14700"/>
    <n v="15435"/>
    <x v="3"/>
  </r>
  <r>
    <x v="447"/>
    <x v="408"/>
    <s v="A239076"/>
    <x v="2"/>
    <n v="37"/>
    <n v="2590"/>
    <n v="2719.5"/>
    <x v="3"/>
  </r>
  <r>
    <x v="447"/>
    <x v="408"/>
    <s v="A239076"/>
    <x v="11"/>
    <n v="75"/>
    <n v="5250"/>
    <n v="5512.5"/>
    <x v="5"/>
  </r>
  <r>
    <x v="447"/>
    <x v="408"/>
    <s v="A239076"/>
    <x v="0"/>
    <n v="100"/>
    <n v="7000"/>
    <n v="7350"/>
    <x v="5"/>
  </r>
  <r>
    <x v="447"/>
    <x v="185"/>
    <s v="A415892"/>
    <x v="11"/>
    <n v="25"/>
    <n v="1750"/>
    <n v="1837.5"/>
    <x v="3"/>
  </r>
  <r>
    <x v="447"/>
    <x v="185"/>
    <s v="A415892"/>
    <x v="0"/>
    <n v="25"/>
    <n v="1750"/>
    <n v="1837.5"/>
    <x v="3"/>
  </r>
  <r>
    <x v="447"/>
    <x v="16"/>
    <s v="A241225"/>
    <x v="4"/>
    <n v="25"/>
    <n v="1125"/>
    <m/>
    <x v="3"/>
  </r>
  <r>
    <x v="447"/>
    <x v="16"/>
    <s v="A241225"/>
    <x v="5"/>
    <n v="75"/>
    <n v="4125"/>
    <m/>
    <x v="3"/>
  </r>
  <r>
    <x v="447"/>
    <x v="16"/>
    <s v="A235942"/>
    <x v="8"/>
    <n v="46"/>
    <n v="2736"/>
    <m/>
    <x v="3"/>
  </r>
  <r>
    <x v="447"/>
    <x v="494"/>
    <s v="A257810"/>
    <x v="2"/>
    <n v="115"/>
    <n v="6525"/>
    <n v="6851.25"/>
    <x v="3"/>
  </r>
  <r>
    <x v="447"/>
    <x v="242"/>
    <s v="A287749"/>
    <x v="5"/>
    <n v="75"/>
    <n v="5775"/>
    <m/>
    <x v="1"/>
  </r>
  <r>
    <x v="447"/>
    <x v="242"/>
    <s v="A287749"/>
    <x v="6"/>
    <n v="195"/>
    <n v="15015"/>
    <m/>
    <x v="1"/>
  </r>
  <r>
    <x v="447"/>
    <x v="242"/>
    <s v="A287749"/>
    <x v="10"/>
    <n v="115"/>
    <n v="8855"/>
    <m/>
    <x v="1"/>
  </r>
  <r>
    <x v="447"/>
    <x v="242"/>
    <s v="A287749"/>
    <x v="8"/>
    <n v="200"/>
    <n v="15400"/>
    <m/>
    <x v="1"/>
  </r>
  <r>
    <x v="447"/>
    <x v="242"/>
    <s v="A287749"/>
    <x v="9"/>
    <n v="125"/>
    <n v="9625"/>
    <m/>
    <x v="1"/>
  </r>
  <r>
    <x v="447"/>
    <x v="242"/>
    <s v="A287749"/>
    <x v="1"/>
    <n v="100"/>
    <n v="7675"/>
    <n v="8058.75"/>
    <x v="1"/>
  </r>
  <r>
    <x v="447"/>
    <x v="242"/>
    <s v="A287749"/>
    <x v="2"/>
    <n v="75"/>
    <n v="5775"/>
    <n v="6063.75"/>
    <x v="1"/>
  </r>
  <r>
    <x v="447"/>
    <x v="242"/>
    <s v="A287749"/>
    <x v="11"/>
    <n v="175"/>
    <n v="13450"/>
    <n v="14122.5"/>
    <x v="1"/>
  </r>
  <r>
    <x v="447"/>
    <x v="242"/>
    <s v="A287749"/>
    <x v="0"/>
    <n v="55"/>
    <n v="4235"/>
    <n v="4446.75"/>
    <x v="101"/>
  </r>
  <r>
    <x v="447"/>
    <x v="242"/>
    <s v="A287749"/>
    <x v="0"/>
    <n v="50"/>
    <n v="3850"/>
    <n v="4042.5"/>
    <x v="1"/>
  </r>
  <r>
    <x v="447"/>
    <x v="455"/>
    <s v="A408570"/>
    <x v="2"/>
    <n v="190"/>
    <n v="14350"/>
    <n v="15067.5"/>
    <x v="3"/>
  </r>
  <r>
    <x v="447"/>
    <x v="455"/>
    <s v="A408570"/>
    <x v="11"/>
    <n v="75"/>
    <n v="5625"/>
    <n v="5906.25"/>
    <x v="3"/>
  </r>
  <r>
    <x v="447"/>
    <x v="30"/>
    <s v="A233444"/>
    <x v="5"/>
    <n v="26"/>
    <n v="1950"/>
    <m/>
    <x v="3"/>
  </r>
  <r>
    <x v="447"/>
    <x v="30"/>
    <s v="A233444"/>
    <x v="6"/>
    <n v="25"/>
    <n v="1875"/>
    <m/>
    <x v="3"/>
  </r>
  <r>
    <x v="447"/>
    <x v="434"/>
    <s v="A241908"/>
    <x v="9"/>
    <n v="10"/>
    <n v="850"/>
    <m/>
    <x v="3"/>
  </r>
  <r>
    <x v="447"/>
    <x v="434"/>
    <s v="A241908"/>
    <x v="1"/>
    <n v="40"/>
    <n v="3400"/>
    <n v="3570"/>
    <x v="3"/>
  </r>
  <r>
    <x v="447"/>
    <x v="434"/>
    <s v="A241908"/>
    <x v="2"/>
    <n v="104"/>
    <n v="8840"/>
    <n v="9282"/>
    <x v="3"/>
  </r>
  <r>
    <x v="447"/>
    <x v="434"/>
    <s v="A241908"/>
    <x v="11"/>
    <n v="75"/>
    <n v="6375"/>
    <n v="6693.75"/>
    <x v="3"/>
  </r>
  <r>
    <x v="447"/>
    <x v="228"/>
    <s v="A306319"/>
    <x v="1"/>
    <n v="5"/>
    <n v="375"/>
    <n v="393.75"/>
    <x v="1"/>
  </r>
  <r>
    <x v="447"/>
    <x v="228"/>
    <s v="A306319"/>
    <x v="2"/>
    <n v="15"/>
    <n v="1125"/>
    <n v="1181.25"/>
    <x v="1"/>
  </r>
  <r>
    <x v="447"/>
    <x v="228"/>
    <s v="A306319"/>
    <x v="11"/>
    <n v="15"/>
    <n v="1125"/>
    <n v="1181.25"/>
    <x v="1"/>
  </r>
  <r>
    <x v="447"/>
    <x v="228"/>
    <s v="A306319"/>
    <x v="0"/>
    <n v="25"/>
    <n v="1875"/>
    <n v="1968.75"/>
    <x v="1"/>
  </r>
  <r>
    <x v="447"/>
    <x v="457"/>
    <s v="A271403"/>
    <x v="6"/>
    <n v="50"/>
    <n v="4000"/>
    <m/>
    <x v="3"/>
  </r>
  <r>
    <x v="447"/>
    <x v="457"/>
    <s v="A271403"/>
    <x v="7"/>
    <n v="25"/>
    <n v="2000"/>
    <m/>
    <x v="3"/>
  </r>
  <r>
    <x v="447"/>
    <x v="166"/>
    <s v="A233185"/>
    <x v="8"/>
    <n v="21"/>
    <n v="1225"/>
    <m/>
    <x v="3"/>
  </r>
  <r>
    <x v="447"/>
    <x v="166"/>
    <s v="A233185"/>
    <x v="9"/>
    <n v="115"/>
    <n v="6670"/>
    <m/>
    <x v="3"/>
  </r>
  <r>
    <x v="447"/>
    <x v="166"/>
    <s v="A233185"/>
    <x v="1"/>
    <n v="170"/>
    <n v="9840"/>
    <n v="10332"/>
    <x v="3"/>
  </r>
  <r>
    <x v="447"/>
    <x v="166"/>
    <s v="A233185"/>
    <x v="2"/>
    <n v="100"/>
    <n v="5800"/>
    <n v="6090"/>
    <x v="3"/>
  </r>
  <r>
    <x v="447"/>
    <x v="358"/>
    <s v="A402012"/>
    <x v="1"/>
    <n v="100"/>
    <n v="5800"/>
    <n v="6090"/>
    <x v="3"/>
  </r>
  <r>
    <x v="447"/>
    <x v="358"/>
    <s v="A402012"/>
    <x v="2"/>
    <n v="195"/>
    <n v="11310"/>
    <n v="11875.5"/>
    <x v="3"/>
  </r>
  <r>
    <x v="447"/>
    <x v="596"/>
    <s v="A231707"/>
    <x v="2"/>
    <n v="45"/>
    <n v="2610"/>
    <n v="2740.5"/>
    <x v="3"/>
  </r>
  <r>
    <x v="447"/>
    <x v="335"/>
    <s v="A349425"/>
    <x v="0"/>
    <n v="30"/>
    <n v="2400"/>
    <n v="2520"/>
    <x v="102"/>
  </r>
  <r>
    <x v="447"/>
    <x v="1055"/>
    <s v="A241790"/>
    <x v="5"/>
    <n v="25"/>
    <n v="2125"/>
    <m/>
    <x v="3"/>
  </r>
  <r>
    <x v="447"/>
    <x v="14"/>
    <m/>
    <x v="4"/>
    <n v="100"/>
    <n v="8500"/>
    <m/>
    <x v="3"/>
  </r>
  <r>
    <x v="447"/>
    <x v="14"/>
    <m/>
    <x v="5"/>
    <n v="425"/>
    <n v="36125"/>
    <m/>
    <x v="3"/>
  </r>
  <r>
    <x v="447"/>
    <x v="14"/>
    <m/>
    <x v="6"/>
    <n v="725"/>
    <n v="59625"/>
    <m/>
    <x v="3"/>
  </r>
  <r>
    <x v="447"/>
    <x v="14"/>
    <m/>
    <x v="7"/>
    <n v="550"/>
    <n v="43875"/>
    <m/>
    <x v="3"/>
  </r>
  <r>
    <x v="447"/>
    <x v="14"/>
    <m/>
    <x v="10"/>
    <n v="325"/>
    <n v="28575"/>
    <m/>
    <x v="3"/>
  </r>
  <r>
    <x v="447"/>
    <x v="14"/>
    <m/>
    <x v="8"/>
    <n v="75"/>
    <n v="5625"/>
    <m/>
    <x v="3"/>
  </r>
  <r>
    <x v="447"/>
    <x v="14"/>
    <m/>
    <x v="9"/>
    <n v="125"/>
    <n v="7750"/>
    <m/>
    <x v="3"/>
  </r>
  <r>
    <x v="447"/>
    <x v="14"/>
    <m/>
    <x v="1"/>
    <n v="50"/>
    <n v="3100"/>
    <n v="3255"/>
    <x v="3"/>
  </r>
  <r>
    <x v="447"/>
    <x v="14"/>
    <m/>
    <x v="2"/>
    <n v="1"/>
    <n v="78"/>
    <n v="81.900000000000006"/>
    <x v="3"/>
  </r>
  <r>
    <x v="447"/>
    <x v="14"/>
    <m/>
    <x v="2"/>
    <n v="50"/>
    <n v="3100"/>
    <n v="3255"/>
    <x v="3"/>
  </r>
  <r>
    <x v="448"/>
    <x v="21"/>
    <s v="P08232"/>
    <x v="0"/>
    <n v="400"/>
    <n v="52000"/>
    <n v="54600"/>
    <x v="1"/>
  </r>
  <r>
    <x v="448"/>
    <x v="301"/>
    <s v="P050220"/>
    <x v="0"/>
    <n v="400"/>
    <n v="52000"/>
    <n v="54600"/>
    <x v="1"/>
  </r>
  <r>
    <x v="449"/>
    <x v="361"/>
    <m/>
    <x v="11"/>
    <n v="2"/>
    <n v="900"/>
    <n v="945"/>
    <x v="3"/>
  </r>
  <r>
    <x v="449"/>
    <x v="299"/>
    <s v="A404821"/>
    <x v="11"/>
    <n v="25"/>
    <n v="2250"/>
    <n v="2362.5"/>
    <x v="3"/>
  </r>
  <r>
    <x v="449"/>
    <x v="309"/>
    <s v="A243761"/>
    <x v="2"/>
    <n v="50"/>
    <n v="4250"/>
    <n v="4462.5"/>
    <x v="3"/>
  </r>
  <r>
    <x v="449"/>
    <x v="309"/>
    <s v="A243761"/>
    <x v="11"/>
    <n v="6"/>
    <n v="510"/>
    <n v="535.5"/>
    <x v="3"/>
  </r>
  <r>
    <x v="449"/>
    <x v="337"/>
    <s v="A419371"/>
    <x v="11"/>
    <n v="65"/>
    <n v="5475"/>
    <n v="5748.75"/>
    <x v="103"/>
  </r>
  <r>
    <x v="449"/>
    <x v="337"/>
    <s v="A419371"/>
    <x v="0"/>
    <n v="5"/>
    <n v="375"/>
    <n v="393.75"/>
    <x v="103"/>
  </r>
  <r>
    <x v="449"/>
    <x v="366"/>
    <s v="A238073"/>
    <x v="8"/>
    <n v="35"/>
    <n v="2625"/>
    <m/>
    <x v="3"/>
  </r>
  <r>
    <x v="449"/>
    <x v="366"/>
    <s v="A238073"/>
    <x v="9"/>
    <n v="89"/>
    <n v="6675"/>
    <m/>
    <x v="3"/>
  </r>
  <r>
    <x v="449"/>
    <x v="366"/>
    <s v="A238073"/>
    <x v="1"/>
    <n v="75"/>
    <n v="5625"/>
    <n v="5906.25"/>
    <x v="3"/>
  </r>
  <r>
    <x v="449"/>
    <x v="366"/>
    <s v="A238073"/>
    <x v="2"/>
    <n v="50"/>
    <n v="3750"/>
    <n v="3937.5"/>
    <x v="3"/>
  </r>
  <r>
    <x v="449"/>
    <x v="366"/>
    <s v="A238073"/>
    <x v="11"/>
    <n v="10"/>
    <n v="750"/>
    <n v="787.5"/>
    <x v="3"/>
  </r>
  <r>
    <x v="449"/>
    <x v="127"/>
    <s v="A343168"/>
    <x v="11"/>
    <n v="60"/>
    <n v="8100"/>
    <n v="8505"/>
    <x v="17"/>
  </r>
  <r>
    <x v="449"/>
    <x v="127"/>
    <s v="A343168"/>
    <x v="0"/>
    <n v="20"/>
    <n v="2700"/>
    <n v="2835"/>
    <x v="17"/>
  </r>
  <r>
    <x v="449"/>
    <x v="338"/>
    <s v="A338229"/>
    <x v="2"/>
    <n v="11"/>
    <n v="880"/>
    <n v="924"/>
    <x v="3"/>
  </r>
  <r>
    <x v="449"/>
    <x v="11"/>
    <m/>
    <x v="1"/>
    <n v="5"/>
    <n v="600"/>
    <n v="630"/>
    <x v="2"/>
  </r>
  <r>
    <x v="449"/>
    <x v="11"/>
    <m/>
    <x v="2"/>
    <n v="10"/>
    <n v="1200"/>
    <n v="1260"/>
    <x v="2"/>
  </r>
  <r>
    <x v="449"/>
    <x v="11"/>
    <m/>
    <x v="0"/>
    <n v="5"/>
    <n v="600"/>
    <n v="630"/>
    <x v="2"/>
  </r>
  <r>
    <x v="449"/>
    <x v="233"/>
    <m/>
    <x v="2"/>
    <n v="10"/>
    <n v="1100"/>
    <n v="1155"/>
    <x v="3"/>
  </r>
  <r>
    <x v="449"/>
    <x v="277"/>
    <m/>
    <x v="11"/>
    <n v="250"/>
    <n v="17000"/>
    <n v="17850"/>
    <x v="104"/>
  </r>
  <r>
    <x v="449"/>
    <x v="277"/>
    <m/>
    <x v="0"/>
    <n v="100"/>
    <n v="6800"/>
    <n v="7140"/>
    <x v="104"/>
  </r>
  <r>
    <x v="449"/>
    <x v="812"/>
    <s v="A235573"/>
    <x v="2"/>
    <n v="5"/>
    <n v="390"/>
    <n v="409.5"/>
    <x v="3"/>
  </r>
  <r>
    <x v="449"/>
    <x v="266"/>
    <s v="A338229"/>
    <x v="2"/>
    <n v="5"/>
    <n v="400"/>
    <n v="420"/>
    <x v="3"/>
  </r>
  <r>
    <x v="449"/>
    <x v="692"/>
    <s v="A415891"/>
    <x v="11"/>
    <n v="5"/>
    <n v="550"/>
    <n v="577.5"/>
    <x v="3"/>
  </r>
  <r>
    <x v="449"/>
    <x v="238"/>
    <m/>
    <x v="1"/>
    <n v="10"/>
    <n v="850"/>
    <n v="892.5"/>
    <x v="3"/>
  </r>
  <r>
    <x v="449"/>
    <x v="238"/>
    <m/>
    <x v="2"/>
    <n v="10"/>
    <n v="850"/>
    <n v="892.5"/>
    <x v="3"/>
  </r>
  <r>
    <x v="449"/>
    <x v="327"/>
    <m/>
    <x v="2"/>
    <n v="14"/>
    <n v="1680"/>
    <n v="1764"/>
    <x v="3"/>
  </r>
  <r>
    <x v="449"/>
    <x v="328"/>
    <s v="A285349"/>
    <x v="11"/>
    <n v="5"/>
    <n v="425"/>
    <n v="446.25"/>
    <x v="3"/>
  </r>
  <r>
    <x v="449"/>
    <x v="46"/>
    <s v="A234876"/>
    <x v="11"/>
    <n v="25"/>
    <n v="3125"/>
    <n v="3281.25"/>
    <x v="3"/>
  </r>
  <r>
    <x v="449"/>
    <x v="93"/>
    <s v="A231708"/>
    <x v="2"/>
    <n v="5"/>
    <n v="325"/>
    <n v="341.25"/>
    <x v="3"/>
  </r>
  <r>
    <x v="449"/>
    <x v="350"/>
    <s v="A401491"/>
    <x v="2"/>
    <n v="5"/>
    <n v="325"/>
    <n v="341.25"/>
    <x v="3"/>
  </r>
  <r>
    <x v="449"/>
    <x v="350"/>
    <s v="A410392"/>
    <x v="11"/>
    <n v="15"/>
    <n v="375"/>
    <n v="393.75"/>
    <x v="51"/>
  </r>
  <r>
    <x v="449"/>
    <x v="350"/>
    <s v="A410392"/>
    <x v="0"/>
    <n v="50"/>
    <n v="3000"/>
    <n v="3150"/>
    <x v="51"/>
  </r>
  <r>
    <x v="449"/>
    <x v="330"/>
    <s v="A324052"/>
    <x v="2"/>
    <n v="30"/>
    <n v="2250"/>
    <n v="2362.5"/>
    <x v="3"/>
  </r>
  <r>
    <x v="449"/>
    <x v="342"/>
    <s v="A402008"/>
    <x v="0"/>
    <n v="10"/>
    <n v="650"/>
    <n v="682.5"/>
    <x v="2"/>
  </r>
  <r>
    <x v="449"/>
    <x v="3"/>
    <s v="A232126"/>
    <x v="1"/>
    <n v="50"/>
    <n v="3500"/>
    <n v="3675"/>
    <x v="3"/>
  </r>
  <r>
    <x v="449"/>
    <x v="3"/>
    <s v="A331329"/>
    <x v="1"/>
    <n v="25"/>
    <n v="1750"/>
    <n v="1837.5"/>
    <x v="2"/>
  </r>
  <r>
    <x v="449"/>
    <x v="3"/>
    <s v="A331329"/>
    <x v="2"/>
    <n v="25"/>
    <n v="1750"/>
    <n v="1837.5"/>
    <x v="2"/>
  </r>
  <r>
    <x v="449"/>
    <x v="3"/>
    <s v="A331329"/>
    <x v="0"/>
    <n v="75"/>
    <n v="4775"/>
    <n v="5013.75"/>
    <x v="2"/>
  </r>
  <r>
    <x v="449"/>
    <x v="135"/>
    <s v="A329793"/>
    <x v="0"/>
    <n v="5"/>
    <n v="390"/>
    <n v="409.5"/>
    <x v="3"/>
  </r>
  <r>
    <x v="449"/>
    <x v="241"/>
    <s v="A401495"/>
    <x v="1"/>
    <n v="25"/>
    <n v="1250"/>
    <n v="1312.5"/>
    <x v="3"/>
  </r>
  <r>
    <x v="449"/>
    <x v="4"/>
    <s v="A231709"/>
    <x v="9"/>
    <n v="85"/>
    <n v="5100"/>
    <m/>
    <x v="3"/>
  </r>
  <r>
    <x v="449"/>
    <x v="4"/>
    <s v="A231709"/>
    <x v="1"/>
    <n v="150"/>
    <n v="10125"/>
    <n v="10631.25"/>
    <x v="3"/>
  </r>
  <r>
    <x v="449"/>
    <x v="4"/>
    <s v="A231709"/>
    <x v="2"/>
    <n v="100"/>
    <n v="7500"/>
    <n v="7875"/>
    <x v="3"/>
  </r>
  <r>
    <x v="449"/>
    <x v="242"/>
    <s v="A287749"/>
    <x v="1"/>
    <n v="35"/>
    <n v="2975"/>
    <n v="3123.75"/>
    <x v="3"/>
  </r>
  <r>
    <x v="449"/>
    <x v="242"/>
    <s v="A287749"/>
    <x v="11"/>
    <n v="5"/>
    <n v="425"/>
    <n v="446.25"/>
    <x v="3"/>
  </r>
  <r>
    <x v="449"/>
    <x v="454"/>
    <s v="P781985"/>
    <x v="2"/>
    <n v="10"/>
    <n v="800"/>
    <n v="840"/>
    <x v="3"/>
  </r>
  <r>
    <x v="449"/>
    <x v="303"/>
    <s v="A403149"/>
    <x v="11"/>
    <n v="25"/>
    <n v="2250"/>
    <n v="2362.5"/>
    <x v="3"/>
  </r>
  <r>
    <x v="449"/>
    <x v="434"/>
    <s v="A241908"/>
    <x v="2"/>
    <n v="4"/>
    <n v="360"/>
    <n v="378"/>
    <x v="3"/>
  </r>
  <r>
    <x v="449"/>
    <x v="434"/>
    <s v="A241908"/>
    <x v="11"/>
    <n v="100"/>
    <n v="9000"/>
    <n v="9450"/>
    <x v="3"/>
  </r>
  <r>
    <x v="449"/>
    <x v="434"/>
    <s v="A241908"/>
    <x v="0"/>
    <n v="5"/>
    <n v="475"/>
    <n v="498.75"/>
    <x v="3"/>
  </r>
  <r>
    <x v="449"/>
    <x v="421"/>
    <s v="A243394"/>
    <x v="0"/>
    <n v="25"/>
    <n v="2375"/>
    <n v="2493.75"/>
    <x v="3"/>
  </r>
  <r>
    <x v="449"/>
    <x v="333"/>
    <s v="A317824"/>
    <x v="11"/>
    <n v="75"/>
    <n v="5625"/>
    <n v="5906.25"/>
    <x v="3"/>
  </r>
  <r>
    <x v="449"/>
    <x v="655"/>
    <s v="P782007"/>
    <x v="2"/>
    <n v="15"/>
    <n v="1275"/>
    <n v="1338.75"/>
    <x v="3"/>
  </r>
  <r>
    <x v="449"/>
    <x v="655"/>
    <s v="P782007"/>
    <x v="11"/>
    <n v="25"/>
    <n v="2125"/>
    <n v="2231.25"/>
    <x v="3"/>
  </r>
  <r>
    <x v="449"/>
    <x v="263"/>
    <s v="A403817"/>
    <x v="2"/>
    <n v="30"/>
    <n v="2250"/>
    <n v="2362.5"/>
    <x v="3"/>
  </r>
  <r>
    <x v="449"/>
    <x v="357"/>
    <s v="A319989"/>
    <x v="9"/>
    <n v="10"/>
    <n v="700"/>
    <m/>
    <x v="3"/>
  </r>
  <r>
    <x v="449"/>
    <x v="13"/>
    <m/>
    <x v="9"/>
    <n v="5"/>
    <n v="550"/>
    <m/>
    <x v="3"/>
  </r>
  <r>
    <x v="449"/>
    <x v="13"/>
    <m/>
    <x v="1"/>
    <n v="20"/>
    <n v="2200"/>
    <n v="2310"/>
    <x v="3"/>
  </r>
  <r>
    <x v="449"/>
    <x v="13"/>
    <m/>
    <x v="2"/>
    <n v="5"/>
    <n v="550"/>
    <n v="577.5"/>
    <x v="3"/>
  </r>
  <r>
    <x v="449"/>
    <x v="13"/>
    <m/>
    <x v="11"/>
    <n v="15"/>
    <n v="1650"/>
    <n v="1732.5"/>
    <x v="3"/>
  </r>
  <r>
    <x v="449"/>
    <x v="456"/>
    <s v="A313001"/>
    <x v="2"/>
    <n v="5"/>
    <n v="400"/>
    <n v="420"/>
    <x v="3"/>
  </r>
  <r>
    <x v="449"/>
    <x v="166"/>
    <s v="A233185"/>
    <x v="8"/>
    <n v="20"/>
    <n v="1300"/>
    <m/>
    <x v="3"/>
  </r>
  <r>
    <x v="449"/>
    <x v="166"/>
    <s v="A233185"/>
    <x v="9"/>
    <n v="25"/>
    <n v="1625"/>
    <m/>
    <x v="3"/>
  </r>
  <r>
    <x v="449"/>
    <x v="166"/>
    <s v="A233185"/>
    <x v="1"/>
    <n v="50"/>
    <n v="3325"/>
    <n v="3491.25"/>
    <x v="3"/>
  </r>
  <r>
    <x v="449"/>
    <x v="358"/>
    <s v="A402012"/>
    <x v="1"/>
    <n v="25"/>
    <n v="1700"/>
    <n v="1785"/>
    <x v="3"/>
  </r>
  <r>
    <x v="449"/>
    <x v="252"/>
    <s v="A408098"/>
    <x v="11"/>
    <n v="25"/>
    <n v="1700"/>
    <n v="1785"/>
    <x v="3"/>
  </r>
  <r>
    <x v="449"/>
    <x v="335"/>
    <s v="A349425"/>
    <x v="2"/>
    <n v="90"/>
    <n v="11080"/>
    <n v="11634"/>
    <x v="3"/>
  </r>
  <r>
    <x v="449"/>
    <x v="335"/>
    <s v="A349425"/>
    <x v="11"/>
    <n v="220"/>
    <n v="27060"/>
    <n v="28413"/>
    <x v="3"/>
  </r>
  <r>
    <x v="449"/>
    <x v="335"/>
    <s v="A349425"/>
    <x v="0"/>
    <n v="75"/>
    <n v="9225"/>
    <n v="9686.25"/>
    <x v="3"/>
  </r>
  <r>
    <x v="449"/>
    <x v="551"/>
    <s v="A350145"/>
    <x v="1"/>
    <n v="5"/>
    <n v="400"/>
    <n v="420"/>
    <x v="3"/>
  </r>
  <r>
    <x v="449"/>
    <x v="19"/>
    <s v="A233442"/>
    <x v="9"/>
    <n v="5"/>
    <n v="325"/>
    <m/>
    <x v="3"/>
  </r>
  <r>
    <x v="449"/>
    <x v="19"/>
    <s v="A233442"/>
    <x v="1"/>
    <n v="10"/>
    <n v="650"/>
    <n v="682.5"/>
    <x v="3"/>
  </r>
  <r>
    <x v="449"/>
    <x v="19"/>
    <s v="A233442"/>
    <x v="2"/>
    <n v="20"/>
    <n v="1700"/>
    <n v="1785"/>
    <x v="3"/>
  </r>
  <r>
    <x v="449"/>
    <x v="247"/>
    <s v="A402013"/>
    <x v="11"/>
    <n v="10"/>
    <n v="850"/>
    <n v="892.5"/>
    <x v="3"/>
  </r>
  <r>
    <x v="449"/>
    <x v="14"/>
    <m/>
    <x v="9"/>
    <n v="20"/>
    <n v="1600"/>
    <m/>
    <x v="3"/>
  </r>
  <r>
    <x v="449"/>
    <x v="14"/>
    <m/>
    <x v="1"/>
    <n v="50"/>
    <n v="4000"/>
    <n v="4200"/>
    <x v="3"/>
  </r>
  <r>
    <x v="449"/>
    <x v="14"/>
    <m/>
    <x v="2"/>
    <n v="20"/>
    <n v="1600"/>
    <n v="1680"/>
    <x v="3"/>
  </r>
  <r>
    <x v="449"/>
    <x v="553"/>
    <s v="A269419"/>
    <x v="11"/>
    <n v="55"/>
    <n v="5225"/>
    <n v="5486.25"/>
    <x v="3"/>
  </r>
  <r>
    <x v="449"/>
    <x v="553"/>
    <s v="A269419"/>
    <x v="0"/>
    <n v="10"/>
    <n v="950"/>
    <n v="997.5"/>
    <x v="105"/>
  </r>
  <r>
    <x v="449"/>
    <x v="553"/>
    <s v="A269419"/>
    <x v="0"/>
    <n v="25"/>
    <n v="2375"/>
    <n v="2493.75"/>
    <x v="3"/>
  </r>
  <r>
    <x v="449"/>
    <x v="1"/>
    <s v="A231710"/>
    <x v="1"/>
    <n v="130"/>
    <n v="10450"/>
    <n v="10972.5"/>
    <x v="3"/>
  </r>
  <r>
    <x v="449"/>
    <x v="1"/>
    <s v="A231710"/>
    <x v="11"/>
    <n v="75"/>
    <n v="6375"/>
    <n v="6693.75"/>
    <x v="3"/>
  </r>
  <r>
    <x v="449"/>
    <x v="1"/>
    <s v="A231710"/>
    <x v="0"/>
    <n v="75"/>
    <n v="5250"/>
    <n v="5512.5"/>
    <x v="3"/>
  </r>
  <r>
    <x v="450"/>
    <x v="1056"/>
    <s v="A231112"/>
    <x v="3"/>
    <n v="0.6"/>
    <n v="198.72"/>
    <m/>
    <x v="3"/>
  </r>
  <r>
    <x v="451"/>
    <x v="39"/>
    <s v="A322649"/>
    <x v="2"/>
    <n v="15"/>
    <n v="3300"/>
    <n v="3465"/>
    <x v="3"/>
  </r>
  <r>
    <x v="451"/>
    <x v="39"/>
    <s v="A322649"/>
    <x v="11"/>
    <n v="5"/>
    <n v="1100"/>
    <n v="1155"/>
    <x v="3"/>
  </r>
  <r>
    <x v="451"/>
    <x v="55"/>
    <s v="A403816"/>
    <x v="2"/>
    <n v="10"/>
    <n v="1905"/>
    <n v="2000.25"/>
    <x v="3"/>
  </r>
  <r>
    <x v="451"/>
    <x v="212"/>
    <s v="P05636"/>
    <x v="2"/>
    <n v="3"/>
    <n v="1400"/>
    <n v="1470"/>
    <x v="3"/>
  </r>
  <r>
    <x v="451"/>
    <x v="168"/>
    <s v="A295590"/>
    <x v="2"/>
    <n v="20"/>
    <n v="3600"/>
    <n v="3780"/>
    <x v="3"/>
  </r>
  <r>
    <x v="451"/>
    <x v="169"/>
    <s v="A286825"/>
    <x v="2"/>
    <n v="3"/>
    <n v="825"/>
    <n v="866.25"/>
    <x v="3"/>
  </r>
  <r>
    <x v="452"/>
    <x v="413"/>
    <s v="P08232"/>
    <x v="7"/>
    <n v="70"/>
    <n v="13300"/>
    <m/>
    <x v="3"/>
  </r>
  <r>
    <x v="452"/>
    <x v="413"/>
    <s v="P08232"/>
    <x v="10"/>
    <n v="55"/>
    <n v="10450"/>
    <m/>
    <x v="3"/>
  </r>
  <r>
    <x v="452"/>
    <x v="295"/>
    <s v="A302349"/>
    <x v="10"/>
    <n v="70"/>
    <n v="15400"/>
    <m/>
    <x v="3"/>
  </r>
  <r>
    <x v="452"/>
    <x v="146"/>
    <s v="A245818"/>
    <x v="8"/>
    <n v="10"/>
    <n v="1290"/>
    <m/>
    <x v="3"/>
  </r>
  <r>
    <x v="452"/>
    <x v="146"/>
    <s v="A245818"/>
    <x v="9"/>
    <n v="10"/>
    <n v="1290"/>
    <m/>
    <x v="3"/>
  </r>
  <r>
    <x v="452"/>
    <x v="146"/>
    <s v="A245818"/>
    <x v="1"/>
    <n v="10"/>
    <n v="1290"/>
    <n v="1354.5"/>
    <x v="3"/>
  </r>
  <r>
    <x v="452"/>
    <x v="272"/>
    <s v="A246994"/>
    <x v="7"/>
    <n v="40"/>
    <n v="4440"/>
    <m/>
    <x v="3"/>
  </r>
  <r>
    <x v="452"/>
    <x v="272"/>
    <s v="A246994"/>
    <x v="10"/>
    <n v="5"/>
    <n v="555"/>
    <m/>
    <x v="3"/>
  </r>
  <r>
    <x v="452"/>
    <x v="1015"/>
    <s v="A241361"/>
    <x v="6"/>
    <n v="5"/>
    <n v="650"/>
    <m/>
    <x v="3"/>
  </r>
  <r>
    <x v="452"/>
    <x v="692"/>
    <s v="A415891"/>
    <x v="11"/>
    <n v="5"/>
    <n v="645"/>
    <n v="677.25"/>
    <x v="3"/>
  </r>
  <r>
    <x v="452"/>
    <x v="46"/>
    <s v="A234876"/>
    <x v="7"/>
    <n v="30"/>
    <n v="6400"/>
    <m/>
    <x v="3"/>
  </r>
  <r>
    <x v="452"/>
    <x v="46"/>
    <s v="A234876"/>
    <x v="10"/>
    <n v="30"/>
    <n v="6000"/>
    <m/>
    <x v="3"/>
  </r>
  <r>
    <x v="452"/>
    <x v="46"/>
    <s v="A234876"/>
    <x v="8"/>
    <n v="30"/>
    <n v="6000"/>
    <m/>
    <x v="3"/>
  </r>
  <r>
    <x v="452"/>
    <x v="46"/>
    <s v="A234876"/>
    <x v="9"/>
    <n v="15"/>
    <n v="3000"/>
    <m/>
    <x v="3"/>
  </r>
  <r>
    <x v="452"/>
    <x v="46"/>
    <s v="A234876"/>
    <x v="1"/>
    <n v="15"/>
    <n v="3000"/>
    <n v="3150"/>
    <x v="3"/>
  </r>
  <r>
    <x v="452"/>
    <x v="46"/>
    <s v="A234876"/>
    <x v="2"/>
    <n v="5"/>
    <n v="1000"/>
    <n v="1050"/>
    <x v="3"/>
  </r>
  <r>
    <x v="452"/>
    <x v="46"/>
    <s v="A234876"/>
    <x v="11"/>
    <n v="15"/>
    <n v="3000"/>
    <n v="3150"/>
    <x v="3"/>
  </r>
  <r>
    <x v="452"/>
    <x v="46"/>
    <s v="A234876"/>
    <x v="0"/>
    <n v="25"/>
    <n v="5000"/>
    <n v="5250"/>
    <x v="3"/>
  </r>
  <r>
    <x v="452"/>
    <x v="26"/>
    <s v="A281055"/>
    <x v="7"/>
    <n v="30"/>
    <n v="6000"/>
    <m/>
    <x v="3"/>
  </r>
  <r>
    <x v="452"/>
    <x v="26"/>
    <s v="A281055"/>
    <x v="10"/>
    <n v="10"/>
    <n v="2000"/>
    <m/>
    <x v="3"/>
  </r>
  <r>
    <x v="452"/>
    <x v="283"/>
    <s v="P04017"/>
    <x v="10"/>
    <n v="10"/>
    <n v="2400"/>
    <m/>
    <x v="3"/>
  </r>
  <r>
    <x v="452"/>
    <x v="283"/>
    <s v="P04017"/>
    <x v="8"/>
    <n v="5"/>
    <n v="1200"/>
    <m/>
    <x v="3"/>
  </r>
  <r>
    <x v="452"/>
    <x v="57"/>
    <s v="A246761"/>
    <x v="5"/>
    <n v="3"/>
    <n v="609"/>
    <m/>
    <x v="3"/>
  </r>
  <r>
    <x v="452"/>
    <x v="303"/>
    <s v="A403149"/>
    <x v="11"/>
    <n v="5"/>
    <n v="900"/>
    <n v="945"/>
    <x v="3"/>
  </r>
  <r>
    <x v="452"/>
    <x v="117"/>
    <s v="A238388"/>
    <x v="1"/>
    <n v="7"/>
    <n v="1260"/>
    <n v="1323"/>
    <x v="3"/>
  </r>
  <r>
    <x v="452"/>
    <x v="69"/>
    <s v="A243394"/>
    <x v="10"/>
    <n v="5"/>
    <n v="1100"/>
    <m/>
    <x v="3"/>
  </r>
  <r>
    <x v="452"/>
    <x v="72"/>
    <s v="P08499"/>
    <x v="10"/>
    <n v="25"/>
    <n v="6500"/>
    <m/>
    <x v="3"/>
  </r>
  <r>
    <x v="452"/>
    <x v="72"/>
    <s v="P08499"/>
    <x v="8"/>
    <n v="10"/>
    <n v="2600"/>
    <m/>
    <x v="3"/>
  </r>
  <r>
    <x v="452"/>
    <x v="72"/>
    <s v="P08499"/>
    <x v="9"/>
    <n v="5"/>
    <n v="1300"/>
    <m/>
    <x v="3"/>
  </r>
  <r>
    <x v="452"/>
    <x v="197"/>
    <s v="A276064"/>
    <x v="7"/>
    <n v="25"/>
    <n v="5750"/>
    <m/>
    <x v="3"/>
  </r>
  <r>
    <x v="452"/>
    <x v="197"/>
    <s v="A276064"/>
    <x v="10"/>
    <n v="30"/>
    <n v="6900"/>
    <m/>
    <x v="3"/>
  </r>
  <r>
    <x v="452"/>
    <x v="99"/>
    <s v="A282344"/>
    <x v="6"/>
    <n v="10"/>
    <n v="2200"/>
    <m/>
    <x v="3"/>
  </r>
  <r>
    <x v="452"/>
    <x v="99"/>
    <s v="A282344"/>
    <x v="7"/>
    <n v="50"/>
    <n v="9500"/>
    <m/>
    <x v="3"/>
  </r>
  <r>
    <x v="452"/>
    <x v="99"/>
    <s v="A282344"/>
    <x v="10"/>
    <n v="10"/>
    <n v="1900"/>
    <m/>
    <x v="3"/>
  </r>
  <r>
    <x v="452"/>
    <x v="99"/>
    <s v="A282344"/>
    <x v="8"/>
    <n v="25"/>
    <n v="4750"/>
    <m/>
    <x v="3"/>
  </r>
  <r>
    <x v="452"/>
    <x v="99"/>
    <s v="A282344"/>
    <x v="1"/>
    <n v="30"/>
    <n v="4800"/>
    <n v="5040"/>
    <x v="3"/>
  </r>
  <r>
    <x v="452"/>
    <x v="139"/>
    <s v="P08499"/>
    <x v="11"/>
    <n v="5"/>
    <n v="1300"/>
    <n v="1365"/>
    <x v="3"/>
  </r>
  <r>
    <x v="452"/>
    <x v="219"/>
    <s v="A271046"/>
    <x v="10"/>
    <n v="10"/>
    <n v="2400"/>
    <m/>
    <x v="3"/>
  </r>
  <r>
    <x v="452"/>
    <x v="32"/>
    <s v="A295591"/>
    <x v="6"/>
    <n v="5"/>
    <n v="1750"/>
    <m/>
    <x v="3"/>
  </r>
  <r>
    <x v="452"/>
    <x v="32"/>
    <s v="A295591"/>
    <x v="10"/>
    <n v="10"/>
    <n v="2000"/>
    <m/>
    <x v="3"/>
  </r>
  <r>
    <x v="452"/>
    <x v="168"/>
    <s v="A295590"/>
    <x v="1"/>
    <n v="15"/>
    <n v="2700"/>
    <n v="2835"/>
    <x v="3"/>
  </r>
  <r>
    <x v="452"/>
    <x v="1057"/>
    <s v="A281877"/>
    <x v="7"/>
    <n v="4.5"/>
    <n v="990"/>
    <m/>
    <x v="3"/>
  </r>
  <r>
    <x v="453"/>
    <x v="1058"/>
    <s v="A266486"/>
    <x v="6"/>
    <n v="10"/>
    <n v="2200"/>
    <m/>
    <x v="3"/>
  </r>
  <r>
    <x v="453"/>
    <x v="650"/>
    <s v="A235748"/>
    <x v="7"/>
    <n v="25"/>
    <n v="5500"/>
    <m/>
    <x v="3"/>
  </r>
  <r>
    <x v="453"/>
    <x v="57"/>
    <s v="A292908"/>
    <x v="7"/>
    <n v="30"/>
    <n v="7200"/>
    <m/>
    <x v="3"/>
  </r>
  <r>
    <x v="453"/>
    <x v="867"/>
    <s v="A246761"/>
    <x v="7"/>
    <n v="10"/>
    <n v="2600"/>
    <m/>
    <x v="3"/>
  </r>
  <r>
    <x v="453"/>
    <x v="99"/>
    <s v="A282344"/>
    <x v="6"/>
    <n v="10"/>
    <n v="2200"/>
    <m/>
    <x v="3"/>
  </r>
  <r>
    <x v="453"/>
    <x v="99"/>
    <s v="A282344"/>
    <x v="7"/>
    <n v="10"/>
    <n v="2200"/>
    <m/>
    <x v="3"/>
  </r>
  <r>
    <x v="453"/>
    <x v="32"/>
    <s v="A295591"/>
    <x v="7"/>
    <n v="25"/>
    <n v="7250"/>
    <m/>
    <x v="3"/>
  </r>
  <r>
    <x v="454"/>
    <x v="653"/>
    <s v="P108621"/>
    <x v="11"/>
    <n v="25"/>
    <n v="1750"/>
    <n v="1837.5"/>
    <x v="3"/>
  </r>
  <r>
    <x v="454"/>
    <x v="822"/>
    <s v="A292853"/>
    <x v="11"/>
    <n v="50"/>
    <n v="3500"/>
    <n v="3675"/>
    <x v="3"/>
  </r>
  <r>
    <x v="454"/>
    <x v="93"/>
    <s v="A231708"/>
    <x v="2"/>
    <n v="25"/>
    <n v="1325"/>
    <n v="1391.25"/>
    <x v="3"/>
  </r>
  <r>
    <x v="454"/>
    <x v="3"/>
    <s v="A331329"/>
    <x v="2"/>
    <n v="50"/>
    <n v="3250"/>
    <n v="3412.5"/>
    <x v="3"/>
  </r>
  <r>
    <x v="454"/>
    <x v="3"/>
    <s v="A331329"/>
    <x v="11"/>
    <n v="125"/>
    <n v="8125"/>
    <n v="8531.25"/>
    <x v="3"/>
  </r>
  <r>
    <x v="454"/>
    <x v="468"/>
    <s v="A402009"/>
    <x v="2"/>
    <n v="25"/>
    <n v="1625"/>
    <n v="1706.25"/>
    <x v="3"/>
  </r>
  <r>
    <x v="454"/>
    <x v="51"/>
    <s v="A298567"/>
    <x v="2"/>
    <n v="100"/>
    <n v="4500"/>
    <n v="4725"/>
    <x v="3"/>
  </r>
  <r>
    <x v="454"/>
    <x v="51"/>
    <s v="A298567"/>
    <x v="11"/>
    <n v="100"/>
    <n v="4500"/>
    <n v="4725"/>
    <x v="3"/>
  </r>
  <r>
    <x v="454"/>
    <x v="1059"/>
    <s v="A415791"/>
    <x v="2"/>
    <n v="25"/>
    <n v="1500"/>
    <n v="1575"/>
    <x v="3"/>
  </r>
  <r>
    <x v="454"/>
    <x v="244"/>
    <s v="A415792"/>
    <x v="11"/>
    <n v="100"/>
    <n v="6000"/>
    <n v="6300"/>
    <x v="3"/>
  </r>
  <r>
    <x v="454"/>
    <x v="1"/>
    <s v="A231710"/>
    <x v="2"/>
    <n v="25"/>
    <n v="1750"/>
    <n v="1837.5"/>
    <x v="3"/>
  </r>
  <r>
    <x v="454"/>
    <x v="1"/>
    <s v="A231710"/>
    <x v="11"/>
    <n v="25"/>
    <n v="1750"/>
    <n v="1837.5"/>
    <x v="3"/>
  </r>
  <r>
    <x v="455"/>
    <x v="9"/>
    <s v="A234248"/>
    <x v="8"/>
    <n v="25"/>
    <n v="2500"/>
    <m/>
    <x v="3"/>
  </r>
  <r>
    <x v="455"/>
    <x v="9"/>
    <s v="A234248"/>
    <x v="1"/>
    <n v="25"/>
    <n v="2500"/>
    <n v="2625"/>
    <x v="3"/>
  </r>
  <r>
    <x v="455"/>
    <x v="573"/>
    <m/>
    <x v="8"/>
    <n v="60"/>
    <n v="5520"/>
    <m/>
    <x v="3"/>
  </r>
  <r>
    <x v="455"/>
    <x v="1060"/>
    <m/>
    <x v="8"/>
    <n v="60"/>
    <n v="7800"/>
    <m/>
    <x v="3"/>
  </r>
  <r>
    <x v="456"/>
    <x v="723"/>
    <s v="A243962"/>
    <x v="4"/>
    <n v="15"/>
    <n v="2400"/>
    <m/>
    <x v="3"/>
  </r>
  <r>
    <x v="456"/>
    <x v="1061"/>
    <s v="A278029"/>
    <x v="5"/>
    <n v="10"/>
    <n v="2000"/>
    <m/>
    <x v="3"/>
  </r>
  <r>
    <x v="456"/>
    <x v="604"/>
    <s v="A259365"/>
    <x v="4"/>
    <n v="5"/>
    <n v="1000"/>
    <m/>
    <x v="3"/>
  </r>
  <r>
    <x v="456"/>
    <x v="146"/>
    <s v="A266852"/>
    <x v="5"/>
    <n v="10"/>
    <n v="1800"/>
    <m/>
    <x v="3"/>
  </r>
  <r>
    <x v="456"/>
    <x v="936"/>
    <s v="A270638"/>
    <x v="5"/>
    <n v="10"/>
    <n v="1700"/>
    <m/>
    <x v="3"/>
  </r>
  <r>
    <x v="456"/>
    <x v="616"/>
    <s v="A241362"/>
    <x v="4"/>
    <n v="5"/>
    <n v="900"/>
    <m/>
    <x v="3"/>
  </r>
  <r>
    <x v="456"/>
    <x v="616"/>
    <s v="A241362"/>
    <x v="5"/>
    <n v="10"/>
    <n v="1800"/>
    <m/>
    <x v="3"/>
  </r>
  <r>
    <x v="456"/>
    <x v="1062"/>
    <s v="A241367"/>
    <x v="5"/>
    <n v="10"/>
    <n v="1650"/>
    <m/>
    <x v="3"/>
  </r>
  <r>
    <x v="456"/>
    <x v="190"/>
    <s v="A238187"/>
    <x v="5"/>
    <n v="10"/>
    <n v="1900"/>
    <m/>
    <x v="3"/>
  </r>
  <r>
    <x v="456"/>
    <x v="46"/>
    <s v="A234876"/>
    <x v="4"/>
    <n v="10"/>
    <n v="1800"/>
    <m/>
    <x v="3"/>
  </r>
  <r>
    <x v="456"/>
    <x v="46"/>
    <s v="A234876"/>
    <x v="5"/>
    <n v="10"/>
    <n v="1800"/>
    <m/>
    <x v="3"/>
  </r>
  <r>
    <x v="456"/>
    <x v="26"/>
    <s v="A261819"/>
    <x v="4"/>
    <n v="10"/>
    <n v="2000"/>
    <m/>
    <x v="3"/>
  </r>
  <r>
    <x v="456"/>
    <x v="26"/>
    <s v="A261819"/>
    <x v="5"/>
    <n v="10"/>
    <n v="2000"/>
    <m/>
    <x v="3"/>
  </r>
  <r>
    <x v="456"/>
    <x v="26"/>
    <s v="A261819"/>
    <x v="6"/>
    <n v="30"/>
    <n v="6000"/>
    <m/>
    <x v="3"/>
  </r>
  <r>
    <x v="456"/>
    <x v="26"/>
    <s v="A281055"/>
    <x v="6"/>
    <n v="25"/>
    <n v="5000"/>
    <m/>
    <x v="3"/>
  </r>
  <r>
    <x v="456"/>
    <x v="26"/>
    <s v="A281055"/>
    <x v="7"/>
    <n v="85"/>
    <n v="16500"/>
    <m/>
    <x v="3"/>
  </r>
  <r>
    <x v="456"/>
    <x v="26"/>
    <s v="A281055"/>
    <x v="10"/>
    <n v="89.5"/>
    <n v="16110"/>
    <m/>
    <x v="3"/>
  </r>
  <r>
    <x v="456"/>
    <x v="26"/>
    <s v="A261819"/>
    <x v="8"/>
    <n v="69.5"/>
    <n v="10425"/>
    <m/>
    <x v="3"/>
  </r>
  <r>
    <x v="456"/>
    <x v="26"/>
    <s v="A281055"/>
    <x v="9"/>
    <n v="15"/>
    <n v="2250"/>
    <m/>
    <x v="3"/>
  </r>
  <r>
    <x v="456"/>
    <x v="26"/>
    <s v="A281055"/>
    <x v="1"/>
    <n v="10"/>
    <n v="1500"/>
    <n v="1575"/>
    <x v="3"/>
  </r>
  <r>
    <x v="456"/>
    <x v="427"/>
    <s v="A250985"/>
    <x v="4"/>
    <n v="5"/>
    <n v="1000"/>
    <m/>
    <x v="3"/>
  </r>
  <r>
    <x v="456"/>
    <x v="427"/>
    <s v="A250985"/>
    <x v="5"/>
    <n v="10"/>
    <n v="2000"/>
    <m/>
    <x v="3"/>
  </r>
  <r>
    <x v="456"/>
    <x v="492"/>
    <s v="A257635"/>
    <x v="6"/>
    <n v="5"/>
    <n v="950"/>
    <m/>
    <x v="3"/>
  </r>
  <r>
    <x v="456"/>
    <x v="968"/>
    <s v="A273819"/>
    <x v="5"/>
    <n v="10"/>
    <n v="2300"/>
    <m/>
    <x v="3"/>
  </r>
  <r>
    <x v="456"/>
    <x v="968"/>
    <s v="A273819"/>
    <x v="6"/>
    <n v="5"/>
    <n v="1150"/>
    <m/>
    <x v="3"/>
  </r>
  <r>
    <x v="456"/>
    <x v="415"/>
    <s v="A238388"/>
    <x v="4"/>
    <n v="10"/>
    <n v="1400"/>
    <m/>
    <x v="3"/>
  </r>
  <r>
    <x v="456"/>
    <x v="415"/>
    <s v="A238388"/>
    <x v="5"/>
    <n v="5"/>
    <n v="1450"/>
    <m/>
    <x v="3"/>
  </r>
  <r>
    <x v="456"/>
    <x v="663"/>
    <s v="A273822"/>
    <x v="4"/>
    <n v="5"/>
    <n v="1200"/>
    <m/>
    <x v="3"/>
  </r>
  <r>
    <x v="456"/>
    <x v="663"/>
    <s v="A273822"/>
    <x v="5"/>
    <n v="20"/>
    <n v="1200"/>
    <m/>
    <x v="3"/>
  </r>
  <r>
    <x v="456"/>
    <x v="68"/>
    <s v="A241029"/>
    <x v="4"/>
    <n v="5"/>
    <n v="1000"/>
    <m/>
    <x v="3"/>
  </r>
  <r>
    <x v="456"/>
    <x v="68"/>
    <s v="A241029"/>
    <x v="5"/>
    <n v="25"/>
    <n v="4000"/>
    <m/>
    <x v="3"/>
  </r>
  <r>
    <x v="456"/>
    <x v="68"/>
    <m/>
    <x v="6"/>
    <n v="10"/>
    <n v="2000"/>
    <m/>
    <x v="3"/>
  </r>
  <r>
    <x v="456"/>
    <x v="68"/>
    <s v="A241029"/>
    <x v="6"/>
    <n v="10"/>
    <n v="2000"/>
    <m/>
    <x v="3"/>
  </r>
  <r>
    <x v="456"/>
    <x v="69"/>
    <s v="A243394"/>
    <x v="4"/>
    <n v="15"/>
    <n v="2150"/>
    <m/>
    <x v="3"/>
  </r>
  <r>
    <x v="456"/>
    <x v="69"/>
    <s v="A243394"/>
    <x v="5"/>
    <n v="5"/>
    <n v="2750"/>
    <m/>
    <x v="3"/>
  </r>
  <r>
    <x v="456"/>
    <x v="69"/>
    <s v="A243394"/>
    <x v="6"/>
    <n v="20"/>
    <n v="3000"/>
    <m/>
    <x v="3"/>
  </r>
  <r>
    <x v="456"/>
    <x v="69"/>
    <s v="A243394"/>
    <x v="7"/>
    <n v="20"/>
    <n v="3000"/>
    <m/>
    <x v="3"/>
  </r>
  <r>
    <x v="456"/>
    <x v="69"/>
    <s v="A243394"/>
    <x v="10"/>
    <n v="5"/>
    <n v="750"/>
    <m/>
    <x v="3"/>
  </r>
  <r>
    <x v="456"/>
    <x v="69"/>
    <s v="A243394"/>
    <x v="8"/>
    <n v="5"/>
    <n v="850"/>
    <m/>
    <x v="3"/>
  </r>
  <r>
    <x v="456"/>
    <x v="945"/>
    <s v="A233759"/>
    <x v="4"/>
    <n v="10"/>
    <n v="1800"/>
    <m/>
    <x v="3"/>
  </r>
  <r>
    <x v="456"/>
    <x v="791"/>
    <s v="A241371"/>
    <x v="6"/>
    <n v="5"/>
    <n v="900"/>
    <m/>
    <x v="3"/>
  </r>
  <r>
    <x v="456"/>
    <x v="1063"/>
    <s v="A276064"/>
    <x v="5"/>
    <n v="10"/>
    <n v="1000"/>
    <m/>
    <x v="3"/>
  </r>
  <r>
    <x v="456"/>
    <x v="201"/>
    <s v="A253600"/>
    <x v="4"/>
    <n v="5"/>
    <n v="1250"/>
    <m/>
    <x v="3"/>
  </r>
  <r>
    <x v="456"/>
    <x v="99"/>
    <s v="A259363"/>
    <x v="4"/>
    <n v="5"/>
    <n v="1200"/>
    <m/>
    <x v="3"/>
  </r>
  <r>
    <x v="457"/>
    <x v="110"/>
    <s v="A241372"/>
    <x v="4"/>
    <n v="25"/>
    <n v="5000"/>
    <m/>
    <x v="3"/>
  </r>
  <r>
    <x v="457"/>
    <x v="723"/>
    <s v="A243962"/>
    <x v="4"/>
    <n v="25"/>
    <n v="6000"/>
    <m/>
    <x v="3"/>
  </r>
  <r>
    <x v="457"/>
    <x v="206"/>
    <s v="A249962"/>
    <x v="4"/>
    <n v="5"/>
    <n v="1200"/>
    <m/>
    <x v="3"/>
  </r>
  <r>
    <x v="457"/>
    <x v="111"/>
    <s v="A257635"/>
    <x v="3"/>
    <n v="5"/>
    <n v="1200"/>
    <m/>
    <x v="3"/>
  </r>
  <r>
    <x v="457"/>
    <x v="111"/>
    <s v="A257635"/>
    <x v="4"/>
    <n v="10"/>
    <n v="2000"/>
    <m/>
    <x v="3"/>
  </r>
  <r>
    <x v="457"/>
    <x v="111"/>
    <s v="A257635"/>
    <x v="6"/>
    <n v="10"/>
    <n v="2000"/>
    <m/>
    <x v="3"/>
  </r>
  <r>
    <x v="457"/>
    <x v="112"/>
    <s v="A265729"/>
    <x v="4"/>
    <n v="10"/>
    <n v="2300"/>
    <m/>
    <x v="3"/>
  </r>
  <r>
    <x v="457"/>
    <x v="474"/>
    <s v="A238381"/>
    <x v="4"/>
    <n v="5"/>
    <n v="1200"/>
    <m/>
    <x v="3"/>
  </r>
  <r>
    <x v="457"/>
    <x v="1064"/>
    <s v="A255595"/>
    <x v="4"/>
    <n v="15"/>
    <n v="3600"/>
    <m/>
    <x v="3"/>
  </r>
  <r>
    <x v="457"/>
    <x v="1065"/>
    <s v="A261823"/>
    <x v="4"/>
    <n v="5"/>
    <n v="1000"/>
    <m/>
    <x v="3"/>
  </r>
  <r>
    <x v="457"/>
    <x v="150"/>
    <s v="A261819"/>
    <x v="4"/>
    <n v="30"/>
    <n v="7200"/>
    <m/>
    <x v="3"/>
  </r>
  <r>
    <x v="457"/>
    <x v="150"/>
    <s v="A261819"/>
    <x v="6"/>
    <n v="20"/>
    <n v="5000"/>
    <m/>
    <x v="3"/>
  </r>
  <r>
    <x v="457"/>
    <x v="188"/>
    <s v="A235765"/>
    <x v="4"/>
    <n v="15"/>
    <n v="2700"/>
    <m/>
    <x v="3"/>
  </r>
  <r>
    <x v="457"/>
    <x v="273"/>
    <s v="A320112"/>
    <x v="2"/>
    <n v="10"/>
    <n v="1200"/>
    <n v="1260"/>
    <x v="3"/>
  </r>
  <r>
    <x v="457"/>
    <x v="273"/>
    <s v="A320112"/>
    <x v="11"/>
    <n v="10"/>
    <n v="1200"/>
    <n v="1260"/>
    <x v="3"/>
  </r>
  <r>
    <x v="457"/>
    <x v="616"/>
    <s v="A241362"/>
    <x v="4"/>
    <n v="15"/>
    <n v="2625"/>
    <m/>
    <x v="3"/>
  </r>
  <r>
    <x v="457"/>
    <x v="1066"/>
    <s v="A249739"/>
    <x v="4"/>
    <n v="40"/>
    <n v="6800"/>
    <m/>
    <x v="3"/>
  </r>
  <r>
    <x v="457"/>
    <x v="1067"/>
    <s v="A243394"/>
    <x v="4"/>
    <n v="5"/>
    <n v="650"/>
    <m/>
    <x v="3"/>
  </r>
  <r>
    <x v="457"/>
    <x v="1067"/>
    <s v="A243394"/>
    <x v="6"/>
    <n v="25"/>
    <n v="3250"/>
    <m/>
    <x v="3"/>
  </r>
  <r>
    <x v="457"/>
    <x v="620"/>
    <s v="A243757"/>
    <x v="4"/>
    <n v="5"/>
    <n v="1200"/>
    <m/>
    <x v="3"/>
  </r>
  <r>
    <x v="457"/>
    <x v="548"/>
    <s v="A245818"/>
    <x v="3"/>
    <n v="20"/>
    <n v="5000"/>
    <m/>
    <x v="3"/>
  </r>
  <r>
    <x v="457"/>
    <x v="548"/>
    <s v="A245818"/>
    <x v="4"/>
    <n v="35"/>
    <n v="8050"/>
    <m/>
    <x v="3"/>
  </r>
  <r>
    <x v="457"/>
    <x v="548"/>
    <s v="A245818"/>
    <x v="6"/>
    <n v="5"/>
    <n v="1000"/>
    <m/>
    <x v="3"/>
  </r>
  <r>
    <x v="457"/>
    <x v="548"/>
    <s v="A245818"/>
    <x v="9"/>
    <n v="55"/>
    <n v="9200"/>
    <m/>
    <x v="3"/>
  </r>
  <r>
    <x v="457"/>
    <x v="548"/>
    <s v="A245818"/>
    <x v="1"/>
    <n v="165"/>
    <n v="12000"/>
    <n v="12600"/>
    <x v="3"/>
  </r>
  <r>
    <x v="457"/>
    <x v="548"/>
    <s v="A245818"/>
    <x v="2"/>
    <n v="105"/>
    <n v="16800"/>
    <n v="17640"/>
    <x v="3"/>
  </r>
  <r>
    <x v="457"/>
    <x v="548"/>
    <s v="A245818"/>
    <x v="11"/>
    <n v="10"/>
    <n v="1600"/>
    <n v="1680"/>
    <x v="3"/>
  </r>
  <r>
    <x v="457"/>
    <x v="692"/>
    <s v="A415891"/>
    <x v="11"/>
    <n v="10"/>
    <n v="1600"/>
    <n v="1680"/>
    <x v="3"/>
  </r>
  <r>
    <x v="457"/>
    <x v="692"/>
    <s v="A415891"/>
    <x v="11"/>
    <n v="10"/>
    <n v="1600"/>
    <n v="1680"/>
    <x v="3"/>
  </r>
  <r>
    <x v="457"/>
    <x v="692"/>
    <s v="A415891"/>
    <x v="0"/>
    <n v="25"/>
    <n v="4000"/>
    <n v="4200"/>
    <x v="3"/>
  </r>
  <r>
    <x v="457"/>
    <x v="1068"/>
    <s v="A259820"/>
    <x v="4"/>
    <n v="10"/>
    <n v="1784.6"/>
    <m/>
    <x v="3"/>
  </r>
  <r>
    <x v="457"/>
    <x v="622"/>
    <s v="A254433"/>
    <x v="4"/>
    <n v="5"/>
    <n v="1050"/>
    <m/>
    <x v="3"/>
  </r>
  <r>
    <x v="457"/>
    <x v="286"/>
    <s v="A255319"/>
    <x v="3"/>
    <n v="5"/>
    <n v="1250"/>
    <m/>
    <x v="3"/>
  </r>
  <r>
    <x v="457"/>
    <x v="286"/>
    <s v="A255319"/>
    <x v="4"/>
    <n v="45"/>
    <n v="11250"/>
    <m/>
    <x v="3"/>
  </r>
  <r>
    <x v="457"/>
    <x v="477"/>
    <s v="A254534"/>
    <x v="3"/>
    <n v="5"/>
    <n v="1250"/>
    <m/>
    <x v="3"/>
  </r>
  <r>
    <x v="457"/>
    <x v="477"/>
    <s v="A254534"/>
    <x v="4"/>
    <n v="10"/>
    <n v="2500"/>
    <m/>
    <x v="3"/>
  </r>
  <r>
    <x v="457"/>
    <x v="116"/>
    <m/>
    <x v="4"/>
    <n v="5.5"/>
    <n v="1210"/>
    <m/>
    <x v="3"/>
  </r>
  <r>
    <x v="457"/>
    <x v="57"/>
    <s v="A292908"/>
    <x v="9"/>
    <n v="10"/>
    <n v="1700"/>
    <m/>
    <x v="3"/>
  </r>
  <r>
    <x v="457"/>
    <x v="57"/>
    <s v="A292908"/>
    <x v="1"/>
    <n v="30"/>
    <n v="5100"/>
    <n v="5355"/>
    <x v="3"/>
  </r>
  <r>
    <x v="457"/>
    <x v="57"/>
    <s v="A292908"/>
    <x v="2"/>
    <n v="65"/>
    <n v="11050"/>
    <n v="11602.5"/>
    <x v="3"/>
  </r>
  <r>
    <x v="457"/>
    <x v="303"/>
    <s v="A403149"/>
    <x v="11"/>
    <n v="50"/>
    <n v="8500"/>
    <n v="8925"/>
    <x v="3"/>
  </r>
  <r>
    <x v="457"/>
    <x v="303"/>
    <s v="A403149"/>
    <x v="0"/>
    <n v="20"/>
    <n v="3400"/>
    <n v="3570"/>
    <x v="3"/>
  </r>
  <r>
    <x v="457"/>
    <x v="867"/>
    <s v="A246761"/>
    <x v="2"/>
    <n v="14"/>
    <n v="2380"/>
    <n v="2499"/>
    <x v="3"/>
  </r>
  <r>
    <x v="457"/>
    <x v="867"/>
    <s v="A246761"/>
    <x v="0"/>
    <n v="8"/>
    <n v="1400"/>
    <n v="1470"/>
    <x v="3"/>
  </r>
  <r>
    <x v="457"/>
    <x v="415"/>
    <s v="A238388"/>
    <x v="12"/>
    <n v="15"/>
    <n v="2025"/>
    <m/>
    <x v="3"/>
  </r>
  <r>
    <x v="457"/>
    <x v="415"/>
    <s v="A238388"/>
    <x v="3"/>
    <n v="20"/>
    <n v="2700"/>
    <m/>
    <x v="3"/>
  </r>
  <r>
    <x v="457"/>
    <x v="415"/>
    <s v="A238388"/>
    <x v="4"/>
    <n v="10"/>
    <n v="1350"/>
    <m/>
    <x v="3"/>
  </r>
  <r>
    <x v="457"/>
    <x v="68"/>
    <s v="A241029"/>
    <x v="4"/>
    <n v="25"/>
    <n v="4875"/>
    <m/>
    <x v="3"/>
  </r>
  <r>
    <x v="457"/>
    <x v="68"/>
    <s v="A241029"/>
    <x v="5"/>
    <n v="10"/>
    <n v="1950"/>
    <m/>
    <x v="3"/>
  </r>
  <r>
    <x v="457"/>
    <x v="68"/>
    <s v="A241029"/>
    <x v="6"/>
    <n v="20"/>
    <n v="3900"/>
    <m/>
    <x v="3"/>
  </r>
  <r>
    <x v="457"/>
    <x v="69"/>
    <s v="A243394"/>
    <x v="12"/>
    <n v="40"/>
    <n v="5200"/>
    <m/>
    <x v="3"/>
  </r>
  <r>
    <x v="457"/>
    <x v="69"/>
    <s v="A243394"/>
    <x v="3"/>
    <n v="20"/>
    <n v="2600"/>
    <m/>
    <x v="3"/>
  </r>
  <r>
    <x v="457"/>
    <x v="69"/>
    <s v="A243394"/>
    <x v="4"/>
    <n v="45"/>
    <n v="6425"/>
    <m/>
    <x v="3"/>
  </r>
  <r>
    <x v="457"/>
    <x v="69"/>
    <s v="A243394"/>
    <x v="5"/>
    <n v="25"/>
    <n v="1500"/>
    <m/>
    <x v="3"/>
  </r>
  <r>
    <x v="457"/>
    <x v="69"/>
    <s v="A243394"/>
    <x v="7"/>
    <n v="40"/>
    <n v="6800"/>
    <m/>
    <x v="3"/>
  </r>
  <r>
    <x v="457"/>
    <x v="1069"/>
    <s v="A261824"/>
    <x v="4"/>
    <n v="5"/>
    <n v="1250"/>
    <m/>
    <x v="3"/>
  </r>
  <r>
    <x v="457"/>
    <x v="1070"/>
    <s v="A242628"/>
    <x v="4"/>
    <n v="10"/>
    <n v="1900"/>
    <m/>
    <x v="3"/>
  </r>
  <r>
    <x v="457"/>
    <x v="1070"/>
    <s v="A242628"/>
    <x v="6"/>
    <n v="10"/>
    <n v="1900"/>
    <m/>
    <x v="3"/>
  </r>
  <r>
    <x v="457"/>
    <x v="1070"/>
    <s v="A242628"/>
    <x v="1"/>
    <n v="5"/>
    <n v="900"/>
    <n v="945"/>
    <x v="3"/>
  </r>
  <r>
    <x v="457"/>
    <x v="1070"/>
    <s v="A242628"/>
    <x v="2"/>
    <n v="15"/>
    <n v="2700"/>
    <n v="2835"/>
    <x v="3"/>
  </r>
  <r>
    <x v="457"/>
    <x v="667"/>
    <s v="A415887"/>
    <x v="0"/>
    <n v="15"/>
    <n v="2700"/>
    <n v="2835"/>
    <x v="3"/>
  </r>
  <r>
    <x v="457"/>
    <x v="536"/>
    <s v="A250489"/>
    <x v="3"/>
    <n v="5"/>
    <n v="1200"/>
    <m/>
    <x v="3"/>
  </r>
  <r>
    <x v="457"/>
    <x v="1071"/>
    <s v="A237094"/>
    <x v="4"/>
    <n v="15"/>
    <n v="2700"/>
    <m/>
    <x v="3"/>
  </r>
  <r>
    <x v="457"/>
    <x v="642"/>
    <s v="A256429"/>
    <x v="4"/>
    <n v="25"/>
    <n v="4400"/>
    <m/>
    <x v="3"/>
  </r>
  <r>
    <x v="457"/>
    <x v="19"/>
    <s v="A233442"/>
    <x v="1"/>
    <n v="5"/>
    <n v="550"/>
    <n v="577.5"/>
    <x v="3"/>
  </r>
  <r>
    <x v="457"/>
    <x v="19"/>
    <s v="A233442"/>
    <x v="2"/>
    <n v="25"/>
    <n v="2750"/>
    <n v="2887.5"/>
    <x v="3"/>
  </r>
  <r>
    <x v="457"/>
    <x v="247"/>
    <s v="A402013"/>
    <x v="11"/>
    <n v="30"/>
    <n v="3300"/>
    <n v="3465"/>
    <x v="3"/>
  </r>
  <r>
    <x v="457"/>
    <x v="247"/>
    <s v="A402013"/>
    <x v="0"/>
    <n v="10"/>
    <n v="1100"/>
    <n v="1155"/>
    <x v="3"/>
  </r>
  <r>
    <x v="457"/>
    <x v="1072"/>
    <s v="A261820"/>
    <x v="4"/>
    <n v="10"/>
    <n v="1800"/>
    <m/>
    <x v="3"/>
  </r>
  <r>
    <x v="457"/>
    <x v="1073"/>
    <m/>
    <x v="11"/>
    <n v="2"/>
    <n v="860"/>
    <n v="903"/>
    <x v="3"/>
  </r>
  <r>
    <x v="457"/>
    <x v="833"/>
    <s v="A261823"/>
    <x v="4"/>
    <n v="10"/>
    <n v="2000"/>
    <m/>
    <x v="3"/>
  </r>
  <r>
    <x v="457"/>
    <x v="80"/>
    <s v="F15632"/>
    <x v="2"/>
    <n v="5"/>
    <n v="2700"/>
    <n v="2835"/>
    <x v="3"/>
  </r>
  <r>
    <x v="457"/>
    <x v="80"/>
    <s v="F15632"/>
    <x v="11"/>
    <n v="6"/>
    <n v="3240"/>
    <n v="3402"/>
    <x v="3"/>
  </r>
  <r>
    <x v="457"/>
    <x v="80"/>
    <s v="F15632"/>
    <x v="0"/>
    <n v="3"/>
    <n v="1605"/>
    <n v="1685.25"/>
    <x v="3"/>
  </r>
  <r>
    <x v="458"/>
    <x v="110"/>
    <s v="A241372"/>
    <x v="3"/>
    <n v="25"/>
    <n v="2817"/>
    <m/>
    <x v="3"/>
  </r>
  <r>
    <x v="458"/>
    <x v="146"/>
    <s v="A245818"/>
    <x v="12"/>
    <n v="20"/>
    <n v="2200"/>
    <m/>
    <x v="3"/>
  </r>
  <r>
    <x v="458"/>
    <x v="1042"/>
    <s v="A245809"/>
    <x v="12"/>
    <n v="20"/>
    <n v="2120"/>
    <m/>
    <x v="3"/>
  </r>
  <r>
    <x v="458"/>
    <x v="987"/>
    <m/>
    <x v="3"/>
    <n v="25"/>
    <n v="2750"/>
    <m/>
    <x v="3"/>
  </r>
  <r>
    <x v="458"/>
    <x v="988"/>
    <m/>
    <x v="12"/>
    <n v="20"/>
    <n v="1900"/>
    <m/>
    <x v="3"/>
  </r>
  <r>
    <x v="458"/>
    <x v="988"/>
    <m/>
    <x v="3"/>
    <n v="25"/>
    <n v="2400"/>
    <m/>
    <x v="3"/>
  </r>
  <r>
    <x v="458"/>
    <x v="311"/>
    <s v="A246793"/>
    <x v="12"/>
    <n v="20"/>
    <n v="2060"/>
    <m/>
    <x v="3"/>
  </r>
  <r>
    <x v="458"/>
    <x v="311"/>
    <s v="A246793"/>
    <x v="3"/>
    <n v="160"/>
    <n v="17150"/>
    <m/>
    <x v="3"/>
  </r>
  <r>
    <x v="458"/>
    <x v="1015"/>
    <s v="A241361"/>
    <x v="3"/>
    <n v="30"/>
    <n v="3300"/>
    <m/>
    <x v="3"/>
  </r>
  <r>
    <x v="458"/>
    <x v="619"/>
    <s v="A241367"/>
    <x v="3"/>
    <n v="25"/>
    <n v="2817"/>
    <m/>
    <x v="3"/>
  </r>
  <r>
    <x v="458"/>
    <x v="48"/>
    <s v="A245867"/>
    <x v="12"/>
    <n v="20"/>
    <n v="2940"/>
    <m/>
    <x v="3"/>
  </r>
  <r>
    <x v="458"/>
    <x v="1074"/>
    <s v="A238161"/>
    <x v="12"/>
    <n v="20"/>
    <n v="2260"/>
    <m/>
    <x v="3"/>
  </r>
  <r>
    <x v="458"/>
    <x v="1074"/>
    <s v="A238161"/>
    <x v="3"/>
    <n v="25"/>
    <n v="2825"/>
    <m/>
    <x v="3"/>
  </r>
  <r>
    <x v="458"/>
    <x v="1044"/>
    <s v="A236738"/>
    <x v="12"/>
    <n v="20"/>
    <n v="2200"/>
    <m/>
    <x v="3"/>
  </r>
  <r>
    <x v="458"/>
    <x v="1044"/>
    <s v="A245815"/>
    <x v="12"/>
    <n v="10"/>
    <n v="2610"/>
    <m/>
    <x v="3"/>
  </r>
  <r>
    <x v="458"/>
    <x v="1044"/>
    <s v="A245815"/>
    <x v="3"/>
    <n v="25"/>
    <n v="2817"/>
    <m/>
    <x v="3"/>
  </r>
  <r>
    <x v="458"/>
    <x v="165"/>
    <s v="A237939"/>
    <x v="12"/>
    <n v="50"/>
    <n v="5500"/>
    <m/>
    <x v="3"/>
  </r>
  <r>
    <x v="458"/>
    <x v="165"/>
    <s v="A237939"/>
    <x v="3"/>
    <n v="550"/>
    <n v="61839.5"/>
    <m/>
    <x v="3"/>
  </r>
  <r>
    <x v="458"/>
    <x v="224"/>
    <s v="A249084"/>
    <x v="12"/>
    <n v="20"/>
    <n v="2140"/>
    <m/>
    <x v="3"/>
  </r>
  <r>
    <x v="458"/>
    <x v="199"/>
    <s v="A242055"/>
    <x v="12"/>
    <n v="20"/>
    <n v="2200"/>
    <m/>
    <x v="3"/>
  </r>
  <r>
    <x v="458"/>
    <x v="199"/>
    <s v="A242055"/>
    <x v="3"/>
    <n v="25"/>
    <n v="3160"/>
    <m/>
    <x v="3"/>
  </r>
  <r>
    <x v="458"/>
    <x v="1075"/>
    <s v="A235769"/>
    <x v="12"/>
    <n v="20"/>
    <n v="2100"/>
    <m/>
    <x v="3"/>
  </r>
  <r>
    <x v="459"/>
    <x v="1076"/>
    <s v="A306076"/>
    <x v="10"/>
    <n v="25"/>
    <n v="2250"/>
    <m/>
    <x v="3"/>
  </r>
  <r>
    <x v="459"/>
    <x v="1"/>
    <s v="A231710"/>
    <x v="10"/>
    <n v="75"/>
    <n v="7125"/>
    <m/>
    <x v="3"/>
  </r>
  <r>
    <x v="460"/>
    <x v="295"/>
    <s v="A302349"/>
    <x v="7"/>
    <n v="5"/>
    <n v="1100"/>
    <m/>
    <x v="3"/>
  </r>
  <r>
    <x v="460"/>
    <x v="146"/>
    <s v="A234281"/>
    <x v="12"/>
    <n v="20"/>
    <n v="4300"/>
    <m/>
    <x v="3"/>
  </r>
  <r>
    <x v="460"/>
    <x v="146"/>
    <s v="A234281"/>
    <x v="9"/>
    <n v="10"/>
    <n v="2000"/>
    <m/>
    <x v="3"/>
  </r>
  <r>
    <x v="460"/>
    <x v="111"/>
    <s v="A257635"/>
    <x v="3"/>
    <n v="25"/>
    <n v="5336"/>
    <m/>
    <x v="3"/>
  </r>
  <r>
    <x v="460"/>
    <x v="111"/>
    <s v="A257635"/>
    <x v="5"/>
    <n v="25"/>
    <n v="5375"/>
    <m/>
    <x v="3"/>
  </r>
  <r>
    <x v="460"/>
    <x v="1077"/>
    <s v="A303291"/>
    <x v="8"/>
    <n v="25"/>
    <n v="6750"/>
    <m/>
    <x v="3"/>
  </r>
  <r>
    <x v="460"/>
    <x v="112"/>
    <s v="A265729"/>
    <x v="4"/>
    <n v="10"/>
    <n v="1900"/>
    <m/>
    <x v="3"/>
  </r>
  <r>
    <x v="460"/>
    <x v="310"/>
    <s v="P09390"/>
    <x v="7"/>
    <n v="20"/>
    <n v="5850"/>
    <m/>
    <x v="3"/>
  </r>
  <r>
    <x v="460"/>
    <x v="130"/>
    <s v="P01022"/>
    <x v="11"/>
    <n v="5"/>
    <n v="1100"/>
    <n v="1155"/>
    <x v="3"/>
  </r>
  <r>
    <x v="460"/>
    <x v="130"/>
    <s v="P01022"/>
    <x v="0"/>
    <n v="5"/>
    <n v="1100"/>
    <n v="1155"/>
    <x v="3"/>
  </r>
  <r>
    <x v="460"/>
    <x v="190"/>
    <s v="A238187"/>
    <x v="10"/>
    <n v="1"/>
    <n v="220"/>
    <m/>
    <x v="3"/>
  </r>
  <r>
    <x v="460"/>
    <x v="1078"/>
    <s v="A255760"/>
    <x v="3"/>
    <n v="25"/>
    <n v="5980"/>
    <m/>
    <x v="3"/>
  </r>
  <r>
    <x v="460"/>
    <x v="133"/>
    <s v="A281055"/>
    <x v="2"/>
    <n v="5"/>
    <n v="350"/>
    <n v="367.5"/>
    <x v="3"/>
  </r>
  <r>
    <x v="460"/>
    <x v="260"/>
    <s v="A305591"/>
    <x v="9"/>
    <n v="225"/>
    <n v="47175"/>
    <m/>
    <x v="3"/>
  </r>
  <r>
    <x v="460"/>
    <x v="260"/>
    <s v="A305591"/>
    <x v="1"/>
    <n v="75"/>
    <n v="15750"/>
    <n v="16537.5"/>
    <x v="3"/>
  </r>
  <r>
    <x v="460"/>
    <x v="260"/>
    <s v="A305591"/>
    <x v="2"/>
    <n v="150"/>
    <n v="31500"/>
    <n v="33075"/>
    <x v="3"/>
  </r>
  <r>
    <x v="460"/>
    <x v="260"/>
    <s v="A305591"/>
    <x v="11"/>
    <n v="80"/>
    <n v="16800"/>
    <n v="17640"/>
    <x v="3"/>
  </r>
  <r>
    <x v="460"/>
    <x v="260"/>
    <s v="A305591"/>
    <x v="0"/>
    <n v="25"/>
    <n v="5250"/>
    <n v="5512.5"/>
    <x v="3"/>
  </r>
  <r>
    <x v="460"/>
    <x v="261"/>
    <m/>
    <x v="11"/>
    <n v="5"/>
    <n v="1050"/>
    <n v="1102.5"/>
    <x v="3"/>
  </r>
  <r>
    <x v="460"/>
    <x v="626"/>
    <s v="A245190"/>
    <x v="12"/>
    <n v="10"/>
    <n v="1250"/>
    <m/>
    <x v="3"/>
  </r>
  <r>
    <x v="460"/>
    <x v="502"/>
    <s v="A260960"/>
    <x v="2"/>
    <n v="5"/>
    <n v="350"/>
    <n v="367.5"/>
    <x v="3"/>
  </r>
  <r>
    <x v="460"/>
    <x v="1043"/>
    <s v="A242625"/>
    <x v="4"/>
    <n v="10"/>
    <n v="1300"/>
    <m/>
    <x v="3"/>
  </r>
  <r>
    <x v="460"/>
    <x v="1079"/>
    <s v="A235769"/>
    <x v="12"/>
    <n v="35"/>
    <n v="4025"/>
    <m/>
    <x v="3"/>
  </r>
  <r>
    <x v="460"/>
    <x v="1079"/>
    <s v="A235769"/>
    <x v="3"/>
    <n v="25"/>
    <n v="3250"/>
    <m/>
    <x v="3"/>
  </r>
  <r>
    <x v="460"/>
    <x v="1079"/>
    <s v="A235769"/>
    <x v="4"/>
    <n v="25"/>
    <n v="3500"/>
    <m/>
    <x v="3"/>
  </r>
  <r>
    <x v="460"/>
    <x v="3"/>
    <s v="A232126"/>
    <x v="11"/>
    <n v="1350"/>
    <n v="94500"/>
    <n v="99225"/>
    <x v="3"/>
  </r>
  <r>
    <x v="460"/>
    <x v="4"/>
    <s v="A231709"/>
    <x v="7"/>
    <n v="10"/>
    <n v="1200"/>
    <m/>
    <x v="3"/>
  </r>
  <r>
    <x v="460"/>
    <x v="4"/>
    <s v="A231709"/>
    <x v="10"/>
    <n v="10"/>
    <n v="1200"/>
    <m/>
    <x v="3"/>
  </r>
  <r>
    <x v="460"/>
    <x v="4"/>
    <s v="A231709"/>
    <x v="8"/>
    <n v="5"/>
    <n v="600"/>
    <m/>
    <x v="3"/>
  </r>
  <r>
    <x v="460"/>
    <x v="4"/>
    <s v="A231709"/>
    <x v="1"/>
    <n v="10"/>
    <n v="1200"/>
    <n v="1260"/>
    <x v="3"/>
  </r>
  <r>
    <x v="460"/>
    <x v="242"/>
    <s v="A287749"/>
    <x v="10"/>
    <n v="10"/>
    <n v="1800"/>
    <m/>
    <x v="3"/>
  </r>
  <r>
    <x v="460"/>
    <x v="242"/>
    <s v="A287749"/>
    <x v="8"/>
    <n v="5"/>
    <n v="900"/>
    <m/>
    <x v="3"/>
  </r>
  <r>
    <x v="460"/>
    <x v="242"/>
    <s v="A287749"/>
    <x v="9"/>
    <n v="10"/>
    <n v="1800"/>
    <m/>
    <x v="3"/>
  </r>
  <r>
    <x v="460"/>
    <x v="910"/>
    <s v="P00861"/>
    <x v="9"/>
    <n v="25"/>
    <n v="6500"/>
    <m/>
    <x v="3"/>
  </r>
  <r>
    <x v="460"/>
    <x v="910"/>
    <s v="P00861"/>
    <x v="1"/>
    <n v="25"/>
    <n v="6500"/>
    <n v="6825"/>
    <x v="3"/>
  </r>
  <r>
    <x v="460"/>
    <x v="1080"/>
    <m/>
    <x v="7"/>
    <n v="25"/>
    <n v="7000"/>
    <m/>
    <x v="3"/>
  </r>
  <r>
    <x v="460"/>
    <x v="1080"/>
    <m/>
    <x v="10"/>
    <n v="25"/>
    <n v="7000"/>
    <m/>
    <x v="3"/>
  </r>
  <r>
    <x v="460"/>
    <x v="262"/>
    <s v="P08976"/>
    <x v="0"/>
    <n v="25"/>
    <n v="2625"/>
    <n v="2756.25"/>
    <x v="3"/>
  </r>
  <r>
    <x v="460"/>
    <x v="69"/>
    <s v="A243394"/>
    <x v="4"/>
    <n v="100"/>
    <n v="16500"/>
    <m/>
    <x v="3"/>
  </r>
  <r>
    <x v="460"/>
    <x v="69"/>
    <s v="A243394"/>
    <x v="5"/>
    <n v="25"/>
    <n v="3750"/>
    <m/>
    <x v="3"/>
  </r>
  <r>
    <x v="460"/>
    <x v="69"/>
    <s v="A243394"/>
    <x v="6"/>
    <n v="25"/>
    <n v="3750"/>
    <m/>
    <x v="3"/>
  </r>
  <r>
    <x v="460"/>
    <x v="69"/>
    <s v="A243394"/>
    <x v="7"/>
    <n v="45"/>
    <n v="6750"/>
    <m/>
    <x v="3"/>
  </r>
  <r>
    <x v="460"/>
    <x v="69"/>
    <s v="A243394"/>
    <x v="10"/>
    <n v="35"/>
    <n v="5250"/>
    <m/>
    <x v="3"/>
  </r>
  <r>
    <x v="460"/>
    <x v="69"/>
    <s v="A243394"/>
    <x v="9"/>
    <n v="25"/>
    <n v="3750"/>
    <m/>
    <x v="3"/>
  </r>
  <r>
    <x v="460"/>
    <x v="69"/>
    <s v="A243394"/>
    <x v="1"/>
    <n v="15"/>
    <n v="2250"/>
    <n v="2362.5"/>
    <x v="3"/>
  </r>
  <r>
    <x v="460"/>
    <x v="69"/>
    <s v="A243394"/>
    <x v="2"/>
    <n v="5"/>
    <n v="750"/>
    <n v="787.5"/>
    <x v="3"/>
  </r>
  <r>
    <x v="460"/>
    <x v="228"/>
    <s v="A306319"/>
    <x v="11"/>
    <n v="500"/>
    <n v="34000"/>
    <n v="35700"/>
    <x v="3"/>
  </r>
  <r>
    <x v="460"/>
    <x v="404"/>
    <s v="A232508"/>
    <x v="12"/>
    <n v="50"/>
    <n v="8500"/>
    <m/>
    <x v="3"/>
  </r>
  <r>
    <x v="460"/>
    <x v="443"/>
    <s v="P08976"/>
    <x v="7"/>
    <n v="25"/>
    <n v="6200"/>
    <m/>
    <x v="3"/>
  </r>
  <r>
    <x v="460"/>
    <x v="443"/>
    <s v="P08976"/>
    <x v="10"/>
    <n v="35"/>
    <n v="10150"/>
    <m/>
    <x v="3"/>
  </r>
  <r>
    <x v="460"/>
    <x v="443"/>
    <s v="P08976"/>
    <x v="8"/>
    <n v="45"/>
    <n v="12050"/>
    <m/>
    <x v="3"/>
  </r>
  <r>
    <x v="460"/>
    <x v="443"/>
    <s v="P08976"/>
    <x v="1"/>
    <n v="25"/>
    <n v="6000"/>
    <n v="6300"/>
    <x v="3"/>
  </r>
  <r>
    <x v="460"/>
    <x v="791"/>
    <s v="A241371"/>
    <x v="3"/>
    <n v="70"/>
    <n v="8050"/>
    <m/>
    <x v="3"/>
  </r>
  <r>
    <x v="460"/>
    <x v="791"/>
    <s v="A241371"/>
    <x v="4"/>
    <n v="25"/>
    <n v="3600"/>
    <m/>
    <x v="3"/>
  </r>
  <r>
    <x v="460"/>
    <x v="137"/>
    <s v="P21021"/>
    <x v="2"/>
    <n v="5"/>
    <n v="1050"/>
    <n v="1102.5"/>
    <x v="3"/>
  </r>
  <r>
    <x v="460"/>
    <x v="137"/>
    <s v="P21021"/>
    <x v="0"/>
    <n v="5"/>
    <n v="1050"/>
    <n v="1102.5"/>
    <x v="3"/>
  </r>
  <r>
    <x v="460"/>
    <x v="138"/>
    <s v="A282344"/>
    <x v="1"/>
    <n v="85"/>
    <n v="10500"/>
    <n v="11025"/>
    <x v="3"/>
  </r>
  <r>
    <x v="460"/>
    <x v="138"/>
    <s v="A282344"/>
    <x v="2"/>
    <n v="175"/>
    <n v="20650"/>
    <n v="21682.5"/>
    <x v="3"/>
  </r>
  <r>
    <x v="460"/>
    <x v="202"/>
    <s v="A418088"/>
    <x v="2"/>
    <n v="5"/>
    <n v="900"/>
    <n v="945"/>
    <x v="3"/>
  </r>
  <r>
    <x v="460"/>
    <x v="202"/>
    <s v="A418088"/>
    <x v="11"/>
    <n v="5"/>
    <n v="900"/>
    <n v="945"/>
    <x v="3"/>
  </r>
  <r>
    <x v="460"/>
    <x v="202"/>
    <s v="A417151"/>
    <x v="0"/>
    <n v="25"/>
    <n v="2125"/>
    <n v="2231.25"/>
    <x v="3"/>
  </r>
  <r>
    <x v="460"/>
    <x v="32"/>
    <s v="A295590"/>
    <x v="1"/>
    <n v="45"/>
    <n v="5950"/>
    <n v="6247.5"/>
    <x v="3"/>
  </r>
  <r>
    <x v="460"/>
    <x v="32"/>
    <s v="A295590"/>
    <x v="2"/>
    <n v="105"/>
    <n v="13650"/>
    <n v="14332.5"/>
    <x v="3"/>
  </r>
  <r>
    <x v="460"/>
    <x v="32"/>
    <s v="A295590"/>
    <x v="11"/>
    <n v="100"/>
    <n v="12250"/>
    <n v="12862.5"/>
    <x v="3"/>
  </r>
  <r>
    <x v="460"/>
    <x v="422"/>
    <s v="A294408"/>
    <x v="2"/>
    <n v="10"/>
    <n v="2000"/>
    <n v="2100"/>
    <x v="3"/>
  </r>
  <r>
    <x v="460"/>
    <x v="1081"/>
    <s v="A233941"/>
    <x v="5"/>
    <n v="25"/>
    <n v="5375"/>
    <m/>
    <x v="3"/>
  </r>
  <r>
    <x v="461"/>
    <x v="3"/>
    <s v="A232126"/>
    <x v="8"/>
    <n v="25"/>
    <n v="2750"/>
    <m/>
    <x v="3"/>
  </r>
  <r>
    <x v="461"/>
    <x v="408"/>
    <s v="A239076"/>
    <x v="8"/>
    <n v="123"/>
    <n v="13530"/>
    <m/>
    <x v="3"/>
  </r>
  <r>
    <x v="462"/>
    <x v="271"/>
    <s v="A401493"/>
    <x v="2"/>
    <n v="10"/>
    <n v="1000"/>
    <n v="1050"/>
    <x v="3"/>
  </r>
  <r>
    <x v="462"/>
    <x v="271"/>
    <s v="A401493"/>
    <x v="0"/>
    <n v="50"/>
    <n v="3750"/>
    <n v="3937.5"/>
    <x v="3"/>
  </r>
  <r>
    <x v="462"/>
    <x v="46"/>
    <s v="A234876"/>
    <x v="0"/>
    <n v="3"/>
    <n v="240"/>
    <n v="252"/>
    <x v="3"/>
  </r>
  <r>
    <x v="462"/>
    <x v="275"/>
    <s v="A271087"/>
    <x v="0"/>
    <n v="55"/>
    <n v="3600"/>
    <n v="3780"/>
    <x v="3"/>
  </r>
  <r>
    <x v="462"/>
    <x v="28"/>
    <s v="A233711"/>
    <x v="0"/>
    <n v="1"/>
    <n v="70"/>
    <n v="73.5"/>
    <x v="3"/>
  </r>
  <r>
    <x v="462"/>
    <x v="215"/>
    <m/>
    <x v="2"/>
    <n v="5"/>
    <n v="425"/>
    <n v="446.25"/>
    <x v="3"/>
  </r>
  <r>
    <x v="462"/>
    <x v="215"/>
    <m/>
    <x v="0"/>
    <n v="60"/>
    <n v="4550"/>
    <n v="4777.5"/>
    <x v="3"/>
  </r>
  <r>
    <x v="462"/>
    <x v="276"/>
    <s v="P782100"/>
    <x v="2"/>
    <n v="10"/>
    <n v="1150"/>
    <n v="1207.5"/>
    <x v="3"/>
  </r>
  <r>
    <x v="462"/>
    <x v="276"/>
    <s v="P782100"/>
    <x v="11"/>
    <n v="10"/>
    <n v="1150"/>
    <n v="1207.5"/>
    <x v="3"/>
  </r>
  <r>
    <x v="462"/>
    <x v="276"/>
    <s v="P782100"/>
    <x v="0"/>
    <n v="10"/>
    <n v="1000"/>
    <n v="1050"/>
    <x v="3"/>
  </r>
  <r>
    <x v="463"/>
    <x v="1077"/>
    <s v="A303291"/>
    <x v="8"/>
    <n v="25"/>
    <n v="7625"/>
    <m/>
    <x v="3"/>
  </r>
  <r>
    <x v="463"/>
    <x v="221"/>
    <s v="A231076"/>
    <x v="9"/>
    <n v="750"/>
    <n v="37500"/>
    <m/>
    <x v="3"/>
  </r>
  <r>
    <x v="463"/>
    <x v="221"/>
    <s v="A231076"/>
    <x v="1"/>
    <n v="125"/>
    <n v="6250"/>
    <n v="6562.5"/>
    <x v="3"/>
  </r>
  <r>
    <x v="463"/>
    <x v="453"/>
    <m/>
    <x v="7"/>
    <n v="50"/>
    <n v="2400"/>
    <m/>
    <x v="3"/>
  </r>
  <r>
    <x v="463"/>
    <x v="6"/>
    <s v="A270578"/>
    <x v="8"/>
    <n v="100"/>
    <n v="5500"/>
    <m/>
    <x v="3"/>
  </r>
  <r>
    <x v="463"/>
    <x v="6"/>
    <s v="A270578"/>
    <x v="9"/>
    <n v="250"/>
    <n v="13750"/>
    <m/>
    <x v="3"/>
  </r>
  <r>
    <x v="463"/>
    <x v="6"/>
    <s v="A270578"/>
    <x v="1"/>
    <n v="50"/>
    <n v="2500"/>
    <n v="2625"/>
    <x v="3"/>
  </r>
  <r>
    <x v="463"/>
    <x v="6"/>
    <s v="A270578"/>
    <x v="2"/>
    <n v="300"/>
    <n v="13800"/>
    <n v="14490"/>
    <x v="3"/>
  </r>
  <r>
    <x v="463"/>
    <x v="6"/>
    <s v="A270578"/>
    <x v="11"/>
    <n v="5"/>
    <n v="230"/>
    <n v="241.5"/>
    <x v="3"/>
  </r>
  <r>
    <x v="463"/>
    <x v="228"/>
    <s v="A306319"/>
    <x v="8"/>
    <n v="75"/>
    <n v="6375"/>
    <m/>
    <x v="3"/>
  </r>
  <r>
    <x v="463"/>
    <x v="123"/>
    <m/>
    <x v="9"/>
    <n v="20"/>
    <n v="1540"/>
    <m/>
    <x v="3"/>
  </r>
  <r>
    <x v="463"/>
    <x v="10"/>
    <m/>
    <x v="10"/>
    <n v="20"/>
    <n v="1700"/>
    <m/>
    <x v="3"/>
  </r>
  <r>
    <x v="463"/>
    <x v="10"/>
    <m/>
    <x v="2"/>
    <n v="25"/>
    <n v="1450"/>
    <n v="1522.5"/>
    <x v="3"/>
  </r>
  <r>
    <x v="463"/>
    <x v="247"/>
    <s v="A402013"/>
    <x v="2"/>
    <n v="175"/>
    <n v="8050"/>
    <n v="8452.5"/>
    <x v="3"/>
  </r>
  <r>
    <x v="463"/>
    <x v="247"/>
    <s v="A402013"/>
    <x v="11"/>
    <n v="230"/>
    <n v="15180"/>
    <n v="15939"/>
    <x v="3"/>
  </r>
  <r>
    <x v="463"/>
    <x v="247"/>
    <s v="A402013"/>
    <x v="0"/>
    <n v="50"/>
    <n v="2300"/>
    <n v="2415"/>
    <x v="3"/>
  </r>
  <r>
    <x v="464"/>
    <x v="319"/>
    <s v="A248264"/>
    <x v="0"/>
    <n v="2"/>
    <n v="318"/>
    <n v="333.9"/>
    <x v="3"/>
  </r>
  <r>
    <x v="464"/>
    <x v="125"/>
    <s v="A238189"/>
    <x v="0"/>
    <n v="2"/>
    <n v="400"/>
    <n v="420"/>
    <x v="3"/>
  </r>
  <r>
    <x v="464"/>
    <x v="261"/>
    <m/>
    <x v="0"/>
    <n v="1.5"/>
    <n v="312"/>
    <n v="327.60000000000002"/>
    <x v="3"/>
  </r>
  <r>
    <x v="464"/>
    <x v="347"/>
    <s v="A417703"/>
    <x v="0"/>
    <n v="2"/>
    <n v="210"/>
    <n v="220.5"/>
    <x v="3"/>
  </r>
  <r>
    <x v="465"/>
    <x v="88"/>
    <s v="A244191"/>
    <x v="9"/>
    <n v="5"/>
    <n v="375"/>
    <m/>
    <x v="3"/>
  </r>
  <r>
    <x v="465"/>
    <x v="362"/>
    <s v="A292789"/>
    <x v="9"/>
    <n v="5"/>
    <n v="375"/>
    <m/>
    <x v="3"/>
  </r>
  <r>
    <x v="465"/>
    <x v="319"/>
    <m/>
    <x v="9"/>
    <n v="10"/>
    <n v="850"/>
    <m/>
    <x v="3"/>
  </r>
  <r>
    <x v="465"/>
    <x v="93"/>
    <s v="A231708"/>
    <x v="10"/>
    <n v="25"/>
    <n v="1625"/>
    <m/>
    <x v="3"/>
  </r>
  <r>
    <x v="465"/>
    <x v="93"/>
    <s v="A231708"/>
    <x v="8"/>
    <n v="25"/>
    <n v="1625"/>
    <m/>
    <x v="3"/>
  </r>
  <r>
    <x v="465"/>
    <x v="289"/>
    <s v="A234285"/>
    <x v="10"/>
    <n v="25"/>
    <n v="1750"/>
    <m/>
    <x v="3"/>
  </r>
  <r>
    <x v="465"/>
    <x v="250"/>
    <s v="A241557"/>
    <x v="9"/>
    <n v="5"/>
    <n v="500"/>
    <m/>
    <x v="3"/>
  </r>
  <r>
    <x v="465"/>
    <x v="16"/>
    <s v="A242640"/>
    <x v="7"/>
    <n v="25"/>
    <n v="1625"/>
    <m/>
    <x v="3"/>
  </r>
  <r>
    <x v="465"/>
    <x v="1082"/>
    <m/>
    <x v="7"/>
    <n v="9"/>
    <n v="450"/>
    <m/>
    <x v="3"/>
  </r>
  <r>
    <x v="465"/>
    <x v="332"/>
    <s v="A331424"/>
    <x v="9"/>
    <n v="5"/>
    <n v="425"/>
    <m/>
    <x v="3"/>
  </r>
  <r>
    <x v="465"/>
    <x v="292"/>
    <s v="A276839"/>
    <x v="9"/>
    <n v="5"/>
    <n v="475"/>
    <m/>
    <x v="3"/>
  </r>
  <r>
    <x v="465"/>
    <x v="434"/>
    <s v="A241908"/>
    <x v="9"/>
    <n v="10"/>
    <n v="1000"/>
    <m/>
    <x v="3"/>
  </r>
  <r>
    <x v="465"/>
    <x v="168"/>
    <s v="A295590"/>
    <x v="9"/>
    <n v="10"/>
    <n v="1100"/>
    <m/>
    <x v="3"/>
  </r>
  <r>
    <x v="465"/>
    <x v="19"/>
    <s v="A233442"/>
    <x v="10"/>
    <n v="25"/>
    <n v="1625"/>
    <m/>
    <x v="3"/>
  </r>
  <r>
    <x v="465"/>
    <x v="19"/>
    <s v="A233442"/>
    <x v="9"/>
    <n v="30"/>
    <n v="1950"/>
    <m/>
    <x v="3"/>
  </r>
  <r>
    <x v="465"/>
    <x v="336"/>
    <s v="A320337"/>
    <x v="9"/>
    <n v="5"/>
    <n v="425"/>
    <m/>
    <x v="3"/>
  </r>
  <r>
    <x v="465"/>
    <x v="169"/>
    <s v="A286824"/>
    <x v="9"/>
    <n v="10"/>
    <n v="1800"/>
    <m/>
    <x v="3"/>
  </r>
  <r>
    <x v="466"/>
    <x v="173"/>
    <s v="P08232"/>
    <x v="7"/>
    <n v="6"/>
    <n v="1340"/>
    <m/>
    <x v="3"/>
  </r>
  <r>
    <x v="466"/>
    <x v="545"/>
    <s v="A261335"/>
    <x v="8"/>
    <n v="1"/>
    <n v="180"/>
    <m/>
    <x v="3"/>
  </r>
  <r>
    <x v="466"/>
    <x v="868"/>
    <s v="A261338"/>
    <x v="8"/>
    <n v="5"/>
    <n v="800"/>
    <m/>
    <x v="3"/>
  </r>
  <r>
    <x v="466"/>
    <x v="1083"/>
    <s v="A280535"/>
    <x v="8"/>
    <n v="6"/>
    <n v="980"/>
    <m/>
    <x v="3"/>
  </r>
  <r>
    <x v="466"/>
    <x v="1084"/>
    <s v="A256430"/>
    <x v="10"/>
    <n v="2"/>
    <n v="480"/>
    <m/>
    <x v="3"/>
  </r>
  <r>
    <x v="466"/>
    <x v="111"/>
    <s v="A257635"/>
    <x v="6"/>
    <n v="10"/>
    <n v="2100"/>
    <m/>
    <x v="3"/>
  </r>
  <r>
    <x v="466"/>
    <x v="111"/>
    <s v="A257635"/>
    <x v="7"/>
    <n v="5"/>
    <n v="1050"/>
    <m/>
    <x v="3"/>
  </r>
  <r>
    <x v="466"/>
    <x v="112"/>
    <s v="A265729"/>
    <x v="7"/>
    <n v="10"/>
    <n v="2100"/>
    <m/>
    <x v="3"/>
  </r>
  <r>
    <x v="466"/>
    <x v="460"/>
    <s v="P08978"/>
    <x v="8"/>
    <n v="1"/>
    <n v="240"/>
    <m/>
    <x v="3"/>
  </r>
  <r>
    <x v="466"/>
    <x v="917"/>
    <s v="A278773"/>
    <x v="8"/>
    <n v="1"/>
    <n v="180"/>
    <m/>
    <x v="3"/>
  </r>
  <r>
    <x v="466"/>
    <x v="1085"/>
    <s v="A281164"/>
    <x v="8"/>
    <n v="1"/>
    <n v="160"/>
    <m/>
    <x v="3"/>
  </r>
  <r>
    <x v="466"/>
    <x v="1015"/>
    <s v="A241361"/>
    <x v="6"/>
    <n v="5"/>
    <n v="1050"/>
    <m/>
    <x v="3"/>
  </r>
  <r>
    <x v="466"/>
    <x v="151"/>
    <s v="A260799"/>
    <x v="8"/>
    <n v="1"/>
    <n v="180"/>
    <m/>
    <x v="3"/>
  </r>
  <r>
    <x v="466"/>
    <x v="866"/>
    <s v="P06775"/>
    <x v="6"/>
    <n v="0.5"/>
    <n v="250"/>
    <m/>
    <x v="3"/>
  </r>
  <r>
    <x v="466"/>
    <x v="866"/>
    <s v="P06775"/>
    <x v="7"/>
    <n v="1"/>
    <n v="500"/>
    <m/>
    <x v="3"/>
  </r>
  <r>
    <x v="466"/>
    <x v="49"/>
    <s v="P19684"/>
    <x v="9"/>
    <n v="15"/>
    <n v="3000"/>
    <m/>
    <x v="3"/>
  </r>
  <r>
    <x v="466"/>
    <x v="49"/>
    <s v="P19684"/>
    <x v="1"/>
    <n v="2"/>
    <n v="400"/>
    <m/>
    <x v="3"/>
  </r>
  <r>
    <x v="466"/>
    <x v="49"/>
    <s v="P19684"/>
    <x v="2"/>
    <n v="3"/>
    <n v="720"/>
    <n v="756"/>
    <x v="3"/>
  </r>
  <r>
    <x v="466"/>
    <x v="283"/>
    <s v="P04017"/>
    <x v="8"/>
    <n v="10"/>
    <n v="2100"/>
    <m/>
    <x v="3"/>
  </r>
  <r>
    <x v="466"/>
    <x v="283"/>
    <s v="P04017"/>
    <x v="1"/>
    <n v="4"/>
    <n v="960"/>
    <n v="1008"/>
    <x v="3"/>
  </r>
  <r>
    <x v="466"/>
    <x v="57"/>
    <s v="A292908"/>
    <x v="6"/>
    <n v="5"/>
    <n v="1100"/>
    <m/>
    <x v="3"/>
  </r>
  <r>
    <x v="466"/>
    <x v="57"/>
    <s v="A292908"/>
    <x v="7"/>
    <n v="5"/>
    <n v="1050"/>
    <m/>
    <x v="3"/>
  </r>
  <r>
    <x v="466"/>
    <x v="57"/>
    <s v="A292908"/>
    <x v="10"/>
    <n v="10"/>
    <n v="2100"/>
    <m/>
    <x v="3"/>
  </r>
  <r>
    <x v="466"/>
    <x v="1086"/>
    <m/>
    <x v="10"/>
    <n v="2"/>
    <n v="1600"/>
    <m/>
    <x v="3"/>
  </r>
  <r>
    <x v="466"/>
    <x v="68"/>
    <m/>
    <x v="6"/>
    <n v="5"/>
    <n v="1050"/>
    <m/>
    <x v="3"/>
  </r>
  <r>
    <x v="466"/>
    <x v="71"/>
    <s v="A246793"/>
    <x v="2"/>
    <n v="1"/>
    <n v="180"/>
    <n v="189"/>
    <x v="3"/>
  </r>
  <r>
    <x v="466"/>
    <x v="72"/>
    <s v="P08499"/>
    <x v="10"/>
    <n v="15"/>
    <n v="3100"/>
    <m/>
    <x v="3"/>
  </r>
  <r>
    <x v="466"/>
    <x v="99"/>
    <s v="A282344"/>
    <x v="7"/>
    <n v="10"/>
    <n v="1975"/>
    <m/>
    <x v="3"/>
  </r>
  <r>
    <x v="466"/>
    <x v="99"/>
    <s v="A282344"/>
    <x v="10"/>
    <n v="15"/>
    <n v="2925"/>
    <m/>
    <x v="3"/>
  </r>
  <r>
    <x v="466"/>
    <x v="99"/>
    <s v="A282344"/>
    <x v="1"/>
    <n v="1"/>
    <n v="195"/>
    <n v="204.75"/>
    <x v="3"/>
  </r>
  <r>
    <x v="466"/>
    <x v="217"/>
    <s v="A405052"/>
    <x v="2"/>
    <n v="1"/>
    <n v="175"/>
    <n v="183.75"/>
    <x v="3"/>
  </r>
  <r>
    <x v="466"/>
    <x v="297"/>
    <s v="A271046"/>
    <x v="1"/>
    <n v="1"/>
    <n v="240"/>
    <n v="252"/>
    <x v="3"/>
  </r>
  <r>
    <x v="466"/>
    <x v="168"/>
    <s v="A299590"/>
    <x v="6"/>
    <n v="55"/>
    <n v="12100"/>
    <m/>
    <x v="3"/>
  </r>
  <r>
    <x v="466"/>
    <x v="168"/>
    <s v="A299590"/>
    <x v="7"/>
    <n v="65.5"/>
    <n v="14100"/>
    <m/>
    <x v="3"/>
  </r>
  <r>
    <x v="466"/>
    <x v="168"/>
    <s v="A299590"/>
    <x v="9"/>
    <n v="5"/>
    <n v="800"/>
    <m/>
    <x v="3"/>
  </r>
  <r>
    <x v="466"/>
    <x v="168"/>
    <s v="A299590"/>
    <x v="1"/>
    <n v="3"/>
    <n v="480"/>
    <n v="504"/>
    <x v="3"/>
  </r>
  <r>
    <x v="466"/>
    <x v="168"/>
    <s v="A299590"/>
    <x v="2"/>
    <n v="2"/>
    <n v="320"/>
    <n v="336"/>
    <x v="3"/>
  </r>
  <r>
    <x v="466"/>
    <x v="1087"/>
    <s v="A295591"/>
    <x v="9"/>
    <n v="5"/>
    <n v="550"/>
    <m/>
    <x v="3"/>
  </r>
  <r>
    <x v="466"/>
    <x v="1087"/>
    <s v="A295591"/>
    <x v="1"/>
    <n v="1"/>
    <n v="160"/>
    <m/>
    <x v="3"/>
  </r>
  <r>
    <x v="466"/>
    <x v="466"/>
    <s v="P09390"/>
    <x v="9"/>
    <n v="1"/>
    <n v="250"/>
    <m/>
    <x v="3"/>
  </r>
  <r>
    <x v="466"/>
    <x v="466"/>
    <s v="P09390"/>
    <x v="1"/>
    <n v="2"/>
    <n v="500"/>
    <n v="525"/>
    <x v="3"/>
  </r>
  <r>
    <x v="466"/>
    <x v="466"/>
    <s v="P09390"/>
    <x v="2"/>
    <n v="1"/>
    <n v="250"/>
    <n v="262.5"/>
    <x v="3"/>
  </r>
  <r>
    <x v="466"/>
    <x v="103"/>
    <s v="A299996"/>
    <x v="8"/>
    <n v="1"/>
    <n v="110"/>
    <m/>
    <x v="3"/>
  </r>
  <r>
    <x v="466"/>
    <x v="121"/>
    <s v="A269419"/>
    <x v="7"/>
    <n v="19"/>
    <n v="3800"/>
    <m/>
    <x v="3"/>
  </r>
  <r>
    <x v="466"/>
    <x v="121"/>
    <s v="A269419"/>
    <x v="8"/>
    <n v="5"/>
    <n v="1000"/>
    <m/>
    <x v="3"/>
  </r>
  <r>
    <x v="467"/>
    <x v="37"/>
    <s v="A295406"/>
    <x v="1"/>
    <n v="1"/>
    <n v="275"/>
    <n v="288.75"/>
    <x v="3"/>
  </r>
  <r>
    <x v="467"/>
    <x v="280"/>
    <s v="A238189"/>
    <x v="1"/>
    <n v="1"/>
    <n v="175.24"/>
    <n v="184.00200000000001"/>
    <x v="3"/>
  </r>
  <r>
    <x v="467"/>
    <x v="207"/>
    <m/>
    <x v="9"/>
    <n v="1"/>
    <n v="280"/>
    <m/>
    <x v="3"/>
  </r>
  <r>
    <x v="467"/>
    <x v="207"/>
    <m/>
    <x v="1"/>
    <n v="2"/>
    <n v="560"/>
    <n v="588"/>
    <x v="3"/>
  </r>
  <r>
    <x v="467"/>
    <x v="207"/>
    <m/>
    <x v="2"/>
    <n v="1"/>
    <n v="280"/>
    <n v="294"/>
    <x v="3"/>
  </r>
  <r>
    <x v="467"/>
    <x v="26"/>
    <s v="A281055"/>
    <x v="9"/>
    <n v="2"/>
    <n v="330"/>
    <m/>
    <x v="3"/>
  </r>
  <r>
    <x v="467"/>
    <x v="26"/>
    <s v="A281055"/>
    <x v="1"/>
    <n v="2"/>
    <n v="440"/>
    <n v="462"/>
    <x v="3"/>
  </r>
  <r>
    <x v="467"/>
    <x v="26"/>
    <s v="A281055"/>
    <x v="2"/>
    <n v="2"/>
    <n v="440"/>
    <n v="462"/>
    <x v="3"/>
  </r>
  <r>
    <x v="467"/>
    <x v="26"/>
    <s v="A281055"/>
    <x v="11"/>
    <n v="1"/>
    <n v="220"/>
    <n v="231"/>
    <x v="3"/>
  </r>
  <r>
    <x v="467"/>
    <x v="914"/>
    <s v="A245190"/>
    <x v="2"/>
    <n v="1"/>
    <n v="100"/>
    <n v="105"/>
    <x v="3"/>
  </r>
  <r>
    <x v="467"/>
    <x v="283"/>
    <s v="P04017"/>
    <x v="9"/>
    <n v="1"/>
    <n v="125"/>
    <m/>
    <x v="3"/>
  </r>
  <r>
    <x v="467"/>
    <x v="57"/>
    <s v="A292908"/>
    <x v="1"/>
    <n v="1"/>
    <n v="100"/>
    <n v="105"/>
    <x v="3"/>
  </r>
  <r>
    <x v="467"/>
    <x v="195"/>
    <s v="A240864"/>
    <x v="2"/>
    <n v="2"/>
    <n v="210"/>
    <n v="220.5"/>
    <x v="3"/>
  </r>
  <r>
    <x v="467"/>
    <x v="195"/>
    <s v="A240864"/>
    <x v="11"/>
    <n v="1"/>
    <n v="105"/>
    <n v="110.25"/>
    <x v="3"/>
  </r>
  <r>
    <x v="467"/>
    <x v="138"/>
    <s v="A282344"/>
    <x v="1"/>
    <n v="2"/>
    <n v="440"/>
    <n v="462"/>
    <x v="3"/>
  </r>
  <r>
    <x v="467"/>
    <x v="138"/>
    <s v="A282344"/>
    <x v="2"/>
    <n v="2"/>
    <n v="440"/>
    <n v="462"/>
    <x v="3"/>
  </r>
  <r>
    <x v="467"/>
    <x v="138"/>
    <s v="A282344"/>
    <x v="11"/>
    <n v="1"/>
    <n v="120"/>
    <n v="126"/>
    <x v="3"/>
  </r>
  <r>
    <x v="467"/>
    <x v="466"/>
    <s v="P09390"/>
    <x v="9"/>
    <n v="1"/>
    <n v="135"/>
    <m/>
    <x v="3"/>
  </r>
  <r>
    <x v="467"/>
    <x v="466"/>
    <s v="P09390"/>
    <x v="1"/>
    <n v="1"/>
    <n v="135.24"/>
    <n v="142.00200000000001"/>
    <x v="3"/>
  </r>
  <r>
    <x v="467"/>
    <x v="466"/>
    <s v="P09390"/>
    <x v="2"/>
    <n v="1.5"/>
    <n v="405"/>
    <n v="425.25"/>
    <x v="3"/>
  </r>
  <r>
    <x v="467"/>
    <x v="171"/>
    <s v="A258812"/>
    <x v="9"/>
    <n v="1"/>
    <n v="102.5"/>
    <m/>
    <x v="3"/>
  </r>
  <r>
    <x v="468"/>
    <x v="231"/>
    <s v="A410391"/>
    <x v="0"/>
    <n v="1"/>
    <n v="75"/>
    <n v="78.75"/>
    <x v="3"/>
  </r>
  <r>
    <x v="469"/>
    <x v="413"/>
    <s v="P08232"/>
    <x v="10"/>
    <n v="30"/>
    <n v="6600"/>
    <m/>
    <x v="3"/>
  </r>
  <r>
    <x v="469"/>
    <x v="413"/>
    <s v="P08232"/>
    <x v="8"/>
    <n v="5"/>
    <n v="1100"/>
    <m/>
    <x v="3"/>
  </r>
  <r>
    <x v="469"/>
    <x v="144"/>
    <s v="A256430"/>
    <x v="7"/>
    <n v="5"/>
    <n v="1350"/>
    <m/>
    <x v="3"/>
  </r>
  <r>
    <x v="469"/>
    <x v="144"/>
    <s v="A256430"/>
    <x v="10"/>
    <n v="55"/>
    <n v="13800"/>
    <m/>
    <x v="3"/>
  </r>
  <r>
    <x v="469"/>
    <x v="602"/>
    <s v="A252906"/>
    <x v="6"/>
    <n v="25"/>
    <n v="5750"/>
    <m/>
    <x v="3"/>
  </r>
  <r>
    <x v="469"/>
    <x v="606"/>
    <s v="A251910"/>
    <x v="10"/>
    <n v="4"/>
    <n v="600"/>
    <m/>
    <x v="3"/>
  </r>
  <r>
    <x v="469"/>
    <x v="38"/>
    <s v="A273820"/>
    <x v="6"/>
    <n v="5"/>
    <n v="1150"/>
    <m/>
    <x v="3"/>
  </r>
  <r>
    <x v="469"/>
    <x v="146"/>
    <s v="A245818"/>
    <x v="6"/>
    <n v="5"/>
    <n v="1000"/>
    <m/>
    <x v="3"/>
  </r>
  <r>
    <x v="469"/>
    <x v="146"/>
    <s v="A245818"/>
    <x v="10"/>
    <n v="5"/>
    <n v="1000"/>
    <m/>
    <x v="3"/>
  </r>
  <r>
    <x v="469"/>
    <x v="111"/>
    <s v="A257635"/>
    <x v="4"/>
    <n v="5"/>
    <n v="1150"/>
    <m/>
    <x v="3"/>
  </r>
  <r>
    <x v="469"/>
    <x v="92"/>
    <s v="A241586"/>
    <x v="4"/>
    <n v="10"/>
    <n v="2400"/>
    <m/>
    <x v="3"/>
  </r>
  <r>
    <x v="469"/>
    <x v="92"/>
    <s v="A241586"/>
    <x v="6"/>
    <n v="25"/>
    <n v="5750"/>
    <m/>
    <x v="3"/>
  </r>
  <r>
    <x v="469"/>
    <x v="92"/>
    <s v="A241586"/>
    <x v="10"/>
    <n v="5"/>
    <n v="1200"/>
    <m/>
    <x v="3"/>
  </r>
  <r>
    <x v="469"/>
    <x v="46"/>
    <s v="A234876"/>
    <x v="5"/>
    <n v="10"/>
    <n v="2200"/>
    <m/>
    <x v="3"/>
  </r>
  <r>
    <x v="469"/>
    <x v="46"/>
    <s v="A234876"/>
    <x v="6"/>
    <n v="5"/>
    <n v="1150"/>
    <m/>
    <x v="3"/>
  </r>
  <r>
    <x v="469"/>
    <x v="46"/>
    <s v="A234876"/>
    <x v="7"/>
    <n v="5"/>
    <n v="1150"/>
    <m/>
    <x v="3"/>
  </r>
  <r>
    <x v="469"/>
    <x v="156"/>
    <s v="A231705"/>
    <x v="4"/>
    <n v="10"/>
    <n v="1400"/>
    <m/>
    <x v="3"/>
  </r>
  <r>
    <x v="469"/>
    <x v="156"/>
    <s v="A231705"/>
    <x v="6"/>
    <n v="5"/>
    <n v="750"/>
    <m/>
    <x v="3"/>
  </r>
  <r>
    <x v="469"/>
    <x v="57"/>
    <s v="A292908"/>
    <x v="7"/>
    <n v="10"/>
    <n v="2200"/>
    <m/>
    <x v="3"/>
  </r>
  <r>
    <x v="469"/>
    <x v="57"/>
    <s v="A292908"/>
    <x v="10"/>
    <n v="5"/>
    <n v="1100"/>
    <m/>
    <x v="3"/>
  </r>
  <r>
    <x v="469"/>
    <x v="57"/>
    <s v="A292908"/>
    <x v="8"/>
    <n v="5"/>
    <n v="950"/>
    <m/>
    <x v="3"/>
  </r>
  <r>
    <x v="469"/>
    <x v="68"/>
    <m/>
    <x v="6"/>
    <n v="5"/>
    <n v="1150"/>
    <m/>
    <x v="3"/>
  </r>
  <r>
    <x v="469"/>
    <x v="664"/>
    <s v="P14832"/>
    <x v="10"/>
    <n v="5"/>
    <n v="1400"/>
    <m/>
    <x v="3"/>
  </r>
  <r>
    <x v="469"/>
    <x v="69"/>
    <s v="A243394"/>
    <x v="7"/>
    <n v="10"/>
    <n v="2000"/>
    <m/>
    <x v="3"/>
  </r>
  <r>
    <x v="469"/>
    <x v="483"/>
    <s v="A233759"/>
    <x v="4"/>
    <n v="5"/>
    <n v="750"/>
    <m/>
    <x v="3"/>
  </r>
  <r>
    <x v="469"/>
    <x v="72"/>
    <s v="P08499"/>
    <x v="7"/>
    <n v="15"/>
    <n v="3975"/>
    <m/>
    <x v="3"/>
  </r>
  <r>
    <x v="469"/>
    <x v="72"/>
    <s v="P08499"/>
    <x v="10"/>
    <n v="25"/>
    <n v="6000"/>
    <m/>
    <x v="3"/>
  </r>
  <r>
    <x v="469"/>
    <x v="201"/>
    <s v="A253600"/>
    <x v="6"/>
    <n v="10"/>
    <n v="2500"/>
    <m/>
    <x v="3"/>
  </r>
  <r>
    <x v="469"/>
    <x v="99"/>
    <s v="A282344"/>
    <x v="6"/>
    <n v="5"/>
    <n v="1150"/>
    <m/>
    <x v="3"/>
  </r>
  <r>
    <x v="469"/>
    <x v="99"/>
    <s v="A282344"/>
    <x v="7"/>
    <n v="20"/>
    <n v="4600"/>
    <m/>
    <x v="3"/>
  </r>
  <r>
    <x v="469"/>
    <x v="168"/>
    <s v="A295590"/>
    <x v="7"/>
    <n v="23"/>
    <n v="5060"/>
    <m/>
    <x v="3"/>
  </r>
  <r>
    <x v="469"/>
    <x v="168"/>
    <s v="A295590"/>
    <x v="10"/>
    <n v="5"/>
    <n v="1100"/>
    <m/>
    <x v="3"/>
  </r>
  <r>
    <x v="469"/>
    <x v="1088"/>
    <s v="A241866"/>
    <x v="5"/>
    <n v="10"/>
    <n v="3400"/>
    <m/>
    <x v="3"/>
  </r>
  <r>
    <x v="469"/>
    <x v="998"/>
    <s v="A305591"/>
    <x v="10"/>
    <n v="5"/>
    <n v="1100"/>
    <m/>
    <x v="3"/>
  </r>
  <r>
    <x v="469"/>
    <x v="998"/>
    <s v="A305591"/>
    <x v="8"/>
    <n v="10"/>
    <n v="2100"/>
    <m/>
    <x v="3"/>
  </r>
  <r>
    <x v="469"/>
    <x v="451"/>
    <s v="G21726"/>
    <x v="10"/>
    <n v="5"/>
    <n v="1450"/>
    <m/>
    <x v="3"/>
  </r>
  <r>
    <x v="470"/>
    <x v="295"/>
    <s v="A302349"/>
    <x v="7"/>
    <n v="1"/>
    <n v="240"/>
    <m/>
    <x v="3"/>
  </r>
  <r>
    <x v="470"/>
    <x v="146"/>
    <s v="A245818"/>
    <x v="9"/>
    <n v="3"/>
    <n v="540"/>
    <m/>
    <x v="3"/>
  </r>
  <r>
    <x v="470"/>
    <x v="111"/>
    <s v="A257635"/>
    <x v="10"/>
    <n v="5"/>
    <n v="1250"/>
    <m/>
    <x v="3"/>
  </r>
  <r>
    <x v="470"/>
    <x v="919"/>
    <s v="A351967"/>
    <x v="1"/>
    <n v="1"/>
    <n v="1130"/>
    <n v="1186.5"/>
    <x v="3"/>
  </r>
  <r>
    <x v="470"/>
    <x v="47"/>
    <s v="A283876"/>
    <x v="1"/>
    <n v="6"/>
    <n v="2880"/>
    <n v="3024"/>
    <x v="3"/>
  </r>
  <r>
    <x v="470"/>
    <x v="261"/>
    <m/>
    <x v="2"/>
    <n v="7"/>
    <n v="1750"/>
    <n v="1837.5"/>
    <x v="3"/>
  </r>
  <r>
    <x v="470"/>
    <x v="58"/>
    <s v="A273819"/>
    <x v="2"/>
    <n v="5"/>
    <n v="1225"/>
    <n v="1286.25"/>
    <x v="3"/>
  </r>
  <r>
    <x v="470"/>
    <x v="1089"/>
    <s v="A286353"/>
    <x v="5"/>
    <n v="1"/>
    <n v="6000"/>
    <m/>
    <x v="3"/>
  </r>
  <r>
    <x v="470"/>
    <x v="465"/>
    <s v="A260960"/>
    <x v="9"/>
    <n v="1"/>
    <n v="180"/>
    <m/>
    <x v="3"/>
  </r>
  <r>
    <x v="470"/>
    <x v="1090"/>
    <s v="P30860"/>
    <x v="1"/>
    <n v="5"/>
    <n v="2500"/>
    <n v="2625"/>
    <x v="3"/>
  </r>
  <r>
    <x v="470"/>
    <x v="1091"/>
    <s v="A322651"/>
    <x v="10"/>
    <n v="25"/>
    <n v="8250"/>
    <m/>
    <x v="3"/>
  </r>
  <r>
    <x v="470"/>
    <x v="1091"/>
    <s v="A322651"/>
    <x v="9"/>
    <n v="25"/>
    <n v="8250"/>
    <m/>
    <x v="3"/>
  </r>
  <r>
    <x v="470"/>
    <x v="199"/>
    <s v="A242055"/>
    <x v="5"/>
    <n v="5"/>
    <n v="200"/>
    <m/>
    <x v="3"/>
  </r>
  <r>
    <x v="470"/>
    <x v="715"/>
    <s v="A285621"/>
    <x v="5"/>
    <n v="25"/>
    <n v="1100"/>
    <m/>
    <x v="3"/>
  </r>
  <r>
    <x v="470"/>
    <x v="715"/>
    <s v="A285621"/>
    <x v="7"/>
    <n v="5"/>
    <n v="1100"/>
    <m/>
    <x v="3"/>
  </r>
  <r>
    <x v="470"/>
    <x v="715"/>
    <s v="A285621"/>
    <x v="10"/>
    <n v="10"/>
    <n v="2200"/>
    <m/>
    <x v="3"/>
  </r>
  <r>
    <x v="470"/>
    <x v="578"/>
    <s v="A283876"/>
    <x v="2"/>
    <n v="10"/>
    <n v="4800"/>
    <n v="5040"/>
    <x v="3"/>
  </r>
  <r>
    <x v="470"/>
    <x v="578"/>
    <s v="A283876"/>
    <x v="11"/>
    <n v="10"/>
    <n v="4800"/>
    <n v="5040"/>
    <x v="3"/>
  </r>
  <r>
    <x v="470"/>
    <x v="32"/>
    <s v="A295591"/>
    <x v="7"/>
    <n v="5"/>
    <n v="1350"/>
    <m/>
    <x v="3"/>
  </r>
  <r>
    <x v="470"/>
    <x v="32"/>
    <s v="A295591"/>
    <x v="10"/>
    <n v="20"/>
    <n v="5400"/>
    <m/>
    <x v="3"/>
  </r>
  <r>
    <x v="470"/>
    <x v="32"/>
    <s v="A295591"/>
    <x v="2"/>
    <n v="10"/>
    <n v="2200"/>
    <n v="2310"/>
    <x v="3"/>
  </r>
  <r>
    <x v="470"/>
    <x v="32"/>
    <s v="A295591"/>
    <x v="11"/>
    <n v="5"/>
    <n v="1100"/>
    <n v="1155"/>
    <x v="3"/>
  </r>
  <r>
    <x v="470"/>
    <x v="168"/>
    <s v="A295590"/>
    <x v="7"/>
    <n v="1"/>
    <n v="220"/>
    <m/>
    <x v="3"/>
  </r>
  <r>
    <x v="470"/>
    <x v="168"/>
    <s v="A295590"/>
    <x v="10"/>
    <n v="25"/>
    <n v="5500"/>
    <m/>
    <x v="3"/>
  </r>
  <r>
    <x v="470"/>
    <x v="168"/>
    <s v="A295590"/>
    <x v="8"/>
    <n v="25"/>
    <n v="5500"/>
    <m/>
    <x v="3"/>
  </r>
  <r>
    <x v="470"/>
    <x v="168"/>
    <s v="A295590"/>
    <x v="9"/>
    <n v="25"/>
    <n v="5500"/>
    <m/>
    <x v="3"/>
  </r>
  <r>
    <x v="470"/>
    <x v="168"/>
    <s v="A295590"/>
    <x v="1"/>
    <n v="15"/>
    <n v="3300"/>
    <n v="3465"/>
    <x v="3"/>
  </r>
  <r>
    <x v="471"/>
    <x v="289"/>
    <s v="A234285"/>
    <x v="9"/>
    <n v="20"/>
    <n v="1400"/>
    <m/>
    <x v="3"/>
  </r>
  <r>
    <x v="471"/>
    <x v="289"/>
    <s v="A234285"/>
    <x v="1"/>
    <n v="20"/>
    <n v="1400"/>
    <n v="1470"/>
    <x v="3"/>
  </r>
  <r>
    <x v="471"/>
    <x v="289"/>
    <s v="A234285"/>
    <x v="11"/>
    <n v="8"/>
    <n v="560"/>
    <n v="588"/>
    <x v="3"/>
  </r>
  <r>
    <x v="471"/>
    <x v="3"/>
    <s v="A236167"/>
    <x v="8"/>
    <n v="1"/>
    <n v="70"/>
    <m/>
    <x v="3"/>
  </r>
  <r>
    <x v="471"/>
    <x v="16"/>
    <s v="A241225"/>
    <x v="8"/>
    <n v="1"/>
    <n v="65"/>
    <m/>
    <x v="3"/>
  </r>
  <r>
    <x v="471"/>
    <x v="494"/>
    <s v="A257810"/>
    <x v="9"/>
    <n v="1"/>
    <n v="75"/>
    <m/>
    <x v="3"/>
  </r>
  <r>
    <x v="472"/>
    <x v="233"/>
    <m/>
    <x v="1"/>
    <n v="10"/>
    <n v="1260"/>
    <n v="1260"/>
    <x v="3"/>
  </r>
  <r>
    <x v="472"/>
    <x v="812"/>
    <s v="A235573"/>
    <x v="1"/>
    <n v="50"/>
    <n v="5250"/>
    <n v="5250"/>
    <x v="3"/>
  </r>
  <r>
    <x v="472"/>
    <x v="327"/>
    <m/>
    <x v="1"/>
    <n v="5"/>
    <n v="550"/>
    <n v="550"/>
    <x v="3"/>
  </r>
  <r>
    <x v="472"/>
    <x v="3"/>
    <s v="A236167"/>
    <x v="1"/>
    <n v="50"/>
    <n v="3750"/>
    <n v="3750"/>
    <x v="3"/>
  </r>
  <r>
    <x v="472"/>
    <x v="51"/>
    <s v="A298567"/>
    <x v="1"/>
    <n v="200"/>
    <n v="9600"/>
    <n v="9600"/>
    <x v="3"/>
  </r>
  <r>
    <x v="472"/>
    <x v="13"/>
    <m/>
    <x v="9"/>
    <n v="10"/>
    <n v="1500"/>
    <m/>
    <x v="3"/>
  </r>
  <r>
    <x v="472"/>
    <x v="13"/>
    <m/>
    <x v="11"/>
    <n v="10"/>
    <n v="905"/>
    <n v="950.25"/>
    <x v="3"/>
  </r>
  <r>
    <x v="472"/>
    <x v="166"/>
    <s v="A231706"/>
    <x v="9"/>
    <n v="100"/>
    <n v="6000"/>
    <m/>
    <x v="3"/>
  </r>
  <r>
    <x v="472"/>
    <x v="14"/>
    <m/>
    <x v="1"/>
    <n v="30"/>
    <n v="4095"/>
    <n v="4095"/>
    <x v="3"/>
  </r>
  <r>
    <x v="472"/>
    <x v="14"/>
    <m/>
    <x v="2"/>
    <n v="25"/>
    <n v="3095"/>
    <n v="3249.75"/>
    <x v="3"/>
  </r>
  <r>
    <x v="472"/>
    <x v="716"/>
    <s v="A236985"/>
    <x v="1"/>
    <n v="400"/>
    <n v="27455"/>
    <n v="27455"/>
    <x v="3"/>
  </r>
  <r>
    <x v="473"/>
    <x v="146"/>
    <s v="A245818"/>
    <x v="9"/>
    <n v="5"/>
    <n v="900"/>
    <m/>
    <x v="3"/>
  </r>
  <r>
    <x v="473"/>
    <x v="366"/>
    <s v="A238073"/>
    <x v="8"/>
    <n v="6"/>
    <n v="468"/>
    <m/>
    <x v="3"/>
  </r>
  <r>
    <x v="473"/>
    <x v="366"/>
    <s v="A238073"/>
    <x v="9"/>
    <n v="5"/>
    <n v="390"/>
    <m/>
    <x v="3"/>
  </r>
  <r>
    <x v="473"/>
    <x v="353"/>
    <s v="A241990"/>
    <x v="8"/>
    <n v="10"/>
    <n v="680"/>
    <m/>
    <x v="3"/>
  </r>
  <r>
    <x v="473"/>
    <x v="184"/>
    <s v="A299984"/>
    <x v="8"/>
    <n v="25"/>
    <n v="1875"/>
    <m/>
    <x v="3"/>
  </r>
  <r>
    <x v="473"/>
    <x v="93"/>
    <s v="A231708"/>
    <x v="8"/>
    <n v="10"/>
    <n v="580"/>
    <m/>
    <x v="3"/>
  </r>
  <r>
    <x v="473"/>
    <x v="93"/>
    <s v="A231708"/>
    <x v="9"/>
    <n v="10"/>
    <n v="580"/>
    <m/>
    <x v="3"/>
  </r>
  <r>
    <x v="473"/>
    <x v="93"/>
    <s v="A231708"/>
    <x v="1"/>
    <n v="10"/>
    <n v="550"/>
    <n v="577.5"/>
    <x v="3"/>
  </r>
  <r>
    <x v="473"/>
    <x v="93"/>
    <s v="A231708"/>
    <x v="2"/>
    <n v="25"/>
    <n v="1375"/>
    <n v="1443.75"/>
    <x v="3"/>
  </r>
  <r>
    <x v="473"/>
    <x v="3"/>
    <s v="A232126"/>
    <x v="8"/>
    <n v="25"/>
    <n v="2125"/>
    <m/>
    <x v="3"/>
  </r>
  <r>
    <x v="473"/>
    <x v="3"/>
    <s v="A232126"/>
    <x v="9"/>
    <n v="30"/>
    <n v="2550"/>
    <m/>
    <x v="3"/>
  </r>
  <r>
    <x v="473"/>
    <x v="3"/>
    <s v="A232126"/>
    <x v="1"/>
    <n v="50"/>
    <n v="3500"/>
    <n v="3675"/>
    <x v="3"/>
  </r>
  <r>
    <x v="473"/>
    <x v="3"/>
    <s v="A337704"/>
    <x v="1"/>
    <n v="25"/>
    <n v="1750"/>
    <n v="1837.5"/>
    <x v="3"/>
  </r>
  <r>
    <x v="473"/>
    <x v="3"/>
    <s v="A232126"/>
    <x v="2"/>
    <n v="45"/>
    <n v="3150"/>
    <n v="3307.5"/>
    <x v="3"/>
  </r>
  <r>
    <x v="473"/>
    <x v="3"/>
    <s v="A337704"/>
    <x v="2"/>
    <n v="50"/>
    <n v="4250"/>
    <n v="4462.5"/>
    <x v="3"/>
  </r>
  <r>
    <x v="473"/>
    <x v="343"/>
    <s v="A257810"/>
    <x v="9"/>
    <n v="45"/>
    <n v="3150"/>
    <m/>
    <x v="3"/>
  </r>
  <r>
    <x v="473"/>
    <x v="343"/>
    <s v="A257810"/>
    <x v="1"/>
    <n v="75"/>
    <n v="4125"/>
    <n v="4331.25"/>
    <x v="3"/>
  </r>
  <r>
    <x v="473"/>
    <x v="343"/>
    <s v="A257810"/>
    <x v="2"/>
    <n v="50"/>
    <n v="2750"/>
    <n v="2887.5"/>
    <x v="3"/>
  </r>
  <r>
    <x v="473"/>
    <x v="343"/>
    <s v="A257810"/>
    <x v="11"/>
    <n v="50"/>
    <n v="2750"/>
    <n v="2887.5"/>
    <x v="3"/>
  </r>
  <r>
    <x v="473"/>
    <x v="4"/>
    <s v="A231709"/>
    <x v="2"/>
    <n v="10"/>
    <n v="650"/>
    <n v="682.5"/>
    <x v="3"/>
  </r>
  <r>
    <x v="473"/>
    <x v="51"/>
    <s v="A298567"/>
    <x v="2"/>
    <n v="25"/>
    <n v="1375"/>
    <n v="1443.75"/>
    <x v="3"/>
  </r>
  <r>
    <x v="473"/>
    <x v="30"/>
    <s v="A233444"/>
    <x v="8"/>
    <n v="20"/>
    <n v="1400"/>
    <m/>
    <x v="3"/>
  </r>
  <r>
    <x v="473"/>
    <x v="30"/>
    <s v="A233444"/>
    <x v="9"/>
    <n v="30"/>
    <n v="1975"/>
    <m/>
    <x v="3"/>
  </r>
  <r>
    <x v="473"/>
    <x v="263"/>
    <s v="A403817"/>
    <x v="11"/>
    <n v="5"/>
    <n v="375"/>
    <n v="375"/>
    <x v="3"/>
  </r>
  <r>
    <x v="473"/>
    <x v="228"/>
    <s v="A306319"/>
    <x v="8"/>
    <n v="10"/>
    <n v="720"/>
    <m/>
    <x v="3"/>
  </r>
  <r>
    <x v="473"/>
    <x v="791"/>
    <s v="A241371"/>
    <x v="9"/>
    <n v="5"/>
    <n v="900"/>
    <m/>
    <x v="3"/>
  </r>
  <r>
    <x v="473"/>
    <x v="168"/>
    <s v="A295590"/>
    <x v="9"/>
    <n v="5"/>
    <n v="900"/>
    <m/>
    <x v="3"/>
  </r>
  <r>
    <x v="473"/>
    <x v="19"/>
    <s v="A233442"/>
    <x v="8"/>
    <n v="15"/>
    <n v="900"/>
    <m/>
    <x v="3"/>
  </r>
  <r>
    <x v="473"/>
    <x v="19"/>
    <s v="A233442"/>
    <x v="9"/>
    <n v="5"/>
    <n v="300"/>
    <m/>
    <x v="3"/>
  </r>
  <r>
    <x v="473"/>
    <x v="19"/>
    <s v="A233442"/>
    <x v="1"/>
    <n v="10"/>
    <n v="600"/>
    <n v="630"/>
    <x v="3"/>
  </r>
  <r>
    <x v="473"/>
    <x v="247"/>
    <s v="A402013"/>
    <x v="11"/>
    <n v="10"/>
    <n v="600"/>
    <n v="630"/>
    <x v="3"/>
  </r>
  <r>
    <x v="473"/>
    <x v="383"/>
    <s v="A305994"/>
    <x v="11"/>
    <n v="15"/>
    <n v="1125"/>
    <n v="1181.25"/>
    <x v="3"/>
  </r>
  <r>
    <x v="473"/>
    <x v="1"/>
    <s v="A231710"/>
    <x v="8"/>
    <n v="20"/>
    <n v="1500"/>
    <m/>
    <x v="3"/>
  </r>
  <r>
    <x v="473"/>
    <x v="1"/>
    <s v="A231710"/>
    <x v="9"/>
    <n v="20"/>
    <n v="1500"/>
    <m/>
    <x v="3"/>
  </r>
  <r>
    <x v="473"/>
    <x v="1"/>
    <s v="A231710"/>
    <x v="1"/>
    <n v="10"/>
    <n v="700"/>
    <n v="735"/>
    <x v="3"/>
  </r>
  <r>
    <x v="473"/>
    <x v="1"/>
    <s v="A231710"/>
    <x v="2"/>
    <n v="25"/>
    <n v="1750"/>
    <n v="1837.5"/>
    <x v="3"/>
  </r>
  <r>
    <x v="474"/>
    <x v="417"/>
    <s v="A402001"/>
    <x v="2"/>
    <n v="75"/>
    <n v="5850"/>
    <n v="6142.5"/>
    <x v="3"/>
  </r>
  <r>
    <x v="474"/>
    <x v="417"/>
    <s v="A402001"/>
    <x v="11"/>
    <n v="25"/>
    <n v="1950"/>
    <n v="2047.5"/>
    <x v="3"/>
  </r>
  <r>
    <x v="474"/>
    <x v="851"/>
    <s v="A233184"/>
    <x v="2"/>
    <n v="25"/>
    <n v="1875"/>
    <n v="1968.75"/>
    <x v="3"/>
  </r>
  <r>
    <x v="474"/>
    <x v="11"/>
    <m/>
    <x v="2"/>
    <n v="5"/>
    <n v="450"/>
    <n v="472.5"/>
    <x v="3"/>
  </r>
  <r>
    <x v="474"/>
    <x v="233"/>
    <m/>
    <x v="2"/>
    <n v="5"/>
    <n v="450"/>
    <n v="472.5"/>
    <x v="3"/>
  </r>
  <r>
    <x v="474"/>
    <x v="705"/>
    <s v="A401492"/>
    <x v="2"/>
    <n v="25"/>
    <n v="2000"/>
    <n v="2100"/>
    <x v="3"/>
  </r>
  <r>
    <x v="474"/>
    <x v="452"/>
    <s v="A239535"/>
    <x v="1"/>
    <n v="25"/>
    <n v="2000"/>
    <n v="2100"/>
    <x v="3"/>
  </r>
  <r>
    <x v="474"/>
    <x v="183"/>
    <s v="A275118"/>
    <x v="2"/>
    <n v="25"/>
    <n v="2200"/>
    <n v="2310"/>
    <x v="3"/>
  </r>
  <r>
    <x v="474"/>
    <x v="238"/>
    <m/>
    <x v="2"/>
    <n v="5"/>
    <n v="450"/>
    <n v="472.5"/>
    <x v="3"/>
  </r>
  <r>
    <x v="474"/>
    <x v="12"/>
    <m/>
    <x v="2"/>
    <n v="5"/>
    <n v="500"/>
    <n v="525"/>
    <x v="3"/>
  </r>
  <r>
    <x v="474"/>
    <x v="12"/>
    <m/>
    <x v="11"/>
    <n v="5"/>
    <n v="500"/>
    <n v="525"/>
    <x v="3"/>
  </r>
  <r>
    <x v="474"/>
    <x v="327"/>
    <m/>
    <x v="2"/>
    <n v="5"/>
    <n v="500"/>
    <n v="525"/>
    <x v="3"/>
  </r>
  <r>
    <x v="474"/>
    <x v="341"/>
    <s v="A406737"/>
    <x v="2"/>
    <n v="100"/>
    <n v="5500"/>
    <n v="5775"/>
    <x v="3"/>
  </r>
  <r>
    <x v="474"/>
    <x v="93"/>
    <s v="A231708"/>
    <x v="1"/>
    <n v="25"/>
    <n v="1625"/>
    <n v="1706.25"/>
    <x v="3"/>
  </r>
  <r>
    <x v="474"/>
    <x v="156"/>
    <s v="A231705"/>
    <x v="1"/>
    <n v="25"/>
    <n v="1625"/>
    <n v="1706.25"/>
    <x v="3"/>
  </r>
  <r>
    <x v="474"/>
    <x v="268"/>
    <s v="A245994"/>
    <x v="1"/>
    <n v="25"/>
    <n v="1750"/>
    <n v="1837.5"/>
    <x v="3"/>
  </r>
  <r>
    <x v="474"/>
    <x v="3"/>
    <s v="A232126"/>
    <x v="1"/>
    <n v="75"/>
    <n v="7375"/>
    <n v="7743.75"/>
    <x v="3"/>
  </r>
  <r>
    <x v="474"/>
    <x v="3"/>
    <s v="A232126"/>
    <x v="2"/>
    <n v="75"/>
    <n v="7500"/>
    <n v="7875"/>
    <x v="3"/>
  </r>
  <r>
    <x v="474"/>
    <x v="3"/>
    <s v="A232126"/>
    <x v="11"/>
    <n v="50"/>
    <n v="5000"/>
    <n v="5250"/>
    <x v="3"/>
  </r>
  <r>
    <x v="474"/>
    <x v="408"/>
    <s v="A239076"/>
    <x v="2"/>
    <n v="25"/>
    <n v="2250"/>
    <n v="2362.5"/>
    <x v="3"/>
  </r>
  <r>
    <x v="474"/>
    <x v="185"/>
    <s v="A415892"/>
    <x v="2"/>
    <n v="50"/>
    <n v="4500"/>
    <n v="4725"/>
    <x v="3"/>
  </r>
  <r>
    <x v="474"/>
    <x v="185"/>
    <s v="A415892"/>
    <x v="11"/>
    <n v="50"/>
    <n v="4500"/>
    <n v="4725"/>
    <x v="3"/>
  </r>
  <r>
    <x v="474"/>
    <x v="28"/>
    <s v="A233711"/>
    <x v="1"/>
    <n v="75"/>
    <n v="5500"/>
    <n v="5775"/>
    <x v="3"/>
  </r>
  <r>
    <x v="474"/>
    <x v="28"/>
    <s v="A233711"/>
    <x v="2"/>
    <n v="50"/>
    <n v="3750"/>
    <n v="3937.5"/>
    <x v="3"/>
  </r>
  <r>
    <x v="474"/>
    <x v="28"/>
    <s v="A233711"/>
    <x v="11"/>
    <n v="25"/>
    <n v="1875"/>
    <n v="1968.75"/>
    <x v="3"/>
  </r>
  <r>
    <x v="474"/>
    <x v="242"/>
    <s v="A287749"/>
    <x v="1"/>
    <n v="25"/>
    <n v="1875"/>
    <n v="1968.75"/>
    <x v="3"/>
  </r>
  <r>
    <x v="474"/>
    <x v="30"/>
    <s v="A233444"/>
    <x v="2"/>
    <n v="50"/>
    <n v="4500"/>
    <n v="4725"/>
    <x v="3"/>
  </r>
  <r>
    <x v="474"/>
    <x v="958"/>
    <s v="A410433"/>
    <x v="2"/>
    <n v="25"/>
    <n v="2250"/>
    <n v="2362.5"/>
    <x v="3"/>
  </r>
  <r>
    <x v="474"/>
    <x v="263"/>
    <s v="A403817"/>
    <x v="1"/>
    <n v="25"/>
    <n v="2000"/>
    <n v="2100"/>
    <x v="3"/>
  </r>
  <r>
    <x v="474"/>
    <x v="263"/>
    <s v="A403817"/>
    <x v="2"/>
    <n v="25"/>
    <n v="2000"/>
    <n v="2100"/>
    <x v="3"/>
  </r>
  <r>
    <x v="474"/>
    <x v="228"/>
    <s v="A306319"/>
    <x v="1"/>
    <n v="25"/>
    <n v="1625"/>
    <n v="1706.25"/>
    <x v="3"/>
  </r>
  <r>
    <x v="474"/>
    <x v="13"/>
    <m/>
    <x v="2"/>
    <n v="5"/>
    <n v="400"/>
    <n v="420"/>
    <x v="3"/>
  </r>
  <r>
    <x v="474"/>
    <x v="166"/>
    <s v="A233185"/>
    <x v="1"/>
    <n v="30"/>
    <n v="2250"/>
    <n v="2362.5"/>
    <x v="3"/>
  </r>
  <r>
    <x v="474"/>
    <x v="358"/>
    <s v="A402012"/>
    <x v="1"/>
    <n v="25"/>
    <n v="1875"/>
    <n v="1968.75"/>
    <x v="3"/>
  </r>
  <r>
    <x v="474"/>
    <x v="19"/>
    <s v="A233442"/>
    <x v="1"/>
    <n v="25"/>
    <n v="1750"/>
    <n v="1837.5"/>
    <x v="3"/>
  </r>
  <r>
    <x v="474"/>
    <x v="247"/>
    <s v="A402013"/>
    <x v="11"/>
    <n v="25"/>
    <n v="1750"/>
    <n v="1837.5"/>
    <x v="3"/>
  </r>
  <r>
    <x v="474"/>
    <x v="14"/>
    <m/>
    <x v="2"/>
    <n v="15"/>
    <n v="1350"/>
    <n v="1417.5"/>
    <x v="3"/>
  </r>
  <r>
    <x v="474"/>
    <x v="1"/>
    <s v="A231710"/>
    <x v="1"/>
    <n v="50"/>
    <n v="3750"/>
    <n v="3937.5"/>
    <x v="3"/>
  </r>
  <r>
    <x v="474"/>
    <x v="1"/>
    <s v="A231710"/>
    <x v="2"/>
    <n v="25"/>
    <n v="1875"/>
    <n v="1968.75"/>
    <x v="3"/>
  </r>
  <r>
    <x v="474"/>
    <x v="1"/>
    <s v="A231710"/>
    <x v="11"/>
    <n v="25"/>
    <n v="1875"/>
    <n v="1968.75"/>
    <x v="3"/>
  </r>
  <r>
    <x v="475"/>
    <x v="3"/>
    <s v="A337704"/>
    <x v="11"/>
    <n v="5"/>
    <n v="275"/>
    <n v="288.75"/>
    <x v="3"/>
  </r>
  <r>
    <x v="475"/>
    <x v="185"/>
    <s v="A415892"/>
    <x v="11"/>
    <n v="5"/>
    <n v="275"/>
    <n v="288.75"/>
    <x v="3"/>
  </r>
  <r>
    <x v="476"/>
    <x v="14"/>
    <m/>
    <x v="11"/>
    <n v="2"/>
    <n v="140"/>
    <n v="147"/>
    <x v="3"/>
  </r>
  <r>
    <x v="477"/>
    <x v="37"/>
    <s v="A295406"/>
    <x v="2"/>
    <n v="5"/>
    <n v="2600"/>
    <n v="2600"/>
    <x v="3"/>
  </r>
  <r>
    <x v="477"/>
    <x v="23"/>
    <m/>
    <x v="2"/>
    <n v="2"/>
    <n v="580"/>
    <n v="580"/>
    <x v="3"/>
  </r>
  <r>
    <x v="477"/>
    <x v="321"/>
    <s v="A293451"/>
    <x v="2"/>
    <n v="3"/>
    <n v="510"/>
    <n v="510"/>
    <x v="3"/>
  </r>
  <r>
    <x v="477"/>
    <x v="47"/>
    <s v="A283876"/>
    <x v="2"/>
    <n v="1"/>
    <n v="410"/>
    <n v="410"/>
    <x v="3"/>
  </r>
  <r>
    <x v="477"/>
    <x v="694"/>
    <s v="A245190"/>
    <x v="2"/>
    <n v="3"/>
    <n v="645"/>
    <n v="645"/>
    <x v="3"/>
  </r>
  <r>
    <x v="477"/>
    <x v="195"/>
    <s v="A240864"/>
    <x v="2"/>
    <n v="5"/>
    <n v="1650"/>
    <n v="1650"/>
    <x v="3"/>
  </r>
  <r>
    <x v="477"/>
    <x v="19"/>
    <s v="A233442"/>
    <x v="2"/>
    <n v="3"/>
    <n v="555"/>
    <n v="555"/>
    <x v="3"/>
  </r>
  <r>
    <x v="477"/>
    <x v="34"/>
    <s v="A258696"/>
    <x v="2"/>
    <n v="2"/>
    <n v="370"/>
    <n v="370"/>
    <x v="3"/>
  </r>
  <r>
    <x v="477"/>
    <x v="668"/>
    <s v="P09390"/>
    <x v="2"/>
    <n v="2"/>
    <n v="500"/>
    <n v="500"/>
    <x v="3"/>
  </r>
  <r>
    <x v="477"/>
    <x v="103"/>
    <s v="A299996"/>
    <x v="2"/>
    <n v="4"/>
    <n v="780"/>
    <n v="780"/>
    <x v="3"/>
  </r>
  <r>
    <x v="478"/>
    <x v="21"/>
    <s v="P08232"/>
    <x v="8"/>
    <n v="5"/>
    <n v="1000"/>
    <m/>
    <x v="3"/>
  </r>
  <r>
    <x v="478"/>
    <x v="21"/>
    <s v="P08232"/>
    <x v="9"/>
    <n v="35"/>
    <n v="7000"/>
    <m/>
    <x v="3"/>
  </r>
  <r>
    <x v="478"/>
    <x v="21"/>
    <s v="P08232"/>
    <x v="1"/>
    <n v="95"/>
    <n v="19000"/>
    <n v="19950"/>
    <x v="3"/>
  </r>
  <r>
    <x v="478"/>
    <x v="295"/>
    <s v="A302349"/>
    <x v="9"/>
    <n v="10"/>
    <n v="2000"/>
    <m/>
    <x v="3"/>
  </r>
  <r>
    <x v="478"/>
    <x v="411"/>
    <s v="A265729"/>
    <x v="9"/>
    <n v="5"/>
    <n v="1000"/>
    <m/>
    <x v="3"/>
  </r>
  <r>
    <x v="478"/>
    <x v="1092"/>
    <s v="A341210"/>
    <x v="9"/>
    <n v="25"/>
    <n v="5000"/>
    <m/>
    <x v="3"/>
  </r>
  <r>
    <x v="478"/>
    <x v="285"/>
    <s v="A278773"/>
    <x v="1"/>
    <n v="20"/>
    <n v="2600"/>
    <n v="2730"/>
    <x v="3"/>
  </r>
  <r>
    <x v="478"/>
    <x v="700"/>
    <s v="A261335"/>
    <x v="1"/>
    <n v="25"/>
    <n v="3250"/>
    <n v="3412.5"/>
    <x v="3"/>
  </r>
  <r>
    <x v="478"/>
    <x v="151"/>
    <s v="A260799"/>
    <x v="9"/>
    <n v="10"/>
    <n v="1900"/>
    <m/>
    <x v="3"/>
  </r>
  <r>
    <x v="478"/>
    <x v="46"/>
    <s v="A234876"/>
    <x v="8"/>
    <n v="5"/>
    <n v="1000"/>
    <m/>
    <x v="3"/>
  </r>
  <r>
    <x v="478"/>
    <x v="46"/>
    <s v="A234876"/>
    <x v="9"/>
    <n v="10"/>
    <n v="2000"/>
    <m/>
    <x v="3"/>
  </r>
  <r>
    <x v="478"/>
    <x v="26"/>
    <s v="A281055"/>
    <x v="9"/>
    <n v="10"/>
    <n v="1800"/>
    <m/>
    <x v="3"/>
  </r>
  <r>
    <x v="478"/>
    <x v="68"/>
    <s v="A240864"/>
    <x v="1"/>
    <n v="5"/>
    <n v="1000"/>
    <n v="1050"/>
    <x v="3"/>
  </r>
  <r>
    <x v="478"/>
    <x v="99"/>
    <s v="A282344"/>
    <x v="8"/>
    <n v="5"/>
    <n v="1000"/>
    <m/>
    <x v="3"/>
  </r>
  <r>
    <x v="478"/>
    <x v="99"/>
    <s v="A282344"/>
    <x v="9"/>
    <n v="20"/>
    <n v="4000"/>
    <m/>
    <x v="3"/>
  </r>
  <r>
    <x v="478"/>
    <x v="99"/>
    <s v="A282344"/>
    <x v="1"/>
    <n v="55"/>
    <n v="11000"/>
    <n v="11550"/>
    <x v="3"/>
  </r>
  <r>
    <x v="478"/>
    <x v="287"/>
    <s v="A279810"/>
    <x v="1"/>
    <n v="25"/>
    <n v="3250"/>
    <n v="3412.5"/>
    <x v="3"/>
  </r>
  <r>
    <x v="478"/>
    <x v="171"/>
    <s v="A258812"/>
    <x v="1"/>
    <n v="25"/>
    <n v="3250"/>
    <n v="3412.5"/>
    <x v="3"/>
  </r>
  <r>
    <x v="479"/>
    <x v="130"/>
    <s v="P01022"/>
    <x v="2"/>
    <n v="5"/>
    <n v="950"/>
    <n v="997.5"/>
    <x v="3"/>
  </r>
  <r>
    <x v="479"/>
    <x v="258"/>
    <s v="A352612"/>
    <x v="11"/>
    <n v="10"/>
    <n v="1600"/>
    <n v="1680"/>
    <x v="3"/>
  </r>
  <r>
    <x v="480"/>
    <x v="323"/>
    <s v="A292785"/>
    <x v="1"/>
    <n v="25"/>
    <n v="2075"/>
    <n v="2178.75"/>
    <x v="3"/>
  </r>
  <r>
    <x v="481"/>
    <x v="316"/>
    <s v="A258812"/>
    <x v="2"/>
    <n v="1"/>
    <n v="150"/>
    <n v="157.5"/>
    <x v="3"/>
  </r>
  <r>
    <x v="481"/>
    <x v="88"/>
    <s v="A244191"/>
    <x v="2"/>
    <n v="1"/>
    <n v="100"/>
    <n v="105"/>
    <x v="3"/>
  </r>
  <r>
    <x v="481"/>
    <x v="364"/>
    <s v="A302349"/>
    <x v="2"/>
    <n v="3"/>
    <n v="435"/>
    <n v="456.75"/>
    <x v="3"/>
  </r>
  <r>
    <x v="481"/>
    <x v="610"/>
    <s v="P08978"/>
    <x v="2"/>
    <n v="1"/>
    <n v="160"/>
    <n v="168"/>
    <x v="3"/>
  </r>
  <r>
    <x v="481"/>
    <x v="127"/>
    <s v="A343168"/>
    <x v="2"/>
    <n v="2"/>
    <n v="320"/>
    <n v="336"/>
    <x v="3"/>
  </r>
  <r>
    <x v="481"/>
    <x v="496"/>
    <s v="A235748"/>
    <x v="2"/>
    <n v="1"/>
    <n v="160"/>
    <n v="168"/>
    <x v="3"/>
  </r>
  <r>
    <x v="481"/>
    <x v="255"/>
    <s v="A245809"/>
    <x v="2"/>
    <n v="1"/>
    <n v="170"/>
    <n v="178.5"/>
    <x v="3"/>
  </r>
  <r>
    <x v="481"/>
    <x v="255"/>
    <s v="A245809"/>
    <x v="11"/>
    <n v="1"/>
    <n v="170"/>
    <n v="178.5"/>
    <x v="3"/>
  </r>
  <r>
    <x v="481"/>
    <x v="104"/>
    <s v="A235765"/>
    <x v="2"/>
    <n v="1"/>
    <n v="155"/>
    <n v="162.75"/>
    <x v="3"/>
  </r>
  <r>
    <x v="481"/>
    <x v="1093"/>
    <s v="P01022"/>
    <x v="2"/>
    <n v="1"/>
    <n v="160"/>
    <n v="168"/>
    <x v="3"/>
  </r>
  <r>
    <x v="481"/>
    <x v="913"/>
    <s v="F15861"/>
    <x v="2"/>
    <n v="1"/>
    <n v="160"/>
    <n v="168"/>
    <x v="3"/>
  </r>
  <r>
    <x v="481"/>
    <x v="1094"/>
    <s v="A242452"/>
    <x v="2"/>
    <n v="1"/>
    <n v="155"/>
    <n v="162.75"/>
    <x v="3"/>
  </r>
  <r>
    <x v="481"/>
    <x v="691"/>
    <s v="A245818"/>
    <x v="2"/>
    <n v="1"/>
    <n v="160"/>
    <n v="168"/>
    <x v="3"/>
  </r>
  <r>
    <x v="481"/>
    <x v="693"/>
    <s v="A268070"/>
    <x v="2"/>
    <n v="1"/>
    <n v="150"/>
    <n v="157.5"/>
    <x v="3"/>
  </r>
  <r>
    <x v="481"/>
    <x v="106"/>
    <s v="A281055"/>
    <x v="2"/>
    <n v="1"/>
    <n v="150"/>
    <n v="157.5"/>
    <x v="3"/>
  </r>
  <r>
    <x v="481"/>
    <x v="950"/>
    <s v="A305591"/>
    <x v="2"/>
    <n v="1"/>
    <n v="150"/>
    <n v="157.5"/>
    <x v="3"/>
  </r>
  <r>
    <x v="481"/>
    <x v="156"/>
    <s v="A231705"/>
    <x v="2"/>
    <n v="1"/>
    <n v="100"/>
    <n v="105"/>
    <x v="3"/>
  </r>
  <r>
    <x v="481"/>
    <x v="502"/>
    <s v="A260960"/>
    <x v="2"/>
    <n v="1"/>
    <n v="90"/>
    <n v="94.5"/>
    <x v="3"/>
  </r>
  <r>
    <x v="481"/>
    <x v="502"/>
    <s v="A260960"/>
    <x v="11"/>
    <n v="1"/>
    <n v="90"/>
    <n v="94.5"/>
    <x v="3"/>
  </r>
  <r>
    <x v="481"/>
    <x v="463"/>
    <s v="P19035"/>
    <x v="2"/>
    <n v="1"/>
    <n v="165"/>
    <n v="173.25"/>
    <x v="3"/>
  </r>
  <r>
    <x v="481"/>
    <x v="134"/>
    <s v="P04017"/>
    <x v="2"/>
    <n v="2"/>
    <n v="320"/>
    <n v="336"/>
    <x v="3"/>
  </r>
  <r>
    <x v="481"/>
    <x v="107"/>
    <s v="A257635"/>
    <x v="2"/>
    <n v="1"/>
    <n v="150"/>
    <n v="157.5"/>
    <x v="3"/>
  </r>
  <r>
    <x v="481"/>
    <x v="696"/>
    <s v="A257635"/>
    <x v="2"/>
    <n v="1"/>
    <n v="150"/>
    <n v="157.5"/>
    <x v="3"/>
  </r>
  <r>
    <x v="481"/>
    <x v="241"/>
    <s v="A401495"/>
    <x v="2"/>
    <n v="1"/>
    <n v="100"/>
    <n v="105"/>
    <x v="3"/>
  </r>
  <r>
    <x v="481"/>
    <x v="911"/>
    <s v="P16046"/>
    <x v="2"/>
    <n v="1"/>
    <n v="170"/>
    <n v="178.5"/>
    <x v="3"/>
  </r>
  <r>
    <x v="481"/>
    <x v="57"/>
    <s v="A292908"/>
    <x v="2"/>
    <n v="1"/>
    <n v="150"/>
    <n v="157.5"/>
    <x v="3"/>
  </r>
  <r>
    <x v="481"/>
    <x v="550"/>
    <s v="A265082"/>
    <x v="2"/>
    <n v="2"/>
    <n v="180"/>
    <n v="189"/>
    <x v="3"/>
  </r>
  <r>
    <x v="481"/>
    <x v="333"/>
    <s v="A317824"/>
    <x v="2"/>
    <n v="1"/>
    <n v="100"/>
    <n v="105"/>
    <x v="3"/>
  </r>
  <r>
    <x v="481"/>
    <x v="263"/>
    <s v="A403817"/>
    <x v="2"/>
    <n v="1"/>
    <n v="100"/>
    <n v="105"/>
    <x v="3"/>
  </r>
  <r>
    <x v="481"/>
    <x v="334"/>
    <s v="A277868"/>
    <x v="2"/>
    <n v="1"/>
    <n v="150"/>
    <n v="157.5"/>
    <x v="3"/>
  </r>
  <r>
    <x v="481"/>
    <x v="344"/>
    <s v="A415791"/>
    <x v="2"/>
    <n v="1"/>
    <n v="100"/>
    <n v="105"/>
    <x v="3"/>
  </r>
  <r>
    <x v="481"/>
    <x v="137"/>
    <s v="P21021"/>
    <x v="2"/>
    <n v="6"/>
    <n v="840"/>
    <n v="882"/>
    <x v="3"/>
  </r>
  <r>
    <x v="481"/>
    <x v="137"/>
    <s v="P21021"/>
    <x v="11"/>
    <n v="1"/>
    <n v="160"/>
    <n v="168"/>
    <x v="3"/>
  </r>
  <r>
    <x v="481"/>
    <x v="499"/>
    <s v="A282344"/>
    <x v="2"/>
    <n v="4"/>
    <n v="690"/>
    <n v="724.5"/>
    <x v="3"/>
  </r>
  <r>
    <x v="481"/>
    <x v="139"/>
    <s v="P08499"/>
    <x v="2"/>
    <n v="5"/>
    <n v="750"/>
    <n v="787.5"/>
    <x v="3"/>
  </r>
  <r>
    <x v="481"/>
    <x v="139"/>
    <s v="P08499"/>
    <x v="11"/>
    <n v="1"/>
    <n v="180"/>
    <n v="189"/>
    <x v="3"/>
  </r>
  <r>
    <x v="481"/>
    <x v="335"/>
    <s v="A349425"/>
    <x v="2"/>
    <n v="2"/>
    <n v="360"/>
    <n v="378"/>
    <x v="3"/>
  </r>
  <r>
    <x v="481"/>
    <x v="335"/>
    <s v="A349425"/>
    <x v="11"/>
    <n v="1"/>
    <n v="180"/>
    <n v="189"/>
    <x v="3"/>
  </r>
  <r>
    <x v="481"/>
    <x v="305"/>
    <s v="A338959"/>
    <x v="2"/>
    <n v="2"/>
    <n v="400"/>
    <n v="420"/>
    <x v="3"/>
  </r>
  <r>
    <x v="481"/>
    <x v="305"/>
    <s v="A338959"/>
    <x v="11"/>
    <n v="1"/>
    <n v="200"/>
    <n v="210"/>
    <x v="3"/>
  </r>
  <r>
    <x v="481"/>
    <x v="19"/>
    <s v="A233442"/>
    <x v="2"/>
    <n v="1"/>
    <n v="100"/>
    <n v="105"/>
    <x v="3"/>
  </r>
  <r>
    <x v="481"/>
    <x v="680"/>
    <s v="P09390"/>
    <x v="2"/>
    <n v="2"/>
    <n v="300"/>
    <n v="315"/>
    <x v="3"/>
  </r>
  <r>
    <x v="481"/>
    <x v="680"/>
    <s v="P09390"/>
    <x v="11"/>
    <n v="1"/>
    <n v="150"/>
    <n v="157.5"/>
    <x v="3"/>
  </r>
  <r>
    <x v="482"/>
    <x v="16"/>
    <s v="A241225"/>
    <x v="6"/>
    <n v="25"/>
    <n v="1625"/>
    <m/>
    <x v="3"/>
  </r>
  <r>
    <x v="482"/>
    <x v="9"/>
    <s v="A234248"/>
    <x v="6"/>
    <n v="50"/>
    <n v="3950"/>
    <m/>
    <x v="3"/>
  </r>
  <r>
    <x v="482"/>
    <x v="9"/>
    <s v="A234248"/>
    <x v="10"/>
    <n v="100"/>
    <n v="7300"/>
    <m/>
    <x v="3"/>
  </r>
  <r>
    <x v="482"/>
    <x v="18"/>
    <m/>
    <x v="6"/>
    <n v="20"/>
    <n v="1760"/>
    <m/>
    <x v="3"/>
  </r>
  <r>
    <x v="482"/>
    <x v="10"/>
    <m/>
    <x v="6"/>
    <n v="20"/>
    <n v="1760"/>
    <m/>
    <x v="3"/>
  </r>
  <r>
    <x v="483"/>
    <x v="3"/>
    <s v="A232126"/>
    <x v="12"/>
    <n v="300"/>
    <n v="31500"/>
    <m/>
    <x v="3"/>
  </r>
  <r>
    <x v="483"/>
    <x v="3"/>
    <s v="A232126"/>
    <x v="4"/>
    <n v="300"/>
    <n v="34500"/>
    <m/>
    <x v="3"/>
  </r>
  <r>
    <x v="483"/>
    <x v="3"/>
    <s v="A232126"/>
    <x v="6"/>
    <n v="150"/>
    <n v="17700"/>
    <m/>
    <x v="3"/>
  </r>
  <r>
    <x v="483"/>
    <x v="3"/>
    <s v="A232126"/>
    <x v="7"/>
    <n v="550"/>
    <n v="64900"/>
    <m/>
    <x v="3"/>
  </r>
  <r>
    <x v="483"/>
    <x v="3"/>
    <s v="A232126"/>
    <x v="10"/>
    <n v="375"/>
    <n v="44250"/>
    <m/>
    <x v="3"/>
  </r>
  <r>
    <x v="483"/>
    <x v="3"/>
    <s v="A232126"/>
    <x v="8"/>
    <n v="800"/>
    <n v="94400"/>
    <m/>
    <x v="3"/>
  </r>
  <r>
    <x v="483"/>
    <x v="3"/>
    <s v="A232126"/>
    <x v="9"/>
    <n v="1400"/>
    <n v="165200"/>
    <m/>
    <x v="3"/>
  </r>
  <r>
    <x v="483"/>
    <x v="3"/>
    <s v="A232126"/>
    <x v="1"/>
    <n v="500"/>
    <n v="59000"/>
    <n v="61950"/>
    <x v="3"/>
  </r>
  <r>
    <x v="483"/>
    <x v="3"/>
    <s v="A232126"/>
    <x v="2"/>
    <n v="900"/>
    <n v="106200"/>
    <n v="111510"/>
    <x v="3"/>
  </r>
  <r>
    <x v="483"/>
    <x v="3"/>
    <s v="A232126"/>
    <x v="11"/>
    <n v="1800"/>
    <n v="212400"/>
    <n v="223020"/>
    <x v="3"/>
  </r>
  <r>
    <x v="483"/>
    <x v="3"/>
    <s v="A232126"/>
    <x v="0"/>
    <n v="500"/>
    <n v="59000"/>
    <n v="61950"/>
    <x v="3"/>
  </r>
  <r>
    <x v="483"/>
    <x v="432"/>
    <m/>
    <x v="1"/>
    <n v="560"/>
    <n v="44800"/>
    <n v="47040"/>
    <x v="3"/>
  </r>
  <r>
    <x v="483"/>
    <x v="432"/>
    <m/>
    <x v="2"/>
    <n v="160"/>
    <n v="12800"/>
    <n v="13440"/>
    <x v="3"/>
  </r>
  <r>
    <x v="484"/>
    <x v="386"/>
    <m/>
    <x v="9"/>
    <n v="8"/>
    <n v="4160"/>
    <m/>
    <x v="3"/>
  </r>
  <r>
    <x v="484"/>
    <x v="10"/>
    <m/>
    <x v="8"/>
    <n v="20"/>
    <n v="1700"/>
    <m/>
    <x v="3"/>
  </r>
  <r>
    <x v="484"/>
    <x v="10"/>
    <m/>
    <x v="9"/>
    <n v="43"/>
    <n v="4960"/>
    <m/>
    <x v="3"/>
  </r>
  <r>
    <x v="485"/>
    <x v="269"/>
    <s v="A415790"/>
    <x v="2"/>
    <n v="2"/>
    <n v="92"/>
    <n v="92"/>
    <x v="3"/>
  </r>
  <r>
    <x v="485"/>
    <x v="270"/>
    <s v="A415885"/>
    <x v="2"/>
    <n v="2"/>
    <n v="92"/>
    <n v="92"/>
    <x v="3"/>
  </r>
  <r>
    <x v="485"/>
    <x v="272"/>
    <s v="A246994"/>
    <x v="2"/>
    <n v="2"/>
    <n v="92"/>
    <n v="92"/>
    <x v="3"/>
  </r>
  <r>
    <x v="485"/>
    <x v="237"/>
    <s v="A252350"/>
    <x v="2"/>
    <n v="2"/>
    <n v="92"/>
    <n v="92"/>
    <x v="3"/>
  </r>
  <r>
    <x v="485"/>
    <x v="504"/>
    <s v="A321852"/>
    <x v="2"/>
    <n v="2"/>
    <n v="116"/>
    <n v="116"/>
    <x v="3"/>
  </r>
  <r>
    <x v="485"/>
    <x v="6"/>
    <s v="A270578"/>
    <x v="2"/>
    <n v="2"/>
    <n v="92"/>
    <n v="92"/>
    <x v="3"/>
  </r>
  <r>
    <x v="485"/>
    <x v="350"/>
    <s v="A410392"/>
    <x v="2"/>
    <n v="2"/>
    <n v="92"/>
    <n v="92"/>
    <x v="3"/>
  </r>
  <r>
    <x v="485"/>
    <x v="559"/>
    <s v="A416951"/>
    <x v="2"/>
    <n v="2"/>
    <n v="92"/>
    <n v="92"/>
    <x v="3"/>
  </r>
  <r>
    <x v="485"/>
    <x v="141"/>
    <s v="A249778"/>
    <x v="2"/>
    <n v="2"/>
    <n v="109"/>
    <n v="109"/>
    <x v="3"/>
  </r>
  <r>
    <x v="485"/>
    <x v="275"/>
    <s v="A271087"/>
    <x v="2"/>
    <n v="2"/>
    <n v="92"/>
    <n v="92"/>
    <x v="3"/>
  </r>
  <r>
    <x v="485"/>
    <x v="28"/>
    <s v="A233711"/>
    <x v="2"/>
    <n v="2"/>
    <n v="92"/>
    <n v="92"/>
    <x v="3"/>
  </r>
  <r>
    <x v="485"/>
    <x v="51"/>
    <s v="A298567"/>
    <x v="2"/>
    <n v="2"/>
    <n v="92"/>
    <n v="92"/>
    <x v="3"/>
  </r>
  <r>
    <x v="485"/>
    <x v="708"/>
    <s v="A410433"/>
    <x v="2"/>
    <n v="2"/>
    <n v="92"/>
    <n v="92"/>
    <x v="3"/>
  </r>
  <r>
    <x v="485"/>
    <x v="263"/>
    <s v="A403817"/>
    <x v="2"/>
    <n v="2"/>
    <n v="92"/>
    <n v="92"/>
    <x v="3"/>
  </r>
  <r>
    <x v="485"/>
    <x v="344"/>
    <s v="A415791"/>
    <x v="2"/>
    <n v="2"/>
    <n v="92"/>
    <n v="92"/>
    <x v="3"/>
  </r>
  <r>
    <x v="485"/>
    <x v="247"/>
    <s v="A402013"/>
    <x v="2"/>
    <n v="2"/>
    <n v="92"/>
    <n v="92"/>
    <x v="3"/>
  </r>
  <r>
    <x v="485"/>
    <x v="169"/>
    <s v="A286825"/>
    <x v="2"/>
    <n v="2"/>
    <n v="116"/>
    <n v="116"/>
    <x v="3"/>
  </r>
  <r>
    <x v="485"/>
    <x v="422"/>
    <s v="A294408"/>
    <x v="2"/>
    <n v="2"/>
    <n v="116"/>
    <n v="116"/>
    <x v="3"/>
  </r>
  <r>
    <x v="486"/>
    <x v="377"/>
    <s v="A248596"/>
    <x v="8"/>
    <n v="15"/>
    <n v="2700"/>
    <m/>
    <x v="3"/>
  </r>
  <r>
    <x v="486"/>
    <x v="103"/>
    <s v="A299996"/>
    <x v="8"/>
    <n v="13.1"/>
    <n v="2096"/>
    <m/>
    <x v="3"/>
  </r>
  <r>
    <x v="487"/>
    <x v="1095"/>
    <s v="A241622"/>
    <x v="8"/>
    <n v="25"/>
    <n v="1700"/>
    <m/>
    <x v="3"/>
  </r>
  <r>
    <x v="487"/>
    <x v="812"/>
    <s v="A235573"/>
    <x v="12"/>
    <n v="50"/>
    <n v="4350"/>
    <m/>
    <x v="3"/>
  </r>
  <r>
    <x v="487"/>
    <x v="812"/>
    <s v="A235573"/>
    <x v="4"/>
    <n v="100"/>
    <n v="9000"/>
    <m/>
    <x v="3"/>
  </r>
  <r>
    <x v="487"/>
    <x v="812"/>
    <s v="A235573"/>
    <x v="5"/>
    <n v="50"/>
    <n v="2400"/>
    <m/>
    <x v="3"/>
  </r>
  <r>
    <x v="487"/>
    <x v="812"/>
    <s v="A235573"/>
    <x v="6"/>
    <n v="50"/>
    <n v="4800"/>
    <m/>
    <x v="3"/>
  </r>
  <r>
    <x v="487"/>
    <x v="812"/>
    <s v="A235573"/>
    <x v="7"/>
    <n v="50"/>
    <n v="4800"/>
    <m/>
    <x v="3"/>
  </r>
  <r>
    <x v="487"/>
    <x v="812"/>
    <s v="A235573"/>
    <x v="10"/>
    <n v="25"/>
    <n v="2400"/>
    <m/>
    <x v="3"/>
  </r>
  <r>
    <x v="487"/>
    <x v="812"/>
    <s v="A235573"/>
    <x v="9"/>
    <n v="100"/>
    <n v="9600"/>
    <m/>
    <x v="3"/>
  </r>
  <r>
    <x v="487"/>
    <x v="812"/>
    <s v="A235573"/>
    <x v="1"/>
    <n v="25"/>
    <n v="2500"/>
    <n v="2625"/>
    <x v="3"/>
  </r>
  <r>
    <x v="487"/>
    <x v="812"/>
    <s v="A235573"/>
    <x v="2"/>
    <n v="50"/>
    <n v="4950"/>
    <n v="5197.5"/>
    <x v="3"/>
  </r>
  <r>
    <x v="487"/>
    <x v="546"/>
    <s v="A419373"/>
    <x v="11"/>
    <n v="25"/>
    <n v="2475"/>
    <n v="2598.75"/>
    <x v="3"/>
  </r>
  <r>
    <x v="487"/>
    <x v="93"/>
    <s v="A231708"/>
    <x v="12"/>
    <n v="100"/>
    <n v="3404"/>
    <m/>
    <x v="3"/>
  </r>
  <r>
    <x v="487"/>
    <x v="93"/>
    <s v="A236987"/>
    <x v="12"/>
    <n v="50"/>
    <n v="1700"/>
    <m/>
    <x v="3"/>
  </r>
  <r>
    <x v="487"/>
    <x v="93"/>
    <s v="A236987"/>
    <x v="3"/>
    <n v="100"/>
    <n v="3400"/>
    <m/>
    <x v="3"/>
  </r>
  <r>
    <x v="487"/>
    <x v="93"/>
    <s v="A236987"/>
    <x v="5"/>
    <n v="50"/>
    <n v="2500"/>
    <m/>
    <x v="3"/>
  </r>
  <r>
    <x v="487"/>
    <x v="93"/>
    <s v="A231708"/>
    <x v="1"/>
    <n v="100"/>
    <n v="5200"/>
    <n v="5460"/>
    <x v="3"/>
  </r>
  <r>
    <x v="487"/>
    <x v="93"/>
    <s v="A231708"/>
    <x v="2"/>
    <n v="10"/>
    <n v="520"/>
    <n v="546"/>
    <x v="3"/>
  </r>
  <r>
    <x v="487"/>
    <x v="350"/>
    <s v="A401491"/>
    <x v="2"/>
    <n v="50"/>
    <n v="3000"/>
    <n v="3150"/>
    <x v="3"/>
  </r>
  <r>
    <x v="487"/>
    <x v="350"/>
    <s v="A410392"/>
    <x v="2"/>
    <n v="65"/>
    <n v="3380"/>
    <n v="3549"/>
    <x v="3"/>
  </r>
  <r>
    <x v="487"/>
    <x v="16"/>
    <s v="A235942"/>
    <x v="12"/>
    <n v="250"/>
    <n v="8250"/>
    <m/>
    <x v="3"/>
  </r>
  <r>
    <x v="487"/>
    <x v="16"/>
    <s v="A235942"/>
    <x v="3"/>
    <n v="500"/>
    <n v="16500"/>
    <m/>
    <x v="3"/>
  </r>
  <r>
    <x v="487"/>
    <x v="16"/>
    <s v="A235942"/>
    <x v="4"/>
    <n v="400"/>
    <n v="15200"/>
    <m/>
    <x v="3"/>
  </r>
  <r>
    <x v="487"/>
    <x v="16"/>
    <s v="A242640"/>
    <x v="5"/>
    <n v="150"/>
    <n v="9200"/>
    <m/>
    <x v="3"/>
  </r>
  <r>
    <x v="487"/>
    <x v="16"/>
    <s v="A255224"/>
    <x v="5"/>
    <n v="50"/>
    <n v="8100"/>
    <m/>
    <x v="3"/>
  </r>
  <r>
    <x v="487"/>
    <x v="16"/>
    <s v="A242640"/>
    <x v="6"/>
    <n v="1000"/>
    <n v="44000"/>
    <m/>
    <x v="3"/>
  </r>
  <r>
    <x v="487"/>
    <x v="16"/>
    <s v="A242640"/>
    <x v="7"/>
    <n v="500"/>
    <n v="24000"/>
    <m/>
    <x v="3"/>
  </r>
  <r>
    <x v="487"/>
    <x v="16"/>
    <s v="A242640"/>
    <x v="8"/>
    <n v="200"/>
    <n v="8400"/>
    <m/>
    <x v="3"/>
  </r>
  <r>
    <x v="487"/>
    <x v="16"/>
    <s v="A242640"/>
    <x v="9"/>
    <n v="800"/>
    <n v="32000"/>
    <m/>
    <x v="3"/>
  </r>
  <r>
    <x v="487"/>
    <x v="343"/>
    <s v="A257810"/>
    <x v="2"/>
    <n v="300"/>
    <n v="12000"/>
    <n v="12600"/>
    <x v="3"/>
  </r>
  <r>
    <x v="487"/>
    <x v="343"/>
    <s v="A257810"/>
    <x v="11"/>
    <n v="300"/>
    <n v="12000"/>
    <n v="12600"/>
    <x v="3"/>
  </r>
  <r>
    <x v="487"/>
    <x v="333"/>
    <s v="A317827"/>
    <x v="8"/>
    <n v="25"/>
    <n v="1950"/>
    <m/>
    <x v="3"/>
  </r>
  <r>
    <x v="487"/>
    <x v="333"/>
    <s v="A317827"/>
    <x v="2"/>
    <n v="25"/>
    <n v="1875"/>
    <n v="1968.75"/>
    <x v="3"/>
  </r>
  <r>
    <x v="487"/>
    <x v="293"/>
    <s v="A248825"/>
    <x v="3"/>
    <n v="50"/>
    <n v="2200"/>
    <m/>
    <x v="3"/>
  </r>
  <r>
    <x v="487"/>
    <x v="293"/>
    <s v="A248825"/>
    <x v="6"/>
    <n v="100"/>
    <n v="6500"/>
    <m/>
    <x v="3"/>
  </r>
  <r>
    <x v="487"/>
    <x v="293"/>
    <s v="A248825"/>
    <x v="8"/>
    <n v="25"/>
    <n v="1500"/>
    <m/>
    <x v="3"/>
  </r>
  <r>
    <x v="487"/>
    <x v="293"/>
    <s v="A248825"/>
    <x v="9"/>
    <n v="25"/>
    <n v="1450"/>
    <m/>
    <x v="3"/>
  </r>
  <r>
    <x v="487"/>
    <x v="263"/>
    <s v="A403817"/>
    <x v="1"/>
    <n v="25"/>
    <n v="1450"/>
    <n v="1522.5"/>
    <x v="3"/>
  </r>
  <r>
    <x v="487"/>
    <x v="263"/>
    <s v="A403817"/>
    <x v="2"/>
    <n v="25"/>
    <n v="1450"/>
    <n v="1522.5"/>
    <x v="3"/>
  </r>
  <r>
    <x v="487"/>
    <x v="710"/>
    <s v="A262915"/>
    <x v="4"/>
    <n v="50"/>
    <n v="3100"/>
    <m/>
    <x v="3"/>
  </r>
  <r>
    <x v="487"/>
    <x v="710"/>
    <s v="A262915"/>
    <x v="5"/>
    <n v="50"/>
    <n v="3300"/>
    <m/>
    <x v="3"/>
  </r>
  <r>
    <x v="487"/>
    <x v="710"/>
    <s v="A262915"/>
    <x v="6"/>
    <n v="100"/>
    <n v="6600"/>
    <m/>
    <x v="3"/>
  </r>
  <r>
    <x v="487"/>
    <x v="710"/>
    <s v="A262915"/>
    <x v="7"/>
    <n v="50"/>
    <n v="3300"/>
    <m/>
    <x v="3"/>
  </r>
  <r>
    <x v="487"/>
    <x v="710"/>
    <s v="A262915"/>
    <x v="10"/>
    <n v="50"/>
    <n v="3300"/>
    <m/>
    <x v="3"/>
  </r>
  <r>
    <x v="487"/>
    <x v="710"/>
    <s v="A262915"/>
    <x v="8"/>
    <n v="25"/>
    <n v="1650"/>
    <m/>
    <x v="3"/>
  </r>
  <r>
    <x v="487"/>
    <x v="710"/>
    <s v="A262915"/>
    <x v="1"/>
    <n v="50"/>
    <n v="3100"/>
    <n v="3255"/>
    <x v="3"/>
  </r>
  <r>
    <x v="487"/>
    <x v="228"/>
    <s v="A306319"/>
    <x v="8"/>
    <n v="25"/>
    <n v="1650"/>
    <m/>
    <x v="3"/>
  </r>
  <r>
    <x v="487"/>
    <x v="228"/>
    <s v="A306319"/>
    <x v="9"/>
    <n v="100"/>
    <n v="6500"/>
    <m/>
    <x v="3"/>
  </r>
  <r>
    <x v="487"/>
    <x v="228"/>
    <s v="A306319"/>
    <x v="2"/>
    <n v="50"/>
    <n v="3050"/>
    <n v="3202.5"/>
    <x v="3"/>
  </r>
  <r>
    <x v="487"/>
    <x v="9"/>
    <s v="A234248"/>
    <x v="2"/>
    <n v="25"/>
    <n v="1700"/>
    <n v="1785"/>
    <x v="3"/>
  </r>
  <r>
    <x v="487"/>
    <x v="177"/>
    <s v="A292781"/>
    <x v="8"/>
    <n v="25"/>
    <n v="1700"/>
    <m/>
    <x v="3"/>
  </r>
  <r>
    <x v="487"/>
    <x v="247"/>
    <s v="A402013"/>
    <x v="2"/>
    <n v="25"/>
    <n v="1450"/>
    <n v="1522.5"/>
    <x v="3"/>
  </r>
  <r>
    <x v="487"/>
    <x v="1096"/>
    <s v="A233442"/>
    <x v="8"/>
    <n v="25"/>
    <n v="1450"/>
    <m/>
    <x v="3"/>
  </r>
  <r>
    <x v="487"/>
    <x v="922"/>
    <s v="A402014"/>
    <x v="2"/>
    <n v="25"/>
    <n v="1600"/>
    <n v="1680"/>
    <x v="3"/>
  </r>
  <r>
    <x v="487"/>
    <x v="716"/>
    <s v="A236985"/>
    <x v="12"/>
    <n v="100"/>
    <n v="4968"/>
    <m/>
    <x v="3"/>
  </r>
  <r>
    <x v="487"/>
    <x v="716"/>
    <s v="A236985"/>
    <x v="4"/>
    <n v="175"/>
    <n v="9000"/>
    <m/>
    <x v="3"/>
  </r>
  <r>
    <x v="487"/>
    <x v="716"/>
    <s v="A236985"/>
    <x v="5"/>
    <n v="50"/>
    <n v="2800"/>
    <m/>
    <x v="3"/>
  </r>
  <r>
    <x v="487"/>
    <x v="716"/>
    <s v="A236985"/>
    <x v="6"/>
    <n v="100"/>
    <n v="6200"/>
    <m/>
    <x v="3"/>
  </r>
  <r>
    <x v="487"/>
    <x v="716"/>
    <s v="A236985"/>
    <x v="7"/>
    <n v="50"/>
    <n v="3100"/>
    <m/>
    <x v="3"/>
  </r>
  <r>
    <x v="487"/>
    <x v="716"/>
    <s v="A236985"/>
    <x v="10"/>
    <n v="75"/>
    <n v="4650"/>
    <m/>
    <x v="3"/>
  </r>
  <r>
    <x v="487"/>
    <x v="716"/>
    <s v="A236985"/>
    <x v="8"/>
    <n v="75"/>
    <n v="4650"/>
    <m/>
    <x v="3"/>
  </r>
  <r>
    <x v="487"/>
    <x v="716"/>
    <s v="A236985"/>
    <x v="9"/>
    <n v="95"/>
    <n v="5700"/>
    <m/>
    <x v="3"/>
  </r>
  <r>
    <x v="487"/>
    <x v="716"/>
    <s v="A236985"/>
    <x v="1"/>
    <n v="25"/>
    <n v="1625"/>
    <n v="1706.25"/>
    <x v="3"/>
  </r>
  <r>
    <x v="487"/>
    <x v="716"/>
    <s v="A236985"/>
    <x v="2"/>
    <n v="75"/>
    <n v="4800"/>
    <n v="5040"/>
    <x v="3"/>
  </r>
  <r>
    <x v="487"/>
    <x v="716"/>
    <s v="A236985"/>
    <x v="11"/>
    <n v="25"/>
    <n v="1600"/>
    <n v="1680"/>
    <x v="3"/>
  </r>
  <r>
    <x v="488"/>
    <x v="1097"/>
    <m/>
    <x v="11"/>
    <n v="10"/>
    <n v="2800"/>
    <n v="2940"/>
    <x v="3"/>
  </r>
  <r>
    <x v="488"/>
    <x v="304"/>
    <s v="A271046"/>
    <x v="11"/>
    <n v="10"/>
    <n v="2350"/>
    <n v="2467.5"/>
    <x v="3"/>
  </r>
  <r>
    <x v="489"/>
    <x v="597"/>
    <s v="A299986"/>
    <x v="8"/>
    <n v="25"/>
    <n v="1750"/>
    <m/>
    <x v="3"/>
  </r>
  <r>
    <x v="489"/>
    <x v="5"/>
    <s v="A249720"/>
    <x v="8"/>
    <n v="225"/>
    <n v="21375"/>
    <m/>
    <x v="3"/>
  </r>
  <r>
    <x v="489"/>
    <x v="6"/>
    <s v="A270578"/>
    <x v="10"/>
    <n v="75"/>
    <n v="5250"/>
    <m/>
    <x v="3"/>
  </r>
  <r>
    <x v="489"/>
    <x v="6"/>
    <s v="A270578"/>
    <x v="8"/>
    <n v="175"/>
    <n v="16000"/>
    <m/>
    <x v="3"/>
  </r>
  <r>
    <x v="489"/>
    <x v="6"/>
    <s v="A270578"/>
    <x v="2"/>
    <n v="750"/>
    <n v="35000"/>
    <n v="36750"/>
    <x v="3"/>
  </r>
  <r>
    <x v="489"/>
    <x v="8"/>
    <m/>
    <x v="8"/>
    <n v="4"/>
    <n v="2160"/>
    <m/>
    <x v="3"/>
  </r>
  <r>
    <x v="489"/>
    <x v="8"/>
    <m/>
    <x v="1"/>
    <n v="1"/>
    <n v="380"/>
    <n v="399"/>
    <x v="3"/>
  </r>
  <r>
    <x v="489"/>
    <x v="971"/>
    <m/>
    <x v="8"/>
    <n v="3"/>
    <n v="1560"/>
    <m/>
    <x v="3"/>
  </r>
  <r>
    <x v="489"/>
    <x v="386"/>
    <m/>
    <x v="10"/>
    <n v="40"/>
    <n v="19900"/>
    <m/>
    <x v="3"/>
  </r>
  <r>
    <x v="489"/>
    <x v="386"/>
    <m/>
    <x v="8"/>
    <n v="19"/>
    <n v="9500"/>
    <m/>
    <x v="3"/>
  </r>
  <r>
    <x v="489"/>
    <x v="386"/>
    <m/>
    <x v="1"/>
    <n v="10"/>
    <n v="4550"/>
    <n v="4777.5"/>
    <x v="3"/>
  </r>
  <r>
    <x v="489"/>
    <x v="156"/>
    <s v="A231705"/>
    <x v="9"/>
    <n v="575"/>
    <n v="28750"/>
    <m/>
    <x v="3"/>
  </r>
  <r>
    <x v="489"/>
    <x v="156"/>
    <s v="A231705"/>
    <x v="1"/>
    <n v="25"/>
    <n v="1250"/>
    <n v="1312.5"/>
    <x v="3"/>
  </r>
  <r>
    <x v="489"/>
    <x v="16"/>
    <s v="A241225"/>
    <x v="10"/>
    <n v="25"/>
    <n v="1750"/>
    <m/>
    <x v="3"/>
  </r>
  <r>
    <x v="489"/>
    <x v="377"/>
    <s v="A248596"/>
    <x v="10"/>
    <n v="25"/>
    <n v="1750"/>
    <m/>
    <x v="3"/>
  </r>
  <r>
    <x v="489"/>
    <x v="926"/>
    <m/>
    <x v="10"/>
    <n v="5"/>
    <n v="1650"/>
    <m/>
    <x v="3"/>
  </r>
  <r>
    <x v="489"/>
    <x v="877"/>
    <s v="A273911"/>
    <x v="8"/>
    <n v="25"/>
    <n v="2375"/>
    <m/>
    <x v="3"/>
  </r>
  <r>
    <x v="489"/>
    <x v="228"/>
    <s v="A306319"/>
    <x v="9"/>
    <n v="50"/>
    <n v="2500"/>
    <m/>
    <x v="3"/>
  </r>
  <r>
    <x v="489"/>
    <x v="9"/>
    <s v="A234248"/>
    <x v="8"/>
    <n v="50"/>
    <n v="3500"/>
    <m/>
    <x v="3"/>
  </r>
  <r>
    <x v="489"/>
    <x v="9"/>
    <s v="A234248"/>
    <x v="9"/>
    <n v="25"/>
    <n v="2375"/>
    <m/>
    <x v="3"/>
  </r>
  <r>
    <x v="489"/>
    <x v="177"/>
    <s v="A292781"/>
    <x v="9"/>
    <n v="25"/>
    <n v="2375"/>
    <m/>
    <x v="3"/>
  </r>
  <r>
    <x v="489"/>
    <x v="18"/>
    <m/>
    <x v="10"/>
    <n v="2"/>
    <n v="260"/>
    <m/>
    <x v="3"/>
  </r>
  <r>
    <x v="489"/>
    <x v="18"/>
    <m/>
    <x v="2"/>
    <n v="20"/>
    <n v="1900"/>
    <n v="1995"/>
    <x v="3"/>
  </r>
  <r>
    <x v="489"/>
    <x v="10"/>
    <m/>
    <x v="10"/>
    <n v="40"/>
    <n v="3560"/>
    <m/>
    <x v="3"/>
  </r>
  <r>
    <x v="489"/>
    <x v="10"/>
    <m/>
    <x v="8"/>
    <n v="100"/>
    <n v="8800"/>
    <m/>
    <x v="3"/>
  </r>
  <r>
    <x v="489"/>
    <x v="10"/>
    <m/>
    <x v="9"/>
    <n v="100"/>
    <n v="8800"/>
    <m/>
    <x v="3"/>
  </r>
  <r>
    <x v="489"/>
    <x v="10"/>
    <m/>
    <x v="2"/>
    <n v="21"/>
    <n v="1470"/>
    <n v="1543.5"/>
    <x v="3"/>
  </r>
  <r>
    <x v="489"/>
    <x v="10"/>
    <m/>
    <x v="11"/>
    <n v="60"/>
    <n v="4200"/>
    <n v="4410"/>
    <x v="3"/>
  </r>
  <r>
    <x v="489"/>
    <x v="19"/>
    <s v="A233442"/>
    <x v="1"/>
    <n v="250"/>
    <n v="12500"/>
    <n v="13125"/>
    <x v="3"/>
  </r>
  <r>
    <x v="490"/>
    <x v="19"/>
    <s v="A233442"/>
    <x v="1"/>
    <n v="25"/>
    <n v="1250"/>
    <n v="1312.5"/>
    <x v="3"/>
  </r>
  <r>
    <x v="491"/>
    <x v="452"/>
    <s v="A239535"/>
    <x v="10"/>
    <n v="5"/>
    <n v="500"/>
    <m/>
    <x v="3"/>
  </r>
  <r>
    <x v="491"/>
    <x v="268"/>
    <s v="A245994"/>
    <x v="10"/>
    <n v="5"/>
    <n v="500"/>
    <m/>
    <x v="3"/>
  </r>
  <r>
    <x v="492"/>
    <x v="51"/>
    <s v="A298567"/>
    <x v="2"/>
    <n v="125"/>
    <n v="7530"/>
    <n v="7906.5"/>
    <x v="3"/>
  </r>
  <r>
    <x v="493"/>
    <x v="1098"/>
    <m/>
    <x v="5"/>
    <n v="13"/>
    <n v="780"/>
    <m/>
    <x v="3"/>
  </r>
  <r>
    <x v="493"/>
    <x v="221"/>
    <s v="A231076"/>
    <x v="5"/>
    <n v="50"/>
    <n v="3750"/>
    <m/>
    <x v="3"/>
  </r>
  <r>
    <x v="493"/>
    <x v="6"/>
    <s v="A270578"/>
    <x v="1"/>
    <n v="250"/>
    <n v="11250"/>
    <n v="11812.5"/>
    <x v="3"/>
  </r>
  <r>
    <x v="493"/>
    <x v="386"/>
    <m/>
    <x v="1"/>
    <n v="200"/>
    <n v="55600"/>
    <n v="58380"/>
    <x v="3"/>
  </r>
  <r>
    <x v="493"/>
    <x v="124"/>
    <m/>
    <x v="11"/>
    <n v="249"/>
    <n v="90885"/>
    <n v="95429.25"/>
    <x v="3"/>
  </r>
  <r>
    <x v="493"/>
    <x v="289"/>
    <s v="A234285"/>
    <x v="11"/>
    <n v="25"/>
    <n v="1575"/>
    <n v="1653.75"/>
    <x v="3"/>
  </r>
  <r>
    <x v="493"/>
    <x v="16"/>
    <s v="A235942"/>
    <x v="4"/>
    <n v="100"/>
    <n v="7000"/>
    <m/>
    <x v="3"/>
  </r>
  <r>
    <x v="493"/>
    <x v="28"/>
    <s v="A233711"/>
    <x v="0"/>
    <n v="400"/>
    <n v="20000"/>
    <n v="21000"/>
    <x v="3"/>
  </r>
  <r>
    <x v="493"/>
    <x v="51"/>
    <s v="A298567"/>
    <x v="1"/>
    <n v="25"/>
    <n v="1125"/>
    <n v="1181.25"/>
    <x v="3"/>
  </r>
  <r>
    <x v="493"/>
    <x v="51"/>
    <s v="A298567"/>
    <x v="11"/>
    <n v="400"/>
    <n v="20000"/>
    <n v="21000"/>
    <x v="3"/>
  </r>
  <r>
    <x v="493"/>
    <x v="51"/>
    <s v="A298567"/>
    <x v="0"/>
    <n v="100"/>
    <n v="5000"/>
    <n v="5250"/>
    <x v="3"/>
  </r>
  <r>
    <x v="493"/>
    <x v="355"/>
    <s v="A401230"/>
    <x v="2"/>
    <n v="25"/>
    <n v="1575"/>
    <n v="1653.75"/>
    <x v="3"/>
  </r>
  <r>
    <x v="493"/>
    <x v="355"/>
    <s v="A401230"/>
    <x v="11"/>
    <n v="100"/>
    <n v="6300"/>
    <n v="6615"/>
    <x v="3"/>
  </r>
  <r>
    <x v="493"/>
    <x v="243"/>
    <s v="A232125"/>
    <x v="1"/>
    <n v="50"/>
    <n v="3000"/>
    <n v="3150"/>
    <x v="3"/>
  </r>
  <r>
    <x v="493"/>
    <x v="228"/>
    <s v="A306319"/>
    <x v="8"/>
    <n v="50"/>
    <n v="3000"/>
    <m/>
    <x v="3"/>
  </r>
  <r>
    <x v="493"/>
    <x v="228"/>
    <s v="A306319"/>
    <x v="9"/>
    <n v="75"/>
    <n v="4500"/>
    <m/>
    <x v="3"/>
  </r>
  <r>
    <x v="493"/>
    <x v="228"/>
    <s v="A306319"/>
    <x v="1"/>
    <n v="125"/>
    <n v="7500"/>
    <n v="7875"/>
    <x v="3"/>
  </r>
  <r>
    <x v="493"/>
    <x v="228"/>
    <s v="A306319"/>
    <x v="2"/>
    <n v="250"/>
    <n v="15450"/>
    <n v="16222.5"/>
    <x v="3"/>
  </r>
  <r>
    <x v="493"/>
    <x v="228"/>
    <s v="A306319"/>
    <x v="11"/>
    <n v="200"/>
    <n v="12600"/>
    <n v="13230"/>
    <x v="3"/>
  </r>
  <r>
    <x v="493"/>
    <x v="9"/>
    <s v="A234248"/>
    <x v="4"/>
    <n v="25"/>
    <n v="1750"/>
    <m/>
    <x v="3"/>
  </r>
  <r>
    <x v="493"/>
    <x v="10"/>
    <m/>
    <x v="4"/>
    <n v="25"/>
    <n v="1750"/>
    <m/>
    <x v="3"/>
  </r>
  <r>
    <x v="493"/>
    <x v="10"/>
    <m/>
    <x v="5"/>
    <n v="20"/>
    <n v="1700"/>
    <m/>
    <x v="3"/>
  </r>
  <r>
    <x v="493"/>
    <x v="10"/>
    <m/>
    <x v="6"/>
    <n v="80"/>
    <n v="6640"/>
    <m/>
    <x v="3"/>
  </r>
  <r>
    <x v="493"/>
    <x v="10"/>
    <m/>
    <x v="7"/>
    <n v="80"/>
    <n v="6640"/>
    <m/>
    <x v="3"/>
  </r>
  <r>
    <x v="494"/>
    <x v="684"/>
    <m/>
    <x v="0"/>
    <n v="1"/>
    <n v="250"/>
    <n v="262.5"/>
    <x v="3"/>
  </r>
  <r>
    <x v="494"/>
    <x v="38"/>
    <s v="A273820"/>
    <x v="0"/>
    <n v="1"/>
    <n v="150"/>
    <n v="157.5"/>
    <x v="3"/>
  </r>
  <r>
    <x v="494"/>
    <x v="298"/>
    <s v="A416950"/>
    <x v="0"/>
    <n v="1"/>
    <n v="190"/>
    <n v="199.5"/>
    <x v="3"/>
  </r>
  <r>
    <x v="494"/>
    <x v="23"/>
    <m/>
    <x v="0"/>
    <n v="1"/>
    <n v="280"/>
    <n v="294"/>
    <x v="3"/>
  </r>
  <r>
    <x v="494"/>
    <x v="411"/>
    <s v="A265729"/>
    <x v="0"/>
    <n v="1"/>
    <n v="220"/>
    <n v="231"/>
    <x v="3"/>
  </r>
  <r>
    <x v="494"/>
    <x v="367"/>
    <s v="P14424"/>
    <x v="0"/>
    <n v="1"/>
    <n v="220"/>
    <n v="231"/>
    <x v="3"/>
  </r>
  <r>
    <x v="494"/>
    <x v="125"/>
    <s v="A238189"/>
    <x v="0"/>
    <n v="1"/>
    <n v="230"/>
    <n v="241.5"/>
    <x v="3"/>
  </r>
  <r>
    <x v="494"/>
    <x v="40"/>
    <s v="P00861"/>
    <x v="0"/>
    <n v="1"/>
    <n v="220"/>
    <n v="231"/>
    <x v="3"/>
  </r>
  <r>
    <x v="494"/>
    <x v="686"/>
    <s v="A413848"/>
    <x v="0"/>
    <n v="1"/>
    <n v="180"/>
    <n v="189"/>
    <x v="3"/>
  </r>
  <r>
    <x v="494"/>
    <x v="566"/>
    <s v="F15711"/>
    <x v="0"/>
    <n v="1"/>
    <n v="220"/>
    <n v="231"/>
    <x v="3"/>
  </r>
  <r>
    <x v="494"/>
    <x v="920"/>
    <m/>
    <x v="0"/>
    <n v="1"/>
    <n v="250"/>
    <n v="262.5"/>
    <x v="3"/>
  </r>
  <r>
    <x v="494"/>
    <x v="1000"/>
    <s v="P30860"/>
    <x v="0"/>
    <n v="1"/>
    <n v="240"/>
    <n v="252"/>
    <x v="3"/>
  </r>
  <r>
    <x v="494"/>
    <x v="261"/>
    <m/>
    <x v="0"/>
    <n v="1"/>
    <n v="275"/>
    <n v="288.75"/>
    <x v="3"/>
  </r>
  <r>
    <x v="494"/>
    <x v="303"/>
    <s v="A403149"/>
    <x v="0"/>
    <n v="1"/>
    <n v="180"/>
    <n v="189"/>
    <x v="3"/>
  </r>
  <r>
    <x v="494"/>
    <x v="569"/>
    <m/>
    <x v="0"/>
    <n v="1"/>
    <n v="180"/>
    <n v="189"/>
    <x v="3"/>
  </r>
  <r>
    <x v="494"/>
    <x v="212"/>
    <s v="P05636"/>
    <x v="0"/>
    <n v="1"/>
    <n v="480"/>
    <n v="504"/>
    <x v="3"/>
  </r>
  <r>
    <x v="494"/>
    <x v="95"/>
    <m/>
    <x v="0"/>
    <n v="1"/>
    <n v="530"/>
    <n v="556.5"/>
    <x v="3"/>
  </r>
  <r>
    <x v="494"/>
    <x v="215"/>
    <m/>
    <x v="0"/>
    <n v="1"/>
    <n v="200"/>
    <n v="210"/>
    <x v="3"/>
  </r>
  <r>
    <x v="494"/>
    <x v="137"/>
    <s v="P21021"/>
    <x v="0"/>
    <n v="1"/>
    <n v="230"/>
    <n v="241.5"/>
    <x v="3"/>
  </r>
  <r>
    <x v="494"/>
    <x v="683"/>
    <s v="P09427"/>
    <x v="0"/>
    <n v="1"/>
    <n v="220"/>
    <n v="231"/>
    <x v="3"/>
  </r>
  <r>
    <x v="494"/>
    <x v="307"/>
    <s v="A245395"/>
    <x v="0"/>
    <n v="1"/>
    <n v="200"/>
    <n v="210"/>
    <x v="3"/>
  </r>
  <r>
    <x v="495"/>
    <x v="350"/>
    <s v="A410392"/>
    <x v="0"/>
    <n v="5"/>
    <n v="300"/>
    <n v="315"/>
    <x v="3"/>
  </r>
  <r>
    <x v="495"/>
    <x v="343"/>
    <s v="A257810"/>
    <x v="0"/>
    <n v="5"/>
    <n v="225"/>
    <n v="236.25"/>
    <x v="3"/>
  </r>
  <r>
    <x v="496"/>
    <x v="129"/>
    <s v="A235765"/>
    <x v="2"/>
    <n v="1"/>
    <n v="65"/>
    <n v="68.25"/>
    <x v="3"/>
  </r>
  <r>
    <x v="496"/>
    <x v="3"/>
    <s v="A232126"/>
    <x v="2"/>
    <n v="1"/>
    <n v="55"/>
    <n v="57.75"/>
    <x v="3"/>
  </r>
  <r>
    <x v="496"/>
    <x v="275"/>
    <s v="A271087"/>
    <x v="2"/>
    <n v="1"/>
    <n v="45"/>
    <n v="47.25"/>
    <x v="3"/>
  </r>
  <r>
    <x v="496"/>
    <x v="293"/>
    <s v="A248825"/>
    <x v="2"/>
    <n v="1"/>
    <n v="40"/>
    <n v="42"/>
    <x v="3"/>
  </r>
  <r>
    <x v="497"/>
    <x v="596"/>
    <s v="A231707"/>
    <x v="10"/>
    <n v="5"/>
    <n v="500"/>
    <m/>
    <x v="3"/>
  </r>
  <r>
    <x v="497"/>
    <x v="596"/>
    <s v="A231707"/>
    <x v="8"/>
    <n v="5"/>
    <n v="550"/>
    <m/>
    <x v="3"/>
  </r>
  <r>
    <x v="498"/>
    <x v="233"/>
    <m/>
    <x v="11"/>
    <n v="1"/>
    <n v="98"/>
    <n v="98"/>
    <x v="3"/>
  </r>
  <r>
    <x v="498"/>
    <x v="7"/>
    <m/>
    <x v="8"/>
    <n v="60"/>
    <n v="29200"/>
    <m/>
    <x v="3"/>
  </r>
  <r>
    <x v="498"/>
    <x v="7"/>
    <m/>
    <x v="9"/>
    <n v="80"/>
    <n v="38000"/>
    <m/>
    <x v="3"/>
  </r>
  <r>
    <x v="498"/>
    <x v="3"/>
    <s v="A232126"/>
    <x v="12"/>
    <n v="10"/>
    <n v="1050"/>
    <m/>
    <x v="3"/>
  </r>
  <r>
    <x v="498"/>
    <x v="377"/>
    <s v="A248596"/>
    <x v="10"/>
    <n v="25"/>
    <n v="2125"/>
    <m/>
    <x v="3"/>
  </r>
  <r>
    <x v="498"/>
    <x v="377"/>
    <s v="A248596"/>
    <x v="9"/>
    <n v="25"/>
    <n v="2000"/>
    <m/>
    <x v="3"/>
  </r>
  <r>
    <x v="498"/>
    <x v="13"/>
    <m/>
    <x v="11"/>
    <n v="1"/>
    <n v="100"/>
    <n v="100"/>
    <x v="3"/>
  </r>
  <r>
    <x v="498"/>
    <x v="433"/>
    <m/>
    <x v="1"/>
    <n v="20"/>
    <n v="1600"/>
    <n v="1680"/>
    <x v="3"/>
  </r>
  <r>
    <x v="499"/>
    <x v="298"/>
    <s v="A416950"/>
    <x v="11"/>
    <n v="5"/>
    <n v="825"/>
    <n v="825"/>
    <x v="3"/>
  </r>
  <r>
    <x v="499"/>
    <x v="686"/>
    <s v="A413848"/>
    <x v="11"/>
    <n v="0.2"/>
    <n v="28"/>
    <n v="28"/>
    <x v="3"/>
  </r>
  <r>
    <x v="499"/>
    <x v="1099"/>
    <s v="A422964"/>
    <x v="11"/>
    <n v="50"/>
    <n v="9240"/>
    <n v="9240"/>
    <x v="3"/>
  </r>
  <r>
    <x v="499"/>
    <x v="1099"/>
    <s v="A422964"/>
    <x v="0"/>
    <n v="25"/>
    <n v="4400"/>
    <n v="4620"/>
    <x v="3"/>
  </r>
  <r>
    <x v="499"/>
    <x v="156"/>
    <s v="A231705"/>
    <x v="11"/>
    <n v="1"/>
    <n v="75"/>
    <n v="75"/>
    <x v="3"/>
  </r>
  <r>
    <x v="499"/>
    <x v="342"/>
    <s v="A402008"/>
    <x v="11"/>
    <n v="6"/>
    <n v="450"/>
    <n v="450"/>
    <x v="3"/>
  </r>
  <r>
    <x v="499"/>
    <x v="275"/>
    <s v="A271087"/>
    <x v="11"/>
    <n v="10.199999999999999"/>
    <n v="816"/>
    <n v="816"/>
    <x v="3"/>
  </r>
  <r>
    <x v="499"/>
    <x v="409"/>
    <s v="A337724"/>
    <x v="11"/>
    <n v="1"/>
    <n v="50"/>
    <n v="50"/>
    <x v="3"/>
  </r>
  <r>
    <x v="499"/>
    <x v="816"/>
    <s v="A419009"/>
    <x v="11"/>
    <n v="0.2"/>
    <n v="28"/>
    <n v="28"/>
    <x v="3"/>
  </r>
  <r>
    <x v="499"/>
    <x v="421"/>
    <s v="A243394"/>
    <x v="11"/>
    <n v="0.2"/>
    <n v="30"/>
    <n v="30"/>
    <x v="3"/>
  </r>
  <r>
    <x v="499"/>
    <x v="202"/>
    <s v="A418088"/>
    <x v="11"/>
    <n v="1.2"/>
    <n v="168"/>
    <n v="168"/>
    <x v="3"/>
  </r>
  <r>
    <x v="499"/>
    <x v="335"/>
    <s v="A349425"/>
    <x v="11"/>
    <n v="0.2"/>
    <n v="28"/>
    <n v="28"/>
    <x v="3"/>
  </r>
  <r>
    <x v="499"/>
    <x v="422"/>
    <s v="A294408"/>
    <x v="11"/>
    <n v="0.2"/>
    <n v="28"/>
    <n v="28"/>
    <x v="3"/>
  </r>
  <r>
    <x v="500"/>
    <x v="279"/>
    <m/>
    <x v="1"/>
    <n v="25"/>
    <n v="5875"/>
    <n v="6168.75"/>
    <x v="3"/>
  </r>
  <r>
    <x v="500"/>
    <x v="279"/>
    <m/>
    <x v="2"/>
    <n v="50"/>
    <n v="11750"/>
    <n v="12337.5"/>
    <x v="3"/>
  </r>
  <r>
    <x v="500"/>
    <x v="321"/>
    <s v="A293451"/>
    <x v="10"/>
    <n v="50"/>
    <n v="3500"/>
    <m/>
    <x v="3"/>
  </r>
  <r>
    <x v="500"/>
    <x v="321"/>
    <s v="A293451"/>
    <x v="11"/>
    <n v="50"/>
    <n v="3500"/>
    <n v="3675"/>
    <x v="3"/>
  </r>
  <r>
    <x v="500"/>
    <x v="1100"/>
    <m/>
    <x v="4"/>
    <n v="350"/>
    <n v="95016"/>
    <m/>
    <x v="3"/>
  </r>
  <r>
    <x v="500"/>
    <x v="1100"/>
    <m/>
    <x v="7"/>
    <n v="50"/>
    <n v="8367.6"/>
    <m/>
    <x v="3"/>
  </r>
  <r>
    <x v="500"/>
    <x v="1100"/>
    <m/>
    <x v="10"/>
    <n v="25"/>
    <n v="4183.8"/>
    <m/>
    <x v="3"/>
  </r>
  <r>
    <x v="500"/>
    <x v="1100"/>
    <m/>
    <x v="8"/>
    <n v="50"/>
    <n v="8367.6"/>
    <m/>
    <x v="3"/>
  </r>
  <r>
    <x v="500"/>
    <x v="1100"/>
    <m/>
    <x v="9"/>
    <n v="25"/>
    <n v="4183.8"/>
    <m/>
    <x v="3"/>
  </r>
  <r>
    <x v="500"/>
    <x v="1100"/>
    <m/>
    <x v="1"/>
    <n v="25"/>
    <n v="6288.81"/>
    <n v="6603.2505000000001"/>
    <x v="3"/>
  </r>
  <r>
    <x v="500"/>
    <x v="1100"/>
    <m/>
    <x v="2"/>
    <n v="25"/>
    <n v="6289.25"/>
    <n v="6289.25"/>
    <x v="3"/>
  </r>
  <r>
    <x v="500"/>
    <x v="1100"/>
    <m/>
    <x v="11"/>
    <n v="30"/>
    <n v="7451.1"/>
    <n v="7823.6549999999997"/>
    <x v="3"/>
  </r>
  <r>
    <x v="500"/>
    <x v="271"/>
    <s v="A401493"/>
    <x v="11"/>
    <n v="160"/>
    <n v="14080"/>
    <n v="14784"/>
    <x v="3"/>
  </r>
  <r>
    <x v="500"/>
    <x v="306"/>
    <s v="A244199"/>
    <x v="8"/>
    <n v="25"/>
    <n v="1625"/>
    <m/>
    <x v="3"/>
  </r>
  <r>
    <x v="500"/>
    <x v="1101"/>
    <m/>
    <x v="0"/>
    <n v="1750"/>
    <n v="14000"/>
    <n v="14700"/>
    <x v="3"/>
  </r>
  <r>
    <x v="500"/>
    <x v="42"/>
    <s v="A241469"/>
    <x v="9"/>
    <n v="25"/>
    <n v="3123.75"/>
    <m/>
    <x v="3"/>
  </r>
  <r>
    <x v="500"/>
    <x v="42"/>
    <s v="A241469"/>
    <x v="1"/>
    <n v="375"/>
    <n v="43436"/>
    <n v="45607.8"/>
    <x v="3"/>
  </r>
  <r>
    <x v="500"/>
    <x v="329"/>
    <s v="A263702"/>
    <x v="1"/>
    <n v="25"/>
    <n v="1875"/>
    <n v="1968.75"/>
    <x v="3"/>
  </r>
  <r>
    <x v="500"/>
    <x v="567"/>
    <s v="A255319"/>
    <x v="9"/>
    <n v="50"/>
    <n v="4961.26"/>
    <m/>
    <x v="3"/>
  </r>
  <r>
    <x v="500"/>
    <x v="567"/>
    <s v="A255319"/>
    <x v="1"/>
    <n v="450"/>
    <n v="56675.75"/>
    <n v="59509.537499999999"/>
    <x v="3"/>
  </r>
  <r>
    <x v="500"/>
    <x v="567"/>
    <s v="A255319"/>
    <x v="2"/>
    <n v="450"/>
    <n v="50635"/>
    <n v="53166.75"/>
    <x v="3"/>
  </r>
  <r>
    <x v="500"/>
    <x v="567"/>
    <s v="A255319"/>
    <x v="11"/>
    <n v="550"/>
    <n v="65450"/>
    <n v="68722.5"/>
    <x v="3"/>
  </r>
  <r>
    <x v="500"/>
    <x v="48"/>
    <s v="A245955"/>
    <x v="2"/>
    <n v="50"/>
    <n v="11750"/>
    <n v="12337.5"/>
    <x v="3"/>
  </r>
  <r>
    <x v="500"/>
    <x v="48"/>
    <s v="A245955"/>
    <x v="11"/>
    <n v="25"/>
    <n v="5875"/>
    <n v="6168.75"/>
    <x v="3"/>
  </r>
  <r>
    <x v="500"/>
    <x v="48"/>
    <s v="A245955"/>
    <x v="0"/>
    <n v="75"/>
    <n v="17625"/>
    <n v="18506.25"/>
    <x v="3"/>
  </r>
  <r>
    <x v="500"/>
    <x v="1102"/>
    <s v="A240863"/>
    <x v="3"/>
    <n v="250"/>
    <n v="90450"/>
    <m/>
    <x v="3"/>
  </r>
  <r>
    <x v="500"/>
    <x v="1102"/>
    <s v="A240863"/>
    <x v="7"/>
    <n v="10"/>
    <n v="980"/>
    <m/>
    <x v="3"/>
  </r>
  <r>
    <x v="500"/>
    <x v="1102"/>
    <s v="A240863"/>
    <x v="10"/>
    <n v="25"/>
    <n v="8991.5"/>
    <m/>
    <x v="3"/>
  </r>
  <r>
    <x v="500"/>
    <x v="196"/>
    <s v="A240864"/>
    <x v="3"/>
    <n v="1025"/>
    <n v="316695"/>
    <m/>
    <x v="3"/>
  </r>
  <r>
    <x v="500"/>
    <x v="196"/>
    <s v="A240864"/>
    <x v="4"/>
    <n v="2200"/>
    <n v="678888"/>
    <m/>
    <x v="3"/>
  </r>
  <r>
    <x v="500"/>
    <x v="196"/>
    <s v="A240864"/>
    <x v="5"/>
    <n v="1200"/>
    <n v="370272"/>
    <m/>
    <x v="3"/>
  </r>
  <r>
    <x v="500"/>
    <x v="196"/>
    <s v="A240864"/>
    <x v="6"/>
    <n v="1400"/>
    <n v="431802"/>
    <m/>
    <x v="3"/>
  </r>
  <r>
    <x v="500"/>
    <x v="196"/>
    <s v="A240864"/>
    <x v="7"/>
    <n v="1391.6"/>
    <n v="426128.1"/>
    <m/>
    <x v="3"/>
  </r>
  <r>
    <x v="500"/>
    <x v="196"/>
    <s v="A240864"/>
    <x v="10"/>
    <n v="800"/>
    <n v="240752"/>
    <m/>
    <x v="3"/>
  </r>
  <r>
    <x v="500"/>
    <x v="196"/>
    <s v="A240864"/>
    <x v="8"/>
    <n v="300"/>
    <n v="109366"/>
    <m/>
    <x v="3"/>
  </r>
  <r>
    <x v="500"/>
    <x v="196"/>
    <s v="A240864"/>
    <x v="9"/>
    <n v="300"/>
    <n v="79272"/>
    <m/>
    <x v="3"/>
  </r>
  <r>
    <x v="500"/>
    <x v="196"/>
    <s v="A240864"/>
    <x v="1"/>
    <n v="125"/>
    <n v="33075"/>
    <n v="34728.75"/>
    <x v="3"/>
  </r>
  <r>
    <x v="500"/>
    <x v="196"/>
    <s v="A240864"/>
    <x v="2"/>
    <n v="225"/>
    <n v="42425"/>
    <n v="44546.25"/>
    <x v="3"/>
  </r>
  <r>
    <x v="500"/>
    <x v="196"/>
    <s v="A240864"/>
    <x v="11"/>
    <n v="50"/>
    <n v="5750"/>
    <n v="6037.5"/>
    <x v="3"/>
  </r>
  <r>
    <x v="500"/>
    <x v="196"/>
    <s v="A240864"/>
    <x v="11"/>
    <n v="250"/>
    <n v="66150"/>
    <n v="69457.5"/>
    <x v="3"/>
  </r>
  <r>
    <x v="500"/>
    <x v="196"/>
    <s v="A240864"/>
    <x v="0"/>
    <n v="175"/>
    <n v="46305"/>
    <n v="48620.25"/>
    <x v="3"/>
  </r>
  <r>
    <x v="500"/>
    <x v="30"/>
    <s v="A233444"/>
    <x v="10"/>
    <n v="50"/>
    <n v="2746.9949999999999"/>
    <m/>
    <x v="3"/>
  </r>
  <r>
    <x v="500"/>
    <x v="30"/>
    <s v="A233444"/>
    <x v="2"/>
    <n v="50"/>
    <n v="3000"/>
    <n v="3150"/>
    <x v="3"/>
  </r>
  <r>
    <x v="500"/>
    <x v="30"/>
    <s v="A233444"/>
    <x v="11"/>
    <n v="50"/>
    <n v="3000"/>
    <n v="3150"/>
    <x v="3"/>
  </r>
  <r>
    <x v="500"/>
    <x v="95"/>
    <m/>
    <x v="2"/>
    <n v="30"/>
    <n v="7050"/>
    <n v="7402.5"/>
    <x v="3"/>
  </r>
  <r>
    <x v="500"/>
    <x v="95"/>
    <m/>
    <x v="11"/>
    <n v="30"/>
    <n v="7050"/>
    <n v="7402.5"/>
    <x v="3"/>
  </r>
  <r>
    <x v="500"/>
    <x v="95"/>
    <m/>
    <x v="0"/>
    <n v="30"/>
    <n v="7050"/>
    <n v="7402.5"/>
    <x v="3"/>
  </r>
  <r>
    <x v="500"/>
    <x v="9"/>
    <s v="A234248"/>
    <x v="1"/>
    <n v="1"/>
    <n v="75"/>
    <n v="78.75"/>
    <x v="3"/>
  </r>
  <r>
    <x v="500"/>
    <x v="9"/>
    <s v="A234248"/>
    <x v="11"/>
    <n v="1"/>
    <n v="75"/>
    <n v="78.75"/>
    <x v="3"/>
  </r>
  <r>
    <x v="500"/>
    <x v="1103"/>
    <s v="A234653"/>
    <x v="4"/>
    <n v="25"/>
    <n v="1695"/>
    <m/>
    <x v="3"/>
  </r>
  <r>
    <x v="500"/>
    <x v="32"/>
    <s v="A295590"/>
    <x v="2"/>
    <n v="80"/>
    <n v="14000"/>
    <n v="14700"/>
    <x v="3"/>
  </r>
  <r>
    <x v="500"/>
    <x v="32"/>
    <s v="A295590"/>
    <x v="11"/>
    <n v="30"/>
    <n v="5250"/>
    <n v="5512.5"/>
    <x v="3"/>
  </r>
  <r>
    <x v="500"/>
    <x v="80"/>
    <s v="F15632"/>
    <x v="11"/>
    <n v="11"/>
    <n v="6435"/>
    <n v="6756.75"/>
    <x v="3"/>
  </r>
  <r>
    <x v="501"/>
    <x v="104"/>
    <s v="A235765"/>
    <x v="9"/>
    <n v="5"/>
    <n v="750"/>
    <m/>
    <x v="3"/>
  </r>
  <r>
    <x v="501"/>
    <x v="104"/>
    <s v="A235765"/>
    <x v="1"/>
    <n v="5"/>
    <n v="750"/>
    <n v="787.5"/>
    <x v="3"/>
  </r>
  <r>
    <x v="501"/>
    <x v="271"/>
    <s v="A401493"/>
    <x v="0"/>
    <n v="1"/>
    <n v="90"/>
    <n v="94.5"/>
    <x v="3"/>
  </r>
  <r>
    <x v="501"/>
    <x v="234"/>
    <s v="A305995"/>
    <x v="1"/>
    <n v="5"/>
    <n v="600"/>
    <n v="630"/>
    <x v="3"/>
  </r>
  <r>
    <x v="501"/>
    <x v="46"/>
    <s v="A234876"/>
    <x v="2"/>
    <n v="1"/>
    <n v="180"/>
    <n v="189"/>
    <x v="3"/>
  </r>
  <r>
    <x v="501"/>
    <x v="275"/>
    <s v="A271087"/>
    <x v="9"/>
    <n v="60"/>
    <n v="5100"/>
    <m/>
    <x v="3"/>
  </r>
  <r>
    <x v="501"/>
    <x v="275"/>
    <s v="A271087"/>
    <x v="2"/>
    <n v="25"/>
    <n v="2125"/>
    <n v="2231.25"/>
    <x v="3"/>
  </r>
  <r>
    <x v="501"/>
    <x v="275"/>
    <s v="A271087"/>
    <x v="11"/>
    <n v="5"/>
    <n v="405"/>
    <n v="425.25"/>
    <x v="3"/>
  </r>
  <r>
    <x v="501"/>
    <x v="196"/>
    <s v="A240864"/>
    <x v="11"/>
    <n v="1"/>
    <n v="140"/>
    <n v="147"/>
    <x v="3"/>
  </r>
  <r>
    <x v="501"/>
    <x v="276"/>
    <s v="P782100"/>
    <x v="2"/>
    <n v="25"/>
    <n v="3125"/>
    <n v="3281.25"/>
    <x v="3"/>
  </r>
  <r>
    <x v="501"/>
    <x v="315"/>
    <s v="A258760"/>
    <x v="1"/>
    <n v="10"/>
    <n v="1800"/>
    <n v="1890"/>
    <x v="3"/>
  </r>
  <r>
    <x v="501"/>
    <x v="99"/>
    <s v="A282344"/>
    <x v="1"/>
    <n v="32"/>
    <n v="5760"/>
    <n v="6048"/>
    <x v="3"/>
  </r>
  <r>
    <x v="501"/>
    <x v="99"/>
    <s v="A282344"/>
    <x v="2"/>
    <n v="55"/>
    <n v="7750"/>
    <n v="8137.5"/>
    <x v="3"/>
  </r>
  <r>
    <x v="501"/>
    <x v="335"/>
    <s v="A349425"/>
    <x v="9"/>
    <n v="5"/>
    <n v="900"/>
    <m/>
    <x v="3"/>
  </r>
  <r>
    <x v="501"/>
    <x v="335"/>
    <s v="A349425"/>
    <x v="1"/>
    <n v="60"/>
    <n v="10800"/>
    <n v="11340"/>
    <x v="3"/>
  </r>
  <r>
    <x v="501"/>
    <x v="335"/>
    <s v="A349425"/>
    <x v="2"/>
    <n v="45"/>
    <n v="8550"/>
    <n v="8977.5"/>
    <x v="3"/>
  </r>
  <r>
    <x v="501"/>
    <x v="83"/>
    <s v="A243193"/>
    <x v="1"/>
    <n v="0.5"/>
    <n v="90"/>
    <n v="94.5"/>
    <x v="3"/>
  </r>
  <r>
    <x v="502"/>
    <x v="11"/>
    <m/>
    <x v="0"/>
    <n v="5"/>
    <n v="375"/>
    <n v="393.75"/>
    <x v="3"/>
  </r>
  <r>
    <x v="502"/>
    <x v="353"/>
    <s v="A241990"/>
    <x v="11"/>
    <n v="10"/>
    <n v="700"/>
    <n v="735"/>
    <x v="3"/>
  </r>
  <r>
    <x v="502"/>
    <x v="238"/>
    <m/>
    <x v="11"/>
    <n v="5"/>
    <n v="375"/>
    <n v="393.75"/>
    <x v="3"/>
  </r>
  <r>
    <x v="502"/>
    <x v="238"/>
    <m/>
    <x v="0"/>
    <n v="5"/>
    <n v="375"/>
    <n v="393.75"/>
    <x v="3"/>
  </r>
  <r>
    <x v="502"/>
    <x v="12"/>
    <m/>
    <x v="2"/>
    <n v="5.25"/>
    <n v="393.75"/>
    <n v="413.4375"/>
    <x v="3"/>
  </r>
  <r>
    <x v="502"/>
    <x v="327"/>
    <m/>
    <x v="2"/>
    <n v="2"/>
    <n v="190"/>
    <n v="199.5"/>
    <x v="3"/>
  </r>
  <r>
    <x v="502"/>
    <x v="327"/>
    <m/>
    <x v="11"/>
    <n v="4.3"/>
    <n v="408.5"/>
    <n v="428.92500000000001"/>
    <x v="3"/>
  </r>
  <r>
    <x v="502"/>
    <x v="51"/>
    <s v="A298567"/>
    <x v="2"/>
    <n v="175"/>
    <n v="7900"/>
    <n v="8295"/>
    <x v="3"/>
  </r>
  <r>
    <x v="502"/>
    <x v="51"/>
    <s v="A298567"/>
    <x v="11"/>
    <n v="325"/>
    <n v="14625"/>
    <n v="15356.25"/>
    <x v="3"/>
  </r>
  <r>
    <x v="502"/>
    <x v="51"/>
    <s v="A298567"/>
    <x v="0"/>
    <n v="25"/>
    <n v="1125"/>
    <n v="1181.25"/>
    <x v="3"/>
  </r>
  <r>
    <x v="502"/>
    <x v="30"/>
    <s v="A233444"/>
    <x v="11"/>
    <n v="25"/>
    <n v="1550"/>
    <n v="1627.5"/>
    <x v="3"/>
  </r>
  <r>
    <x v="502"/>
    <x v="13"/>
    <m/>
    <x v="2"/>
    <n v="15"/>
    <n v="1150"/>
    <n v="1207.5"/>
    <x v="3"/>
  </r>
  <r>
    <x v="502"/>
    <x v="13"/>
    <m/>
    <x v="11"/>
    <n v="25"/>
    <n v="1875"/>
    <n v="1968.75"/>
    <x v="3"/>
  </r>
  <r>
    <x v="502"/>
    <x v="1104"/>
    <m/>
    <x v="4"/>
    <n v="13"/>
    <n v="806"/>
    <m/>
    <x v="3"/>
  </r>
  <r>
    <x v="502"/>
    <x v="14"/>
    <m/>
    <x v="2"/>
    <n v="15"/>
    <n v="1050"/>
    <n v="1102.5"/>
    <x v="3"/>
  </r>
  <r>
    <x v="502"/>
    <x v="14"/>
    <m/>
    <x v="11"/>
    <n v="10"/>
    <n v="700"/>
    <n v="735"/>
    <x v="3"/>
  </r>
  <r>
    <x v="502"/>
    <x v="14"/>
    <m/>
    <x v="0"/>
    <n v="5"/>
    <n v="350"/>
    <n v="367.5"/>
    <x v="3"/>
  </r>
  <r>
    <x v="502"/>
    <x v="1"/>
    <s v="A231710"/>
    <x v="2"/>
    <n v="35"/>
    <n v="2120"/>
    <n v="2226"/>
    <x v="3"/>
  </r>
  <r>
    <x v="502"/>
    <x v="1"/>
    <s v="A231710"/>
    <x v="11"/>
    <n v="300"/>
    <n v="1800"/>
    <n v="1890"/>
    <x v="3"/>
  </r>
  <r>
    <x v="503"/>
    <x v="1105"/>
    <s v="A280536"/>
    <x v="9"/>
    <n v="35"/>
    <n v="2350"/>
    <m/>
    <x v="3"/>
  </r>
  <r>
    <x v="503"/>
    <x v="38"/>
    <s v="A273820"/>
    <x v="11"/>
    <n v="60"/>
    <n v="4500"/>
    <n v="4725"/>
    <x v="3"/>
  </r>
  <r>
    <x v="503"/>
    <x v="38"/>
    <s v="A273820"/>
    <x v="0"/>
    <n v="100"/>
    <n v="7500"/>
    <n v="7500"/>
    <x v="3"/>
  </r>
  <r>
    <x v="503"/>
    <x v="365"/>
    <s v="A285878"/>
    <x v="1"/>
    <n v="11"/>
    <n v="2090"/>
    <n v="2194.5"/>
    <x v="3"/>
  </r>
  <r>
    <x v="503"/>
    <x v="299"/>
    <s v="A404821"/>
    <x v="11"/>
    <n v="10"/>
    <n v="1900"/>
    <n v="1995"/>
    <x v="3"/>
  </r>
  <r>
    <x v="503"/>
    <x v="340"/>
    <m/>
    <x v="11"/>
    <n v="5"/>
    <n v="500"/>
    <n v="525"/>
    <x v="3"/>
  </r>
  <r>
    <x v="503"/>
    <x v="271"/>
    <s v="A401493"/>
    <x v="11"/>
    <n v="10"/>
    <n v="800"/>
    <n v="840"/>
    <x v="3"/>
  </r>
  <r>
    <x v="503"/>
    <x v="46"/>
    <s v="A234876"/>
    <x v="1"/>
    <n v="5"/>
    <n v="1100"/>
    <n v="1155"/>
    <x v="3"/>
  </r>
  <r>
    <x v="503"/>
    <x v="93"/>
    <s v="A231708"/>
    <x v="5"/>
    <n v="25"/>
    <n v="1500"/>
    <m/>
    <x v="3"/>
  </r>
  <r>
    <x v="503"/>
    <x v="93"/>
    <s v="A231708"/>
    <x v="6"/>
    <n v="50"/>
    <n v="3000"/>
    <m/>
    <x v="3"/>
  </r>
  <r>
    <x v="503"/>
    <x v="93"/>
    <s v="A231708"/>
    <x v="1"/>
    <n v="50"/>
    <n v="3000"/>
    <n v="3150"/>
    <x v="3"/>
  </r>
  <r>
    <x v="503"/>
    <x v="350"/>
    <s v="A410392"/>
    <x v="11"/>
    <n v="25"/>
    <n v="1500"/>
    <n v="1575"/>
    <x v="3"/>
  </r>
  <r>
    <x v="503"/>
    <x v="350"/>
    <s v="A410392"/>
    <x v="0"/>
    <n v="25"/>
    <n v="1500"/>
    <n v="1500"/>
    <x v="3"/>
  </r>
  <r>
    <x v="503"/>
    <x v="3"/>
    <s v="A241257"/>
    <x v="12"/>
    <n v="10"/>
    <n v="750"/>
    <m/>
    <x v="3"/>
  </r>
  <r>
    <x v="503"/>
    <x v="3"/>
    <s v="A241257"/>
    <x v="3"/>
    <n v="35"/>
    <n v="2625"/>
    <m/>
    <x v="3"/>
  </r>
  <r>
    <x v="503"/>
    <x v="3"/>
    <s v="A241257"/>
    <x v="5"/>
    <n v="25"/>
    <n v="2000"/>
    <m/>
    <x v="3"/>
  </r>
  <r>
    <x v="503"/>
    <x v="141"/>
    <s v="A249778"/>
    <x v="1"/>
    <n v="50"/>
    <n v="3100"/>
    <n v="3255"/>
    <x v="3"/>
  </r>
  <r>
    <x v="503"/>
    <x v="141"/>
    <s v="A249778"/>
    <x v="2"/>
    <n v="125"/>
    <n v="7750"/>
    <n v="8137.5"/>
    <x v="3"/>
  </r>
  <r>
    <x v="503"/>
    <x v="141"/>
    <s v="A249778"/>
    <x v="11"/>
    <n v="75"/>
    <n v="4650"/>
    <n v="4882.5"/>
    <x v="3"/>
  </r>
  <r>
    <x v="503"/>
    <x v="27"/>
    <s v="A242640"/>
    <x v="0"/>
    <n v="25"/>
    <n v="1375"/>
    <n v="1375"/>
    <x v="3"/>
  </r>
  <r>
    <x v="503"/>
    <x v="4"/>
    <s v="A231709"/>
    <x v="5"/>
    <n v="100"/>
    <n v="7000"/>
    <m/>
    <x v="3"/>
  </r>
  <r>
    <x v="503"/>
    <x v="51"/>
    <s v="A298567"/>
    <x v="2"/>
    <n v="175"/>
    <n v="9550"/>
    <n v="10027.5"/>
    <x v="3"/>
  </r>
  <r>
    <x v="503"/>
    <x v="51"/>
    <s v="A298567"/>
    <x v="11"/>
    <n v="50"/>
    <n v="2750"/>
    <n v="2887.5"/>
    <x v="3"/>
  </r>
  <r>
    <x v="503"/>
    <x v="51"/>
    <s v="A298567"/>
    <x v="0"/>
    <n v="25"/>
    <n v="1375"/>
    <n v="1375"/>
    <x v="3"/>
  </r>
  <r>
    <x v="503"/>
    <x v="870"/>
    <m/>
    <x v="11"/>
    <n v="50"/>
    <n v="5250"/>
    <n v="5512.5"/>
    <x v="3"/>
  </r>
  <r>
    <x v="503"/>
    <x v="584"/>
    <m/>
    <x v="0"/>
    <n v="50"/>
    <n v="5000"/>
    <n v="5000"/>
    <x v="3"/>
  </r>
  <r>
    <x v="503"/>
    <x v="94"/>
    <s v="A339929"/>
    <x v="11"/>
    <n v="25"/>
    <n v="1950"/>
    <n v="2047.5"/>
    <x v="3"/>
  </r>
  <r>
    <x v="503"/>
    <x v="228"/>
    <s v="A306319"/>
    <x v="8"/>
    <n v="25"/>
    <n v="1625"/>
    <m/>
    <x v="3"/>
  </r>
  <r>
    <x v="503"/>
    <x v="13"/>
    <m/>
    <x v="2"/>
    <n v="10"/>
    <n v="800"/>
    <n v="840"/>
    <x v="3"/>
  </r>
  <r>
    <x v="503"/>
    <x v="13"/>
    <m/>
    <x v="11"/>
    <n v="45"/>
    <n v="4800"/>
    <n v="5040"/>
    <x v="3"/>
  </r>
  <r>
    <x v="503"/>
    <x v="202"/>
    <s v="A418088"/>
    <x v="11"/>
    <n v="50"/>
    <n v="3500"/>
    <n v="3675"/>
    <x v="3"/>
  </r>
  <r>
    <x v="503"/>
    <x v="202"/>
    <s v="A417151"/>
    <x v="11"/>
    <n v="25"/>
    <n v="1750"/>
    <n v="1837.5"/>
    <x v="3"/>
  </r>
  <r>
    <x v="503"/>
    <x v="202"/>
    <s v="A417151"/>
    <x v="0"/>
    <n v="25"/>
    <n v="1750"/>
    <n v="1750"/>
    <x v="3"/>
  </r>
  <r>
    <x v="503"/>
    <x v="19"/>
    <s v="A249085"/>
    <x v="5"/>
    <n v="25"/>
    <n v="1875"/>
    <m/>
    <x v="3"/>
  </r>
  <r>
    <x v="503"/>
    <x v="19"/>
    <s v="A233442"/>
    <x v="9"/>
    <n v="35"/>
    <n v="2170"/>
    <m/>
    <x v="3"/>
  </r>
  <r>
    <x v="503"/>
    <x v="19"/>
    <s v="A233442"/>
    <x v="1"/>
    <n v="75"/>
    <n v="4550"/>
    <n v="4777.5"/>
    <x v="3"/>
  </r>
  <r>
    <x v="503"/>
    <x v="19"/>
    <s v="A249085"/>
    <x v="1"/>
    <n v="25"/>
    <n v="1550"/>
    <n v="1627.5"/>
    <x v="3"/>
  </r>
  <r>
    <x v="503"/>
    <x v="19"/>
    <s v="A233442"/>
    <x v="2"/>
    <n v="25"/>
    <n v="1500"/>
    <n v="1575"/>
    <x v="3"/>
  </r>
  <r>
    <x v="503"/>
    <x v="247"/>
    <s v="A402013"/>
    <x v="11"/>
    <n v="75"/>
    <n v="4500"/>
    <n v="4725"/>
    <x v="3"/>
  </r>
  <r>
    <x v="503"/>
    <x v="247"/>
    <s v="A402013"/>
    <x v="0"/>
    <n v="25"/>
    <n v="1500"/>
    <n v="1500"/>
    <x v="3"/>
  </r>
  <r>
    <x v="503"/>
    <x v="14"/>
    <m/>
    <x v="2"/>
    <n v="16"/>
    <n v="1149"/>
    <n v="1206.45"/>
    <x v="3"/>
  </r>
  <r>
    <x v="503"/>
    <x v="14"/>
    <m/>
    <x v="11"/>
    <n v="10"/>
    <n v="750"/>
    <n v="787.5"/>
    <x v="3"/>
  </r>
  <r>
    <x v="504"/>
    <x v="228"/>
    <s v="A306319"/>
    <x v="9"/>
    <n v="5"/>
    <n v="350"/>
    <m/>
    <x v="3"/>
  </r>
  <r>
    <x v="505"/>
    <x v="321"/>
    <s v="A293451"/>
    <x v="11"/>
    <n v="50"/>
    <n v="3400"/>
    <n v="3570"/>
    <x v="3"/>
  </r>
  <r>
    <x v="505"/>
    <x v="6"/>
    <s v="A270578"/>
    <x v="11"/>
    <n v="50"/>
    <n v="3400"/>
    <n v="3570"/>
    <x v="3"/>
  </r>
  <r>
    <x v="505"/>
    <x v="350"/>
    <s v="A410392"/>
    <x v="11"/>
    <n v="50"/>
    <n v="3400"/>
    <n v="3570"/>
    <x v="3"/>
  </r>
  <r>
    <x v="505"/>
    <x v="231"/>
    <s v="A410391"/>
    <x v="11"/>
    <n v="200"/>
    <n v="13600"/>
    <n v="14280"/>
    <x v="3"/>
  </r>
  <r>
    <x v="505"/>
    <x v="231"/>
    <s v="A410391"/>
    <x v="0"/>
    <n v="50"/>
    <n v="3400"/>
    <n v="3570"/>
    <x v="3"/>
  </r>
  <r>
    <x v="505"/>
    <x v="355"/>
    <s v="A401230"/>
    <x v="2"/>
    <n v="75"/>
    <n v="5100"/>
    <n v="5355"/>
    <x v="3"/>
  </r>
  <r>
    <x v="505"/>
    <x v="123"/>
    <m/>
    <x v="11"/>
    <n v="40"/>
    <n v="3200"/>
    <n v="3360"/>
    <x v="3"/>
  </r>
  <r>
    <x v="505"/>
    <x v="10"/>
    <m/>
    <x v="2"/>
    <n v="40"/>
    <n v="2400"/>
    <n v="2520"/>
    <x v="3"/>
  </r>
  <r>
    <x v="505"/>
    <x v="10"/>
    <m/>
    <x v="11"/>
    <n v="116"/>
    <n v="6930"/>
    <n v="7276.5"/>
    <x v="3"/>
  </r>
  <r>
    <x v="505"/>
    <x v="247"/>
    <s v="A402013"/>
    <x v="2"/>
    <n v="100"/>
    <n v="6000"/>
    <n v="6300"/>
    <x v="3"/>
  </r>
  <r>
    <x v="506"/>
    <x v="221"/>
    <s v="A231076"/>
    <x v="9"/>
    <n v="100"/>
    <n v="8000"/>
    <m/>
    <x v="3"/>
  </r>
  <r>
    <x v="506"/>
    <x v="321"/>
    <s v="A293451"/>
    <x v="8"/>
    <n v="445"/>
    <n v="36925"/>
    <m/>
    <x v="3"/>
  </r>
  <r>
    <x v="506"/>
    <x v="321"/>
    <s v="A293451"/>
    <x v="11"/>
    <n v="200"/>
    <n v="11200"/>
    <n v="11760"/>
    <x v="3"/>
  </r>
  <r>
    <x v="506"/>
    <x v="321"/>
    <s v="A293451"/>
    <x v="0"/>
    <n v="25"/>
    <n v="1750"/>
    <n v="1837.5"/>
    <x v="3"/>
  </r>
  <r>
    <x v="506"/>
    <x v="1106"/>
    <s v="A406737"/>
    <x v="2"/>
    <n v="3000"/>
    <n v="168000"/>
    <n v="176400"/>
    <x v="3"/>
  </r>
  <r>
    <x v="506"/>
    <x v="453"/>
    <m/>
    <x v="7"/>
    <n v="25"/>
    <n v="1500"/>
    <m/>
    <x v="3"/>
  </r>
  <r>
    <x v="506"/>
    <x v="6"/>
    <s v="A270578"/>
    <x v="7"/>
    <n v="74"/>
    <n v="5550"/>
    <m/>
    <x v="3"/>
  </r>
  <r>
    <x v="506"/>
    <x v="6"/>
    <s v="A270578"/>
    <x v="9"/>
    <n v="550"/>
    <n v="44000"/>
    <m/>
    <x v="3"/>
  </r>
  <r>
    <x v="506"/>
    <x v="6"/>
    <s v="A270578"/>
    <x v="1"/>
    <n v="1475"/>
    <n v="87050"/>
    <n v="91402.5"/>
    <x v="3"/>
  </r>
  <r>
    <x v="506"/>
    <x v="6"/>
    <s v="A270578"/>
    <x v="2"/>
    <n v="750"/>
    <n v="43600"/>
    <n v="45780"/>
    <x v="3"/>
  </r>
  <r>
    <x v="506"/>
    <x v="6"/>
    <s v="A270578"/>
    <x v="11"/>
    <n v="500"/>
    <n v="28000"/>
    <n v="29400"/>
    <x v="3"/>
  </r>
  <r>
    <x v="506"/>
    <x v="7"/>
    <m/>
    <x v="10"/>
    <n v="5"/>
    <n v="2500"/>
    <m/>
    <x v="3"/>
  </r>
  <r>
    <x v="506"/>
    <x v="8"/>
    <m/>
    <x v="2"/>
    <n v="20"/>
    <n v="7800"/>
    <n v="8190"/>
    <x v="3"/>
  </r>
  <r>
    <x v="506"/>
    <x v="124"/>
    <m/>
    <x v="11"/>
    <n v="2"/>
    <n v="730"/>
    <n v="766.5"/>
    <x v="3"/>
  </r>
  <r>
    <x v="506"/>
    <x v="1107"/>
    <m/>
    <x v="5"/>
    <n v="40"/>
    <n v="8400"/>
    <m/>
    <x v="3"/>
  </r>
  <r>
    <x v="506"/>
    <x v="1107"/>
    <m/>
    <x v="6"/>
    <n v="12"/>
    <n v="3960"/>
    <m/>
    <x v="3"/>
  </r>
  <r>
    <x v="506"/>
    <x v="1107"/>
    <m/>
    <x v="8"/>
    <n v="40"/>
    <n v="10280"/>
    <m/>
    <x v="3"/>
  </r>
  <r>
    <x v="506"/>
    <x v="1107"/>
    <m/>
    <x v="1"/>
    <n v="25"/>
    <n v="6425"/>
    <n v="6746.25"/>
    <x v="3"/>
  </r>
  <r>
    <x v="506"/>
    <x v="1107"/>
    <m/>
    <x v="11"/>
    <n v="2"/>
    <n v="460"/>
    <n v="483"/>
    <x v="3"/>
  </r>
  <r>
    <x v="506"/>
    <x v="156"/>
    <s v="A231705"/>
    <x v="10"/>
    <n v="75"/>
    <n v="7125"/>
    <m/>
    <x v="3"/>
  </r>
  <r>
    <x v="506"/>
    <x v="156"/>
    <s v="A231705"/>
    <x v="8"/>
    <n v="75"/>
    <n v="6750"/>
    <m/>
    <x v="3"/>
  </r>
  <r>
    <x v="506"/>
    <x v="156"/>
    <s v="A231705"/>
    <x v="9"/>
    <n v="1400"/>
    <n v="91000"/>
    <m/>
    <x v="3"/>
  </r>
  <r>
    <x v="506"/>
    <x v="3"/>
    <s v="A232126"/>
    <x v="5"/>
    <n v="75"/>
    <n v="7125"/>
    <m/>
    <x v="3"/>
  </r>
  <r>
    <x v="506"/>
    <x v="3"/>
    <s v="A232126"/>
    <x v="6"/>
    <n v="150"/>
    <n v="14250"/>
    <m/>
    <x v="3"/>
  </r>
  <r>
    <x v="506"/>
    <x v="3"/>
    <s v="A232126"/>
    <x v="7"/>
    <n v="200"/>
    <n v="19000"/>
    <m/>
    <x v="3"/>
  </r>
  <r>
    <x v="506"/>
    <x v="3"/>
    <s v="A232126"/>
    <x v="10"/>
    <n v="50"/>
    <n v="4750"/>
    <m/>
    <x v="3"/>
  </r>
  <r>
    <x v="506"/>
    <x v="3"/>
    <s v="A232126"/>
    <x v="8"/>
    <n v="100"/>
    <n v="9500"/>
    <m/>
    <x v="3"/>
  </r>
  <r>
    <x v="506"/>
    <x v="3"/>
    <s v="A232126"/>
    <x v="0"/>
    <n v="25"/>
    <n v="1800"/>
    <n v="1890"/>
    <x v="3"/>
  </r>
  <r>
    <x v="506"/>
    <x v="16"/>
    <s v="A241225"/>
    <x v="4"/>
    <n v="75"/>
    <n v="4875"/>
    <m/>
    <x v="3"/>
  </r>
  <r>
    <x v="506"/>
    <x v="16"/>
    <s v="A241225"/>
    <x v="9"/>
    <n v="150"/>
    <n v="12750"/>
    <m/>
    <x v="3"/>
  </r>
  <r>
    <x v="506"/>
    <x v="895"/>
    <s v="A248596"/>
    <x v="7"/>
    <n v="75"/>
    <n v="6000"/>
    <m/>
    <x v="3"/>
  </r>
  <r>
    <x v="506"/>
    <x v="895"/>
    <s v="A248596"/>
    <x v="8"/>
    <n v="25"/>
    <n v="2000"/>
    <m/>
    <x v="3"/>
  </r>
  <r>
    <x v="506"/>
    <x v="231"/>
    <s v="A410391"/>
    <x v="11"/>
    <n v="1000"/>
    <n v="56000"/>
    <n v="58800"/>
    <x v="3"/>
  </r>
  <r>
    <x v="506"/>
    <x v="355"/>
    <s v="A401230"/>
    <x v="2"/>
    <n v="1350"/>
    <n v="75600"/>
    <n v="79380"/>
    <x v="3"/>
  </r>
  <r>
    <x v="506"/>
    <x v="355"/>
    <s v="A401230"/>
    <x v="11"/>
    <n v="1300"/>
    <n v="72800"/>
    <n v="76440"/>
    <x v="3"/>
  </r>
  <r>
    <x v="506"/>
    <x v="818"/>
    <s v="A350049"/>
    <x v="1"/>
    <n v="1000"/>
    <n v="58000"/>
    <n v="60900"/>
    <x v="3"/>
  </r>
  <r>
    <x v="506"/>
    <x v="818"/>
    <s v="A350049"/>
    <x v="0"/>
    <n v="1000"/>
    <n v="56000"/>
    <n v="58800"/>
    <x v="3"/>
  </r>
  <r>
    <x v="506"/>
    <x v="877"/>
    <s v="A273911"/>
    <x v="7"/>
    <n v="25"/>
    <n v="2250"/>
    <m/>
    <x v="3"/>
  </r>
  <r>
    <x v="506"/>
    <x v="877"/>
    <s v="A273911"/>
    <x v="10"/>
    <n v="50"/>
    <n v="4500"/>
    <m/>
    <x v="3"/>
  </r>
  <r>
    <x v="506"/>
    <x v="1108"/>
    <s v="A273910"/>
    <x v="7"/>
    <n v="150"/>
    <n v="13500"/>
    <m/>
    <x v="3"/>
  </r>
  <r>
    <x v="506"/>
    <x v="228"/>
    <s v="A306319"/>
    <x v="9"/>
    <n v="150"/>
    <n v="11800"/>
    <m/>
    <x v="3"/>
  </r>
  <r>
    <x v="506"/>
    <x v="18"/>
    <m/>
    <x v="4"/>
    <n v="20"/>
    <n v="1800"/>
    <m/>
    <x v="3"/>
  </r>
  <r>
    <x v="506"/>
    <x v="432"/>
    <m/>
    <x v="10"/>
    <n v="5"/>
    <n v="475"/>
    <m/>
    <x v="3"/>
  </r>
  <r>
    <x v="506"/>
    <x v="432"/>
    <m/>
    <x v="1"/>
    <n v="5"/>
    <n v="475"/>
    <n v="498.75"/>
    <x v="3"/>
  </r>
  <r>
    <x v="506"/>
    <x v="10"/>
    <m/>
    <x v="7"/>
    <n v="45"/>
    <n v="4050"/>
    <m/>
    <x v="3"/>
  </r>
  <r>
    <x v="506"/>
    <x v="10"/>
    <m/>
    <x v="10"/>
    <n v="80"/>
    <n v="7200"/>
    <m/>
    <x v="3"/>
  </r>
  <r>
    <x v="506"/>
    <x v="10"/>
    <m/>
    <x v="8"/>
    <n v="60"/>
    <n v="5400"/>
    <m/>
    <x v="3"/>
  </r>
  <r>
    <x v="506"/>
    <x v="10"/>
    <m/>
    <x v="1"/>
    <n v="20"/>
    <n v="1600"/>
    <n v="1680"/>
    <x v="3"/>
  </r>
  <r>
    <x v="506"/>
    <x v="19"/>
    <s v="A233442"/>
    <x v="10"/>
    <n v="200"/>
    <n v="16000"/>
    <m/>
    <x v="3"/>
  </r>
  <r>
    <x v="506"/>
    <x v="19"/>
    <s v="A233442"/>
    <x v="8"/>
    <n v="260"/>
    <n v="20800"/>
    <m/>
    <x v="3"/>
  </r>
  <r>
    <x v="506"/>
    <x v="19"/>
    <s v="A233442"/>
    <x v="9"/>
    <n v="250"/>
    <n v="20000"/>
    <m/>
    <x v="3"/>
  </r>
  <r>
    <x v="506"/>
    <x v="247"/>
    <s v="A402013"/>
    <x v="11"/>
    <n v="500"/>
    <n v="28000"/>
    <n v="29400"/>
    <x v="3"/>
  </r>
  <r>
    <x v="507"/>
    <x v="233"/>
    <m/>
    <x v="2"/>
    <n v="10"/>
    <n v="850"/>
    <n v="892.5"/>
    <x v="3"/>
  </r>
  <r>
    <x v="507"/>
    <x v="353"/>
    <s v="A241990"/>
    <x v="4"/>
    <n v="25"/>
    <n v="1625"/>
    <m/>
    <x v="3"/>
  </r>
  <r>
    <x v="507"/>
    <x v="353"/>
    <s v="A241990"/>
    <x v="5"/>
    <n v="75"/>
    <n v="5962.5"/>
    <m/>
    <x v="3"/>
  </r>
  <r>
    <x v="507"/>
    <x v="237"/>
    <s v="A252350"/>
    <x v="7"/>
    <n v="25"/>
    <n v="1750"/>
    <m/>
    <x v="3"/>
  </r>
  <r>
    <x v="507"/>
    <x v="93"/>
    <s v="A231708"/>
    <x v="3"/>
    <n v="25"/>
    <n v="1450"/>
    <m/>
    <x v="3"/>
  </r>
  <r>
    <x v="507"/>
    <x v="93"/>
    <s v="A231708"/>
    <x v="4"/>
    <n v="75"/>
    <n v="4350"/>
    <m/>
    <x v="3"/>
  </r>
  <r>
    <x v="507"/>
    <x v="93"/>
    <s v="A231708"/>
    <x v="5"/>
    <n v="175"/>
    <n v="10525"/>
    <m/>
    <x v="3"/>
  </r>
  <r>
    <x v="507"/>
    <x v="93"/>
    <s v="A231708"/>
    <x v="6"/>
    <n v="200"/>
    <n v="12600"/>
    <m/>
    <x v="3"/>
  </r>
  <r>
    <x v="507"/>
    <x v="93"/>
    <s v="A231708"/>
    <x v="7"/>
    <n v="250"/>
    <n v="15750"/>
    <m/>
    <x v="3"/>
  </r>
  <r>
    <x v="507"/>
    <x v="93"/>
    <s v="A231708"/>
    <x v="10"/>
    <n v="325"/>
    <n v="20475"/>
    <m/>
    <x v="3"/>
  </r>
  <r>
    <x v="507"/>
    <x v="93"/>
    <s v="A231708"/>
    <x v="8"/>
    <n v="303"/>
    <n v="19089"/>
    <m/>
    <x v="3"/>
  </r>
  <r>
    <x v="507"/>
    <x v="93"/>
    <s v="A231708"/>
    <x v="9"/>
    <n v="390"/>
    <n v="24570"/>
    <m/>
    <x v="3"/>
  </r>
  <r>
    <x v="507"/>
    <x v="93"/>
    <s v="A231708"/>
    <x v="1"/>
    <n v="150"/>
    <n v="9400"/>
    <n v="9870"/>
    <x v="3"/>
  </r>
  <r>
    <x v="507"/>
    <x v="93"/>
    <s v="A231708"/>
    <x v="2"/>
    <n v="150"/>
    <n v="9300"/>
    <n v="9765"/>
    <x v="3"/>
  </r>
  <r>
    <x v="507"/>
    <x v="350"/>
    <s v="A401491"/>
    <x v="2"/>
    <n v="75"/>
    <n v="4650"/>
    <n v="4882.5"/>
    <x v="3"/>
  </r>
  <r>
    <x v="507"/>
    <x v="350"/>
    <s v="A410392"/>
    <x v="2"/>
    <n v="25"/>
    <n v="1550"/>
    <n v="1627.5"/>
    <x v="3"/>
  </r>
  <r>
    <x v="507"/>
    <x v="350"/>
    <s v="A410392"/>
    <x v="11"/>
    <n v="125"/>
    <n v="7700"/>
    <n v="8085"/>
    <x v="3"/>
  </r>
  <r>
    <x v="507"/>
    <x v="350"/>
    <s v="A410392"/>
    <x v="0"/>
    <n v="50"/>
    <n v="3050"/>
    <n v="3202.5"/>
    <x v="3"/>
  </r>
  <r>
    <x v="507"/>
    <x v="156"/>
    <s v="A231705"/>
    <x v="4"/>
    <n v="50"/>
    <n v="3250"/>
    <m/>
    <x v="3"/>
  </r>
  <r>
    <x v="507"/>
    <x v="156"/>
    <s v="A231705"/>
    <x v="5"/>
    <n v="125"/>
    <n v="8075"/>
    <m/>
    <x v="3"/>
  </r>
  <r>
    <x v="507"/>
    <x v="156"/>
    <s v="A231705"/>
    <x v="6"/>
    <n v="135"/>
    <n v="8640"/>
    <m/>
    <x v="3"/>
  </r>
  <r>
    <x v="507"/>
    <x v="156"/>
    <s v="A231705"/>
    <x v="7"/>
    <n v="125"/>
    <n v="8000"/>
    <m/>
    <x v="3"/>
  </r>
  <r>
    <x v="507"/>
    <x v="156"/>
    <s v="A231705"/>
    <x v="10"/>
    <n v="125"/>
    <n v="8000"/>
    <m/>
    <x v="3"/>
  </r>
  <r>
    <x v="507"/>
    <x v="156"/>
    <s v="A231705"/>
    <x v="8"/>
    <n v="135"/>
    <n v="8540"/>
    <m/>
    <x v="3"/>
  </r>
  <r>
    <x v="507"/>
    <x v="156"/>
    <s v="A231705"/>
    <x v="9"/>
    <n v="70"/>
    <n v="4410"/>
    <m/>
    <x v="3"/>
  </r>
  <r>
    <x v="507"/>
    <x v="156"/>
    <s v="A231705"/>
    <x v="1"/>
    <n v="25"/>
    <n v="1575"/>
    <n v="1653.75"/>
    <x v="3"/>
  </r>
  <r>
    <x v="507"/>
    <x v="342"/>
    <s v="A402008"/>
    <x v="0"/>
    <n v="25"/>
    <n v="1575"/>
    <n v="1653.75"/>
    <x v="3"/>
  </r>
  <r>
    <x v="507"/>
    <x v="3"/>
    <s v="A255286"/>
    <x v="4"/>
    <n v="50"/>
    <n v="3250"/>
    <m/>
    <x v="3"/>
  </r>
  <r>
    <x v="507"/>
    <x v="3"/>
    <s v="A232126"/>
    <x v="7"/>
    <n v="25"/>
    <n v="2350"/>
    <m/>
    <x v="3"/>
  </r>
  <r>
    <x v="507"/>
    <x v="3"/>
    <s v="A232126"/>
    <x v="9"/>
    <n v="125"/>
    <n v="11500"/>
    <m/>
    <x v="3"/>
  </r>
  <r>
    <x v="507"/>
    <x v="3"/>
    <s v="A232126"/>
    <x v="1"/>
    <n v="100"/>
    <n v="8175"/>
    <n v="8583.75"/>
    <x v="3"/>
  </r>
  <r>
    <x v="507"/>
    <x v="3"/>
    <s v="A232126"/>
    <x v="2"/>
    <n v="50"/>
    <n v="4250"/>
    <n v="4462.5"/>
    <x v="3"/>
  </r>
  <r>
    <x v="507"/>
    <x v="3"/>
    <s v="A232126"/>
    <x v="11"/>
    <n v="50"/>
    <n v="4250"/>
    <n v="4462.5"/>
    <x v="3"/>
  </r>
  <r>
    <x v="507"/>
    <x v="3"/>
    <s v="A232126"/>
    <x v="0"/>
    <n v="25"/>
    <n v="2125"/>
    <n v="2231.25"/>
    <x v="3"/>
  </r>
  <r>
    <x v="507"/>
    <x v="16"/>
    <s v="A241225"/>
    <x v="4"/>
    <n v="75"/>
    <n v="4500"/>
    <m/>
    <x v="3"/>
  </r>
  <r>
    <x v="507"/>
    <x v="16"/>
    <s v="A241225"/>
    <x v="5"/>
    <n v="75"/>
    <n v="4625"/>
    <m/>
    <x v="3"/>
  </r>
  <r>
    <x v="507"/>
    <x v="16"/>
    <s v="A241225"/>
    <x v="7"/>
    <n v="25"/>
    <n v="1625"/>
    <m/>
    <x v="3"/>
  </r>
  <r>
    <x v="507"/>
    <x v="16"/>
    <s v="A241225"/>
    <x v="9"/>
    <n v="25"/>
    <n v="1625"/>
    <m/>
    <x v="3"/>
  </r>
  <r>
    <x v="507"/>
    <x v="28"/>
    <s v="A233711"/>
    <x v="10"/>
    <n v="50"/>
    <n v="3700"/>
    <m/>
    <x v="3"/>
  </r>
  <r>
    <x v="507"/>
    <x v="28"/>
    <s v="A233711"/>
    <x v="8"/>
    <n v="100"/>
    <n v="7400"/>
    <m/>
    <x v="3"/>
  </r>
  <r>
    <x v="507"/>
    <x v="28"/>
    <s v="A233711"/>
    <x v="9"/>
    <n v="35"/>
    <n v="2590"/>
    <m/>
    <x v="3"/>
  </r>
  <r>
    <x v="507"/>
    <x v="28"/>
    <s v="A233711"/>
    <x v="1"/>
    <n v="25"/>
    <n v="1850"/>
    <n v="1942.5"/>
    <x v="3"/>
  </r>
  <r>
    <x v="507"/>
    <x v="28"/>
    <s v="A233711"/>
    <x v="2"/>
    <n v="25"/>
    <n v="1850"/>
    <n v="1942.5"/>
    <x v="3"/>
  </r>
  <r>
    <x v="507"/>
    <x v="4"/>
    <s v="A231709"/>
    <x v="10"/>
    <n v="100"/>
    <n v="6500"/>
    <m/>
    <x v="3"/>
  </r>
  <r>
    <x v="507"/>
    <x v="4"/>
    <s v="A231709"/>
    <x v="8"/>
    <n v="225"/>
    <n v="14625"/>
    <m/>
    <x v="3"/>
  </r>
  <r>
    <x v="507"/>
    <x v="4"/>
    <s v="A231709"/>
    <x v="9"/>
    <n v="150"/>
    <n v="9750"/>
    <m/>
    <x v="3"/>
  </r>
  <r>
    <x v="507"/>
    <x v="4"/>
    <s v="A231709"/>
    <x v="1"/>
    <n v="25"/>
    <n v="1625"/>
    <n v="1706.25"/>
    <x v="3"/>
  </r>
  <r>
    <x v="507"/>
    <x v="4"/>
    <s v="A231709"/>
    <x v="2"/>
    <n v="75"/>
    <n v="4875"/>
    <n v="5118.75"/>
    <x v="3"/>
  </r>
  <r>
    <x v="507"/>
    <x v="243"/>
    <s v="A232125"/>
    <x v="4"/>
    <n v="25"/>
    <n v="2200"/>
    <m/>
    <x v="3"/>
  </r>
  <r>
    <x v="507"/>
    <x v="228"/>
    <s v="A306319"/>
    <x v="1"/>
    <n v="25"/>
    <n v="1125"/>
    <n v="1181.25"/>
    <x v="3"/>
  </r>
  <r>
    <x v="507"/>
    <x v="712"/>
    <s v="A246165"/>
    <x v="7"/>
    <n v="25"/>
    <n v="1875"/>
    <m/>
    <x v="3"/>
  </r>
  <r>
    <x v="507"/>
    <x v="13"/>
    <m/>
    <x v="9"/>
    <n v="15"/>
    <n v="1725"/>
    <m/>
    <x v="3"/>
  </r>
  <r>
    <x v="507"/>
    <x v="13"/>
    <m/>
    <x v="1"/>
    <n v="5"/>
    <n v="575"/>
    <n v="603.75"/>
    <x v="3"/>
  </r>
  <r>
    <x v="507"/>
    <x v="13"/>
    <m/>
    <x v="2"/>
    <n v="10"/>
    <n v="1150"/>
    <n v="1207.5"/>
    <x v="3"/>
  </r>
  <r>
    <x v="507"/>
    <x v="13"/>
    <m/>
    <x v="11"/>
    <n v="5"/>
    <n v="575"/>
    <n v="603.75"/>
    <x v="3"/>
  </r>
  <r>
    <x v="507"/>
    <x v="166"/>
    <s v="A231706"/>
    <x v="3"/>
    <n v="25"/>
    <n v="1375"/>
    <m/>
    <x v="3"/>
  </r>
  <r>
    <x v="507"/>
    <x v="166"/>
    <s v="A231706"/>
    <x v="4"/>
    <n v="50"/>
    <n v="3250"/>
    <m/>
    <x v="3"/>
  </r>
  <r>
    <x v="507"/>
    <x v="166"/>
    <s v="A231706"/>
    <x v="5"/>
    <n v="150"/>
    <n v="10050"/>
    <m/>
    <x v="3"/>
  </r>
  <r>
    <x v="507"/>
    <x v="166"/>
    <s v="A231706"/>
    <x v="6"/>
    <n v="25"/>
    <n v="1725"/>
    <m/>
    <x v="3"/>
  </r>
  <r>
    <x v="507"/>
    <x v="166"/>
    <s v="A233185"/>
    <x v="7"/>
    <n v="25"/>
    <n v="1625"/>
    <m/>
    <x v="3"/>
  </r>
  <r>
    <x v="507"/>
    <x v="166"/>
    <s v="A233185"/>
    <x v="10"/>
    <n v="25"/>
    <n v="1625"/>
    <m/>
    <x v="3"/>
  </r>
  <r>
    <x v="507"/>
    <x v="166"/>
    <s v="A233185"/>
    <x v="8"/>
    <n v="25"/>
    <n v="1625"/>
    <m/>
    <x v="3"/>
  </r>
  <r>
    <x v="507"/>
    <x v="166"/>
    <s v="A233185"/>
    <x v="9"/>
    <n v="50"/>
    <n v="3250"/>
    <m/>
    <x v="3"/>
  </r>
  <r>
    <x v="507"/>
    <x v="166"/>
    <s v="A233185"/>
    <x v="2"/>
    <n v="25"/>
    <n v="1625"/>
    <n v="1706.25"/>
    <x v="3"/>
  </r>
  <r>
    <x v="507"/>
    <x v="358"/>
    <s v="A402012"/>
    <x v="2"/>
    <n v="50"/>
    <n v="3250"/>
    <n v="3412.5"/>
    <x v="3"/>
  </r>
  <r>
    <x v="507"/>
    <x v="244"/>
    <s v="A415792"/>
    <x v="11"/>
    <n v="50"/>
    <n v="3250"/>
    <n v="3412.5"/>
    <x v="3"/>
  </r>
  <r>
    <x v="507"/>
    <x v="224"/>
    <s v="A249084"/>
    <x v="5"/>
    <n v="25"/>
    <n v="1625"/>
    <m/>
    <x v="3"/>
  </r>
  <r>
    <x v="507"/>
    <x v="345"/>
    <m/>
    <x v="11"/>
    <n v="2"/>
    <n v="186"/>
    <n v="195.3"/>
    <x v="3"/>
  </r>
  <r>
    <x v="507"/>
    <x v="1"/>
    <s v="A231710"/>
    <x v="9"/>
    <n v="25"/>
    <n v="1875"/>
    <m/>
    <x v="3"/>
  </r>
  <r>
    <x v="507"/>
    <x v="1"/>
    <s v="A231710"/>
    <x v="1"/>
    <n v="25"/>
    <n v="1875"/>
    <n v="1968.75"/>
    <x v="3"/>
  </r>
  <r>
    <x v="507"/>
    <x v="1"/>
    <s v="A231710"/>
    <x v="2"/>
    <n v="25"/>
    <n v="1875"/>
    <n v="1968.75"/>
    <x v="3"/>
  </r>
  <r>
    <x v="508"/>
    <x v="340"/>
    <m/>
    <x v="2"/>
    <n v="1"/>
    <n v="115"/>
    <n v="120.75"/>
    <x v="3"/>
  </r>
  <r>
    <x v="508"/>
    <x v="11"/>
    <m/>
    <x v="2"/>
    <n v="6"/>
    <n v="510"/>
    <n v="535.5"/>
    <x v="3"/>
  </r>
  <r>
    <x v="508"/>
    <x v="11"/>
    <m/>
    <x v="11"/>
    <n v="20"/>
    <n v="1700"/>
    <n v="1785"/>
    <x v="3"/>
  </r>
  <r>
    <x v="508"/>
    <x v="238"/>
    <m/>
    <x v="11"/>
    <n v="1"/>
    <n v="85"/>
    <n v="89.25"/>
    <x v="3"/>
  </r>
  <r>
    <x v="508"/>
    <x v="673"/>
    <s v="A290714"/>
    <x v="8"/>
    <n v="5"/>
    <n v="340"/>
    <m/>
    <x v="3"/>
  </r>
  <r>
    <x v="508"/>
    <x v="93"/>
    <s v="A231708"/>
    <x v="12"/>
    <n v="75"/>
    <n v="2850"/>
    <m/>
    <x v="3"/>
  </r>
  <r>
    <x v="508"/>
    <x v="93"/>
    <s v="A231708"/>
    <x v="4"/>
    <n v="50"/>
    <n v="2500"/>
    <m/>
    <x v="3"/>
  </r>
  <r>
    <x v="508"/>
    <x v="93"/>
    <s v="A231708"/>
    <x v="5"/>
    <n v="150"/>
    <n v="9000"/>
    <m/>
    <x v="3"/>
  </r>
  <r>
    <x v="508"/>
    <x v="93"/>
    <s v="A231708"/>
    <x v="6"/>
    <n v="100"/>
    <n v="6000"/>
    <m/>
    <x v="3"/>
  </r>
  <r>
    <x v="508"/>
    <x v="93"/>
    <s v="A231708"/>
    <x v="10"/>
    <n v="50"/>
    <n v="3000"/>
    <m/>
    <x v="3"/>
  </r>
  <r>
    <x v="508"/>
    <x v="93"/>
    <s v="A231708"/>
    <x v="8"/>
    <n v="50"/>
    <n v="3000"/>
    <m/>
    <x v="3"/>
  </r>
  <r>
    <x v="508"/>
    <x v="93"/>
    <s v="A231708"/>
    <x v="1"/>
    <n v="25"/>
    <n v="1500"/>
    <n v="1575"/>
    <x v="3"/>
  </r>
  <r>
    <x v="508"/>
    <x v="1109"/>
    <s v="A287526"/>
    <x v="5"/>
    <n v="100"/>
    <n v="6300"/>
    <m/>
    <x v="3"/>
  </r>
  <r>
    <x v="508"/>
    <x v="156"/>
    <s v="A231705"/>
    <x v="12"/>
    <n v="125"/>
    <n v="5750"/>
    <m/>
    <x v="3"/>
  </r>
  <r>
    <x v="508"/>
    <x v="156"/>
    <s v="A231705"/>
    <x v="3"/>
    <n v="50"/>
    <n v="2300"/>
    <m/>
    <x v="3"/>
  </r>
  <r>
    <x v="508"/>
    <x v="156"/>
    <s v="A231705"/>
    <x v="4"/>
    <n v="100"/>
    <n v="5400"/>
    <m/>
    <x v="3"/>
  </r>
  <r>
    <x v="508"/>
    <x v="156"/>
    <s v="A231705"/>
    <x v="5"/>
    <n v="150"/>
    <n v="9000"/>
    <m/>
    <x v="3"/>
  </r>
  <r>
    <x v="508"/>
    <x v="156"/>
    <s v="A231705"/>
    <x v="6"/>
    <n v="100"/>
    <n v="6000"/>
    <m/>
    <x v="3"/>
  </r>
  <r>
    <x v="508"/>
    <x v="156"/>
    <s v="A231705"/>
    <x v="7"/>
    <n v="300"/>
    <n v="18000"/>
    <m/>
    <x v="3"/>
  </r>
  <r>
    <x v="508"/>
    <x v="156"/>
    <s v="A231705"/>
    <x v="10"/>
    <n v="225"/>
    <n v="13500"/>
    <m/>
    <x v="3"/>
  </r>
  <r>
    <x v="508"/>
    <x v="156"/>
    <s v="A231705"/>
    <x v="8"/>
    <n v="173"/>
    <n v="10380"/>
    <m/>
    <x v="3"/>
  </r>
  <r>
    <x v="508"/>
    <x v="156"/>
    <s v="A231705"/>
    <x v="9"/>
    <n v="100"/>
    <n v="6000"/>
    <m/>
    <x v="3"/>
  </r>
  <r>
    <x v="508"/>
    <x v="156"/>
    <s v="A231705"/>
    <x v="1"/>
    <n v="100"/>
    <n v="6000"/>
    <n v="6300"/>
    <x v="3"/>
  </r>
  <r>
    <x v="508"/>
    <x v="156"/>
    <s v="A231705"/>
    <x v="2"/>
    <n v="25"/>
    <n v="1500"/>
    <n v="1575"/>
    <x v="3"/>
  </r>
  <r>
    <x v="508"/>
    <x v="1110"/>
    <s v="A287525"/>
    <x v="5"/>
    <n v="100"/>
    <n v="6300"/>
    <m/>
    <x v="3"/>
  </r>
  <r>
    <x v="508"/>
    <x v="3"/>
    <s v="A232126"/>
    <x v="10"/>
    <n v="100"/>
    <n v="6800"/>
    <m/>
    <x v="3"/>
  </r>
  <r>
    <x v="508"/>
    <x v="16"/>
    <s v="A240130"/>
    <x v="12"/>
    <n v="850"/>
    <n v="27200"/>
    <m/>
    <x v="3"/>
  </r>
  <r>
    <x v="508"/>
    <x v="13"/>
    <m/>
    <x v="9"/>
    <n v="11"/>
    <n v="900"/>
    <m/>
    <x v="3"/>
  </r>
  <r>
    <x v="508"/>
    <x v="13"/>
    <m/>
    <x v="1"/>
    <n v="20"/>
    <n v="1600"/>
    <n v="1680"/>
    <x v="3"/>
  </r>
  <r>
    <x v="508"/>
    <x v="13"/>
    <m/>
    <x v="2"/>
    <n v="20"/>
    <n v="1600"/>
    <n v="1680"/>
    <x v="3"/>
  </r>
  <r>
    <x v="508"/>
    <x v="13"/>
    <m/>
    <x v="11"/>
    <n v="10"/>
    <n v="800"/>
    <n v="840"/>
    <x v="3"/>
  </r>
  <r>
    <x v="508"/>
    <x v="166"/>
    <s v="A233185"/>
    <x v="12"/>
    <n v="150"/>
    <n v="6300"/>
    <m/>
    <x v="3"/>
  </r>
  <r>
    <x v="508"/>
    <x v="166"/>
    <s v="A233185"/>
    <x v="3"/>
    <n v="150"/>
    <n v="6450"/>
    <m/>
    <x v="3"/>
  </r>
  <r>
    <x v="508"/>
    <x v="166"/>
    <s v="A233185"/>
    <x v="4"/>
    <n v="125"/>
    <n v="5850"/>
    <m/>
    <x v="3"/>
  </r>
  <r>
    <x v="508"/>
    <x v="166"/>
    <s v="A233185"/>
    <x v="5"/>
    <n v="250"/>
    <n v="1625"/>
    <m/>
    <x v="3"/>
  </r>
  <r>
    <x v="508"/>
    <x v="166"/>
    <s v="A233185"/>
    <x v="6"/>
    <n v="325"/>
    <n v="21125"/>
    <m/>
    <x v="3"/>
  </r>
  <r>
    <x v="508"/>
    <x v="166"/>
    <s v="A233185"/>
    <x v="7"/>
    <n v="450"/>
    <n v="29250"/>
    <m/>
    <x v="3"/>
  </r>
  <r>
    <x v="508"/>
    <x v="166"/>
    <s v="A233185"/>
    <x v="10"/>
    <n v="550"/>
    <n v="35750"/>
    <m/>
    <x v="3"/>
  </r>
  <r>
    <x v="508"/>
    <x v="166"/>
    <s v="A233185"/>
    <x v="8"/>
    <n v="265"/>
    <n v="17225"/>
    <m/>
    <x v="3"/>
  </r>
  <r>
    <x v="508"/>
    <x v="166"/>
    <s v="A233185"/>
    <x v="9"/>
    <n v="150"/>
    <n v="9750"/>
    <m/>
    <x v="3"/>
  </r>
  <r>
    <x v="508"/>
    <x v="358"/>
    <s v="A402012"/>
    <x v="1"/>
    <n v="50"/>
    <n v="3250"/>
    <n v="3412.5"/>
    <x v="3"/>
  </r>
  <r>
    <x v="508"/>
    <x v="358"/>
    <s v="A402012"/>
    <x v="2"/>
    <n v="75"/>
    <n v="4875"/>
    <n v="5118.75"/>
    <x v="3"/>
  </r>
  <r>
    <x v="508"/>
    <x v="246"/>
    <s v="A287524"/>
    <x v="5"/>
    <n v="100"/>
    <n v="6300"/>
    <m/>
    <x v="3"/>
  </r>
  <r>
    <x v="508"/>
    <x v="656"/>
    <s v="A237612"/>
    <x v="1"/>
    <n v="25"/>
    <n v="1750"/>
    <n v="1837.5"/>
    <x v="3"/>
  </r>
  <r>
    <x v="508"/>
    <x v="656"/>
    <s v="A237612"/>
    <x v="11"/>
    <n v="10"/>
    <n v="700"/>
    <n v="735"/>
    <x v="3"/>
  </r>
  <r>
    <x v="508"/>
    <x v="14"/>
    <m/>
    <x v="2"/>
    <n v="30"/>
    <n v="1950"/>
    <n v="2047.5"/>
    <x v="3"/>
  </r>
  <r>
    <x v="508"/>
    <x v="14"/>
    <m/>
    <x v="11"/>
    <n v="20"/>
    <n v="1300"/>
    <n v="1365"/>
    <x v="3"/>
  </r>
  <r>
    <x v="509"/>
    <x v="266"/>
    <s v="A338229"/>
    <x v="2"/>
    <n v="5"/>
    <n v="450"/>
    <n v="472.5"/>
    <x v="3"/>
  </r>
  <r>
    <x v="509"/>
    <x v="350"/>
    <s v="A401491"/>
    <x v="2"/>
    <n v="50"/>
    <n v="2750"/>
    <n v="2887.5"/>
    <x v="3"/>
  </r>
  <r>
    <x v="509"/>
    <x v="350"/>
    <s v="A401491"/>
    <x v="11"/>
    <n v="25"/>
    <n v="1375"/>
    <n v="1443.75"/>
    <x v="3"/>
  </r>
  <r>
    <x v="509"/>
    <x v="350"/>
    <s v="A410392"/>
    <x v="11"/>
    <n v="25"/>
    <n v="1325"/>
    <n v="1391.25"/>
    <x v="3"/>
  </r>
  <r>
    <x v="509"/>
    <x v="3"/>
    <s v="A232126"/>
    <x v="2"/>
    <n v="5"/>
    <n v="325"/>
    <n v="341.25"/>
    <x v="3"/>
  </r>
  <r>
    <x v="509"/>
    <x v="3"/>
    <s v="A331329"/>
    <x v="2"/>
    <n v="5"/>
    <n v="325"/>
    <n v="341.25"/>
    <x v="3"/>
  </r>
  <r>
    <x v="509"/>
    <x v="3"/>
    <s v="A331329"/>
    <x v="11"/>
    <n v="5"/>
    <n v="300"/>
    <n v="315"/>
    <x v="3"/>
  </r>
  <r>
    <x v="509"/>
    <x v="3"/>
    <s v="A337704"/>
    <x v="11"/>
    <n v="5"/>
    <n v="310"/>
    <n v="325.5"/>
    <x v="3"/>
  </r>
  <r>
    <x v="509"/>
    <x v="3"/>
    <s v="A331329"/>
    <x v="0"/>
    <n v="25"/>
    <n v="1500"/>
    <n v="1575"/>
    <x v="3"/>
  </r>
  <r>
    <x v="509"/>
    <x v="51"/>
    <s v="A298567"/>
    <x v="11"/>
    <n v="75"/>
    <n v="4125"/>
    <n v="4331.25"/>
    <x v="3"/>
  </r>
  <r>
    <x v="509"/>
    <x v="51"/>
    <s v="A298567"/>
    <x v="0"/>
    <n v="25"/>
    <n v="1375"/>
    <n v="1443.75"/>
    <x v="3"/>
  </r>
  <r>
    <x v="509"/>
    <x v="455"/>
    <s v="A408570"/>
    <x v="2"/>
    <n v="5"/>
    <n v="350"/>
    <n v="367.5"/>
    <x v="3"/>
  </r>
  <r>
    <x v="509"/>
    <x v="434"/>
    <s v="A241908"/>
    <x v="11"/>
    <n v="20"/>
    <n v="1720"/>
    <n v="1806"/>
    <x v="3"/>
  </r>
  <r>
    <x v="509"/>
    <x v="508"/>
    <s v="A404667"/>
    <x v="2"/>
    <n v="10"/>
    <n v="700"/>
    <n v="735"/>
    <x v="3"/>
  </r>
  <r>
    <x v="509"/>
    <x v="1"/>
    <s v="A231710"/>
    <x v="2"/>
    <n v="30"/>
    <n v="2100"/>
    <n v="2205"/>
    <x v="3"/>
  </r>
  <r>
    <x v="509"/>
    <x v="1"/>
    <s v="A231710"/>
    <x v="11"/>
    <n v="175"/>
    <n v="12250"/>
    <n v="12862.5"/>
    <x v="3"/>
  </r>
  <r>
    <x v="509"/>
    <x v="1"/>
    <s v="A231710"/>
    <x v="0"/>
    <n v="50"/>
    <n v="3500"/>
    <n v="3675"/>
    <x v="3"/>
  </r>
  <r>
    <x v="510"/>
    <x v="1029"/>
    <s v="P14424"/>
    <x v="2"/>
    <n v="18"/>
    <n v="2646"/>
    <n v="2778.3"/>
    <x v="3"/>
  </r>
  <r>
    <x v="510"/>
    <x v="256"/>
    <s v="A407971"/>
    <x v="2"/>
    <n v="10"/>
    <n v="950"/>
    <n v="997.5"/>
    <x v="3"/>
  </r>
  <r>
    <x v="510"/>
    <x v="256"/>
    <s v="A407971"/>
    <x v="11"/>
    <n v="10"/>
    <n v="950"/>
    <n v="997.5"/>
    <x v="3"/>
  </r>
  <r>
    <x v="510"/>
    <x v="1111"/>
    <s v="A344285"/>
    <x v="2"/>
    <n v="5"/>
    <n v="1450"/>
    <n v="1522.5"/>
    <x v="3"/>
  </r>
  <r>
    <x v="510"/>
    <x v="1112"/>
    <s v="A297629"/>
    <x v="1"/>
    <n v="13"/>
    <n v="1235"/>
    <n v="1296.75"/>
    <x v="3"/>
  </r>
  <r>
    <x v="510"/>
    <x v="132"/>
    <s v="A242452"/>
    <x v="2"/>
    <n v="15"/>
    <n v="2250"/>
    <n v="2362.5"/>
    <x v="3"/>
  </r>
  <r>
    <x v="510"/>
    <x v="57"/>
    <s v="A292908"/>
    <x v="1"/>
    <n v="100"/>
    <n v="12863"/>
    <n v="13506.15"/>
    <x v="3"/>
  </r>
  <r>
    <x v="510"/>
    <x v="82"/>
    <s v="A339373"/>
    <x v="2"/>
    <n v="26"/>
    <n v="3640"/>
    <n v="3822"/>
    <x v="3"/>
  </r>
  <r>
    <x v="511"/>
    <x v="1113"/>
    <s v="A250332"/>
    <x v="3"/>
    <n v="10"/>
    <n v="3390"/>
    <m/>
    <x v="3"/>
  </r>
  <r>
    <x v="511"/>
    <x v="1113"/>
    <s v="A250332"/>
    <x v="4"/>
    <n v="10"/>
    <n v="3389.3"/>
    <m/>
    <x v="3"/>
  </r>
  <r>
    <x v="511"/>
    <x v="1113"/>
    <s v="A250332"/>
    <x v="5"/>
    <n v="10"/>
    <n v="3389.3"/>
    <m/>
    <x v="3"/>
  </r>
  <r>
    <x v="511"/>
    <x v="1113"/>
    <s v="A250332"/>
    <x v="8"/>
    <n v="50"/>
    <n v="16500"/>
    <m/>
    <x v="3"/>
  </r>
  <r>
    <x v="511"/>
    <x v="1113"/>
    <s v="A250332"/>
    <x v="2"/>
    <n v="10"/>
    <n v="3300"/>
    <n v="3465"/>
    <x v="3"/>
  </r>
  <r>
    <x v="511"/>
    <x v="169"/>
    <s v="A286825"/>
    <x v="2"/>
    <n v="25"/>
    <n v="5500"/>
    <n v="5775"/>
    <x v="3"/>
  </r>
  <r>
    <x v="511"/>
    <x v="1114"/>
    <s v="A249923"/>
    <x v="3"/>
    <n v="10"/>
    <n v="4900"/>
    <m/>
    <x v="3"/>
  </r>
  <r>
    <x v="511"/>
    <x v="1114"/>
    <s v="A249923"/>
    <x v="5"/>
    <n v="10"/>
    <n v="5050.8"/>
    <m/>
    <x v="3"/>
  </r>
  <r>
    <x v="511"/>
    <x v="1114"/>
    <s v="A249923"/>
    <x v="8"/>
    <n v="25"/>
    <n v="12500"/>
    <m/>
    <x v="3"/>
  </r>
  <r>
    <x v="512"/>
    <x v="959"/>
    <s v="A243962"/>
    <x v="2"/>
    <n v="3"/>
    <n v="540"/>
    <n v="567"/>
    <x v="3"/>
  </r>
  <r>
    <x v="512"/>
    <x v="298"/>
    <s v="A416950"/>
    <x v="11"/>
    <n v="52"/>
    <n v="9730"/>
    <n v="10216.5"/>
    <x v="3"/>
  </r>
  <r>
    <x v="512"/>
    <x v="411"/>
    <s v="A265729"/>
    <x v="2"/>
    <n v="1"/>
    <n v="230"/>
    <n v="241.5"/>
    <x v="3"/>
  </r>
  <r>
    <x v="512"/>
    <x v="687"/>
    <m/>
    <x v="0"/>
    <n v="5"/>
    <n v="1600"/>
    <n v="1680"/>
    <x v="3"/>
  </r>
  <r>
    <x v="512"/>
    <x v="1000"/>
    <s v="P30860"/>
    <x v="2"/>
    <n v="3"/>
    <n v="750"/>
    <n v="787.5"/>
    <x v="3"/>
  </r>
  <r>
    <x v="512"/>
    <x v="1000"/>
    <s v="P30860"/>
    <x v="11"/>
    <n v="4"/>
    <n v="1000"/>
    <n v="1050"/>
    <x v="3"/>
  </r>
  <r>
    <x v="512"/>
    <x v="133"/>
    <s v="A281055"/>
    <x v="11"/>
    <n v="11"/>
    <n v="2090"/>
    <n v="2194.5"/>
    <x v="3"/>
  </r>
  <r>
    <x v="512"/>
    <x v="133"/>
    <s v="A281055"/>
    <x v="0"/>
    <n v="5"/>
    <n v="950"/>
    <n v="997.5"/>
    <x v="3"/>
  </r>
  <r>
    <x v="512"/>
    <x v="28"/>
    <s v="A233711"/>
    <x v="11"/>
    <n v="24"/>
    <n v="3840"/>
    <n v="4032"/>
    <x v="3"/>
  </r>
  <r>
    <x v="512"/>
    <x v="28"/>
    <s v="A233711"/>
    <x v="0"/>
    <n v="5"/>
    <n v="800"/>
    <n v="840"/>
    <x v="3"/>
  </r>
  <r>
    <x v="512"/>
    <x v="67"/>
    <s v="A405052"/>
    <x v="2"/>
    <n v="5"/>
    <n v="1500"/>
    <n v="1575"/>
    <x v="3"/>
  </r>
  <r>
    <x v="512"/>
    <x v="67"/>
    <s v="A405052"/>
    <x v="11"/>
    <n v="20"/>
    <n v="6000"/>
    <n v="6300"/>
    <x v="3"/>
  </r>
  <r>
    <x v="512"/>
    <x v="421"/>
    <s v="A243394"/>
    <x v="11"/>
    <n v="3"/>
    <n v="540"/>
    <n v="567"/>
    <x v="3"/>
  </r>
  <r>
    <x v="512"/>
    <x v="421"/>
    <s v="A243394"/>
    <x v="0"/>
    <n v="3"/>
    <n v="540"/>
    <n v="567"/>
    <x v="3"/>
  </r>
  <r>
    <x v="512"/>
    <x v="74"/>
    <m/>
    <x v="0"/>
    <n v="5"/>
    <n v="1550"/>
    <n v="1627.5"/>
    <x v="3"/>
  </r>
  <r>
    <x v="512"/>
    <x v="137"/>
    <s v="P21021"/>
    <x v="2"/>
    <n v="15"/>
    <n v="3225"/>
    <n v="3386.25"/>
    <x v="3"/>
  </r>
  <r>
    <x v="512"/>
    <x v="137"/>
    <s v="P21021"/>
    <x v="11"/>
    <n v="52"/>
    <n v="11180"/>
    <n v="11739"/>
    <x v="3"/>
  </r>
  <r>
    <x v="512"/>
    <x v="139"/>
    <s v="P08499"/>
    <x v="2"/>
    <n v="3"/>
    <n v="660"/>
    <n v="693"/>
    <x v="3"/>
  </r>
  <r>
    <x v="513"/>
    <x v="11"/>
    <m/>
    <x v="11"/>
    <n v="5"/>
    <n v="400"/>
    <n v="420"/>
    <x v="3"/>
  </r>
  <r>
    <x v="513"/>
    <x v="333"/>
    <s v="A317824"/>
    <x v="11"/>
    <n v="25"/>
    <n v="1750"/>
    <n v="1837.5"/>
    <x v="3"/>
  </r>
  <r>
    <x v="513"/>
    <x v="14"/>
    <m/>
    <x v="11"/>
    <n v="10"/>
    <n v="650"/>
    <n v="682.5"/>
    <x v="3"/>
  </r>
  <r>
    <x v="514"/>
    <x v="362"/>
    <s v="A292789"/>
    <x v="1"/>
    <n v="200"/>
    <n v="17000"/>
    <n v="17850"/>
    <x v="3"/>
  </r>
  <r>
    <x v="514"/>
    <x v="363"/>
    <s v="A402002"/>
    <x v="2"/>
    <n v="250"/>
    <n v="21250"/>
    <n v="22312.5"/>
    <x v="3"/>
  </r>
  <r>
    <x v="514"/>
    <x v="363"/>
    <s v="A402002"/>
    <x v="11"/>
    <n v="200"/>
    <n v="17000"/>
    <n v="17850"/>
    <x v="3"/>
  </r>
  <r>
    <x v="514"/>
    <x v="363"/>
    <s v="A402002"/>
    <x v="0"/>
    <n v="100"/>
    <n v="8500"/>
    <n v="8925"/>
    <x v="3"/>
  </r>
  <r>
    <x v="514"/>
    <x v="123"/>
    <m/>
    <x v="2"/>
    <n v="160"/>
    <n v="12800"/>
    <n v="13440"/>
    <x v="3"/>
  </r>
  <r>
    <x v="514"/>
    <x v="123"/>
    <m/>
    <x v="11"/>
    <n v="80"/>
    <n v="6400"/>
    <n v="6720"/>
    <x v="3"/>
  </r>
  <r>
    <x v="515"/>
    <x v="21"/>
    <s v="P08232"/>
    <x v="2"/>
    <n v="1"/>
    <n v="240"/>
    <n v="252"/>
    <x v="3"/>
  </r>
  <r>
    <x v="515"/>
    <x v="1115"/>
    <s v="A258812"/>
    <x v="2"/>
    <n v="1"/>
    <n v="200"/>
    <n v="210"/>
    <x v="3"/>
  </r>
  <r>
    <x v="515"/>
    <x v="1029"/>
    <s v="P14424"/>
    <x v="2"/>
    <n v="1"/>
    <n v="240"/>
    <n v="252"/>
    <x v="3"/>
  </r>
  <r>
    <x v="515"/>
    <x v="296"/>
    <s v="A343168"/>
    <x v="2"/>
    <n v="1"/>
    <n v="220"/>
    <n v="231"/>
    <x v="3"/>
  </r>
  <r>
    <x v="515"/>
    <x v="46"/>
    <s v="A234876"/>
    <x v="2"/>
    <n v="1"/>
    <n v="260"/>
    <n v="273"/>
    <x v="3"/>
  </r>
  <r>
    <x v="515"/>
    <x v="950"/>
    <s v="A305591"/>
    <x v="2"/>
    <n v="1"/>
    <n v="220"/>
    <n v="231"/>
    <x v="3"/>
  </r>
  <r>
    <x v="515"/>
    <x v="195"/>
    <s v="A240864"/>
    <x v="2"/>
    <n v="1"/>
    <n v="220"/>
    <n v="231"/>
    <x v="3"/>
  </r>
  <r>
    <x v="515"/>
    <x v="216"/>
    <s v="P21021"/>
    <x v="2"/>
    <n v="1"/>
    <n v="220"/>
    <n v="231"/>
    <x v="3"/>
  </r>
  <r>
    <x v="515"/>
    <x v="652"/>
    <s v="P08499"/>
    <x v="2"/>
    <n v="1"/>
    <n v="230"/>
    <n v="241.5"/>
    <x v="3"/>
  </r>
  <r>
    <x v="515"/>
    <x v="32"/>
    <s v="A295591"/>
    <x v="2"/>
    <n v="1"/>
    <n v="200"/>
    <n v="210"/>
    <x v="3"/>
  </r>
  <r>
    <x v="515"/>
    <x v="108"/>
    <s v="A338959"/>
    <x v="2"/>
    <n v="1"/>
    <n v="200"/>
    <n v="210"/>
    <x v="3"/>
  </r>
  <r>
    <x v="516"/>
    <x v="21"/>
    <s v="P08232"/>
    <x v="1"/>
    <n v="10"/>
    <n v="2600"/>
    <n v="2730"/>
    <x v="3"/>
  </r>
  <r>
    <x v="516"/>
    <x v="21"/>
    <s v="P08232"/>
    <x v="2"/>
    <n v="20"/>
    <n v="5200"/>
    <n v="5460"/>
    <x v="3"/>
  </r>
  <r>
    <x v="516"/>
    <x v="21"/>
    <s v="P08232"/>
    <x v="11"/>
    <n v="5"/>
    <n v="1300"/>
    <n v="1365"/>
    <x v="3"/>
  </r>
  <r>
    <x v="516"/>
    <x v="269"/>
    <s v="A415790"/>
    <x v="11"/>
    <n v="1"/>
    <n v="110"/>
    <n v="115.5"/>
    <x v="3"/>
  </r>
  <r>
    <x v="516"/>
    <x v="417"/>
    <s v="A402001"/>
    <x v="11"/>
    <n v="1"/>
    <n v="110"/>
    <n v="115.5"/>
    <x v="3"/>
  </r>
  <r>
    <x v="516"/>
    <x v="363"/>
    <s v="A402002"/>
    <x v="11"/>
    <n v="1"/>
    <n v="110"/>
    <n v="115.5"/>
    <x v="3"/>
  </r>
  <r>
    <x v="516"/>
    <x v="38"/>
    <s v="A273820"/>
    <x v="1"/>
    <n v="1"/>
    <n v="200"/>
    <n v="210"/>
    <x v="3"/>
  </r>
  <r>
    <x v="516"/>
    <x v="295"/>
    <s v="A302349"/>
    <x v="1"/>
    <n v="1"/>
    <n v="210"/>
    <n v="220.5"/>
    <x v="3"/>
  </r>
  <r>
    <x v="516"/>
    <x v="319"/>
    <s v="A248264"/>
    <x v="11"/>
    <n v="1"/>
    <n v="110"/>
    <n v="115.5"/>
    <x v="3"/>
  </r>
  <r>
    <x v="516"/>
    <x v="23"/>
    <m/>
    <x v="11"/>
    <n v="3"/>
    <n v="840"/>
    <n v="882"/>
    <x v="3"/>
  </r>
  <r>
    <x v="516"/>
    <x v="1116"/>
    <m/>
    <x v="11"/>
    <n v="5"/>
    <n v="1750"/>
    <n v="1837.5"/>
    <x v="3"/>
  </r>
  <r>
    <x v="516"/>
    <x v="864"/>
    <s v="P09430"/>
    <x v="1"/>
    <n v="1"/>
    <n v="260"/>
    <n v="273"/>
    <x v="3"/>
  </r>
  <r>
    <x v="516"/>
    <x v="301"/>
    <s v="P050220"/>
    <x v="0"/>
    <n v="5"/>
    <n v="1300"/>
    <n v="1365"/>
    <x v="3"/>
  </r>
  <r>
    <x v="516"/>
    <x v="281"/>
    <s v="A281164"/>
    <x v="1"/>
    <n v="1"/>
    <n v="180"/>
    <n v="189"/>
    <x v="3"/>
  </r>
  <r>
    <x v="516"/>
    <x v="221"/>
    <s v="A231076"/>
    <x v="11"/>
    <n v="1"/>
    <n v="110"/>
    <n v="115.5"/>
    <x v="3"/>
  </r>
  <r>
    <x v="516"/>
    <x v="323"/>
    <s v="A292785"/>
    <x v="11"/>
    <n v="1"/>
    <n v="110"/>
    <n v="115.5"/>
    <x v="3"/>
  </r>
  <r>
    <x v="516"/>
    <x v="272"/>
    <s v="A246994"/>
    <x v="9"/>
    <n v="1"/>
    <n v="230"/>
    <m/>
    <x v="3"/>
  </r>
  <r>
    <x v="516"/>
    <x v="272"/>
    <s v="A246994"/>
    <x v="1"/>
    <n v="2"/>
    <n v="460"/>
    <n v="483"/>
    <x v="3"/>
  </r>
  <r>
    <x v="516"/>
    <x v="311"/>
    <s v="A246793"/>
    <x v="9"/>
    <n v="2"/>
    <n v="280"/>
    <m/>
    <x v="3"/>
  </r>
  <r>
    <x v="516"/>
    <x v="458"/>
    <m/>
    <x v="2"/>
    <n v="1"/>
    <n v="250"/>
    <n v="262.5"/>
    <x v="3"/>
  </r>
  <r>
    <x v="516"/>
    <x v="151"/>
    <s v="A260799"/>
    <x v="1"/>
    <n v="1"/>
    <n v="170"/>
    <n v="178.5"/>
    <x v="3"/>
  </r>
  <r>
    <x v="516"/>
    <x v="1094"/>
    <s v="A242452"/>
    <x v="2"/>
    <n v="1"/>
    <n v="200"/>
    <n v="210"/>
    <x v="3"/>
  </r>
  <r>
    <x v="516"/>
    <x v="44"/>
    <s v="A238385"/>
    <x v="1"/>
    <n v="1"/>
    <n v="230"/>
    <n v="241.5"/>
    <x v="3"/>
  </r>
  <r>
    <x v="516"/>
    <x v="328"/>
    <s v="A285349"/>
    <x v="11"/>
    <n v="1"/>
    <n v="110"/>
    <n v="115.5"/>
    <x v="3"/>
  </r>
  <r>
    <x v="516"/>
    <x v="210"/>
    <m/>
    <x v="2"/>
    <n v="1"/>
    <n v="220"/>
    <n v="231"/>
    <x v="3"/>
  </r>
  <r>
    <x v="516"/>
    <x v="46"/>
    <s v="A234876"/>
    <x v="1"/>
    <n v="1"/>
    <n v="260"/>
    <n v="273"/>
    <x v="3"/>
  </r>
  <r>
    <x v="516"/>
    <x v="46"/>
    <s v="A234876"/>
    <x v="2"/>
    <n v="25"/>
    <n v="4500"/>
    <n v="4725"/>
    <x v="3"/>
  </r>
  <r>
    <x v="516"/>
    <x v="46"/>
    <s v="A234876"/>
    <x v="0"/>
    <n v="5"/>
    <n v="900"/>
    <n v="945"/>
    <x v="3"/>
  </r>
  <r>
    <x v="516"/>
    <x v="1000"/>
    <s v="P30860"/>
    <x v="2"/>
    <n v="4"/>
    <n v="1120"/>
    <n v="1176"/>
    <x v="3"/>
  </r>
  <r>
    <x v="516"/>
    <x v="1000"/>
    <s v="P30860"/>
    <x v="11"/>
    <n v="10"/>
    <n v="2800"/>
    <n v="2940"/>
    <x v="3"/>
  </r>
  <r>
    <x v="516"/>
    <x v="598"/>
    <s v="A413862"/>
    <x v="11"/>
    <n v="5"/>
    <n v="1000"/>
    <n v="1050"/>
    <x v="3"/>
  </r>
  <r>
    <x v="516"/>
    <x v="48"/>
    <s v="A245955"/>
    <x v="9"/>
    <n v="1"/>
    <n v="250"/>
    <m/>
    <x v="3"/>
  </r>
  <r>
    <x v="516"/>
    <x v="48"/>
    <s v="A245955"/>
    <x v="1"/>
    <n v="2"/>
    <n v="500"/>
    <n v="525"/>
    <x v="3"/>
  </r>
  <r>
    <x v="516"/>
    <x v="502"/>
    <s v="A260960"/>
    <x v="2"/>
    <n v="1"/>
    <n v="175"/>
    <n v="183.75"/>
    <x v="3"/>
  </r>
  <r>
    <x v="516"/>
    <x v="50"/>
    <s v="A329793"/>
    <x v="9"/>
    <n v="1"/>
    <n v="270"/>
    <m/>
    <x v="3"/>
  </r>
  <r>
    <x v="516"/>
    <x v="56"/>
    <m/>
    <x v="11"/>
    <n v="5"/>
    <n v="900"/>
    <n v="945"/>
    <x v="3"/>
  </r>
  <r>
    <x v="516"/>
    <x v="57"/>
    <s v="A292908"/>
    <x v="1"/>
    <n v="1"/>
    <n v="200"/>
    <n v="210"/>
    <x v="3"/>
  </r>
  <r>
    <x v="516"/>
    <x v="62"/>
    <m/>
    <x v="2"/>
    <n v="2"/>
    <n v="600"/>
    <n v="630"/>
    <x v="3"/>
  </r>
  <r>
    <x v="516"/>
    <x v="67"/>
    <s v="A405052"/>
    <x v="2"/>
    <n v="6"/>
    <n v="2100"/>
    <n v="2205"/>
    <x v="3"/>
  </r>
  <r>
    <x v="516"/>
    <x v="550"/>
    <s v="A265082"/>
    <x v="2"/>
    <n v="1"/>
    <n v="175"/>
    <n v="183.75"/>
    <x v="3"/>
  </r>
  <r>
    <x v="516"/>
    <x v="666"/>
    <s v="A242628"/>
    <x v="2"/>
    <n v="5"/>
    <n v="1050"/>
    <n v="1102.5"/>
    <x v="3"/>
  </r>
  <r>
    <x v="516"/>
    <x v="177"/>
    <s v="A292781"/>
    <x v="11"/>
    <n v="1"/>
    <n v="110"/>
    <n v="115.5"/>
    <x v="3"/>
  </r>
  <r>
    <x v="516"/>
    <x v="97"/>
    <s v="A299992"/>
    <x v="11"/>
    <n v="1"/>
    <n v="110"/>
    <n v="115.5"/>
    <x v="3"/>
  </r>
  <r>
    <x v="516"/>
    <x v="315"/>
    <s v="A258760"/>
    <x v="1"/>
    <n v="1"/>
    <n v="190"/>
    <n v="199.5"/>
    <x v="3"/>
  </r>
  <r>
    <x v="516"/>
    <x v="99"/>
    <s v="A282344"/>
    <x v="1"/>
    <n v="5"/>
    <n v="1000"/>
    <n v="1050"/>
    <x v="3"/>
  </r>
  <r>
    <x v="516"/>
    <x v="99"/>
    <s v="A282344"/>
    <x v="2"/>
    <n v="7"/>
    <n v="1400"/>
    <n v="1470"/>
    <x v="3"/>
  </r>
  <r>
    <x v="516"/>
    <x v="202"/>
    <s v="A418088"/>
    <x v="11"/>
    <n v="15"/>
    <n v="3000"/>
    <n v="3150"/>
    <x v="3"/>
  </r>
  <r>
    <x v="516"/>
    <x v="202"/>
    <s v="A417151"/>
    <x v="11"/>
    <n v="15"/>
    <n v="3000"/>
    <n v="3150"/>
    <x v="3"/>
  </r>
  <r>
    <x v="516"/>
    <x v="202"/>
    <s v="A417151"/>
    <x v="0"/>
    <n v="5"/>
    <n v="1000"/>
    <n v="1050"/>
    <x v="3"/>
  </r>
  <r>
    <x v="516"/>
    <x v="32"/>
    <s v="A295591"/>
    <x v="1"/>
    <n v="2"/>
    <n v="560"/>
    <n v="588"/>
    <x v="3"/>
  </r>
  <r>
    <x v="516"/>
    <x v="168"/>
    <s v="A295590"/>
    <x v="1"/>
    <n v="1"/>
    <n v="220"/>
    <n v="231"/>
    <x v="3"/>
  </r>
  <r>
    <x v="516"/>
    <x v="305"/>
    <s v="A338959"/>
    <x v="1"/>
    <n v="11"/>
    <n v="2600"/>
    <n v="2730"/>
    <x v="3"/>
  </r>
  <r>
    <x v="516"/>
    <x v="305"/>
    <s v="A338959"/>
    <x v="2"/>
    <n v="10"/>
    <n v="2000"/>
    <n v="2100"/>
    <x v="3"/>
  </r>
  <r>
    <x v="516"/>
    <x v="305"/>
    <s v="A338959"/>
    <x v="11"/>
    <n v="25"/>
    <n v="5000"/>
    <n v="5250"/>
    <x v="3"/>
  </r>
  <r>
    <x v="516"/>
    <x v="140"/>
    <s v="A297626"/>
    <x v="2"/>
    <n v="1"/>
    <n v="210"/>
    <n v="220.5"/>
    <x v="3"/>
  </r>
  <r>
    <x v="516"/>
    <x v="34"/>
    <s v="A258696"/>
    <x v="11"/>
    <n v="1"/>
    <n v="110"/>
    <n v="115.5"/>
    <x v="3"/>
  </r>
  <r>
    <x v="516"/>
    <x v="78"/>
    <s v="A234651"/>
    <x v="9"/>
    <n v="1"/>
    <n v="235"/>
    <m/>
    <x v="3"/>
  </r>
  <r>
    <x v="517"/>
    <x v="929"/>
    <s v="A253954"/>
    <x v="6"/>
    <n v="5"/>
    <n v="700"/>
    <m/>
    <x v="3"/>
  </r>
  <r>
    <x v="517"/>
    <x v="340"/>
    <m/>
    <x v="11"/>
    <n v="40"/>
    <n v="3790"/>
    <n v="3979.5"/>
    <x v="3"/>
  </r>
  <r>
    <x v="517"/>
    <x v="11"/>
    <m/>
    <x v="9"/>
    <n v="10"/>
    <n v="1300"/>
    <m/>
    <x v="3"/>
  </r>
  <r>
    <x v="517"/>
    <x v="11"/>
    <m/>
    <x v="0"/>
    <n v="10"/>
    <n v="900"/>
    <n v="945"/>
    <x v="3"/>
  </r>
  <r>
    <x v="517"/>
    <x v="233"/>
    <m/>
    <x v="9"/>
    <n v="10"/>
    <n v="1250"/>
    <m/>
    <x v="3"/>
  </r>
  <r>
    <x v="517"/>
    <x v="353"/>
    <s v="A241990"/>
    <x v="6"/>
    <n v="75"/>
    <n v="5625"/>
    <m/>
    <x v="3"/>
  </r>
  <r>
    <x v="517"/>
    <x v="353"/>
    <s v="A241990"/>
    <x v="1"/>
    <n v="75"/>
    <n v="5100"/>
    <n v="5355"/>
    <x v="3"/>
  </r>
  <r>
    <x v="517"/>
    <x v="353"/>
    <s v="A241990"/>
    <x v="2"/>
    <n v="150"/>
    <n v="12000"/>
    <n v="12600"/>
    <x v="3"/>
  </r>
  <r>
    <x v="517"/>
    <x v="353"/>
    <s v="A241990"/>
    <x v="11"/>
    <n v="50"/>
    <n v="4400"/>
    <n v="4620"/>
    <x v="3"/>
  </r>
  <r>
    <x v="517"/>
    <x v="452"/>
    <s v="A239535"/>
    <x v="4"/>
    <n v="10"/>
    <n v="860"/>
    <m/>
    <x v="3"/>
  </r>
  <r>
    <x v="517"/>
    <x v="1117"/>
    <s v="A233151"/>
    <x v="4"/>
    <n v="50"/>
    <n v="4150"/>
    <m/>
    <x v="3"/>
  </r>
  <r>
    <x v="517"/>
    <x v="1118"/>
    <m/>
    <x v="10"/>
    <n v="18.5"/>
    <n v="2220"/>
    <m/>
    <x v="3"/>
  </r>
  <r>
    <x v="517"/>
    <x v="1118"/>
    <m/>
    <x v="8"/>
    <n v="10"/>
    <n v="1450"/>
    <m/>
    <x v="3"/>
  </r>
  <r>
    <x v="517"/>
    <x v="238"/>
    <m/>
    <x v="9"/>
    <n v="10"/>
    <n v="1450"/>
    <m/>
    <x v="3"/>
  </r>
  <r>
    <x v="517"/>
    <x v="822"/>
    <s v="A292853"/>
    <x v="6"/>
    <n v="100"/>
    <n v="10500"/>
    <m/>
    <x v="3"/>
  </r>
  <r>
    <x v="517"/>
    <x v="184"/>
    <s v="A299984"/>
    <x v="2"/>
    <n v="30"/>
    <n v="2190"/>
    <n v="2299.5"/>
    <x v="3"/>
  </r>
  <r>
    <x v="517"/>
    <x v="184"/>
    <s v="A299984"/>
    <x v="11"/>
    <n v="50"/>
    <n v="3650"/>
    <n v="3832.5"/>
    <x v="3"/>
  </r>
  <r>
    <x v="517"/>
    <x v="93"/>
    <s v="A231708"/>
    <x v="4"/>
    <n v="300"/>
    <n v="17000"/>
    <m/>
    <x v="3"/>
  </r>
  <r>
    <x v="517"/>
    <x v="93"/>
    <s v="A231708"/>
    <x v="5"/>
    <n v="250"/>
    <n v="15750"/>
    <m/>
    <x v="3"/>
  </r>
  <r>
    <x v="517"/>
    <x v="93"/>
    <s v="A231708"/>
    <x v="6"/>
    <n v="445"/>
    <n v="28925"/>
    <m/>
    <x v="3"/>
  </r>
  <r>
    <x v="517"/>
    <x v="93"/>
    <s v="A231708"/>
    <x v="7"/>
    <n v="200"/>
    <n v="13700"/>
    <m/>
    <x v="3"/>
  </r>
  <r>
    <x v="517"/>
    <x v="93"/>
    <s v="A231708"/>
    <x v="10"/>
    <n v="425"/>
    <n v="30600"/>
    <m/>
    <x v="3"/>
  </r>
  <r>
    <x v="517"/>
    <x v="93"/>
    <s v="A231708"/>
    <x v="8"/>
    <n v="350"/>
    <n v="25200"/>
    <m/>
    <x v="3"/>
  </r>
  <r>
    <x v="517"/>
    <x v="93"/>
    <s v="A231708"/>
    <x v="9"/>
    <n v="100"/>
    <n v="7200"/>
    <m/>
    <x v="3"/>
  </r>
  <r>
    <x v="517"/>
    <x v="93"/>
    <s v="A231708"/>
    <x v="1"/>
    <n v="100"/>
    <n v="6700"/>
    <n v="7035"/>
    <x v="3"/>
  </r>
  <r>
    <x v="517"/>
    <x v="93"/>
    <s v="A231708"/>
    <x v="2"/>
    <n v="100"/>
    <n v="6700"/>
    <n v="7035"/>
    <x v="3"/>
  </r>
  <r>
    <x v="517"/>
    <x v="350"/>
    <s v="A410392"/>
    <x v="11"/>
    <n v="50"/>
    <n v="3350"/>
    <n v="3517.5"/>
    <x v="3"/>
  </r>
  <r>
    <x v="517"/>
    <x v="350"/>
    <s v="A410392"/>
    <x v="0"/>
    <n v="200"/>
    <n v="13400"/>
    <n v="14070"/>
    <x v="3"/>
  </r>
  <r>
    <x v="517"/>
    <x v="156"/>
    <s v="A231705"/>
    <x v="2"/>
    <n v="30"/>
    <n v="2340"/>
    <n v="2457"/>
    <x v="3"/>
  </r>
  <r>
    <x v="517"/>
    <x v="156"/>
    <s v="A231705"/>
    <x v="11"/>
    <n v="50"/>
    <n v="3900"/>
    <n v="4095"/>
    <x v="3"/>
  </r>
  <r>
    <x v="517"/>
    <x v="3"/>
    <s v="A232126"/>
    <x v="4"/>
    <n v="150"/>
    <n v="14000"/>
    <m/>
    <x v="3"/>
  </r>
  <r>
    <x v="517"/>
    <x v="3"/>
    <s v="A232126"/>
    <x v="6"/>
    <n v="105"/>
    <n v="10500"/>
    <m/>
    <x v="3"/>
  </r>
  <r>
    <x v="517"/>
    <x v="3"/>
    <s v="A232126"/>
    <x v="2"/>
    <n v="280"/>
    <n v="30240"/>
    <n v="31752"/>
    <x v="3"/>
  </r>
  <r>
    <x v="517"/>
    <x v="3"/>
    <s v="A232126"/>
    <x v="11"/>
    <n v="150"/>
    <n v="16200"/>
    <n v="17010"/>
    <x v="3"/>
  </r>
  <r>
    <x v="517"/>
    <x v="141"/>
    <s v="A249778"/>
    <x v="6"/>
    <n v="25"/>
    <n v="2125"/>
    <m/>
    <x v="3"/>
  </r>
  <r>
    <x v="517"/>
    <x v="141"/>
    <s v="A249778"/>
    <x v="2"/>
    <n v="50"/>
    <n v="3300"/>
    <n v="3465"/>
    <x v="3"/>
  </r>
  <r>
    <x v="517"/>
    <x v="141"/>
    <s v="A249778"/>
    <x v="0"/>
    <n v="300"/>
    <n v="23400"/>
    <n v="24570"/>
    <x v="3"/>
  </r>
  <r>
    <x v="517"/>
    <x v="16"/>
    <s v="A235942"/>
    <x v="4"/>
    <n v="50"/>
    <n v="2900"/>
    <m/>
    <x v="3"/>
  </r>
  <r>
    <x v="517"/>
    <x v="16"/>
    <s v="A235942"/>
    <x v="6"/>
    <n v="100"/>
    <n v="6300"/>
    <m/>
    <x v="3"/>
  </r>
  <r>
    <x v="517"/>
    <x v="16"/>
    <s v="A235942"/>
    <x v="7"/>
    <n v="50"/>
    <n v="3800"/>
    <m/>
    <x v="3"/>
  </r>
  <r>
    <x v="517"/>
    <x v="16"/>
    <s v="A235942"/>
    <x v="10"/>
    <n v="125"/>
    <n v="9500"/>
    <m/>
    <x v="3"/>
  </r>
  <r>
    <x v="517"/>
    <x v="16"/>
    <s v="A235942"/>
    <x v="8"/>
    <n v="50"/>
    <n v="3800"/>
    <m/>
    <x v="3"/>
  </r>
  <r>
    <x v="517"/>
    <x v="16"/>
    <s v="A235942"/>
    <x v="9"/>
    <n v="25"/>
    <n v="1900"/>
    <m/>
    <x v="3"/>
  </r>
  <r>
    <x v="517"/>
    <x v="51"/>
    <s v="A298567"/>
    <x v="1"/>
    <n v="100"/>
    <n v="5700"/>
    <n v="5985"/>
    <x v="3"/>
  </r>
  <r>
    <x v="517"/>
    <x v="51"/>
    <s v="A298567"/>
    <x v="11"/>
    <n v="50"/>
    <n v="3000"/>
    <n v="3150"/>
    <x v="3"/>
  </r>
  <r>
    <x v="517"/>
    <x v="394"/>
    <s v="A242640"/>
    <x v="8"/>
    <n v="50"/>
    <n v="3800"/>
    <m/>
    <x v="3"/>
  </r>
  <r>
    <x v="517"/>
    <x v="454"/>
    <s v="P781985"/>
    <x v="2"/>
    <n v="100"/>
    <n v="10000"/>
    <n v="10500"/>
    <x v="3"/>
  </r>
  <r>
    <x v="517"/>
    <x v="655"/>
    <s v="P782007"/>
    <x v="11"/>
    <n v="125"/>
    <n v="11250"/>
    <n v="11812.5"/>
    <x v="3"/>
  </r>
  <r>
    <x v="517"/>
    <x v="655"/>
    <s v="P782007"/>
    <x v="0"/>
    <n v="30"/>
    <n v="2700"/>
    <n v="2835"/>
    <x v="3"/>
  </r>
  <r>
    <x v="517"/>
    <x v="263"/>
    <s v="A403817"/>
    <x v="2"/>
    <n v="30"/>
    <n v="2490"/>
    <n v="2614.5"/>
    <x v="3"/>
  </r>
  <r>
    <x v="517"/>
    <x v="263"/>
    <s v="A403817"/>
    <x v="0"/>
    <n v="75"/>
    <n v="6750"/>
    <n v="7087.5"/>
    <x v="3"/>
  </r>
  <r>
    <x v="517"/>
    <x v="712"/>
    <s v="A246165"/>
    <x v="4"/>
    <n v="50"/>
    <n v="3750"/>
    <m/>
    <x v="3"/>
  </r>
  <r>
    <x v="517"/>
    <x v="13"/>
    <m/>
    <x v="8"/>
    <n v="15"/>
    <n v="2175"/>
    <m/>
    <x v="3"/>
  </r>
  <r>
    <x v="517"/>
    <x v="13"/>
    <m/>
    <x v="9"/>
    <n v="25"/>
    <n v="3625"/>
    <m/>
    <x v="3"/>
  </r>
  <r>
    <x v="517"/>
    <x v="13"/>
    <m/>
    <x v="0"/>
    <n v="20"/>
    <n v="1900"/>
    <n v="1995"/>
    <x v="3"/>
  </r>
  <r>
    <x v="517"/>
    <x v="177"/>
    <s v="A292781"/>
    <x v="2"/>
    <n v="30"/>
    <n v="2265"/>
    <n v="2378.25"/>
    <x v="3"/>
  </r>
  <r>
    <x v="517"/>
    <x v="177"/>
    <s v="A292781"/>
    <x v="11"/>
    <n v="25"/>
    <n v="1875"/>
    <n v="1968.75"/>
    <x v="3"/>
  </r>
  <r>
    <x v="517"/>
    <x v="166"/>
    <s v="A231706"/>
    <x v="4"/>
    <n v="200"/>
    <n v="13500"/>
    <m/>
    <x v="3"/>
  </r>
  <r>
    <x v="517"/>
    <x v="166"/>
    <s v="A231706"/>
    <x v="5"/>
    <n v="150"/>
    <n v="11750"/>
    <m/>
    <x v="3"/>
  </r>
  <r>
    <x v="517"/>
    <x v="166"/>
    <s v="A231706"/>
    <x v="6"/>
    <n v="250"/>
    <n v="20000"/>
    <m/>
    <x v="3"/>
  </r>
  <r>
    <x v="517"/>
    <x v="166"/>
    <s v="A231706"/>
    <x v="7"/>
    <n v="100"/>
    <n v="8000"/>
    <m/>
    <x v="3"/>
  </r>
  <r>
    <x v="517"/>
    <x v="166"/>
    <s v="A231706"/>
    <x v="10"/>
    <n v="200"/>
    <n v="16000"/>
    <m/>
    <x v="3"/>
  </r>
  <r>
    <x v="517"/>
    <x v="166"/>
    <s v="A231706"/>
    <x v="8"/>
    <n v="175"/>
    <n v="14000"/>
    <m/>
    <x v="3"/>
  </r>
  <r>
    <x v="517"/>
    <x v="166"/>
    <s v="A231706"/>
    <x v="9"/>
    <n v="50"/>
    <n v="4000"/>
    <m/>
    <x v="3"/>
  </r>
  <r>
    <x v="517"/>
    <x v="166"/>
    <s v="A231706"/>
    <x v="2"/>
    <n v="250"/>
    <n v="19000"/>
    <n v="19950"/>
    <x v="3"/>
  </r>
  <r>
    <x v="517"/>
    <x v="344"/>
    <s v="A415791"/>
    <x v="11"/>
    <n v="50"/>
    <n v="3800"/>
    <n v="3990"/>
    <x v="3"/>
  </r>
  <r>
    <x v="517"/>
    <x v="344"/>
    <s v="A415791"/>
    <x v="0"/>
    <n v="100"/>
    <n v="7600"/>
    <n v="7980"/>
    <x v="3"/>
  </r>
  <r>
    <x v="517"/>
    <x v="714"/>
    <m/>
    <x v="6"/>
    <n v="20475"/>
    <n v="115683.75"/>
    <m/>
    <x v="3"/>
  </r>
  <r>
    <x v="517"/>
    <x v="714"/>
    <m/>
    <x v="7"/>
    <n v="27900"/>
    <n v="174798"/>
    <m/>
    <x v="3"/>
  </r>
  <r>
    <x v="517"/>
    <x v="714"/>
    <m/>
    <x v="10"/>
    <n v="4500"/>
    <n v="26550"/>
    <m/>
    <x v="3"/>
  </r>
  <r>
    <x v="517"/>
    <x v="714"/>
    <m/>
    <x v="8"/>
    <n v="4500"/>
    <n v="23850"/>
    <m/>
    <x v="3"/>
  </r>
  <r>
    <x v="517"/>
    <x v="714"/>
    <m/>
    <x v="1"/>
    <n v="20475"/>
    <n v="144899.79999999999"/>
    <n v="152144.79"/>
    <x v="3"/>
  </r>
  <r>
    <x v="517"/>
    <x v="714"/>
    <m/>
    <x v="11"/>
    <n v="4500"/>
    <n v="22500"/>
    <n v="23625"/>
    <x v="3"/>
  </r>
  <r>
    <x v="517"/>
    <x v="508"/>
    <s v="A404667"/>
    <x v="2"/>
    <n v="200"/>
    <n v="15000"/>
    <n v="15750"/>
    <x v="3"/>
  </r>
  <r>
    <x v="517"/>
    <x v="19"/>
    <s v="A233442"/>
    <x v="8"/>
    <n v="25"/>
    <n v="2000"/>
    <m/>
    <x v="3"/>
  </r>
  <r>
    <x v="517"/>
    <x v="14"/>
    <m/>
    <x v="9"/>
    <n v="10"/>
    <n v="1200"/>
    <m/>
    <x v="3"/>
  </r>
  <r>
    <x v="518"/>
    <x v="6"/>
    <s v="A270578"/>
    <x v="11"/>
    <n v="1"/>
    <n v="80"/>
    <n v="80"/>
    <x v="3"/>
  </r>
  <r>
    <x v="518"/>
    <x v="3"/>
    <s v="A232126"/>
    <x v="11"/>
    <n v="1"/>
    <n v="125"/>
    <n v="125"/>
    <x v="3"/>
  </r>
  <r>
    <x v="518"/>
    <x v="30"/>
    <s v="A233444"/>
    <x v="11"/>
    <n v="1"/>
    <n v="80"/>
    <n v="80"/>
    <x v="3"/>
  </r>
  <r>
    <x v="519"/>
    <x v="269"/>
    <s v="A415790"/>
    <x v="11"/>
    <n v="25"/>
    <n v="1875"/>
    <n v="1968.75"/>
    <x v="3"/>
  </r>
  <r>
    <x v="519"/>
    <x v="269"/>
    <s v="A415790"/>
    <x v="0"/>
    <n v="25"/>
    <n v="1875"/>
    <n v="1875"/>
    <x v="3"/>
  </r>
  <r>
    <x v="519"/>
    <x v="129"/>
    <s v="A235765"/>
    <x v="11"/>
    <n v="10"/>
    <n v="700"/>
    <n v="735"/>
    <x v="3"/>
  </r>
  <r>
    <x v="519"/>
    <x v="12"/>
    <m/>
    <x v="11"/>
    <n v="1"/>
    <n v="125"/>
    <n v="131.25"/>
    <x v="3"/>
  </r>
  <r>
    <x v="519"/>
    <x v="12"/>
    <m/>
    <x v="0"/>
    <n v="1"/>
    <n v="90"/>
    <n v="90"/>
    <x v="3"/>
  </r>
  <r>
    <x v="519"/>
    <x v="342"/>
    <s v="A402008"/>
    <x v="0"/>
    <n v="25"/>
    <n v="1750"/>
    <n v="1750"/>
    <x v="3"/>
  </r>
  <r>
    <x v="519"/>
    <x v="3"/>
    <s v="A232126"/>
    <x v="11"/>
    <n v="25"/>
    <n v="1875"/>
    <n v="1968.75"/>
    <x v="3"/>
  </r>
  <r>
    <x v="519"/>
    <x v="346"/>
    <s v="A315997"/>
    <x v="11"/>
    <n v="10"/>
    <n v="750"/>
    <n v="787.5"/>
    <x v="3"/>
  </r>
  <r>
    <x v="520"/>
    <x v="432"/>
    <m/>
    <x v="11"/>
    <n v="20"/>
    <n v="1400"/>
    <n v="1400"/>
    <x v="3"/>
  </r>
  <r>
    <x v="521"/>
    <x v="10"/>
    <m/>
    <x v="7"/>
    <n v="20"/>
    <n v="1800"/>
    <m/>
    <x v="3"/>
  </r>
  <r>
    <x v="522"/>
    <x v="562"/>
    <s v="A419375"/>
    <x v="11"/>
    <n v="2"/>
    <n v="112.5"/>
    <n v="118.125"/>
    <x v="3"/>
  </r>
  <r>
    <x v="522"/>
    <x v="269"/>
    <s v="A415790"/>
    <x v="11"/>
    <n v="50"/>
    <n v="3750"/>
    <n v="3937.5"/>
    <x v="3"/>
  </r>
  <r>
    <x v="522"/>
    <x v="298"/>
    <s v="A416950"/>
    <x v="11"/>
    <n v="5"/>
    <n v="1000"/>
    <n v="1050"/>
    <x v="3"/>
  </r>
  <r>
    <x v="522"/>
    <x v="337"/>
    <s v="A419371"/>
    <x v="11"/>
    <n v="25"/>
    <n v="1625"/>
    <n v="1706.25"/>
    <x v="3"/>
  </r>
  <r>
    <x v="522"/>
    <x v="337"/>
    <s v="A419371"/>
    <x v="0"/>
    <n v="25"/>
    <n v="1625"/>
    <n v="1625"/>
    <x v="3"/>
  </r>
  <r>
    <x v="522"/>
    <x v="320"/>
    <s v="A272788"/>
    <x v="11"/>
    <n v="125"/>
    <n v="9375"/>
    <n v="9843.75"/>
    <x v="3"/>
  </r>
  <r>
    <x v="522"/>
    <x v="11"/>
    <m/>
    <x v="11"/>
    <n v="5"/>
    <n v="450"/>
    <n v="472.5"/>
    <x v="3"/>
  </r>
  <r>
    <x v="522"/>
    <x v="582"/>
    <s v="A339212"/>
    <x v="11"/>
    <n v="5"/>
    <n v="375"/>
    <n v="393.75"/>
    <x v="3"/>
  </r>
  <r>
    <x v="522"/>
    <x v="321"/>
    <s v="A293451"/>
    <x v="0"/>
    <n v="25"/>
    <n v="1700"/>
    <n v="1700"/>
    <x v="3"/>
  </r>
  <r>
    <x v="522"/>
    <x v="325"/>
    <s v="A320111"/>
    <x v="11"/>
    <n v="125"/>
    <n v="9375"/>
    <n v="9843.75"/>
    <x v="3"/>
  </r>
  <r>
    <x v="522"/>
    <x v="273"/>
    <s v="A320112"/>
    <x v="11"/>
    <n v="7"/>
    <n v="455"/>
    <n v="477.75"/>
    <x v="3"/>
  </r>
  <r>
    <x v="522"/>
    <x v="273"/>
    <s v="A320112"/>
    <x v="0"/>
    <n v="18"/>
    <n v="1170"/>
    <n v="1170"/>
    <x v="3"/>
  </r>
  <r>
    <x v="522"/>
    <x v="182"/>
    <s v="A275118"/>
    <x v="11"/>
    <n v="75"/>
    <n v="5250"/>
    <n v="5512.5"/>
    <x v="3"/>
  </r>
  <r>
    <x v="522"/>
    <x v="183"/>
    <s v="A275118"/>
    <x v="11"/>
    <n v="25"/>
    <n v="1750"/>
    <n v="1837.5"/>
    <x v="3"/>
  </r>
  <r>
    <x v="522"/>
    <x v="191"/>
    <s v="A238385"/>
    <x v="11"/>
    <n v="225"/>
    <n v="10125"/>
    <n v="10631.25"/>
    <x v="3"/>
  </r>
  <r>
    <x v="522"/>
    <x v="191"/>
    <s v="A238385"/>
    <x v="0"/>
    <n v="25"/>
    <n v="1125"/>
    <n v="1125"/>
    <x v="3"/>
  </r>
  <r>
    <x v="522"/>
    <x v="328"/>
    <s v="A285349"/>
    <x v="11"/>
    <n v="50"/>
    <n v="3875"/>
    <n v="4068.75"/>
    <x v="3"/>
  </r>
  <r>
    <x v="522"/>
    <x v="870"/>
    <m/>
    <x v="11"/>
    <n v="1"/>
    <n v="165"/>
    <n v="173.25"/>
    <x v="3"/>
  </r>
  <r>
    <x v="522"/>
    <x v="332"/>
    <s v="A331424"/>
    <x v="0"/>
    <n v="25"/>
    <n v="1750"/>
    <n v="1750"/>
    <x v="3"/>
  </r>
  <r>
    <x v="522"/>
    <x v="94"/>
    <s v="A339929"/>
    <x v="0"/>
    <n v="25"/>
    <n v="1750"/>
    <n v="1750"/>
    <x v="3"/>
  </r>
  <r>
    <x v="522"/>
    <x v="292"/>
    <s v="A276839"/>
    <x v="11"/>
    <n v="25"/>
    <n v="1875"/>
    <n v="1968.75"/>
    <x v="3"/>
  </r>
  <r>
    <x v="522"/>
    <x v="1119"/>
    <s v="A268517"/>
    <x v="11"/>
    <n v="250"/>
    <n v="10750"/>
    <n v="11287.5"/>
    <x v="3"/>
  </r>
  <r>
    <x v="522"/>
    <x v="333"/>
    <s v="A317824"/>
    <x v="11"/>
    <n v="25"/>
    <n v="1750"/>
    <n v="1837.5"/>
    <x v="3"/>
  </r>
  <r>
    <x v="522"/>
    <x v="1"/>
    <s v="A231710"/>
    <x v="11"/>
    <n v="325"/>
    <n v="24250"/>
    <n v="25462.5"/>
    <x v="3"/>
  </r>
  <r>
    <x v="523"/>
    <x v="2"/>
    <s v="A295987"/>
    <x v="9"/>
    <n v="25"/>
    <n v="2625"/>
    <m/>
    <x v="3"/>
  </r>
  <r>
    <x v="523"/>
    <x v="494"/>
    <s v="A257810"/>
    <x v="5"/>
    <n v="80"/>
    <n v="5280"/>
    <m/>
    <x v="3"/>
  </r>
  <r>
    <x v="523"/>
    <x v="494"/>
    <s v="A257810"/>
    <x v="6"/>
    <n v="100"/>
    <n v="6600"/>
    <m/>
    <x v="3"/>
  </r>
  <r>
    <x v="523"/>
    <x v="494"/>
    <s v="A257810"/>
    <x v="7"/>
    <n v="75"/>
    <n v="4950"/>
    <m/>
    <x v="3"/>
  </r>
  <r>
    <x v="523"/>
    <x v="494"/>
    <s v="A257810"/>
    <x v="10"/>
    <n v="50"/>
    <n v="3300"/>
    <m/>
    <x v="3"/>
  </r>
  <r>
    <x v="523"/>
    <x v="494"/>
    <s v="A257810"/>
    <x v="8"/>
    <n v="1"/>
    <n v="80"/>
    <m/>
    <x v="3"/>
  </r>
  <r>
    <x v="523"/>
    <x v="494"/>
    <s v="A257810"/>
    <x v="8"/>
    <n v="100"/>
    <n v="6600"/>
    <m/>
    <x v="3"/>
  </r>
  <r>
    <x v="523"/>
    <x v="30"/>
    <s v="A233444"/>
    <x v="6"/>
    <n v="50"/>
    <n v="3750"/>
    <m/>
    <x v="3"/>
  </r>
  <r>
    <x v="523"/>
    <x v="30"/>
    <s v="A233444"/>
    <x v="7"/>
    <n v="25"/>
    <n v="1875"/>
    <m/>
    <x v="3"/>
  </r>
  <r>
    <x v="523"/>
    <x v="30"/>
    <s v="A233444"/>
    <x v="10"/>
    <n v="75"/>
    <n v="5625"/>
    <m/>
    <x v="3"/>
  </r>
  <r>
    <x v="523"/>
    <x v="30"/>
    <s v="A233444"/>
    <x v="8"/>
    <n v="75"/>
    <n v="5625"/>
    <m/>
    <x v="3"/>
  </r>
  <r>
    <x v="523"/>
    <x v="30"/>
    <s v="A233444"/>
    <x v="9"/>
    <n v="25"/>
    <n v="1875"/>
    <m/>
    <x v="3"/>
  </r>
  <r>
    <x v="523"/>
    <x v="30"/>
    <s v="A233444"/>
    <x v="9"/>
    <n v="75"/>
    <n v="5625"/>
    <m/>
    <x v="3"/>
  </r>
  <r>
    <x v="523"/>
    <x v="434"/>
    <s v="A241908"/>
    <x v="8"/>
    <n v="68"/>
    <n v="7140"/>
    <m/>
    <x v="3"/>
  </r>
  <r>
    <x v="523"/>
    <x v="243"/>
    <s v="A232125"/>
    <x v="1"/>
    <n v="25"/>
    <n v="1650"/>
    <n v="1732.5"/>
    <x v="3"/>
  </r>
  <r>
    <x v="523"/>
    <x v="228"/>
    <s v="A306319"/>
    <x v="9"/>
    <n v="50"/>
    <n v="3300"/>
    <m/>
    <x v="3"/>
  </r>
  <r>
    <x v="523"/>
    <x v="712"/>
    <s v="A246165"/>
    <x v="9"/>
    <n v="100"/>
    <n v="6600"/>
    <m/>
    <x v="3"/>
  </r>
  <r>
    <x v="524"/>
    <x v="11"/>
    <m/>
    <x v="11"/>
    <n v="37"/>
    <n v="2960"/>
    <n v="3108"/>
    <x v="3"/>
  </r>
  <r>
    <x v="524"/>
    <x v="233"/>
    <m/>
    <x v="11"/>
    <n v="15"/>
    <n v="1155"/>
    <n v="1212.75"/>
    <x v="3"/>
  </r>
  <r>
    <x v="524"/>
    <x v="233"/>
    <m/>
    <x v="0"/>
    <n v="50"/>
    <n v="3850"/>
    <n v="4042.5"/>
    <x v="3"/>
  </r>
  <r>
    <x v="524"/>
    <x v="12"/>
    <m/>
    <x v="11"/>
    <n v="12"/>
    <n v="1080"/>
    <n v="1134"/>
    <x v="3"/>
  </r>
  <r>
    <x v="524"/>
    <x v="659"/>
    <m/>
    <x v="11"/>
    <n v="20"/>
    <n v="1900"/>
    <n v="1995"/>
    <x v="3"/>
  </r>
  <r>
    <x v="524"/>
    <x v="659"/>
    <m/>
    <x v="0"/>
    <n v="55"/>
    <n v="4950"/>
    <n v="5197.5"/>
    <x v="3"/>
  </r>
  <r>
    <x v="524"/>
    <x v="184"/>
    <s v="A299984"/>
    <x v="8"/>
    <n v="25"/>
    <n v="1625"/>
    <m/>
    <x v="3"/>
  </r>
  <r>
    <x v="524"/>
    <x v="3"/>
    <s v="A232126"/>
    <x v="5"/>
    <n v="2"/>
    <n v="190"/>
    <m/>
    <x v="3"/>
  </r>
  <r>
    <x v="524"/>
    <x v="275"/>
    <s v="A271087"/>
    <x v="0"/>
    <n v="25"/>
    <n v="1750"/>
    <n v="1837.5"/>
    <x v="3"/>
  </r>
  <r>
    <x v="524"/>
    <x v="94"/>
    <s v="A339929"/>
    <x v="8"/>
    <n v="5"/>
    <n v="375"/>
    <m/>
    <x v="3"/>
  </r>
  <r>
    <x v="524"/>
    <x v="9"/>
    <s v="A234248"/>
    <x v="0"/>
    <n v="5"/>
    <n v="350"/>
    <n v="367.5"/>
    <x v="3"/>
  </r>
  <r>
    <x v="524"/>
    <x v="13"/>
    <m/>
    <x v="11"/>
    <n v="30"/>
    <n v="2310"/>
    <n v="2425.5"/>
    <x v="3"/>
  </r>
  <r>
    <x v="524"/>
    <x v="166"/>
    <s v="A233185"/>
    <x v="5"/>
    <n v="50"/>
    <n v="3400"/>
    <m/>
    <x v="3"/>
  </r>
  <r>
    <x v="524"/>
    <x v="166"/>
    <s v="A233185"/>
    <x v="7"/>
    <n v="100"/>
    <n v="6800"/>
    <m/>
    <x v="3"/>
  </r>
  <r>
    <x v="524"/>
    <x v="244"/>
    <s v="A402012"/>
    <x v="2"/>
    <n v="10"/>
    <n v="700"/>
    <n v="735"/>
    <x v="3"/>
  </r>
  <r>
    <x v="524"/>
    <x v="19"/>
    <s v="A233442"/>
    <x v="2"/>
    <n v="5"/>
    <n v="325"/>
    <n v="341.25"/>
    <x v="3"/>
  </r>
  <r>
    <x v="524"/>
    <x v="247"/>
    <s v="A402013"/>
    <x v="11"/>
    <n v="15"/>
    <n v="975"/>
    <n v="1023.75"/>
    <x v="3"/>
  </r>
  <r>
    <x v="524"/>
    <x v="14"/>
    <m/>
    <x v="11"/>
    <n v="80"/>
    <n v="5200"/>
    <n v="5460"/>
    <x v="3"/>
  </r>
  <r>
    <x v="524"/>
    <x v="1"/>
    <s v="A231710"/>
    <x v="5"/>
    <n v="200"/>
    <n v="13500"/>
    <m/>
    <x v="3"/>
  </r>
  <r>
    <x v="525"/>
    <x v="51"/>
    <s v="A298567"/>
    <x v="2"/>
    <n v="100"/>
    <n v="4800"/>
    <n v="5040"/>
    <x v="3"/>
  </r>
  <r>
    <x v="525"/>
    <x v="51"/>
    <s v="A298567"/>
    <x v="11"/>
    <n v="75"/>
    <n v="3750"/>
    <n v="3750"/>
    <x v="3"/>
  </r>
  <r>
    <x v="525"/>
    <x v="14"/>
    <m/>
    <x v="2"/>
    <n v="70"/>
    <n v="4310"/>
    <n v="4525.5"/>
    <x v="3"/>
  </r>
  <r>
    <x v="525"/>
    <x v="14"/>
    <m/>
    <x v="11"/>
    <n v="70"/>
    <n v="4310"/>
    <n v="4310"/>
    <x v="3"/>
  </r>
  <r>
    <x v="526"/>
    <x v="309"/>
    <s v="A243761"/>
    <x v="1"/>
    <n v="10"/>
    <n v="950"/>
    <n v="997.5"/>
    <x v="3"/>
  </r>
  <r>
    <x v="526"/>
    <x v="184"/>
    <s v="A299984"/>
    <x v="1"/>
    <n v="10"/>
    <n v="750"/>
    <n v="787.5"/>
    <x v="3"/>
  </r>
  <r>
    <x v="526"/>
    <x v="350"/>
    <s v="A401491"/>
    <x v="2"/>
    <n v="100"/>
    <n v="5125"/>
    <n v="5381.25"/>
    <x v="3"/>
  </r>
  <r>
    <x v="526"/>
    <x v="350"/>
    <s v="A410392"/>
    <x v="11"/>
    <n v="25"/>
    <n v="1025"/>
    <n v="1076.25"/>
    <x v="3"/>
  </r>
  <r>
    <x v="526"/>
    <x v="331"/>
    <s v="A318055"/>
    <x v="1"/>
    <n v="10"/>
    <n v="850"/>
    <n v="892.5"/>
    <x v="3"/>
  </r>
  <r>
    <x v="526"/>
    <x v="275"/>
    <s v="A271087"/>
    <x v="11"/>
    <n v="25"/>
    <n v="1575"/>
    <n v="1653.75"/>
    <x v="3"/>
  </r>
  <r>
    <x v="526"/>
    <x v="263"/>
    <s v="A403817"/>
    <x v="1"/>
    <n v="25"/>
    <n v="2000"/>
    <n v="2100"/>
    <x v="3"/>
  </r>
  <r>
    <x v="526"/>
    <x v="228"/>
    <s v="A306319"/>
    <x v="1"/>
    <n v="25"/>
    <n v="1650"/>
    <n v="1732.5"/>
    <x v="3"/>
  </r>
  <r>
    <x v="526"/>
    <x v="228"/>
    <s v="A306319"/>
    <x v="2"/>
    <n v="125"/>
    <n v="8250"/>
    <n v="8662.5"/>
    <x v="3"/>
  </r>
  <r>
    <x v="526"/>
    <x v="228"/>
    <s v="A306319"/>
    <x v="11"/>
    <n v="62"/>
    <n v="4292"/>
    <n v="4506.6000000000004"/>
    <x v="3"/>
  </r>
  <r>
    <x v="526"/>
    <x v="656"/>
    <s v="A237612"/>
    <x v="11"/>
    <n v="50"/>
    <n v="3500"/>
    <n v="3675"/>
    <x v="3"/>
  </r>
  <r>
    <x v="526"/>
    <x v="552"/>
    <s v="A321239"/>
    <x v="1"/>
    <n v="10"/>
    <n v="800"/>
    <n v="840"/>
    <x v="3"/>
  </r>
  <r>
    <x v="526"/>
    <x v="14"/>
    <m/>
    <x v="0"/>
    <n v="50"/>
    <n v="3250"/>
    <n v="3412.5"/>
    <x v="3"/>
  </r>
  <r>
    <x v="526"/>
    <x v="79"/>
    <s v="A299988"/>
    <x v="1"/>
    <n v="25"/>
    <n v="2000"/>
    <n v="2100"/>
    <x v="3"/>
  </r>
  <r>
    <x v="527"/>
    <x v="7"/>
    <m/>
    <x v="10"/>
    <n v="1"/>
    <n v="500"/>
    <m/>
    <x v="3"/>
  </r>
  <r>
    <x v="527"/>
    <x v="416"/>
    <m/>
    <x v="8"/>
    <n v="140"/>
    <n v="46200"/>
    <m/>
    <x v="3"/>
  </r>
  <r>
    <x v="527"/>
    <x v="416"/>
    <m/>
    <x v="9"/>
    <n v="295"/>
    <n v="66515"/>
    <m/>
    <x v="3"/>
  </r>
  <r>
    <x v="527"/>
    <x v="416"/>
    <m/>
    <x v="1"/>
    <n v="25"/>
    <n v="6431.25"/>
    <n v="6752.8125"/>
    <x v="3"/>
  </r>
  <r>
    <x v="527"/>
    <x v="432"/>
    <m/>
    <x v="10"/>
    <n v="10"/>
    <n v="1000"/>
    <m/>
    <x v="3"/>
  </r>
  <r>
    <x v="527"/>
    <x v="1120"/>
    <m/>
    <x v="8"/>
    <n v="25"/>
    <n v="3750"/>
    <m/>
    <x v="3"/>
  </r>
  <r>
    <x v="527"/>
    <x v="1120"/>
    <m/>
    <x v="9"/>
    <n v="20"/>
    <n v="3000"/>
    <m/>
    <x v="3"/>
  </r>
  <r>
    <x v="528"/>
    <x v="321"/>
    <s v="A293451"/>
    <x v="9"/>
    <n v="1"/>
    <n v="75"/>
    <m/>
    <x v="3"/>
  </r>
  <r>
    <x v="528"/>
    <x v="19"/>
    <s v="A233442"/>
    <x v="9"/>
    <n v="1"/>
    <n v="75"/>
    <m/>
    <x v="3"/>
  </r>
  <r>
    <x v="529"/>
    <x v="316"/>
    <s v="A258812"/>
    <x v="2"/>
    <n v="175"/>
    <n v="16000"/>
    <n v="16800"/>
    <x v="3"/>
  </r>
  <r>
    <x v="529"/>
    <x v="1121"/>
    <s v="A279810"/>
    <x v="2"/>
    <n v="43"/>
    <n v="4120"/>
    <n v="4326"/>
    <x v="3"/>
  </r>
  <r>
    <x v="529"/>
    <x v="317"/>
    <s v="A246212"/>
    <x v="9"/>
    <n v="25"/>
    <n v="2250"/>
    <m/>
    <x v="3"/>
  </r>
  <r>
    <x v="529"/>
    <x v="317"/>
    <s v="A246212"/>
    <x v="1"/>
    <n v="25"/>
    <n v="2375"/>
    <n v="2493.75"/>
    <x v="3"/>
  </r>
  <r>
    <x v="529"/>
    <x v="317"/>
    <s v="A246212"/>
    <x v="11"/>
    <n v="50"/>
    <n v="4500"/>
    <n v="4725"/>
    <x v="3"/>
  </r>
  <r>
    <x v="529"/>
    <x v="317"/>
    <s v="A246212"/>
    <x v="0"/>
    <n v="25"/>
    <n v="2250"/>
    <n v="2362.5"/>
    <x v="3"/>
  </r>
  <r>
    <x v="529"/>
    <x v="88"/>
    <s v="A244191"/>
    <x v="2"/>
    <n v="155"/>
    <n v="11815"/>
    <n v="12405.75"/>
    <x v="3"/>
  </r>
  <r>
    <x v="529"/>
    <x v="269"/>
    <s v="A415790"/>
    <x v="2"/>
    <n v="100"/>
    <n v="8000"/>
    <n v="8400"/>
    <x v="3"/>
  </r>
  <r>
    <x v="529"/>
    <x v="269"/>
    <s v="A415790"/>
    <x v="11"/>
    <n v="290"/>
    <n v="22200"/>
    <n v="23310"/>
    <x v="3"/>
  </r>
  <r>
    <x v="529"/>
    <x v="269"/>
    <s v="A415790"/>
    <x v="0"/>
    <n v="150"/>
    <n v="10500"/>
    <n v="11025"/>
    <x v="3"/>
  </r>
  <r>
    <x v="529"/>
    <x v="362"/>
    <s v="A292789"/>
    <x v="9"/>
    <n v="25"/>
    <n v="2125"/>
    <m/>
    <x v="3"/>
  </r>
  <r>
    <x v="529"/>
    <x v="362"/>
    <s v="A292789"/>
    <x v="2"/>
    <n v="25"/>
    <n v="2000"/>
    <n v="2100"/>
    <x v="3"/>
  </r>
  <r>
    <x v="529"/>
    <x v="606"/>
    <s v="A251909"/>
    <x v="11"/>
    <n v="150"/>
    <n v="9000"/>
    <n v="9450"/>
    <x v="3"/>
  </r>
  <r>
    <x v="529"/>
    <x v="366"/>
    <s v="A238073"/>
    <x v="1"/>
    <n v="25"/>
    <n v="1750"/>
    <n v="1837.5"/>
    <x v="3"/>
  </r>
  <r>
    <x v="529"/>
    <x v="366"/>
    <s v="A238073"/>
    <x v="2"/>
    <n v="60"/>
    <n v="4250"/>
    <n v="4462.5"/>
    <x v="3"/>
  </r>
  <r>
    <x v="529"/>
    <x v="321"/>
    <s v="A293451"/>
    <x v="1"/>
    <n v="25"/>
    <n v="1875"/>
    <n v="1968.75"/>
    <x v="3"/>
  </r>
  <r>
    <x v="529"/>
    <x v="321"/>
    <s v="A293451"/>
    <x v="2"/>
    <n v="75"/>
    <n v="5625"/>
    <n v="5906.25"/>
    <x v="3"/>
  </r>
  <r>
    <x v="529"/>
    <x v="321"/>
    <s v="A293451"/>
    <x v="11"/>
    <n v="75"/>
    <n v="5625"/>
    <n v="5906.25"/>
    <x v="3"/>
  </r>
  <r>
    <x v="529"/>
    <x v="321"/>
    <s v="A293451"/>
    <x v="0"/>
    <n v="25"/>
    <n v="1875"/>
    <n v="1968.75"/>
    <x v="3"/>
  </r>
  <r>
    <x v="529"/>
    <x v="322"/>
    <s v="A275616"/>
    <x v="9"/>
    <n v="25"/>
    <n v="2375"/>
    <m/>
    <x v="3"/>
  </r>
  <r>
    <x v="529"/>
    <x v="323"/>
    <s v="A292785"/>
    <x v="1"/>
    <n v="125"/>
    <n v="18925"/>
    <n v="19871.25"/>
    <x v="3"/>
  </r>
  <r>
    <x v="529"/>
    <x v="323"/>
    <s v="A292785"/>
    <x v="2"/>
    <n v="191"/>
    <n v="15853"/>
    <n v="16645.650000000001"/>
    <x v="3"/>
  </r>
  <r>
    <x v="529"/>
    <x v="323"/>
    <s v="A292785"/>
    <x v="11"/>
    <n v="150"/>
    <n v="12250"/>
    <n v="12862.5"/>
    <x v="3"/>
  </r>
  <r>
    <x v="529"/>
    <x v="1122"/>
    <s v="A292785"/>
    <x v="2"/>
    <n v="155"/>
    <n v="11865"/>
    <n v="12458.25"/>
    <x v="3"/>
  </r>
  <r>
    <x v="529"/>
    <x v="1122"/>
    <s v="A292785"/>
    <x v="11"/>
    <n v="20"/>
    <n v="2075"/>
    <n v="2178.75"/>
    <x v="3"/>
  </r>
  <r>
    <x v="529"/>
    <x v="129"/>
    <s v="A235765"/>
    <x v="2"/>
    <n v="175"/>
    <n v="16000"/>
    <n v="16800"/>
    <x v="3"/>
  </r>
  <r>
    <x v="529"/>
    <x v="272"/>
    <s v="A246994"/>
    <x v="9"/>
    <n v="25"/>
    <n v="3000"/>
    <m/>
    <x v="3"/>
  </r>
  <r>
    <x v="529"/>
    <x v="273"/>
    <s v="A320112"/>
    <x v="11"/>
    <n v="50"/>
    <n v="4000"/>
    <n v="4200"/>
    <x v="3"/>
  </r>
  <r>
    <x v="529"/>
    <x v="326"/>
    <s v="A260799"/>
    <x v="2"/>
    <n v="150"/>
    <n v="13750"/>
    <n v="14437.5"/>
    <x v="3"/>
  </r>
  <r>
    <x v="529"/>
    <x v="12"/>
    <m/>
    <x v="11"/>
    <n v="15"/>
    <n v="1650"/>
    <n v="1732.5"/>
    <x v="3"/>
  </r>
  <r>
    <x v="529"/>
    <x v="350"/>
    <s v="A401491"/>
    <x v="2"/>
    <n v="150"/>
    <n v="11650"/>
    <n v="12232.5"/>
    <x v="3"/>
  </r>
  <r>
    <x v="529"/>
    <x v="350"/>
    <s v="A401491"/>
    <x v="11"/>
    <n v="50"/>
    <n v="4000"/>
    <n v="4200"/>
    <x v="3"/>
  </r>
  <r>
    <x v="529"/>
    <x v="350"/>
    <s v="A410392"/>
    <x v="11"/>
    <n v="75"/>
    <n v="6000"/>
    <n v="6300"/>
    <x v="3"/>
  </r>
  <r>
    <x v="529"/>
    <x v="331"/>
    <s v="A318055"/>
    <x v="2"/>
    <n v="25"/>
    <n v="2000"/>
    <n v="2100"/>
    <x v="3"/>
  </r>
  <r>
    <x v="529"/>
    <x v="331"/>
    <s v="A318055"/>
    <x v="11"/>
    <n v="25"/>
    <n v="2000"/>
    <n v="2100"/>
    <x v="3"/>
  </r>
  <r>
    <x v="529"/>
    <x v="156"/>
    <s v="A231705"/>
    <x v="11"/>
    <n v="150"/>
    <n v="9000"/>
    <n v="9450"/>
    <x v="3"/>
  </r>
  <r>
    <x v="529"/>
    <x v="342"/>
    <s v="A402008"/>
    <x v="11"/>
    <n v="775"/>
    <n v="41500"/>
    <n v="43575"/>
    <x v="3"/>
  </r>
  <r>
    <x v="529"/>
    <x v="342"/>
    <s v="A402008"/>
    <x v="0"/>
    <n v="50"/>
    <n v="3000"/>
    <n v="3150"/>
    <x v="3"/>
  </r>
  <r>
    <x v="529"/>
    <x v="274"/>
    <s v="P19035"/>
    <x v="11"/>
    <n v="50"/>
    <n v="4500"/>
    <n v="4725"/>
    <x v="3"/>
  </r>
  <r>
    <x v="529"/>
    <x v="3"/>
    <s v="A331329"/>
    <x v="11"/>
    <n v="50"/>
    <n v="3500"/>
    <n v="3675"/>
    <x v="3"/>
  </r>
  <r>
    <x v="529"/>
    <x v="141"/>
    <s v="A249778"/>
    <x v="2"/>
    <n v="50"/>
    <n v="3750"/>
    <n v="3937.5"/>
    <x v="3"/>
  </r>
  <r>
    <x v="529"/>
    <x v="53"/>
    <s v="A249179"/>
    <x v="9"/>
    <n v="25"/>
    <n v="2125"/>
    <m/>
    <x v="3"/>
  </r>
  <r>
    <x v="529"/>
    <x v="332"/>
    <s v="A331424"/>
    <x v="2"/>
    <n v="139"/>
    <n v="11425"/>
    <n v="11996.25"/>
    <x v="3"/>
  </r>
  <r>
    <x v="529"/>
    <x v="332"/>
    <s v="A331424"/>
    <x v="11"/>
    <n v="100"/>
    <n v="7500"/>
    <n v="7875"/>
    <x v="3"/>
  </r>
  <r>
    <x v="529"/>
    <x v="916"/>
    <m/>
    <x v="0"/>
    <n v="75"/>
    <n v="2400"/>
    <n v="2520"/>
    <x v="3"/>
  </r>
  <r>
    <x v="529"/>
    <x v="292"/>
    <s v="A276839"/>
    <x v="2"/>
    <n v="25"/>
    <n v="2000"/>
    <n v="2100"/>
    <x v="3"/>
  </r>
  <r>
    <x v="529"/>
    <x v="30"/>
    <s v="A233444"/>
    <x v="2"/>
    <n v="100"/>
    <n v="7000"/>
    <n v="7350"/>
    <x v="3"/>
  </r>
  <r>
    <x v="529"/>
    <x v="658"/>
    <s v="A401488"/>
    <x v="11"/>
    <n v="350"/>
    <n v="17500"/>
    <n v="18375"/>
    <x v="3"/>
  </r>
  <r>
    <x v="529"/>
    <x v="252"/>
    <s v="A408098"/>
    <x v="11"/>
    <n v="75"/>
    <n v="4125"/>
    <n v="4331.25"/>
    <x v="3"/>
  </r>
  <r>
    <x v="529"/>
    <x v="19"/>
    <s v="A233442"/>
    <x v="1"/>
    <n v="25"/>
    <n v="1875"/>
    <n v="1968.75"/>
    <x v="3"/>
  </r>
  <r>
    <x v="529"/>
    <x v="19"/>
    <s v="A233442"/>
    <x v="2"/>
    <n v="175"/>
    <n v="14012.5"/>
    <n v="14713.125"/>
    <x v="3"/>
  </r>
  <r>
    <x v="529"/>
    <x v="253"/>
    <s v="A249315"/>
    <x v="9"/>
    <n v="50"/>
    <n v="4750"/>
    <m/>
    <x v="3"/>
  </r>
  <r>
    <x v="530"/>
    <x v="2"/>
    <s v="A295987"/>
    <x v="2"/>
    <n v="64"/>
    <n v="5760"/>
    <n v="6048"/>
    <x v="3"/>
  </r>
  <r>
    <x v="530"/>
    <x v="2"/>
    <s v="A295987"/>
    <x v="11"/>
    <n v="125"/>
    <n v="11250"/>
    <n v="11812.5"/>
    <x v="3"/>
  </r>
  <r>
    <x v="530"/>
    <x v="2"/>
    <s v="A295987"/>
    <x v="0"/>
    <n v="50"/>
    <n v="4500"/>
    <n v="4725"/>
    <x v="3"/>
  </r>
  <r>
    <x v="530"/>
    <x v="12"/>
    <m/>
    <x v="2"/>
    <n v="1"/>
    <n v="88"/>
    <n v="92.4"/>
    <x v="3"/>
  </r>
  <r>
    <x v="530"/>
    <x v="327"/>
    <m/>
    <x v="2"/>
    <n v="1"/>
    <n v="100"/>
    <n v="105"/>
    <x v="3"/>
  </r>
  <r>
    <x v="530"/>
    <x v="813"/>
    <s v="A415890"/>
    <x v="0"/>
    <n v="5"/>
    <n v="400"/>
    <n v="420"/>
    <x v="3"/>
  </r>
  <r>
    <x v="530"/>
    <x v="3"/>
    <s v="A232126"/>
    <x v="2"/>
    <n v="450"/>
    <n v="40075"/>
    <n v="42078.75"/>
    <x v="3"/>
  </r>
  <r>
    <x v="530"/>
    <x v="3"/>
    <s v="A232126"/>
    <x v="11"/>
    <n v="50"/>
    <n v="4400"/>
    <n v="4620"/>
    <x v="3"/>
  </r>
  <r>
    <x v="530"/>
    <x v="1123"/>
    <s v="A232126"/>
    <x v="11"/>
    <n v="25"/>
    <n v="2025"/>
    <n v="2126.25"/>
    <x v="3"/>
  </r>
  <r>
    <x v="530"/>
    <x v="275"/>
    <s v="A271087"/>
    <x v="2"/>
    <n v="50"/>
    <n v="3400"/>
    <n v="3570"/>
    <x v="3"/>
  </r>
  <r>
    <x v="530"/>
    <x v="242"/>
    <s v="A287749"/>
    <x v="2"/>
    <n v="250"/>
    <n v="18750"/>
    <n v="19687.5"/>
    <x v="3"/>
  </r>
  <r>
    <x v="530"/>
    <x v="30"/>
    <s v="A233444"/>
    <x v="2"/>
    <n v="5"/>
    <n v="500"/>
    <n v="525"/>
    <x v="3"/>
  </r>
  <r>
    <x v="530"/>
    <x v="13"/>
    <m/>
    <x v="2"/>
    <n v="15"/>
    <n v="1095"/>
    <n v="1149.75"/>
    <x v="3"/>
  </r>
  <r>
    <x v="530"/>
    <x v="247"/>
    <s v="A402013"/>
    <x v="2"/>
    <n v="25"/>
    <n v="1750"/>
    <n v="1837.5"/>
    <x v="3"/>
  </r>
  <r>
    <x v="530"/>
    <x v="248"/>
    <s v="A264618"/>
    <x v="2"/>
    <n v="75"/>
    <n v="5250"/>
    <n v="5512.5"/>
    <x v="3"/>
  </r>
  <r>
    <x v="530"/>
    <x v="14"/>
    <m/>
    <x v="2"/>
    <n v="15"/>
    <n v="975"/>
    <n v="1023.75"/>
    <x v="3"/>
  </r>
  <r>
    <x v="530"/>
    <x v="1"/>
    <s v="A231710"/>
    <x v="0"/>
    <n v="5"/>
    <n v="350"/>
    <n v="367.5"/>
    <x v="3"/>
  </r>
  <r>
    <x v="531"/>
    <x v="366"/>
    <s v="A238073"/>
    <x v="6"/>
    <n v="1"/>
    <n v="75"/>
    <m/>
    <x v="3"/>
  </r>
  <r>
    <x v="531"/>
    <x v="1124"/>
    <s v="A234246"/>
    <x v="12"/>
    <n v="25"/>
    <n v="2125"/>
    <m/>
    <x v="3"/>
  </r>
  <r>
    <x v="531"/>
    <x v="221"/>
    <s v="A231076"/>
    <x v="6"/>
    <n v="1"/>
    <n v="75"/>
    <m/>
    <x v="3"/>
  </r>
  <r>
    <x v="531"/>
    <x v="5"/>
    <s v="A249720"/>
    <x v="6"/>
    <n v="1"/>
    <n v="95"/>
    <m/>
    <x v="3"/>
  </r>
  <r>
    <x v="531"/>
    <x v="6"/>
    <s v="A270578"/>
    <x v="6"/>
    <n v="1"/>
    <n v="75"/>
    <m/>
    <x v="3"/>
  </r>
  <r>
    <x v="531"/>
    <x v="9"/>
    <s v="A234248"/>
    <x v="6"/>
    <n v="1"/>
    <n v="85"/>
    <m/>
    <x v="3"/>
  </r>
  <r>
    <x v="531"/>
    <x v="18"/>
    <m/>
    <x v="6"/>
    <n v="1"/>
    <n v="90"/>
    <m/>
    <x v="3"/>
  </r>
  <r>
    <x v="531"/>
    <x v="388"/>
    <m/>
    <x v="6"/>
    <n v="1"/>
    <n v="90"/>
    <m/>
    <x v="3"/>
  </r>
  <r>
    <x v="531"/>
    <x v="123"/>
    <m/>
    <x v="6"/>
    <n v="1"/>
    <n v="90"/>
    <m/>
    <x v="3"/>
  </r>
  <r>
    <x v="531"/>
    <x v="10"/>
    <m/>
    <x v="6"/>
    <n v="1"/>
    <n v="90"/>
    <m/>
    <x v="3"/>
  </r>
  <r>
    <x v="531"/>
    <x v="433"/>
    <m/>
    <x v="6"/>
    <n v="1"/>
    <n v="90"/>
    <m/>
    <x v="3"/>
  </r>
  <r>
    <x v="531"/>
    <x v="19"/>
    <s v="A233442"/>
    <x v="6"/>
    <n v="25"/>
    <n v="1625"/>
    <m/>
    <x v="3"/>
  </r>
  <r>
    <x v="532"/>
    <x v="141"/>
    <s v="A249778"/>
    <x v="11"/>
    <n v="25"/>
    <n v="1500"/>
    <n v="1575"/>
    <x v="3"/>
  </r>
  <r>
    <x v="532"/>
    <x v="4"/>
    <s v="A231709"/>
    <x v="11"/>
    <n v="25"/>
    <n v="1500"/>
    <n v="1575"/>
    <x v="3"/>
  </r>
  <r>
    <x v="532"/>
    <x v="228"/>
    <s v="A306319"/>
    <x v="0"/>
    <n v="1"/>
    <n v="75"/>
    <n v="78.75"/>
    <x v="3"/>
  </r>
  <r>
    <x v="532"/>
    <x v="244"/>
    <s v="A415792"/>
    <x v="11"/>
    <n v="25"/>
    <n v="1500"/>
    <n v="1575"/>
    <x v="3"/>
  </r>
  <r>
    <x v="533"/>
    <x v="2"/>
    <s v="A295987"/>
    <x v="2"/>
    <n v="175"/>
    <n v="13125"/>
    <n v="13781.25"/>
    <x v="3"/>
  </r>
  <r>
    <x v="533"/>
    <x v="2"/>
    <s v="A295987"/>
    <x v="11"/>
    <n v="100"/>
    <n v="7500"/>
    <n v="7875"/>
    <x v="3"/>
  </r>
  <r>
    <x v="533"/>
    <x v="338"/>
    <s v="A338229"/>
    <x v="2"/>
    <n v="80"/>
    <n v="5600"/>
    <n v="5880"/>
    <x v="3"/>
  </r>
  <r>
    <x v="533"/>
    <x v="327"/>
    <m/>
    <x v="2"/>
    <n v="1"/>
    <n v="100"/>
    <n v="105"/>
    <x v="3"/>
  </r>
  <r>
    <x v="533"/>
    <x v="242"/>
    <s v="A287749"/>
    <x v="2"/>
    <n v="150"/>
    <n v="9900"/>
    <n v="10395"/>
    <x v="3"/>
  </r>
  <r>
    <x v="533"/>
    <x v="242"/>
    <s v="A287749"/>
    <x v="11"/>
    <n v="100"/>
    <n v="6600"/>
    <n v="6930"/>
    <x v="3"/>
  </r>
  <r>
    <x v="533"/>
    <x v="213"/>
    <s v="A272357"/>
    <x v="2"/>
    <n v="10"/>
    <n v="680"/>
    <n v="714"/>
    <x v="3"/>
  </r>
  <r>
    <x v="533"/>
    <x v="13"/>
    <m/>
    <x v="2"/>
    <n v="1"/>
    <n v="90"/>
    <n v="94.5"/>
    <x v="3"/>
  </r>
  <r>
    <x v="533"/>
    <x v="335"/>
    <s v="A349425"/>
    <x v="2"/>
    <n v="20"/>
    <n v="1300"/>
    <n v="1365"/>
    <x v="3"/>
  </r>
  <r>
    <x v="533"/>
    <x v="335"/>
    <s v="A349425"/>
    <x v="11"/>
    <n v="10"/>
    <n v="650"/>
    <n v="682.5"/>
    <x v="3"/>
  </r>
  <r>
    <x v="533"/>
    <x v="441"/>
    <s v="A250893"/>
    <x v="2"/>
    <n v="50"/>
    <n v="3300"/>
    <n v="3465"/>
    <x v="3"/>
  </r>
  <r>
    <x v="533"/>
    <x v="1"/>
    <s v="A231710"/>
    <x v="2"/>
    <n v="75"/>
    <n v="4950"/>
    <n v="5197.5"/>
    <x v="3"/>
  </r>
  <r>
    <x v="533"/>
    <x v="1"/>
    <s v="A231710"/>
    <x v="11"/>
    <n v="25"/>
    <n v="1650"/>
    <n v="1732.5"/>
    <x v="3"/>
  </r>
  <r>
    <x v="534"/>
    <x v="15"/>
    <m/>
    <x v="1"/>
    <n v="25"/>
    <n v="7750"/>
    <n v="8137.5"/>
    <x v="3"/>
  </r>
  <r>
    <x v="534"/>
    <x v="124"/>
    <m/>
    <x v="0"/>
    <n v="25"/>
    <n v="7000"/>
    <n v="7350"/>
    <x v="3"/>
  </r>
  <r>
    <x v="534"/>
    <x v="10"/>
    <m/>
    <x v="11"/>
    <n v="100"/>
    <n v="5100"/>
    <n v="5355"/>
    <x v="3"/>
  </r>
  <r>
    <x v="534"/>
    <x v="19"/>
    <s v="A233442"/>
    <x v="1"/>
    <n v="50"/>
    <n v="2500"/>
    <n v="2625"/>
    <x v="3"/>
  </r>
  <r>
    <x v="534"/>
    <x v="19"/>
    <s v="A233442"/>
    <x v="2"/>
    <n v="50"/>
    <n v="2500"/>
    <n v="2625"/>
    <x v="3"/>
  </r>
  <r>
    <x v="535"/>
    <x v="9"/>
    <s v="P31751"/>
    <x v="3"/>
    <n v="25"/>
    <n v="1700"/>
    <m/>
    <x v="3"/>
  </r>
  <r>
    <x v="535"/>
    <x v="9"/>
    <s v="P31751"/>
    <x v="4"/>
    <n v="100"/>
    <n v="6800"/>
    <m/>
    <x v="3"/>
  </r>
  <r>
    <x v="535"/>
    <x v="19"/>
    <s v="A233442"/>
    <x v="12"/>
    <n v="40"/>
    <n v="2400"/>
    <m/>
    <x v="3"/>
  </r>
  <r>
    <x v="535"/>
    <x v="178"/>
    <s v="P33141"/>
    <x v="4"/>
    <n v="100"/>
    <n v="4700"/>
    <m/>
    <x v="3"/>
  </r>
  <r>
    <x v="536"/>
    <x v="6"/>
    <s v="A270578"/>
    <x v="10"/>
    <n v="10"/>
    <n v="320"/>
    <m/>
    <x v="3"/>
  </r>
  <r>
    <x v="537"/>
    <x v="365"/>
    <s v="A285878"/>
    <x v="1"/>
    <n v="10"/>
    <n v="800"/>
    <n v="800"/>
    <x v="3"/>
  </r>
  <r>
    <x v="537"/>
    <x v="19"/>
    <s v="A233442"/>
    <x v="2"/>
    <n v="10"/>
    <n v="600"/>
    <n v="630"/>
    <x v="3"/>
  </r>
  <r>
    <x v="538"/>
    <x v="241"/>
    <s v="A401495"/>
    <x v="2"/>
    <n v="50"/>
    <n v="3500"/>
    <n v="3500"/>
    <x v="3"/>
  </r>
  <r>
    <x v="539"/>
    <x v="822"/>
    <s v="A292853"/>
    <x v="11"/>
    <n v="1"/>
    <n v="105"/>
    <n v="105"/>
    <x v="3"/>
  </r>
  <r>
    <x v="539"/>
    <x v="350"/>
    <s v="A410392"/>
    <x v="11"/>
    <n v="5"/>
    <n v="250"/>
    <n v="250"/>
    <x v="3"/>
  </r>
  <r>
    <x v="539"/>
    <x v="51"/>
    <s v="A298567"/>
    <x v="11"/>
    <n v="15"/>
    <n v="750"/>
    <n v="750"/>
    <x v="3"/>
  </r>
  <r>
    <x v="540"/>
    <x v="1125"/>
    <m/>
    <x v="11"/>
    <n v="16"/>
    <n v="1040"/>
    <n v="1092"/>
    <x v="3"/>
  </r>
  <r>
    <x v="540"/>
    <x v="331"/>
    <s v="A318055"/>
    <x v="11"/>
    <n v="5"/>
    <n v="400"/>
    <n v="420"/>
    <x v="3"/>
  </r>
  <r>
    <x v="540"/>
    <x v="342"/>
    <s v="A402008"/>
    <x v="11"/>
    <n v="10"/>
    <n v="700"/>
    <n v="735"/>
    <x v="3"/>
  </r>
  <r>
    <x v="540"/>
    <x v="177"/>
    <s v="A292781"/>
    <x v="11"/>
    <n v="10"/>
    <n v="750"/>
    <n v="787.5"/>
    <x v="3"/>
  </r>
  <r>
    <x v="540"/>
    <x v="344"/>
    <s v="A415791"/>
    <x v="11"/>
    <n v="10"/>
    <n v="750"/>
    <n v="787.5"/>
    <x v="3"/>
  </r>
  <r>
    <x v="541"/>
    <x v="10"/>
    <m/>
    <x v="6"/>
    <n v="40"/>
    <n v="4400"/>
    <m/>
    <x v="3"/>
  </r>
  <r>
    <x v="541"/>
    <x v="10"/>
    <m/>
    <x v="7"/>
    <n v="40"/>
    <n v="4400"/>
    <m/>
    <x v="3"/>
  </r>
  <r>
    <x v="542"/>
    <x v="387"/>
    <m/>
    <x v="10"/>
    <n v="1"/>
    <n v="100"/>
    <m/>
    <x v="3"/>
  </r>
  <r>
    <x v="542"/>
    <x v="123"/>
    <m/>
    <x v="10"/>
    <n v="1"/>
    <n v="120"/>
    <m/>
    <x v="3"/>
  </r>
  <r>
    <x v="543"/>
    <x v="717"/>
    <m/>
    <x v="1"/>
    <n v="2"/>
    <n v="2400"/>
    <n v="2520"/>
    <x v="3"/>
  </r>
  <r>
    <x v="543"/>
    <x v="19"/>
    <s v="A233442"/>
    <x v="1"/>
    <n v="50"/>
    <n v="3250"/>
    <n v="3412.5"/>
    <x v="3"/>
  </r>
  <r>
    <x v="544"/>
    <x v="374"/>
    <s v="P782894"/>
    <x v="0"/>
    <n v="50"/>
    <n v="2000"/>
    <n v="2100"/>
    <x v="3"/>
  </r>
  <r>
    <x v="544"/>
    <x v="6"/>
    <s v="A270578"/>
    <x v="11"/>
    <n v="100"/>
    <n v="4000"/>
    <n v="4200"/>
    <x v="3"/>
  </r>
  <r>
    <x v="544"/>
    <x v="15"/>
    <m/>
    <x v="11"/>
    <n v="6"/>
    <n v="1420"/>
    <n v="1491"/>
    <x v="3"/>
  </r>
  <r>
    <x v="544"/>
    <x v="124"/>
    <m/>
    <x v="0"/>
    <n v="1"/>
    <n v="370"/>
    <n v="388.5"/>
    <x v="3"/>
  </r>
  <r>
    <x v="544"/>
    <x v="228"/>
    <s v="A306319"/>
    <x v="11"/>
    <n v="5"/>
    <n v="335"/>
    <n v="351.75"/>
    <x v="3"/>
  </r>
  <r>
    <x v="544"/>
    <x v="228"/>
    <s v="A306319"/>
    <x v="0"/>
    <n v="25"/>
    <n v="1625"/>
    <n v="1706.25"/>
    <x v="3"/>
  </r>
  <r>
    <x v="544"/>
    <x v="432"/>
    <m/>
    <x v="11"/>
    <n v="2"/>
    <n v="160"/>
    <n v="168"/>
    <x v="3"/>
  </r>
  <r>
    <x v="544"/>
    <x v="10"/>
    <m/>
    <x v="11"/>
    <n v="40"/>
    <n v="2660"/>
    <n v="2793"/>
    <x v="3"/>
  </r>
  <r>
    <x v="544"/>
    <x v="10"/>
    <m/>
    <x v="0"/>
    <n v="20"/>
    <n v="1240"/>
    <n v="1302"/>
    <x v="3"/>
  </r>
  <r>
    <x v="545"/>
    <x v="5"/>
    <s v="A249720"/>
    <x v="5"/>
    <n v="101"/>
    <n v="10100"/>
    <m/>
    <x v="3"/>
  </r>
  <r>
    <x v="545"/>
    <x v="5"/>
    <s v="A249720"/>
    <x v="6"/>
    <n v="25"/>
    <n v="2500"/>
    <m/>
    <x v="3"/>
  </r>
  <r>
    <x v="545"/>
    <x v="5"/>
    <s v="A249720"/>
    <x v="10"/>
    <n v="75"/>
    <n v="7250"/>
    <m/>
    <x v="3"/>
  </r>
  <r>
    <x v="545"/>
    <x v="453"/>
    <m/>
    <x v="7"/>
    <n v="25"/>
    <n v="2000"/>
    <m/>
    <x v="3"/>
  </r>
  <r>
    <x v="545"/>
    <x v="6"/>
    <s v="A270578"/>
    <x v="5"/>
    <n v="50"/>
    <n v="3750"/>
    <m/>
    <x v="3"/>
  </r>
  <r>
    <x v="545"/>
    <x v="7"/>
    <m/>
    <x v="8"/>
    <n v="9"/>
    <n v="4410"/>
    <m/>
    <x v="3"/>
  </r>
  <r>
    <x v="545"/>
    <x v="8"/>
    <m/>
    <x v="8"/>
    <n v="16"/>
    <n v="7840"/>
    <m/>
    <x v="3"/>
  </r>
  <r>
    <x v="545"/>
    <x v="431"/>
    <m/>
    <x v="6"/>
    <n v="2"/>
    <n v="660"/>
    <m/>
    <x v="3"/>
  </r>
  <r>
    <x v="545"/>
    <x v="431"/>
    <m/>
    <x v="7"/>
    <n v="17.399999999999999"/>
    <n v="5742"/>
    <m/>
    <x v="3"/>
  </r>
  <r>
    <x v="545"/>
    <x v="431"/>
    <m/>
    <x v="10"/>
    <n v="20"/>
    <n v="6500"/>
    <m/>
    <x v="3"/>
  </r>
  <r>
    <x v="545"/>
    <x v="3"/>
    <s v="A232126"/>
    <x v="7"/>
    <n v="50"/>
    <n v="4750"/>
    <m/>
    <x v="3"/>
  </r>
  <r>
    <x v="545"/>
    <x v="16"/>
    <s v="A241225"/>
    <x v="3"/>
    <n v="125"/>
    <n v="7300"/>
    <m/>
    <x v="3"/>
  </r>
  <r>
    <x v="545"/>
    <x v="16"/>
    <s v="A255224"/>
    <x v="3"/>
    <n v="50"/>
    <n v="3000"/>
    <m/>
    <x v="3"/>
  </r>
  <r>
    <x v="545"/>
    <x v="16"/>
    <s v="A241225"/>
    <x v="4"/>
    <n v="175"/>
    <n v="12250"/>
    <m/>
    <x v="3"/>
  </r>
  <r>
    <x v="545"/>
    <x v="16"/>
    <s v="A255224"/>
    <x v="4"/>
    <n v="250"/>
    <n v="18625"/>
    <m/>
    <x v="3"/>
  </r>
  <r>
    <x v="545"/>
    <x v="16"/>
    <s v="A241225"/>
    <x v="5"/>
    <n v="125"/>
    <n v="8750"/>
    <m/>
    <x v="3"/>
  </r>
  <r>
    <x v="545"/>
    <x v="16"/>
    <s v="A241225"/>
    <x v="6"/>
    <n v="100"/>
    <n v="7500"/>
    <m/>
    <x v="3"/>
  </r>
  <r>
    <x v="545"/>
    <x v="16"/>
    <s v="A241225"/>
    <x v="10"/>
    <n v="100"/>
    <n v="7475"/>
    <m/>
    <x v="3"/>
  </r>
  <r>
    <x v="545"/>
    <x v="17"/>
    <s v="A232425"/>
    <x v="3"/>
    <n v="40"/>
    <n v="2600"/>
    <m/>
    <x v="3"/>
  </r>
  <r>
    <x v="545"/>
    <x v="4"/>
    <s v="A231709"/>
    <x v="12"/>
    <n v="100"/>
    <n v="4000"/>
    <m/>
    <x v="3"/>
  </r>
  <r>
    <x v="545"/>
    <x v="4"/>
    <s v="A231709"/>
    <x v="3"/>
    <n v="225"/>
    <n v="11025"/>
    <m/>
    <x v="3"/>
  </r>
  <r>
    <x v="545"/>
    <x v="4"/>
    <s v="A231709"/>
    <x v="4"/>
    <n v="25"/>
    <n v="1500"/>
    <m/>
    <x v="3"/>
  </r>
  <r>
    <x v="545"/>
    <x v="1126"/>
    <m/>
    <x v="4"/>
    <n v="40"/>
    <n v="3600"/>
    <m/>
    <x v="3"/>
  </r>
  <r>
    <x v="545"/>
    <x v="1126"/>
    <m/>
    <x v="6"/>
    <n v="19"/>
    <n v="1710"/>
    <m/>
    <x v="3"/>
  </r>
  <r>
    <x v="545"/>
    <x v="432"/>
    <m/>
    <x v="4"/>
    <n v="20"/>
    <n v="1800"/>
    <m/>
    <x v="3"/>
  </r>
  <r>
    <x v="545"/>
    <x v="432"/>
    <m/>
    <x v="5"/>
    <n v="20"/>
    <n v="1800"/>
    <m/>
    <x v="3"/>
  </r>
  <r>
    <x v="545"/>
    <x v="432"/>
    <m/>
    <x v="6"/>
    <n v="20"/>
    <n v="1800"/>
    <m/>
    <x v="3"/>
  </r>
  <r>
    <x v="545"/>
    <x v="1127"/>
    <m/>
    <x v="4"/>
    <n v="40"/>
    <n v="3600"/>
    <m/>
    <x v="3"/>
  </r>
  <r>
    <x v="545"/>
    <x v="1127"/>
    <m/>
    <x v="5"/>
    <n v="40"/>
    <n v="3600"/>
    <m/>
    <x v="3"/>
  </r>
  <r>
    <x v="545"/>
    <x v="10"/>
    <m/>
    <x v="4"/>
    <n v="20"/>
    <n v="1800"/>
    <m/>
    <x v="3"/>
  </r>
  <r>
    <x v="545"/>
    <x v="10"/>
    <m/>
    <x v="5"/>
    <n v="20"/>
    <n v="1800"/>
    <m/>
    <x v="3"/>
  </r>
  <r>
    <x v="545"/>
    <x v="10"/>
    <m/>
    <x v="6"/>
    <n v="100"/>
    <n v="9000"/>
    <m/>
    <x v="3"/>
  </r>
  <r>
    <x v="545"/>
    <x v="10"/>
    <m/>
    <x v="7"/>
    <n v="85"/>
    <n v="7650"/>
    <m/>
    <x v="3"/>
  </r>
  <r>
    <x v="545"/>
    <x v="10"/>
    <m/>
    <x v="10"/>
    <n v="100"/>
    <n v="9000"/>
    <m/>
    <x v="3"/>
  </r>
  <r>
    <x v="545"/>
    <x v="10"/>
    <m/>
    <x v="8"/>
    <n v="20"/>
    <n v="1800"/>
    <m/>
    <x v="3"/>
  </r>
  <r>
    <x v="545"/>
    <x v="19"/>
    <s v="A233442"/>
    <x v="5"/>
    <n v="100"/>
    <n v="7500"/>
    <m/>
    <x v="3"/>
  </r>
  <r>
    <x v="545"/>
    <x v="19"/>
    <s v="A233442"/>
    <x v="8"/>
    <n v="5"/>
    <n v="375"/>
    <m/>
    <x v="3"/>
  </r>
  <r>
    <x v="545"/>
    <x v="908"/>
    <s v="A242466"/>
    <x v="5"/>
    <n v="25"/>
    <n v="2125"/>
    <m/>
    <x v="3"/>
  </r>
  <r>
    <x v="545"/>
    <x v="904"/>
    <s v="A269392"/>
    <x v="5"/>
    <n v="100"/>
    <n v="7500"/>
    <m/>
    <x v="3"/>
  </r>
  <r>
    <x v="546"/>
    <x v="353"/>
    <s v="A241990"/>
    <x v="8"/>
    <n v="50"/>
    <n v="4500"/>
    <m/>
    <x v="3"/>
  </r>
  <r>
    <x v="546"/>
    <x v="353"/>
    <s v="A241990"/>
    <x v="9"/>
    <n v="25"/>
    <n v="2125"/>
    <m/>
    <x v="3"/>
  </r>
  <r>
    <x v="546"/>
    <x v="228"/>
    <s v="A306319"/>
    <x v="8"/>
    <n v="50"/>
    <n v="4750"/>
    <m/>
    <x v="3"/>
  </r>
  <r>
    <x v="546"/>
    <x v="228"/>
    <s v="A306319"/>
    <x v="9"/>
    <n v="25"/>
    <n v="2250"/>
    <m/>
    <x v="3"/>
  </r>
  <r>
    <x v="547"/>
    <x v="10"/>
    <m/>
    <x v="8"/>
    <n v="20"/>
    <n v="1800"/>
    <m/>
    <x v="3"/>
  </r>
  <r>
    <x v="548"/>
    <x v="242"/>
    <s v="A287749"/>
    <x v="1"/>
    <n v="5"/>
    <n v="750"/>
    <n v="787.5"/>
    <x v="3"/>
  </r>
  <r>
    <x v="549"/>
    <x v="544"/>
    <s v="A294408"/>
    <x v="9"/>
    <n v="50"/>
    <n v="6500"/>
    <m/>
    <x v="3"/>
  </r>
  <r>
    <x v="549"/>
    <x v="21"/>
    <s v="P08232"/>
    <x v="8"/>
    <n v="2"/>
    <n v="320"/>
    <m/>
    <x v="3"/>
  </r>
  <r>
    <x v="549"/>
    <x v="21"/>
    <s v="P08232"/>
    <x v="1"/>
    <n v="60"/>
    <n v="9600"/>
    <n v="10080"/>
    <x v="3"/>
  </r>
  <r>
    <x v="549"/>
    <x v="111"/>
    <s v="A257635"/>
    <x v="8"/>
    <n v="25"/>
    <n v="4000"/>
    <m/>
    <x v="3"/>
  </r>
  <r>
    <x v="549"/>
    <x v="127"/>
    <s v="A343168"/>
    <x v="11"/>
    <n v="75"/>
    <n v="12500"/>
    <n v="13125"/>
    <x v="3"/>
  </r>
  <r>
    <x v="549"/>
    <x v="57"/>
    <s v="A292908"/>
    <x v="1"/>
    <n v="55"/>
    <n v="8800"/>
    <n v="9240"/>
    <x v="3"/>
  </r>
  <r>
    <x v="549"/>
    <x v="57"/>
    <s v="A292908"/>
    <x v="2"/>
    <n v="130"/>
    <n v="20800"/>
    <n v="21840"/>
    <x v="3"/>
  </r>
  <r>
    <x v="549"/>
    <x v="303"/>
    <s v="A403149"/>
    <x v="11"/>
    <n v="100"/>
    <n v="16000"/>
    <n v="16800"/>
    <x v="3"/>
  </r>
  <r>
    <x v="549"/>
    <x v="303"/>
    <s v="A403149"/>
    <x v="0"/>
    <n v="50"/>
    <n v="8000"/>
    <n v="8400"/>
    <x v="3"/>
  </r>
  <r>
    <x v="549"/>
    <x v="412"/>
    <s v="A339521"/>
    <x v="9"/>
    <n v="50"/>
    <n v="6500"/>
    <m/>
    <x v="3"/>
  </r>
  <r>
    <x v="549"/>
    <x v="574"/>
    <s v="A352534"/>
    <x v="1"/>
    <n v="30"/>
    <n v="4800"/>
    <n v="5040"/>
    <x v="3"/>
  </r>
  <r>
    <x v="549"/>
    <x v="421"/>
    <s v="A243394"/>
    <x v="7"/>
    <n v="6"/>
    <n v="20900"/>
    <m/>
    <x v="3"/>
  </r>
  <r>
    <x v="549"/>
    <x v="421"/>
    <s v="A243394"/>
    <x v="10"/>
    <n v="35"/>
    <n v="6650"/>
    <m/>
    <x v="3"/>
  </r>
  <r>
    <x v="549"/>
    <x v="421"/>
    <s v="A243394"/>
    <x v="8"/>
    <n v="10"/>
    <n v="1900"/>
    <m/>
    <x v="3"/>
  </r>
  <r>
    <x v="549"/>
    <x v="421"/>
    <s v="A243394"/>
    <x v="9"/>
    <n v="25"/>
    <n v="3250"/>
    <m/>
    <x v="3"/>
  </r>
  <r>
    <x v="549"/>
    <x v="421"/>
    <s v="A243394"/>
    <x v="1"/>
    <n v="125"/>
    <n v="13000"/>
    <n v="13650"/>
    <x v="3"/>
  </r>
  <r>
    <x v="549"/>
    <x v="421"/>
    <s v="A243394"/>
    <x v="2"/>
    <n v="275"/>
    <n v="35750"/>
    <n v="37537.5"/>
    <x v="3"/>
  </r>
  <r>
    <x v="549"/>
    <x v="421"/>
    <s v="A243394"/>
    <x v="11"/>
    <n v="225"/>
    <n v="26250"/>
    <n v="27562.5"/>
    <x v="3"/>
  </r>
  <r>
    <x v="549"/>
    <x v="421"/>
    <s v="A243394"/>
    <x v="0"/>
    <n v="100"/>
    <n v="13000"/>
    <n v="13650"/>
    <x v="3"/>
  </r>
  <r>
    <x v="549"/>
    <x v="215"/>
    <m/>
    <x v="0"/>
    <n v="25"/>
    <n v="4500"/>
    <n v="4725"/>
    <x v="3"/>
  </r>
  <r>
    <x v="549"/>
    <x v="202"/>
    <s v="A418088"/>
    <x v="10"/>
    <n v="200"/>
    <n v="27000"/>
    <m/>
    <x v="3"/>
  </r>
  <r>
    <x v="549"/>
    <x v="202"/>
    <s v="A418088"/>
    <x v="8"/>
    <n v="50"/>
    <n v="4750"/>
    <m/>
    <x v="3"/>
  </r>
  <r>
    <x v="549"/>
    <x v="202"/>
    <s v="A418088"/>
    <x v="9"/>
    <n v="435"/>
    <n v="41325"/>
    <m/>
    <x v="3"/>
  </r>
  <r>
    <x v="549"/>
    <x v="202"/>
    <s v="A418088"/>
    <x v="1"/>
    <n v="200"/>
    <n v="20000"/>
    <n v="21000"/>
    <x v="3"/>
  </r>
  <r>
    <x v="549"/>
    <x v="202"/>
    <s v="A418088"/>
    <x v="2"/>
    <n v="175"/>
    <n v="17500"/>
    <n v="18375"/>
    <x v="3"/>
  </r>
  <r>
    <x v="549"/>
    <x v="202"/>
    <s v="A418088"/>
    <x v="11"/>
    <n v="75"/>
    <n v="7500"/>
    <n v="7875"/>
    <x v="3"/>
  </r>
  <r>
    <x v="549"/>
    <x v="202"/>
    <s v="A417151"/>
    <x v="0"/>
    <n v="50"/>
    <n v="5000"/>
    <n v="5250"/>
    <x v="3"/>
  </r>
  <r>
    <x v="549"/>
    <x v="360"/>
    <s v="A271046"/>
    <x v="1"/>
    <n v="25"/>
    <n v="4500"/>
    <n v="4725"/>
    <x v="3"/>
  </r>
  <r>
    <x v="549"/>
    <x v="360"/>
    <s v="A271046"/>
    <x v="2"/>
    <n v="50"/>
    <n v="8000"/>
    <n v="8400"/>
    <x v="3"/>
  </r>
  <r>
    <x v="549"/>
    <x v="168"/>
    <s v="A295590"/>
    <x v="10"/>
    <n v="41"/>
    <n v="6150"/>
    <m/>
    <x v="3"/>
  </r>
  <r>
    <x v="549"/>
    <x v="168"/>
    <s v="A295590"/>
    <x v="11"/>
    <n v="75"/>
    <n v="11250"/>
    <n v="11812.5"/>
    <x v="3"/>
  </r>
  <r>
    <x v="549"/>
    <x v="169"/>
    <s v="A286825"/>
    <x v="1"/>
    <n v="25"/>
    <n v="4500"/>
    <n v="4725"/>
    <x v="3"/>
  </r>
  <r>
    <x v="550"/>
    <x v="10"/>
    <m/>
    <x v="9"/>
    <n v="20"/>
    <n v="1800"/>
    <m/>
    <x v="3"/>
  </r>
  <r>
    <x v="551"/>
    <x v="338"/>
    <s v="A338229"/>
    <x v="2"/>
    <n v="18"/>
    <n v="1125"/>
    <n v="1181.25"/>
    <x v="3"/>
  </r>
  <r>
    <x v="551"/>
    <x v="338"/>
    <s v="A338229"/>
    <x v="11"/>
    <n v="5"/>
    <n v="425"/>
    <n v="446.25"/>
    <x v="3"/>
  </r>
  <r>
    <x v="552"/>
    <x v="596"/>
    <s v="A231707"/>
    <x v="10"/>
    <n v="10"/>
    <n v="1100"/>
    <m/>
    <x v="3"/>
  </r>
  <r>
    <x v="552"/>
    <x v="441"/>
    <s v="A250893"/>
    <x v="10"/>
    <n v="5"/>
    <n v="550"/>
    <m/>
    <x v="3"/>
  </r>
  <r>
    <x v="552"/>
    <x v="1"/>
    <s v="A231710"/>
    <x v="8"/>
    <n v="5"/>
    <n v="550"/>
    <m/>
    <x v="3"/>
  </r>
  <r>
    <x v="553"/>
    <x v="431"/>
    <m/>
    <x v="10"/>
    <n v="60"/>
    <n v="19500"/>
    <m/>
    <x v="3"/>
  </r>
  <r>
    <x v="554"/>
    <x v="269"/>
    <s v="A415790"/>
    <x v="11"/>
    <n v="1"/>
    <n v="85"/>
    <n v="89.25"/>
    <x v="3"/>
  </r>
  <r>
    <x v="554"/>
    <x v="2"/>
    <s v="A295987"/>
    <x v="11"/>
    <n v="25"/>
    <n v="2125"/>
    <n v="2231.25"/>
    <x v="3"/>
  </r>
  <r>
    <x v="554"/>
    <x v="353"/>
    <s v="A241990"/>
    <x v="9"/>
    <n v="25"/>
    <n v="1375"/>
    <m/>
    <x v="3"/>
  </r>
  <r>
    <x v="554"/>
    <x v="353"/>
    <s v="A241990"/>
    <x v="1"/>
    <n v="20"/>
    <n v="1100"/>
    <n v="1155"/>
    <x v="3"/>
  </r>
  <r>
    <x v="554"/>
    <x v="353"/>
    <s v="A241990"/>
    <x v="2"/>
    <n v="25"/>
    <n v="1750"/>
    <n v="1837.5"/>
    <x v="3"/>
  </r>
  <r>
    <x v="554"/>
    <x v="182"/>
    <s v="A275118"/>
    <x v="8"/>
    <n v="50"/>
    <n v="4500"/>
    <m/>
    <x v="3"/>
  </r>
  <r>
    <x v="554"/>
    <x v="1128"/>
    <m/>
    <x v="8"/>
    <n v="18"/>
    <n v="1440"/>
    <m/>
    <x v="3"/>
  </r>
  <r>
    <x v="554"/>
    <x v="1128"/>
    <m/>
    <x v="9"/>
    <n v="10"/>
    <n v="800"/>
    <m/>
    <x v="3"/>
  </r>
  <r>
    <x v="554"/>
    <x v="156"/>
    <s v="A231705"/>
    <x v="9"/>
    <n v="10"/>
    <n v="650"/>
    <m/>
    <x v="3"/>
  </r>
  <r>
    <x v="554"/>
    <x v="3"/>
    <s v="A232126"/>
    <x v="9"/>
    <n v="225"/>
    <n v="20925"/>
    <m/>
    <x v="3"/>
  </r>
  <r>
    <x v="554"/>
    <x v="3"/>
    <s v="A232126"/>
    <x v="1"/>
    <n v="250"/>
    <n v="23304"/>
    <n v="24469.200000000001"/>
    <x v="3"/>
  </r>
  <r>
    <x v="554"/>
    <x v="3"/>
    <s v="A232126"/>
    <x v="2"/>
    <n v="225"/>
    <n v="20925"/>
    <n v="21971.25"/>
    <x v="3"/>
  </r>
  <r>
    <x v="554"/>
    <x v="3"/>
    <s v="A232126"/>
    <x v="11"/>
    <n v="350"/>
    <n v="31950"/>
    <n v="33547.5"/>
    <x v="3"/>
  </r>
  <r>
    <x v="554"/>
    <x v="3"/>
    <s v="A331329"/>
    <x v="11"/>
    <n v="100"/>
    <n v="8800"/>
    <n v="9240"/>
    <x v="3"/>
  </r>
  <r>
    <x v="554"/>
    <x v="3"/>
    <s v="A232126"/>
    <x v="0"/>
    <n v="100"/>
    <n v="9000"/>
    <n v="9450"/>
    <x v="3"/>
  </r>
  <r>
    <x v="554"/>
    <x v="275"/>
    <s v="A271087"/>
    <x v="0"/>
    <n v="25"/>
    <n v="1750"/>
    <n v="1837.5"/>
    <x v="3"/>
  </r>
  <r>
    <x v="554"/>
    <x v="51"/>
    <s v="A298567"/>
    <x v="1"/>
    <n v="50"/>
    <n v="2150"/>
    <n v="2257.5"/>
    <x v="3"/>
  </r>
  <r>
    <x v="554"/>
    <x v="51"/>
    <s v="A298567"/>
    <x v="2"/>
    <n v="25"/>
    <n v="1250"/>
    <n v="1312.5"/>
    <x v="3"/>
  </r>
  <r>
    <x v="554"/>
    <x v="434"/>
    <s v="A241908"/>
    <x v="9"/>
    <n v="25"/>
    <n v="2125"/>
    <m/>
    <x v="3"/>
  </r>
  <r>
    <x v="554"/>
    <x v="434"/>
    <s v="A241908"/>
    <x v="1"/>
    <n v="25"/>
    <n v="2125"/>
    <n v="2231.25"/>
    <x v="3"/>
  </r>
  <r>
    <x v="554"/>
    <x v="434"/>
    <s v="A241908"/>
    <x v="2"/>
    <n v="50"/>
    <n v="4250"/>
    <n v="4462.5"/>
    <x v="3"/>
  </r>
  <r>
    <x v="554"/>
    <x v="434"/>
    <s v="A241908"/>
    <x v="11"/>
    <n v="25"/>
    <n v="1875"/>
    <n v="1968.75"/>
    <x v="3"/>
  </r>
  <r>
    <x v="554"/>
    <x v="263"/>
    <s v="A403817"/>
    <x v="2"/>
    <n v="10"/>
    <n v="800"/>
    <n v="840"/>
    <x v="3"/>
  </r>
  <r>
    <x v="554"/>
    <x v="13"/>
    <m/>
    <x v="9"/>
    <n v="10"/>
    <n v="800"/>
    <m/>
    <x v="3"/>
  </r>
  <r>
    <x v="554"/>
    <x v="13"/>
    <m/>
    <x v="1"/>
    <n v="25"/>
    <n v="2000"/>
    <n v="2100"/>
    <x v="3"/>
  </r>
  <r>
    <x v="554"/>
    <x v="13"/>
    <m/>
    <x v="2"/>
    <n v="20"/>
    <n v="1600"/>
    <n v="1680"/>
    <x v="3"/>
  </r>
  <r>
    <x v="554"/>
    <x v="13"/>
    <m/>
    <x v="11"/>
    <n v="30"/>
    <n v="2400"/>
    <n v="2520"/>
    <x v="3"/>
  </r>
  <r>
    <x v="554"/>
    <x v="13"/>
    <m/>
    <x v="0"/>
    <n v="20"/>
    <n v="1600"/>
    <n v="1680"/>
    <x v="3"/>
  </r>
  <r>
    <x v="554"/>
    <x v="656"/>
    <s v="A237612"/>
    <x v="10"/>
    <n v="25"/>
    <n v="2625"/>
    <m/>
    <x v="3"/>
  </r>
  <r>
    <x v="554"/>
    <x v="656"/>
    <s v="A237612"/>
    <x v="8"/>
    <n v="50"/>
    <n v="5250"/>
    <m/>
    <x v="3"/>
  </r>
  <r>
    <x v="554"/>
    <x v="656"/>
    <s v="A237612"/>
    <x v="9"/>
    <n v="25"/>
    <n v="2625"/>
    <m/>
    <x v="3"/>
  </r>
  <r>
    <x v="554"/>
    <x v="656"/>
    <s v="A237612"/>
    <x v="2"/>
    <n v="25"/>
    <n v="2625"/>
    <n v="2756.25"/>
    <x v="3"/>
  </r>
  <r>
    <x v="554"/>
    <x v="19"/>
    <s v="A233442"/>
    <x v="9"/>
    <n v="90"/>
    <n v="5850"/>
    <m/>
    <x v="3"/>
  </r>
  <r>
    <x v="554"/>
    <x v="19"/>
    <s v="A233442"/>
    <x v="1"/>
    <n v="60"/>
    <n v="10375"/>
    <n v="10893.75"/>
    <x v="3"/>
  </r>
  <r>
    <x v="554"/>
    <x v="19"/>
    <s v="A233442"/>
    <x v="2"/>
    <n v="75"/>
    <n v="5250"/>
    <n v="5512.5"/>
    <x v="3"/>
  </r>
  <r>
    <x v="554"/>
    <x v="247"/>
    <s v="A402013"/>
    <x v="2"/>
    <n v="50"/>
    <n v="3500"/>
    <n v="3675"/>
    <x v="3"/>
  </r>
  <r>
    <x v="554"/>
    <x v="247"/>
    <s v="A402013"/>
    <x v="11"/>
    <n v="25"/>
    <n v="1750"/>
    <n v="1837.5"/>
    <x v="3"/>
  </r>
  <r>
    <x v="554"/>
    <x v="1129"/>
    <m/>
    <x v="8"/>
    <n v="1"/>
    <n v="80"/>
    <m/>
    <x v="3"/>
  </r>
  <r>
    <x v="554"/>
    <x v="1129"/>
    <m/>
    <x v="9"/>
    <n v="36"/>
    <n v="3150"/>
    <m/>
    <x v="3"/>
  </r>
  <r>
    <x v="554"/>
    <x v="1129"/>
    <m/>
    <x v="1"/>
    <n v="35"/>
    <n v="3150"/>
    <n v="3307.5"/>
    <x v="3"/>
  </r>
  <r>
    <x v="554"/>
    <x v="1129"/>
    <m/>
    <x v="2"/>
    <n v="10"/>
    <n v="900"/>
    <n v="945"/>
    <x v="3"/>
  </r>
  <r>
    <x v="554"/>
    <x v="1129"/>
    <m/>
    <x v="11"/>
    <n v="40"/>
    <n v="2600"/>
    <n v="2730"/>
    <x v="3"/>
  </r>
  <r>
    <x v="554"/>
    <x v="716"/>
    <s v="A236985"/>
    <x v="9"/>
    <n v="25"/>
    <n v="1950"/>
    <m/>
    <x v="3"/>
  </r>
  <r>
    <x v="554"/>
    <x v="716"/>
    <s v="A236985"/>
    <x v="1"/>
    <n v="25"/>
    <n v="1950"/>
    <n v="2047.5"/>
    <x v="3"/>
  </r>
  <r>
    <x v="554"/>
    <x v="716"/>
    <s v="A236985"/>
    <x v="2"/>
    <n v="25"/>
    <n v="1950"/>
    <n v="2047.5"/>
    <x v="3"/>
  </r>
  <r>
    <x v="554"/>
    <x v="850"/>
    <s v="A402014"/>
    <x v="2"/>
    <n v="50"/>
    <n v="3900"/>
    <n v="4095"/>
    <x v="3"/>
  </r>
  <r>
    <x v="555"/>
    <x v="366"/>
    <s v="A238073"/>
    <x v="10"/>
    <n v="5"/>
    <n v="450"/>
    <m/>
    <x v="3"/>
  </r>
  <r>
    <x v="555"/>
    <x v="353"/>
    <s v="A241990"/>
    <x v="1"/>
    <n v="25"/>
    <n v="1875"/>
    <n v="1968.75"/>
    <x v="3"/>
  </r>
  <r>
    <x v="555"/>
    <x v="93"/>
    <s v="A231708"/>
    <x v="9"/>
    <n v="50"/>
    <n v="2700"/>
    <m/>
    <x v="3"/>
  </r>
  <r>
    <x v="555"/>
    <x v="93"/>
    <s v="A231708"/>
    <x v="1"/>
    <n v="25"/>
    <n v="1350"/>
    <n v="1417.5"/>
    <x v="3"/>
  </r>
  <r>
    <x v="555"/>
    <x v="289"/>
    <s v="A234285"/>
    <x v="8"/>
    <n v="25"/>
    <n v="1200"/>
    <m/>
    <x v="3"/>
  </r>
  <r>
    <x v="555"/>
    <x v="289"/>
    <s v="A234285"/>
    <x v="1"/>
    <n v="50"/>
    <n v="2400"/>
    <n v="2520"/>
    <x v="3"/>
  </r>
  <r>
    <x v="555"/>
    <x v="3"/>
    <s v="A232126"/>
    <x v="8"/>
    <n v="25"/>
    <n v="1250"/>
    <m/>
    <x v="3"/>
  </r>
  <r>
    <x v="555"/>
    <x v="3"/>
    <s v="A232126"/>
    <x v="9"/>
    <n v="25"/>
    <n v="1250"/>
    <m/>
    <x v="3"/>
  </r>
  <r>
    <x v="555"/>
    <x v="3"/>
    <s v="A232126"/>
    <x v="1"/>
    <n v="200"/>
    <n v="10375"/>
    <n v="10893.75"/>
    <x v="3"/>
  </r>
  <r>
    <x v="555"/>
    <x v="141"/>
    <s v="A249778"/>
    <x v="8"/>
    <n v="50"/>
    <n v="3500"/>
    <m/>
    <x v="3"/>
  </r>
  <r>
    <x v="555"/>
    <x v="141"/>
    <s v="A249778"/>
    <x v="9"/>
    <n v="50"/>
    <n v="3500"/>
    <m/>
    <x v="3"/>
  </r>
  <r>
    <x v="555"/>
    <x v="141"/>
    <s v="A249778"/>
    <x v="1"/>
    <n v="50"/>
    <n v="3500"/>
    <n v="3675"/>
    <x v="3"/>
  </r>
  <r>
    <x v="555"/>
    <x v="1123"/>
    <s v="A232126"/>
    <x v="9"/>
    <n v="75"/>
    <n v="3750"/>
    <m/>
    <x v="3"/>
  </r>
  <r>
    <x v="555"/>
    <x v="1123"/>
    <s v="A232126"/>
    <x v="1"/>
    <n v="25"/>
    <n v="1250"/>
    <n v="1312.5"/>
    <x v="3"/>
  </r>
  <r>
    <x v="555"/>
    <x v="16"/>
    <s v="A241225"/>
    <x v="9"/>
    <n v="50"/>
    <n v="3000"/>
    <m/>
    <x v="3"/>
  </r>
  <r>
    <x v="555"/>
    <x v="16"/>
    <s v="A242640"/>
    <x v="9"/>
    <n v="200"/>
    <n v="12000"/>
    <m/>
    <x v="3"/>
  </r>
  <r>
    <x v="555"/>
    <x v="16"/>
    <s v="A241225"/>
    <x v="1"/>
    <n v="25"/>
    <n v="150"/>
    <n v="157.5"/>
    <x v="3"/>
  </r>
  <r>
    <x v="555"/>
    <x v="16"/>
    <s v="A242640"/>
    <x v="1"/>
    <n v="100"/>
    <n v="6000"/>
    <n v="6300"/>
    <x v="3"/>
  </r>
  <r>
    <x v="555"/>
    <x v="494"/>
    <s v="A257810"/>
    <x v="1"/>
    <n v="125"/>
    <n v="7500"/>
    <n v="7875"/>
    <x v="3"/>
  </r>
  <r>
    <x v="555"/>
    <x v="242"/>
    <s v="A287749"/>
    <x v="8"/>
    <n v="25"/>
    <n v="2000"/>
    <m/>
    <x v="3"/>
  </r>
  <r>
    <x v="555"/>
    <x v="242"/>
    <s v="A287749"/>
    <x v="9"/>
    <n v="75"/>
    <n v="6000"/>
    <m/>
    <x v="3"/>
  </r>
  <r>
    <x v="555"/>
    <x v="242"/>
    <s v="A287749"/>
    <x v="1"/>
    <n v="100"/>
    <n v="8000"/>
    <n v="8400"/>
    <x v="3"/>
  </r>
  <r>
    <x v="555"/>
    <x v="94"/>
    <s v="A339929"/>
    <x v="8"/>
    <n v="20"/>
    <n v="1660"/>
    <m/>
    <x v="3"/>
  </r>
  <r>
    <x v="555"/>
    <x v="243"/>
    <s v="A232125"/>
    <x v="10"/>
    <n v="5"/>
    <n v="475"/>
    <m/>
    <x v="3"/>
  </r>
  <r>
    <x v="555"/>
    <x v="228"/>
    <s v="A306319"/>
    <x v="8"/>
    <n v="20"/>
    <n v="1600"/>
    <m/>
    <x v="3"/>
  </r>
  <r>
    <x v="555"/>
    <x v="228"/>
    <s v="A306319"/>
    <x v="9"/>
    <n v="50"/>
    <n v="4000"/>
    <m/>
    <x v="3"/>
  </r>
  <r>
    <x v="555"/>
    <x v="166"/>
    <s v="A231706"/>
    <x v="10"/>
    <n v="5"/>
    <n v="475"/>
    <m/>
    <x v="3"/>
  </r>
  <r>
    <x v="555"/>
    <x v="166"/>
    <s v="A231706"/>
    <x v="8"/>
    <n v="50"/>
    <n v="4250"/>
    <m/>
    <x v="3"/>
  </r>
  <r>
    <x v="555"/>
    <x v="166"/>
    <s v="A231706"/>
    <x v="9"/>
    <n v="50"/>
    <n v="4250"/>
    <m/>
    <x v="3"/>
  </r>
  <r>
    <x v="555"/>
    <x v="166"/>
    <s v="A231706"/>
    <x v="1"/>
    <n v="100"/>
    <n v="6775"/>
    <n v="7113.75"/>
    <x v="3"/>
  </r>
  <r>
    <x v="555"/>
    <x v="1130"/>
    <s v="A321239"/>
    <x v="9"/>
    <n v="50"/>
    <n v="2750"/>
    <m/>
    <x v="3"/>
  </r>
  <r>
    <x v="555"/>
    <x v="1130"/>
    <s v="A321239"/>
    <x v="1"/>
    <n v="50"/>
    <n v="2750"/>
    <n v="2887.5"/>
    <x v="3"/>
  </r>
  <r>
    <x v="555"/>
    <x v="14"/>
    <m/>
    <x v="1"/>
    <n v="10"/>
    <n v="750"/>
    <n v="787.5"/>
    <x v="3"/>
  </r>
  <r>
    <x v="556"/>
    <x v="21"/>
    <s v="P08232"/>
    <x v="9"/>
    <n v="1"/>
    <n v="110"/>
    <m/>
    <x v="3"/>
  </r>
  <r>
    <x v="556"/>
    <x v="22"/>
    <s v="A339522"/>
    <x v="9"/>
    <n v="1"/>
    <n v="125"/>
    <m/>
    <x v="3"/>
  </r>
  <r>
    <x v="556"/>
    <x v="37"/>
    <s v="A295406"/>
    <x v="2"/>
    <n v="1"/>
    <n v="500"/>
    <n v="525"/>
    <x v="3"/>
  </r>
  <r>
    <x v="556"/>
    <x v="38"/>
    <s v="A273820"/>
    <x v="9"/>
    <n v="1"/>
    <n v="110"/>
    <m/>
    <x v="3"/>
  </r>
  <r>
    <x v="556"/>
    <x v="38"/>
    <s v="A273820"/>
    <x v="1"/>
    <n v="2"/>
    <n v="220"/>
    <n v="231"/>
    <x v="3"/>
  </r>
  <r>
    <x v="556"/>
    <x v="146"/>
    <s v="A245818"/>
    <x v="9"/>
    <n v="1"/>
    <n v="110"/>
    <m/>
    <x v="3"/>
  </r>
  <r>
    <x v="556"/>
    <x v="281"/>
    <s v="A281164"/>
    <x v="9"/>
    <n v="1"/>
    <n v="100"/>
    <m/>
    <x v="3"/>
  </r>
  <r>
    <x v="556"/>
    <x v="281"/>
    <s v="A281164"/>
    <x v="1"/>
    <n v="1"/>
    <n v="100"/>
    <m/>
    <x v="3"/>
  </r>
  <r>
    <x v="556"/>
    <x v="311"/>
    <s v="A246793"/>
    <x v="9"/>
    <n v="1"/>
    <n v="90"/>
    <m/>
    <x v="3"/>
  </r>
  <r>
    <x v="556"/>
    <x v="91"/>
    <s v="A241367"/>
    <x v="9"/>
    <n v="1"/>
    <n v="110"/>
    <m/>
    <x v="3"/>
  </r>
  <r>
    <x v="556"/>
    <x v="91"/>
    <s v="A241367"/>
    <x v="1"/>
    <n v="1"/>
    <n v="110"/>
    <n v="115.5"/>
    <x v="3"/>
  </r>
  <r>
    <x v="556"/>
    <x v="151"/>
    <s v="A260799"/>
    <x v="9"/>
    <n v="1"/>
    <n v="90"/>
    <m/>
    <x v="3"/>
  </r>
  <r>
    <x v="556"/>
    <x v="26"/>
    <s v="A281055"/>
    <x v="9"/>
    <n v="1"/>
    <n v="110"/>
    <m/>
    <x v="3"/>
  </r>
  <r>
    <x v="556"/>
    <x v="57"/>
    <s v="A292908"/>
    <x v="9"/>
    <n v="1"/>
    <n v="110"/>
    <m/>
    <x v="3"/>
  </r>
  <r>
    <x v="556"/>
    <x v="57"/>
    <s v="A292908"/>
    <x v="2"/>
    <n v="1"/>
    <n v="215"/>
    <n v="225.75"/>
    <x v="3"/>
  </r>
  <r>
    <x v="556"/>
    <x v="161"/>
    <s v="A293577"/>
    <x v="9"/>
    <n v="1"/>
    <n v="110"/>
    <m/>
    <x v="3"/>
  </r>
  <r>
    <x v="556"/>
    <x v="68"/>
    <s v="A241029"/>
    <x v="9"/>
    <n v="1"/>
    <n v="110"/>
    <m/>
    <x v="3"/>
  </r>
  <r>
    <x v="556"/>
    <x v="1131"/>
    <s v="A265082"/>
    <x v="9"/>
    <n v="1"/>
    <n v="90"/>
    <m/>
    <x v="3"/>
  </r>
  <r>
    <x v="556"/>
    <x v="1131"/>
    <s v="A265082"/>
    <x v="2"/>
    <n v="1"/>
    <n v="150"/>
    <n v="157.5"/>
    <x v="3"/>
  </r>
  <r>
    <x v="556"/>
    <x v="32"/>
    <s v="A295591"/>
    <x v="9"/>
    <n v="1"/>
    <n v="150"/>
    <m/>
    <x v="3"/>
  </r>
  <r>
    <x v="556"/>
    <x v="169"/>
    <s v="A286824"/>
    <x v="9"/>
    <n v="1"/>
    <n v="110"/>
    <m/>
    <x v="3"/>
  </r>
  <r>
    <x v="557"/>
    <x v="1132"/>
    <s v="A280729"/>
    <x v="5"/>
    <n v="40"/>
    <n v="9400"/>
    <m/>
    <x v="3"/>
  </r>
  <r>
    <x v="557"/>
    <x v="16"/>
    <s v="A241225"/>
    <x v="4"/>
    <n v="26"/>
    <n v="1820"/>
    <m/>
    <x v="3"/>
  </r>
  <r>
    <x v="557"/>
    <x v="16"/>
    <s v="A241225"/>
    <x v="5"/>
    <n v="50"/>
    <n v="3500"/>
    <m/>
    <x v="3"/>
  </r>
  <r>
    <x v="557"/>
    <x v="16"/>
    <s v="A241225"/>
    <x v="6"/>
    <n v="75"/>
    <n v="5625"/>
    <m/>
    <x v="3"/>
  </r>
  <r>
    <x v="557"/>
    <x v="16"/>
    <s v="A241225"/>
    <x v="10"/>
    <n v="50"/>
    <n v="3750"/>
    <m/>
    <x v="3"/>
  </r>
  <r>
    <x v="557"/>
    <x v="16"/>
    <s v="A241225"/>
    <x v="8"/>
    <n v="25"/>
    <n v="1875"/>
    <m/>
    <x v="3"/>
  </r>
  <r>
    <x v="557"/>
    <x v="16"/>
    <s v="A241225"/>
    <x v="9"/>
    <n v="50"/>
    <n v="3750"/>
    <m/>
    <x v="3"/>
  </r>
  <r>
    <x v="557"/>
    <x v="1133"/>
    <s v="A284396"/>
    <x v="5"/>
    <n v="40"/>
    <n v="9800"/>
    <m/>
    <x v="3"/>
  </r>
  <r>
    <x v="558"/>
    <x v="16"/>
    <s v="A241225"/>
    <x v="1"/>
    <n v="50"/>
    <n v="4500"/>
    <n v="4725"/>
    <x v="3"/>
  </r>
  <r>
    <x v="558"/>
    <x v="16"/>
    <s v="A241225"/>
    <x v="11"/>
    <n v="25"/>
    <n v="2500"/>
    <n v="2625"/>
    <x v="3"/>
  </r>
  <r>
    <x v="559"/>
    <x v="191"/>
    <s v="A238385"/>
    <x v="0"/>
    <n v="15"/>
    <n v="1050"/>
    <n v="1102.5"/>
    <x v="3"/>
  </r>
  <r>
    <x v="559"/>
    <x v="599"/>
    <m/>
    <x v="6"/>
    <n v="2"/>
    <n v="660"/>
    <m/>
    <x v="3"/>
  </r>
  <r>
    <x v="559"/>
    <x v="93"/>
    <s v="A231708"/>
    <x v="7"/>
    <n v="20"/>
    <n v="1400"/>
    <m/>
    <x v="3"/>
  </r>
  <r>
    <x v="560"/>
    <x v="111"/>
    <s v="A257635"/>
    <x v="3"/>
    <n v="5"/>
    <n v="1400"/>
    <m/>
    <x v="3"/>
  </r>
  <r>
    <x v="560"/>
    <x v="112"/>
    <s v="A265729"/>
    <x v="4"/>
    <n v="5"/>
    <n v="1150"/>
    <m/>
    <x v="3"/>
  </r>
  <r>
    <x v="560"/>
    <x v="46"/>
    <s v="A234876"/>
    <x v="3"/>
    <n v="10"/>
    <n v="2600"/>
    <m/>
    <x v="3"/>
  </r>
  <r>
    <x v="560"/>
    <x v="46"/>
    <s v="A234876"/>
    <x v="4"/>
    <n v="15"/>
    <n v="3900"/>
    <m/>
    <x v="3"/>
  </r>
  <r>
    <x v="560"/>
    <x v="46"/>
    <s v="A234876"/>
    <x v="5"/>
    <n v="25"/>
    <n v="5375"/>
    <m/>
    <x v="3"/>
  </r>
  <r>
    <x v="560"/>
    <x v="46"/>
    <s v="A234876"/>
    <x v="10"/>
    <n v="5"/>
    <n v="925"/>
    <m/>
    <x v="3"/>
  </r>
  <r>
    <x v="560"/>
    <x v="78"/>
    <s v="A234651"/>
    <x v="3"/>
    <n v="35"/>
    <n v="6450"/>
    <m/>
    <x v="3"/>
  </r>
  <r>
    <x v="560"/>
    <x v="78"/>
    <s v="A234651"/>
    <x v="5"/>
    <n v="5"/>
    <n v="1000"/>
    <m/>
    <x v="3"/>
  </r>
  <r>
    <x v="560"/>
    <x v="78"/>
    <s v="A234651"/>
    <x v="7"/>
    <n v="10"/>
    <n v="2000"/>
    <m/>
    <x v="3"/>
  </r>
  <r>
    <x v="560"/>
    <x v="172"/>
    <s v="A253320"/>
    <x v="3"/>
    <n v="5"/>
    <n v="1425"/>
    <m/>
    <x v="3"/>
  </r>
  <r>
    <x v="560"/>
    <x v="172"/>
    <s v="A253320"/>
    <x v="4"/>
    <n v="30"/>
    <n v="7650"/>
    <m/>
    <x v="3"/>
  </r>
  <r>
    <x v="560"/>
    <x v="172"/>
    <s v="A253320"/>
    <x v="5"/>
    <n v="25"/>
    <n v="5625"/>
    <m/>
    <x v="3"/>
  </r>
  <r>
    <x v="560"/>
    <x v="172"/>
    <s v="A253320"/>
    <x v="6"/>
    <n v="25"/>
    <n v="5500"/>
    <m/>
    <x v="3"/>
  </r>
  <r>
    <x v="560"/>
    <x v="172"/>
    <s v="A253320"/>
    <x v="7"/>
    <n v="25"/>
    <n v="5500"/>
    <m/>
    <x v="3"/>
  </r>
  <r>
    <x v="560"/>
    <x v="172"/>
    <s v="A253320"/>
    <x v="8"/>
    <n v="25"/>
    <n v="5500"/>
    <m/>
    <x v="3"/>
  </r>
  <r>
    <x v="561"/>
    <x v="295"/>
    <s v="A302349"/>
    <x v="10"/>
    <n v="5"/>
    <n v="1000"/>
    <m/>
    <x v="3"/>
  </r>
  <r>
    <x v="561"/>
    <x v="295"/>
    <s v="A302349"/>
    <x v="8"/>
    <n v="5"/>
    <n v="1000"/>
    <m/>
    <x v="3"/>
  </r>
  <r>
    <x v="561"/>
    <x v="295"/>
    <s v="A302349"/>
    <x v="9"/>
    <n v="2"/>
    <n v="400"/>
    <m/>
    <x v="3"/>
  </r>
  <r>
    <x v="561"/>
    <x v="295"/>
    <s v="A302349"/>
    <x v="1"/>
    <n v="2"/>
    <n v="400"/>
    <n v="420"/>
    <x v="3"/>
  </r>
  <r>
    <x v="561"/>
    <x v="298"/>
    <s v="A416950"/>
    <x v="11"/>
    <n v="4"/>
    <n v="800"/>
    <n v="840"/>
    <x v="3"/>
  </r>
  <r>
    <x v="561"/>
    <x v="111"/>
    <s v="A257635"/>
    <x v="10"/>
    <n v="3"/>
    <n v="630"/>
    <m/>
    <x v="3"/>
  </r>
  <r>
    <x v="561"/>
    <x v="111"/>
    <s v="A257635"/>
    <x v="9"/>
    <n v="2"/>
    <n v="420"/>
    <m/>
    <x v="3"/>
  </r>
  <r>
    <x v="561"/>
    <x v="207"/>
    <m/>
    <x v="9"/>
    <n v="1"/>
    <n v="560"/>
    <m/>
    <x v="3"/>
  </r>
  <r>
    <x v="561"/>
    <x v="104"/>
    <s v="A235765"/>
    <x v="9"/>
    <n v="1"/>
    <n v="210"/>
    <m/>
    <x v="3"/>
  </r>
  <r>
    <x v="561"/>
    <x v="311"/>
    <s v="A246793"/>
    <x v="10"/>
    <n v="5"/>
    <n v="550"/>
    <m/>
    <x v="3"/>
  </r>
  <r>
    <x v="561"/>
    <x v="210"/>
    <m/>
    <x v="2"/>
    <n v="1"/>
    <n v="220"/>
    <n v="231"/>
    <x v="3"/>
  </r>
  <r>
    <x v="561"/>
    <x v="46"/>
    <s v="A234876"/>
    <x v="10"/>
    <n v="5"/>
    <n v="900"/>
    <m/>
    <x v="3"/>
  </r>
  <r>
    <x v="561"/>
    <x v="46"/>
    <s v="A234876"/>
    <x v="8"/>
    <n v="5"/>
    <n v="900"/>
    <m/>
    <x v="3"/>
  </r>
  <r>
    <x v="561"/>
    <x v="46"/>
    <s v="A234876"/>
    <x v="9"/>
    <n v="4"/>
    <n v="720"/>
    <m/>
    <x v="3"/>
  </r>
  <r>
    <x v="561"/>
    <x v="46"/>
    <s v="A234876"/>
    <x v="1"/>
    <n v="6"/>
    <n v="1080"/>
    <n v="1134"/>
    <x v="3"/>
  </r>
  <r>
    <x v="561"/>
    <x v="46"/>
    <s v="A234876"/>
    <x v="11"/>
    <n v="0.5"/>
    <n v="90"/>
    <n v="94.5"/>
    <x v="3"/>
  </r>
  <r>
    <x v="561"/>
    <x v="156"/>
    <s v="A231705"/>
    <x v="10"/>
    <n v="5"/>
    <n v="900"/>
    <m/>
    <x v="3"/>
  </r>
  <r>
    <x v="561"/>
    <x v="57"/>
    <s v="A292908"/>
    <x v="10"/>
    <n v="5"/>
    <n v="1100"/>
    <m/>
    <x v="3"/>
  </r>
  <r>
    <x v="561"/>
    <x v="867"/>
    <s v="A246761"/>
    <x v="7"/>
    <n v="58"/>
    <n v="1100"/>
    <m/>
    <x v="3"/>
  </r>
  <r>
    <x v="561"/>
    <x v="61"/>
    <m/>
    <x v="11"/>
    <n v="0.3"/>
    <n v="54"/>
    <n v="56.7"/>
    <x v="3"/>
  </r>
  <r>
    <x v="561"/>
    <x v="62"/>
    <m/>
    <x v="2"/>
    <n v="1"/>
    <n v="260"/>
    <n v="273"/>
    <x v="3"/>
  </r>
  <r>
    <x v="561"/>
    <x v="62"/>
    <m/>
    <x v="0"/>
    <n v="1"/>
    <n v="230"/>
    <n v="241.5"/>
    <x v="3"/>
  </r>
  <r>
    <x v="561"/>
    <x v="63"/>
    <m/>
    <x v="0"/>
    <n v="1"/>
    <n v="115"/>
    <n v="120.75"/>
    <x v="3"/>
  </r>
  <r>
    <x v="561"/>
    <x v="682"/>
    <m/>
    <x v="2"/>
    <n v="4"/>
    <n v="980"/>
    <n v="1029"/>
    <x v="3"/>
  </r>
  <r>
    <x v="561"/>
    <x v="682"/>
    <m/>
    <x v="11"/>
    <n v="1"/>
    <n v="280"/>
    <n v="294"/>
    <x v="3"/>
  </r>
  <r>
    <x v="561"/>
    <x v="68"/>
    <s v="A241029"/>
    <x v="10"/>
    <n v="8"/>
    <n v="1430"/>
    <m/>
    <x v="3"/>
  </r>
  <r>
    <x v="561"/>
    <x v="68"/>
    <s v="A241029"/>
    <x v="9"/>
    <n v="1"/>
    <n v="190"/>
    <m/>
    <x v="3"/>
  </r>
  <r>
    <x v="561"/>
    <x v="99"/>
    <s v="A282344"/>
    <x v="10"/>
    <n v="5"/>
    <n v="950"/>
    <m/>
    <x v="3"/>
  </r>
  <r>
    <x v="561"/>
    <x v="217"/>
    <s v="A405052"/>
    <x v="2"/>
    <n v="1"/>
    <n v="350"/>
    <n v="367.5"/>
    <x v="3"/>
  </r>
  <r>
    <x v="561"/>
    <x v="304"/>
    <s v="A271046"/>
    <x v="2"/>
    <n v="1"/>
    <n v="240"/>
    <n v="252"/>
    <x v="3"/>
  </r>
  <r>
    <x v="561"/>
    <x v="32"/>
    <s v="A295591"/>
    <x v="10"/>
    <n v="5"/>
    <n v="1300"/>
    <m/>
    <x v="3"/>
  </r>
  <r>
    <x v="561"/>
    <x v="203"/>
    <s v="A240154"/>
    <x v="10"/>
    <n v="5"/>
    <n v="1200"/>
    <m/>
    <x v="3"/>
  </r>
  <r>
    <x v="561"/>
    <x v="287"/>
    <s v="A279810"/>
    <x v="8"/>
    <n v="5"/>
    <n v="900"/>
    <m/>
    <x v="3"/>
  </r>
  <r>
    <x v="561"/>
    <x v="287"/>
    <s v="A279810"/>
    <x v="9"/>
    <n v="2"/>
    <n v="360"/>
    <m/>
    <x v="3"/>
  </r>
  <r>
    <x v="562"/>
    <x v="350"/>
    <s v="A401491"/>
    <x v="2"/>
    <n v="20"/>
    <n v="1300"/>
    <n v="1365"/>
    <x v="3"/>
  </r>
  <r>
    <x v="562"/>
    <x v="156"/>
    <s v="A231705"/>
    <x v="2"/>
    <n v="50"/>
    <n v="4700"/>
    <n v="4935"/>
    <x v="3"/>
  </r>
  <r>
    <x v="562"/>
    <x v="51"/>
    <s v="A298567"/>
    <x v="2"/>
    <n v="150"/>
    <n v="8250"/>
    <n v="8662.5"/>
    <x v="3"/>
  </r>
  <r>
    <x v="562"/>
    <x v="434"/>
    <s v="A241908"/>
    <x v="2"/>
    <n v="5"/>
    <n v="500"/>
    <n v="525"/>
    <x v="3"/>
  </r>
  <r>
    <x v="562"/>
    <x v="166"/>
    <s v="A231706"/>
    <x v="2"/>
    <n v="5"/>
    <n v="400"/>
    <n v="420"/>
    <x v="3"/>
  </r>
  <r>
    <x v="562"/>
    <x v="656"/>
    <s v="A237612"/>
    <x v="2"/>
    <n v="35"/>
    <n v="2975"/>
    <n v="3123.75"/>
    <x v="3"/>
  </r>
  <r>
    <x v="562"/>
    <x v="14"/>
    <m/>
    <x v="2"/>
    <n v="30"/>
    <n v="1950"/>
    <n v="2047.5"/>
    <x v="3"/>
  </r>
  <r>
    <x v="563"/>
    <x v="353"/>
    <s v="A241990"/>
    <x v="6"/>
    <n v="25"/>
    <n v="2100"/>
    <m/>
    <x v="3"/>
  </r>
  <r>
    <x v="563"/>
    <x v="6"/>
    <s v="A270578"/>
    <x v="9"/>
    <n v="50"/>
    <n v="2500"/>
    <m/>
    <x v="3"/>
  </r>
  <r>
    <x v="563"/>
    <x v="8"/>
    <m/>
    <x v="8"/>
    <n v="12"/>
    <n v="6430"/>
    <m/>
    <x v="3"/>
  </r>
  <r>
    <x v="563"/>
    <x v="16"/>
    <s v="A241225"/>
    <x v="6"/>
    <n v="25"/>
    <n v="1750"/>
    <m/>
    <x v="3"/>
  </r>
  <r>
    <x v="563"/>
    <x v="228"/>
    <s v="A306319"/>
    <x v="1"/>
    <n v="10"/>
    <n v="650"/>
    <n v="682.5"/>
    <x v="3"/>
  </r>
  <r>
    <x v="563"/>
    <x v="10"/>
    <m/>
    <x v="10"/>
    <n v="20"/>
    <n v="1560"/>
    <m/>
    <x v="3"/>
  </r>
  <r>
    <x v="563"/>
    <x v="10"/>
    <m/>
    <x v="8"/>
    <n v="20"/>
    <n v="1560"/>
    <m/>
    <x v="3"/>
  </r>
  <r>
    <x v="563"/>
    <x v="10"/>
    <m/>
    <x v="9"/>
    <n v="20"/>
    <n v="1560"/>
    <m/>
    <x v="3"/>
  </r>
  <r>
    <x v="564"/>
    <x v="38"/>
    <s v="A273820"/>
    <x v="2"/>
    <n v="25"/>
    <n v="2125"/>
    <n v="2231.25"/>
    <x v="3"/>
  </r>
  <r>
    <x v="564"/>
    <x v="104"/>
    <s v="A235765"/>
    <x v="2"/>
    <n v="100"/>
    <n v="10650"/>
    <n v="11182.5"/>
    <x v="3"/>
  </r>
  <r>
    <x v="564"/>
    <x v="271"/>
    <s v="A401493"/>
    <x v="11"/>
    <n v="50"/>
    <n v="2250"/>
    <n v="2362.5"/>
    <x v="3"/>
  </r>
  <r>
    <x v="564"/>
    <x v="1134"/>
    <s v="A350528"/>
    <x v="2"/>
    <n v="50"/>
    <n v="4750"/>
    <n v="4987.5"/>
    <x v="3"/>
  </r>
  <r>
    <x v="564"/>
    <x v="1134"/>
    <s v="A350528"/>
    <x v="11"/>
    <n v="50"/>
    <n v="4750"/>
    <n v="4987.5"/>
    <x v="3"/>
  </r>
  <r>
    <x v="564"/>
    <x v="3"/>
    <s v="A331329"/>
    <x v="11"/>
    <n v="25"/>
    <n v="1000"/>
    <n v="1050"/>
    <x v="3"/>
  </r>
  <r>
    <x v="564"/>
    <x v="275"/>
    <s v="A271087"/>
    <x v="2"/>
    <n v="45"/>
    <n v="3870"/>
    <n v="4063.5"/>
    <x v="3"/>
  </r>
  <r>
    <x v="564"/>
    <x v="275"/>
    <s v="A271087"/>
    <x v="11"/>
    <n v="425"/>
    <n v="36550"/>
    <n v="38377.5"/>
    <x v="3"/>
  </r>
  <r>
    <x v="564"/>
    <x v="275"/>
    <s v="A271087"/>
    <x v="0"/>
    <n v="50"/>
    <n v="4250"/>
    <n v="4462.5"/>
    <x v="3"/>
  </r>
  <r>
    <x v="564"/>
    <x v="19"/>
    <s v="A233442"/>
    <x v="9"/>
    <n v="50"/>
    <n v="1800"/>
    <m/>
    <x v="3"/>
  </r>
  <r>
    <x v="564"/>
    <x v="247"/>
    <s v="A402013"/>
    <x v="11"/>
    <n v="75"/>
    <n v="3225"/>
    <n v="3386.25"/>
    <x v="3"/>
  </r>
  <r>
    <x v="564"/>
    <x v="203"/>
    <s v="A240154"/>
    <x v="11"/>
    <n v="25"/>
    <n v="3250"/>
    <n v="3412.5"/>
    <x v="3"/>
  </r>
  <r>
    <x v="564"/>
    <x v="422"/>
    <s v="A294408"/>
    <x v="11"/>
    <n v="1575"/>
    <n v="96300"/>
    <n v="101115"/>
    <x v="3"/>
  </r>
  <r>
    <x v="564"/>
    <x v="422"/>
    <s v="A294408"/>
    <x v="0"/>
    <n v="500"/>
    <n v="29000"/>
    <n v="30450"/>
    <x v="3"/>
  </r>
  <r>
    <x v="565"/>
    <x v="271"/>
    <s v="A401493"/>
    <x v="11"/>
    <n v="15"/>
    <n v="6750"/>
    <n v="7087.5"/>
    <x v="3"/>
  </r>
  <r>
    <x v="565"/>
    <x v="271"/>
    <s v="A401493"/>
    <x v="0"/>
    <n v="50"/>
    <n v="2250"/>
    <n v="2362.5"/>
    <x v="3"/>
  </r>
  <r>
    <x v="565"/>
    <x v="182"/>
    <s v="A275118"/>
    <x v="0"/>
    <n v="50"/>
    <n v="1500"/>
    <n v="1575"/>
    <x v="3"/>
  </r>
  <r>
    <x v="565"/>
    <x v="183"/>
    <s v="A275118"/>
    <x v="11"/>
    <n v="50"/>
    <n v="2250"/>
    <n v="2362.5"/>
    <x v="3"/>
  </r>
  <r>
    <x v="565"/>
    <x v="184"/>
    <s v="A299984"/>
    <x v="11"/>
    <n v="105"/>
    <n v="4725"/>
    <n v="4961.25"/>
    <x v="3"/>
  </r>
  <r>
    <x v="565"/>
    <x v="887"/>
    <s v="A403195"/>
    <x v="0"/>
    <n v="50"/>
    <n v="2250"/>
    <n v="2362.5"/>
    <x v="3"/>
  </r>
  <r>
    <x v="565"/>
    <x v="331"/>
    <s v="A318055"/>
    <x v="11"/>
    <n v="50"/>
    <n v="2250"/>
    <n v="2362.5"/>
    <x v="3"/>
  </r>
  <r>
    <x v="565"/>
    <x v="3"/>
    <s v="A331329"/>
    <x v="0"/>
    <n v="75"/>
    <n v="3000"/>
    <n v="3150"/>
    <x v="3"/>
  </r>
  <r>
    <x v="565"/>
    <x v="141"/>
    <s v="A249778"/>
    <x v="11"/>
    <n v="25"/>
    <n v="1150"/>
    <n v="1207.5"/>
    <x v="3"/>
  </r>
  <r>
    <x v="565"/>
    <x v="27"/>
    <s v="A242640"/>
    <x v="0"/>
    <n v="50"/>
    <n v="950"/>
    <n v="997.5"/>
    <x v="3"/>
  </r>
  <r>
    <x v="565"/>
    <x v="51"/>
    <s v="A298567"/>
    <x v="11"/>
    <n v="1105"/>
    <n v="20995"/>
    <n v="22044.75"/>
    <x v="3"/>
  </r>
  <r>
    <x v="565"/>
    <x v="51"/>
    <s v="A298567"/>
    <x v="0"/>
    <n v="275"/>
    <n v="5225"/>
    <n v="5486.25"/>
    <x v="3"/>
  </r>
  <r>
    <x v="565"/>
    <x v="196"/>
    <s v="A240864"/>
    <x v="11"/>
    <n v="5"/>
    <n v="450"/>
    <n v="472.5"/>
    <x v="3"/>
  </r>
  <r>
    <x v="565"/>
    <x v="95"/>
    <m/>
    <x v="11"/>
    <n v="25"/>
    <n v="2500"/>
    <n v="2625"/>
    <x v="3"/>
  </r>
  <r>
    <x v="565"/>
    <x v="658"/>
    <s v="A401488"/>
    <x v="11"/>
    <n v="5"/>
    <n v="150"/>
    <n v="157.5"/>
    <x v="3"/>
  </r>
  <r>
    <x v="565"/>
    <x v="97"/>
    <s v="A299992"/>
    <x v="0"/>
    <n v="50"/>
    <n v="2150"/>
    <n v="2257.5"/>
    <x v="3"/>
  </r>
  <r>
    <x v="565"/>
    <x v="344"/>
    <s v="A415791"/>
    <x v="11"/>
    <n v="150"/>
    <n v="4500"/>
    <n v="4725"/>
    <x v="3"/>
  </r>
  <r>
    <x v="565"/>
    <x v="215"/>
    <m/>
    <x v="11"/>
    <n v="50"/>
    <n v="4000"/>
    <n v="4200"/>
    <x v="3"/>
  </r>
  <r>
    <x v="565"/>
    <x v="215"/>
    <m/>
    <x v="0"/>
    <n v="50"/>
    <n v="4000"/>
    <n v="4200"/>
    <x v="3"/>
  </r>
  <r>
    <x v="565"/>
    <x v="304"/>
    <s v="A271046"/>
    <x v="11"/>
    <n v="1"/>
    <n v="90"/>
    <n v="94.5"/>
    <x v="3"/>
  </r>
  <r>
    <x v="565"/>
    <x v="335"/>
    <s v="A349425"/>
    <x v="11"/>
    <n v="1"/>
    <n v="130"/>
    <n v="136.5"/>
    <x v="3"/>
  </r>
  <r>
    <x v="565"/>
    <x v="203"/>
    <s v="A240154"/>
    <x v="11"/>
    <n v="1"/>
    <n v="130"/>
    <n v="136.5"/>
    <x v="3"/>
  </r>
  <r>
    <x v="565"/>
    <x v="203"/>
    <s v="A240154"/>
    <x v="0"/>
    <n v="25"/>
    <n v="3425"/>
    <n v="3596.25"/>
    <x v="3"/>
  </r>
  <r>
    <x v="565"/>
    <x v="422"/>
    <s v="A294408"/>
    <x v="11"/>
    <n v="100"/>
    <n v="6100"/>
    <n v="6405"/>
    <x v="3"/>
  </r>
  <r>
    <x v="565"/>
    <x v="422"/>
    <s v="A294408"/>
    <x v="0"/>
    <n v="100"/>
    <n v="6100"/>
    <n v="6405"/>
    <x v="3"/>
  </r>
  <r>
    <x v="566"/>
    <x v="206"/>
    <s v="A243962"/>
    <x v="5"/>
    <n v="25"/>
    <n v="5250"/>
    <m/>
    <x v="3"/>
  </r>
  <r>
    <x v="566"/>
    <x v="1135"/>
    <s v="A270632"/>
    <x v="4"/>
    <n v="10"/>
    <n v="2100"/>
    <m/>
    <x v="3"/>
  </r>
  <r>
    <x v="566"/>
    <x v="1135"/>
    <s v="A270632"/>
    <x v="5"/>
    <n v="25"/>
    <n v="5250"/>
    <m/>
    <x v="3"/>
  </r>
  <r>
    <x v="566"/>
    <x v="89"/>
    <s v="A259821"/>
    <x v="4"/>
    <n v="25"/>
    <n v="5875"/>
    <m/>
    <x v="3"/>
  </r>
  <r>
    <x v="566"/>
    <x v="89"/>
    <s v="A259821"/>
    <x v="5"/>
    <n v="25"/>
    <n v="5875"/>
    <m/>
    <x v="3"/>
  </r>
  <r>
    <x v="566"/>
    <x v="111"/>
    <s v="A257635"/>
    <x v="3"/>
    <n v="75"/>
    <n v="13875"/>
    <m/>
    <x v="3"/>
  </r>
  <r>
    <x v="566"/>
    <x v="111"/>
    <s v="A257635"/>
    <x v="4"/>
    <n v="150"/>
    <n v="28250"/>
    <m/>
    <x v="3"/>
  </r>
  <r>
    <x v="566"/>
    <x v="111"/>
    <s v="A257635"/>
    <x v="5"/>
    <n v="50"/>
    <n v="4750"/>
    <m/>
    <x v="3"/>
  </r>
  <r>
    <x v="566"/>
    <x v="112"/>
    <s v="A265729"/>
    <x v="4"/>
    <n v="70"/>
    <n v="14000"/>
    <m/>
    <x v="3"/>
  </r>
  <r>
    <x v="566"/>
    <x v="112"/>
    <s v="A265729"/>
    <x v="6"/>
    <n v="25"/>
    <n v="5000"/>
    <m/>
    <x v="3"/>
  </r>
  <r>
    <x v="566"/>
    <x v="1136"/>
    <s v="A284514"/>
    <x v="5"/>
    <n v="10"/>
    <n v="3200"/>
    <m/>
    <x v="3"/>
  </r>
  <r>
    <x v="566"/>
    <x v="1137"/>
    <s v="A250903"/>
    <x v="4"/>
    <n v="50"/>
    <n v="11000"/>
    <m/>
    <x v="3"/>
  </r>
  <r>
    <x v="566"/>
    <x v="1137"/>
    <s v="A250903"/>
    <x v="5"/>
    <n v="25"/>
    <n v="5500"/>
    <m/>
    <x v="3"/>
  </r>
  <r>
    <x v="566"/>
    <x v="190"/>
    <s v="A238187"/>
    <x v="4"/>
    <n v="20"/>
    <n v="4000"/>
    <m/>
    <x v="3"/>
  </r>
  <r>
    <x v="566"/>
    <x v="190"/>
    <s v="A238187"/>
    <x v="5"/>
    <n v="25"/>
    <n v="5000"/>
    <m/>
    <x v="3"/>
  </r>
  <r>
    <x v="566"/>
    <x v="754"/>
    <s v="A234434"/>
    <x v="4"/>
    <n v="20"/>
    <n v="4000"/>
    <m/>
    <x v="3"/>
  </r>
  <r>
    <x v="566"/>
    <x v="754"/>
    <s v="A234434"/>
    <x v="5"/>
    <n v="25"/>
    <n v="5000"/>
    <m/>
    <x v="3"/>
  </r>
  <r>
    <x v="566"/>
    <x v="1138"/>
    <s v="A239847"/>
    <x v="4"/>
    <n v="10"/>
    <n v="2200"/>
    <m/>
    <x v="3"/>
  </r>
  <r>
    <x v="566"/>
    <x v="1138"/>
    <s v="A239847"/>
    <x v="6"/>
    <n v="25"/>
    <n v="5500"/>
    <m/>
    <x v="3"/>
  </r>
  <r>
    <x v="566"/>
    <x v="1139"/>
    <s v="A273821"/>
    <x v="4"/>
    <n v="10"/>
    <n v="3260"/>
    <m/>
    <x v="3"/>
  </r>
  <r>
    <x v="566"/>
    <x v="477"/>
    <s v="A254534"/>
    <x v="3"/>
    <n v="5"/>
    <n v="825"/>
    <m/>
    <x v="3"/>
  </r>
  <r>
    <x v="566"/>
    <x v="1140"/>
    <s v="A243758"/>
    <x v="3"/>
    <n v="10"/>
    <n v="1800"/>
    <m/>
    <x v="3"/>
  </r>
  <r>
    <x v="566"/>
    <x v="968"/>
    <s v="A273819"/>
    <x v="5"/>
    <n v="10"/>
    <n v="2250"/>
    <m/>
    <x v="3"/>
  </r>
  <r>
    <x v="566"/>
    <x v="68"/>
    <s v="A241029"/>
    <x v="3"/>
    <n v="75"/>
    <n v="12440"/>
    <m/>
    <x v="3"/>
  </r>
  <r>
    <x v="566"/>
    <x v="68"/>
    <s v="A241029"/>
    <x v="4"/>
    <n v="125"/>
    <n v="23125"/>
    <m/>
    <x v="3"/>
  </r>
  <r>
    <x v="566"/>
    <x v="1141"/>
    <s v="A261053"/>
    <x v="4"/>
    <n v="25"/>
    <n v="5250"/>
    <m/>
    <x v="3"/>
  </r>
  <r>
    <x v="566"/>
    <x v="969"/>
    <s v="A281732"/>
    <x v="5"/>
    <n v="10"/>
    <n v="3200"/>
    <m/>
    <x v="3"/>
  </r>
  <r>
    <x v="566"/>
    <x v="1142"/>
    <s v="A261823"/>
    <x v="4"/>
    <n v="20"/>
    <n v="4000"/>
    <m/>
    <x v="3"/>
  </r>
  <r>
    <x v="549"/>
    <x v="274"/>
    <s v="P19035"/>
    <x v="11"/>
    <n v="40"/>
    <n v="6800"/>
    <n v="714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CC9B2-6E76-4782-839E-4455E9A2FE63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Item name and Year">
  <location ref="A3:C11" firstHeaderRow="0" firstDataRow="1" firstDataCol="1" rowPageCount="1" colPageCount="1"/>
  <pivotFields count="8">
    <pivotField axis="axisPage" showAll="0">
      <items count="568">
        <item x="0"/>
        <item x="1"/>
        <item x="6"/>
        <item x="7"/>
        <item x="8"/>
        <item x="9"/>
        <item x="10"/>
        <item x="11"/>
        <item x="12"/>
        <item x="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3"/>
        <item x="136"/>
        <item x="137"/>
        <item x="4"/>
        <item x="5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40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2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0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7"/>
        <item x="308"/>
        <item x="309"/>
        <item x="310"/>
        <item x="311"/>
        <item x="312"/>
        <item x="305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19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81"/>
        <item x="391"/>
        <item x="392"/>
        <item x="393"/>
        <item x="394"/>
        <item x="396"/>
        <item x="397"/>
        <item x="395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70"/>
        <item x="471"/>
        <item x="472"/>
        <item x="473"/>
        <item x="474"/>
        <item x="475"/>
        <item x="476"/>
        <item x="477"/>
        <item x="468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69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40"/>
        <item x="541"/>
        <item x="542"/>
        <item x="543"/>
        <item x="544"/>
        <item x="545"/>
        <item x="546"/>
        <item x="547"/>
        <item x="539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t="default"/>
      </items>
    </pivotField>
    <pivotField axis="axisRow" showAll="0">
      <items count="1144">
        <item x="84"/>
        <item x="719"/>
        <item x="85"/>
        <item x="544"/>
        <item x="86"/>
        <item sd="0" x="21"/>
        <item x="173"/>
        <item x="413"/>
        <item x="862"/>
        <item x="720"/>
        <item x="1021"/>
        <item x="545"/>
        <item x="868"/>
        <item x="205"/>
        <item x="1083"/>
        <item x="901"/>
        <item x="1105"/>
        <item x="704"/>
        <item x="470"/>
        <item x="1115"/>
        <item x="316"/>
        <item x="562"/>
        <item x="110"/>
        <item x="1121"/>
        <item x="511"/>
        <item x="512"/>
        <item x="513"/>
        <item x="514"/>
        <item x="856"/>
        <item x="684"/>
        <item x="361"/>
        <item x="515"/>
        <item x="601"/>
        <item x="423"/>
        <item x="516"/>
        <item x="517"/>
        <item x="35"/>
        <item x="396"/>
        <item x="721"/>
        <item x="143"/>
        <item x="87"/>
        <item x="36"/>
        <item x="254"/>
        <item x="846"/>
        <item sd="0" x="22"/>
        <item x="397"/>
        <item x="722"/>
        <item x="1026"/>
        <item x="144"/>
        <item x="1084"/>
        <item x="398"/>
        <item x="892"/>
        <item x="723"/>
        <item x="206"/>
        <item x="857"/>
        <item x="959"/>
        <item x="928"/>
        <item x="815"/>
        <item x="471"/>
        <item x="825"/>
        <item x="724"/>
        <item x="602"/>
        <item x="472"/>
        <item x="317"/>
        <item x="435"/>
        <item x="88"/>
        <item x="1011"/>
        <item x="269"/>
        <item x="232"/>
        <item x="1135"/>
        <item x="893"/>
        <item x="849"/>
        <item x="179"/>
        <item x="1098"/>
        <item x="1061"/>
        <item x="518"/>
        <item x="37"/>
        <item x="863"/>
        <item x="1001"/>
        <item x="519"/>
        <item x="222"/>
        <item x="725"/>
        <item x="927"/>
        <item x="145"/>
        <item x="387"/>
        <item x="953"/>
        <item x="603"/>
        <item x="417"/>
        <item x="362"/>
        <item x="363"/>
        <item x="851"/>
        <item x="186"/>
        <item x="563"/>
        <item x="726"/>
        <item x="576"/>
        <item x="727"/>
        <item x="402"/>
        <item x="180"/>
        <item x="604"/>
        <item x="581"/>
        <item x="587"/>
        <item x="473"/>
        <item x="490"/>
        <item sd="0" x="929"/>
        <item x="605"/>
        <item x="606"/>
        <item x="935"/>
        <item x="444"/>
        <item x="607"/>
        <item x="38"/>
        <item x="295"/>
        <item x="364"/>
        <item x="318"/>
        <item x="298"/>
        <item x="319"/>
        <item x="520"/>
        <item x="964"/>
        <item x="1002"/>
        <item sd="0" x="23"/>
        <item x="1116"/>
        <item x="1041"/>
        <item x="279"/>
        <item x="608"/>
        <item x="365"/>
        <item x="299"/>
        <item x="936"/>
        <item x="39"/>
        <item x="187"/>
        <item x="309"/>
        <item x="337"/>
        <item x="500"/>
        <item x="588"/>
        <item x="728"/>
        <item x="366"/>
        <item x="436"/>
        <item x="873"/>
        <item x="442"/>
        <item x="729"/>
        <item x="89"/>
        <item x="320"/>
        <item x="730"/>
        <item x="1132"/>
        <item x="609"/>
        <item x="111"/>
        <item x="284"/>
        <item x="1077"/>
        <item x="869"/>
        <item x="112"/>
        <item x="411"/>
        <item x="919"/>
        <item x="899"/>
        <item x="300"/>
        <item x="1003"/>
        <item x="864"/>
        <item x="923"/>
        <item x="495"/>
        <item x="924"/>
        <item x="460"/>
        <item x="967"/>
        <item x="1029"/>
        <item x="367"/>
        <item x="1051"/>
        <item x="280"/>
        <item x="858"/>
        <item x="125"/>
        <item x="731"/>
        <item x="1136"/>
        <item x="819"/>
        <item x="147"/>
        <item sd="0" x="2"/>
        <item x="732"/>
        <item x="1058"/>
        <item x="474"/>
        <item x="610"/>
        <item x="126"/>
        <item x="296"/>
        <item x="127"/>
        <item x="937"/>
        <item x="888"/>
        <item x="836"/>
        <item x="148"/>
        <item x="986"/>
        <item x="611"/>
        <item x="733"/>
        <item x="612"/>
        <item x="1095"/>
        <item x="938"/>
        <item x="703"/>
        <item x="149"/>
        <item x="734"/>
        <item x="1014"/>
        <item x="356"/>
        <item x="40"/>
        <item x="207"/>
        <item x="735"/>
        <item x="828"/>
        <item x="939"/>
        <item x="951"/>
        <item x="128"/>
        <item x="113"/>
        <item x="865"/>
        <item x="685"/>
        <item x="521"/>
        <item x="338"/>
        <item x="339"/>
        <item x="653"/>
        <item x="496"/>
        <item x="399"/>
        <item x="400"/>
        <item x="613"/>
        <item x="881"/>
        <item sd="0" x="340"/>
        <item x="1092"/>
        <item x="301"/>
        <item x="90"/>
        <item x="1030"/>
        <item x="255"/>
        <item x="1042"/>
        <item x="146"/>
        <item x="961"/>
        <item x="597"/>
        <item x="669"/>
        <item x="1124"/>
        <item sd="0" x="11"/>
        <item sd="0" x="233"/>
        <item x="737"/>
        <item x="281"/>
        <item x="1064"/>
        <item x="522"/>
        <item x="940"/>
        <item x="582"/>
        <item x="557"/>
        <item x="917"/>
        <item x="285"/>
        <item x="1065"/>
        <item x="738"/>
        <item x="150"/>
        <item x="941"/>
        <item x="570"/>
        <item x="221"/>
        <item x="860"/>
        <item x="256"/>
        <item x="571"/>
        <item x="983"/>
        <item x="523"/>
        <item x="321"/>
        <item x="389"/>
        <item x="368"/>
        <item x="739"/>
        <item sd="0" x="353"/>
        <item x="654"/>
        <item x="705"/>
        <item x="1085"/>
        <item x="740"/>
        <item x="41"/>
        <item x="847"/>
        <item x="257"/>
        <item x="741"/>
        <item x="670"/>
        <item x="686"/>
        <item x="671"/>
        <item x="564"/>
        <item x="322"/>
        <item x="270"/>
        <item x="323"/>
        <item x="1122"/>
        <item x="369"/>
        <item x="174"/>
        <item x="403"/>
        <item x="1100"/>
        <item x="414"/>
        <item x="229"/>
        <item x="882"/>
        <item sd="0" x="452"/>
        <item sd="0" x="1117"/>
        <item x="503"/>
        <item x="955"/>
        <item x="942"/>
        <item x="188"/>
        <item x="900"/>
        <item x="987"/>
        <item x="988"/>
        <item x="827"/>
        <item x="1023"/>
        <item x="717"/>
        <item x="718"/>
        <item x="1037"/>
        <item sd="0" x="104"/>
        <item x="129"/>
        <item x="1004"/>
        <item x="271"/>
        <item x="234"/>
        <item x="370"/>
        <item x="1046"/>
        <item x="524"/>
        <item x="742"/>
        <item x="1111"/>
        <item x="5"/>
        <item x="572"/>
        <item x="235"/>
        <item x="650"/>
        <item x="743"/>
        <item x="736"/>
        <item x="859"/>
        <item x="306"/>
        <item x="310"/>
        <item x="272"/>
        <item x="1005"/>
        <item x="660"/>
        <item x="700"/>
        <item sd="0" x="105"/>
        <item x="1050"/>
        <item x="439"/>
        <item x="614"/>
        <item x="744"/>
        <item x="745"/>
        <item x="493"/>
        <item x="918"/>
        <item x="208"/>
        <item x="746"/>
        <item x="525"/>
        <item x="747"/>
        <item x="748"/>
        <item x="540"/>
        <item x="912"/>
        <item x="324"/>
        <item x="1093"/>
        <item x="130"/>
        <item x="925"/>
        <item x="891"/>
        <item sd="0" x="1118"/>
        <item x="811"/>
        <item x="236"/>
        <item x="237"/>
        <item x="1101"/>
        <item x="615"/>
        <item x="258"/>
        <item x="325"/>
        <item x="311"/>
        <item x="749"/>
        <item x="750"/>
        <item x="1137"/>
        <item x="273"/>
        <item sd="0" x="0"/>
        <item x="277"/>
        <item x="1125"/>
        <item x="1015"/>
        <item x="989"/>
        <item x="616"/>
        <item x="42"/>
        <item x="751"/>
        <item x="501"/>
        <item x="617"/>
        <item x="475"/>
        <item x="189"/>
        <item x="526"/>
        <item x="1099"/>
        <item x="445"/>
        <item x="527"/>
        <item x="672"/>
        <item x="182"/>
        <item x="183"/>
        <item x="913"/>
        <item x="687"/>
        <item x="131"/>
        <item x="688"/>
        <item x="504"/>
        <item x="618"/>
        <item x="1067"/>
        <item x="1112"/>
        <item x="1066"/>
        <item x="649"/>
        <item x="1016"/>
        <item x="1062"/>
        <item x="982"/>
        <item x="91"/>
        <item x="619"/>
        <item x="565"/>
        <item x="689"/>
        <item x="458"/>
        <item x="43"/>
        <item x="566"/>
        <item x="884"/>
        <item x="371"/>
        <item x="372"/>
        <item x="326"/>
        <item x="151"/>
        <item x="175"/>
        <item x="589"/>
        <item x="406"/>
        <item x="528"/>
        <item x="132"/>
        <item x="690"/>
        <item x="1094"/>
        <item x="752"/>
        <item x="753"/>
        <item x="1020"/>
        <item x="894"/>
        <item x="812"/>
        <item x="546"/>
        <item x="461"/>
        <item x="661"/>
        <item x="190"/>
        <item x="754"/>
        <item x="373"/>
        <item x="278"/>
        <item x="266"/>
        <item x="620"/>
        <item x="861"/>
        <item x="701"/>
        <item x="755"/>
        <item x="826"/>
        <item x="691"/>
        <item x="548"/>
        <item x="692"/>
        <item x="114"/>
        <item sd="0" x="238"/>
        <item x="12"/>
        <item x="327"/>
        <item x="191"/>
        <item x="44"/>
        <item x="152"/>
        <item x="92"/>
        <item x="952"/>
        <item sd="0" x="24"/>
        <item sd="0" x="25"/>
        <item x="756"/>
        <item x="1056"/>
        <item x="990"/>
        <item sd="0" x="822"/>
        <item x="1106"/>
        <item x="341"/>
        <item x="874"/>
        <item x="453"/>
        <item x="673"/>
        <item x="898"/>
        <item x="915"/>
        <item x="6"/>
        <item x="374"/>
        <item x="814"/>
        <item x="599"/>
        <item x="15"/>
        <item x="890"/>
        <item x="1024"/>
        <item x="956"/>
        <item x="7"/>
        <item x="8"/>
        <item x="971"/>
        <item x="386"/>
        <item x="124"/>
        <item x="659"/>
        <item x="431"/>
        <item x="875"/>
        <item x="885"/>
        <item x="1017"/>
        <item x="674"/>
        <item x="1107"/>
        <item x="693"/>
        <item x="209"/>
        <item x="153"/>
        <item x="239"/>
        <item x="1009"/>
        <item x="1010"/>
        <item x="267"/>
        <item x="949"/>
        <item x="979"/>
        <item x="259"/>
        <item x="45"/>
        <item x="192"/>
        <item x="476"/>
        <item x="469"/>
        <item x="1038"/>
        <item x="554"/>
        <item x="837"/>
        <item x="288"/>
        <item x="328"/>
        <item x="210"/>
        <item x="302"/>
        <item sd="0" x="184"/>
        <item x="887"/>
        <item x="329"/>
        <item x="820"/>
        <item x="852"/>
        <item x="115"/>
        <item x="991"/>
        <item x="424"/>
        <item x="651"/>
        <item x="1138"/>
        <item x="621"/>
        <item x="46"/>
        <item x="757"/>
        <item x="920"/>
        <item x="579"/>
        <item sd="0" x="93"/>
        <item sd="0" x="350"/>
        <item x="838"/>
        <item x="1109"/>
        <item x="330"/>
        <item x="813"/>
        <item x="839"/>
        <item x="1128"/>
        <item x="1035"/>
        <item x="331"/>
        <item x="1000"/>
        <item x="425"/>
        <item x="598"/>
        <item x="193"/>
        <item x="758"/>
        <item x="529"/>
        <item x="759"/>
        <item x="905"/>
        <item x="1068"/>
        <item x="760"/>
        <item x="761"/>
        <item x="622"/>
        <item x="702"/>
        <item x="567"/>
        <item x="286"/>
        <item x="1078"/>
        <item x="762"/>
        <item x="47"/>
        <item x="1139"/>
        <item x="438"/>
        <item x="1039"/>
        <item x="675"/>
        <item x="446"/>
        <item x="763"/>
        <item x="289"/>
        <item x="558"/>
        <item x="559"/>
        <item x="154"/>
        <item x="930"/>
        <item x="1097"/>
        <item x="889"/>
        <item x="477"/>
        <item x="590"/>
        <item x="623"/>
        <item x="530"/>
        <item x="624"/>
        <item x="764"/>
        <item x="992"/>
        <item x="155"/>
        <item x="478"/>
        <item x="462"/>
        <item x="375"/>
        <item x="591"/>
        <item x="993"/>
        <item x="491"/>
        <item sd="0" x="26"/>
        <item sd="0" x="106"/>
        <item x="133"/>
        <item x="950"/>
        <item x="260"/>
        <item x="972"/>
        <item x="1006"/>
        <item x="662"/>
        <item x="261"/>
        <item x="1140"/>
        <item x="223"/>
        <item x="625"/>
        <item x="626"/>
        <item x="694"/>
        <item x="914"/>
        <item x="695"/>
        <item x="48"/>
        <item x="479"/>
        <item sd="0" x="156"/>
        <item x="342"/>
        <item x="290"/>
        <item x="1110"/>
        <item x="426"/>
        <item x="1134"/>
        <item x="902"/>
        <item x="502"/>
        <item x="943"/>
        <item x="1007"/>
        <item x="541"/>
        <item x="157"/>
        <item x="268"/>
        <item x="158"/>
        <item x="447"/>
        <item x="1043"/>
        <item x="159"/>
        <item x="866"/>
        <item x="840"/>
        <item x="844"/>
        <item x="440"/>
        <item x="876"/>
        <item x="463"/>
        <item x="274"/>
        <item x="427"/>
        <item x="49"/>
        <item x="376"/>
        <item x="134"/>
        <item x="542"/>
        <item x="505"/>
        <item x="492"/>
        <item sd="0" x="107"/>
        <item x="696"/>
        <item x="765"/>
        <item x="1079"/>
        <item x="627"/>
        <item sd="0" x="3"/>
        <item x="250"/>
        <item x="468"/>
        <item x="240"/>
        <item sd="0" x="141"/>
        <item x="1123"/>
        <item x="408"/>
        <item x="185"/>
        <item x="706"/>
        <item x="766"/>
        <item x="628"/>
        <item x="50"/>
        <item x="135"/>
        <item x="767"/>
        <item sd="0" x="16"/>
        <item x="676"/>
        <item x="230"/>
        <item x="241"/>
        <item x="1022"/>
        <item x="17"/>
        <item x="343"/>
        <item x="853"/>
        <item x="907"/>
        <item x="275"/>
        <item x="883"/>
        <item x="583"/>
        <item x="418"/>
        <item x="419"/>
        <item x="354"/>
        <item sd="0" x="27"/>
        <item sd="0" x="28"/>
        <item x="349"/>
        <item sd="0" x="4"/>
        <item x="494"/>
        <item sd="0" x="51"/>
        <item x="282"/>
        <item x="283"/>
        <item x="531"/>
        <item x="697"/>
        <item sd="0" x="394"/>
        <item x="768"/>
        <item x="142"/>
        <item x="946"/>
        <item x="931"/>
        <item x="377"/>
        <item x="895"/>
        <item x="416"/>
        <item x="926"/>
        <item x="681"/>
        <item x="312"/>
        <item x="242"/>
        <item sd="0" x="454"/>
        <item x="1102"/>
        <item x="480"/>
        <item x="53"/>
        <item x="947"/>
        <item x="769"/>
        <item x="54"/>
        <item x="910"/>
        <item x="1080"/>
        <item x="973"/>
        <item x="532"/>
        <item x="401"/>
        <item x="55"/>
        <item x="351"/>
        <item x="848"/>
        <item x="420"/>
        <item x="817"/>
        <item x="231"/>
        <item x="355"/>
        <item x="818"/>
        <item x="886"/>
        <item x="56"/>
        <item x="211"/>
        <item x="968"/>
        <item x="1018"/>
        <item x="459"/>
        <item x="1031"/>
        <item x="911"/>
        <item x="870"/>
        <item x="584"/>
        <item x="962"/>
        <item x="52"/>
        <item x="543"/>
        <item x="770"/>
        <item x="830"/>
        <item x="1082"/>
        <item x="437"/>
        <item x="332"/>
        <item x="896"/>
        <item x="94"/>
        <item x="378"/>
        <item x="291"/>
        <item x="533"/>
        <item x="116"/>
        <item x="481"/>
        <item x="771"/>
        <item x="829"/>
        <item x="629"/>
        <item x="482"/>
        <item x="994"/>
        <item x="772"/>
        <item x="677"/>
        <item x="630"/>
        <item x="194"/>
        <item x="467"/>
        <item sd="0" x="57"/>
        <item x="303"/>
        <item x="294"/>
        <item sd="0" x="29"/>
        <item x="921"/>
        <item x="379"/>
        <item x="906"/>
        <item x="464"/>
        <item x="58"/>
        <item x="59"/>
        <item x="944"/>
        <item x="867"/>
        <item x="871"/>
        <item x="773"/>
        <item x="932"/>
        <item x="412"/>
        <item x="60"/>
        <item x="61"/>
        <item x="62"/>
        <item x="63"/>
        <item x="682"/>
        <item x="774"/>
        <item x="1027"/>
        <item x="1032"/>
        <item x="916"/>
        <item x="313"/>
        <item x="631"/>
        <item x="1019"/>
        <item x="64"/>
        <item x="1089"/>
        <item x="568"/>
        <item x="262"/>
        <item x="995"/>
        <item x="775"/>
        <item x="65"/>
        <item x="465"/>
        <item x="632"/>
        <item x="984"/>
        <item x="633"/>
        <item x="634"/>
        <item x="415"/>
        <item x="117"/>
        <item x="776"/>
        <item x="777"/>
        <item x="778"/>
        <item x="779"/>
        <item x="780"/>
        <item x="160"/>
        <item x="592"/>
        <item x="1090"/>
        <item x="593"/>
        <item x="663"/>
        <item x="781"/>
        <item x="161"/>
        <item x="162"/>
        <item x="163"/>
        <item x="66"/>
        <item x="1086"/>
        <item x="455"/>
        <item x="782"/>
        <item x="635"/>
        <item x="534"/>
        <item x="1052"/>
        <item x="1053"/>
        <item x="877"/>
        <item x="1108"/>
        <item x="600"/>
        <item x="1045"/>
        <item x="292"/>
        <item x="67"/>
        <item x="636"/>
        <item x="68"/>
        <item x="195"/>
        <item x="196"/>
        <item x="965"/>
        <item x="314"/>
        <item x="1074"/>
        <item x="1044"/>
        <item x="569"/>
        <item sd="0" x="30"/>
        <item x="707"/>
        <item x="637"/>
        <item x="841"/>
        <item x="708"/>
        <item x="409"/>
        <item x="958"/>
        <item x="506"/>
        <item x="709"/>
        <item x="574"/>
        <item x="225"/>
        <item x="1076"/>
        <item x="434"/>
        <item x="985"/>
        <item x="212"/>
        <item x="95"/>
        <item x="954"/>
        <item x="783"/>
        <item x="960"/>
        <item x="164"/>
        <item x="213"/>
        <item x="664"/>
        <item x="560"/>
        <item x="555"/>
        <item x="816"/>
        <item x="784"/>
        <item x="831"/>
        <item x="665"/>
        <item x="549"/>
        <item x="69"/>
        <item x="497"/>
        <item x="421"/>
        <item x="821"/>
        <item x="333"/>
        <item x="70"/>
        <item x="165"/>
        <item x="638"/>
        <item x="498"/>
        <item sd="0" x="655"/>
        <item x="293"/>
        <item sd="0" x="263"/>
        <item x="785"/>
        <item x="698"/>
        <item x="974"/>
        <item x="975"/>
        <item x="963"/>
        <item x="1040"/>
        <item x="976"/>
        <item x="251"/>
        <item x="550"/>
        <item x="1119"/>
        <item x="1131"/>
        <item x="1033"/>
        <item x="243"/>
        <item x="710"/>
        <item x="228"/>
        <item x="854"/>
        <item x="711"/>
        <item sd="0" x="712"/>
        <item x="9"/>
        <item x="390"/>
        <item x="380"/>
        <item x="176"/>
        <item x="842"/>
        <item x="786"/>
        <item x="214"/>
        <item x="357"/>
        <item x="658"/>
        <item x="404"/>
        <item x="787"/>
        <item x="788"/>
        <item x="1069"/>
        <item x="1141"/>
        <item x="789"/>
        <item x="118"/>
        <item x="790"/>
        <item x="945"/>
        <item x="666"/>
        <item x="1070"/>
        <item x="699"/>
        <item x="667"/>
        <item x="483"/>
        <item x="71"/>
        <item x="594"/>
        <item x="981"/>
        <item x="948"/>
        <item x="72"/>
        <item x="561"/>
        <item x="713"/>
        <item sd="0" x="13"/>
        <item x="456"/>
        <item x="535"/>
        <item x="334"/>
        <item x="897"/>
        <item x="507"/>
        <item x="595"/>
        <item x="1091"/>
        <item x="428"/>
        <item x="791"/>
        <item x="639"/>
        <item x="1113"/>
        <item x="792"/>
        <item x="457"/>
        <item x="410"/>
        <item x="933"/>
        <item x="640"/>
        <item x="264"/>
        <item x="536"/>
        <item sd="0" x="177"/>
        <item x="1054"/>
        <item x="73"/>
        <item x="443"/>
        <item x="1063"/>
        <item x="197"/>
        <item x="1034"/>
        <item x="136"/>
        <item x="96"/>
        <item x="97"/>
        <item x="74"/>
        <item x="1071"/>
        <item x="996"/>
        <item x="641"/>
        <item x="98"/>
        <item x="448"/>
        <item x="1025"/>
        <item x="1047"/>
        <item x="537"/>
        <item sd="0" x="166"/>
        <item sd="0" x="344"/>
        <item x="358"/>
        <item x="1059"/>
        <item x="934"/>
        <item x="167"/>
        <item x="244"/>
        <item x="224"/>
        <item x="245"/>
        <item x="215"/>
        <item x="246"/>
        <item x="198"/>
        <item x="252"/>
        <item x="878"/>
        <item x="1103"/>
        <item x="199"/>
        <item x="200"/>
        <item x="201"/>
        <item x="181"/>
        <item x="538"/>
        <item x="715"/>
        <item x="359"/>
        <item x="449"/>
        <item x="276"/>
        <item x="793"/>
        <item x="596"/>
        <item x="1028"/>
        <item x="1049"/>
        <item x="381"/>
        <item x="966"/>
        <item x="656"/>
        <item x="547"/>
        <item x="216"/>
        <item x="137"/>
        <item x="315"/>
        <item x="405"/>
        <item x="794"/>
        <item x="99"/>
        <item x="499"/>
        <item x="429"/>
        <item x="138"/>
        <item x="202"/>
        <item x="980"/>
        <item x="484"/>
        <item x="539"/>
        <item x="795"/>
        <item x="796"/>
        <item x="217"/>
        <item x="485"/>
        <item x="578"/>
        <item x="797"/>
        <item x="119"/>
        <item x="352"/>
        <item x="218"/>
        <item x="75"/>
        <item x="120"/>
        <item x="798"/>
        <item x="642"/>
        <item x="1133"/>
        <item x="652"/>
        <item x="139"/>
        <item sd="0" x="508"/>
        <item x="360"/>
        <item x="304"/>
        <item sd="0" x="31"/>
        <item x="335"/>
        <item x="219"/>
        <item x="297"/>
        <item sd="0" x="714"/>
        <item x="799"/>
        <item sd="0" x="32"/>
        <item x="903"/>
        <item x="168"/>
        <item x="1087"/>
        <item x="1055"/>
        <item x="556"/>
        <item x="800"/>
        <item x="100"/>
        <item x="957"/>
        <item x="1126"/>
        <item x="18"/>
        <item x="432"/>
        <item x="573"/>
        <item x="388"/>
        <item x="1127"/>
        <item x="123"/>
        <item x="1060"/>
        <item x="1120"/>
        <item x="10"/>
        <item x="810"/>
        <item x="433"/>
        <item x="486"/>
        <item x="551"/>
        <item sd="0" x="33"/>
        <item sd="0" x="108"/>
        <item x="305"/>
        <item x="552"/>
        <item x="509"/>
        <item x="879"/>
        <item x="1130"/>
        <item x="510"/>
        <item x="101"/>
        <item x="76"/>
        <item x="226"/>
        <item x="678"/>
        <item x="997"/>
        <item x="1104"/>
        <item x="382"/>
        <item x="801"/>
        <item sd="0" x="19"/>
        <item x="908"/>
        <item x="909"/>
        <item x="247"/>
        <item x="391"/>
        <item x="20"/>
        <item x="1096"/>
        <item x="383"/>
        <item x="643"/>
        <item x="802"/>
        <item x="345"/>
        <item x="585"/>
        <item x="441"/>
        <item x="1048"/>
        <item x="679"/>
        <item x="248"/>
        <item x="249"/>
        <item x="203"/>
        <item x="803"/>
        <item x="683"/>
        <item x="395"/>
        <item x="336"/>
        <item x="169"/>
        <item x="77"/>
        <item x="824"/>
        <item x="904"/>
        <item x="832"/>
        <item x="422"/>
        <item x="308"/>
        <item x="880"/>
        <item sd="0" x="14"/>
        <item x="1129"/>
        <item x="657"/>
        <item x="1075"/>
        <item x="804"/>
        <item x="307"/>
        <item x="430"/>
        <item x="1012"/>
        <item x="805"/>
        <item x="644"/>
        <item x="1072"/>
        <item sd="0" x="109"/>
        <item x="140"/>
        <item x="806"/>
        <item x="487"/>
        <item x="1073"/>
        <item x="833"/>
        <item x="834"/>
        <item x="1088"/>
        <item x="227"/>
        <item x="204"/>
        <item x="577"/>
        <item x="855"/>
        <item x="645"/>
        <item x="265"/>
        <item x="1081"/>
        <item x="102"/>
        <item x="450"/>
        <item sd="0" x="34"/>
        <item x="1057"/>
        <item x="170"/>
        <item x="466"/>
        <item x="668"/>
        <item x="680"/>
        <item x="807"/>
        <item x="646"/>
        <item x="647"/>
        <item x="287"/>
        <item x="648"/>
        <item x="171"/>
        <item x="392"/>
        <item x="346"/>
        <item x="1013"/>
        <item x="178"/>
        <item x="253"/>
        <item x="393"/>
        <item x="103"/>
        <item x="347"/>
        <item x="586"/>
        <item x="553"/>
        <item x="121"/>
        <item x="488"/>
        <item x="808"/>
        <item x="998"/>
        <item x="407"/>
        <item x="977"/>
        <item x="978"/>
        <item x="872"/>
        <item x="78"/>
        <item x="348"/>
        <item x="922"/>
        <item x="716"/>
        <item x="850"/>
        <item x="1114"/>
        <item x="823"/>
        <item x="79"/>
        <item x="384"/>
        <item x="580"/>
        <item x="80"/>
        <item x="969"/>
        <item x="970"/>
        <item x="1008"/>
        <item x="451"/>
        <item x="220"/>
        <item x="81"/>
        <item sd="0" x="1"/>
        <item x="845"/>
        <item x="1142"/>
        <item x="82"/>
        <item x="835"/>
        <item x="999"/>
        <item x="1036"/>
        <item x="83"/>
        <item x="575"/>
        <item x="809"/>
        <item x="172"/>
        <item x="843"/>
        <item x="385"/>
        <item x="489"/>
        <item x="122"/>
        <item t="default"/>
      </items>
    </pivotField>
    <pivotField showAll="0"/>
    <pivotField axis="axisRow" showAll="0" sortType="descending">
      <items count="14">
        <item x="0"/>
        <item x="11"/>
        <item x="2"/>
        <item x="1"/>
        <item x="9"/>
        <item x="8"/>
        <item x="10"/>
        <item x="7"/>
        <item x="6"/>
        <item x="5"/>
        <item x="4"/>
        <item x="3"/>
        <item x="12"/>
        <item t="default"/>
      </items>
    </pivotField>
    <pivotField dataField="1" numFmtId="4" showAll="0"/>
    <pivotField showAll="0"/>
    <pivotField dataField="1" showAll="0"/>
    <pivotField showAll="0">
      <items count="107">
        <item x="71"/>
        <item x="21"/>
        <item x="89"/>
        <item x="88"/>
        <item x="27"/>
        <item x="24"/>
        <item x="10"/>
        <item x="19"/>
        <item x="78"/>
        <item x="91"/>
        <item x="79"/>
        <item x="51"/>
        <item x="8"/>
        <item x="66"/>
        <item x="53"/>
        <item x="47"/>
        <item x="97"/>
        <item x="46"/>
        <item x="25"/>
        <item x="17"/>
        <item x="4"/>
        <item x="102"/>
        <item x="45"/>
        <item x="83"/>
        <item x="9"/>
        <item x="99"/>
        <item x="18"/>
        <item x="37"/>
        <item x="7"/>
        <item x="81"/>
        <item x="57"/>
        <item x="75"/>
        <item x="28"/>
        <item x="77"/>
        <item x="58"/>
        <item x="63"/>
        <item x="103"/>
        <item x="101"/>
        <item x="26"/>
        <item x="55"/>
        <item x="16"/>
        <item x="104"/>
        <item x="0"/>
        <item x="93"/>
        <item x="59"/>
        <item x="82"/>
        <item x="20"/>
        <item x="105"/>
        <item x="36"/>
        <item x="94"/>
        <item x="52"/>
        <item x="14"/>
        <item x="54"/>
        <item x="22"/>
        <item x="39"/>
        <item x="1"/>
        <item x="86"/>
        <item x="40"/>
        <item x="90"/>
        <item x="76"/>
        <item x="35"/>
        <item x="61"/>
        <item x="56"/>
        <item x="100"/>
        <item x="96"/>
        <item x="68"/>
        <item x="80"/>
        <item x="70"/>
        <item x="69"/>
        <item x="48"/>
        <item x="6"/>
        <item x="98"/>
        <item x="31"/>
        <item x="84"/>
        <item x="92"/>
        <item x="23"/>
        <item x="42"/>
        <item x="62"/>
        <item x="32"/>
        <item x="33"/>
        <item x="95"/>
        <item x="72"/>
        <item x="74"/>
        <item x="73"/>
        <item x="12"/>
        <item x="13"/>
        <item x="38"/>
        <item x="50"/>
        <item x="29"/>
        <item x="2"/>
        <item x="15"/>
        <item x="49"/>
        <item x="85"/>
        <item x="41"/>
        <item x="44"/>
        <item x="34"/>
        <item x="60"/>
        <item x="43"/>
        <item x="5"/>
        <item x="65"/>
        <item x="64"/>
        <item x="87"/>
        <item x="30"/>
        <item x="67"/>
        <item x="11"/>
        <item x="3"/>
        <item t="default"/>
      </items>
    </pivotField>
  </pivotFields>
  <rowFields count="2">
    <field x="1"/>
    <field x="3"/>
  </rowFields>
  <rowItems count="8">
    <i>
      <x v="287"/>
    </i>
    <i>
      <x v="310"/>
    </i>
    <i>
      <x v="549"/>
    </i>
    <i>
      <x v="597"/>
    </i>
    <i>
      <x v="708"/>
    </i>
    <i>
      <x v="1008"/>
    </i>
    <i>
      <x v="1064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6" hier="-1"/>
  </pageFields>
  <dataFields count="2">
    <dataField name="Quantity Supplied (In Kg)" fld="4" baseField="1" baseItem="5"/>
    <dataField name="Value Generated (In AED)" fld="6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alesDetail" displayName="SalesDetail" ref="A1:H8915" totalsRowShown="0">
  <autoFilter ref="A1:H8915" xr:uid="{00000000-0009-0000-0100-000004000000}"/>
  <tableColumns count="8">
    <tableColumn id="1" xr3:uid="{00000000-0010-0000-0000-000001000000}" name="Customer"/>
    <tableColumn id="2" xr3:uid="{00000000-0010-0000-0000-000002000000}" name="Product"/>
    <tableColumn id="3" xr3:uid="{00000000-0010-0000-0000-000003000000}" name="Product Code"/>
    <tableColumn id="4" xr3:uid="{00000000-0010-0000-0000-000004000000}" name="Year"/>
    <tableColumn id="5" xr3:uid="{00000000-0010-0000-0000-000005000000}" name="Quantity (KG)"/>
    <tableColumn id="6" xr3:uid="{00000000-0010-0000-0000-000006000000}" name="Sales (AED, Ex VAT)"/>
    <tableColumn id="7" xr3:uid="{00000000-0010-0000-0000-000007000000}" name="Sales (AED, Incl VAT)"/>
    <tableColumn id="8" xr3:uid="{00000000-0010-0000-0000-000008000000}" name="Formula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YearSummary" displayName="CustomerYearSummary" ref="A1:O570" totalsRowShown="0">
  <autoFilter ref="A1:O570" xr:uid="{00000000-0009-0000-0100-000002000000}"/>
  <sortState xmlns:xlrd2="http://schemas.microsoft.com/office/spreadsheetml/2017/richdata2" ref="A2:O569">
    <sortCondition descending="1" ref="O1:O569"/>
  </sortState>
  <tableColumns count="15">
    <tableColumn id="1" xr3:uid="{00000000-0010-0000-0100-000001000000}" name="Customer"/>
    <tableColumn id="2" xr3:uid="{00000000-0010-0000-0100-000002000000}" name="2009"/>
    <tableColumn id="3" xr3:uid="{00000000-0010-0000-0100-000003000000}" name="2010"/>
    <tableColumn id="4" xr3:uid="{00000000-0010-0000-0100-000004000000}" name="2011"/>
    <tableColumn id="5" xr3:uid="{00000000-0010-0000-0100-000005000000}" name="2012"/>
    <tableColumn id="6" xr3:uid="{00000000-0010-0000-0100-000006000000}" name="2013"/>
    <tableColumn id="7" xr3:uid="{00000000-0010-0000-0100-000007000000}" name="2014"/>
    <tableColumn id="8" xr3:uid="{00000000-0010-0000-0100-000008000000}" name="2015"/>
    <tableColumn id="9" xr3:uid="{00000000-0010-0000-0100-000009000000}" name="2016"/>
    <tableColumn id="10" xr3:uid="{00000000-0010-0000-0100-00000A000000}" name="2017"/>
    <tableColumn id="11" xr3:uid="{00000000-0010-0000-0100-00000B000000}" name="2018"/>
    <tableColumn id="12" xr3:uid="{00000000-0010-0000-0100-00000C000000}" name="2019"/>
    <tableColumn id="13" xr3:uid="{00000000-0010-0000-0100-00000D000000}" name="2020"/>
    <tableColumn id="14" xr3:uid="{00000000-0010-0000-0100-00000E000000}" name="2021 (thru May)"/>
    <tableColumn id="15" xr3:uid="{00000000-0010-0000-0100-00000F000000}" name="Tot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CustomerProductSummary" displayName="CustomerProductSummary" ref="A1:G5631" totalsRowShown="0">
  <autoFilter ref="A1:G5631" xr:uid="{00000000-0009-0000-0100-000001000000}"/>
  <sortState xmlns:xlrd2="http://schemas.microsoft.com/office/spreadsheetml/2017/richdata2" ref="A2:G5631">
    <sortCondition descending="1" ref="D1:D5631"/>
  </sortState>
  <tableColumns count="7">
    <tableColumn id="1" xr3:uid="{00000000-0010-0000-0200-000001000000}" name="Customer"/>
    <tableColumn id="2" xr3:uid="{00000000-0010-0000-0200-000002000000}" name="Product"/>
    <tableColumn id="3" xr3:uid="{00000000-0010-0000-0200-000003000000}" name="Product Code"/>
    <tableColumn id="4" xr3:uid="{00000000-0010-0000-0200-000004000000}" name="Total Quantity (KG, all years)"/>
    <tableColumn id="5" xr3:uid="{00000000-0010-0000-0200-000005000000}" name="First Year Supplied"/>
    <tableColumn id="6" xr3:uid="{00000000-0010-0000-0200-000006000000}" name="Last Year Supplied"/>
    <tableColumn id="7" xr3:uid="{00000000-0010-0000-0200-000007000000}" name="Formula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Formulations" displayName="Formulations" ref="A1:C427" totalsRowShown="0">
  <autoFilter ref="A1:C427" xr:uid="{00000000-0009-0000-0100-000003000000}"/>
  <tableColumns count="3">
    <tableColumn id="1" xr3:uid="{00000000-0010-0000-0300-000001000000}" name="Product"/>
    <tableColumn id="2" xr3:uid="{00000000-0010-0000-0300-000002000000}" name="Product Code"/>
    <tableColumn id="3" xr3:uid="{00000000-0010-0000-0300-000003000000}" name="Formul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B843-5B58-4BF5-9082-BE4821953259}">
  <dimension ref="A1:C12"/>
  <sheetViews>
    <sheetView tabSelected="1" workbookViewId="0">
      <selection activeCell="A8" sqref="A8"/>
    </sheetView>
  </sheetViews>
  <sheetFormatPr defaultRowHeight="14.4" x14ac:dyDescent="0.3"/>
  <cols>
    <col min="1" max="1" width="20.33203125" bestFit="1" customWidth="1"/>
    <col min="2" max="2" width="29.77734375" bestFit="1" customWidth="1"/>
    <col min="3" max="3" width="22.6640625" style="11" bestFit="1" customWidth="1"/>
    <col min="4" max="4" width="32.5546875" bestFit="1" customWidth="1"/>
    <col min="5" max="5" width="24" bestFit="1" customWidth="1"/>
    <col min="6" max="6" width="25.6640625" bestFit="1" customWidth="1"/>
    <col min="7" max="7" width="37.77734375" bestFit="1" customWidth="1"/>
    <col min="8" max="8" width="29" bestFit="1" customWidth="1"/>
    <col min="9" max="9" width="23.88671875" bestFit="1" customWidth="1"/>
    <col min="10" max="10" width="42.77734375" bestFit="1" customWidth="1"/>
    <col min="11" max="11" width="13.5546875" bestFit="1" customWidth="1"/>
    <col min="12" max="12" width="29.109375" bestFit="1" customWidth="1"/>
    <col min="13" max="13" width="35.77734375" bestFit="1" customWidth="1"/>
    <col min="14" max="14" width="20" bestFit="1" customWidth="1"/>
    <col min="15" max="15" width="21.5546875" bestFit="1" customWidth="1"/>
    <col min="16" max="16" width="46.6640625" bestFit="1" customWidth="1"/>
    <col min="17" max="17" width="19.6640625" bestFit="1" customWidth="1"/>
    <col min="18" max="18" width="30.21875" bestFit="1" customWidth="1"/>
    <col min="19" max="19" width="16.88671875" bestFit="1" customWidth="1"/>
    <col min="20" max="20" width="24.88671875" bestFit="1" customWidth="1"/>
    <col min="21" max="21" width="17.44140625" bestFit="1" customWidth="1"/>
    <col min="22" max="22" width="17.21875" bestFit="1" customWidth="1"/>
    <col min="23" max="23" width="7.109375" bestFit="1" customWidth="1"/>
    <col min="24" max="24" width="15" bestFit="1" customWidth="1"/>
    <col min="25" max="25" width="16.109375" bestFit="1" customWidth="1"/>
    <col min="26" max="26" width="28.33203125" bestFit="1" customWidth="1"/>
    <col min="27" max="27" width="13.109375" bestFit="1" customWidth="1"/>
    <col min="28" max="28" width="31.44140625" bestFit="1" customWidth="1"/>
    <col min="29" max="29" width="29.5546875" bestFit="1" customWidth="1"/>
    <col min="30" max="30" width="16.44140625" bestFit="1" customWidth="1"/>
    <col min="31" max="31" width="12.5546875" bestFit="1" customWidth="1"/>
    <col min="32" max="32" width="18.77734375" bestFit="1" customWidth="1"/>
    <col min="33" max="33" width="40.5546875" bestFit="1" customWidth="1"/>
    <col min="34" max="34" width="45.33203125" bestFit="1" customWidth="1"/>
    <col min="35" max="35" width="35.6640625" bestFit="1" customWidth="1"/>
    <col min="36" max="36" width="23.77734375" bestFit="1" customWidth="1"/>
    <col min="37" max="37" width="13.88671875" bestFit="1" customWidth="1"/>
    <col min="38" max="38" width="34.6640625" bestFit="1" customWidth="1"/>
    <col min="39" max="39" width="28.33203125" bestFit="1" customWidth="1"/>
    <col min="40" max="40" width="56" bestFit="1" customWidth="1"/>
    <col min="41" max="41" width="41.44140625" bestFit="1" customWidth="1"/>
    <col min="42" max="42" width="32" bestFit="1" customWidth="1"/>
    <col min="43" max="43" width="30" bestFit="1" customWidth="1"/>
    <col min="44" max="44" width="27.109375" bestFit="1" customWidth="1"/>
    <col min="45" max="45" width="18.21875" bestFit="1" customWidth="1"/>
    <col min="46" max="46" width="28.6640625" bestFit="1" customWidth="1"/>
    <col min="47" max="47" width="28" bestFit="1" customWidth="1"/>
    <col min="48" max="48" width="19.44140625" bestFit="1" customWidth="1"/>
    <col min="49" max="49" width="15.77734375" bestFit="1" customWidth="1"/>
    <col min="50" max="50" width="19.88671875" bestFit="1" customWidth="1"/>
    <col min="51" max="51" width="16.5546875" bestFit="1" customWidth="1"/>
    <col min="52" max="52" width="22" bestFit="1" customWidth="1"/>
    <col min="53" max="53" width="21" bestFit="1" customWidth="1"/>
    <col min="54" max="54" width="12.88671875" bestFit="1" customWidth="1"/>
    <col min="55" max="55" width="39.44140625" bestFit="1" customWidth="1"/>
    <col min="56" max="56" width="29.88671875" bestFit="1" customWidth="1"/>
    <col min="57" max="57" width="28.77734375" bestFit="1" customWidth="1"/>
    <col min="58" max="58" width="25.5546875" bestFit="1" customWidth="1"/>
    <col min="59" max="59" width="26.88671875" bestFit="1" customWidth="1"/>
    <col min="60" max="60" width="24.109375" bestFit="1" customWidth="1"/>
    <col min="61" max="61" width="33.77734375" bestFit="1" customWidth="1"/>
    <col min="62" max="62" width="27" bestFit="1" customWidth="1"/>
    <col min="63" max="63" width="57.21875" bestFit="1" customWidth="1"/>
    <col min="64" max="64" width="19.44140625" bestFit="1" customWidth="1"/>
    <col min="65" max="65" width="27.44140625" bestFit="1" customWidth="1"/>
    <col min="66" max="66" width="40.21875" bestFit="1" customWidth="1"/>
    <col min="67" max="67" width="17.33203125" bestFit="1" customWidth="1"/>
    <col min="68" max="68" width="31.33203125" bestFit="1" customWidth="1"/>
    <col min="69" max="69" width="10.109375" bestFit="1" customWidth="1"/>
    <col min="70" max="70" width="31.44140625" bestFit="1" customWidth="1"/>
    <col min="71" max="71" width="40" bestFit="1" customWidth="1"/>
    <col min="72" max="72" width="17" bestFit="1" customWidth="1"/>
    <col min="73" max="73" width="17.6640625" bestFit="1" customWidth="1"/>
    <col min="74" max="74" width="18.21875" bestFit="1" customWidth="1"/>
    <col min="75" max="75" width="53.6640625" bestFit="1" customWidth="1"/>
    <col min="76" max="76" width="26.77734375" bestFit="1" customWidth="1"/>
    <col min="77" max="77" width="15.109375" bestFit="1" customWidth="1"/>
    <col min="78" max="78" width="16.21875" bestFit="1" customWidth="1"/>
    <col min="79" max="79" width="23.77734375" bestFit="1" customWidth="1"/>
    <col min="80" max="80" width="31.6640625" bestFit="1" customWidth="1"/>
    <col min="81" max="81" width="16" bestFit="1" customWidth="1"/>
    <col min="82" max="82" width="19.109375" bestFit="1" customWidth="1"/>
    <col min="83" max="83" width="38.33203125" bestFit="1" customWidth="1"/>
    <col min="84" max="84" width="14" bestFit="1" customWidth="1"/>
    <col min="85" max="85" width="31.109375" bestFit="1" customWidth="1"/>
    <col min="86" max="86" width="16.44140625" bestFit="1" customWidth="1"/>
    <col min="87" max="87" width="42.109375" bestFit="1" customWidth="1"/>
    <col min="88" max="88" width="27.6640625" bestFit="1" customWidth="1"/>
    <col min="89" max="89" width="17" bestFit="1" customWidth="1"/>
    <col min="90" max="90" width="32.6640625" bestFit="1" customWidth="1"/>
    <col min="91" max="91" width="18.77734375" bestFit="1" customWidth="1"/>
    <col min="92" max="92" width="24" bestFit="1" customWidth="1"/>
    <col min="93" max="93" width="27.21875" bestFit="1" customWidth="1"/>
    <col min="94" max="94" width="29.6640625" bestFit="1" customWidth="1"/>
    <col min="95" max="95" width="36.88671875" bestFit="1" customWidth="1"/>
    <col min="96" max="96" width="18.33203125" bestFit="1" customWidth="1"/>
    <col min="97" max="97" width="24.88671875" bestFit="1" customWidth="1"/>
    <col min="98" max="98" width="19.109375" bestFit="1" customWidth="1"/>
    <col min="99" max="99" width="21.33203125" bestFit="1" customWidth="1"/>
    <col min="100" max="100" width="22" bestFit="1" customWidth="1"/>
    <col min="101" max="101" width="28.5546875" bestFit="1" customWidth="1"/>
    <col min="102" max="102" width="22.33203125" bestFit="1" customWidth="1"/>
    <col min="103" max="103" width="18.88671875" bestFit="1" customWidth="1"/>
    <col min="104" max="104" width="38.77734375" bestFit="1" customWidth="1"/>
    <col min="105" max="105" width="39.88671875" bestFit="1" customWidth="1"/>
    <col min="106" max="106" width="22.109375" bestFit="1" customWidth="1"/>
    <col min="107" max="107" width="26" bestFit="1" customWidth="1"/>
    <col min="108" max="108" width="30.44140625" bestFit="1" customWidth="1"/>
    <col min="109" max="109" width="25.44140625" bestFit="1" customWidth="1"/>
    <col min="110" max="110" width="16.33203125" bestFit="1" customWidth="1"/>
    <col min="111" max="111" width="10.33203125" bestFit="1" customWidth="1"/>
    <col min="112" max="112" width="22.109375" bestFit="1" customWidth="1"/>
    <col min="113" max="113" width="19.44140625" bestFit="1" customWidth="1"/>
    <col min="114" max="114" width="22.33203125" bestFit="1" customWidth="1"/>
    <col min="115" max="115" width="35.77734375" bestFit="1" customWidth="1"/>
    <col min="116" max="116" width="23.5546875" bestFit="1" customWidth="1"/>
    <col min="117" max="117" width="27.33203125" bestFit="1" customWidth="1"/>
    <col min="118" max="118" width="20.33203125" bestFit="1" customWidth="1"/>
    <col min="119" max="119" width="17.21875" bestFit="1" customWidth="1"/>
    <col min="120" max="120" width="32.5546875" bestFit="1" customWidth="1"/>
    <col min="121" max="121" width="39.109375" bestFit="1" customWidth="1"/>
    <col min="122" max="122" width="53" bestFit="1" customWidth="1"/>
    <col min="123" max="123" width="20.88671875" bestFit="1" customWidth="1"/>
    <col min="124" max="124" width="28.88671875" bestFit="1" customWidth="1"/>
    <col min="125" max="125" width="25.77734375" bestFit="1" customWidth="1"/>
    <col min="126" max="126" width="39.21875" bestFit="1" customWidth="1"/>
    <col min="127" max="127" width="31" bestFit="1" customWidth="1"/>
    <col min="128" max="128" width="26.77734375" bestFit="1" customWidth="1"/>
    <col min="129" max="129" width="12.6640625" bestFit="1" customWidth="1"/>
    <col min="130" max="130" width="38.5546875" bestFit="1" customWidth="1"/>
    <col min="131" max="131" width="28.5546875" bestFit="1" customWidth="1"/>
    <col min="132" max="132" width="12.6640625" bestFit="1" customWidth="1"/>
    <col min="133" max="133" width="36.21875" bestFit="1" customWidth="1"/>
    <col min="134" max="134" width="20.5546875" bestFit="1" customWidth="1"/>
    <col min="135" max="135" width="12.6640625" bestFit="1" customWidth="1"/>
    <col min="136" max="136" width="20.33203125" bestFit="1" customWidth="1"/>
    <col min="137" max="137" width="41.6640625" bestFit="1" customWidth="1"/>
    <col min="138" max="138" width="13.77734375" bestFit="1" customWidth="1"/>
    <col min="139" max="139" width="22" bestFit="1" customWidth="1"/>
    <col min="140" max="140" width="29.109375" bestFit="1" customWidth="1"/>
    <col min="141" max="141" width="52.77734375" bestFit="1" customWidth="1"/>
    <col min="142" max="142" width="41.109375" bestFit="1" customWidth="1"/>
    <col min="143" max="143" width="30.44140625" bestFit="1" customWidth="1"/>
    <col min="144" max="144" width="29" bestFit="1" customWidth="1"/>
    <col min="145" max="145" width="27.77734375" bestFit="1" customWidth="1"/>
    <col min="146" max="146" width="18.21875" bestFit="1" customWidth="1"/>
    <col min="147" max="147" width="45.109375" bestFit="1" customWidth="1"/>
    <col min="148" max="148" width="15.5546875" bestFit="1" customWidth="1"/>
    <col min="149" max="149" width="27.109375" bestFit="1" customWidth="1"/>
    <col min="150" max="150" width="44.44140625" bestFit="1" customWidth="1"/>
    <col min="151" max="151" width="26.21875" bestFit="1" customWidth="1"/>
    <col min="152" max="152" width="28.6640625" bestFit="1" customWidth="1"/>
    <col min="153" max="153" width="37" bestFit="1" customWidth="1"/>
    <col min="154" max="154" width="14.6640625" bestFit="1" customWidth="1"/>
    <col min="155" max="155" width="47.6640625" bestFit="1" customWidth="1"/>
    <col min="156" max="156" width="11.6640625" bestFit="1" customWidth="1"/>
    <col min="157" max="157" width="42" bestFit="1" customWidth="1"/>
    <col min="158" max="158" width="35" bestFit="1" customWidth="1"/>
    <col min="159" max="159" width="52.6640625" bestFit="1" customWidth="1"/>
    <col min="160" max="160" width="6.44140625" bestFit="1" customWidth="1"/>
    <col min="161" max="161" width="58" bestFit="1" customWidth="1"/>
    <col min="162" max="162" width="34.44140625" bestFit="1" customWidth="1"/>
    <col min="163" max="163" width="11" bestFit="1" customWidth="1"/>
    <col min="164" max="164" width="20.44140625" bestFit="1" customWidth="1"/>
    <col min="165" max="165" width="46.5546875" bestFit="1" customWidth="1"/>
    <col min="166" max="166" width="24.5546875" bestFit="1" customWidth="1"/>
    <col min="167" max="167" width="17.44140625" bestFit="1" customWidth="1"/>
    <col min="168" max="168" width="13.6640625" bestFit="1" customWidth="1"/>
    <col min="169" max="169" width="22.77734375" bestFit="1" customWidth="1"/>
    <col min="170" max="170" width="19.33203125" bestFit="1" customWidth="1"/>
    <col min="171" max="172" width="26" bestFit="1" customWidth="1"/>
    <col min="173" max="173" width="37.109375" bestFit="1" customWidth="1"/>
    <col min="174" max="174" width="19.5546875" bestFit="1" customWidth="1"/>
    <col min="175" max="175" width="22.5546875" bestFit="1" customWidth="1"/>
    <col min="176" max="176" width="48.77734375" bestFit="1" customWidth="1"/>
    <col min="177" max="177" width="13.6640625" bestFit="1" customWidth="1"/>
    <col min="178" max="178" width="23.33203125" bestFit="1" customWidth="1"/>
    <col min="179" max="179" width="43.44140625" bestFit="1" customWidth="1"/>
    <col min="180" max="180" width="28.21875" bestFit="1" customWidth="1"/>
    <col min="181" max="181" width="22.77734375" bestFit="1" customWidth="1"/>
    <col min="182" max="182" width="16.77734375" bestFit="1" customWidth="1"/>
    <col min="183" max="183" width="33.88671875" bestFit="1" customWidth="1"/>
    <col min="184" max="184" width="32.6640625" bestFit="1" customWidth="1"/>
    <col min="185" max="185" width="18.109375" bestFit="1" customWidth="1"/>
    <col min="186" max="186" width="49.21875" bestFit="1" customWidth="1"/>
    <col min="187" max="187" width="29.21875" bestFit="1" customWidth="1"/>
    <col min="188" max="188" width="26.44140625" bestFit="1" customWidth="1"/>
    <col min="189" max="189" width="22.21875" bestFit="1" customWidth="1"/>
    <col min="190" max="190" width="11.109375" bestFit="1" customWidth="1"/>
    <col min="191" max="191" width="43.44140625" bestFit="1" customWidth="1"/>
    <col min="192" max="192" width="9.21875" bestFit="1" customWidth="1"/>
    <col min="193" max="193" width="16.33203125" bestFit="1" customWidth="1"/>
    <col min="194" max="194" width="61.44140625" bestFit="1" customWidth="1"/>
    <col min="195" max="195" width="8.5546875" bestFit="1" customWidth="1"/>
    <col min="196" max="196" width="32.88671875" bestFit="1" customWidth="1"/>
    <col min="197" max="197" width="56.109375" bestFit="1" customWidth="1"/>
    <col min="198" max="198" width="27.77734375" bestFit="1" customWidth="1"/>
    <col min="199" max="199" width="19.21875" bestFit="1" customWidth="1"/>
    <col min="200" max="200" width="47.33203125" bestFit="1" customWidth="1"/>
    <col min="201" max="201" width="38.77734375" bestFit="1" customWidth="1"/>
    <col min="202" max="202" width="39" bestFit="1" customWidth="1"/>
    <col min="203" max="203" width="30.6640625" bestFit="1" customWidth="1"/>
    <col min="204" max="204" width="19.109375" bestFit="1" customWidth="1"/>
    <col min="205" max="205" width="28.88671875" bestFit="1" customWidth="1"/>
    <col min="206" max="206" width="33.77734375" bestFit="1" customWidth="1"/>
    <col min="207" max="207" width="22.77734375" bestFit="1" customWidth="1"/>
    <col min="208" max="208" width="44.6640625" bestFit="1" customWidth="1"/>
    <col min="209" max="209" width="15.21875" bestFit="1" customWidth="1"/>
    <col min="210" max="210" width="24.109375" bestFit="1" customWidth="1"/>
    <col min="211" max="211" width="38.109375" bestFit="1" customWidth="1"/>
    <col min="212" max="212" width="66.109375" bestFit="1" customWidth="1"/>
    <col min="213" max="213" width="20.109375" bestFit="1" customWidth="1"/>
    <col min="214" max="214" width="31.109375" bestFit="1" customWidth="1"/>
    <col min="215" max="215" width="14.44140625" bestFit="1" customWidth="1"/>
    <col min="216" max="216" width="24.88671875" bestFit="1" customWidth="1"/>
    <col min="217" max="217" width="27" bestFit="1" customWidth="1"/>
    <col min="218" max="218" width="23" bestFit="1" customWidth="1"/>
    <col min="219" max="219" width="31" bestFit="1" customWidth="1"/>
    <col min="220" max="220" width="14.5546875" bestFit="1" customWidth="1"/>
    <col min="221" max="221" width="18.77734375" bestFit="1" customWidth="1"/>
    <col min="222" max="222" width="21.88671875" bestFit="1" customWidth="1"/>
    <col min="223" max="223" width="20.5546875" bestFit="1" customWidth="1"/>
    <col min="224" max="224" width="18.6640625" bestFit="1" customWidth="1"/>
    <col min="225" max="225" width="30" bestFit="1" customWidth="1"/>
    <col min="226" max="226" width="42.88671875" bestFit="1" customWidth="1"/>
    <col min="227" max="227" width="15.109375" bestFit="1" customWidth="1"/>
    <col min="228" max="228" width="48.109375" bestFit="1" customWidth="1"/>
    <col min="229" max="229" width="20.6640625" bestFit="1" customWidth="1"/>
    <col min="230" max="230" width="31.77734375" bestFit="1" customWidth="1"/>
    <col min="231" max="231" width="15.6640625" bestFit="1" customWidth="1"/>
    <col min="232" max="232" width="43.109375" bestFit="1" customWidth="1"/>
    <col min="233" max="233" width="19" bestFit="1" customWidth="1"/>
    <col min="234" max="234" width="12.109375" bestFit="1" customWidth="1"/>
    <col min="235" max="235" width="14.6640625" bestFit="1" customWidth="1"/>
    <col min="236" max="236" width="14.88671875" bestFit="1" customWidth="1"/>
    <col min="237" max="237" width="24.88671875" bestFit="1" customWidth="1"/>
    <col min="238" max="238" width="39.21875" bestFit="1" customWidth="1"/>
    <col min="239" max="239" width="21.6640625" bestFit="1" customWidth="1"/>
    <col min="240" max="240" width="22.44140625" bestFit="1" customWidth="1"/>
    <col min="241" max="241" width="26" bestFit="1" customWidth="1"/>
    <col min="242" max="242" width="21" bestFit="1" customWidth="1"/>
    <col min="243" max="243" width="52" bestFit="1" customWidth="1"/>
    <col min="244" max="244" width="28.77734375" bestFit="1" customWidth="1"/>
    <col min="245" max="245" width="15.5546875" bestFit="1" customWidth="1"/>
    <col min="246" max="246" width="32.109375" bestFit="1" customWidth="1"/>
    <col min="247" max="247" width="19.109375" bestFit="1" customWidth="1"/>
    <col min="248" max="248" width="21.77734375" bestFit="1" customWidth="1"/>
    <col min="249" max="249" width="38" bestFit="1" customWidth="1"/>
    <col min="250" max="250" width="32.77734375" bestFit="1" customWidth="1"/>
    <col min="251" max="251" width="27" bestFit="1" customWidth="1"/>
    <col min="252" max="252" width="36" bestFit="1" customWidth="1"/>
    <col min="253" max="253" width="35.44140625" bestFit="1" customWidth="1"/>
    <col min="254" max="254" width="31.5546875" bestFit="1" customWidth="1"/>
    <col min="255" max="255" width="20.6640625" bestFit="1" customWidth="1"/>
    <col min="256" max="256" width="14.21875" bestFit="1" customWidth="1"/>
    <col min="257" max="257" width="24.5546875" bestFit="1" customWidth="1"/>
    <col min="258" max="258" width="30.44140625" bestFit="1" customWidth="1"/>
    <col min="259" max="259" width="12.5546875" bestFit="1" customWidth="1"/>
    <col min="260" max="260" width="40.77734375" bestFit="1" customWidth="1"/>
    <col min="261" max="261" width="42" bestFit="1" customWidth="1"/>
    <col min="262" max="262" width="13.109375" bestFit="1" customWidth="1"/>
    <col min="263" max="263" width="38.5546875" bestFit="1" customWidth="1"/>
    <col min="264" max="264" width="32" bestFit="1" customWidth="1"/>
    <col min="265" max="265" width="21.109375" bestFit="1" customWidth="1"/>
    <col min="266" max="266" width="55.88671875" bestFit="1" customWidth="1"/>
    <col min="267" max="267" width="37.33203125" bestFit="1" customWidth="1"/>
    <col min="268" max="268" width="40.109375" bestFit="1" customWidth="1"/>
    <col min="269" max="269" width="16.6640625" bestFit="1" customWidth="1"/>
    <col min="270" max="270" width="21.77734375" bestFit="1" customWidth="1"/>
    <col min="271" max="271" width="10.6640625" bestFit="1" customWidth="1"/>
    <col min="272" max="272" width="21.6640625" bestFit="1" customWidth="1"/>
    <col min="273" max="273" width="40.5546875" bestFit="1" customWidth="1"/>
    <col min="274" max="274" width="12.6640625" bestFit="1" customWidth="1"/>
    <col min="275" max="275" width="15.109375" bestFit="1" customWidth="1"/>
    <col min="276" max="276" width="20.77734375" bestFit="1" customWidth="1"/>
    <col min="277" max="277" width="26.88671875" bestFit="1" customWidth="1"/>
    <col min="278" max="278" width="15.33203125" bestFit="1" customWidth="1"/>
    <col min="279" max="279" width="31.88671875" bestFit="1" customWidth="1"/>
    <col min="280" max="280" width="19.33203125" bestFit="1" customWidth="1"/>
    <col min="281" max="281" width="14.77734375" bestFit="1" customWidth="1"/>
    <col min="282" max="282" width="28.6640625" bestFit="1" customWidth="1"/>
    <col min="283" max="283" width="16.33203125" bestFit="1" customWidth="1"/>
    <col min="284" max="284" width="15.5546875" bestFit="1" customWidth="1"/>
    <col min="285" max="285" width="18.109375" bestFit="1" customWidth="1"/>
    <col min="286" max="286" width="11.88671875" bestFit="1" customWidth="1"/>
    <col min="287" max="287" width="23.77734375" bestFit="1" customWidth="1"/>
    <col min="288" max="288" width="22.6640625" bestFit="1" customWidth="1"/>
    <col min="289" max="289" width="12.109375" bestFit="1" customWidth="1"/>
    <col min="290" max="290" width="17.88671875" bestFit="1" customWidth="1"/>
    <col min="291" max="291" width="20.77734375" bestFit="1" customWidth="1"/>
    <col min="292" max="292" width="13.88671875" bestFit="1" customWidth="1"/>
    <col min="293" max="293" width="19.33203125" bestFit="1" customWidth="1"/>
    <col min="294" max="294" width="37.33203125" bestFit="1" customWidth="1"/>
    <col min="295" max="295" width="30.88671875" bestFit="1" customWidth="1"/>
    <col min="296" max="296" width="36" bestFit="1" customWidth="1"/>
    <col min="297" max="297" width="34.77734375" bestFit="1" customWidth="1"/>
    <col min="298" max="298" width="23.77734375" bestFit="1" customWidth="1"/>
    <col min="299" max="299" width="15.88671875" bestFit="1" customWidth="1"/>
    <col min="300" max="300" width="14.77734375" bestFit="1" customWidth="1"/>
    <col min="301" max="301" width="21.88671875" bestFit="1" customWidth="1"/>
    <col min="302" max="302" width="17" bestFit="1" customWidth="1"/>
    <col min="303" max="303" width="18" bestFit="1" customWidth="1"/>
    <col min="304" max="304" width="32.5546875" bestFit="1" customWidth="1"/>
    <col min="305" max="305" width="29.21875" bestFit="1" customWidth="1"/>
    <col min="306" max="306" width="16.88671875" bestFit="1" customWidth="1"/>
    <col min="307" max="307" width="31.21875" bestFit="1" customWidth="1"/>
    <col min="308" max="308" width="26.44140625" bestFit="1" customWidth="1"/>
    <col min="309" max="309" width="19" bestFit="1" customWidth="1"/>
    <col min="310" max="310" width="21.109375" bestFit="1" customWidth="1"/>
    <col min="311" max="311" width="36.88671875" bestFit="1" customWidth="1"/>
    <col min="312" max="312" width="8.5546875" bestFit="1" customWidth="1"/>
    <col min="313" max="313" width="25.21875" bestFit="1" customWidth="1"/>
    <col min="314" max="314" width="11.77734375" bestFit="1" customWidth="1"/>
    <col min="315" max="315" width="19.33203125" bestFit="1" customWidth="1"/>
    <col min="316" max="316" width="29.33203125" bestFit="1" customWidth="1"/>
    <col min="317" max="317" width="22.109375" bestFit="1" customWidth="1"/>
    <col min="318" max="318" width="10" bestFit="1" customWidth="1"/>
    <col min="319" max="319" width="17.21875" bestFit="1" customWidth="1"/>
    <col min="320" max="320" width="25.88671875" bestFit="1" customWidth="1"/>
    <col min="321" max="321" width="27.44140625" bestFit="1" customWidth="1"/>
    <col min="322" max="322" width="55.33203125" bestFit="1" customWidth="1"/>
    <col min="323" max="323" width="41.5546875" bestFit="1" customWidth="1"/>
    <col min="324" max="324" width="16.33203125" bestFit="1" customWidth="1"/>
    <col min="325" max="325" width="20.88671875" bestFit="1" customWidth="1"/>
    <col min="326" max="326" width="17.77734375" bestFit="1" customWidth="1"/>
    <col min="327" max="327" width="18.21875" bestFit="1" customWidth="1"/>
    <col min="328" max="328" width="16.88671875" bestFit="1" customWidth="1"/>
    <col min="329" max="329" width="31" bestFit="1" customWidth="1"/>
    <col min="330" max="330" width="13.33203125" bestFit="1" customWidth="1"/>
    <col min="331" max="331" width="28" bestFit="1" customWidth="1"/>
    <col min="332" max="332" width="19.33203125" bestFit="1" customWidth="1"/>
    <col min="333" max="333" width="13.88671875" bestFit="1" customWidth="1"/>
    <col min="334" max="334" width="13.109375" bestFit="1" customWidth="1"/>
    <col min="335" max="335" width="10" bestFit="1" customWidth="1"/>
    <col min="336" max="336" width="27.6640625" bestFit="1" customWidth="1"/>
    <col min="337" max="337" width="26.21875" bestFit="1" customWidth="1"/>
    <col min="338" max="338" width="15" bestFit="1" customWidth="1"/>
    <col min="339" max="339" width="44.88671875" bestFit="1" customWidth="1"/>
    <col min="340" max="340" width="14.5546875" bestFit="1" customWidth="1"/>
    <col min="341" max="341" width="22.109375" bestFit="1" customWidth="1"/>
    <col min="342" max="342" width="20.5546875" bestFit="1" customWidth="1"/>
    <col min="343" max="343" width="23.109375" bestFit="1" customWidth="1"/>
    <col min="344" max="344" width="14.109375" bestFit="1" customWidth="1"/>
    <col min="345" max="345" width="26.6640625" bestFit="1" customWidth="1"/>
    <col min="346" max="346" width="45.5546875" bestFit="1" customWidth="1"/>
    <col min="347" max="347" width="39.77734375" bestFit="1" customWidth="1"/>
    <col min="348" max="348" width="33" bestFit="1" customWidth="1"/>
    <col min="349" max="349" width="36.109375" bestFit="1" customWidth="1"/>
    <col min="350" max="350" width="20.33203125" bestFit="1" customWidth="1"/>
    <col min="351" max="351" width="16.88671875" bestFit="1" customWidth="1"/>
    <col min="352" max="352" width="12.44140625" bestFit="1" customWidth="1"/>
    <col min="353" max="353" width="18.88671875" bestFit="1" customWidth="1"/>
    <col min="354" max="354" width="13.5546875" bestFit="1" customWidth="1"/>
    <col min="355" max="355" width="12" bestFit="1" customWidth="1"/>
    <col min="356" max="356" width="13.77734375" bestFit="1" customWidth="1"/>
    <col min="357" max="357" width="10.5546875" bestFit="1" customWidth="1"/>
    <col min="358" max="358" width="16.33203125" bestFit="1" customWidth="1"/>
    <col min="359" max="359" width="15.5546875" bestFit="1" customWidth="1"/>
    <col min="360" max="360" width="18.5546875" bestFit="1" customWidth="1"/>
    <col min="361" max="361" width="10.5546875" bestFit="1" customWidth="1"/>
    <col min="362" max="362" width="16.109375" bestFit="1" customWidth="1"/>
    <col min="363" max="363" width="17.21875" bestFit="1" customWidth="1"/>
    <col min="364" max="364" width="9.88671875" bestFit="1" customWidth="1"/>
    <col min="365" max="365" width="10.109375" bestFit="1" customWidth="1"/>
    <col min="366" max="366" width="15.88671875" bestFit="1" customWidth="1"/>
    <col min="367" max="367" width="9.5546875" bestFit="1" customWidth="1"/>
    <col min="368" max="368" width="9.44140625" bestFit="1" customWidth="1"/>
    <col min="370" max="370" width="9.6640625" bestFit="1" customWidth="1"/>
    <col min="371" max="371" width="9.77734375" bestFit="1" customWidth="1"/>
    <col min="372" max="372" width="11.77734375" bestFit="1" customWidth="1"/>
    <col min="373" max="373" width="27.6640625" bestFit="1" customWidth="1"/>
    <col min="374" max="374" width="12" bestFit="1" customWidth="1"/>
    <col min="375" max="375" width="11.33203125" bestFit="1" customWidth="1"/>
    <col min="376" max="376" width="11.44140625" bestFit="1" customWidth="1"/>
    <col min="377" max="377" width="18.5546875" bestFit="1" customWidth="1"/>
    <col min="378" max="378" width="9.44140625" bestFit="1" customWidth="1"/>
    <col min="379" max="379" width="18" bestFit="1" customWidth="1"/>
    <col min="380" max="380" width="43.44140625" bestFit="1" customWidth="1"/>
    <col min="381" max="381" width="8.6640625" bestFit="1" customWidth="1"/>
    <col min="382" max="382" width="37.33203125" bestFit="1" customWidth="1"/>
    <col min="383" max="383" width="20.77734375" bestFit="1" customWidth="1"/>
    <col min="384" max="384" width="16.6640625" bestFit="1" customWidth="1"/>
    <col min="385" max="385" width="25.6640625" bestFit="1" customWidth="1"/>
    <col min="386" max="386" width="15" bestFit="1" customWidth="1"/>
    <col min="387" max="387" width="35.109375" bestFit="1" customWidth="1"/>
    <col min="388" max="388" width="21.6640625" bestFit="1" customWidth="1"/>
    <col min="389" max="389" width="29.5546875" bestFit="1" customWidth="1"/>
    <col min="390" max="390" width="18.88671875" bestFit="1" customWidth="1"/>
    <col min="391" max="391" width="12.6640625" bestFit="1" customWidth="1"/>
    <col min="392" max="392" width="20.44140625" bestFit="1" customWidth="1"/>
    <col min="393" max="393" width="29.6640625" bestFit="1" customWidth="1"/>
    <col min="394" max="394" width="15.44140625" bestFit="1" customWidth="1"/>
    <col min="395" max="395" width="27.88671875" bestFit="1" customWidth="1"/>
    <col min="396" max="396" width="19" bestFit="1" customWidth="1"/>
    <col min="397" max="397" width="28.6640625" bestFit="1" customWidth="1"/>
    <col min="398" max="398" width="21.33203125" bestFit="1" customWidth="1"/>
    <col min="399" max="399" width="60.21875" bestFit="1" customWidth="1"/>
    <col min="400" max="400" width="7.88671875" bestFit="1" customWidth="1"/>
    <col min="401" max="401" width="16" bestFit="1" customWidth="1"/>
    <col min="402" max="402" width="18.88671875" bestFit="1" customWidth="1"/>
    <col min="403" max="403" width="35.77734375" bestFit="1" customWidth="1"/>
    <col min="404" max="404" width="30.33203125" bestFit="1" customWidth="1"/>
    <col min="405" max="405" width="21.109375" bestFit="1" customWidth="1"/>
    <col min="406" max="406" width="19.88671875" bestFit="1" customWidth="1"/>
    <col min="407" max="407" width="26" bestFit="1" customWidth="1"/>
    <col min="408" max="408" width="18.33203125" bestFit="1" customWidth="1"/>
    <col min="410" max="410" width="24.6640625" bestFit="1" customWidth="1"/>
    <col min="411" max="411" width="19.109375" bestFit="1" customWidth="1"/>
    <col min="412" max="412" width="19.44140625" bestFit="1" customWidth="1"/>
    <col min="413" max="413" width="27.21875" bestFit="1" customWidth="1"/>
    <col min="414" max="414" width="36.21875" bestFit="1" customWidth="1"/>
    <col min="415" max="415" width="20.6640625" bestFit="1" customWidth="1"/>
    <col min="416" max="416" width="23.21875" bestFit="1" customWidth="1"/>
    <col min="417" max="417" width="17.5546875" bestFit="1" customWidth="1"/>
    <col min="418" max="418" width="12" bestFit="1" customWidth="1"/>
    <col min="419" max="419" width="15.33203125" bestFit="1" customWidth="1"/>
    <col min="420" max="420" width="15.109375" bestFit="1" customWidth="1"/>
    <col min="421" max="421" width="33.109375" bestFit="1" customWidth="1"/>
    <col min="422" max="422" width="19" bestFit="1" customWidth="1"/>
    <col min="423" max="423" width="27.5546875" bestFit="1" customWidth="1"/>
    <col min="424" max="424" width="28.21875" bestFit="1" customWidth="1"/>
    <col min="425" max="425" width="22.109375" bestFit="1" customWidth="1"/>
    <col min="426" max="426" width="29.5546875" bestFit="1" customWidth="1"/>
    <col min="427" max="427" width="26.6640625" bestFit="1" customWidth="1"/>
    <col min="428" max="428" width="19.5546875" bestFit="1" customWidth="1"/>
    <col min="429" max="429" width="16.109375" bestFit="1" customWidth="1"/>
    <col min="430" max="430" width="34.44140625" bestFit="1" customWidth="1"/>
    <col min="431" max="431" width="23.109375" bestFit="1" customWidth="1"/>
    <col min="432" max="432" width="21.77734375" bestFit="1" customWidth="1"/>
    <col min="433" max="433" width="22.109375" bestFit="1" customWidth="1"/>
    <col min="434" max="434" width="26.21875" bestFit="1" customWidth="1"/>
    <col min="435" max="435" width="24.109375" bestFit="1" customWidth="1"/>
    <col min="436" max="436" width="15.44140625" bestFit="1" customWidth="1"/>
    <col min="437" max="437" width="21.88671875" bestFit="1" customWidth="1"/>
    <col min="438" max="438" width="18.5546875" bestFit="1" customWidth="1"/>
    <col min="439" max="439" width="37.33203125" bestFit="1" customWidth="1"/>
    <col min="440" max="440" width="15.88671875" bestFit="1" customWidth="1"/>
    <col min="441" max="441" width="13.109375" bestFit="1" customWidth="1"/>
    <col min="442" max="442" width="26.88671875" bestFit="1" customWidth="1"/>
    <col min="443" max="443" width="16.5546875" bestFit="1" customWidth="1"/>
    <col min="444" max="444" width="16.6640625" bestFit="1" customWidth="1"/>
    <col min="445" max="445" width="12.6640625" bestFit="1" customWidth="1"/>
    <col min="446" max="446" width="12.109375" bestFit="1" customWidth="1"/>
    <col min="447" max="447" width="16.6640625" bestFit="1" customWidth="1"/>
    <col min="448" max="448" width="26.33203125" bestFit="1" customWidth="1"/>
    <col min="449" max="449" width="36.88671875" bestFit="1" customWidth="1"/>
    <col min="450" max="450" width="37.33203125" bestFit="1" customWidth="1"/>
    <col min="451" max="451" width="37.109375" bestFit="1" customWidth="1"/>
    <col min="452" max="452" width="17" bestFit="1" customWidth="1"/>
    <col min="453" max="453" width="23.6640625" bestFit="1" customWidth="1"/>
    <col min="454" max="454" width="31.21875" bestFit="1" customWidth="1"/>
    <col min="455" max="455" width="15.44140625" bestFit="1" customWidth="1"/>
    <col min="456" max="456" width="41.44140625" bestFit="1" customWidth="1"/>
    <col min="457" max="457" width="17.33203125" bestFit="1" customWidth="1"/>
    <col min="458" max="458" width="20.109375" bestFit="1" customWidth="1"/>
    <col min="459" max="459" width="22.6640625" bestFit="1" customWidth="1"/>
    <col min="460" max="460" width="28.33203125" bestFit="1" customWidth="1"/>
    <col min="461" max="461" width="44.5546875" bestFit="1" customWidth="1"/>
    <col min="462" max="462" width="30.5546875" bestFit="1" customWidth="1"/>
    <col min="463" max="463" width="17" bestFit="1" customWidth="1"/>
    <col min="464" max="464" width="31.109375" bestFit="1" customWidth="1"/>
    <col min="465" max="465" width="46" bestFit="1" customWidth="1"/>
    <col min="466" max="466" width="14" bestFit="1" customWidth="1"/>
    <col min="467" max="467" width="14.33203125" bestFit="1" customWidth="1"/>
    <col min="468" max="468" width="11.44140625" bestFit="1" customWidth="1"/>
    <col min="469" max="469" width="23.109375" bestFit="1" customWidth="1"/>
    <col min="470" max="470" width="22.88671875" bestFit="1" customWidth="1"/>
    <col min="471" max="471" width="24.77734375" bestFit="1" customWidth="1"/>
    <col min="472" max="472" width="28.109375" bestFit="1" customWidth="1"/>
    <col min="473" max="473" width="46.5546875" bestFit="1" customWidth="1"/>
    <col min="474" max="474" width="25.109375" bestFit="1" customWidth="1"/>
    <col min="475" max="475" width="20.5546875" bestFit="1" customWidth="1"/>
    <col min="476" max="476" width="23.5546875" bestFit="1" customWidth="1"/>
    <col min="477" max="477" width="12.6640625" bestFit="1" customWidth="1"/>
    <col min="478" max="478" width="22.88671875" bestFit="1" customWidth="1"/>
    <col min="479" max="479" width="17.6640625" bestFit="1" customWidth="1"/>
    <col min="480" max="480" width="21.109375" bestFit="1" customWidth="1"/>
    <col min="481" max="481" width="46.88671875" bestFit="1" customWidth="1"/>
    <col min="482" max="482" width="25.5546875" bestFit="1" customWidth="1"/>
    <col min="483" max="483" width="31.33203125" bestFit="1" customWidth="1"/>
    <col min="484" max="484" width="51.21875" bestFit="1" customWidth="1"/>
    <col min="485" max="485" width="38" bestFit="1" customWidth="1"/>
    <col min="486" max="486" width="14" bestFit="1" customWidth="1"/>
    <col min="487" max="487" width="19.5546875" bestFit="1" customWidth="1"/>
    <col min="488" max="488" width="47.5546875" bestFit="1" customWidth="1"/>
    <col min="489" max="489" width="53.21875" bestFit="1" customWidth="1"/>
    <col min="490" max="490" width="17.88671875" bestFit="1" customWidth="1"/>
    <col min="491" max="491" width="17.33203125" bestFit="1" customWidth="1"/>
    <col min="492" max="492" width="30.33203125" bestFit="1" customWidth="1"/>
    <col min="493" max="493" width="15.44140625" bestFit="1" customWidth="1"/>
    <col min="494" max="494" width="21.33203125" bestFit="1" customWidth="1"/>
    <col min="495" max="495" width="25.21875" bestFit="1" customWidth="1"/>
    <col min="496" max="496" width="26.109375" bestFit="1" customWidth="1"/>
    <col min="497" max="497" width="23.6640625" bestFit="1" customWidth="1"/>
    <col min="498" max="498" width="12" bestFit="1" customWidth="1"/>
    <col min="499" max="499" width="20.44140625" bestFit="1" customWidth="1"/>
    <col min="500" max="500" width="46.88671875" bestFit="1" customWidth="1"/>
    <col min="501" max="501" width="25.5546875" bestFit="1" customWidth="1"/>
    <col min="502" max="502" width="28.21875" bestFit="1" customWidth="1"/>
    <col min="503" max="503" width="16.33203125" bestFit="1" customWidth="1"/>
    <col min="504" max="504" width="26.109375" bestFit="1" customWidth="1"/>
    <col min="505" max="505" width="70.21875" bestFit="1" customWidth="1"/>
    <col min="506" max="506" width="17.44140625" bestFit="1" customWidth="1"/>
    <col min="507" max="507" width="30.77734375" bestFit="1" customWidth="1"/>
    <col min="508" max="508" width="50.109375" bestFit="1" customWidth="1"/>
    <col min="509" max="509" width="43.6640625" bestFit="1" customWidth="1"/>
    <col min="510" max="510" width="19.6640625" bestFit="1" customWidth="1"/>
    <col min="511" max="511" width="27.88671875" bestFit="1" customWidth="1"/>
    <col min="512" max="512" width="17.5546875" bestFit="1" customWidth="1"/>
    <col min="513" max="513" width="12.109375" bestFit="1" customWidth="1"/>
    <col min="514" max="514" width="13.21875" bestFit="1" customWidth="1"/>
    <col min="515" max="515" width="24" bestFit="1" customWidth="1"/>
    <col min="516" max="516" width="14.33203125" bestFit="1" customWidth="1"/>
    <col min="517" max="517" width="20.88671875" bestFit="1" customWidth="1"/>
    <col min="518" max="518" width="21.5546875" bestFit="1" customWidth="1"/>
    <col min="519" max="519" width="35" bestFit="1" customWidth="1"/>
    <col min="520" max="520" width="6.5546875" bestFit="1" customWidth="1"/>
    <col min="521" max="521" width="59.33203125" bestFit="1" customWidth="1"/>
    <col min="522" max="522" width="29.5546875" bestFit="1" customWidth="1"/>
    <col min="523" max="523" width="22.21875" bestFit="1" customWidth="1"/>
    <col min="524" max="524" width="56.33203125" bestFit="1" customWidth="1"/>
    <col min="525" max="525" width="20.33203125" bestFit="1" customWidth="1"/>
    <col min="526" max="526" width="26.33203125" bestFit="1" customWidth="1"/>
    <col min="527" max="527" width="13.21875" bestFit="1" customWidth="1"/>
    <col min="528" max="528" width="26.21875" bestFit="1" customWidth="1"/>
    <col min="529" max="529" width="26.44140625" bestFit="1" customWidth="1"/>
    <col min="530" max="530" width="11.44140625" bestFit="1" customWidth="1"/>
    <col min="531" max="531" width="25.5546875" bestFit="1" customWidth="1"/>
    <col min="532" max="532" width="25.109375" bestFit="1" customWidth="1"/>
    <col min="533" max="533" width="22" bestFit="1" customWidth="1"/>
    <col min="534" max="534" width="19.21875" bestFit="1" customWidth="1"/>
    <col min="535" max="535" width="32.33203125" bestFit="1" customWidth="1"/>
    <col min="536" max="536" width="46.88671875" bestFit="1" customWidth="1"/>
    <col min="537" max="537" width="28.44140625" bestFit="1" customWidth="1"/>
    <col min="538" max="538" width="15.88671875" bestFit="1" customWidth="1"/>
    <col min="539" max="539" width="18.77734375" bestFit="1" customWidth="1"/>
    <col min="540" max="540" width="43.5546875" bestFit="1" customWidth="1"/>
    <col min="541" max="541" width="24.109375" bestFit="1" customWidth="1"/>
    <col min="542" max="542" width="39.109375" bestFit="1" customWidth="1"/>
    <col min="543" max="543" width="19.109375" bestFit="1" customWidth="1"/>
    <col min="544" max="544" width="19" bestFit="1" customWidth="1"/>
    <col min="545" max="545" width="14.21875" bestFit="1" customWidth="1"/>
    <col min="546" max="546" width="46.77734375" bestFit="1" customWidth="1"/>
    <col min="547" max="547" width="15.33203125" bestFit="1" customWidth="1"/>
    <col min="548" max="548" width="52.88671875" bestFit="1" customWidth="1"/>
    <col min="549" max="549" width="14.5546875" bestFit="1" customWidth="1"/>
    <col min="550" max="550" width="25.21875" bestFit="1" customWidth="1"/>
    <col min="551" max="551" width="28.33203125" bestFit="1" customWidth="1"/>
    <col min="552" max="552" width="14.6640625" bestFit="1" customWidth="1"/>
    <col min="553" max="553" width="18.33203125" bestFit="1" customWidth="1"/>
    <col min="554" max="554" width="14.6640625" bestFit="1" customWidth="1"/>
    <col min="555" max="555" width="24.6640625" bestFit="1" customWidth="1"/>
    <col min="556" max="556" width="25.77734375" bestFit="1" customWidth="1"/>
    <col min="557" max="557" width="9" bestFit="1" customWidth="1"/>
    <col min="558" max="558" width="8.109375" bestFit="1" customWidth="1"/>
    <col min="559" max="559" width="12.21875" bestFit="1" customWidth="1"/>
    <col min="560" max="560" width="29" bestFit="1" customWidth="1"/>
    <col min="561" max="562" width="22.109375" bestFit="1" customWidth="1"/>
    <col min="563" max="563" width="13.88671875" bestFit="1" customWidth="1"/>
    <col min="564" max="564" width="52.5546875" bestFit="1" customWidth="1"/>
    <col min="565" max="565" width="58.109375" bestFit="1" customWidth="1"/>
    <col min="566" max="566" width="18.88671875" bestFit="1" customWidth="1"/>
    <col min="567" max="567" width="17.44140625" bestFit="1" customWidth="1"/>
    <col min="568" max="568" width="22.6640625" bestFit="1" customWidth="1"/>
    <col min="569" max="569" width="11" bestFit="1" customWidth="1"/>
  </cols>
  <sheetData>
    <row r="1" spans="1:3" x14ac:dyDescent="0.3">
      <c r="A1" s="8" t="s">
        <v>0</v>
      </c>
      <c r="B1" t="s">
        <v>205</v>
      </c>
    </row>
    <row r="3" spans="1:3" x14ac:dyDescent="0.3">
      <c r="A3" s="8" t="s">
        <v>2629</v>
      </c>
      <c r="B3" t="s">
        <v>2630</v>
      </c>
      <c r="C3" t="s">
        <v>2631</v>
      </c>
    </row>
    <row r="4" spans="1:3" x14ac:dyDescent="0.3">
      <c r="A4" s="9" t="s">
        <v>206</v>
      </c>
      <c r="B4" s="10">
        <v>1</v>
      </c>
      <c r="C4" s="10">
        <v>55</v>
      </c>
    </row>
    <row r="5" spans="1:3" x14ac:dyDescent="0.3">
      <c r="A5" s="9" t="s">
        <v>208</v>
      </c>
      <c r="B5" s="10">
        <v>1</v>
      </c>
      <c r="C5" s="10">
        <v>55</v>
      </c>
    </row>
    <row r="6" spans="1:3" x14ac:dyDescent="0.3">
      <c r="A6" s="9" t="s">
        <v>210</v>
      </c>
      <c r="B6" s="10">
        <v>1</v>
      </c>
      <c r="C6" s="10">
        <v>105</v>
      </c>
    </row>
    <row r="7" spans="1:3" x14ac:dyDescent="0.3">
      <c r="A7" s="9" t="s">
        <v>211</v>
      </c>
      <c r="B7" s="10">
        <v>1</v>
      </c>
      <c r="C7" s="10">
        <v>105</v>
      </c>
    </row>
    <row r="8" spans="1:3" x14ac:dyDescent="0.3">
      <c r="A8" s="9" t="s">
        <v>120</v>
      </c>
      <c r="B8" s="10">
        <v>2</v>
      </c>
      <c r="C8" s="10"/>
    </row>
    <row r="9" spans="1:3" x14ac:dyDescent="0.3">
      <c r="A9" s="9" t="s">
        <v>213</v>
      </c>
      <c r="B9" s="10">
        <v>1</v>
      </c>
      <c r="C9" s="10">
        <v>100</v>
      </c>
    </row>
    <row r="10" spans="1:3" x14ac:dyDescent="0.3">
      <c r="A10" s="9" t="s">
        <v>214</v>
      </c>
      <c r="B10" s="10">
        <v>1</v>
      </c>
      <c r="C10" s="10">
        <v>120</v>
      </c>
    </row>
    <row r="11" spans="1:3" x14ac:dyDescent="0.3">
      <c r="A11" s="9" t="s">
        <v>2628</v>
      </c>
      <c r="B11" s="10">
        <v>8</v>
      </c>
      <c r="C11" s="10">
        <v>540</v>
      </c>
    </row>
    <row r="12" spans="1:3" x14ac:dyDescent="0.3">
      <c r="C1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915"/>
  <sheetViews>
    <sheetView zoomScaleNormal="100" workbookViewId="0">
      <pane ySplit="1" topLeftCell="A5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26" customWidth="1"/>
    <col min="3" max="3" width="14" customWidth="1"/>
    <col min="4" max="4" width="8" customWidth="1"/>
    <col min="5" max="5" width="14" customWidth="1"/>
    <col min="6" max="7" width="18" customWidth="1"/>
    <col min="8" max="8" width="3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2021</v>
      </c>
      <c r="E2" s="2">
        <v>25</v>
      </c>
      <c r="F2" s="2">
        <v>1950</v>
      </c>
      <c r="G2" s="2">
        <v>2047.5</v>
      </c>
      <c r="H2" s="3" t="s">
        <v>11</v>
      </c>
    </row>
    <row r="3" spans="1:8" x14ac:dyDescent="0.3">
      <c r="A3" t="s">
        <v>8</v>
      </c>
      <c r="B3" t="s">
        <v>12</v>
      </c>
      <c r="C3" t="s">
        <v>13</v>
      </c>
      <c r="D3">
        <v>2021</v>
      </c>
      <c r="E3" s="2">
        <v>25</v>
      </c>
      <c r="F3" s="2">
        <v>1750</v>
      </c>
      <c r="G3" s="2">
        <v>1837.5</v>
      </c>
      <c r="H3" s="3" t="s">
        <v>14</v>
      </c>
    </row>
    <row r="4" spans="1:8" x14ac:dyDescent="0.3">
      <c r="A4" t="s">
        <v>15</v>
      </c>
      <c r="B4" t="s">
        <v>16</v>
      </c>
      <c r="C4" t="s">
        <v>17</v>
      </c>
      <c r="D4">
        <v>2018</v>
      </c>
      <c r="E4" s="2">
        <v>200</v>
      </c>
      <c r="F4" s="2">
        <v>18000</v>
      </c>
      <c r="G4" s="2">
        <v>18900</v>
      </c>
      <c r="H4" s="3" t="s">
        <v>18</v>
      </c>
    </row>
    <row r="5" spans="1:8" x14ac:dyDescent="0.3">
      <c r="A5" t="s">
        <v>15</v>
      </c>
      <c r="B5" t="s">
        <v>16</v>
      </c>
      <c r="C5" t="s">
        <v>17</v>
      </c>
      <c r="D5">
        <v>2019</v>
      </c>
      <c r="E5" s="2">
        <v>300</v>
      </c>
      <c r="F5" s="2">
        <v>27000</v>
      </c>
      <c r="G5" s="2">
        <v>28350</v>
      </c>
      <c r="H5" s="3" t="s">
        <v>18</v>
      </c>
    </row>
    <row r="6" spans="1:8" x14ac:dyDescent="0.3">
      <c r="A6" t="s">
        <v>15</v>
      </c>
      <c r="B6" t="s">
        <v>16</v>
      </c>
      <c r="C6" t="s">
        <v>17</v>
      </c>
      <c r="D6">
        <v>2021</v>
      </c>
      <c r="E6" s="2">
        <v>100</v>
      </c>
      <c r="F6" s="2">
        <v>9000</v>
      </c>
      <c r="G6" s="2">
        <v>9450</v>
      </c>
      <c r="H6" s="3" t="s">
        <v>18</v>
      </c>
    </row>
    <row r="7" spans="1:8" x14ac:dyDescent="0.3">
      <c r="A7" t="s">
        <v>15</v>
      </c>
      <c r="B7" t="s">
        <v>19</v>
      </c>
      <c r="C7" t="s">
        <v>20</v>
      </c>
      <c r="D7">
        <v>2010</v>
      </c>
      <c r="E7" s="2">
        <v>25</v>
      </c>
      <c r="F7" s="2">
        <v>1375</v>
      </c>
      <c r="G7" s="2"/>
    </row>
    <row r="8" spans="1:8" x14ac:dyDescent="0.3">
      <c r="A8" t="s">
        <v>15</v>
      </c>
      <c r="B8" t="s">
        <v>19</v>
      </c>
      <c r="C8" t="s">
        <v>20</v>
      </c>
      <c r="D8">
        <v>2011</v>
      </c>
      <c r="E8" s="2">
        <v>25</v>
      </c>
      <c r="F8" s="2">
        <v>2375</v>
      </c>
      <c r="G8" s="2"/>
    </row>
    <row r="9" spans="1:8" x14ac:dyDescent="0.3">
      <c r="A9" t="s">
        <v>15</v>
      </c>
      <c r="B9" t="s">
        <v>19</v>
      </c>
      <c r="C9" t="s">
        <v>20</v>
      </c>
      <c r="D9">
        <v>2012</v>
      </c>
      <c r="E9" s="2">
        <v>80</v>
      </c>
      <c r="F9" s="2">
        <v>7350</v>
      </c>
      <c r="G9" s="2"/>
    </row>
    <row r="10" spans="1:8" x14ac:dyDescent="0.3">
      <c r="A10" t="s">
        <v>15</v>
      </c>
      <c r="B10" t="s">
        <v>19</v>
      </c>
      <c r="C10" t="s">
        <v>20</v>
      </c>
      <c r="D10">
        <v>2013</v>
      </c>
      <c r="E10" s="2">
        <v>25</v>
      </c>
      <c r="F10" s="2">
        <v>2375</v>
      </c>
      <c r="G10" s="2"/>
    </row>
    <row r="11" spans="1:8" x14ac:dyDescent="0.3">
      <c r="A11" t="s">
        <v>15</v>
      </c>
      <c r="B11" t="s">
        <v>19</v>
      </c>
      <c r="C11" t="s">
        <v>20</v>
      </c>
      <c r="D11">
        <v>2014</v>
      </c>
      <c r="E11" s="2">
        <v>25</v>
      </c>
      <c r="F11" s="2">
        <v>2375</v>
      </c>
      <c r="G11" s="2"/>
    </row>
    <row r="12" spans="1:8" x14ac:dyDescent="0.3">
      <c r="A12" t="s">
        <v>15</v>
      </c>
      <c r="B12" t="s">
        <v>19</v>
      </c>
      <c r="C12" t="s">
        <v>20</v>
      </c>
      <c r="D12">
        <v>2016</v>
      </c>
      <c r="E12" s="2">
        <v>50</v>
      </c>
      <c r="F12" s="2">
        <v>4750</v>
      </c>
      <c r="G12" s="2"/>
    </row>
    <row r="13" spans="1:8" x14ac:dyDescent="0.3">
      <c r="A13" t="s">
        <v>15</v>
      </c>
      <c r="B13" t="s">
        <v>19</v>
      </c>
      <c r="C13" t="s">
        <v>20</v>
      </c>
      <c r="D13">
        <v>2017</v>
      </c>
      <c r="E13" s="2">
        <v>100</v>
      </c>
      <c r="F13" s="2">
        <v>9500</v>
      </c>
      <c r="G13" s="2"/>
    </row>
    <row r="14" spans="1:8" x14ac:dyDescent="0.3">
      <c r="A14" t="s">
        <v>15</v>
      </c>
      <c r="B14" t="s">
        <v>19</v>
      </c>
      <c r="C14" t="s">
        <v>20</v>
      </c>
      <c r="D14">
        <v>2018</v>
      </c>
      <c r="E14" s="2">
        <v>75</v>
      </c>
      <c r="F14" s="2">
        <v>7125</v>
      </c>
      <c r="G14" s="2">
        <v>7481.25</v>
      </c>
    </row>
    <row r="15" spans="1:8" x14ac:dyDescent="0.3">
      <c r="A15" t="s">
        <v>15</v>
      </c>
      <c r="B15" t="s">
        <v>21</v>
      </c>
      <c r="C15" t="s">
        <v>22</v>
      </c>
      <c r="D15">
        <v>2010</v>
      </c>
      <c r="E15" s="2">
        <v>25</v>
      </c>
      <c r="F15" s="2">
        <v>1375</v>
      </c>
      <c r="G15" s="2"/>
    </row>
    <row r="16" spans="1:8" x14ac:dyDescent="0.3">
      <c r="A16" t="s">
        <v>23</v>
      </c>
      <c r="B16" t="s">
        <v>24</v>
      </c>
      <c r="C16" t="s">
        <v>25</v>
      </c>
      <c r="D16">
        <v>2017</v>
      </c>
      <c r="E16" s="2">
        <v>75</v>
      </c>
      <c r="F16" s="2">
        <v>7125</v>
      </c>
      <c r="G16" s="2"/>
    </row>
    <row r="17" spans="1:8" x14ac:dyDescent="0.3">
      <c r="A17" t="s">
        <v>23</v>
      </c>
      <c r="B17" t="s">
        <v>26</v>
      </c>
      <c r="C17" t="s">
        <v>27</v>
      </c>
      <c r="D17">
        <v>2016</v>
      </c>
      <c r="E17" s="2">
        <v>100</v>
      </c>
      <c r="F17" s="2">
        <v>7000</v>
      </c>
      <c r="G17" s="2"/>
    </row>
    <row r="18" spans="1:8" x14ac:dyDescent="0.3">
      <c r="A18" t="s">
        <v>23</v>
      </c>
      <c r="B18" t="s">
        <v>26</v>
      </c>
      <c r="C18" t="s">
        <v>27</v>
      </c>
      <c r="D18">
        <v>2017</v>
      </c>
      <c r="E18" s="2">
        <v>75</v>
      </c>
      <c r="F18" s="2">
        <v>5250</v>
      </c>
      <c r="G18" s="2"/>
    </row>
    <row r="19" spans="1:8" x14ac:dyDescent="0.3">
      <c r="A19" t="s">
        <v>23</v>
      </c>
      <c r="B19" t="s">
        <v>28</v>
      </c>
      <c r="D19">
        <v>2015</v>
      </c>
      <c r="E19" s="2">
        <v>2</v>
      </c>
      <c r="F19" s="2">
        <v>1000</v>
      </c>
      <c r="G19" s="2"/>
    </row>
    <row r="20" spans="1:8" x14ac:dyDescent="0.3">
      <c r="A20" t="s">
        <v>23</v>
      </c>
      <c r="B20" t="s">
        <v>29</v>
      </c>
      <c r="D20">
        <v>2016</v>
      </c>
      <c r="E20" s="2">
        <v>2</v>
      </c>
      <c r="F20" s="2">
        <v>990</v>
      </c>
      <c r="G20" s="2"/>
    </row>
    <row r="21" spans="1:8" x14ac:dyDescent="0.3">
      <c r="A21" t="s">
        <v>23</v>
      </c>
      <c r="B21" t="s">
        <v>30</v>
      </c>
      <c r="C21" t="s">
        <v>31</v>
      </c>
      <c r="D21">
        <v>2016</v>
      </c>
      <c r="E21" s="2">
        <v>25</v>
      </c>
      <c r="F21" s="2">
        <v>2250</v>
      </c>
      <c r="G21" s="2"/>
    </row>
    <row r="22" spans="1:8" x14ac:dyDescent="0.3">
      <c r="A22" t="s">
        <v>23</v>
      </c>
      <c r="B22" t="s">
        <v>32</v>
      </c>
      <c r="D22">
        <v>2017</v>
      </c>
      <c r="E22" s="2">
        <v>40</v>
      </c>
      <c r="F22" s="2">
        <v>3600</v>
      </c>
      <c r="G22" s="2"/>
    </row>
    <row r="23" spans="1:8" x14ac:dyDescent="0.3">
      <c r="A23" t="s">
        <v>33</v>
      </c>
      <c r="B23" t="s">
        <v>34</v>
      </c>
      <c r="D23">
        <v>2021</v>
      </c>
      <c r="E23" s="2">
        <v>1</v>
      </c>
      <c r="F23" s="2">
        <v>90</v>
      </c>
      <c r="G23" s="2">
        <v>94.5</v>
      </c>
      <c r="H23" s="3" t="s">
        <v>18</v>
      </c>
    </row>
    <row r="24" spans="1:8" x14ac:dyDescent="0.3">
      <c r="A24" t="s">
        <v>33</v>
      </c>
      <c r="B24" t="s">
        <v>35</v>
      </c>
      <c r="D24">
        <v>2021</v>
      </c>
      <c r="E24" s="2">
        <v>1</v>
      </c>
      <c r="F24" s="2">
        <v>100</v>
      </c>
      <c r="G24" s="2">
        <v>105</v>
      </c>
      <c r="H24" s="3" t="s">
        <v>18</v>
      </c>
    </row>
    <row r="25" spans="1:8" x14ac:dyDescent="0.3">
      <c r="A25" t="s">
        <v>33</v>
      </c>
      <c r="B25" t="s">
        <v>36</v>
      </c>
      <c r="D25">
        <v>2021</v>
      </c>
      <c r="E25" s="2">
        <v>1</v>
      </c>
      <c r="F25" s="2">
        <v>90</v>
      </c>
      <c r="G25" s="2">
        <v>94.5</v>
      </c>
      <c r="H25" s="3" t="s">
        <v>18</v>
      </c>
    </row>
    <row r="26" spans="1:8" x14ac:dyDescent="0.3">
      <c r="A26" t="s">
        <v>33</v>
      </c>
      <c r="B26" t="s">
        <v>37</v>
      </c>
      <c r="D26">
        <v>2021</v>
      </c>
      <c r="E26" s="2">
        <v>1</v>
      </c>
      <c r="F26" s="2">
        <v>80</v>
      </c>
      <c r="G26" s="2">
        <v>84</v>
      </c>
      <c r="H26" s="3" t="s">
        <v>18</v>
      </c>
    </row>
    <row r="27" spans="1:8" x14ac:dyDescent="0.3">
      <c r="A27" t="s">
        <v>38</v>
      </c>
      <c r="B27" t="s">
        <v>39</v>
      </c>
      <c r="D27">
        <v>2020</v>
      </c>
      <c r="E27" s="2">
        <v>1</v>
      </c>
      <c r="F27" s="2">
        <v>268</v>
      </c>
      <c r="G27" s="2">
        <v>281.39999999999998</v>
      </c>
    </row>
    <row r="28" spans="1:8" x14ac:dyDescent="0.3">
      <c r="A28" t="s">
        <v>40</v>
      </c>
      <c r="B28" t="s">
        <v>41</v>
      </c>
      <c r="C28" t="s">
        <v>42</v>
      </c>
      <c r="D28">
        <v>2012</v>
      </c>
      <c r="E28" s="2">
        <v>200</v>
      </c>
      <c r="F28" s="2">
        <v>9000</v>
      </c>
      <c r="G28" s="2"/>
    </row>
    <row r="29" spans="1:8" x14ac:dyDescent="0.3">
      <c r="A29" t="s">
        <v>40</v>
      </c>
      <c r="B29" t="s">
        <v>41</v>
      </c>
      <c r="C29" t="s">
        <v>42</v>
      </c>
      <c r="D29">
        <v>2014</v>
      </c>
      <c r="E29" s="2">
        <v>300</v>
      </c>
      <c r="F29" s="2">
        <v>18000</v>
      </c>
      <c r="G29" s="2"/>
    </row>
    <row r="30" spans="1:8" x14ac:dyDescent="0.3">
      <c r="A30" t="s">
        <v>40</v>
      </c>
      <c r="B30" t="s">
        <v>43</v>
      </c>
      <c r="C30" t="s">
        <v>44</v>
      </c>
      <c r="D30">
        <v>2010</v>
      </c>
      <c r="E30" s="2">
        <v>40</v>
      </c>
      <c r="F30" s="2">
        <v>2200</v>
      </c>
      <c r="G30" s="2"/>
    </row>
    <row r="31" spans="1:8" x14ac:dyDescent="0.3">
      <c r="A31" t="s">
        <v>40</v>
      </c>
      <c r="B31" t="s">
        <v>45</v>
      </c>
      <c r="D31">
        <v>2017</v>
      </c>
      <c r="E31" s="2">
        <v>60</v>
      </c>
      <c r="F31" s="2">
        <v>3900</v>
      </c>
      <c r="G31" s="2"/>
    </row>
    <row r="32" spans="1:8" x14ac:dyDescent="0.3">
      <c r="A32" t="s">
        <v>40</v>
      </c>
      <c r="B32" t="s">
        <v>46</v>
      </c>
      <c r="C32" t="s">
        <v>47</v>
      </c>
      <c r="D32">
        <v>2016</v>
      </c>
      <c r="E32" s="2">
        <v>100</v>
      </c>
      <c r="F32" s="2">
        <v>4000</v>
      </c>
      <c r="G32" s="2"/>
    </row>
    <row r="33" spans="1:8" x14ac:dyDescent="0.3">
      <c r="A33" t="s">
        <v>40</v>
      </c>
      <c r="B33" t="s">
        <v>48</v>
      </c>
      <c r="C33" t="s">
        <v>47</v>
      </c>
      <c r="D33">
        <v>2016</v>
      </c>
      <c r="E33" s="2">
        <v>900</v>
      </c>
      <c r="F33" s="2">
        <v>36000</v>
      </c>
      <c r="G33" s="2"/>
    </row>
    <row r="34" spans="1:8" x14ac:dyDescent="0.3">
      <c r="A34" t="s">
        <v>40</v>
      </c>
      <c r="B34" t="s">
        <v>48</v>
      </c>
      <c r="C34" t="s">
        <v>47</v>
      </c>
      <c r="D34">
        <v>2017</v>
      </c>
      <c r="E34" s="2">
        <v>3200</v>
      </c>
      <c r="F34" s="2">
        <v>120000</v>
      </c>
      <c r="G34" s="2"/>
    </row>
    <row r="35" spans="1:8" x14ac:dyDescent="0.3">
      <c r="A35" t="s">
        <v>40</v>
      </c>
      <c r="B35" t="s">
        <v>48</v>
      </c>
      <c r="C35" t="s">
        <v>47</v>
      </c>
      <c r="D35">
        <v>2018</v>
      </c>
      <c r="E35" s="2">
        <v>2000</v>
      </c>
      <c r="F35" s="2">
        <v>80000</v>
      </c>
      <c r="G35" s="2">
        <v>84000</v>
      </c>
    </row>
    <row r="36" spans="1:8" x14ac:dyDescent="0.3">
      <c r="A36" t="s">
        <v>49</v>
      </c>
      <c r="B36" t="s">
        <v>26</v>
      </c>
      <c r="C36" t="s">
        <v>27</v>
      </c>
      <c r="D36">
        <v>2015</v>
      </c>
      <c r="E36" s="2">
        <v>25</v>
      </c>
      <c r="F36" s="2">
        <v>2750</v>
      </c>
      <c r="G36" s="2"/>
    </row>
    <row r="37" spans="1:8" x14ac:dyDescent="0.3">
      <c r="A37" t="s">
        <v>50</v>
      </c>
      <c r="B37" t="s">
        <v>51</v>
      </c>
      <c r="C37" t="s">
        <v>52</v>
      </c>
      <c r="D37">
        <v>2018</v>
      </c>
      <c r="E37" s="2">
        <v>2</v>
      </c>
      <c r="F37" s="2">
        <v>480</v>
      </c>
      <c r="G37" s="2">
        <v>504</v>
      </c>
    </row>
    <row r="38" spans="1:8" x14ac:dyDescent="0.3">
      <c r="A38" t="s">
        <v>50</v>
      </c>
      <c r="B38" t="s">
        <v>51</v>
      </c>
      <c r="C38" t="s">
        <v>52</v>
      </c>
      <c r="D38">
        <v>2019</v>
      </c>
      <c r="E38" s="2">
        <v>5</v>
      </c>
      <c r="F38" s="2">
        <v>1000</v>
      </c>
      <c r="G38" s="2">
        <v>1050</v>
      </c>
    </row>
    <row r="39" spans="1:8" x14ac:dyDescent="0.3">
      <c r="A39" t="s">
        <v>50</v>
      </c>
      <c r="B39" t="s">
        <v>53</v>
      </c>
      <c r="C39" t="s">
        <v>54</v>
      </c>
      <c r="D39">
        <v>2019</v>
      </c>
      <c r="E39" s="2">
        <v>2</v>
      </c>
      <c r="F39" s="2">
        <v>500</v>
      </c>
      <c r="G39" s="2">
        <v>525</v>
      </c>
    </row>
    <row r="40" spans="1:8" x14ac:dyDescent="0.3">
      <c r="A40" t="s">
        <v>50</v>
      </c>
      <c r="B40" t="s">
        <v>55</v>
      </c>
      <c r="D40">
        <v>2018</v>
      </c>
      <c r="E40" s="2">
        <v>1</v>
      </c>
      <c r="F40" s="2">
        <v>310</v>
      </c>
      <c r="G40" s="2">
        <v>325.5</v>
      </c>
    </row>
    <row r="41" spans="1:8" x14ac:dyDescent="0.3">
      <c r="A41" t="s">
        <v>50</v>
      </c>
      <c r="B41" t="s">
        <v>16</v>
      </c>
      <c r="C41" t="s">
        <v>17</v>
      </c>
      <c r="D41">
        <v>2018</v>
      </c>
      <c r="E41" s="2">
        <v>2</v>
      </c>
      <c r="F41" s="2">
        <v>360</v>
      </c>
      <c r="G41" s="2">
        <v>378</v>
      </c>
    </row>
    <row r="42" spans="1:8" x14ac:dyDescent="0.3">
      <c r="A42" t="s">
        <v>50</v>
      </c>
      <c r="B42" t="s">
        <v>56</v>
      </c>
      <c r="C42" t="s">
        <v>57</v>
      </c>
      <c r="D42">
        <v>2019</v>
      </c>
      <c r="E42" s="2">
        <v>5</v>
      </c>
      <c r="F42" s="2">
        <v>900</v>
      </c>
      <c r="G42" s="2">
        <v>945</v>
      </c>
    </row>
    <row r="43" spans="1:8" x14ac:dyDescent="0.3">
      <c r="A43" t="s">
        <v>50</v>
      </c>
      <c r="B43" t="s">
        <v>58</v>
      </c>
      <c r="C43" t="s">
        <v>59</v>
      </c>
      <c r="D43">
        <v>2021</v>
      </c>
      <c r="E43" s="2">
        <v>5</v>
      </c>
      <c r="F43" s="2">
        <v>900</v>
      </c>
      <c r="G43" s="2">
        <v>945</v>
      </c>
      <c r="H43" s="3" t="s">
        <v>18</v>
      </c>
    </row>
    <row r="44" spans="1:8" x14ac:dyDescent="0.3">
      <c r="A44" t="s">
        <v>50</v>
      </c>
      <c r="B44" t="s">
        <v>60</v>
      </c>
      <c r="C44" t="s">
        <v>61</v>
      </c>
      <c r="D44">
        <v>2018</v>
      </c>
      <c r="E44" s="2">
        <v>2</v>
      </c>
      <c r="F44" s="2">
        <v>340</v>
      </c>
      <c r="G44" s="2">
        <v>357</v>
      </c>
    </row>
    <row r="45" spans="1:8" x14ac:dyDescent="0.3">
      <c r="A45" t="s">
        <v>50</v>
      </c>
      <c r="B45" t="s">
        <v>19</v>
      </c>
      <c r="C45" t="s">
        <v>20</v>
      </c>
      <c r="D45">
        <v>2019</v>
      </c>
      <c r="E45" s="2">
        <v>5</v>
      </c>
      <c r="F45" s="2">
        <v>725</v>
      </c>
      <c r="G45" s="2">
        <v>761.25</v>
      </c>
    </row>
    <row r="46" spans="1:8" x14ac:dyDescent="0.3">
      <c r="A46" t="s">
        <v>50</v>
      </c>
      <c r="B46" t="s">
        <v>19</v>
      </c>
      <c r="C46" t="s">
        <v>20</v>
      </c>
      <c r="D46">
        <v>2020</v>
      </c>
      <c r="E46" s="2">
        <v>10</v>
      </c>
      <c r="F46" s="2">
        <v>1450</v>
      </c>
      <c r="G46" s="2">
        <v>1522.5</v>
      </c>
    </row>
    <row r="47" spans="1:8" x14ac:dyDescent="0.3">
      <c r="A47" t="s">
        <v>50</v>
      </c>
      <c r="B47" t="s">
        <v>62</v>
      </c>
      <c r="C47" t="s">
        <v>63</v>
      </c>
      <c r="D47">
        <v>2019</v>
      </c>
      <c r="E47" s="2">
        <v>5</v>
      </c>
      <c r="F47" s="2">
        <v>550</v>
      </c>
      <c r="G47" s="2">
        <v>577.5</v>
      </c>
      <c r="H47" s="3" t="s">
        <v>18</v>
      </c>
    </row>
    <row r="48" spans="1:8" x14ac:dyDescent="0.3">
      <c r="A48" t="s">
        <v>50</v>
      </c>
      <c r="B48" t="s">
        <v>62</v>
      </c>
      <c r="C48" t="s">
        <v>63</v>
      </c>
      <c r="D48">
        <v>2020</v>
      </c>
      <c r="E48" s="2">
        <v>5</v>
      </c>
      <c r="F48" s="2">
        <v>550</v>
      </c>
      <c r="G48" s="2">
        <v>577.5</v>
      </c>
      <c r="H48" s="3" t="s">
        <v>18</v>
      </c>
    </row>
    <row r="49" spans="1:8" x14ac:dyDescent="0.3">
      <c r="A49" t="s">
        <v>50</v>
      </c>
      <c r="B49" t="s">
        <v>62</v>
      </c>
      <c r="C49" t="s">
        <v>63</v>
      </c>
      <c r="D49">
        <v>2021</v>
      </c>
      <c r="E49" s="2">
        <v>5</v>
      </c>
      <c r="F49" s="2">
        <v>550</v>
      </c>
      <c r="G49" s="2">
        <v>577.5</v>
      </c>
      <c r="H49" s="3" t="s">
        <v>18</v>
      </c>
    </row>
    <row r="50" spans="1:8" x14ac:dyDescent="0.3">
      <c r="A50" t="s">
        <v>50</v>
      </c>
      <c r="B50" t="s">
        <v>64</v>
      </c>
      <c r="C50" t="s">
        <v>65</v>
      </c>
      <c r="D50">
        <v>2019</v>
      </c>
      <c r="E50" s="2">
        <v>3</v>
      </c>
      <c r="F50" s="2">
        <v>345</v>
      </c>
      <c r="G50" s="2">
        <v>362.25</v>
      </c>
    </row>
    <row r="51" spans="1:8" x14ac:dyDescent="0.3">
      <c r="A51" t="s">
        <v>50</v>
      </c>
      <c r="B51" t="s">
        <v>21</v>
      </c>
      <c r="C51" t="s">
        <v>22</v>
      </c>
      <c r="D51">
        <v>2019</v>
      </c>
      <c r="E51" s="2">
        <v>5</v>
      </c>
      <c r="F51" s="2">
        <v>690</v>
      </c>
      <c r="G51" s="2">
        <v>724.5</v>
      </c>
    </row>
    <row r="52" spans="1:8" x14ac:dyDescent="0.3">
      <c r="A52" t="s">
        <v>50</v>
      </c>
      <c r="B52" t="s">
        <v>66</v>
      </c>
      <c r="C52" t="s">
        <v>67</v>
      </c>
      <c r="D52">
        <v>2019</v>
      </c>
      <c r="E52" s="2">
        <v>2</v>
      </c>
      <c r="F52" s="2">
        <v>500</v>
      </c>
      <c r="G52" s="2">
        <v>525</v>
      </c>
    </row>
    <row r="53" spans="1:8" x14ac:dyDescent="0.3">
      <c r="A53" t="s">
        <v>50</v>
      </c>
      <c r="B53" t="s">
        <v>66</v>
      </c>
      <c r="C53" t="s">
        <v>67</v>
      </c>
      <c r="D53">
        <v>2020</v>
      </c>
      <c r="E53" s="2">
        <v>6</v>
      </c>
      <c r="F53" s="2">
        <v>1500</v>
      </c>
      <c r="G53" s="2">
        <v>1575</v>
      </c>
    </row>
    <row r="54" spans="1:8" x14ac:dyDescent="0.3">
      <c r="A54" t="s">
        <v>50</v>
      </c>
      <c r="B54" t="s">
        <v>68</v>
      </c>
      <c r="C54" t="s">
        <v>69</v>
      </c>
      <c r="D54">
        <v>2019</v>
      </c>
      <c r="E54" s="2">
        <v>10</v>
      </c>
      <c r="F54" s="2">
        <v>1380</v>
      </c>
      <c r="G54" s="2">
        <v>1449</v>
      </c>
    </row>
    <row r="55" spans="1:8" x14ac:dyDescent="0.3">
      <c r="A55" t="s">
        <v>50</v>
      </c>
      <c r="B55" t="s">
        <v>68</v>
      </c>
      <c r="C55" t="s">
        <v>69</v>
      </c>
      <c r="D55">
        <v>2020</v>
      </c>
      <c r="E55" s="2">
        <v>5</v>
      </c>
      <c r="F55" s="2">
        <v>690</v>
      </c>
      <c r="G55" s="2">
        <v>724.5</v>
      </c>
    </row>
    <row r="56" spans="1:8" x14ac:dyDescent="0.3">
      <c r="A56" t="s">
        <v>50</v>
      </c>
      <c r="B56" t="s">
        <v>70</v>
      </c>
      <c r="C56" t="s">
        <v>71</v>
      </c>
      <c r="D56">
        <v>2018</v>
      </c>
      <c r="E56" s="2">
        <v>2</v>
      </c>
      <c r="F56" s="2">
        <v>360</v>
      </c>
      <c r="G56" s="2">
        <v>378</v>
      </c>
    </row>
    <row r="57" spans="1:8" x14ac:dyDescent="0.3">
      <c r="A57" t="s">
        <v>50</v>
      </c>
      <c r="B57" t="s">
        <v>72</v>
      </c>
      <c r="C57" t="s">
        <v>73</v>
      </c>
      <c r="D57">
        <v>2020</v>
      </c>
      <c r="E57" s="2">
        <v>5</v>
      </c>
      <c r="F57" s="2">
        <v>825</v>
      </c>
      <c r="G57" s="2">
        <v>866.25</v>
      </c>
    </row>
    <row r="58" spans="1:8" x14ac:dyDescent="0.3">
      <c r="A58" t="s">
        <v>50</v>
      </c>
      <c r="B58" t="s">
        <v>74</v>
      </c>
      <c r="C58" t="s">
        <v>75</v>
      </c>
      <c r="D58">
        <v>2018</v>
      </c>
      <c r="E58" s="2">
        <v>2</v>
      </c>
      <c r="F58" s="2">
        <v>400</v>
      </c>
      <c r="G58" s="2">
        <v>420</v>
      </c>
    </row>
    <row r="59" spans="1:8" x14ac:dyDescent="0.3">
      <c r="A59" t="s">
        <v>50</v>
      </c>
      <c r="B59" t="s">
        <v>74</v>
      </c>
      <c r="C59" t="s">
        <v>75</v>
      </c>
      <c r="D59">
        <v>2019</v>
      </c>
      <c r="E59" s="2">
        <v>30</v>
      </c>
      <c r="F59" s="2">
        <v>5400</v>
      </c>
      <c r="G59" s="2">
        <v>5670</v>
      </c>
    </row>
    <row r="60" spans="1:8" x14ac:dyDescent="0.3">
      <c r="A60" t="s">
        <v>50</v>
      </c>
      <c r="B60" t="s">
        <v>76</v>
      </c>
      <c r="C60" t="s">
        <v>77</v>
      </c>
      <c r="D60">
        <v>2019</v>
      </c>
      <c r="E60" s="2">
        <v>8</v>
      </c>
      <c r="F60" s="2">
        <v>920</v>
      </c>
      <c r="G60" s="2">
        <v>966</v>
      </c>
      <c r="H60" s="3" t="s">
        <v>18</v>
      </c>
    </row>
    <row r="61" spans="1:8" x14ac:dyDescent="0.3">
      <c r="A61" t="s">
        <v>50</v>
      </c>
      <c r="B61" t="s">
        <v>76</v>
      </c>
      <c r="C61" t="s">
        <v>77</v>
      </c>
      <c r="D61">
        <v>2021</v>
      </c>
      <c r="E61" s="2">
        <v>5</v>
      </c>
      <c r="F61" s="2">
        <v>575</v>
      </c>
      <c r="G61" s="2">
        <v>603.75</v>
      </c>
      <c r="H61" s="3" t="s">
        <v>18</v>
      </c>
    </row>
    <row r="62" spans="1:8" x14ac:dyDescent="0.3">
      <c r="A62" t="s">
        <v>78</v>
      </c>
      <c r="B62" t="s">
        <v>51</v>
      </c>
      <c r="C62" t="s">
        <v>52</v>
      </c>
      <c r="D62">
        <v>2018</v>
      </c>
      <c r="E62" s="2">
        <v>1</v>
      </c>
      <c r="F62" s="2">
        <v>280</v>
      </c>
      <c r="G62" s="2">
        <v>294</v>
      </c>
    </row>
    <row r="63" spans="1:8" x14ac:dyDescent="0.3">
      <c r="A63" t="s">
        <v>78</v>
      </c>
      <c r="B63" t="s">
        <v>79</v>
      </c>
      <c r="C63" t="s">
        <v>80</v>
      </c>
      <c r="D63">
        <v>2018</v>
      </c>
      <c r="E63" s="2">
        <v>1</v>
      </c>
      <c r="F63" s="2">
        <v>200</v>
      </c>
      <c r="G63" s="2">
        <v>210</v>
      </c>
    </row>
    <row r="64" spans="1:8" x14ac:dyDescent="0.3">
      <c r="A64" t="s">
        <v>78</v>
      </c>
      <c r="B64" t="s">
        <v>81</v>
      </c>
      <c r="D64">
        <v>2019</v>
      </c>
      <c r="E64" s="2">
        <v>4</v>
      </c>
      <c r="F64" s="2">
        <v>1040</v>
      </c>
      <c r="G64" s="2">
        <v>1092</v>
      </c>
    </row>
    <row r="65" spans="1:8" x14ac:dyDescent="0.3">
      <c r="A65" t="s">
        <v>78</v>
      </c>
      <c r="B65" t="s">
        <v>53</v>
      </c>
      <c r="C65" t="s">
        <v>54</v>
      </c>
      <c r="D65">
        <v>2018</v>
      </c>
      <c r="E65" s="2">
        <v>1</v>
      </c>
      <c r="F65" s="2">
        <v>260</v>
      </c>
      <c r="G65" s="2">
        <v>273</v>
      </c>
    </row>
    <row r="66" spans="1:8" x14ac:dyDescent="0.3">
      <c r="A66" t="s">
        <v>78</v>
      </c>
      <c r="B66" t="s">
        <v>82</v>
      </c>
      <c r="C66" t="s">
        <v>83</v>
      </c>
      <c r="D66">
        <v>2019</v>
      </c>
      <c r="E66" s="2">
        <v>1.5</v>
      </c>
      <c r="F66" s="2">
        <v>825</v>
      </c>
      <c r="G66" s="2">
        <v>866.25</v>
      </c>
      <c r="H66" s="3" t="s">
        <v>18</v>
      </c>
    </row>
    <row r="67" spans="1:8" x14ac:dyDescent="0.3">
      <c r="A67" t="s">
        <v>78</v>
      </c>
      <c r="B67" t="s">
        <v>82</v>
      </c>
      <c r="C67" t="s">
        <v>83</v>
      </c>
      <c r="D67">
        <v>2021</v>
      </c>
      <c r="E67" s="2">
        <v>1</v>
      </c>
      <c r="F67" s="2">
        <v>480</v>
      </c>
      <c r="G67" s="2">
        <v>504</v>
      </c>
      <c r="H67" s="3" t="s">
        <v>18</v>
      </c>
    </row>
    <row r="68" spans="1:8" x14ac:dyDescent="0.3">
      <c r="A68" t="s">
        <v>78</v>
      </c>
      <c r="B68" t="s">
        <v>84</v>
      </c>
      <c r="C68" t="s">
        <v>85</v>
      </c>
      <c r="D68">
        <v>2016</v>
      </c>
      <c r="E68" s="2">
        <v>1</v>
      </c>
      <c r="F68" s="2">
        <v>240</v>
      </c>
      <c r="G68" s="2"/>
      <c r="H68" s="3" t="s">
        <v>18</v>
      </c>
    </row>
    <row r="69" spans="1:8" x14ac:dyDescent="0.3">
      <c r="A69" t="s">
        <v>78</v>
      </c>
      <c r="B69" t="s">
        <v>84</v>
      </c>
      <c r="C69" t="s">
        <v>85</v>
      </c>
      <c r="D69">
        <v>2017</v>
      </c>
      <c r="E69" s="2">
        <v>5</v>
      </c>
      <c r="F69" s="2">
        <v>1080</v>
      </c>
      <c r="G69" s="2"/>
      <c r="H69" s="3" t="s">
        <v>18</v>
      </c>
    </row>
    <row r="70" spans="1:8" x14ac:dyDescent="0.3">
      <c r="A70" t="s">
        <v>78</v>
      </c>
      <c r="B70" t="s">
        <v>84</v>
      </c>
      <c r="C70" t="s">
        <v>85</v>
      </c>
      <c r="D70">
        <v>2018</v>
      </c>
      <c r="E70" s="2">
        <v>10</v>
      </c>
      <c r="F70" s="2">
        <v>2400</v>
      </c>
      <c r="G70" s="2">
        <v>2520</v>
      </c>
      <c r="H70" s="3" t="s">
        <v>18</v>
      </c>
    </row>
    <row r="71" spans="1:8" x14ac:dyDescent="0.3">
      <c r="A71" t="s">
        <v>78</v>
      </c>
      <c r="B71" t="s">
        <v>84</v>
      </c>
      <c r="C71" t="s">
        <v>85</v>
      </c>
      <c r="D71">
        <v>2019</v>
      </c>
      <c r="E71" s="2">
        <v>4.5</v>
      </c>
      <c r="F71" s="2">
        <v>1080</v>
      </c>
      <c r="G71" s="2">
        <v>1134</v>
      </c>
      <c r="H71" s="3" t="s">
        <v>18</v>
      </c>
    </row>
    <row r="72" spans="1:8" x14ac:dyDescent="0.3">
      <c r="A72" t="s">
        <v>78</v>
      </c>
      <c r="B72" t="s">
        <v>84</v>
      </c>
      <c r="C72" t="s">
        <v>85</v>
      </c>
      <c r="D72">
        <v>2020</v>
      </c>
      <c r="E72" s="2">
        <v>4</v>
      </c>
      <c r="F72" s="2">
        <v>840</v>
      </c>
      <c r="G72" s="2">
        <v>882</v>
      </c>
      <c r="H72" s="3" t="s">
        <v>18</v>
      </c>
    </row>
    <row r="73" spans="1:8" x14ac:dyDescent="0.3">
      <c r="A73" t="s">
        <v>78</v>
      </c>
      <c r="B73" t="s">
        <v>84</v>
      </c>
      <c r="C73" t="s">
        <v>85</v>
      </c>
      <c r="D73">
        <v>2021</v>
      </c>
      <c r="E73" s="2">
        <v>1</v>
      </c>
      <c r="F73" s="2">
        <v>240</v>
      </c>
      <c r="G73" s="2">
        <v>252</v>
      </c>
      <c r="H73" s="3" t="s">
        <v>18</v>
      </c>
    </row>
    <row r="74" spans="1:8" x14ac:dyDescent="0.3">
      <c r="A74" t="s">
        <v>78</v>
      </c>
      <c r="B74" t="s">
        <v>55</v>
      </c>
      <c r="D74">
        <v>2018</v>
      </c>
      <c r="E74" s="2">
        <v>4</v>
      </c>
      <c r="F74" s="2">
        <v>1200</v>
      </c>
      <c r="G74" s="2">
        <v>1260</v>
      </c>
      <c r="H74" s="3" t="s">
        <v>18</v>
      </c>
    </row>
    <row r="75" spans="1:8" x14ac:dyDescent="0.3">
      <c r="A75" t="s">
        <v>78</v>
      </c>
      <c r="B75" t="s">
        <v>55</v>
      </c>
      <c r="D75">
        <v>2019</v>
      </c>
      <c r="E75" s="2">
        <v>11</v>
      </c>
      <c r="F75" s="2">
        <v>3210</v>
      </c>
      <c r="G75" s="2">
        <v>3370.5</v>
      </c>
      <c r="H75" s="3" t="s">
        <v>18</v>
      </c>
    </row>
    <row r="76" spans="1:8" x14ac:dyDescent="0.3">
      <c r="A76" t="s">
        <v>78</v>
      </c>
      <c r="B76" t="s">
        <v>55</v>
      </c>
      <c r="D76">
        <v>2020</v>
      </c>
      <c r="E76" s="2">
        <v>3</v>
      </c>
      <c r="F76" s="2">
        <v>810</v>
      </c>
      <c r="G76" s="2">
        <v>850.5</v>
      </c>
      <c r="H76" s="3" t="s">
        <v>18</v>
      </c>
    </row>
    <row r="77" spans="1:8" x14ac:dyDescent="0.3">
      <c r="A77" t="s">
        <v>78</v>
      </c>
      <c r="B77" t="s">
        <v>55</v>
      </c>
      <c r="D77">
        <v>2021</v>
      </c>
      <c r="E77" s="2">
        <v>75</v>
      </c>
      <c r="F77" s="2">
        <v>1755</v>
      </c>
      <c r="G77" s="2">
        <v>1842.75</v>
      </c>
      <c r="H77" s="3" t="s">
        <v>18</v>
      </c>
    </row>
    <row r="78" spans="1:8" x14ac:dyDescent="0.3">
      <c r="A78" t="s">
        <v>78</v>
      </c>
      <c r="B78" t="s">
        <v>86</v>
      </c>
      <c r="C78" t="s">
        <v>87</v>
      </c>
      <c r="D78">
        <v>2018</v>
      </c>
      <c r="E78" s="2">
        <v>2</v>
      </c>
      <c r="F78" s="2">
        <v>700</v>
      </c>
      <c r="G78" s="2">
        <v>735</v>
      </c>
    </row>
    <row r="79" spans="1:8" x14ac:dyDescent="0.3">
      <c r="A79" t="s">
        <v>78</v>
      </c>
      <c r="B79" t="s">
        <v>88</v>
      </c>
      <c r="C79" t="s">
        <v>89</v>
      </c>
      <c r="D79">
        <v>2019</v>
      </c>
      <c r="E79" s="2">
        <v>1</v>
      </c>
      <c r="F79" s="2">
        <v>280</v>
      </c>
      <c r="G79" s="2">
        <v>294</v>
      </c>
      <c r="H79" s="3" t="s">
        <v>18</v>
      </c>
    </row>
    <row r="80" spans="1:8" x14ac:dyDescent="0.3">
      <c r="A80" t="s">
        <v>78</v>
      </c>
      <c r="B80" t="s">
        <v>88</v>
      </c>
      <c r="C80" t="s">
        <v>89</v>
      </c>
      <c r="D80">
        <v>2020</v>
      </c>
      <c r="E80" s="2">
        <v>1</v>
      </c>
      <c r="F80" s="2">
        <v>280</v>
      </c>
      <c r="G80" s="2">
        <v>294</v>
      </c>
      <c r="H80" s="3" t="s">
        <v>18</v>
      </c>
    </row>
    <row r="81" spans="1:8" x14ac:dyDescent="0.3">
      <c r="A81" t="s">
        <v>78</v>
      </c>
      <c r="B81" t="s">
        <v>88</v>
      </c>
      <c r="C81" t="s">
        <v>89</v>
      </c>
      <c r="D81">
        <v>2021</v>
      </c>
      <c r="E81" s="2">
        <v>1</v>
      </c>
      <c r="F81" s="2">
        <v>280</v>
      </c>
      <c r="G81" s="2">
        <v>294</v>
      </c>
      <c r="H81" s="3" t="s">
        <v>18</v>
      </c>
    </row>
    <row r="82" spans="1:8" x14ac:dyDescent="0.3">
      <c r="A82" t="s">
        <v>78</v>
      </c>
      <c r="B82" t="s">
        <v>90</v>
      </c>
      <c r="C82" t="s">
        <v>91</v>
      </c>
      <c r="D82">
        <v>2021</v>
      </c>
      <c r="E82" s="2">
        <v>1</v>
      </c>
      <c r="F82" s="2">
        <v>450</v>
      </c>
      <c r="G82" s="2">
        <v>472.5</v>
      </c>
      <c r="H82" s="3" t="s">
        <v>18</v>
      </c>
    </row>
    <row r="83" spans="1:8" x14ac:dyDescent="0.3">
      <c r="A83" t="s">
        <v>78</v>
      </c>
      <c r="B83" t="s">
        <v>92</v>
      </c>
      <c r="C83" t="s">
        <v>93</v>
      </c>
      <c r="D83">
        <v>2018</v>
      </c>
      <c r="E83" s="2">
        <v>1</v>
      </c>
      <c r="F83" s="2">
        <v>220</v>
      </c>
      <c r="G83" s="2">
        <v>231</v>
      </c>
    </row>
    <row r="84" spans="1:8" x14ac:dyDescent="0.3">
      <c r="A84" t="s">
        <v>78</v>
      </c>
      <c r="B84" t="s">
        <v>94</v>
      </c>
      <c r="D84">
        <v>2019</v>
      </c>
      <c r="E84" s="2">
        <v>1</v>
      </c>
      <c r="F84" s="2">
        <v>325</v>
      </c>
      <c r="G84" s="2">
        <v>341.25</v>
      </c>
    </row>
    <row r="85" spans="1:8" x14ac:dyDescent="0.3">
      <c r="A85" t="s">
        <v>78</v>
      </c>
      <c r="B85" t="s">
        <v>95</v>
      </c>
      <c r="C85" t="s">
        <v>96</v>
      </c>
      <c r="D85">
        <v>2018</v>
      </c>
      <c r="E85" s="2">
        <v>1</v>
      </c>
      <c r="F85" s="2">
        <v>220</v>
      </c>
      <c r="G85" s="2">
        <v>231</v>
      </c>
    </row>
    <row r="86" spans="1:8" x14ac:dyDescent="0.3">
      <c r="A86" t="s">
        <v>78</v>
      </c>
      <c r="B86" t="s">
        <v>58</v>
      </c>
      <c r="C86" t="s">
        <v>59</v>
      </c>
      <c r="D86">
        <v>2020</v>
      </c>
      <c r="E86" s="2">
        <v>1</v>
      </c>
      <c r="F86" s="2">
        <v>230</v>
      </c>
      <c r="G86" s="2">
        <v>241.5</v>
      </c>
    </row>
    <row r="87" spans="1:8" x14ac:dyDescent="0.3">
      <c r="A87" t="s">
        <v>78</v>
      </c>
      <c r="B87" t="s">
        <v>97</v>
      </c>
      <c r="C87" t="s">
        <v>98</v>
      </c>
      <c r="D87">
        <v>2018</v>
      </c>
      <c r="E87" s="2">
        <v>0.5</v>
      </c>
      <c r="F87" s="2">
        <v>90</v>
      </c>
      <c r="G87" s="2">
        <v>94.5</v>
      </c>
    </row>
    <row r="88" spans="1:8" x14ac:dyDescent="0.3">
      <c r="A88" t="s">
        <v>78</v>
      </c>
      <c r="B88" t="s">
        <v>99</v>
      </c>
      <c r="C88" t="s">
        <v>100</v>
      </c>
      <c r="D88">
        <v>2017</v>
      </c>
      <c r="E88" s="2">
        <v>1</v>
      </c>
      <c r="F88" s="2">
        <v>280</v>
      </c>
      <c r="G88" s="2"/>
    </row>
    <row r="89" spans="1:8" x14ac:dyDescent="0.3">
      <c r="A89" t="s">
        <v>78</v>
      </c>
      <c r="B89" t="s">
        <v>101</v>
      </c>
      <c r="C89" t="s">
        <v>102</v>
      </c>
      <c r="D89">
        <v>2018</v>
      </c>
      <c r="E89" s="2">
        <v>1</v>
      </c>
      <c r="F89" s="2">
        <v>270</v>
      </c>
      <c r="G89" s="2">
        <v>283.5</v>
      </c>
    </row>
    <row r="90" spans="1:8" x14ac:dyDescent="0.3">
      <c r="A90" t="s">
        <v>78</v>
      </c>
      <c r="B90" t="s">
        <v>60</v>
      </c>
      <c r="C90" t="s">
        <v>61</v>
      </c>
      <c r="D90">
        <v>2017</v>
      </c>
      <c r="E90" s="2">
        <v>1</v>
      </c>
      <c r="F90" s="2">
        <v>200</v>
      </c>
      <c r="G90" s="2"/>
    </row>
    <row r="91" spans="1:8" x14ac:dyDescent="0.3">
      <c r="A91" t="s">
        <v>78</v>
      </c>
      <c r="B91" t="s">
        <v>60</v>
      </c>
      <c r="C91" t="s">
        <v>61</v>
      </c>
      <c r="D91">
        <v>2018</v>
      </c>
      <c r="E91" s="2">
        <v>1</v>
      </c>
      <c r="F91" s="2">
        <v>200</v>
      </c>
      <c r="G91" s="2">
        <v>210</v>
      </c>
    </row>
    <row r="92" spans="1:8" x14ac:dyDescent="0.3">
      <c r="A92" t="s">
        <v>78</v>
      </c>
      <c r="B92" t="s">
        <v>103</v>
      </c>
      <c r="C92" t="s">
        <v>104</v>
      </c>
      <c r="D92">
        <v>2019</v>
      </c>
      <c r="E92" s="2">
        <v>1</v>
      </c>
      <c r="F92" s="2">
        <v>130</v>
      </c>
      <c r="G92" s="2">
        <v>136.5</v>
      </c>
    </row>
    <row r="93" spans="1:8" x14ac:dyDescent="0.3">
      <c r="A93" t="s">
        <v>78</v>
      </c>
      <c r="B93" t="s">
        <v>105</v>
      </c>
      <c r="C93" t="s">
        <v>106</v>
      </c>
      <c r="D93">
        <v>2020</v>
      </c>
      <c r="E93" s="2">
        <v>1</v>
      </c>
      <c r="F93" s="2">
        <v>140</v>
      </c>
      <c r="G93" s="2">
        <v>147</v>
      </c>
    </row>
    <row r="94" spans="1:8" x14ac:dyDescent="0.3">
      <c r="A94" t="s">
        <v>78</v>
      </c>
      <c r="B94" t="s">
        <v>19</v>
      </c>
      <c r="C94" t="s">
        <v>107</v>
      </c>
      <c r="D94">
        <v>2018</v>
      </c>
      <c r="E94" s="2">
        <v>1</v>
      </c>
      <c r="F94" s="2">
        <v>150</v>
      </c>
      <c r="G94" s="2">
        <v>157.5</v>
      </c>
    </row>
    <row r="95" spans="1:8" x14ac:dyDescent="0.3">
      <c r="A95" t="s">
        <v>78</v>
      </c>
      <c r="B95" t="s">
        <v>19</v>
      </c>
      <c r="C95" t="s">
        <v>20</v>
      </c>
      <c r="D95">
        <v>2019</v>
      </c>
      <c r="E95" s="2">
        <v>1</v>
      </c>
      <c r="F95" s="2">
        <v>75</v>
      </c>
      <c r="G95" s="2">
        <v>78.75</v>
      </c>
    </row>
    <row r="96" spans="1:8" x14ac:dyDescent="0.3">
      <c r="A96" t="s">
        <v>78</v>
      </c>
      <c r="B96" t="s">
        <v>19</v>
      </c>
      <c r="C96" t="s">
        <v>20</v>
      </c>
      <c r="D96">
        <v>2020</v>
      </c>
      <c r="E96" s="2">
        <v>6</v>
      </c>
      <c r="F96" s="2">
        <v>750</v>
      </c>
      <c r="G96" s="2">
        <v>787.5</v>
      </c>
    </row>
    <row r="97" spans="1:8" x14ac:dyDescent="0.3">
      <c r="A97" t="s">
        <v>78</v>
      </c>
      <c r="B97" t="s">
        <v>108</v>
      </c>
      <c r="C97" t="s">
        <v>109</v>
      </c>
      <c r="D97">
        <v>2017</v>
      </c>
      <c r="E97" s="2">
        <v>1</v>
      </c>
      <c r="F97" s="2">
        <v>280</v>
      </c>
      <c r="G97" s="2"/>
    </row>
    <row r="98" spans="1:8" x14ac:dyDescent="0.3">
      <c r="A98" t="s">
        <v>78</v>
      </c>
      <c r="B98" t="s">
        <v>110</v>
      </c>
      <c r="C98" t="s">
        <v>111</v>
      </c>
      <c r="D98">
        <v>2019</v>
      </c>
      <c r="E98" s="2">
        <v>1</v>
      </c>
      <c r="F98" s="2">
        <v>110</v>
      </c>
      <c r="G98" s="2">
        <v>115.5</v>
      </c>
    </row>
    <row r="99" spans="1:8" x14ac:dyDescent="0.3">
      <c r="A99" t="s">
        <v>78</v>
      </c>
      <c r="B99" t="s">
        <v>112</v>
      </c>
      <c r="C99" t="s">
        <v>113</v>
      </c>
      <c r="D99">
        <v>2018</v>
      </c>
      <c r="E99" s="2">
        <v>1</v>
      </c>
      <c r="F99" s="2">
        <v>250</v>
      </c>
      <c r="G99" s="2">
        <v>262.5</v>
      </c>
    </row>
    <row r="100" spans="1:8" x14ac:dyDescent="0.3">
      <c r="A100" t="s">
        <v>78</v>
      </c>
      <c r="B100" t="s">
        <v>114</v>
      </c>
      <c r="C100" t="s">
        <v>115</v>
      </c>
      <c r="D100">
        <v>2018</v>
      </c>
      <c r="E100" s="2">
        <v>1</v>
      </c>
      <c r="F100" s="2">
        <v>150</v>
      </c>
      <c r="G100" s="2">
        <v>157.5</v>
      </c>
    </row>
    <row r="101" spans="1:8" x14ac:dyDescent="0.3">
      <c r="A101" t="s">
        <v>78</v>
      </c>
      <c r="B101" t="s">
        <v>116</v>
      </c>
      <c r="C101" t="s">
        <v>89</v>
      </c>
      <c r="D101">
        <v>2018</v>
      </c>
      <c r="E101" s="2">
        <v>0.5</v>
      </c>
      <c r="F101" s="2">
        <v>140</v>
      </c>
      <c r="G101" s="2">
        <v>147</v>
      </c>
    </row>
    <row r="102" spans="1:8" x14ac:dyDescent="0.3">
      <c r="A102" t="s">
        <v>78</v>
      </c>
      <c r="B102" t="s">
        <v>117</v>
      </c>
      <c r="C102" t="s">
        <v>118</v>
      </c>
      <c r="D102">
        <v>2021</v>
      </c>
      <c r="E102" s="2">
        <v>1</v>
      </c>
      <c r="F102" s="2">
        <v>200</v>
      </c>
      <c r="G102" s="2">
        <v>210</v>
      </c>
      <c r="H102" s="3" t="s">
        <v>18</v>
      </c>
    </row>
    <row r="103" spans="1:8" x14ac:dyDescent="0.3">
      <c r="A103" t="s">
        <v>78</v>
      </c>
      <c r="B103" t="s">
        <v>119</v>
      </c>
      <c r="D103">
        <v>2020</v>
      </c>
      <c r="E103" s="2">
        <v>1</v>
      </c>
      <c r="F103" s="2">
        <v>200</v>
      </c>
      <c r="G103" s="2">
        <v>210</v>
      </c>
      <c r="H103" s="3" t="s">
        <v>18</v>
      </c>
    </row>
    <row r="104" spans="1:8" x14ac:dyDescent="0.3">
      <c r="A104" t="s">
        <v>78</v>
      </c>
      <c r="B104" t="s">
        <v>119</v>
      </c>
      <c r="D104">
        <v>2021</v>
      </c>
      <c r="E104" s="2">
        <v>1</v>
      </c>
      <c r="F104" s="2">
        <v>200</v>
      </c>
      <c r="G104" s="2">
        <v>210</v>
      </c>
      <c r="H104" s="3" t="s">
        <v>18</v>
      </c>
    </row>
    <row r="105" spans="1:8" x14ac:dyDescent="0.3">
      <c r="A105" t="s">
        <v>78</v>
      </c>
      <c r="B105" t="s">
        <v>120</v>
      </c>
      <c r="C105" t="s">
        <v>121</v>
      </c>
      <c r="D105">
        <v>2016</v>
      </c>
      <c r="E105" s="2">
        <v>1</v>
      </c>
      <c r="F105" s="2">
        <v>260</v>
      </c>
      <c r="G105" s="2"/>
    </row>
    <row r="106" spans="1:8" x14ac:dyDescent="0.3">
      <c r="A106" t="s">
        <v>78</v>
      </c>
      <c r="B106" t="s">
        <v>122</v>
      </c>
      <c r="C106" t="s">
        <v>123</v>
      </c>
      <c r="D106">
        <v>2018</v>
      </c>
      <c r="E106" s="2">
        <v>1</v>
      </c>
      <c r="F106" s="2">
        <v>280</v>
      </c>
      <c r="G106" s="2">
        <v>294</v>
      </c>
    </row>
    <row r="107" spans="1:8" x14ac:dyDescent="0.3">
      <c r="A107" t="s">
        <v>78</v>
      </c>
      <c r="B107" t="s">
        <v>124</v>
      </c>
      <c r="D107">
        <v>2019</v>
      </c>
      <c r="E107" s="2">
        <v>2.5</v>
      </c>
      <c r="F107" s="2">
        <v>900</v>
      </c>
      <c r="G107" s="2">
        <v>945</v>
      </c>
    </row>
    <row r="108" spans="1:8" x14ac:dyDescent="0.3">
      <c r="A108" t="s">
        <v>78</v>
      </c>
      <c r="B108" t="s">
        <v>125</v>
      </c>
      <c r="D108">
        <v>2018</v>
      </c>
      <c r="E108" s="2">
        <v>1</v>
      </c>
      <c r="F108" s="2">
        <v>350</v>
      </c>
      <c r="G108" s="2">
        <v>367.5</v>
      </c>
    </row>
    <row r="109" spans="1:8" x14ac:dyDescent="0.3">
      <c r="A109" t="s">
        <v>78</v>
      </c>
      <c r="B109" t="s">
        <v>125</v>
      </c>
      <c r="D109">
        <v>2020</v>
      </c>
      <c r="E109" s="2">
        <v>3</v>
      </c>
      <c r="F109" s="2">
        <v>1050</v>
      </c>
      <c r="G109" s="2">
        <v>1102.5</v>
      </c>
    </row>
    <row r="110" spans="1:8" x14ac:dyDescent="0.3">
      <c r="A110" t="s">
        <v>78</v>
      </c>
      <c r="B110" t="s">
        <v>126</v>
      </c>
      <c r="D110">
        <v>2019</v>
      </c>
      <c r="E110" s="2">
        <v>1</v>
      </c>
      <c r="F110" s="2">
        <v>125</v>
      </c>
      <c r="G110" s="2">
        <v>131.25</v>
      </c>
    </row>
    <row r="111" spans="1:8" x14ac:dyDescent="0.3">
      <c r="A111" t="s">
        <v>78</v>
      </c>
      <c r="B111" t="s">
        <v>127</v>
      </c>
      <c r="D111">
        <v>2019</v>
      </c>
      <c r="E111" s="2">
        <v>1</v>
      </c>
      <c r="F111" s="2">
        <v>125</v>
      </c>
      <c r="G111" s="2">
        <v>131.25</v>
      </c>
    </row>
    <row r="112" spans="1:8" x14ac:dyDescent="0.3">
      <c r="A112" t="s">
        <v>78</v>
      </c>
      <c r="B112" t="s">
        <v>128</v>
      </c>
      <c r="D112">
        <v>2019</v>
      </c>
      <c r="E112" s="2">
        <v>1</v>
      </c>
      <c r="F112" s="2">
        <v>125</v>
      </c>
      <c r="G112" s="2">
        <v>131.25</v>
      </c>
    </row>
    <row r="113" spans="1:8" x14ac:dyDescent="0.3">
      <c r="A113" t="s">
        <v>78</v>
      </c>
      <c r="B113" t="s">
        <v>129</v>
      </c>
      <c r="D113">
        <v>2017</v>
      </c>
      <c r="E113" s="2">
        <v>1</v>
      </c>
      <c r="F113" s="2">
        <v>280</v>
      </c>
      <c r="G113" s="2"/>
    </row>
    <row r="114" spans="1:8" x14ac:dyDescent="0.3">
      <c r="A114" t="s">
        <v>78</v>
      </c>
      <c r="B114" t="s">
        <v>129</v>
      </c>
      <c r="D114">
        <v>2018</v>
      </c>
      <c r="E114" s="2">
        <v>1.5</v>
      </c>
      <c r="F114" s="2">
        <v>420</v>
      </c>
      <c r="G114" s="2">
        <v>441</v>
      </c>
    </row>
    <row r="115" spans="1:8" x14ac:dyDescent="0.3">
      <c r="A115" t="s">
        <v>78</v>
      </c>
      <c r="B115" t="s">
        <v>130</v>
      </c>
      <c r="C115" t="s">
        <v>106</v>
      </c>
      <c r="D115">
        <v>2018</v>
      </c>
      <c r="E115" s="2">
        <v>0.5</v>
      </c>
      <c r="F115" s="2">
        <v>140</v>
      </c>
      <c r="G115" s="2">
        <v>147</v>
      </c>
    </row>
    <row r="116" spans="1:8" x14ac:dyDescent="0.3">
      <c r="A116" t="s">
        <v>78</v>
      </c>
      <c r="B116" t="s">
        <v>131</v>
      </c>
      <c r="C116" t="s">
        <v>132</v>
      </c>
      <c r="D116">
        <v>2018</v>
      </c>
      <c r="E116" s="2">
        <v>1</v>
      </c>
      <c r="F116" s="2">
        <v>230</v>
      </c>
      <c r="G116" s="2">
        <v>241.5</v>
      </c>
    </row>
    <row r="117" spans="1:8" x14ac:dyDescent="0.3">
      <c r="A117" t="s">
        <v>78</v>
      </c>
      <c r="B117" t="s">
        <v>131</v>
      </c>
      <c r="C117" t="s">
        <v>132</v>
      </c>
      <c r="D117">
        <v>2020</v>
      </c>
      <c r="E117" s="2">
        <v>1</v>
      </c>
      <c r="F117" s="2">
        <v>190</v>
      </c>
      <c r="G117" s="2">
        <v>199.5</v>
      </c>
    </row>
    <row r="118" spans="1:8" x14ac:dyDescent="0.3">
      <c r="A118" t="s">
        <v>78</v>
      </c>
      <c r="B118" t="s">
        <v>133</v>
      </c>
      <c r="C118" t="s">
        <v>134</v>
      </c>
      <c r="D118">
        <v>2019</v>
      </c>
      <c r="E118" s="2">
        <v>3</v>
      </c>
      <c r="F118" s="2">
        <v>1050</v>
      </c>
      <c r="G118" s="2">
        <v>1102.5</v>
      </c>
    </row>
    <row r="119" spans="1:8" x14ac:dyDescent="0.3">
      <c r="A119" t="s">
        <v>78</v>
      </c>
      <c r="B119" t="s">
        <v>133</v>
      </c>
      <c r="C119" t="s">
        <v>134</v>
      </c>
      <c r="D119">
        <v>2020</v>
      </c>
      <c r="E119" s="2">
        <v>1</v>
      </c>
      <c r="F119" s="2">
        <v>350</v>
      </c>
      <c r="G119" s="2">
        <v>367.5</v>
      </c>
      <c r="H119" s="3" t="s">
        <v>18</v>
      </c>
    </row>
    <row r="120" spans="1:8" x14ac:dyDescent="0.3">
      <c r="A120" t="s">
        <v>78</v>
      </c>
      <c r="B120" t="s">
        <v>133</v>
      </c>
      <c r="C120" t="s">
        <v>134</v>
      </c>
      <c r="D120">
        <v>2021</v>
      </c>
      <c r="E120" s="2">
        <v>1</v>
      </c>
      <c r="F120" s="2">
        <v>350</v>
      </c>
      <c r="G120" s="2">
        <v>367.5</v>
      </c>
      <c r="H120" s="3" t="s">
        <v>18</v>
      </c>
    </row>
    <row r="121" spans="1:8" x14ac:dyDescent="0.3">
      <c r="A121" t="s">
        <v>78</v>
      </c>
      <c r="B121" t="s">
        <v>135</v>
      </c>
      <c r="C121" t="s">
        <v>136</v>
      </c>
      <c r="D121">
        <v>2016</v>
      </c>
      <c r="E121" s="2">
        <v>1</v>
      </c>
      <c r="F121" s="2">
        <v>200</v>
      </c>
      <c r="G121" s="2"/>
    </row>
    <row r="122" spans="1:8" x14ac:dyDescent="0.3">
      <c r="A122" t="s">
        <v>78</v>
      </c>
      <c r="B122" t="s">
        <v>68</v>
      </c>
      <c r="C122" t="s">
        <v>69</v>
      </c>
      <c r="D122">
        <v>2018</v>
      </c>
      <c r="E122" s="2">
        <v>1</v>
      </c>
      <c r="F122" s="2">
        <v>170</v>
      </c>
      <c r="G122" s="2">
        <v>178.5</v>
      </c>
    </row>
    <row r="123" spans="1:8" x14ac:dyDescent="0.3">
      <c r="A123" t="s">
        <v>78</v>
      </c>
      <c r="B123" t="s">
        <v>137</v>
      </c>
      <c r="C123" t="s">
        <v>138</v>
      </c>
      <c r="D123">
        <v>2016</v>
      </c>
      <c r="E123" s="2">
        <v>1</v>
      </c>
      <c r="F123" s="2">
        <v>240</v>
      </c>
      <c r="G123" s="2"/>
    </row>
    <row r="124" spans="1:8" x14ac:dyDescent="0.3">
      <c r="A124" t="s">
        <v>78</v>
      </c>
      <c r="B124" t="s">
        <v>139</v>
      </c>
      <c r="D124">
        <v>2018</v>
      </c>
      <c r="E124" s="2">
        <v>1</v>
      </c>
      <c r="F124" s="2">
        <v>270</v>
      </c>
      <c r="G124" s="2">
        <v>283.5</v>
      </c>
    </row>
    <row r="125" spans="1:8" x14ac:dyDescent="0.3">
      <c r="A125" t="s">
        <v>78</v>
      </c>
      <c r="B125" t="s">
        <v>140</v>
      </c>
      <c r="C125" t="s">
        <v>141</v>
      </c>
      <c r="D125">
        <v>2019</v>
      </c>
      <c r="E125" s="2">
        <v>1</v>
      </c>
      <c r="F125" s="2">
        <v>150</v>
      </c>
      <c r="G125" s="2">
        <v>157.5</v>
      </c>
    </row>
    <row r="126" spans="1:8" x14ac:dyDescent="0.3">
      <c r="A126" t="s">
        <v>78</v>
      </c>
      <c r="B126" t="s">
        <v>142</v>
      </c>
      <c r="C126" t="s">
        <v>143</v>
      </c>
      <c r="D126">
        <v>2016</v>
      </c>
      <c r="E126" s="2">
        <v>1</v>
      </c>
      <c r="F126" s="2">
        <v>220</v>
      </c>
      <c r="G126" s="2"/>
    </row>
    <row r="127" spans="1:8" x14ac:dyDescent="0.3">
      <c r="A127" t="s">
        <v>78</v>
      </c>
      <c r="B127" t="s">
        <v>142</v>
      </c>
      <c r="C127" t="s">
        <v>143</v>
      </c>
      <c r="D127">
        <v>2018</v>
      </c>
      <c r="E127" s="2">
        <v>1</v>
      </c>
      <c r="F127" s="2">
        <v>220</v>
      </c>
      <c r="G127" s="2">
        <v>231</v>
      </c>
    </row>
    <row r="128" spans="1:8" x14ac:dyDescent="0.3">
      <c r="A128" t="s">
        <v>78</v>
      </c>
      <c r="B128" t="s">
        <v>144</v>
      </c>
      <c r="C128" t="s">
        <v>145</v>
      </c>
      <c r="D128">
        <v>2018</v>
      </c>
      <c r="E128" s="2">
        <v>1</v>
      </c>
      <c r="F128" s="2">
        <v>300</v>
      </c>
      <c r="G128" s="2">
        <v>315</v>
      </c>
    </row>
    <row r="129" spans="1:8" x14ac:dyDescent="0.3">
      <c r="A129" t="s">
        <v>78</v>
      </c>
      <c r="B129" t="s">
        <v>146</v>
      </c>
      <c r="D129">
        <v>2021</v>
      </c>
      <c r="E129" s="2">
        <v>1</v>
      </c>
      <c r="F129" s="2">
        <v>310</v>
      </c>
      <c r="G129" s="2">
        <v>325.5</v>
      </c>
      <c r="H129" s="3" t="s">
        <v>147</v>
      </c>
    </row>
    <row r="130" spans="1:8" x14ac:dyDescent="0.3">
      <c r="A130" t="s">
        <v>78</v>
      </c>
      <c r="B130" t="s">
        <v>148</v>
      </c>
      <c r="D130">
        <v>2021</v>
      </c>
      <c r="E130" s="2">
        <v>2</v>
      </c>
      <c r="F130" s="2">
        <v>660</v>
      </c>
      <c r="G130" s="2">
        <v>693</v>
      </c>
      <c r="H130" s="3" t="s">
        <v>18</v>
      </c>
    </row>
    <row r="131" spans="1:8" x14ac:dyDescent="0.3">
      <c r="A131" t="s">
        <v>78</v>
      </c>
      <c r="B131" t="s">
        <v>72</v>
      </c>
      <c r="C131" t="s">
        <v>73</v>
      </c>
      <c r="D131">
        <v>2017</v>
      </c>
      <c r="E131" s="2">
        <v>1</v>
      </c>
      <c r="F131" s="2">
        <v>270</v>
      </c>
      <c r="G131" s="2"/>
    </row>
    <row r="132" spans="1:8" x14ac:dyDescent="0.3">
      <c r="A132" t="s">
        <v>78</v>
      </c>
      <c r="B132" t="s">
        <v>72</v>
      </c>
      <c r="C132" t="s">
        <v>73</v>
      </c>
      <c r="D132">
        <v>2018</v>
      </c>
      <c r="E132" s="2">
        <v>7.5</v>
      </c>
      <c r="F132" s="2">
        <v>1237.5</v>
      </c>
      <c r="G132" s="2">
        <v>1299.375</v>
      </c>
    </row>
    <row r="133" spans="1:8" x14ac:dyDescent="0.3">
      <c r="A133" t="s">
        <v>78</v>
      </c>
      <c r="B133" t="s">
        <v>72</v>
      </c>
      <c r="C133" t="s">
        <v>73</v>
      </c>
      <c r="D133">
        <v>2019</v>
      </c>
      <c r="E133" s="2">
        <v>11</v>
      </c>
      <c r="F133" s="2">
        <v>2925</v>
      </c>
      <c r="G133" s="2">
        <v>3071.25</v>
      </c>
    </row>
    <row r="134" spans="1:8" x14ac:dyDescent="0.3">
      <c r="A134" t="s">
        <v>78</v>
      </c>
      <c r="B134" t="s">
        <v>72</v>
      </c>
      <c r="C134" t="s">
        <v>73</v>
      </c>
      <c r="D134">
        <v>2020</v>
      </c>
      <c r="E134" s="2">
        <v>8</v>
      </c>
      <c r="F134" s="2">
        <v>2400</v>
      </c>
      <c r="G134" s="2">
        <v>2520</v>
      </c>
    </row>
    <row r="135" spans="1:8" x14ac:dyDescent="0.3">
      <c r="A135" t="s">
        <v>78</v>
      </c>
      <c r="B135" t="s">
        <v>149</v>
      </c>
      <c r="C135" t="s">
        <v>150</v>
      </c>
      <c r="D135">
        <v>2018</v>
      </c>
      <c r="E135" s="2">
        <v>2.5</v>
      </c>
      <c r="F135" s="2">
        <v>575</v>
      </c>
      <c r="G135" s="2">
        <v>603.75</v>
      </c>
    </row>
    <row r="136" spans="1:8" x14ac:dyDescent="0.3">
      <c r="A136" t="s">
        <v>78</v>
      </c>
      <c r="B136" t="s">
        <v>151</v>
      </c>
      <c r="C136" t="s">
        <v>152</v>
      </c>
      <c r="D136">
        <v>2021</v>
      </c>
      <c r="E136" s="2">
        <v>1</v>
      </c>
      <c r="F136" s="2">
        <v>240</v>
      </c>
      <c r="G136" s="2">
        <v>252</v>
      </c>
      <c r="H136" s="3" t="s">
        <v>18</v>
      </c>
    </row>
    <row r="137" spans="1:8" x14ac:dyDescent="0.3">
      <c r="A137" t="s">
        <v>78</v>
      </c>
      <c r="B137" t="s">
        <v>153</v>
      </c>
      <c r="C137" t="s">
        <v>154</v>
      </c>
      <c r="D137">
        <v>2016</v>
      </c>
      <c r="E137" s="2">
        <v>1</v>
      </c>
      <c r="F137" s="2">
        <v>230</v>
      </c>
      <c r="G137" s="2"/>
      <c r="H137" s="3" t="s">
        <v>18</v>
      </c>
    </row>
    <row r="138" spans="1:8" x14ac:dyDescent="0.3">
      <c r="A138" t="s">
        <v>78</v>
      </c>
      <c r="B138" t="s">
        <v>153</v>
      </c>
      <c r="C138" t="s">
        <v>154</v>
      </c>
      <c r="D138">
        <v>2018</v>
      </c>
      <c r="E138" s="2">
        <v>0.5</v>
      </c>
      <c r="F138" s="2">
        <v>125</v>
      </c>
      <c r="G138" s="2">
        <v>131.25</v>
      </c>
      <c r="H138" s="3" t="s">
        <v>18</v>
      </c>
    </row>
    <row r="139" spans="1:8" x14ac:dyDescent="0.3">
      <c r="A139" t="s">
        <v>78</v>
      </c>
      <c r="B139" t="s">
        <v>153</v>
      </c>
      <c r="C139" t="s">
        <v>154</v>
      </c>
      <c r="D139">
        <v>2019</v>
      </c>
      <c r="E139" s="2">
        <v>4</v>
      </c>
      <c r="F139" s="2">
        <v>1000</v>
      </c>
      <c r="G139" s="2">
        <v>1050</v>
      </c>
      <c r="H139" s="3" t="s">
        <v>18</v>
      </c>
    </row>
    <row r="140" spans="1:8" x14ac:dyDescent="0.3">
      <c r="A140" t="s">
        <v>78</v>
      </c>
      <c r="B140" t="s">
        <v>153</v>
      </c>
      <c r="C140" t="s">
        <v>154</v>
      </c>
      <c r="D140">
        <v>2021</v>
      </c>
      <c r="E140" s="2">
        <v>2</v>
      </c>
      <c r="F140" s="2">
        <v>500</v>
      </c>
      <c r="G140" s="2">
        <v>525</v>
      </c>
      <c r="H140" s="3" t="s">
        <v>18</v>
      </c>
    </row>
    <row r="141" spans="1:8" x14ac:dyDescent="0.3">
      <c r="A141" t="s">
        <v>78</v>
      </c>
      <c r="B141" t="s">
        <v>155</v>
      </c>
      <c r="C141" t="s">
        <v>156</v>
      </c>
      <c r="D141">
        <v>2018</v>
      </c>
      <c r="E141" s="2">
        <v>1</v>
      </c>
      <c r="F141" s="2">
        <v>150</v>
      </c>
      <c r="G141" s="2">
        <v>157.5</v>
      </c>
    </row>
    <row r="142" spans="1:8" x14ac:dyDescent="0.3">
      <c r="A142" t="s">
        <v>78</v>
      </c>
      <c r="B142" t="s">
        <v>157</v>
      </c>
      <c r="C142" t="s">
        <v>158</v>
      </c>
      <c r="D142">
        <v>2019</v>
      </c>
      <c r="E142" s="2">
        <v>1.5</v>
      </c>
      <c r="F142" s="2">
        <v>600</v>
      </c>
      <c r="G142" s="2">
        <v>630</v>
      </c>
      <c r="H142" s="3" t="s">
        <v>18</v>
      </c>
    </row>
    <row r="143" spans="1:8" x14ac:dyDescent="0.3">
      <c r="A143" t="s">
        <v>78</v>
      </c>
      <c r="B143" t="s">
        <v>157</v>
      </c>
      <c r="C143" t="s">
        <v>158</v>
      </c>
      <c r="D143">
        <v>2020</v>
      </c>
      <c r="E143" s="2">
        <v>6</v>
      </c>
      <c r="F143" s="2">
        <v>3300</v>
      </c>
      <c r="G143" s="2">
        <v>3465</v>
      </c>
      <c r="H143" s="3" t="s">
        <v>18</v>
      </c>
    </row>
    <row r="144" spans="1:8" x14ac:dyDescent="0.3">
      <c r="A144" t="s">
        <v>78</v>
      </c>
      <c r="B144" t="s">
        <v>157</v>
      </c>
      <c r="C144" t="s">
        <v>158</v>
      </c>
      <c r="D144">
        <v>2021</v>
      </c>
      <c r="E144" s="2">
        <v>7</v>
      </c>
      <c r="F144" s="2">
        <v>3850</v>
      </c>
      <c r="G144" s="2">
        <v>4042.5</v>
      </c>
      <c r="H144" s="3" t="s">
        <v>18</v>
      </c>
    </row>
    <row r="145" spans="1:7" x14ac:dyDescent="0.3">
      <c r="A145" t="s">
        <v>78</v>
      </c>
      <c r="B145" t="s">
        <v>159</v>
      </c>
      <c r="C145" t="s">
        <v>160</v>
      </c>
      <c r="D145">
        <v>2018</v>
      </c>
      <c r="E145" s="2">
        <v>1</v>
      </c>
      <c r="F145" s="2">
        <v>240</v>
      </c>
      <c r="G145" s="2">
        <v>252</v>
      </c>
    </row>
    <row r="146" spans="1:7" x14ac:dyDescent="0.3">
      <c r="A146" t="s">
        <v>78</v>
      </c>
      <c r="B146" t="s">
        <v>161</v>
      </c>
      <c r="C146" t="s">
        <v>162</v>
      </c>
      <c r="D146">
        <v>2019</v>
      </c>
      <c r="E146" s="2">
        <v>1</v>
      </c>
      <c r="F146" s="2">
        <v>265</v>
      </c>
      <c r="G146" s="2">
        <v>278.25</v>
      </c>
    </row>
    <row r="147" spans="1:7" x14ac:dyDescent="0.3">
      <c r="A147" t="s">
        <v>78</v>
      </c>
      <c r="B147" t="s">
        <v>163</v>
      </c>
      <c r="C147" t="s">
        <v>164</v>
      </c>
      <c r="D147">
        <v>2019</v>
      </c>
      <c r="E147" s="2">
        <v>2</v>
      </c>
      <c r="F147" s="2">
        <v>400</v>
      </c>
      <c r="G147" s="2">
        <v>420</v>
      </c>
    </row>
    <row r="148" spans="1:7" x14ac:dyDescent="0.3">
      <c r="A148" t="s">
        <v>165</v>
      </c>
      <c r="B148" t="s">
        <v>166</v>
      </c>
      <c r="C148" t="s">
        <v>167</v>
      </c>
      <c r="D148">
        <v>2015</v>
      </c>
      <c r="E148" s="2">
        <v>1</v>
      </c>
      <c r="F148" s="2">
        <v>270</v>
      </c>
      <c r="G148" s="2"/>
    </row>
    <row r="149" spans="1:7" x14ac:dyDescent="0.3">
      <c r="A149" t="s">
        <v>165</v>
      </c>
      <c r="B149" t="s">
        <v>168</v>
      </c>
      <c r="C149" t="s">
        <v>169</v>
      </c>
      <c r="D149">
        <v>2015</v>
      </c>
      <c r="E149" s="2">
        <v>1</v>
      </c>
      <c r="F149" s="2">
        <v>160</v>
      </c>
      <c r="G149" s="2"/>
    </row>
    <row r="150" spans="1:7" x14ac:dyDescent="0.3">
      <c r="A150" t="s">
        <v>165</v>
      </c>
      <c r="B150" t="s">
        <v>170</v>
      </c>
      <c r="C150" t="s">
        <v>171</v>
      </c>
      <c r="D150">
        <v>2015</v>
      </c>
      <c r="E150" s="2">
        <v>1</v>
      </c>
      <c r="F150" s="2">
        <v>180</v>
      </c>
      <c r="G150" s="2"/>
    </row>
    <row r="151" spans="1:7" x14ac:dyDescent="0.3">
      <c r="A151" t="s">
        <v>165</v>
      </c>
      <c r="B151" t="s">
        <v>79</v>
      </c>
      <c r="C151" t="s">
        <v>80</v>
      </c>
      <c r="D151">
        <v>2017</v>
      </c>
      <c r="E151" s="2">
        <v>1</v>
      </c>
      <c r="F151" s="2">
        <v>135</v>
      </c>
      <c r="G151" s="2"/>
    </row>
    <row r="152" spans="1:7" x14ac:dyDescent="0.3">
      <c r="A152" t="s">
        <v>165</v>
      </c>
      <c r="B152" t="s">
        <v>172</v>
      </c>
      <c r="C152" t="s">
        <v>173</v>
      </c>
      <c r="D152">
        <v>2015</v>
      </c>
      <c r="E152" s="2">
        <v>1</v>
      </c>
      <c r="F152" s="2">
        <v>150</v>
      </c>
      <c r="G152" s="2"/>
    </row>
    <row r="153" spans="1:7" x14ac:dyDescent="0.3">
      <c r="A153" t="s">
        <v>165</v>
      </c>
      <c r="B153" t="s">
        <v>174</v>
      </c>
      <c r="C153" t="s">
        <v>175</v>
      </c>
      <c r="D153">
        <v>2017</v>
      </c>
      <c r="E153" s="2">
        <v>1</v>
      </c>
      <c r="F153" s="2">
        <v>75</v>
      </c>
      <c r="G153" s="2"/>
    </row>
    <row r="154" spans="1:7" x14ac:dyDescent="0.3">
      <c r="A154" t="s">
        <v>165</v>
      </c>
      <c r="B154" t="s">
        <v>176</v>
      </c>
      <c r="C154" t="s">
        <v>177</v>
      </c>
      <c r="D154">
        <v>2011</v>
      </c>
      <c r="E154" s="2">
        <v>100</v>
      </c>
      <c r="F154" s="2">
        <v>17296</v>
      </c>
      <c r="G154" s="2"/>
    </row>
    <row r="155" spans="1:7" x14ac:dyDescent="0.3">
      <c r="A155" t="s">
        <v>165</v>
      </c>
      <c r="B155" t="s">
        <v>176</v>
      </c>
      <c r="C155" t="s">
        <v>177</v>
      </c>
      <c r="D155">
        <v>2011</v>
      </c>
      <c r="E155" s="2">
        <v>100</v>
      </c>
      <c r="F155" s="2">
        <v>16192</v>
      </c>
      <c r="G155" s="2"/>
    </row>
    <row r="156" spans="1:7" x14ac:dyDescent="0.3">
      <c r="A156" t="s">
        <v>165</v>
      </c>
      <c r="B156" t="s">
        <v>176</v>
      </c>
      <c r="C156" t="s">
        <v>177</v>
      </c>
      <c r="D156">
        <v>2012</v>
      </c>
      <c r="E156" s="2">
        <v>150</v>
      </c>
      <c r="F156" s="2">
        <v>24552.5</v>
      </c>
      <c r="G156" s="2"/>
    </row>
    <row r="157" spans="1:7" x14ac:dyDescent="0.3">
      <c r="A157" t="s">
        <v>165</v>
      </c>
      <c r="B157" t="s">
        <v>176</v>
      </c>
      <c r="C157" t="s">
        <v>177</v>
      </c>
      <c r="D157">
        <v>2013</v>
      </c>
      <c r="E157" s="2">
        <v>50</v>
      </c>
      <c r="F157" s="2">
        <v>8360.5</v>
      </c>
      <c r="G157" s="2"/>
    </row>
    <row r="158" spans="1:7" x14ac:dyDescent="0.3">
      <c r="A158" t="s">
        <v>165</v>
      </c>
      <c r="B158" t="s">
        <v>178</v>
      </c>
      <c r="C158" t="s">
        <v>179</v>
      </c>
      <c r="D158">
        <v>2014</v>
      </c>
      <c r="E158" s="2">
        <v>50</v>
      </c>
      <c r="F158" s="2">
        <v>14500</v>
      </c>
      <c r="G158" s="2"/>
    </row>
    <row r="159" spans="1:7" x14ac:dyDescent="0.3">
      <c r="A159" t="s">
        <v>165</v>
      </c>
      <c r="B159" t="s">
        <v>180</v>
      </c>
      <c r="C159" t="s">
        <v>181</v>
      </c>
      <c r="D159">
        <v>2017</v>
      </c>
      <c r="E159" s="2">
        <v>1</v>
      </c>
      <c r="F159" s="2">
        <v>140</v>
      </c>
      <c r="G159" s="2"/>
    </row>
    <row r="160" spans="1:7" x14ac:dyDescent="0.3">
      <c r="A160" t="s">
        <v>165</v>
      </c>
      <c r="B160" t="s">
        <v>182</v>
      </c>
      <c r="C160" t="s">
        <v>183</v>
      </c>
      <c r="D160">
        <v>2014</v>
      </c>
      <c r="E160" s="2">
        <v>50</v>
      </c>
      <c r="F160" s="2">
        <v>7000</v>
      </c>
      <c r="G160" s="2"/>
    </row>
    <row r="161" spans="1:7" x14ac:dyDescent="0.3">
      <c r="A161" t="s">
        <v>165</v>
      </c>
      <c r="B161" t="s">
        <v>184</v>
      </c>
      <c r="C161" t="s">
        <v>185</v>
      </c>
      <c r="D161">
        <v>2017</v>
      </c>
      <c r="E161" s="2">
        <v>1</v>
      </c>
      <c r="F161" s="2">
        <v>65</v>
      </c>
      <c r="G161" s="2"/>
    </row>
    <row r="162" spans="1:7" x14ac:dyDescent="0.3">
      <c r="A162" t="s">
        <v>165</v>
      </c>
      <c r="B162" t="s">
        <v>60</v>
      </c>
      <c r="C162" t="s">
        <v>186</v>
      </c>
      <c r="D162">
        <v>2011</v>
      </c>
      <c r="E162" s="2">
        <v>75</v>
      </c>
      <c r="F162" s="2">
        <v>12696</v>
      </c>
      <c r="G162" s="2"/>
    </row>
    <row r="163" spans="1:7" x14ac:dyDescent="0.3">
      <c r="A163" t="s">
        <v>165</v>
      </c>
      <c r="B163" t="s">
        <v>60</v>
      </c>
      <c r="C163" t="s">
        <v>186</v>
      </c>
      <c r="D163">
        <v>2012</v>
      </c>
      <c r="E163" s="2">
        <v>50</v>
      </c>
      <c r="F163" s="2">
        <v>8464</v>
      </c>
      <c r="G163" s="2"/>
    </row>
    <row r="164" spans="1:7" x14ac:dyDescent="0.3">
      <c r="A164" t="s">
        <v>165</v>
      </c>
      <c r="B164" t="s">
        <v>60</v>
      </c>
      <c r="C164" t="s">
        <v>186</v>
      </c>
      <c r="D164">
        <v>2013</v>
      </c>
      <c r="E164" s="2">
        <v>40</v>
      </c>
      <c r="F164" s="2">
        <v>6771.2</v>
      </c>
      <c r="G164" s="2"/>
    </row>
    <row r="165" spans="1:7" x14ac:dyDescent="0.3">
      <c r="A165" t="s">
        <v>165</v>
      </c>
      <c r="B165" t="s">
        <v>60</v>
      </c>
      <c r="C165" t="s">
        <v>186</v>
      </c>
      <c r="D165">
        <v>2016</v>
      </c>
      <c r="E165" s="2">
        <v>10</v>
      </c>
      <c r="F165" s="2">
        <v>2000</v>
      </c>
      <c r="G165" s="2"/>
    </row>
    <row r="166" spans="1:7" x14ac:dyDescent="0.3">
      <c r="A166" t="s">
        <v>165</v>
      </c>
      <c r="B166" t="s">
        <v>103</v>
      </c>
      <c r="C166" t="s">
        <v>104</v>
      </c>
      <c r="D166">
        <v>2017</v>
      </c>
      <c r="E166" s="2">
        <v>5</v>
      </c>
      <c r="F166" s="2">
        <v>850</v>
      </c>
      <c r="G166" s="2"/>
    </row>
    <row r="167" spans="1:7" x14ac:dyDescent="0.3">
      <c r="A167" t="s">
        <v>165</v>
      </c>
      <c r="B167" t="s">
        <v>19</v>
      </c>
      <c r="C167" t="s">
        <v>20</v>
      </c>
      <c r="D167">
        <v>2017</v>
      </c>
      <c r="E167" s="2">
        <v>1</v>
      </c>
      <c r="F167" s="2">
        <v>95</v>
      </c>
      <c r="G167" s="2"/>
    </row>
    <row r="168" spans="1:7" x14ac:dyDescent="0.3">
      <c r="A168" t="s">
        <v>165</v>
      </c>
      <c r="B168" t="s">
        <v>41</v>
      </c>
      <c r="C168" t="s">
        <v>42</v>
      </c>
      <c r="D168">
        <v>2017</v>
      </c>
      <c r="E168" s="2">
        <v>1</v>
      </c>
      <c r="F168" s="2">
        <v>70</v>
      </c>
      <c r="G168" s="2"/>
    </row>
    <row r="169" spans="1:7" x14ac:dyDescent="0.3">
      <c r="A169" t="s">
        <v>165</v>
      </c>
      <c r="B169" t="s">
        <v>187</v>
      </c>
      <c r="C169" t="s">
        <v>188</v>
      </c>
      <c r="D169">
        <v>2017</v>
      </c>
      <c r="E169" s="2">
        <v>1</v>
      </c>
      <c r="F169" s="2">
        <v>75</v>
      </c>
      <c r="G169" s="2"/>
    </row>
    <row r="170" spans="1:7" x14ac:dyDescent="0.3">
      <c r="A170" t="s">
        <v>165</v>
      </c>
      <c r="B170" t="s">
        <v>135</v>
      </c>
      <c r="C170" t="s">
        <v>136</v>
      </c>
      <c r="D170">
        <v>2014</v>
      </c>
      <c r="E170" s="2">
        <v>20</v>
      </c>
      <c r="F170" s="2">
        <v>3540</v>
      </c>
      <c r="G170" s="2"/>
    </row>
    <row r="171" spans="1:7" x14ac:dyDescent="0.3">
      <c r="A171" t="s">
        <v>165</v>
      </c>
      <c r="B171" t="s">
        <v>135</v>
      </c>
      <c r="C171" t="s">
        <v>136</v>
      </c>
      <c r="D171">
        <v>2016</v>
      </c>
      <c r="E171" s="2">
        <v>5</v>
      </c>
      <c r="F171" s="2">
        <v>1000</v>
      </c>
      <c r="G171" s="2"/>
    </row>
    <row r="172" spans="1:7" x14ac:dyDescent="0.3">
      <c r="A172" t="s">
        <v>165</v>
      </c>
      <c r="B172" t="s">
        <v>68</v>
      </c>
      <c r="C172" t="s">
        <v>69</v>
      </c>
      <c r="D172">
        <v>2017</v>
      </c>
      <c r="E172" s="2">
        <v>1</v>
      </c>
      <c r="F172" s="2">
        <v>75</v>
      </c>
      <c r="G172" s="2"/>
    </row>
    <row r="173" spans="1:7" x14ac:dyDescent="0.3">
      <c r="A173" t="s">
        <v>165</v>
      </c>
      <c r="B173" t="s">
        <v>189</v>
      </c>
      <c r="D173">
        <v>2019</v>
      </c>
      <c r="E173" s="2">
        <v>10</v>
      </c>
      <c r="F173" s="2">
        <v>5000</v>
      </c>
      <c r="G173" s="2">
        <v>5250</v>
      </c>
    </row>
    <row r="174" spans="1:7" x14ac:dyDescent="0.3">
      <c r="A174" t="s">
        <v>165</v>
      </c>
      <c r="B174" t="s">
        <v>190</v>
      </c>
      <c r="C174" t="s">
        <v>191</v>
      </c>
      <c r="D174">
        <v>2012</v>
      </c>
      <c r="E174" s="2">
        <v>25</v>
      </c>
      <c r="F174" s="2">
        <v>4250</v>
      </c>
      <c r="G174" s="2"/>
    </row>
    <row r="175" spans="1:7" x14ac:dyDescent="0.3">
      <c r="A175" t="s">
        <v>165</v>
      </c>
      <c r="B175" t="s">
        <v>192</v>
      </c>
      <c r="C175" t="s">
        <v>193</v>
      </c>
      <c r="D175">
        <v>2017</v>
      </c>
      <c r="E175" s="2">
        <v>1</v>
      </c>
      <c r="F175" s="2">
        <v>70</v>
      </c>
      <c r="G175" s="2"/>
    </row>
    <row r="176" spans="1:7" x14ac:dyDescent="0.3">
      <c r="A176" t="s">
        <v>165</v>
      </c>
      <c r="B176" t="s">
        <v>194</v>
      </c>
      <c r="C176" t="s">
        <v>195</v>
      </c>
      <c r="D176">
        <v>2015</v>
      </c>
      <c r="E176" s="2">
        <v>1</v>
      </c>
      <c r="F176" s="2">
        <v>180</v>
      </c>
      <c r="G176" s="2"/>
    </row>
    <row r="177" spans="1:7" x14ac:dyDescent="0.3">
      <c r="A177" t="s">
        <v>165</v>
      </c>
      <c r="B177" t="s">
        <v>196</v>
      </c>
      <c r="C177" t="s">
        <v>197</v>
      </c>
      <c r="D177">
        <v>2013</v>
      </c>
      <c r="E177" s="2">
        <v>25</v>
      </c>
      <c r="F177" s="2">
        <v>3750</v>
      </c>
      <c r="G177" s="2"/>
    </row>
    <row r="178" spans="1:7" x14ac:dyDescent="0.3">
      <c r="A178" t="s">
        <v>165</v>
      </c>
      <c r="B178" t="s">
        <v>196</v>
      </c>
      <c r="C178" t="s">
        <v>197</v>
      </c>
      <c r="D178">
        <v>2014</v>
      </c>
      <c r="E178" s="2">
        <v>100</v>
      </c>
      <c r="F178" s="2">
        <v>15000</v>
      </c>
      <c r="G178" s="2"/>
    </row>
    <row r="179" spans="1:7" x14ac:dyDescent="0.3">
      <c r="A179" t="s">
        <v>165</v>
      </c>
      <c r="B179" t="s">
        <v>196</v>
      </c>
      <c r="C179" t="s">
        <v>197</v>
      </c>
      <c r="D179">
        <v>2015</v>
      </c>
      <c r="E179" s="2">
        <v>75</v>
      </c>
      <c r="F179" s="2">
        <v>11250</v>
      </c>
      <c r="G179" s="2"/>
    </row>
    <row r="180" spans="1:7" x14ac:dyDescent="0.3">
      <c r="A180" t="s">
        <v>165</v>
      </c>
      <c r="B180" t="s">
        <v>196</v>
      </c>
      <c r="C180" t="s">
        <v>197</v>
      </c>
      <c r="D180">
        <v>2017</v>
      </c>
      <c r="E180" s="2">
        <v>25</v>
      </c>
      <c r="F180" s="2">
        <v>3750</v>
      </c>
      <c r="G180" s="2"/>
    </row>
    <row r="181" spans="1:7" x14ac:dyDescent="0.3">
      <c r="A181" t="s">
        <v>165</v>
      </c>
      <c r="B181" t="s">
        <v>198</v>
      </c>
      <c r="C181" t="s">
        <v>199</v>
      </c>
      <c r="D181">
        <v>2015</v>
      </c>
      <c r="E181" s="2">
        <v>1</v>
      </c>
      <c r="F181" s="2">
        <v>200</v>
      </c>
      <c r="G181" s="2"/>
    </row>
    <row r="182" spans="1:7" x14ac:dyDescent="0.3">
      <c r="A182" t="s">
        <v>165</v>
      </c>
      <c r="B182" t="s">
        <v>200</v>
      </c>
      <c r="D182">
        <v>2012</v>
      </c>
      <c r="E182" s="2">
        <v>25</v>
      </c>
      <c r="F182" s="2">
        <v>4625</v>
      </c>
      <c r="G182" s="2"/>
    </row>
    <row r="183" spans="1:7" x14ac:dyDescent="0.3">
      <c r="A183" t="s">
        <v>165</v>
      </c>
      <c r="B183" t="s">
        <v>46</v>
      </c>
      <c r="C183" t="s">
        <v>47</v>
      </c>
      <c r="D183">
        <v>2017</v>
      </c>
      <c r="E183" s="2">
        <v>1</v>
      </c>
      <c r="F183" s="2">
        <v>70</v>
      </c>
      <c r="G183" s="2"/>
    </row>
    <row r="184" spans="1:7" x14ac:dyDescent="0.3">
      <c r="A184" t="s">
        <v>165</v>
      </c>
      <c r="B184" t="s">
        <v>201</v>
      </c>
      <c r="C184" t="s">
        <v>202</v>
      </c>
      <c r="D184">
        <v>2015</v>
      </c>
      <c r="E184" s="2">
        <v>1</v>
      </c>
      <c r="F184" s="2">
        <v>150</v>
      </c>
      <c r="G184" s="2"/>
    </row>
    <row r="185" spans="1:7" x14ac:dyDescent="0.3">
      <c r="A185" t="s">
        <v>165</v>
      </c>
      <c r="B185" t="s">
        <v>203</v>
      </c>
      <c r="C185" t="s">
        <v>204</v>
      </c>
      <c r="D185">
        <v>2017</v>
      </c>
      <c r="E185" s="2">
        <v>1</v>
      </c>
      <c r="F185" s="2">
        <v>75</v>
      </c>
      <c r="G185" s="2"/>
    </row>
    <row r="186" spans="1:7" x14ac:dyDescent="0.3">
      <c r="A186" t="s">
        <v>205</v>
      </c>
      <c r="B186" t="s">
        <v>206</v>
      </c>
      <c r="C186" t="s">
        <v>207</v>
      </c>
      <c r="D186">
        <v>2019</v>
      </c>
      <c r="E186" s="2">
        <v>1</v>
      </c>
      <c r="F186" s="2">
        <v>55</v>
      </c>
      <c r="G186" s="2">
        <v>55</v>
      </c>
    </row>
    <row r="187" spans="1:7" x14ac:dyDescent="0.3">
      <c r="A187" t="s">
        <v>205</v>
      </c>
      <c r="B187" t="s">
        <v>208</v>
      </c>
      <c r="C187" t="s">
        <v>209</v>
      </c>
      <c r="D187">
        <v>2019</v>
      </c>
      <c r="E187" s="2">
        <v>1</v>
      </c>
      <c r="F187" s="2">
        <v>55</v>
      </c>
      <c r="G187" s="2">
        <v>55</v>
      </c>
    </row>
    <row r="188" spans="1:7" x14ac:dyDescent="0.3">
      <c r="A188" t="s">
        <v>205</v>
      </c>
      <c r="B188" t="s">
        <v>210</v>
      </c>
      <c r="C188" t="s">
        <v>61</v>
      </c>
      <c r="D188">
        <v>2019</v>
      </c>
      <c r="E188" s="2">
        <v>1</v>
      </c>
      <c r="F188" s="2">
        <v>105</v>
      </c>
      <c r="G188" s="2">
        <v>105</v>
      </c>
    </row>
    <row r="189" spans="1:7" x14ac:dyDescent="0.3">
      <c r="A189" t="s">
        <v>205</v>
      </c>
      <c r="B189" t="s">
        <v>211</v>
      </c>
      <c r="C189" t="s">
        <v>212</v>
      </c>
      <c r="D189">
        <v>2019</v>
      </c>
      <c r="E189" s="2">
        <v>1</v>
      </c>
      <c r="F189" s="2">
        <v>105</v>
      </c>
      <c r="G189" s="2">
        <v>105</v>
      </c>
    </row>
    <row r="190" spans="1:7" x14ac:dyDescent="0.3">
      <c r="A190" t="s">
        <v>205</v>
      </c>
      <c r="B190" t="s">
        <v>120</v>
      </c>
      <c r="C190" t="s">
        <v>121</v>
      </c>
      <c r="D190">
        <v>2017</v>
      </c>
      <c r="E190" s="2">
        <v>2</v>
      </c>
      <c r="F190" s="2">
        <v>360</v>
      </c>
      <c r="G190" s="2"/>
    </row>
    <row r="191" spans="1:7" x14ac:dyDescent="0.3">
      <c r="A191" t="s">
        <v>205</v>
      </c>
      <c r="B191" t="s">
        <v>213</v>
      </c>
      <c r="C191" t="s">
        <v>75</v>
      </c>
      <c r="D191">
        <v>2019</v>
      </c>
      <c r="E191" s="2">
        <v>1</v>
      </c>
      <c r="F191" s="2">
        <v>100</v>
      </c>
      <c r="G191" s="2">
        <v>100</v>
      </c>
    </row>
    <row r="192" spans="1:7" x14ac:dyDescent="0.3">
      <c r="A192" t="s">
        <v>205</v>
      </c>
      <c r="B192" t="s">
        <v>214</v>
      </c>
      <c r="C192" t="s">
        <v>150</v>
      </c>
      <c r="D192">
        <v>2019</v>
      </c>
      <c r="E192" s="2">
        <v>1</v>
      </c>
      <c r="F192" s="2">
        <v>120</v>
      </c>
      <c r="G192" s="2">
        <v>120</v>
      </c>
    </row>
    <row r="193" spans="1:7" x14ac:dyDescent="0.3">
      <c r="A193" t="s">
        <v>215</v>
      </c>
      <c r="B193" t="s">
        <v>216</v>
      </c>
      <c r="C193" t="s">
        <v>217</v>
      </c>
      <c r="D193">
        <v>2011</v>
      </c>
      <c r="E193" s="2">
        <v>5</v>
      </c>
      <c r="F193" s="2">
        <v>1000</v>
      </c>
      <c r="G193" s="2"/>
    </row>
    <row r="194" spans="1:7" x14ac:dyDescent="0.3">
      <c r="A194" t="s">
        <v>215</v>
      </c>
      <c r="B194" t="s">
        <v>216</v>
      </c>
      <c r="C194" t="s">
        <v>217</v>
      </c>
      <c r="D194">
        <v>2012</v>
      </c>
      <c r="E194" s="2">
        <v>5</v>
      </c>
      <c r="F194" s="2">
        <v>1000</v>
      </c>
      <c r="G194" s="2"/>
    </row>
    <row r="195" spans="1:7" x14ac:dyDescent="0.3">
      <c r="A195" t="s">
        <v>215</v>
      </c>
      <c r="B195" t="s">
        <v>84</v>
      </c>
      <c r="C195" t="s">
        <v>85</v>
      </c>
      <c r="D195">
        <v>2017</v>
      </c>
      <c r="E195" s="2">
        <v>5</v>
      </c>
      <c r="F195" s="2">
        <v>1075</v>
      </c>
      <c r="G195" s="2"/>
    </row>
    <row r="196" spans="1:7" x14ac:dyDescent="0.3">
      <c r="A196" t="s">
        <v>215</v>
      </c>
      <c r="B196" t="s">
        <v>84</v>
      </c>
      <c r="C196" t="s">
        <v>85</v>
      </c>
      <c r="D196">
        <v>2018</v>
      </c>
      <c r="E196" s="2">
        <v>5</v>
      </c>
      <c r="F196" s="2">
        <v>1075</v>
      </c>
      <c r="G196" s="2">
        <v>1128.75</v>
      </c>
    </row>
    <row r="197" spans="1:7" x14ac:dyDescent="0.3">
      <c r="A197" t="s">
        <v>215</v>
      </c>
      <c r="B197" t="s">
        <v>218</v>
      </c>
      <c r="C197" t="s">
        <v>212</v>
      </c>
      <c r="D197">
        <v>2011</v>
      </c>
      <c r="E197" s="2">
        <v>5</v>
      </c>
      <c r="F197" s="2">
        <v>1000</v>
      </c>
      <c r="G197" s="2"/>
    </row>
    <row r="198" spans="1:7" x14ac:dyDescent="0.3">
      <c r="A198" t="s">
        <v>215</v>
      </c>
      <c r="B198" t="s">
        <v>218</v>
      </c>
      <c r="C198" t="s">
        <v>212</v>
      </c>
      <c r="D198">
        <v>2012</v>
      </c>
      <c r="E198" s="2">
        <v>40</v>
      </c>
      <c r="F198" s="2">
        <v>8500</v>
      </c>
      <c r="G198" s="2"/>
    </row>
    <row r="199" spans="1:7" x14ac:dyDescent="0.3">
      <c r="A199" t="s">
        <v>215</v>
      </c>
      <c r="B199" t="s">
        <v>218</v>
      </c>
      <c r="C199" t="s">
        <v>212</v>
      </c>
      <c r="D199">
        <v>2013</v>
      </c>
      <c r="E199" s="2">
        <v>10</v>
      </c>
      <c r="F199" s="2">
        <v>2000</v>
      </c>
      <c r="G199" s="2"/>
    </row>
    <row r="200" spans="1:7" x14ac:dyDescent="0.3">
      <c r="A200" t="s">
        <v>215</v>
      </c>
      <c r="B200" t="s">
        <v>218</v>
      </c>
      <c r="C200" t="s">
        <v>212</v>
      </c>
      <c r="D200">
        <v>2014</v>
      </c>
      <c r="E200" s="2">
        <v>5</v>
      </c>
      <c r="F200" s="2">
        <v>1000</v>
      </c>
      <c r="G200" s="2"/>
    </row>
    <row r="201" spans="1:7" x14ac:dyDescent="0.3">
      <c r="A201" t="s">
        <v>215</v>
      </c>
      <c r="B201" t="s">
        <v>219</v>
      </c>
      <c r="C201" t="s">
        <v>220</v>
      </c>
      <c r="D201">
        <v>2011</v>
      </c>
      <c r="E201" s="2">
        <v>5</v>
      </c>
      <c r="F201" s="2">
        <v>1000</v>
      </c>
      <c r="G201" s="2"/>
    </row>
    <row r="202" spans="1:7" x14ac:dyDescent="0.3">
      <c r="A202" t="s">
        <v>215</v>
      </c>
      <c r="B202" t="s">
        <v>219</v>
      </c>
      <c r="C202" t="s">
        <v>220</v>
      </c>
      <c r="D202">
        <v>2012</v>
      </c>
      <c r="E202" s="2">
        <v>10</v>
      </c>
      <c r="F202" s="2">
        <v>2000</v>
      </c>
      <c r="G202" s="2"/>
    </row>
    <row r="203" spans="1:7" x14ac:dyDescent="0.3">
      <c r="A203" t="s">
        <v>215</v>
      </c>
      <c r="B203" t="s">
        <v>221</v>
      </c>
      <c r="C203" t="s">
        <v>222</v>
      </c>
      <c r="D203">
        <v>2011</v>
      </c>
      <c r="E203" s="2">
        <v>5</v>
      </c>
      <c r="F203" s="2">
        <v>1100</v>
      </c>
      <c r="G203" s="2"/>
    </row>
    <row r="204" spans="1:7" x14ac:dyDescent="0.3">
      <c r="A204" t="s">
        <v>215</v>
      </c>
      <c r="B204" t="s">
        <v>223</v>
      </c>
      <c r="C204" t="s">
        <v>224</v>
      </c>
      <c r="D204">
        <v>2011</v>
      </c>
      <c r="E204" s="2">
        <v>5</v>
      </c>
      <c r="F204" s="2">
        <v>1000</v>
      </c>
      <c r="G204" s="2"/>
    </row>
    <row r="205" spans="1:7" x14ac:dyDescent="0.3">
      <c r="A205" t="s">
        <v>215</v>
      </c>
      <c r="B205" t="s">
        <v>223</v>
      </c>
      <c r="C205" t="s">
        <v>224</v>
      </c>
      <c r="D205">
        <v>2012</v>
      </c>
      <c r="E205" s="2">
        <v>10</v>
      </c>
      <c r="F205" s="2">
        <v>2000</v>
      </c>
      <c r="G205" s="2"/>
    </row>
    <row r="206" spans="1:7" x14ac:dyDescent="0.3">
      <c r="A206" t="s">
        <v>215</v>
      </c>
      <c r="B206" t="s">
        <v>223</v>
      </c>
      <c r="C206" t="s">
        <v>224</v>
      </c>
      <c r="D206">
        <v>2013</v>
      </c>
      <c r="E206" s="2">
        <v>15</v>
      </c>
      <c r="F206" s="2">
        <v>3000</v>
      </c>
      <c r="G206" s="2"/>
    </row>
    <row r="207" spans="1:7" x14ac:dyDescent="0.3">
      <c r="A207" t="s">
        <v>215</v>
      </c>
      <c r="B207" t="s">
        <v>223</v>
      </c>
      <c r="C207" t="s">
        <v>224</v>
      </c>
      <c r="D207">
        <v>2014</v>
      </c>
      <c r="E207" s="2">
        <v>5</v>
      </c>
      <c r="F207" s="2">
        <v>1000</v>
      </c>
      <c r="G207" s="2"/>
    </row>
    <row r="208" spans="1:7" x14ac:dyDescent="0.3">
      <c r="A208" t="s">
        <v>215</v>
      </c>
      <c r="B208" t="s">
        <v>223</v>
      </c>
      <c r="C208" t="s">
        <v>224</v>
      </c>
      <c r="D208">
        <v>2017</v>
      </c>
      <c r="E208" s="2">
        <v>11</v>
      </c>
      <c r="F208" s="2">
        <v>2200</v>
      </c>
      <c r="G208" s="2"/>
    </row>
    <row r="209" spans="1:8" x14ac:dyDescent="0.3">
      <c r="A209" t="s">
        <v>215</v>
      </c>
      <c r="B209" t="s">
        <v>223</v>
      </c>
      <c r="C209" t="s">
        <v>224</v>
      </c>
      <c r="D209">
        <v>2018</v>
      </c>
      <c r="E209" s="2">
        <v>10</v>
      </c>
      <c r="F209" s="2">
        <v>2000</v>
      </c>
      <c r="G209" s="2">
        <v>2100</v>
      </c>
    </row>
    <row r="210" spans="1:8" x14ac:dyDescent="0.3">
      <c r="A210" t="s">
        <v>215</v>
      </c>
      <c r="B210" t="s">
        <v>225</v>
      </c>
      <c r="C210" t="s">
        <v>226</v>
      </c>
      <c r="D210">
        <v>2012</v>
      </c>
      <c r="E210" s="2">
        <v>10</v>
      </c>
      <c r="F210" s="2">
        <v>2000</v>
      </c>
      <c r="G210" s="2"/>
    </row>
    <row r="211" spans="1:8" x14ac:dyDescent="0.3">
      <c r="A211" t="s">
        <v>215</v>
      </c>
      <c r="B211" t="s">
        <v>227</v>
      </c>
      <c r="D211">
        <v>2012</v>
      </c>
      <c r="E211" s="2">
        <v>15</v>
      </c>
      <c r="F211" s="2">
        <v>3000</v>
      </c>
      <c r="G211" s="2"/>
    </row>
    <row r="212" spans="1:8" x14ac:dyDescent="0.3">
      <c r="A212" t="s">
        <v>215</v>
      </c>
      <c r="B212" t="s">
        <v>227</v>
      </c>
      <c r="D212">
        <v>2013</v>
      </c>
      <c r="E212" s="2">
        <v>10</v>
      </c>
      <c r="F212" s="2">
        <v>1800</v>
      </c>
      <c r="G212" s="2"/>
    </row>
    <row r="213" spans="1:8" x14ac:dyDescent="0.3">
      <c r="A213" t="s">
        <v>215</v>
      </c>
      <c r="B213" t="s">
        <v>129</v>
      </c>
      <c r="D213">
        <v>2017</v>
      </c>
      <c r="E213" s="2">
        <v>5</v>
      </c>
      <c r="F213" s="2">
        <v>1250</v>
      </c>
      <c r="G213" s="2"/>
    </row>
    <row r="214" spans="1:8" x14ac:dyDescent="0.3">
      <c r="A214" t="s">
        <v>215</v>
      </c>
      <c r="B214" t="s">
        <v>228</v>
      </c>
      <c r="C214" t="s">
        <v>229</v>
      </c>
      <c r="D214">
        <v>2012</v>
      </c>
      <c r="E214" s="2">
        <v>10</v>
      </c>
      <c r="F214" s="2">
        <v>1550</v>
      </c>
      <c r="G214" s="2"/>
    </row>
    <row r="215" spans="1:8" x14ac:dyDescent="0.3">
      <c r="A215" t="s">
        <v>215</v>
      </c>
      <c r="B215" t="s">
        <v>230</v>
      </c>
      <c r="C215" t="s">
        <v>231</v>
      </c>
      <c r="D215">
        <v>2012</v>
      </c>
      <c r="E215" s="2">
        <v>25</v>
      </c>
      <c r="F215" s="2">
        <v>6750</v>
      </c>
      <c r="G215" s="2"/>
    </row>
    <row r="216" spans="1:8" x14ac:dyDescent="0.3">
      <c r="A216" t="s">
        <v>215</v>
      </c>
      <c r="B216" t="s">
        <v>232</v>
      </c>
      <c r="C216" t="s">
        <v>233</v>
      </c>
      <c r="D216">
        <v>2012</v>
      </c>
      <c r="E216" s="2">
        <v>5</v>
      </c>
      <c r="F216" s="2">
        <v>1175</v>
      </c>
      <c r="G216" s="2"/>
    </row>
    <row r="217" spans="1:8" x14ac:dyDescent="0.3">
      <c r="A217" t="s">
        <v>215</v>
      </c>
      <c r="B217" t="s">
        <v>234</v>
      </c>
      <c r="C217" t="s">
        <v>235</v>
      </c>
      <c r="D217">
        <v>2012</v>
      </c>
      <c r="E217" s="2">
        <v>3</v>
      </c>
      <c r="F217" s="2">
        <v>960</v>
      </c>
      <c r="G217" s="2"/>
    </row>
    <row r="218" spans="1:8" x14ac:dyDescent="0.3">
      <c r="A218" t="s">
        <v>215</v>
      </c>
      <c r="B218" t="s">
        <v>236</v>
      </c>
      <c r="C218" t="s">
        <v>237</v>
      </c>
      <c r="D218">
        <v>2011</v>
      </c>
      <c r="E218" s="2">
        <v>5</v>
      </c>
      <c r="F218" s="2">
        <v>1000</v>
      </c>
      <c r="G218" s="2"/>
    </row>
    <row r="219" spans="1:8" x14ac:dyDescent="0.3">
      <c r="A219" t="s">
        <v>215</v>
      </c>
      <c r="B219" t="s">
        <v>236</v>
      </c>
      <c r="C219" t="s">
        <v>237</v>
      </c>
      <c r="D219">
        <v>2012</v>
      </c>
      <c r="E219" s="2">
        <v>5</v>
      </c>
      <c r="F219" s="2">
        <v>1000</v>
      </c>
      <c r="G219" s="2"/>
    </row>
    <row r="220" spans="1:8" x14ac:dyDescent="0.3">
      <c r="A220" t="s">
        <v>215</v>
      </c>
      <c r="B220" t="s">
        <v>236</v>
      </c>
      <c r="C220" t="s">
        <v>237</v>
      </c>
      <c r="D220">
        <v>2013</v>
      </c>
      <c r="E220" s="2">
        <v>10</v>
      </c>
      <c r="F220" s="2">
        <v>2000</v>
      </c>
      <c r="G220" s="2"/>
    </row>
    <row r="221" spans="1:8" x14ac:dyDescent="0.3">
      <c r="A221" t="s">
        <v>215</v>
      </c>
      <c r="B221" t="s">
        <v>236</v>
      </c>
      <c r="C221" t="s">
        <v>237</v>
      </c>
      <c r="D221">
        <v>2014</v>
      </c>
      <c r="E221" s="2">
        <v>5</v>
      </c>
      <c r="F221" s="2">
        <v>1000</v>
      </c>
      <c r="G221" s="2"/>
    </row>
    <row r="222" spans="1:8" x14ac:dyDescent="0.3">
      <c r="A222" t="s">
        <v>215</v>
      </c>
      <c r="B222" t="s">
        <v>238</v>
      </c>
      <c r="C222" t="s">
        <v>222</v>
      </c>
      <c r="D222">
        <v>2013</v>
      </c>
      <c r="E222" s="2">
        <v>10</v>
      </c>
      <c r="F222" s="2">
        <v>2200</v>
      </c>
      <c r="G222" s="2"/>
    </row>
    <row r="223" spans="1:8" x14ac:dyDescent="0.3">
      <c r="A223" t="s">
        <v>239</v>
      </c>
      <c r="B223" t="s">
        <v>240</v>
      </c>
      <c r="D223">
        <v>2018</v>
      </c>
      <c r="E223" s="2">
        <v>20</v>
      </c>
      <c r="F223" s="2">
        <v>1600</v>
      </c>
      <c r="G223" s="2">
        <v>1680</v>
      </c>
    </row>
    <row r="224" spans="1:8" x14ac:dyDescent="0.3">
      <c r="A224" t="s">
        <v>241</v>
      </c>
      <c r="B224" t="s">
        <v>242</v>
      </c>
      <c r="D224">
        <v>2021</v>
      </c>
      <c r="E224" s="2">
        <v>25</v>
      </c>
      <c r="F224" s="2">
        <v>10000</v>
      </c>
      <c r="G224" s="2">
        <v>10500</v>
      </c>
      <c r="H224" s="3" t="s">
        <v>18</v>
      </c>
    </row>
    <row r="225" spans="1:8" x14ac:dyDescent="0.3">
      <c r="A225" t="s">
        <v>241</v>
      </c>
      <c r="B225" t="s">
        <v>240</v>
      </c>
      <c r="D225">
        <v>2021</v>
      </c>
      <c r="E225" s="2">
        <v>50</v>
      </c>
      <c r="F225" s="2">
        <v>4250</v>
      </c>
      <c r="G225" s="2">
        <v>4462.5</v>
      </c>
      <c r="H225" s="3" t="s">
        <v>18</v>
      </c>
    </row>
    <row r="226" spans="1:8" x14ac:dyDescent="0.3">
      <c r="A226" t="s">
        <v>241</v>
      </c>
      <c r="B226" t="s">
        <v>32</v>
      </c>
      <c r="D226">
        <v>2021</v>
      </c>
      <c r="E226" s="2">
        <v>50</v>
      </c>
      <c r="F226" s="2">
        <v>3750</v>
      </c>
      <c r="G226" s="2">
        <v>3937.5</v>
      </c>
      <c r="H226" s="3" t="s">
        <v>18</v>
      </c>
    </row>
    <row r="227" spans="1:8" x14ac:dyDescent="0.3">
      <c r="A227" t="s">
        <v>243</v>
      </c>
      <c r="B227" t="s">
        <v>244</v>
      </c>
      <c r="C227" t="s">
        <v>245</v>
      </c>
      <c r="D227">
        <v>2019</v>
      </c>
      <c r="E227" s="2">
        <v>1</v>
      </c>
      <c r="F227" s="2">
        <v>220</v>
      </c>
      <c r="G227" s="2">
        <v>231</v>
      </c>
    </row>
    <row r="228" spans="1:8" x14ac:dyDescent="0.3">
      <c r="A228" t="s">
        <v>243</v>
      </c>
      <c r="B228" t="s">
        <v>246</v>
      </c>
      <c r="C228" t="s">
        <v>247</v>
      </c>
      <c r="D228">
        <v>2019</v>
      </c>
      <c r="E228" s="2">
        <v>1</v>
      </c>
      <c r="F228" s="2">
        <v>210</v>
      </c>
      <c r="G228" s="2">
        <v>220.5</v>
      </c>
    </row>
    <row r="229" spans="1:8" x14ac:dyDescent="0.3">
      <c r="A229" t="s">
        <v>243</v>
      </c>
      <c r="B229" t="s">
        <v>248</v>
      </c>
      <c r="C229" t="s">
        <v>249</v>
      </c>
      <c r="D229">
        <v>2019</v>
      </c>
      <c r="E229" s="2">
        <v>1</v>
      </c>
      <c r="F229" s="2">
        <v>230</v>
      </c>
      <c r="G229" s="2">
        <v>241.5</v>
      </c>
    </row>
    <row r="230" spans="1:8" x14ac:dyDescent="0.3">
      <c r="A230" t="s">
        <v>243</v>
      </c>
      <c r="B230" t="s">
        <v>250</v>
      </c>
      <c r="C230" t="s">
        <v>222</v>
      </c>
      <c r="D230">
        <v>2019</v>
      </c>
      <c r="E230" s="2">
        <v>1</v>
      </c>
      <c r="F230" s="2">
        <v>210</v>
      </c>
      <c r="G230" s="2">
        <v>220.5</v>
      </c>
    </row>
    <row r="231" spans="1:8" x14ac:dyDescent="0.3">
      <c r="A231" t="s">
        <v>243</v>
      </c>
      <c r="B231" t="s">
        <v>251</v>
      </c>
      <c r="C231" t="s">
        <v>207</v>
      </c>
      <c r="D231">
        <v>2019</v>
      </c>
      <c r="E231" s="2">
        <v>1</v>
      </c>
      <c r="F231" s="2">
        <v>170</v>
      </c>
      <c r="G231" s="2">
        <v>178.5</v>
      </c>
    </row>
    <row r="232" spans="1:8" x14ac:dyDescent="0.3">
      <c r="A232" t="s">
        <v>243</v>
      </c>
      <c r="B232" t="s">
        <v>252</v>
      </c>
      <c r="C232" t="s">
        <v>191</v>
      </c>
      <c r="D232">
        <v>2019</v>
      </c>
      <c r="E232" s="2">
        <v>1</v>
      </c>
      <c r="F232" s="2">
        <v>220</v>
      </c>
      <c r="G232" s="2">
        <v>231</v>
      </c>
    </row>
    <row r="233" spans="1:8" x14ac:dyDescent="0.3">
      <c r="A233" t="s">
        <v>243</v>
      </c>
      <c r="B233" t="s">
        <v>253</v>
      </c>
      <c r="C233" t="s">
        <v>254</v>
      </c>
      <c r="D233">
        <v>2019</v>
      </c>
      <c r="E233" s="2">
        <v>1</v>
      </c>
      <c r="F233" s="2">
        <v>240</v>
      </c>
      <c r="G233" s="2">
        <v>252</v>
      </c>
    </row>
    <row r="234" spans="1:8" x14ac:dyDescent="0.3">
      <c r="A234" t="s">
        <v>243</v>
      </c>
      <c r="B234" t="s">
        <v>255</v>
      </c>
      <c r="C234" t="s">
        <v>256</v>
      </c>
      <c r="D234">
        <v>2019</v>
      </c>
      <c r="E234" s="2">
        <v>1</v>
      </c>
      <c r="F234" s="2">
        <v>175</v>
      </c>
      <c r="G234" s="2">
        <v>183.75</v>
      </c>
    </row>
    <row r="235" spans="1:8" x14ac:dyDescent="0.3">
      <c r="A235" t="s">
        <v>243</v>
      </c>
      <c r="B235" t="s">
        <v>257</v>
      </c>
      <c r="C235" t="s">
        <v>61</v>
      </c>
      <c r="D235">
        <v>2019</v>
      </c>
      <c r="E235" s="2">
        <v>1</v>
      </c>
      <c r="F235" s="2">
        <v>180</v>
      </c>
      <c r="G235" s="2">
        <v>189</v>
      </c>
    </row>
    <row r="236" spans="1:8" x14ac:dyDescent="0.3">
      <c r="A236" t="s">
        <v>243</v>
      </c>
      <c r="B236" t="s">
        <v>258</v>
      </c>
      <c r="C236" t="s">
        <v>259</v>
      </c>
      <c r="D236">
        <v>2019</v>
      </c>
      <c r="E236" s="2">
        <v>1</v>
      </c>
      <c r="F236" s="2">
        <v>230</v>
      </c>
      <c r="G236" s="2">
        <v>241.5</v>
      </c>
    </row>
    <row r="237" spans="1:8" x14ac:dyDescent="0.3">
      <c r="A237" t="s">
        <v>243</v>
      </c>
      <c r="B237" t="s">
        <v>260</v>
      </c>
      <c r="C237" t="s">
        <v>109</v>
      </c>
      <c r="D237">
        <v>2019</v>
      </c>
      <c r="E237" s="2">
        <v>1</v>
      </c>
      <c r="F237" s="2">
        <v>240</v>
      </c>
      <c r="G237" s="2">
        <v>252</v>
      </c>
    </row>
    <row r="238" spans="1:8" x14ac:dyDescent="0.3">
      <c r="A238" t="s">
        <v>243</v>
      </c>
      <c r="B238" t="s">
        <v>261</v>
      </c>
      <c r="C238" t="s">
        <v>262</v>
      </c>
      <c r="D238">
        <v>2019</v>
      </c>
      <c r="E238" s="2">
        <v>1</v>
      </c>
      <c r="F238" s="2">
        <v>200</v>
      </c>
      <c r="G238" s="2">
        <v>210</v>
      </c>
    </row>
    <row r="239" spans="1:8" x14ac:dyDescent="0.3">
      <c r="A239" t="s">
        <v>243</v>
      </c>
      <c r="B239" t="s">
        <v>263</v>
      </c>
      <c r="C239" t="s">
        <v>264</v>
      </c>
      <c r="D239">
        <v>2019</v>
      </c>
      <c r="E239" s="2">
        <v>1</v>
      </c>
      <c r="F239" s="2">
        <v>240</v>
      </c>
      <c r="G239" s="2">
        <v>252</v>
      </c>
    </row>
    <row r="240" spans="1:8" x14ac:dyDescent="0.3">
      <c r="A240" t="s">
        <v>243</v>
      </c>
      <c r="B240" t="s">
        <v>265</v>
      </c>
      <c r="C240" t="s">
        <v>197</v>
      </c>
      <c r="D240">
        <v>2019</v>
      </c>
      <c r="E240" s="2">
        <v>1</v>
      </c>
      <c r="F240" s="2">
        <v>180</v>
      </c>
      <c r="G240" s="2">
        <v>189</v>
      </c>
    </row>
    <row r="241" spans="1:7" x14ac:dyDescent="0.3">
      <c r="A241" t="s">
        <v>243</v>
      </c>
      <c r="B241" t="s">
        <v>266</v>
      </c>
      <c r="C241" t="s">
        <v>143</v>
      </c>
      <c r="D241">
        <v>2019</v>
      </c>
      <c r="E241" s="2">
        <v>1</v>
      </c>
      <c r="F241" s="2">
        <v>230</v>
      </c>
      <c r="G241" s="2">
        <v>241.5</v>
      </c>
    </row>
    <row r="242" spans="1:7" x14ac:dyDescent="0.3">
      <c r="A242" t="s">
        <v>243</v>
      </c>
      <c r="B242" t="s">
        <v>267</v>
      </c>
      <c r="C242" t="s">
        <v>150</v>
      </c>
      <c r="D242">
        <v>2019</v>
      </c>
      <c r="E242" s="2">
        <v>1</v>
      </c>
      <c r="F242" s="2">
        <v>220</v>
      </c>
      <c r="G242" s="2">
        <v>231</v>
      </c>
    </row>
    <row r="243" spans="1:7" x14ac:dyDescent="0.3">
      <c r="A243" t="s">
        <v>268</v>
      </c>
      <c r="B243" t="s">
        <v>269</v>
      </c>
      <c r="C243" t="s">
        <v>270</v>
      </c>
      <c r="D243">
        <v>2018</v>
      </c>
      <c r="E243" s="2">
        <v>26</v>
      </c>
      <c r="F243" s="2">
        <v>1378</v>
      </c>
      <c r="G243" s="2">
        <v>1378</v>
      </c>
    </row>
    <row r="244" spans="1:7" x14ac:dyDescent="0.3">
      <c r="A244" t="s">
        <v>268</v>
      </c>
      <c r="B244" t="s">
        <v>110</v>
      </c>
      <c r="C244" t="s">
        <v>111</v>
      </c>
      <c r="D244">
        <v>2018</v>
      </c>
      <c r="E244" s="2">
        <v>100</v>
      </c>
      <c r="F244" s="2">
        <v>5000</v>
      </c>
      <c r="G244" s="2">
        <v>5000</v>
      </c>
    </row>
    <row r="245" spans="1:7" x14ac:dyDescent="0.3">
      <c r="A245" t="s">
        <v>268</v>
      </c>
      <c r="B245" t="s">
        <v>68</v>
      </c>
      <c r="C245" t="s">
        <v>69</v>
      </c>
      <c r="D245">
        <v>2018</v>
      </c>
      <c r="E245" s="2">
        <v>100</v>
      </c>
      <c r="F245" s="2">
        <v>5800</v>
      </c>
      <c r="G245" s="2">
        <v>5800</v>
      </c>
    </row>
    <row r="246" spans="1:7" x14ac:dyDescent="0.3">
      <c r="A246" t="s">
        <v>268</v>
      </c>
      <c r="B246" t="s">
        <v>46</v>
      </c>
      <c r="C246" t="s">
        <v>47</v>
      </c>
      <c r="D246">
        <v>2018</v>
      </c>
      <c r="E246" s="2">
        <v>25</v>
      </c>
      <c r="F246" s="2">
        <v>1250</v>
      </c>
      <c r="G246" s="2">
        <v>1250</v>
      </c>
    </row>
    <row r="247" spans="1:7" x14ac:dyDescent="0.3">
      <c r="A247" t="s">
        <v>271</v>
      </c>
      <c r="B247" t="s">
        <v>218</v>
      </c>
      <c r="C247" t="s">
        <v>212</v>
      </c>
      <c r="D247">
        <v>2010</v>
      </c>
      <c r="E247" s="2">
        <v>25</v>
      </c>
      <c r="F247" s="2">
        <v>4416</v>
      </c>
      <c r="G247" s="2"/>
    </row>
    <row r="248" spans="1:7" x14ac:dyDescent="0.3">
      <c r="A248" t="s">
        <v>271</v>
      </c>
      <c r="B248" t="s">
        <v>272</v>
      </c>
      <c r="D248">
        <v>2009</v>
      </c>
      <c r="E248" s="2">
        <v>300</v>
      </c>
      <c r="F248" s="2">
        <v>4200</v>
      </c>
      <c r="G248" s="2"/>
    </row>
    <row r="249" spans="1:7" x14ac:dyDescent="0.3">
      <c r="A249" t="s">
        <v>271</v>
      </c>
      <c r="B249" t="s">
        <v>272</v>
      </c>
      <c r="D249">
        <v>2010</v>
      </c>
      <c r="E249" s="2">
        <v>200</v>
      </c>
      <c r="F249" s="2">
        <v>3000</v>
      </c>
      <c r="G249" s="2"/>
    </row>
    <row r="250" spans="1:7" x14ac:dyDescent="0.3">
      <c r="A250" t="s">
        <v>271</v>
      </c>
      <c r="B250" t="s">
        <v>196</v>
      </c>
      <c r="C250" t="s">
        <v>197</v>
      </c>
      <c r="D250">
        <v>2012</v>
      </c>
      <c r="E250" s="2">
        <v>90</v>
      </c>
      <c r="F250" s="2">
        <v>18000</v>
      </c>
      <c r="G250" s="2"/>
    </row>
    <row r="251" spans="1:7" x14ac:dyDescent="0.3">
      <c r="A251" t="s">
        <v>271</v>
      </c>
      <c r="B251" t="s">
        <v>196</v>
      </c>
      <c r="C251" t="s">
        <v>197</v>
      </c>
      <c r="D251">
        <v>2014</v>
      </c>
      <c r="E251" s="2">
        <v>25</v>
      </c>
      <c r="F251" s="2">
        <v>5000</v>
      </c>
      <c r="G251" s="2"/>
    </row>
    <row r="252" spans="1:7" x14ac:dyDescent="0.3">
      <c r="A252" t="s">
        <v>273</v>
      </c>
      <c r="B252" t="s">
        <v>274</v>
      </c>
      <c r="C252" t="s">
        <v>275</v>
      </c>
      <c r="D252">
        <v>2013</v>
      </c>
      <c r="E252" s="2">
        <v>25</v>
      </c>
      <c r="F252" s="2">
        <v>11750</v>
      </c>
      <c r="G252" s="2"/>
    </row>
    <row r="253" spans="1:7" x14ac:dyDescent="0.3">
      <c r="A253" t="s">
        <v>273</v>
      </c>
      <c r="B253" t="s">
        <v>274</v>
      </c>
      <c r="C253" t="s">
        <v>275</v>
      </c>
      <c r="D253">
        <v>2014</v>
      </c>
      <c r="E253" s="2">
        <v>25</v>
      </c>
      <c r="F253" s="2">
        <v>11750</v>
      </c>
      <c r="G253" s="2"/>
    </row>
    <row r="254" spans="1:7" x14ac:dyDescent="0.3">
      <c r="A254" t="s">
        <v>273</v>
      </c>
      <c r="B254" t="s">
        <v>276</v>
      </c>
      <c r="C254" t="s">
        <v>277</v>
      </c>
      <c r="D254">
        <v>2013</v>
      </c>
      <c r="E254" s="2">
        <v>100</v>
      </c>
      <c r="F254" s="2">
        <v>28000</v>
      </c>
      <c r="G254" s="2"/>
    </row>
    <row r="255" spans="1:7" x14ac:dyDescent="0.3">
      <c r="A255" t="s">
        <v>273</v>
      </c>
      <c r="B255" t="s">
        <v>276</v>
      </c>
      <c r="C255" t="s">
        <v>277</v>
      </c>
      <c r="D255">
        <v>2014</v>
      </c>
      <c r="E255" s="2">
        <v>100</v>
      </c>
      <c r="F255" s="2">
        <v>28000</v>
      </c>
      <c r="G255" s="2"/>
    </row>
    <row r="256" spans="1:7" x14ac:dyDescent="0.3">
      <c r="A256" t="s">
        <v>273</v>
      </c>
      <c r="B256" t="s">
        <v>276</v>
      </c>
      <c r="C256" t="s">
        <v>277</v>
      </c>
      <c r="D256">
        <v>2016</v>
      </c>
      <c r="E256" s="2">
        <v>61.5</v>
      </c>
      <c r="F256" s="2">
        <v>17220</v>
      </c>
      <c r="G256" s="2"/>
    </row>
    <row r="257" spans="1:7" x14ac:dyDescent="0.3">
      <c r="A257" t="s">
        <v>273</v>
      </c>
      <c r="B257" t="s">
        <v>82</v>
      </c>
      <c r="C257" t="s">
        <v>83</v>
      </c>
      <c r="D257">
        <v>2013</v>
      </c>
      <c r="E257" s="2">
        <v>15</v>
      </c>
      <c r="F257" s="2">
        <v>12000</v>
      </c>
      <c r="G257" s="2"/>
    </row>
    <row r="258" spans="1:7" x14ac:dyDescent="0.3">
      <c r="A258" t="s">
        <v>273</v>
      </c>
      <c r="B258" t="s">
        <v>278</v>
      </c>
      <c r="C258" t="s">
        <v>279</v>
      </c>
      <c r="D258">
        <v>2012</v>
      </c>
      <c r="E258" s="2">
        <v>50</v>
      </c>
      <c r="F258" s="2">
        <v>5500</v>
      </c>
      <c r="G258" s="2"/>
    </row>
    <row r="259" spans="1:7" x14ac:dyDescent="0.3">
      <c r="A259" t="s">
        <v>273</v>
      </c>
      <c r="B259" t="s">
        <v>84</v>
      </c>
      <c r="C259" t="s">
        <v>85</v>
      </c>
      <c r="D259">
        <v>2014</v>
      </c>
      <c r="E259" s="2">
        <v>50</v>
      </c>
      <c r="F259" s="2">
        <v>9750</v>
      </c>
      <c r="G259" s="2"/>
    </row>
    <row r="260" spans="1:7" x14ac:dyDescent="0.3">
      <c r="A260" t="s">
        <v>273</v>
      </c>
      <c r="B260" t="s">
        <v>84</v>
      </c>
      <c r="C260" t="s">
        <v>85</v>
      </c>
      <c r="D260">
        <v>2016</v>
      </c>
      <c r="E260" s="2">
        <v>81</v>
      </c>
      <c r="F260" s="2">
        <v>15795</v>
      </c>
      <c r="G260" s="2"/>
    </row>
    <row r="261" spans="1:7" x14ac:dyDescent="0.3">
      <c r="A261" t="s">
        <v>273</v>
      </c>
      <c r="B261" t="s">
        <v>280</v>
      </c>
      <c r="C261" t="s">
        <v>224</v>
      </c>
      <c r="D261">
        <v>2013</v>
      </c>
      <c r="E261" s="2">
        <v>5</v>
      </c>
      <c r="F261" s="2">
        <v>1150</v>
      </c>
      <c r="G261" s="2"/>
    </row>
    <row r="262" spans="1:7" x14ac:dyDescent="0.3">
      <c r="A262" t="s">
        <v>273</v>
      </c>
      <c r="B262" t="s">
        <v>281</v>
      </c>
      <c r="C262" t="s">
        <v>282</v>
      </c>
      <c r="D262">
        <v>2013</v>
      </c>
      <c r="E262" s="2">
        <v>25</v>
      </c>
      <c r="F262" s="2">
        <v>6375</v>
      </c>
      <c r="G262" s="2"/>
    </row>
    <row r="263" spans="1:7" x14ac:dyDescent="0.3">
      <c r="A263" t="s">
        <v>273</v>
      </c>
      <c r="B263" t="s">
        <v>283</v>
      </c>
      <c r="C263" t="s">
        <v>284</v>
      </c>
      <c r="D263">
        <v>2014</v>
      </c>
      <c r="E263" s="2">
        <v>25</v>
      </c>
      <c r="F263" s="2">
        <v>3800</v>
      </c>
      <c r="G263" s="2"/>
    </row>
    <row r="264" spans="1:7" x14ac:dyDescent="0.3">
      <c r="A264" t="s">
        <v>273</v>
      </c>
      <c r="B264" t="s">
        <v>285</v>
      </c>
      <c r="C264" t="s">
        <v>286</v>
      </c>
      <c r="D264">
        <v>2015</v>
      </c>
      <c r="E264" s="2">
        <v>5</v>
      </c>
      <c r="F264" s="2">
        <v>1150</v>
      </c>
      <c r="G264" s="2"/>
    </row>
    <row r="265" spans="1:7" x14ac:dyDescent="0.3">
      <c r="A265" t="s">
        <v>273</v>
      </c>
      <c r="B265" t="s">
        <v>287</v>
      </c>
      <c r="C265" t="s">
        <v>186</v>
      </c>
      <c r="D265">
        <v>2012</v>
      </c>
      <c r="E265" s="2">
        <v>25</v>
      </c>
      <c r="F265" s="2">
        <v>6000</v>
      </c>
      <c r="G265" s="2"/>
    </row>
    <row r="266" spans="1:7" x14ac:dyDescent="0.3">
      <c r="A266" t="s">
        <v>273</v>
      </c>
      <c r="B266" t="s">
        <v>288</v>
      </c>
      <c r="C266" t="s">
        <v>289</v>
      </c>
      <c r="D266">
        <v>2016</v>
      </c>
      <c r="E266" s="2">
        <v>25</v>
      </c>
      <c r="F266" s="2">
        <v>1837.5</v>
      </c>
      <c r="G266" s="2"/>
    </row>
    <row r="267" spans="1:7" x14ac:dyDescent="0.3">
      <c r="A267" t="s">
        <v>273</v>
      </c>
      <c r="B267" t="s">
        <v>290</v>
      </c>
      <c r="C267" t="s">
        <v>57</v>
      </c>
      <c r="D267">
        <v>2015</v>
      </c>
      <c r="E267" s="2">
        <v>13</v>
      </c>
      <c r="F267" s="2">
        <v>2990</v>
      </c>
      <c r="G267" s="2"/>
    </row>
    <row r="268" spans="1:7" x14ac:dyDescent="0.3">
      <c r="A268" t="s">
        <v>273</v>
      </c>
      <c r="B268" t="s">
        <v>291</v>
      </c>
      <c r="C268" t="s">
        <v>292</v>
      </c>
      <c r="D268">
        <v>2016</v>
      </c>
      <c r="E268" s="2">
        <v>25</v>
      </c>
      <c r="F268" s="2">
        <v>1837.5</v>
      </c>
      <c r="G268" s="2"/>
    </row>
    <row r="269" spans="1:7" x14ac:dyDescent="0.3">
      <c r="A269" t="s">
        <v>273</v>
      </c>
      <c r="B269" t="s">
        <v>99</v>
      </c>
      <c r="C269" t="s">
        <v>100</v>
      </c>
      <c r="D269">
        <v>2013</v>
      </c>
      <c r="E269" s="2">
        <v>40</v>
      </c>
      <c r="F269" s="2">
        <v>9000</v>
      </c>
      <c r="G269" s="2"/>
    </row>
    <row r="270" spans="1:7" x14ac:dyDescent="0.3">
      <c r="A270" t="s">
        <v>273</v>
      </c>
      <c r="B270" t="s">
        <v>99</v>
      </c>
      <c r="C270" t="s">
        <v>100</v>
      </c>
      <c r="D270">
        <v>2014</v>
      </c>
      <c r="E270" s="2">
        <v>25</v>
      </c>
      <c r="F270" s="2">
        <v>5625</v>
      </c>
      <c r="G270" s="2"/>
    </row>
    <row r="271" spans="1:7" x14ac:dyDescent="0.3">
      <c r="A271" t="s">
        <v>273</v>
      </c>
      <c r="B271" t="s">
        <v>99</v>
      </c>
      <c r="C271" t="s">
        <v>100</v>
      </c>
      <c r="D271">
        <v>2016</v>
      </c>
      <c r="E271" s="2">
        <v>25</v>
      </c>
      <c r="F271" s="2">
        <v>5625</v>
      </c>
      <c r="G271" s="2"/>
    </row>
    <row r="272" spans="1:7" x14ac:dyDescent="0.3">
      <c r="A272" t="s">
        <v>273</v>
      </c>
      <c r="B272" t="s">
        <v>184</v>
      </c>
      <c r="C272" t="s">
        <v>185</v>
      </c>
      <c r="D272">
        <v>2012</v>
      </c>
      <c r="E272" s="2">
        <v>25</v>
      </c>
      <c r="F272" s="2">
        <v>1750</v>
      </c>
      <c r="G272" s="2"/>
    </row>
    <row r="273" spans="1:7" x14ac:dyDescent="0.3">
      <c r="A273" t="s">
        <v>273</v>
      </c>
      <c r="B273" t="s">
        <v>293</v>
      </c>
      <c r="C273" t="s">
        <v>294</v>
      </c>
      <c r="D273">
        <v>2013</v>
      </c>
      <c r="E273" s="2">
        <v>20</v>
      </c>
      <c r="F273" s="2">
        <v>9800</v>
      </c>
      <c r="G273" s="2"/>
    </row>
    <row r="274" spans="1:7" x14ac:dyDescent="0.3">
      <c r="A274" t="s">
        <v>273</v>
      </c>
      <c r="B274" t="s">
        <v>295</v>
      </c>
      <c r="C274" t="s">
        <v>296</v>
      </c>
      <c r="D274">
        <v>2012</v>
      </c>
      <c r="E274" s="2">
        <v>25</v>
      </c>
      <c r="F274" s="2">
        <v>2500</v>
      </c>
      <c r="G274" s="2"/>
    </row>
    <row r="275" spans="1:7" x14ac:dyDescent="0.3">
      <c r="A275" t="s">
        <v>273</v>
      </c>
      <c r="B275" t="s">
        <v>297</v>
      </c>
      <c r="C275" t="s">
        <v>298</v>
      </c>
      <c r="D275">
        <v>2013</v>
      </c>
      <c r="E275" s="2">
        <v>5</v>
      </c>
      <c r="F275" s="2">
        <v>800</v>
      </c>
      <c r="G275" s="2"/>
    </row>
    <row r="276" spans="1:7" x14ac:dyDescent="0.3">
      <c r="A276" t="s">
        <v>273</v>
      </c>
      <c r="B276" t="s">
        <v>297</v>
      </c>
      <c r="C276" t="s">
        <v>298</v>
      </c>
      <c r="D276">
        <v>2014</v>
      </c>
      <c r="E276" s="2">
        <v>50</v>
      </c>
      <c r="F276" s="2">
        <v>8000</v>
      </c>
      <c r="G276" s="2"/>
    </row>
    <row r="277" spans="1:7" x14ac:dyDescent="0.3">
      <c r="A277" t="s">
        <v>273</v>
      </c>
      <c r="B277" t="s">
        <v>297</v>
      </c>
      <c r="C277" t="s">
        <v>298</v>
      </c>
      <c r="D277">
        <v>2016</v>
      </c>
      <c r="E277" s="2">
        <v>25</v>
      </c>
      <c r="F277" s="2">
        <v>4000</v>
      </c>
      <c r="G277" s="2"/>
    </row>
    <row r="278" spans="1:7" x14ac:dyDescent="0.3">
      <c r="A278" t="s">
        <v>273</v>
      </c>
      <c r="B278" t="s">
        <v>299</v>
      </c>
      <c r="C278" t="s">
        <v>300</v>
      </c>
      <c r="D278">
        <v>2013</v>
      </c>
      <c r="E278" s="2">
        <v>5</v>
      </c>
      <c r="F278" s="2">
        <v>1200</v>
      </c>
      <c r="G278" s="2"/>
    </row>
    <row r="279" spans="1:7" x14ac:dyDescent="0.3">
      <c r="A279" t="s">
        <v>273</v>
      </c>
      <c r="B279" t="s">
        <v>299</v>
      </c>
      <c r="C279" t="s">
        <v>300</v>
      </c>
      <c r="D279">
        <v>2014</v>
      </c>
      <c r="E279" s="2">
        <v>42</v>
      </c>
      <c r="F279" s="2">
        <v>10080</v>
      </c>
      <c r="G279" s="2"/>
    </row>
    <row r="280" spans="1:7" x14ac:dyDescent="0.3">
      <c r="A280" t="s">
        <v>273</v>
      </c>
      <c r="B280" t="s">
        <v>301</v>
      </c>
      <c r="C280" t="s">
        <v>302</v>
      </c>
      <c r="D280">
        <v>2015</v>
      </c>
      <c r="E280" s="2">
        <v>1</v>
      </c>
      <c r="F280" s="2">
        <v>350</v>
      </c>
      <c r="G280" s="2"/>
    </row>
    <row r="281" spans="1:7" x14ac:dyDescent="0.3">
      <c r="A281" t="s">
        <v>273</v>
      </c>
      <c r="B281" t="s">
        <v>303</v>
      </c>
      <c r="C281" t="s">
        <v>304</v>
      </c>
      <c r="D281">
        <v>2015</v>
      </c>
      <c r="E281" s="2">
        <v>25</v>
      </c>
      <c r="F281" s="2">
        <v>5500</v>
      </c>
      <c r="G281" s="2"/>
    </row>
    <row r="282" spans="1:7" x14ac:dyDescent="0.3">
      <c r="A282" t="s">
        <v>273</v>
      </c>
      <c r="B282" t="s">
        <v>120</v>
      </c>
      <c r="C282" t="s">
        <v>121</v>
      </c>
      <c r="D282">
        <v>2014</v>
      </c>
      <c r="E282" s="2">
        <v>40</v>
      </c>
      <c r="F282" s="2">
        <v>8000</v>
      </c>
      <c r="G282" s="2"/>
    </row>
    <row r="283" spans="1:7" x14ac:dyDescent="0.3">
      <c r="A283" t="s">
        <v>273</v>
      </c>
      <c r="B283" t="s">
        <v>120</v>
      </c>
      <c r="C283" t="s">
        <v>121</v>
      </c>
      <c r="D283">
        <v>2015</v>
      </c>
      <c r="E283" s="2">
        <v>25</v>
      </c>
      <c r="F283" s="2">
        <v>5000</v>
      </c>
      <c r="G283" s="2"/>
    </row>
    <row r="284" spans="1:7" x14ac:dyDescent="0.3">
      <c r="A284" t="s">
        <v>273</v>
      </c>
      <c r="B284" t="s">
        <v>305</v>
      </c>
      <c r="C284" t="s">
        <v>306</v>
      </c>
      <c r="D284">
        <v>2013</v>
      </c>
      <c r="E284" s="2">
        <v>15</v>
      </c>
      <c r="F284" s="2">
        <v>5625</v>
      </c>
      <c r="G284" s="2"/>
    </row>
    <row r="285" spans="1:7" x14ac:dyDescent="0.3">
      <c r="A285" t="s">
        <v>273</v>
      </c>
      <c r="B285" t="s">
        <v>307</v>
      </c>
      <c r="C285" t="s">
        <v>132</v>
      </c>
      <c r="D285">
        <v>2013</v>
      </c>
      <c r="E285" s="2">
        <v>150</v>
      </c>
      <c r="F285" s="2">
        <v>30000</v>
      </c>
      <c r="G285" s="2"/>
    </row>
    <row r="286" spans="1:7" x14ac:dyDescent="0.3">
      <c r="A286" t="s">
        <v>273</v>
      </c>
      <c r="B286" t="s">
        <v>307</v>
      </c>
      <c r="C286" t="s">
        <v>132</v>
      </c>
      <c r="D286">
        <v>2014</v>
      </c>
      <c r="E286" s="2">
        <v>200</v>
      </c>
      <c r="F286" s="2">
        <v>40000</v>
      </c>
      <c r="G286" s="2"/>
    </row>
    <row r="287" spans="1:7" x14ac:dyDescent="0.3">
      <c r="A287" t="s">
        <v>273</v>
      </c>
      <c r="B287" t="s">
        <v>307</v>
      </c>
      <c r="C287" t="s">
        <v>132</v>
      </c>
      <c r="D287">
        <v>2015</v>
      </c>
      <c r="E287" s="2">
        <v>194</v>
      </c>
      <c r="F287" s="2">
        <v>39800</v>
      </c>
      <c r="G287" s="2"/>
    </row>
    <row r="288" spans="1:7" x14ac:dyDescent="0.3">
      <c r="A288" t="s">
        <v>273</v>
      </c>
      <c r="B288" t="s">
        <v>307</v>
      </c>
      <c r="C288" t="s">
        <v>132</v>
      </c>
      <c r="D288">
        <v>2016</v>
      </c>
      <c r="E288" s="2">
        <v>100</v>
      </c>
      <c r="F288" s="2">
        <v>20000</v>
      </c>
      <c r="G288" s="2"/>
    </row>
    <row r="289" spans="1:7" x14ac:dyDescent="0.3">
      <c r="A289" t="s">
        <v>273</v>
      </c>
      <c r="B289" t="s">
        <v>308</v>
      </c>
      <c r="D289">
        <v>2012</v>
      </c>
      <c r="E289" s="2">
        <v>75</v>
      </c>
      <c r="F289" s="2">
        <v>21000</v>
      </c>
      <c r="G289" s="2"/>
    </row>
    <row r="290" spans="1:7" x14ac:dyDescent="0.3">
      <c r="A290" t="s">
        <v>273</v>
      </c>
      <c r="B290" t="s">
        <v>309</v>
      </c>
      <c r="D290">
        <v>2012</v>
      </c>
      <c r="E290" s="2">
        <v>25</v>
      </c>
      <c r="F290" s="2">
        <v>11000</v>
      </c>
      <c r="G290" s="2"/>
    </row>
    <row r="291" spans="1:7" x14ac:dyDescent="0.3">
      <c r="A291" t="s">
        <v>273</v>
      </c>
      <c r="B291" t="s">
        <v>135</v>
      </c>
      <c r="C291" t="s">
        <v>136</v>
      </c>
      <c r="D291">
        <v>2012</v>
      </c>
      <c r="E291" s="2">
        <v>30</v>
      </c>
      <c r="F291" s="2">
        <v>5400</v>
      </c>
      <c r="G291" s="2"/>
    </row>
    <row r="292" spans="1:7" x14ac:dyDescent="0.3">
      <c r="A292" t="s">
        <v>273</v>
      </c>
      <c r="B292" t="s">
        <v>310</v>
      </c>
      <c r="C292" t="s">
        <v>311</v>
      </c>
      <c r="D292">
        <v>2015</v>
      </c>
      <c r="E292" s="2">
        <v>1</v>
      </c>
      <c r="F292" s="2">
        <v>250</v>
      </c>
      <c r="G292" s="2"/>
    </row>
    <row r="293" spans="1:7" x14ac:dyDescent="0.3">
      <c r="A293" t="s">
        <v>273</v>
      </c>
      <c r="B293" t="s">
        <v>137</v>
      </c>
      <c r="C293" t="s">
        <v>138</v>
      </c>
      <c r="D293">
        <v>2013</v>
      </c>
      <c r="E293" s="2">
        <v>1</v>
      </c>
      <c r="F293" s="2">
        <v>210</v>
      </c>
      <c r="G293" s="2"/>
    </row>
    <row r="294" spans="1:7" x14ac:dyDescent="0.3">
      <c r="A294" t="s">
        <v>273</v>
      </c>
      <c r="B294" t="s">
        <v>137</v>
      </c>
      <c r="C294" t="s">
        <v>138</v>
      </c>
      <c r="D294">
        <v>2015</v>
      </c>
      <c r="E294" s="2">
        <v>25</v>
      </c>
      <c r="F294" s="2">
        <v>4375</v>
      </c>
      <c r="G294" s="2"/>
    </row>
    <row r="295" spans="1:7" x14ac:dyDescent="0.3">
      <c r="A295" t="s">
        <v>273</v>
      </c>
      <c r="B295" t="s">
        <v>312</v>
      </c>
      <c r="C295" t="s">
        <v>313</v>
      </c>
      <c r="D295">
        <v>2011</v>
      </c>
      <c r="E295" s="2">
        <v>25</v>
      </c>
      <c r="F295" s="2">
        <v>3325</v>
      </c>
      <c r="G295" s="2"/>
    </row>
    <row r="296" spans="1:7" x14ac:dyDescent="0.3">
      <c r="A296" t="s">
        <v>273</v>
      </c>
      <c r="B296" t="s">
        <v>312</v>
      </c>
      <c r="C296" t="s">
        <v>313</v>
      </c>
      <c r="D296">
        <v>2015</v>
      </c>
      <c r="E296" s="2">
        <v>45</v>
      </c>
      <c r="F296" s="2">
        <v>4950</v>
      </c>
      <c r="G296" s="2"/>
    </row>
    <row r="297" spans="1:7" x14ac:dyDescent="0.3">
      <c r="A297" t="s">
        <v>273</v>
      </c>
      <c r="B297" t="s">
        <v>314</v>
      </c>
      <c r="C297" t="s">
        <v>315</v>
      </c>
      <c r="D297">
        <v>2013</v>
      </c>
      <c r="E297" s="2">
        <v>100</v>
      </c>
      <c r="F297" s="2">
        <v>10000</v>
      </c>
      <c r="G297" s="2"/>
    </row>
    <row r="298" spans="1:7" x14ac:dyDescent="0.3">
      <c r="A298" t="s">
        <v>273</v>
      </c>
      <c r="B298" t="s">
        <v>316</v>
      </c>
      <c r="C298" t="s">
        <v>317</v>
      </c>
      <c r="D298">
        <v>2013</v>
      </c>
      <c r="E298" s="2">
        <v>15</v>
      </c>
      <c r="F298" s="2">
        <v>7950</v>
      </c>
      <c r="G298" s="2"/>
    </row>
    <row r="299" spans="1:7" x14ac:dyDescent="0.3">
      <c r="A299" t="s">
        <v>273</v>
      </c>
      <c r="B299" t="s">
        <v>196</v>
      </c>
      <c r="C299" t="s">
        <v>197</v>
      </c>
      <c r="D299">
        <v>2012</v>
      </c>
      <c r="E299" s="2">
        <v>85</v>
      </c>
      <c r="F299" s="2">
        <v>19550</v>
      </c>
      <c r="G299" s="2"/>
    </row>
    <row r="300" spans="1:7" x14ac:dyDescent="0.3">
      <c r="A300" t="s">
        <v>273</v>
      </c>
      <c r="B300" t="s">
        <v>196</v>
      </c>
      <c r="C300" t="s">
        <v>197</v>
      </c>
      <c r="D300">
        <v>2013</v>
      </c>
      <c r="E300" s="2">
        <v>360</v>
      </c>
      <c r="F300" s="2">
        <v>82800</v>
      </c>
      <c r="G300" s="2"/>
    </row>
    <row r="301" spans="1:7" x14ac:dyDescent="0.3">
      <c r="A301" t="s">
        <v>273</v>
      </c>
      <c r="B301" t="s">
        <v>196</v>
      </c>
      <c r="C301" t="s">
        <v>197</v>
      </c>
      <c r="D301">
        <v>2014</v>
      </c>
      <c r="E301" s="2">
        <v>300</v>
      </c>
      <c r="F301" s="2">
        <v>69000</v>
      </c>
      <c r="G301" s="2"/>
    </row>
    <row r="302" spans="1:7" x14ac:dyDescent="0.3">
      <c r="A302" t="s">
        <v>273</v>
      </c>
      <c r="B302" t="s">
        <v>196</v>
      </c>
      <c r="C302" t="s">
        <v>197</v>
      </c>
      <c r="D302">
        <v>2015</v>
      </c>
      <c r="E302" s="2">
        <v>25</v>
      </c>
      <c r="F302" s="2">
        <v>5750</v>
      </c>
      <c r="G302" s="2"/>
    </row>
    <row r="303" spans="1:7" x14ac:dyDescent="0.3">
      <c r="A303" t="s">
        <v>273</v>
      </c>
      <c r="B303" t="s">
        <v>196</v>
      </c>
      <c r="C303" t="s">
        <v>197</v>
      </c>
      <c r="D303">
        <v>2016</v>
      </c>
      <c r="E303" s="2">
        <v>100</v>
      </c>
      <c r="F303" s="2">
        <v>23000</v>
      </c>
      <c r="G303" s="2"/>
    </row>
    <row r="304" spans="1:7" x14ac:dyDescent="0.3">
      <c r="A304" t="s">
        <v>273</v>
      </c>
      <c r="B304" t="s">
        <v>72</v>
      </c>
      <c r="C304" t="s">
        <v>102</v>
      </c>
      <c r="D304">
        <v>2013</v>
      </c>
      <c r="E304" s="2">
        <v>50</v>
      </c>
      <c r="F304" s="2">
        <v>22250</v>
      </c>
      <c r="G304" s="2"/>
    </row>
    <row r="305" spans="1:7" x14ac:dyDescent="0.3">
      <c r="A305" t="s">
        <v>273</v>
      </c>
      <c r="B305" t="s">
        <v>72</v>
      </c>
      <c r="C305" t="s">
        <v>102</v>
      </c>
      <c r="D305">
        <v>2014</v>
      </c>
      <c r="E305" s="2">
        <v>150</v>
      </c>
      <c r="F305" s="2">
        <v>66750</v>
      </c>
      <c r="G305" s="2"/>
    </row>
    <row r="306" spans="1:7" x14ac:dyDescent="0.3">
      <c r="A306" t="s">
        <v>273</v>
      </c>
      <c r="B306" t="s">
        <v>318</v>
      </c>
      <c r="C306" t="s">
        <v>319</v>
      </c>
      <c r="D306">
        <v>2013</v>
      </c>
      <c r="E306" s="2">
        <v>30</v>
      </c>
      <c r="F306" s="2">
        <v>7050</v>
      </c>
      <c r="G306" s="2"/>
    </row>
    <row r="307" spans="1:7" x14ac:dyDescent="0.3">
      <c r="A307" t="s">
        <v>273</v>
      </c>
      <c r="B307" t="s">
        <v>318</v>
      </c>
      <c r="C307" t="s">
        <v>319</v>
      </c>
      <c r="D307">
        <v>2014</v>
      </c>
      <c r="E307" s="2">
        <v>25</v>
      </c>
      <c r="F307" s="2">
        <v>5875</v>
      </c>
      <c r="G307" s="2"/>
    </row>
    <row r="308" spans="1:7" x14ac:dyDescent="0.3">
      <c r="A308" t="s">
        <v>273</v>
      </c>
      <c r="B308" t="s">
        <v>320</v>
      </c>
      <c r="C308" t="s">
        <v>321</v>
      </c>
      <c r="D308">
        <v>2014</v>
      </c>
      <c r="E308" s="2">
        <v>50</v>
      </c>
      <c r="F308" s="2">
        <v>10000</v>
      </c>
      <c r="G308" s="2"/>
    </row>
    <row r="309" spans="1:7" x14ac:dyDescent="0.3">
      <c r="A309" t="s">
        <v>273</v>
      </c>
      <c r="B309" t="s">
        <v>322</v>
      </c>
      <c r="D309">
        <v>2013</v>
      </c>
      <c r="E309" s="2">
        <v>6</v>
      </c>
      <c r="F309" s="2">
        <v>1530</v>
      </c>
      <c r="G309" s="2"/>
    </row>
    <row r="310" spans="1:7" x14ac:dyDescent="0.3">
      <c r="A310" t="s">
        <v>273</v>
      </c>
      <c r="B310" t="s">
        <v>323</v>
      </c>
      <c r="C310" t="s">
        <v>324</v>
      </c>
      <c r="D310">
        <v>2016</v>
      </c>
      <c r="E310" s="2">
        <v>25</v>
      </c>
      <c r="F310" s="2">
        <v>1837.5</v>
      </c>
      <c r="G310" s="2"/>
    </row>
    <row r="311" spans="1:7" x14ac:dyDescent="0.3">
      <c r="A311" t="s">
        <v>273</v>
      </c>
      <c r="B311" t="s">
        <v>325</v>
      </c>
      <c r="C311" t="s">
        <v>326</v>
      </c>
      <c r="D311">
        <v>2013</v>
      </c>
      <c r="E311" s="2">
        <v>25</v>
      </c>
      <c r="F311" s="2">
        <v>4750</v>
      </c>
      <c r="G311" s="2"/>
    </row>
    <row r="312" spans="1:7" x14ac:dyDescent="0.3">
      <c r="A312" t="s">
        <v>327</v>
      </c>
      <c r="B312" t="s">
        <v>328</v>
      </c>
      <c r="C312" t="s">
        <v>52</v>
      </c>
      <c r="D312">
        <v>2014</v>
      </c>
      <c r="E312" s="2">
        <v>6</v>
      </c>
      <c r="F312" s="2">
        <v>1380</v>
      </c>
      <c r="G312" s="2"/>
    </row>
    <row r="313" spans="1:7" x14ac:dyDescent="0.3">
      <c r="A313" t="s">
        <v>327</v>
      </c>
      <c r="B313" t="s">
        <v>328</v>
      </c>
      <c r="C313" t="s">
        <v>52</v>
      </c>
      <c r="D313">
        <v>2015</v>
      </c>
      <c r="E313" s="2">
        <v>135</v>
      </c>
      <c r="F313" s="2">
        <v>24500</v>
      </c>
      <c r="G313" s="2"/>
    </row>
    <row r="314" spans="1:7" x14ac:dyDescent="0.3">
      <c r="A314" t="s">
        <v>327</v>
      </c>
      <c r="B314" t="s">
        <v>329</v>
      </c>
      <c r="D314">
        <v>2015</v>
      </c>
      <c r="E314" s="2">
        <v>15</v>
      </c>
      <c r="F314" s="2">
        <v>2400</v>
      </c>
      <c r="G314" s="2"/>
    </row>
    <row r="315" spans="1:7" x14ac:dyDescent="0.3">
      <c r="A315" t="s">
        <v>327</v>
      </c>
      <c r="B315" t="s">
        <v>330</v>
      </c>
      <c r="D315">
        <v>2014</v>
      </c>
      <c r="E315" s="2">
        <v>10</v>
      </c>
      <c r="F315" s="2">
        <v>2200</v>
      </c>
      <c r="G315" s="2"/>
    </row>
    <row r="316" spans="1:7" x14ac:dyDescent="0.3">
      <c r="A316" t="s">
        <v>327</v>
      </c>
      <c r="B316" t="s">
        <v>99</v>
      </c>
      <c r="C316" t="s">
        <v>100</v>
      </c>
      <c r="D316">
        <v>2014</v>
      </c>
      <c r="E316" s="2">
        <v>120</v>
      </c>
      <c r="F316" s="2">
        <v>26600</v>
      </c>
      <c r="G316" s="2"/>
    </row>
    <row r="317" spans="1:7" x14ac:dyDescent="0.3">
      <c r="A317" t="s">
        <v>327</v>
      </c>
      <c r="B317" t="s">
        <v>99</v>
      </c>
      <c r="C317" t="s">
        <v>100</v>
      </c>
      <c r="D317">
        <v>2015</v>
      </c>
      <c r="E317" s="2">
        <v>50</v>
      </c>
      <c r="F317" s="2">
        <v>9500</v>
      </c>
      <c r="G317" s="2"/>
    </row>
    <row r="318" spans="1:7" x14ac:dyDescent="0.3">
      <c r="A318" t="s">
        <v>327</v>
      </c>
      <c r="B318" t="s">
        <v>297</v>
      </c>
      <c r="C318" t="s">
        <v>298</v>
      </c>
      <c r="D318">
        <v>2014</v>
      </c>
      <c r="E318" s="2">
        <v>6</v>
      </c>
      <c r="F318" s="2">
        <v>720</v>
      </c>
      <c r="G318" s="2"/>
    </row>
    <row r="319" spans="1:7" x14ac:dyDescent="0.3">
      <c r="A319" t="s">
        <v>327</v>
      </c>
      <c r="B319" t="s">
        <v>135</v>
      </c>
      <c r="C319" t="s">
        <v>331</v>
      </c>
      <c r="D319">
        <v>2014</v>
      </c>
      <c r="E319" s="2">
        <v>8.4</v>
      </c>
      <c r="F319" s="2">
        <v>1596</v>
      </c>
      <c r="G319" s="2"/>
    </row>
    <row r="320" spans="1:7" x14ac:dyDescent="0.3">
      <c r="A320" t="s">
        <v>327</v>
      </c>
      <c r="B320" t="s">
        <v>135</v>
      </c>
      <c r="C320" t="s">
        <v>136</v>
      </c>
      <c r="D320">
        <v>2014</v>
      </c>
      <c r="E320" s="2">
        <v>115</v>
      </c>
      <c r="F320" s="2">
        <v>23800</v>
      </c>
      <c r="G320" s="2"/>
    </row>
    <row r="321" spans="1:7" x14ac:dyDescent="0.3">
      <c r="A321" t="s">
        <v>327</v>
      </c>
      <c r="B321" t="s">
        <v>135</v>
      </c>
      <c r="C321" t="s">
        <v>136</v>
      </c>
      <c r="D321">
        <v>2015</v>
      </c>
      <c r="E321" s="2">
        <v>175</v>
      </c>
      <c r="F321" s="2">
        <v>33250</v>
      </c>
      <c r="G321" s="2"/>
    </row>
    <row r="322" spans="1:7" x14ac:dyDescent="0.3">
      <c r="A322" t="s">
        <v>327</v>
      </c>
      <c r="B322" t="s">
        <v>137</v>
      </c>
      <c r="C322" t="s">
        <v>138</v>
      </c>
      <c r="D322">
        <v>2013</v>
      </c>
      <c r="E322" s="2">
        <v>1</v>
      </c>
      <c r="F322" s="2">
        <v>200</v>
      </c>
      <c r="G322" s="2"/>
    </row>
    <row r="323" spans="1:7" x14ac:dyDescent="0.3">
      <c r="A323" t="s">
        <v>327</v>
      </c>
      <c r="B323" t="s">
        <v>137</v>
      </c>
      <c r="C323" t="s">
        <v>138</v>
      </c>
      <c r="D323">
        <v>2014</v>
      </c>
      <c r="E323" s="2">
        <v>30</v>
      </c>
      <c r="F323" s="2">
        <v>6000</v>
      </c>
      <c r="G323" s="2"/>
    </row>
    <row r="324" spans="1:7" x14ac:dyDescent="0.3">
      <c r="A324" t="s">
        <v>327</v>
      </c>
      <c r="B324" t="s">
        <v>137</v>
      </c>
      <c r="C324" t="s">
        <v>138</v>
      </c>
      <c r="D324">
        <v>2015</v>
      </c>
      <c r="E324" s="2">
        <v>50</v>
      </c>
      <c r="F324" s="2">
        <v>9500</v>
      </c>
      <c r="G324" s="2"/>
    </row>
    <row r="325" spans="1:7" x14ac:dyDescent="0.3">
      <c r="A325" t="s">
        <v>327</v>
      </c>
      <c r="B325" t="s">
        <v>332</v>
      </c>
      <c r="C325" t="s">
        <v>333</v>
      </c>
      <c r="D325">
        <v>2013</v>
      </c>
      <c r="E325" s="2">
        <v>1</v>
      </c>
      <c r="F325" s="2">
        <v>82</v>
      </c>
      <c r="G325" s="2"/>
    </row>
    <row r="326" spans="1:7" x14ac:dyDescent="0.3">
      <c r="A326" t="s">
        <v>327</v>
      </c>
      <c r="B326" t="s">
        <v>332</v>
      </c>
      <c r="C326" t="s">
        <v>333</v>
      </c>
      <c r="D326">
        <v>2014</v>
      </c>
      <c r="E326" s="2">
        <v>75</v>
      </c>
      <c r="F326" s="2">
        <v>6150</v>
      </c>
      <c r="G326" s="2"/>
    </row>
    <row r="327" spans="1:7" x14ac:dyDescent="0.3">
      <c r="A327" t="s">
        <v>327</v>
      </c>
      <c r="B327" t="s">
        <v>332</v>
      </c>
      <c r="C327" t="s">
        <v>333</v>
      </c>
      <c r="D327">
        <v>2015</v>
      </c>
      <c r="E327" s="2">
        <v>75</v>
      </c>
      <c r="F327" s="2">
        <v>6150</v>
      </c>
      <c r="G327" s="2"/>
    </row>
    <row r="328" spans="1:7" x14ac:dyDescent="0.3">
      <c r="A328" t="s">
        <v>327</v>
      </c>
      <c r="B328" t="s">
        <v>334</v>
      </c>
      <c r="C328" t="s">
        <v>335</v>
      </c>
      <c r="D328">
        <v>2013</v>
      </c>
      <c r="E328" s="2">
        <v>1</v>
      </c>
      <c r="F328" s="2">
        <v>80</v>
      </c>
      <c r="G328" s="2"/>
    </row>
    <row r="329" spans="1:7" x14ac:dyDescent="0.3">
      <c r="A329" t="s">
        <v>327</v>
      </c>
      <c r="B329" t="s">
        <v>196</v>
      </c>
      <c r="C329" t="s">
        <v>197</v>
      </c>
      <c r="D329">
        <v>2014</v>
      </c>
      <c r="E329" s="2">
        <v>35</v>
      </c>
      <c r="F329" s="2">
        <v>6775</v>
      </c>
      <c r="G329" s="2"/>
    </row>
    <row r="330" spans="1:7" x14ac:dyDescent="0.3">
      <c r="A330" t="s">
        <v>327</v>
      </c>
      <c r="B330" t="s">
        <v>336</v>
      </c>
      <c r="C330" t="s">
        <v>337</v>
      </c>
      <c r="D330">
        <v>2013</v>
      </c>
      <c r="E330" s="2">
        <v>1</v>
      </c>
      <c r="F330" s="2">
        <v>85</v>
      </c>
      <c r="G330" s="2"/>
    </row>
    <row r="331" spans="1:7" x14ac:dyDescent="0.3">
      <c r="A331" t="s">
        <v>338</v>
      </c>
      <c r="B331" t="s">
        <v>339</v>
      </c>
      <c r="D331">
        <v>2010</v>
      </c>
      <c r="E331" s="2">
        <v>1</v>
      </c>
      <c r="F331" s="2">
        <v>240</v>
      </c>
      <c r="G331" s="2"/>
    </row>
    <row r="332" spans="1:7" x14ac:dyDescent="0.3">
      <c r="A332" t="s">
        <v>338</v>
      </c>
      <c r="B332" t="s">
        <v>340</v>
      </c>
      <c r="C332" t="s">
        <v>341</v>
      </c>
      <c r="D332">
        <v>2010</v>
      </c>
      <c r="E332" s="2">
        <v>0.5</v>
      </c>
      <c r="F332" s="2">
        <v>240</v>
      </c>
      <c r="G332" s="2"/>
    </row>
    <row r="333" spans="1:7" x14ac:dyDescent="0.3">
      <c r="A333" t="s">
        <v>338</v>
      </c>
      <c r="B333" t="s">
        <v>218</v>
      </c>
      <c r="C333" t="s">
        <v>212</v>
      </c>
      <c r="D333">
        <v>2010</v>
      </c>
      <c r="E333" s="2">
        <v>25</v>
      </c>
      <c r="F333" s="2">
        <v>5000</v>
      </c>
      <c r="G333" s="2"/>
    </row>
    <row r="334" spans="1:7" x14ac:dyDescent="0.3">
      <c r="A334" t="s">
        <v>338</v>
      </c>
      <c r="B334" t="s">
        <v>99</v>
      </c>
      <c r="C334" t="s">
        <v>100</v>
      </c>
      <c r="D334">
        <v>2010</v>
      </c>
      <c r="E334" s="2">
        <v>5</v>
      </c>
      <c r="F334" s="2">
        <v>1200</v>
      </c>
      <c r="G334" s="2"/>
    </row>
    <row r="335" spans="1:7" x14ac:dyDescent="0.3">
      <c r="A335" t="s">
        <v>338</v>
      </c>
      <c r="B335" t="s">
        <v>135</v>
      </c>
      <c r="C335" t="s">
        <v>136</v>
      </c>
      <c r="D335">
        <v>2010</v>
      </c>
      <c r="E335" s="2">
        <v>30</v>
      </c>
      <c r="F335" s="2">
        <v>6000</v>
      </c>
      <c r="G335" s="2"/>
    </row>
    <row r="336" spans="1:7" x14ac:dyDescent="0.3">
      <c r="A336" t="s">
        <v>338</v>
      </c>
      <c r="B336" t="s">
        <v>342</v>
      </c>
      <c r="C336" t="s">
        <v>343</v>
      </c>
      <c r="D336">
        <v>2010</v>
      </c>
      <c r="E336" s="2">
        <v>1</v>
      </c>
      <c r="F336" s="2">
        <v>880</v>
      </c>
      <c r="G336" s="2"/>
    </row>
    <row r="337" spans="1:8" x14ac:dyDescent="0.3">
      <c r="A337" t="s">
        <v>338</v>
      </c>
      <c r="B337" t="s">
        <v>325</v>
      </c>
      <c r="C337" t="s">
        <v>326</v>
      </c>
      <c r="D337">
        <v>2010</v>
      </c>
      <c r="E337" s="2">
        <v>5.5</v>
      </c>
      <c r="F337" s="2">
        <v>1440</v>
      </c>
      <c r="G337" s="2"/>
    </row>
    <row r="338" spans="1:8" x14ac:dyDescent="0.3">
      <c r="A338" t="s">
        <v>344</v>
      </c>
      <c r="B338" t="s">
        <v>276</v>
      </c>
      <c r="C338" t="s">
        <v>277</v>
      </c>
      <c r="D338">
        <v>2017</v>
      </c>
      <c r="E338" s="2">
        <v>5</v>
      </c>
      <c r="F338" s="2">
        <v>1250</v>
      </c>
      <c r="G338" s="2"/>
    </row>
    <row r="339" spans="1:8" x14ac:dyDescent="0.3">
      <c r="A339" t="s">
        <v>344</v>
      </c>
      <c r="B339" t="s">
        <v>37</v>
      </c>
      <c r="D339">
        <v>2019</v>
      </c>
      <c r="E339" s="2">
        <v>2</v>
      </c>
      <c r="F339" s="2">
        <v>240</v>
      </c>
      <c r="G339" s="2">
        <v>252</v>
      </c>
    </row>
    <row r="340" spans="1:8" x14ac:dyDescent="0.3">
      <c r="A340" t="s">
        <v>345</v>
      </c>
      <c r="B340" t="s">
        <v>346</v>
      </c>
      <c r="C340" t="s">
        <v>347</v>
      </c>
      <c r="D340">
        <v>2020</v>
      </c>
      <c r="E340" s="2">
        <v>22</v>
      </c>
      <c r="F340" s="2">
        <v>1980</v>
      </c>
      <c r="G340" s="2">
        <v>2079</v>
      </c>
    </row>
    <row r="341" spans="1:8" x14ac:dyDescent="0.3">
      <c r="A341" t="s">
        <v>345</v>
      </c>
      <c r="B341" t="s">
        <v>348</v>
      </c>
      <c r="C341" t="s">
        <v>347</v>
      </c>
      <c r="D341">
        <v>2020</v>
      </c>
      <c r="E341" s="2">
        <v>10</v>
      </c>
      <c r="F341" s="2">
        <v>900</v>
      </c>
      <c r="G341" s="2">
        <v>945</v>
      </c>
    </row>
    <row r="342" spans="1:8" x14ac:dyDescent="0.3">
      <c r="A342" t="s">
        <v>345</v>
      </c>
      <c r="B342" t="s">
        <v>349</v>
      </c>
      <c r="C342" t="s">
        <v>350</v>
      </c>
      <c r="D342">
        <v>2020</v>
      </c>
      <c r="E342" s="2">
        <v>10</v>
      </c>
      <c r="F342" s="2">
        <v>780</v>
      </c>
      <c r="G342" s="2">
        <v>819</v>
      </c>
    </row>
    <row r="343" spans="1:8" x14ac:dyDescent="0.3">
      <c r="A343" t="s">
        <v>345</v>
      </c>
      <c r="B343" t="s">
        <v>297</v>
      </c>
      <c r="C343" t="s">
        <v>298</v>
      </c>
      <c r="D343">
        <v>2020</v>
      </c>
      <c r="E343" s="2">
        <v>10</v>
      </c>
      <c r="F343" s="2">
        <v>700</v>
      </c>
      <c r="G343" s="2">
        <v>735</v>
      </c>
    </row>
    <row r="344" spans="1:8" x14ac:dyDescent="0.3">
      <c r="A344" t="s">
        <v>345</v>
      </c>
      <c r="B344" t="s">
        <v>269</v>
      </c>
      <c r="C344" t="s">
        <v>270</v>
      </c>
      <c r="D344">
        <v>2020</v>
      </c>
      <c r="E344" s="2">
        <v>100</v>
      </c>
      <c r="F344" s="2">
        <v>4600</v>
      </c>
      <c r="G344" s="2">
        <v>4830</v>
      </c>
    </row>
    <row r="345" spans="1:8" x14ac:dyDescent="0.3">
      <c r="A345" t="s">
        <v>345</v>
      </c>
      <c r="B345" t="s">
        <v>351</v>
      </c>
      <c r="C345" t="s">
        <v>352</v>
      </c>
      <c r="D345">
        <v>2021</v>
      </c>
      <c r="E345" s="2">
        <v>10</v>
      </c>
      <c r="F345" s="2">
        <v>460</v>
      </c>
      <c r="G345" s="2">
        <v>483</v>
      </c>
      <c r="H345" s="3" t="s">
        <v>18</v>
      </c>
    </row>
    <row r="346" spans="1:8" x14ac:dyDescent="0.3">
      <c r="A346" t="s">
        <v>345</v>
      </c>
      <c r="B346" t="s">
        <v>110</v>
      </c>
      <c r="C346" t="s">
        <v>111</v>
      </c>
      <c r="D346">
        <v>2020</v>
      </c>
      <c r="E346" s="2">
        <v>145</v>
      </c>
      <c r="F346" s="2">
        <v>7250</v>
      </c>
      <c r="G346" s="2">
        <v>7612.5</v>
      </c>
    </row>
    <row r="347" spans="1:8" x14ac:dyDescent="0.3">
      <c r="A347" t="s">
        <v>345</v>
      </c>
      <c r="B347" t="s">
        <v>36</v>
      </c>
      <c r="D347">
        <v>2020</v>
      </c>
      <c r="E347" s="2">
        <v>2</v>
      </c>
      <c r="F347" s="2">
        <v>180</v>
      </c>
      <c r="G347" s="2">
        <v>189</v>
      </c>
      <c r="H347" s="3" t="s">
        <v>18</v>
      </c>
    </row>
    <row r="348" spans="1:8" x14ac:dyDescent="0.3">
      <c r="A348" t="s">
        <v>345</v>
      </c>
      <c r="B348" t="s">
        <v>36</v>
      </c>
      <c r="D348">
        <v>2021</v>
      </c>
      <c r="E348" s="2">
        <v>1</v>
      </c>
      <c r="F348" s="2">
        <v>90</v>
      </c>
      <c r="G348" s="2">
        <v>94.5</v>
      </c>
      <c r="H348" s="3" t="s">
        <v>18</v>
      </c>
    </row>
    <row r="349" spans="1:8" x14ac:dyDescent="0.3">
      <c r="A349" t="s">
        <v>345</v>
      </c>
      <c r="B349" t="s">
        <v>37</v>
      </c>
      <c r="D349">
        <v>2020</v>
      </c>
      <c r="E349" s="2">
        <v>10</v>
      </c>
      <c r="F349" s="2">
        <v>700</v>
      </c>
      <c r="G349" s="2">
        <v>735</v>
      </c>
      <c r="H349" s="3" t="s">
        <v>18</v>
      </c>
    </row>
    <row r="350" spans="1:8" x14ac:dyDescent="0.3">
      <c r="A350" t="s">
        <v>345</v>
      </c>
      <c r="B350" t="s">
        <v>37</v>
      </c>
      <c r="D350">
        <v>2021</v>
      </c>
      <c r="E350" s="2">
        <v>5</v>
      </c>
      <c r="F350" s="2">
        <v>350</v>
      </c>
      <c r="G350" s="2">
        <v>367.5</v>
      </c>
      <c r="H350" s="3" t="s">
        <v>18</v>
      </c>
    </row>
    <row r="351" spans="1:8" x14ac:dyDescent="0.3">
      <c r="A351" t="s">
        <v>353</v>
      </c>
      <c r="B351" t="s">
        <v>354</v>
      </c>
      <c r="C351" t="s">
        <v>355</v>
      </c>
      <c r="D351">
        <v>2019</v>
      </c>
      <c r="E351" s="2">
        <v>2</v>
      </c>
      <c r="F351" s="2">
        <v>420</v>
      </c>
      <c r="G351" s="2">
        <v>441</v>
      </c>
    </row>
    <row r="352" spans="1:8" x14ac:dyDescent="0.3">
      <c r="A352" t="s">
        <v>353</v>
      </c>
      <c r="B352" t="s">
        <v>356</v>
      </c>
      <c r="C352" t="s">
        <v>357</v>
      </c>
      <c r="D352">
        <v>2009</v>
      </c>
      <c r="E352" s="2">
        <v>10</v>
      </c>
      <c r="F352" s="2">
        <v>1750</v>
      </c>
      <c r="G352" s="2"/>
    </row>
    <row r="353" spans="1:7" x14ac:dyDescent="0.3">
      <c r="A353" t="s">
        <v>353</v>
      </c>
      <c r="B353" t="s">
        <v>176</v>
      </c>
      <c r="C353" t="s">
        <v>358</v>
      </c>
      <c r="D353">
        <v>2009</v>
      </c>
      <c r="E353" s="2">
        <v>10</v>
      </c>
      <c r="F353" s="2">
        <v>1800</v>
      </c>
      <c r="G353" s="2"/>
    </row>
    <row r="354" spans="1:7" x14ac:dyDescent="0.3">
      <c r="A354" t="s">
        <v>353</v>
      </c>
      <c r="B354" t="s">
        <v>218</v>
      </c>
      <c r="C354" t="s">
        <v>212</v>
      </c>
      <c r="D354">
        <v>2010</v>
      </c>
      <c r="E354" s="2">
        <v>25</v>
      </c>
      <c r="F354" s="2">
        <v>4250</v>
      </c>
      <c r="G354" s="2"/>
    </row>
    <row r="355" spans="1:7" x14ac:dyDescent="0.3">
      <c r="A355" t="s">
        <v>353</v>
      </c>
      <c r="B355" t="s">
        <v>218</v>
      </c>
      <c r="C355" t="s">
        <v>212</v>
      </c>
      <c r="D355">
        <v>2011</v>
      </c>
      <c r="E355" s="2">
        <v>40</v>
      </c>
      <c r="F355" s="2">
        <v>6800</v>
      </c>
      <c r="G355" s="2"/>
    </row>
    <row r="356" spans="1:7" x14ac:dyDescent="0.3">
      <c r="A356" t="s">
        <v>353</v>
      </c>
      <c r="B356" t="s">
        <v>218</v>
      </c>
      <c r="C356" t="s">
        <v>212</v>
      </c>
      <c r="D356">
        <v>2012</v>
      </c>
      <c r="E356" s="2">
        <v>25</v>
      </c>
      <c r="F356" s="2">
        <v>4250</v>
      </c>
      <c r="G356" s="2"/>
    </row>
    <row r="357" spans="1:7" x14ac:dyDescent="0.3">
      <c r="A357" t="s">
        <v>353</v>
      </c>
      <c r="B357" t="s">
        <v>218</v>
      </c>
      <c r="C357" t="s">
        <v>212</v>
      </c>
      <c r="D357">
        <v>2013</v>
      </c>
      <c r="E357" s="2">
        <v>10</v>
      </c>
      <c r="F357" s="2">
        <v>1700</v>
      </c>
      <c r="G357" s="2"/>
    </row>
    <row r="358" spans="1:7" x14ac:dyDescent="0.3">
      <c r="A358" t="s">
        <v>353</v>
      </c>
      <c r="B358" t="s">
        <v>218</v>
      </c>
      <c r="C358" t="s">
        <v>212</v>
      </c>
      <c r="D358">
        <v>2014</v>
      </c>
      <c r="E358" s="2">
        <v>25</v>
      </c>
      <c r="F358" s="2">
        <v>4250</v>
      </c>
      <c r="G358" s="2"/>
    </row>
    <row r="359" spans="1:7" x14ac:dyDescent="0.3">
      <c r="A359" t="s">
        <v>353</v>
      </c>
      <c r="B359" t="s">
        <v>218</v>
      </c>
      <c r="C359" t="s">
        <v>212</v>
      </c>
      <c r="D359">
        <v>2015</v>
      </c>
      <c r="E359" s="2">
        <v>25</v>
      </c>
      <c r="F359" s="2">
        <v>4250</v>
      </c>
      <c r="G359" s="2"/>
    </row>
    <row r="360" spans="1:7" x14ac:dyDescent="0.3">
      <c r="A360" t="s">
        <v>353</v>
      </c>
      <c r="B360" t="s">
        <v>218</v>
      </c>
      <c r="C360" t="s">
        <v>212</v>
      </c>
      <c r="D360">
        <v>2017</v>
      </c>
      <c r="E360" s="2">
        <v>10</v>
      </c>
      <c r="F360" s="2">
        <v>1700</v>
      </c>
      <c r="G360" s="2"/>
    </row>
    <row r="361" spans="1:7" x14ac:dyDescent="0.3">
      <c r="A361" t="s">
        <v>353</v>
      </c>
      <c r="B361" t="s">
        <v>218</v>
      </c>
      <c r="C361" t="s">
        <v>212</v>
      </c>
      <c r="D361">
        <v>2018</v>
      </c>
      <c r="E361" s="2">
        <v>25</v>
      </c>
      <c r="F361" s="2">
        <v>4250</v>
      </c>
      <c r="G361" s="2">
        <v>4462.5</v>
      </c>
    </row>
    <row r="362" spans="1:7" x14ac:dyDescent="0.3">
      <c r="A362" t="s">
        <v>353</v>
      </c>
      <c r="B362" t="s">
        <v>287</v>
      </c>
      <c r="C362" t="s">
        <v>186</v>
      </c>
      <c r="D362">
        <v>2011</v>
      </c>
      <c r="E362" s="2">
        <v>5</v>
      </c>
      <c r="F362" s="2">
        <v>1075</v>
      </c>
      <c r="G362" s="2"/>
    </row>
    <row r="363" spans="1:7" x14ac:dyDescent="0.3">
      <c r="A363" t="s">
        <v>353</v>
      </c>
      <c r="B363" t="s">
        <v>359</v>
      </c>
      <c r="C363" t="s">
        <v>360</v>
      </c>
      <c r="D363">
        <v>2009</v>
      </c>
      <c r="E363" s="2">
        <v>10</v>
      </c>
      <c r="F363" s="2">
        <v>1500</v>
      </c>
      <c r="G363" s="2"/>
    </row>
    <row r="364" spans="1:7" x14ac:dyDescent="0.3">
      <c r="A364" t="s">
        <v>353</v>
      </c>
      <c r="B364" t="s">
        <v>361</v>
      </c>
      <c r="C364" t="s">
        <v>362</v>
      </c>
      <c r="D364">
        <v>2009</v>
      </c>
      <c r="E364" s="2">
        <v>10</v>
      </c>
      <c r="F364" s="2">
        <v>1800</v>
      </c>
      <c r="G364" s="2"/>
    </row>
    <row r="365" spans="1:7" x14ac:dyDescent="0.3">
      <c r="A365" t="s">
        <v>353</v>
      </c>
      <c r="B365" t="s">
        <v>330</v>
      </c>
      <c r="D365">
        <v>2014</v>
      </c>
      <c r="E365" s="2">
        <v>25</v>
      </c>
      <c r="F365" s="2">
        <v>4000</v>
      </c>
      <c r="G365" s="2"/>
    </row>
    <row r="366" spans="1:7" x14ac:dyDescent="0.3">
      <c r="A366" t="s">
        <v>353</v>
      </c>
      <c r="B366" t="s">
        <v>363</v>
      </c>
      <c r="C366" t="s">
        <v>364</v>
      </c>
      <c r="D366">
        <v>2011</v>
      </c>
      <c r="E366" s="2">
        <v>25</v>
      </c>
      <c r="F366" s="2">
        <v>4250</v>
      </c>
      <c r="G366" s="2"/>
    </row>
    <row r="367" spans="1:7" x14ac:dyDescent="0.3">
      <c r="A367" t="s">
        <v>353</v>
      </c>
      <c r="B367" t="s">
        <v>363</v>
      </c>
      <c r="C367" t="s">
        <v>364</v>
      </c>
      <c r="D367">
        <v>2013</v>
      </c>
      <c r="E367" s="2">
        <v>20</v>
      </c>
      <c r="F367" s="2">
        <v>3400</v>
      </c>
      <c r="G367" s="2"/>
    </row>
    <row r="368" spans="1:7" x14ac:dyDescent="0.3">
      <c r="A368" t="s">
        <v>353</v>
      </c>
      <c r="B368" t="s">
        <v>365</v>
      </c>
      <c r="C368" t="s">
        <v>96</v>
      </c>
      <c r="D368">
        <v>2019</v>
      </c>
      <c r="E368" s="2">
        <v>1</v>
      </c>
      <c r="F368" s="2">
        <v>180</v>
      </c>
      <c r="G368" s="2">
        <v>189</v>
      </c>
    </row>
    <row r="369" spans="1:7" x14ac:dyDescent="0.3">
      <c r="A369" t="s">
        <v>353</v>
      </c>
      <c r="B369" t="s">
        <v>366</v>
      </c>
      <c r="C369" t="s">
        <v>367</v>
      </c>
      <c r="D369">
        <v>2009</v>
      </c>
      <c r="E369" s="2">
        <v>20</v>
      </c>
      <c r="F369" s="2">
        <v>3360</v>
      </c>
      <c r="G369" s="2"/>
    </row>
    <row r="370" spans="1:7" x14ac:dyDescent="0.3">
      <c r="A370" t="s">
        <v>353</v>
      </c>
      <c r="B370" t="s">
        <v>99</v>
      </c>
      <c r="C370" t="s">
        <v>100</v>
      </c>
      <c r="D370">
        <v>2009</v>
      </c>
      <c r="E370" s="2">
        <v>10</v>
      </c>
      <c r="F370" s="2">
        <v>1650</v>
      </c>
      <c r="G370" s="2"/>
    </row>
    <row r="371" spans="1:7" x14ac:dyDescent="0.3">
      <c r="A371" t="s">
        <v>353</v>
      </c>
      <c r="B371" t="s">
        <v>368</v>
      </c>
      <c r="C371" t="s">
        <v>369</v>
      </c>
      <c r="D371">
        <v>2009</v>
      </c>
      <c r="E371" s="2">
        <v>10</v>
      </c>
      <c r="F371" s="2">
        <v>1500</v>
      </c>
      <c r="G371" s="2"/>
    </row>
    <row r="372" spans="1:7" x14ac:dyDescent="0.3">
      <c r="A372" t="s">
        <v>353</v>
      </c>
      <c r="B372" t="s">
        <v>368</v>
      </c>
      <c r="C372" t="s">
        <v>369</v>
      </c>
      <c r="D372">
        <v>2012</v>
      </c>
      <c r="E372" s="2">
        <v>10</v>
      </c>
      <c r="F372" s="2">
        <v>1500</v>
      </c>
      <c r="G372" s="2"/>
    </row>
    <row r="373" spans="1:7" x14ac:dyDescent="0.3">
      <c r="A373" t="s">
        <v>353</v>
      </c>
      <c r="B373" t="s">
        <v>368</v>
      </c>
      <c r="C373" t="s">
        <v>369</v>
      </c>
      <c r="D373">
        <v>2013</v>
      </c>
      <c r="E373" s="2">
        <v>10</v>
      </c>
      <c r="F373" s="2">
        <v>1500</v>
      </c>
      <c r="G373" s="2"/>
    </row>
    <row r="374" spans="1:7" x14ac:dyDescent="0.3">
      <c r="A374" t="s">
        <v>353</v>
      </c>
      <c r="B374" t="s">
        <v>368</v>
      </c>
      <c r="C374" t="s">
        <v>369</v>
      </c>
      <c r="D374">
        <v>2015</v>
      </c>
      <c r="E374" s="2">
        <v>5</v>
      </c>
      <c r="F374" s="2">
        <v>750</v>
      </c>
      <c r="G374" s="2"/>
    </row>
    <row r="375" spans="1:7" x14ac:dyDescent="0.3">
      <c r="A375" t="s">
        <v>353</v>
      </c>
      <c r="B375" t="s">
        <v>60</v>
      </c>
      <c r="C375" t="s">
        <v>61</v>
      </c>
      <c r="D375">
        <v>2015</v>
      </c>
      <c r="E375" s="2">
        <v>10</v>
      </c>
      <c r="F375" s="2">
        <v>1750</v>
      </c>
      <c r="G375" s="2"/>
    </row>
    <row r="376" spans="1:7" x14ac:dyDescent="0.3">
      <c r="A376" t="s">
        <v>353</v>
      </c>
      <c r="B376" t="s">
        <v>60</v>
      </c>
      <c r="C376" t="s">
        <v>61</v>
      </c>
      <c r="D376">
        <v>2017</v>
      </c>
      <c r="E376" s="2">
        <v>10</v>
      </c>
      <c r="F376" s="2">
        <v>1750</v>
      </c>
      <c r="G376" s="2"/>
    </row>
    <row r="377" spans="1:7" x14ac:dyDescent="0.3">
      <c r="A377" t="s">
        <v>353</v>
      </c>
      <c r="B377" t="s">
        <v>103</v>
      </c>
      <c r="C377" t="s">
        <v>104</v>
      </c>
      <c r="D377">
        <v>2009</v>
      </c>
      <c r="E377" s="2">
        <v>20</v>
      </c>
      <c r="F377" s="2">
        <v>4000</v>
      </c>
      <c r="G377" s="2"/>
    </row>
    <row r="378" spans="1:7" x14ac:dyDescent="0.3">
      <c r="A378" t="s">
        <v>353</v>
      </c>
      <c r="B378" t="s">
        <v>211</v>
      </c>
      <c r="C378" t="s">
        <v>212</v>
      </c>
      <c r="D378">
        <v>2019</v>
      </c>
      <c r="E378" s="2">
        <v>5</v>
      </c>
      <c r="F378" s="2">
        <v>850</v>
      </c>
      <c r="G378" s="2">
        <v>892.5</v>
      </c>
    </row>
    <row r="379" spans="1:7" x14ac:dyDescent="0.3">
      <c r="A379" t="s">
        <v>353</v>
      </c>
      <c r="B379" t="s">
        <v>370</v>
      </c>
      <c r="C379" t="s">
        <v>371</v>
      </c>
      <c r="D379">
        <v>2013</v>
      </c>
      <c r="E379" s="2">
        <v>10</v>
      </c>
      <c r="F379" s="2">
        <v>2200</v>
      </c>
      <c r="G379" s="2"/>
    </row>
    <row r="380" spans="1:7" x14ac:dyDescent="0.3">
      <c r="A380" t="s">
        <v>353</v>
      </c>
      <c r="B380" t="s">
        <v>127</v>
      </c>
      <c r="D380">
        <v>2019</v>
      </c>
      <c r="E380" s="2">
        <v>2</v>
      </c>
      <c r="F380" s="2">
        <v>460</v>
      </c>
      <c r="G380" s="2">
        <v>483</v>
      </c>
    </row>
    <row r="381" spans="1:7" x14ac:dyDescent="0.3">
      <c r="A381" t="s">
        <v>353</v>
      </c>
      <c r="B381" t="s">
        <v>135</v>
      </c>
      <c r="C381" t="s">
        <v>136</v>
      </c>
      <c r="D381">
        <v>2009</v>
      </c>
      <c r="E381" s="2">
        <v>75</v>
      </c>
      <c r="F381" s="2">
        <v>11250</v>
      </c>
      <c r="G381" s="2"/>
    </row>
    <row r="382" spans="1:7" x14ac:dyDescent="0.3">
      <c r="A382" t="s">
        <v>353</v>
      </c>
      <c r="B382" t="s">
        <v>135</v>
      </c>
      <c r="C382" t="s">
        <v>136</v>
      </c>
      <c r="D382">
        <v>2010</v>
      </c>
      <c r="E382" s="2">
        <v>75</v>
      </c>
      <c r="F382" s="2">
        <v>11250</v>
      </c>
      <c r="G382" s="2"/>
    </row>
    <row r="383" spans="1:7" x14ac:dyDescent="0.3">
      <c r="A383" t="s">
        <v>353</v>
      </c>
      <c r="B383" t="s">
        <v>135</v>
      </c>
      <c r="C383" t="s">
        <v>136</v>
      </c>
      <c r="D383">
        <v>2011</v>
      </c>
      <c r="E383" s="2">
        <v>25</v>
      </c>
      <c r="F383" s="2">
        <v>4125</v>
      </c>
      <c r="G383" s="2"/>
    </row>
    <row r="384" spans="1:7" x14ac:dyDescent="0.3">
      <c r="A384" t="s">
        <v>353</v>
      </c>
      <c r="B384" t="s">
        <v>135</v>
      </c>
      <c r="C384" t="s">
        <v>136</v>
      </c>
      <c r="D384">
        <v>2012</v>
      </c>
      <c r="E384" s="2">
        <v>25</v>
      </c>
      <c r="F384" s="2">
        <v>4000</v>
      </c>
      <c r="G384" s="2"/>
    </row>
    <row r="385" spans="1:8" x14ac:dyDescent="0.3">
      <c r="A385" t="s">
        <v>353</v>
      </c>
      <c r="B385" t="s">
        <v>135</v>
      </c>
      <c r="C385" t="s">
        <v>136</v>
      </c>
      <c r="D385">
        <v>2013</v>
      </c>
      <c r="E385" s="2">
        <v>58</v>
      </c>
      <c r="F385" s="2">
        <v>9250</v>
      </c>
      <c r="G385" s="2"/>
    </row>
    <row r="386" spans="1:8" x14ac:dyDescent="0.3">
      <c r="A386" t="s">
        <v>353</v>
      </c>
      <c r="B386" t="s">
        <v>135</v>
      </c>
      <c r="C386" t="s">
        <v>136</v>
      </c>
      <c r="D386">
        <v>2014</v>
      </c>
      <c r="E386" s="2">
        <v>30</v>
      </c>
      <c r="F386" s="2">
        <v>4800</v>
      </c>
      <c r="G386" s="2"/>
    </row>
    <row r="387" spans="1:8" x14ac:dyDescent="0.3">
      <c r="A387" t="s">
        <v>353</v>
      </c>
      <c r="B387" t="s">
        <v>135</v>
      </c>
      <c r="C387" t="s">
        <v>136</v>
      </c>
      <c r="D387">
        <v>2015</v>
      </c>
      <c r="E387" s="2">
        <v>50</v>
      </c>
      <c r="F387" s="2">
        <v>8000</v>
      </c>
      <c r="G387" s="2"/>
    </row>
    <row r="388" spans="1:8" x14ac:dyDescent="0.3">
      <c r="A388" t="s">
        <v>353</v>
      </c>
      <c r="B388" t="s">
        <v>135</v>
      </c>
      <c r="C388" t="s">
        <v>136</v>
      </c>
      <c r="D388">
        <v>2016</v>
      </c>
      <c r="E388" s="2">
        <v>25</v>
      </c>
      <c r="F388" s="2">
        <v>4000</v>
      </c>
      <c r="G388" s="2"/>
    </row>
    <row r="389" spans="1:8" x14ac:dyDescent="0.3">
      <c r="A389" t="s">
        <v>353</v>
      </c>
      <c r="B389" t="s">
        <v>135</v>
      </c>
      <c r="C389" t="s">
        <v>136</v>
      </c>
      <c r="D389">
        <v>2017</v>
      </c>
      <c r="E389" s="2">
        <v>75</v>
      </c>
      <c r="F389" s="2">
        <v>12000</v>
      </c>
      <c r="G389" s="2"/>
    </row>
    <row r="390" spans="1:8" x14ac:dyDescent="0.3">
      <c r="A390" t="s">
        <v>353</v>
      </c>
      <c r="B390" t="s">
        <v>135</v>
      </c>
      <c r="C390" t="s">
        <v>136</v>
      </c>
      <c r="D390">
        <v>2018</v>
      </c>
      <c r="E390" s="2">
        <v>25</v>
      </c>
      <c r="F390" s="2">
        <v>4000</v>
      </c>
      <c r="G390" s="2">
        <v>4200</v>
      </c>
    </row>
    <row r="391" spans="1:8" x14ac:dyDescent="0.3">
      <c r="A391" t="s">
        <v>353</v>
      </c>
      <c r="B391" t="s">
        <v>372</v>
      </c>
      <c r="C391" t="s">
        <v>331</v>
      </c>
      <c r="D391">
        <v>2019</v>
      </c>
      <c r="E391" s="2">
        <v>30</v>
      </c>
      <c r="F391" s="2">
        <v>4800</v>
      </c>
      <c r="G391" s="2">
        <v>5040</v>
      </c>
    </row>
    <row r="392" spans="1:8" x14ac:dyDescent="0.3">
      <c r="A392" t="s">
        <v>353</v>
      </c>
      <c r="B392" t="s">
        <v>373</v>
      </c>
      <c r="C392" t="s">
        <v>331</v>
      </c>
      <c r="D392">
        <v>2020</v>
      </c>
      <c r="E392" s="2">
        <v>25</v>
      </c>
      <c r="F392" s="2">
        <v>4200</v>
      </c>
      <c r="G392" s="2">
        <v>4410</v>
      </c>
      <c r="H392" s="3" t="s">
        <v>374</v>
      </c>
    </row>
    <row r="393" spans="1:8" x14ac:dyDescent="0.3">
      <c r="A393" t="s">
        <v>353</v>
      </c>
      <c r="B393" t="s">
        <v>373</v>
      </c>
      <c r="C393" t="s">
        <v>331</v>
      </c>
      <c r="D393">
        <v>2021</v>
      </c>
      <c r="E393" s="2">
        <v>10</v>
      </c>
      <c r="F393" s="2">
        <v>1600</v>
      </c>
      <c r="G393" s="2">
        <v>1680</v>
      </c>
      <c r="H393" s="3" t="s">
        <v>374</v>
      </c>
    </row>
    <row r="394" spans="1:8" x14ac:dyDescent="0.3">
      <c r="A394" t="s">
        <v>353</v>
      </c>
      <c r="B394" t="s">
        <v>375</v>
      </c>
      <c r="C394" t="s">
        <v>262</v>
      </c>
      <c r="D394">
        <v>2014</v>
      </c>
      <c r="E394" s="2">
        <v>5</v>
      </c>
      <c r="F394" s="2">
        <v>1000</v>
      </c>
      <c r="G394" s="2"/>
    </row>
    <row r="395" spans="1:8" x14ac:dyDescent="0.3">
      <c r="A395" t="s">
        <v>353</v>
      </c>
      <c r="B395" t="s">
        <v>375</v>
      </c>
      <c r="C395" t="s">
        <v>262</v>
      </c>
      <c r="D395">
        <v>2015</v>
      </c>
      <c r="E395" s="2">
        <v>10</v>
      </c>
      <c r="F395" s="2">
        <v>2000</v>
      </c>
      <c r="G395" s="2"/>
    </row>
    <row r="396" spans="1:8" x14ac:dyDescent="0.3">
      <c r="A396" t="s">
        <v>353</v>
      </c>
      <c r="B396" t="s">
        <v>376</v>
      </c>
      <c r="C396" t="s">
        <v>377</v>
      </c>
      <c r="D396">
        <v>2009</v>
      </c>
      <c r="E396" s="2">
        <v>20</v>
      </c>
      <c r="F396" s="2">
        <v>3000</v>
      </c>
      <c r="G396" s="2"/>
    </row>
    <row r="397" spans="1:8" x14ac:dyDescent="0.3">
      <c r="A397" t="s">
        <v>353</v>
      </c>
      <c r="B397" t="s">
        <v>378</v>
      </c>
      <c r="C397" t="s">
        <v>379</v>
      </c>
      <c r="D397">
        <v>2009</v>
      </c>
      <c r="E397" s="2">
        <v>20</v>
      </c>
      <c r="F397" s="2">
        <v>3000</v>
      </c>
      <c r="G397" s="2"/>
    </row>
    <row r="398" spans="1:8" x14ac:dyDescent="0.3">
      <c r="A398" t="s">
        <v>353</v>
      </c>
      <c r="B398" t="s">
        <v>380</v>
      </c>
      <c r="C398" t="s">
        <v>369</v>
      </c>
      <c r="D398">
        <v>2014</v>
      </c>
      <c r="E398" s="2">
        <v>10</v>
      </c>
      <c r="F398" s="2">
        <v>1500</v>
      </c>
      <c r="G398" s="2"/>
    </row>
    <row r="399" spans="1:8" x14ac:dyDescent="0.3">
      <c r="A399" t="s">
        <v>353</v>
      </c>
      <c r="B399" t="s">
        <v>380</v>
      </c>
      <c r="C399" t="s">
        <v>369</v>
      </c>
      <c r="D399">
        <v>2017</v>
      </c>
      <c r="E399" s="2">
        <v>10</v>
      </c>
      <c r="F399" s="2">
        <v>1500</v>
      </c>
      <c r="G399" s="2"/>
    </row>
    <row r="400" spans="1:8" x14ac:dyDescent="0.3">
      <c r="A400" t="s">
        <v>353</v>
      </c>
      <c r="B400" t="s">
        <v>381</v>
      </c>
      <c r="C400" t="s">
        <v>382</v>
      </c>
      <c r="D400">
        <v>2013</v>
      </c>
      <c r="E400" s="2">
        <v>25</v>
      </c>
      <c r="F400" s="2">
        <v>6250</v>
      </c>
      <c r="G400" s="2"/>
    </row>
    <row r="401" spans="1:8" x14ac:dyDescent="0.3">
      <c r="A401" t="s">
        <v>353</v>
      </c>
      <c r="B401" t="s">
        <v>383</v>
      </c>
      <c r="C401" t="s">
        <v>384</v>
      </c>
      <c r="D401">
        <v>2019</v>
      </c>
      <c r="E401" s="2">
        <v>5</v>
      </c>
      <c r="F401" s="2">
        <v>900</v>
      </c>
      <c r="G401" s="2">
        <v>945</v>
      </c>
    </row>
    <row r="402" spans="1:8" x14ac:dyDescent="0.3">
      <c r="A402" t="s">
        <v>353</v>
      </c>
      <c r="B402" t="s">
        <v>383</v>
      </c>
      <c r="C402" t="s">
        <v>384</v>
      </c>
      <c r="D402">
        <v>2020</v>
      </c>
      <c r="E402" s="2">
        <v>10</v>
      </c>
      <c r="F402" s="2">
        <v>1800</v>
      </c>
      <c r="G402" s="2">
        <v>1890</v>
      </c>
    </row>
    <row r="403" spans="1:8" x14ac:dyDescent="0.3">
      <c r="A403" t="s">
        <v>353</v>
      </c>
      <c r="B403" t="s">
        <v>383</v>
      </c>
      <c r="C403" t="s">
        <v>385</v>
      </c>
      <c r="D403">
        <v>2021</v>
      </c>
      <c r="E403" s="2">
        <v>5</v>
      </c>
      <c r="F403" s="2">
        <v>900</v>
      </c>
      <c r="G403" s="2">
        <v>945</v>
      </c>
      <c r="H403" s="3" t="s">
        <v>18</v>
      </c>
    </row>
    <row r="404" spans="1:8" x14ac:dyDescent="0.3">
      <c r="A404" t="s">
        <v>353</v>
      </c>
      <c r="B404" t="s">
        <v>386</v>
      </c>
      <c r="C404" t="s">
        <v>387</v>
      </c>
      <c r="D404">
        <v>2010</v>
      </c>
      <c r="E404" s="2">
        <v>25</v>
      </c>
      <c r="F404" s="2">
        <v>6000</v>
      </c>
      <c r="G404" s="2"/>
    </row>
    <row r="405" spans="1:8" x14ac:dyDescent="0.3">
      <c r="A405" t="s">
        <v>353</v>
      </c>
      <c r="B405" t="s">
        <v>386</v>
      </c>
      <c r="C405" t="s">
        <v>387</v>
      </c>
      <c r="D405">
        <v>2014</v>
      </c>
      <c r="E405" s="2">
        <v>25</v>
      </c>
      <c r="F405" s="2">
        <v>5500</v>
      </c>
      <c r="G405" s="2"/>
    </row>
    <row r="406" spans="1:8" x14ac:dyDescent="0.3">
      <c r="A406" t="s">
        <v>353</v>
      </c>
      <c r="B406" t="s">
        <v>388</v>
      </c>
      <c r="C406" t="s">
        <v>389</v>
      </c>
      <c r="D406">
        <v>2009</v>
      </c>
      <c r="E406" s="2">
        <v>20</v>
      </c>
      <c r="F406" s="2">
        <v>4000</v>
      </c>
      <c r="G406" s="2"/>
    </row>
    <row r="407" spans="1:8" x14ac:dyDescent="0.3">
      <c r="A407" t="s">
        <v>353</v>
      </c>
      <c r="B407" t="s">
        <v>388</v>
      </c>
      <c r="C407" t="s">
        <v>389</v>
      </c>
      <c r="D407">
        <v>2012</v>
      </c>
      <c r="E407" s="2">
        <v>10</v>
      </c>
      <c r="F407" s="2">
        <v>2000</v>
      </c>
      <c r="G407" s="2"/>
    </row>
    <row r="408" spans="1:8" x14ac:dyDescent="0.3">
      <c r="A408" t="s">
        <v>353</v>
      </c>
      <c r="B408" t="s">
        <v>388</v>
      </c>
      <c r="C408" t="s">
        <v>389</v>
      </c>
      <c r="D408">
        <v>2014</v>
      </c>
      <c r="E408" s="2">
        <v>25</v>
      </c>
      <c r="F408" s="2">
        <v>5000</v>
      </c>
      <c r="G408" s="2"/>
    </row>
    <row r="409" spans="1:8" x14ac:dyDescent="0.3">
      <c r="A409" t="s">
        <v>390</v>
      </c>
      <c r="B409" t="s">
        <v>391</v>
      </c>
      <c r="C409" t="s">
        <v>392</v>
      </c>
      <c r="D409">
        <v>2017</v>
      </c>
      <c r="E409" s="2">
        <v>1</v>
      </c>
      <c r="F409" s="2">
        <v>90</v>
      </c>
      <c r="G409" s="2"/>
    </row>
    <row r="410" spans="1:8" x14ac:dyDescent="0.3">
      <c r="A410" t="s">
        <v>390</v>
      </c>
      <c r="B410" t="s">
        <v>393</v>
      </c>
      <c r="C410" t="s">
        <v>394</v>
      </c>
      <c r="D410">
        <v>2017</v>
      </c>
      <c r="E410" s="2">
        <v>1</v>
      </c>
      <c r="F410" s="2">
        <v>110</v>
      </c>
      <c r="G410" s="2"/>
    </row>
    <row r="411" spans="1:8" x14ac:dyDescent="0.3">
      <c r="A411" t="s">
        <v>390</v>
      </c>
      <c r="B411" t="s">
        <v>82</v>
      </c>
      <c r="C411" t="s">
        <v>83</v>
      </c>
      <c r="D411">
        <v>2017</v>
      </c>
      <c r="E411" s="2">
        <v>1.5</v>
      </c>
      <c r="F411" s="2">
        <v>427.5</v>
      </c>
      <c r="G411" s="2"/>
    </row>
    <row r="412" spans="1:8" x14ac:dyDescent="0.3">
      <c r="A412" t="s">
        <v>390</v>
      </c>
      <c r="B412" t="s">
        <v>55</v>
      </c>
      <c r="D412">
        <v>2021</v>
      </c>
      <c r="E412" s="2">
        <v>1</v>
      </c>
      <c r="F412" s="2">
        <v>280</v>
      </c>
      <c r="G412" s="2">
        <v>294</v>
      </c>
      <c r="H412" s="3" t="s">
        <v>18</v>
      </c>
    </row>
    <row r="413" spans="1:8" x14ac:dyDescent="0.3">
      <c r="A413" t="s">
        <v>390</v>
      </c>
      <c r="B413" t="s">
        <v>395</v>
      </c>
      <c r="D413">
        <v>2017</v>
      </c>
      <c r="E413" s="2">
        <v>1</v>
      </c>
      <c r="F413" s="2">
        <v>280</v>
      </c>
      <c r="G413" s="2"/>
    </row>
    <row r="414" spans="1:8" x14ac:dyDescent="0.3">
      <c r="A414" t="s">
        <v>390</v>
      </c>
      <c r="B414" t="s">
        <v>208</v>
      </c>
      <c r="C414" t="s">
        <v>209</v>
      </c>
      <c r="D414">
        <v>2019</v>
      </c>
      <c r="E414" s="2">
        <v>1</v>
      </c>
      <c r="F414" s="2">
        <v>180</v>
      </c>
      <c r="G414" s="2">
        <v>189</v>
      </c>
    </row>
    <row r="415" spans="1:8" x14ac:dyDescent="0.3">
      <c r="A415" t="s">
        <v>390</v>
      </c>
      <c r="B415" t="s">
        <v>396</v>
      </c>
      <c r="C415" t="s">
        <v>397</v>
      </c>
      <c r="D415">
        <v>2017</v>
      </c>
      <c r="E415" s="2">
        <v>1</v>
      </c>
      <c r="F415" s="2">
        <v>90</v>
      </c>
      <c r="G415" s="2"/>
    </row>
    <row r="416" spans="1:8" x14ac:dyDescent="0.3">
      <c r="A416" t="s">
        <v>390</v>
      </c>
      <c r="B416" t="s">
        <v>396</v>
      </c>
      <c r="C416" t="s">
        <v>397</v>
      </c>
      <c r="D416">
        <v>2018</v>
      </c>
      <c r="E416" s="2">
        <v>0.5</v>
      </c>
      <c r="F416" s="2">
        <v>45</v>
      </c>
      <c r="G416" s="2">
        <v>47.25</v>
      </c>
    </row>
    <row r="417" spans="1:8" x14ac:dyDescent="0.3">
      <c r="A417" t="s">
        <v>390</v>
      </c>
      <c r="B417" t="s">
        <v>398</v>
      </c>
      <c r="C417" t="s">
        <v>399</v>
      </c>
      <c r="D417">
        <v>2016</v>
      </c>
      <c r="E417" s="2">
        <v>1</v>
      </c>
      <c r="F417" s="2">
        <v>180</v>
      </c>
      <c r="G417" s="2"/>
    </row>
    <row r="418" spans="1:8" x14ac:dyDescent="0.3">
      <c r="A418" t="s">
        <v>390</v>
      </c>
      <c r="B418" t="s">
        <v>400</v>
      </c>
      <c r="D418">
        <v>2019</v>
      </c>
      <c r="E418" s="2">
        <v>1</v>
      </c>
      <c r="F418" s="2">
        <v>220</v>
      </c>
      <c r="G418" s="2">
        <v>231</v>
      </c>
    </row>
    <row r="419" spans="1:8" x14ac:dyDescent="0.3">
      <c r="A419" t="s">
        <v>390</v>
      </c>
      <c r="B419" t="s">
        <v>99</v>
      </c>
      <c r="C419" t="s">
        <v>100</v>
      </c>
      <c r="D419">
        <v>2016</v>
      </c>
      <c r="E419" s="2">
        <v>1</v>
      </c>
      <c r="F419" s="2">
        <v>180</v>
      </c>
      <c r="G419" s="2"/>
    </row>
    <row r="420" spans="1:8" x14ac:dyDescent="0.3">
      <c r="A420" t="s">
        <v>390</v>
      </c>
      <c r="B420" t="s">
        <v>101</v>
      </c>
      <c r="C420" t="s">
        <v>102</v>
      </c>
      <c r="D420">
        <v>2018</v>
      </c>
      <c r="E420" s="2">
        <v>1</v>
      </c>
      <c r="F420" s="2">
        <v>240</v>
      </c>
      <c r="G420" s="2">
        <v>252</v>
      </c>
    </row>
    <row r="421" spans="1:8" x14ac:dyDescent="0.3">
      <c r="A421" t="s">
        <v>390</v>
      </c>
      <c r="B421" t="s">
        <v>401</v>
      </c>
      <c r="C421" t="s">
        <v>123</v>
      </c>
      <c r="D421">
        <v>2017</v>
      </c>
      <c r="E421" s="2">
        <v>1</v>
      </c>
      <c r="F421" s="2">
        <v>240</v>
      </c>
      <c r="G421" s="2"/>
    </row>
    <row r="422" spans="1:8" x14ac:dyDescent="0.3">
      <c r="A422" t="s">
        <v>390</v>
      </c>
      <c r="B422" t="s">
        <v>133</v>
      </c>
      <c r="C422" t="s">
        <v>134</v>
      </c>
      <c r="D422">
        <v>2021</v>
      </c>
      <c r="E422" s="2">
        <v>1</v>
      </c>
      <c r="F422" s="2">
        <v>220</v>
      </c>
      <c r="G422" s="2">
        <v>231</v>
      </c>
      <c r="H422" s="3" t="s">
        <v>374</v>
      </c>
    </row>
    <row r="423" spans="1:8" x14ac:dyDescent="0.3">
      <c r="A423" t="s">
        <v>390</v>
      </c>
      <c r="B423" t="s">
        <v>402</v>
      </c>
      <c r="C423" t="s">
        <v>403</v>
      </c>
      <c r="D423">
        <v>2018</v>
      </c>
      <c r="E423" s="2">
        <v>0.5</v>
      </c>
      <c r="F423" s="2">
        <v>140</v>
      </c>
      <c r="G423" s="2">
        <v>147</v>
      </c>
    </row>
    <row r="424" spans="1:8" x14ac:dyDescent="0.3">
      <c r="A424" t="s">
        <v>390</v>
      </c>
      <c r="B424" t="s">
        <v>404</v>
      </c>
      <c r="C424" t="s">
        <v>405</v>
      </c>
      <c r="D424">
        <v>2018</v>
      </c>
      <c r="E424" s="2">
        <v>1</v>
      </c>
      <c r="F424" s="2">
        <v>180</v>
      </c>
      <c r="G424" s="2">
        <v>189</v>
      </c>
    </row>
    <row r="425" spans="1:8" x14ac:dyDescent="0.3">
      <c r="A425" t="s">
        <v>390</v>
      </c>
      <c r="B425" t="s">
        <v>404</v>
      </c>
      <c r="C425" t="s">
        <v>405</v>
      </c>
      <c r="D425">
        <v>2019</v>
      </c>
      <c r="E425" s="2">
        <v>2</v>
      </c>
      <c r="F425" s="2">
        <v>360</v>
      </c>
      <c r="G425" s="2">
        <v>378</v>
      </c>
    </row>
    <row r="426" spans="1:8" x14ac:dyDescent="0.3">
      <c r="A426" t="s">
        <v>390</v>
      </c>
      <c r="B426" t="s">
        <v>406</v>
      </c>
      <c r="C426" t="s">
        <v>407</v>
      </c>
      <c r="D426">
        <v>2016</v>
      </c>
      <c r="E426" s="2">
        <v>1</v>
      </c>
      <c r="F426" s="2">
        <v>280</v>
      </c>
      <c r="G426" s="2"/>
    </row>
    <row r="427" spans="1:8" x14ac:dyDescent="0.3">
      <c r="A427" t="s">
        <v>390</v>
      </c>
      <c r="B427" t="s">
        <v>408</v>
      </c>
      <c r="D427">
        <v>2021</v>
      </c>
      <c r="E427" s="2">
        <v>1</v>
      </c>
      <c r="F427" s="2">
        <v>210</v>
      </c>
      <c r="G427" s="2">
        <v>220.5</v>
      </c>
      <c r="H427" s="3" t="s">
        <v>374</v>
      </c>
    </row>
    <row r="428" spans="1:8" x14ac:dyDescent="0.3">
      <c r="A428" t="s">
        <v>390</v>
      </c>
      <c r="B428" t="s">
        <v>409</v>
      </c>
      <c r="C428" t="s">
        <v>264</v>
      </c>
      <c r="D428">
        <v>2019</v>
      </c>
      <c r="E428" s="2">
        <v>1</v>
      </c>
      <c r="F428" s="2">
        <v>230</v>
      </c>
      <c r="G428" s="2">
        <v>241.5</v>
      </c>
    </row>
    <row r="429" spans="1:8" x14ac:dyDescent="0.3">
      <c r="A429" t="s">
        <v>390</v>
      </c>
      <c r="B429" t="s">
        <v>410</v>
      </c>
      <c r="C429" t="s">
        <v>134</v>
      </c>
      <c r="D429">
        <v>2019</v>
      </c>
      <c r="E429" s="2">
        <v>1</v>
      </c>
      <c r="F429" s="2">
        <v>350</v>
      </c>
      <c r="G429" s="2">
        <v>367.5</v>
      </c>
    </row>
    <row r="430" spans="1:8" x14ac:dyDescent="0.3">
      <c r="A430" t="s">
        <v>390</v>
      </c>
      <c r="B430" t="s">
        <v>411</v>
      </c>
      <c r="D430">
        <v>2021</v>
      </c>
      <c r="E430" s="2">
        <v>1</v>
      </c>
      <c r="F430" s="2">
        <v>335</v>
      </c>
      <c r="G430" s="2">
        <v>351.75</v>
      </c>
      <c r="H430" s="3" t="s">
        <v>18</v>
      </c>
    </row>
    <row r="431" spans="1:8" x14ac:dyDescent="0.3">
      <c r="A431" t="s">
        <v>390</v>
      </c>
      <c r="B431" t="s">
        <v>412</v>
      </c>
      <c r="C431" t="s">
        <v>413</v>
      </c>
      <c r="D431">
        <v>2016</v>
      </c>
      <c r="E431" s="2">
        <v>1</v>
      </c>
      <c r="F431" s="2">
        <v>220</v>
      </c>
      <c r="G431" s="2"/>
    </row>
    <row r="432" spans="1:8" x14ac:dyDescent="0.3">
      <c r="A432" t="s">
        <v>390</v>
      </c>
      <c r="B432" t="s">
        <v>72</v>
      </c>
      <c r="C432" t="s">
        <v>73</v>
      </c>
      <c r="D432">
        <v>2016</v>
      </c>
      <c r="E432" s="2">
        <v>2</v>
      </c>
      <c r="F432" s="2">
        <v>480</v>
      </c>
      <c r="G432" s="2"/>
    </row>
    <row r="433" spans="1:7" x14ac:dyDescent="0.3">
      <c r="A433" t="s">
        <v>390</v>
      </c>
      <c r="B433" t="s">
        <v>72</v>
      </c>
      <c r="C433" t="s">
        <v>73</v>
      </c>
      <c r="D433">
        <v>2017</v>
      </c>
      <c r="E433" s="2">
        <v>3</v>
      </c>
      <c r="F433" s="2">
        <v>720</v>
      </c>
      <c r="G433" s="2"/>
    </row>
    <row r="434" spans="1:7" x14ac:dyDescent="0.3">
      <c r="A434" t="s">
        <v>390</v>
      </c>
      <c r="B434" t="s">
        <v>320</v>
      </c>
      <c r="C434" t="s">
        <v>414</v>
      </c>
      <c r="D434">
        <v>2016</v>
      </c>
      <c r="E434" s="2">
        <v>1</v>
      </c>
      <c r="F434" s="2">
        <v>240</v>
      </c>
      <c r="G434" s="2"/>
    </row>
    <row r="435" spans="1:7" x14ac:dyDescent="0.3">
      <c r="A435" t="s">
        <v>390</v>
      </c>
      <c r="B435" t="s">
        <v>320</v>
      </c>
      <c r="C435" t="s">
        <v>414</v>
      </c>
      <c r="D435">
        <v>2017</v>
      </c>
      <c r="E435" s="2">
        <v>1</v>
      </c>
      <c r="F435" s="2">
        <v>240</v>
      </c>
      <c r="G435" s="2"/>
    </row>
    <row r="436" spans="1:7" x14ac:dyDescent="0.3">
      <c r="A436" t="s">
        <v>390</v>
      </c>
      <c r="B436" t="s">
        <v>320</v>
      </c>
      <c r="C436" t="s">
        <v>414</v>
      </c>
      <c r="D436">
        <v>2019</v>
      </c>
      <c r="E436" s="2">
        <v>1</v>
      </c>
      <c r="F436" s="2">
        <v>240</v>
      </c>
      <c r="G436" s="2">
        <v>252</v>
      </c>
    </row>
    <row r="437" spans="1:7" x14ac:dyDescent="0.3">
      <c r="A437" t="s">
        <v>390</v>
      </c>
      <c r="B437" t="s">
        <v>153</v>
      </c>
      <c r="C437" t="s">
        <v>154</v>
      </c>
      <c r="D437">
        <v>2016</v>
      </c>
      <c r="E437" s="2">
        <v>1</v>
      </c>
      <c r="F437" s="2">
        <v>220</v>
      </c>
      <c r="G437" s="2"/>
    </row>
    <row r="438" spans="1:7" x14ac:dyDescent="0.3">
      <c r="A438" t="s">
        <v>390</v>
      </c>
      <c r="B438" t="s">
        <v>153</v>
      </c>
      <c r="C438" t="s">
        <v>154</v>
      </c>
      <c r="D438">
        <v>2017</v>
      </c>
      <c r="E438" s="2">
        <v>2</v>
      </c>
      <c r="F438" s="2">
        <v>440</v>
      </c>
      <c r="G438" s="2"/>
    </row>
    <row r="439" spans="1:7" x14ac:dyDescent="0.3">
      <c r="A439" t="s">
        <v>390</v>
      </c>
      <c r="B439" t="s">
        <v>415</v>
      </c>
      <c r="D439">
        <v>2016</v>
      </c>
      <c r="E439" s="2">
        <v>1</v>
      </c>
      <c r="F439" s="2">
        <v>240</v>
      </c>
      <c r="G439" s="2"/>
    </row>
    <row r="440" spans="1:7" x14ac:dyDescent="0.3">
      <c r="A440" t="s">
        <v>390</v>
      </c>
      <c r="B440" t="s">
        <v>163</v>
      </c>
      <c r="C440" t="s">
        <v>164</v>
      </c>
      <c r="D440">
        <v>2017</v>
      </c>
      <c r="E440" s="2">
        <v>1</v>
      </c>
      <c r="F440" s="2">
        <v>220</v>
      </c>
      <c r="G440" s="2"/>
    </row>
    <row r="441" spans="1:7" x14ac:dyDescent="0.3">
      <c r="A441" t="s">
        <v>390</v>
      </c>
      <c r="B441" t="s">
        <v>163</v>
      </c>
      <c r="C441" t="s">
        <v>164</v>
      </c>
      <c r="D441">
        <v>2018</v>
      </c>
      <c r="E441" s="2">
        <v>0.5</v>
      </c>
      <c r="F441" s="2">
        <v>110</v>
      </c>
      <c r="G441" s="2">
        <v>115.5</v>
      </c>
    </row>
    <row r="442" spans="1:7" x14ac:dyDescent="0.3">
      <c r="A442" t="s">
        <v>390</v>
      </c>
      <c r="B442" t="s">
        <v>163</v>
      </c>
      <c r="C442" t="s">
        <v>164</v>
      </c>
      <c r="D442">
        <v>2019</v>
      </c>
      <c r="E442" s="2">
        <v>1</v>
      </c>
      <c r="F442" s="2">
        <v>220</v>
      </c>
      <c r="G442" s="2">
        <v>231</v>
      </c>
    </row>
    <row r="443" spans="1:7" x14ac:dyDescent="0.3">
      <c r="A443" t="s">
        <v>416</v>
      </c>
      <c r="B443" t="s">
        <v>417</v>
      </c>
      <c r="C443" t="s">
        <v>418</v>
      </c>
      <c r="D443">
        <v>2009</v>
      </c>
      <c r="E443" s="2">
        <v>25</v>
      </c>
      <c r="F443" s="2">
        <v>1500</v>
      </c>
      <c r="G443" s="2"/>
    </row>
    <row r="444" spans="1:7" x14ac:dyDescent="0.3">
      <c r="A444" t="s">
        <v>419</v>
      </c>
      <c r="B444" t="s">
        <v>420</v>
      </c>
      <c r="C444" t="s">
        <v>421</v>
      </c>
      <c r="D444">
        <v>2015</v>
      </c>
      <c r="E444" s="2">
        <v>5</v>
      </c>
      <c r="F444" s="2">
        <v>783.776991150443</v>
      </c>
      <c r="G444" s="2"/>
    </row>
    <row r="445" spans="1:7" x14ac:dyDescent="0.3">
      <c r="A445" t="s">
        <v>419</v>
      </c>
      <c r="B445" t="s">
        <v>422</v>
      </c>
      <c r="C445" t="s">
        <v>423</v>
      </c>
      <c r="D445">
        <v>2015</v>
      </c>
      <c r="E445" s="2">
        <v>5</v>
      </c>
      <c r="F445" s="2">
        <v>1430.3930088495599</v>
      </c>
      <c r="G445" s="2"/>
    </row>
    <row r="446" spans="1:7" x14ac:dyDescent="0.3">
      <c r="A446" t="s">
        <v>424</v>
      </c>
      <c r="B446" t="s">
        <v>425</v>
      </c>
      <c r="C446" t="s">
        <v>426</v>
      </c>
      <c r="D446">
        <v>2013</v>
      </c>
      <c r="E446" s="2">
        <v>10</v>
      </c>
      <c r="F446" s="2">
        <v>1200</v>
      </c>
      <c r="G446" s="2"/>
    </row>
    <row r="447" spans="1:7" x14ac:dyDescent="0.3">
      <c r="A447" t="s">
        <v>427</v>
      </c>
      <c r="B447" t="s">
        <v>428</v>
      </c>
      <c r="C447" t="s">
        <v>429</v>
      </c>
      <c r="D447">
        <v>2020</v>
      </c>
      <c r="E447" s="2">
        <v>25</v>
      </c>
      <c r="F447" s="2">
        <v>3192</v>
      </c>
      <c r="G447" s="2">
        <v>3351.6</v>
      </c>
    </row>
    <row r="448" spans="1:7" x14ac:dyDescent="0.3">
      <c r="A448" t="s">
        <v>427</v>
      </c>
      <c r="B448" t="s">
        <v>430</v>
      </c>
      <c r="C448" t="s">
        <v>431</v>
      </c>
      <c r="D448">
        <v>2020</v>
      </c>
      <c r="E448" s="2">
        <v>10</v>
      </c>
      <c r="F448" s="2">
        <v>535.79999999999995</v>
      </c>
      <c r="G448" s="2">
        <v>562.59</v>
      </c>
    </row>
    <row r="449" spans="1:8" x14ac:dyDescent="0.3">
      <c r="A449" t="s">
        <v>427</v>
      </c>
      <c r="B449" t="s">
        <v>432</v>
      </c>
      <c r="C449" t="s">
        <v>433</v>
      </c>
      <c r="D449">
        <v>2020</v>
      </c>
      <c r="E449" s="2">
        <v>10</v>
      </c>
      <c r="F449" s="2">
        <v>912</v>
      </c>
      <c r="G449" s="2">
        <v>957.6</v>
      </c>
    </row>
    <row r="450" spans="1:8" x14ac:dyDescent="0.3">
      <c r="A450" t="s">
        <v>434</v>
      </c>
      <c r="B450" t="s">
        <v>51</v>
      </c>
      <c r="C450" t="s">
        <v>52</v>
      </c>
      <c r="D450">
        <v>2019</v>
      </c>
      <c r="E450" s="2">
        <v>5</v>
      </c>
      <c r="F450" s="2">
        <v>1000</v>
      </c>
      <c r="G450" s="2">
        <v>1050</v>
      </c>
    </row>
    <row r="451" spans="1:8" x14ac:dyDescent="0.3">
      <c r="A451" t="s">
        <v>435</v>
      </c>
      <c r="B451" t="s">
        <v>110</v>
      </c>
      <c r="C451" t="s">
        <v>111</v>
      </c>
      <c r="D451">
        <v>2018</v>
      </c>
      <c r="E451" s="2">
        <v>550</v>
      </c>
      <c r="F451" s="2">
        <v>22000</v>
      </c>
      <c r="G451" s="2">
        <v>23100</v>
      </c>
    </row>
    <row r="452" spans="1:8" x14ac:dyDescent="0.3">
      <c r="A452" t="s">
        <v>435</v>
      </c>
      <c r="B452" t="s">
        <v>110</v>
      </c>
      <c r="C452" t="s">
        <v>111</v>
      </c>
      <c r="D452">
        <v>2019</v>
      </c>
      <c r="E452" s="2">
        <v>1400</v>
      </c>
      <c r="F452" s="2">
        <v>56000</v>
      </c>
      <c r="G452" s="2">
        <v>58800</v>
      </c>
    </row>
    <row r="453" spans="1:8" x14ac:dyDescent="0.3">
      <c r="A453" t="s">
        <v>436</v>
      </c>
      <c r="B453" t="s">
        <v>269</v>
      </c>
      <c r="C453" t="s">
        <v>270</v>
      </c>
      <c r="D453">
        <v>2019</v>
      </c>
      <c r="E453" s="2">
        <v>25</v>
      </c>
      <c r="F453" s="2">
        <v>1675</v>
      </c>
      <c r="G453" s="2">
        <v>1758.75</v>
      </c>
    </row>
    <row r="454" spans="1:8" x14ac:dyDescent="0.3">
      <c r="A454" t="s">
        <v>437</v>
      </c>
      <c r="B454" t="s">
        <v>438</v>
      </c>
      <c r="C454" t="s">
        <v>439</v>
      </c>
      <c r="D454">
        <v>2016</v>
      </c>
      <c r="E454" s="2">
        <v>25</v>
      </c>
      <c r="F454" s="2">
        <v>2125</v>
      </c>
      <c r="G454" s="2"/>
    </row>
    <row r="455" spans="1:8" x14ac:dyDescent="0.3">
      <c r="A455" t="s">
        <v>440</v>
      </c>
      <c r="B455" t="s">
        <v>441</v>
      </c>
      <c r="C455" t="s">
        <v>93</v>
      </c>
      <c r="D455">
        <v>2021</v>
      </c>
      <c r="E455" s="2">
        <v>18</v>
      </c>
      <c r="F455" s="2">
        <v>1556</v>
      </c>
      <c r="G455" s="2">
        <v>1633.8</v>
      </c>
      <c r="H455" s="3" t="s">
        <v>442</v>
      </c>
    </row>
    <row r="456" spans="1:8" x14ac:dyDescent="0.3">
      <c r="A456" t="s">
        <v>440</v>
      </c>
      <c r="B456" t="s">
        <v>443</v>
      </c>
      <c r="D456">
        <v>2021</v>
      </c>
      <c r="E456" s="2">
        <v>25</v>
      </c>
      <c r="F456" s="2">
        <v>1175</v>
      </c>
      <c r="G456" s="2">
        <v>1233.75</v>
      </c>
      <c r="H456" s="3" t="s">
        <v>444</v>
      </c>
    </row>
    <row r="457" spans="1:8" x14ac:dyDescent="0.3">
      <c r="A457" t="s">
        <v>445</v>
      </c>
      <c r="B457" t="s">
        <v>351</v>
      </c>
      <c r="C457" t="s">
        <v>352</v>
      </c>
      <c r="D457">
        <v>2020</v>
      </c>
      <c r="E457" s="2">
        <v>25</v>
      </c>
      <c r="F457" s="2">
        <v>2125</v>
      </c>
      <c r="G457" s="2">
        <v>2231.25</v>
      </c>
      <c r="H457" s="3" t="s">
        <v>18</v>
      </c>
    </row>
    <row r="458" spans="1:8" x14ac:dyDescent="0.3">
      <c r="A458" t="s">
        <v>445</v>
      </c>
      <c r="B458" t="s">
        <v>351</v>
      </c>
      <c r="C458" t="s">
        <v>352</v>
      </c>
      <c r="D458">
        <v>2021</v>
      </c>
      <c r="E458" s="2">
        <v>35</v>
      </c>
      <c r="F458" s="2">
        <v>2975</v>
      </c>
      <c r="G458" s="2">
        <v>3123.75</v>
      </c>
      <c r="H458" s="3" t="s">
        <v>18</v>
      </c>
    </row>
    <row r="459" spans="1:8" x14ac:dyDescent="0.3">
      <c r="A459" t="s">
        <v>445</v>
      </c>
      <c r="B459" t="s">
        <v>446</v>
      </c>
      <c r="C459" t="s">
        <v>447</v>
      </c>
      <c r="D459">
        <v>2021</v>
      </c>
      <c r="E459" s="2">
        <v>5</v>
      </c>
      <c r="F459" s="2">
        <v>300</v>
      </c>
      <c r="G459" s="2">
        <v>315</v>
      </c>
      <c r="H459" s="3" t="s">
        <v>448</v>
      </c>
    </row>
    <row r="460" spans="1:8" x14ac:dyDescent="0.3">
      <c r="A460" t="s">
        <v>445</v>
      </c>
      <c r="B460" t="s">
        <v>438</v>
      </c>
      <c r="C460" t="s">
        <v>439</v>
      </c>
      <c r="D460">
        <v>2021</v>
      </c>
      <c r="E460" s="2">
        <v>10</v>
      </c>
      <c r="F460" s="2">
        <v>700</v>
      </c>
      <c r="G460" s="2">
        <v>735</v>
      </c>
      <c r="H460" s="3" t="s">
        <v>18</v>
      </c>
    </row>
    <row r="461" spans="1:8" x14ac:dyDescent="0.3">
      <c r="A461" t="s">
        <v>445</v>
      </c>
      <c r="B461" t="s">
        <v>240</v>
      </c>
      <c r="D461">
        <v>2020</v>
      </c>
      <c r="E461" s="2">
        <v>2</v>
      </c>
      <c r="F461" s="2">
        <v>170</v>
      </c>
      <c r="G461" s="2">
        <v>178.5</v>
      </c>
    </row>
    <row r="462" spans="1:8" x14ac:dyDescent="0.3">
      <c r="A462" t="s">
        <v>445</v>
      </c>
      <c r="B462" t="s">
        <v>32</v>
      </c>
      <c r="D462">
        <v>2020</v>
      </c>
      <c r="E462" s="2">
        <v>10</v>
      </c>
      <c r="F462" s="2">
        <v>820</v>
      </c>
      <c r="G462" s="2">
        <v>861</v>
      </c>
    </row>
    <row r="463" spans="1:8" x14ac:dyDescent="0.3">
      <c r="A463" t="s">
        <v>449</v>
      </c>
      <c r="B463" t="s">
        <v>174</v>
      </c>
      <c r="C463" t="s">
        <v>450</v>
      </c>
      <c r="D463">
        <v>2011</v>
      </c>
      <c r="E463" s="2">
        <v>25</v>
      </c>
      <c r="F463" s="2">
        <v>2125</v>
      </c>
      <c r="G463" s="2"/>
    </row>
    <row r="464" spans="1:8" x14ac:dyDescent="0.3">
      <c r="A464" t="s">
        <v>449</v>
      </c>
      <c r="B464" t="s">
        <v>174</v>
      </c>
      <c r="C464" t="s">
        <v>450</v>
      </c>
      <c r="D464">
        <v>2016</v>
      </c>
      <c r="E464" s="2">
        <v>25</v>
      </c>
      <c r="F464" s="2">
        <v>2125</v>
      </c>
      <c r="G464" s="2"/>
    </row>
    <row r="465" spans="1:8" x14ac:dyDescent="0.3">
      <c r="A465" t="s">
        <v>449</v>
      </c>
      <c r="B465" t="s">
        <v>174</v>
      </c>
      <c r="C465" t="s">
        <v>450</v>
      </c>
      <c r="D465">
        <v>2017</v>
      </c>
      <c r="E465" s="2">
        <v>50</v>
      </c>
      <c r="F465" s="2">
        <v>4250</v>
      </c>
      <c r="G465" s="2"/>
    </row>
    <row r="466" spans="1:8" x14ac:dyDescent="0.3">
      <c r="A466" t="s">
        <v>449</v>
      </c>
      <c r="B466" t="s">
        <v>174</v>
      </c>
      <c r="C466" t="s">
        <v>450</v>
      </c>
      <c r="D466">
        <v>2018</v>
      </c>
      <c r="E466" s="2">
        <v>25</v>
      </c>
      <c r="F466" s="2">
        <v>2125</v>
      </c>
      <c r="G466" s="2">
        <v>2231.25</v>
      </c>
    </row>
    <row r="467" spans="1:8" x14ac:dyDescent="0.3">
      <c r="A467" t="s">
        <v>449</v>
      </c>
      <c r="B467" t="s">
        <v>174</v>
      </c>
      <c r="C467" t="s">
        <v>450</v>
      </c>
      <c r="D467">
        <v>2019</v>
      </c>
      <c r="E467" s="2">
        <v>50</v>
      </c>
      <c r="F467" s="2">
        <v>4250</v>
      </c>
      <c r="G467" s="2">
        <v>4462.5</v>
      </c>
    </row>
    <row r="468" spans="1:8" x14ac:dyDescent="0.3">
      <c r="A468" t="s">
        <v>449</v>
      </c>
      <c r="B468" t="s">
        <v>451</v>
      </c>
      <c r="C468" t="s">
        <v>452</v>
      </c>
      <c r="D468">
        <v>2019</v>
      </c>
      <c r="E468" s="2">
        <v>50</v>
      </c>
      <c r="F468" s="2">
        <v>4250</v>
      </c>
      <c r="G468" s="2">
        <v>4462.5</v>
      </c>
      <c r="H468" s="3" t="s">
        <v>14</v>
      </c>
    </row>
    <row r="469" spans="1:8" x14ac:dyDescent="0.3">
      <c r="A469" t="s">
        <v>449</v>
      </c>
      <c r="B469" t="s">
        <v>451</v>
      </c>
      <c r="C469" t="s">
        <v>452</v>
      </c>
      <c r="D469">
        <v>2020</v>
      </c>
      <c r="E469" s="2">
        <v>50</v>
      </c>
      <c r="F469" s="2">
        <v>4250</v>
      </c>
      <c r="G469" s="2">
        <v>4462.5</v>
      </c>
      <c r="H469" s="3" t="s">
        <v>14</v>
      </c>
    </row>
    <row r="470" spans="1:8" x14ac:dyDescent="0.3">
      <c r="A470" t="s">
        <v>449</v>
      </c>
      <c r="B470" t="s">
        <v>451</v>
      </c>
      <c r="C470" t="s">
        <v>452</v>
      </c>
      <c r="D470">
        <v>2021</v>
      </c>
      <c r="E470" s="2">
        <v>50</v>
      </c>
      <c r="F470" s="2">
        <v>4250</v>
      </c>
      <c r="G470" s="2">
        <v>4462.5</v>
      </c>
      <c r="H470" s="3" t="s">
        <v>14</v>
      </c>
    </row>
    <row r="471" spans="1:8" x14ac:dyDescent="0.3">
      <c r="A471" t="s">
        <v>449</v>
      </c>
      <c r="B471" t="s">
        <v>16</v>
      </c>
      <c r="C471" t="s">
        <v>17</v>
      </c>
      <c r="D471">
        <v>2015</v>
      </c>
      <c r="E471" s="2">
        <v>50</v>
      </c>
      <c r="F471" s="2">
        <v>5375</v>
      </c>
      <c r="G471" s="2"/>
    </row>
    <row r="472" spans="1:8" x14ac:dyDescent="0.3">
      <c r="A472" t="s">
        <v>449</v>
      </c>
      <c r="B472" t="s">
        <v>16</v>
      </c>
      <c r="C472" t="s">
        <v>17</v>
      </c>
      <c r="D472">
        <v>2016</v>
      </c>
      <c r="E472" s="2">
        <v>175</v>
      </c>
      <c r="F472" s="2">
        <v>18375</v>
      </c>
      <c r="G472" s="2"/>
    </row>
    <row r="473" spans="1:8" x14ac:dyDescent="0.3">
      <c r="A473" t="s">
        <v>449</v>
      </c>
      <c r="B473" t="s">
        <v>16</v>
      </c>
      <c r="C473" t="s">
        <v>17</v>
      </c>
      <c r="D473">
        <v>2017</v>
      </c>
      <c r="E473" s="2">
        <v>75</v>
      </c>
      <c r="F473" s="2">
        <v>7875</v>
      </c>
      <c r="G473" s="2"/>
    </row>
    <row r="474" spans="1:8" x14ac:dyDescent="0.3">
      <c r="A474" t="s">
        <v>449</v>
      </c>
      <c r="B474" t="s">
        <v>453</v>
      </c>
      <c r="D474">
        <v>2018</v>
      </c>
      <c r="E474" s="2">
        <v>206</v>
      </c>
      <c r="F474" s="2">
        <v>13390</v>
      </c>
      <c r="G474" s="2">
        <v>14059.5</v>
      </c>
    </row>
    <row r="475" spans="1:8" x14ac:dyDescent="0.3">
      <c r="A475" t="s">
        <v>449</v>
      </c>
      <c r="B475" t="s">
        <v>453</v>
      </c>
      <c r="D475">
        <v>2019</v>
      </c>
      <c r="E475" s="2">
        <v>126</v>
      </c>
      <c r="F475" s="2">
        <v>8190</v>
      </c>
      <c r="G475" s="2">
        <v>8599.5</v>
      </c>
    </row>
    <row r="476" spans="1:8" x14ac:dyDescent="0.3">
      <c r="A476" t="s">
        <v>449</v>
      </c>
      <c r="B476" t="s">
        <v>453</v>
      </c>
      <c r="D476">
        <v>2020</v>
      </c>
      <c r="E476" s="2">
        <v>51</v>
      </c>
      <c r="F476" s="2">
        <v>3315</v>
      </c>
      <c r="G476" s="2">
        <v>3480.75</v>
      </c>
    </row>
    <row r="477" spans="1:8" x14ac:dyDescent="0.3">
      <c r="A477" t="s">
        <v>449</v>
      </c>
      <c r="B477" t="s">
        <v>454</v>
      </c>
      <c r="C477" t="s">
        <v>455</v>
      </c>
      <c r="D477">
        <v>2014</v>
      </c>
      <c r="E477" s="2">
        <v>25</v>
      </c>
      <c r="F477" s="2">
        <v>2250</v>
      </c>
      <c r="G477" s="2"/>
    </row>
    <row r="478" spans="1:8" x14ac:dyDescent="0.3">
      <c r="A478" t="s">
        <v>449</v>
      </c>
      <c r="B478" t="s">
        <v>456</v>
      </c>
      <c r="C478" t="s">
        <v>457</v>
      </c>
      <c r="D478">
        <v>2012</v>
      </c>
      <c r="E478" s="2">
        <v>25</v>
      </c>
      <c r="F478" s="2">
        <v>1175</v>
      </c>
      <c r="G478" s="2"/>
    </row>
    <row r="479" spans="1:8" x14ac:dyDescent="0.3">
      <c r="A479" t="s">
        <v>449</v>
      </c>
      <c r="B479" t="s">
        <v>458</v>
      </c>
      <c r="D479">
        <v>2015</v>
      </c>
      <c r="E479" s="2">
        <v>20</v>
      </c>
      <c r="F479" s="2">
        <v>1400</v>
      </c>
      <c r="G479" s="2"/>
    </row>
    <row r="480" spans="1:8" x14ac:dyDescent="0.3">
      <c r="A480" t="s">
        <v>449</v>
      </c>
      <c r="B480" t="s">
        <v>458</v>
      </c>
      <c r="D480">
        <v>2016</v>
      </c>
      <c r="E480" s="2">
        <v>20</v>
      </c>
      <c r="F480" s="2">
        <v>1400</v>
      </c>
      <c r="G480" s="2"/>
    </row>
    <row r="481" spans="1:8" x14ac:dyDescent="0.3">
      <c r="A481" t="s">
        <v>449</v>
      </c>
      <c r="B481" t="s">
        <v>459</v>
      </c>
      <c r="C481" t="s">
        <v>460</v>
      </c>
      <c r="D481">
        <v>2011</v>
      </c>
      <c r="E481" s="2">
        <v>25</v>
      </c>
      <c r="F481" s="2">
        <v>2000</v>
      </c>
      <c r="G481" s="2"/>
    </row>
    <row r="482" spans="1:8" x14ac:dyDescent="0.3">
      <c r="A482" t="s">
        <v>449</v>
      </c>
      <c r="B482" t="s">
        <v>461</v>
      </c>
      <c r="D482">
        <v>2017</v>
      </c>
      <c r="E482" s="2">
        <v>17</v>
      </c>
      <c r="F482" s="2">
        <v>1105</v>
      </c>
      <c r="G482" s="2"/>
    </row>
    <row r="483" spans="1:8" x14ac:dyDescent="0.3">
      <c r="A483" t="s">
        <v>449</v>
      </c>
      <c r="B483" t="s">
        <v>461</v>
      </c>
      <c r="D483">
        <v>2018</v>
      </c>
      <c r="E483" s="2">
        <v>51</v>
      </c>
      <c r="F483" s="2">
        <v>3315</v>
      </c>
      <c r="G483" s="2">
        <v>3480.75</v>
      </c>
    </row>
    <row r="484" spans="1:8" x14ac:dyDescent="0.3">
      <c r="A484" t="s">
        <v>449</v>
      </c>
      <c r="B484" t="s">
        <v>26</v>
      </c>
      <c r="C484" t="s">
        <v>27</v>
      </c>
      <c r="D484">
        <v>2012</v>
      </c>
      <c r="E484" s="2">
        <v>75</v>
      </c>
      <c r="F484" s="2">
        <v>5625</v>
      </c>
      <c r="G484" s="2"/>
    </row>
    <row r="485" spans="1:8" x14ac:dyDescent="0.3">
      <c r="A485" t="s">
        <v>449</v>
      </c>
      <c r="B485" t="s">
        <v>462</v>
      </c>
      <c r="C485" t="s">
        <v>463</v>
      </c>
      <c r="D485">
        <v>2017</v>
      </c>
      <c r="E485" s="2">
        <v>50</v>
      </c>
      <c r="F485" s="2">
        <v>3250</v>
      </c>
      <c r="G485" s="2"/>
    </row>
    <row r="486" spans="1:8" x14ac:dyDescent="0.3">
      <c r="A486" t="s">
        <v>449</v>
      </c>
      <c r="B486" t="s">
        <v>184</v>
      </c>
      <c r="C486" t="s">
        <v>185</v>
      </c>
      <c r="D486">
        <v>2011</v>
      </c>
      <c r="E486" s="2">
        <v>25</v>
      </c>
      <c r="F486" s="2">
        <v>975</v>
      </c>
      <c r="G486" s="2"/>
    </row>
    <row r="487" spans="1:8" x14ac:dyDescent="0.3">
      <c r="A487" t="s">
        <v>449</v>
      </c>
      <c r="B487" t="s">
        <v>297</v>
      </c>
      <c r="C487" t="s">
        <v>298</v>
      </c>
      <c r="D487">
        <v>2011</v>
      </c>
      <c r="E487" s="2">
        <v>30</v>
      </c>
      <c r="F487" s="2">
        <v>1740</v>
      </c>
      <c r="G487" s="2"/>
    </row>
    <row r="488" spans="1:8" x14ac:dyDescent="0.3">
      <c r="A488" t="s">
        <v>449</v>
      </c>
      <c r="B488" t="s">
        <v>297</v>
      </c>
      <c r="C488" t="s">
        <v>298</v>
      </c>
      <c r="D488">
        <v>2013</v>
      </c>
      <c r="E488" s="2">
        <v>25</v>
      </c>
      <c r="F488" s="2">
        <v>1575</v>
      </c>
      <c r="G488" s="2"/>
    </row>
    <row r="489" spans="1:8" x14ac:dyDescent="0.3">
      <c r="A489" t="s">
        <v>449</v>
      </c>
      <c r="B489" t="s">
        <v>297</v>
      </c>
      <c r="C489" t="s">
        <v>298</v>
      </c>
      <c r="D489">
        <v>2018</v>
      </c>
      <c r="E489" s="2">
        <v>25</v>
      </c>
      <c r="F489" s="2">
        <v>1725</v>
      </c>
      <c r="G489" s="2">
        <v>1811.25</v>
      </c>
    </row>
    <row r="490" spans="1:8" x14ac:dyDescent="0.3">
      <c r="A490" t="s">
        <v>449</v>
      </c>
      <c r="B490" t="s">
        <v>19</v>
      </c>
      <c r="C490" t="s">
        <v>20</v>
      </c>
      <c r="D490">
        <v>2011</v>
      </c>
      <c r="E490" s="2">
        <v>50</v>
      </c>
      <c r="F490" s="2">
        <v>4500</v>
      </c>
      <c r="G490" s="2"/>
      <c r="H490" s="3" t="s">
        <v>14</v>
      </c>
    </row>
    <row r="491" spans="1:8" x14ac:dyDescent="0.3">
      <c r="A491" t="s">
        <v>449</v>
      </c>
      <c r="B491" t="s">
        <v>19</v>
      </c>
      <c r="C491" t="s">
        <v>20</v>
      </c>
      <c r="D491">
        <v>2012</v>
      </c>
      <c r="E491" s="2">
        <v>200</v>
      </c>
      <c r="F491" s="2">
        <v>18100</v>
      </c>
      <c r="G491" s="2"/>
      <c r="H491" s="3" t="s">
        <v>14</v>
      </c>
    </row>
    <row r="492" spans="1:8" x14ac:dyDescent="0.3">
      <c r="A492" t="s">
        <v>449</v>
      </c>
      <c r="B492" t="s">
        <v>19</v>
      </c>
      <c r="C492" t="s">
        <v>20</v>
      </c>
      <c r="D492">
        <v>2013</v>
      </c>
      <c r="E492" s="2">
        <v>235</v>
      </c>
      <c r="F492" s="2">
        <v>21515</v>
      </c>
      <c r="G492" s="2"/>
      <c r="H492" s="3" t="s">
        <v>14</v>
      </c>
    </row>
    <row r="493" spans="1:8" x14ac:dyDescent="0.3">
      <c r="A493" t="s">
        <v>449</v>
      </c>
      <c r="B493" t="s">
        <v>19</v>
      </c>
      <c r="C493" t="s">
        <v>20</v>
      </c>
      <c r="D493">
        <v>2014</v>
      </c>
      <c r="E493" s="2">
        <v>420</v>
      </c>
      <c r="F493" s="2">
        <v>39900</v>
      </c>
      <c r="G493" s="2"/>
      <c r="H493" s="3" t="s">
        <v>14</v>
      </c>
    </row>
    <row r="494" spans="1:8" x14ac:dyDescent="0.3">
      <c r="A494" t="s">
        <v>449</v>
      </c>
      <c r="B494" t="s">
        <v>19</v>
      </c>
      <c r="C494" t="s">
        <v>20</v>
      </c>
      <c r="D494">
        <v>2015</v>
      </c>
      <c r="E494" s="2">
        <v>450</v>
      </c>
      <c r="F494" s="2">
        <v>45125</v>
      </c>
      <c r="G494" s="2"/>
      <c r="H494" s="3" t="s">
        <v>14</v>
      </c>
    </row>
    <row r="495" spans="1:8" x14ac:dyDescent="0.3">
      <c r="A495" t="s">
        <v>449</v>
      </c>
      <c r="B495" t="s">
        <v>19</v>
      </c>
      <c r="C495" t="s">
        <v>20</v>
      </c>
      <c r="D495">
        <v>2016</v>
      </c>
      <c r="E495" s="2">
        <v>725</v>
      </c>
      <c r="F495" s="2">
        <v>68025</v>
      </c>
      <c r="G495" s="2"/>
      <c r="H495" s="3" t="s">
        <v>14</v>
      </c>
    </row>
    <row r="496" spans="1:8" x14ac:dyDescent="0.3">
      <c r="A496" t="s">
        <v>449</v>
      </c>
      <c r="B496" t="s">
        <v>19</v>
      </c>
      <c r="C496" t="s">
        <v>20</v>
      </c>
      <c r="D496">
        <v>2017</v>
      </c>
      <c r="E496" s="2">
        <v>1195</v>
      </c>
      <c r="F496" s="2">
        <v>109610</v>
      </c>
      <c r="G496" s="2"/>
      <c r="H496" s="3" t="s">
        <v>14</v>
      </c>
    </row>
    <row r="497" spans="1:8" x14ac:dyDescent="0.3">
      <c r="A497" t="s">
        <v>449</v>
      </c>
      <c r="B497" t="s">
        <v>19</v>
      </c>
      <c r="C497" t="s">
        <v>20</v>
      </c>
      <c r="D497">
        <v>2018</v>
      </c>
      <c r="E497" s="2">
        <v>1075</v>
      </c>
      <c r="F497" s="2">
        <v>111375</v>
      </c>
      <c r="G497" s="2">
        <v>116943.75</v>
      </c>
      <c r="H497" s="3" t="s">
        <v>14</v>
      </c>
    </row>
    <row r="498" spans="1:8" x14ac:dyDescent="0.3">
      <c r="A498" t="s">
        <v>449</v>
      </c>
      <c r="B498" t="s">
        <v>19</v>
      </c>
      <c r="C498" t="s">
        <v>20</v>
      </c>
      <c r="D498">
        <v>2019</v>
      </c>
      <c r="E498" s="2">
        <v>1250</v>
      </c>
      <c r="F498" s="2">
        <v>130750</v>
      </c>
      <c r="G498" s="2">
        <v>137287.5</v>
      </c>
      <c r="H498" s="3" t="s">
        <v>14</v>
      </c>
    </row>
    <row r="499" spans="1:8" x14ac:dyDescent="0.3">
      <c r="A499" t="s">
        <v>449</v>
      </c>
      <c r="B499" t="s">
        <v>19</v>
      </c>
      <c r="C499" t="s">
        <v>20</v>
      </c>
      <c r="D499">
        <v>2020</v>
      </c>
      <c r="E499" s="2">
        <v>1100</v>
      </c>
      <c r="F499" s="2">
        <v>115500</v>
      </c>
      <c r="G499" s="2">
        <v>121275</v>
      </c>
      <c r="H499" s="3" t="s">
        <v>14</v>
      </c>
    </row>
    <row r="500" spans="1:8" x14ac:dyDescent="0.3">
      <c r="A500" t="s">
        <v>449</v>
      </c>
      <c r="B500" t="s">
        <v>19</v>
      </c>
      <c r="C500" t="s">
        <v>107</v>
      </c>
      <c r="D500">
        <v>2020</v>
      </c>
      <c r="E500" s="2">
        <v>100</v>
      </c>
      <c r="F500" s="2">
        <v>10500</v>
      </c>
      <c r="G500" s="2">
        <v>11025</v>
      </c>
      <c r="H500" s="3" t="s">
        <v>464</v>
      </c>
    </row>
    <row r="501" spans="1:8" x14ac:dyDescent="0.3">
      <c r="A501" t="s">
        <v>449</v>
      </c>
      <c r="B501" t="s">
        <v>19</v>
      </c>
      <c r="C501" t="s">
        <v>20</v>
      </c>
      <c r="D501">
        <v>2021</v>
      </c>
      <c r="E501" s="2">
        <v>50</v>
      </c>
      <c r="F501" s="2">
        <v>5150</v>
      </c>
      <c r="G501" s="2">
        <v>5407.5</v>
      </c>
      <c r="H501" s="3" t="s">
        <v>14</v>
      </c>
    </row>
    <row r="502" spans="1:8" x14ac:dyDescent="0.3">
      <c r="A502" t="s">
        <v>449</v>
      </c>
      <c r="B502" t="s">
        <v>19</v>
      </c>
      <c r="C502" t="s">
        <v>107</v>
      </c>
      <c r="D502">
        <v>2021</v>
      </c>
      <c r="E502" s="2">
        <v>225</v>
      </c>
      <c r="F502" s="2">
        <v>23175</v>
      </c>
      <c r="G502" s="2">
        <v>24333.75</v>
      </c>
      <c r="H502" s="3" t="s">
        <v>464</v>
      </c>
    </row>
    <row r="503" spans="1:8" x14ac:dyDescent="0.3">
      <c r="A503" t="s">
        <v>449</v>
      </c>
      <c r="B503" t="s">
        <v>465</v>
      </c>
      <c r="C503" t="s">
        <v>466</v>
      </c>
      <c r="D503">
        <v>2011</v>
      </c>
      <c r="E503" s="2">
        <v>25</v>
      </c>
      <c r="F503" s="2">
        <v>1875</v>
      </c>
      <c r="G503" s="2"/>
    </row>
    <row r="504" spans="1:8" x14ac:dyDescent="0.3">
      <c r="A504" t="s">
        <v>449</v>
      </c>
      <c r="B504" t="s">
        <v>465</v>
      </c>
      <c r="C504" t="s">
        <v>466</v>
      </c>
      <c r="D504">
        <v>2013</v>
      </c>
      <c r="E504" s="2">
        <v>25</v>
      </c>
      <c r="F504" s="2"/>
      <c r="G504" s="2"/>
    </row>
    <row r="505" spans="1:8" x14ac:dyDescent="0.3">
      <c r="A505" t="s">
        <v>449</v>
      </c>
      <c r="B505" t="s">
        <v>41</v>
      </c>
      <c r="C505" t="s">
        <v>42</v>
      </c>
      <c r="D505">
        <v>2011</v>
      </c>
      <c r="E505" s="2">
        <v>150</v>
      </c>
      <c r="F505" s="2">
        <v>7125</v>
      </c>
      <c r="G505" s="2"/>
    </row>
    <row r="506" spans="1:8" x14ac:dyDescent="0.3">
      <c r="A506" t="s">
        <v>449</v>
      </c>
      <c r="B506" t="s">
        <v>41</v>
      </c>
      <c r="C506" t="s">
        <v>42</v>
      </c>
      <c r="D506">
        <v>2012</v>
      </c>
      <c r="E506" s="2">
        <v>400</v>
      </c>
      <c r="F506" s="2">
        <v>20000</v>
      </c>
      <c r="G506" s="2"/>
    </row>
    <row r="507" spans="1:8" x14ac:dyDescent="0.3">
      <c r="A507" t="s">
        <v>449</v>
      </c>
      <c r="B507" t="s">
        <v>41</v>
      </c>
      <c r="C507" t="s">
        <v>42</v>
      </c>
      <c r="D507">
        <v>2013</v>
      </c>
      <c r="E507" s="2">
        <v>300</v>
      </c>
      <c r="F507" s="2">
        <v>15000</v>
      </c>
      <c r="G507" s="2"/>
    </row>
    <row r="508" spans="1:8" x14ac:dyDescent="0.3">
      <c r="A508" t="s">
        <v>449</v>
      </c>
      <c r="B508" t="s">
        <v>41</v>
      </c>
      <c r="C508" t="s">
        <v>42</v>
      </c>
      <c r="D508">
        <v>2014</v>
      </c>
      <c r="E508" s="2">
        <v>125</v>
      </c>
      <c r="F508" s="2">
        <v>6250</v>
      </c>
      <c r="G508" s="2"/>
    </row>
    <row r="509" spans="1:8" x14ac:dyDescent="0.3">
      <c r="A509" t="s">
        <v>449</v>
      </c>
      <c r="B509" t="s">
        <v>41</v>
      </c>
      <c r="C509" t="s">
        <v>42</v>
      </c>
      <c r="D509">
        <v>2015</v>
      </c>
      <c r="E509" s="2">
        <v>100</v>
      </c>
      <c r="F509" s="2">
        <v>5000</v>
      </c>
      <c r="G509" s="2"/>
    </row>
    <row r="510" spans="1:8" x14ac:dyDescent="0.3">
      <c r="A510" t="s">
        <v>449</v>
      </c>
      <c r="B510" t="s">
        <v>41</v>
      </c>
      <c r="C510" t="s">
        <v>42</v>
      </c>
      <c r="D510">
        <v>2016</v>
      </c>
      <c r="E510" s="2">
        <v>200</v>
      </c>
      <c r="F510" s="2">
        <v>10000</v>
      </c>
      <c r="G510" s="2"/>
    </row>
    <row r="511" spans="1:8" x14ac:dyDescent="0.3">
      <c r="A511" t="s">
        <v>449</v>
      </c>
      <c r="B511" t="s">
        <v>41</v>
      </c>
      <c r="C511" t="s">
        <v>42</v>
      </c>
      <c r="D511">
        <v>2017</v>
      </c>
      <c r="E511" s="2">
        <v>225</v>
      </c>
      <c r="F511" s="2">
        <v>11250</v>
      </c>
      <c r="G511" s="2"/>
    </row>
    <row r="512" spans="1:8" x14ac:dyDescent="0.3">
      <c r="A512" t="s">
        <v>449</v>
      </c>
      <c r="B512" t="s">
        <v>41</v>
      </c>
      <c r="C512" t="s">
        <v>42</v>
      </c>
      <c r="D512">
        <v>2018</v>
      </c>
      <c r="E512" s="2">
        <v>125</v>
      </c>
      <c r="F512" s="2">
        <v>6250</v>
      </c>
      <c r="G512" s="2">
        <v>6562.5</v>
      </c>
    </row>
    <row r="513" spans="1:8" x14ac:dyDescent="0.3">
      <c r="A513" t="s">
        <v>449</v>
      </c>
      <c r="B513" t="s">
        <v>41</v>
      </c>
      <c r="C513" t="s">
        <v>42</v>
      </c>
      <c r="D513">
        <v>2019</v>
      </c>
      <c r="E513" s="2">
        <v>25</v>
      </c>
      <c r="F513" s="2">
        <v>1250</v>
      </c>
      <c r="G513" s="2">
        <v>1312.5</v>
      </c>
    </row>
    <row r="514" spans="1:8" x14ac:dyDescent="0.3">
      <c r="A514" t="s">
        <v>449</v>
      </c>
      <c r="B514" t="s">
        <v>467</v>
      </c>
      <c r="C514" t="s">
        <v>468</v>
      </c>
      <c r="D514">
        <v>2018</v>
      </c>
      <c r="E514" s="2">
        <v>100</v>
      </c>
      <c r="F514" s="2">
        <v>6250</v>
      </c>
      <c r="G514" s="2">
        <v>6562.5</v>
      </c>
      <c r="H514" s="3" t="s">
        <v>14</v>
      </c>
    </row>
    <row r="515" spans="1:8" x14ac:dyDescent="0.3">
      <c r="A515" t="s">
        <v>449</v>
      </c>
      <c r="B515" t="s">
        <v>467</v>
      </c>
      <c r="C515" t="s">
        <v>468</v>
      </c>
      <c r="D515">
        <v>2019</v>
      </c>
      <c r="E515" s="2">
        <v>275</v>
      </c>
      <c r="F515" s="2">
        <v>13750</v>
      </c>
      <c r="G515" s="2">
        <v>14437.5</v>
      </c>
      <c r="H515" s="3" t="s">
        <v>14</v>
      </c>
    </row>
    <row r="516" spans="1:8" x14ac:dyDescent="0.3">
      <c r="A516" t="s">
        <v>449</v>
      </c>
      <c r="B516" t="s">
        <v>467</v>
      </c>
      <c r="C516" t="s">
        <v>468</v>
      </c>
      <c r="D516">
        <v>2020</v>
      </c>
      <c r="E516" s="2">
        <v>325</v>
      </c>
      <c r="F516" s="2">
        <v>16250</v>
      </c>
      <c r="G516" s="2">
        <v>17062.5</v>
      </c>
      <c r="H516" s="3" t="s">
        <v>14</v>
      </c>
    </row>
    <row r="517" spans="1:8" x14ac:dyDescent="0.3">
      <c r="A517" t="s">
        <v>449</v>
      </c>
      <c r="B517" t="s">
        <v>467</v>
      </c>
      <c r="C517" t="s">
        <v>468</v>
      </c>
      <c r="D517">
        <v>2021</v>
      </c>
      <c r="E517" s="2">
        <v>175</v>
      </c>
      <c r="F517" s="2">
        <v>8750</v>
      </c>
      <c r="G517" s="2">
        <v>9187.5</v>
      </c>
      <c r="H517" s="3" t="s">
        <v>14</v>
      </c>
    </row>
    <row r="518" spans="1:8" x14ac:dyDescent="0.3">
      <c r="A518" t="s">
        <v>449</v>
      </c>
      <c r="B518" t="s">
        <v>467</v>
      </c>
      <c r="C518" t="s">
        <v>469</v>
      </c>
      <c r="D518">
        <v>2021</v>
      </c>
      <c r="E518" s="2">
        <v>50</v>
      </c>
      <c r="F518" s="2">
        <v>2500</v>
      </c>
      <c r="G518" s="2">
        <v>2625</v>
      </c>
      <c r="H518" s="3" t="s">
        <v>470</v>
      </c>
    </row>
    <row r="519" spans="1:8" x14ac:dyDescent="0.3">
      <c r="A519" t="s">
        <v>449</v>
      </c>
      <c r="B519" t="s">
        <v>110</v>
      </c>
      <c r="C519" t="s">
        <v>111</v>
      </c>
      <c r="D519">
        <v>2018</v>
      </c>
      <c r="E519" s="2">
        <v>25</v>
      </c>
      <c r="F519" s="2">
        <v>1250</v>
      </c>
      <c r="G519" s="2">
        <v>1312.5</v>
      </c>
      <c r="H519" s="3" t="s">
        <v>374</v>
      </c>
    </row>
    <row r="520" spans="1:8" x14ac:dyDescent="0.3">
      <c r="A520" t="s">
        <v>449</v>
      </c>
      <c r="B520" t="s">
        <v>110</v>
      </c>
      <c r="C520" t="s">
        <v>111</v>
      </c>
      <c r="D520">
        <v>2019</v>
      </c>
      <c r="E520" s="2">
        <v>175</v>
      </c>
      <c r="F520" s="2">
        <v>8750</v>
      </c>
      <c r="G520" s="2">
        <v>9187.5</v>
      </c>
      <c r="H520" s="3" t="s">
        <v>374</v>
      </c>
    </row>
    <row r="521" spans="1:8" x14ac:dyDescent="0.3">
      <c r="A521" t="s">
        <v>449</v>
      </c>
      <c r="B521" t="s">
        <v>110</v>
      </c>
      <c r="C521" t="s">
        <v>111</v>
      </c>
      <c r="D521">
        <v>2020</v>
      </c>
      <c r="E521" s="2">
        <v>600</v>
      </c>
      <c r="F521" s="2">
        <v>30000</v>
      </c>
      <c r="G521" s="2">
        <v>31500</v>
      </c>
      <c r="H521" s="3" t="s">
        <v>374</v>
      </c>
    </row>
    <row r="522" spans="1:8" x14ac:dyDescent="0.3">
      <c r="A522" t="s">
        <v>449</v>
      </c>
      <c r="B522" t="s">
        <v>110</v>
      </c>
      <c r="C522" t="s">
        <v>111</v>
      </c>
      <c r="D522">
        <v>2021</v>
      </c>
      <c r="E522" s="2">
        <v>225</v>
      </c>
      <c r="F522" s="2">
        <v>11250</v>
      </c>
      <c r="G522" s="2">
        <v>11812.5</v>
      </c>
      <c r="H522" s="3" t="s">
        <v>374</v>
      </c>
    </row>
    <row r="523" spans="1:8" x14ac:dyDescent="0.3">
      <c r="A523" t="s">
        <v>449</v>
      </c>
      <c r="B523" t="s">
        <v>471</v>
      </c>
      <c r="C523" t="s">
        <v>472</v>
      </c>
      <c r="D523">
        <v>2015</v>
      </c>
      <c r="E523" s="2">
        <v>10</v>
      </c>
      <c r="F523" s="2">
        <v>740</v>
      </c>
      <c r="G523" s="2"/>
    </row>
    <row r="524" spans="1:8" x14ac:dyDescent="0.3">
      <c r="A524" t="s">
        <v>449</v>
      </c>
      <c r="B524" t="s">
        <v>471</v>
      </c>
      <c r="C524" t="s">
        <v>472</v>
      </c>
      <c r="D524">
        <v>2016</v>
      </c>
      <c r="E524" s="2">
        <v>75</v>
      </c>
      <c r="F524" s="2">
        <v>5550</v>
      </c>
      <c r="G524" s="2"/>
    </row>
    <row r="525" spans="1:8" x14ac:dyDescent="0.3">
      <c r="A525" t="s">
        <v>449</v>
      </c>
      <c r="B525" t="s">
        <v>68</v>
      </c>
      <c r="C525" t="s">
        <v>69</v>
      </c>
      <c r="D525">
        <v>2013</v>
      </c>
      <c r="E525" s="2">
        <v>25</v>
      </c>
      <c r="F525" s="2">
        <v>1875</v>
      </c>
      <c r="G525" s="2"/>
    </row>
    <row r="526" spans="1:8" x14ac:dyDescent="0.3">
      <c r="A526" t="s">
        <v>449</v>
      </c>
      <c r="B526" t="s">
        <v>68</v>
      </c>
      <c r="C526" t="s">
        <v>69</v>
      </c>
      <c r="D526">
        <v>2014</v>
      </c>
      <c r="E526" s="2">
        <v>50</v>
      </c>
      <c r="F526" s="2">
        <v>3750</v>
      </c>
      <c r="G526" s="2"/>
    </row>
    <row r="527" spans="1:8" x14ac:dyDescent="0.3">
      <c r="A527" t="s">
        <v>449</v>
      </c>
      <c r="B527" t="s">
        <v>473</v>
      </c>
      <c r="C527" t="s">
        <v>474</v>
      </c>
      <c r="D527">
        <v>2011</v>
      </c>
      <c r="E527" s="2">
        <v>25</v>
      </c>
      <c r="F527" s="2">
        <v>1125</v>
      </c>
      <c r="G527" s="2"/>
    </row>
    <row r="528" spans="1:8" x14ac:dyDescent="0.3">
      <c r="A528" t="s">
        <v>449</v>
      </c>
      <c r="B528" t="s">
        <v>314</v>
      </c>
      <c r="C528" t="s">
        <v>315</v>
      </c>
      <c r="D528">
        <v>2011</v>
      </c>
      <c r="E528" s="2">
        <v>50</v>
      </c>
      <c r="F528" s="2">
        <v>3250</v>
      </c>
      <c r="G528" s="2"/>
    </row>
    <row r="529" spans="1:8" x14ac:dyDescent="0.3">
      <c r="A529" t="s">
        <v>449</v>
      </c>
      <c r="B529" t="s">
        <v>314</v>
      </c>
      <c r="C529" t="s">
        <v>475</v>
      </c>
      <c r="D529">
        <v>2011</v>
      </c>
      <c r="E529" s="2">
        <v>135</v>
      </c>
      <c r="F529" s="2">
        <v>7830</v>
      </c>
      <c r="G529" s="2"/>
    </row>
    <row r="530" spans="1:8" x14ac:dyDescent="0.3">
      <c r="A530" t="s">
        <v>449</v>
      </c>
      <c r="B530" t="s">
        <v>314</v>
      </c>
      <c r="C530" t="s">
        <v>315</v>
      </c>
      <c r="D530">
        <v>2012</v>
      </c>
      <c r="E530" s="2">
        <v>100</v>
      </c>
      <c r="F530" s="2">
        <v>6500</v>
      </c>
      <c r="G530" s="2"/>
    </row>
    <row r="531" spans="1:8" x14ac:dyDescent="0.3">
      <c r="A531" t="s">
        <v>449</v>
      </c>
      <c r="B531" t="s">
        <v>314</v>
      </c>
      <c r="C531" t="s">
        <v>475</v>
      </c>
      <c r="D531">
        <v>2012</v>
      </c>
      <c r="E531" s="2">
        <v>400</v>
      </c>
      <c r="F531" s="2">
        <v>25300</v>
      </c>
      <c r="G531" s="2"/>
    </row>
    <row r="532" spans="1:8" x14ac:dyDescent="0.3">
      <c r="A532" t="s">
        <v>449</v>
      </c>
      <c r="B532" t="s">
        <v>314</v>
      </c>
      <c r="C532" t="s">
        <v>315</v>
      </c>
      <c r="D532">
        <v>2013</v>
      </c>
      <c r="E532" s="2">
        <v>75</v>
      </c>
      <c r="F532" s="2">
        <v>4875</v>
      </c>
      <c r="G532" s="2"/>
    </row>
    <row r="533" spans="1:8" x14ac:dyDescent="0.3">
      <c r="A533" t="s">
        <v>449</v>
      </c>
      <c r="B533" t="s">
        <v>314</v>
      </c>
      <c r="C533" t="s">
        <v>475</v>
      </c>
      <c r="D533">
        <v>2013</v>
      </c>
      <c r="E533" s="2">
        <v>275</v>
      </c>
      <c r="F533" s="2">
        <v>17875</v>
      </c>
      <c r="G533" s="2"/>
    </row>
    <row r="534" spans="1:8" x14ac:dyDescent="0.3">
      <c r="A534" t="s">
        <v>449</v>
      </c>
      <c r="B534" t="s">
        <v>314</v>
      </c>
      <c r="C534" t="s">
        <v>315</v>
      </c>
      <c r="D534">
        <v>2014</v>
      </c>
      <c r="E534" s="2">
        <v>50</v>
      </c>
      <c r="F534" s="2">
        <v>3250</v>
      </c>
      <c r="G534" s="2"/>
    </row>
    <row r="535" spans="1:8" x14ac:dyDescent="0.3">
      <c r="A535" t="s">
        <v>449</v>
      </c>
      <c r="B535" t="s">
        <v>314</v>
      </c>
      <c r="C535" t="s">
        <v>475</v>
      </c>
      <c r="D535">
        <v>2014</v>
      </c>
      <c r="E535" s="2">
        <v>125</v>
      </c>
      <c r="F535" s="2">
        <v>8125</v>
      </c>
      <c r="G535" s="2"/>
    </row>
    <row r="536" spans="1:8" x14ac:dyDescent="0.3">
      <c r="A536" t="s">
        <v>449</v>
      </c>
      <c r="B536" t="s">
        <v>314</v>
      </c>
      <c r="C536" t="s">
        <v>475</v>
      </c>
      <c r="D536">
        <v>2015</v>
      </c>
      <c r="E536" s="2">
        <v>275</v>
      </c>
      <c r="F536" s="2">
        <v>17875</v>
      </c>
      <c r="G536" s="2"/>
    </row>
    <row r="537" spans="1:8" x14ac:dyDescent="0.3">
      <c r="A537" t="s">
        <v>449</v>
      </c>
      <c r="B537" t="s">
        <v>314</v>
      </c>
      <c r="C537" t="s">
        <v>475</v>
      </c>
      <c r="D537">
        <v>2016</v>
      </c>
      <c r="E537" s="2">
        <v>350</v>
      </c>
      <c r="F537" s="2">
        <v>22750</v>
      </c>
      <c r="G537" s="2"/>
    </row>
    <row r="538" spans="1:8" x14ac:dyDescent="0.3">
      <c r="A538" t="s">
        <v>449</v>
      </c>
      <c r="B538" t="s">
        <v>314</v>
      </c>
      <c r="C538" t="s">
        <v>475</v>
      </c>
      <c r="D538">
        <v>2017</v>
      </c>
      <c r="E538" s="2">
        <v>400</v>
      </c>
      <c r="F538" s="2">
        <v>26000</v>
      </c>
      <c r="G538" s="2"/>
    </row>
    <row r="539" spans="1:8" x14ac:dyDescent="0.3">
      <c r="A539" t="s">
        <v>449</v>
      </c>
      <c r="B539" t="s">
        <v>314</v>
      </c>
      <c r="C539" t="s">
        <v>475</v>
      </c>
      <c r="D539">
        <v>2018</v>
      </c>
      <c r="E539" s="2">
        <v>200</v>
      </c>
      <c r="F539" s="2">
        <v>15425</v>
      </c>
      <c r="G539" s="2">
        <v>16196.25</v>
      </c>
    </row>
    <row r="540" spans="1:8" x14ac:dyDescent="0.3">
      <c r="A540" t="s">
        <v>449</v>
      </c>
      <c r="B540" t="s">
        <v>314</v>
      </c>
      <c r="C540" t="s">
        <v>475</v>
      </c>
      <c r="D540">
        <v>2019</v>
      </c>
      <c r="E540" s="2">
        <v>25</v>
      </c>
      <c r="F540" s="2">
        <v>1725</v>
      </c>
      <c r="G540" s="2">
        <v>1811.25</v>
      </c>
    </row>
    <row r="541" spans="1:8" x14ac:dyDescent="0.3">
      <c r="A541" t="s">
        <v>449</v>
      </c>
      <c r="B541" t="s">
        <v>476</v>
      </c>
      <c r="C541" t="s">
        <v>477</v>
      </c>
      <c r="D541">
        <v>2018</v>
      </c>
      <c r="E541" s="2">
        <v>75</v>
      </c>
      <c r="F541" s="2">
        <v>5175</v>
      </c>
      <c r="G541" s="2">
        <v>5433.75</v>
      </c>
    </row>
    <row r="542" spans="1:8" x14ac:dyDescent="0.3">
      <c r="A542" t="s">
        <v>449</v>
      </c>
      <c r="B542" t="s">
        <v>476</v>
      </c>
      <c r="C542" t="s">
        <v>477</v>
      </c>
      <c r="D542">
        <v>2019</v>
      </c>
      <c r="E542" s="2">
        <v>60</v>
      </c>
      <c r="F542" s="2">
        <v>4140</v>
      </c>
      <c r="G542" s="2">
        <v>4347</v>
      </c>
    </row>
    <row r="543" spans="1:8" x14ac:dyDescent="0.3">
      <c r="A543" t="s">
        <v>449</v>
      </c>
      <c r="B543" t="s">
        <v>476</v>
      </c>
      <c r="C543" t="s">
        <v>478</v>
      </c>
      <c r="D543">
        <v>2019</v>
      </c>
      <c r="E543" s="2">
        <v>50</v>
      </c>
      <c r="F543" s="2">
        <v>3450</v>
      </c>
      <c r="G543" s="2">
        <v>3622.5</v>
      </c>
      <c r="H543" s="3" t="s">
        <v>14</v>
      </c>
    </row>
    <row r="544" spans="1:8" x14ac:dyDescent="0.3">
      <c r="A544" t="s">
        <v>449</v>
      </c>
      <c r="B544" t="s">
        <v>476</v>
      </c>
      <c r="C544" t="s">
        <v>478</v>
      </c>
      <c r="D544">
        <v>2020</v>
      </c>
      <c r="E544" s="2">
        <v>200</v>
      </c>
      <c r="F544" s="2">
        <v>13800</v>
      </c>
      <c r="G544" s="2">
        <v>14490</v>
      </c>
      <c r="H544" s="3" t="s">
        <v>14</v>
      </c>
    </row>
    <row r="545" spans="1:8" x14ac:dyDescent="0.3">
      <c r="A545" t="s">
        <v>449</v>
      </c>
      <c r="B545" t="s">
        <v>476</v>
      </c>
      <c r="C545" t="s">
        <v>478</v>
      </c>
      <c r="D545">
        <v>2021</v>
      </c>
      <c r="E545" s="2">
        <v>75</v>
      </c>
      <c r="F545" s="2">
        <v>5175</v>
      </c>
      <c r="G545" s="2">
        <v>5433.75</v>
      </c>
      <c r="H545" s="3" t="s">
        <v>14</v>
      </c>
    </row>
    <row r="546" spans="1:8" x14ac:dyDescent="0.3">
      <c r="A546" t="s">
        <v>449</v>
      </c>
      <c r="B546" t="s">
        <v>479</v>
      </c>
      <c r="C546" t="s">
        <v>480</v>
      </c>
      <c r="D546">
        <v>2012</v>
      </c>
      <c r="E546" s="2">
        <v>75</v>
      </c>
      <c r="F546" s="2">
        <v>5400</v>
      </c>
      <c r="G546" s="2"/>
      <c r="H546" s="3" t="s">
        <v>14</v>
      </c>
    </row>
    <row r="547" spans="1:8" x14ac:dyDescent="0.3">
      <c r="A547" t="s">
        <v>449</v>
      </c>
      <c r="B547" t="s">
        <v>479</v>
      </c>
      <c r="C547" t="s">
        <v>480</v>
      </c>
      <c r="D547">
        <v>2014</v>
      </c>
      <c r="E547" s="2">
        <v>75</v>
      </c>
      <c r="F547" s="2">
        <v>5400</v>
      </c>
      <c r="G547" s="2"/>
      <c r="H547" s="3" t="s">
        <v>14</v>
      </c>
    </row>
    <row r="548" spans="1:8" x14ac:dyDescent="0.3">
      <c r="A548" t="s">
        <v>449</v>
      </c>
      <c r="B548" t="s">
        <v>479</v>
      </c>
      <c r="C548" t="s">
        <v>480</v>
      </c>
      <c r="D548">
        <v>2015</v>
      </c>
      <c r="E548" s="2">
        <v>125</v>
      </c>
      <c r="F548" s="2">
        <v>9000</v>
      </c>
      <c r="G548" s="2"/>
      <c r="H548" s="3" t="s">
        <v>14</v>
      </c>
    </row>
    <row r="549" spans="1:8" x14ac:dyDescent="0.3">
      <c r="A549" t="s">
        <v>449</v>
      </c>
      <c r="B549" t="s">
        <v>479</v>
      </c>
      <c r="C549" t="s">
        <v>480</v>
      </c>
      <c r="D549">
        <v>2016</v>
      </c>
      <c r="E549" s="2">
        <v>150</v>
      </c>
      <c r="F549" s="2">
        <v>10800</v>
      </c>
      <c r="G549" s="2"/>
      <c r="H549" s="3" t="s">
        <v>14</v>
      </c>
    </row>
    <row r="550" spans="1:8" x14ac:dyDescent="0.3">
      <c r="A550" t="s">
        <v>449</v>
      </c>
      <c r="B550" t="s">
        <v>479</v>
      </c>
      <c r="C550" t="s">
        <v>480</v>
      </c>
      <c r="D550">
        <v>2017</v>
      </c>
      <c r="E550" s="2">
        <v>150</v>
      </c>
      <c r="F550" s="2">
        <v>10800</v>
      </c>
      <c r="G550" s="2"/>
      <c r="H550" s="3" t="s">
        <v>14</v>
      </c>
    </row>
    <row r="551" spans="1:8" x14ac:dyDescent="0.3">
      <c r="A551" t="s">
        <v>449</v>
      </c>
      <c r="B551" t="s">
        <v>479</v>
      </c>
      <c r="C551" t="s">
        <v>480</v>
      </c>
      <c r="D551">
        <v>2018</v>
      </c>
      <c r="E551" s="2">
        <v>75</v>
      </c>
      <c r="F551" s="2">
        <v>5400</v>
      </c>
      <c r="G551" s="2">
        <v>5670</v>
      </c>
      <c r="H551" s="3" t="s">
        <v>14</v>
      </c>
    </row>
    <row r="552" spans="1:8" x14ac:dyDescent="0.3">
      <c r="A552" t="s">
        <v>449</v>
      </c>
      <c r="B552" t="s">
        <v>479</v>
      </c>
      <c r="C552" t="s">
        <v>480</v>
      </c>
      <c r="D552">
        <v>2019</v>
      </c>
      <c r="E552" s="2">
        <v>185</v>
      </c>
      <c r="F552" s="2">
        <v>13320</v>
      </c>
      <c r="G552" s="2">
        <v>13986</v>
      </c>
      <c r="H552" s="3" t="s">
        <v>14</v>
      </c>
    </row>
    <row r="553" spans="1:8" x14ac:dyDescent="0.3">
      <c r="A553" t="s">
        <v>449</v>
      </c>
      <c r="B553" t="s">
        <v>479</v>
      </c>
      <c r="C553" t="s">
        <v>480</v>
      </c>
      <c r="D553">
        <v>2020</v>
      </c>
      <c r="E553" s="2">
        <v>268</v>
      </c>
      <c r="F553" s="2">
        <v>19296</v>
      </c>
      <c r="G553" s="2">
        <v>20260.8</v>
      </c>
      <c r="H553" s="3" t="s">
        <v>14</v>
      </c>
    </row>
    <row r="554" spans="1:8" x14ac:dyDescent="0.3">
      <c r="A554" t="s">
        <v>449</v>
      </c>
      <c r="B554" t="s">
        <v>479</v>
      </c>
      <c r="C554" t="s">
        <v>480</v>
      </c>
      <c r="D554">
        <v>2021</v>
      </c>
      <c r="E554" s="2">
        <v>125</v>
      </c>
      <c r="F554" s="2">
        <v>9000</v>
      </c>
      <c r="G554" s="2">
        <v>9450</v>
      </c>
      <c r="H554" s="3" t="s">
        <v>14</v>
      </c>
    </row>
    <row r="555" spans="1:8" x14ac:dyDescent="0.3">
      <c r="A555" t="s">
        <v>449</v>
      </c>
      <c r="B555" t="s">
        <v>481</v>
      </c>
      <c r="C555" t="s">
        <v>482</v>
      </c>
      <c r="D555">
        <v>2012</v>
      </c>
      <c r="E555" s="2">
        <v>25</v>
      </c>
      <c r="F555" s="2">
        <v>1950</v>
      </c>
      <c r="G555" s="2"/>
    </row>
    <row r="556" spans="1:8" x14ac:dyDescent="0.3">
      <c r="A556" t="s">
        <v>449</v>
      </c>
      <c r="B556" t="s">
        <v>46</v>
      </c>
      <c r="C556" t="s">
        <v>47</v>
      </c>
      <c r="D556">
        <v>2011</v>
      </c>
      <c r="E556" s="2">
        <v>25</v>
      </c>
      <c r="F556" s="2">
        <v>1700</v>
      </c>
      <c r="G556" s="2"/>
    </row>
    <row r="557" spans="1:8" x14ac:dyDescent="0.3">
      <c r="A557" t="s">
        <v>449</v>
      </c>
      <c r="B557" t="s">
        <v>46</v>
      </c>
      <c r="C557" t="s">
        <v>47</v>
      </c>
      <c r="D557">
        <v>2013</v>
      </c>
      <c r="E557" s="2">
        <v>25</v>
      </c>
      <c r="F557" s="2">
        <v>1700</v>
      </c>
      <c r="G557" s="2"/>
    </row>
    <row r="558" spans="1:8" x14ac:dyDescent="0.3">
      <c r="A558" t="s">
        <v>449</v>
      </c>
      <c r="B558" t="s">
        <v>46</v>
      </c>
      <c r="C558" t="s">
        <v>47</v>
      </c>
      <c r="D558">
        <v>2015</v>
      </c>
      <c r="E558" s="2">
        <v>50</v>
      </c>
      <c r="F558" s="2">
        <v>3250</v>
      </c>
      <c r="G558" s="2"/>
    </row>
    <row r="559" spans="1:8" x14ac:dyDescent="0.3">
      <c r="A559" t="s">
        <v>449</v>
      </c>
      <c r="B559" t="s">
        <v>46</v>
      </c>
      <c r="C559" t="s">
        <v>47</v>
      </c>
      <c r="D559">
        <v>2018</v>
      </c>
      <c r="E559" s="2">
        <v>50</v>
      </c>
      <c r="F559" s="2">
        <v>3250</v>
      </c>
      <c r="G559" s="2">
        <v>3412.5</v>
      </c>
    </row>
    <row r="560" spans="1:8" x14ac:dyDescent="0.3">
      <c r="A560" t="s">
        <v>449</v>
      </c>
      <c r="B560" t="s">
        <v>46</v>
      </c>
      <c r="C560" t="s">
        <v>47</v>
      </c>
      <c r="D560">
        <v>2019</v>
      </c>
      <c r="E560" s="2">
        <v>25</v>
      </c>
      <c r="F560" s="2">
        <v>1625</v>
      </c>
      <c r="G560" s="2">
        <v>1706.25</v>
      </c>
    </row>
    <row r="561" spans="1:7" x14ac:dyDescent="0.3">
      <c r="A561" t="s">
        <v>449</v>
      </c>
      <c r="B561" t="s">
        <v>483</v>
      </c>
      <c r="C561" t="s">
        <v>484</v>
      </c>
      <c r="D561">
        <v>2020</v>
      </c>
      <c r="E561" s="2">
        <v>52</v>
      </c>
      <c r="F561" s="2">
        <v>3250</v>
      </c>
      <c r="G561" s="2">
        <v>3412.5</v>
      </c>
    </row>
    <row r="562" spans="1:7" x14ac:dyDescent="0.3">
      <c r="A562" t="s">
        <v>449</v>
      </c>
      <c r="B562" t="s">
        <v>485</v>
      </c>
      <c r="C562" t="s">
        <v>486</v>
      </c>
      <c r="D562">
        <v>2012</v>
      </c>
      <c r="E562" s="2">
        <v>75</v>
      </c>
      <c r="F562" s="2">
        <v>5100</v>
      </c>
      <c r="G562" s="2"/>
    </row>
    <row r="563" spans="1:7" x14ac:dyDescent="0.3">
      <c r="A563" t="s">
        <v>449</v>
      </c>
      <c r="B563" t="s">
        <v>485</v>
      </c>
      <c r="C563" t="s">
        <v>486</v>
      </c>
      <c r="D563">
        <v>2013</v>
      </c>
      <c r="E563" s="2">
        <v>75</v>
      </c>
      <c r="F563" s="2">
        <v>5100</v>
      </c>
      <c r="G563" s="2"/>
    </row>
    <row r="564" spans="1:7" x14ac:dyDescent="0.3">
      <c r="A564" t="s">
        <v>449</v>
      </c>
      <c r="B564" t="s">
        <v>487</v>
      </c>
      <c r="C564" t="s">
        <v>488</v>
      </c>
      <c r="D564">
        <v>2012</v>
      </c>
      <c r="E564" s="2">
        <v>25</v>
      </c>
      <c r="F564" s="2">
        <v>2375</v>
      </c>
      <c r="G564" s="2"/>
    </row>
    <row r="565" spans="1:7" x14ac:dyDescent="0.3">
      <c r="A565" t="s">
        <v>449</v>
      </c>
      <c r="B565" t="s">
        <v>487</v>
      </c>
      <c r="C565" t="s">
        <v>488</v>
      </c>
      <c r="D565">
        <v>2013</v>
      </c>
      <c r="E565" s="2">
        <v>25</v>
      </c>
      <c r="F565" s="2">
        <v>2375</v>
      </c>
      <c r="G565" s="2"/>
    </row>
    <row r="566" spans="1:7" x14ac:dyDescent="0.3">
      <c r="A566" t="s">
        <v>449</v>
      </c>
      <c r="B566" t="s">
        <v>37</v>
      </c>
      <c r="D566">
        <v>2017</v>
      </c>
      <c r="E566" s="2">
        <v>17</v>
      </c>
      <c r="F566" s="2">
        <v>1105</v>
      </c>
      <c r="G566" s="2"/>
    </row>
    <row r="567" spans="1:7" x14ac:dyDescent="0.3">
      <c r="A567" t="s">
        <v>449</v>
      </c>
      <c r="B567" t="s">
        <v>37</v>
      </c>
      <c r="D567">
        <v>2018</v>
      </c>
      <c r="E567" s="2">
        <v>206</v>
      </c>
      <c r="F567" s="2">
        <v>13390</v>
      </c>
      <c r="G567" s="2">
        <v>14059.5</v>
      </c>
    </row>
    <row r="568" spans="1:7" x14ac:dyDescent="0.3">
      <c r="A568" t="s">
        <v>449</v>
      </c>
      <c r="B568" t="s">
        <v>37</v>
      </c>
      <c r="D568">
        <v>2019</v>
      </c>
      <c r="E568" s="2">
        <v>126</v>
      </c>
      <c r="F568" s="2">
        <v>8190</v>
      </c>
      <c r="G568" s="2">
        <v>8599.5</v>
      </c>
    </row>
    <row r="569" spans="1:7" x14ac:dyDescent="0.3">
      <c r="A569" t="s">
        <v>449</v>
      </c>
      <c r="B569" t="s">
        <v>37</v>
      </c>
      <c r="D569">
        <v>2020</v>
      </c>
      <c r="E569" s="2">
        <v>41</v>
      </c>
      <c r="F569" s="2">
        <v>2665</v>
      </c>
      <c r="G569" s="2">
        <v>2798.25</v>
      </c>
    </row>
    <row r="570" spans="1:7" x14ac:dyDescent="0.3">
      <c r="A570" t="s">
        <v>449</v>
      </c>
      <c r="B570" t="s">
        <v>12</v>
      </c>
      <c r="C570" t="s">
        <v>13</v>
      </c>
      <c r="D570">
        <v>2016</v>
      </c>
      <c r="E570" s="2">
        <v>50</v>
      </c>
      <c r="F570" s="2">
        <v>3900</v>
      </c>
      <c r="G570" s="2"/>
    </row>
    <row r="571" spans="1:7" x14ac:dyDescent="0.3">
      <c r="A571" t="s">
        <v>449</v>
      </c>
      <c r="B571" t="s">
        <v>12</v>
      </c>
      <c r="C571" t="s">
        <v>13</v>
      </c>
      <c r="D571">
        <v>2018</v>
      </c>
      <c r="E571" s="2">
        <v>25</v>
      </c>
      <c r="F571" s="2">
        <v>1950</v>
      </c>
      <c r="G571" s="2">
        <v>2047.5</v>
      </c>
    </row>
    <row r="572" spans="1:7" x14ac:dyDescent="0.3">
      <c r="A572" t="s">
        <v>449</v>
      </c>
      <c r="B572" t="s">
        <v>12</v>
      </c>
      <c r="C572" t="s">
        <v>13</v>
      </c>
      <c r="D572">
        <v>2020</v>
      </c>
      <c r="E572" s="2">
        <v>50</v>
      </c>
      <c r="F572" s="2">
        <v>3900</v>
      </c>
      <c r="G572" s="2">
        <v>4095</v>
      </c>
    </row>
    <row r="573" spans="1:7" x14ac:dyDescent="0.3">
      <c r="A573" t="s">
        <v>489</v>
      </c>
      <c r="B573" t="s">
        <v>490</v>
      </c>
      <c r="C573" t="s">
        <v>491</v>
      </c>
      <c r="D573">
        <v>2018</v>
      </c>
      <c r="E573" s="2">
        <v>25</v>
      </c>
      <c r="F573" s="2">
        <v>2625</v>
      </c>
      <c r="G573" s="2">
        <v>2756.25</v>
      </c>
    </row>
    <row r="574" spans="1:7" x14ac:dyDescent="0.3">
      <c r="A574" t="s">
        <v>489</v>
      </c>
      <c r="B574" t="s">
        <v>269</v>
      </c>
      <c r="C574" t="s">
        <v>270</v>
      </c>
      <c r="D574">
        <v>2018</v>
      </c>
      <c r="E574" s="2">
        <v>25</v>
      </c>
      <c r="F574" s="2">
        <v>1875</v>
      </c>
      <c r="G574" s="2">
        <v>1968.75</v>
      </c>
    </row>
    <row r="575" spans="1:7" x14ac:dyDescent="0.3">
      <c r="A575" t="s">
        <v>489</v>
      </c>
      <c r="B575" t="s">
        <v>269</v>
      </c>
      <c r="C575" t="s">
        <v>270</v>
      </c>
      <c r="D575">
        <v>2020</v>
      </c>
      <c r="E575" s="2">
        <v>25</v>
      </c>
      <c r="F575" s="2">
        <v>1750</v>
      </c>
      <c r="G575" s="2">
        <v>1837.5</v>
      </c>
    </row>
    <row r="576" spans="1:7" x14ac:dyDescent="0.3">
      <c r="A576" t="s">
        <v>489</v>
      </c>
      <c r="B576" t="s">
        <v>110</v>
      </c>
      <c r="C576" t="s">
        <v>111</v>
      </c>
      <c r="D576">
        <v>2018</v>
      </c>
      <c r="E576" s="2">
        <v>50</v>
      </c>
      <c r="F576" s="2">
        <v>3000</v>
      </c>
      <c r="G576" s="2">
        <v>3150</v>
      </c>
    </row>
    <row r="577" spans="1:8" x14ac:dyDescent="0.3">
      <c r="A577" t="s">
        <v>489</v>
      </c>
      <c r="B577" t="s">
        <v>492</v>
      </c>
      <c r="D577">
        <v>2018</v>
      </c>
      <c r="E577" s="2">
        <v>50</v>
      </c>
      <c r="F577" s="2">
        <v>1250</v>
      </c>
      <c r="G577" s="2">
        <v>1312.5</v>
      </c>
    </row>
    <row r="578" spans="1:8" x14ac:dyDescent="0.3">
      <c r="A578" t="s">
        <v>489</v>
      </c>
      <c r="B578" t="s">
        <v>314</v>
      </c>
      <c r="C578" t="s">
        <v>315</v>
      </c>
      <c r="D578">
        <v>2018</v>
      </c>
      <c r="E578" s="2">
        <v>25</v>
      </c>
      <c r="F578" s="2">
        <v>1875</v>
      </c>
      <c r="G578" s="2">
        <v>1968.75</v>
      </c>
    </row>
    <row r="579" spans="1:8" x14ac:dyDescent="0.3">
      <c r="A579" t="s">
        <v>493</v>
      </c>
      <c r="B579" t="s">
        <v>297</v>
      </c>
      <c r="C579" t="s">
        <v>298</v>
      </c>
      <c r="D579">
        <v>2019</v>
      </c>
      <c r="E579" s="2">
        <v>1</v>
      </c>
      <c r="F579" s="2">
        <v>80</v>
      </c>
      <c r="G579" s="2">
        <v>80</v>
      </c>
    </row>
    <row r="580" spans="1:8" x14ac:dyDescent="0.3">
      <c r="A580" t="s">
        <v>494</v>
      </c>
      <c r="B580" t="s">
        <v>19</v>
      </c>
      <c r="C580" t="s">
        <v>107</v>
      </c>
      <c r="D580">
        <v>2021</v>
      </c>
      <c r="E580" s="2">
        <v>5</v>
      </c>
      <c r="F580" s="2">
        <v>300</v>
      </c>
      <c r="G580" s="2">
        <v>315</v>
      </c>
      <c r="H580" s="3" t="s">
        <v>495</v>
      </c>
    </row>
    <row r="581" spans="1:8" x14ac:dyDescent="0.3">
      <c r="A581" t="s">
        <v>494</v>
      </c>
      <c r="B581" t="s">
        <v>496</v>
      </c>
      <c r="C581" t="s">
        <v>497</v>
      </c>
      <c r="D581">
        <v>2021</v>
      </c>
      <c r="E581" s="2">
        <v>5</v>
      </c>
      <c r="F581" s="2">
        <v>340</v>
      </c>
      <c r="G581" s="2">
        <v>357</v>
      </c>
      <c r="H581" s="3" t="s">
        <v>495</v>
      </c>
    </row>
    <row r="582" spans="1:8" x14ac:dyDescent="0.3">
      <c r="A582" t="s">
        <v>494</v>
      </c>
      <c r="B582" t="s">
        <v>498</v>
      </c>
      <c r="C582" t="s">
        <v>499</v>
      </c>
      <c r="D582">
        <v>2021</v>
      </c>
      <c r="E582" s="2">
        <v>5</v>
      </c>
      <c r="F582" s="2">
        <v>360</v>
      </c>
      <c r="G582" s="2">
        <v>378</v>
      </c>
      <c r="H582" s="3" t="s">
        <v>495</v>
      </c>
    </row>
    <row r="583" spans="1:8" x14ac:dyDescent="0.3">
      <c r="A583" t="s">
        <v>500</v>
      </c>
      <c r="B583" t="s">
        <v>417</v>
      </c>
      <c r="C583" t="s">
        <v>315</v>
      </c>
      <c r="D583">
        <v>2014</v>
      </c>
      <c r="E583" s="2">
        <v>24</v>
      </c>
      <c r="F583" s="2">
        <v>1920</v>
      </c>
      <c r="G583" s="2"/>
    </row>
    <row r="584" spans="1:8" x14ac:dyDescent="0.3">
      <c r="A584" t="s">
        <v>501</v>
      </c>
      <c r="B584" t="s">
        <v>26</v>
      </c>
      <c r="C584" t="s">
        <v>27</v>
      </c>
      <c r="D584">
        <v>2018</v>
      </c>
      <c r="E584" s="2">
        <v>25</v>
      </c>
      <c r="F584" s="2">
        <v>1250</v>
      </c>
      <c r="G584" s="2">
        <v>1312.5</v>
      </c>
    </row>
    <row r="585" spans="1:8" x14ac:dyDescent="0.3">
      <c r="A585" t="s">
        <v>501</v>
      </c>
      <c r="B585" t="s">
        <v>26</v>
      </c>
      <c r="C585" t="s">
        <v>27</v>
      </c>
      <c r="D585">
        <v>2020</v>
      </c>
      <c r="E585" s="2">
        <v>10</v>
      </c>
      <c r="F585" s="2">
        <v>650</v>
      </c>
      <c r="G585" s="2">
        <v>682.5</v>
      </c>
    </row>
    <row r="586" spans="1:8" x14ac:dyDescent="0.3">
      <c r="A586" t="s">
        <v>501</v>
      </c>
      <c r="B586" t="s">
        <v>29</v>
      </c>
      <c r="D586">
        <v>2018</v>
      </c>
      <c r="E586" s="2">
        <v>13</v>
      </c>
      <c r="F586" s="2">
        <v>6500</v>
      </c>
      <c r="G586" s="2">
        <v>6825</v>
      </c>
    </row>
    <row r="587" spans="1:8" x14ac:dyDescent="0.3">
      <c r="A587" t="s">
        <v>501</v>
      </c>
      <c r="B587" t="s">
        <v>32</v>
      </c>
      <c r="D587">
        <v>2019</v>
      </c>
      <c r="E587" s="2">
        <v>5</v>
      </c>
      <c r="F587" s="2">
        <v>325</v>
      </c>
      <c r="G587" s="2">
        <v>341.25</v>
      </c>
    </row>
    <row r="588" spans="1:8" x14ac:dyDescent="0.3">
      <c r="A588" t="s">
        <v>501</v>
      </c>
      <c r="B588" t="s">
        <v>483</v>
      </c>
      <c r="C588" t="s">
        <v>484</v>
      </c>
      <c r="D588">
        <v>2020</v>
      </c>
      <c r="E588" s="2">
        <v>10</v>
      </c>
      <c r="F588" s="2">
        <v>650</v>
      </c>
      <c r="G588" s="2">
        <v>682.5</v>
      </c>
    </row>
    <row r="589" spans="1:8" x14ac:dyDescent="0.3">
      <c r="A589" t="s">
        <v>502</v>
      </c>
      <c r="B589" t="s">
        <v>51</v>
      </c>
      <c r="C589" t="s">
        <v>52</v>
      </c>
      <c r="D589">
        <v>2019</v>
      </c>
      <c r="E589" s="2">
        <v>1</v>
      </c>
      <c r="F589" s="2">
        <v>130</v>
      </c>
      <c r="G589" s="2">
        <v>136.5</v>
      </c>
    </row>
    <row r="590" spans="1:8" x14ac:dyDescent="0.3">
      <c r="A590" t="s">
        <v>502</v>
      </c>
      <c r="B590" t="s">
        <v>51</v>
      </c>
      <c r="C590" t="s">
        <v>52</v>
      </c>
      <c r="D590">
        <v>2020</v>
      </c>
      <c r="E590" s="2">
        <v>1</v>
      </c>
      <c r="F590" s="2">
        <v>200</v>
      </c>
      <c r="G590" s="2">
        <v>210</v>
      </c>
    </row>
    <row r="591" spans="1:8" x14ac:dyDescent="0.3">
      <c r="A591" t="s">
        <v>502</v>
      </c>
      <c r="B591" t="s">
        <v>503</v>
      </c>
      <c r="D591">
        <v>2019</v>
      </c>
      <c r="E591" s="2">
        <v>0.5</v>
      </c>
      <c r="F591" s="2">
        <v>135</v>
      </c>
      <c r="G591" s="2">
        <v>141.75</v>
      </c>
    </row>
    <row r="592" spans="1:8" x14ac:dyDescent="0.3">
      <c r="A592" t="s">
        <v>502</v>
      </c>
      <c r="B592" t="s">
        <v>503</v>
      </c>
      <c r="D592">
        <v>2020</v>
      </c>
      <c r="E592" s="2">
        <v>1</v>
      </c>
      <c r="F592" s="2">
        <v>260</v>
      </c>
      <c r="G592" s="2">
        <v>273</v>
      </c>
    </row>
    <row r="593" spans="1:8" x14ac:dyDescent="0.3">
      <c r="A593" t="s">
        <v>502</v>
      </c>
      <c r="B593" t="s">
        <v>276</v>
      </c>
      <c r="C593" t="s">
        <v>277</v>
      </c>
      <c r="D593">
        <v>2017</v>
      </c>
      <c r="E593" s="2">
        <v>1</v>
      </c>
      <c r="F593" s="2">
        <v>230</v>
      </c>
      <c r="G593" s="2"/>
    </row>
    <row r="594" spans="1:8" x14ac:dyDescent="0.3">
      <c r="A594" t="s">
        <v>502</v>
      </c>
      <c r="B594" t="s">
        <v>276</v>
      </c>
      <c r="C594" t="s">
        <v>277</v>
      </c>
      <c r="D594">
        <v>2018</v>
      </c>
      <c r="E594" s="2">
        <v>0.5</v>
      </c>
      <c r="F594" s="2">
        <v>115</v>
      </c>
      <c r="G594" s="2">
        <v>120.75</v>
      </c>
    </row>
    <row r="595" spans="1:8" x14ac:dyDescent="0.3">
      <c r="A595" t="s">
        <v>502</v>
      </c>
      <c r="B595" t="s">
        <v>393</v>
      </c>
      <c r="C595" t="s">
        <v>394</v>
      </c>
      <c r="D595">
        <v>2018</v>
      </c>
      <c r="E595" s="2">
        <v>0.5</v>
      </c>
      <c r="F595" s="2">
        <v>100</v>
      </c>
      <c r="G595" s="2">
        <v>105</v>
      </c>
    </row>
    <row r="596" spans="1:8" x14ac:dyDescent="0.3">
      <c r="A596" t="s">
        <v>502</v>
      </c>
      <c r="B596" t="s">
        <v>86</v>
      </c>
      <c r="C596" t="s">
        <v>87</v>
      </c>
      <c r="D596">
        <v>2019</v>
      </c>
      <c r="E596" s="2">
        <v>1</v>
      </c>
      <c r="F596" s="2">
        <v>120</v>
      </c>
      <c r="G596" s="2">
        <v>126</v>
      </c>
      <c r="H596" s="3" t="s">
        <v>18</v>
      </c>
    </row>
    <row r="597" spans="1:8" x14ac:dyDescent="0.3">
      <c r="A597" t="s">
        <v>502</v>
      </c>
      <c r="B597" t="s">
        <v>86</v>
      </c>
      <c r="C597" t="s">
        <v>87</v>
      </c>
      <c r="D597">
        <v>2020</v>
      </c>
      <c r="E597" s="2">
        <v>1</v>
      </c>
      <c r="F597" s="2">
        <v>120</v>
      </c>
      <c r="G597" s="2">
        <v>126</v>
      </c>
      <c r="H597" s="3" t="s">
        <v>18</v>
      </c>
    </row>
    <row r="598" spans="1:8" x14ac:dyDescent="0.3">
      <c r="A598" t="s">
        <v>502</v>
      </c>
      <c r="B598" t="s">
        <v>86</v>
      </c>
      <c r="C598" t="s">
        <v>87</v>
      </c>
      <c r="D598">
        <v>2021</v>
      </c>
      <c r="E598" s="2">
        <v>0.5</v>
      </c>
      <c r="F598" s="2">
        <v>110</v>
      </c>
      <c r="G598" s="2">
        <v>115.5</v>
      </c>
      <c r="H598" s="3" t="s">
        <v>18</v>
      </c>
    </row>
    <row r="599" spans="1:8" x14ac:dyDescent="0.3">
      <c r="A599" t="s">
        <v>502</v>
      </c>
      <c r="B599" t="s">
        <v>16</v>
      </c>
      <c r="C599" t="s">
        <v>17</v>
      </c>
      <c r="D599">
        <v>2021</v>
      </c>
      <c r="E599" s="2">
        <v>1</v>
      </c>
      <c r="F599" s="2">
        <v>120</v>
      </c>
      <c r="G599" s="2">
        <v>126</v>
      </c>
      <c r="H599" s="3" t="s">
        <v>18</v>
      </c>
    </row>
    <row r="600" spans="1:8" x14ac:dyDescent="0.3">
      <c r="A600" t="s">
        <v>502</v>
      </c>
      <c r="B600" t="s">
        <v>504</v>
      </c>
      <c r="C600" t="s">
        <v>505</v>
      </c>
      <c r="D600">
        <v>2019</v>
      </c>
      <c r="E600" s="2">
        <v>0.5</v>
      </c>
      <c r="F600" s="2">
        <v>95</v>
      </c>
      <c r="G600" s="2">
        <v>99.75</v>
      </c>
    </row>
    <row r="601" spans="1:8" x14ac:dyDescent="0.3">
      <c r="A601" t="s">
        <v>502</v>
      </c>
      <c r="B601" t="s">
        <v>504</v>
      </c>
      <c r="C601" t="s">
        <v>505</v>
      </c>
      <c r="D601">
        <v>2020</v>
      </c>
      <c r="E601" s="2">
        <v>1</v>
      </c>
      <c r="F601" s="2">
        <v>180</v>
      </c>
      <c r="G601" s="2">
        <v>189</v>
      </c>
    </row>
    <row r="602" spans="1:8" x14ac:dyDescent="0.3">
      <c r="A602" t="s">
        <v>502</v>
      </c>
      <c r="B602" t="s">
        <v>506</v>
      </c>
      <c r="C602" t="s">
        <v>507</v>
      </c>
      <c r="D602">
        <v>2021</v>
      </c>
      <c r="E602" s="2">
        <v>1</v>
      </c>
      <c r="F602" s="2">
        <v>210</v>
      </c>
      <c r="G602" s="2">
        <v>220.5</v>
      </c>
      <c r="H602" s="3" t="s">
        <v>374</v>
      </c>
    </row>
    <row r="603" spans="1:8" x14ac:dyDescent="0.3">
      <c r="A603" t="s">
        <v>502</v>
      </c>
      <c r="B603" t="s">
        <v>508</v>
      </c>
      <c r="D603">
        <v>2021</v>
      </c>
      <c r="E603" s="2">
        <v>0.5</v>
      </c>
      <c r="F603" s="2">
        <v>140</v>
      </c>
      <c r="G603" s="2">
        <v>147</v>
      </c>
      <c r="H603" s="3" t="s">
        <v>509</v>
      </c>
    </row>
    <row r="604" spans="1:8" x14ac:dyDescent="0.3">
      <c r="A604" t="s">
        <v>502</v>
      </c>
      <c r="B604" t="s">
        <v>510</v>
      </c>
      <c r="C604" t="s">
        <v>511</v>
      </c>
      <c r="D604">
        <v>2019</v>
      </c>
      <c r="E604" s="2">
        <v>1</v>
      </c>
      <c r="F604" s="2">
        <v>200</v>
      </c>
      <c r="G604" s="2">
        <v>210</v>
      </c>
    </row>
    <row r="605" spans="1:8" x14ac:dyDescent="0.3">
      <c r="A605" t="s">
        <v>502</v>
      </c>
      <c r="B605" t="s">
        <v>510</v>
      </c>
      <c r="C605" t="s">
        <v>511</v>
      </c>
      <c r="D605">
        <v>2020</v>
      </c>
      <c r="E605" s="2">
        <v>1</v>
      </c>
      <c r="F605" s="2">
        <v>100</v>
      </c>
      <c r="G605" s="2">
        <v>105</v>
      </c>
    </row>
    <row r="606" spans="1:8" x14ac:dyDescent="0.3">
      <c r="A606" t="s">
        <v>502</v>
      </c>
      <c r="B606" t="s">
        <v>365</v>
      </c>
      <c r="C606" t="s">
        <v>96</v>
      </c>
      <c r="D606">
        <v>2019</v>
      </c>
      <c r="E606" s="2">
        <v>3.5</v>
      </c>
      <c r="F606" s="2">
        <v>700</v>
      </c>
      <c r="G606" s="2">
        <v>735</v>
      </c>
      <c r="H606" s="3" t="s">
        <v>18</v>
      </c>
    </row>
    <row r="607" spans="1:8" x14ac:dyDescent="0.3">
      <c r="A607" t="s">
        <v>502</v>
      </c>
      <c r="B607" t="s">
        <v>365</v>
      </c>
      <c r="C607" t="s">
        <v>96</v>
      </c>
      <c r="D607">
        <v>2020</v>
      </c>
      <c r="E607" s="2">
        <v>2</v>
      </c>
      <c r="F607" s="2">
        <v>380</v>
      </c>
      <c r="G607" s="2">
        <v>399</v>
      </c>
      <c r="H607" s="3" t="s">
        <v>18</v>
      </c>
    </row>
    <row r="608" spans="1:8" x14ac:dyDescent="0.3">
      <c r="A608" t="s">
        <v>502</v>
      </c>
      <c r="B608" t="s">
        <v>365</v>
      </c>
      <c r="C608" t="s">
        <v>96</v>
      </c>
      <c r="D608">
        <v>2021</v>
      </c>
      <c r="E608" s="2">
        <v>1</v>
      </c>
      <c r="F608" s="2">
        <v>180</v>
      </c>
      <c r="G608" s="2">
        <v>189</v>
      </c>
      <c r="H608" s="3" t="s">
        <v>18</v>
      </c>
    </row>
    <row r="609" spans="1:8" x14ac:dyDescent="0.3">
      <c r="A609" t="s">
        <v>502</v>
      </c>
      <c r="B609" t="s">
        <v>512</v>
      </c>
      <c r="D609">
        <v>2019</v>
      </c>
      <c r="E609" s="2">
        <v>0.5</v>
      </c>
      <c r="F609" s="2">
        <v>130</v>
      </c>
      <c r="G609" s="2">
        <v>136.5</v>
      </c>
      <c r="H609" s="3" t="s">
        <v>513</v>
      </c>
    </row>
    <row r="610" spans="1:8" x14ac:dyDescent="0.3">
      <c r="A610" t="s">
        <v>502</v>
      </c>
      <c r="B610" t="s">
        <v>512</v>
      </c>
      <c r="D610">
        <v>2021</v>
      </c>
      <c r="E610" s="2">
        <v>1</v>
      </c>
      <c r="F610" s="2">
        <v>175</v>
      </c>
      <c r="G610" s="2">
        <v>183.75</v>
      </c>
      <c r="H610" s="3" t="s">
        <v>513</v>
      </c>
    </row>
    <row r="611" spans="1:8" x14ac:dyDescent="0.3">
      <c r="A611" t="s">
        <v>502</v>
      </c>
      <c r="B611" t="s">
        <v>514</v>
      </c>
      <c r="C611" t="s">
        <v>515</v>
      </c>
      <c r="D611">
        <v>2019</v>
      </c>
      <c r="E611" s="2">
        <v>1</v>
      </c>
      <c r="F611" s="2">
        <v>100</v>
      </c>
      <c r="G611" s="2">
        <v>105</v>
      </c>
      <c r="H611" s="3" t="s">
        <v>18</v>
      </c>
    </row>
    <row r="612" spans="1:8" x14ac:dyDescent="0.3">
      <c r="A612" t="s">
        <v>502</v>
      </c>
      <c r="B612" t="s">
        <v>514</v>
      </c>
      <c r="C612" t="s">
        <v>515</v>
      </c>
      <c r="D612">
        <v>2021</v>
      </c>
      <c r="E612" s="2">
        <v>0.5</v>
      </c>
      <c r="F612" s="2">
        <v>100</v>
      </c>
      <c r="G612" s="2">
        <v>105</v>
      </c>
      <c r="H612" s="3" t="s">
        <v>18</v>
      </c>
    </row>
    <row r="613" spans="1:8" x14ac:dyDescent="0.3">
      <c r="A613" t="s">
        <v>502</v>
      </c>
      <c r="B613" t="s">
        <v>516</v>
      </c>
      <c r="D613">
        <v>2021</v>
      </c>
      <c r="E613" s="2">
        <v>1</v>
      </c>
      <c r="F613" s="2">
        <v>275</v>
      </c>
      <c r="G613" s="2">
        <v>288.75</v>
      </c>
      <c r="H613" s="3" t="s">
        <v>18</v>
      </c>
    </row>
    <row r="614" spans="1:8" x14ac:dyDescent="0.3">
      <c r="A614" t="s">
        <v>502</v>
      </c>
      <c r="B614" t="s">
        <v>108</v>
      </c>
      <c r="C614" t="s">
        <v>109</v>
      </c>
      <c r="D614">
        <v>2017</v>
      </c>
      <c r="E614" s="2">
        <v>1</v>
      </c>
      <c r="F614" s="2">
        <v>230</v>
      </c>
      <c r="G614" s="2"/>
    </row>
    <row r="615" spans="1:8" x14ac:dyDescent="0.3">
      <c r="A615" t="s">
        <v>502</v>
      </c>
      <c r="B615" t="s">
        <v>119</v>
      </c>
      <c r="D615">
        <v>2021</v>
      </c>
      <c r="E615" s="2">
        <v>0.5</v>
      </c>
      <c r="F615" s="2">
        <v>95</v>
      </c>
      <c r="G615" s="2">
        <v>99.75</v>
      </c>
      <c r="H615" s="3" t="s">
        <v>18</v>
      </c>
    </row>
    <row r="616" spans="1:8" x14ac:dyDescent="0.3">
      <c r="A616" t="s">
        <v>502</v>
      </c>
      <c r="B616" t="s">
        <v>66</v>
      </c>
      <c r="C616" t="s">
        <v>67</v>
      </c>
      <c r="D616">
        <v>2021</v>
      </c>
      <c r="E616" s="2">
        <v>0.5</v>
      </c>
      <c r="F616" s="2">
        <v>110</v>
      </c>
      <c r="G616" s="2">
        <v>115.5</v>
      </c>
      <c r="H616" s="3" t="s">
        <v>18</v>
      </c>
    </row>
    <row r="617" spans="1:8" x14ac:dyDescent="0.3">
      <c r="A617" t="s">
        <v>502</v>
      </c>
      <c r="B617" t="s">
        <v>125</v>
      </c>
      <c r="D617">
        <v>2018</v>
      </c>
      <c r="E617" s="2">
        <v>0.5</v>
      </c>
      <c r="F617" s="2">
        <v>175</v>
      </c>
      <c r="G617" s="2">
        <v>183.75</v>
      </c>
    </row>
    <row r="618" spans="1:8" x14ac:dyDescent="0.3">
      <c r="A618" t="s">
        <v>502</v>
      </c>
      <c r="B618" t="s">
        <v>125</v>
      </c>
      <c r="D618">
        <v>2019</v>
      </c>
      <c r="E618" s="2">
        <v>1.5</v>
      </c>
      <c r="F618" s="2">
        <v>262.5</v>
      </c>
      <c r="G618" s="2">
        <v>275.625</v>
      </c>
    </row>
    <row r="619" spans="1:8" x14ac:dyDescent="0.3">
      <c r="A619" t="s">
        <v>502</v>
      </c>
      <c r="B619" t="s">
        <v>517</v>
      </c>
      <c r="C619" t="s">
        <v>145</v>
      </c>
      <c r="D619">
        <v>2020</v>
      </c>
      <c r="E619" s="2">
        <v>1</v>
      </c>
      <c r="F619" s="2">
        <v>230</v>
      </c>
      <c r="G619" s="2">
        <v>241.5</v>
      </c>
    </row>
    <row r="620" spans="1:8" x14ac:dyDescent="0.3">
      <c r="A620" t="s">
        <v>502</v>
      </c>
      <c r="B620" t="s">
        <v>131</v>
      </c>
      <c r="C620" t="s">
        <v>132</v>
      </c>
      <c r="D620">
        <v>2021</v>
      </c>
      <c r="E620" s="2">
        <v>0.5</v>
      </c>
      <c r="F620" s="2">
        <v>90</v>
      </c>
      <c r="G620" s="2">
        <v>94.5</v>
      </c>
      <c r="H620" s="3" t="s">
        <v>18</v>
      </c>
    </row>
    <row r="621" spans="1:8" x14ac:dyDescent="0.3">
      <c r="A621" t="s">
        <v>502</v>
      </c>
      <c r="B621" t="s">
        <v>133</v>
      </c>
      <c r="C621" t="s">
        <v>134</v>
      </c>
      <c r="D621">
        <v>2019</v>
      </c>
      <c r="E621" s="2">
        <v>0.5</v>
      </c>
      <c r="F621" s="2">
        <v>170</v>
      </c>
      <c r="G621" s="2">
        <v>178.5</v>
      </c>
    </row>
    <row r="622" spans="1:8" x14ac:dyDescent="0.3">
      <c r="A622" t="s">
        <v>502</v>
      </c>
      <c r="B622" t="s">
        <v>133</v>
      </c>
      <c r="C622" t="s">
        <v>134</v>
      </c>
      <c r="D622">
        <v>2020</v>
      </c>
      <c r="E622" s="2">
        <v>2.5</v>
      </c>
      <c r="F622" s="2">
        <v>540</v>
      </c>
      <c r="G622" s="2">
        <v>567</v>
      </c>
    </row>
    <row r="623" spans="1:8" x14ac:dyDescent="0.3">
      <c r="A623" t="s">
        <v>502</v>
      </c>
      <c r="B623" t="s">
        <v>518</v>
      </c>
      <c r="C623" t="s">
        <v>519</v>
      </c>
      <c r="D623">
        <v>2019</v>
      </c>
      <c r="E623" s="2">
        <v>1</v>
      </c>
      <c r="F623" s="2">
        <v>90</v>
      </c>
      <c r="G623" s="2">
        <v>94.5</v>
      </c>
    </row>
    <row r="624" spans="1:8" x14ac:dyDescent="0.3">
      <c r="A624" t="s">
        <v>502</v>
      </c>
      <c r="B624" t="s">
        <v>144</v>
      </c>
      <c r="C624" t="s">
        <v>145</v>
      </c>
      <c r="D624">
        <v>2018</v>
      </c>
      <c r="E624" s="2">
        <v>0.5</v>
      </c>
      <c r="F624" s="2">
        <v>150</v>
      </c>
      <c r="G624" s="2">
        <v>157.5</v>
      </c>
    </row>
    <row r="625" spans="1:8" x14ac:dyDescent="0.3">
      <c r="A625" t="s">
        <v>502</v>
      </c>
      <c r="B625" t="s">
        <v>520</v>
      </c>
      <c r="C625" t="s">
        <v>521</v>
      </c>
      <c r="D625">
        <v>2017</v>
      </c>
      <c r="E625" s="2">
        <v>4</v>
      </c>
      <c r="F625" s="2">
        <v>800</v>
      </c>
      <c r="G625" s="2"/>
    </row>
    <row r="626" spans="1:8" x14ac:dyDescent="0.3">
      <c r="A626" t="s">
        <v>502</v>
      </c>
      <c r="B626" t="s">
        <v>520</v>
      </c>
      <c r="C626" t="s">
        <v>521</v>
      </c>
      <c r="D626">
        <v>2018</v>
      </c>
      <c r="E626" s="2">
        <v>2</v>
      </c>
      <c r="F626" s="2">
        <v>400</v>
      </c>
      <c r="G626" s="2">
        <v>420</v>
      </c>
    </row>
    <row r="627" spans="1:8" x14ac:dyDescent="0.3">
      <c r="A627" t="s">
        <v>502</v>
      </c>
      <c r="B627" t="s">
        <v>520</v>
      </c>
      <c r="C627" t="s">
        <v>521</v>
      </c>
      <c r="D627">
        <v>2019</v>
      </c>
      <c r="E627" s="2">
        <v>1.5</v>
      </c>
      <c r="F627" s="2">
        <v>300</v>
      </c>
      <c r="G627" s="2">
        <v>315</v>
      </c>
    </row>
    <row r="628" spans="1:8" x14ac:dyDescent="0.3">
      <c r="A628" t="s">
        <v>502</v>
      </c>
      <c r="B628" t="s">
        <v>476</v>
      </c>
      <c r="C628" t="s">
        <v>478</v>
      </c>
      <c r="D628">
        <v>2020</v>
      </c>
      <c r="E628" s="2">
        <v>1</v>
      </c>
      <c r="F628" s="2">
        <v>130</v>
      </c>
      <c r="G628" s="2">
        <v>136.5</v>
      </c>
    </row>
    <row r="629" spans="1:8" x14ac:dyDescent="0.3">
      <c r="A629" t="s">
        <v>502</v>
      </c>
      <c r="B629" t="s">
        <v>522</v>
      </c>
      <c r="D629">
        <v>2017</v>
      </c>
      <c r="E629" s="2">
        <v>1</v>
      </c>
      <c r="F629" s="2">
        <v>250</v>
      </c>
      <c r="G629" s="2"/>
    </row>
    <row r="630" spans="1:8" x14ac:dyDescent="0.3">
      <c r="A630" t="s">
        <v>502</v>
      </c>
      <c r="B630" t="s">
        <v>522</v>
      </c>
      <c r="D630">
        <v>2019</v>
      </c>
      <c r="E630" s="2">
        <v>0.5</v>
      </c>
      <c r="F630" s="2">
        <v>125</v>
      </c>
      <c r="G630" s="2">
        <v>131.25</v>
      </c>
    </row>
    <row r="631" spans="1:8" x14ac:dyDescent="0.3">
      <c r="A631" t="s">
        <v>502</v>
      </c>
      <c r="B631" t="s">
        <v>157</v>
      </c>
      <c r="C631" t="s">
        <v>158</v>
      </c>
      <c r="D631">
        <v>2021</v>
      </c>
      <c r="E631" s="2">
        <v>1</v>
      </c>
      <c r="F631" s="2">
        <v>260</v>
      </c>
      <c r="G631" s="2">
        <v>273</v>
      </c>
      <c r="H631" s="3" t="s">
        <v>18</v>
      </c>
    </row>
    <row r="632" spans="1:8" x14ac:dyDescent="0.3">
      <c r="A632" t="s">
        <v>523</v>
      </c>
      <c r="B632" t="s">
        <v>16</v>
      </c>
      <c r="C632" t="s">
        <v>17</v>
      </c>
      <c r="D632">
        <v>2016</v>
      </c>
      <c r="E632" s="2">
        <v>5</v>
      </c>
      <c r="F632" s="2">
        <v>500</v>
      </c>
      <c r="G632" s="2"/>
    </row>
    <row r="633" spans="1:8" x14ac:dyDescent="0.3">
      <c r="A633" t="s">
        <v>523</v>
      </c>
      <c r="B633" t="s">
        <v>16</v>
      </c>
      <c r="C633" t="s">
        <v>17</v>
      </c>
      <c r="D633">
        <v>2017</v>
      </c>
      <c r="E633" s="2">
        <v>20</v>
      </c>
      <c r="F633" s="2">
        <v>2000</v>
      </c>
      <c r="G633" s="2"/>
    </row>
    <row r="634" spans="1:8" x14ac:dyDescent="0.3">
      <c r="A634" t="s">
        <v>523</v>
      </c>
      <c r="B634" t="s">
        <v>524</v>
      </c>
      <c r="C634" t="s">
        <v>525</v>
      </c>
      <c r="D634">
        <v>2016</v>
      </c>
      <c r="E634" s="2">
        <v>25</v>
      </c>
      <c r="F634" s="2">
        <v>2500</v>
      </c>
      <c r="G634" s="2"/>
    </row>
    <row r="635" spans="1:8" x14ac:dyDescent="0.3">
      <c r="A635" t="s">
        <v>523</v>
      </c>
      <c r="B635" t="s">
        <v>526</v>
      </c>
      <c r="C635" t="s">
        <v>527</v>
      </c>
      <c r="D635">
        <v>2016</v>
      </c>
      <c r="E635" s="2">
        <v>6</v>
      </c>
      <c r="F635" s="2">
        <v>660</v>
      </c>
      <c r="G635" s="2"/>
    </row>
    <row r="636" spans="1:8" x14ac:dyDescent="0.3">
      <c r="A636" t="s">
        <v>523</v>
      </c>
      <c r="B636" t="s">
        <v>184</v>
      </c>
      <c r="C636" t="s">
        <v>185</v>
      </c>
      <c r="D636">
        <v>2016</v>
      </c>
      <c r="E636" s="2">
        <v>5</v>
      </c>
      <c r="F636" s="2">
        <v>350</v>
      </c>
      <c r="G636" s="2"/>
    </row>
    <row r="637" spans="1:8" x14ac:dyDescent="0.3">
      <c r="A637" t="s">
        <v>523</v>
      </c>
      <c r="B637" t="s">
        <v>528</v>
      </c>
      <c r="C637" t="s">
        <v>529</v>
      </c>
      <c r="D637">
        <v>2016</v>
      </c>
      <c r="E637" s="2">
        <v>155</v>
      </c>
      <c r="F637" s="2">
        <v>11160</v>
      </c>
      <c r="G637" s="2"/>
      <c r="H637" s="3" t="s">
        <v>18</v>
      </c>
    </row>
    <row r="638" spans="1:8" x14ac:dyDescent="0.3">
      <c r="A638" t="s">
        <v>523</v>
      </c>
      <c r="B638" t="s">
        <v>528</v>
      </c>
      <c r="C638" t="s">
        <v>529</v>
      </c>
      <c r="D638">
        <v>2017</v>
      </c>
      <c r="E638" s="2">
        <v>75</v>
      </c>
      <c r="F638" s="2">
        <v>5550</v>
      </c>
      <c r="G638" s="2"/>
      <c r="H638" s="3" t="s">
        <v>18</v>
      </c>
    </row>
    <row r="639" spans="1:8" x14ac:dyDescent="0.3">
      <c r="A639" t="s">
        <v>523</v>
      </c>
      <c r="B639" t="s">
        <v>528</v>
      </c>
      <c r="C639" t="s">
        <v>529</v>
      </c>
      <c r="D639">
        <v>2018</v>
      </c>
      <c r="E639" s="2">
        <v>20</v>
      </c>
      <c r="F639" s="2">
        <v>1680</v>
      </c>
      <c r="G639" s="2">
        <v>1764</v>
      </c>
      <c r="H639" s="3" t="s">
        <v>18</v>
      </c>
    </row>
    <row r="640" spans="1:8" x14ac:dyDescent="0.3">
      <c r="A640" t="s">
        <v>523</v>
      </c>
      <c r="B640" t="s">
        <v>528</v>
      </c>
      <c r="C640" t="s">
        <v>529</v>
      </c>
      <c r="D640">
        <v>2019</v>
      </c>
      <c r="E640" s="2">
        <v>70</v>
      </c>
      <c r="F640" s="2">
        <v>5525</v>
      </c>
      <c r="G640" s="2">
        <v>5801.25</v>
      </c>
      <c r="H640" s="3" t="s">
        <v>18</v>
      </c>
    </row>
    <row r="641" spans="1:8" x14ac:dyDescent="0.3">
      <c r="A641" t="s">
        <v>523</v>
      </c>
      <c r="B641" t="s">
        <v>528</v>
      </c>
      <c r="C641" t="s">
        <v>529</v>
      </c>
      <c r="D641">
        <v>2020</v>
      </c>
      <c r="E641" s="2">
        <v>25</v>
      </c>
      <c r="F641" s="2">
        <v>1800</v>
      </c>
      <c r="G641" s="2">
        <v>1890</v>
      </c>
      <c r="H641" s="3" t="s">
        <v>18</v>
      </c>
    </row>
    <row r="642" spans="1:8" x14ac:dyDescent="0.3">
      <c r="A642" t="s">
        <v>523</v>
      </c>
      <c r="B642" t="s">
        <v>528</v>
      </c>
      <c r="C642" t="s">
        <v>529</v>
      </c>
      <c r="D642">
        <v>2021</v>
      </c>
      <c r="E642" s="2">
        <v>20</v>
      </c>
      <c r="F642" s="2">
        <v>1440</v>
      </c>
      <c r="G642" s="2">
        <v>1512</v>
      </c>
      <c r="H642" s="3" t="s">
        <v>18</v>
      </c>
    </row>
    <row r="643" spans="1:8" x14ac:dyDescent="0.3">
      <c r="A643" t="s">
        <v>523</v>
      </c>
      <c r="B643" t="s">
        <v>41</v>
      </c>
      <c r="C643" t="s">
        <v>530</v>
      </c>
      <c r="D643">
        <v>2016</v>
      </c>
      <c r="E643" s="2">
        <v>5</v>
      </c>
      <c r="F643" s="2">
        <v>325</v>
      </c>
      <c r="G643" s="2"/>
    </row>
    <row r="644" spans="1:8" x14ac:dyDescent="0.3">
      <c r="A644" t="s">
        <v>523</v>
      </c>
      <c r="B644" t="s">
        <v>471</v>
      </c>
      <c r="C644" t="s">
        <v>472</v>
      </c>
      <c r="D644">
        <v>2016</v>
      </c>
      <c r="E644" s="2">
        <v>90</v>
      </c>
      <c r="F644" s="2">
        <v>7020</v>
      </c>
      <c r="G644" s="2"/>
    </row>
    <row r="645" spans="1:8" x14ac:dyDescent="0.3">
      <c r="A645" t="s">
        <v>523</v>
      </c>
      <c r="B645" t="s">
        <v>12</v>
      </c>
      <c r="C645" t="s">
        <v>13</v>
      </c>
      <c r="D645">
        <v>2016</v>
      </c>
      <c r="E645" s="2">
        <v>25</v>
      </c>
      <c r="F645" s="2">
        <v>1950</v>
      </c>
      <c r="G645" s="2"/>
    </row>
    <row r="646" spans="1:8" x14ac:dyDescent="0.3">
      <c r="A646" t="s">
        <v>531</v>
      </c>
      <c r="B646" t="s">
        <v>532</v>
      </c>
      <c r="C646" t="s">
        <v>452</v>
      </c>
      <c r="D646">
        <v>2020</v>
      </c>
      <c r="E646" s="2">
        <v>70</v>
      </c>
      <c r="F646" s="2">
        <v>6300</v>
      </c>
      <c r="G646" s="2">
        <v>6615</v>
      </c>
    </row>
    <row r="647" spans="1:8" x14ac:dyDescent="0.3">
      <c r="A647" t="s">
        <v>531</v>
      </c>
      <c r="B647" t="s">
        <v>533</v>
      </c>
      <c r="C647" t="s">
        <v>534</v>
      </c>
      <c r="D647">
        <v>2020</v>
      </c>
      <c r="E647" s="2">
        <v>5</v>
      </c>
      <c r="F647" s="2">
        <v>425</v>
      </c>
      <c r="G647" s="2">
        <v>446.25</v>
      </c>
      <c r="H647" s="3" t="s">
        <v>535</v>
      </c>
    </row>
    <row r="648" spans="1:8" x14ac:dyDescent="0.3">
      <c r="A648" t="s">
        <v>531</v>
      </c>
      <c r="B648" t="s">
        <v>533</v>
      </c>
      <c r="C648" t="s">
        <v>534</v>
      </c>
      <c r="D648">
        <v>2021</v>
      </c>
      <c r="E648" s="2">
        <v>20</v>
      </c>
      <c r="F648" s="2">
        <v>1700</v>
      </c>
      <c r="G648" s="2">
        <v>1785</v>
      </c>
      <c r="H648" s="3" t="s">
        <v>535</v>
      </c>
    </row>
    <row r="649" spans="1:8" x14ac:dyDescent="0.3">
      <c r="A649" t="s">
        <v>531</v>
      </c>
      <c r="B649" t="s">
        <v>536</v>
      </c>
      <c r="C649" t="s">
        <v>537</v>
      </c>
      <c r="D649">
        <v>2018</v>
      </c>
      <c r="E649" s="2">
        <v>25</v>
      </c>
      <c r="F649" s="2">
        <v>3125</v>
      </c>
      <c r="G649" s="2">
        <v>3281.25</v>
      </c>
    </row>
    <row r="650" spans="1:8" x14ac:dyDescent="0.3">
      <c r="A650" t="s">
        <v>531</v>
      </c>
      <c r="B650" t="s">
        <v>536</v>
      </c>
      <c r="C650" t="s">
        <v>537</v>
      </c>
      <c r="D650">
        <v>2020</v>
      </c>
      <c r="E650" s="2">
        <v>25</v>
      </c>
      <c r="F650" s="2">
        <v>2750</v>
      </c>
      <c r="G650" s="2">
        <v>2887.5</v>
      </c>
    </row>
    <row r="651" spans="1:8" x14ac:dyDescent="0.3">
      <c r="A651" t="s">
        <v>531</v>
      </c>
      <c r="B651" t="s">
        <v>538</v>
      </c>
      <c r="C651" t="s">
        <v>539</v>
      </c>
      <c r="D651">
        <v>2018</v>
      </c>
      <c r="E651" s="2">
        <v>25</v>
      </c>
      <c r="F651" s="2">
        <v>3125</v>
      </c>
      <c r="G651" s="2">
        <v>3281.25</v>
      </c>
    </row>
    <row r="652" spans="1:8" x14ac:dyDescent="0.3">
      <c r="A652" t="s">
        <v>531</v>
      </c>
      <c r="B652" t="s">
        <v>538</v>
      </c>
      <c r="C652" t="s">
        <v>539</v>
      </c>
      <c r="D652">
        <v>2020</v>
      </c>
      <c r="E652" s="2">
        <v>25</v>
      </c>
      <c r="F652" s="2">
        <v>2750</v>
      </c>
      <c r="G652" s="2">
        <v>2887.5</v>
      </c>
    </row>
    <row r="653" spans="1:8" x14ac:dyDescent="0.3">
      <c r="A653" t="s">
        <v>531</v>
      </c>
      <c r="B653" t="s">
        <v>540</v>
      </c>
      <c r="C653" t="s">
        <v>541</v>
      </c>
      <c r="D653">
        <v>2020</v>
      </c>
      <c r="E653" s="2">
        <v>5</v>
      </c>
      <c r="F653" s="2">
        <v>425</v>
      </c>
      <c r="G653" s="2">
        <v>446.25</v>
      </c>
      <c r="H653" s="3" t="s">
        <v>18</v>
      </c>
    </row>
    <row r="654" spans="1:8" x14ac:dyDescent="0.3">
      <c r="A654" t="s">
        <v>531</v>
      </c>
      <c r="B654" t="s">
        <v>540</v>
      </c>
      <c r="C654" t="s">
        <v>541</v>
      </c>
      <c r="D654">
        <v>2021</v>
      </c>
      <c r="E654" s="2">
        <v>10</v>
      </c>
      <c r="F654" s="2">
        <v>850</v>
      </c>
      <c r="G654" s="2">
        <v>892.5</v>
      </c>
      <c r="H654" s="3" t="s">
        <v>18</v>
      </c>
    </row>
    <row r="655" spans="1:8" x14ac:dyDescent="0.3">
      <c r="A655" t="s">
        <v>531</v>
      </c>
      <c r="B655" t="s">
        <v>184</v>
      </c>
      <c r="C655" t="s">
        <v>185</v>
      </c>
      <c r="D655">
        <v>2018</v>
      </c>
      <c r="E655" s="2">
        <v>25</v>
      </c>
      <c r="F655" s="2">
        <v>2250</v>
      </c>
      <c r="G655" s="2">
        <v>2362.5</v>
      </c>
    </row>
    <row r="656" spans="1:8" x14ac:dyDescent="0.3">
      <c r="A656" t="s">
        <v>531</v>
      </c>
      <c r="B656" t="s">
        <v>542</v>
      </c>
      <c r="C656" t="s">
        <v>160</v>
      </c>
      <c r="D656">
        <v>2018</v>
      </c>
      <c r="E656" s="2">
        <v>75</v>
      </c>
      <c r="F656" s="2">
        <v>10500</v>
      </c>
      <c r="G656" s="2">
        <v>11025</v>
      </c>
      <c r="H656" s="3" t="s">
        <v>374</v>
      </c>
    </row>
    <row r="657" spans="1:8" x14ac:dyDescent="0.3">
      <c r="A657" t="s">
        <v>531</v>
      </c>
      <c r="B657" t="s">
        <v>542</v>
      </c>
      <c r="C657" t="s">
        <v>160</v>
      </c>
      <c r="D657">
        <v>2019</v>
      </c>
      <c r="E657" s="2">
        <v>75</v>
      </c>
      <c r="F657" s="2">
        <v>10500</v>
      </c>
      <c r="G657" s="2">
        <v>11025</v>
      </c>
      <c r="H657" s="3" t="s">
        <v>374</v>
      </c>
    </row>
    <row r="658" spans="1:8" x14ac:dyDescent="0.3">
      <c r="A658" t="s">
        <v>531</v>
      </c>
      <c r="B658" t="s">
        <v>542</v>
      </c>
      <c r="C658" t="s">
        <v>160</v>
      </c>
      <c r="D658">
        <v>2020</v>
      </c>
      <c r="E658" s="2">
        <v>25</v>
      </c>
      <c r="F658" s="2">
        <v>3125</v>
      </c>
      <c r="G658" s="2">
        <v>3281.25</v>
      </c>
      <c r="H658" s="3" t="s">
        <v>374</v>
      </c>
    </row>
    <row r="659" spans="1:8" x14ac:dyDescent="0.3">
      <c r="A659" t="s">
        <v>531</v>
      </c>
      <c r="B659" t="s">
        <v>542</v>
      </c>
      <c r="C659" t="s">
        <v>160</v>
      </c>
      <c r="D659">
        <v>2021</v>
      </c>
      <c r="E659" s="2">
        <v>75</v>
      </c>
      <c r="F659" s="2">
        <v>9375</v>
      </c>
      <c r="G659" s="2">
        <v>9843.75</v>
      </c>
      <c r="H659" s="3" t="s">
        <v>374</v>
      </c>
    </row>
    <row r="660" spans="1:8" x14ac:dyDescent="0.3">
      <c r="A660" t="s">
        <v>531</v>
      </c>
      <c r="B660" t="s">
        <v>543</v>
      </c>
      <c r="C660" t="s">
        <v>544</v>
      </c>
      <c r="D660">
        <v>2016</v>
      </c>
      <c r="E660" s="2">
        <v>16</v>
      </c>
      <c r="F660" s="2">
        <v>1280</v>
      </c>
      <c r="G660" s="2"/>
      <c r="H660" s="3" t="s">
        <v>14</v>
      </c>
    </row>
    <row r="661" spans="1:8" x14ac:dyDescent="0.3">
      <c r="A661" t="s">
        <v>531</v>
      </c>
      <c r="B661" t="s">
        <v>543</v>
      </c>
      <c r="C661" t="s">
        <v>544</v>
      </c>
      <c r="D661">
        <v>2017</v>
      </c>
      <c r="E661" s="2">
        <v>130</v>
      </c>
      <c r="F661" s="2">
        <v>10400</v>
      </c>
      <c r="G661" s="2"/>
      <c r="H661" s="3" t="s">
        <v>14</v>
      </c>
    </row>
    <row r="662" spans="1:8" x14ac:dyDescent="0.3">
      <c r="A662" t="s">
        <v>531</v>
      </c>
      <c r="B662" t="s">
        <v>543</v>
      </c>
      <c r="C662" t="s">
        <v>544</v>
      </c>
      <c r="D662">
        <v>2018</v>
      </c>
      <c r="E662" s="2">
        <v>250</v>
      </c>
      <c r="F662" s="2">
        <v>20000</v>
      </c>
      <c r="G662" s="2">
        <v>21000</v>
      </c>
      <c r="H662" s="3" t="s">
        <v>14</v>
      </c>
    </row>
    <row r="663" spans="1:8" x14ac:dyDescent="0.3">
      <c r="A663" t="s">
        <v>531</v>
      </c>
      <c r="B663" t="s">
        <v>543</v>
      </c>
      <c r="C663" t="s">
        <v>544</v>
      </c>
      <c r="D663">
        <v>2019</v>
      </c>
      <c r="E663" s="2">
        <v>200</v>
      </c>
      <c r="F663" s="2">
        <v>16000</v>
      </c>
      <c r="G663" s="2">
        <v>16800</v>
      </c>
      <c r="H663" s="3" t="s">
        <v>14</v>
      </c>
    </row>
    <row r="664" spans="1:8" x14ac:dyDescent="0.3">
      <c r="A664" t="s">
        <v>531</v>
      </c>
      <c r="B664" t="s">
        <v>543</v>
      </c>
      <c r="C664" t="s">
        <v>544</v>
      </c>
      <c r="D664">
        <v>2020</v>
      </c>
      <c r="E664" s="2">
        <v>300</v>
      </c>
      <c r="F664" s="2">
        <v>23625</v>
      </c>
      <c r="G664" s="2">
        <v>24806.25</v>
      </c>
      <c r="H664" s="3" t="s">
        <v>14</v>
      </c>
    </row>
    <row r="665" spans="1:8" x14ac:dyDescent="0.3">
      <c r="A665" t="s">
        <v>531</v>
      </c>
      <c r="B665" t="s">
        <v>543</v>
      </c>
      <c r="C665" t="s">
        <v>544</v>
      </c>
      <c r="D665">
        <v>2021</v>
      </c>
      <c r="E665" s="2">
        <v>175</v>
      </c>
      <c r="F665" s="2">
        <v>14000</v>
      </c>
      <c r="G665" s="2">
        <v>14700</v>
      </c>
      <c r="H665" s="3" t="s">
        <v>14</v>
      </c>
    </row>
    <row r="666" spans="1:8" x14ac:dyDescent="0.3">
      <c r="A666" t="s">
        <v>531</v>
      </c>
      <c r="B666" t="s">
        <v>64</v>
      </c>
      <c r="C666" t="s">
        <v>65</v>
      </c>
      <c r="D666">
        <v>2016</v>
      </c>
      <c r="E666" s="2">
        <v>1</v>
      </c>
      <c r="F666" s="2">
        <v>65</v>
      </c>
      <c r="G666" s="2"/>
      <c r="H666" s="3" t="s">
        <v>14</v>
      </c>
    </row>
    <row r="667" spans="1:8" x14ac:dyDescent="0.3">
      <c r="A667" t="s">
        <v>531</v>
      </c>
      <c r="B667" t="s">
        <v>64</v>
      </c>
      <c r="C667" t="s">
        <v>65</v>
      </c>
      <c r="D667">
        <v>2018</v>
      </c>
      <c r="E667" s="2">
        <v>25</v>
      </c>
      <c r="F667" s="2">
        <v>2250</v>
      </c>
      <c r="G667" s="2">
        <v>2362.5</v>
      </c>
      <c r="H667" s="3" t="s">
        <v>14</v>
      </c>
    </row>
    <row r="668" spans="1:8" x14ac:dyDescent="0.3">
      <c r="A668" t="s">
        <v>531</v>
      </c>
      <c r="B668" t="s">
        <v>64</v>
      </c>
      <c r="C668" t="s">
        <v>65</v>
      </c>
      <c r="D668">
        <v>2021</v>
      </c>
      <c r="E668" s="2">
        <v>25</v>
      </c>
      <c r="F668" s="2">
        <v>2000</v>
      </c>
      <c r="G668" s="2">
        <v>2100</v>
      </c>
      <c r="H668" s="3" t="s">
        <v>14</v>
      </c>
    </row>
    <row r="669" spans="1:8" x14ac:dyDescent="0.3">
      <c r="A669" t="s">
        <v>531</v>
      </c>
      <c r="B669" t="s">
        <v>545</v>
      </c>
      <c r="C669" t="s">
        <v>546</v>
      </c>
      <c r="D669">
        <v>2019</v>
      </c>
      <c r="E669" s="2">
        <v>25</v>
      </c>
      <c r="F669" s="2">
        <v>2875</v>
      </c>
      <c r="G669" s="2">
        <v>3018.75</v>
      </c>
    </row>
    <row r="670" spans="1:8" x14ac:dyDescent="0.3">
      <c r="A670" t="s">
        <v>531</v>
      </c>
      <c r="B670" t="s">
        <v>266</v>
      </c>
      <c r="C670" t="s">
        <v>143</v>
      </c>
      <c r="D670">
        <v>2020</v>
      </c>
      <c r="E670" s="2">
        <v>10</v>
      </c>
      <c r="F670" s="2">
        <v>800</v>
      </c>
      <c r="G670" s="2">
        <v>840</v>
      </c>
    </row>
    <row r="671" spans="1:8" x14ac:dyDescent="0.3">
      <c r="A671" t="s">
        <v>547</v>
      </c>
      <c r="B671" t="s">
        <v>548</v>
      </c>
      <c r="D671">
        <v>2020</v>
      </c>
      <c r="E671" s="2">
        <v>50</v>
      </c>
      <c r="F671" s="2">
        <v>5306</v>
      </c>
      <c r="G671" s="2"/>
    </row>
    <row r="672" spans="1:8" x14ac:dyDescent="0.3">
      <c r="A672" t="s">
        <v>547</v>
      </c>
      <c r="B672" t="s">
        <v>549</v>
      </c>
      <c r="D672">
        <v>2020</v>
      </c>
      <c r="E672" s="2">
        <v>50</v>
      </c>
      <c r="F672" s="2">
        <v>3491</v>
      </c>
      <c r="G672" s="2">
        <v>3665.55</v>
      </c>
    </row>
    <row r="673" spans="1:7" x14ac:dyDescent="0.3">
      <c r="A673" t="s">
        <v>547</v>
      </c>
      <c r="B673" t="s">
        <v>19</v>
      </c>
      <c r="C673" t="s">
        <v>20</v>
      </c>
      <c r="D673">
        <v>2020</v>
      </c>
      <c r="E673" s="2">
        <v>400</v>
      </c>
      <c r="F673" s="2">
        <v>29400</v>
      </c>
      <c r="G673" s="2">
        <v>30870</v>
      </c>
    </row>
    <row r="674" spans="1:7" x14ac:dyDescent="0.3">
      <c r="A674" t="s">
        <v>550</v>
      </c>
      <c r="B674" t="s">
        <v>276</v>
      </c>
      <c r="C674" t="s">
        <v>277</v>
      </c>
      <c r="D674">
        <v>2018</v>
      </c>
      <c r="E674" s="2">
        <v>10</v>
      </c>
      <c r="F674" s="2">
        <v>2700</v>
      </c>
      <c r="G674" s="2">
        <v>2835</v>
      </c>
    </row>
    <row r="675" spans="1:7" x14ac:dyDescent="0.3">
      <c r="A675" t="s">
        <v>550</v>
      </c>
      <c r="B675" t="s">
        <v>82</v>
      </c>
      <c r="C675" t="s">
        <v>83</v>
      </c>
      <c r="D675">
        <v>2018</v>
      </c>
      <c r="E675" s="2">
        <v>5</v>
      </c>
      <c r="F675" s="2">
        <v>2500</v>
      </c>
      <c r="G675" s="2">
        <v>2625</v>
      </c>
    </row>
    <row r="676" spans="1:7" x14ac:dyDescent="0.3">
      <c r="A676" t="s">
        <v>550</v>
      </c>
      <c r="B676" t="s">
        <v>551</v>
      </c>
      <c r="D676">
        <v>2018</v>
      </c>
      <c r="E676" s="2">
        <v>5</v>
      </c>
      <c r="F676" s="2">
        <v>2750</v>
      </c>
      <c r="G676" s="2">
        <v>2887.5</v>
      </c>
    </row>
    <row r="677" spans="1:7" x14ac:dyDescent="0.3">
      <c r="A677" t="s">
        <v>550</v>
      </c>
      <c r="B677" t="s">
        <v>552</v>
      </c>
      <c r="C677" t="s">
        <v>245</v>
      </c>
      <c r="D677">
        <v>2018</v>
      </c>
      <c r="E677" s="2">
        <v>2</v>
      </c>
      <c r="F677" s="2">
        <v>360</v>
      </c>
      <c r="G677" s="2">
        <v>378</v>
      </c>
    </row>
    <row r="678" spans="1:7" x14ac:dyDescent="0.3">
      <c r="A678" t="s">
        <v>550</v>
      </c>
      <c r="B678" t="s">
        <v>553</v>
      </c>
      <c r="C678" t="s">
        <v>292</v>
      </c>
      <c r="D678">
        <v>2018</v>
      </c>
      <c r="E678" s="2">
        <v>30</v>
      </c>
      <c r="F678" s="2">
        <v>3000</v>
      </c>
      <c r="G678" s="2">
        <v>3150</v>
      </c>
    </row>
    <row r="679" spans="1:7" x14ac:dyDescent="0.3">
      <c r="A679" t="s">
        <v>550</v>
      </c>
      <c r="B679" t="s">
        <v>554</v>
      </c>
      <c r="C679" t="s">
        <v>249</v>
      </c>
      <c r="D679">
        <v>2018</v>
      </c>
      <c r="E679" s="2">
        <v>5</v>
      </c>
      <c r="F679" s="2">
        <v>900</v>
      </c>
      <c r="G679" s="2">
        <v>945</v>
      </c>
    </row>
    <row r="680" spans="1:7" x14ac:dyDescent="0.3">
      <c r="A680" t="s">
        <v>550</v>
      </c>
      <c r="B680" t="s">
        <v>555</v>
      </c>
      <c r="C680" t="s">
        <v>259</v>
      </c>
      <c r="D680">
        <v>2018</v>
      </c>
      <c r="E680" s="2">
        <v>5</v>
      </c>
      <c r="F680" s="2">
        <v>1050</v>
      </c>
      <c r="G680" s="2">
        <v>1102.5</v>
      </c>
    </row>
    <row r="681" spans="1:7" x14ac:dyDescent="0.3">
      <c r="A681" t="s">
        <v>550</v>
      </c>
      <c r="B681" t="s">
        <v>117</v>
      </c>
      <c r="C681" t="s">
        <v>118</v>
      </c>
      <c r="D681">
        <v>2018</v>
      </c>
      <c r="E681" s="2">
        <v>15</v>
      </c>
      <c r="F681" s="2">
        <v>3450</v>
      </c>
      <c r="G681" s="2">
        <v>3622.5</v>
      </c>
    </row>
    <row r="682" spans="1:7" x14ac:dyDescent="0.3">
      <c r="A682" t="s">
        <v>550</v>
      </c>
      <c r="B682" t="s">
        <v>144</v>
      </c>
      <c r="C682" t="s">
        <v>145</v>
      </c>
      <c r="D682">
        <v>2018</v>
      </c>
      <c r="E682" s="2">
        <v>5</v>
      </c>
      <c r="F682" s="2">
        <v>1150</v>
      </c>
      <c r="G682" s="2">
        <v>1207.5</v>
      </c>
    </row>
    <row r="683" spans="1:7" x14ac:dyDescent="0.3">
      <c r="A683" t="s">
        <v>550</v>
      </c>
      <c r="B683" t="s">
        <v>196</v>
      </c>
      <c r="C683" t="s">
        <v>197</v>
      </c>
      <c r="D683">
        <v>2018</v>
      </c>
      <c r="E683" s="2">
        <v>100</v>
      </c>
      <c r="F683" s="2">
        <v>17100</v>
      </c>
      <c r="G683" s="2">
        <v>17955</v>
      </c>
    </row>
    <row r="684" spans="1:7" x14ac:dyDescent="0.3">
      <c r="A684" t="s">
        <v>550</v>
      </c>
      <c r="B684" t="s">
        <v>70</v>
      </c>
      <c r="C684" t="s">
        <v>71</v>
      </c>
      <c r="D684">
        <v>2018</v>
      </c>
      <c r="E684" s="2">
        <v>5</v>
      </c>
      <c r="F684" s="2">
        <v>900</v>
      </c>
      <c r="G684" s="2">
        <v>945</v>
      </c>
    </row>
    <row r="685" spans="1:7" x14ac:dyDescent="0.3">
      <c r="A685" t="s">
        <v>550</v>
      </c>
      <c r="B685" t="s">
        <v>318</v>
      </c>
      <c r="C685" t="s">
        <v>319</v>
      </c>
      <c r="D685">
        <v>2018</v>
      </c>
      <c r="E685" s="2">
        <v>5</v>
      </c>
      <c r="F685" s="2">
        <v>900</v>
      </c>
      <c r="G685" s="2">
        <v>945</v>
      </c>
    </row>
    <row r="686" spans="1:7" x14ac:dyDescent="0.3">
      <c r="A686" t="s">
        <v>550</v>
      </c>
      <c r="B686" t="s">
        <v>203</v>
      </c>
      <c r="C686" t="s">
        <v>204</v>
      </c>
      <c r="D686">
        <v>2018</v>
      </c>
      <c r="E686" s="2">
        <v>25</v>
      </c>
      <c r="F686" s="2">
        <v>2375</v>
      </c>
      <c r="G686" s="2">
        <v>2493.75</v>
      </c>
    </row>
    <row r="687" spans="1:7" x14ac:dyDescent="0.3">
      <c r="A687" t="s">
        <v>556</v>
      </c>
      <c r="B687" t="s">
        <v>391</v>
      </c>
      <c r="C687" t="s">
        <v>392</v>
      </c>
      <c r="D687">
        <v>2017</v>
      </c>
      <c r="E687" s="2">
        <v>1</v>
      </c>
      <c r="F687" s="2">
        <v>100</v>
      </c>
      <c r="G687" s="2"/>
    </row>
    <row r="688" spans="1:7" x14ac:dyDescent="0.3">
      <c r="A688" t="s">
        <v>556</v>
      </c>
      <c r="B688" t="s">
        <v>557</v>
      </c>
      <c r="C688" t="s">
        <v>212</v>
      </c>
      <c r="D688">
        <v>2017</v>
      </c>
      <c r="E688" s="2">
        <v>1</v>
      </c>
      <c r="F688" s="2">
        <v>100</v>
      </c>
      <c r="G688" s="2"/>
    </row>
    <row r="689" spans="1:7" x14ac:dyDescent="0.3">
      <c r="A689" t="s">
        <v>556</v>
      </c>
      <c r="B689" t="s">
        <v>558</v>
      </c>
      <c r="C689" t="s">
        <v>559</v>
      </c>
      <c r="D689">
        <v>2017</v>
      </c>
      <c r="E689" s="2">
        <v>1</v>
      </c>
      <c r="F689" s="2">
        <v>100</v>
      </c>
      <c r="G689" s="2"/>
    </row>
    <row r="690" spans="1:7" x14ac:dyDescent="0.3">
      <c r="A690" t="s">
        <v>556</v>
      </c>
      <c r="B690" t="s">
        <v>560</v>
      </c>
      <c r="C690" t="s">
        <v>561</v>
      </c>
      <c r="D690">
        <v>2017</v>
      </c>
      <c r="E690" s="2">
        <v>1</v>
      </c>
      <c r="F690" s="2">
        <v>100</v>
      </c>
      <c r="G690" s="2"/>
    </row>
    <row r="691" spans="1:7" x14ac:dyDescent="0.3">
      <c r="A691" t="s">
        <v>556</v>
      </c>
      <c r="B691" t="s">
        <v>60</v>
      </c>
      <c r="C691" t="s">
        <v>61</v>
      </c>
      <c r="D691">
        <v>2017</v>
      </c>
      <c r="E691" s="2">
        <v>1</v>
      </c>
      <c r="F691" s="2">
        <v>90</v>
      </c>
      <c r="G691" s="2"/>
    </row>
    <row r="692" spans="1:7" x14ac:dyDescent="0.3">
      <c r="A692" t="s">
        <v>556</v>
      </c>
      <c r="B692" t="s">
        <v>228</v>
      </c>
      <c r="C692" t="s">
        <v>229</v>
      </c>
      <c r="D692">
        <v>2017</v>
      </c>
      <c r="E692" s="2">
        <v>1</v>
      </c>
      <c r="F692" s="2">
        <v>100</v>
      </c>
      <c r="G692" s="2"/>
    </row>
    <row r="693" spans="1:7" x14ac:dyDescent="0.3">
      <c r="A693" t="s">
        <v>556</v>
      </c>
      <c r="B693" t="s">
        <v>562</v>
      </c>
      <c r="C693" t="s">
        <v>563</v>
      </c>
      <c r="D693">
        <v>2017</v>
      </c>
      <c r="E693" s="2">
        <v>1</v>
      </c>
      <c r="F693" s="2">
        <v>100</v>
      </c>
      <c r="G693" s="2"/>
    </row>
    <row r="694" spans="1:7" x14ac:dyDescent="0.3">
      <c r="A694" t="s">
        <v>564</v>
      </c>
      <c r="B694" t="s">
        <v>174</v>
      </c>
      <c r="C694" t="s">
        <v>175</v>
      </c>
      <c r="D694">
        <v>2013</v>
      </c>
      <c r="E694" s="2">
        <v>5</v>
      </c>
      <c r="F694" s="2">
        <v>494</v>
      </c>
      <c r="G694" s="2"/>
    </row>
    <row r="695" spans="1:7" x14ac:dyDescent="0.3">
      <c r="A695" t="s">
        <v>564</v>
      </c>
      <c r="B695" t="s">
        <v>565</v>
      </c>
      <c r="C695" t="s">
        <v>566</v>
      </c>
      <c r="D695">
        <v>2013</v>
      </c>
      <c r="E695" s="2">
        <v>5</v>
      </c>
      <c r="F695" s="2">
        <v>500</v>
      </c>
      <c r="G695" s="2"/>
    </row>
    <row r="696" spans="1:7" x14ac:dyDescent="0.3">
      <c r="A696" t="s">
        <v>564</v>
      </c>
      <c r="B696" t="s">
        <v>184</v>
      </c>
      <c r="C696" t="s">
        <v>185</v>
      </c>
      <c r="D696">
        <v>2013</v>
      </c>
      <c r="E696" s="2">
        <v>5</v>
      </c>
      <c r="F696" s="2">
        <v>438</v>
      </c>
      <c r="G696" s="2"/>
    </row>
    <row r="697" spans="1:7" x14ac:dyDescent="0.3">
      <c r="A697" t="s">
        <v>564</v>
      </c>
      <c r="B697" t="s">
        <v>567</v>
      </c>
      <c r="C697" t="s">
        <v>568</v>
      </c>
      <c r="D697">
        <v>2013</v>
      </c>
      <c r="E697" s="2">
        <v>5</v>
      </c>
      <c r="F697" s="2">
        <v>604</v>
      </c>
      <c r="G697" s="2"/>
    </row>
    <row r="698" spans="1:7" x14ac:dyDescent="0.3">
      <c r="A698" t="s">
        <v>564</v>
      </c>
      <c r="B698" t="s">
        <v>569</v>
      </c>
      <c r="C698" t="s">
        <v>570</v>
      </c>
      <c r="D698">
        <v>2013</v>
      </c>
      <c r="E698" s="2">
        <v>5</v>
      </c>
      <c r="F698" s="2">
        <v>535</v>
      </c>
      <c r="G698" s="2"/>
    </row>
    <row r="699" spans="1:7" x14ac:dyDescent="0.3">
      <c r="A699" t="s">
        <v>564</v>
      </c>
      <c r="B699" t="s">
        <v>571</v>
      </c>
      <c r="C699" t="s">
        <v>572</v>
      </c>
      <c r="D699">
        <v>2013</v>
      </c>
      <c r="E699" s="2">
        <v>5</v>
      </c>
      <c r="F699" s="2">
        <v>508</v>
      </c>
      <c r="G699" s="2"/>
    </row>
    <row r="700" spans="1:7" x14ac:dyDescent="0.3">
      <c r="A700" t="s">
        <v>564</v>
      </c>
      <c r="B700" t="s">
        <v>573</v>
      </c>
      <c r="C700" t="s">
        <v>574</v>
      </c>
      <c r="D700">
        <v>2013</v>
      </c>
      <c r="E700" s="2">
        <v>5</v>
      </c>
      <c r="F700" s="2">
        <v>573</v>
      </c>
      <c r="G700" s="2"/>
    </row>
    <row r="701" spans="1:7" x14ac:dyDescent="0.3">
      <c r="A701" t="s">
        <v>564</v>
      </c>
      <c r="B701" t="s">
        <v>575</v>
      </c>
      <c r="C701" t="s">
        <v>576</v>
      </c>
      <c r="D701">
        <v>2013</v>
      </c>
      <c r="E701" s="2">
        <v>5</v>
      </c>
      <c r="F701" s="2">
        <v>542</v>
      </c>
      <c r="G701" s="2"/>
    </row>
    <row r="702" spans="1:7" x14ac:dyDescent="0.3">
      <c r="A702" t="s">
        <v>564</v>
      </c>
      <c r="B702" t="s">
        <v>334</v>
      </c>
      <c r="C702" t="s">
        <v>335</v>
      </c>
      <c r="D702">
        <v>2013</v>
      </c>
      <c r="E702" s="2">
        <v>5</v>
      </c>
      <c r="F702" s="2">
        <v>470</v>
      </c>
      <c r="G702" s="2"/>
    </row>
    <row r="703" spans="1:7" x14ac:dyDescent="0.3">
      <c r="A703" t="s">
        <v>564</v>
      </c>
      <c r="B703" t="s">
        <v>46</v>
      </c>
      <c r="C703" t="s">
        <v>577</v>
      </c>
      <c r="D703">
        <v>2013</v>
      </c>
      <c r="E703" s="2">
        <v>5</v>
      </c>
      <c r="F703" s="2">
        <v>383</v>
      </c>
      <c r="G703" s="2"/>
    </row>
    <row r="704" spans="1:7" x14ac:dyDescent="0.3">
      <c r="A704" t="s">
        <v>578</v>
      </c>
      <c r="B704" t="s">
        <v>99</v>
      </c>
      <c r="C704" t="s">
        <v>100</v>
      </c>
      <c r="D704">
        <v>2017</v>
      </c>
      <c r="E704" s="2">
        <v>5</v>
      </c>
      <c r="F704" s="2">
        <v>1000</v>
      </c>
      <c r="G704" s="2"/>
    </row>
    <row r="705" spans="1:8" x14ac:dyDescent="0.3">
      <c r="A705" t="s">
        <v>578</v>
      </c>
      <c r="B705" t="s">
        <v>579</v>
      </c>
      <c r="C705" t="s">
        <v>54</v>
      </c>
      <c r="D705">
        <v>2019</v>
      </c>
      <c r="E705" s="2">
        <v>1</v>
      </c>
      <c r="F705" s="2">
        <v>200</v>
      </c>
      <c r="G705" s="2">
        <v>210</v>
      </c>
    </row>
    <row r="706" spans="1:8" x14ac:dyDescent="0.3">
      <c r="A706" t="s">
        <v>578</v>
      </c>
      <c r="B706" t="s">
        <v>142</v>
      </c>
      <c r="C706" t="s">
        <v>143</v>
      </c>
      <c r="D706">
        <v>2017</v>
      </c>
      <c r="E706" s="2">
        <v>10</v>
      </c>
      <c r="F706" s="2">
        <v>2300</v>
      </c>
      <c r="G706" s="2"/>
    </row>
    <row r="707" spans="1:8" x14ac:dyDescent="0.3">
      <c r="A707" t="s">
        <v>578</v>
      </c>
      <c r="B707" t="s">
        <v>142</v>
      </c>
      <c r="C707" t="s">
        <v>143</v>
      </c>
      <c r="D707">
        <v>2018</v>
      </c>
      <c r="E707" s="2">
        <v>10</v>
      </c>
      <c r="F707" s="2">
        <v>2300</v>
      </c>
      <c r="G707" s="2">
        <v>2415</v>
      </c>
    </row>
    <row r="708" spans="1:8" x14ac:dyDescent="0.3">
      <c r="A708" t="s">
        <v>578</v>
      </c>
      <c r="B708" t="s">
        <v>74</v>
      </c>
      <c r="C708" t="s">
        <v>75</v>
      </c>
      <c r="D708">
        <v>2017</v>
      </c>
      <c r="E708" s="2">
        <v>5</v>
      </c>
      <c r="F708" s="2">
        <v>1000</v>
      </c>
      <c r="G708" s="2"/>
    </row>
    <row r="709" spans="1:8" x14ac:dyDescent="0.3">
      <c r="A709" t="s">
        <v>580</v>
      </c>
      <c r="B709" t="s">
        <v>581</v>
      </c>
      <c r="C709" t="s">
        <v>582</v>
      </c>
      <c r="D709">
        <v>2018</v>
      </c>
      <c r="E709" s="2">
        <v>2.5</v>
      </c>
      <c r="F709" s="2">
        <v>550</v>
      </c>
      <c r="G709" s="2">
        <v>577.5</v>
      </c>
    </row>
    <row r="710" spans="1:8" x14ac:dyDescent="0.3">
      <c r="A710" t="s">
        <v>580</v>
      </c>
      <c r="B710" t="s">
        <v>55</v>
      </c>
      <c r="D710">
        <v>2019</v>
      </c>
      <c r="E710" s="2">
        <v>3</v>
      </c>
      <c r="F710" s="2">
        <v>780</v>
      </c>
      <c r="G710" s="2">
        <v>819</v>
      </c>
    </row>
    <row r="711" spans="1:8" x14ac:dyDescent="0.3">
      <c r="A711" t="s">
        <v>580</v>
      </c>
      <c r="B711" t="s">
        <v>583</v>
      </c>
      <c r="C711" t="s">
        <v>249</v>
      </c>
      <c r="D711">
        <v>2019</v>
      </c>
      <c r="E711" s="2">
        <v>2</v>
      </c>
      <c r="F711" s="2">
        <v>440</v>
      </c>
      <c r="G711" s="2">
        <v>462</v>
      </c>
    </row>
    <row r="712" spans="1:8" x14ac:dyDescent="0.3">
      <c r="A712" t="s">
        <v>580</v>
      </c>
      <c r="B712" t="s">
        <v>395</v>
      </c>
      <c r="D712">
        <v>2018</v>
      </c>
      <c r="E712" s="2">
        <v>5</v>
      </c>
      <c r="F712" s="2">
        <v>1300</v>
      </c>
      <c r="G712" s="2">
        <v>1365</v>
      </c>
    </row>
    <row r="713" spans="1:8" x14ac:dyDescent="0.3">
      <c r="A713" t="s">
        <v>580</v>
      </c>
      <c r="B713" t="s">
        <v>395</v>
      </c>
      <c r="D713">
        <v>2019</v>
      </c>
      <c r="E713" s="2">
        <v>3</v>
      </c>
      <c r="F713" s="2">
        <v>650</v>
      </c>
      <c r="G713" s="2">
        <v>682.5</v>
      </c>
    </row>
    <row r="714" spans="1:8" x14ac:dyDescent="0.3">
      <c r="A714" t="s">
        <v>580</v>
      </c>
      <c r="B714" t="s">
        <v>363</v>
      </c>
      <c r="C714" t="s">
        <v>364</v>
      </c>
      <c r="D714">
        <v>2018</v>
      </c>
      <c r="E714" s="2">
        <v>2</v>
      </c>
      <c r="F714" s="2">
        <v>440</v>
      </c>
      <c r="G714" s="2">
        <v>462</v>
      </c>
    </row>
    <row r="715" spans="1:8" x14ac:dyDescent="0.3">
      <c r="A715" t="s">
        <v>580</v>
      </c>
      <c r="B715" t="s">
        <v>127</v>
      </c>
      <c r="D715">
        <v>2019</v>
      </c>
      <c r="E715" s="2">
        <v>1</v>
      </c>
      <c r="F715" s="2">
        <v>260</v>
      </c>
      <c r="G715" s="2">
        <v>273</v>
      </c>
    </row>
    <row r="716" spans="1:8" x14ac:dyDescent="0.3">
      <c r="A716" t="s">
        <v>580</v>
      </c>
      <c r="B716" t="s">
        <v>584</v>
      </c>
      <c r="C716" t="s">
        <v>413</v>
      </c>
      <c r="D716">
        <v>2018</v>
      </c>
      <c r="E716" s="2">
        <v>2.5</v>
      </c>
      <c r="F716" s="2">
        <v>630</v>
      </c>
      <c r="G716" s="2">
        <v>252</v>
      </c>
    </row>
    <row r="717" spans="1:8" x14ac:dyDescent="0.3">
      <c r="A717" t="s">
        <v>580</v>
      </c>
      <c r="B717" t="s">
        <v>584</v>
      </c>
      <c r="C717" t="s">
        <v>413</v>
      </c>
      <c r="D717">
        <v>2019</v>
      </c>
      <c r="E717" s="2">
        <v>1</v>
      </c>
      <c r="F717" s="2">
        <v>260</v>
      </c>
      <c r="G717" s="2">
        <v>273</v>
      </c>
    </row>
    <row r="718" spans="1:8" x14ac:dyDescent="0.3">
      <c r="A718" t="s">
        <v>580</v>
      </c>
      <c r="B718" t="s">
        <v>320</v>
      </c>
      <c r="C718" t="s">
        <v>414</v>
      </c>
      <c r="D718">
        <v>2018</v>
      </c>
      <c r="E718" s="2">
        <v>0.5</v>
      </c>
      <c r="F718" s="2">
        <v>130</v>
      </c>
      <c r="G718" s="2">
        <v>136.5</v>
      </c>
    </row>
    <row r="719" spans="1:8" x14ac:dyDescent="0.3">
      <c r="A719" t="s">
        <v>585</v>
      </c>
      <c r="B719" t="s">
        <v>51</v>
      </c>
      <c r="C719" t="s">
        <v>52</v>
      </c>
      <c r="D719">
        <v>2021</v>
      </c>
      <c r="E719" s="2">
        <v>5</v>
      </c>
      <c r="F719" s="2">
        <v>11550</v>
      </c>
      <c r="G719" s="2">
        <v>11550</v>
      </c>
      <c r="H719" s="3" t="s">
        <v>18</v>
      </c>
    </row>
    <row r="720" spans="1:8" x14ac:dyDescent="0.3">
      <c r="A720" t="s">
        <v>585</v>
      </c>
      <c r="B720" t="s">
        <v>586</v>
      </c>
      <c r="C720" t="s">
        <v>587</v>
      </c>
      <c r="D720">
        <v>2020</v>
      </c>
      <c r="E720" s="2">
        <v>6</v>
      </c>
      <c r="F720" s="2">
        <v>1170</v>
      </c>
      <c r="G720" s="2">
        <v>1170</v>
      </c>
    </row>
    <row r="721" spans="1:8" x14ac:dyDescent="0.3">
      <c r="A721" t="s">
        <v>585</v>
      </c>
      <c r="B721" t="s">
        <v>55</v>
      </c>
      <c r="D721">
        <v>2021</v>
      </c>
      <c r="E721" s="2">
        <v>43</v>
      </c>
      <c r="F721" s="2">
        <v>12040</v>
      </c>
      <c r="G721" s="2">
        <v>12040</v>
      </c>
      <c r="H721" s="3" t="s">
        <v>588</v>
      </c>
    </row>
    <row r="722" spans="1:8" x14ac:dyDescent="0.3">
      <c r="A722" t="s">
        <v>585</v>
      </c>
      <c r="B722" t="s">
        <v>589</v>
      </c>
      <c r="C722" t="s">
        <v>590</v>
      </c>
      <c r="D722">
        <v>2021</v>
      </c>
      <c r="E722" s="2">
        <v>4</v>
      </c>
      <c r="F722" s="2">
        <v>640</v>
      </c>
      <c r="G722" s="2">
        <v>640</v>
      </c>
      <c r="H722" s="3" t="s">
        <v>18</v>
      </c>
    </row>
    <row r="723" spans="1:8" x14ac:dyDescent="0.3">
      <c r="A723" t="s">
        <v>585</v>
      </c>
      <c r="B723" t="s">
        <v>591</v>
      </c>
      <c r="C723" t="s">
        <v>592</v>
      </c>
      <c r="D723">
        <v>2020</v>
      </c>
      <c r="E723" s="2">
        <v>2</v>
      </c>
      <c r="F723" s="2">
        <v>460</v>
      </c>
      <c r="G723" s="2">
        <v>460</v>
      </c>
    </row>
    <row r="724" spans="1:8" x14ac:dyDescent="0.3">
      <c r="A724" t="s">
        <v>585</v>
      </c>
      <c r="B724" t="s">
        <v>593</v>
      </c>
      <c r="C724" t="s">
        <v>594</v>
      </c>
      <c r="D724">
        <v>2021</v>
      </c>
      <c r="E724" s="2">
        <v>6</v>
      </c>
      <c r="F724" s="2">
        <v>1320</v>
      </c>
      <c r="G724" s="2">
        <v>1320</v>
      </c>
      <c r="H724" s="3" t="s">
        <v>18</v>
      </c>
    </row>
    <row r="725" spans="1:8" x14ac:dyDescent="0.3">
      <c r="A725" t="s">
        <v>585</v>
      </c>
      <c r="B725" t="s">
        <v>252</v>
      </c>
      <c r="C725" t="s">
        <v>191</v>
      </c>
      <c r="D725">
        <v>2021</v>
      </c>
      <c r="E725" s="2">
        <v>2</v>
      </c>
      <c r="F725" s="2">
        <v>440</v>
      </c>
      <c r="G725" s="2">
        <v>440</v>
      </c>
      <c r="H725" s="3" t="s">
        <v>18</v>
      </c>
    </row>
    <row r="726" spans="1:8" x14ac:dyDescent="0.3">
      <c r="A726" t="s">
        <v>585</v>
      </c>
      <c r="B726" t="s">
        <v>510</v>
      </c>
      <c r="C726" t="s">
        <v>511</v>
      </c>
      <c r="D726">
        <v>2020</v>
      </c>
      <c r="E726" s="2">
        <v>7</v>
      </c>
      <c r="F726" s="2">
        <v>1200</v>
      </c>
      <c r="G726" s="2">
        <v>1200</v>
      </c>
      <c r="H726" s="3" t="s">
        <v>18</v>
      </c>
    </row>
    <row r="727" spans="1:8" x14ac:dyDescent="0.3">
      <c r="A727" t="s">
        <v>585</v>
      </c>
      <c r="B727" t="s">
        <v>510</v>
      </c>
      <c r="C727" t="s">
        <v>511</v>
      </c>
      <c r="D727">
        <v>2021</v>
      </c>
      <c r="E727" s="2">
        <v>20</v>
      </c>
      <c r="F727" s="2">
        <v>3600</v>
      </c>
      <c r="G727" s="2">
        <v>3600</v>
      </c>
      <c r="H727" s="3" t="s">
        <v>18</v>
      </c>
    </row>
    <row r="728" spans="1:8" x14ac:dyDescent="0.3">
      <c r="A728" t="s">
        <v>585</v>
      </c>
      <c r="B728" t="s">
        <v>365</v>
      </c>
      <c r="C728" t="s">
        <v>96</v>
      </c>
      <c r="D728">
        <v>2020</v>
      </c>
      <c r="E728" s="2">
        <v>5</v>
      </c>
      <c r="F728" s="2">
        <v>1100</v>
      </c>
      <c r="G728" s="2">
        <v>1100</v>
      </c>
      <c r="H728" s="3" t="s">
        <v>595</v>
      </c>
    </row>
    <row r="729" spans="1:8" x14ac:dyDescent="0.3">
      <c r="A729" t="s">
        <v>585</v>
      </c>
      <c r="B729" t="s">
        <v>365</v>
      </c>
      <c r="C729" t="s">
        <v>96</v>
      </c>
      <c r="D729">
        <v>2021</v>
      </c>
      <c r="E729" s="2">
        <v>10</v>
      </c>
      <c r="F729" s="2">
        <v>2200</v>
      </c>
      <c r="G729" s="2">
        <v>2200</v>
      </c>
      <c r="H729" s="3" t="s">
        <v>595</v>
      </c>
    </row>
    <row r="730" spans="1:8" x14ac:dyDescent="0.3">
      <c r="A730" t="s">
        <v>585</v>
      </c>
      <c r="B730" t="s">
        <v>596</v>
      </c>
      <c r="D730">
        <v>2020</v>
      </c>
      <c r="E730" s="2">
        <v>1</v>
      </c>
      <c r="F730" s="2">
        <v>240</v>
      </c>
      <c r="G730" s="2">
        <v>240</v>
      </c>
    </row>
    <row r="731" spans="1:8" x14ac:dyDescent="0.3">
      <c r="A731" t="s">
        <v>585</v>
      </c>
      <c r="B731" t="s">
        <v>103</v>
      </c>
      <c r="C731" t="s">
        <v>104</v>
      </c>
      <c r="D731">
        <v>2019</v>
      </c>
      <c r="E731" s="2">
        <v>29</v>
      </c>
      <c r="F731" s="2">
        <v>5510</v>
      </c>
      <c r="G731" s="2">
        <v>5510</v>
      </c>
    </row>
    <row r="732" spans="1:8" x14ac:dyDescent="0.3">
      <c r="A732" t="s">
        <v>585</v>
      </c>
      <c r="B732" t="s">
        <v>297</v>
      </c>
      <c r="C732" t="s">
        <v>298</v>
      </c>
      <c r="D732">
        <v>2019</v>
      </c>
      <c r="E732" s="2">
        <v>10</v>
      </c>
      <c r="F732" s="2">
        <v>900</v>
      </c>
      <c r="G732" s="2">
        <v>900</v>
      </c>
    </row>
    <row r="733" spans="1:8" x14ac:dyDescent="0.3">
      <c r="A733" t="s">
        <v>585</v>
      </c>
      <c r="B733" t="s">
        <v>542</v>
      </c>
      <c r="C733" t="s">
        <v>160</v>
      </c>
      <c r="D733">
        <v>2021</v>
      </c>
      <c r="E733" s="2">
        <v>3</v>
      </c>
      <c r="F733" s="2">
        <v>690</v>
      </c>
      <c r="G733" s="2">
        <v>690</v>
      </c>
      <c r="H733" s="3" t="s">
        <v>18</v>
      </c>
    </row>
    <row r="734" spans="1:8" x14ac:dyDescent="0.3">
      <c r="A734" t="s">
        <v>585</v>
      </c>
      <c r="B734" t="s">
        <v>597</v>
      </c>
      <c r="C734" t="s">
        <v>598</v>
      </c>
      <c r="D734">
        <v>2020</v>
      </c>
      <c r="E734" s="2">
        <v>4</v>
      </c>
      <c r="F734" s="2">
        <v>880</v>
      </c>
      <c r="G734" s="2">
        <v>880</v>
      </c>
    </row>
    <row r="735" spans="1:8" x14ac:dyDescent="0.3">
      <c r="A735" t="s">
        <v>585</v>
      </c>
      <c r="B735" t="s">
        <v>125</v>
      </c>
      <c r="D735">
        <v>2019</v>
      </c>
      <c r="E735" s="2">
        <v>5</v>
      </c>
      <c r="F735" s="2">
        <v>1600</v>
      </c>
      <c r="G735" s="2">
        <v>1600</v>
      </c>
    </row>
    <row r="736" spans="1:8" x14ac:dyDescent="0.3">
      <c r="A736" t="s">
        <v>585</v>
      </c>
      <c r="B736" t="s">
        <v>189</v>
      </c>
      <c r="D736">
        <v>2019</v>
      </c>
      <c r="E736" s="2">
        <v>40</v>
      </c>
      <c r="F736" s="2">
        <v>19200</v>
      </c>
      <c r="G736" s="2">
        <v>19200</v>
      </c>
    </row>
    <row r="737" spans="1:8" x14ac:dyDescent="0.3">
      <c r="A737" t="s">
        <v>585</v>
      </c>
      <c r="B737" t="s">
        <v>263</v>
      </c>
      <c r="C737" t="s">
        <v>264</v>
      </c>
      <c r="D737">
        <v>2020</v>
      </c>
      <c r="E737" s="2">
        <v>3</v>
      </c>
      <c r="F737" s="2">
        <v>750</v>
      </c>
      <c r="G737" s="2">
        <v>750</v>
      </c>
    </row>
    <row r="738" spans="1:8" x14ac:dyDescent="0.3">
      <c r="A738" t="s">
        <v>585</v>
      </c>
      <c r="B738" t="s">
        <v>599</v>
      </c>
      <c r="C738" t="s">
        <v>413</v>
      </c>
      <c r="D738">
        <v>2020</v>
      </c>
      <c r="E738" s="2">
        <v>2</v>
      </c>
      <c r="F738" s="2">
        <v>480</v>
      </c>
      <c r="G738" s="2">
        <v>480</v>
      </c>
    </row>
    <row r="739" spans="1:8" x14ac:dyDescent="0.3">
      <c r="A739" t="s">
        <v>585</v>
      </c>
      <c r="B739" t="s">
        <v>72</v>
      </c>
      <c r="C739" t="s">
        <v>319</v>
      </c>
      <c r="D739">
        <v>2019</v>
      </c>
      <c r="E739" s="2">
        <v>10</v>
      </c>
      <c r="F739" s="2">
        <v>1750</v>
      </c>
      <c r="G739" s="2">
        <v>1750</v>
      </c>
    </row>
    <row r="740" spans="1:8" x14ac:dyDescent="0.3">
      <c r="A740" t="s">
        <v>585</v>
      </c>
      <c r="B740" t="s">
        <v>600</v>
      </c>
      <c r="C740" t="s">
        <v>75</v>
      </c>
      <c r="D740">
        <v>2020</v>
      </c>
      <c r="E740" s="2">
        <v>5</v>
      </c>
      <c r="F740" s="2">
        <v>990</v>
      </c>
      <c r="G740" s="2">
        <v>990</v>
      </c>
      <c r="H740" s="3" t="s">
        <v>18</v>
      </c>
    </row>
    <row r="741" spans="1:8" x14ac:dyDescent="0.3">
      <c r="A741" t="s">
        <v>585</v>
      </c>
      <c r="B741" t="s">
        <v>600</v>
      </c>
      <c r="C741" t="s">
        <v>75</v>
      </c>
      <c r="D741">
        <v>2021</v>
      </c>
      <c r="E741" s="2">
        <v>5</v>
      </c>
      <c r="F741" s="2">
        <v>1000</v>
      </c>
      <c r="G741" s="2">
        <v>1000</v>
      </c>
      <c r="H741" s="3" t="s">
        <v>18</v>
      </c>
    </row>
    <row r="742" spans="1:8" x14ac:dyDescent="0.3">
      <c r="A742" t="s">
        <v>601</v>
      </c>
      <c r="B742" t="s">
        <v>602</v>
      </c>
      <c r="C742" t="s">
        <v>603</v>
      </c>
      <c r="D742">
        <v>2021</v>
      </c>
      <c r="E742" s="2">
        <v>1</v>
      </c>
      <c r="F742" s="2">
        <v>90</v>
      </c>
      <c r="G742" s="2">
        <v>94.5</v>
      </c>
      <c r="H742" s="3" t="s">
        <v>18</v>
      </c>
    </row>
    <row r="743" spans="1:8" x14ac:dyDescent="0.3">
      <c r="A743" t="s">
        <v>601</v>
      </c>
      <c r="B743" t="s">
        <v>438</v>
      </c>
      <c r="C743" t="s">
        <v>439</v>
      </c>
      <c r="D743">
        <v>2020</v>
      </c>
      <c r="E743" s="2">
        <v>10</v>
      </c>
      <c r="F743" s="2">
        <v>800</v>
      </c>
      <c r="G743" s="2">
        <v>840</v>
      </c>
    </row>
    <row r="744" spans="1:8" x14ac:dyDescent="0.3">
      <c r="A744" t="s">
        <v>601</v>
      </c>
      <c r="B744" t="s">
        <v>545</v>
      </c>
      <c r="C744" t="s">
        <v>546</v>
      </c>
      <c r="D744">
        <v>2021</v>
      </c>
      <c r="E744" s="2">
        <v>5</v>
      </c>
      <c r="F744" s="2">
        <v>624</v>
      </c>
      <c r="G744" s="2">
        <v>655.20000000000005</v>
      </c>
      <c r="H744" s="3" t="s">
        <v>18</v>
      </c>
    </row>
    <row r="745" spans="1:8" x14ac:dyDescent="0.3">
      <c r="A745" t="s">
        <v>601</v>
      </c>
      <c r="B745" t="s">
        <v>604</v>
      </c>
      <c r="C745" t="s">
        <v>605</v>
      </c>
      <c r="D745">
        <v>2020</v>
      </c>
      <c r="E745" s="2">
        <v>76</v>
      </c>
      <c r="F745" s="2">
        <v>7980</v>
      </c>
      <c r="G745" s="2">
        <v>8379</v>
      </c>
      <c r="H745" s="3" t="s">
        <v>606</v>
      </c>
    </row>
    <row r="746" spans="1:8" x14ac:dyDescent="0.3">
      <c r="A746" t="s">
        <v>601</v>
      </c>
      <c r="B746" t="s">
        <v>604</v>
      </c>
      <c r="C746" t="s">
        <v>605</v>
      </c>
      <c r="D746">
        <v>2021</v>
      </c>
      <c r="E746" s="2">
        <v>50</v>
      </c>
      <c r="F746" s="2">
        <v>5250</v>
      </c>
      <c r="G746" s="2">
        <v>5512.5</v>
      </c>
      <c r="H746" s="3" t="s">
        <v>606</v>
      </c>
    </row>
    <row r="747" spans="1:8" x14ac:dyDescent="0.3">
      <c r="A747" t="s">
        <v>607</v>
      </c>
      <c r="B747" t="s">
        <v>608</v>
      </c>
      <c r="D747">
        <v>2016</v>
      </c>
      <c r="E747" s="2">
        <v>175</v>
      </c>
      <c r="F747" s="2">
        <v>21836.5</v>
      </c>
      <c r="G747" s="2"/>
    </row>
    <row r="748" spans="1:8" x14ac:dyDescent="0.3">
      <c r="A748" t="s">
        <v>607</v>
      </c>
      <c r="B748" t="s">
        <v>608</v>
      </c>
      <c r="D748">
        <v>2018</v>
      </c>
      <c r="E748" s="2">
        <v>150</v>
      </c>
      <c r="F748" s="2">
        <v>18742.5</v>
      </c>
      <c r="G748" s="2">
        <v>19679.625</v>
      </c>
    </row>
    <row r="749" spans="1:8" x14ac:dyDescent="0.3">
      <c r="A749" t="s">
        <v>607</v>
      </c>
      <c r="B749" t="s">
        <v>608</v>
      </c>
      <c r="D749">
        <v>2019</v>
      </c>
      <c r="E749" s="2">
        <v>500</v>
      </c>
      <c r="F749" s="2">
        <v>67620</v>
      </c>
      <c r="G749" s="2">
        <v>71001</v>
      </c>
    </row>
    <row r="750" spans="1:8" x14ac:dyDescent="0.3">
      <c r="A750" t="s">
        <v>609</v>
      </c>
      <c r="B750" t="s">
        <v>84</v>
      </c>
      <c r="C750" t="s">
        <v>85</v>
      </c>
      <c r="D750">
        <v>2015</v>
      </c>
      <c r="E750" s="2">
        <v>10</v>
      </c>
      <c r="F750" s="2">
        <v>2100</v>
      </c>
      <c r="G750" s="2"/>
    </row>
    <row r="751" spans="1:8" x14ac:dyDescent="0.3">
      <c r="A751" t="s">
        <v>609</v>
      </c>
      <c r="B751" t="s">
        <v>84</v>
      </c>
      <c r="C751" t="s">
        <v>85</v>
      </c>
      <c r="D751">
        <v>2016</v>
      </c>
      <c r="E751" s="2">
        <v>30</v>
      </c>
      <c r="F751" s="2">
        <v>6000</v>
      </c>
      <c r="G751" s="2"/>
    </row>
    <row r="752" spans="1:8" x14ac:dyDescent="0.3">
      <c r="A752" t="s">
        <v>609</v>
      </c>
      <c r="B752" t="s">
        <v>280</v>
      </c>
      <c r="C752" t="s">
        <v>224</v>
      </c>
      <c r="D752">
        <v>2013</v>
      </c>
      <c r="E752" s="2">
        <v>10</v>
      </c>
      <c r="F752" s="2">
        <v>2000</v>
      </c>
      <c r="G752" s="2"/>
    </row>
    <row r="753" spans="1:7" x14ac:dyDescent="0.3">
      <c r="A753" t="s">
        <v>609</v>
      </c>
      <c r="B753" t="s">
        <v>280</v>
      </c>
      <c r="C753" t="s">
        <v>224</v>
      </c>
      <c r="D753">
        <v>2014</v>
      </c>
      <c r="E753" s="2">
        <v>50</v>
      </c>
      <c r="F753" s="2">
        <v>10000</v>
      </c>
      <c r="G753" s="2"/>
    </row>
    <row r="754" spans="1:7" x14ac:dyDescent="0.3">
      <c r="A754" t="s">
        <v>609</v>
      </c>
      <c r="B754" t="s">
        <v>280</v>
      </c>
      <c r="C754" t="s">
        <v>224</v>
      </c>
      <c r="D754">
        <v>2015</v>
      </c>
      <c r="E754" s="2">
        <v>10</v>
      </c>
      <c r="F754" s="2">
        <v>2000</v>
      </c>
      <c r="G754" s="2"/>
    </row>
    <row r="755" spans="1:7" x14ac:dyDescent="0.3">
      <c r="A755" t="s">
        <v>609</v>
      </c>
      <c r="B755" t="s">
        <v>610</v>
      </c>
      <c r="C755" t="s">
        <v>611</v>
      </c>
      <c r="D755">
        <v>2016</v>
      </c>
      <c r="E755" s="2">
        <v>10</v>
      </c>
      <c r="F755" s="2">
        <v>1250</v>
      </c>
      <c r="G755" s="2"/>
    </row>
    <row r="756" spans="1:7" x14ac:dyDescent="0.3">
      <c r="A756" t="s">
        <v>609</v>
      </c>
      <c r="B756" t="s">
        <v>612</v>
      </c>
      <c r="C756" t="s">
        <v>613</v>
      </c>
      <c r="D756">
        <v>2016</v>
      </c>
      <c r="E756" s="2">
        <v>10</v>
      </c>
      <c r="F756" s="2">
        <v>2700</v>
      </c>
      <c r="G756" s="2"/>
    </row>
    <row r="757" spans="1:7" x14ac:dyDescent="0.3">
      <c r="A757" t="s">
        <v>609</v>
      </c>
      <c r="B757" t="s">
        <v>396</v>
      </c>
      <c r="C757" t="s">
        <v>397</v>
      </c>
      <c r="D757">
        <v>2016</v>
      </c>
      <c r="E757" s="2">
        <v>5</v>
      </c>
      <c r="F757" s="2">
        <v>625</v>
      </c>
      <c r="G757" s="2"/>
    </row>
    <row r="758" spans="1:7" x14ac:dyDescent="0.3">
      <c r="A758" t="s">
        <v>609</v>
      </c>
      <c r="B758" t="s">
        <v>614</v>
      </c>
      <c r="C758" t="s">
        <v>141</v>
      </c>
      <c r="D758">
        <v>2013</v>
      </c>
      <c r="E758" s="2">
        <v>5</v>
      </c>
      <c r="F758" s="2">
        <v>1000</v>
      </c>
      <c r="G758" s="2"/>
    </row>
    <row r="759" spans="1:7" x14ac:dyDescent="0.3">
      <c r="A759" t="s">
        <v>609</v>
      </c>
      <c r="B759" t="s">
        <v>614</v>
      </c>
      <c r="C759" t="s">
        <v>141</v>
      </c>
      <c r="D759">
        <v>2016</v>
      </c>
      <c r="E759" s="2">
        <v>5</v>
      </c>
      <c r="F759" s="2">
        <v>625</v>
      </c>
      <c r="G759" s="2"/>
    </row>
    <row r="760" spans="1:7" x14ac:dyDescent="0.3">
      <c r="A760" t="s">
        <v>609</v>
      </c>
      <c r="B760" t="s">
        <v>291</v>
      </c>
      <c r="C760" t="s">
        <v>292</v>
      </c>
      <c r="D760">
        <v>2016</v>
      </c>
      <c r="E760" s="2">
        <v>5</v>
      </c>
      <c r="F760" s="2">
        <v>625</v>
      </c>
      <c r="G760" s="2"/>
    </row>
    <row r="761" spans="1:7" x14ac:dyDescent="0.3">
      <c r="A761" t="s">
        <v>609</v>
      </c>
      <c r="B761" t="s">
        <v>554</v>
      </c>
      <c r="C761" t="s">
        <v>249</v>
      </c>
      <c r="D761">
        <v>2017</v>
      </c>
      <c r="E761" s="2">
        <v>50</v>
      </c>
      <c r="F761" s="2">
        <v>11750</v>
      </c>
      <c r="G761" s="2"/>
    </row>
    <row r="762" spans="1:7" x14ac:dyDescent="0.3">
      <c r="A762" t="s">
        <v>609</v>
      </c>
      <c r="B762" t="s">
        <v>615</v>
      </c>
      <c r="C762" t="s">
        <v>616</v>
      </c>
      <c r="D762">
        <v>2014</v>
      </c>
      <c r="E762" s="2">
        <v>20</v>
      </c>
      <c r="F762" s="2">
        <v>4500</v>
      </c>
      <c r="G762" s="2"/>
    </row>
    <row r="763" spans="1:7" x14ac:dyDescent="0.3">
      <c r="A763" t="s">
        <v>609</v>
      </c>
      <c r="B763" t="s">
        <v>617</v>
      </c>
      <c r="C763" t="s">
        <v>618</v>
      </c>
      <c r="D763">
        <v>2011</v>
      </c>
      <c r="E763" s="2">
        <v>5</v>
      </c>
      <c r="F763" s="2">
        <v>1100</v>
      </c>
      <c r="G763" s="2"/>
    </row>
    <row r="764" spans="1:7" x14ac:dyDescent="0.3">
      <c r="A764" t="s">
        <v>609</v>
      </c>
      <c r="B764" t="s">
        <v>617</v>
      </c>
      <c r="C764" t="s">
        <v>618</v>
      </c>
      <c r="D764">
        <v>2012</v>
      </c>
      <c r="E764" s="2">
        <v>10</v>
      </c>
      <c r="F764" s="2">
        <v>2200</v>
      </c>
      <c r="G764" s="2"/>
    </row>
    <row r="765" spans="1:7" x14ac:dyDescent="0.3">
      <c r="A765" t="s">
        <v>609</v>
      </c>
      <c r="B765" t="s">
        <v>135</v>
      </c>
      <c r="C765" t="s">
        <v>136</v>
      </c>
      <c r="D765">
        <v>2014</v>
      </c>
      <c r="E765" s="2">
        <v>10</v>
      </c>
      <c r="F765" s="2">
        <v>2400</v>
      </c>
      <c r="G765" s="2"/>
    </row>
    <row r="766" spans="1:7" x14ac:dyDescent="0.3">
      <c r="A766" t="s">
        <v>609</v>
      </c>
      <c r="B766" t="s">
        <v>135</v>
      </c>
      <c r="C766" t="s">
        <v>136</v>
      </c>
      <c r="D766">
        <v>2015</v>
      </c>
      <c r="E766" s="2">
        <v>25</v>
      </c>
      <c r="F766" s="2">
        <v>6000</v>
      </c>
      <c r="G766" s="2"/>
    </row>
    <row r="767" spans="1:7" x14ac:dyDescent="0.3">
      <c r="A767" t="s">
        <v>609</v>
      </c>
      <c r="B767" t="s">
        <v>619</v>
      </c>
      <c r="D767">
        <v>2013</v>
      </c>
      <c r="E767" s="2">
        <v>10</v>
      </c>
      <c r="F767" s="2">
        <v>2400</v>
      </c>
      <c r="G767" s="2"/>
    </row>
    <row r="768" spans="1:7" x14ac:dyDescent="0.3">
      <c r="A768" t="s">
        <v>609</v>
      </c>
      <c r="B768" t="s">
        <v>619</v>
      </c>
      <c r="D768">
        <v>2014</v>
      </c>
      <c r="E768" s="2">
        <v>5</v>
      </c>
      <c r="F768" s="2">
        <v>1200</v>
      </c>
      <c r="G768" s="2"/>
    </row>
    <row r="769" spans="1:7" x14ac:dyDescent="0.3">
      <c r="A769" t="s">
        <v>609</v>
      </c>
      <c r="B769" t="s">
        <v>620</v>
      </c>
      <c r="C769" t="s">
        <v>621</v>
      </c>
      <c r="D769">
        <v>2016</v>
      </c>
      <c r="E769" s="2">
        <v>5</v>
      </c>
      <c r="F769" s="2">
        <v>625</v>
      </c>
      <c r="G769" s="2"/>
    </row>
    <row r="770" spans="1:7" x14ac:dyDescent="0.3">
      <c r="A770" t="s">
        <v>609</v>
      </c>
      <c r="B770" t="s">
        <v>318</v>
      </c>
      <c r="C770" t="s">
        <v>319</v>
      </c>
      <c r="D770">
        <v>2014</v>
      </c>
      <c r="E770" s="2">
        <v>5</v>
      </c>
      <c r="F770" s="2">
        <v>1100</v>
      </c>
      <c r="G770" s="2"/>
    </row>
    <row r="771" spans="1:7" x14ac:dyDescent="0.3">
      <c r="A771" t="s">
        <v>609</v>
      </c>
      <c r="B771" t="s">
        <v>562</v>
      </c>
      <c r="C771" t="s">
        <v>563</v>
      </c>
      <c r="D771">
        <v>2016</v>
      </c>
      <c r="E771" s="2">
        <v>5</v>
      </c>
      <c r="F771" s="2">
        <v>625</v>
      </c>
      <c r="G771" s="2"/>
    </row>
    <row r="772" spans="1:7" x14ac:dyDescent="0.3">
      <c r="A772" t="s">
        <v>609</v>
      </c>
      <c r="B772" t="s">
        <v>323</v>
      </c>
      <c r="C772" t="s">
        <v>324</v>
      </c>
      <c r="D772">
        <v>2016</v>
      </c>
      <c r="E772" s="2">
        <v>5</v>
      </c>
      <c r="F772" s="2">
        <v>625</v>
      </c>
      <c r="G772" s="2"/>
    </row>
    <row r="773" spans="1:7" x14ac:dyDescent="0.3">
      <c r="A773" t="s">
        <v>622</v>
      </c>
      <c r="B773" t="s">
        <v>623</v>
      </c>
      <c r="C773" t="s">
        <v>324</v>
      </c>
      <c r="D773">
        <v>2019</v>
      </c>
      <c r="E773" s="2">
        <v>5</v>
      </c>
      <c r="F773" s="2">
        <v>375</v>
      </c>
      <c r="G773" s="2">
        <v>1050</v>
      </c>
    </row>
    <row r="774" spans="1:7" x14ac:dyDescent="0.3">
      <c r="A774" t="s">
        <v>622</v>
      </c>
      <c r="B774" t="s">
        <v>624</v>
      </c>
      <c r="C774" t="s">
        <v>625</v>
      </c>
      <c r="D774">
        <v>2019</v>
      </c>
      <c r="E774" s="2">
        <v>20</v>
      </c>
      <c r="F774" s="2">
        <v>1400</v>
      </c>
      <c r="G774" s="2">
        <v>1470</v>
      </c>
    </row>
    <row r="775" spans="1:7" x14ac:dyDescent="0.3">
      <c r="A775" t="s">
        <v>622</v>
      </c>
      <c r="B775" t="s">
        <v>626</v>
      </c>
      <c r="C775" t="s">
        <v>582</v>
      </c>
      <c r="D775">
        <v>2019</v>
      </c>
      <c r="E775" s="2">
        <v>5</v>
      </c>
      <c r="F775" s="2">
        <v>1000</v>
      </c>
      <c r="G775" s="2">
        <v>1050</v>
      </c>
    </row>
    <row r="776" spans="1:7" x14ac:dyDescent="0.3">
      <c r="A776" t="s">
        <v>622</v>
      </c>
      <c r="B776" t="s">
        <v>627</v>
      </c>
      <c r="C776" t="s">
        <v>628</v>
      </c>
      <c r="D776">
        <v>2019</v>
      </c>
      <c r="E776" s="2">
        <v>10</v>
      </c>
      <c r="F776" s="2">
        <v>700</v>
      </c>
      <c r="G776" s="2">
        <v>735</v>
      </c>
    </row>
    <row r="777" spans="1:7" x14ac:dyDescent="0.3">
      <c r="A777" t="s">
        <v>622</v>
      </c>
      <c r="B777" t="s">
        <v>629</v>
      </c>
      <c r="C777" t="s">
        <v>630</v>
      </c>
      <c r="D777">
        <v>2019</v>
      </c>
      <c r="E777" s="2">
        <v>15</v>
      </c>
      <c r="F777" s="2">
        <v>1125</v>
      </c>
      <c r="G777" s="2">
        <v>1181.25</v>
      </c>
    </row>
    <row r="778" spans="1:7" x14ac:dyDescent="0.3">
      <c r="A778" t="s">
        <v>622</v>
      </c>
      <c r="B778" t="s">
        <v>629</v>
      </c>
      <c r="C778" t="s">
        <v>630</v>
      </c>
      <c r="D778">
        <v>2020</v>
      </c>
      <c r="E778" s="2">
        <v>13</v>
      </c>
      <c r="F778" s="2">
        <v>975</v>
      </c>
      <c r="G778" s="2">
        <v>1023.75</v>
      </c>
    </row>
    <row r="779" spans="1:7" x14ac:dyDescent="0.3">
      <c r="A779" t="s">
        <v>622</v>
      </c>
      <c r="B779" t="s">
        <v>34</v>
      </c>
      <c r="D779">
        <v>2019</v>
      </c>
      <c r="E779" s="2">
        <v>5</v>
      </c>
      <c r="F779" s="2">
        <v>450</v>
      </c>
      <c r="G779" s="2">
        <v>472.5</v>
      </c>
    </row>
    <row r="780" spans="1:7" x14ac:dyDescent="0.3">
      <c r="A780" t="s">
        <v>622</v>
      </c>
      <c r="B780" t="s">
        <v>453</v>
      </c>
      <c r="D780">
        <v>2019</v>
      </c>
      <c r="E780" s="2">
        <v>5</v>
      </c>
      <c r="F780" s="2">
        <v>425</v>
      </c>
      <c r="G780" s="2">
        <v>446.25</v>
      </c>
    </row>
    <row r="781" spans="1:7" x14ac:dyDescent="0.3">
      <c r="A781" t="s">
        <v>622</v>
      </c>
      <c r="B781" t="s">
        <v>417</v>
      </c>
      <c r="C781" t="s">
        <v>418</v>
      </c>
      <c r="D781">
        <v>2019</v>
      </c>
      <c r="E781" s="2">
        <v>5</v>
      </c>
      <c r="F781" s="2">
        <v>300</v>
      </c>
      <c r="G781" s="2">
        <v>315</v>
      </c>
    </row>
    <row r="782" spans="1:7" x14ac:dyDescent="0.3">
      <c r="A782" t="s">
        <v>622</v>
      </c>
      <c r="B782" t="s">
        <v>631</v>
      </c>
      <c r="C782" t="s">
        <v>632</v>
      </c>
      <c r="D782">
        <v>2019</v>
      </c>
      <c r="E782" s="2">
        <v>10</v>
      </c>
      <c r="F782" s="2">
        <v>700</v>
      </c>
      <c r="G782" s="2">
        <v>735</v>
      </c>
    </row>
    <row r="783" spans="1:7" x14ac:dyDescent="0.3">
      <c r="A783" t="s">
        <v>622</v>
      </c>
      <c r="B783" t="s">
        <v>633</v>
      </c>
      <c r="C783" t="s">
        <v>634</v>
      </c>
      <c r="D783">
        <v>2019</v>
      </c>
      <c r="E783" s="2">
        <v>5</v>
      </c>
      <c r="F783" s="2">
        <v>400</v>
      </c>
      <c r="G783" s="2">
        <v>420</v>
      </c>
    </row>
    <row r="784" spans="1:7" x14ac:dyDescent="0.3">
      <c r="A784" t="s">
        <v>622</v>
      </c>
      <c r="B784" t="s">
        <v>635</v>
      </c>
      <c r="C784" t="s">
        <v>636</v>
      </c>
      <c r="D784">
        <v>2019</v>
      </c>
      <c r="E784" s="2">
        <v>35</v>
      </c>
      <c r="F784" s="2">
        <v>2500</v>
      </c>
      <c r="G784" s="2">
        <v>2625</v>
      </c>
    </row>
    <row r="785" spans="1:7" x14ac:dyDescent="0.3">
      <c r="A785" t="s">
        <v>622</v>
      </c>
      <c r="B785" t="s">
        <v>441</v>
      </c>
      <c r="C785" t="s">
        <v>93</v>
      </c>
      <c r="D785">
        <v>2019</v>
      </c>
      <c r="E785" s="2">
        <v>50</v>
      </c>
      <c r="F785" s="2">
        <v>3750</v>
      </c>
      <c r="G785" s="2">
        <v>3937.5</v>
      </c>
    </row>
    <row r="786" spans="1:7" x14ac:dyDescent="0.3">
      <c r="A786" t="s">
        <v>622</v>
      </c>
      <c r="B786" t="s">
        <v>441</v>
      </c>
      <c r="C786" t="s">
        <v>93</v>
      </c>
      <c r="D786">
        <v>2020</v>
      </c>
      <c r="E786" s="2">
        <v>25</v>
      </c>
      <c r="F786" s="2">
        <v>1875</v>
      </c>
      <c r="G786" s="2">
        <v>1968.75</v>
      </c>
    </row>
    <row r="787" spans="1:7" x14ac:dyDescent="0.3">
      <c r="A787" t="s">
        <v>622</v>
      </c>
      <c r="B787" t="s">
        <v>602</v>
      </c>
      <c r="C787" t="s">
        <v>603</v>
      </c>
      <c r="D787">
        <v>2019</v>
      </c>
      <c r="E787" s="2">
        <v>25</v>
      </c>
      <c r="F787" s="2">
        <v>1875</v>
      </c>
      <c r="G787" s="2">
        <v>1968.75</v>
      </c>
    </row>
    <row r="788" spans="1:7" x14ac:dyDescent="0.3">
      <c r="A788" t="s">
        <v>622</v>
      </c>
      <c r="B788" t="s">
        <v>637</v>
      </c>
      <c r="C788" t="s">
        <v>638</v>
      </c>
      <c r="D788">
        <v>2019</v>
      </c>
      <c r="E788" s="2">
        <v>5</v>
      </c>
      <c r="F788" s="2">
        <v>550</v>
      </c>
      <c r="G788" s="2">
        <v>577.5</v>
      </c>
    </row>
    <row r="789" spans="1:7" x14ac:dyDescent="0.3">
      <c r="A789" t="s">
        <v>622</v>
      </c>
      <c r="B789" t="s">
        <v>639</v>
      </c>
      <c r="C789" t="s">
        <v>640</v>
      </c>
      <c r="D789">
        <v>2019</v>
      </c>
      <c r="E789" s="2">
        <v>75</v>
      </c>
      <c r="F789" s="2">
        <v>5625</v>
      </c>
      <c r="G789" s="2">
        <v>5906.25</v>
      </c>
    </row>
    <row r="790" spans="1:7" x14ac:dyDescent="0.3">
      <c r="A790" t="s">
        <v>622</v>
      </c>
      <c r="B790" t="s">
        <v>540</v>
      </c>
      <c r="C790" t="s">
        <v>541</v>
      </c>
      <c r="D790">
        <v>2019</v>
      </c>
      <c r="E790" s="2">
        <v>20</v>
      </c>
      <c r="F790" s="2">
        <v>1300</v>
      </c>
      <c r="G790" s="2">
        <v>1365</v>
      </c>
    </row>
    <row r="791" spans="1:7" x14ac:dyDescent="0.3">
      <c r="A791" t="s">
        <v>622</v>
      </c>
      <c r="B791" t="s">
        <v>348</v>
      </c>
      <c r="C791" t="s">
        <v>347</v>
      </c>
      <c r="D791">
        <v>2019</v>
      </c>
      <c r="E791" s="2">
        <v>25</v>
      </c>
      <c r="F791" s="2">
        <v>1750</v>
      </c>
      <c r="G791" s="2">
        <v>1837.5</v>
      </c>
    </row>
    <row r="792" spans="1:7" x14ac:dyDescent="0.3">
      <c r="A792" t="s">
        <v>622</v>
      </c>
      <c r="B792" t="s">
        <v>641</v>
      </c>
      <c r="C792" t="s">
        <v>289</v>
      </c>
      <c r="D792">
        <v>2019</v>
      </c>
      <c r="E792" s="2">
        <v>5</v>
      </c>
      <c r="F792" s="2">
        <v>550</v>
      </c>
      <c r="G792" s="2">
        <v>577.5</v>
      </c>
    </row>
    <row r="793" spans="1:7" x14ac:dyDescent="0.3">
      <c r="A793" t="s">
        <v>622</v>
      </c>
      <c r="B793" t="s">
        <v>35</v>
      </c>
      <c r="D793">
        <v>2019</v>
      </c>
      <c r="E793" s="2">
        <v>5</v>
      </c>
      <c r="F793" s="2">
        <v>550</v>
      </c>
      <c r="G793" s="2">
        <v>577.5</v>
      </c>
    </row>
    <row r="794" spans="1:7" x14ac:dyDescent="0.3">
      <c r="A794" t="s">
        <v>622</v>
      </c>
      <c r="B794" t="s">
        <v>642</v>
      </c>
      <c r="D794">
        <v>2019</v>
      </c>
      <c r="E794" s="2">
        <v>5</v>
      </c>
      <c r="F794" s="2">
        <v>550</v>
      </c>
      <c r="G794" s="2">
        <v>577.5</v>
      </c>
    </row>
    <row r="795" spans="1:7" x14ac:dyDescent="0.3">
      <c r="A795" t="s">
        <v>622</v>
      </c>
      <c r="B795" t="s">
        <v>643</v>
      </c>
      <c r="C795" t="s">
        <v>644</v>
      </c>
      <c r="D795">
        <v>2019</v>
      </c>
      <c r="E795" s="2">
        <v>10</v>
      </c>
      <c r="F795" s="2">
        <v>800</v>
      </c>
      <c r="G795" s="2">
        <v>840</v>
      </c>
    </row>
    <row r="796" spans="1:7" x14ac:dyDescent="0.3">
      <c r="A796" t="s">
        <v>622</v>
      </c>
      <c r="B796" t="s">
        <v>645</v>
      </c>
      <c r="C796" t="s">
        <v>646</v>
      </c>
      <c r="D796">
        <v>2019</v>
      </c>
      <c r="E796" s="2">
        <v>5</v>
      </c>
      <c r="F796" s="2">
        <v>425</v>
      </c>
      <c r="G796" s="2">
        <v>446.25</v>
      </c>
    </row>
    <row r="797" spans="1:7" x14ac:dyDescent="0.3">
      <c r="A797" t="s">
        <v>622</v>
      </c>
      <c r="B797" t="s">
        <v>647</v>
      </c>
      <c r="C797" t="s">
        <v>648</v>
      </c>
      <c r="D797">
        <v>2019</v>
      </c>
      <c r="E797" s="2">
        <v>10</v>
      </c>
      <c r="F797" s="2">
        <v>750</v>
      </c>
      <c r="G797" s="2">
        <v>787.5</v>
      </c>
    </row>
    <row r="798" spans="1:7" x14ac:dyDescent="0.3">
      <c r="A798" t="s">
        <v>622</v>
      </c>
      <c r="B798" t="s">
        <v>649</v>
      </c>
      <c r="C798" t="s">
        <v>650</v>
      </c>
      <c r="D798">
        <v>2019</v>
      </c>
      <c r="E798" s="2">
        <v>5</v>
      </c>
      <c r="F798" s="2">
        <v>400</v>
      </c>
      <c r="G798" s="2">
        <v>420</v>
      </c>
    </row>
    <row r="799" spans="1:7" x14ac:dyDescent="0.3">
      <c r="A799" t="s">
        <v>622</v>
      </c>
      <c r="B799" t="s">
        <v>542</v>
      </c>
      <c r="C799" t="s">
        <v>160</v>
      </c>
      <c r="D799">
        <v>2019</v>
      </c>
      <c r="E799" s="2">
        <v>5</v>
      </c>
      <c r="F799" s="2">
        <v>550</v>
      </c>
      <c r="G799" s="2">
        <v>577.5</v>
      </c>
    </row>
    <row r="800" spans="1:7" x14ac:dyDescent="0.3">
      <c r="A800" t="s">
        <v>622</v>
      </c>
      <c r="B800" t="s">
        <v>110</v>
      </c>
      <c r="C800" t="s">
        <v>111</v>
      </c>
      <c r="D800">
        <v>2019</v>
      </c>
      <c r="E800" s="2">
        <v>25</v>
      </c>
      <c r="F800" s="2">
        <v>1125</v>
      </c>
      <c r="G800" s="2">
        <v>1181.25</v>
      </c>
    </row>
    <row r="801" spans="1:7" x14ac:dyDescent="0.3">
      <c r="A801" t="s">
        <v>622</v>
      </c>
      <c r="B801" t="s">
        <v>651</v>
      </c>
      <c r="C801" t="s">
        <v>652</v>
      </c>
      <c r="D801">
        <v>2019</v>
      </c>
      <c r="E801" s="2">
        <v>25</v>
      </c>
      <c r="F801" s="2">
        <v>1750</v>
      </c>
      <c r="G801" s="2">
        <v>1837.5</v>
      </c>
    </row>
    <row r="802" spans="1:7" x14ac:dyDescent="0.3">
      <c r="A802" t="s">
        <v>622</v>
      </c>
      <c r="B802" t="s">
        <v>573</v>
      </c>
      <c r="C802" t="s">
        <v>574</v>
      </c>
      <c r="D802">
        <v>2019</v>
      </c>
      <c r="E802" s="2">
        <v>20</v>
      </c>
      <c r="F802" s="2">
        <v>1600</v>
      </c>
      <c r="G802" s="2">
        <v>1680</v>
      </c>
    </row>
    <row r="803" spans="1:7" x14ac:dyDescent="0.3">
      <c r="A803" t="s">
        <v>622</v>
      </c>
      <c r="B803" t="s">
        <v>653</v>
      </c>
      <c r="C803" t="s">
        <v>654</v>
      </c>
      <c r="D803">
        <v>2019</v>
      </c>
      <c r="E803" s="2">
        <v>30</v>
      </c>
      <c r="F803" s="2">
        <v>2140</v>
      </c>
      <c r="G803" s="2">
        <v>2247</v>
      </c>
    </row>
    <row r="804" spans="1:7" x14ac:dyDescent="0.3">
      <c r="A804" t="s">
        <v>622</v>
      </c>
      <c r="B804" t="s">
        <v>518</v>
      </c>
      <c r="C804" t="s">
        <v>519</v>
      </c>
      <c r="D804">
        <v>2019</v>
      </c>
      <c r="E804" s="2">
        <v>10</v>
      </c>
      <c r="F804" s="2">
        <v>700</v>
      </c>
      <c r="G804" s="2">
        <v>735</v>
      </c>
    </row>
    <row r="805" spans="1:7" x14ac:dyDescent="0.3">
      <c r="A805" t="s">
        <v>622</v>
      </c>
      <c r="B805" t="s">
        <v>36</v>
      </c>
      <c r="D805">
        <v>2019</v>
      </c>
      <c r="E805" s="2">
        <v>5</v>
      </c>
      <c r="F805" s="2">
        <v>425</v>
      </c>
      <c r="G805" s="2">
        <v>446.25</v>
      </c>
    </row>
    <row r="806" spans="1:7" x14ac:dyDescent="0.3">
      <c r="A806" t="s">
        <v>622</v>
      </c>
      <c r="B806" t="s">
        <v>655</v>
      </c>
      <c r="C806" t="s">
        <v>397</v>
      </c>
      <c r="D806">
        <v>2019</v>
      </c>
      <c r="E806" s="2">
        <v>35</v>
      </c>
      <c r="F806" s="2">
        <v>2750</v>
      </c>
      <c r="G806" s="2">
        <v>2887.5</v>
      </c>
    </row>
    <row r="807" spans="1:7" x14ac:dyDescent="0.3">
      <c r="A807" t="s">
        <v>622</v>
      </c>
      <c r="B807" t="s">
        <v>265</v>
      </c>
      <c r="C807" t="s">
        <v>197</v>
      </c>
      <c r="D807">
        <v>2019</v>
      </c>
      <c r="E807" s="2">
        <v>5</v>
      </c>
      <c r="F807" s="2">
        <v>550</v>
      </c>
      <c r="G807" s="2">
        <v>577.5</v>
      </c>
    </row>
    <row r="808" spans="1:7" x14ac:dyDescent="0.3">
      <c r="A808" t="s">
        <v>622</v>
      </c>
      <c r="B808" t="s">
        <v>656</v>
      </c>
      <c r="C808" t="s">
        <v>71</v>
      </c>
      <c r="D808">
        <v>2019</v>
      </c>
      <c r="E808" s="2">
        <v>5</v>
      </c>
      <c r="F808" s="2">
        <v>550</v>
      </c>
      <c r="G808" s="2">
        <v>577.5</v>
      </c>
    </row>
    <row r="809" spans="1:7" x14ac:dyDescent="0.3">
      <c r="A809" t="s">
        <v>622</v>
      </c>
      <c r="B809" t="s">
        <v>483</v>
      </c>
      <c r="C809" t="s">
        <v>484</v>
      </c>
      <c r="D809">
        <v>2019</v>
      </c>
      <c r="E809" s="2">
        <v>25</v>
      </c>
      <c r="F809" s="2">
        <v>1625</v>
      </c>
      <c r="G809" s="2">
        <v>1706.25</v>
      </c>
    </row>
    <row r="810" spans="1:7" x14ac:dyDescent="0.3">
      <c r="A810" t="s">
        <v>622</v>
      </c>
      <c r="B810" t="s">
        <v>657</v>
      </c>
      <c r="C810" t="s">
        <v>658</v>
      </c>
      <c r="D810">
        <v>2019</v>
      </c>
      <c r="E810" s="2">
        <v>25</v>
      </c>
      <c r="F810" s="2">
        <v>1750</v>
      </c>
      <c r="G810" s="2">
        <v>1837.5</v>
      </c>
    </row>
    <row r="811" spans="1:7" x14ac:dyDescent="0.3">
      <c r="A811" t="s">
        <v>622</v>
      </c>
      <c r="B811" t="s">
        <v>37</v>
      </c>
      <c r="D811">
        <v>2019</v>
      </c>
      <c r="E811" s="2">
        <v>10</v>
      </c>
      <c r="F811" s="2">
        <v>700</v>
      </c>
      <c r="G811" s="2">
        <v>735</v>
      </c>
    </row>
    <row r="812" spans="1:7" x14ac:dyDescent="0.3">
      <c r="A812" t="s">
        <v>622</v>
      </c>
      <c r="B812" t="s">
        <v>267</v>
      </c>
      <c r="C812" t="s">
        <v>150</v>
      </c>
      <c r="D812">
        <v>2019</v>
      </c>
      <c r="E812" s="2">
        <v>30</v>
      </c>
      <c r="F812" s="2">
        <v>6600</v>
      </c>
      <c r="G812" s="2">
        <v>6930</v>
      </c>
    </row>
    <row r="813" spans="1:7" x14ac:dyDescent="0.3">
      <c r="A813" t="s">
        <v>622</v>
      </c>
      <c r="B813" t="s">
        <v>203</v>
      </c>
      <c r="C813" t="s">
        <v>204</v>
      </c>
      <c r="D813">
        <v>2019</v>
      </c>
      <c r="E813" s="2">
        <v>10</v>
      </c>
      <c r="F813" s="2">
        <v>850</v>
      </c>
      <c r="G813" s="2">
        <v>892.5</v>
      </c>
    </row>
    <row r="814" spans="1:7" x14ac:dyDescent="0.3">
      <c r="A814" t="s">
        <v>622</v>
      </c>
      <c r="B814" t="s">
        <v>12</v>
      </c>
      <c r="C814" t="s">
        <v>13</v>
      </c>
      <c r="D814">
        <v>2019</v>
      </c>
      <c r="E814" s="2">
        <v>10</v>
      </c>
      <c r="F814" s="2">
        <v>750</v>
      </c>
      <c r="G814" s="2">
        <v>787.5</v>
      </c>
    </row>
    <row r="815" spans="1:7" x14ac:dyDescent="0.3">
      <c r="A815" t="s">
        <v>622</v>
      </c>
      <c r="B815" t="s">
        <v>12</v>
      </c>
      <c r="C815" t="s">
        <v>13</v>
      </c>
      <c r="D815">
        <v>2020</v>
      </c>
      <c r="E815" s="2">
        <v>50</v>
      </c>
      <c r="F815" s="2">
        <v>3750</v>
      </c>
      <c r="G815" s="2">
        <v>3937.5</v>
      </c>
    </row>
    <row r="816" spans="1:7" x14ac:dyDescent="0.3">
      <c r="A816" t="s">
        <v>659</v>
      </c>
      <c r="B816" t="s">
        <v>610</v>
      </c>
      <c r="C816" t="s">
        <v>611</v>
      </c>
      <c r="D816">
        <v>2019</v>
      </c>
      <c r="E816" s="2">
        <v>25</v>
      </c>
      <c r="F816" s="2">
        <v>2250</v>
      </c>
      <c r="G816" s="2">
        <v>2250</v>
      </c>
    </row>
    <row r="817" spans="1:7" x14ac:dyDescent="0.3">
      <c r="A817" t="s">
        <v>659</v>
      </c>
      <c r="B817" t="s">
        <v>660</v>
      </c>
      <c r="C817" t="s">
        <v>661</v>
      </c>
      <c r="D817">
        <v>2020</v>
      </c>
      <c r="E817" s="2">
        <v>25</v>
      </c>
      <c r="F817" s="2">
        <v>2000</v>
      </c>
      <c r="G817" s="2">
        <v>2000</v>
      </c>
    </row>
    <row r="818" spans="1:7" x14ac:dyDescent="0.3">
      <c r="A818" t="s">
        <v>659</v>
      </c>
      <c r="B818" t="s">
        <v>662</v>
      </c>
      <c r="C818" t="s">
        <v>525</v>
      </c>
      <c r="D818">
        <v>2019</v>
      </c>
      <c r="E818" s="2">
        <v>25</v>
      </c>
      <c r="F818" s="2">
        <v>2375</v>
      </c>
      <c r="G818" s="2">
        <v>2375</v>
      </c>
    </row>
    <row r="819" spans="1:7" x14ac:dyDescent="0.3">
      <c r="A819" t="s">
        <v>659</v>
      </c>
      <c r="B819" t="s">
        <v>663</v>
      </c>
      <c r="C819" t="s">
        <v>664</v>
      </c>
      <c r="D819">
        <v>2020</v>
      </c>
      <c r="E819" s="2">
        <v>50</v>
      </c>
      <c r="F819" s="2">
        <v>4375</v>
      </c>
      <c r="G819" s="2">
        <v>4375</v>
      </c>
    </row>
    <row r="820" spans="1:7" x14ac:dyDescent="0.3">
      <c r="A820" t="s">
        <v>659</v>
      </c>
      <c r="B820" t="s">
        <v>665</v>
      </c>
      <c r="D820">
        <v>2019</v>
      </c>
      <c r="E820" s="2">
        <v>10</v>
      </c>
      <c r="F820" s="2">
        <v>1300</v>
      </c>
      <c r="G820" s="2">
        <v>1300</v>
      </c>
    </row>
    <row r="821" spans="1:7" x14ac:dyDescent="0.3">
      <c r="A821" t="s">
        <v>659</v>
      </c>
      <c r="B821" t="s">
        <v>34</v>
      </c>
      <c r="D821">
        <v>2019</v>
      </c>
      <c r="E821" s="2">
        <v>15</v>
      </c>
      <c r="F821" s="2">
        <v>1425</v>
      </c>
      <c r="G821" s="2">
        <v>1425</v>
      </c>
    </row>
    <row r="822" spans="1:7" x14ac:dyDescent="0.3">
      <c r="A822" t="s">
        <v>659</v>
      </c>
      <c r="B822" t="s">
        <v>453</v>
      </c>
      <c r="D822">
        <v>2019</v>
      </c>
      <c r="E822" s="2">
        <v>10</v>
      </c>
      <c r="F822" s="2">
        <v>950</v>
      </c>
      <c r="G822" s="2">
        <v>950</v>
      </c>
    </row>
    <row r="823" spans="1:7" x14ac:dyDescent="0.3">
      <c r="A823" t="s">
        <v>659</v>
      </c>
      <c r="B823" t="s">
        <v>506</v>
      </c>
      <c r="C823" t="s">
        <v>507</v>
      </c>
      <c r="D823">
        <v>2020</v>
      </c>
      <c r="E823" s="2">
        <v>25</v>
      </c>
      <c r="F823" s="2">
        <v>2100</v>
      </c>
      <c r="G823" s="2">
        <v>2100</v>
      </c>
    </row>
    <row r="824" spans="1:7" x14ac:dyDescent="0.3">
      <c r="A824" t="s">
        <v>659</v>
      </c>
      <c r="B824" t="s">
        <v>635</v>
      </c>
      <c r="C824" t="s">
        <v>636</v>
      </c>
      <c r="D824">
        <v>2020</v>
      </c>
      <c r="E824" s="2">
        <v>25</v>
      </c>
      <c r="F824" s="2">
        <v>2125</v>
      </c>
      <c r="G824" s="2">
        <v>2125</v>
      </c>
    </row>
    <row r="825" spans="1:7" x14ac:dyDescent="0.3">
      <c r="A825" t="s">
        <v>659</v>
      </c>
      <c r="B825" t="s">
        <v>35</v>
      </c>
      <c r="D825">
        <v>2019</v>
      </c>
      <c r="E825" s="2">
        <v>14</v>
      </c>
      <c r="F825" s="2">
        <v>1540</v>
      </c>
      <c r="G825" s="2">
        <v>1540</v>
      </c>
    </row>
    <row r="826" spans="1:7" x14ac:dyDescent="0.3">
      <c r="A826" t="s">
        <v>659</v>
      </c>
      <c r="B826" t="s">
        <v>642</v>
      </c>
      <c r="D826">
        <v>2019</v>
      </c>
      <c r="E826" s="2">
        <v>15</v>
      </c>
      <c r="F826" s="2">
        <v>1800</v>
      </c>
      <c r="G826" s="2">
        <v>1800</v>
      </c>
    </row>
    <row r="827" spans="1:7" x14ac:dyDescent="0.3">
      <c r="A827" t="s">
        <v>659</v>
      </c>
      <c r="B827" t="s">
        <v>666</v>
      </c>
      <c r="C827" t="s">
        <v>667</v>
      </c>
      <c r="D827">
        <v>2019</v>
      </c>
      <c r="E827" s="2">
        <v>25</v>
      </c>
      <c r="F827" s="2">
        <v>1500</v>
      </c>
      <c r="G827" s="2">
        <v>1500</v>
      </c>
    </row>
    <row r="828" spans="1:7" x14ac:dyDescent="0.3">
      <c r="A828" t="s">
        <v>659</v>
      </c>
      <c r="B828" t="s">
        <v>26</v>
      </c>
      <c r="C828" t="s">
        <v>27</v>
      </c>
      <c r="D828">
        <v>2019</v>
      </c>
      <c r="E828" s="2">
        <v>25</v>
      </c>
      <c r="F828" s="2">
        <v>1875</v>
      </c>
      <c r="G828" s="2">
        <v>1875</v>
      </c>
    </row>
    <row r="829" spans="1:7" x14ac:dyDescent="0.3">
      <c r="A829" t="s">
        <v>659</v>
      </c>
      <c r="B829" t="s">
        <v>184</v>
      </c>
      <c r="C829" t="s">
        <v>185</v>
      </c>
      <c r="D829">
        <v>2019</v>
      </c>
      <c r="E829" s="2">
        <v>50</v>
      </c>
      <c r="F829" s="2">
        <v>3500</v>
      </c>
      <c r="G829" s="2">
        <v>3500</v>
      </c>
    </row>
    <row r="830" spans="1:7" x14ac:dyDescent="0.3">
      <c r="A830" t="s">
        <v>659</v>
      </c>
      <c r="B830" t="s">
        <v>668</v>
      </c>
      <c r="C830" t="s">
        <v>669</v>
      </c>
      <c r="D830">
        <v>2019</v>
      </c>
      <c r="E830" s="2">
        <v>25</v>
      </c>
      <c r="F830" s="2">
        <v>2000</v>
      </c>
      <c r="G830" s="2">
        <v>2000</v>
      </c>
    </row>
    <row r="831" spans="1:7" x14ac:dyDescent="0.3">
      <c r="A831" t="s">
        <v>659</v>
      </c>
      <c r="B831" t="s">
        <v>19</v>
      </c>
      <c r="C831" t="s">
        <v>670</v>
      </c>
      <c r="D831">
        <v>2020</v>
      </c>
      <c r="E831" s="2">
        <v>50</v>
      </c>
      <c r="F831" s="2">
        <v>4000</v>
      </c>
      <c r="G831" s="2">
        <v>4000</v>
      </c>
    </row>
    <row r="832" spans="1:7" x14ac:dyDescent="0.3">
      <c r="A832" t="s">
        <v>659</v>
      </c>
      <c r="B832" t="s">
        <v>269</v>
      </c>
      <c r="C832" t="s">
        <v>270</v>
      </c>
      <c r="D832">
        <v>2019</v>
      </c>
      <c r="E832" s="2">
        <v>25</v>
      </c>
      <c r="F832" s="2">
        <v>2000</v>
      </c>
      <c r="G832" s="2">
        <v>2000</v>
      </c>
    </row>
    <row r="833" spans="1:7" x14ac:dyDescent="0.3">
      <c r="A833" t="s">
        <v>659</v>
      </c>
      <c r="B833" t="s">
        <v>269</v>
      </c>
      <c r="C833" t="s">
        <v>270</v>
      </c>
      <c r="D833">
        <v>2020</v>
      </c>
      <c r="E833" s="2">
        <v>50</v>
      </c>
      <c r="F833" s="2">
        <v>3950</v>
      </c>
      <c r="G833" s="2">
        <v>3950</v>
      </c>
    </row>
    <row r="834" spans="1:7" x14ac:dyDescent="0.3">
      <c r="A834" t="s">
        <v>659</v>
      </c>
      <c r="B834" t="s">
        <v>671</v>
      </c>
      <c r="C834" t="s">
        <v>672</v>
      </c>
      <c r="D834">
        <v>2019</v>
      </c>
      <c r="E834" s="2">
        <v>50</v>
      </c>
      <c r="F834" s="2">
        <v>4250</v>
      </c>
      <c r="G834" s="2">
        <v>4250</v>
      </c>
    </row>
    <row r="835" spans="1:7" x14ac:dyDescent="0.3">
      <c r="A835" t="s">
        <v>659</v>
      </c>
      <c r="B835" t="s">
        <v>671</v>
      </c>
      <c r="C835" t="s">
        <v>672</v>
      </c>
      <c r="D835">
        <v>2020</v>
      </c>
      <c r="E835" s="2">
        <v>25</v>
      </c>
      <c r="F835" s="2">
        <v>1750</v>
      </c>
      <c r="G835" s="2">
        <v>1750</v>
      </c>
    </row>
    <row r="836" spans="1:7" x14ac:dyDescent="0.3">
      <c r="A836" t="s">
        <v>659</v>
      </c>
      <c r="B836" t="s">
        <v>64</v>
      </c>
      <c r="C836" t="s">
        <v>65</v>
      </c>
      <c r="D836">
        <v>2019</v>
      </c>
      <c r="E836" s="2">
        <v>50</v>
      </c>
      <c r="F836" s="2">
        <v>4750</v>
      </c>
      <c r="G836" s="2">
        <v>4750</v>
      </c>
    </row>
    <row r="837" spans="1:7" x14ac:dyDescent="0.3">
      <c r="A837" t="s">
        <v>659</v>
      </c>
      <c r="B837" t="s">
        <v>187</v>
      </c>
      <c r="C837" t="s">
        <v>188</v>
      </c>
      <c r="D837">
        <v>2019</v>
      </c>
      <c r="E837" s="2">
        <v>50</v>
      </c>
      <c r="F837" s="2">
        <v>4500</v>
      </c>
      <c r="G837" s="2">
        <v>4500</v>
      </c>
    </row>
    <row r="838" spans="1:7" x14ac:dyDescent="0.3">
      <c r="A838" t="s">
        <v>659</v>
      </c>
      <c r="B838" t="s">
        <v>404</v>
      </c>
      <c r="C838" t="s">
        <v>405</v>
      </c>
      <c r="D838">
        <v>2019</v>
      </c>
      <c r="E838" s="2">
        <v>25</v>
      </c>
      <c r="F838" s="2">
        <v>2500</v>
      </c>
      <c r="G838" s="2">
        <v>2500</v>
      </c>
    </row>
    <row r="839" spans="1:7" x14ac:dyDescent="0.3">
      <c r="A839" t="s">
        <v>659</v>
      </c>
      <c r="B839" t="s">
        <v>575</v>
      </c>
      <c r="C839" t="s">
        <v>673</v>
      </c>
      <c r="D839">
        <v>2019</v>
      </c>
      <c r="E839" s="2">
        <v>25</v>
      </c>
      <c r="F839" s="2">
        <v>2250</v>
      </c>
      <c r="G839" s="2">
        <v>2250</v>
      </c>
    </row>
    <row r="840" spans="1:7" x14ac:dyDescent="0.3">
      <c r="A840" t="s">
        <v>659</v>
      </c>
      <c r="B840" t="s">
        <v>575</v>
      </c>
      <c r="C840" t="s">
        <v>673</v>
      </c>
      <c r="D840">
        <v>2020</v>
      </c>
      <c r="E840" s="2">
        <v>25</v>
      </c>
      <c r="F840" s="2">
        <v>1875</v>
      </c>
      <c r="G840" s="2">
        <v>1875</v>
      </c>
    </row>
    <row r="841" spans="1:7" x14ac:dyDescent="0.3">
      <c r="A841" t="s">
        <v>659</v>
      </c>
      <c r="B841" t="s">
        <v>36</v>
      </c>
      <c r="D841">
        <v>2019</v>
      </c>
      <c r="E841" s="2">
        <v>10</v>
      </c>
      <c r="F841" s="2">
        <v>1000</v>
      </c>
      <c r="G841" s="2">
        <v>1000</v>
      </c>
    </row>
    <row r="842" spans="1:7" x14ac:dyDescent="0.3">
      <c r="A842" t="s">
        <v>659</v>
      </c>
      <c r="B842" t="s">
        <v>334</v>
      </c>
      <c r="C842" t="s">
        <v>335</v>
      </c>
      <c r="D842">
        <v>2019</v>
      </c>
      <c r="E842" s="2">
        <v>25</v>
      </c>
      <c r="F842" s="2">
        <v>2250</v>
      </c>
      <c r="G842" s="2">
        <v>2250</v>
      </c>
    </row>
    <row r="843" spans="1:7" x14ac:dyDescent="0.3">
      <c r="A843" t="s">
        <v>659</v>
      </c>
      <c r="B843" t="s">
        <v>674</v>
      </c>
      <c r="C843" t="s">
        <v>675</v>
      </c>
      <c r="D843">
        <v>2020</v>
      </c>
      <c r="E843" s="2">
        <v>25</v>
      </c>
      <c r="F843" s="2">
        <v>1550</v>
      </c>
      <c r="G843" s="2">
        <v>1550</v>
      </c>
    </row>
    <row r="844" spans="1:7" x14ac:dyDescent="0.3">
      <c r="A844" t="s">
        <v>659</v>
      </c>
      <c r="B844" t="s">
        <v>483</v>
      </c>
      <c r="C844" t="s">
        <v>484</v>
      </c>
      <c r="D844">
        <v>2019</v>
      </c>
      <c r="E844" s="2">
        <v>25</v>
      </c>
      <c r="F844" s="2">
        <v>1750</v>
      </c>
      <c r="G844" s="2">
        <v>1750</v>
      </c>
    </row>
    <row r="845" spans="1:7" x14ac:dyDescent="0.3">
      <c r="A845" t="s">
        <v>659</v>
      </c>
      <c r="B845" t="s">
        <v>676</v>
      </c>
      <c r="D845">
        <v>2019</v>
      </c>
      <c r="E845" s="2">
        <v>7</v>
      </c>
      <c r="F845" s="2">
        <v>630</v>
      </c>
      <c r="G845" s="2">
        <v>630</v>
      </c>
    </row>
    <row r="846" spans="1:7" x14ac:dyDescent="0.3">
      <c r="A846" t="s">
        <v>659</v>
      </c>
      <c r="B846" t="s">
        <v>320</v>
      </c>
      <c r="C846" t="s">
        <v>414</v>
      </c>
      <c r="D846">
        <v>2019</v>
      </c>
      <c r="E846" s="2">
        <v>25</v>
      </c>
      <c r="F846" s="2">
        <v>5125</v>
      </c>
      <c r="G846" s="2">
        <v>5125</v>
      </c>
    </row>
    <row r="847" spans="1:7" x14ac:dyDescent="0.3">
      <c r="A847" t="s">
        <v>659</v>
      </c>
      <c r="B847" t="s">
        <v>37</v>
      </c>
      <c r="D847">
        <v>2019</v>
      </c>
      <c r="E847" s="2">
        <v>20</v>
      </c>
      <c r="F847" s="2">
        <v>1900</v>
      </c>
      <c r="G847" s="2">
        <v>1900</v>
      </c>
    </row>
    <row r="848" spans="1:7" x14ac:dyDescent="0.3">
      <c r="A848" t="s">
        <v>659</v>
      </c>
      <c r="B848" t="s">
        <v>677</v>
      </c>
      <c r="C848" t="s">
        <v>678</v>
      </c>
      <c r="D848">
        <v>2019</v>
      </c>
      <c r="E848" s="2">
        <v>25</v>
      </c>
      <c r="F848" s="2">
        <v>4625</v>
      </c>
      <c r="G848" s="2">
        <v>4625</v>
      </c>
    </row>
    <row r="849" spans="1:8" x14ac:dyDescent="0.3">
      <c r="A849" t="s">
        <v>659</v>
      </c>
      <c r="B849" t="s">
        <v>679</v>
      </c>
      <c r="C849" t="s">
        <v>680</v>
      </c>
      <c r="D849">
        <v>2020</v>
      </c>
      <c r="E849" s="2">
        <v>25</v>
      </c>
      <c r="F849" s="2">
        <v>2500</v>
      </c>
      <c r="G849" s="2">
        <v>2500</v>
      </c>
    </row>
    <row r="850" spans="1:8" x14ac:dyDescent="0.3">
      <c r="A850" t="s">
        <v>659</v>
      </c>
      <c r="B850" t="s">
        <v>681</v>
      </c>
      <c r="C850" t="s">
        <v>682</v>
      </c>
      <c r="D850">
        <v>2019</v>
      </c>
      <c r="E850" s="2">
        <v>25</v>
      </c>
      <c r="F850" s="2">
        <v>2000</v>
      </c>
      <c r="G850" s="2">
        <v>2000</v>
      </c>
    </row>
    <row r="851" spans="1:8" x14ac:dyDescent="0.3">
      <c r="A851" t="s">
        <v>659</v>
      </c>
      <c r="B851" t="s">
        <v>681</v>
      </c>
      <c r="C851" t="s">
        <v>682</v>
      </c>
      <c r="D851">
        <v>2020</v>
      </c>
      <c r="E851" s="2">
        <v>50</v>
      </c>
      <c r="F851" s="2">
        <v>3875</v>
      </c>
      <c r="G851" s="2">
        <v>3875</v>
      </c>
    </row>
    <row r="852" spans="1:8" x14ac:dyDescent="0.3">
      <c r="A852" t="s">
        <v>683</v>
      </c>
      <c r="B852" t="s">
        <v>417</v>
      </c>
      <c r="C852" t="s">
        <v>315</v>
      </c>
      <c r="D852">
        <v>2013</v>
      </c>
      <c r="E852" s="2">
        <v>25</v>
      </c>
      <c r="F852" s="2">
        <v>925</v>
      </c>
      <c r="G852" s="2"/>
    </row>
    <row r="853" spans="1:8" x14ac:dyDescent="0.3">
      <c r="A853" t="s">
        <v>683</v>
      </c>
      <c r="B853" t="s">
        <v>684</v>
      </c>
      <c r="D853">
        <v>2010</v>
      </c>
      <c r="E853" s="2">
        <v>35</v>
      </c>
      <c r="F853" s="2">
        <v>735</v>
      </c>
      <c r="G853" s="2"/>
    </row>
    <row r="854" spans="1:8" x14ac:dyDescent="0.3">
      <c r="A854" t="s">
        <v>685</v>
      </c>
      <c r="B854" t="s">
        <v>665</v>
      </c>
      <c r="D854">
        <v>2019</v>
      </c>
      <c r="E854" s="2">
        <v>1</v>
      </c>
      <c r="F854" s="2">
        <v>110</v>
      </c>
      <c r="G854" s="2">
        <v>115.5</v>
      </c>
      <c r="H854" s="3" t="s">
        <v>18</v>
      </c>
    </row>
    <row r="855" spans="1:8" x14ac:dyDescent="0.3">
      <c r="A855" t="s">
        <v>685</v>
      </c>
      <c r="B855" t="s">
        <v>665</v>
      </c>
      <c r="D855">
        <v>2020</v>
      </c>
      <c r="E855" s="2">
        <v>5</v>
      </c>
      <c r="F855" s="2">
        <v>475</v>
      </c>
      <c r="G855" s="2">
        <v>498.75</v>
      </c>
      <c r="H855" s="3" t="s">
        <v>18</v>
      </c>
    </row>
    <row r="856" spans="1:8" x14ac:dyDescent="0.3">
      <c r="A856" t="s">
        <v>685</v>
      </c>
      <c r="B856" t="s">
        <v>665</v>
      </c>
      <c r="D856">
        <v>2021</v>
      </c>
      <c r="E856" s="2">
        <v>20</v>
      </c>
      <c r="F856" s="2">
        <v>1900</v>
      </c>
      <c r="G856" s="2">
        <v>1995</v>
      </c>
      <c r="H856" s="3" t="s">
        <v>18</v>
      </c>
    </row>
    <row r="857" spans="1:8" x14ac:dyDescent="0.3">
      <c r="A857" t="s">
        <v>685</v>
      </c>
      <c r="B857" t="s">
        <v>34</v>
      </c>
      <c r="D857">
        <v>2019</v>
      </c>
      <c r="E857" s="2">
        <v>1</v>
      </c>
      <c r="F857" s="2">
        <v>90</v>
      </c>
      <c r="G857" s="2">
        <v>94.5</v>
      </c>
    </row>
    <row r="858" spans="1:8" x14ac:dyDescent="0.3">
      <c r="A858" t="s">
        <v>685</v>
      </c>
      <c r="B858" t="s">
        <v>34</v>
      </c>
      <c r="D858">
        <v>2020</v>
      </c>
      <c r="E858" s="2">
        <v>6</v>
      </c>
      <c r="F858" s="2">
        <v>480</v>
      </c>
      <c r="G858" s="2">
        <v>504</v>
      </c>
    </row>
    <row r="859" spans="1:8" x14ac:dyDescent="0.3">
      <c r="A859" t="s">
        <v>685</v>
      </c>
      <c r="B859" t="s">
        <v>453</v>
      </c>
      <c r="D859">
        <v>2019</v>
      </c>
      <c r="E859" s="2">
        <v>1</v>
      </c>
      <c r="F859" s="2">
        <v>90</v>
      </c>
      <c r="G859" s="2">
        <v>94.5</v>
      </c>
      <c r="H859" s="3" t="s">
        <v>18</v>
      </c>
    </row>
    <row r="860" spans="1:8" x14ac:dyDescent="0.3">
      <c r="A860" t="s">
        <v>685</v>
      </c>
      <c r="B860" t="s">
        <v>453</v>
      </c>
      <c r="D860">
        <v>2020</v>
      </c>
      <c r="E860" s="2">
        <v>5</v>
      </c>
      <c r="F860" s="2">
        <v>400</v>
      </c>
      <c r="G860" s="2">
        <v>420</v>
      </c>
      <c r="H860" s="3" t="s">
        <v>18</v>
      </c>
    </row>
    <row r="861" spans="1:8" x14ac:dyDescent="0.3">
      <c r="A861" t="s">
        <v>685</v>
      </c>
      <c r="B861" t="s">
        <v>453</v>
      </c>
      <c r="D861">
        <v>2021</v>
      </c>
      <c r="E861" s="2">
        <v>20</v>
      </c>
      <c r="F861" s="2">
        <v>1600</v>
      </c>
      <c r="G861" s="2">
        <v>1680</v>
      </c>
      <c r="H861" s="3" t="s">
        <v>18</v>
      </c>
    </row>
    <row r="862" spans="1:8" x14ac:dyDescent="0.3">
      <c r="A862" t="s">
        <v>685</v>
      </c>
      <c r="B862" t="s">
        <v>461</v>
      </c>
      <c r="D862">
        <v>2019</v>
      </c>
      <c r="E862" s="2">
        <v>1</v>
      </c>
      <c r="F862" s="2">
        <v>80</v>
      </c>
      <c r="G862" s="2">
        <v>84</v>
      </c>
    </row>
    <row r="863" spans="1:8" x14ac:dyDescent="0.3">
      <c r="A863" t="s">
        <v>685</v>
      </c>
      <c r="B863" t="s">
        <v>461</v>
      </c>
      <c r="D863">
        <v>2020</v>
      </c>
      <c r="E863" s="2">
        <v>5</v>
      </c>
      <c r="F863" s="2">
        <v>375</v>
      </c>
      <c r="G863" s="2">
        <v>393.75</v>
      </c>
    </row>
    <row r="864" spans="1:8" x14ac:dyDescent="0.3">
      <c r="A864" t="s">
        <v>685</v>
      </c>
      <c r="B864" t="s">
        <v>35</v>
      </c>
      <c r="D864">
        <v>2019</v>
      </c>
      <c r="E864" s="2">
        <v>1</v>
      </c>
      <c r="F864" s="2">
        <v>100</v>
      </c>
      <c r="G864" s="2">
        <v>105</v>
      </c>
      <c r="H864" s="3" t="s">
        <v>18</v>
      </c>
    </row>
    <row r="865" spans="1:8" x14ac:dyDescent="0.3">
      <c r="A865" t="s">
        <v>685</v>
      </c>
      <c r="B865" t="s">
        <v>35</v>
      </c>
      <c r="D865">
        <v>2020</v>
      </c>
      <c r="E865" s="2">
        <v>20</v>
      </c>
      <c r="F865" s="2">
        <v>1900</v>
      </c>
      <c r="G865" s="2">
        <v>1995</v>
      </c>
      <c r="H865" s="3" t="s">
        <v>18</v>
      </c>
    </row>
    <row r="866" spans="1:8" x14ac:dyDescent="0.3">
      <c r="A866" t="s">
        <v>685</v>
      </c>
      <c r="B866" t="s">
        <v>35</v>
      </c>
      <c r="D866">
        <v>2021</v>
      </c>
      <c r="E866" s="2">
        <v>20</v>
      </c>
      <c r="F866" s="2">
        <v>1900</v>
      </c>
      <c r="G866" s="2">
        <v>1995</v>
      </c>
      <c r="H866" s="3" t="s">
        <v>18</v>
      </c>
    </row>
    <row r="867" spans="1:8" x14ac:dyDescent="0.3">
      <c r="A867" t="s">
        <v>685</v>
      </c>
      <c r="B867" t="s">
        <v>642</v>
      </c>
      <c r="D867">
        <v>2019</v>
      </c>
      <c r="E867" s="2">
        <v>1</v>
      </c>
      <c r="F867" s="2">
        <v>100</v>
      </c>
      <c r="G867" s="2">
        <v>105</v>
      </c>
    </row>
    <row r="868" spans="1:8" x14ac:dyDescent="0.3">
      <c r="A868" t="s">
        <v>685</v>
      </c>
      <c r="B868" t="s">
        <v>686</v>
      </c>
      <c r="C868" t="s">
        <v>687</v>
      </c>
      <c r="D868">
        <v>2021</v>
      </c>
      <c r="E868" s="2">
        <v>5</v>
      </c>
      <c r="F868" s="2">
        <v>486.75</v>
      </c>
      <c r="G868" s="2">
        <v>511.08749999999998</v>
      </c>
      <c r="H868" s="3" t="s">
        <v>688</v>
      </c>
    </row>
    <row r="869" spans="1:8" x14ac:dyDescent="0.3">
      <c r="A869" t="s">
        <v>685</v>
      </c>
      <c r="B869" t="s">
        <v>19</v>
      </c>
      <c r="C869" t="s">
        <v>20</v>
      </c>
      <c r="D869">
        <v>2019</v>
      </c>
      <c r="E869" s="2">
        <v>25</v>
      </c>
      <c r="F869" s="2">
        <v>1125</v>
      </c>
      <c r="G869" s="2">
        <v>1181.25</v>
      </c>
      <c r="H869" s="3" t="s">
        <v>689</v>
      </c>
    </row>
    <row r="870" spans="1:8" x14ac:dyDescent="0.3">
      <c r="A870" t="s">
        <v>685</v>
      </c>
      <c r="B870" t="s">
        <v>19</v>
      </c>
      <c r="C870" t="s">
        <v>20</v>
      </c>
      <c r="D870">
        <v>2020</v>
      </c>
      <c r="E870" s="2">
        <v>200</v>
      </c>
      <c r="F870" s="2">
        <v>8000</v>
      </c>
      <c r="G870" s="2">
        <v>8400</v>
      </c>
      <c r="H870" s="3" t="s">
        <v>689</v>
      </c>
    </row>
    <row r="871" spans="1:8" x14ac:dyDescent="0.3">
      <c r="A871" t="s">
        <v>685</v>
      </c>
      <c r="B871" t="s">
        <v>19</v>
      </c>
      <c r="C871" t="s">
        <v>20</v>
      </c>
      <c r="D871">
        <v>2021</v>
      </c>
      <c r="E871" s="2">
        <v>200</v>
      </c>
      <c r="F871" s="2">
        <v>8000</v>
      </c>
      <c r="G871" s="2">
        <v>8400</v>
      </c>
      <c r="H871" s="3" t="s">
        <v>689</v>
      </c>
    </row>
    <row r="872" spans="1:8" x14ac:dyDescent="0.3">
      <c r="A872" t="s">
        <v>685</v>
      </c>
      <c r="B872" t="s">
        <v>110</v>
      </c>
      <c r="C872" t="s">
        <v>111</v>
      </c>
      <c r="D872">
        <v>2021</v>
      </c>
      <c r="E872" s="2">
        <v>25</v>
      </c>
      <c r="F872" s="2">
        <v>505</v>
      </c>
      <c r="G872" s="2">
        <v>530.25</v>
      </c>
      <c r="H872" s="3" t="s">
        <v>688</v>
      </c>
    </row>
    <row r="873" spans="1:8" x14ac:dyDescent="0.3">
      <c r="A873" t="s">
        <v>685</v>
      </c>
      <c r="B873" t="s">
        <v>36</v>
      </c>
      <c r="D873">
        <v>2019</v>
      </c>
      <c r="E873" s="2">
        <v>4</v>
      </c>
      <c r="F873" s="2">
        <v>95</v>
      </c>
      <c r="G873" s="2">
        <v>99.75</v>
      </c>
      <c r="H873" s="3" t="s">
        <v>18</v>
      </c>
    </row>
    <row r="874" spans="1:8" x14ac:dyDescent="0.3">
      <c r="A874" t="s">
        <v>685</v>
      </c>
      <c r="B874" t="s">
        <v>36</v>
      </c>
      <c r="D874">
        <v>2020</v>
      </c>
      <c r="E874" s="2">
        <v>20</v>
      </c>
      <c r="F874" s="2">
        <v>1800</v>
      </c>
      <c r="G874" s="2">
        <v>1890</v>
      </c>
      <c r="H874" s="3" t="s">
        <v>18</v>
      </c>
    </row>
    <row r="875" spans="1:8" x14ac:dyDescent="0.3">
      <c r="A875" t="s">
        <v>685</v>
      </c>
      <c r="B875" t="s">
        <v>36</v>
      </c>
      <c r="D875">
        <v>2021</v>
      </c>
      <c r="E875" s="2">
        <v>20</v>
      </c>
      <c r="F875" s="2">
        <v>1800</v>
      </c>
      <c r="G875" s="2">
        <v>1890</v>
      </c>
      <c r="H875" s="3" t="s">
        <v>18</v>
      </c>
    </row>
    <row r="876" spans="1:8" x14ac:dyDescent="0.3">
      <c r="A876" t="s">
        <v>685</v>
      </c>
      <c r="B876" t="s">
        <v>483</v>
      </c>
      <c r="C876" t="s">
        <v>484</v>
      </c>
      <c r="D876">
        <v>2021</v>
      </c>
      <c r="E876" s="2">
        <v>25</v>
      </c>
      <c r="F876" s="2">
        <v>532.75</v>
      </c>
      <c r="G876" s="2">
        <v>559.38750000000005</v>
      </c>
      <c r="H876" s="3" t="s">
        <v>688</v>
      </c>
    </row>
    <row r="877" spans="1:8" x14ac:dyDescent="0.3">
      <c r="A877" t="s">
        <v>685</v>
      </c>
      <c r="B877" t="s">
        <v>676</v>
      </c>
      <c r="D877">
        <v>2019</v>
      </c>
      <c r="E877" s="2">
        <v>1</v>
      </c>
      <c r="F877" s="2">
        <v>90</v>
      </c>
      <c r="G877" s="2">
        <v>94.5</v>
      </c>
      <c r="H877" s="3" t="s">
        <v>18</v>
      </c>
    </row>
    <row r="878" spans="1:8" x14ac:dyDescent="0.3">
      <c r="A878" t="s">
        <v>685</v>
      </c>
      <c r="B878" t="s">
        <v>676</v>
      </c>
      <c r="D878">
        <v>2021</v>
      </c>
      <c r="E878" s="2">
        <v>20</v>
      </c>
      <c r="F878" s="2">
        <v>1800</v>
      </c>
      <c r="G878" s="2">
        <v>1890</v>
      </c>
      <c r="H878" s="3" t="s">
        <v>18</v>
      </c>
    </row>
    <row r="879" spans="1:8" x14ac:dyDescent="0.3">
      <c r="A879" t="s">
        <v>685</v>
      </c>
      <c r="B879" t="s">
        <v>37</v>
      </c>
      <c r="D879">
        <v>2019</v>
      </c>
      <c r="E879" s="2">
        <v>1</v>
      </c>
      <c r="F879" s="2">
        <v>75</v>
      </c>
      <c r="G879" s="2">
        <v>78.75</v>
      </c>
      <c r="H879" s="3" t="s">
        <v>18</v>
      </c>
    </row>
    <row r="880" spans="1:8" x14ac:dyDescent="0.3">
      <c r="A880" t="s">
        <v>685</v>
      </c>
      <c r="B880" t="s">
        <v>37</v>
      </c>
      <c r="D880">
        <v>2020</v>
      </c>
      <c r="E880" s="2">
        <v>25</v>
      </c>
      <c r="F880" s="2">
        <v>1720</v>
      </c>
      <c r="G880" s="2">
        <v>1806</v>
      </c>
      <c r="H880" s="3" t="s">
        <v>18</v>
      </c>
    </row>
    <row r="881" spans="1:8" x14ac:dyDescent="0.3">
      <c r="A881" t="s">
        <v>685</v>
      </c>
      <c r="B881" t="s">
        <v>37</v>
      </c>
      <c r="D881">
        <v>2021</v>
      </c>
      <c r="E881" s="2">
        <v>20</v>
      </c>
      <c r="F881" s="2">
        <v>1360</v>
      </c>
      <c r="G881" s="2">
        <v>1428</v>
      </c>
      <c r="H881" s="3" t="s">
        <v>18</v>
      </c>
    </row>
    <row r="882" spans="1:8" x14ac:dyDescent="0.3">
      <c r="A882" t="s">
        <v>690</v>
      </c>
      <c r="B882" t="s">
        <v>328</v>
      </c>
      <c r="C882" t="s">
        <v>52</v>
      </c>
      <c r="D882">
        <v>2014</v>
      </c>
      <c r="E882" s="2">
        <v>30</v>
      </c>
      <c r="F882" s="2">
        <v>7200</v>
      </c>
      <c r="G882" s="2"/>
    </row>
    <row r="883" spans="1:8" x14ac:dyDescent="0.3">
      <c r="A883" t="s">
        <v>690</v>
      </c>
      <c r="B883" t="s">
        <v>223</v>
      </c>
      <c r="C883" t="s">
        <v>224</v>
      </c>
      <c r="D883">
        <v>2014</v>
      </c>
      <c r="E883" s="2">
        <v>10</v>
      </c>
      <c r="F883" s="2">
        <v>2200</v>
      </c>
      <c r="G883" s="2"/>
    </row>
    <row r="884" spans="1:8" x14ac:dyDescent="0.3">
      <c r="A884" t="s">
        <v>690</v>
      </c>
      <c r="B884" t="s">
        <v>297</v>
      </c>
      <c r="C884" t="s">
        <v>298</v>
      </c>
      <c r="D884">
        <v>2012</v>
      </c>
      <c r="E884" s="2">
        <v>25</v>
      </c>
      <c r="F884" s="2">
        <v>3750</v>
      </c>
      <c r="G884" s="2"/>
    </row>
    <row r="885" spans="1:8" x14ac:dyDescent="0.3">
      <c r="A885" t="s">
        <v>690</v>
      </c>
      <c r="B885" t="s">
        <v>299</v>
      </c>
      <c r="C885" t="s">
        <v>300</v>
      </c>
      <c r="D885">
        <v>2010</v>
      </c>
      <c r="E885" s="2">
        <v>10</v>
      </c>
      <c r="F885" s="2">
        <v>4400</v>
      </c>
      <c r="G885" s="2"/>
    </row>
    <row r="886" spans="1:8" x14ac:dyDescent="0.3">
      <c r="A886" t="s">
        <v>690</v>
      </c>
      <c r="B886" t="s">
        <v>299</v>
      </c>
      <c r="C886" t="s">
        <v>300</v>
      </c>
      <c r="D886">
        <v>2011</v>
      </c>
      <c r="E886" s="2">
        <v>5</v>
      </c>
      <c r="F886" s="2">
        <v>2200</v>
      </c>
      <c r="G886" s="2"/>
    </row>
    <row r="887" spans="1:8" x14ac:dyDescent="0.3">
      <c r="A887" t="s">
        <v>690</v>
      </c>
      <c r="B887" t="s">
        <v>299</v>
      </c>
      <c r="C887" t="s">
        <v>300</v>
      </c>
      <c r="D887">
        <v>2012</v>
      </c>
      <c r="E887" s="2">
        <v>10</v>
      </c>
      <c r="F887" s="2">
        <v>4400</v>
      </c>
      <c r="G887" s="2"/>
    </row>
    <row r="888" spans="1:8" x14ac:dyDescent="0.3">
      <c r="A888" t="s">
        <v>690</v>
      </c>
      <c r="B888" t="s">
        <v>301</v>
      </c>
      <c r="C888" t="s">
        <v>302</v>
      </c>
      <c r="D888">
        <v>2011</v>
      </c>
      <c r="E888" s="2">
        <v>5</v>
      </c>
      <c r="F888" s="2">
        <v>1750</v>
      </c>
      <c r="G888" s="2"/>
    </row>
    <row r="889" spans="1:8" x14ac:dyDescent="0.3">
      <c r="A889" t="s">
        <v>690</v>
      </c>
      <c r="B889" t="s">
        <v>555</v>
      </c>
      <c r="C889" t="s">
        <v>259</v>
      </c>
      <c r="D889">
        <v>2014</v>
      </c>
      <c r="E889" s="2">
        <v>30</v>
      </c>
      <c r="F889" s="2">
        <v>7950</v>
      </c>
      <c r="G889" s="2"/>
    </row>
    <row r="890" spans="1:8" x14ac:dyDescent="0.3">
      <c r="A890" t="s">
        <v>690</v>
      </c>
      <c r="B890" t="s">
        <v>691</v>
      </c>
      <c r="C890" t="s">
        <v>692</v>
      </c>
      <c r="D890">
        <v>2011</v>
      </c>
      <c r="E890" s="2">
        <v>5</v>
      </c>
      <c r="F890" s="2">
        <v>1550</v>
      </c>
      <c r="G890" s="2"/>
    </row>
    <row r="891" spans="1:8" x14ac:dyDescent="0.3">
      <c r="A891" t="s">
        <v>690</v>
      </c>
      <c r="B891" t="s">
        <v>142</v>
      </c>
      <c r="C891" t="s">
        <v>143</v>
      </c>
      <c r="D891">
        <v>2014</v>
      </c>
      <c r="E891" s="2">
        <v>30</v>
      </c>
      <c r="F891" s="2">
        <v>8100</v>
      </c>
      <c r="G891" s="2"/>
    </row>
    <row r="892" spans="1:8" x14ac:dyDescent="0.3">
      <c r="A892" t="s">
        <v>690</v>
      </c>
      <c r="B892" t="s">
        <v>693</v>
      </c>
      <c r="C892" t="s">
        <v>694</v>
      </c>
      <c r="D892">
        <v>2011</v>
      </c>
      <c r="E892" s="2">
        <v>5</v>
      </c>
      <c r="F892" s="2">
        <v>1950</v>
      </c>
      <c r="G892" s="2"/>
    </row>
    <row r="893" spans="1:8" x14ac:dyDescent="0.3">
      <c r="A893" t="s">
        <v>690</v>
      </c>
      <c r="B893" t="s">
        <v>386</v>
      </c>
      <c r="C893" t="s">
        <v>387</v>
      </c>
      <c r="D893">
        <v>2011</v>
      </c>
      <c r="E893" s="2">
        <v>5</v>
      </c>
      <c r="F893" s="2">
        <v>1600</v>
      </c>
      <c r="G893" s="2"/>
    </row>
    <row r="894" spans="1:8" x14ac:dyDescent="0.3">
      <c r="A894" t="s">
        <v>695</v>
      </c>
      <c r="B894" t="s">
        <v>696</v>
      </c>
      <c r="C894" t="s">
        <v>697</v>
      </c>
      <c r="D894">
        <v>2017</v>
      </c>
      <c r="E894" s="2">
        <v>75</v>
      </c>
      <c r="F894" s="2">
        <v>6000</v>
      </c>
      <c r="G894" s="2"/>
    </row>
    <row r="895" spans="1:8" x14ac:dyDescent="0.3">
      <c r="A895" t="s">
        <v>695</v>
      </c>
      <c r="B895" t="s">
        <v>24</v>
      </c>
      <c r="C895" t="s">
        <v>25</v>
      </c>
      <c r="D895">
        <v>2011</v>
      </c>
      <c r="E895" s="2">
        <v>25</v>
      </c>
      <c r="F895" s="2">
        <v>2375</v>
      </c>
      <c r="G895" s="2"/>
    </row>
    <row r="896" spans="1:8" x14ac:dyDescent="0.3">
      <c r="A896" t="s">
        <v>695</v>
      </c>
      <c r="B896" t="s">
        <v>24</v>
      </c>
      <c r="C896" t="s">
        <v>25</v>
      </c>
      <c r="D896">
        <v>2012</v>
      </c>
      <c r="E896" s="2">
        <v>50</v>
      </c>
      <c r="F896" s="2">
        <v>4750</v>
      </c>
      <c r="G896" s="2"/>
    </row>
    <row r="897" spans="1:7" x14ac:dyDescent="0.3">
      <c r="A897" t="s">
        <v>695</v>
      </c>
      <c r="B897" t="s">
        <v>24</v>
      </c>
      <c r="C897" t="s">
        <v>25</v>
      </c>
      <c r="D897">
        <v>2013</v>
      </c>
      <c r="E897" s="2">
        <v>25</v>
      </c>
      <c r="F897" s="2">
        <v>2500</v>
      </c>
      <c r="G897" s="2"/>
    </row>
    <row r="898" spans="1:7" x14ac:dyDescent="0.3">
      <c r="A898" t="s">
        <v>695</v>
      </c>
      <c r="B898" t="s">
        <v>24</v>
      </c>
      <c r="C898" t="s">
        <v>25</v>
      </c>
      <c r="D898">
        <v>2014</v>
      </c>
      <c r="E898" s="2">
        <v>25</v>
      </c>
      <c r="F898" s="2">
        <v>2500</v>
      </c>
      <c r="G898" s="2"/>
    </row>
    <row r="899" spans="1:7" x14ac:dyDescent="0.3">
      <c r="A899" t="s">
        <v>695</v>
      </c>
      <c r="B899" t="s">
        <v>24</v>
      </c>
      <c r="C899" t="s">
        <v>25</v>
      </c>
      <c r="D899">
        <v>2015</v>
      </c>
      <c r="E899" s="2">
        <v>75</v>
      </c>
      <c r="F899" s="2">
        <v>7200</v>
      </c>
      <c r="G899" s="2"/>
    </row>
    <row r="900" spans="1:7" x14ac:dyDescent="0.3">
      <c r="A900" t="s">
        <v>695</v>
      </c>
      <c r="B900" t="s">
        <v>24</v>
      </c>
      <c r="C900" t="s">
        <v>25</v>
      </c>
      <c r="D900">
        <v>2016</v>
      </c>
      <c r="E900" s="2">
        <v>250</v>
      </c>
      <c r="F900" s="2">
        <v>23750</v>
      </c>
      <c r="G900" s="2"/>
    </row>
    <row r="901" spans="1:7" x14ac:dyDescent="0.3">
      <c r="A901" t="s">
        <v>695</v>
      </c>
      <c r="B901" t="s">
        <v>24</v>
      </c>
      <c r="C901" t="s">
        <v>25</v>
      </c>
      <c r="D901">
        <v>2017</v>
      </c>
      <c r="E901" s="2">
        <v>25</v>
      </c>
      <c r="F901" s="2">
        <v>2375</v>
      </c>
      <c r="G901" s="2"/>
    </row>
    <row r="902" spans="1:7" x14ac:dyDescent="0.3">
      <c r="A902" t="s">
        <v>695</v>
      </c>
      <c r="B902" t="s">
        <v>26</v>
      </c>
      <c r="C902" t="s">
        <v>27</v>
      </c>
      <c r="D902">
        <v>2014</v>
      </c>
      <c r="E902" s="2">
        <v>75</v>
      </c>
      <c r="F902" s="2">
        <v>5625</v>
      </c>
      <c r="G902" s="2"/>
    </row>
    <row r="903" spans="1:7" x14ac:dyDescent="0.3">
      <c r="A903" t="s">
        <v>695</v>
      </c>
      <c r="B903" t="s">
        <v>26</v>
      </c>
      <c r="C903" t="s">
        <v>27</v>
      </c>
      <c r="D903">
        <v>2015</v>
      </c>
      <c r="E903" s="2">
        <v>175</v>
      </c>
      <c r="F903" s="2">
        <v>13125</v>
      </c>
      <c r="G903" s="2"/>
    </row>
    <row r="904" spans="1:7" x14ac:dyDescent="0.3">
      <c r="A904" t="s">
        <v>695</v>
      </c>
      <c r="B904" t="s">
        <v>26</v>
      </c>
      <c r="C904" t="s">
        <v>27</v>
      </c>
      <c r="D904">
        <v>2016</v>
      </c>
      <c r="E904" s="2">
        <v>50</v>
      </c>
      <c r="F904" s="2">
        <v>3750</v>
      </c>
      <c r="G904" s="2"/>
    </row>
    <row r="905" spans="1:7" x14ac:dyDescent="0.3">
      <c r="A905" t="s">
        <v>695</v>
      </c>
      <c r="B905" t="s">
        <v>567</v>
      </c>
      <c r="C905" t="s">
        <v>698</v>
      </c>
      <c r="D905">
        <v>2016</v>
      </c>
      <c r="E905" s="2">
        <v>69</v>
      </c>
      <c r="F905" s="2">
        <v>5520</v>
      </c>
      <c r="G905" s="2"/>
    </row>
    <row r="906" spans="1:7" x14ac:dyDescent="0.3">
      <c r="A906" t="s">
        <v>695</v>
      </c>
      <c r="B906" t="s">
        <v>567</v>
      </c>
      <c r="C906" t="s">
        <v>698</v>
      </c>
      <c r="D906">
        <v>2017</v>
      </c>
      <c r="E906" s="2">
        <v>25</v>
      </c>
      <c r="F906" s="2">
        <v>2000</v>
      </c>
      <c r="G906" s="2"/>
    </row>
    <row r="907" spans="1:7" x14ac:dyDescent="0.3">
      <c r="A907" t="s">
        <v>695</v>
      </c>
      <c r="B907" t="s">
        <v>19</v>
      </c>
      <c r="C907" t="s">
        <v>699</v>
      </c>
      <c r="D907">
        <v>2016</v>
      </c>
      <c r="E907" s="2">
        <v>25</v>
      </c>
      <c r="F907" s="2">
        <v>2000</v>
      </c>
      <c r="G907" s="2"/>
    </row>
    <row r="908" spans="1:7" x14ac:dyDescent="0.3">
      <c r="A908" t="s">
        <v>695</v>
      </c>
      <c r="B908" t="s">
        <v>41</v>
      </c>
      <c r="C908" t="s">
        <v>42</v>
      </c>
      <c r="D908">
        <v>2011</v>
      </c>
      <c r="E908" s="2">
        <v>50</v>
      </c>
      <c r="F908" s="2">
        <v>2500</v>
      </c>
      <c r="G908" s="2"/>
    </row>
    <row r="909" spans="1:7" x14ac:dyDescent="0.3">
      <c r="A909" t="s">
        <v>695</v>
      </c>
      <c r="B909" t="s">
        <v>41</v>
      </c>
      <c r="C909" t="s">
        <v>42</v>
      </c>
      <c r="D909">
        <v>2012</v>
      </c>
      <c r="E909" s="2">
        <v>50</v>
      </c>
      <c r="F909" s="2">
        <v>2500</v>
      </c>
      <c r="G909" s="2"/>
    </row>
    <row r="910" spans="1:7" x14ac:dyDescent="0.3">
      <c r="A910" t="s">
        <v>695</v>
      </c>
      <c r="B910" t="s">
        <v>41</v>
      </c>
      <c r="C910" t="s">
        <v>42</v>
      </c>
      <c r="D910">
        <v>2013</v>
      </c>
      <c r="E910" s="2">
        <v>38</v>
      </c>
      <c r="F910" s="2">
        <v>2280</v>
      </c>
      <c r="G910" s="2"/>
    </row>
    <row r="911" spans="1:7" x14ac:dyDescent="0.3">
      <c r="A911" t="s">
        <v>695</v>
      </c>
      <c r="B911" t="s">
        <v>41</v>
      </c>
      <c r="C911" t="s">
        <v>42</v>
      </c>
      <c r="D911">
        <v>2014</v>
      </c>
      <c r="E911" s="2">
        <v>50</v>
      </c>
      <c r="F911" s="2">
        <v>3000</v>
      </c>
      <c r="G911" s="2"/>
    </row>
    <row r="912" spans="1:7" x14ac:dyDescent="0.3">
      <c r="A912" t="s">
        <v>695</v>
      </c>
      <c r="B912" t="s">
        <v>41</v>
      </c>
      <c r="C912" t="s">
        <v>42</v>
      </c>
      <c r="D912">
        <v>2015</v>
      </c>
      <c r="E912" s="2">
        <v>25</v>
      </c>
      <c r="F912" s="2">
        <v>1500</v>
      </c>
      <c r="G912" s="2"/>
    </row>
    <row r="913" spans="1:7" x14ac:dyDescent="0.3">
      <c r="A913" t="s">
        <v>695</v>
      </c>
      <c r="B913" t="s">
        <v>41</v>
      </c>
      <c r="C913" t="s">
        <v>530</v>
      </c>
      <c r="D913">
        <v>2016</v>
      </c>
      <c r="E913" s="2">
        <v>175</v>
      </c>
      <c r="F913" s="2">
        <v>12250</v>
      </c>
      <c r="G913" s="2"/>
    </row>
    <row r="914" spans="1:7" x14ac:dyDescent="0.3">
      <c r="A914" t="s">
        <v>695</v>
      </c>
      <c r="B914" t="s">
        <v>41</v>
      </c>
      <c r="C914" t="s">
        <v>42</v>
      </c>
      <c r="D914">
        <v>2016</v>
      </c>
      <c r="E914" s="2">
        <v>94</v>
      </c>
      <c r="F914" s="2">
        <v>6580</v>
      </c>
      <c r="G914" s="2"/>
    </row>
    <row r="915" spans="1:7" x14ac:dyDescent="0.3">
      <c r="A915" t="s">
        <v>695</v>
      </c>
      <c r="B915" t="s">
        <v>41</v>
      </c>
      <c r="C915" t="s">
        <v>530</v>
      </c>
      <c r="D915">
        <v>2017</v>
      </c>
      <c r="E915" s="2">
        <v>75</v>
      </c>
      <c r="F915" s="2">
        <v>5250</v>
      </c>
      <c r="G915" s="2"/>
    </row>
    <row r="916" spans="1:7" x14ac:dyDescent="0.3">
      <c r="A916" t="s">
        <v>695</v>
      </c>
      <c r="B916" t="s">
        <v>700</v>
      </c>
      <c r="C916" t="s">
        <v>701</v>
      </c>
      <c r="D916">
        <v>2009</v>
      </c>
      <c r="E916" s="2">
        <v>70</v>
      </c>
      <c r="F916" s="2">
        <v>3150</v>
      </c>
      <c r="G916" s="2"/>
    </row>
    <row r="917" spans="1:7" x14ac:dyDescent="0.3">
      <c r="A917" t="s">
        <v>695</v>
      </c>
      <c r="B917" t="s">
        <v>21</v>
      </c>
      <c r="C917" t="s">
        <v>22</v>
      </c>
      <c r="D917">
        <v>2009</v>
      </c>
      <c r="E917" s="2">
        <v>150</v>
      </c>
      <c r="F917" s="2">
        <v>6750</v>
      </c>
      <c r="G917" s="2"/>
    </row>
    <row r="918" spans="1:7" x14ac:dyDescent="0.3">
      <c r="A918" t="s">
        <v>695</v>
      </c>
      <c r="B918" t="s">
        <v>21</v>
      </c>
      <c r="C918" t="s">
        <v>22</v>
      </c>
      <c r="D918">
        <v>2010</v>
      </c>
      <c r="E918" s="2">
        <v>50</v>
      </c>
      <c r="F918" s="2">
        <v>2250</v>
      </c>
      <c r="G918" s="2"/>
    </row>
    <row r="919" spans="1:7" x14ac:dyDescent="0.3">
      <c r="A919" t="s">
        <v>695</v>
      </c>
      <c r="B919" t="s">
        <v>702</v>
      </c>
      <c r="C919" t="s">
        <v>703</v>
      </c>
      <c r="D919">
        <v>2019</v>
      </c>
      <c r="E919" s="2">
        <v>25</v>
      </c>
      <c r="F919" s="2">
        <v>1875</v>
      </c>
      <c r="G919" s="2">
        <v>1968.75</v>
      </c>
    </row>
    <row r="920" spans="1:7" x14ac:dyDescent="0.3">
      <c r="A920" t="s">
        <v>695</v>
      </c>
      <c r="B920" t="s">
        <v>32</v>
      </c>
      <c r="D920">
        <v>2015</v>
      </c>
      <c r="E920" s="2">
        <v>20</v>
      </c>
      <c r="F920" s="2">
        <v>1800</v>
      </c>
      <c r="G920" s="2"/>
    </row>
    <row r="921" spans="1:7" x14ac:dyDescent="0.3">
      <c r="A921" t="s">
        <v>695</v>
      </c>
      <c r="B921" t="s">
        <v>32</v>
      </c>
      <c r="D921">
        <v>2016</v>
      </c>
      <c r="E921" s="2">
        <v>100</v>
      </c>
      <c r="F921" s="2">
        <v>9000</v>
      </c>
      <c r="G921" s="2"/>
    </row>
    <row r="922" spans="1:7" x14ac:dyDescent="0.3">
      <c r="A922" t="s">
        <v>695</v>
      </c>
      <c r="B922" t="s">
        <v>32</v>
      </c>
      <c r="D922">
        <v>2017</v>
      </c>
      <c r="E922" s="2">
        <v>20</v>
      </c>
      <c r="F922" s="2">
        <v>1800</v>
      </c>
      <c r="G922" s="2"/>
    </row>
    <row r="923" spans="1:7" x14ac:dyDescent="0.3">
      <c r="A923" t="s">
        <v>695</v>
      </c>
      <c r="B923" t="s">
        <v>32</v>
      </c>
      <c r="D923">
        <v>2018</v>
      </c>
      <c r="E923" s="2">
        <v>20</v>
      </c>
      <c r="F923" s="2">
        <v>1500</v>
      </c>
      <c r="G923" s="2">
        <v>1575</v>
      </c>
    </row>
    <row r="924" spans="1:7" x14ac:dyDescent="0.3">
      <c r="A924" t="s">
        <v>695</v>
      </c>
      <c r="B924" t="s">
        <v>46</v>
      </c>
      <c r="C924" t="s">
        <v>47</v>
      </c>
      <c r="D924">
        <v>2013</v>
      </c>
      <c r="E924" s="2">
        <v>50</v>
      </c>
      <c r="F924" s="2">
        <v>4250</v>
      </c>
      <c r="G924" s="2"/>
    </row>
    <row r="925" spans="1:7" x14ac:dyDescent="0.3">
      <c r="A925" t="s">
        <v>695</v>
      </c>
      <c r="B925" t="s">
        <v>46</v>
      </c>
      <c r="C925" t="s">
        <v>47</v>
      </c>
      <c r="D925">
        <v>2017</v>
      </c>
      <c r="E925" s="2">
        <v>50</v>
      </c>
      <c r="F925" s="2">
        <v>3750</v>
      </c>
      <c r="G925" s="2"/>
    </row>
    <row r="926" spans="1:7" x14ac:dyDescent="0.3">
      <c r="A926" t="s">
        <v>704</v>
      </c>
      <c r="B926" t="s">
        <v>81</v>
      </c>
      <c r="D926">
        <v>2019</v>
      </c>
      <c r="E926" s="2">
        <v>25</v>
      </c>
      <c r="F926" s="2">
        <v>7000</v>
      </c>
      <c r="G926" s="2">
        <v>7350</v>
      </c>
    </row>
    <row r="927" spans="1:7" x14ac:dyDescent="0.3">
      <c r="A927" t="s">
        <v>704</v>
      </c>
      <c r="B927" t="s">
        <v>581</v>
      </c>
      <c r="C927" t="s">
        <v>582</v>
      </c>
      <c r="D927">
        <v>2018</v>
      </c>
      <c r="E927" s="2">
        <v>1</v>
      </c>
      <c r="F927" s="2">
        <v>170</v>
      </c>
      <c r="G927" s="2">
        <v>178.5</v>
      </c>
    </row>
    <row r="928" spans="1:7" x14ac:dyDescent="0.3">
      <c r="A928" t="s">
        <v>704</v>
      </c>
      <c r="B928" t="s">
        <v>55</v>
      </c>
      <c r="D928">
        <v>2019</v>
      </c>
      <c r="E928" s="2">
        <v>10</v>
      </c>
      <c r="F928" s="2">
        <v>2800</v>
      </c>
      <c r="G928" s="2">
        <v>2940</v>
      </c>
    </row>
    <row r="929" spans="1:7" x14ac:dyDescent="0.3">
      <c r="A929" t="s">
        <v>704</v>
      </c>
      <c r="B929" t="s">
        <v>55</v>
      </c>
      <c r="D929">
        <v>2020</v>
      </c>
      <c r="E929" s="2">
        <v>10</v>
      </c>
      <c r="F929" s="2">
        <v>2800</v>
      </c>
      <c r="G929" s="2">
        <v>2940</v>
      </c>
    </row>
    <row r="930" spans="1:7" x14ac:dyDescent="0.3">
      <c r="A930" t="s">
        <v>704</v>
      </c>
      <c r="B930" t="s">
        <v>705</v>
      </c>
      <c r="C930" t="s">
        <v>89</v>
      </c>
      <c r="D930">
        <v>2019</v>
      </c>
      <c r="E930" s="2">
        <v>1</v>
      </c>
      <c r="F930" s="2">
        <v>110</v>
      </c>
      <c r="G930" s="2">
        <v>115.5</v>
      </c>
    </row>
    <row r="931" spans="1:7" x14ac:dyDescent="0.3">
      <c r="A931" t="s">
        <v>704</v>
      </c>
      <c r="B931" t="s">
        <v>206</v>
      </c>
      <c r="C931" t="s">
        <v>207</v>
      </c>
      <c r="D931">
        <v>2019</v>
      </c>
      <c r="E931" s="2">
        <v>3</v>
      </c>
      <c r="F931" s="2">
        <v>300</v>
      </c>
      <c r="G931" s="2">
        <v>315</v>
      </c>
    </row>
    <row r="932" spans="1:7" x14ac:dyDescent="0.3">
      <c r="A932" t="s">
        <v>704</v>
      </c>
      <c r="B932" t="s">
        <v>538</v>
      </c>
      <c r="C932" t="s">
        <v>539</v>
      </c>
      <c r="D932">
        <v>2019</v>
      </c>
      <c r="E932" s="2">
        <v>5</v>
      </c>
      <c r="F932" s="2">
        <v>700</v>
      </c>
      <c r="G932" s="2">
        <v>735</v>
      </c>
    </row>
    <row r="933" spans="1:7" x14ac:dyDescent="0.3">
      <c r="A933" t="s">
        <v>704</v>
      </c>
      <c r="B933" t="s">
        <v>538</v>
      </c>
      <c r="C933" t="s">
        <v>539</v>
      </c>
      <c r="D933">
        <v>2020</v>
      </c>
      <c r="E933" s="2">
        <v>10</v>
      </c>
      <c r="F933" s="2">
        <v>1400</v>
      </c>
      <c r="G933" s="2">
        <v>1470</v>
      </c>
    </row>
    <row r="934" spans="1:7" x14ac:dyDescent="0.3">
      <c r="A934" t="s">
        <v>704</v>
      </c>
      <c r="B934" t="s">
        <v>180</v>
      </c>
      <c r="C934" t="s">
        <v>181</v>
      </c>
      <c r="D934">
        <v>2019</v>
      </c>
      <c r="E934" s="2">
        <v>1</v>
      </c>
      <c r="F934" s="2">
        <v>100</v>
      </c>
      <c r="G934" s="2">
        <v>105</v>
      </c>
    </row>
    <row r="935" spans="1:7" x14ac:dyDescent="0.3">
      <c r="A935" t="s">
        <v>704</v>
      </c>
      <c r="B935" t="s">
        <v>400</v>
      </c>
      <c r="D935">
        <v>2019</v>
      </c>
      <c r="E935" s="2">
        <v>10</v>
      </c>
      <c r="F935" s="2">
        <v>2095</v>
      </c>
      <c r="G935" s="2">
        <v>2199.75</v>
      </c>
    </row>
    <row r="936" spans="1:7" x14ac:dyDescent="0.3">
      <c r="A936" t="s">
        <v>704</v>
      </c>
      <c r="B936" t="s">
        <v>297</v>
      </c>
      <c r="C936" t="s">
        <v>298</v>
      </c>
      <c r="D936">
        <v>2019</v>
      </c>
      <c r="E936" s="2">
        <v>1</v>
      </c>
      <c r="F936" s="2">
        <v>80</v>
      </c>
      <c r="G936" s="2">
        <v>84</v>
      </c>
    </row>
    <row r="937" spans="1:7" x14ac:dyDescent="0.3">
      <c r="A937" t="s">
        <v>704</v>
      </c>
      <c r="B937" t="s">
        <v>19</v>
      </c>
      <c r="C937" t="s">
        <v>20</v>
      </c>
      <c r="D937">
        <v>2019</v>
      </c>
      <c r="E937" s="2">
        <v>2</v>
      </c>
      <c r="F937" s="2">
        <v>160</v>
      </c>
      <c r="G937" s="2">
        <v>168</v>
      </c>
    </row>
    <row r="938" spans="1:7" x14ac:dyDescent="0.3">
      <c r="A938" t="s">
        <v>704</v>
      </c>
      <c r="B938" t="s">
        <v>269</v>
      </c>
      <c r="C938" t="s">
        <v>270</v>
      </c>
      <c r="D938">
        <v>2019</v>
      </c>
      <c r="E938" s="2">
        <v>1</v>
      </c>
      <c r="F938" s="2">
        <v>80</v>
      </c>
      <c r="G938" s="2">
        <v>84</v>
      </c>
    </row>
    <row r="939" spans="1:7" x14ac:dyDescent="0.3">
      <c r="A939" t="s">
        <v>704</v>
      </c>
      <c r="B939" t="s">
        <v>402</v>
      </c>
      <c r="C939" t="s">
        <v>403</v>
      </c>
      <c r="D939">
        <v>2019</v>
      </c>
      <c r="E939" s="2">
        <v>10</v>
      </c>
      <c r="F939" s="2">
        <v>4750</v>
      </c>
      <c r="G939" s="2">
        <v>4987.5</v>
      </c>
    </row>
    <row r="940" spans="1:7" x14ac:dyDescent="0.3">
      <c r="A940" t="s">
        <v>704</v>
      </c>
      <c r="B940" t="s">
        <v>706</v>
      </c>
      <c r="C940" t="s">
        <v>707</v>
      </c>
      <c r="D940">
        <v>2019</v>
      </c>
      <c r="E940" s="2">
        <v>10</v>
      </c>
      <c r="F940" s="2">
        <v>900</v>
      </c>
      <c r="G940" s="2">
        <v>945</v>
      </c>
    </row>
    <row r="941" spans="1:7" x14ac:dyDescent="0.3">
      <c r="A941" t="s">
        <v>704</v>
      </c>
      <c r="B941" t="s">
        <v>708</v>
      </c>
      <c r="C941" t="s">
        <v>477</v>
      </c>
      <c r="D941">
        <v>2019</v>
      </c>
      <c r="E941" s="2">
        <v>3</v>
      </c>
      <c r="F941" s="2">
        <v>240</v>
      </c>
      <c r="G941" s="2">
        <v>252</v>
      </c>
    </row>
    <row r="942" spans="1:7" x14ac:dyDescent="0.3">
      <c r="A942" t="s">
        <v>704</v>
      </c>
      <c r="B942" t="s">
        <v>709</v>
      </c>
      <c r="C942" t="s">
        <v>710</v>
      </c>
      <c r="D942">
        <v>2020</v>
      </c>
      <c r="E942" s="2">
        <v>25</v>
      </c>
      <c r="F942" s="2">
        <v>4250</v>
      </c>
      <c r="G942" s="2">
        <v>4462.5</v>
      </c>
    </row>
    <row r="943" spans="1:7" x14ac:dyDescent="0.3">
      <c r="A943" t="s">
        <v>704</v>
      </c>
      <c r="B943" t="s">
        <v>263</v>
      </c>
      <c r="C943" t="s">
        <v>264</v>
      </c>
      <c r="D943">
        <v>2019</v>
      </c>
      <c r="E943" s="2">
        <v>10</v>
      </c>
      <c r="F943" s="2">
        <v>2300</v>
      </c>
      <c r="G943" s="2">
        <v>2415</v>
      </c>
    </row>
    <row r="944" spans="1:7" x14ac:dyDescent="0.3">
      <c r="A944" t="s">
        <v>704</v>
      </c>
      <c r="B944" t="s">
        <v>263</v>
      </c>
      <c r="C944" t="s">
        <v>264</v>
      </c>
      <c r="D944">
        <v>2020</v>
      </c>
      <c r="E944" s="2">
        <v>5</v>
      </c>
      <c r="F944" s="2">
        <v>1150</v>
      </c>
      <c r="G944" s="2">
        <v>1207.5</v>
      </c>
    </row>
    <row r="945" spans="1:8" x14ac:dyDescent="0.3">
      <c r="A945" t="s">
        <v>704</v>
      </c>
      <c r="B945" t="s">
        <v>411</v>
      </c>
      <c r="D945">
        <v>2020</v>
      </c>
      <c r="E945" s="2">
        <v>10</v>
      </c>
      <c r="F945" s="2">
        <v>5100</v>
      </c>
      <c r="G945" s="2">
        <v>5355</v>
      </c>
    </row>
    <row r="946" spans="1:8" x14ac:dyDescent="0.3">
      <c r="A946" t="s">
        <v>704</v>
      </c>
      <c r="B946" t="s">
        <v>711</v>
      </c>
      <c r="C946" t="s">
        <v>413</v>
      </c>
      <c r="D946">
        <v>2019</v>
      </c>
      <c r="E946" s="2">
        <v>2</v>
      </c>
      <c r="F946" s="2">
        <v>450</v>
      </c>
      <c r="G946" s="2">
        <v>472.5</v>
      </c>
    </row>
    <row r="947" spans="1:8" x14ac:dyDescent="0.3">
      <c r="A947" t="s">
        <v>704</v>
      </c>
      <c r="B947" t="s">
        <v>149</v>
      </c>
      <c r="C947" t="s">
        <v>150</v>
      </c>
      <c r="D947">
        <v>2018</v>
      </c>
      <c r="E947" s="2">
        <v>1</v>
      </c>
      <c r="F947" s="2">
        <v>180</v>
      </c>
      <c r="G947" s="2">
        <v>189</v>
      </c>
    </row>
    <row r="948" spans="1:8" x14ac:dyDescent="0.3">
      <c r="A948" t="s">
        <v>704</v>
      </c>
      <c r="B948" t="s">
        <v>159</v>
      </c>
      <c r="C948" t="s">
        <v>160</v>
      </c>
      <c r="D948">
        <v>2018</v>
      </c>
      <c r="E948" s="2">
        <v>1</v>
      </c>
      <c r="F948" s="2">
        <v>180</v>
      </c>
      <c r="G948" s="2">
        <v>189</v>
      </c>
    </row>
    <row r="949" spans="1:8" x14ac:dyDescent="0.3">
      <c r="A949" t="s">
        <v>712</v>
      </c>
      <c r="B949" t="s">
        <v>713</v>
      </c>
      <c r="D949">
        <v>2018</v>
      </c>
      <c r="E949" s="2">
        <v>5</v>
      </c>
      <c r="F949" s="2">
        <v>1200</v>
      </c>
      <c r="G949" s="2">
        <v>1260</v>
      </c>
    </row>
    <row r="950" spans="1:8" x14ac:dyDescent="0.3">
      <c r="A950" t="s">
        <v>712</v>
      </c>
      <c r="B950" t="s">
        <v>713</v>
      </c>
      <c r="D950">
        <v>2019</v>
      </c>
      <c r="E950" s="2">
        <v>15</v>
      </c>
      <c r="F950" s="2">
        <v>6300</v>
      </c>
      <c r="G950" s="2">
        <v>6615</v>
      </c>
    </row>
    <row r="951" spans="1:8" x14ac:dyDescent="0.3">
      <c r="A951" t="s">
        <v>712</v>
      </c>
      <c r="B951" t="s">
        <v>174</v>
      </c>
      <c r="C951" t="s">
        <v>175</v>
      </c>
      <c r="D951">
        <v>2016</v>
      </c>
      <c r="E951" s="2">
        <v>50</v>
      </c>
      <c r="F951" s="2">
        <v>3100</v>
      </c>
      <c r="G951" s="2"/>
    </row>
    <row r="952" spans="1:8" x14ac:dyDescent="0.3">
      <c r="A952" t="s">
        <v>712</v>
      </c>
      <c r="B952" t="s">
        <v>174</v>
      </c>
      <c r="C952" t="s">
        <v>175</v>
      </c>
      <c r="D952">
        <v>2017</v>
      </c>
      <c r="E952" s="2">
        <v>75</v>
      </c>
      <c r="F952" s="2">
        <v>4650</v>
      </c>
      <c r="G952" s="2"/>
    </row>
    <row r="953" spans="1:8" x14ac:dyDescent="0.3">
      <c r="A953" t="s">
        <v>712</v>
      </c>
      <c r="B953" t="s">
        <v>174</v>
      </c>
      <c r="C953" t="s">
        <v>175</v>
      </c>
      <c r="D953">
        <v>2018</v>
      </c>
      <c r="E953" s="2">
        <v>25</v>
      </c>
      <c r="F953" s="2">
        <v>1550</v>
      </c>
      <c r="G953" s="2">
        <v>1627.5</v>
      </c>
    </row>
    <row r="954" spans="1:8" x14ac:dyDescent="0.3">
      <c r="A954" t="s">
        <v>712</v>
      </c>
      <c r="B954" t="s">
        <v>174</v>
      </c>
      <c r="C954" t="s">
        <v>175</v>
      </c>
      <c r="D954">
        <v>2019</v>
      </c>
      <c r="E954" s="2">
        <v>50</v>
      </c>
      <c r="F954" s="2">
        <v>3100</v>
      </c>
      <c r="G954" s="2">
        <v>3255</v>
      </c>
    </row>
    <row r="955" spans="1:8" x14ac:dyDescent="0.3">
      <c r="A955" t="s">
        <v>712</v>
      </c>
      <c r="B955" t="s">
        <v>532</v>
      </c>
      <c r="C955" t="s">
        <v>452</v>
      </c>
      <c r="D955">
        <v>2019</v>
      </c>
      <c r="E955" s="2">
        <v>25</v>
      </c>
      <c r="F955" s="2">
        <v>1550</v>
      </c>
      <c r="G955" s="2">
        <v>1627.5</v>
      </c>
    </row>
    <row r="956" spans="1:8" x14ac:dyDescent="0.3">
      <c r="A956" t="s">
        <v>712</v>
      </c>
      <c r="B956" t="s">
        <v>532</v>
      </c>
      <c r="C956" t="s">
        <v>452</v>
      </c>
      <c r="D956">
        <v>2020</v>
      </c>
      <c r="E956" s="2">
        <v>100</v>
      </c>
      <c r="F956" s="2">
        <v>6200</v>
      </c>
      <c r="G956" s="2">
        <v>6510</v>
      </c>
    </row>
    <row r="957" spans="1:8" x14ac:dyDescent="0.3">
      <c r="A957" t="s">
        <v>712</v>
      </c>
      <c r="B957" t="s">
        <v>714</v>
      </c>
      <c r="C957" t="s">
        <v>715</v>
      </c>
      <c r="D957">
        <v>2017</v>
      </c>
      <c r="E957" s="2">
        <v>25</v>
      </c>
      <c r="F957" s="2">
        <v>2000</v>
      </c>
      <c r="G957" s="2"/>
    </row>
    <row r="958" spans="1:8" x14ac:dyDescent="0.3">
      <c r="A958" t="s">
        <v>712</v>
      </c>
      <c r="B958" t="s">
        <v>714</v>
      </c>
      <c r="C958" t="s">
        <v>715</v>
      </c>
      <c r="D958">
        <v>2018</v>
      </c>
      <c r="E958" s="2">
        <v>100</v>
      </c>
      <c r="F958" s="2">
        <v>8000</v>
      </c>
      <c r="G958" s="2">
        <v>8400</v>
      </c>
    </row>
    <row r="959" spans="1:8" x14ac:dyDescent="0.3">
      <c r="A959" t="s">
        <v>712</v>
      </c>
      <c r="B959" t="s">
        <v>716</v>
      </c>
      <c r="C959" t="s">
        <v>717</v>
      </c>
      <c r="D959">
        <v>2018</v>
      </c>
      <c r="E959" s="2">
        <v>25</v>
      </c>
      <c r="F959" s="2">
        <v>2000</v>
      </c>
      <c r="G959" s="2">
        <v>2100</v>
      </c>
      <c r="H959" s="3" t="s">
        <v>14</v>
      </c>
    </row>
    <row r="960" spans="1:8" x14ac:dyDescent="0.3">
      <c r="A960" t="s">
        <v>712</v>
      </c>
      <c r="B960" t="s">
        <v>716</v>
      </c>
      <c r="C960" t="s">
        <v>717</v>
      </c>
      <c r="D960">
        <v>2019</v>
      </c>
      <c r="E960" s="2">
        <v>50</v>
      </c>
      <c r="F960" s="2">
        <v>4000</v>
      </c>
      <c r="G960" s="2">
        <v>4200</v>
      </c>
      <c r="H960" s="3" t="s">
        <v>14</v>
      </c>
    </row>
    <row r="961" spans="1:8" x14ac:dyDescent="0.3">
      <c r="A961" t="s">
        <v>712</v>
      </c>
      <c r="B961" t="s">
        <v>716</v>
      </c>
      <c r="C961" t="s">
        <v>717</v>
      </c>
      <c r="D961">
        <v>2020</v>
      </c>
      <c r="E961" s="2">
        <v>100</v>
      </c>
      <c r="F961" s="2">
        <v>7750</v>
      </c>
      <c r="G961" s="2">
        <v>8137.5</v>
      </c>
      <c r="H961" s="3" t="s">
        <v>14</v>
      </c>
    </row>
    <row r="962" spans="1:8" x14ac:dyDescent="0.3">
      <c r="A962" t="s">
        <v>712</v>
      </c>
      <c r="B962" t="s">
        <v>716</v>
      </c>
      <c r="C962" t="s">
        <v>717</v>
      </c>
      <c r="D962">
        <v>2021</v>
      </c>
      <c r="E962" s="2">
        <v>100</v>
      </c>
      <c r="F962" s="2">
        <v>6800</v>
      </c>
      <c r="G962" s="2">
        <v>7140</v>
      </c>
      <c r="H962" s="3" t="s">
        <v>14</v>
      </c>
    </row>
    <row r="963" spans="1:8" x14ac:dyDescent="0.3">
      <c r="A963" t="s">
        <v>712</v>
      </c>
      <c r="B963" t="s">
        <v>718</v>
      </c>
      <c r="C963" t="s">
        <v>582</v>
      </c>
      <c r="D963">
        <v>2019</v>
      </c>
      <c r="E963" s="2">
        <v>100</v>
      </c>
      <c r="F963" s="2">
        <v>13000</v>
      </c>
      <c r="G963" s="2">
        <v>13650</v>
      </c>
    </row>
    <row r="964" spans="1:8" x14ac:dyDescent="0.3">
      <c r="A964" t="s">
        <v>712</v>
      </c>
      <c r="B964" t="s">
        <v>586</v>
      </c>
      <c r="C964" t="s">
        <v>587</v>
      </c>
      <c r="D964">
        <v>2020</v>
      </c>
      <c r="E964" s="2">
        <v>25</v>
      </c>
      <c r="F964" s="2">
        <v>3250</v>
      </c>
      <c r="G964" s="2">
        <v>3412.5</v>
      </c>
      <c r="H964" s="3" t="s">
        <v>18</v>
      </c>
    </row>
    <row r="965" spans="1:8" x14ac:dyDescent="0.3">
      <c r="A965" t="s">
        <v>712</v>
      </c>
      <c r="B965" t="s">
        <v>586</v>
      </c>
      <c r="C965" t="s">
        <v>587</v>
      </c>
      <c r="D965">
        <v>2021</v>
      </c>
      <c r="E965" s="2">
        <v>75</v>
      </c>
      <c r="F965" s="2">
        <v>8850</v>
      </c>
      <c r="G965" s="2">
        <v>9292.5</v>
      </c>
      <c r="H965" s="3" t="s">
        <v>18</v>
      </c>
    </row>
    <row r="966" spans="1:8" x14ac:dyDescent="0.3">
      <c r="A966" t="s">
        <v>712</v>
      </c>
      <c r="B966" t="s">
        <v>627</v>
      </c>
      <c r="C966" t="s">
        <v>628</v>
      </c>
      <c r="D966">
        <v>2017</v>
      </c>
      <c r="E966" s="2">
        <v>50</v>
      </c>
      <c r="F966" s="2">
        <v>4500</v>
      </c>
      <c r="G966" s="2"/>
      <c r="H966" s="3" t="s">
        <v>18</v>
      </c>
    </row>
    <row r="967" spans="1:8" x14ac:dyDescent="0.3">
      <c r="A967" t="s">
        <v>712</v>
      </c>
      <c r="B967" t="s">
        <v>627</v>
      </c>
      <c r="C967" t="s">
        <v>628</v>
      </c>
      <c r="D967">
        <v>2020</v>
      </c>
      <c r="E967" s="2">
        <v>25</v>
      </c>
      <c r="F967" s="2">
        <v>2250</v>
      </c>
      <c r="G967" s="2">
        <v>2362.5</v>
      </c>
      <c r="H967" s="3" t="s">
        <v>18</v>
      </c>
    </row>
    <row r="968" spans="1:8" x14ac:dyDescent="0.3">
      <c r="A968" t="s">
        <v>712</v>
      </c>
      <c r="B968" t="s">
        <v>627</v>
      </c>
      <c r="C968" t="s">
        <v>628</v>
      </c>
      <c r="D968">
        <v>2021</v>
      </c>
      <c r="E968" s="2">
        <v>25</v>
      </c>
      <c r="F968" s="2">
        <v>1875</v>
      </c>
      <c r="G968" s="2">
        <v>1968.75</v>
      </c>
      <c r="H968" s="3" t="s">
        <v>18</v>
      </c>
    </row>
    <row r="969" spans="1:8" x14ac:dyDescent="0.3">
      <c r="A969" t="s">
        <v>712</v>
      </c>
      <c r="B969" t="s">
        <v>719</v>
      </c>
      <c r="C969" t="s">
        <v>611</v>
      </c>
      <c r="D969">
        <v>2010</v>
      </c>
      <c r="E969" s="2">
        <v>1</v>
      </c>
      <c r="F969" s="2">
        <v>80</v>
      </c>
      <c r="G969" s="2"/>
    </row>
    <row r="970" spans="1:8" x14ac:dyDescent="0.3">
      <c r="A970" t="s">
        <v>712</v>
      </c>
      <c r="B970" t="s">
        <v>589</v>
      </c>
      <c r="C970" t="s">
        <v>590</v>
      </c>
      <c r="D970">
        <v>2021</v>
      </c>
      <c r="E970" s="2">
        <v>25</v>
      </c>
      <c r="F970" s="2">
        <v>1875</v>
      </c>
      <c r="G970" s="2">
        <v>1968.75</v>
      </c>
      <c r="H970" s="3" t="s">
        <v>720</v>
      </c>
    </row>
    <row r="971" spans="1:8" x14ac:dyDescent="0.3">
      <c r="A971" t="s">
        <v>712</v>
      </c>
      <c r="B971" t="s">
        <v>660</v>
      </c>
      <c r="C971" t="s">
        <v>661</v>
      </c>
      <c r="D971">
        <v>2020</v>
      </c>
      <c r="E971" s="2">
        <v>50</v>
      </c>
      <c r="F971" s="2">
        <v>3750</v>
      </c>
      <c r="G971" s="2">
        <v>3937.5</v>
      </c>
    </row>
    <row r="972" spans="1:8" x14ac:dyDescent="0.3">
      <c r="A972" t="s">
        <v>712</v>
      </c>
      <c r="B972" t="s">
        <v>721</v>
      </c>
      <c r="C972" t="s">
        <v>722</v>
      </c>
      <c r="D972">
        <v>2016</v>
      </c>
      <c r="E972" s="2">
        <v>10</v>
      </c>
      <c r="F972" s="2">
        <v>780</v>
      </c>
      <c r="G972" s="2"/>
    </row>
    <row r="973" spans="1:8" x14ac:dyDescent="0.3">
      <c r="A973" t="s">
        <v>712</v>
      </c>
      <c r="B973" t="s">
        <v>721</v>
      </c>
      <c r="C973" t="s">
        <v>722</v>
      </c>
      <c r="D973">
        <v>2019</v>
      </c>
      <c r="E973" s="2">
        <v>10</v>
      </c>
      <c r="F973" s="2">
        <v>780</v>
      </c>
      <c r="G973" s="2">
        <v>819</v>
      </c>
    </row>
    <row r="974" spans="1:8" x14ac:dyDescent="0.3">
      <c r="A974" t="s">
        <v>712</v>
      </c>
      <c r="B974" t="s">
        <v>721</v>
      </c>
      <c r="C974" t="s">
        <v>722</v>
      </c>
      <c r="D974">
        <v>2020</v>
      </c>
      <c r="E974" s="2">
        <v>50</v>
      </c>
      <c r="F974" s="2">
        <v>3650</v>
      </c>
      <c r="G974" s="2">
        <v>3832.5</v>
      </c>
    </row>
    <row r="975" spans="1:8" x14ac:dyDescent="0.3">
      <c r="A975" t="s">
        <v>712</v>
      </c>
      <c r="B975" t="s">
        <v>723</v>
      </c>
      <c r="C975" t="s">
        <v>724</v>
      </c>
      <c r="D975">
        <v>2019</v>
      </c>
      <c r="E975" s="2">
        <v>25</v>
      </c>
      <c r="F975" s="2">
        <v>2750</v>
      </c>
      <c r="G975" s="2">
        <v>2887.5</v>
      </c>
    </row>
    <row r="976" spans="1:8" x14ac:dyDescent="0.3">
      <c r="A976" t="s">
        <v>712</v>
      </c>
      <c r="B976" t="s">
        <v>723</v>
      </c>
      <c r="C976" t="s">
        <v>724</v>
      </c>
      <c r="D976">
        <v>2020</v>
      </c>
      <c r="E976" s="2">
        <v>35</v>
      </c>
      <c r="F976" s="2">
        <v>3850</v>
      </c>
      <c r="G976" s="2">
        <v>4042.5</v>
      </c>
    </row>
    <row r="977" spans="1:8" x14ac:dyDescent="0.3">
      <c r="A977" t="s">
        <v>712</v>
      </c>
      <c r="B977" t="s">
        <v>244</v>
      </c>
      <c r="C977" t="s">
        <v>245</v>
      </c>
      <c r="D977">
        <v>2019</v>
      </c>
      <c r="E977" s="2">
        <v>75</v>
      </c>
      <c r="F977" s="2">
        <v>9000</v>
      </c>
      <c r="G977" s="2">
        <v>9450</v>
      </c>
      <c r="H977" s="3" t="s">
        <v>725</v>
      </c>
    </row>
    <row r="978" spans="1:8" x14ac:dyDescent="0.3">
      <c r="A978" t="s">
        <v>712</v>
      </c>
      <c r="B978" t="s">
        <v>244</v>
      </c>
      <c r="C978" t="s">
        <v>245</v>
      </c>
      <c r="D978">
        <v>2020</v>
      </c>
      <c r="E978" s="2">
        <v>25</v>
      </c>
      <c r="F978" s="2">
        <v>3000</v>
      </c>
      <c r="G978" s="2">
        <v>3150</v>
      </c>
      <c r="H978" s="3" t="s">
        <v>725</v>
      </c>
    </row>
    <row r="979" spans="1:8" x14ac:dyDescent="0.3">
      <c r="A979" t="s">
        <v>712</v>
      </c>
      <c r="B979" t="s">
        <v>244</v>
      </c>
      <c r="C979" t="s">
        <v>245</v>
      </c>
      <c r="D979">
        <v>2021</v>
      </c>
      <c r="E979" s="2">
        <v>50</v>
      </c>
      <c r="F979" s="2">
        <v>5250</v>
      </c>
      <c r="G979" s="2">
        <v>5512.5</v>
      </c>
      <c r="H979" s="3" t="s">
        <v>725</v>
      </c>
    </row>
    <row r="980" spans="1:8" x14ac:dyDescent="0.3">
      <c r="A980" t="s">
        <v>712</v>
      </c>
      <c r="B980" t="s">
        <v>726</v>
      </c>
      <c r="C980" t="s">
        <v>727</v>
      </c>
      <c r="D980">
        <v>2014</v>
      </c>
      <c r="E980" s="2">
        <v>15</v>
      </c>
      <c r="F980" s="2">
        <v>1050</v>
      </c>
      <c r="G980" s="2"/>
    </row>
    <row r="981" spans="1:8" x14ac:dyDescent="0.3">
      <c r="A981" t="s">
        <v>712</v>
      </c>
      <c r="B981" t="s">
        <v>633</v>
      </c>
      <c r="C981" t="s">
        <v>634</v>
      </c>
      <c r="D981">
        <v>2019</v>
      </c>
      <c r="E981" s="2">
        <v>25</v>
      </c>
      <c r="F981" s="2">
        <v>2375</v>
      </c>
      <c r="G981" s="2">
        <v>2493.75</v>
      </c>
    </row>
    <row r="982" spans="1:8" x14ac:dyDescent="0.3">
      <c r="A982" t="s">
        <v>712</v>
      </c>
      <c r="B982" t="s">
        <v>533</v>
      </c>
      <c r="C982" t="s">
        <v>534</v>
      </c>
      <c r="D982">
        <v>2020</v>
      </c>
      <c r="E982" s="2">
        <v>25</v>
      </c>
      <c r="F982" s="2">
        <v>2375</v>
      </c>
      <c r="G982" s="2">
        <v>2493.75</v>
      </c>
    </row>
    <row r="983" spans="1:8" x14ac:dyDescent="0.3">
      <c r="A983" t="s">
        <v>712</v>
      </c>
      <c r="B983" t="s">
        <v>635</v>
      </c>
      <c r="C983" t="s">
        <v>636</v>
      </c>
      <c r="D983">
        <v>2019</v>
      </c>
      <c r="E983" s="2">
        <v>25</v>
      </c>
      <c r="F983" s="2">
        <v>1750</v>
      </c>
      <c r="G983" s="2">
        <v>1837.5</v>
      </c>
      <c r="H983" s="3" t="s">
        <v>448</v>
      </c>
    </row>
    <row r="984" spans="1:8" x14ac:dyDescent="0.3">
      <c r="A984" t="s">
        <v>712</v>
      </c>
      <c r="B984" t="s">
        <v>635</v>
      </c>
      <c r="C984" t="s">
        <v>636</v>
      </c>
      <c r="D984">
        <v>2020</v>
      </c>
      <c r="E984" s="2">
        <v>25</v>
      </c>
      <c r="F984" s="2">
        <v>1750</v>
      </c>
      <c r="G984" s="2">
        <v>1837.5</v>
      </c>
      <c r="H984" s="3" t="s">
        <v>448</v>
      </c>
    </row>
    <row r="985" spans="1:8" x14ac:dyDescent="0.3">
      <c r="A985" t="s">
        <v>712</v>
      </c>
      <c r="B985" t="s">
        <v>635</v>
      </c>
      <c r="C985" t="s">
        <v>636</v>
      </c>
      <c r="D985">
        <v>2021</v>
      </c>
      <c r="E985" s="2">
        <v>50</v>
      </c>
      <c r="F985" s="2">
        <v>3400</v>
      </c>
      <c r="G985" s="2">
        <v>3570</v>
      </c>
      <c r="H985" s="3" t="s">
        <v>448</v>
      </c>
    </row>
    <row r="986" spans="1:8" x14ac:dyDescent="0.3">
      <c r="A986" t="s">
        <v>712</v>
      </c>
      <c r="B986" t="s">
        <v>728</v>
      </c>
      <c r="D986">
        <v>2017</v>
      </c>
      <c r="E986" s="2">
        <v>20</v>
      </c>
      <c r="F986" s="2">
        <v>1600</v>
      </c>
      <c r="G986" s="2"/>
    </row>
    <row r="987" spans="1:8" x14ac:dyDescent="0.3">
      <c r="A987" t="s">
        <v>712</v>
      </c>
      <c r="B987" t="s">
        <v>454</v>
      </c>
      <c r="C987" t="s">
        <v>455</v>
      </c>
      <c r="D987">
        <v>2014</v>
      </c>
      <c r="E987" s="2">
        <v>25</v>
      </c>
      <c r="F987" s="2">
        <v>2000</v>
      </c>
      <c r="G987" s="2"/>
      <c r="H987" s="3" t="s">
        <v>18</v>
      </c>
    </row>
    <row r="988" spans="1:8" x14ac:dyDescent="0.3">
      <c r="A988" t="s">
        <v>712</v>
      </c>
      <c r="B988" t="s">
        <v>729</v>
      </c>
      <c r="D988">
        <v>2021</v>
      </c>
      <c r="E988" s="2">
        <v>100</v>
      </c>
      <c r="F988" s="2">
        <v>7800</v>
      </c>
      <c r="G988" s="2">
        <v>8190</v>
      </c>
      <c r="H988" s="3" t="s">
        <v>730</v>
      </c>
    </row>
    <row r="989" spans="1:8" x14ac:dyDescent="0.3">
      <c r="A989" t="s">
        <v>712</v>
      </c>
      <c r="B989" t="s">
        <v>602</v>
      </c>
      <c r="C989" t="s">
        <v>603</v>
      </c>
      <c r="D989">
        <v>2011</v>
      </c>
      <c r="E989" s="2">
        <v>25</v>
      </c>
      <c r="F989" s="2">
        <v>1750</v>
      </c>
      <c r="G989" s="2"/>
    </row>
    <row r="990" spans="1:8" x14ac:dyDescent="0.3">
      <c r="A990" t="s">
        <v>712</v>
      </c>
      <c r="B990" t="s">
        <v>602</v>
      </c>
      <c r="C990" t="s">
        <v>603</v>
      </c>
      <c r="D990">
        <v>2016</v>
      </c>
      <c r="E990" s="2">
        <v>25</v>
      </c>
      <c r="F990" s="2">
        <v>1800</v>
      </c>
      <c r="G990" s="2"/>
    </row>
    <row r="991" spans="1:8" x14ac:dyDescent="0.3">
      <c r="A991" t="s">
        <v>712</v>
      </c>
      <c r="B991" t="s">
        <v>602</v>
      </c>
      <c r="C991" t="s">
        <v>603</v>
      </c>
      <c r="D991">
        <v>2021</v>
      </c>
      <c r="E991" s="2">
        <v>25</v>
      </c>
      <c r="F991" s="2">
        <v>1750</v>
      </c>
      <c r="G991" s="2">
        <v>1837.5</v>
      </c>
    </row>
    <row r="992" spans="1:8" x14ac:dyDescent="0.3">
      <c r="A992" t="s">
        <v>712</v>
      </c>
      <c r="B992" t="s">
        <v>731</v>
      </c>
      <c r="C992" t="s">
        <v>289</v>
      </c>
      <c r="D992">
        <v>2019</v>
      </c>
      <c r="E992" s="2">
        <v>100</v>
      </c>
      <c r="F992" s="2">
        <v>9500</v>
      </c>
      <c r="G992" s="2">
        <v>9975</v>
      </c>
    </row>
    <row r="993" spans="1:8" x14ac:dyDescent="0.3">
      <c r="A993" t="s">
        <v>712</v>
      </c>
      <c r="B993" t="s">
        <v>732</v>
      </c>
      <c r="C993" t="s">
        <v>289</v>
      </c>
      <c r="D993">
        <v>2020</v>
      </c>
      <c r="E993" s="2">
        <v>50</v>
      </c>
      <c r="F993" s="2">
        <v>4750</v>
      </c>
      <c r="G993" s="2">
        <v>4987.5</v>
      </c>
      <c r="H993" s="3" t="s">
        <v>733</v>
      </c>
    </row>
    <row r="994" spans="1:8" x14ac:dyDescent="0.3">
      <c r="A994" t="s">
        <v>712</v>
      </c>
      <c r="B994" t="s">
        <v>732</v>
      </c>
      <c r="C994" t="s">
        <v>289</v>
      </c>
      <c r="D994">
        <v>2021</v>
      </c>
      <c r="E994" s="2">
        <v>100</v>
      </c>
      <c r="F994" s="2">
        <v>8500</v>
      </c>
      <c r="G994" s="2">
        <v>8925</v>
      </c>
      <c r="H994" s="3" t="s">
        <v>733</v>
      </c>
    </row>
    <row r="995" spans="1:8" x14ac:dyDescent="0.3">
      <c r="A995" t="s">
        <v>712</v>
      </c>
      <c r="B995" t="s">
        <v>734</v>
      </c>
      <c r="C995" t="s">
        <v>735</v>
      </c>
      <c r="D995">
        <v>2011</v>
      </c>
      <c r="E995" s="2">
        <v>25</v>
      </c>
      <c r="F995" s="2">
        <v>1750</v>
      </c>
      <c r="G995" s="2"/>
    </row>
    <row r="996" spans="1:8" x14ac:dyDescent="0.3">
      <c r="A996" t="s">
        <v>712</v>
      </c>
      <c r="B996" t="s">
        <v>734</v>
      </c>
      <c r="C996" t="s">
        <v>735</v>
      </c>
      <c r="D996">
        <v>2014</v>
      </c>
      <c r="E996" s="2">
        <v>25</v>
      </c>
      <c r="F996" s="2">
        <v>1750</v>
      </c>
      <c r="G996" s="2"/>
    </row>
    <row r="997" spans="1:8" x14ac:dyDescent="0.3">
      <c r="A997" t="s">
        <v>712</v>
      </c>
      <c r="B997" t="s">
        <v>461</v>
      </c>
      <c r="D997">
        <v>2017</v>
      </c>
      <c r="E997" s="2">
        <v>1</v>
      </c>
      <c r="F997" s="2">
        <v>130</v>
      </c>
      <c r="G997" s="2"/>
    </row>
    <row r="998" spans="1:8" x14ac:dyDescent="0.3">
      <c r="A998" t="s">
        <v>712</v>
      </c>
      <c r="B998" t="s">
        <v>26</v>
      </c>
      <c r="C998" t="s">
        <v>27</v>
      </c>
      <c r="D998">
        <v>2018</v>
      </c>
      <c r="E998" s="2">
        <v>50</v>
      </c>
      <c r="F998" s="2">
        <v>3750</v>
      </c>
      <c r="G998" s="2">
        <v>3937.5</v>
      </c>
    </row>
    <row r="999" spans="1:8" x14ac:dyDescent="0.3">
      <c r="A999" t="s">
        <v>712</v>
      </c>
      <c r="B999" t="s">
        <v>26</v>
      </c>
      <c r="C999" t="s">
        <v>27</v>
      </c>
      <c r="D999">
        <v>2019</v>
      </c>
      <c r="E999" s="2">
        <v>100</v>
      </c>
      <c r="F999" s="2">
        <v>7500</v>
      </c>
      <c r="G999" s="2">
        <v>7875</v>
      </c>
    </row>
    <row r="1000" spans="1:8" x14ac:dyDescent="0.3">
      <c r="A1000" t="s">
        <v>712</v>
      </c>
      <c r="B1000" t="s">
        <v>26</v>
      </c>
      <c r="C1000" t="s">
        <v>27</v>
      </c>
      <c r="D1000">
        <v>2020</v>
      </c>
      <c r="E1000" s="2">
        <v>75</v>
      </c>
      <c r="F1000" s="2">
        <v>5625</v>
      </c>
      <c r="G1000" s="2">
        <v>5906.25</v>
      </c>
    </row>
    <row r="1001" spans="1:8" x14ac:dyDescent="0.3">
      <c r="A1001" t="s">
        <v>712</v>
      </c>
      <c r="B1001" t="s">
        <v>736</v>
      </c>
      <c r="C1001" t="s">
        <v>737</v>
      </c>
      <c r="D1001">
        <v>2021</v>
      </c>
      <c r="E1001" s="2">
        <v>75</v>
      </c>
      <c r="F1001" s="2">
        <v>5250</v>
      </c>
      <c r="G1001" s="2">
        <v>5512.5</v>
      </c>
      <c r="H1001" s="3" t="s">
        <v>14</v>
      </c>
    </row>
    <row r="1002" spans="1:8" x14ac:dyDescent="0.3">
      <c r="A1002" t="s">
        <v>712</v>
      </c>
      <c r="B1002" t="s">
        <v>184</v>
      </c>
      <c r="C1002" t="s">
        <v>185</v>
      </c>
      <c r="D1002">
        <v>2010</v>
      </c>
      <c r="E1002" s="2">
        <v>75</v>
      </c>
      <c r="F1002" s="2">
        <v>3000</v>
      </c>
      <c r="G1002" s="2"/>
    </row>
    <row r="1003" spans="1:8" x14ac:dyDescent="0.3">
      <c r="A1003" t="s">
        <v>712</v>
      </c>
      <c r="B1003" t="s">
        <v>184</v>
      </c>
      <c r="C1003" t="s">
        <v>185</v>
      </c>
      <c r="D1003">
        <v>2011</v>
      </c>
      <c r="E1003" s="2">
        <v>25</v>
      </c>
      <c r="F1003" s="2">
        <v>1375</v>
      </c>
      <c r="G1003" s="2"/>
    </row>
    <row r="1004" spans="1:8" x14ac:dyDescent="0.3">
      <c r="A1004" t="s">
        <v>712</v>
      </c>
      <c r="B1004" t="s">
        <v>567</v>
      </c>
      <c r="C1004" t="s">
        <v>698</v>
      </c>
      <c r="D1004">
        <v>2016</v>
      </c>
      <c r="E1004" s="2">
        <v>25</v>
      </c>
      <c r="F1004" s="2">
        <v>2000</v>
      </c>
      <c r="G1004" s="2"/>
    </row>
    <row r="1005" spans="1:8" x14ac:dyDescent="0.3">
      <c r="A1005" t="s">
        <v>712</v>
      </c>
      <c r="B1005" t="s">
        <v>738</v>
      </c>
      <c r="C1005" t="s">
        <v>739</v>
      </c>
      <c r="D1005">
        <v>2010</v>
      </c>
      <c r="E1005" s="2">
        <v>1</v>
      </c>
      <c r="F1005" s="2">
        <v>150</v>
      </c>
      <c r="G1005" s="2"/>
    </row>
    <row r="1006" spans="1:8" x14ac:dyDescent="0.3">
      <c r="A1006" t="s">
        <v>712</v>
      </c>
      <c r="B1006" t="s">
        <v>740</v>
      </c>
      <c r="C1006" t="s">
        <v>259</v>
      </c>
      <c r="D1006">
        <v>2019</v>
      </c>
      <c r="E1006" s="2">
        <v>50</v>
      </c>
      <c r="F1006" s="2">
        <v>5250</v>
      </c>
      <c r="G1006" s="2">
        <v>5512.5</v>
      </c>
    </row>
    <row r="1007" spans="1:8" x14ac:dyDescent="0.3">
      <c r="A1007" t="s">
        <v>712</v>
      </c>
      <c r="B1007" t="s">
        <v>740</v>
      </c>
      <c r="C1007" t="s">
        <v>259</v>
      </c>
      <c r="D1007">
        <v>2020</v>
      </c>
      <c r="E1007" s="2">
        <v>25</v>
      </c>
      <c r="F1007" s="2">
        <v>2625</v>
      </c>
      <c r="G1007" s="2">
        <v>2756.25</v>
      </c>
    </row>
    <row r="1008" spans="1:8" x14ac:dyDescent="0.3">
      <c r="A1008" t="s">
        <v>712</v>
      </c>
      <c r="B1008" t="s">
        <v>19</v>
      </c>
      <c r="C1008" t="s">
        <v>20</v>
      </c>
      <c r="D1008">
        <v>2011</v>
      </c>
      <c r="E1008" s="2">
        <v>25</v>
      </c>
      <c r="F1008" s="2">
        <v>2200</v>
      </c>
      <c r="G1008" s="2"/>
      <c r="H1008" s="3" t="s">
        <v>374</v>
      </c>
    </row>
    <row r="1009" spans="1:8" x14ac:dyDescent="0.3">
      <c r="A1009" t="s">
        <v>712</v>
      </c>
      <c r="B1009" t="s">
        <v>19</v>
      </c>
      <c r="C1009" t="s">
        <v>20</v>
      </c>
      <c r="D1009">
        <v>2013</v>
      </c>
      <c r="E1009" s="2">
        <v>25</v>
      </c>
      <c r="F1009" s="2">
        <v>2200</v>
      </c>
      <c r="G1009" s="2"/>
      <c r="H1009" s="3" t="s">
        <v>374</v>
      </c>
    </row>
    <row r="1010" spans="1:8" x14ac:dyDescent="0.3">
      <c r="A1010" t="s">
        <v>712</v>
      </c>
      <c r="B1010" t="s">
        <v>19</v>
      </c>
      <c r="C1010" t="s">
        <v>20</v>
      </c>
      <c r="D1010">
        <v>2014</v>
      </c>
      <c r="E1010" s="2">
        <v>25</v>
      </c>
      <c r="F1010" s="2">
        <v>2200</v>
      </c>
      <c r="G1010" s="2"/>
      <c r="H1010" s="3" t="s">
        <v>374</v>
      </c>
    </row>
    <row r="1011" spans="1:8" x14ac:dyDescent="0.3">
      <c r="A1011" t="s">
        <v>712</v>
      </c>
      <c r="B1011" t="s">
        <v>19</v>
      </c>
      <c r="C1011" t="s">
        <v>20</v>
      </c>
      <c r="D1011">
        <v>2015</v>
      </c>
      <c r="E1011" s="2">
        <v>100</v>
      </c>
      <c r="F1011" s="2">
        <v>9500</v>
      </c>
      <c r="G1011" s="2"/>
      <c r="H1011" s="3" t="s">
        <v>374</v>
      </c>
    </row>
    <row r="1012" spans="1:8" x14ac:dyDescent="0.3">
      <c r="A1012" t="s">
        <v>712</v>
      </c>
      <c r="B1012" t="s">
        <v>19</v>
      </c>
      <c r="C1012" t="s">
        <v>20</v>
      </c>
      <c r="D1012">
        <v>2016</v>
      </c>
      <c r="E1012" s="2">
        <v>240</v>
      </c>
      <c r="F1012" s="2">
        <v>20425</v>
      </c>
      <c r="G1012" s="2"/>
      <c r="H1012" s="3" t="s">
        <v>374</v>
      </c>
    </row>
    <row r="1013" spans="1:8" x14ac:dyDescent="0.3">
      <c r="A1013" t="s">
        <v>712</v>
      </c>
      <c r="B1013" t="s">
        <v>19</v>
      </c>
      <c r="C1013" t="s">
        <v>20</v>
      </c>
      <c r="D1013">
        <v>2017</v>
      </c>
      <c r="E1013" s="2">
        <v>377</v>
      </c>
      <c r="F1013" s="2">
        <v>36085</v>
      </c>
      <c r="G1013" s="2"/>
      <c r="H1013" s="3" t="s">
        <v>374</v>
      </c>
    </row>
    <row r="1014" spans="1:8" x14ac:dyDescent="0.3">
      <c r="A1014" t="s">
        <v>712</v>
      </c>
      <c r="B1014" t="s">
        <v>19</v>
      </c>
      <c r="C1014" t="s">
        <v>20</v>
      </c>
      <c r="D1014">
        <v>2018</v>
      </c>
      <c r="E1014" s="2">
        <v>75</v>
      </c>
      <c r="F1014" s="2">
        <v>5250</v>
      </c>
      <c r="G1014" s="2">
        <v>5512.5</v>
      </c>
      <c r="H1014" s="3" t="s">
        <v>374</v>
      </c>
    </row>
    <row r="1015" spans="1:8" x14ac:dyDescent="0.3">
      <c r="A1015" t="s">
        <v>712</v>
      </c>
      <c r="B1015" t="s">
        <v>19</v>
      </c>
      <c r="C1015" t="s">
        <v>20</v>
      </c>
      <c r="D1015">
        <v>2019</v>
      </c>
      <c r="E1015" s="2">
        <v>25</v>
      </c>
      <c r="F1015" s="2">
        <v>1750</v>
      </c>
      <c r="G1015" s="2">
        <v>1837.5</v>
      </c>
      <c r="H1015" s="3" t="s">
        <v>374</v>
      </c>
    </row>
    <row r="1016" spans="1:8" x14ac:dyDescent="0.3">
      <c r="A1016" t="s">
        <v>712</v>
      </c>
      <c r="B1016" t="s">
        <v>19</v>
      </c>
      <c r="C1016" t="s">
        <v>20</v>
      </c>
      <c r="D1016">
        <v>2020</v>
      </c>
      <c r="E1016" s="2">
        <v>150</v>
      </c>
      <c r="F1016" s="2">
        <v>10500</v>
      </c>
      <c r="G1016" s="2">
        <v>11025</v>
      </c>
      <c r="H1016" s="3" t="s">
        <v>374</v>
      </c>
    </row>
    <row r="1017" spans="1:8" x14ac:dyDescent="0.3">
      <c r="A1017" t="s">
        <v>712</v>
      </c>
      <c r="B1017" t="s">
        <v>19</v>
      </c>
      <c r="C1017" t="s">
        <v>20</v>
      </c>
      <c r="D1017">
        <v>2021</v>
      </c>
      <c r="E1017" s="2">
        <v>100</v>
      </c>
      <c r="F1017" s="2">
        <v>7000</v>
      </c>
      <c r="G1017" s="2">
        <v>7350</v>
      </c>
      <c r="H1017" s="3" t="s">
        <v>374</v>
      </c>
    </row>
    <row r="1018" spans="1:8" x14ac:dyDescent="0.3">
      <c r="A1018" t="s">
        <v>712</v>
      </c>
      <c r="B1018" t="s">
        <v>41</v>
      </c>
      <c r="C1018" t="s">
        <v>42</v>
      </c>
      <c r="D1018">
        <v>2016</v>
      </c>
      <c r="E1018" s="2">
        <v>25</v>
      </c>
      <c r="F1018" s="2">
        <v>1750</v>
      </c>
      <c r="G1018" s="2"/>
    </row>
    <row r="1019" spans="1:8" x14ac:dyDescent="0.3">
      <c r="A1019" t="s">
        <v>712</v>
      </c>
      <c r="B1019" t="s">
        <v>543</v>
      </c>
      <c r="C1019" t="s">
        <v>544</v>
      </c>
      <c r="D1019">
        <v>2017</v>
      </c>
      <c r="E1019" s="2">
        <v>25</v>
      </c>
      <c r="F1019" s="2">
        <v>2250</v>
      </c>
      <c r="G1019" s="2"/>
    </row>
    <row r="1020" spans="1:8" x14ac:dyDescent="0.3">
      <c r="A1020" t="s">
        <v>712</v>
      </c>
      <c r="B1020" t="s">
        <v>21</v>
      </c>
      <c r="C1020" t="s">
        <v>22</v>
      </c>
      <c r="D1020">
        <v>2016</v>
      </c>
      <c r="E1020" s="2">
        <v>25</v>
      </c>
      <c r="F1020" s="2">
        <v>1500</v>
      </c>
      <c r="G1020" s="2"/>
    </row>
    <row r="1021" spans="1:8" x14ac:dyDescent="0.3">
      <c r="A1021" t="s">
        <v>712</v>
      </c>
      <c r="B1021" t="s">
        <v>110</v>
      </c>
      <c r="C1021" t="s">
        <v>111</v>
      </c>
      <c r="D1021">
        <v>2017</v>
      </c>
      <c r="E1021" s="2">
        <v>50</v>
      </c>
      <c r="F1021" s="2">
        <v>3000</v>
      </c>
      <c r="G1021" s="2"/>
    </row>
    <row r="1022" spans="1:8" x14ac:dyDescent="0.3">
      <c r="A1022" t="s">
        <v>712</v>
      </c>
      <c r="B1022" t="s">
        <v>110</v>
      </c>
      <c r="C1022" t="s">
        <v>111</v>
      </c>
      <c r="D1022">
        <v>2018</v>
      </c>
      <c r="E1022" s="2">
        <v>25</v>
      </c>
      <c r="F1022" s="2">
        <v>1500</v>
      </c>
      <c r="G1022" s="2">
        <v>1575</v>
      </c>
    </row>
    <row r="1023" spans="1:8" x14ac:dyDescent="0.3">
      <c r="A1023" t="s">
        <v>712</v>
      </c>
      <c r="B1023" t="s">
        <v>110</v>
      </c>
      <c r="C1023" t="s">
        <v>111</v>
      </c>
      <c r="D1023">
        <v>2019</v>
      </c>
      <c r="E1023" s="2">
        <v>25</v>
      </c>
      <c r="F1023" s="2">
        <v>1500</v>
      </c>
      <c r="G1023" s="2">
        <v>1575</v>
      </c>
    </row>
    <row r="1024" spans="1:8" x14ac:dyDescent="0.3">
      <c r="A1024" t="s">
        <v>712</v>
      </c>
      <c r="B1024" t="s">
        <v>110</v>
      </c>
      <c r="C1024" t="s">
        <v>111</v>
      </c>
      <c r="D1024">
        <v>2020</v>
      </c>
      <c r="E1024" s="2">
        <v>50</v>
      </c>
      <c r="F1024" s="2">
        <v>3000</v>
      </c>
      <c r="G1024" s="2">
        <v>3150</v>
      </c>
    </row>
    <row r="1025" spans="1:8" x14ac:dyDescent="0.3">
      <c r="A1025" t="s">
        <v>712</v>
      </c>
      <c r="B1025" t="s">
        <v>741</v>
      </c>
      <c r="C1025" t="s">
        <v>742</v>
      </c>
      <c r="D1025">
        <v>2013</v>
      </c>
      <c r="E1025" s="2">
        <v>5</v>
      </c>
      <c r="F1025" s="2">
        <v>375</v>
      </c>
      <c r="G1025" s="2"/>
    </row>
    <row r="1026" spans="1:8" x14ac:dyDescent="0.3">
      <c r="A1026" t="s">
        <v>712</v>
      </c>
      <c r="B1026" t="s">
        <v>741</v>
      </c>
      <c r="C1026" t="s">
        <v>742</v>
      </c>
      <c r="D1026">
        <v>2015</v>
      </c>
      <c r="E1026" s="2">
        <v>75</v>
      </c>
      <c r="F1026" s="2">
        <v>5625</v>
      </c>
      <c r="G1026" s="2"/>
    </row>
    <row r="1027" spans="1:8" x14ac:dyDescent="0.3">
      <c r="A1027" t="s">
        <v>712</v>
      </c>
      <c r="B1027" t="s">
        <v>741</v>
      </c>
      <c r="C1027" t="s">
        <v>742</v>
      </c>
      <c r="D1027">
        <v>2016</v>
      </c>
      <c r="E1027" s="2">
        <v>75</v>
      </c>
      <c r="F1027" s="2">
        <v>5625</v>
      </c>
      <c r="G1027" s="2"/>
    </row>
    <row r="1028" spans="1:8" x14ac:dyDescent="0.3">
      <c r="A1028" t="s">
        <v>712</v>
      </c>
      <c r="B1028" t="s">
        <v>741</v>
      </c>
      <c r="C1028" t="s">
        <v>742</v>
      </c>
      <c r="D1028">
        <v>2017</v>
      </c>
      <c r="E1028" s="2">
        <v>50</v>
      </c>
      <c r="F1028" s="2">
        <v>3750</v>
      </c>
      <c r="G1028" s="2"/>
    </row>
    <row r="1029" spans="1:8" x14ac:dyDescent="0.3">
      <c r="A1029" t="s">
        <v>712</v>
      </c>
      <c r="B1029" t="s">
        <v>471</v>
      </c>
      <c r="C1029" t="s">
        <v>472</v>
      </c>
      <c r="D1029">
        <v>2019</v>
      </c>
      <c r="E1029" s="2">
        <v>25</v>
      </c>
      <c r="F1029" s="2">
        <v>1550</v>
      </c>
      <c r="G1029" s="2">
        <v>1627.5</v>
      </c>
    </row>
    <row r="1030" spans="1:8" x14ac:dyDescent="0.3">
      <c r="A1030" t="s">
        <v>712</v>
      </c>
      <c r="B1030" t="s">
        <v>114</v>
      </c>
      <c r="C1030" t="s">
        <v>115</v>
      </c>
      <c r="D1030">
        <v>2019</v>
      </c>
      <c r="E1030" s="2">
        <v>25</v>
      </c>
      <c r="F1030" s="2">
        <v>2000</v>
      </c>
      <c r="G1030" s="2">
        <v>2100</v>
      </c>
    </row>
    <row r="1031" spans="1:8" x14ac:dyDescent="0.3">
      <c r="A1031" t="s">
        <v>712</v>
      </c>
      <c r="B1031" t="s">
        <v>114</v>
      </c>
      <c r="C1031" t="s">
        <v>115</v>
      </c>
      <c r="D1031">
        <v>2020</v>
      </c>
      <c r="E1031" s="2">
        <v>25</v>
      </c>
      <c r="F1031" s="2">
        <v>2000</v>
      </c>
      <c r="G1031" s="2">
        <v>2100</v>
      </c>
    </row>
    <row r="1032" spans="1:8" x14ac:dyDescent="0.3">
      <c r="A1032" t="s">
        <v>712</v>
      </c>
      <c r="B1032" t="s">
        <v>187</v>
      </c>
      <c r="C1032" t="s">
        <v>188</v>
      </c>
      <c r="D1032">
        <v>2016</v>
      </c>
      <c r="E1032" s="2">
        <v>25</v>
      </c>
      <c r="F1032" s="2">
        <v>2000</v>
      </c>
      <c r="G1032" s="2"/>
    </row>
    <row r="1033" spans="1:8" x14ac:dyDescent="0.3">
      <c r="A1033" t="s">
        <v>712</v>
      </c>
      <c r="B1033" t="s">
        <v>187</v>
      </c>
      <c r="C1033" t="s">
        <v>188</v>
      </c>
      <c r="D1033">
        <v>2017</v>
      </c>
      <c r="E1033" s="2">
        <v>25</v>
      </c>
      <c r="F1033" s="2">
        <v>2000</v>
      </c>
      <c r="G1033" s="2"/>
    </row>
    <row r="1034" spans="1:8" x14ac:dyDescent="0.3">
      <c r="A1034" t="s">
        <v>712</v>
      </c>
      <c r="B1034" t="s">
        <v>187</v>
      </c>
      <c r="C1034" t="s">
        <v>188</v>
      </c>
      <c r="D1034">
        <v>2018</v>
      </c>
      <c r="E1034" s="2">
        <v>25</v>
      </c>
      <c r="F1034" s="2">
        <v>2000</v>
      </c>
      <c r="G1034" s="2">
        <v>2100</v>
      </c>
    </row>
    <row r="1035" spans="1:8" x14ac:dyDescent="0.3">
      <c r="A1035" t="s">
        <v>712</v>
      </c>
      <c r="B1035" t="s">
        <v>743</v>
      </c>
      <c r="D1035">
        <v>2021</v>
      </c>
      <c r="E1035" s="2">
        <v>50</v>
      </c>
      <c r="F1035" s="2">
        <v>4250</v>
      </c>
      <c r="G1035" s="2">
        <v>4462.5</v>
      </c>
      <c r="H1035" s="3" t="s">
        <v>744</v>
      </c>
    </row>
    <row r="1036" spans="1:8" x14ac:dyDescent="0.3">
      <c r="A1036" t="s">
        <v>712</v>
      </c>
      <c r="B1036" t="s">
        <v>745</v>
      </c>
      <c r="C1036" t="s">
        <v>121</v>
      </c>
      <c r="D1036">
        <v>2016</v>
      </c>
      <c r="E1036" s="2">
        <v>5</v>
      </c>
      <c r="F1036" s="2">
        <v>675</v>
      </c>
      <c r="G1036" s="2"/>
    </row>
    <row r="1037" spans="1:8" x14ac:dyDescent="0.3">
      <c r="A1037" t="s">
        <v>712</v>
      </c>
      <c r="B1037" t="s">
        <v>745</v>
      </c>
      <c r="C1037" t="s">
        <v>121</v>
      </c>
      <c r="D1037">
        <v>2017</v>
      </c>
      <c r="E1037" s="2">
        <v>50</v>
      </c>
      <c r="F1037" s="2">
        <v>6750</v>
      </c>
      <c r="G1037" s="2"/>
    </row>
    <row r="1038" spans="1:8" x14ac:dyDescent="0.3">
      <c r="A1038" t="s">
        <v>712</v>
      </c>
      <c r="B1038" t="s">
        <v>745</v>
      </c>
      <c r="C1038" t="s">
        <v>121</v>
      </c>
      <c r="D1038">
        <v>2018</v>
      </c>
      <c r="E1038" s="2">
        <v>25</v>
      </c>
      <c r="F1038" s="2">
        <v>3375</v>
      </c>
      <c r="G1038" s="2">
        <v>3543.75</v>
      </c>
    </row>
    <row r="1039" spans="1:8" x14ac:dyDescent="0.3">
      <c r="A1039" t="s">
        <v>712</v>
      </c>
      <c r="B1039" t="s">
        <v>745</v>
      </c>
      <c r="C1039" t="s">
        <v>121</v>
      </c>
      <c r="D1039">
        <v>2019</v>
      </c>
      <c r="E1039" s="2">
        <v>50</v>
      </c>
      <c r="F1039" s="2">
        <v>6750</v>
      </c>
      <c r="G1039" s="2">
        <v>7087.5</v>
      </c>
    </row>
    <row r="1040" spans="1:8" x14ac:dyDescent="0.3">
      <c r="A1040" t="s">
        <v>712</v>
      </c>
      <c r="B1040" t="s">
        <v>573</v>
      </c>
      <c r="C1040" t="s">
        <v>574</v>
      </c>
      <c r="D1040">
        <v>2018</v>
      </c>
      <c r="E1040" s="2">
        <v>25</v>
      </c>
      <c r="F1040" s="2">
        <v>2300</v>
      </c>
      <c r="G1040" s="2">
        <v>2415</v>
      </c>
    </row>
    <row r="1041" spans="1:8" x14ac:dyDescent="0.3">
      <c r="A1041" t="s">
        <v>712</v>
      </c>
      <c r="B1041" t="s">
        <v>373</v>
      </c>
      <c r="C1041" t="s">
        <v>331</v>
      </c>
      <c r="D1041">
        <v>2020</v>
      </c>
      <c r="E1041" s="2">
        <v>25</v>
      </c>
      <c r="F1041" s="2">
        <v>3375</v>
      </c>
      <c r="G1041" s="2">
        <v>3543.75</v>
      </c>
      <c r="H1041" s="3" t="s">
        <v>746</v>
      </c>
    </row>
    <row r="1042" spans="1:8" x14ac:dyDescent="0.3">
      <c r="A1042" t="s">
        <v>712</v>
      </c>
      <c r="B1042" t="s">
        <v>373</v>
      </c>
      <c r="C1042" t="s">
        <v>331</v>
      </c>
      <c r="D1042">
        <v>2021</v>
      </c>
      <c r="E1042" s="2">
        <v>50</v>
      </c>
      <c r="F1042" s="2">
        <v>5900</v>
      </c>
      <c r="G1042" s="2">
        <v>6195</v>
      </c>
      <c r="H1042" s="3" t="s">
        <v>746</v>
      </c>
    </row>
    <row r="1043" spans="1:8" x14ac:dyDescent="0.3">
      <c r="A1043" t="s">
        <v>712</v>
      </c>
      <c r="B1043" t="s">
        <v>68</v>
      </c>
      <c r="C1043" t="s">
        <v>69</v>
      </c>
      <c r="D1043">
        <v>2010</v>
      </c>
      <c r="E1043" s="2">
        <v>25</v>
      </c>
      <c r="F1043" s="2">
        <v>1200</v>
      </c>
      <c r="G1043" s="2"/>
    </row>
    <row r="1044" spans="1:8" x14ac:dyDescent="0.3">
      <c r="A1044" t="s">
        <v>712</v>
      </c>
      <c r="B1044" t="s">
        <v>68</v>
      </c>
      <c r="C1044" t="s">
        <v>69</v>
      </c>
      <c r="D1044">
        <v>2011</v>
      </c>
      <c r="E1044" s="2">
        <v>25</v>
      </c>
      <c r="F1044" s="2">
        <v>1500</v>
      </c>
      <c r="G1044" s="2"/>
    </row>
    <row r="1045" spans="1:8" x14ac:dyDescent="0.3">
      <c r="A1045" t="s">
        <v>712</v>
      </c>
      <c r="B1045" t="s">
        <v>68</v>
      </c>
      <c r="C1045" t="s">
        <v>69</v>
      </c>
      <c r="D1045">
        <v>2018</v>
      </c>
      <c r="E1045" s="2">
        <v>100</v>
      </c>
      <c r="F1045" s="2">
        <v>8500</v>
      </c>
      <c r="G1045" s="2">
        <v>8925</v>
      </c>
    </row>
    <row r="1046" spans="1:8" x14ac:dyDescent="0.3">
      <c r="A1046" t="s">
        <v>712</v>
      </c>
      <c r="B1046" t="s">
        <v>68</v>
      </c>
      <c r="C1046" t="s">
        <v>69</v>
      </c>
      <c r="D1046">
        <v>2019</v>
      </c>
      <c r="E1046" s="2">
        <v>50</v>
      </c>
      <c r="F1046" s="2">
        <v>4250</v>
      </c>
      <c r="G1046" s="2">
        <v>4462.5</v>
      </c>
    </row>
    <row r="1047" spans="1:8" x14ac:dyDescent="0.3">
      <c r="A1047" t="s">
        <v>712</v>
      </c>
      <c r="B1047" t="s">
        <v>68</v>
      </c>
      <c r="C1047" t="s">
        <v>69</v>
      </c>
      <c r="D1047">
        <v>2020</v>
      </c>
      <c r="E1047" s="2">
        <v>50</v>
      </c>
      <c r="F1047" s="2">
        <v>4250</v>
      </c>
      <c r="G1047" s="2">
        <v>4462.5</v>
      </c>
    </row>
    <row r="1048" spans="1:8" x14ac:dyDescent="0.3">
      <c r="A1048" t="s">
        <v>712</v>
      </c>
      <c r="B1048" t="s">
        <v>404</v>
      </c>
      <c r="C1048" t="s">
        <v>405</v>
      </c>
      <c r="D1048">
        <v>2016</v>
      </c>
      <c r="E1048" s="2">
        <v>25</v>
      </c>
      <c r="F1048" s="2">
        <v>2500</v>
      </c>
      <c r="G1048" s="2"/>
    </row>
    <row r="1049" spans="1:8" x14ac:dyDescent="0.3">
      <c r="A1049" t="s">
        <v>712</v>
      </c>
      <c r="B1049" t="s">
        <v>653</v>
      </c>
      <c r="C1049" t="s">
        <v>654</v>
      </c>
      <c r="D1049">
        <v>2019</v>
      </c>
      <c r="E1049" s="2">
        <v>25</v>
      </c>
      <c r="F1049" s="2">
        <v>2125</v>
      </c>
      <c r="G1049" s="2">
        <v>2231.25</v>
      </c>
    </row>
    <row r="1050" spans="1:8" x14ac:dyDescent="0.3">
      <c r="A1050" t="s">
        <v>712</v>
      </c>
      <c r="B1050" t="s">
        <v>575</v>
      </c>
      <c r="C1050" t="s">
        <v>673</v>
      </c>
      <c r="D1050">
        <v>2020</v>
      </c>
      <c r="E1050" s="2">
        <v>25</v>
      </c>
      <c r="F1050" s="2">
        <v>2000</v>
      </c>
      <c r="G1050" s="2">
        <v>2100</v>
      </c>
    </row>
    <row r="1051" spans="1:8" x14ac:dyDescent="0.3">
      <c r="A1051" t="s">
        <v>712</v>
      </c>
      <c r="B1051" t="s">
        <v>473</v>
      </c>
      <c r="C1051" t="s">
        <v>747</v>
      </c>
      <c r="D1051">
        <v>2011</v>
      </c>
      <c r="E1051" s="2">
        <v>25</v>
      </c>
      <c r="F1051" s="2">
        <v>2250</v>
      </c>
      <c r="G1051" s="2"/>
    </row>
    <row r="1052" spans="1:8" x14ac:dyDescent="0.3">
      <c r="A1052" t="s">
        <v>712</v>
      </c>
      <c r="B1052" t="s">
        <v>748</v>
      </c>
      <c r="C1052" t="s">
        <v>749</v>
      </c>
      <c r="D1052">
        <v>2020</v>
      </c>
      <c r="E1052" s="2">
        <v>50</v>
      </c>
      <c r="F1052" s="2">
        <v>4000</v>
      </c>
      <c r="G1052" s="2">
        <v>4200</v>
      </c>
    </row>
    <row r="1053" spans="1:8" x14ac:dyDescent="0.3">
      <c r="A1053" t="s">
        <v>712</v>
      </c>
      <c r="B1053" t="s">
        <v>706</v>
      </c>
      <c r="C1053" t="s">
        <v>707</v>
      </c>
      <c r="D1053">
        <v>2016</v>
      </c>
      <c r="E1053" s="2">
        <v>35</v>
      </c>
      <c r="F1053" s="2">
        <v>2625</v>
      </c>
      <c r="G1053" s="2"/>
    </row>
    <row r="1054" spans="1:8" x14ac:dyDescent="0.3">
      <c r="A1054" t="s">
        <v>712</v>
      </c>
      <c r="B1054" t="s">
        <v>706</v>
      </c>
      <c r="C1054" t="s">
        <v>707</v>
      </c>
      <c r="D1054">
        <v>2017</v>
      </c>
      <c r="E1054" s="2">
        <v>175</v>
      </c>
      <c r="F1054" s="2">
        <v>13125</v>
      </c>
      <c r="G1054" s="2"/>
    </row>
    <row r="1055" spans="1:8" x14ac:dyDescent="0.3">
      <c r="A1055" t="s">
        <v>712</v>
      </c>
      <c r="B1055" t="s">
        <v>706</v>
      </c>
      <c r="C1055" t="s">
        <v>707</v>
      </c>
      <c r="D1055">
        <v>2018</v>
      </c>
      <c r="E1055" s="2">
        <v>45</v>
      </c>
      <c r="F1055" s="2">
        <v>3625</v>
      </c>
      <c r="G1055" s="2">
        <v>3806.25</v>
      </c>
    </row>
    <row r="1056" spans="1:8" x14ac:dyDescent="0.3">
      <c r="A1056" t="s">
        <v>712</v>
      </c>
      <c r="B1056" t="s">
        <v>706</v>
      </c>
      <c r="C1056" t="s">
        <v>707</v>
      </c>
      <c r="D1056">
        <v>2019</v>
      </c>
      <c r="E1056" s="2">
        <v>25</v>
      </c>
      <c r="F1056" s="2">
        <v>1875</v>
      </c>
      <c r="G1056" s="2">
        <v>1968.75</v>
      </c>
    </row>
    <row r="1057" spans="1:8" x14ac:dyDescent="0.3">
      <c r="A1057" t="s">
        <v>712</v>
      </c>
      <c r="B1057" t="s">
        <v>334</v>
      </c>
      <c r="C1057" t="s">
        <v>335</v>
      </c>
      <c r="D1057">
        <v>2016</v>
      </c>
      <c r="E1057" s="2">
        <v>10</v>
      </c>
      <c r="F1057" s="2">
        <v>750</v>
      </c>
      <c r="G1057" s="2"/>
    </row>
    <row r="1058" spans="1:8" x14ac:dyDescent="0.3">
      <c r="A1058" t="s">
        <v>712</v>
      </c>
      <c r="B1058" t="s">
        <v>192</v>
      </c>
      <c r="C1058" t="s">
        <v>193</v>
      </c>
      <c r="D1058">
        <v>2016</v>
      </c>
      <c r="E1058" s="2">
        <v>23</v>
      </c>
      <c r="F1058" s="2">
        <v>1610</v>
      </c>
      <c r="G1058" s="2"/>
    </row>
    <row r="1059" spans="1:8" x14ac:dyDescent="0.3">
      <c r="A1059" t="s">
        <v>712</v>
      </c>
      <c r="B1059" t="s">
        <v>314</v>
      </c>
      <c r="C1059" t="s">
        <v>315</v>
      </c>
      <c r="D1059">
        <v>2016</v>
      </c>
      <c r="E1059" s="2">
        <v>15</v>
      </c>
      <c r="F1059" s="2">
        <v>1125</v>
      </c>
      <c r="G1059" s="2"/>
    </row>
    <row r="1060" spans="1:8" x14ac:dyDescent="0.3">
      <c r="A1060" t="s">
        <v>712</v>
      </c>
      <c r="B1060" t="s">
        <v>314</v>
      </c>
      <c r="C1060" t="s">
        <v>315</v>
      </c>
      <c r="D1060">
        <v>2018</v>
      </c>
      <c r="E1060" s="2">
        <v>125</v>
      </c>
      <c r="F1060" s="2">
        <v>9375</v>
      </c>
      <c r="G1060" s="2">
        <v>9843.75</v>
      </c>
    </row>
    <row r="1061" spans="1:8" x14ac:dyDescent="0.3">
      <c r="A1061" t="s">
        <v>712</v>
      </c>
      <c r="B1061" t="s">
        <v>314</v>
      </c>
      <c r="C1061" t="s">
        <v>315</v>
      </c>
      <c r="D1061">
        <v>2019</v>
      </c>
      <c r="E1061" s="2">
        <v>125</v>
      </c>
      <c r="F1061" s="2">
        <v>9375</v>
      </c>
      <c r="G1061" s="2">
        <v>9843.75</v>
      </c>
    </row>
    <row r="1062" spans="1:8" x14ac:dyDescent="0.3">
      <c r="A1062" t="s">
        <v>712</v>
      </c>
      <c r="B1062" t="s">
        <v>674</v>
      </c>
      <c r="C1062" t="s">
        <v>675</v>
      </c>
      <c r="D1062">
        <v>2020</v>
      </c>
      <c r="E1062" s="2">
        <v>125</v>
      </c>
      <c r="F1062" s="2">
        <v>9375</v>
      </c>
      <c r="G1062" s="2">
        <v>9843.75</v>
      </c>
    </row>
    <row r="1063" spans="1:8" x14ac:dyDescent="0.3">
      <c r="A1063" t="s">
        <v>712</v>
      </c>
      <c r="B1063" t="s">
        <v>750</v>
      </c>
      <c r="C1063" t="s">
        <v>751</v>
      </c>
      <c r="D1063">
        <v>2010</v>
      </c>
      <c r="E1063" s="2">
        <v>1</v>
      </c>
      <c r="F1063" s="2">
        <v>80</v>
      </c>
      <c r="G1063" s="2"/>
    </row>
    <row r="1064" spans="1:8" x14ac:dyDescent="0.3">
      <c r="A1064" t="s">
        <v>712</v>
      </c>
      <c r="B1064" t="s">
        <v>656</v>
      </c>
      <c r="C1064" t="s">
        <v>71</v>
      </c>
      <c r="D1064">
        <v>2019</v>
      </c>
      <c r="E1064" s="2">
        <v>200</v>
      </c>
      <c r="F1064" s="2">
        <v>20750</v>
      </c>
      <c r="G1064" s="2">
        <v>21787.5</v>
      </c>
      <c r="H1064" s="3" t="s">
        <v>18</v>
      </c>
    </row>
    <row r="1065" spans="1:8" x14ac:dyDescent="0.3">
      <c r="A1065" t="s">
        <v>712</v>
      </c>
      <c r="B1065" t="s">
        <v>656</v>
      </c>
      <c r="C1065" t="s">
        <v>71</v>
      </c>
      <c r="D1065">
        <v>2020</v>
      </c>
      <c r="E1065" s="2">
        <v>50</v>
      </c>
      <c r="F1065" s="2">
        <v>5375</v>
      </c>
      <c r="G1065" s="2">
        <v>5643.75</v>
      </c>
      <c r="H1065" s="3" t="s">
        <v>18</v>
      </c>
    </row>
    <row r="1066" spans="1:8" x14ac:dyDescent="0.3">
      <c r="A1066" t="s">
        <v>712</v>
      </c>
      <c r="B1066" t="s">
        <v>656</v>
      </c>
      <c r="C1066" t="s">
        <v>71</v>
      </c>
      <c r="D1066">
        <v>2021</v>
      </c>
      <c r="E1066" s="2">
        <v>100</v>
      </c>
      <c r="F1066" s="2">
        <v>9800</v>
      </c>
      <c r="G1066" s="2">
        <v>10290</v>
      </c>
      <c r="H1066" s="3" t="s">
        <v>18</v>
      </c>
    </row>
    <row r="1067" spans="1:8" x14ac:dyDescent="0.3">
      <c r="A1067" t="s">
        <v>712</v>
      </c>
      <c r="B1067" t="s">
        <v>752</v>
      </c>
      <c r="C1067" t="s">
        <v>753</v>
      </c>
      <c r="D1067">
        <v>2017</v>
      </c>
      <c r="E1067" s="2">
        <v>25</v>
      </c>
      <c r="F1067" s="2">
        <v>1875</v>
      </c>
      <c r="G1067" s="2"/>
    </row>
    <row r="1068" spans="1:8" x14ac:dyDescent="0.3">
      <c r="A1068" t="s">
        <v>712</v>
      </c>
      <c r="B1068" t="s">
        <v>46</v>
      </c>
      <c r="C1068" t="s">
        <v>47</v>
      </c>
      <c r="D1068">
        <v>2010</v>
      </c>
      <c r="E1068" s="2">
        <v>25</v>
      </c>
      <c r="F1068" s="2">
        <v>1200</v>
      </c>
      <c r="G1068" s="2"/>
    </row>
    <row r="1069" spans="1:8" x14ac:dyDescent="0.3">
      <c r="A1069" t="s">
        <v>712</v>
      </c>
      <c r="B1069" t="s">
        <v>46</v>
      </c>
      <c r="C1069" t="s">
        <v>47</v>
      </c>
      <c r="D1069">
        <v>2011</v>
      </c>
      <c r="E1069" s="2">
        <v>25</v>
      </c>
      <c r="F1069" s="2">
        <v>1150</v>
      </c>
      <c r="G1069" s="2"/>
    </row>
    <row r="1070" spans="1:8" x14ac:dyDescent="0.3">
      <c r="A1070" t="s">
        <v>712</v>
      </c>
      <c r="B1070" t="s">
        <v>46</v>
      </c>
      <c r="C1070" t="s">
        <v>47</v>
      </c>
      <c r="D1070">
        <v>2013</v>
      </c>
      <c r="E1070" s="2">
        <v>25</v>
      </c>
      <c r="F1070" s="2">
        <v>1625</v>
      </c>
      <c r="G1070" s="2"/>
    </row>
    <row r="1071" spans="1:8" x14ac:dyDescent="0.3">
      <c r="A1071" t="s">
        <v>712</v>
      </c>
      <c r="B1071" t="s">
        <v>46</v>
      </c>
      <c r="C1071" t="s">
        <v>47</v>
      </c>
      <c r="D1071">
        <v>2014</v>
      </c>
      <c r="E1071" s="2">
        <v>50</v>
      </c>
      <c r="F1071" s="2">
        <v>3250</v>
      </c>
      <c r="G1071" s="2"/>
    </row>
    <row r="1072" spans="1:8" x14ac:dyDescent="0.3">
      <c r="A1072" t="s">
        <v>712</v>
      </c>
      <c r="B1072" t="s">
        <v>46</v>
      </c>
      <c r="C1072" t="s">
        <v>47</v>
      </c>
      <c r="D1072">
        <v>2017</v>
      </c>
      <c r="E1072" s="2">
        <v>100</v>
      </c>
      <c r="F1072" s="2">
        <v>6500</v>
      </c>
      <c r="G1072" s="2"/>
    </row>
    <row r="1073" spans="1:8" x14ac:dyDescent="0.3">
      <c r="A1073" t="s">
        <v>712</v>
      </c>
      <c r="B1073" t="s">
        <v>754</v>
      </c>
      <c r="C1073" t="s">
        <v>755</v>
      </c>
      <c r="D1073">
        <v>2014</v>
      </c>
      <c r="E1073" s="2">
        <v>25</v>
      </c>
      <c r="F1073" s="2">
        <v>1875</v>
      </c>
      <c r="G1073" s="2"/>
    </row>
    <row r="1074" spans="1:8" x14ac:dyDescent="0.3">
      <c r="A1074" t="s">
        <v>712</v>
      </c>
      <c r="B1074" t="s">
        <v>754</v>
      </c>
      <c r="C1074" t="s">
        <v>755</v>
      </c>
      <c r="D1074">
        <v>2020</v>
      </c>
      <c r="E1074" s="2">
        <v>25</v>
      </c>
      <c r="F1074" s="2">
        <v>1875</v>
      </c>
      <c r="G1074" s="2">
        <v>1968.75</v>
      </c>
    </row>
    <row r="1075" spans="1:8" x14ac:dyDescent="0.3">
      <c r="A1075" t="s">
        <v>712</v>
      </c>
      <c r="B1075" t="s">
        <v>76</v>
      </c>
      <c r="C1075" t="s">
        <v>77</v>
      </c>
      <c r="D1075">
        <v>2018</v>
      </c>
      <c r="E1075" s="2">
        <v>25</v>
      </c>
      <c r="F1075" s="2">
        <v>2000</v>
      </c>
      <c r="G1075" s="2">
        <v>2100</v>
      </c>
      <c r="H1075" s="3" t="s">
        <v>374</v>
      </c>
    </row>
    <row r="1076" spans="1:8" x14ac:dyDescent="0.3">
      <c r="A1076" t="s">
        <v>712</v>
      </c>
      <c r="B1076" t="s">
        <v>76</v>
      </c>
      <c r="C1076" t="s">
        <v>77</v>
      </c>
      <c r="D1076">
        <v>2019</v>
      </c>
      <c r="E1076" s="2">
        <v>25</v>
      </c>
      <c r="F1076" s="2">
        <v>2000</v>
      </c>
      <c r="G1076" s="2">
        <v>2100</v>
      </c>
      <c r="H1076" s="3" t="s">
        <v>374</v>
      </c>
    </row>
    <row r="1077" spans="1:8" x14ac:dyDescent="0.3">
      <c r="A1077" t="s">
        <v>712</v>
      </c>
      <c r="B1077" t="s">
        <v>76</v>
      </c>
      <c r="C1077" t="s">
        <v>77</v>
      </c>
      <c r="D1077">
        <v>2021</v>
      </c>
      <c r="E1077" s="2">
        <v>25</v>
      </c>
      <c r="F1077" s="2">
        <v>1800</v>
      </c>
      <c r="G1077" s="2">
        <v>1890</v>
      </c>
      <c r="H1077" s="3" t="s">
        <v>374</v>
      </c>
    </row>
    <row r="1078" spans="1:8" x14ac:dyDescent="0.3">
      <c r="A1078" t="s">
        <v>712</v>
      </c>
      <c r="B1078" t="s">
        <v>498</v>
      </c>
      <c r="C1078" t="s">
        <v>499</v>
      </c>
      <c r="D1078">
        <v>2011</v>
      </c>
      <c r="E1078" s="2">
        <v>25</v>
      </c>
      <c r="F1078" s="2">
        <v>2125</v>
      </c>
      <c r="G1078" s="2"/>
    </row>
    <row r="1079" spans="1:8" x14ac:dyDescent="0.3">
      <c r="A1079" t="s">
        <v>712</v>
      </c>
      <c r="B1079" t="s">
        <v>498</v>
      </c>
      <c r="C1079" t="s">
        <v>499</v>
      </c>
      <c r="D1079">
        <v>2013</v>
      </c>
      <c r="E1079" s="2">
        <v>25</v>
      </c>
      <c r="F1079" s="2">
        <v>2125</v>
      </c>
      <c r="G1079" s="2"/>
    </row>
    <row r="1080" spans="1:8" x14ac:dyDescent="0.3">
      <c r="A1080" t="s">
        <v>712</v>
      </c>
      <c r="B1080" t="s">
        <v>498</v>
      </c>
      <c r="C1080" t="s">
        <v>499</v>
      </c>
      <c r="D1080">
        <v>2016</v>
      </c>
      <c r="E1080" s="2">
        <v>25</v>
      </c>
      <c r="F1080" s="2">
        <v>2500</v>
      </c>
      <c r="G1080" s="2"/>
    </row>
    <row r="1081" spans="1:8" x14ac:dyDescent="0.3">
      <c r="A1081" t="s">
        <v>712</v>
      </c>
      <c r="B1081" t="s">
        <v>203</v>
      </c>
      <c r="C1081" t="s">
        <v>204</v>
      </c>
      <c r="D1081">
        <v>2016</v>
      </c>
      <c r="E1081" s="2">
        <v>50</v>
      </c>
      <c r="F1081" s="2">
        <v>4000</v>
      </c>
      <c r="G1081" s="2"/>
    </row>
    <row r="1082" spans="1:8" x14ac:dyDescent="0.3">
      <c r="A1082" t="s">
        <v>712</v>
      </c>
      <c r="B1082" t="s">
        <v>203</v>
      </c>
      <c r="C1082" t="s">
        <v>204</v>
      </c>
      <c r="D1082">
        <v>2017</v>
      </c>
      <c r="E1082" s="2">
        <v>75</v>
      </c>
      <c r="F1082" s="2">
        <v>6000</v>
      </c>
      <c r="G1082" s="2"/>
    </row>
    <row r="1083" spans="1:8" x14ac:dyDescent="0.3">
      <c r="A1083" t="s">
        <v>712</v>
      </c>
      <c r="B1083" t="s">
        <v>203</v>
      </c>
      <c r="C1083" t="s">
        <v>204</v>
      </c>
      <c r="D1083">
        <v>2018</v>
      </c>
      <c r="E1083" s="2">
        <v>25</v>
      </c>
      <c r="F1083" s="2">
        <v>2000</v>
      </c>
      <c r="G1083" s="2">
        <v>2100</v>
      </c>
    </row>
    <row r="1084" spans="1:8" x14ac:dyDescent="0.3">
      <c r="A1084" t="s">
        <v>712</v>
      </c>
      <c r="B1084" t="s">
        <v>679</v>
      </c>
      <c r="C1084" t="s">
        <v>680</v>
      </c>
      <c r="D1084">
        <v>2020</v>
      </c>
      <c r="E1084" s="2">
        <v>50</v>
      </c>
      <c r="F1084" s="2">
        <v>4000</v>
      </c>
      <c r="G1084" s="2">
        <v>4200</v>
      </c>
    </row>
    <row r="1085" spans="1:8" x14ac:dyDescent="0.3">
      <c r="A1085" t="s">
        <v>712</v>
      </c>
      <c r="B1085" t="s">
        <v>155</v>
      </c>
      <c r="C1085" t="s">
        <v>156</v>
      </c>
      <c r="D1085">
        <v>2017</v>
      </c>
      <c r="E1085" s="2">
        <v>10</v>
      </c>
      <c r="F1085" s="2">
        <v>850</v>
      </c>
      <c r="G1085" s="2"/>
      <c r="H1085" s="3" t="s">
        <v>18</v>
      </c>
    </row>
    <row r="1086" spans="1:8" x14ac:dyDescent="0.3">
      <c r="A1086" t="s">
        <v>712</v>
      </c>
      <c r="B1086" t="s">
        <v>155</v>
      </c>
      <c r="C1086" t="s">
        <v>156</v>
      </c>
      <c r="D1086">
        <v>2018</v>
      </c>
      <c r="E1086" s="2">
        <v>50</v>
      </c>
      <c r="F1086" s="2">
        <v>4250</v>
      </c>
      <c r="G1086" s="2">
        <v>4462.5</v>
      </c>
      <c r="H1086" s="3" t="s">
        <v>18</v>
      </c>
    </row>
    <row r="1087" spans="1:8" x14ac:dyDescent="0.3">
      <c r="A1087" t="s">
        <v>712</v>
      </c>
      <c r="B1087" t="s">
        <v>155</v>
      </c>
      <c r="C1087" t="s">
        <v>156</v>
      </c>
      <c r="D1087">
        <v>2021</v>
      </c>
      <c r="E1087" s="2">
        <v>25</v>
      </c>
      <c r="F1087" s="2">
        <v>1875</v>
      </c>
      <c r="G1087" s="2">
        <v>1968.75</v>
      </c>
      <c r="H1087" s="3" t="s">
        <v>18</v>
      </c>
    </row>
    <row r="1088" spans="1:8" x14ac:dyDescent="0.3">
      <c r="A1088" t="s">
        <v>712</v>
      </c>
      <c r="B1088" t="s">
        <v>756</v>
      </c>
      <c r="C1088" t="s">
        <v>757</v>
      </c>
      <c r="D1088">
        <v>2011</v>
      </c>
      <c r="E1088" s="2">
        <v>25</v>
      </c>
      <c r="F1088" s="2">
        <v>1750</v>
      </c>
      <c r="G1088" s="2"/>
    </row>
    <row r="1089" spans="1:8" x14ac:dyDescent="0.3">
      <c r="A1089" t="s">
        <v>712</v>
      </c>
      <c r="B1089" t="s">
        <v>758</v>
      </c>
      <c r="C1089" t="s">
        <v>759</v>
      </c>
      <c r="D1089">
        <v>2014</v>
      </c>
      <c r="E1089" s="2">
        <v>25</v>
      </c>
      <c r="F1089" s="2">
        <v>1925</v>
      </c>
      <c r="G1089" s="2"/>
    </row>
    <row r="1090" spans="1:8" x14ac:dyDescent="0.3">
      <c r="A1090" t="s">
        <v>760</v>
      </c>
      <c r="B1090" t="s">
        <v>696</v>
      </c>
      <c r="C1090" t="s">
        <v>697</v>
      </c>
      <c r="D1090">
        <v>2017</v>
      </c>
      <c r="E1090" s="2">
        <v>110</v>
      </c>
      <c r="F1090" s="2">
        <v>8925</v>
      </c>
      <c r="G1090" s="2"/>
    </row>
    <row r="1091" spans="1:8" x14ac:dyDescent="0.3">
      <c r="A1091" t="s">
        <v>760</v>
      </c>
      <c r="B1091" t="s">
        <v>29</v>
      </c>
      <c r="D1091">
        <v>2017</v>
      </c>
      <c r="E1091" s="2">
        <v>28</v>
      </c>
      <c r="F1091" s="2">
        <v>13820</v>
      </c>
      <c r="G1091" s="2"/>
    </row>
    <row r="1092" spans="1:8" x14ac:dyDescent="0.3">
      <c r="A1092" t="s">
        <v>760</v>
      </c>
      <c r="B1092" t="s">
        <v>761</v>
      </c>
      <c r="D1092">
        <v>2018</v>
      </c>
      <c r="E1092" s="2">
        <v>1</v>
      </c>
      <c r="F1092" s="2">
        <v>490</v>
      </c>
      <c r="G1092" s="2">
        <v>514.5</v>
      </c>
    </row>
    <row r="1093" spans="1:8" x14ac:dyDescent="0.3">
      <c r="A1093" t="s">
        <v>760</v>
      </c>
      <c r="B1093" t="s">
        <v>438</v>
      </c>
      <c r="C1093" t="s">
        <v>439</v>
      </c>
      <c r="D1093">
        <v>2017</v>
      </c>
      <c r="E1093" s="2">
        <v>25</v>
      </c>
      <c r="F1093" s="2">
        <v>1625</v>
      </c>
      <c r="G1093" s="2"/>
    </row>
    <row r="1094" spans="1:8" x14ac:dyDescent="0.3">
      <c r="A1094" t="s">
        <v>760</v>
      </c>
      <c r="B1094" t="s">
        <v>240</v>
      </c>
      <c r="D1094">
        <v>2017</v>
      </c>
      <c r="E1094" s="2">
        <v>2</v>
      </c>
      <c r="F1094" s="2">
        <v>160</v>
      </c>
      <c r="G1094" s="2"/>
    </row>
    <row r="1095" spans="1:8" x14ac:dyDescent="0.3">
      <c r="A1095" t="s">
        <v>760</v>
      </c>
      <c r="B1095" t="s">
        <v>240</v>
      </c>
      <c r="D1095">
        <v>2018</v>
      </c>
      <c r="E1095" s="2">
        <v>5</v>
      </c>
      <c r="F1095" s="2">
        <v>500</v>
      </c>
      <c r="G1095" s="2">
        <v>525</v>
      </c>
    </row>
    <row r="1096" spans="1:8" x14ac:dyDescent="0.3">
      <c r="A1096" t="s">
        <v>760</v>
      </c>
      <c r="B1096" t="s">
        <v>32</v>
      </c>
      <c r="D1096">
        <v>2016</v>
      </c>
      <c r="E1096" s="2">
        <v>2.5</v>
      </c>
      <c r="F1096" s="2">
        <v>225</v>
      </c>
      <c r="G1096" s="2"/>
    </row>
    <row r="1097" spans="1:8" x14ac:dyDescent="0.3">
      <c r="A1097" t="s">
        <v>760</v>
      </c>
      <c r="B1097" t="s">
        <v>32</v>
      </c>
      <c r="D1097">
        <v>2017</v>
      </c>
      <c r="E1097" s="2">
        <v>20</v>
      </c>
      <c r="F1097" s="2">
        <v>1800</v>
      </c>
      <c r="G1097" s="2"/>
    </row>
    <row r="1098" spans="1:8" x14ac:dyDescent="0.3">
      <c r="A1098" t="s">
        <v>762</v>
      </c>
      <c r="B1098" t="s">
        <v>763</v>
      </c>
      <c r="D1098">
        <v>2015</v>
      </c>
      <c r="E1098" s="2">
        <v>5</v>
      </c>
      <c r="F1098" s="2">
        <v>325</v>
      </c>
      <c r="G1098" s="2"/>
    </row>
    <row r="1099" spans="1:8" x14ac:dyDescent="0.3">
      <c r="A1099" t="s">
        <v>762</v>
      </c>
      <c r="B1099" t="s">
        <v>26</v>
      </c>
      <c r="C1099" t="s">
        <v>27</v>
      </c>
      <c r="D1099">
        <v>2015</v>
      </c>
      <c r="E1099" s="2">
        <v>10</v>
      </c>
      <c r="F1099" s="2">
        <v>950</v>
      </c>
      <c r="G1099" s="2"/>
    </row>
    <row r="1100" spans="1:8" x14ac:dyDescent="0.3">
      <c r="A1100" t="s">
        <v>762</v>
      </c>
      <c r="B1100" t="s">
        <v>764</v>
      </c>
      <c r="D1100">
        <v>2014</v>
      </c>
      <c r="E1100" s="2">
        <v>20</v>
      </c>
      <c r="F1100" s="2">
        <v>1800</v>
      </c>
      <c r="G1100" s="2"/>
    </row>
    <row r="1101" spans="1:8" x14ac:dyDescent="0.3">
      <c r="A1101" t="s">
        <v>762</v>
      </c>
      <c r="B1101" t="s">
        <v>32</v>
      </c>
      <c r="D1101">
        <v>2014</v>
      </c>
      <c r="E1101" s="2">
        <v>60</v>
      </c>
      <c r="F1101" s="2">
        <v>5100</v>
      </c>
      <c r="G1101" s="2"/>
    </row>
    <row r="1102" spans="1:8" x14ac:dyDescent="0.3">
      <c r="A1102" t="s">
        <v>765</v>
      </c>
      <c r="B1102" t="s">
        <v>766</v>
      </c>
      <c r="D1102">
        <v>2021</v>
      </c>
      <c r="E1102" s="2">
        <v>25</v>
      </c>
      <c r="F1102" s="2">
        <v>1000</v>
      </c>
      <c r="G1102" s="2">
        <v>1050</v>
      </c>
      <c r="H1102" s="3" t="s">
        <v>767</v>
      </c>
    </row>
    <row r="1103" spans="1:8" x14ac:dyDescent="0.3">
      <c r="A1103" t="s">
        <v>765</v>
      </c>
      <c r="B1103" t="s">
        <v>768</v>
      </c>
      <c r="D1103">
        <v>2021</v>
      </c>
      <c r="E1103" s="2">
        <v>50</v>
      </c>
      <c r="F1103" s="2">
        <v>2000</v>
      </c>
      <c r="G1103" s="2">
        <v>2100</v>
      </c>
      <c r="H1103" s="3" t="s">
        <v>769</v>
      </c>
    </row>
    <row r="1104" spans="1:8" x14ac:dyDescent="0.3">
      <c r="A1104" t="s">
        <v>765</v>
      </c>
      <c r="B1104" t="s">
        <v>770</v>
      </c>
      <c r="D1104">
        <v>2021</v>
      </c>
      <c r="E1104" s="2">
        <v>50</v>
      </c>
      <c r="F1104" s="2">
        <v>2000</v>
      </c>
      <c r="G1104" s="2">
        <v>2100</v>
      </c>
      <c r="H1104" s="3" t="s">
        <v>771</v>
      </c>
    </row>
    <row r="1105" spans="1:8" x14ac:dyDescent="0.3">
      <c r="A1105" t="s">
        <v>765</v>
      </c>
      <c r="B1105" t="s">
        <v>772</v>
      </c>
      <c r="D1105">
        <v>2021</v>
      </c>
      <c r="E1105" s="2">
        <v>30</v>
      </c>
      <c r="F1105" s="2">
        <v>1020</v>
      </c>
      <c r="G1105" s="2">
        <v>1071</v>
      </c>
      <c r="H1105" s="3" t="s">
        <v>773</v>
      </c>
    </row>
    <row r="1106" spans="1:8" x14ac:dyDescent="0.3">
      <c r="A1106" t="s">
        <v>765</v>
      </c>
      <c r="B1106" t="s">
        <v>774</v>
      </c>
      <c r="D1106">
        <v>2021</v>
      </c>
      <c r="E1106" s="2">
        <v>100</v>
      </c>
      <c r="F1106" s="2">
        <v>3500</v>
      </c>
      <c r="G1106" s="2">
        <v>3675</v>
      </c>
      <c r="H1106" s="3" t="s">
        <v>771</v>
      </c>
    </row>
    <row r="1107" spans="1:8" x14ac:dyDescent="0.3">
      <c r="A1107" t="s">
        <v>775</v>
      </c>
      <c r="B1107" t="s">
        <v>734</v>
      </c>
      <c r="C1107" t="s">
        <v>735</v>
      </c>
      <c r="D1107">
        <v>2015</v>
      </c>
      <c r="E1107" s="2">
        <v>25</v>
      </c>
      <c r="F1107" s="2">
        <v>2750</v>
      </c>
      <c r="G1107" s="2"/>
    </row>
    <row r="1108" spans="1:8" x14ac:dyDescent="0.3">
      <c r="A1108" t="s">
        <v>775</v>
      </c>
      <c r="B1108" t="s">
        <v>184</v>
      </c>
      <c r="C1108" t="s">
        <v>185</v>
      </c>
      <c r="D1108">
        <v>2016</v>
      </c>
      <c r="E1108" s="2">
        <v>50</v>
      </c>
      <c r="F1108" s="2">
        <v>3250</v>
      </c>
      <c r="G1108" s="2"/>
    </row>
    <row r="1109" spans="1:8" x14ac:dyDescent="0.3">
      <c r="A1109" t="s">
        <v>775</v>
      </c>
      <c r="B1109" t="s">
        <v>184</v>
      </c>
      <c r="C1109" t="s">
        <v>185</v>
      </c>
      <c r="D1109">
        <v>2017</v>
      </c>
      <c r="E1109" s="2">
        <v>40</v>
      </c>
      <c r="F1109" s="2">
        <v>2600</v>
      </c>
      <c r="G1109" s="2"/>
    </row>
    <row r="1110" spans="1:8" x14ac:dyDescent="0.3">
      <c r="A1110" t="s">
        <v>775</v>
      </c>
      <c r="B1110" t="s">
        <v>269</v>
      </c>
      <c r="C1110" t="s">
        <v>270</v>
      </c>
      <c r="D1110">
        <v>2016</v>
      </c>
      <c r="E1110" s="2">
        <v>25</v>
      </c>
      <c r="F1110" s="2">
        <v>2125</v>
      </c>
      <c r="G1110" s="2"/>
    </row>
    <row r="1111" spans="1:8" x14ac:dyDescent="0.3">
      <c r="A1111" t="s">
        <v>775</v>
      </c>
      <c r="B1111" t="s">
        <v>269</v>
      </c>
      <c r="C1111" t="s">
        <v>270</v>
      </c>
      <c r="D1111">
        <v>2017</v>
      </c>
      <c r="E1111" s="2">
        <v>65</v>
      </c>
      <c r="F1111" s="2">
        <v>5025</v>
      </c>
      <c r="G1111" s="2"/>
    </row>
    <row r="1112" spans="1:8" x14ac:dyDescent="0.3">
      <c r="A1112" t="s">
        <v>775</v>
      </c>
      <c r="B1112" t="s">
        <v>269</v>
      </c>
      <c r="C1112" t="s">
        <v>270</v>
      </c>
      <c r="D1112">
        <v>2018</v>
      </c>
      <c r="E1112" s="2">
        <v>10</v>
      </c>
      <c r="F1112" s="2">
        <v>770</v>
      </c>
      <c r="G1112" s="2">
        <v>808.5</v>
      </c>
    </row>
    <row r="1113" spans="1:8" x14ac:dyDescent="0.3">
      <c r="A1113" t="s">
        <v>775</v>
      </c>
      <c r="B1113" t="s">
        <v>41</v>
      </c>
      <c r="C1113" t="s">
        <v>776</v>
      </c>
      <c r="D1113">
        <v>2016</v>
      </c>
      <c r="E1113" s="2">
        <v>25</v>
      </c>
      <c r="F1113" s="2">
        <v>1875</v>
      </c>
      <c r="G1113" s="2"/>
    </row>
    <row r="1114" spans="1:8" x14ac:dyDescent="0.3">
      <c r="A1114" t="s">
        <v>775</v>
      </c>
      <c r="B1114" t="s">
        <v>777</v>
      </c>
      <c r="C1114" t="s">
        <v>63</v>
      </c>
      <c r="D1114">
        <v>2015</v>
      </c>
      <c r="E1114" s="2">
        <v>25</v>
      </c>
      <c r="F1114" s="2">
        <v>1625</v>
      </c>
      <c r="G1114" s="2"/>
    </row>
    <row r="1115" spans="1:8" x14ac:dyDescent="0.3">
      <c r="A1115" t="s">
        <v>775</v>
      </c>
      <c r="B1115" t="s">
        <v>777</v>
      </c>
      <c r="C1115" t="s">
        <v>63</v>
      </c>
      <c r="D1115">
        <v>2016</v>
      </c>
      <c r="E1115" s="2">
        <v>50</v>
      </c>
      <c r="F1115" s="2">
        <v>3250</v>
      </c>
      <c r="G1115" s="2"/>
    </row>
    <row r="1116" spans="1:8" x14ac:dyDescent="0.3">
      <c r="A1116" t="s">
        <v>775</v>
      </c>
      <c r="B1116" t="s">
        <v>777</v>
      </c>
      <c r="C1116" t="s">
        <v>63</v>
      </c>
      <c r="D1116">
        <v>2017</v>
      </c>
      <c r="E1116" s="2">
        <v>90</v>
      </c>
      <c r="F1116" s="2">
        <v>5850</v>
      </c>
      <c r="G1116" s="2"/>
    </row>
    <row r="1117" spans="1:8" x14ac:dyDescent="0.3">
      <c r="A1117" t="s">
        <v>775</v>
      </c>
      <c r="B1117" t="s">
        <v>777</v>
      </c>
      <c r="C1117" t="s">
        <v>63</v>
      </c>
      <c r="D1117">
        <v>2018</v>
      </c>
      <c r="E1117" s="2">
        <v>10</v>
      </c>
      <c r="F1117" s="2">
        <v>650</v>
      </c>
      <c r="G1117" s="2">
        <v>682.5</v>
      </c>
    </row>
    <row r="1118" spans="1:8" x14ac:dyDescent="0.3">
      <c r="A1118" t="s">
        <v>775</v>
      </c>
      <c r="B1118" t="s">
        <v>471</v>
      </c>
      <c r="C1118" t="s">
        <v>778</v>
      </c>
      <c r="D1118">
        <v>2015</v>
      </c>
      <c r="E1118" s="2">
        <v>15</v>
      </c>
      <c r="F1118" s="2">
        <v>1200</v>
      </c>
      <c r="G1118" s="2"/>
    </row>
    <row r="1119" spans="1:8" x14ac:dyDescent="0.3">
      <c r="A1119" t="s">
        <v>775</v>
      </c>
      <c r="B1119" t="s">
        <v>438</v>
      </c>
      <c r="C1119" t="s">
        <v>439</v>
      </c>
      <c r="D1119">
        <v>2017</v>
      </c>
      <c r="E1119" s="2">
        <v>25</v>
      </c>
      <c r="F1119" s="2">
        <v>1875</v>
      </c>
      <c r="G1119" s="2"/>
    </row>
    <row r="1120" spans="1:8" x14ac:dyDescent="0.3">
      <c r="A1120" t="s">
        <v>775</v>
      </c>
      <c r="B1120" t="s">
        <v>314</v>
      </c>
      <c r="C1120" t="s">
        <v>315</v>
      </c>
      <c r="D1120">
        <v>2016</v>
      </c>
      <c r="E1120" s="2">
        <v>25</v>
      </c>
      <c r="F1120" s="2">
        <v>1875</v>
      </c>
      <c r="G1120" s="2"/>
    </row>
    <row r="1121" spans="1:8" x14ac:dyDescent="0.3">
      <c r="A1121" t="s">
        <v>775</v>
      </c>
      <c r="B1121" t="s">
        <v>314</v>
      </c>
      <c r="C1121" t="s">
        <v>315</v>
      </c>
      <c r="D1121">
        <v>2017</v>
      </c>
      <c r="E1121" s="2">
        <v>40</v>
      </c>
      <c r="F1121" s="2">
        <v>2600</v>
      </c>
      <c r="G1121" s="2"/>
    </row>
    <row r="1122" spans="1:8" x14ac:dyDescent="0.3">
      <c r="A1122" t="s">
        <v>775</v>
      </c>
      <c r="B1122" t="s">
        <v>314</v>
      </c>
      <c r="C1122" t="s">
        <v>315</v>
      </c>
      <c r="D1122">
        <v>2018</v>
      </c>
      <c r="E1122" s="2">
        <v>25</v>
      </c>
      <c r="F1122" s="2">
        <v>2000</v>
      </c>
      <c r="G1122" s="2">
        <v>2100</v>
      </c>
    </row>
    <row r="1123" spans="1:8" x14ac:dyDescent="0.3">
      <c r="A1123" t="s">
        <v>775</v>
      </c>
      <c r="B1123" t="s">
        <v>779</v>
      </c>
      <c r="C1123" t="s">
        <v>780</v>
      </c>
      <c r="D1123">
        <v>2015</v>
      </c>
      <c r="E1123" s="2">
        <v>10</v>
      </c>
      <c r="F1123" s="2">
        <v>900</v>
      </c>
      <c r="G1123" s="2"/>
    </row>
    <row r="1124" spans="1:8" x14ac:dyDescent="0.3">
      <c r="A1124" t="s">
        <v>775</v>
      </c>
      <c r="B1124" t="s">
        <v>779</v>
      </c>
      <c r="C1124" t="s">
        <v>780</v>
      </c>
      <c r="D1124">
        <v>2016</v>
      </c>
      <c r="E1124" s="2">
        <v>20</v>
      </c>
      <c r="F1124" s="2">
        <v>2250</v>
      </c>
      <c r="G1124" s="2"/>
    </row>
    <row r="1125" spans="1:8" x14ac:dyDescent="0.3">
      <c r="A1125" t="s">
        <v>775</v>
      </c>
      <c r="B1125" t="s">
        <v>12</v>
      </c>
      <c r="C1125" t="s">
        <v>13</v>
      </c>
      <c r="D1125">
        <v>2015</v>
      </c>
      <c r="E1125" s="2">
        <v>25</v>
      </c>
      <c r="F1125" s="2">
        <v>2250</v>
      </c>
      <c r="G1125" s="2"/>
    </row>
    <row r="1126" spans="1:8" x14ac:dyDescent="0.3">
      <c r="A1126" t="s">
        <v>781</v>
      </c>
      <c r="B1126" t="s">
        <v>51</v>
      </c>
      <c r="C1126" t="s">
        <v>52</v>
      </c>
      <c r="D1126">
        <v>2019</v>
      </c>
      <c r="E1126" s="2">
        <v>41</v>
      </c>
      <c r="F1126" s="2">
        <v>6558</v>
      </c>
      <c r="G1126" s="2">
        <v>6885.9</v>
      </c>
      <c r="H1126" s="3" t="s">
        <v>374</v>
      </c>
    </row>
    <row r="1127" spans="1:8" x14ac:dyDescent="0.3">
      <c r="A1127" t="s">
        <v>781</v>
      </c>
      <c r="B1127" t="s">
        <v>51</v>
      </c>
      <c r="C1127" t="s">
        <v>52</v>
      </c>
      <c r="D1127">
        <v>2020</v>
      </c>
      <c r="E1127" s="2">
        <v>135</v>
      </c>
      <c r="F1127" s="2">
        <v>21275</v>
      </c>
      <c r="G1127" s="2">
        <v>22338.75</v>
      </c>
      <c r="H1127" s="3" t="s">
        <v>374</v>
      </c>
    </row>
    <row r="1128" spans="1:8" x14ac:dyDescent="0.3">
      <c r="A1128" t="s">
        <v>781</v>
      </c>
      <c r="B1128" t="s">
        <v>51</v>
      </c>
      <c r="C1128" t="s">
        <v>52</v>
      </c>
      <c r="D1128">
        <v>2021</v>
      </c>
      <c r="E1128" s="2">
        <v>10</v>
      </c>
      <c r="F1128" s="2">
        <v>1550</v>
      </c>
      <c r="G1128" s="2">
        <v>1627.5</v>
      </c>
      <c r="H1128" s="3" t="s">
        <v>374</v>
      </c>
    </row>
    <row r="1129" spans="1:8" x14ac:dyDescent="0.3">
      <c r="A1129" t="s">
        <v>781</v>
      </c>
      <c r="B1129" t="s">
        <v>782</v>
      </c>
      <c r="D1129">
        <v>2019</v>
      </c>
      <c r="E1129" s="2">
        <v>20</v>
      </c>
      <c r="F1129" s="2">
        <v>2800</v>
      </c>
      <c r="G1129" s="2">
        <v>2940</v>
      </c>
      <c r="H1129" s="3" t="s">
        <v>783</v>
      </c>
    </row>
    <row r="1130" spans="1:8" x14ac:dyDescent="0.3">
      <c r="A1130" t="s">
        <v>781</v>
      </c>
      <c r="B1130" t="s">
        <v>782</v>
      </c>
      <c r="D1130">
        <v>2020</v>
      </c>
      <c r="E1130" s="2">
        <v>15</v>
      </c>
      <c r="F1130" s="2">
        <v>2200</v>
      </c>
      <c r="G1130" s="2">
        <v>2310</v>
      </c>
      <c r="H1130" s="3" t="s">
        <v>783</v>
      </c>
    </row>
    <row r="1131" spans="1:8" x14ac:dyDescent="0.3">
      <c r="A1131" t="s">
        <v>781</v>
      </c>
      <c r="B1131" t="s">
        <v>782</v>
      </c>
      <c r="D1131">
        <v>2021</v>
      </c>
      <c r="E1131" s="2">
        <v>5</v>
      </c>
      <c r="F1131" s="2">
        <v>800</v>
      </c>
      <c r="G1131" s="2">
        <v>840</v>
      </c>
      <c r="H1131" s="3" t="s">
        <v>783</v>
      </c>
    </row>
    <row r="1132" spans="1:8" x14ac:dyDescent="0.3">
      <c r="A1132" t="s">
        <v>781</v>
      </c>
      <c r="B1132" t="s">
        <v>784</v>
      </c>
      <c r="D1132">
        <v>2021</v>
      </c>
      <c r="E1132" s="2">
        <v>20</v>
      </c>
      <c r="F1132" s="2">
        <v>1600</v>
      </c>
      <c r="G1132" s="2">
        <v>1680</v>
      </c>
      <c r="H1132" s="3" t="s">
        <v>785</v>
      </c>
    </row>
    <row r="1133" spans="1:8" x14ac:dyDescent="0.3">
      <c r="A1133" t="s">
        <v>781</v>
      </c>
      <c r="B1133" t="s">
        <v>786</v>
      </c>
      <c r="D1133">
        <v>2020</v>
      </c>
      <c r="E1133" s="2">
        <v>5</v>
      </c>
      <c r="F1133" s="2">
        <v>475</v>
      </c>
      <c r="G1133" s="2">
        <v>498.75</v>
      </c>
      <c r="H1133" s="3" t="s">
        <v>787</v>
      </c>
    </row>
    <row r="1134" spans="1:8" x14ac:dyDescent="0.3">
      <c r="A1134" t="s">
        <v>781</v>
      </c>
      <c r="B1134" t="s">
        <v>786</v>
      </c>
      <c r="D1134">
        <v>2021</v>
      </c>
      <c r="E1134" s="2">
        <v>5</v>
      </c>
      <c r="F1134" s="2">
        <v>400</v>
      </c>
      <c r="G1134" s="2">
        <v>420</v>
      </c>
      <c r="H1134" s="3" t="s">
        <v>787</v>
      </c>
    </row>
    <row r="1135" spans="1:8" x14ac:dyDescent="0.3">
      <c r="A1135" t="s">
        <v>781</v>
      </c>
      <c r="B1135" t="s">
        <v>788</v>
      </c>
      <c r="C1135" t="s">
        <v>789</v>
      </c>
      <c r="D1135">
        <v>2019</v>
      </c>
      <c r="E1135" s="2">
        <v>93</v>
      </c>
      <c r="F1135" s="2">
        <v>14864</v>
      </c>
      <c r="G1135" s="2">
        <v>15607.2</v>
      </c>
      <c r="H1135" s="3" t="s">
        <v>14</v>
      </c>
    </row>
    <row r="1136" spans="1:8" x14ac:dyDescent="0.3">
      <c r="A1136" t="s">
        <v>781</v>
      </c>
      <c r="B1136" t="s">
        <v>788</v>
      </c>
      <c r="C1136" t="s">
        <v>789</v>
      </c>
      <c r="D1136">
        <v>2020</v>
      </c>
      <c r="E1136" s="2">
        <v>40</v>
      </c>
      <c r="F1136" s="2">
        <v>6400</v>
      </c>
      <c r="G1136" s="2">
        <v>6720</v>
      </c>
      <c r="H1136" s="3" t="s">
        <v>14</v>
      </c>
    </row>
    <row r="1137" spans="1:8" x14ac:dyDescent="0.3">
      <c r="A1137" t="s">
        <v>781</v>
      </c>
      <c r="B1137" t="s">
        <v>788</v>
      </c>
      <c r="C1137" t="s">
        <v>789</v>
      </c>
      <c r="D1137">
        <v>2021</v>
      </c>
      <c r="E1137" s="2">
        <v>25</v>
      </c>
      <c r="F1137" s="2">
        <v>4000</v>
      </c>
      <c r="G1137" s="2">
        <v>4200</v>
      </c>
      <c r="H1137" s="3" t="s">
        <v>14</v>
      </c>
    </row>
    <row r="1138" spans="1:8" x14ac:dyDescent="0.3">
      <c r="A1138" t="s">
        <v>781</v>
      </c>
      <c r="B1138" t="s">
        <v>790</v>
      </c>
      <c r="C1138" t="s">
        <v>791</v>
      </c>
      <c r="D1138">
        <v>2021</v>
      </c>
      <c r="E1138" s="2">
        <v>30</v>
      </c>
      <c r="F1138" s="2">
        <v>4800</v>
      </c>
      <c r="G1138" s="2">
        <v>5040</v>
      </c>
      <c r="H1138" s="3" t="s">
        <v>14</v>
      </c>
    </row>
    <row r="1139" spans="1:8" x14ac:dyDescent="0.3">
      <c r="A1139" t="s">
        <v>781</v>
      </c>
      <c r="B1139" t="s">
        <v>593</v>
      </c>
      <c r="C1139" t="s">
        <v>594</v>
      </c>
      <c r="D1139">
        <v>2021</v>
      </c>
      <c r="E1139" s="2">
        <v>90</v>
      </c>
      <c r="F1139" s="2">
        <v>13950</v>
      </c>
      <c r="G1139" s="2">
        <v>14647.5</v>
      </c>
      <c r="H1139" s="3" t="s">
        <v>374</v>
      </c>
    </row>
    <row r="1140" spans="1:8" x14ac:dyDescent="0.3">
      <c r="A1140" t="s">
        <v>781</v>
      </c>
      <c r="B1140" t="s">
        <v>602</v>
      </c>
      <c r="C1140" t="s">
        <v>603</v>
      </c>
      <c r="D1140">
        <v>2020</v>
      </c>
      <c r="E1140" s="2">
        <v>15</v>
      </c>
      <c r="F1140" s="2">
        <v>1200</v>
      </c>
      <c r="G1140" s="2">
        <v>1260</v>
      </c>
    </row>
    <row r="1141" spans="1:8" x14ac:dyDescent="0.3">
      <c r="A1141" t="s">
        <v>781</v>
      </c>
      <c r="B1141" t="s">
        <v>258</v>
      </c>
      <c r="C1141" t="s">
        <v>259</v>
      </c>
      <c r="D1141">
        <v>2019</v>
      </c>
      <c r="E1141" s="2">
        <v>1</v>
      </c>
      <c r="F1141" s="2">
        <v>210</v>
      </c>
      <c r="G1141" s="2">
        <v>220.5</v>
      </c>
    </row>
    <row r="1142" spans="1:8" x14ac:dyDescent="0.3">
      <c r="A1142" t="s">
        <v>781</v>
      </c>
      <c r="B1142" t="s">
        <v>671</v>
      </c>
      <c r="C1142" t="s">
        <v>672</v>
      </c>
      <c r="D1142">
        <v>2020</v>
      </c>
      <c r="E1142" s="2">
        <v>55</v>
      </c>
      <c r="F1142" s="2">
        <v>4125</v>
      </c>
      <c r="G1142" s="2">
        <v>4331.25</v>
      </c>
      <c r="H1142" s="3" t="s">
        <v>18</v>
      </c>
    </row>
    <row r="1143" spans="1:8" x14ac:dyDescent="0.3">
      <c r="A1143" t="s">
        <v>781</v>
      </c>
      <c r="B1143" t="s">
        <v>671</v>
      </c>
      <c r="C1143" t="s">
        <v>672</v>
      </c>
      <c r="D1143">
        <v>2021</v>
      </c>
      <c r="E1143" s="2">
        <v>20</v>
      </c>
      <c r="F1143" s="2">
        <v>1500</v>
      </c>
      <c r="G1143" s="2">
        <v>1575</v>
      </c>
      <c r="H1143" s="3" t="s">
        <v>18</v>
      </c>
    </row>
    <row r="1144" spans="1:8" x14ac:dyDescent="0.3">
      <c r="A1144" t="s">
        <v>781</v>
      </c>
      <c r="B1144" t="s">
        <v>543</v>
      </c>
      <c r="C1144" t="s">
        <v>544</v>
      </c>
      <c r="D1144">
        <v>2019</v>
      </c>
      <c r="E1144" s="2">
        <v>20</v>
      </c>
      <c r="F1144" s="2">
        <v>1640</v>
      </c>
      <c r="G1144" s="2">
        <v>1722</v>
      </c>
    </row>
    <row r="1145" spans="1:8" x14ac:dyDescent="0.3">
      <c r="A1145" t="s">
        <v>781</v>
      </c>
      <c r="B1145" t="s">
        <v>792</v>
      </c>
      <c r="C1145" t="s">
        <v>793</v>
      </c>
      <c r="D1145">
        <v>2020</v>
      </c>
      <c r="E1145" s="2">
        <v>20</v>
      </c>
      <c r="F1145" s="2">
        <v>3200</v>
      </c>
      <c r="G1145" s="2">
        <v>3360</v>
      </c>
      <c r="H1145" s="3" t="s">
        <v>374</v>
      </c>
    </row>
    <row r="1146" spans="1:8" x14ac:dyDescent="0.3">
      <c r="A1146" t="s">
        <v>781</v>
      </c>
      <c r="B1146" t="s">
        <v>792</v>
      </c>
      <c r="C1146" t="s">
        <v>793</v>
      </c>
      <c r="D1146">
        <v>2021</v>
      </c>
      <c r="E1146" s="2">
        <v>10</v>
      </c>
      <c r="F1146" s="2">
        <v>1550</v>
      </c>
      <c r="G1146" s="2">
        <v>1627.5</v>
      </c>
      <c r="H1146" s="3" t="s">
        <v>374</v>
      </c>
    </row>
    <row r="1147" spans="1:8" x14ac:dyDescent="0.3">
      <c r="A1147" t="s">
        <v>781</v>
      </c>
      <c r="B1147" t="s">
        <v>117</v>
      </c>
      <c r="C1147" t="s">
        <v>118</v>
      </c>
      <c r="D1147">
        <v>2019</v>
      </c>
      <c r="E1147" s="2">
        <v>100</v>
      </c>
      <c r="F1147" s="2">
        <v>16000</v>
      </c>
      <c r="G1147" s="2">
        <v>16800</v>
      </c>
      <c r="H1147" s="3" t="s">
        <v>374</v>
      </c>
    </row>
    <row r="1148" spans="1:8" x14ac:dyDescent="0.3">
      <c r="A1148" t="s">
        <v>781</v>
      </c>
      <c r="B1148" t="s">
        <v>117</v>
      </c>
      <c r="C1148" t="s">
        <v>118</v>
      </c>
      <c r="D1148">
        <v>2020</v>
      </c>
      <c r="E1148" s="2">
        <v>170</v>
      </c>
      <c r="F1148" s="2">
        <v>26850</v>
      </c>
      <c r="G1148" s="2">
        <v>28192.5</v>
      </c>
      <c r="H1148" s="3" t="s">
        <v>374</v>
      </c>
    </row>
    <row r="1149" spans="1:8" x14ac:dyDescent="0.3">
      <c r="A1149" t="s">
        <v>781</v>
      </c>
      <c r="B1149" t="s">
        <v>117</v>
      </c>
      <c r="C1149" t="s">
        <v>118</v>
      </c>
      <c r="D1149">
        <v>2021</v>
      </c>
      <c r="E1149" s="2">
        <v>40</v>
      </c>
      <c r="F1149" s="2">
        <v>6200</v>
      </c>
      <c r="G1149" s="2">
        <v>6510</v>
      </c>
      <c r="H1149" s="3" t="s">
        <v>374</v>
      </c>
    </row>
    <row r="1150" spans="1:8" x14ac:dyDescent="0.3">
      <c r="A1150" t="s">
        <v>781</v>
      </c>
      <c r="B1150" t="s">
        <v>653</v>
      </c>
      <c r="C1150" t="s">
        <v>654</v>
      </c>
      <c r="D1150">
        <v>2019</v>
      </c>
      <c r="E1150" s="2">
        <v>25</v>
      </c>
      <c r="F1150" s="2">
        <v>1750</v>
      </c>
      <c r="G1150" s="2">
        <v>1837.5</v>
      </c>
    </row>
    <row r="1151" spans="1:8" x14ac:dyDescent="0.3">
      <c r="A1151" t="s">
        <v>781</v>
      </c>
      <c r="B1151" t="s">
        <v>653</v>
      </c>
      <c r="C1151" t="s">
        <v>654</v>
      </c>
      <c r="D1151">
        <v>2020</v>
      </c>
      <c r="E1151" s="2">
        <v>85</v>
      </c>
      <c r="F1151" s="2">
        <v>6800</v>
      </c>
      <c r="G1151" s="2">
        <v>7140</v>
      </c>
    </row>
    <row r="1152" spans="1:8" x14ac:dyDescent="0.3">
      <c r="A1152" t="s">
        <v>781</v>
      </c>
      <c r="B1152" t="s">
        <v>265</v>
      </c>
      <c r="C1152" t="s">
        <v>197</v>
      </c>
      <c r="D1152">
        <v>2019</v>
      </c>
      <c r="E1152" s="2">
        <v>25</v>
      </c>
      <c r="F1152" s="2">
        <v>3500</v>
      </c>
      <c r="G1152" s="2">
        <v>3675</v>
      </c>
    </row>
    <row r="1153" spans="1:8" x14ac:dyDescent="0.3">
      <c r="A1153" t="s">
        <v>781</v>
      </c>
      <c r="B1153" t="s">
        <v>383</v>
      </c>
      <c r="C1153" t="s">
        <v>384</v>
      </c>
      <c r="D1153">
        <v>2020</v>
      </c>
      <c r="E1153" s="2">
        <v>165</v>
      </c>
      <c r="F1153" s="2">
        <v>22995</v>
      </c>
      <c r="G1153" s="2">
        <v>2940</v>
      </c>
    </row>
    <row r="1154" spans="1:8" x14ac:dyDescent="0.3">
      <c r="A1154" t="s">
        <v>781</v>
      </c>
      <c r="B1154" t="s">
        <v>383</v>
      </c>
      <c r="C1154" t="s">
        <v>385</v>
      </c>
      <c r="D1154">
        <v>2021</v>
      </c>
      <c r="E1154" s="2">
        <v>107</v>
      </c>
      <c r="F1154" s="2">
        <v>14766</v>
      </c>
      <c r="G1154" s="2">
        <v>15504.3</v>
      </c>
      <c r="H1154" s="3" t="s">
        <v>14</v>
      </c>
    </row>
    <row r="1155" spans="1:8" x14ac:dyDescent="0.3">
      <c r="A1155" t="s">
        <v>781</v>
      </c>
      <c r="B1155" t="s">
        <v>600</v>
      </c>
      <c r="C1155" t="s">
        <v>75</v>
      </c>
      <c r="D1155">
        <v>2019</v>
      </c>
      <c r="E1155" s="2">
        <v>30</v>
      </c>
      <c r="F1155" s="2">
        <v>4800</v>
      </c>
      <c r="G1155" s="2">
        <v>5040</v>
      </c>
      <c r="H1155" s="3" t="s">
        <v>14</v>
      </c>
    </row>
    <row r="1156" spans="1:8" x14ac:dyDescent="0.3">
      <c r="A1156" t="s">
        <v>781</v>
      </c>
      <c r="B1156" t="s">
        <v>600</v>
      </c>
      <c r="C1156" t="s">
        <v>75</v>
      </c>
      <c r="D1156">
        <v>2021</v>
      </c>
      <c r="E1156" s="2">
        <v>35</v>
      </c>
      <c r="F1156" s="2">
        <v>5600</v>
      </c>
      <c r="G1156" s="2">
        <v>5880</v>
      </c>
      <c r="H1156" s="3" t="s">
        <v>14</v>
      </c>
    </row>
    <row r="1157" spans="1:8" x14ac:dyDescent="0.3">
      <c r="A1157" t="s">
        <v>794</v>
      </c>
      <c r="B1157" t="s">
        <v>795</v>
      </c>
      <c r="C1157" t="s">
        <v>796</v>
      </c>
      <c r="D1157">
        <v>2011</v>
      </c>
      <c r="E1157" s="2">
        <v>10</v>
      </c>
      <c r="F1157" s="2">
        <v>2084.6999999999998</v>
      </c>
      <c r="G1157" s="2"/>
    </row>
    <row r="1158" spans="1:8" x14ac:dyDescent="0.3">
      <c r="A1158" t="s">
        <v>794</v>
      </c>
      <c r="B1158" t="s">
        <v>797</v>
      </c>
      <c r="C1158" t="s">
        <v>798</v>
      </c>
      <c r="D1158">
        <v>2010</v>
      </c>
      <c r="E1158" s="2">
        <v>60</v>
      </c>
      <c r="F1158" s="2">
        <v>8390.4</v>
      </c>
      <c r="G1158" s="2"/>
    </row>
    <row r="1159" spans="1:8" x14ac:dyDescent="0.3">
      <c r="A1159" t="s">
        <v>794</v>
      </c>
      <c r="B1159" t="s">
        <v>797</v>
      </c>
      <c r="C1159" t="s">
        <v>798</v>
      </c>
      <c r="D1159">
        <v>2011</v>
      </c>
      <c r="E1159" s="2">
        <v>88.2</v>
      </c>
      <c r="F1159" s="2">
        <v>12337.84</v>
      </c>
      <c r="G1159" s="2"/>
    </row>
    <row r="1160" spans="1:8" x14ac:dyDescent="0.3">
      <c r="A1160" t="s">
        <v>794</v>
      </c>
      <c r="B1160" t="s">
        <v>799</v>
      </c>
      <c r="C1160" t="s">
        <v>800</v>
      </c>
      <c r="D1160">
        <v>2011</v>
      </c>
      <c r="E1160" s="2">
        <v>40</v>
      </c>
      <c r="F1160" s="2">
        <v>7065.6</v>
      </c>
      <c r="G1160" s="2"/>
    </row>
    <row r="1161" spans="1:8" x14ac:dyDescent="0.3">
      <c r="A1161" t="s">
        <v>794</v>
      </c>
      <c r="B1161" t="s">
        <v>801</v>
      </c>
      <c r="C1161" t="s">
        <v>802</v>
      </c>
      <c r="D1161">
        <v>2011</v>
      </c>
      <c r="E1161" s="2">
        <v>20</v>
      </c>
      <c r="F1161" s="2">
        <v>2612.8000000000002</v>
      </c>
      <c r="G1161" s="2"/>
    </row>
    <row r="1162" spans="1:8" x14ac:dyDescent="0.3">
      <c r="A1162" t="s">
        <v>794</v>
      </c>
      <c r="B1162" t="s">
        <v>386</v>
      </c>
      <c r="C1162" t="s">
        <v>387</v>
      </c>
      <c r="D1162">
        <v>2010</v>
      </c>
      <c r="E1162" s="2">
        <v>5</v>
      </c>
      <c r="F1162" s="2">
        <v>1067.2</v>
      </c>
      <c r="G1162" s="2"/>
    </row>
    <row r="1163" spans="1:8" x14ac:dyDescent="0.3">
      <c r="A1163" t="s">
        <v>794</v>
      </c>
      <c r="B1163" t="s">
        <v>386</v>
      </c>
      <c r="C1163" t="s">
        <v>387</v>
      </c>
      <c r="D1163">
        <v>2011</v>
      </c>
      <c r="E1163" s="2">
        <v>15</v>
      </c>
      <c r="F1163" s="2">
        <v>2700</v>
      </c>
      <c r="G1163" s="2"/>
    </row>
    <row r="1164" spans="1:8" x14ac:dyDescent="0.3">
      <c r="A1164" t="s">
        <v>803</v>
      </c>
      <c r="B1164" t="s">
        <v>280</v>
      </c>
      <c r="C1164" t="s">
        <v>224</v>
      </c>
      <c r="D1164">
        <v>2013</v>
      </c>
      <c r="E1164" s="2">
        <v>25</v>
      </c>
      <c r="F1164" s="2">
        <v>4875</v>
      </c>
      <c r="G1164" s="2"/>
    </row>
    <row r="1165" spans="1:8" x14ac:dyDescent="0.3">
      <c r="A1165" t="s">
        <v>803</v>
      </c>
      <c r="B1165" t="s">
        <v>280</v>
      </c>
      <c r="C1165" t="s">
        <v>224</v>
      </c>
      <c r="D1165">
        <v>2015</v>
      </c>
      <c r="E1165" s="2">
        <v>5</v>
      </c>
      <c r="F1165" s="2">
        <v>975</v>
      </c>
      <c r="G1165" s="2"/>
    </row>
    <row r="1166" spans="1:8" x14ac:dyDescent="0.3">
      <c r="A1166" t="s">
        <v>803</v>
      </c>
      <c r="B1166" t="s">
        <v>280</v>
      </c>
      <c r="C1166" t="s">
        <v>224</v>
      </c>
      <c r="D1166">
        <v>2017</v>
      </c>
      <c r="E1166" s="2">
        <v>5</v>
      </c>
      <c r="F1166" s="2">
        <v>975</v>
      </c>
      <c r="G1166" s="2"/>
    </row>
    <row r="1167" spans="1:8" x14ac:dyDescent="0.3">
      <c r="A1167" t="s">
        <v>803</v>
      </c>
      <c r="B1167" t="s">
        <v>218</v>
      </c>
      <c r="C1167" t="s">
        <v>212</v>
      </c>
      <c r="D1167">
        <v>2013</v>
      </c>
      <c r="E1167" s="2">
        <v>5</v>
      </c>
      <c r="F1167" s="2">
        <v>1000</v>
      </c>
      <c r="G1167" s="2"/>
    </row>
    <row r="1168" spans="1:8" x14ac:dyDescent="0.3">
      <c r="A1168" t="s">
        <v>803</v>
      </c>
      <c r="B1168" t="s">
        <v>218</v>
      </c>
      <c r="C1168" t="s">
        <v>212</v>
      </c>
      <c r="D1168">
        <v>2014</v>
      </c>
      <c r="E1168" s="2">
        <v>13.45</v>
      </c>
      <c r="F1168" s="2">
        <v>2690</v>
      </c>
      <c r="G1168" s="2"/>
    </row>
    <row r="1169" spans="1:7" x14ac:dyDescent="0.3">
      <c r="A1169" t="s">
        <v>803</v>
      </c>
      <c r="B1169" t="s">
        <v>804</v>
      </c>
      <c r="C1169" t="s">
        <v>805</v>
      </c>
      <c r="D1169">
        <v>2013</v>
      </c>
      <c r="E1169" s="2">
        <v>5</v>
      </c>
      <c r="F1169" s="2">
        <v>1000</v>
      </c>
      <c r="G1169" s="2"/>
    </row>
    <row r="1170" spans="1:7" x14ac:dyDescent="0.3">
      <c r="A1170" t="s">
        <v>803</v>
      </c>
      <c r="B1170" t="s">
        <v>103</v>
      </c>
      <c r="C1170" t="s">
        <v>104</v>
      </c>
      <c r="D1170">
        <v>2018</v>
      </c>
      <c r="E1170" s="2">
        <v>5</v>
      </c>
      <c r="F1170" s="2">
        <v>1150</v>
      </c>
      <c r="G1170" s="2">
        <v>1207.5</v>
      </c>
    </row>
    <row r="1171" spans="1:7" x14ac:dyDescent="0.3">
      <c r="A1171" t="s">
        <v>803</v>
      </c>
      <c r="B1171" t="s">
        <v>120</v>
      </c>
      <c r="C1171" t="s">
        <v>121</v>
      </c>
      <c r="D1171">
        <v>2015</v>
      </c>
      <c r="E1171" s="2">
        <v>50</v>
      </c>
      <c r="F1171" s="2">
        <v>7500</v>
      </c>
      <c r="G1171" s="2"/>
    </row>
    <row r="1172" spans="1:7" x14ac:dyDescent="0.3">
      <c r="A1172" t="s">
        <v>803</v>
      </c>
      <c r="B1172" t="s">
        <v>120</v>
      </c>
      <c r="C1172" t="s">
        <v>121</v>
      </c>
      <c r="D1172">
        <v>2016</v>
      </c>
      <c r="E1172" s="2">
        <v>25</v>
      </c>
      <c r="F1172" s="2">
        <v>3750</v>
      </c>
      <c r="G1172" s="2"/>
    </row>
    <row r="1173" spans="1:7" x14ac:dyDescent="0.3">
      <c r="A1173" t="s">
        <v>803</v>
      </c>
      <c r="B1173" t="s">
        <v>120</v>
      </c>
      <c r="C1173" t="s">
        <v>121</v>
      </c>
      <c r="D1173">
        <v>2018</v>
      </c>
      <c r="E1173" s="2">
        <v>50</v>
      </c>
      <c r="F1173" s="2">
        <v>7500</v>
      </c>
      <c r="G1173" s="2">
        <v>7875</v>
      </c>
    </row>
    <row r="1174" spans="1:7" x14ac:dyDescent="0.3">
      <c r="A1174" t="s">
        <v>803</v>
      </c>
      <c r="B1174" t="s">
        <v>196</v>
      </c>
      <c r="C1174" t="s">
        <v>197</v>
      </c>
      <c r="D1174">
        <v>2012</v>
      </c>
      <c r="E1174" s="2">
        <v>10</v>
      </c>
      <c r="F1174" s="2">
        <v>2000</v>
      </c>
      <c r="G1174" s="2"/>
    </row>
    <row r="1175" spans="1:7" x14ac:dyDescent="0.3">
      <c r="A1175" t="s">
        <v>803</v>
      </c>
      <c r="B1175" t="s">
        <v>70</v>
      </c>
      <c r="C1175" t="s">
        <v>71</v>
      </c>
      <c r="D1175">
        <v>2017</v>
      </c>
      <c r="E1175" s="2">
        <v>125</v>
      </c>
      <c r="F1175" s="2">
        <v>12500</v>
      </c>
      <c r="G1175" s="2"/>
    </row>
    <row r="1176" spans="1:7" x14ac:dyDescent="0.3">
      <c r="A1176" t="s">
        <v>803</v>
      </c>
      <c r="B1176" t="s">
        <v>412</v>
      </c>
      <c r="C1176" t="s">
        <v>413</v>
      </c>
      <c r="D1176">
        <v>2013</v>
      </c>
      <c r="E1176" s="2">
        <v>10</v>
      </c>
      <c r="F1176" s="2">
        <v>2350</v>
      </c>
      <c r="G1176" s="2"/>
    </row>
    <row r="1177" spans="1:7" x14ac:dyDescent="0.3">
      <c r="A1177" t="s">
        <v>803</v>
      </c>
      <c r="B1177" t="s">
        <v>412</v>
      </c>
      <c r="C1177" t="s">
        <v>413</v>
      </c>
      <c r="D1177">
        <v>2015</v>
      </c>
      <c r="E1177" s="2">
        <v>10</v>
      </c>
      <c r="F1177" s="2">
        <v>2350</v>
      </c>
      <c r="G1177" s="2"/>
    </row>
    <row r="1178" spans="1:7" x14ac:dyDescent="0.3">
      <c r="A1178" t="s">
        <v>803</v>
      </c>
      <c r="B1178" t="s">
        <v>318</v>
      </c>
      <c r="C1178" t="s">
        <v>319</v>
      </c>
      <c r="D1178">
        <v>2013</v>
      </c>
      <c r="E1178" s="2">
        <v>25</v>
      </c>
      <c r="F1178" s="2">
        <v>7500</v>
      </c>
      <c r="G1178" s="2"/>
    </row>
    <row r="1179" spans="1:7" x14ac:dyDescent="0.3">
      <c r="A1179" t="s">
        <v>803</v>
      </c>
      <c r="B1179" t="s">
        <v>153</v>
      </c>
      <c r="C1179" t="s">
        <v>154</v>
      </c>
      <c r="D1179">
        <v>2013</v>
      </c>
      <c r="E1179" s="2">
        <v>15</v>
      </c>
      <c r="F1179" s="2">
        <v>3000</v>
      </c>
      <c r="G1179" s="2"/>
    </row>
    <row r="1180" spans="1:7" x14ac:dyDescent="0.3">
      <c r="A1180" t="s">
        <v>803</v>
      </c>
      <c r="B1180" t="s">
        <v>153</v>
      </c>
      <c r="C1180" t="s">
        <v>154</v>
      </c>
      <c r="D1180">
        <v>2017</v>
      </c>
      <c r="E1180" s="2">
        <v>5</v>
      </c>
      <c r="F1180" s="2">
        <v>1000</v>
      </c>
      <c r="G1180" s="2"/>
    </row>
    <row r="1181" spans="1:7" x14ac:dyDescent="0.3">
      <c r="A1181" t="s">
        <v>806</v>
      </c>
      <c r="B1181" t="s">
        <v>276</v>
      </c>
      <c r="C1181" t="s">
        <v>277</v>
      </c>
      <c r="D1181">
        <v>2018</v>
      </c>
      <c r="E1181" s="2">
        <v>5</v>
      </c>
      <c r="F1181" s="2">
        <v>1325</v>
      </c>
      <c r="G1181" s="2"/>
    </row>
    <row r="1182" spans="1:7" x14ac:dyDescent="0.3">
      <c r="A1182" t="s">
        <v>806</v>
      </c>
      <c r="B1182" t="s">
        <v>82</v>
      </c>
      <c r="C1182" t="s">
        <v>83</v>
      </c>
      <c r="D1182">
        <v>2016</v>
      </c>
      <c r="E1182" s="2">
        <v>15</v>
      </c>
      <c r="F1182" s="2">
        <v>6750</v>
      </c>
      <c r="G1182" s="2"/>
    </row>
    <row r="1183" spans="1:7" x14ac:dyDescent="0.3">
      <c r="A1183" t="s">
        <v>806</v>
      </c>
      <c r="B1183" t="s">
        <v>82</v>
      </c>
      <c r="C1183" t="s">
        <v>83</v>
      </c>
      <c r="D1183">
        <v>2018</v>
      </c>
      <c r="E1183" s="2">
        <v>5</v>
      </c>
      <c r="F1183" s="2">
        <v>2250</v>
      </c>
      <c r="G1183" s="2">
        <v>2362.5</v>
      </c>
    </row>
    <row r="1184" spans="1:7" x14ac:dyDescent="0.3">
      <c r="A1184" t="s">
        <v>806</v>
      </c>
      <c r="B1184" t="s">
        <v>82</v>
      </c>
      <c r="C1184" t="s">
        <v>83</v>
      </c>
      <c r="D1184">
        <v>2019</v>
      </c>
      <c r="E1184" s="2">
        <v>10</v>
      </c>
      <c r="F1184" s="2">
        <v>4500</v>
      </c>
      <c r="G1184" s="2">
        <v>4725</v>
      </c>
    </row>
    <row r="1185" spans="1:8" x14ac:dyDescent="0.3">
      <c r="A1185" t="s">
        <v>806</v>
      </c>
      <c r="B1185" t="s">
        <v>82</v>
      </c>
      <c r="C1185" t="s">
        <v>83</v>
      </c>
      <c r="D1185">
        <v>2020</v>
      </c>
      <c r="E1185" s="2">
        <v>20</v>
      </c>
      <c r="F1185" s="2">
        <v>9000</v>
      </c>
      <c r="G1185" s="2">
        <v>9450</v>
      </c>
    </row>
    <row r="1186" spans="1:8" x14ac:dyDescent="0.3">
      <c r="A1186" t="s">
        <v>806</v>
      </c>
      <c r="B1186" t="s">
        <v>84</v>
      </c>
      <c r="C1186" t="s">
        <v>85</v>
      </c>
      <c r="D1186">
        <v>2016</v>
      </c>
      <c r="E1186" s="2">
        <v>10</v>
      </c>
      <c r="F1186" s="2">
        <v>1800</v>
      </c>
      <c r="G1186" s="2"/>
    </row>
    <row r="1187" spans="1:8" x14ac:dyDescent="0.3">
      <c r="A1187" t="s">
        <v>806</v>
      </c>
      <c r="B1187" t="s">
        <v>395</v>
      </c>
      <c r="D1187">
        <v>2018</v>
      </c>
      <c r="E1187" s="2">
        <v>5</v>
      </c>
      <c r="F1187" s="2">
        <v>1200</v>
      </c>
      <c r="G1187" s="2">
        <v>1260</v>
      </c>
    </row>
    <row r="1188" spans="1:8" x14ac:dyDescent="0.3">
      <c r="A1188" t="s">
        <v>806</v>
      </c>
      <c r="B1188" t="s">
        <v>288</v>
      </c>
      <c r="C1188" t="s">
        <v>289</v>
      </c>
      <c r="D1188">
        <v>2016</v>
      </c>
      <c r="E1188" s="2">
        <v>5</v>
      </c>
      <c r="F1188" s="2">
        <v>800</v>
      </c>
      <c r="G1188" s="2"/>
    </row>
    <row r="1189" spans="1:8" x14ac:dyDescent="0.3">
      <c r="A1189" t="s">
        <v>806</v>
      </c>
      <c r="B1189" t="s">
        <v>72</v>
      </c>
      <c r="C1189" t="s">
        <v>73</v>
      </c>
      <c r="D1189">
        <v>2015</v>
      </c>
      <c r="E1189" s="2">
        <v>25</v>
      </c>
      <c r="F1189" s="2">
        <v>7125</v>
      </c>
      <c r="G1189" s="2"/>
    </row>
    <row r="1190" spans="1:8" x14ac:dyDescent="0.3">
      <c r="A1190" t="s">
        <v>806</v>
      </c>
      <c r="B1190" t="s">
        <v>72</v>
      </c>
      <c r="C1190" t="s">
        <v>73</v>
      </c>
      <c r="D1190">
        <v>2016</v>
      </c>
      <c r="E1190" s="2">
        <v>25</v>
      </c>
      <c r="F1190" s="2">
        <v>7125</v>
      </c>
      <c r="G1190" s="2"/>
    </row>
    <row r="1191" spans="1:8" x14ac:dyDescent="0.3">
      <c r="A1191" t="s">
        <v>806</v>
      </c>
      <c r="B1191" t="s">
        <v>72</v>
      </c>
      <c r="C1191" t="s">
        <v>73</v>
      </c>
      <c r="D1191">
        <v>2017</v>
      </c>
      <c r="E1191" s="2">
        <v>50</v>
      </c>
      <c r="F1191" s="2">
        <v>14250</v>
      </c>
      <c r="G1191" s="2"/>
    </row>
    <row r="1192" spans="1:8" x14ac:dyDescent="0.3">
      <c r="A1192" t="s">
        <v>806</v>
      </c>
      <c r="B1192" t="s">
        <v>72</v>
      </c>
      <c r="C1192" t="s">
        <v>73</v>
      </c>
      <c r="D1192">
        <v>2018</v>
      </c>
      <c r="E1192" s="2">
        <v>25</v>
      </c>
      <c r="F1192" s="2">
        <v>7125</v>
      </c>
      <c r="G1192" s="2"/>
    </row>
    <row r="1193" spans="1:8" x14ac:dyDescent="0.3">
      <c r="A1193" t="s">
        <v>806</v>
      </c>
      <c r="B1193" t="s">
        <v>72</v>
      </c>
      <c r="C1193" t="s">
        <v>73</v>
      </c>
      <c r="D1193">
        <v>2019</v>
      </c>
      <c r="E1193" s="2">
        <v>25</v>
      </c>
      <c r="F1193" s="2">
        <v>7125</v>
      </c>
      <c r="G1193" s="2">
        <v>7481.25</v>
      </c>
    </row>
    <row r="1194" spans="1:8" x14ac:dyDescent="0.3">
      <c r="A1194" t="s">
        <v>806</v>
      </c>
      <c r="B1194" t="s">
        <v>72</v>
      </c>
      <c r="C1194" t="s">
        <v>319</v>
      </c>
      <c r="D1194">
        <v>2020</v>
      </c>
      <c r="E1194" s="2">
        <v>25</v>
      </c>
      <c r="F1194" s="2">
        <v>7125</v>
      </c>
      <c r="G1194" s="2">
        <v>7481.25</v>
      </c>
      <c r="H1194" s="3" t="s">
        <v>18</v>
      </c>
    </row>
    <row r="1195" spans="1:8" x14ac:dyDescent="0.3">
      <c r="A1195" t="s">
        <v>806</v>
      </c>
      <c r="B1195" t="s">
        <v>72</v>
      </c>
      <c r="C1195" t="s">
        <v>319</v>
      </c>
      <c r="D1195">
        <v>2021</v>
      </c>
      <c r="E1195" s="2">
        <v>25</v>
      </c>
      <c r="F1195" s="2">
        <v>7125</v>
      </c>
      <c r="G1195" s="2">
        <v>7481.25</v>
      </c>
      <c r="H1195" s="3" t="s">
        <v>18</v>
      </c>
    </row>
    <row r="1196" spans="1:8" x14ac:dyDescent="0.3">
      <c r="A1196" t="s">
        <v>806</v>
      </c>
      <c r="B1196" t="s">
        <v>74</v>
      </c>
      <c r="C1196" t="s">
        <v>75</v>
      </c>
      <c r="D1196">
        <v>2018</v>
      </c>
      <c r="E1196" s="2">
        <v>35</v>
      </c>
      <c r="F1196" s="2">
        <v>6000</v>
      </c>
      <c r="G1196" s="2">
        <v>6300</v>
      </c>
    </row>
    <row r="1197" spans="1:8" x14ac:dyDescent="0.3">
      <c r="A1197" t="s">
        <v>806</v>
      </c>
      <c r="B1197" t="s">
        <v>807</v>
      </c>
      <c r="C1197" t="s">
        <v>515</v>
      </c>
      <c r="D1197">
        <v>2018</v>
      </c>
      <c r="E1197" s="2">
        <v>5</v>
      </c>
      <c r="F1197" s="2">
        <v>900</v>
      </c>
      <c r="G1197" s="2">
        <v>945</v>
      </c>
    </row>
    <row r="1198" spans="1:8" x14ac:dyDescent="0.3">
      <c r="A1198" t="s">
        <v>808</v>
      </c>
      <c r="B1198" t="s">
        <v>809</v>
      </c>
      <c r="C1198" t="s">
        <v>810</v>
      </c>
      <c r="D1198">
        <v>2018</v>
      </c>
      <c r="E1198" s="2">
        <v>25</v>
      </c>
      <c r="F1198" s="2">
        <v>2500</v>
      </c>
      <c r="G1198" s="2">
        <v>2625</v>
      </c>
    </row>
    <row r="1199" spans="1:8" x14ac:dyDescent="0.3">
      <c r="A1199" t="s">
        <v>811</v>
      </c>
      <c r="B1199" t="s">
        <v>528</v>
      </c>
      <c r="C1199" t="s">
        <v>529</v>
      </c>
      <c r="D1199">
        <v>2010</v>
      </c>
      <c r="E1199" s="2">
        <v>10</v>
      </c>
      <c r="F1199" s="2">
        <v>790</v>
      </c>
      <c r="G1199" s="2"/>
    </row>
    <row r="1200" spans="1:8" x14ac:dyDescent="0.3">
      <c r="A1200" t="s">
        <v>812</v>
      </c>
      <c r="B1200" t="s">
        <v>34</v>
      </c>
      <c r="D1200">
        <v>2021</v>
      </c>
      <c r="E1200" s="2">
        <v>6</v>
      </c>
      <c r="F1200" s="2">
        <v>510</v>
      </c>
      <c r="G1200" s="2">
        <v>535.5</v>
      </c>
      <c r="H1200" s="3" t="s">
        <v>18</v>
      </c>
    </row>
    <row r="1201" spans="1:8" x14ac:dyDescent="0.3">
      <c r="A1201" t="s">
        <v>812</v>
      </c>
      <c r="B1201" t="s">
        <v>35</v>
      </c>
      <c r="D1201">
        <v>2020</v>
      </c>
      <c r="E1201" s="2">
        <v>5</v>
      </c>
      <c r="F1201" s="2">
        <v>400</v>
      </c>
      <c r="G1201" s="2">
        <v>420</v>
      </c>
    </row>
    <row r="1202" spans="1:8" x14ac:dyDescent="0.3">
      <c r="A1202" t="s">
        <v>812</v>
      </c>
      <c r="B1202" t="s">
        <v>813</v>
      </c>
      <c r="C1202" t="s">
        <v>814</v>
      </c>
      <c r="D1202">
        <v>2020</v>
      </c>
      <c r="E1202" s="2">
        <v>40</v>
      </c>
      <c r="F1202" s="2">
        <v>2530</v>
      </c>
      <c r="G1202" s="2">
        <v>2656.5</v>
      </c>
      <c r="H1202" s="3" t="s">
        <v>495</v>
      </c>
    </row>
    <row r="1203" spans="1:8" x14ac:dyDescent="0.3">
      <c r="A1203" t="s">
        <v>812</v>
      </c>
      <c r="B1203" t="s">
        <v>813</v>
      </c>
      <c r="C1203" t="s">
        <v>814</v>
      </c>
      <c r="D1203">
        <v>2021</v>
      </c>
      <c r="E1203" s="2">
        <v>170</v>
      </c>
      <c r="F1203" s="2">
        <v>10540</v>
      </c>
      <c r="G1203" s="2">
        <v>11067</v>
      </c>
      <c r="H1203" s="3" t="s">
        <v>495</v>
      </c>
    </row>
    <row r="1204" spans="1:8" x14ac:dyDescent="0.3">
      <c r="A1204" t="s">
        <v>812</v>
      </c>
      <c r="B1204" t="s">
        <v>36</v>
      </c>
      <c r="D1204">
        <v>2021</v>
      </c>
      <c r="E1204" s="2">
        <v>2</v>
      </c>
      <c r="F1204" s="2">
        <v>170</v>
      </c>
      <c r="G1204" s="2">
        <v>178.5</v>
      </c>
      <c r="H1204" s="3" t="s">
        <v>18</v>
      </c>
    </row>
    <row r="1205" spans="1:8" x14ac:dyDescent="0.3">
      <c r="A1205" t="s">
        <v>812</v>
      </c>
      <c r="B1205" t="s">
        <v>37</v>
      </c>
      <c r="D1205">
        <v>2020</v>
      </c>
      <c r="E1205" s="2">
        <v>5</v>
      </c>
      <c r="F1205" s="2">
        <v>375</v>
      </c>
      <c r="G1205" s="2">
        <v>393.75</v>
      </c>
      <c r="H1205" s="3" t="s">
        <v>18</v>
      </c>
    </row>
    <row r="1206" spans="1:8" x14ac:dyDescent="0.3">
      <c r="A1206" t="s">
        <v>812</v>
      </c>
      <c r="B1206" t="s">
        <v>37</v>
      </c>
      <c r="D1206">
        <v>2021</v>
      </c>
      <c r="E1206" s="2">
        <v>19</v>
      </c>
      <c r="F1206" s="2">
        <v>1425</v>
      </c>
      <c r="G1206" s="2">
        <v>1496.25</v>
      </c>
      <c r="H1206" s="3" t="s">
        <v>18</v>
      </c>
    </row>
    <row r="1207" spans="1:8" x14ac:dyDescent="0.3">
      <c r="A1207" t="s">
        <v>815</v>
      </c>
      <c r="B1207" t="s">
        <v>528</v>
      </c>
      <c r="C1207" t="s">
        <v>529</v>
      </c>
      <c r="D1207">
        <v>2021</v>
      </c>
      <c r="E1207" s="2">
        <v>5</v>
      </c>
      <c r="F1207" s="2">
        <v>325</v>
      </c>
      <c r="G1207" s="2">
        <v>341.25</v>
      </c>
      <c r="H1207" s="3" t="s">
        <v>18</v>
      </c>
    </row>
    <row r="1208" spans="1:8" x14ac:dyDescent="0.3">
      <c r="A1208" t="s">
        <v>815</v>
      </c>
      <c r="B1208" t="s">
        <v>671</v>
      </c>
      <c r="C1208" t="s">
        <v>672</v>
      </c>
      <c r="D1208">
        <v>2020</v>
      </c>
      <c r="E1208" s="2">
        <v>25</v>
      </c>
      <c r="F1208" s="2">
        <v>1125</v>
      </c>
      <c r="G1208" s="2">
        <v>1181.25</v>
      </c>
    </row>
    <row r="1209" spans="1:8" x14ac:dyDescent="0.3">
      <c r="A1209" t="s">
        <v>816</v>
      </c>
      <c r="B1209" t="s">
        <v>55</v>
      </c>
      <c r="D1209">
        <v>2021</v>
      </c>
      <c r="E1209" s="2">
        <v>5</v>
      </c>
      <c r="F1209" s="2">
        <v>1374</v>
      </c>
      <c r="G1209" s="2">
        <v>1374</v>
      </c>
      <c r="H1209" s="3" t="s">
        <v>18</v>
      </c>
    </row>
    <row r="1210" spans="1:8" x14ac:dyDescent="0.3">
      <c r="A1210" t="s">
        <v>816</v>
      </c>
      <c r="B1210" t="s">
        <v>589</v>
      </c>
      <c r="C1210" t="s">
        <v>590</v>
      </c>
      <c r="D1210">
        <v>2020</v>
      </c>
      <c r="E1210" s="2">
        <v>1</v>
      </c>
      <c r="F1210" s="2">
        <v>180</v>
      </c>
      <c r="G1210" s="2">
        <v>189</v>
      </c>
    </row>
    <row r="1211" spans="1:8" x14ac:dyDescent="0.3">
      <c r="A1211" t="s">
        <v>816</v>
      </c>
      <c r="B1211" t="s">
        <v>248</v>
      </c>
      <c r="C1211" t="s">
        <v>249</v>
      </c>
      <c r="D1211">
        <v>2020</v>
      </c>
      <c r="E1211" s="2">
        <v>1</v>
      </c>
      <c r="F1211" s="2">
        <v>220</v>
      </c>
      <c r="G1211" s="2">
        <v>231</v>
      </c>
    </row>
    <row r="1212" spans="1:8" x14ac:dyDescent="0.3">
      <c r="A1212" t="s">
        <v>816</v>
      </c>
      <c r="B1212" t="s">
        <v>538</v>
      </c>
      <c r="C1212" t="s">
        <v>539</v>
      </c>
      <c r="D1212">
        <v>2020</v>
      </c>
      <c r="E1212" s="2">
        <v>1</v>
      </c>
      <c r="F1212" s="2">
        <v>160</v>
      </c>
      <c r="G1212" s="2">
        <v>168</v>
      </c>
    </row>
    <row r="1213" spans="1:8" x14ac:dyDescent="0.3">
      <c r="A1213" t="s">
        <v>816</v>
      </c>
      <c r="B1213" t="s">
        <v>19</v>
      </c>
      <c r="C1213" t="s">
        <v>670</v>
      </c>
      <c r="D1213">
        <v>2020</v>
      </c>
      <c r="E1213" s="2">
        <v>1</v>
      </c>
      <c r="F1213" s="2">
        <v>130</v>
      </c>
      <c r="G1213" s="2">
        <v>136.5</v>
      </c>
    </row>
    <row r="1214" spans="1:8" x14ac:dyDescent="0.3">
      <c r="A1214" t="s">
        <v>816</v>
      </c>
      <c r="B1214" t="s">
        <v>597</v>
      </c>
      <c r="C1214" t="s">
        <v>598</v>
      </c>
      <c r="D1214">
        <v>2020</v>
      </c>
      <c r="E1214" s="2">
        <v>1</v>
      </c>
      <c r="F1214" s="2">
        <v>180</v>
      </c>
      <c r="G1214" s="2">
        <v>189</v>
      </c>
    </row>
    <row r="1215" spans="1:8" x14ac:dyDescent="0.3">
      <c r="A1215" t="s">
        <v>816</v>
      </c>
      <c r="B1215" t="s">
        <v>817</v>
      </c>
      <c r="D1215">
        <v>2020</v>
      </c>
      <c r="E1215" s="2">
        <v>1</v>
      </c>
      <c r="F1215" s="2">
        <v>300</v>
      </c>
      <c r="G1215" s="2">
        <v>315</v>
      </c>
    </row>
    <row r="1216" spans="1:8" x14ac:dyDescent="0.3">
      <c r="A1216" t="s">
        <v>816</v>
      </c>
      <c r="B1216" t="s">
        <v>72</v>
      </c>
      <c r="C1216" t="s">
        <v>319</v>
      </c>
      <c r="D1216">
        <v>2021</v>
      </c>
      <c r="E1216" s="2">
        <v>5</v>
      </c>
      <c r="F1216" s="2">
        <v>925</v>
      </c>
      <c r="G1216" s="2">
        <v>925</v>
      </c>
      <c r="H1216" s="3" t="s">
        <v>18</v>
      </c>
    </row>
    <row r="1217" spans="1:7" x14ac:dyDescent="0.3">
      <c r="A1217" t="s">
        <v>818</v>
      </c>
      <c r="B1217" t="s">
        <v>84</v>
      </c>
      <c r="C1217" t="s">
        <v>85</v>
      </c>
      <c r="D1217">
        <v>2016</v>
      </c>
      <c r="E1217" s="2">
        <v>1</v>
      </c>
      <c r="F1217" s="2">
        <v>180</v>
      </c>
      <c r="G1217" s="2"/>
    </row>
    <row r="1218" spans="1:7" x14ac:dyDescent="0.3">
      <c r="A1218" t="s">
        <v>818</v>
      </c>
      <c r="B1218" t="s">
        <v>55</v>
      </c>
      <c r="D1218">
        <v>2019</v>
      </c>
      <c r="E1218" s="2">
        <v>1</v>
      </c>
      <c r="F1218" s="2">
        <v>300</v>
      </c>
      <c r="G1218" s="2">
        <v>315</v>
      </c>
    </row>
    <row r="1219" spans="1:7" x14ac:dyDescent="0.3">
      <c r="A1219" t="s">
        <v>818</v>
      </c>
      <c r="B1219" t="s">
        <v>819</v>
      </c>
      <c r="C1219" t="s">
        <v>220</v>
      </c>
      <c r="D1219">
        <v>2018</v>
      </c>
      <c r="E1219" s="2">
        <v>1</v>
      </c>
      <c r="F1219" s="2">
        <v>115</v>
      </c>
      <c r="G1219" s="2">
        <v>120.75</v>
      </c>
    </row>
    <row r="1220" spans="1:7" x14ac:dyDescent="0.3">
      <c r="A1220" t="s">
        <v>818</v>
      </c>
      <c r="B1220" t="s">
        <v>395</v>
      </c>
      <c r="D1220">
        <v>2017</v>
      </c>
      <c r="E1220" s="2">
        <v>1</v>
      </c>
      <c r="F1220" s="2">
        <v>280</v>
      </c>
      <c r="G1220" s="2"/>
    </row>
    <row r="1221" spans="1:7" x14ac:dyDescent="0.3">
      <c r="A1221" t="s">
        <v>818</v>
      </c>
      <c r="B1221" t="s">
        <v>288</v>
      </c>
      <c r="C1221" t="s">
        <v>289</v>
      </c>
      <c r="D1221">
        <v>2016</v>
      </c>
      <c r="E1221" s="2">
        <v>1</v>
      </c>
      <c r="F1221" s="2">
        <v>170</v>
      </c>
      <c r="G1221" s="2"/>
    </row>
    <row r="1222" spans="1:7" x14ac:dyDescent="0.3">
      <c r="A1222" t="s">
        <v>818</v>
      </c>
      <c r="B1222" t="s">
        <v>95</v>
      </c>
      <c r="C1222" t="s">
        <v>96</v>
      </c>
      <c r="D1222">
        <v>2017</v>
      </c>
      <c r="E1222" s="2">
        <v>1</v>
      </c>
      <c r="F1222" s="2">
        <v>115</v>
      </c>
      <c r="G1222" s="2"/>
    </row>
    <row r="1223" spans="1:7" x14ac:dyDescent="0.3">
      <c r="A1223" t="s">
        <v>818</v>
      </c>
      <c r="B1223" t="s">
        <v>560</v>
      </c>
      <c r="C1223" t="s">
        <v>561</v>
      </c>
      <c r="D1223">
        <v>2018</v>
      </c>
      <c r="E1223" s="2">
        <v>1</v>
      </c>
      <c r="F1223" s="2">
        <v>140</v>
      </c>
      <c r="G1223" s="2">
        <v>147</v>
      </c>
    </row>
    <row r="1224" spans="1:7" x14ac:dyDescent="0.3">
      <c r="A1224" t="s">
        <v>818</v>
      </c>
      <c r="B1224" t="s">
        <v>514</v>
      </c>
      <c r="C1224" t="s">
        <v>515</v>
      </c>
      <c r="D1224">
        <v>2019</v>
      </c>
      <c r="E1224" s="2">
        <v>1</v>
      </c>
      <c r="F1224" s="2">
        <v>220</v>
      </c>
      <c r="G1224" s="2">
        <v>231</v>
      </c>
    </row>
    <row r="1225" spans="1:7" x14ac:dyDescent="0.3">
      <c r="A1225" t="s">
        <v>818</v>
      </c>
      <c r="B1225" t="s">
        <v>103</v>
      </c>
      <c r="C1225" t="s">
        <v>104</v>
      </c>
      <c r="D1225">
        <v>2017</v>
      </c>
      <c r="E1225" s="2">
        <v>1</v>
      </c>
      <c r="F1225" s="2">
        <v>240</v>
      </c>
      <c r="G1225" s="2"/>
    </row>
    <row r="1226" spans="1:7" x14ac:dyDescent="0.3">
      <c r="A1226" t="s">
        <v>818</v>
      </c>
      <c r="B1226" t="s">
        <v>820</v>
      </c>
      <c r="C1226" t="s">
        <v>821</v>
      </c>
      <c r="D1226">
        <v>2018</v>
      </c>
      <c r="E1226" s="2">
        <v>1</v>
      </c>
      <c r="F1226" s="2">
        <v>260</v>
      </c>
      <c r="G1226" s="2">
        <v>273</v>
      </c>
    </row>
    <row r="1227" spans="1:7" x14ac:dyDescent="0.3">
      <c r="A1227" t="s">
        <v>818</v>
      </c>
      <c r="B1227" t="s">
        <v>406</v>
      </c>
      <c r="C1227" t="s">
        <v>407</v>
      </c>
      <c r="D1227">
        <v>2016</v>
      </c>
      <c r="E1227" s="2">
        <v>1</v>
      </c>
      <c r="F1227" s="2">
        <v>290</v>
      </c>
      <c r="G1227" s="2"/>
    </row>
    <row r="1228" spans="1:7" x14ac:dyDescent="0.3">
      <c r="A1228" t="s">
        <v>818</v>
      </c>
      <c r="B1228" t="s">
        <v>142</v>
      </c>
      <c r="C1228" t="s">
        <v>143</v>
      </c>
      <c r="D1228">
        <v>2018</v>
      </c>
      <c r="E1228" s="2">
        <v>1</v>
      </c>
      <c r="F1228" s="2">
        <v>120</v>
      </c>
      <c r="G1228" s="2">
        <v>126</v>
      </c>
    </row>
    <row r="1229" spans="1:7" x14ac:dyDescent="0.3">
      <c r="A1229" t="s">
        <v>818</v>
      </c>
      <c r="B1229" t="s">
        <v>196</v>
      </c>
      <c r="C1229" t="s">
        <v>197</v>
      </c>
      <c r="D1229">
        <v>2018</v>
      </c>
      <c r="E1229" s="2">
        <v>1</v>
      </c>
      <c r="F1229" s="2">
        <v>150</v>
      </c>
      <c r="G1229" s="2">
        <v>157.5</v>
      </c>
    </row>
    <row r="1230" spans="1:7" x14ac:dyDescent="0.3">
      <c r="A1230" t="s">
        <v>818</v>
      </c>
      <c r="B1230" t="s">
        <v>412</v>
      </c>
      <c r="C1230" t="s">
        <v>413</v>
      </c>
      <c r="D1230">
        <v>2016</v>
      </c>
      <c r="E1230" s="2">
        <v>1</v>
      </c>
      <c r="F1230" s="2">
        <v>240</v>
      </c>
      <c r="G1230" s="2"/>
    </row>
    <row r="1231" spans="1:7" x14ac:dyDescent="0.3">
      <c r="A1231" t="s">
        <v>818</v>
      </c>
      <c r="B1231" t="s">
        <v>320</v>
      </c>
      <c r="C1231" t="s">
        <v>414</v>
      </c>
      <c r="D1231">
        <v>2016</v>
      </c>
      <c r="E1231" s="2">
        <v>1</v>
      </c>
      <c r="F1231" s="2">
        <v>240</v>
      </c>
      <c r="G1231" s="2"/>
    </row>
    <row r="1232" spans="1:7" x14ac:dyDescent="0.3">
      <c r="A1232" t="s">
        <v>818</v>
      </c>
      <c r="B1232" t="s">
        <v>807</v>
      </c>
      <c r="C1232" t="s">
        <v>515</v>
      </c>
      <c r="D1232">
        <v>2017</v>
      </c>
      <c r="E1232" s="2">
        <v>1</v>
      </c>
      <c r="F1232" s="2">
        <v>220</v>
      </c>
      <c r="G1232" s="2"/>
    </row>
    <row r="1233" spans="1:7" x14ac:dyDescent="0.3">
      <c r="A1233" t="s">
        <v>822</v>
      </c>
      <c r="B1233" t="s">
        <v>823</v>
      </c>
      <c r="C1233" t="s">
        <v>52</v>
      </c>
      <c r="D1233">
        <v>2016</v>
      </c>
      <c r="E1233" s="2">
        <v>10</v>
      </c>
      <c r="F1233" s="2">
        <v>1800</v>
      </c>
      <c r="G1233" s="2"/>
    </row>
    <row r="1234" spans="1:7" x14ac:dyDescent="0.3">
      <c r="A1234" t="s">
        <v>822</v>
      </c>
      <c r="B1234" t="s">
        <v>823</v>
      </c>
      <c r="C1234" t="s">
        <v>52</v>
      </c>
      <c r="D1234">
        <v>2017</v>
      </c>
      <c r="E1234" s="2">
        <v>5</v>
      </c>
      <c r="F1234" s="2">
        <v>875</v>
      </c>
      <c r="G1234" s="2"/>
    </row>
    <row r="1235" spans="1:7" x14ac:dyDescent="0.3">
      <c r="A1235" t="s">
        <v>822</v>
      </c>
      <c r="B1235" t="s">
        <v>84</v>
      </c>
      <c r="C1235" t="s">
        <v>85</v>
      </c>
      <c r="D1235">
        <v>2017</v>
      </c>
      <c r="E1235" s="2">
        <v>0.8</v>
      </c>
      <c r="F1235" s="2">
        <v>128</v>
      </c>
      <c r="G1235" s="2"/>
    </row>
    <row r="1236" spans="1:7" x14ac:dyDescent="0.3">
      <c r="A1236" t="s">
        <v>822</v>
      </c>
      <c r="B1236" t="s">
        <v>280</v>
      </c>
      <c r="C1236" t="s">
        <v>224</v>
      </c>
      <c r="D1236">
        <v>2017</v>
      </c>
      <c r="E1236" s="2">
        <v>0.5</v>
      </c>
      <c r="F1236" s="2">
        <v>100</v>
      </c>
      <c r="G1236" s="2"/>
    </row>
    <row r="1237" spans="1:7" x14ac:dyDescent="0.3">
      <c r="A1237" t="s">
        <v>822</v>
      </c>
      <c r="B1237" t="s">
        <v>819</v>
      </c>
      <c r="C1237" t="s">
        <v>220</v>
      </c>
      <c r="D1237">
        <v>2017</v>
      </c>
      <c r="E1237" s="2">
        <v>0.5</v>
      </c>
      <c r="F1237" s="2">
        <v>100</v>
      </c>
      <c r="G1237" s="2"/>
    </row>
    <row r="1238" spans="1:7" x14ac:dyDescent="0.3">
      <c r="A1238" t="s">
        <v>822</v>
      </c>
      <c r="B1238" t="s">
        <v>824</v>
      </c>
      <c r="C1238" t="s">
        <v>825</v>
      </c>
      <c r="D1238">
        <v>2017</v>
      </c>
      <c r="E1238" s="2">
        <v>0.5</v>
      </c>
      <c r="F1238" s="2">
        <v>100</v>
      </c>
      <c r="G1238" s="2"/>
    </row>
    <row r="1239" spans="1:7" x14ac:dyDescent="0.3">
      <c r="A1239" t="s">
        <v>822</v>
      </c>
      <c r="B1239" t="s">
        <v>120</v>
      </c>
      <c r="C1239" t="s">
        <v>121</v>
      </c>
      <c r="D1239">
        <v>2017</v>
      </c>
      <c r="E1239" s="2">
        <v>21</v>
      </c>
      <c r="F1239" s="2">
        <v>3960</v>
      </c>
      <c r="G1239" s="2"/>
    </row>
    <row r="1240" spans="1:7" x14ac:dyDescent="0.3">
      <c r="A1240" t="s">
        <v>822</v>
      </c>
      <c r="B1240" t="s">
        <v>120</v>
      </c>
      <c r="C1240" t="s">
        <v>121</v>
      </c>
      <c r="D1240">
        <v>2018</v>
      </c>
      <c r="E1240" s="2">
        <v>10</v>
      </c>
      <c r="F1240" s="2">
        <v>1800</v>
      </c>
      <c r="G1240" s="2">
        <v>1890</v>
      </c>
    </row>
    <row r="1241" spans="1:7" x14ac:dyDescent="0.3">
      <c r="A1241" t="s">
        <v>822</v>
      </c>
      <c r="B1241" t="s">
        <v>826</v>
      </c>
      <c r="C1241" t="s">
        <v>229</v>
      </c>
      <c r="D1241">
        <v>2013</v>
      </c>
      <c r="E1241" s="2">
        <v>120</v>
      </c>
      <c r="F1241" s="2">
        <v>13200</v>
      </c>
      <c r="G1241" s="2"/>
    </row>
    <row r="1242" spans="1:7" x14ac:dyDescent="0.3">
      <c r="A1242" t="s">
        <v>822</v>
      </c>
      <c r="B1242" t="s">
        <v>826</v>
      </c>
      <c r="C1242" t="s">
        <v>229</v>
      </c>
      <c r="D1242">
        <v>2016</v>
      </c>
      <c r="E1242" s="2">
        <v>4</v>
      </c>
      <c r="F1242" s="2">
        <v>720</v>
      </c>
      <c r="G1242" s="2"/>
    </row>
    <row r="1243" spans="1:7" x14ac:dyDescent="0.3">
      <c r="A1243" t="s">
        <v>822</v>
      </c>
      <c r="B1243" t="s">
        <v>196</v>
      </c>
      <c r="C1243" t="s">
        <v>197</v>
      </c>
      <c r="D1243">
        <v>2017</v>
      </c>
      <c r="E1243" s="2">
        <v>4</v>
      </c>
      <c r="F1243" s="2">
        <v>720</v>
      </c>
      <c r="G1243" s="2"/>
    </row>
    <row r="1244" spans="1:7" x14ac:dyDescent="0.3">
      <c r="A1244" t="s">
        <v>822</v>
      </c>
      <c r="B1244" t="s">
        <v>584</v>
      </c>
      <c r="C1244" t="s">
        <v>413</v>
      </c>
      <c r="D1244">
        <v>2017</v>
      </c>
      <c r="E1244" s="2">
        <v>0.5</v>
      </c>
      <c r="F1244" s="2">
        <v>100</v>
      </c>
      <c r="G1244" s="2"/>
    </row>
    <row r="1245" spans="1:7" x14ac:dyDescent="0.3">
      <c r="A1245" t="s">
        <v>827</v>
      </c>
      <c r="B1245" t="s">
        <v>828</v>
      </c>
      <c r="D1245">
        <v>2016</v>
      </c>
      <c r="E1245" s="2">
        <v>1</v>
      </c>
      <c r="F1245" s="2">
        <v>330</v>
      </c>
      <c r="G1245" s="2"/>
    </row>
    <row r="1246" spans="1:7" x14ac:dyDescent="0.3">
      <c r="A1246" t="s">
        <v>827</v>
      </c>
      <c r="B1246" t="s">
        <v>45</v>
      </c>
      <c r="D1246">
        <v>2014</v>
      </c>
      <c r="E1246" s="2">
        <v>20</v>
      </c>
      <c r="F1246" s="2">
        <v>2300</v>
      </c>
      <c r="G1246" s="2"/>
    </row>
    <row r="1247" spans="1:7" x14ac:dyDescent="0.3">
      <c r="A1247" t="s">
        <v>827</v>
      </c>
      <c r="B1247" t="s">
        <v>32</v>
      </c>
      <c r="D1247">
        <v>2013</v>
      </c>
      <c r="E1247" s="2">
        <v>120</v>
      </c>
      <c r="F1247" s="2">
        <v>13200</v>
      </c>
      <c r="G1247" s="2"/>
    </row>
    <row r="1248" spans="1:7" x14ac:dyDescent="0.3">
      <c r="A1248" t="s">
        <v>829</v>
      </c>
      <c r="B1248" t="s">
        <v>830</v>
      </c>
      <c r="C1248" t="s">
        <v>831</v>
      </c>
      <c r="D1248">
        <v>2019</v>
      </c>
      <c r="E1248" s="2">
        <v>25</v>
      </c>
      <c r="F1248" s="2">
        <v>850</v>
      </c>
      <c r="G1248" s="2">
        <v>892.5</v>
      </c>
    </row>
    <row r="1249" spans="1:8" x14ac:dyDescent="0.3">
      <c r="A1249" t="s">
        <v>829</v>
      </c>
      <c r="B1249" t="s">
        <v>665</v>
      </c>
      <c r="D1249">
        <v>2019</v>
      </c>
      <c r="E1249" s="2">
        <v>25</v>
      </c>
      <c r="F1249" s="2">
        <v>2500</v>
      </c>
      <c r="G1249" s="2">
        <v>2625</v>
      </c>
    </row>
    <row r="1250" spans="1:8" x14ac:dyDescent="0.3">
      <c r="A1250" t="s">
        <v>829</v>
      </c>
      <c r="B1250" t="s">
        <v>34</v>
      </c>
      <c r="D1250">
        <v>2018</v>
      </c>
      <c r="E1250" s="2">
        <v>1</v>
      </c>
      <c r="F1250" s="2">
        <v>90</v>
      </c>
      <c r="G1250" s="2">
        <v>94.5</v>
      </c>
    </row>
    <row r="1251" spans="1:8" x14ac:dyDescent="0.3">
      <c r="A1251" t="s">
        <v>829</v>
      </c>
      <c r="B1251" t="s">
        <v>453</v>
      </c>
      <c r="D1251">
        <v>2018</v>
      </c>
      <c r="E1251" s="2">
        <v>119</v>
      </c>
      <c r="F1251" s="2">
        <v>9265</v>
      </c>
      <c r="G1251" s="2">
        <v>9728.25</v>
      </c>
    </row>
    <row r="1252" spans="1:8" x14ac:dyDescent="0.3">
      <c r="A1252" t="s">
        <v>829</v>
      </c>
      <c r="B1252" t="s">
        <v>453</v>
      </c>
      <c r="D1252">
        <v>2019</v>
      </c>
      <c r="E1252" s="2">
        <v>110</v>
      </c>
      <c r="F1252" s="2">
        <v>9350</v>
      </c>
      <c r="G1252" s="2">
        <v>9817.5</v>
      </c>
    </row>
    <row r="1253" spans="1:8" x14ac:dyDescent="0.3">
      <c r="A1253" t="s">
        <v>829</v>
      </c>
      <c r="B1253" t="s">
        <v>453</v>
      </c>
      <c r="D1253">
        <v>2020</v>
      </c>
      <c r="E1253" s="2">
        <v>40</v>
      </c>
      <c r="F1253" s="2">
        <v>3400</v>
      </c>
      <c r="G1253" s="2">
        <v>3570</v>
      </c>
    </row>
    <row r="1254" spans="1:8" x14ac:dyDescent="0.3">
      <c r="A1254" t="s">
        <v>829</v>
      </c>
      <c r="B1254" t="s">
        <v>649</v>
      </c>
      <c r="C1254" t="s">
        <v>650</v>
      </c>
      <c r="D1254">
        <v>2021</v>
      </c>
      <c r="E1254" s="2">
        <v>25</v>
      </c>
      <c r="F1254" s="2">
        <v>2000</v>
      </c>
      <c r="G1254" s="2">
        <v>2100</v>
      </c>
      <c r="H1254" s="3" t="s">
        <v>18</v>
      </c>
    </row>
    <row r="1255" spans="1:8" x14ac:dyDescent="0.3">
      <c r="A1255" t="s">
        <v>829</v>
      </c>
      <c r="B1255" t="s">
        <v>514</v>
      </c>
      <c r="C1255" t="s">
        <v>515</v>
      </c>
      <c r="D1255">
        <v>2020</v>
      </c>
      <c r="E1255" s="2">
        <v>100</v>
      </c>
      <c r="F1255" s="2">
        <v>16500</v>
      </c>
      <c r="G1255" s="2">
        <v>17325</v>
      </c>
      <c r="H1255" s="3" t="s">
        <v>14</v>
      </c>
    </row>
    <row r="1256" spans="1:8" x14ac:dyDescent="0.3">
      <c r="A1256" t="s">
        <v>829</v>
      </c>
      <c r="B1256" t="s">
        <v>514</v>
      </c>
      <c r="C1256" t="s">
        <v>515</v>
      </c>
      <c r="D1256">
        <v>2021</v>
      </c>
      <c r="E1256" s="2">
        <v>75</v>
      </c>
      <c r="F1256" s="2">
        <v>12375</v>
      </c>
      <c r="G1256" s="2">
        <v>12993.75</v>
      </c>
      <c r="H1256" s="3" t="s">
        <v>14</v>
      </c>
    </row>
    <row r="1257" spans="1:8" x14ac:dyDescent="0.3">
      <c r="A1257" t="s">
        <v>829</v>
      </c>
      <c r="B1257" t="s">
        <v>467</v>
      </c>
      <c r="C1257" t="s">
        <v>468</v>
      </c>
      <c r="D1257">
        <v>2019</v>
      </c>
      <c r="E1257" s="2">
        <v>50</v>
      </c>
      <c r="F1257" s="2">
        <v>1750</v>
      </c>
      <c r="G1257" s="2">
        <v>1837.5</v>
      </c>
    </row>
    <row r="1258" spans="1:8" x14ac:dyDescent="0.3">
      <c r="A1258" t="s">
        <v>829</v>
      </c>
      <c r="B1258" t="s">
        <v>467</v>
      </c>
      <c r="C1258" t="s">
        <v>468</v>
      </c>
      <c r="D1258">
        <v>2020</v>
      </c>
      <c r="E1258" s="2">
        <v>50</v>
      </c>
      <c r="F1258" s="2">
        <v>1750</v>
      </c>
      <c r="G1258" s="2">
        <v>1837.5</v>
      </c>
    </row>
    <row r="1259" spans="1:8" x14ac:dyDescent="0.3">
      <c r="A1259" t="s">
        <v>829</v>
      </c>
      <c r="B1259" t="s">
        <v>832</v>
      </c>
      <c r="D1259">
        <v>2021</v>
      </c>
      <c r="E1259" s="2">
        <v>50</v>
      </c>
      <c r="F1259" s="2">
        <v>1750</v>
      </c>
      <c r="G1259" s="2">
        <v>1837.5</v>
      </c>
      <c r="H1259" s="3" t="s">
        <v>833</v>
      </c>
    </row>
    <row r="1260" spans="1:8" x14ac:dyDescent="0.3">
      <c r="A1260" t="s">
        <v>829</v>
      </c>
      <c r="B1260" t="s">
        <v>834</v>
      </c>
      <c r="D1260">
        <v>2018</v>
      </c>
      <c r="E1260" s="2">
        <v>50</v>
      </c>
      <c r="F1260" s="2">
        <v>1750</v>
      </c>
      <c r="G1260" s="2">
        <v>1837.5</v>
      </c>
      <c r="H1260" s="3" t="s">
        <v>835</v>
      </c>
    </row>
    <row r="1261" spans="1:8" x14ac:dyDescent="0.3">
      <c r="A1261" t="s">
        <v>829</v>
      </c>
      <c r="B1261" t="s">
        <v>834</v>
      </c>
      <c r="D1261">
        <v>2019</v>
      </c>
      <c r="E1261" s="2">
        <v>400</v>
      </c>
      <c r="F1261" s="2">
        <v>14000</v>
      </c>
      <c r="G1261" s="2">
        <v>14700</v>
      </c>
      <c r="H1261" s="3" t="s">
        <v>835</v>
      </c>
    </row>
    <row r="1262" spans="1:8" x14ac:dyDescent="0.3">
      <c r="A1262" t="s">
        <v>829</v>
      </c>
      <c r="B1262" t="s">
        <v>834</v>
      </c>
      <c r="D1262">
        <v>2020</v>
      </c>
      <c r="E1262" s="2">
        <v>200</v>
      </c>
      <c r="F1262" s="2">
        <v>7000</v>
      </c>
      <c r="G1262" s="2">
        <v>7350</v>
      </c>
      <c r="H1262" s="3" t="s">
        <v>835</v>
      </c>
    </row>
    <row r="1263" spans="1:8" x14ac:dyDescent="0.3">
      <c r="A1263" t="s">
        <v>829</v>
      </c>
      <c r="B1263" t="s">
        <v>834</v>
      </c>
      <c r="D1263">
        <v>2021</v>
      </c>
      <c r="E1263" s="2">
        <v>50</v>
      </c>
      <c r="F1263" s="2">
        <v>1750</v>
      </c>
      <c r="G1263" s="2">
        <v>1837.5</v>
      </c>
      <c r="H1263" s="3" t="s">
        <v>835</v>
      </c>
    </row>
    <row r="1264" spans="1:8" x14ac:dyDescent="0.3">
      <c r="A1264" t="s">
        <v>829</v>
      </c>
      <c r="B1264" t="s">
        <v>110</v>
      </c>
      <c r="C1264" t="s">
        <v>111</v>
      </c>
      <c r="D1264">
        <v>2021</v>
      </c>
      <c r="E1264" s="2">
        <v>50</v>
      </c>
      <c r="F1264" s="2">
        <v>1750</v>
      </c>
      <c r="G1264" s="2">
        <v>1837.5</v>
      </c>
      <c r="H1264" s="3" t="s">
        <v>14</v>
      </c>
    </row>
    <row r="1265" spans="1:8" x14ac:dyDescent="0.3">
      <c r="A1265" t="s">
        <v>829</v>
      </c>
      <c r="B1265" t="s">
        <v>836</v>
      </c>
      <c r="C1265" t="s">
        <v>837</v>
      </c>
      <c r="D1265">
        <v>2021</v>
      </c>
      <c r="E1265" s="2">
        <v>75</v>
      </c>
      <c r="F1265" s="2">
        <v>5625</v>
      </c>
      <c r="G1265" s="2">
        <v>5906.25</v>
      </c>
      <c r="H1265" s="3" t="s">
        <v>838</v>
      </c>
    </row>
    <row r="1266" spans="1:8" x14ac:dyDescent="0.3">
      <c r="A1266" t="s">
        <v>829</v>
      </c>
      <c r="B1266" t="s">
        <v>68</v>
      </c>
      <c r="C1266" t="s">
        <v>69</v>
      </c>
      <c r="D1266">
        <v>2018</v>
      </c>
      <c r="E1266" s="2">
        <v>50</v>
      </c>
      <c r="F1266" s="2">
        <v>2750</v>
      </c>
      <c r="G1266" s="2">
        <v>2887.5</v>
      </c>
    </row>
    <row r="1267" spans="1:8" x14ac:dyDescent="0.3">
      <c r="A1267" t="s">
        <v>829</v>
      </c>
      <c r="B1267" t="s">
        <v>68</v>
      </c>
      <c r="C1267" t="s">
        <v>69</v>
      </c>
      <c r="D1267">
        <v>2019</v>
      </c>
      <c r="E1267" s="2">
        <v>50</v>
      </c>
      <c r="F1267" s="2">
        <v>2750</v>
      </c>
      <c r="G1267" s="2">
        <v>2887.5</v>
      </c>
    </row>
    <row r="1268" spans="1:8" x14ac:dyDescent="0.3">
      <c r="A1268" t="s">
        <v>829</v>
      </c>
      <c r="B1268" t="s">
        <v>839</v>
      </c>
      <c r="C1268" t="s">
        <v>138</v>
      </c>
      <c r="D1268">
        <v>2020</v>
      </c>
      <c r="E1268" s="2">
        <v>25</v>
      </c>
      <c r="F1268" s="2">
        <v>4300</v>
      </c>
      <c r="G1268" s="2">
        <v>4515</v>
      </c>
    </row>
    <row r="1269" spans="1:8" x14ac:dyDescent="0.3">
      <c r="A1269" t="s">
        <v>829</v>
      </c>
      <c r="B1269" t="s">
        <v>708</v>
      </c>
      <c r="C1269" t="s">
        <v>477</v>
      </c>
      <c r="D1269">
        <v>2018</v>
      </c>
      <c r="E1269" s="2">
        <v>75</v>
      </c>
      <c r="F1269" s="2">
        <v>5500</v>
      </c>
      <c r="G1269" s="2">
        <v>5775</v>
      </c>
    </row>
    <row r="1270" spans="1:8" x14ac:dyDescent="0.3">
      <c r="A1270" t="s">
        <v>829</v>
      </c>
      <c r="B1270" t="s">
        <v>708</v>
      </c>
      <c r="C1270" t="s">
        <v>477</v>
      </c>
      <c r="D1270">
        <v>2019</v>
      </c>
      <c r="E1270" s="2">
        <v>75</v>
      </c>
      <c r="F1270" s="2">
        <v>5625</v>
      </c>
      <c r="G1270" s="2">
        <v>5906.25</v>
      </c>
    </row>
    <row r="1271" spans="1:8" x14ac:dyDescent="0.3">
      <c r="A1271" t="s">
        <v>829</v>
      </c>
      <c r="B1271" t="s">
        <v>483</v>
      </c>
      <c r="C1271" t="s">
        <v>484</v>
      </c>
      <c r="D1271">
        <v>2020</v>
      </c>
      <c r="E1271" s="2">
        <v>50</v>
      </c>
      <c r="F1271" s="2">
        <v>3250</v>
      </c>
      <c r="G1271" s="2">
        <v>3412.5</v>
      </c>
      <c r="H1271" s="3" t="s">
        <v>18</v>
      </c>
    </row>
    <row r="1272" spans="1:8" x14ac:dyDescent="0.3">
      <c r="A1272" t="s">
        <v>829</v>
      </c>
      <c r="B1272" t="s">
        <v>483</v>
      </c>
      <c r="C1272" t="s">
        <v>484</v>
      </c>
      <c r="D1272">
        <v>2021</v>
      </c>
      <c r="E1272" s="2">
        <v>25</v>
      </c>
      <c r="F1272" s="2">
        <v>1625</v>
      </c>
      <c r="G1272" s="2">
        <v>1706.25</v>
      </c>
      <c r="H1272" s="3" t="s">
        <v>18</v>
      </c>
    </row>
    <row r="1273" spans="1:8" x14ac:dyDescent="0.3">
      <c r="A1273" t="s">
        <v>829</v>
      </c>
      <c r="B1273" t="s">
        <v>37</v>
      </c>
      <c r="D1273">
        <v>2018</v>
      </c>
      <c r="E1273" s="2">
        <v>160</v>
      </c>
      <c r="F1273" s="2">
        <v>11200</v>
      </c>
      <c r="G1273" s="2">
        <v>11760</v>
      </c>
    </row>
    <row r="1274" spans="1:8" x14ac:dyDescent="0.3">
      <c r="A1274" t="s">
        <v>829</v>
      </c>
      <c r="B1274" t="s">
        <v>37</v>
      </c>
      <c r="D1274">
        <v>2020</v>
      </c>
      <c r="E1274" s="2">
        <v>20</v>
      </c>
      <c r="F1274" s="2">
        <v>1400</v>
      </c>
      <c r="G1274" s="2">
        <v>1470</v>
      </c>
    </row>
    <row r="1275" spans="1:8" x14ac:dyDescent="0.3">
      <c r="A1275" t="s">
        <v>840</v>
      </c>
      <c r="B1275" t="s">
        <v>88</v>
      </c>
      <c r="C1275" t="s">
        <v>89</v>
      </c>
      <c r="D1275">
        <v>2020</v>
      </c>
      <c r="E1275" s="2">
        <v>4</v>
      </c>
      <c r="F1275" s="2">
        <v>770</v>
      </c>
      <c r="G1275" s="2">
        <v>770</v>
      </c>
    </row>
    <row r="1276" spans="1:8" x14ac:dyDescent="0.3">
      <c r="A1276" t="s">
        <v>840</v>
      </c>
      <c r="B1276" t="s">
        <v>665</v>
      </c>
      <c r="D1276">
        <v>2021</v>
      </c>
      <c r="E1276" s="2">
        <v>1</v>
      </c>
      <c r="F1276" s="2">
        <v>110</v>
      </c>
      <c r="G1276" s="2">
        <v>115.5</v>
      </c>
    </row>
    <row r="1277" spans="1:8" x14ac:dyDescent="0.3">
      <c r="A1277" t="s">
        <v>840</v>
      </c>
      <c r="B1277" t="s">
        <v>453</v>
      </c>
      <c r="D1277">
        <v>2021</v>
      </c>
      <c r="E1277" s="2">
        <v>1</v>
      </c>
      <c r="F1277" s="2">
        <v>90</v>
      </c>
      <c r="G1277" s="2">
        <v>94.5</v>
      </c>
    </row>
    <row r="1278" spans="1:8" x14ac:dyDescent="0.3">
      <c r="A1278" t="s">
        <v>840</v>
      </c>
      <c r="B1278" t="s">
        <v>637</v>
      </c>
      <c r="C1278" t="s">
        <v>638</v>
      </c>
      <c r="D1278">
        <v>2020</v>
      </c>
      <c r="E1278" s="2">
        <v>4</v>
      </c>
      <c r="F1278" s="2">
        <v>770</v>
      </c>
      <c r="G1278" s="2">
        <v>770</v>
      </c>
    </row>
    <row r="1279" spans="1:8" x14ac:dyDescent="0.3">
      <c r="A1279" t="s">
        <v>840</v>
      </c>
      <c r="B1279" t="s">
        <v>596</v>
      </c>
      <c r="D1279">
        <v>2020</v>
      </c>
      <c r="E1279" s="2">
        <v>4</v>
      </c>
      <c r="F1279" s="2">
        <v>770</v>
      </c>
      <c r="G1279" s="2">
        <v>770</v>
      </c>
    </row>
    <row r="1280" spans="1:8" x14ac:dyDescent="0.3">
      <c r="A1280" t="s">
        <v>840</v>
      </c>
      <c r="B1280" t="s">
        <v>263</v>
      </c>
      <c r="C1280" t="s">
        <v>264</v>
      </c>
      <c r="D1280">
        <v>2020</v>
      </c>
      <c r="E1280" s="2">
        <v>4</v>
      </c>
      <c r="F1280" s="2">
        <v>770</v>
      </c>
      <c r="G1280" s="2">
        <v>770</v>
      </c>
    </row>
    <row r="1281" spans="1:8" x14ac:dyDescent="0.3">
      <c r="A1281" t="s">
        <v>840</v>
      </c>
      <c r="B1281" t="s">
        <v>676</v>
      </c>
      <c r="D1281">
        <v>2021</v>
      </c>
      <c r="E1281" s="2">
        <v>1</v>
      </c>
      <c r="F1281" s="2">
        <v>90</v>
      </c>
      <c r="G1281" s="2">
        <v>94.5</v>
      </c>
    </row>
    <row r="1282" spans="1:8" x14ac:dyDescent="0.3">
      <c r="A1282" t="s">
        <v>840</v>
      </c>
      <c r="B1282" t="s">
        <v>841</v>
      </c>
      <c r="C1282" t="s">
        <v>169</v>
      </c>
      <c r="D1282">
        <v>2020</v>
      </c>
      <c r="E1282" s="2">
        <v>4</v>
      </c>
      <c r="F1282" s="2">
        <v>595</v>
      </c>
      <c r="G1282" s="2">
        <v>595</v>
      </c>
    </row>
    <row r="1283" spans="1:8" x14ac:dyDescent="0.3">
      <c r="A1283" t="s">
        <v>842</v>
      </c>
      <c r="B1283" t="s">
        <v>843</v>
      </c>
      <c r="C1283" t="s">
        <v>844</v>
      </c>
      <c r="D1283">
        <v>2011</v>
      </c>
      <c r="E1283" s="2">
        <v>20</v>
      </c>
      <c r="F1283" s="2">
        <v>4800</v>
      </c>
      <c r="G1283" s="2"/>
    </row>
    <row r="1284" spans="1:8" x14ac:dyDescent="0.3">
      <c r="A1284" t="s">
        <v>842</v>
      </c>
      <c r="B1284" t="s">
        <v>845</v>
      </c>
      <c r="C1284" t="s">
        <v>846</v>
      </c>
      <c r="D1284">
        <v>2010</v>
      </c>
      <c r="E1284" s="2">
        <v>25</v>
      </c>
      <c r="F1284" s="2">
        <v>5425</v>
      </c>
      <c r="G1284" s="2"/>
    </row>
    <row r="1285" spans="1:8" x14ac:dyDescent="0.3">
      <c r="A1285" t="s">
        <v>842</v>
      </c>
      <c r="B1285" t="s">
        <v>845</v>
      </c>
      <c r="C1285" t="s">
        <v>846</v>
      </c>
      <c r="D1285">
        <v>2011</v>
      </c>
      <c r="E1285" s="2">
        <v>15</v>
      </c>
      <c r="F1285" s="2">
        <v>3600</v>
      </c>
      <c r="G1285" s="2"/>
    </row>
    <row r="1286" spans="1:8" x14ac:dyDescent="0.3">
      <c r="A1286" t="s">
        <v>842</v>
      </c>
      <c r="B1286" t="s">
        <v>847</v>
      </c>
      <c r="C1286" t="s">
        <v>848</v>
      </c>
      <c r="D1286">
        <v>2010</v>
      </c>
      <c r="E1286" s="2">
        <v>100</v>
      </c>
      <c r="F1286" s="2">
        <v>22788</v>
      </c>
      <c r="G1286" s="2"/>
    </row>
    <row r="1287" spans="1:8" x14ac:dyDescent="0.3">
      <c r="A1287" t="s">
        <v>842</v>
      </c>
      <c r="B1287" t="s">
        <v>560</v>
      </c>
      <c r="C1287" t="s">
        <v>561</v>
      </c>
      <c r="D1287">
        <v>2010</v>
      </c>
      <c r="E1287" s="2">
        <v>25</v>
      </c>
      <c r="F1287" s="2">
        <v>5980</v>
      </c>
      <c r="G1287" s="2"/>
    </row>
    <row r="1288" spans="1:8" x14ac:dyDescent="0.3">
      <c r="A1288" t="s">
        <v>842</v>
      </c>
      <c r="B1288" t="s">
        <v>849</v>
      </c>
      <c r="C1288" t="s">
        <v>850</v>
      </c>
      <c r="D1288">
        <v>2011</v>
      </c>
      <c r="E1288" s="2">
        <v>20</v>
      </c>
      <c r="F1288" s="2">
        <v>6480</v>
      </c>
      <c r="G1288" s="2"/>
    </row>
    <row r="1289" spans="1:8" x14ac:dyDescent="0.3">
      <c r="A1289" t="s">
        <v>842</v>
      </c>
      <c r="B1289" t="s">
        <v>851</v>
      </c>
      <c r="C1289" t="s">
        <v>852</v>
      </c>
      <c r="D1289">
        <v>2010</v>
      </c>
      <c r="E1289" s="2">
        <v>35</v>
      </c>
      <c r="F1289" s="2">
        <v>10393.1</v>
      </c>
      <c r="G1289" s="2"/>
    </row>
    <row r="1290" spans="1:8" x14ac:dyDescent="0.3">
      <c r="A1290" t="s">
        <v>842</v>
      </c>
      <c r="B1290" t="s">
        <v>851</v>
      </c>
      <c r="C1290" t="s">
        <v>852</v>
      </c>
      <c r="D1290">
        <v>2011</v>
      </c>
      <c r="E1290" s="2">
        <v>116</v>
      </c>
      <c r="F1290" s="2">
        <v>37613.760000000002</v>
      </c>
      <c r="G1290" s="2"/>
    </row>
    <row r="1291" spans="1:8" x14ac:dyDescent="0.3">
      <c r="A1291" t="s">
        <v>842</v>
      </c>
      <c r="B1291" t="s">
        <v>853</v>
      </c>
      <c r="C1291" t="s">
        <v>854</v>
      </c>
      <c r="D1291">
        <v>2010</v>
      </c>
      <c r="E1291" s="2">
        <v>25</v>
      </c>
      <c r="F1291" s="2">
        <v>6700</v>
      </c>
      <c r="G1291" s="2"/>
    </row>
    <row r="1292" spans="1:8" x14ac:dyDescent="0.3">
      <c r="A1292" t="s">
        <v>842</v>
      </c>
      <c r="B1292" t="s">
        <v>855</v>
      </c>
      <c r="C1292" t="s">
        <v>856</v>
      </c>
      <c r="D1292">
        <v>2010</v>
      </c>
      <c r="E1292" s="2">
        <v>25</v>
      </c>
      <c r="F1292" s="2">
        <v>8572.5</v>
      </c>
      <c r="G1292" s="2"/>
    </row>
    <row r="1293" spans="1:8" x14ac:dyDescent="0.3">
      <c r="A1293" t="s">
        <v>842</v>
      </c>
      <c r="B1293" t="s">
        <v>857</v>
      </c>
      <c r="C1293" t="s">
        <v>858</v>
      </c>
      <c r="D1293">
        <v>2010</v>
      </c>
      <c r="E1293" s="2">
        <v>15</v>
      </c>
      <c r="F1293" s="2">
        <v>5409.6</v>
      </c>
      <c r="G1293" s="2"/>
    </row>
    <row r="1294" spans="1:8" x14ac:dyDescent="0.3">
      <c r="A1294" t="s">
        <v>859</v>
      </c>
      <c r="B1294" t="s">
        <v>686</v>
      </c>
      <c r="C1294" t="s">
        <v>687</v>
      </c>
      <c r="D1294">
        <v>2020</v>
      </c>
      <c r="E1294" s="2">
        <v>5</v>
      </c>
      <c r="F1294" s="2">
        <v>340</v>
      </c>
      <c r="G1294" s="2">
        <v>357</v>
      </c>
    </row>
    <row r="1295" spans="1:8" x14ac:dyDescent="0.3">
      <c r="A1295" t="s">
        <v>859</v>
      </c>
      <c r="B1295" t="s">
        <v>404</v>
      </c>
      <c r="C1295" t="s">
        <v>405</v>
      </c>
      <c r="D1295">
        <v>2020</v>
      </c>
      <c r="E1295" s="2">
        <v>5</v>
      </c>
      <c r="F1295" s="2">
        <v>400</v>
      </c>
      <c r="G1295" s="2">
        <v>420</v>
      </c>
    </row>
    <row r="1296" spans="1:8" x14ac:dyDescent="0.3">
      <c r="A1296" t="s">
        <v>860</v>
      </c>
      <c r="B1296" t="s">
        <v>34</v>
      </c>
      <c r="D1296">
        <v>2021</v>
      </c>
      <c r="E1296" s="2">
        <v>10</v>
      </c>
      <c r="F1296" s="2">
        <v>800</v>
      </c>
      <c r="G1296" s="2">
        <v>840</v>
      </c>
      <c r="H1296" s="3" t="s">
        <v>18</v>
      </c>
    </row>
    <row r="1297" spans="1:8" x14ac:dyDescent="0.3">
      <c r="A1297" t="s">
        <v>860</v>
      </c>
      <c r="B1297" t="s">
        <v>19</v>
      </c>
      <c r="C1297" t="s">
        <v>670</v>
      </c>
      <c r="D1297">
        <v>2020</v>
      </c>
      <c r="E1297" s="2">
        <v>25</v>
      </c>
      <c r="F1297" s="2">
        <v>2000</v>
      </c>
      <c r="G1297" s="2">
        <v>2100</v>
      </c>
    </row>
    <row r="1298" spans="1:8" x14ac:dyDescent="0.3">
      <c r="A1298" t="s">
        <v>860</v>
      </c>
      <c r="B1298" t="s">
        <v>479</v>
      </c>
      <c r="C1298" t="s">
        <v>480</v>
      </c>
      <c r="D1298">
        <v>2020</v>
      </c>
      <c r="E1298" s="2">
        <v>50</v>
      </c>
      <c r="F1298" s="2">
        <v>3750</v>
      </c>
      <c r="G1298" s="2">
        <v>3937.5</v>
      </c>
    </row>
    <row r="1299" spans="1:8" x14ac:dyDescent="0.3">
      <c r="A1299" t="s">
        <v>861</v>
      </c>
      <c r="B1299" t="s">
        <v>24</v>
      </c>
      <c r="C1299" t="s">
        <v>25</v>
      </c>
      <c r="D1299">
        <v>2011</v>
      </c>
      <c r="E1299" s="2">
        <v>50</v>
      </c>
      <c r="F1299" s="2">
        <v>4750</v>
      </c>
      <c r="G1299" s="2"/>
    </row>
    <row r="1300" spans="1:8" x14ac:dyDescent="0.3">
      <c r="A1300" t="s">
        <v>861</v>
      </c>
      <c r="B1300" t="s">
        <v>24</v>
      </c>
      <c r="C1300" t="s">
        <v>25</v>
      </c>
      <c r="D1300">
        <v>2012</v>
      </c>
      <c r="E1300" s="2">
        <v>450</v>
      </c>
      <c r="F1300" s="2">
        <v>42750</v>
      </c>
      <c r="G1300" s="2"/>
    </row>
    <row r="1301" spans="1:8" x14ac:dyDescent="0.3">
      <c r="A1301" t="s">
        <v>861</v>
      </c>
      <c r="B1301" t="s">
        <v>24</v>
      </c>
      <c r="C1301" t="s">
        <v>25</v>
      </c>
      <c r="D1301">
        <v>2013</v>
      </c>
      <c r="E1301" s="2">
        <v>448</v>
      </c>
      <c r="F1301" s="2">
        <v>42560</v>
      </c>
      <c r="G1301" s="2"/>
    </row>
    <row r="1302" spans="1:8" x14ac:dyDescent="0.3">
      <c r="A1302" t="s">
        <v>861</v>
      </c>
      <c r="B1302" t="s">
        <v>24</v>
      </c>
      <c r="C1302" t="s">
        <v>25</v>
      </c>
      <c r="D1302">
        <v>2014</v>
      </c>
      <c r="E1302" s="2">
        <v>475</v>
      </c>
      <c r="F1302" s="2">
        <v>45125</v>
      </c>
      <c r="G1302" s="2"/>
    </row>
    <row r="1303" spans="1:8" x14ac:dyDescent="0.3">
      <c r="A1303" t="s">
        <v>861</v>
      </c>
      <c r="B1303" t="s">
        <v>24</v>
      </c>
      <c r="C1303" t="s">
        <v>25</v>
      </c>
      <c r="D1303">
        <v>2015</v>
      </c>
      <c r="E1303" s="2">
        <v>249</v>
      </c>
      <c r="F1303" s="2">
        <v>23655</v>
      </c>
      <c r="G1303" s="2"/>
    </row>
    <row r="1304" spans="1:8" x14ac:dyDescent="0.3">
      <c r="A1304" t="s">
        <v>861</v>
      </c>
      <c r="B1304" t="s">
        <v>24</v>
      </c>
      <c r="C1304" t="s">
        <v>25</v>
      </c>
      <c r="D1304">
        <v>2016</v>
      </c>
      <c r="E1304" s="2">
        <v>150</v>
      </c>
      <c r="F1304" s="2">
        <v>14250</v>
      </c>
      <c r="G1304" s="2"/>
    </row>
    <row r="1305" spans="1:8" x14ac:dyDescent="0.3">
      <c r="A1305" t="s">
        <v>861</v>
      </c>
      <c r="B1305" t="s">
        <v>24</v>
      </c>
      <c r="C1305" t="s">
        <v>25</v>
      </c>
      <c r="D1305">
        <v>2017</v>
      </c>
      <c r="E1305" s="2">
        <v>200</v>
      </c>
      <c r="F1305" s="2">
        <v>19000</v>
      </c>
      <c r="G1305" s="2"/>
    </row>
    <row r="1306" spans="1:8" x14ac:dyDescent="0.3">
      <c r="A1306" t="s">
        <v>861</v>
      </c>
      <c r="B1306" t="s">
        <v>28</v>
      </c>
      <c r="D1306">
        <v>2015</v>
      </c>
      <c r="E1306" s="2">
        <v>3</v>
      </c>
      <c r="F1306" s="2">
        <v>1500</v>
      </c>
      <c r="G1306" s="2"/>
    </row>
    <row r="1307" spans="1:8" x14ac:dyDescent="0.3">
      <c r="A1307" t="s">
        <v>861</v>
      </c>
      <c r="B1307" t="s">
        <v>862</v>
      </c>
      <c r="D1307">
        <v>2012</v>
      </c>
      <c r="E1307" s="2">
        <v>20</v>
      </c>
      <c r="F1307" s="2">
        <v>6600</v>
      </c>
      <c r="G1307" s="2"/>
    </row>
    <row r="1308" spans="1:8" x14ac:dyDescent="0.3">
      <c r="A1308" t="s">
        <v>861</v>
      </c>
      <c r="B1308" t="s">
        <v>446</v>
      </c>
      <c r="C1308" t="s">
        <v>447</v>
      </c>
      <c r="D1308">
        <v>2020</v>
      </c>
      <c r="E1308" s="2">
        <v>100</v>
      </c>
      <c r="F1308" s="2">
        <v>6300</v>
      </c>
      <c r="G1308" s="2">
        <v>6615</v>
      </c>
    </row>
    <row r="1309" spans="1:8" x14ac:dyDescent="0.3">
      <c r="A1309" t="s">
        <v>861</v>
      </c>
      <c r="B1309" t="s">
        <v>863</v>
      </c>
      <c r="D1309">
        <v>2012</v>
      </c>
      <c r="E1309" s="2">
        <v>20</v>
      </c>
      <c r="F1309" s="2">
        <v>1800</v>
      </c>
      <c r="G1309" s="2"/>
    </row>
    <row r="1310" spans="1:8" x14ac:dyDescent="0.3">
      <c r="A1310" t="s">
        <v>861</v>
      </c>
      <c r="B1310" t="s">
        <v>32</v>
      </c>
      <c r="D1310">
        <v>2012</v>
      </c>
      <c r="E1310" s="2">
        <v>160</v>
      </c>
      <c r="F1310" s="2">
        <v>13400</v>
      </c>
      <c r="G1310" s="2"/>
      <c r="H1310" s="3" t="s">
        <v>18</v>
      </c>
    </row>
    <row r="1311" spans="1:8" x14ac:dyDescent="0.3">
      <c r="A1311" t="s">
        <v>861</v>
      </c>
      <c r="B1311" t="s">
        <v>32</v>
      </c>
      <c r="D1311">
        <v>2013</v>
      </c>
      <c r="E1311" s="2">
        <v>60</v>
      </c>
      <c r="F1311" s="2">
        <v>5100</v>
      </c>
      <c r="G1311" s="2"/>
      <c r="H1311" s="3" t="s">
        <v>18</v>
      </c>
    </row>
    <row r="1312" spans="1:8" x14ac:dyDescent="0.3">
      <c r="A1312" t="s">
        <v>861</v>
      </c>
      <c r="B1312" t="s">
        <v>32</v>
      </c>
      <c r="D1312">
        <v>2014</v>
      </c>
      <c r="E1312" s="2">
        <v>140</v>
      </c>
      <c r="F1312" s="2">
        <v>12300</v>
      </c>
      <c r="G1312" s="2"/>
      <c r="H1312" s="3" t="s">
        <v>18</v>
      </c>
    </row>
    <row r="1313" spans="1:8" x14ac:dyDescent="0.3">
      <c r="A1313" t="s">
        <v>861</v>
      </c>
      <c r="B1313" t="s">
        <v>32</v>
      </c>
      <c r="D1313">
        <v>2015</v>
      </c>
      <c r="E1313" s="2">
        <v>200</v>
      </c>
      <c r="F1313" s="2">
        <v>18000</v>
      </c>
      <c r="G1313" s="2"/>
      <c r="H1313" s="3" t="s">
        <v>18</v>
      </c>
    </row>
    <row r="1314" spans="1:8" x14ac:dyDescent="0.3">
      <c r="A1314" t="s">
        <v>861</v>
      </c>
      <c r="B1314" t="s">
        <v>32</v>
      </c>
      <c r="D1314">
        <v>2016</v>
      </c>
      <c r="E1314" s="2">
        <v>180</v>
      </c>
      <c r="F1314" s="2">
        <v>16200</v>
      </c>
      <c r="G1314" s="2"/>
      <c r="H1314" s="3" t="s">
        <v>18</v>
      </c>
    </row>
    <row r="1315" spans="1:8" x14ac:dyDescent="0.3">
      <c r="A1315" t="s">
        <v>861</v>
      </c>
      <c r="B1315" t="s">
        <v>32</v>
      </c>
      <c r="D1315">
        <v>2017</v>
      </c>
      <c r="E1315" s="2">
        <v>80</v>
      </c>
      <c r="F1315" s="2">
        <v>7200</v>
      </c>
      <c r="G1315" s="2"/>
      <c r="H1315" s="3" t="s">
        <v>18</v>
      </c>
    </row>
    <row r="1316" spans="1:8" x14ac:dyDescent="0.3">
      <c r="A1316" t="s">
        <v>861</v>
      </c>
      <c r="B1316" t="s">
        <v>32</v>
      </c>
      <c r="D1316">
        <v>2019</v>
      </c>
      <c r="E1316" s="2">
        <v>80</v>
      </c>
      <c r="F1316" s="2">
        <v>6520</v>
      </c>
      <c r="G1316" s="2">
        <v>6846</v>
      </c>
      <c r="H1316" s="3" t="s">
        <v>18</v>
      </c>
    </row>
    <row r="1317" spans="1:8" x14ac:dyDescent="0.3">
      <c r="A1317" t="s">
        <v>861</v>
      </c>
      <c r="B1317" t="s">
        <v>32</v>
      </c>
      <c r="D1317">
        <v>2021</v>
      </c>
      <c r="E1317" s="2">
        <v>20</v>
      </c>
      <c r="F1317" s="2">
        <v>1460</v>
      </c>
      <c r="G1317" s="2">
        <v>1533</v>
      </c>
      <c r="H1317" s="3" t="s">
        <v>18</v>
      </c>
    </row>
    <row r="1318" spans="1:8" x14ac:dyDescent="0.3">
      <c r="A1318" t="s">
        <v>861</v>
      </c>
      <c r="B1318" t="s">
        <v>864</v>
      </c>
      <c r="D1318">
        <v>2017</v>
      </c>
      <c r="E1318" s="2">
        <v>20</v>
      </c>
      <c r="F1318" s="2">
        <v>1800</v>
      </c>
      <c r="G1318" s="2"/>
    </row>
    <row r="1319" spans="1:8" x14ac:dyDescent="0.3">
      <c r="A1319" t="s">
        <v>865</v>
      </c>
      <c r="B1319" t="s">
        <v>34</v>
      </c>
      <c r="D1319">
        <v>2020</v>
      </c>
      <c r="E1319" s="2">
        <v>5</v>
      </c>
      <c r="F1319" s="2">
        <v>450</v>
      </c>
      <c r="G1319" s="2">
        <v>472.5</v>
      </c>
    </row>
    <row r="1320" spans="1:8" x14ac:dyDescent="0.3">
      <c r="A1320" t="s">
        <v>865</v>
      </c>
      <c r="B1320" t="s">
        <v>453</v>
      </c>
      <c r="D1320">
        <v>2019</v>
      </c>
      <c r="E1320" s="2">
        <v>10</v>
      </c>
      <c r="F1320" s="2">
        <v>780</v>
      </c>
      <c r="G1320" s="2">
        <v>819</v>
      </c>
    </row>
    <row r="1321" spans="1:8" x14ac:dyDescent="0.3">
      <c r="A1321" t="s">
        <v>865</v>
      </c>
      <c r="B1321" t="s">
        <v>461</v>
      </c>
      <c r="D1321">
        <v>2019</v>
      </c>
      <c r="E1321" s="2">
        <v>10</v>
      </c>
      <c r="F1321" s="2">
        <v>800</v>
      </c>
      <c r="G1321" s="2">
        <v>840</v>
      </c>
    </row>
    <row r="1322" spans="1:8" x14ac:dyDescent="0.3">
      <c r="A1322" t="s">
        <v>865</v>
      </c>
      <c r="B1322" t="s">
        <v>686</v>
      </c>
      <c r="C1322" t="s">
        <v>866</v>
      </c>
      <c r="D1322">
        <v>2019</v>
      </c>
      <c r="E1322" s="2">
        <v>74.25</v>
      </c>
      <c r="F1322" s="2">
        <v>4677.75</v>
      </c>
      <c r="G1322" s="2">
        <v>4911.6374999999998</v>
      </c>
    </row>
    <row r="1323" spans="1:8" x14ac:dyDescent="0.3">
      <c r="A1323" t="s">
        <v>865</v>
      </c>
      <c r="B1323" t="s">
        <v>686</v>
      </c>
      <c r="C1323" t="s">
        <v>866</v>
      </c>
      <c r="D1323">
        <v>2020</v>
      </c>
      <c r="E1323" s="2">
        <v>175</v>
      </c>
      <c r="F1323" s="2">
        <v>11025</v>
      </c>
      <c r="G1323" s="2">
        <v>11576.25</v>
      </c>
    </row>
    <row r="1324" spans="1:8" x14ac:dyDescent="0.3">
      <c r="A1324" t="s">
        <v>865</v>
      </c>
      <c r="B1324" t="s">
        <v>19</v>
      </c>
      <c r="C1324" t="s">
        <v>670</v>
      </c>
      <c r="D1324">
        <v>2019</v>
      </c>
      <c r="E1324" s="2">
        <v>35</v>
      </c>
      <c r="F1324" s="2">
        <v>2625</v>
      </c>
      <c r="G1324" s="2">
        <v>2756.25</v>
      </c>
    </row>
    <row r="1325" spans="1:8" x14ac:dyDescent="0.3">
      <c r="A1325" t="s">
        <v>865</v>
      </c>
      <c r="B1325" t="s">
        <v>19</v>
      </c>
      <c r="C1325" t="s">
        <v>670</v>
      </c>
      <c r="D1325">
        <v>2020</v>
      </c>
      <c r="E1325" s="2">
        <v>100</v>
      </c>
      <c r="F1325" s="2">
        <v>7500</v>
      </c>
      <c r="G1325" s="2">
        <v>7875</v>
      </c>
    </row>
    <row r="1326" spans="1:8" x14ac:dyDescent="0.3">
      <c r="A1326" t="s">
        <v>865</v>
      </c>
      <c r="B1326" t="s">
        <v>671</v>
      </c>
      <c r="C1326" t="s">
        <v>672</v>
      </c>
      <c r="D1326">
        <v>2020</v>
      </c>
      <c r="E1326" s="2">
        <v>100</v>
      </c>
      <c r="F1326" s="2">
        <v>6000</v>
      </c>
      <c r="G1326" s="2">
        <v>6300</v>
      </c>
    </row>
    <row r="1327" spans="1:8" x14ac:dyDescent="0.3">
      <c r="A1327" t="s">
        <v>865</v>
      </c>
      <c r="B1327" t="s">
        <v>62</v>
      </c>
      <c r="C1327" t="s">
        <v>63</v>
      </c>
      <c r="D1327">
        <v>2019</v>
      </c>
      <c r="E1327" s="2">
        <v>75</v>
      </c>
      <c r="F1327" s="2">
        <v>4500</v>
      </c>
      <c r="G1327" s="2">
        <v>4725</v>
      </c>
      <c r="H1327" s="3" t="s">
        <v>18</v>
      </c>
    </row>
    <row r="1328" spans="1:8" x14ac:dyDescent="0.3">
      <c r="A1328" t="s">
        <v>865</v>
      </c>
      <c r="B1328" t="s">
        <v>62</v>
      </c>
      <c r="C1328" t="s">
        <v>63</v>
      </c>
      <c r="D1328">
        <v>2020</v>
      </c>
      <c r="E1328" s="2">
        <v>225</v>
      </c>
      <c r="F1328" s="2">
        <v>13500</v>
      </c>
      <c r="G1328" s="2">
        <v>14175</v>
      </c>
      <c r="H1328" s="3" t="s">
        <v>18</v>
      </c>
    </row>
    <row r="1329" spans="1:8" x14ac:dyDescent="0.3">
      <c r="A1329" t="s">
        <v>865</v>
      </c>
      <c r="B1329" t="s">
        <v>62</v>
      </c>
      <c r="C1329" t="s">
        <v>63</v>
      </c>
      <c r="D1329">
        <v>2021</v>
      </c>
      <c r="E1329" s="2">
        <v>200</v>
      </c>
      <c r="F1329" s="2">
        <v>12000</v>
      </c>
      <c r="G1329" s="2">
        <v>12600</v>
      </c>
      <c r="H1329" s="3" t="s">
        <v>18</v>
      </c>
    </row>
    <row r="1330" spans="1:8" x14ac:dyDescent="0.3">
      <c r="A1330" t="s">
        <v>865</v>
      </c>
      <c r="B1330" t="s">
        <v>110</v>
      </c>
      <c r="C1330" t="s">
        <v>111</v>
      </c>
      <c r="D1330">
        <v>2019</v>
      </c>
      <c r="E1330" s="2">
        <v>5</v>
      </c>
      <c r="F1330" s="2">
        <v>400</v>
      </c>
      <c r="G1330" s="2">
        <v>420</v>
      </c>
    </row>
    <row r="1331" spans="1:8" x14ac:dyDescent="0.3">
      <c r="A1331" t="s">
        <v>865</v>
      </c>
      <c r="B1331" t="s">
        <v>867</v>
      </c>
      <c r="C1331" t="s">
        <v>868</v>
      </c>
      <c r="D1331">
        <v>2019</v>
      </c>
      <c r="E1331" s="2">
        <v>10</v>
      </c>
      <c r="F1331" s="2">
        <v>800</v>
      </c>
      <c r="G1331" s="2">
        <v>840</v>
      </c>
    </row>
    <row r="1332" spans="1:8" x14ac:dyDescent="0.3">
      <c r="A1332" t="s">
        <v>865</v>
      </c>
      <c r="B1332" t="s">
        <v>36</v>
      </c>
      <c r="D1332">
        <v>2019</v>
      </c>
      <c r="E1332" s="2">
        <v>10</v>
      </c>
      <c r="F1332" s="2">
        <v>850</v>
      </c>
      <c r="G1332" s="2">
        <v>892.5</v>
      </c>
    </row>
    <row r="1333" spans="1:8" x14ac:dyDescent="0.3">
      <c r="A1333" t="s">
        <v>865</v>
      </c>
      <c r="B1333" t="s">
        <v>36</v>
      </c>
      <c r="D1333">
        <v>2020</v>
      </c>
      <c r="E1333" s="2">
        <v>50</v>
      </c>
      <c r="F1333" s="2">
        <v>4300</v>
      </c>
      <c r="G1333" s="2">
        <v>4515</v>
      </c>
    </row>
    <row r="1334" spans="1:8" x14ac:dyDescent="0.3">
      <c r="A1334" t="s">
        <v>865</v>
      </c>
      <c r="B1334" t="s">
        <v>37</v>
      </c>
      <c r="D1334">
        <v>2019</v>
      </c>
      <c r="E1334" s="2">
        <v>10</v>
      </c>
      <c r="F1334" s="2">
        <v>700</v>
      </c>
      <c r="G1334" s="2">
        <v>735</v>
      </c>
    </row>
    <row r="1335" spans="1:8" x14ac:dyDescent="0.3">
      <c r="A1335" t="s">
        <v>865</v>
      </c>
      <c r="B1335" t="s">
        <v>37</v>
      </c>
      <c r="D1335">
        <v>2020</v>
      </c>
      <c r="E1335" s="2">
        <v>95</v>
      </c>
      <c r="F1335" s="2">
        <v>6650</v>
      </c>
      <c r="G1335" s="2">
        <v>6982.5</v>
      </c>
    </row>
    <row r="1336" spans="1:8" x14ac:dyDescent="0.3">
      <c r="A1336" t="s">
        <v>869</v>
      </c>
      <c r="B1336" t="s">
        <v>870</v>
      </c>
      <c r="D1336">
        <v>2019</v>
      </c>
      <c r="E1336" s="2">
        <v>51</v>
      </c>
      <c r="F1336" s="2">
        <v>3575</v>
      </c>
      <c r="G1336" s="2">
        <v>3675</v>
      </c>
    </row>
    <row r="1337" spans="1:8" x14ac:dyDescent="0.3">
      <c r="A1337" t="s">
        <v>869</v>
      </c>
      <c r="B1337" t="s">
        <v>871</v>
      </c>
      <c r="D1337">
        <v>2019</v>
      </c>
      <c r="E1337" s="2">
        <v>1</v>
      </c>
      <c r="F1337" s="2">
        <v>80</v>
      </c>
      <c r="G1337" s="2">
        <v>80</v>
      </c>
    </row>
    <row r="1338" spans="1:8" x14ac:dyDescent="0.3">
      <c r="A1338" t="s">
        <v>869</v>
      </c>
      <c r="B1338" t="s">
        <v>872</v>
      </c>
      <c r="D1338">
        <v>2019</v>
      </c>
      <c r="E1338" s="2">
        <v>1</v>
      </c>
      <c r="F1338" s="2">
        <v>80</v>
      </c>
      <c r="G1338" s="2">
        <v>80</v>
      </c>
    </row>
    <row r="1339" spans="1:8" x14ac:dyDescent="0.3">
      <c r="A1339" t="s">
        <v>873</v>
      </c>
      <c r="B1339" t="s">
        <v>297</v>
      </c>
      <c r="C1339" t="s">
        <v>298</v>
      </c>
      <c r="D1339">
        <v>2012</v>
      </c>
      <c r="E1339" s="2">
        <v>1</v>
      </c>
      <c r="F1339" s="2">
        <v>125</v>
      </c>
      <c r="G1339" s="2"/>
    </row>
    <row r="1340" spans="1:8" x14ac:dyDescent="0.3">
      <c r="A1340" t="s">
        <v>873</v>
      </c>
      <c r="B1340" t="s">
        <v>19</v>
      </c>
      <c r="C1340" t="s">
        <v>20</v>
      </c>
      <c r="D1340">
        <v>2013</v>
      </c>
      <c r="E1340" s="2">
        <v>25</v>
      </c>
      <c r="F1340" s="2">
        <v>2375</v>
      </c>
      <c r="G1340" s="2"/>
    </row>
    <row r="1341" spans="1:8" x14ac:dyDescent="0.3">
      <c r="A1341" t="s">
        <v>873</v>
      </c>
      <c r="B1341" t="s">
        <v>21</v>
      </c>
      <c r="C1341" t="s">
        <v>22</v>
      </c>
      <c r="D1341">
        <v>2012</v>
      </c>
      <c r="E1341" s="2">
        <v>1</v>
      </c>
      <c r="F1341" s="2">
        <v>125</v>
      </c>
      <c r="G1341" s="2"/>
    </row>
    <row r="1342" spans="1:8" x14ac:dyDescent="0.3">
      <c r="A1342" t="s">
        <v>874</v>
      </c>
      <c r="B1342" t="s">
        <v>875</v>
      </c>
      <c r="D1342">
        <v>2021</v>
      </c>
      <c r="E1342" s="2">
        <v>25</v>
      </c>
      <c r="F1342" s="2">
        <v>1400</v>
      </c>
      <c r="G1342" s="2">
        <v>1470</v>
      </c>
      <c r="H1342" s="3" t="s">
        <v>876</v>
      </c>
    </row>
    <row r="1343" spans="1:8" x14ac:dyDescent="0.3">
      <c r="A1343" t="s">
        <v>877</v>
      </c>
      <c r="B1343" t="s">
        <v>103</v>
      </c>
      <c r="C1343" t="s">
        <v>104</v>
      </c>
      <c r="D1343">
        <v>2021</v>
      </c>
      <c r="E1343" s="2">
        <v>5</v>
      </c>
      <c r="F1343" s="2">
        <v>1150</v>
      </c>
      <c r="G1343" s="2">
        <v>1207.5</v>
      </c>
      <c r="H1343" s="3" t="s">
        <v>18</v>
      </c>
    </row>
    <row r="1344" spans="1:8" x14ac:dyDescent="0.3">
      <c r="A1344" t="s">
        <v>877</v>
      </c>
      <c r="B1344" t="s">
        <v>117</v>
      </c>
      <c r="C1344" t="s">
        <v>118</v>
      </c>
      <c r="D1344">
        <v>2021</v>
      </c>
      <c r="E1344" s="2">
        <v>10</v>
      </c>
      <c r="F1344" s="2">
        <v>2050</v>
      </c>
      <c r="G1344" s="2">
        <v>2152.5</v>
      </c>
      <c r="H1344" s="3" t="s">
        <v>18</v>
      </c>
    </row>
    <row r="1345" spans="1:8" x14ac:dyDescent="0.3">
      <c r="A1345" t="s">
        <v>877</v>
      </c>
      <c r="B1345" t="s">
        <v>125</v>
      </c>
      <c r="D1345">
        <v>2021</v>
      </c>
      <c r="E1345" s="2">
        <v>10</v>
      </c>
      <c r="F1345" s="2">
        <v>2950</v>
      </c>
      <c r="G1345" s="2">
        <v>3097.5</v>
      </c>
      <c r="H1345" s="3" t="s">
        <v>18</v>
      </c>
    </row>
    <row r="1346" spans="1:8" x14ac:dyDescent="0.3">
      <c r="A1346" t="s">
        <v>877</v>
      </c>
      <c r="B1346" t="s">
        <v>189</v>
      </c>
      <c r="D1346">
        <v>2021</v>
      </c>
      <c r="E1346" s="2">
        <v>25</v>
      </c>
      <c r="F1346" s="2">
        <v>5875</v>
      </c>
      <c r="G1346" s="2">
        <v>6168.75</v>
      </c>
      <c r="H1346" s="3" t="s">
        <v>18</v>
      </c>
    </row>
    <row r="1347" spans="1:8" x14ac:dyDescent="0.3">
      <c r="A1347" t="s">
        <v>877</v>
      </c>
      <c r="B1347" t="s">
        <v>72</v>
      </c>
      <c r="C1347" t="s">
        <v>319</v>
      </c>
      <c r="D1347">
        <v>2021</v>
      </c>
      <c r="E1347" s="2">
        <v>10</v>
      </c>
      <c r="F1347" s="2">
        <v>1750</v>
      </c>
      <c r="G1347" s="2">
        <v>1837.5</v>
      </c>
      <c r="H1347" s="3" t="s">
        <v>18</v>
      </c>
    </row>
    <row r="1348" spans="1:8" x14ac:dyDescent="0.3">
      <c r="A1348" t="s">
        <v>878</v>
      </c>
      <c r="B1348" t="s">
        <v>879</v>
      </c>
      <c r="C1348" t="s">
        <v>527</v>
      </c>
      <c r="D1348">
        <v>2011</v>
      </c>
      <c r="E1348" s="2">
        <v>25</v>
      </c>
      <c r="F1348" s="2">
        <v>2625</v>
      </c>
      <c r="G1348" s="2"/>
    </row>
    <row r="1349" spans="1:8" x14ac:dyDescent="0.3">
      <c r="A1349" t="s">
        <v>878</v>
      </c>
      <c r="B1349" t="s">
        <v>879</v>
      </c>
      <c r="C1349" t="s">
        <v>527</v>
      </c>
      <c r="D1349">
        <v>2012</v>
      </c>
      <c r="E1349" s="2">
        <v>75</v>
      </c>
      <c r="F1349" s="2">
        <v>8250</v>
      </c>
      <c r="G1349" s="2"/>
    </row>
    <row r="1350" spans="1:8" x14ac:dyDescent="0.3">
      <c r="A1350" t="s">
        <v>878</v>
      </c>
      <c r="B1350" t="s">
        <v>879</v>
      </c>
      <c r="C1350" t="s">
        <v>527</v>
      </c>
      <c r="D1350">
        <v>2014</v>
      </c>
      <c r="E1350" s="2">
        <v>75</v>
      </c>
      <c r="F1350" s="2">
        <v>8250</v>
      </c>
      <c r="G1350" s="2"/>
    </row>
    <row r="1351" spans="1:8" x14ac:dyDescent="0.3">
      <c r="A1351" t="s">
        <v>878</v>
      </c>
      <c r="B1351" t="s">
        <v>879</v>
      </c>
      <c r="C1351" t="s">
        <v>527</v>
      </c>
      <c r="D1351">
        <v>2015</v>
      </c>
      <c r="E1351" s="2">
        <v>50</v>
      </c>
      <c r="F1351" s="2">
        <v>5500</v>
      </c>
      <c r="G1351" s="2"/>
    </row>
    <row r="1352" spans="1:8" x14ac:dyDescent="0.3">
      <c r="A1352" t="s">
        <v>878</v>
      </c>
      <c r="B1352" t="s">
        <v>879</v>
      </c>
      <c r="C1352" t="s">
        <v>527</v>
      </c>
      <c r="D1352">
        <v>2016</v>
      </c>
      <c r="E1352" s="2">
        <v>40</v>
      </c>
      <c r="F1352" s="2">
        <v>4400</v>
      </c>
      <c r="G1352" s="2"/>
    </row>
    <row r="1353" spans="1:8" x14ac:dyDescent="0.3">
      <c r="A1353" t="s">
        <v>878</v>
      </c>
      <c r="B1353" t="s">
        <v>879</v>
      </c>
      <c r="C1353" t="s">
        <v>527</v>
      </c>
      <c r="D1353">
        <v>2017</v>
      </c>
      <c r="E1353" s="2">
        <v>45</v>
      </c>
      <c r="F1353" s="2">
        <v>4950</v>
      </c>
      <c r="G1353" s="2"/>
    </row>
    <row r="1354" spans="1:8" x14ac:dyDescent="0.3">
      <c r="A1354" t="s">
        <v>878</v>
      </c>
      <c r="B1354" t="s">
        <v>879</v>
      </c>
      <c r="C1354" t="s">
        <v>527</v>
      </c>
      <c r="D1354">
        <v>2018</v>
      </c>
      <c r="E1354" s="2">
        <v>75</v>
      </c>
      <c r="F1354" s="2">
        <v>6375</v>
      </c>
      <c r="G1354" s="2">
        <v>6693.75</v>
      </c>
    </row>
    <row r="1355" spans="1:8" x14ac:dyDescent="0.3">
      <c r="A1355" t="s">
        <v>878</v>
      </c>
      <c r="B1355" t="s">
        <v>879</v>
      </c>
      <c r="C1355" t="s">
        <v>527</v>
      </c>
      <c r="D1355">
        <v>2019</v>
      </c>
      <c r="E1355" s="2">
        <v>50</v>
      </c>
      <c r="F1355" s="2">
        <v>4250</v>
      </c>
      <c r="G1355" s="2">
        <v>4462.5</v>
      </c>
    </row>
    <row r="1356" spans="1:8" x14ac:dyDescent="0.3">
      <c r="A1356" t="s">
        <v>878</v>
      </c>
      <c r="B1356" t="s">
        <v>879</v>
      </c>
      <c r="C1356" t="s">
        <v>527</v>
      </c>
      <c r="D1356">
        <v>2020</v>
      </c>
      <c r="E1356" s="2">
        <v>75</v>
      </c>
      <c r="F1356" s="2">
        <v>6375</v>
      </c>
      <c r="G1356" s="2">
        <v>6693.75</v>
      </c>
    </row>
    <row r="1357" spans="1:8" x14ac:dyDescent="0.3">
      <c r="A1357" t="s">
        <v>878</v>
      </c>
      <c r="B1357" t="s">
        <v>184</v>
      </c>
      <c r="C1357" t="s">
        <v>185</v>
      </c>
      <c r="D1357">
        <v>2010</v>
      </c>
      <c r="E1357" s="2">
        <v>25</v>
      </c>
      <c r="F1357" s="2">
        <v>1125</v>
      </c>
      <c r="G1357" s="2"/>
    </row>
    <row r="1358" spans="1:8" x14ac:dyDescent="0.3">
      <c r="A1358" t="s">
        <v>878</v>
      </c>
      <c r="B1358" t="s">
        <v>184</v>
      </c>
      <c r="C1358" t="s">
        <v>185</v>
      </c>
      <c r="D1358">
        <v>2011</v>
      </c>
      <c r="E1358" s="2">
        <v>23.5</v>
      </c>
      <c r="F1358" s="2">
        <v>1010.5</v>
      </c>
      <c r="G1358" s="2"/>
    </row>
    <row r="1359" spans="1:8" x14ac:dyDescent="0.3">
      <c r="A1359" t="s">
        <v>878</v>
      </c>
      <c r="B1359" t="s">
        <v>880</v>
      </c>
      <c r="C1359" t="s">
        <v>881</v>
      </c>
      <c r="D1359">
        <v>2011</v>
      </c>
      <c r="E1359" s="2">
        <v>25</v>
      </c>
      <c r="F1359" s="2">
        <v>2375</v>
      </c>
      <c r="G1359" s="2"/>
    </row>
    <row r="1360" spans="1:8" x14ac:dyDescent="0.3">
      <c r="A1360" t="s">
        <v>878</v>
      </c>
      <c r="B1360" t="s">
        <v>880</v>
      </c>
      <c r="C1360" t="s">
        <v>881</v>
      </c>
      <c r="D1360">
        <v>2012</v>
      </c>
      <c r="E1360" s="2">
        <v>25</v>
      </c>
      <c r="F1360" s="2">
        <v>2375</v>
      </c>
      <c r="G1360" s="2"/>
    </row>
    <row r="1361" spans="1:7" x14ac:dyDescent="0.3">
      <c r="A1361" t="s">
        <v>878</v>
      </c>
      <c r="B1361" t="s">
        <v>528</v>
      </c>
      <c r="C1361" t="s">
        <v>529</v>
      </c>
      <c r="D1361">
        <v>2009</v>
      </c>
      <c r="E1361" s="2">
        <v>30</v>
      </c>
      <c r="F1361" s="2">
        <v>2160</v>
      </c>
      <c r="G1361" s="2"/>
    </row>
    <row r="1362" spans="1:7" x14ac:dyDescent="0.3">
      <c r="A1362" t="s">
        <v>878</v>
      </c>
      <c r="B1362" t="s">
        <v>528</v>
      </c>
      <c r="C1362" t="s">
        <v>529</v>
      </c>
      <c r="D1362">
        <v>2010</v>
      </c>
      <c r="E1362" s="2">
        <v>274.7</v>
      </c>
      <c r="F1362" s="2">
        <v>18467.099999999999</v>
      </c>
      <c r="G1362" s="2"/>
    </row>
    <row r="1363" spans="1:7" x14ac:dyDescent="0.3">
      <c r="A1363" t="s">
        <v>878</v>
      </c>
      <c r="B1363" t="s">
        <v>528</v>
      </c>
      <c r="C1363" t="s">
        <v>529</v>
      </c>
      <c r="D1363">
        <v>2011</v>
      </c>
      <c r="E1363" s="2">
        <v>425</v>
      </c>
      <c r="F1363" s="2">
        <v>33025</v>
      </c>
      <c r="G1363" s="2"/>
    </row>
    <row r="1364" spans="1:7" x14ac:dyDescent="0.3">
      <c r="A1364" t="s">
        <v>878</v>
      </c>
      <c r="B1364" t="s">
        <v>528</v>
      </c>
      <c r="C1364" t="s">
        <v>529</v>
      </c>
      <c r="D1364">
        <v>2012</v>
      </c>
      <c r="E1364" s="2">
        <v>400</v>
      </c>
      <c r="F1364" s="2">
        <v>31750</v>
      </c>
      <c r="G1364" s="2"/>
    </row>
    <row r="1365" spans="1:7" x14ac:dyDescent="0.3">
      <c r="A1365" t="s">
        <v>878</v>
      </c>
      <c r="B1365" t="s">
        <v>528</v>
      </c>
      <c r="C1365" t="s">
        <v>529</v>
      </c>
      <c r="D1365">
        <v>2013</v>
      </c>
      <c r="E1365" s="2">
        <v>50</v>
      </c>
      <c r="F1365" s="2">
        <v>3750</v>
      </c>
      <c r="G1365" s="2"/>
    </row>
    <row r="1366" spans="1:7" x14ac:dyDescent="0.3">
      <c r="A1366" t="s">
        <v>878</v>
      </c>
      <c r="B1366" t="s">
        <v>528</v>
      </c>
      <c r="C1366" t="s">
        <v>529</v>
      </c>
      <c r="D1366">
        <v>2014</v>
      </c>
      <c r="E1366" s="2">
        <v>10</v>
      </c>
      <c r="F1366" s="2">
        <v>750</v>
      </c>
      <c r="G1366" s="2"/>
    </row>
    <row r="1367" spans="1:7" x14ac:dyDescent="0.3">
      <c r="A1367" t="s">
        <v>878</v>
      </c>
      <c r="B1367" t="s">
        <v>528</v>
      </c>
      <c r="C1367" t="s">
        <v>529</v>
      </c>
      <c r="D1367">
        <v>2017</v>
      </c>
      <c r="E1367" s="2">
        <v>25</v>
      </c>
      <c r="F1367" s="2">
        <v>1625</v>
      </c>
      <c r="G1367" s="2"/>
    </row>
    <row r="1368" spans="1:7" x14ac:dyDescent="0.3">
      <c r="A1368" t="s">
        <v>878</v>
      </c>
      <c r="B1368" t="s">
        <v>19</v>
      </c>
      <c r="C1368" t="s">
        <v>699</v>
      </c>
      <c r="D1368">
        <v>2016</v>
      </c>
      <c r="E1368" s="2">
        <v>55</v>
      </c>
      <c r="F1368" s="2">
        <v>3600</v>
      </c>
      <c r="G1368" s="2"/>
    </row>
    <row r="1369" spans="1:7" x14ac:dyDescent="0.3">
      <c r="A1369" t="s">
        <v>878</v>
      </c>
      <c r="B1369" t="s">
        <v>19</v>
      </c>
      <c r="C1369" t="s">
        <v>20</v>
      </c>
      <c r="D1369">
        <v>2017</v>
      </c>
      <c r="E1369" s="2">
        <v>131</v>
      </c>
      <c r="F1369" s="2">
        <v>10480</v>
      </c>
      <c r="G1369" s="2"/>
    </row>
    <row r="1370" spans="1:7" x14ac:dyDescent="0.3">
      <c r="A1370" t="s">
        <v>878</v>
      </c>
      <c r="B1370" t="s">
        <v>19</v>
      </c>
      <c r="C1370" t="s">
        <v>699</v>
      </c>
      <c r="D1370">
        <v>2017</v>
      </c>
      <c r="E1370" s="2">
        <v>24</v>
      </c>
      <c r="F1370" s="2">
        <v>1560</v>
      </c>
      <c r="G1370" s="2"/>
    </row>
    <row r="1371" spans="1:7" x14ac:dyDescent="0.3">
      <c r="A1371" t="s">
        <v>878</v>
      </c>
      <c r="B1371" t="s">
        <v>809</v>
      </c>
      <c r="C1371" t="s">
        <v>810</v>
      </c>
      <c r="D1371">
        <v>2016</v>
      </c>
      <c r="E1371" s="2">
        <v>5</v>
      </c>
      <c r="F1371" s="2">
        <v>450</v>
      </c>
      <c r="G1371" s="2"/>
    </row>
    <row r="1372" spans="1:7" x14ac:dyDescent="0.3">
      <c r="A1372" t="s">
        <v>878</v>
      </c>
      <c r="B1372" t="s">
        <v>41</v>
      </c>
      <c r="C1372" t="s">
        <v>42</v>
      </c>
      <c r="D1372">
        <v>2011</v>
      </c>
      <c r="E1372" s="2">
        <v>25</v>
      </c>
      <c r="F1372" s="2">
        <v>1375</v>
      </c>
      <c r="G1372" s="2"/>
    </row>
    <row r="1373" spans="1:7" x14ac:dyDescent="0.3">
      <c r="A1373" t="s">
        <v>878</v>
      </c>
      <c r="B1373" t="s">
        <v>41</v>
      </c>
      <c r="C1373" t="s">
        <v>42</v>
      </c>
      <c r="D1373">
        <v>2013</v>
      </c>
      <c r="E1373" s="2">
        <v>10</v>
      </c>
      <c r="F1373" s="2">
        <v>550</v>
      </c>
      <c r="G1373" s="2"/>
    </row>
    <row r="1374" spans="1:7" x14ac:dyDescent="0.3">
      <c r="A1374" t="s">
        <v>878</v>
      </c>
      <c r="B1374" t="s">
        <v>21</v>
      </c>
      <c r="C1374" t="s">
        <v>22</v>
      </c>
      <c r="D1374">
        <v>2010</v>
      </c>
      <c r="E1374" s="2">
        <v>16.399999999999999</v>
      </c>
      <c r="F1374" s="2">
        <v>820</v>
      </c>
      <c r="G1374" s="2"/>
    </row>
    <row r="1375" spans="1:7" x14ac:dyDescent="0.3">
      <c r="A1375" t="s">
        <v>878</v>
      </c>
      <c r="B1375" t="s">
        <v>471</v>
      </c>
      <c r="C1375" t="s">
        <v>882</v>
      </c>
      <c r="D1375">
        <v>2014</v>
      </c>
      <c r="E1375" s="2">
        <v>10</v>
      </c>
      <c r="F1375" s="2">
        <v>750</v>
      </c>
      <c r="G1375" s="2"/>
    </row>
    <row r="1376" spans="1:7" x14ac:dyDescent="0.3">
      <c r="A1376" t="s">
        <v>878</v>
      </c>
      <c r="B1376" t="s">
        <v>471</v>
      </c>
      <c r="C1376" t="s">
        <v>882</v>
      </c>
      <c r="D1376">
        <v>2016</v>
      </c>
      <c r="E1376" s="2">
        <v>25</v>
      </c>
      <c r="F1376" s="2">
        <v>1875</v>
      </c>
      <c r="G1376" s="2"/>
    </row>
    <row r="1377" spans="1:7" x14ac:dyDescent="0.3">
      <c r="A1377" t="s">
        <v>878</v>
      </c>
      <c r="B1377" t="s">
        <v>471</v>
      </c>
      <c r="C1377" t="s">
        <v>882</v>
      </c>
      <c r="D1377">
        <v>2017</v>
      </c>
      <c r="E1377" s="2">
        <v>75</v>
      </c>
      <c r="F1377" s="2">
        <v>5625</v>
      </c>
      <c r="G1377" s="2"/>
    </row>
    <row r="1378" spans="1:7" x14ac:dyDescent="0.3">
      <c r="A1378" t="s">
        <v>878</v>
      </c>
      <c r="B1378" t="s">
        <v>883</v>
      </c>
      <c r="C1378" t="s">
        <v>780</v>
      </c>
      <c r="D1378">
        <v>2010</v>
      </c>
      <c r="E1378" s="2">
        <v>10</v>
      </c>
      <c r="F1378" s="2">
        <v>750</v>
      </c>
      <c r="G1378" s="2"/>
    </row>
    <row r="1379" spans="1:7" x14ac:dyDescent="0.3">
      <c r="A1379" t="s">
        <v>878</v>
      </c>
      <c r="B1379" t="s">
        <v>12</v>
      </c>
      <c r="C1379" t="s">
        <v>13</v>
      </c>
      <c r="D1379">
        <v>2014</v>
      </c>
      <c r="E1379" s="2">
        <v>50</v>
      </c>
      <c r="F1379" s="2">
        <v>3850</v>
      </c>
      <c r="G1379" s="2"/>
    </row>
    <row r="1380" spans="1:7" x14ac:dyDescent="0.3">
      <c r="A1380" t="s">
        <v>878</v>
      </c>
      <c r="B1380" t="s">
        <v>12</v>
      </c>
      <c r="C1380" t="s">
        <v>13</v>
      </c>
      <c r="D1380">
        <v>2016</v>
      </c>
      <c r="E1380" s="2">
        <v>30</v>
      </c>
      <c r="F1380" s="2">
        <v>2310</v>
      </c>
      <c r="G1380" s="2"/>
    </row>
    <row r="1381" spans="1:7" x14ac:dyDescent="0.3">
      <c r="A1381" t="s">
        <v>878</v>
      </c>
      <c r="B1381" t="s">
        <v>12</v>
      </c>
      <c r="C1381" t="s">
        <v>13</v>
      </c>
      <c r="D1381">
        <v>2017</v>
      </c>
      <c r="E1381" s="2">
        <v>25</v>
      </c>
      <c r="F1381" s="2">
        <v>1925</v>
      </c>
      <c r="G1381" s="2"/>
    </row>
    <row r="1382" spans="1:7" x14ac:dyDescent="0.3">
      <c r="A1382" t="s">
        <v>884</v>
      </c>
      <c r="B1382" t="s">
        <v>82</v>
      </c>
      <c r="C1382" t="s">
        <v>83</v>
      </c>
      <c r="D1382">
        <v>2018</v>
      </c>
      <c r="E1382" s="2">
        <v>25</v>
      </c>
      <c r="F1382" s="2">
        <v>12000</v>
      </c>
      <c r="G1382" s="2">
        <v>12600</v>
      </c>
    </row>
    <row r="1383" spans="1:7" x14ac:dyDescent="0.3">
      <c r="A1383" t="s">
        <v>884</v>
      </c>
      <c r="B1383" t="s">
        <v>885</v>
      </c>
      <c r="D1383">
        <v>2017</v>
      </c>
      <c r="E1383" s="2">
        <v>25</v>
      </c>
      <c r="F1383" s="2">
        <v>11250</v>
      </c>
      <c r="G1383" s="2"/>
    </row>
    <row r="1384" spans="1:7" x14ac:dyDescent="0.3">
      <c r="A1384" t="s">
        <v>884</v>
      </c>
      <c r="B1384" t="s">
        <v>41</v>
      </c>
      <c r="C1384" t="s">
        <v>42</v>
      </c>
      <c r="D1384">
        <v>2017</v>
      </c>
      <c r="E1384" s="2">
        <v>1</v>
      </c>
      <c r="F1384" s="2">
        <v>80</v>
      </c>
      <c r="G1384" s="2"/>
    </row>
    <row r="1385" spans="1:7" x14ac:dyDescent="0.3">
      <c r="A1385" t="s">
        <v>884</v>
      </c>
      <c r="B1385" t="s">
        <v>886</v>
      </c>
      <c r="C1385" t="s">
        <v>145</v>
      </c>
      <c r="D1385">
        <v>2015</v>
      </c>
      <c r="E1385" s="2">
        <v>5</v>
      </c>
      <c r="F1385" s="2">
        <v>1450</v>
      </c>
      <c r="G1385" s="2"/>
    </row>
    <row r="1386" spans="1:7" x14ac:dyDescent="0.3">
      <c r="A1386" t="s">
        <v>884</v>
      </c>
      <c r="B1386" t="s">
        <v>886</v>
      </c>
      <c r="C1386" t="s">
        <v>145</v>
      </c>
      <c r="D1386">
        <v>2016</v>
      </c>
      <c r="E1386" s="2">
        <v>25</v>
      </c>
      <c r="F1386" s="2">
        <v>6000</v>
      </c>
      <c r="G1386" s="2"/>
    </row>
    <row r="1387" spans="1:7" x14ac:dyDescent="0.3">
      <c r="A1387" t="s">
        <v>884</v>
      </c>
      <c r="B1387" t="s">
        <v>196</v>
      </c>
      <c r="C1387" t="s">
        <v>197</v>
      </c>
      <c r="D1387">
        <v>2017</v>
      </c>
      <c r="E1387" s="2">
        <v>25</v>
      </c>
      <c r="F1387" s="2">
        <v>3750</v>
      </c>
      <c r="G1387" s="2"/>
    </row>
    <row r="1388" spans="1:7" x14ac:dyDescent="0.3">
      <c r="A1388" t="s">
        <v>884</v>
      </c>
      <c r="B1388" t="s">
        <v>196</v>
      </c>
      <c r="C1388" t="s">
        <v>197</v>
      </c>
      <c r="D1388">
        <v>2018</v>
      </c>
      <c r="E1388" s="2">
        <v>50</v>
      </c>
      <c r="F1388" s="2">
        <v>11250</v>
      </c>
      <c r="G1388" s="2">
        <v>11812.5</v>
      </c>
    </row>
    <row r="1389" spans="1:7" x14ac:dyDescent="0.3">
      <c r="A1389" t="s">
        <v>884</v>
      </c>
      <c r="B1389" t="s">
        <v>46</v>
      </c>
      <c r="C1389" t="s">
        <v>47</v>
      </c>
      <c r="D1389">
        <v>2017</v>
      </c>
      <c r="E1389" s="2">
        <v>1</v>
      </c>
      <c r="F1389" s="2">
        <v>90</v>
      </c>
      <c r="G1389" s="2"/>
    </row>
    <row r="1390" spans="1:7" x14ac:dyDescent="0.3">
      <c r="A1390" t="s">
        <v>887</v>
      </c>
      <c r="B1390" t="s">
        <v>276</v>
      </c>
      <c r="C1390" t="s">
        <v>277</v>
      </c>
      <c r="D1390">
        <v>2016</v>
      </c>
      <c r="E1390" s="2">
        <v>25</v>
      </c>
      <c r="F1390" s="2">
        <v>7000</v>
      </c>
      <c r="G1390" s="2"/>
    </row>
    <row r="1391" spans="1:7" x14ac:dyDescent="0.3">
      <c r="A1391" t="s">
        <v>887</v>
      </c>
      <c r="B1391" t="s">
        <v>888</v>
      </c>
      <c r="C1391" t="s">
        <v>85</v>
      </c>
      <c r="D1391">
        <v>2012</v>
      </c>
      <c r="E1391" s="2">
        <v>50</v>
      </c>
      <c r="F1391" s="2">
        <v>9000</v>
      </c>
      <c r="G1391" s="2"/>
    </row>
    <row r="1392" spans="1:7" x14ac:dyDescent="0.3">
      <c r="A1392" t="s">
        <v>887</v>
      </c>
      <c r="B1392" t="s">
        <v>885</v>
      </c>
      <c r="D1392">
        <v>2017</v>
      </c>
      <c r="E1392" s="2">
        <v>15</v>
      </c>
      <c r="F1392" s="2">
        <v>6750</v>
      </c>
      <c r="G1392" s="2"/>
    </row>
    <row r="1393" spans="1:7" x14ac:dyDescent="0.3">
      <c r="A1393" t="s">
        <v>887</v>
      </c>
      <c r="B1393" t="s">
        <v>280</v>
      </c>
      <c r="C1393" t="s">
        <v>889</v>
      </c>
      <c r="D1393">
        <v>2010</v>
      </c>
      <c r="E1393" s="2">
        <v>17</v>
      </c>
      <c r="F1393" s="2">
        <v>4250</v>
      </c>
      <c r="G1393" s="2"/>
    </row>
    <row r="1394" spans="1:7" x14ac:dyDescent="0.3">
      <c r="A1394" t="s">
        <v>887</v>
      </c>
      <c r="B1394" t="s">
        <v>218</v>
      </c>
      <c r="C1394" t="s">
        <v>212</v>
      </c>
      <c r="D1394">
        <v>2010</v>
      </c>
      <c r="E1394" s="2">
        <v>50</v>
      </c>
      <c r="F1394" s="2">
        <v>11960</v>
      </c>
      <c r="G1394" s="2"/>
    </row>
    <row r="1395" spans="1:7" x14ac:dyDescent="0.3">
      <c r="A1395" t="s">
        <v>887</v>
      </c>
      <c r="B1395" t="s">
        <v>218</v>
      </c>
      <c r="C1395" t="s">
        <v>212</v>
      </c>
      <c r="D1395">
        <v>2011</v>
      </c>
      <c r="E1395" s="2">
        <v>30</v>
      </c>
      <c r="F1395" s="2">
        <v>6600</v>
      </c>
      <c r="G1395" s="2"/>
    </row>
    <row r="1396" spans="1:7" x14ac:dyDescent="0.3">
      <c r="A1396" t="s">
        <v>887</v>
      </c>
      <c r="B1396" t="s">
        <v>219</v>
      </c>
      <c r="C1396" t="s">
        <v>220</v>
      </c>
      <c r="D1396">
        <v>2011</v>
      </c>
      <c r="E1396" s="2">
        <v>25</v>
      </c>
      <c r="F1396" s="2">
        <v>4875</v>
      </c>
      <c r="G1396" s="2"/>
    </row>
    <row r="1397" spans="1:7" x14ac:dyDescent="0.3">
      <c r="A1397" t="s">
        <v>887</v>
      </c>
      <c r="B1397" t="s">
        <v>395</v>
      </c>
      <c r="D1397">
        <v>2017</v>
      </c>
      <c r="E1397" s="2">
        <v>5</v>
      </c>
      <c r="F1397" s="2">
        <v>1400</v>
      </c>
      <c r="G1397" s="2"/>
    </row>
    <row r="1398" spans="1:7" x14ac:dyDescent="0.3">
      <c r="A1398" t="s">
        <v>887</v>
      </c>
      <c r="B1398" t="s">
        <v>890</v>
      </c>
      <c r="C1398" t="s">
        <v>891</v>
      </c>
      <c r="D1398">
        <v>2010</v>
      </c>
      <c r="E1398" s="2">
        <v>15</v>
      </c>
      <c r="F1398" s="2">
        <v>5505</v>
      </c>
      <c r="G1398" s="2"/>
    </row>
    <row r="1399" spans="1:7" x14ac:dyDescent="0.3">
      <c r="A1399" t="s">
        <v>887</v>
      </c>
      <c r="B1399" t="s">
        <v>99</v>
      </c>
      <c r="C1399" t="s">
        <v>100</v>
      </c>
      <c r="D1399">
        <v>2012</v>
      </c>
      <c r="E1399" s="2">
        <v>88</v>
      </c>
      <c r="F1399" s="2">
        <v>15240</v>
      </c>
      <c r="G1399" s="2"/>
    </row>
    <row r="1400" spans="1:7" x14ac:dyDescent="0.3">
      <c r="A1400" t="s">
        <v>887</v>
      </c>
      <c r="B1400" t="s">
        <v>99</v>
      </c>
      <c r="C1400" t="s">
        <v>100</v>
      </c>
      <c r="D1400">
        <v>2013</v>
      </c>
      <c r="E1400" s="2">
        <v>125</v>
      </c>
      <c r="F1400" s="2">
        <v>22500</v>
      </c>
      <c r="G1400" s="2"/>
    </row>
    <row r="1401" spans="1:7" x14ac:dyDescent="0.3">
      <c r="A1401" t="s">
        <v>887</v>
      </c>
      <c r="B1401" t="s">
        <v>99</v>
      </c>
      <c r="C1401" t="s">
        <v>100</v>
      </c>
      <c r="D1401">
        <v>2014</v>
      </c>
      <c r="E1401" s="2">
        <v>40</v>
      </c>
      <c r="F1401" s="2">
        <v>7200</v>
      </c>
      <c r="G1401" s="2"/>
    </row>
    <row r="1402" spans="1:7" x14ac:dyDescent="0.3">
      <c r="A1402" t="s">
        <v>887</v>
      </c>
      <c r="B1402" t="s">
        <v>99</v>
      </c>
      <c r="C1402" t="s">
        <v>100</v>
      </c>
      <c r="D1402">
        <v>2015</v>
      </c>
      <c r="E1402" s="2">
        <v>115</v>
      </c>
      <c r="F1402" s="2">
        <v>20700</v>
      </c>
      <c r="G1402" s="2"/>
    </row>
    <row r="1403" spans="1:7" x14ac:dyDescent="0.3">
      <c r="A1403" t="s">
        <v>887</v>
      </c>
      <c r="B1403" t="s">
        <v>99</v>
      </c>
      <c r="C1403" t="s">
        <v>100</v>
      </c>
      <c r="D1403">
        <v>2016</v>
      </c>
      <c r="E1403" s="2">
        <v>50</v>
      </c>
      <c r="F1403" s="2">
        <v>9000</v>
      </c>
      <c r="G1403" s="2"/>
    </row>
    <row r="1404" spans="1:7" x14ac:dyDescent="0.3">
      <c r="A1404" t="s">
        <v>887</v>
      </c>
      <c r="B1404" t="s">
        <v>99</v>
      </c>
      <c r="C1404" t="s">
        <v>100</v>
      </c>
      <c r="D1404">
        <v>2017</v>
      </c>
      <c r="E1404" s="2">
        <v>100</v>
      </c>
      <c r="F1404" s="2">
        <v>18000</v>
      </c>
      <c r="G1404" s="2"/>
    </row>
    <row r="1405" spans="1:7" x14ac:dyDescent="0.3">
      <c r="A1405" t="s">
        <v>887</v>
      </c>
      <c r="B1405" t="s">
        <v>99</v>
      </c>
      <c r="C1405" t="s">
        <v>100</v>
      </c>
      <c r="D1405">
        <v>2018</v>
      </c>
      <c r="E1405" s="2">
        <v>50</v>
      </c>
      <c r="F1405" s="2">
        <v>9000</v>
      </c>
      <c r="G1405" s="2">
        <v>9450</v>
      </c>
    </row>
    <row r="1406" spans="1:7" x14ac:dyDescent="0.3">
      <c r="A1406" t="s">
        <v>887</v>
      </c>
      <c r="B1406" t="s">
        <v>99</v>
      </c>
      <c r="C1406" t="s">
        <v>100</v>
      </c>
      <c r="D1406">
        <v>2020</v>
      </c>
      <c r="E1406" s="2">
        <v>10</v>
      </c>
      <c r="F1406" s="2">
        <v>1800</v>
      </c>
      <c r="G1406" s="2">
        <v>1890</v>
      </c>
    </row>
    <row r="1407" spans="1:7" x14ac:dyDescent="0.3">
      <c r="A1407" t="s">
        <v>887</v>
      </c>
      <c r="B1407" t="s">
        <v>560</v>
      </c>
      <c r="C1407" t="s">
        <v>892</v>
      </c>
      <c r="D1407">
        <v>2010</v>
      </c>
      <c r="E1407" s="2">
        <v>50</v>
      </c>
      <c r="F1407" s="2">
        <v>11250</v>
      </c>
      <c r="G1407" s="2"/>
    </row>
    <row r="1408" spans="1:7" x14ac:dyDescent="0.3">
      <c r="A1408" t="s">
        <v>887</v>
      </c>
      <c r="B1408" t="s">
        <v>893</v>
      </c>
      <c r="C1408" t="s">
        <v>894</v>
      </c>
      <c r="D1408">
        <v>2015</v>
      </c>
      <c r="E1408" s="2">
        <v>25</v>
      </c>
      <c r="F1408" s="2">
        <v>11000</v>
      </c>
      <c r="G1408" s="2"/>
    </row>
    <row r="1409" spans="1:7" x14ac:dyDescent="0.3">
      <c r="A1409" t="s">
        <v>887</v>
      </c>
      <c r="B1409" t="s">
        <v>895</v>
      </c>
      <c r="C1409" t="s">
        <v>896</v>
      </c>
      <c r="D1409">
        <v>2012</v>
      </c>
      <c r="E1409" s="2">
        <v>25</v>
      </c>
      <c r="F1409" s="2">
        <v>4500</v>
      </c>
      <c r="G1409" s="2"/>
    </row>
    <row r="1410" spans="1:7" x14ac:dyDescent="0.3">
      <c r="A1410" t="s">
        <v>887</v>
      </c>
      <c r="B1410" t="s">
        <v>895</v>
      </c>
      <c r="C1410" t="s">
        <v>896</v>
      </c>
      <c r="D1410">
        <v>2013</v>
      </c>
      <c r="E1410" s="2">
        <v>25</v>
      </c>
      <c r="F1410" s="2">
        <v>4500</v>
      </c>
      <c r="G1410" s="2"/>
    </row>
    <row r="1411" spans="1:7" x14ac:dyDescent="0.3">
      <c r="A1411" t="s">
        <v>887</v>
      </c>
      <c r="B1411" t="s">
        <v>554</v>
      </c>
      <c r="C1411" t="s">
        <v>249</v>
      </c>
      <c r="D1411">
        <v>2017</v>
      </c>
      <c r="E1411" s="2">
        <v>25</v>
      </c>
      <c r="F1411" s="2">
        <v>5750</v>
      </c>
      <c r="G1411" s="2"/>
    </row>
    <row r="1412" spans="1:7" x14ac:dyDescent="0.3">
      <c r="A1412" t="s">
        <v>887</v>
      </c>
      <c r="B1412" t="s">
        <v>554</v>
      </c>
      <c r="C1412" t="s">
        <v>249</v>
      </c>
      <c r="D1412">
        <v>2018</v>
      </c>
      <c r="E1412" s="2">
        <v>40</v>
      </c>
      <c r="F1412" s="2">
        <v>9100</v>
      </c>
      <c r="G1412" s="2">
        <v>9555</v>
      </c>
    </row>
    <row r="1413" spans="1:7" x14ac:dyDescent="0.3">
      <c r="A1413" t="s">
        <v>887</v>
      </c>
      <c r="B1413" t="s">
        <v>112</v>
      </c>
      <c r="C1413" t="s">
        <v>113</v>
      </c>
      <c r="D1413">
        <v>2015</v>
      </c>
      <c r="E1413" s="2">
        <v>25</v>
      </c>
      <c r="F1413" s="2">
        <v>6500</v>
      </c>
      <c r="G1413" s="2"/>
    </row>
    <row r="1414" spans="1:7" x14ac:dyDescent="0.3">
      <c r="A1414" t="s">
        <v>887</v>
      </c>
      <c r="B1414" t="s">
        <v>792</v>
      </c>
      <c r="C1414" t="s">
        <v>793</v>
      </c>
      <c r="D1414">
        <v>2018</v>
      </c>
      <c r="E1414" s="2">
        <v>15</v>
      </c>
      <c r="F1414" s="2">
        <v>3450</v>
      </c>
      <c r="G1414" s="2">
        <v>3622.5</v>
      </c>
    </row>
    <row r="1415" spans="1:7" x14ac:dyDescent="0.3">
      <c r="A1415" t="s">
        <v>887</v>
      </c>
      <c r="B1415" t="s">
        <v>120</v>
      </c>
      <c r="C1415" t="s">
        <v>121</v>
      </c>
      <c r="D1415">
        <v>2014</v>
      </c>
      <c r="E1415" s="2">
        <v>40</v>
      </c>
      <c r="F1415" s="2">
        <v>8800</v>
      </c>
      <c r="G1415" s="2"/>
    </row>
    <row r="1416" spans="1:7" x14ac:dyDescent="0.3">
      <c r="A1416" t="s">
        <v>887</v>
      </c>
      <c r="B1416" t="s">
        <v>120</v>
      </c>
      <c r="C1416" t="s">
        <v>121</v>
      </c>
      <c r="D1416">
        <v>2016</v>
      </c>
      <c r="E1416" s="2">
        <v>10</v>
      </c>
      <c r="F1416" s="2">
        <v>2200</v>
      </c>
      <c r="G1416" s="2"/>
    </row>
    <row r="1417" spans="1:7" x14ac:dyDescent="0.3">
      <c r="A1417" t="s">
        <v>887</v>
      </c>
      <c r="B1417" t="s">
        <v>142</v>
      </c>
      <c r="C1417" t="s">
        <v>143</v>
      </c>
      <c r="D1417">
        <v>2016</v>
      </c>
      <c r="E1417" s="2">
        <v>25</v>
      </c>
      <c r="F1417" s="2">
        <v>5500</v>
      </c>
      <c r="G1417" s="2"/>
    </row>
    <row r="1418" spans="1:7" x14ac:dyDescent="0.3">
      <c r="A1418" t="s">
        <v>887</v>
      </c>
      <c r="B1418" t="s">
        <v>142</v>
      </c>
      <c r="C1418" t="s">
        <v>143</v>
      </c>
      <c r="D1418">
        <v>2018</v>
      </c>
      <c r="E1418" s="2">
        <v>10</v>
      </c>
      <c r="F1418" s="2">
        <v>2200</v>
      </c>
      <c r="G1418" s="2">
        <v>2310</v>
      </c>
    </row>
    <row r="1419" spans="1:7" x14ac:dyDescent="0.3">
      <c r="A1419" t="s">
        <v>887</v>
      </c>
      <c r="B1419" t="s">
        <v>897</v>
      </c>
      <c r="C1419" t="s">
        <v>898</v>
      </c>
      <c r="D1419">
        <v>2010</v>
      </c>
      <c r="E1419" s="2">
        <v>25</v>
      </c>
      <c r="F1419" s="2">
        <v>5625</v>
      </c>
      <c r="G1419" s="2"/>
    </row>
    <row r="1420" spans="1:7" x14ac:dyDescent="0.3">
      <c r="A1420" t="s">
        <v>887</v>
      </c>
      <c r="B1420" t="s">
        <v>899</v>
      </c>
      <c r="C1420" t="s">
        <v>900</v>
      </c>
      <c r="D1420">
        <v>2011</v>
      </c>
      <c r="E1420" s="2">
        <v>25</v>
      </c>
      <c r="F1420" s="2">
        <v>5125</v>
      </c>
      <c r="G1420" s="2"/>
    </row>
    <row r="1421" spans="1:7" x14ac:dyDescent="0.3">
      <c r="A1421" t="s">
        <v>887</v>
      </c>
      <c r="B1421" t="s">
        <v>196</v>
      </c>
      <c r="C1421" t="s">
        <v>197</v>
      </c>
      <c r="D1421">
        <v>2013</v>
      </c>
      <c r="E1421" s="2">
        <v>60</v>
      </c>
      <c r="F1421" s="2">
        <v>13200</v>
      </c>
      <c r="G1421" s="2"/>
    </row>
    <row r="1422" spans="1:7" x14ac:dyDescent="0.3">
      <c r="A1422" t="s">
        <v>887</v>
      </c>
      <c r="B1422" t="s">
        <v>196</v>
      </c>
      <c r="C1422" t="s">
        <v>197</v>
      </c>
      <c r="D1422">
        <v>2017</v>
      </c>
      <c r="E1422" s="2">
        <v>75</v>
      </c>
      <c r="F1422" s="2">
        <v>13000</v>
      </c>
      <c r="G1422" s="2"/>
    </row>
    <row r="1423" spans="1:7" x14ac:dyDescent="0.3">
      <c r="A1423" t="s">
        <v>887</v>
      </c>
      <c r="B1423" t="s">
        <v>196</v>
      </c>
      <c r="C1423" t="s">
        <v>197</v>
      </c>
      <c r="D1423">
        <v>2018</v>
      </c>
      <c r="E1423" s="2">
        <v>50</v>
      </c>
      <c r="F1423" s="2">
        <v>9825</v>
      </c>
      <c r="G1423" s="2">
        <v>10316.25</v>
      </c>
    </row>
    <row r="1424" spans="1:7" x14ac:dyDescent="0.3">
      <c r="A1424" t="s">
        <v>887</v>
      </c>
      <c r="B1424" t="s">
        <v>412</v>
      </c>
      <c r="C1424" t="s">
        <v>413</v>
      </c>
      <c r="D1424">
        <v>2013</v>
      </c>
      <c r="E1424" s="2">
        <v>10</v>
      </c>
      <c r="F1424" s="2">
        <v>3000</v>
      </c>
      <c r="G1424" s="2"/>
    </row>
    <row r="1425" spans="1:8" x14ac:dyDescent="0.3">
      <c r="A1425" t="s">
        <v>887</v>
      </c>
      <c r="B1425" t="s">
        <v>72</v>
      </c>
      <c r="C1425" t="s">
        <v>73</v>
      </c>
      <c r="D1425">
        <v>2013</v>
      </c>
      <c r="E1425" s="2">
        <v>100</v>
      </c>
      <c r="F1425" s="2">
        <v>24000</v>
      </c>
      <c r="G1425" s="2"/>
    </row>
    <row r="1426" spans="1:8" x14ac:dyDescent="0.3">
      <c r="A1426" t="s">
        <v>887</v>
      </c>
      <c r="B1426" t="s">
        <v>72</v>
      </c>
      <c r="C1426" t="s">
        <v>73</v>
      </c>
      <c r="D1426">
        <v>2014</v>
      </c>
      <c r="E1426" s="2">
        <v>45</v>
      </c>
      <c r="F1426" s="2">
        <v>10600</v>
      </c>
      <c r="G1426" s="2"/>
    </row>
    <row r="1427" spans="1:8" x14ac:dyDescent="0.3">
      <c r="A1427" t="s">
        <v>887</v>
      </c>
      <c r="B1427" t="s">
        <v>72</v>
      </c>
      <c r="C1427" t="s">
        <v>73</v>
      </c>
      <c r="D1427">
        <v>2015</v>
      </c>
      <c r="E1427" s="2">
        <v>95</v>
      </c>
      <c r="F1427" s="2">
        <v>21850</v>
      </c>
      <c r="G1427" s="2"/>
    </row>
    <row r="1428" spans="1:8" x14ac:dyDescent="0.3">
      <c r="A1428" t="s">
        <v>887</v>
      </c>
      <c r="B1428" t="s">
        <v>72</v>
      </c>
      <c r="C1428" t="s">
        <v>73</v>
      </c>
      <c r="D1428">
        <v>2016</v>
      </c>
      <c r="E1428" s="2">
        <v>30</v>
      </c>
      <c r="F1428" s="2">
        <v>11500</v>
      </c>
      <c r="G1428" s="2"/>
    </row>
    <row r="1429" spans="1:8" x14ac:dyDescent="0.3">
      <c r="A1429" t="s">
        <v>887</v>
      </c>
      <c r="B1429" t="s">
        <v>72</v>
      </c>
      <c r="C1429" t="s">
        <v>73</v>
      </c>
      <c r="D1429">
        <v>2017</v>
      </c>
      <c r="E1429" s="2">
        <v>50</v>
      </c>
      <c r="F1429" s="2">
        <v>11500</v>
      </c>
      <c r="G1429" s="2"/>
    </row>
    <row r="1430" spans="1:8" x14ac:dyDescent="0.3">
      <c r="A1430" t="s">
        <v>887</v>
      </c>
      <c r="B1430" t="s">
        <v>72</v>
      </c>
      <c r="C1430" t="s">
        <v>73</v>
      </c>
      <c r="D1430">
        <v>2018</v>
      </c>
      <c r="E1430" s="2">
        <v>40</v>
      </c>
      <c r="F1430" s="2">
        <v>9200</v>
      </c>
      <c r="G1430" s="2">
        <v>9660</v>
      </c>
    </row>
    <row r="1431" spans="1:8" x14ac:dyDescent="0.3">
      <c r="A1431" t="s">
        <v>887</v>
      </c>
      <c r="B1431" t="s">
        <v>857</v>
      </c>
      <c r="C1431" t="s">
        <v>858</v>
      </c>
      <c r="D1431">
        <v>2010</v>
      </c>
      <c r="E1431" s="2">
        <v>50</v>
      </c>
      <c r="F1431" s="2">
        <v>18216</v>
      </c>
      <c r="G1431" s="2"/>
    </row>
    <row r="1432" spans="1:8" x14ac:dyDescent="0.3">
      <c r="A1432" t="s">
        <v>887</v>
      </c>
      <c r="B1432" t="s">
        <v>857</v>
      </c>
      <c r="C1432" t="s">
        <v>858</v>
      </c>
      <c r="D1432">
        <v>2011</v>
      </c>
      <c r="E1432" s="2">
        <v>140</v>
      </c>
      <c r="F1432" s="2">
        <v>47788.800000000003</v>
      </c>
      <c r="G1432" s="2"/>
    </row>
    <row r="1433" spans="1:8" x14ac:dyDescent="0.3">
      <c r="A1433" t="s">
        <v>887</v>
      </c>
      <c r="B1433" t="s">
        <v>857</v>
      </c>
      <c r="C1433" t="s">
        <v>858</v>
      </c>
      <c r="D1433">
        <v>2012</v>
      </c>
      <c r="E1433" s="2">
        <v>100</v>
      </c>
      <c r="F1433" s="2">
        <v>30000</v>
      </c>
      <c r="G1433" s="2"/>
    </row>
    <row r="1434" spans="1:8" x14ac:dyDescent="0.3">
      <c r="A1434" t="s">
        <v>887</v>
      </c>
      <c r="B1434" t="s">
        <v>857</v>
      </c>
      <c r="C1434" t="s">
        <v>858</v>
      </c>
      <c r="D1434">
        <v>2013</v>
      </c>
      <c r="E1434" s="2">
        <v>50</v>
      </c>
      <c r="F1434" s="2">
        <v>15000</v>
      </c>
      <c r="G1434" s="2"/>
    </row>
    <row r="1435" spans="1:8" x14ac:dyDescent="0.3">
      <c r="A1435" t="s">
        <v>887</v>
      </c>
      <c r="B1435" t="s">
        <v>901</v>
      </c>
      <c r="C1435" t="s">
        <v>77</v>
      </c>
      <c r="D1435">
        <v>2012</v>
      </c>
      <c r="E1435" s="2">
        <v>25</v>
      </c>
      <c r="F1435" s="2">
        <v>4500</v>
      </c>
      <c r="G1435" s="2"/>
    </row>
    <row r="1436" spans="1:8" x14ac:dyDescent="0.3">
      <c r="A1436" t="s">
        <v>887</v>
      </c>
      <c r="B1436" t="s">
        <v>323</v>
      </c>
      <c r="C1436" t="s">
        <v>324</v>
      </c>
      <c r="D1436">
        <v>2016</v>
      </c>
      <c r="E1436" s="2">
        <v>5</v>
      </c>
      <c r="F1436" s="2">
        <v>800</v>
      </c>
      <c r="G1436" s="2"/>
    </row>
    <row r="1437" spans="1:8" x14ac:dyDescent="0.3">
      <c r="A1437" t="s">
        <v>887</v>
      </c>
      <c r="B1437" t="s">
        <v>902</v>
      </c>
      <c r="C1437" t="s">
        <v>903</v>
      </c>
      <c r="D1437">
        <v>2015</v>
      </c>
      <c r="E1437" s="2">
        <v>40</v>
      </c>
      <c r="F1437" s="2">
        <v>9800</v>
      </c>
      <c r="G1437" s="2"/>
    </row>
    <row r="1438" spans="1:8" x14ac:dyDescent="0.3">
      <c r="A1438" t="s">
        <v>887</v>
      </c>
      <c r="B1438" t="s">
        <v>902</v>
      </c>
      <c r="C1438" t="s">
        <v>903</v>
      </c>
      <c r="D1438">
        <v>2018</v>
      </c>
      <c r="E1438" s="2">
        <v>37</v>
      </c>
      <c r="F1438" s="2">
        <v>9065</v>
      </c>
      <c r="G1438" s="2">
        <v>9518.25</v>
      </c>
    </row>
    <row r="1439" spans="1:8" x14ac:dyDescent="0.3">
      <c r="A1439" t="s">
        <v>904</v>
      </c>
      <c r="B1439" t="s">
        <v>721</v>
      </c>
      <c r="C1439" t="s">
        <v>722</v>
      </c>
      <c r="D1439">
        <v>2014</v>
      </c>
      <c r="E1439" s="2">
        <v>10</v>
      </c>
      <c r="F1439" s="2">
        <v>700</v>
      </c>
      <c r="G1439" s="2"/>
      <c r="H1439" s="3" t="s">
        <v>18</v>
      </c>
    </row>
    <row r="1440" spans="1:8" x14ac:dyDescent="0.3">
      <c r="A1440" t="s">
        <v>904</v>
      </c>
      <c r="B1440" t="s">
        <v>721</v>
      </c>
      <c r="C1440" t="s">
        <v>722</v>
      </c>
      <c r="D1440">
        <v>2021</v>
      </c>
      <c r="E1440" s="2">
        <v>10</v>
      </c>
      <c r="F1440" s="2">
        <v>700</v>
      </c>
      <c r="G1440" s="2">
        <v>735</v>
      </c>
      <c r="H1440" s="3" t="s">
        <v>18</v>
      </c>
    </row>
    <row r="1441" spans="1:8" x14ac:dyDescent="0.3">
      <c r="A1441" t="s">
        <v>904</v>
      </c>
      <c r="B1441" t="s">
        <v>417</v>
      </c>
      <c r="C1441" t="s">
        <v>418</v>
      </c>
      <c r="D1441">
        <v>2021</v>
      </c>
      <c r="E1441" s="2">
        <v>10</v>
      </c>
      <c r="F1441" s="2">
        <v>650</v>
      </c>
      <c r="G1441" s="2">
        <v>682.5</v>
      </c>
      <c r="H1441" s="3" t="s">
        <v>18</v>
      </c>
    </row>
    <row r="1442" spans="1:8" x14ac:dyDescent="0.3">
      <c r="A1442" t="s">
        <v>904</v>
      </c>
      <c r="B1442" t="s">
        <v>726</v>
      </c>
      <c r="C1442" t="s">
        <v>727</v>
      </c>
      <c r="D1442">
        <v>2014</v>
      </c>
      <c r="E1442" s="2">
        <v>10</v>
      </c>
      <c r="F1442" s="2">
        <v>750</v>
      </c>
      <c r="G1442" s="2"/>
    </row>
    <row r="1443" spans="1:8" x14ac:dyDescent="0.3">
      <c r="A1443" t="s">
        <v>904</v>
      </c>
      <c r="B1443" t="s">
        <v>696</v>
      </c>
      <c r="C1443" t="s">
        <v>697</v>
      </c>
      <c r="D1443">
        <v>2012</v>
      </c>
      <c r="E1443" s="2">
        <v>50</v>
      </c>
      <c r="F1443" s="2">
        <v>4100</v>
      </c>
      <c r="G1443" s="2"/>
    </row>
    <row r="1444" spans="1:8" x14ac:dyDescent="0.3">
      <c r="A1444" t="s">
        <v>904</v>
      </c>
      <c r="B1444" t="s">
        <v>696</v>
      </c>
      <c r="C1444" t="s">
        <v>697</v>
      </c>
      <c r="D1444">
        <v>2013</v>
      </c>
      <c r="E1444" s="2">
        <v>150</v>
      </c>
      <c r="F1444" s="2">
        <v>10250</v>
      </c>
      <c r="G1444" s="2"/>
    </row>
    <row r="1445" spans="1:8" x14ac:dyDescent="0.3">
      <c r="A1445" t="s">
        <v>904</v>
      </c>
      <c r="B1445" t="s">
        <v>696</v>
      </c>
      <c r="C1445" t="s">
        <v>697</v>
      </c>
      <c r="D1445">
        <v>2015</v>
      </c>
      <c r="E1445" s="2">
        <v>25</v>
      </c>
      <c r="F1445" s="2">
        <v>1625</v>
      </c>
      <c r="G1445" s="2"/>
    </row>
    <row r="1446" spans="1:8" x14ac:dyDescent="0.3">
      <c r="A1446" t="s">
        <v>904</v>
      </c>
      <c r="B1446" t="s">
        <v>905</v>
      </c>
      <c r="C1446" t="s">
        <v>906</v>
      </c>
      <c r="D1446">
        <v>2012</v>
      </c>
      <c r="E1446" s="2">
        <v>25</v>
      </c>
      <c r="F1446" s="2">
        <v>2550</v>
      </c>
      <c r="G1446" s="2"/>
    </row>
    <row r="1447" spans="1:8" x14ac:dyDescent="0.3">
      <c r="A1447" t="s">
        <v>904</v>
      </c>
      <c r="B1447" t="s">
        <v>734</v>
      </c>
      <c r="C1447" t="s">
        <v>735</v>
      </c>
      <c r="D1447">
        <v>2012</v>
      </c>
      <c r="E1447" s="2">
        <v>25</v>
      </c>
      <c r="F1447" s="2">
        <v>2250</v>
      </c>
      <c r="G1447" s="2"/>
    </row>
    <row r="1448" spans="1:8" x14ac:dyDescent="0.3">
      <c r="A1448" t="s">
        <v>904</v>
      </c>
      <c r="B1448" t="s">
        <v>35</v>
      </c>
      <c r="D1448">
        <v>2021</v>
      </c>
      <c r="E1448" s="2">
        <v>3</v>
      </c>
      <c r="F1448" s="2">
        <v>270</v>
      </c>
      <c r="G1448" s="2">
        <v>283.5</v>
      </c>
    </row>
    <row r="1449" spans="1:8" x14ac:dyDescent="0.3">
      <c r="A1449" t="s">
        <v>904</v>
      </c>
      <c r="B1449" t="s">
        <v>907</v>
      </c>
      <c r="D1449">
        <v>2014</v>
      </c>
      <c r="E1449" s="2">
        <v>10</v>
      </c>
      <c r="F1449" s="2">
        <v>550</v>
      </c>
      <c r="G1449" s="2"/>
    </row>
    <row r="1450" spans="1:8" x14ac:dyDescent="0.3">
      <c r="A1450" t="s">
        <v>904</v>
      </c>
      <c r="B1450" t="s">
        <v>19</v>
      </c>
      <c r="C1450" t="s">
        <v>20</v>
      </c>
      <c r="D1450">
        <v>2013</v>
      </c>
      <c r="E1450" s="2">
        <v>25</v>
      </c>
      <c r="F1450" s="2">
        <v>2250</v>
      </c>
      <c r="G1450" s="2"/>
    </row>
    <row r="1451" spans="1:8" x14ac:dyDescent="0.3">
      <c r="A1451" t="s">
        <v>904</v>
      </c>
      <c r="B1451" t="s">
        <v>269</v>
      </c>
      <c r="C1451" t="s">
        <v>270</v>
      </c>
      <c r="D1451">
        <v>2019</v>
      </c>
      <c r="E1451" s="2">
        <v>25</v>
      </c>
      <c r="F1451" s="2">
        <v>1750</v>
      </c>
      <c r="G1451" s="2">
        <v>1837.5</v>
      </c>
    </row>
    <row r="1452" spans="1:8" x14ac:dyDescent="0.3">
      <c r="A1452" t="s">
        <v>904</v>
      </c>
      <c r="B1452" t="s">
        <v>41</v>
      </c>
      <c r="C1452" t="s">
        <v>908</v>
      </c>
      <c r="D1452">
        <v>2012</v>
      </c>
      <c r="E1452" s="2">
        <v>25</v>
      </c>
      <c r="F1452" s="2">
        <v>1750</v>
      </c>
      <c r="G1452" s="2"/>
    </row>
    <row r="1453" spans="1:8" x14ac:dyDescent="0.3">
      <c r="A1453" t="s">
        <v>904</v>
      </c>
      <c r="B1453" t="s">
        <v>41</v>
      </c>
      <c r="C1453" t="s">
        <v>776</v>
      </c>
      <c r="D1453">
        <v>2013</v>
      </c>
      <c r="E1453" s="2">
        <v>50</v>
      </c>
      <c r="F1453" s="2">
        <v>3750</v>
      </c>
      <c r="G1453" s="2"/>
    </row>
    <row r="1454" spans="1:8" x14ac:dyDescent="0.3">
      <c r="A1454" t="s">
        <v>904</v>
      </c>
      <c r="B1454" t="s">
        <v>671</v>
      </c>
      <c r="C1454" t="s">
        <v>672</v>
      </c>
      <c r="D1454">
        <v>2020</v>
      </c>
      <c r="E1454" s="2">
        <v>25</v>
      </c>
      <c r="F1454" s="2">
        <v>1000</v>
      </c>
      <c r="G1454" s="2">
        <v>1050</v>
      </c>
      <c r="H1454" s="3" t="s">
        <v>14</v>
      </c>
    </row>
    <row r="1455" spans="1:8" x14ac:dyDescent="0.3">
      <c r="A1455" t="s">
        <v>904</v>
      </c>
      <c r="B1455" t="s">
        <v>671</v>
      </c>
      <c r="C1455" t="s">
        <v>672</v>
      </c>
      <c r="D1455">
        <v>2021</v>
      </c>
      <c r="E1455" s="2">
        <v>25</v>
      </c>
      <c r="F1455" s="2">
        <v>1000</v>
      </c>
      <c r="G1455" s="2">
        <v>1050</v>
      </c>
      <c r="H1455" s="3" t="s">
        <v>14</v>
      </c>
    </row>
    <row r="1456" spans="1:8" x14ac:dyDescent="0.3">
      <c r="A1456" t="s">
        <v>904</v>
      </c>
      <c r="B1456" t="s">
        <v>21</v>
      </c>
      <c r="C1456" t="s">
        <v>22</v>
      </c>
      <c r="D1456">
        <v>2018</v>
      </c>
      <c r="E1456" s="2">
        <v>25</v>
      </c>
      <c r="F1456" s="2">
        <v>1750</v>
      </c>
      <c r="G1456" s="2">
        <v>1837.5</v>
      </c>
    </row>
    <row r="1457" spans="1:8" x14ac:dyDescent="0.3">
      <c r="A1457" t="s">
        <v>904</v>
      </c>
      <c r="B1457" t="s">
        <v>21</v>
      </c>
      <c r="C1457" t="s">
        <v>22</v>
      </c>
      <c r="D1457">
        <v>2019</v>
      </c>
      <c r="E1457" s="2">
        <v>25</v>
      </c>
      <c r="F1457" s="2">
        <v>1700</v>
      </c>
      <c r="G1457" s="2">
        <v>1785</v>
      </c>
    </row>
    <row r="1458" spans="1:8" x14ac:dyDescent="0.3">
      <c r="A1458" t="s">
        <v>904</v>
      </c>
      <c r="B1458" t="s">
        <v>110</v>
      </c>
      <c r="C1458" t="s">
        <v>111</v>
      </c>
      <c r="D1458">
        <v>2020</v>
      </c>
      <c r="E1458" s="2">
        <v>10</v>
      </c>
      <c r="F1458" s="2">
        <v>580</v>
      </c>
      <c r="G1458" s="2">
        <v>609</v>
      </c>
    </row>
    <row r="1459" spans="1:8" x14ac:dyDescent="0.3">
      <c r="A1459" t="s">
        <v>904</v>
      </c>
      <c r="B1459" t="s">
        <v>909</v>
      </c>
      <c r="C1459" t="s">
        <v>910</v>
      </c>
      <c r="D1459">
        <v>2019</v>
      </c>
      <c r="E1459" s="2">
        <v>10</v>
      </c>
      <c r="F1459" s="2">
        <v>800</v>
      </c>
      <c r="G1459" s="2">
        <v>840</v>
      </c>
    </row>
    <row r="1460" spans="1:8" x14ac:dyDescent="0.3">
      <c r="A1460" t="s">
        <v>904</v>
      </c>
      <c r="B1460" t="s">
        <v>911</v>
      </c>
      <c r="C1460" t="s">
        <v>912</v>
      </c>
      <c r="D1460">
        <v>2019</v>
      </c>
      <c r="E1460" s="2">
        <v>10</v>
      </c>
      <c r="F1460" s="2">
        <v>800</v>
      </c>
      <c r="G1460" s="2">
        <v>840</v>
      </c>
    </row>
    <row r="1461" spans="1:8" x14ac:dyDescent="0.3">
      <c r="A1461" t="s">
        <v>904</v>
      </c>
      <c r="B1461" t="s">
        <v>36</v>
      </c>
      <c r="D1461">
        <v>2021</v>
      </c>
      <c r="E1461" s="2">
        <v>3</v>
      </c>
      <c r="F1461" s="2">
        <v>255</v>
      </c>
      <c r="G1461" s="2">
        <v>267.75</v>
      </c>
      <c r="H1461" s="3" t="s">
        <v>18</v>
      </c>
    </row>
    <row r="1462" spans="1:8" x14ac:dyDescent="0.3">
      <c r="A1462" t="s">
        <v>904</v>
      </c>
      <c r="B1462" t="s">
        <v>913</v>
      </c>
      <c r="C1462" t="s">
        <v>914</v>
      </c>
      <c r="D1462">
        <v>2019</v>
      </c>
      <c r="E1462" s="2">
        <v>10</v>
      </c>
      <c r="F1462" s="2">
        <v>750</v>
      </c>
      <c r="G1462" s="2">
        <v>787.5</v>
      </c>
    </row>
    <row r="1463" spans="1:8" x14ac:dyDescent="0.3">
      <c r="A1463" t="s">
        <v>904</v>
      </c>
      <c r="B1463" t="s">
        <v>915</v>
      </c>
      <c r="C1463" t="s">
        <v>916</v>
      </c>
      <c r="D1463">
        <v>2015</v>
      </c>
      <c r="E1463" s="2">
        <v>25</v>
      </c>
      <c r="F1463" s="2">
        <v>2125</v>
      </c>
      <c r="G1463" s="2"/>
    </row>
    <row r="1464" spans="1:8" x14ac:dyDescent="0.3">
      <c r="A1464" t="s">
        <v>904</v>
      </c>
      <c r="B1464" t="s">
        <v>192</v>
      </c>
      <c r="C1464" t="s">
        <v>193</v>
      </c>
      <c r="D1464">
        <v>2014</v>
      </c>
      <c r="E1464" s="2">
        <v>10</v>
      </c>
      <c r="F1464" s="2">
        <v>680</v>
      </c>
      <c r="G1464" s="2"/>
    </row>
    <row r="1465" spans="1:8" x14ac:dyDescent="0.3">
      <c r="A1465" t="s">
        <v>904</v>
      </c>
      <c r="B1465" t="s">
        <v>46</v>
      </c>
      <c r="C1465" t="s">
        <v>47</v>
      </c>
      <c r="D1465">
        <v>2013</v>
      </c>
      <c r="E1465" s="2">
        <v>25</v>
      </c>
      <c r="F1465" s="2">
        <v>1750</v>
      </c>
      <c r="G1465" s="2"/>
    </row>
    <row r="1466" spans="1:8" x14ac:dyDescent="0.3">
      <c r="A1466" t="s">
        <v>904</v>
      </c>
      <c r="B1466" t="s">
        <v>46</v>
      </c>
      <c r="C1466" t="s">
        <v>47</v>
      </c>
      <c r="D1466">
        <v>2014</v>
      </c>
      <c r="E1466" s="2">
        <v>25</v>
      </c>
      <c r="F1466" s="2">
        <v>1750</v>
      </c>
      <c r="G1466" s="2"/>
    </row>
    <row r="1467" spans="1:8" x14ac:dyDescent="0.3">
      <c r="A1467" t="s">
        <v>904</v>
      </c>
      <c r="B1467" t="s">
        <v>37</v>
      </c>
      <c r="D1467">
        <v>2021</v>
      </c>
      <c r="E1467" s="2">
        <v>1</v>
      </c>
      <c r="F1467" s="2">
        <v>75</v>
      </c>
      <c r="G1467" s="2">
        <v>78.75</v>
      </c>
      <c r="H1467" s="3" t="s">
        <v>18</v>
      </c>
    </row>
    <row r="1468" spans="1:8" x14ac:dyDescent="0.3">
      <c r="A1468" t="s">
        <v>917</v>
      </c>
      <c r="B1468" t="s">
        <v>41</v>
      </c>
      <c r="C1468" t="s">
        <v>918</v>
      </c>
      <c r="D1468">
        <v>2011</v>
      </c>
      <c r="E1468" s="2">
        <v>25</v>
      </c>
      <c r="F1468" s="2">
        <v>1875</v>
      </c>
      <c r="G1468" s="2"/>
    </row>
    <row r="1469" spans="1:8" x14ac:dyDescent="0.3">
      <c r="A1469" t="s">
        <v>919</v>
      </c>
      <c r="B1469" t="s">
        <v>12</v>
      </c>
      <c r="C1469" t="s">
        <v>13</v>
      </c>
      <c r="D1469">
        <v>2020</v>
      </c>
      <c r="E1469" s="2">
        <v>75</v>
      </c>
      <c r="F1469" s="2">
        <v>4875</v>
      </c>
      <c r="G1469" s="2">
        <v>5118.75</v>
      </c>
    </row>
    <row r="1470" spans="1:8" x14ac:dyDescent="0.3">
      <c r="A1470" t="s">
        <v>920</v>
      </c>
      <c r="B1470" t="s">
        <v>79</v>
      </c>
      <c r="C1470" t="s">
        <v>80</v>
      </c>
      <c r="D1470">
        <v>2017</v>
      </c>
      <c r="E1470" s="2">
        <v>6</v>
      </c>
      <c r="F1470" s="2">
        <v>1080</v>
      </c>
      <c r="G1470" s="2"/>
    </row>
    <row r="1471" spans="1:8" x14ac:dyDescent="0.3">
      <c r="A1471" t="s">
        <v>920</v>
      </c>
      <c r="B1471" t="s">
        <v>248</v>
      </c>
      <c r="C1471" t="s">
        <v>249</v>
      </c>
      <c r="D1471">
        <v>2019</v>
      </c>
      <c r="E1471" s="2">
        <v>15</v>
      </c>
      <c r="F1471" s="2">
        <v>3300</v>
      </c>
      <c r="G1471" s="2">
        <v>3465</v>
      </c>
    </row>
    <row r="1472" spans="1:8" x14ac:dyDescent="0.3">
      <c r="A1472" t="s">
        <v>920</v>
      </c>
      <c r="B1472" t="s">
        <v>921</v>
      </c>
      <c r="D1472">
        <v>2019</v>
      </c>
      <c r="E1472" s="2">
        <v>15</v>
      </c>
      <c r="F1472" s="2">
        <v>3525</v>
      </c>
      <c r="G1472" s="2">
        <v>3701.25</v>
      </c>
    </row>
    <row r="1473" spans="1:8" x14ac:dyDescent="0.3">
      <c r="A1473" t="s">
        <v>920</v>
      </c>
      <c r="B1473" t="s">
        <v>108</v>
      </c>
      <c r="C1473" t="s">
        <v>109</v>
      </c>
      <c r="D1473">
        <v>2019</v>
      </c>
      <c r="E1473" s="2">
        <v>2</v>
      </c>
      <c r="F1473" s="2">
        <v>400</v>
      </c>
      <c r="G1473" s="2">
        <v>420</v>
      </c>
    </row>
    <row r="1474" spans="1:8" x14ac:dyDescent="0.3">
      <c r="A1474" t="s">
        <v>920</v>
      </c>
      <c r="B1474" t="s">
        <v>117</v>
      </c>
      <c r="C1474" t="s">
        <v>118</v>
      </c>
      <c r="D1474">
        <v>2018</v>
      </c>
      <c r="E1474" s="2">
        <v>7</v>
      </c>
      <c r="F1474" s="2">
        <v>15540</v>
      </c>
      <c r="G1474" s="2">
        <v>16317</v>
      </c>
    </row>
    <row r="1475" spans="1:8" x14ac:dyDescent="0.3">
      <c r="A1475" t="s">
        <v>920</v>
      </c>
      <c r="B1475" t="s">
        <v>922</v>
      </c>
      <c r="D1475">
        <v>2018</v>
      </c>
      <c r="E1475" s="2">
        <v>5</v>
      </c>
      <c r="F1475" s="2">
        <v>1000</v>
      </c>
      <c r="G1475" s="2">
        <v>1050</v>
      </c>
    </row>
    <row r="1476" spans="1:8" x14ac:dyDescent="0.3">
      <c r="A1476" t="s">
        <v>920</v>
      </c>
      <c r="B1476" t="s">
        <v>144</v>
      </c>
      <c r="C1476" t="s">
        <v>145</v>
      </c>
      <c r="D1476">
        <v>2017</v>
      </c>
      <c r="E1476" s="2">
        <v>10</v>
      </c>
      <c r="F1476" s="2">
        <v>2300</v>
      </c>
      <c r="G1476" s="2"/>
    </row>
    <row r="1477" spans="1:8" x14ac:dyDescent="0.3">
      <c r="A1477" t="s">
        <v>920</v>
      </c>
      <c r="B1477" t="s">
        <v>656</v>
      </c>
      <c r="C1477" t="s">
        <v>71</v>
      </c>
      <c r="D1477">
        <v>2021</v>
      </c>
      <c r="E1477" s="2">
        <v>5</v>
      </c>
      <c r="F1477" s="2">
        <v>950</v>
      </c>
      <c r="G1477" s="2">
        <v>997.5</v>
      </c>
      <c r="H1477" s="3" t="s">
        <v>18</v>
      </c>
    </row>
    <row r="1478" spans="1:8" x14ac:dyDescent="0.3">
      <c r="A1478" t="s">
        <v>920</v>
      </c>
      <c r="B1478" t="s">
        <v>677</v>
      </c>
      <c r="C1478" t="s">
        <v>678</v>
      </c>
      <c r="D1478">
        <v>2019</v>
      </c>
      <c r="E1478" s="2">
        <v>1185</v>
      </c>
      <c r="F1478" s="2">
        <v>199190</v>
      </c>
      <c r="G1478" s="2">
        <v>209149.5</v>
      </c>
    </row>
    <row r="1479" spans="1:8" x14ac:dyDescent="0.3">
      <c r="A1479" t="s">
        <v>923</v>
      </c>
      <c r="B1479" t="s">
        <v>823</v>
      </c>
      <c r="C1479" t="s">
        <v>924</v>
      </c>
      <c r="D1479">
        <v>2014</v>
      </c>
      <c r="E1479" s="2">
        <v>10</v>
      </c>
      <c r="F1479" s="2">
        <v>2000</v>
      </c>
      <c r="G1479" s="2"/>
    </row>
    <row r="1480" spans="1:8" x14ac:dyDescent="0.3">
      <c r="A1480" t="s">
        <v>923</v>
      </c>
      <c r="B1480" t="s">
        <v>823</v>
      </c>
      <c r="C1480" t="s">
        <v>924</v>
      </c>
      <c r="D1480">
        <v>2015</v>
      </c>
      <c r="E1480" s="2">
        <v>60</v>
      </c>
      <c r="F1480" s="2">
        <v>11400</v>
      </c>
      <c r="G1480" s="2"/>
    </row>
    <row r="1481" spans="1:8" x14ac:dyDescent="0.3">
      <c r="A1481" t="s">
        <v>923</v>
      </c>
      <c r="B1481" t="s">
        <v>823</v>
      </c>
      <c r="C1481" t="s">
        <v>924</v>
      </c>
      <c r="D1481">
        <v>2016</v>
      </c>
      <c r="E1481" s="2">
        <v>30</v>
      </c>
      <c r="F1481" s="2">
        <v>5400</v>
      </c>
      <c r="G1481" s="2"/>
    </row>
    <row r="1482" spans="1:8" x14ac:dyDescent="0.3">
      <c r="A1482" t="s">
        <v>923</v>
      </c>
      <c r="B1482" t="s">
        <v>82</v>
      </c>
      <c r="C1482" t="s">
        <v>83</v>
      </c>
      <c r="D1482">
        <v>2016</v>
      </c>
      <c r="E1482" s="2">
        <v>10</v>
      </c>
      <c r="F1482" s="2">
        <v>6500</v>
      </c>
      <c r="G1482" s="2"/>
    </row>
    <row r="1483" spans="1:8" x14ac:dyDescent="0.3">
      <c r="A1483" t="s">
        <v>923</v>
      </c>
      <c r="B1483" t="s">
        <v>719</v>
      </c>
      <c r="C1483" t="s">
        <v>925</v>
      </c>
      <c r="D1483">
        <v>2019</v>
      </c>
      <c r="E1483" s="2">
        <v>25</v>
      </c>
      <c r="F1483" s="2">
        <v>4000</v>
      </c>
      <c r="G1483" s="2">
        <v>4200</v>
      </c>
    </row>
    <row r="1484" spans="1:8" x14ac:dyDescent="0.3">
      <c r="A1484" t="s">
        <v>923</v>
      </c>
      <c r="B1484" t="s">
        <v>219</v>
      </c>
      <c r="C1484" t="s">
        <v>220</v>
      </c>
      <c r="D1484">
        <v>2018</v>
      </c>
      <c r="E1484" s="2">
        <v>25</v>
      </c>
      <c r="F1484" s="2">
        <v>6000</v>
      </c>
      <c r="G1484" s="2">
        <v>6300</v>
      </c>
    </row>
    <row r="1485" spans="1:8" x14ac:dyDescent="0.3">
      <c r="A1485" t="s">
        <v>923</v>
      </c>
      <c r="B1485" t="s">
        <v>926</v>
      </c>
      <c r="C1485" t="s">
        <v>927</v>
      </c>
      <c r="D1485">
        <v>2014</v>
      </c>
      <c r="E1485" s="2">
        <v>10</v>
      </c>
      <c r="F1485" s="2">
        <v>2550</v>
      </c>
      <c r="G1485" s="2"/>
    </row>
    <row r="1486" spans="1:8" x14ac:dyDescent="0.3">
      <c r="A1486" t="s">
        <v>923</v>
      </c>
      <c r="B1486" t="s">
        <v>926</v>
      </c>
      <c r="C1486" t="s">
        <v>927</v>
      </c>
      <c r="D1486">
        <v>2018</v>
      </c>
      <c r="E1486" s="2">
        <v>50</v>
      </c>
      <c r="F1486" s="2">
        <v>12000</v>
      </c>
      <c r="G1486" s="2">
        <v>12600</v>
      </c>
    </row>
    <row r="1487" spans="1:8" x14ac:dyDescent="0.3">
      <c r="A1487" t="s">
        <v>923</v>
      </c>
      <c r="B1487" t="s">
        <v>248</v>
      </c>
      <c r="C1487" t="s">
        <v>249</v>
      </c>
      <c r="D1487">
        <v>2021</v>
      </c>
      <c r="E1487" s="2">
        <v>15</v>
      </c>
      <c r="F1487" s="2">
        <v>3450</v>
      </c>
      <c r="G1487" s="2">
        <v>3622.5</v>
      </c>
    </row>
    <row r="1488" spans="1:8" x14ac:dyDescent="0.3">
      <c r="A1488" t="s">
        <v>923</v>
      </c>
      <c r="B1488" t="s">
        <v>348</v>
      </c>
      <c r="C1488" t="s">
        <v>347</v>
      </c>
      <c r="D1488">
        <v>2020</v>
      </c>
      <c r="E1488" s="2">
        <v>1</v>
      </c>
      <c r="F1488" s="2">
        <v>95</v>
      </c>
      <c r="G1488" s="2">
        <v>99.75</v>
      </c>
    </row>
    <row r="1489" spans="1:7" x14ac:dyDescent="0.3">
      <c r="A1489" t="s">
        <v>923</v>
      </c>
      <c r="B1489" t="s">
        <v>928</v>
      </c>
      <c r="C1489" t="s">
        <v>929</v>
      </c>
      <c r="D1489">
        <v>2014</v>
      </c>
      <c r="E1489" s="2">
        <v>25</v>
      </c>
      <c r="F1489" s="2">
        <v>6250</v>
      </c>
      <c r="G1489" s="2"/>
    </row>
    <row r="1490" spans="1:7" x14ac:dyDescent="0.3">
      <c r="A1490" t="s">
        <v>923</v>
      </c>
      <c r="B1490" t="s">
        <v>928</v>
      </c>
      <c r="C1490" t="s">
        <v>929</v>
      </c>
      <c r="D1490">
        <v>2015</v>
      </c>
      <c r="E1490" s="2">
        <v>25</v>
      </c>
      <c r="F1490" s="2">
        <v>5500</v>
      </c>
      <c r="G1490" s="2"/>
    </row>
    <row r="1491" spans="1:7" x14ac:dyDescent="0.3">
      <c r="A1491" t="s">
        <v>923</v>
      </c>
      <c r="B1491" t="s">
        <v>928</v>
      </c>
      <c r="C1491" t="s">
        <v>929</v>
      </c>
      <c r="D1491">
        <v>2016</v>
      </c>
      <c r="E1491" s="2">
        <v>24</v>
      </c>
      <c r="F1491" s="2">
        <v>5280</v>
      </c>
      <c r="G1491" s="2"/>
    </row>
    <row r="1492" spans="1:7" x14ac:dyDescent="0.3">
      <c r="A1492" t="s">
        <v>923</v>
      </c>
      <c r="B1492" t="s">
        <v>101</v>
      </c>
      <c r="C1492" t="s">
        <v>102</v>
      </c>
      <c r="D1492">
        <v>2018</v>
      </c>
      <c r="E1492" s="2">
        <v>25</v>
      </c>
      <c r="F1492" s="2">
        <v>4500</v>
      </c>
      <c r="G1492" s="2">
        <v>4725</v>
      </c>
    </row>
    <row r="1493" spans="1:7" x14ac:dyDescent="0.3">
      <c r="A1493" t="s">
        <v>923</v>
      </c>
      <c r="B1493" t="s">
        <v>930</v>
      </c>
      <c r="C1493" t="s">
        <v>247</v>
      </c>
      <c r="D1493">
        <v>2019</v>
      </c>
      <c r="E1493" s="2">
        <v>50</v>
      </c>
      <c r="F1493" s="2">
        <v>9000</v>
      </c>
      <c r="G1493" s="2">
        <v>9450</v>
      </c>
    </row>
    <row r="1494" spans="1:7" x14ac:dyDescent="0.3">
      <c r="A1494" t="s">
        <v>923</v>
      </c>
      <c r="B1494" t="s">
        <v>60</v>
      </c>
      <c r="C1494" t="s">
        <v>61</v>
      </c>
      <c r="D1494">
        <v>2014</v>
      </c>
      <c r="E1494" s="2">
        <v>15</v>
      </c>
      <c r="F1494" s="2">
        <v>3300</v>
      </c>
      <c r="G1494" s="2"/>
    </row>
    <row r="1495" spans="1:7" x14ac:dyDescent="0.3">
      <c r="A1495" t="s">
        <v>923</v>
      </c>
      <c r="B1495" t="s">
        <v>60</v>
      </c>
      <c r="C1495" t="s">
        <v>61</v>
      </c>
      <c r="D1495">
        <v>2018</v>
      </c>
      <c r="E1495" s="2">
        <v>85</v>
      </c>
      <c r="F1495" s="2">
        <v>18700</v>
      </c>
      <c r="G1495" s="2">
        <v>19635</v>
      </c>
    </row>
    <row r="1496" spans="1:7" x14ac:dyDescent="0.3">
      <c r="A1496" t="s">
        <v>923</v>
      </c>
      <c r="B1496" t="s">
        <v>514</v>
      </c>
      <c r="C1496" t="s">
        <v>515</v>
      </c>
      <c r="D1496">
        <v>2014</v>
      </c>
      <c r="E1496" s="2">
        <v>40</v>
      </c>
      <c r="F1496" s="2">
        <v>9200</v>
      </c>
      <c r="G1496" s="2"/>
    </row>
    <row r="1497" spans="1:7" x14ac:dyDescent="0.3">
      <c r="A1497" t="s">
        <v>923</v>
      </c>
      <c r="B1497" t="s">
        <v>514</v>
      </c>
      <c r="C1497" t="s">
        <v>515</v>
      </c>
      <c r="D1497">
        <v>2015</v>
      </c>
      <c r="E1497" s="2">
        <v>45</v>
      </c>
      <c r="F1497" s="2">
        <v>10650</v>
      </c>
      <c r="G1497" s="2"/>
    </row>
    <row r="1498" spans="1:7" x14ac:dyDescent="0.3">
      <c r="A1498" t="s">
        <v>923</v>
      </c>
      <c r="B1498" t="s">
        <v>514</v>
      </c>
      <c r="C1498" t="s">
        <v>515</v>
      </c>
      <c r="D1498">
        <v>2016</v>
      </c>
      <c r="E1498" s="2">
        <v>15</v>
      </c>
      <c r="F1498" s="2">
        <v>2700</v>
      </c>
      <c r="G1498" s="2"/>
    </row>
    <row r="1499" spans="1:7" x14ac:dyDescent="0.3">
      <c r="A1499" t="s">
        <v>923</v>
      </c>
      <c r="B1499" t="s">
        <v>514</v>
      </c>
      <c r="C1499" t="s">
        <v>515</v>
      </c>
      <c r="D1499">
        <v>2017</v>
      </c>
      <c r="E1499" s="2">
        <v>75</v>
      </c>
      <c r="F1499" s="2">
        <v>13500</v>
      </c>
      <c r="G1499" s="2"/>
    </row>
    <row r="1500" spans="1:7" x14ac:dyDescent="0.3">
      <c r="A1500" t="s">
        <v>923</v>
      </c>
      <c r="B1500" t="s">
        <v>514</v>
      </c>
      <c r="C1500" t="s">
        <v>515</v>
      </c>
      <c r="D1500">
        <v>2018</v>
      </c>
      <c r="E1500" s="2">
        <v>75</v>
      </c>
      <c r="F1500" s="2">
        <v>13500</v>
      </c>
      <c r="G1500" s="2">
        <v>14175</v>
      </c>
    </row>
    <row r="1501" spans="1:7" x14ac:dyDescent="0.3">
      <c r="A1501" t="s">
        <v>923</v>
      </c>
      <c r="B1501" t="s">
        <v>514</v>
      </c>
      <c r="C1501" t="s">
        <v>515</v>
      </c>
      <c r="D1501">
        <v>2019</v>
      </c>
      <c r="E1501" s="2">
        <v>5</v>
      </c>
      <c r="F1501" s="2">
        <v>900</v>
      </c>
      <c r="G1501" s="2">
        <v>945</v>
      </c>
    </row>
    <row r="1502" spans="1:7" x14ac:dyDescent="0.3">
      <c r="A1502" t="s">
        <v>923</v>
      </c>
      <c r="B1502" t="s">
        <v>514</v>
      </c>
      <c r="C1502" t="s">
        <v>515</v>
      </c>
      <c r="D1502">
        <v>2020</v>
      </c>
      <c r="E1502" s="2">
        <v>10</v>
      </c>
      <c r="F1502" s="2">
        <v>1800</v>
      </c>
      <c r="G1502" s="2">
        <v>1890</v>
      </c>
    </row>
    <row r="1503" spans="1:7" x14ac:dyDescent="0.3">
      <c r="A1503" t="s">
        <v>923</v>
      </c>
      <c r="B1503" t="s">
        <v>931</v>
      </c>
      <c r="C1503" t="s">
        <v>160</v>
      </c>
      <c r="D1503">
        <v>2019</v>
      </c>
      <c r="E1503" s="2">
        <v>15</v>
      </c>
      <c r="F1503" s="2">
        <v>3300</v>
      </c>
      <c r="G1503" s="2">
        <v>3465</v>
      </c>
    </row>
    <row r="1504" spans="1:7" x14ac:dyDescent="0.3">
      <c r="A1504" t="s">
        <v>923</v>
      </c>
      <c r="B1504" t="s">
        <v>108</v>
      </c>
      <c r="C1504" t="s">
        <v>109</v>
      </c>
      <c r="D1504">
        <v>2016</v>
      </c>
      <c r="E1504" s="2">
        <v>10</v>
      </c>
      <c r="F1504" s="2">
        <v>2600</v>
      </c>
      <c r="G1504" s="2"/>
    </row>
    <row r="1505" spans="1:7" x14ac:dyDescent="0.3">
      <c r="A1505" t="s">
        <v>923</v>
      </c>
      <c r="B1505" t="s">
        <v>554</v>
      </c>
      <c r="C1505" t="s">
        <v>249</v>
      </c>
      <c r="D1505">
        <v>2017</v>
      </c>
      <c r="E1505" s="2">
        <v>25</v>
      </c>
      <c r="F1505" s="2">
        <v>4500</v>
      </c>
      <c r="G1505" s="2"/>
    </row>
    <row r="1506" spans="1:7" x14ac:dyDescent="0.3">
      <c r="A1506" t="s">
        <v>923</v>
      </c>
      <c r="B1506" t="s">
        <v>554</v>
      </c>
      <c r="C1506" t="s">
        <v>249</v>
      </c>
      <c r="D1506">
        <v>2018</v>
      </c>
      <c r="E1506" s="2">
        <v>175</v>
      </c>
      <c r="F1506" s="2">
        <v>31500</v>
      </c>
      <c r="G1506" s="2">
        <v>33075</v>
      </c>
    </row>
    <row r="1507" spans="1:7" x14ac:dyDescent="0.3">
      <c r="A1507" t="s">
        <v>923</v>
      </c>
      <c r="B1507" t="s">
        <v>922</v>
      </c>
      <c r="D1507">
        <v>2017</v>
      </c>
      <c r="E1507" s="2">
        <v>25</v>
      </c>
      <c r="F1507" s="2">
        <v>6500</v>
      </c>
      <c r="G1507" s="2"/>
    </row>
    <row r="1508" spans="1:7" x14ac:dyDescent="0.3">
      <c r="A1508" t="s">
        <v>923</v>
      </c>
      <c r="B1508" t="s">
        <v>120</v>
      </c>
      <c r="C1508" t="s">
        <v>121</v>
      </c>
      <c r="D1508">
        <v>2014</v>
      </c>
      <c r="E1508" s="2">
        <v>45</v>
      </c>
      <c r="F1508" s="2">
        <v>9775</v>
      </c>
      <c r="G1508" s="2"/>
    </row>
    <row r="1509" spans="1:7" x14ac:dyDescent="0.3">
      <c r="A1509" t="s">
        <v>923</v>
      </c>
      <c r="B1509" t="s">
        <v>120</v>
      </c>
      <c r="C1509" t="s">
        <v>121</v>
      </c>
      <c r="D1509">
        <v>2015</v>
      </c>
      <c r="E1509" s="2">
        <v>100</v>
      </c>
      <c r="F1509" s="2">
        <v>19750</v>
      </c>
      <c r="G1509" s="2"/>
    </row>
    <row r="1510" spans="1:7" x14ac:dyDescent="0.3">
      <c r="A1510" t="s">
        <v>923</v>
      </c>
      <c r="B1510" t="s">
        <v>120</v>
      </c>
      <c r="C1510" t="s">
        <v>121</v>
      </c>
      <c r="D1510">
        <v>2016</v>
      </c>
      <c r="E1510" s="2">
        <v>125</v>
      </c>
      <c r="F1510" s="2">
        <v>22500</v>
      </c>
      <c r="G1510" s="2"/>
    </row>
    <row r="1511" spans="1:7" x14ac:dyDescent="0.3">
      <c r="A1511" t="s">
        <v>923</v>
      </c>
      <c r="B1511" t="s">
        <v>120</v>
      </c>
      <c r="C1511" t="s">
        <v>121</v>
      </c>
      <c r="D1511">
        <v>2017</v>
      </c>
      <c r="E1511" s="2">
        <v>220</v>
      </c>
      <c r="F1511" s="2">
        <v>28600</v>
      </c>
      <c r="G1511" s="2"/>
    </row>
    <row r="1512" spans="1:7" x14ac:dyDescent="0.3">
      <c r="A1512" t="s">
        <v>923</v>
      </c>
      <c r="B1512" t="s">
        <v>120</v>
      </c>
      <c r="C1512" t="s">
        <v>121</v>
      </c>
      <c r="D1512">
        <v>2018</v>
      </c>
      <c r="E1512" s="2">
        <v>200</v>
      </c>
      <c r="F1512" s="2">
        <v>32000</v>
      </c>
      <c r="G1512" s="2">
        <v>33600</v>
      </c>
    </row>
    <row r="1513" spans="1:7" x14ac:dyDescent="0.3">
      <c r="A1513" t="s">
        <v>923</v>
      </c>
      <c r="B1513" t="s">
        <v>120</v>
      </c>
      <c r="C1513" t="s">
        <v>121</v>
      </c>
      <c r="D1513">
        <v>2019</v>
      </c>
      <c r="E1513" s="2">
        <v>105</v>
      </c>
      <c r="F1513" s="2">
        <v>16800</v>
      </c>
      <c r="G1513" s="2">
        <v>17640</v>
      </c>
    </row>
    <row r="1514" spans="1:7" x14ac:dyDescent="0.3">
      <c r="A1514" t="s">
        <v>923</v>
      </c>
      <c r="B1514" t="s">
        <v>932</v>
      </c>
      <c r="C1514" t="s">
        <v>598</v>
      </c>
      <c r="D1514">
        <v>2019</v>
      </c>
      <c r="E1514" s="2">
        <v>50</v>
      </c>
      <c r="F1514" s="2">
        <v>8000</v>
      </c>
      <c r="G1514" s="2">
        <v>8400</v>
      </c>
    </row>
    <row r="1515" spans="1:7" x14ac:dyDescent="0.3">
      <c r="A1515" t="s">
        <v>923</v>
      </c>
      <c r="B1515" t="s">
        <v>932</v>
      </c>
      <c r="C1515" t="s">
        <v>598</v>
      </c>
      <c r="D1515">
        <v>2020</v>
      </c>
      <c r="E1515" s="2">
        <v>25</v>
      </c>
      <c r="F1515" s="2">
        <v>4000</v>
      </c>
      <c r="G1515" s="2">
        <v>4200</v>
      </c>
    </row>
    <row r="1516" spans="1:7" x14ac:dyDescent="0.3">
      <c r="A1516" t="s">
        <v>923</v>
      </c>
      <c r="B1516" t="s">
        <v>933</v>
      </c>
      <c r="C1516" t="s">
        <v>934</v>
      </c>
      <c r="D1516">
        <v>2017</v>
      </c>
      <c r="E1516" s="2">
        <v>15</v>
      </c>
      <c r="F1516" s="2">
        <v>2250</v>
      </c>
      <c r="G1516" s="2"/>
    </row>
    <row r="1517" spans="1:7" x14ac:dyDescent="0.3">
      <c r="A1517" t="s">
        <v>923</v>
      </c>
      <c r="B1517" t="s">
        <v>135</v>
      </c>
      <c r="C1517" t="s">
        <v>136</v>
      </c>
      <c r="D1517">
        <v>2015</v>
      </c>
      <c r="E1517" s="2">
        <v>3</v>
      </c>
      <c r="F1517" s="2">
        <v>540</v>
      </c>
      <c r="G1517" s="2"/>
    </row>
    <row r="1518" spans="1:7" x14ac:dyDescent="0.3">
      <c r="A1518" t="s">
        <v>923</v>
      </c>
      <c r="B1518" t="s">
        <v>135</v>
      </c>
      <c r="C1518" t="s">
        <v>136</v>
      </c>
      <c r="D1518">
        <v>2016</v>
      </c>
      <c r="E1518" s="2">
        <v>10</v>
      </c>
      <c r="F1518" s="2">
        <v>1800</v>
      </c>
      <c r="G1518" s="2"/>
    </row>
    <row r="1519" spans="1:7" x14ac:dyDescent="0.3">
      <c r="A1519" t="s">
        <v>923</v>
      </c>
      <c r="B1519" t="s">
        <v>674</v>
      </c>
      <c r="C1519" t="s">
        <v>675</v>
      </c>
      <c r="D1519">
        <v>2020</v>
      </c>
      <c r="E1519" s="2">
        <v>11</v>
      </c>
      <c r="F1519" s="2">
        <v>1045</v>
      </c>
      <c r="G1519" s="2">
        <v>1097.25</v>
      </c>
    </row>
    <row r="1520" spans="1:7" x14ac:dyDescent="0.3">
      <c r="A1520" t="s">
        <v>923</v>
      </c>
      <c r="B1520" t="s">
        <v>425</v>
      </c>
      <c r="C1520" t="s">
        <v>426</v>
      </c>
      <c r="D1520">
        <v>2016</v>
      </c>
      <c r="E1520" s="2">
        <v>25</v>
      </c>
      <c r="F1520" s="2">
        <v>2750</v>
      </c>
      <c r="G1520" s="2"/>
    </row>
    <row r="1521" spans="1:8" x14ac:dyDescent="0.3">
      <c r="A1521" t="s">
        <v>923</v>
      </c>
      <c r="B1521" t="s">
        <v>196</v>
      </c>
      <c r="C1521" t="s">
        <v>197</v>
      </c>
      <c r="D1521">
        <v>2014</v>
      </c>
      <c r="E1521" s="2">
        <v>30</v>
      </c>
      <c r="F1521" s="2">
        <v>6600</v>
      </c>
      <c r="G1521" s="2"/>
    </row>
    <row r="1522" spans="1:8" x14ac:dyDescent="0.3">
      <c r="A1522" t="s">
        <v>923</v>
      </c>
      <c r="B1522" t="s">
        <v>196</v>
      </c>
      <c r="C1522" t="s">
        <v>197</v>
      </c>
      <c r="D1522">
        <v>2018</v>
      </c>
      <c r="E1522" s="2">
        <v>75</v>
      </c>
      <c r="F1522" s="2">
        <v>10500</v>
      </c>
      <c r="G1522" s="2">
        <v>11025</v>
      </c>
    </row>
    <row r="1523" spans="1:8" x14ac:dyDescent="0.3">
      <c r="A1523" t="s">
        <v>923</v>
      </c>
      <c r="B1523" t="s">
        <v>584</v>
      </c>
      <c r="C1523" t="s">
        <v>413</v>
      </c>
      <c r="D1523">
        <v>2017</v>
      </c>
      <c r="E1523" s="2">
        <v>25</v>
      </c>
      <c r="F1523" s="2">
        <v>5500</v>
      </c>
      <c r="G1523" s="2"/>
    </row>
    <row r="1524" spans="1:8" x14ac:dyDescent="0.3">
      <c r="A1524" t="s">
        <v>923</v>
      </c>
      <c r="B1524" t="s">
        <v>318</v>
      </c>
      <c r="C1524" t="s">
        <v>319</v>
      </c>
      <c r="D1524">
        <v>2015</v>
      </c>
      <c r="E1524" s="2">
        <v>25</v>
      </c>
      <c r="F1524" s="2">
        <v>4500</v>
      </c>
      <c r="G1524" s="2"/>
    </row>
    <row r="1525" spans="1:8" x14ac:dyDescent="0.3">
      <c r="A1525" t="s">
        <v>923</v>
      </c>
      <c r="B1525" t="s">
        <v>318</v>
      </c>
      <c r="C1525" t="s">
        <v>319</v>
      </c>
      <c r="D1525">
        <v>2016</v>
      </c>
      <c r="E1525" s="2">
        <v>25</v>
      </c>
      <c r="F1525" s="2">
        <v>4000</v>
      </c>
      <c r="G1525" s="2"/>
    </row>
    <row r="1526" spans="1:8" x14ac:dyDescent="0.3">
      <c r="A1526" t="s">
        <v>923</v>
      </c>
      <c r="B1526" t="s">
        <v>149</v>
      </c>
      <c r="C1526" t="s">
        <v>150</v>
      </c>
      <c r="D1526">
        <v>2015</v>
      </c>
      <c r="E1526" s="2">
        <v>25</v>
      </c>
      <c r="F1526" s="2">
        <v>5250</v>
      </c>
      <c r="G1526" s="2"/>
    </row>
    <row r="1527" spans="1:8" x14ac:dyDescent="0.3">
      <c r="A1527" t="s">
        <v>923</v>
      </c>
      <c r="B1527" t="s">
        <v>149</v>
      </c>
      <c r="C1527" t="s">
        <v>150</v>
      </c>
      <c r="D1527">
        <v>2016</v>
      </c>
      <c r="E1527" s="2">
        <v>54</v>
      </c>
      <c r="F1527" s="2">
        <v>11340</v>
      </c>
      <c r="G1527" s="2"/>
    </row>
    <row r="1528" spans="1:8" x14ac:dyDescent="0.3">
      <c r="A1528" t="s">
        <v>923</v>
      </c>
      <c r="B1528" t="s">
        <v>149</v>
      </c>
      <c r="C1528" t="s">
        <v>150</v>
      </c>
      <c r="D1528">
        <v>2017</v>
      </c>
      <c r="E1528" s="2">
        <v>20</v>
      </c>
      <c r="F1528" s="2">
        <v>4200</v>
      </c>
      <c r="G1528" s="2"/>
    </row>
    <row r="1529" spans="1:8" x14ac:dyDescent="0.3">
      <c r="A1529" t="s">
        <v>923</v>
      </c>
      <c r="B1529" t="s">
        <v>935</v>
      </c>
      <c r="C1529" t="s">
        <v>613</v>
      </c>
      <c r="D1529">
        <v>2018</v>
      </c>
      <c r="E1529" s="2">
        <v>25</v>
      </c>
      <c r="F1529" s="2">
        <v>5750</v>
      </c>
      <c r="G1529" s="2">
        <v>6037.5</v>
      </c>
    </row>
    <row r="1530" spans="1:8" x14ac:dyDescent="0.3">
      <c r="A1530" t="s">
        <v>923</v>
      </c>
      <c r="B1530" t="s">
        <v>935</v>
      </c>
      <c r="C1530" t="s">
        <v>613</v>
      </c>
      <c r="D1530">
        <v>2019</v>
      </c>
      <c r="E1530" s="2">
        <v>25</v>
      </c>
      <c r="F1530" s="2">
        <v>5750</v>
      </c>
      <c r="G1530" s="2">
        <v>6037.5</v>
      </c>
    </row>
    <row r="1531" spans="1:8" x14ac:dyDescent="0.3">
      <c r="A1531" t="s">
        <v>923</v>
      </c>
      <c r="B1531" t="s">
        <v>203</v>
      </c>
      <c r="C1531" t="s">
        <v>204</v>
      </c>
      <c r="D1531">
        <v>2015</v>
      </c>
      <c r="E1531" s="2">
        <v>10</v>
      </c>
      <c r="F1531" s="2">
        <v>1500</v>
      </c>
      <c r="G1531" s="2"/>
    </row>
    <row r="1532" spans="1:8" x14ac:dyDescent="0.3">
      <c r="A1532" t="s">
        <v>936</v>
      </c>
      <c r="B1532" t="s">
        <v>928</v>
      </c>
      <c r="C1532" t="s">
        <v>929</v>
      </c>
      <c r="D1532">
        <v>2016</v>
      </c>
      <c r="E1532" s="2">
        <v>1</v>
      </c>
      <c r="F1532" s="2">
        <v>230</v>
      </c>
      <c r="G1532" s="2"/>
    </row>
    <row r="1533" spans="1:8" x14ac:dyDescent="0.3">
      <c r="A1533" t="s">
        <v>936</v>
      </c>
      <c r="B1533" t="s">
        <v>937</v>
      </c>
      <c r="C1533" t="s">
        <v>121</v>
      </c>
      <c r="D1533">
        <v>2016</v>
      </c>
      <c r="E1533" s="2">
        <v>1</v>
      </c>
      <c r="F1533" s="2">
        <v>250</v>
      </c>
      <c r="G1533" s="2"/>
    </row>
    <row r="1534" spans="1:8" x14ac:dyDescent="0.3">
      <c r="A1534" t="s">
        <v>936</v>
      </c>
      <c r="B1534" t="s">
        <v>318</v>
      </c>
      <c r="C1534" t="s">
        <v>319</v>
      </c>
      <c r="D1534">
        <v>2016</v>
      </c>
      <c r="E1534" s="2">
        <v>1</v>
      </c>
      <c r="F1534" s="2">
        <v>200</v>
      </c>
      <c r="G1534" s="2"/>
    </row>
    <row r="1535" spans="1:8" x14ac:dyDescent="0.3">
      <c r="A1535" t="s">
        <v>938</v>
      </c>
      <c r="B1535" t="s">
        <v>668</v>
      </c>
      <c r="C1535" t="s">
        <v>669</v>
      </c>
      <c r="D1535">
        <v>2021</v>
      </c>
      <c r="E1535" s="2">
        <v>1</v>
      </c>
      <c r="F1535" s="2">
        <v>75</v>
      </c>
      <c r="G1535" s="2">
        <v>75</v>
      </c>
      <c r="H1535" s="3" t="s">
        <v>18</v>
      </c>
    </row>
    <row r="1536" spans="1:8" x14ac:dyDescent="0.3">
      <c r="A1536" t="s">
        <v>938</v>
      </c>
      <c r="B1536" t="s">
        <v>939</v>
      </c>
      <c r="C1536" t="s">
        <v>940</v>
      </c>
      <c r="D1536">
        <v>2021</v>
      </c>
      <c r="E1536" s="2">
        <v>1</v>
      </c>
      <c r="F1536" s="2">
        <v>85</v>
      </c>
      <c r="G1536" s="2">
        <v>85</v>
      </c>
      <c r="H1536" s="3" t="s">
        <v>14</v>
      </c>
    </row>
    <row r="1537" spans="1:8" x14ac:dyDescent="0.3">
      <c r="A1537" t="s">
        <v>938</v>
      </c>
      <c r="B1537" t="s">
        <v>110</v>
      </c>
      <c r="C1537" t="s">
        <v>111</v>
      </c>
      <c r="D1537">
        <v>2021</v>
      </c>
      <c r="E1537" s="2">
        <v>1</v>
      </c>
      <c r="F1537" s="2">
        <v>45</v>
      </c>
      <c r="G1537" s="2">
        <v>45</v>
      </c>
      <c r="H1537" s="3" t="s">
        <v>14</v>
      </c>
    </row>
    <row r="1538" spans="1:8" x14ac:dyDescent="0.3">
      <c r="A1538" t="s">
        <v>938</v>
      </c>
      <c r="B1538" t="s">
        <v>674</v>
      </c>
      <c r="C1538" t="s">
        <v>675</v>
      </c>
      <c r="D1538">
        <v>2021</v>
      </c>
      <c r="E1538" s="2">
        <v>1</v>
      </c>
      <c r="F1538" s="2">
        <v>75</v>
      </c>
      <c r="G1538" s="2">
        <v>75</v>
      </c>
      <c r="H1538" s="3" t="s">
        <v>18</v>
      </c>
    </row>
    <row r="1539" spans="1:8" x14ac:dyDescent="0.3">
      <c r="A1539" t="s">
        <v>941</v>
      </c>
      <c r="B1539" t="s">
        <v>610</v>
      </c>
      <c r="C1539" t="s">
        <v>611</v>
      </c>
      <c r="D1539">
        <v>2016</v>
      </c>
      <c r="E1539" s="2">
        <v>25</v>
      </c>
      <c r="F1539" s="2">
        <v>2125</v>
      </c>
      <c r="G1539" s="2"/>
    </row>
    <row r="1540" spans="1:8" x14ac:dyDescent="0.3">
      <c r="A1540" t="s">
        <v>941</v>
      </c>
      <c r="B1540" t="s">
        <v>34</v>
      </c>
      <c r="D1540">
        <v>2018</v>
      </c>
      <c r="E1540" s="2">
        <v>15</v>
      </c>
      <c r="F1540" s="2">
        <v>1650</v>
      </c>
      <c r="G1540" s="2">
        <v>1732.5</v>
      </c>
    </row>
    <row r="1541" spans="1:8" x14ac:dyDescent="0.3">
      <c r="A1541" t="s">
        <v>941</v>
      </c>
      <c r="B1541" t="s">
        <v>34</v>
      </c>
      <c r="D1541">
        <v>2019</v>
      </c>
      <c r="E1541" s="2">
        <v>10</v>
      </c>
      <c r="F1541" s="2">
        <v>1100</v>
      </c>
      <c r="G1541" s="2">
        <v>1155</v>
      </c>
    </row>
    <row r="1542" spans="1:8" x14ac:dyDescent="0.3">
      <c r="A1542" t="s">
        <v>941</v>
      </c>
      <c r="B1542" t="s">
        <v>34</v>
      </c>
      <c r="D1542">
        <v>2020</v>
      </c>
      <c r="E1542" s="2">
        <v>20</v>
      </c>
      <c r="F1542" s="2">
        <v>2200</v>
      </c>
      <c r="G1542" s="2">
        <v>2310</v>
      </c>
    </row>
    <row r="1543" spans="1:8" x14ac:dyDescent="0.3">
      <c r="A1543" t="s">
        <v>941</v>
      </c>
      <c r="B1543" t="s">
        <v>453</v>
      </c>
      <c r="D1543">
        <v>2019</v>
      </c>
      <c r="E1543" s="2">
        <v>15</v>
      </c>
      <c r="F1543" s="2">
        <v>1200</v>
      </c>
      <c r="G1543" s="2">
        <v>1260</v>
      </c>
    </row>
    <row r="1544" spans="1:8" x14ac:dyDescent="0.3">
      <c r="A1544" t="s">
        <v>941</v>
      </c>
      <c r="B1544" t="s">
        <v>696</v>
      </c>
      <c r="C1544" t="s">
        <v>697</v>
      </c>
      <c r="D1544">
        <v>2016</v>
      </c>
      <c r="E1544" s="2">
        <v>50</v>
      </c>
      <c r="F1544" s="2">
        <v>3000</v>
      </c>
      <c r="G1544" s="2"/>
    </row>
    <row r="1545" spans="1:8" x14ac:dyDescent="0.3">
      <c r="A1545" t="s">
        <v>941</v>
      </c>
      <c r="B1545" t="s">
        <v>696</v>
      </c>
      <c r="C1545" t="s">
        <v>697</v>
      </c>
      <c r="D1545">
        <v>2017</v>
      </c>
      <c r="E1545" s="2">
        <v>218</v>
      </c>
      <c r="F1545" s="2">
        <v>13080</v>
      </c>
      <c r="G1545" s="2"/>
    </row>
    <row r="1546" spans="1:8" x14ac:dyDescent="0.3">
      <c r="A1546" t="s">
        <v>941</v>
      </c>
      <c r="B1546" t="s">
        <v>346</v>
      </c>
      <c r="C1546" t="s">
        <v>347</v>
      </c>
      <c r="D1546">
        <v>2017</v>
      </c>
      <c r="E1546" s="2">
        <v>100</v>
      </c>
      <c r="F1546" s="2">
        <v>8000</v>
      </c>
      <c r="G1546" s="2"/>
    </row>
    <row r="1547" spans="1:8" x14ac:dyDescent="0.3">
      <c r="A1547" t="s">
        <v>941</v>
      </c>
      <c r="B1547" t="s">
        <v>346</v>
      </c>
      <c r="C1547" t="s">
        <v>347</v>
      </c>
      <c r="D1547">
        <v>2018</v>
      </c>
      <c r="E1547" s="2">
        <v>50</v>
      </c>
      <c r="F1547" s="2">
        <v>4000</v>
      </c>
      <c r="G1547" s="2">
        <v>4200</v>
      </c>
    </row>
    <row r="1548" spans="1:8" x14ac:dyDescent="0.3">
      <c r="A1548" t="s">
        <v>941</v>
      </c>
      <c r="B1548" t="s">
        <v>461</v>
      </c>
      <c r="D1548">
        <v>2018</v>
      </c>
      <c r="E1548" s="2">
        <v>5</v>
      </c>
      <c r="F1548" s="2">
        <v>400</v>
      </c>
      <c r="G1548" s="2">
        <v>420</v>
      </c>
    </row>
    <row r="1549" spans="1:8" x14ac:dyDescent="0.3">
      <c r="A1549" t="s">
        <v>941</v>
      </c>
      <c r="B1549" t="s">
        <v>461</v>
      </c>
      <c r="D1549">
        <v>2019</v>
      </c>
      <c r="E1549" s="2">
        <v>25</v>
      </c>
      <c r="F1549" s="2">
        <v>2000</v>
      </c>
      <c r="G1549" s="2">
        <v>2100</v>
      </c>
    </row>
    <row r="1550" spans="1:8" x14ac:dyDescent="0.3">
      <c r="A1550" t="s">
        <v>941</v>
      </c>
      <c r="B1550" t="s">
        <v>642</v>
      </c>
      <c r="D1550">
        <v>2019</v>
      </c>
      <c r="E1550" s="2">
        <v>1</v>
      </c>
      <c r="F1550" s="2">
        <v>100</v>
      </c>
      <c r="G1550" s="2">
        <v>105</v>
      </c>
      <c r="H1550" s="3" t="s">
        <v>18</v>
      </c>
    </row>
    <row r="1551" spans="1:8" x14ac:dyDescent="0.3">
      <c r="A1551" t="s">
        <v>941</v>
      </c>
      <c r="B1551" t="s">
        <v>642</v>
      </c>
      <c r="D1551">
        <v>2021</v>
      </c>
      <c r="E1551" s="2">
        <v>10</v>
      </c>
      <c r="F1551" s="2">
        <v>1150</v>
      </c>
      <c r="G1551" s="2">
        <v>1207.5</v>
      </c>
      <c r="H1551" s="3" t="s">
        <v>18</v>
      </c>
    </row>
    <row r="1552" spans="1:8" x14ac:dyDescent="0.3">
      <c r="A1552" t="s">
        <v>941</v>
      </c>
      <c r="B1552" t="s">
        <v>942</v>
      </c>
      <c r="C1552" t="s">
        <v>943</v>
      </c>
      <c r="D1552">
        <v>2018</v>
      </c>
      <c r="E1552" s="2">
        <v>5</v>
      </c>
      <c r="F1552" s="2">
        <v>350</v>
      </c>
      <c r="G1552" s="2">
        <v>367.5</v>
      </c>
    </row>
    <row r="1553" spans="1:7" x14ac:dyDescent="0.3">
      <c r="A1553" t="s">
        <v>941</v>
      </c>
      <c r="B1553" t="s">
        <v>643</v>
      </c>
      <c r="C1553" t="s">
        <v>644</v>
      </c>
      <c r="D1553">
        <v>2018</v>
      </c>
      <c r="E1553" s="2">
        <v>25</v>
      </c>
      <c r="F1553" s="2">
        <v>1750</v>
      </c>
      <c r="G1553" s="2">
        <v>1837.5</v>
      </c>
    </row>
    <row r="1554" spans="1:7" x14ac:dyDescent="0.3">
      <c r="A1554" t="s">
        <v>941</v>
      </c>
      <c r="B1554" t="s">
        <v>184</v>
      </c>
      <c r="C1554" t="s">
        <v>185</v>
      </c>
      <c r="D1554">
        <v>2016</v>
      </c>
      <c r="E1554" s="2">
        <v>25</v>
      </c>
      <c r="F1554" s="2">
        <v>1500</v>
      </c>
      <c r="G1554" s="2"/>
    </row>
    <row r="1555" spans="1:7" x14ac:dyDescent="0.3">
      <c r="A1555" t="s">
        <v>941</v>
      </c>
      <c r="B1555" t="s">
        <v>184</v>
      </c>
      <c r="C1555" t="s">
        <v>185</v>
      </c>
      <c r="D1555">
        <v>2017</v>
      </c>
      <c r="E1555" s="2">
        <v>150</v>
      </c>
      <c r="F1555" s="2">
        <v>9000</v>
      </c>
      <c r="G1555" s="2"/>
    </row>
    <row r="1556" spans="1:7" x14ac:dyDescent="0.3">
      <c r="A1556" t="s">
        <v>941</v>
      </c>
      <c r="B1556" t="s">
        <v>184</v>
      </c>
      <c r="C1556" t="s">
        <v>185</v>
      </c>
      <c r="D1556">
        <v>2018</v>
      </c>
      <c r="E1556" s="2">
        <v>28</v>
      </c>
      <c r="F1556" s="2">
        <v>1680</v>
      </c>
      <c r="G1556" s="2">
        <v>1764</v>
      </c>
    </row>
    <row r="1557" spans="1:7" x14ac:dyDescent="0.3">
      <c r="A1557" t="s">
        <v>941</v>
      </c>
      <c r="B1557" t="s">
        <v>297</v>
      </c>
      <c r="C1557" t="s">
        <v>298</v>
      </c>
      <c r="D1557">
        <v>2017</v>
      </c>
      <c r="E1557" s="2">
        <v>30</v>
      </c>
      <c r="F1557" s="2">
        <v>2250</v>
      </c>
      <c r="G1557" s="2"/>
    </row>
    <row r="1558" spans="1:7" x14ac:dyDescent="0.3">
      <c r="A1558" t="s">
        <v>941</v>
      </c>
      <c r="B1558" t="s">
        <v>297</v>
      </c>
      <c r="C1558" t="s">
        <v>298</v>
      </c>
      <c r="D1558">
        <v>2018</v>
      </c>
      <c r="E1558" s="2">
        <v>25</v>
      </c>
      <c r="F1558" s="2">
        <v>1875</v>
      </c>
      <c r="G1558" s="2">
        <v>1968.75</v>
      </c>
    </row>
    <row r="1559" spans="1:7" x14ac:dyDescent="0.3">
      <c r="A1559" t="s">
        <v>941</v>
      </c>
      <c r="B1559" t="s">
        <v>19</v>
      </c>
      <c r="C1559" t="s">
        <v>699</v>
      </c>
      <c r="D1559">
        <v>2017</v>
      </c>
      <c r="E1559" s="2">
        <v>115</v>
      </c>
      <c r="F1559" s="2">
        <v>8225</v>
      </c>
      <c r="G1559" s="2"/>
    </row>
    <row r="1560" spans="1:7" x14ac:dyDescent="0.3">
      <c r="A1560" t="s">
        <v>941</v>
      </c>
      <c r="B1560" t="s">
        <v>19</v>
      </c>
      <c r="C1560" t="s">
        <v>107</v>
      </c>
      <c r="D1560">
        <v>2017</v>
      </c>
      <c r="E1560" s="2">
        <v>50</v>
      </c>
      <c r="F1560" s="2">
        <v>3600</v>
      </c>
      <c r="G1560" s="2"/>
    </row>
    <row r="1561" spans="1:7" x14ac:dyDescent="0.3">
      <c r="A1561" t="s">
        <v>941</v>
      </c>
      <c r="B1561" t="s">
        <v>490</v>
      </c>
      <c r="C1561" t="s">
        <v>491</v>
      </c>
      <c r="D1561">
        <v>2016</v>
      </c>
      <c r="E1561" s="2">
        <v>25</v>
      </c>
      <c r="F1561" s="2">
        <v>2500</v>
      </c>
      <c r="G1561" s="2"/>
    </row>
    <row r="1562" spans="1:7" x14ac:dyDescent="0.3">
      <c r="A1562" t="s">
        <v>941</v>
      </c>
      <c r="B1562" t="s">
        <v>490</v>
      </c>
      <c r="C1562" t="s">
        <v>491</v>
      </c>
      <c r="D1562">
        <v>2017</v>
      </c>
      <c r="E1562" s="2">
        <v>25</v>
      </c>
      <c r="F1562" s="2">
        <v>2500</v>
      </c>
      <c r="G1562" s="2"/>
    </row>
    <row r="1563" spans="1:7" x14ac:dyDescent="0.3">
      <c r="A1563" t="s">
        <v>941</v>
      </c>
      <c r="B1563" t="s">
        <v>490</v>
      </c>
      <c r="C1563" t="s">
        <v>491</v>
      </c>
      <c r="D1563">
        <v>2018</v>
      </c>
      <c r="E1563" s="2">
        <v>50</v>
      </c>
      <c r="F1563" s="2">
        <v>5000</v>
      </c>
      <c r="G1563" s="2">
        <v>5250</v>
      </c>
    </row>
    <row r="1564" spans="1:7" x14ac:dyDescent="0.3">
      <c r="A1564" t="s">
        <v>941</v>
      </c>
      <c r="B1564" t="s">
        <v>543</v>
      </c>
      <c r="C1564" t="s">
        <v>544</v>
      </c>
      <c r="D1564">
        <v>2017</v>
      </c>
      <c r="E1564" s="2">
        <v>40</v>
      </c>
      <c r="F1564" s="2">
        <v>3400</v>
      </c>
      <c r="G1564" s="2"/>
    </row>
    <row r="1565" spans="1:7" x14ac:dyDescent="0.3">
      <c r="A1565" t="s">
        <v>941</v>
      </c>
      <c r="B1565" t="s">
        <v>64</v>
      </c>
      <c r="C1565" t="s">
        <v>65</v>
      </c>
      <c r="D1565">
        <v>2016</v>
      </c>
      <c r="E1565" s="2">
        <v>25</v>
      </c>
      <c r="F1565" s="2">
        <v>1500</v>
      </c>
      <c r="G1565" s="2"/>
    </row>
    <row r="1566" spans="1:7" x14ac:dyDescent="0.3">
      <c r="A1566" t="s">
        <v>941</v>
      </c>
      <c r="B1566" t="s">
        <v>64</v>
      </c>
      <c r="C1566" t="s">
        <v>65</v>
      </c>
      <c r="D1566">
        <v>2017</v>
      </c>
      <c r="E1566" s="2">
        <v>185</v>
      </c>
      <c r="F1566" s="2">
        <v>11100</v>
      </c>
      <c r="G1566" s="2"/>
    </row>
    <row r="1567" spans="1:7" x14ac:dyDescent="0.3">
      <c r="A1567" t="s">
        <v>941</v>
      </c>
      <c r="B1567" t="s">
        <v>21</v>
      </c>
      <c r="C1567" t="s">
        <v>22</v>
      </c>
      <c r="D1567">
        <v>2017</v>
      </c>
      <c r="E1567" s="2">
        <v>92.55</v>
      </c>
      <c r="F1567" s="2">
        <v>6478.5</v>
      </c>
      <c r="G1567" s="2"/>
    </row>
    <row r="1568" spans="1:7" x14ac:dyDescent="0.3">
      <c r="A1568" t="s">
        <v>941</v>
      </c>
      <c r="B1568" t="s">
        <v>21</v>
      </c>
      <c r="C1568" t="s">
        <v>22</v>
      </c>
      <c r="D1568">
        <v>2018</v>
      </c>
      <c r="E1568" s="2">
        <v>160</v>
      </c>
      <c r="F1568" s="2">
        <v>11200</v>
      </c>
      <c r="G1568" s="2">
        <v>11760</v>
      </c>
    </row>
    <row r="1569" spans="1:7" x14ac:dyDescent="0.3">
      <c r="A1569" t="s">
        <v>941</v>
      </c>
      <c r="B1569" t="s">
        <v>110</v>
      </c>
      <c r="C1569" t="s">
        <v>111</v>
      </c>
      <c r="D1569">
        <v>2018</v>
      </c>
      <c r="E1569" s="2">
        <v>10</v>
      </c>
      <c r="F1569" s="2">
        <v>500</v>
      </c>
      <c r="G1569" s="2">
        <v>525</v>
      </c>
    </row>
    <row r="1570" spans="1:7" x14ac:dyDescent="0.3">
      <c r="A1570" t="s">
        <v>941</v>
      </c>
      <c r="B1570" t="s">
        <v>68</v>
      </c>
      <c r="C1570" t="s">
        <v>69</v>
      </c>
      <c r="D1570">
        <v>2016</v>
      </c>
      <c r="E1570" s="2">
        <v>25</v>
      </c>
      <c r="F1570" s="2">
        <v>1750</v>
      </c>
      <c r="G1570" s="2"/>
    </row>
    <row r="1571" spans="1:7" x14ac:dyDescent="0.3">
      <c r="A1571" t="s">
        <v>941</v>
      </c>
      <c r="B1571" t="s">
        <v>68</v>
      </c>
      <c r="C1571" t="s">
        <v>69</v>
      </c>
      <c r="D1571">
        <v>2017</v>
      </c>
      <c r="E1571" s="2">
        <v>25</v>
      </c>
      <c r="F1571" s="2">
        <v>1750</v>
      </c>
      <c r="G1571" s="2"/>
    </row>
    <row r="1572" spans="1:7" x14ac:dyDescent="0.3">
      <c r="A1572" t="s">
        <v>941</v>
      </c>
      <c r="B1572" t="s">
        <v>575</v>
      </c>
      <c r="C1572" t="s">
        <v>673</v>
      </c>
      <c r="D1572">
        <v>2017</v>
      </c>
      <c r="E1572" s="2">
        <v>20</v>
      </c>
      <c r="F1572" s="2">
        <v>1500</v>
      </c>
      <c r="G1572" s="2"/>
    </row>
    <row r="1573" spans="1:7" x14ac:dyDescent="0.3">
      <c r="A1573" t="s">
        <v>941</v>
      </c>
      <c r="B1573" t="s">
        <v>575</v>
      </c>
      <c r="C1573" t="s">
        <v>673</v>
      </c>
      <c r="D1573">
        <v>2018</v>
      </c>
      <c r="E1573" s="2">
        <v>5</v>
      </c>
      <c r="F1573" s="2">
        <v>375</v>
      </c>
      <c r="G1573" s="2">
        <v>393.75</v>
      </c>
    </row>
    <row r="1574" spans="1:7" x14ac:dyDescent="0.3">
      <c r="A1574" t="s">
        <v>941</v>
      </c>
      <c r="B1574" t="s">
        <v>36</v>
      </c>
      <c r="D1574">
        <v>2017</v>
      </c>
      <c r="E1574" s="2">
        <v>1</v>
      </c>
      <c r="F1574" s="2">
        <v>80</v>
      </c>
      <c r="G1574" s="2"/>
    </row>
    <row r="1575" spans="1:7" x14ac:dyDescent="0.3">
      <c r="A1575" t="s">
        <v>941</v>
      </c>
      <c r="B1575" t="s">
        <v>36</v>
      </c>
      <c r="D1575">
        <v>2019</v>
      </c>
      <c r="E1575" s="2">
        <v>5</v>
      </c>
      <c r="F1575" s="2">
        <v>450</v>
      </c>
      <c r="G1575" s="2">
        <v>472.5</v>
      </c>
    </row>
    <row r="1576" spans="1:7" x14ac:dyDescent="0.3">
      <c r="A1576" t="s">
        <v>941</v>
      </c>
      <c r="B1576" t="s">
        <v>36</v>
      </c>
      <c r="D1576">
        <v>2020</v>
      </c>
      <c r="E1576" s="2">
        <v>5</v>
      </c>
      <c r="F1576" s="2">
        <v>450</v>
      </c>
      <c r="G1576" s="2">
        <v>472.5</v>
      </c>
    </row>
    <row r="1577" spans="1:7" x14ac:dyDescent="0.3">
      <c r="A1577" t="s">
        <v>941</v>
      </c>
      <c r="B1577" t="s">
        <v>192</v>
      </c>
      <c r="C1577" t="s">
        <v>193</v>
      </c>
      <c r="D1577">
        <v>2019</v>
      </c>
      <c r="E1577" s="2">
        <v>25</v>
      </c>
      <c r="F1577" s="2">
        <v>1625</v>
      </c>
      <c r="G1577" s="2">
        <v>1706.25</v>
      </c>
    </row>
    <row r="1578" spans="1:7" x14ac:dyDescent="0.3">
      <c r="A1578" t="s">
        <v>941</v>
      </c>
      <c r="B1578" t="s">
        <v>314</v>
      </c>
      <c r="C1578" t="s">
        <v>475</v>
      </c>
      <c r="D1578">
        <v>2016</v>
      </c>
      <c r="E1578" s="2">
        <v>25</v>
      </c>
      <c r="F1578" s="2">
        <v>1500</v>
      </c>
      <c r="G1578" s="2"/>
    </row>
    <row r="1579" spans="1:7" x14ac:dyDescent="0.3">
      <c r="A1579" t="s">
        <v>941</v>
      </c>
      <c r="B1579" t="s">
        <v>314</v>
      </c>
      <c r="C1579" t="s">
        <v>315</v>
      </c>
      <c r="D1579">
        <v>2018</v>
      </c>
      <c r="E1579" s="2">
        <v>35</v>
      </c>
      <c r="F1579" s="2">
        <v>2100</v>
      </c>
      <c r="G1579" s="2">
        <v>2205</v>
      </c>
    </row>
    <row r="1580" spans="1:7" x14ac:dyDescent="0.3">
      <c r="A1580" t="s">
        <v>941</v>
      </c>
      <c r="B1580" t="s">
        <v>46</v>
      </c>
      <c r="C1580" t="s">
        <v>47</v>
      </c>
      <c r="D1580">
        <v>2016</v>
      </c>
      <c r="E1580" s="2">
        <v>75</v>
      </c>
      <c r="F1580" s="2">
        <v>4500</v>
      </c>
      <c r="G1580" s="2"/>
    </row>
    <row r="1581" spans="1:7" x14ac:dyDescent="0.3">
      <c r="A1581" t="s">
        <v>941</v>
      </c>
      <c r="B1581" t="s">
        <v>46</v>
      </c>
      <c r="C1581" t="s">
        <v>47</v>
      </c>
      <c r="D1581">
        <v>2017</v>
      </c>
      <c r="E1581" s="2">
        <v>150</v>
      </c>
      <c r="F1581" s="2">
        <v>9000</v>
      </c>
      <c r="G1581" s="2"/>
    </row>
    <row r="1582" spans="1:7" x14ac:dyDescent="0.3">
      <c r="A1582" t="s">
        <v>941</v>
      </c>
      <c r="B1582" t="s">
        <v>46</v>
      </c>
      <c r="C1582" t="s">
        <v>47</v>
      </c>
      <c r="D1582">
        <v>2018</v>
      </c>
      <c r="E1582" s="2">
        <v>50</v>
      </c>
      <c r="F1582" s="2">
        <v>3000</v>
      </c>
      <c r="G1582" s="2">
        <v>3150</v>
      </c>
    </row>
    <row r="1583" spans="1:7" x14ac:dyDescent="0.3">
      <c r="A1583" t="s">
        <v>941</v>
      </c>
      <c r="B1583" t="s">
        <v>485</v>
      </c>
      <c r="C1583" t="s">
        <v>486</v>
      </c>
      <c r="D1583">
        <v>2017</v>
      </c>
      <c r="E1583" s="2">
        <v>45</v>
      </c>
      <c r="F1583" s="2">
        <v>2925</v>
      </c>
      <c r="G1583" s="2"/>
    </row>
    <row r="1584" spans="1:7" x14ac:dyDescent="0.3">
      <c r="A1584" t="s">
        <v>941</v>
      </c>
      <c r="B1584" t="s">
        <v>37</v>
      </c>
      <c r="D1584">
        <v>2019</v>
      </c>
      <c r="E1584" s="2">
        <v>20</v>
      </c>
      <c r="F1584" s="2">
        <v>1400</v>
      </c>
      <c r="G1584" s="2">
        <v>1470</v>
      </c>
    </row>
    <row r="1585" spans="1:7" x14ac:dyDescent="0.3">
      <c r="A1585" t="s">
        <v>944</v>
      </c>
      <c r="B1585" t="s">
        <v>945</v>
      </c>
      <c r="C1585" t="s">
        <v>946</v>
      </c>
      <c r="D1585">
        <v>2010</v>
      </c>
      <c r="E1585" s="2">
        <v>1</v>
      </c>
      <c r="F1585" s="2">
        <v>280</v>
      </c>
      <c r="G1585" s="2"/>
    </row>
    <row r="1586" spans="1:7" x14ac:dyDescent="0.3">
      <c r="A1586" t="s">
        <v>944</v>
      </c>
      <c r="B1586" t="s">
        <v>393</v>
      </c>
      <c r="C1586" t="s">
        <v>947</v>
      </c>
      <c r="D1586">
        <v>2010</v>
      </c>
      <c r="E1586" s="2">
        <v>11</v>
      </c>
      <c r="F1586" s="2">
        <v>3080</v>
      </c>
      <c r="G1586" s="2"/>
    </row>
    <row r="1587" spans="1:7" x14ac:dyDescent="0.3">
      <c r="A1587" t="s">
        <v>944</v>
      </c>
      <c r="B1587" t="s">
        <v>948</v>
      </c>
      <c r="C1587" t="s">
        <v>949</v>
      </c>
      <c r="D1587">
        <v>2010</v>
      </c>
      <c r="E1587" s="2">
        <v>2</v>
      </c>
      <c r="F1587" s="2">
        <v>560</v>
      </c>
      <c r="G1587" s="2"/>
    </row>
    <row r="1588" spans="1:7" x14ac:dyDescent="0.3">
      <c r="A1588" t="s">
        <v>944</v>
      </c>
      <c r="B1588" t="s">
        <v>950</v>
      </c>
      <c r="C1588" t="s">
        <v>951</v>
      </c>
      <c r="D1588">
        <v>2010</v>
      </c>
      <c r="E1588" s="2">
        <v>20</v>
      </c>
      <c r="F1588" s="2">
        <v>5250</v>
      </c>
      <c r="G1588" s="2"/>
    </row>
    <row r="1589" spans="1:7" x14ac:dyDescent="0.3">
      <c r="A1589" t="s">
        <v>944</v>
      </c>
      <c r="B1589" t="s">
        <v>952</v>
      </c>
      <c r="C1589" t="s">
        <v>953</v>
      </c>
      <c r="D1589">
        <v>2010</v>
      </c>
      <c r="E1589" s="2">
        <v>1</v>
      </c>
      <c r="F1589" s="2">
        <v>350</v>
      </c>
      <c r="G1589" s="2"/>
    </row>
    <row r="1590" spans="1:7" x14ac:dyDescent="0.3">
      <c r="A1590" t="s">
        <v>944</v>
      </c>
      <c r="B1590" t="s">
        <v>280</v>
      </c>
      <c r="C1590" t="s">
        <v>954</v>
      </c>
      <c r="D1590">
        <v>2010</v>
      </c>
      <c r="E1590" s="2">
        <v>5</v>
      </c>
      <c r="F1590" s="2">
        <v>1400</v>
      </c>
      <c r="G1590" s="2"/>
    </row>
    <row r="1591" spans="1:7" x14ac:dyDescent="0.3">
      <c r="A1591" t="s">
        <v>944</v>
      </c>
      <c r="B1591" t="s">
        <v>955</v>
      </c>
      <c r="C1591" t="s">
        <v>956</v>
      </c>
      <c r="D1591">
        <v>2010</v>
      </c>
      <c r="E1591" s="2">
        <v>5</v>
      </c>
      <c r="F1591" s="2">
        <v>1350</v>
      </c>
      <c r="G1591" s="2"/>
    </row>
    <row r="1592" spans="1:7" x14ac:dyDescent="0.3">
      <c r="A1592" t="s">
        <v>944</v>
      </c>
      <c r="B1592" t="s">
        <v>538</v>
      </c>
      <c r="C1592" t="s">
        <v>539</v>
      </c>
      <c r="D1592">
        <v>2010</v>
      </c>
      <c r="E1592" s="2">
        <v>1</v>
      </c>
      <c r="F1592" s="2">
        <v>280</v>
      </c>
      <c r="G1592" s="2"/>
    </row>
    <row r="1593" spans="1:7" x14ac:dyDescent="0.3">
      <c r="A1593" t="s">
        <v>944</v>
      </c>
      <c r="B1593" t="s">
        <v>957</v>
      </c>
      <c r="C1593" t="s">
        <v>958</v>
      </c>
      <c r="D1593">
        <v>2010</v>
      </c>
      <c r="E1593" s="2">
        <v>1</v>
      </c>
      <c r="F1593" s="2">
        <v>340</v>
      </c>
      <c r="G1593" s="2"/>
    </row>
    <row r="1594" spans="1:7" x14ac:dyDescent="0.3">
      <c r="A1594" t="s">
        <v>944</v>
      </c>
      <c r="B1594" t="s">
        <v>223</v>
      </c>
      <c r="C1594" t="s">
        <v>224</v>
      </c>
      <c r="D1594">
        <v>2010</v>
      </c>
      <c r="E1594" s="2">
        <v>35</v>
      </c>
      <c r="F1594" s="2">
        <v>8050</v>
      </c>
      <c r="G1594" s="2"/>
    </row>
    <row r="1595" spans="1:7" x14ac:dyDescent="0.3">
      <c r="A1595" t="s">
        <v>944</v>
      </c>
      <c r="B1595" t="s">
        <v>223</v>
      </c>
      <c r="C1595" t="s">
        <v>224</v>
      </c>
      <c r="D1595">
        <v>2011</v>
      </c>
      <c r="E1595" s="2">
        <v>25</v>
      </c>
      <c r="F1595" s="2">
        <v>5750</v>
      </c>
      <c r="G1595" s="2"/>
    </row>
    <row r="1596" spans="1:7" x14ac:dyDescent="0.3">
      <c r="A1596" t="s">
        <v>944</v>
      </c>
      <c r="B1596" t="s">
        <v>959</v>
      </c>
      <c r="C1596" t="s">
        <v>960</v>
      </c>
      <c r="D1596">
        <v>2010</v>
      </c>
      <c r="E1596" s="2">
        <v>1</v>
      </c>
      <c r="F1596" s="2">
        <v>150</v>
      </c>
      <c r="G1596" s="2"/>
    </row>
    <row r="1597" spans="1:7" x14ac:dyDescent="0.3">
      <c r="A1597" t="s">
        <v>944</v>
      </c>
      <c r="B1597" t="s">
        <v>99</v>
      </c>
      <c r="C1597" t="s">
        <v>961</v>
      </c>
      <c r="D1597">
        <v>2010</v>
      </c>
      <c r="E1597" s="2">
        <v>5</v>
      </c>
      <c r="F1597" s="2">
        <v>1400</v>
      </c>
      <c r="G1597" s="2"/>
    </row>
    <row r="1598" spans="1:7" x14ac:dyDescent="0.3">
      <c r="A1598" t="s">
        <v>944</v>
      </c>
      <c r="B1598" t="s">
        <v>99</v>
      </c>
      <c r="C1598" t="s">
        <v>100</v>
      </c>
      <c r="D1598">
        <v>2010</v>
      </c>
      <c r="E1598" s="2">
        <v>8</v>
      </c>
      <c r="F1598" s="2">
        <v>2240</v>
      </c>
      <c r="G1598" s="2"/>
    </row>
    <row r="1599" spans="1:7" x14ac:dyDescent="0.3">
      <c r="A1599" t="s">
        <v>944</v>
      </c>
      <c r="B1599" t="s">
        <v>99</v>
      </c>
      <c r="C1599" t="s">
        <v>100</v>
      </c>
      <c r="D1599">
        <v>2011</v>
      </c>
      <c r="E1599" s="2">
        <v>5</v>
      </c>
      <c r="F1599" s="2">
        <v>1400</v>
      </c>
      <c r="G1599" s="2"/>
    </row>
    <row r="1600" spans="1:7" x14ac:dyDescent="0.3">
      <c r="A1600" t="s">
        <v>944</v>
      </c>
      <c r="B1600" t="s">
        <v>962</v>
      </c>
      <c r="C1600" t="s">
        <v>963</v>
      </c>
      <c r="D1600">
        <v>2010</v>
      </c>
      <c r="E1600" s="2">
        <v>1</v>
      </c>
      <c r="F1600" s="2">
        <v>280</v>
      </c>
      <c r="G1600" s="2"/>
    </row>
    <row r="1601" spans="1:7" x14ac:dyDescent="0.3">
      <c r="A1601" t="s">
        <v>944</v>
      </c>
      <c r="B1601" t="s">
        <v>964</v>
      </c>
      <c r="C1601" t="s">
        <v>965</v>
      </c>
      <c r="D1601">
        <v>2010</v>
      </c>
      <c r="E1601" s="2">
        <v>1</v>
      </c>
      <c r="F1601" s="2">
        <v>280</v>
      </c>
      <c r="G1601" s="2"/>
    </row>
    <row r="1602" spans="1:7" x14ac:dyDescent="0.3">
      <c r="A1602" t="s">
        <v>944</v>
      </c>
      <c r="B1602" t="s">
        <v>103</v>
      </c>
      <c r="C1602" t="s">
        <v>104</v>
      </c>
      <c r="D1602">
        <v>2010</v>
      </c>
      <c r="E1602" s="2">
        <v>1</v>
      </c>
      <c r="F1602" s="2">
        <v>280</v>
      </c>
      <c r="G1602" s="2"/>
    </row>
    <row r="1603" spans="1:7" x14ac:dyDescent="0.3">
      <c r="A1603" t="s">
        <v>944</v>
      </c>
      <c r="B1603" t="s">
        <v>966</v>
      </c>
      <c r="C1603" t="s">
        <v>967</v>
      </c>
      <c r="D1603">
        <v>2010</v>
      </c>
      <c r="E1603" s="2">
        <v>1</v>
      </c>
      <c r="F1603" s="2">
        <v>280</v>
      </c>
      <c r="G1603" s="2"/>
    </row>
    <row r="1604" spans="1:7" x14ac:dyDescent="0.3">
      <c r="A1604" t="s">
        <v>944</v>
      </c>
      <c r="B1604" t="s">
        <v>297</v>
      </c>
      <c r="C1604" t="s">
        <v>968</v>
      </c>
      <c r="D1604">
        <v>2010</v>
      </c>
      <c r="E1604" s="2">
        <v>1</v>
      </c>
      <c r="F1604" s="2">
        <v>280</v>
      </c>
      <c r="G1604" s="2"/>
    </row>
    <row r="1605" spans="1:7" x14ac:dyDescent="0.3">
      <c r="A1605" t="s">
        <v>944</v>
      </c>
      <c r="B1605" t="s">
        <v>969</v>
      </c>
      <c r="C1605" t="s">
        <v>970</v>
      </c>
      <c r="D1605">
        <v>2010</v>
      </c>
      <c r="E1605" s="2">
        <v>1</v>
      </c>
      <c r="F1605" s="2">
        <v>280</v>
      </c>
      <c r="G1605" s="2"/>
    </row>
    <row r="1606" spans="1:7" x14ac:dyDescent="0.3">
      <c r="A1606" t="s">
        <v>944</v>
      </c>
      <c r="B1606" t="s">
        <v>691</v>
      </c>
      <c r="C1606" t="s">
        <v>692</v>
      </c>
      <c r="D1606">
        <v>2010</v>
      </c>
      <c r="E1606" s="2">
        <v>1</v>
      </c>
      <c r="F1606" s="2">
        <v>290</v>
      </c>
      <c r="G1606" s="2"/>
    </row>
    <row r="1607" spans="1:7" x14ac:dyDescent="0.3">
      <c r="A1607" t="s">
        <v>944</v>
      </c>
      <c r="B1607" t="s">
        <v>971</v>
      </c>
      <c r="D1607">
        <v>2010</v>
      </c>
      <c r="E1607" s="2">
        <v>25</v>
      </c>
      <c r="F1607" s="2">
        <v>7024.87</v>
      </c>
      <c r="G1607" s="2"/>
    </row>
    <row r="1608" spans="1:7" x14ac:dyDescent="0.3">
      <c r="A1608" t="s">
        <v>944</v>
      </c>
      <c r="B1608" t="s">
        <v>972</v>
      </c>
      <c r="C1608" t="s">
        <v>80</v>
      </c>
      <c r="D1608">
        <v>2010</v>
      </c>
      <c r="E1608" s="2">
        <v>1</v>
      </c>
      <c r="F1608" s="2">
        <v>300</v>
      </c>
      <c r="G1608" s="2"/>
    </row>
    <row r="1609" spans="1:7" x14ac:dyDescent="0.3">
      <c r="A1609" t="s">
        <v>944</v>
      </c>
      <c r="B1609" t="s">
        <v>135</v>
      </c>
      <c r="C1609" t="s">
        <v>136</v>
      </c>
      <c r="D1609">
        <v>2011</v>
      </c>
      <c r="E1609" s="2">
        <v>3</v>
      </c>
      <c r="F1609" s="2">
        <v>840</v>
      </c>
      <c r="G1609" s="2"/>
    </row>
    <row r="1610" spans="1:7" x14ac:dyDescent="0.3">
      <c r="A1610" t="s">
        <v>944</v>
      </c>
      <c r="B1610" t="s">
        <v>973</v>
      </c>
      <c r="C1610" t="s">
        <v>974</v>
      </c>
      <c r="D1610">
        <v>2011</v>
      </c>
      <c r="E1610" s="2">
        <v>5</v>
      </c>
      <c r="F1610" s="2">
        <v>1100</v>
      </c>
      <c r="G1610" s="2"/>
    </row>
    <row r="1611" spans="1:7" x14ac:dyDescent="0.3">
      <c r="A1611" t="s">
        <v>944</v>
      </c>
      <c r="B1611" t="s">
        <v>381</v>
      </c>
      <c r="C1611" t="s">
        <v>382</v>
      </c>
      <c r="D1611">
        <v>2010</v>
      </c>
      <c r="E1611" s="2">
        <v>2</v>
      </c>
      <c r="F1611" s="2">
        <v>640</v>
      </c>
      <c r="G1611" s="2"/>
    </row>
    <row r="1612" spans="1:7" x14ac:dyDescent="0.3">
      <c r="A1612" t="s">
        <v>944</v>
      </c>
      <c r="B1612" t="s">
        <v>975</v>
      </c>
      <c r="C1612" t="s">
        <v>976</v>
      </c>
      <c r="D1612">
        <v>2010</v>
      </c>
      <c r="E1612" s="2">
        <v>1</v>
      </c>
      <c r="F1612" s="2">
        <v>340</v>
      </c>
      <c r="G1612" s="2"/>
    </row>
    <row r="1613" spans="1:7" x14ac:dyDescent="0.3">
      <c r="A1613" t="s">
        <v>944</v>
      </c>
      <c r="B1613" t="s">
        <v>977</v>
      </c>
      <c r="C1613" t="s">
        <v>978</v>
      </c>
      <c r="D1613">
        <v>2010</v>
      </c>
      <c r="E1613" s="2">
        <v>16</v>
      </c>
      <c r="F1613" s="2">
        <v>6160</v>
      </c>
      <c r="G1613" s="2"/>
    </row>
    <row r="1614" spans="1:7" x14ac:dyDescent="0.3">
      <c r="A1614" t="s">
        <v>944</v>
      </c>
      <c r="B1614" t="s">
        <v>979</v>
      </c>
      <c r="C1614" t="s">
        <v>980</v>
      </c>
      <c r="D1614">
        <v>2010</v>
      </c>
      <c r="E1614" s="2">
        <v>1</v>
      </c>
      <c r="F1614" s="2">
        <v>340</v>
      </c>
      <c r="G1614" s="2"/>
    </row>
    <row r="1615" spans="1:7" x14ac:dyDescent="0.3">
      <c r="A1615" t="s">
        <v>944</v>
      </c>
      <c r="B1615" t="s">
        <v>386</v>
      </c>
      <c r="C1615" t="s">
        <v>387</v>
      </c>
      <c r="D1615">
        <v>2010</v>
      </c>
      <c r="E1615" s="2">
        <v>1</v>
      </c>
      <c r="F1615" s="2">
        <v>340</v>
      </c>
      <c r="G1615" s="2"/>
    </row>
    <row r="1616" spans="1:7" x14ac:dyDescent="0.3">
      <c r="A1616" t="s">
        <v>944</v>
      </c>
      <c r="B1616" t="s">
        <v>386</v>
      </c>
      <c r="C1616" t="s">
        <v>387</v>
      </c>
      <c r="D1616">
        <v>2011</v>
      </c>
      <c r="E1616" s="2">
        <v>10</v>
      </c>
      <c r="F1616" s="2">
        <v>3400</v>
      </c>
      <c r="G1616" s="2"/>
    </row>
    <row r="1617" spans="1:7" x14ac:dyDescent="0.3">
      <c r="A1617" t="s">
        <v>944</v>
      </c>
      <c r="B1617" t="s">
        <v>981</v>
      </c>
      <c r="C1617" t="s">
        <v>982</v>
      </c>
      <c r="D1617">
        <v>2010</v>
      </c>
      <c r="E1617" s="2">
        <v>1</v>
      </c>
      <c r="F1617" s="2">
        <v>280</v>
      </c>
      <c r="G1617" s="2"/>
    </row>
    <row r="1618" spans="1:7" x14ac:dyDescent="0.3">
      <c r="A1618" t="s">
        <v>944</v>
      </c>
      <c r="B1618" t="s">
        <v>983</v>
      </c>
      <c r="C1618" t="s">
        <v>984</v>
      </c>
      <c r="D1618">
        <v>2010</v>
      </c>
      <c r="E1618" s="2">
        <v>1</v>
      </c>
      <c r="F1618" s="2">
        <v>340</v>
      </c>
      <c r="G1618" s="2"/>
    </row>
    <row r="1619" spans="1:7" x14ac:dyDescent="0.3">
      <c r="A1619" t="s">
        <v>944</v>
      </c>
      <c r="B1619" t="s">
        <v>325</v>
      </c>
      <c r="C1619" t="s">
        <v>326</v>
      </c>
      <c r="D1619">
        <v>2011</v>
      </c>
      <c r="E1619" s="2">
        <v>5</v>
      </c>
      <c r="F1619" s="2">
        <v>1425</v>
      </c>
      <c r="G1619" s="2"/>
    </row>
    <row r="1620" spans="1:7" x14ac:dyDescent="0.3">
      <c r="A1620" t="s">
        <v>944</v>
      </c>
      <c r="B1620" t="s">
        <v>985</v>
      </c>
      <c r="C1620" t="s">
        <v>986</v>
      </c>
      <c r="D1620">
        <v>2010</v>
      </c>
      <c r="E1620" s="2">
        <v>1</v>
      </c>
      <c r="F1620" s="2">
        <v>340</v>
      </c>
      <c r="G1620" s="2"/>
    </row>
    <row r="1621" spans="1:7" x14ac:dyDescent="0.3">
      <c r="A1621" t="s">
        <v>987</v>
      </c>
      <c r="B1621" t="s">
        <v>988</v>
      </c>
      <c r="C1621" t="s">
        <v>989</v>
      </c>
      <c r="D1621">
        <v>2010</v>
      </c>
      <c r="E1621" s="2">
        <v>210</v>
      </c>
      <c r="F1621" s="2">
        <v>21407.4</v>
      </c>
      <c r="G1621" s="2"/>
    </row>
    <row r="1622" spans="1:7" x14ac:dyDescent="0.3">
      <c r="A1622" t="s">
        <v>987</v>
      </c>
      <c r="B1622" t="s">
        <v>990</v>
      </c>
      <c r="C1622" t="s">
        <v>991</v>
      </c>
      <c r="D1622">
        <v>2011</v>
      </c>
      <c r="E1622" s="2">
        <v>5</v>
      </c>
      <c r="F1622" s="2">
        <v>1250</v>
      </c>
      <c r="G1622" s="2"/>
    </row>
    <row r="1623" spans="1:7" x14ac:dyDescent="0.3">
      <c r="A1623" t="s">
        <v>987</v>
      </c>
      <c r="B1623" t="s">
        <v>992</v>
      </c>
      <c r="C1623" t="s">
        <v>212</v>
      </c>
      <c r="D1623">
        <v>2010</v>
      </c>
      <c r="E1623" s="2">
        <v>5</v>
      </c>
      <c r="F1623" s="2">
        <v>800</v>
      </c>
      <c r="G1623" s="2"/>
    </row>
    <row r="1624" spans="1:7" x14ac:dyDescent="0.3">
      <c r="A1624" t="s">
        <v>987</v>
      </c>
      <c r="B1624" t="s">
        <v>992</v>
      </c>
      <c r="C1624" t="s">
        <v>212</v>
      </c>
      <c r="D1624">
        <v>2011</v>
      </c>
      <c r="E1624" s="2">
        <v>5</v>
      </c>
      <c r="F1624" s="2">
        <v>800</v>
      </c>
      <c r="G1624" s="2"/>
    </row>
    <row r="1625" spans="1:7" x14ac:dyDescent="0.3">
      <c r="A1625" t="s">
        <v>993</v>
      </c>
      <c r="B1625" t="s">
        <v>624</v>
      </c>
      <c r="C1625" t="s">
        <v>625</v>
      </c>
      <c r="D1625">
        <v>2018</v>
      </c>
      <c r="E1625" s="2">
        <v>5</v>
      </c>
      <c r="F1625" s="2">
        <v>450</v>
      </c>
      <c r="G1625" s="2">
        <v>472.5</v>
      </c>
    </row>
    <row r="1626" spans="1:7" x14ac:dyDescent="0.3">
      <c r="A1626" t="s">
        <v>993</v>
      </c>
      <c r="B1626" t="s">
        <v>174</v>
      </c>
      <c r="C1626" t="s">
        <v>175</v>
      </c>
      <c r="D1626">
        <v>2017</v>
      </c>
      <c r="E1626" s="2">
        <v>5</v>
      </c>
      <c r="F1626" s="2">
        <v>375</v>
      </c>
      <c r="G1626" s="2"/>
    </row>
    <row r="1627" spans="1:7" x14ac:dyDescent="0.3">
      <c r="A1627" t="s">
        <v>993</v>
      </c>
      <c r="B1627" t="s">
        <v>174</v>
      </c>
      <c r="C1627" t="s">
        <v>175</v>
      </c>
      <c r="D1627">
        <v>2018</v>
      </c>
      <c r="E1627" s="2">
        <v>15</v>
      </c>
      <c r="F1627" s="2">
        <v>1125</v>
      </c>
      <c r="G1627" s="2">
        <v>1181.25</v>
      </c>
    </row>
    <row r="1628" spans="1:7" x14ac:dyDescent="0.3">
      <c r="A1628" t="s">
        <v>993</v>
      </c>
      <c r="B1628" t="s">
        <v>174</v>
      </c>
      <c r="C1628" t="s">
        <v>175</v>
      </c>
      <c r="D1628">
        <v>2019</v>
      </c>
      <c r="E1628" s="2">
        <v>5</v>
      </c>
      <c r="F1628" s="2">
        <v>375</v>
      </c>
      <c r="G1628" s="2">
        <v>393.75</v>
      </c>
    </row>
    <row r="1629" spans="1:7" x14ac:dyDescent="0.3">
      <c r="A1629" t="s">
        <v>993</v>
      </c>
      <c r="B1629" t="s">
        <v>532</v>
      </c>
      <c r="C1629" t="s">
        <v>452</v>
      </c>
      <c r="D1629">
        <v>2020</v>
      </c>
      <c r="E1629" s="2">
        <v>10</v>
      </c>
      <c r="F1629" s="2">
        <v>750</v>
      </c>
      <c r="G1629" s="2">
        <v>787.5</v>
      </c>
    </row>
    <row r="1630" spans="1:7" x14ac:dyDescent="0.3">
      <c r="A1630" t="s">
        <v>993</v>
      </c>
      <c r="B1630" t="s">
        <v>714</v>
      </c>
      <c r="C1630" t="s">
        <v>715</v>
      </c>
      <c r="D1630">
        <v>2018</v>
      </c>
      <c r="E1630" s="2">
        <v>10</v>
      </c>
      <c r="F1630" s="2">
        <v>850</v>
      </c>
      <c r="G1630" s="2">
        <v>892.5</v>
      </c>
    </row>
    <row r="1631" spans="1:7" x14ac:dyDescent="0.3">
      <c r="A1631" t="s">
        <v>993</v>
      </c>
      <c r="B1631" t="s">
        <v>716</v>
      </c>
      <c r="C1631" t="s">
        <v>717</v>
      </c>
      <c r="D1631">
        <v>2018</v>
      </c>
      <c r="E1631" s="2">
        <v>5</v>
      </c>
      <c r="F1631" s="2">
        <v>425</v>
      </c>
      <c r="G1631" s="2">
        <v>446.25</v>
      </c>
    </row>
    <row r="1632" spans="1:7" x14ac:dyDescent="0.3">
      <c r="A1632" t="s">
        <v>993</v>
      </c>
      <c r="B1632" t="s">
        <v>553</v>
      </c>
      <c r="C1632" t="s">
        <v>292</v>
      </c>
      <c r="D1632">
        <v>2017</v>
      </c>
      <c r="E1632" s="2">
        <v>2</v>
      </c>
      <c r="F1632" s="2">
        <v>300</v>
      </c>
      <c r="G1632" s="2"/>
    </row>
    <row r="1633" spans="1:7" x14ac:dyDescent="0.3">
      <c r="A1633" t="s">
        <v>993</v>
      </c>
      <c r="B1633" t="s">
        <v>635</v>
      </c>
      <c r="C1633" t="s">
        <v>636</v>
      </c>
      <c r="D1633">
        <v>2017</v>
      </c>
      <c r="E1633" s="2">
        <v>5</v>
      </c>
      <c r="F1633" s="2">
        <v>425</v>
      </c>
      <c r="G1633" s="2"/>
    </row>
    <row r="1634" spans="1:7" x14ac:dyDescent="0.3">
      <c r="A1634" t="s">
        <v>993</v>
      </c>
      <c r="B1634" t="s">
        <v>635</v>
      </c>
      <c r="C1634" t="s">
        <v>636</v>
      </c>
      <c r="D1634">
        <v>2018</v>
      </c>
      <c r="E1634" s="2">
        <v>15</v>
      </c>
      <c r="F1634" s="2">
        <v>975</v>
      </c>
      <c r="G1634" s="2">
        <v>1023.75</v>
      </c>
    </row>
    <row r="1635" spans="1:7" x14ac:dyDescent="0.3">
      <c r="A1635" t="s">
        <v>993</v>
      </c>
      <c r="B1635" t="s">
        <v>635</v>
      </c>
      <c r="C1635" t="s">
        <v>636</v>
      </c>
      <c r="D1635">
        <v>2019</v>
      </c>
      <c r="E1635" s="2">
        <v>5</v>
      </c>
      <c r="F1635" s="2">
        <v>425</v>
      </c>
      <c r="G1635" s="2">
        <v>446.25</v>
      </c>
    </row>
    <row r="1636" spans="1:7" x14ac:dyDescent="0.3">
      <c r="A1636" t="s">
        <v>993</v>
      </c>
      <c r="B1636" t="s">
        <v>635</v>
      </c>
      <c r="C1636" t="s">
        <v>636</v>
      </c>
      <c r="D1636">
        <v>2020</v>
      </c>
      <c r="E1636" s="2">
        <v>5</v>
      </c>
      <c r="F1636" s="2">
        <v>680</v>
      </c>
      <c r="G1636" s="2">
        <v>714</v>
      </c>
    </row>
    <row r="1637" spans="1:7" x14ac:dyDescent="0.3">
      <c r="A1637" t="s">
        <v>993</v>
      </c>
      <c r="B1637" t="s">
        <v>602</v>
      </c>
      <c r="C1637" t="s">
        <v>603</v>
      </c>
      <c r="D1637">
        <v>2017</v>
      </c>
      <c r="E1637" s="2">
        <v>5</v>
      </c>
      <c r="F1637" s="2">
        <v>375</v>
      </c>
      <c r="G1637" s="2"/>
    </row>
    <row r="1638" spans="1:7" x14ac:dyDescent="0.3">
      <c r="A1638" t="s">
        <v>993</v>
      </c>
      <c r="B1638" t="s">
        <v>994</v>
      </c>
      <c r="C1638" t="s">
        <v>527</v>
      </c>
      <c r="D1638">
        <v>2018</v>
      </c>
      <c r="E1638" s="2">
        <v>5</v>
      </c>
      <c r="F1638" s="2">
        <v>500</v>
      </c>
      <c r="G1638" s="2">
        <v>525</v>
      </c>
    </row>
    <row r="1639" spans="1:7" x14ac:dyDescent="0.3">
      <c r="A1639" t="s">
        <v>993</v>
      </c>
      <c r="B1639" t="s">
        <v>396</v>
      </c>
      <c r="C1639" t="s">
        <v>397</v>
      </c>
      <c r="D1639">
        <v>2018</v>
      </c>
      <c r="E1639" s="2">
        <v>25</v>
      </c>
      <c r="F1639" s="2">
        <v>1875</v>
      </c>
      <c r="G1639" s="2">
        <v>1968.75</v>
      </c>
    </row>
    <row r="1640" spans="1:7" x14ac:dyDescent="0.3">
      <c r="A1640" t="s">
        <v>993</v>
      </c>
      <c r="B1640" t="s">
        <v>639</v>
      </c>
      <c r="C1640" t="s">
        <v>640</v>
      </c>
      <c r="D1640">
        <v>2018</v>
      </c>
      <c r="E1640" s="2">
        <v>10</v>
      </c>
      <c r="F1640" s="2">
        <v>725</v>
      </c>
      <c r="G1640" s="2">
        <v>761.25</v>
      </c>
    </row>
    <row r="1641" spans="1:7" x14ac:dyDescent="0.3">
      <c r="A1641" t="s">
        <v>993</v>
      </c>
      <c r="B1641" t="s">
        <v>643</v>
      </c>
      <c r="C1641" t="s">
        <v>644</v>
      </c>
      <c r="D1641">
        <v>2017</v>
      </c>
      <c r="E1641" s="2">
        <v>15</v>
      </c>
      <c r="F1641" s="2">
        <v>1275</v>
      </c>
      <c r="G1641" s="2"/>
    </row>
    <row r="1642" spans="1:7" x14ac:dyDescent="0.3">
      <c r="A1642" t="s">
        <v>993</v>
      </c>
      <c r="B1642" t="s">
        <v>643</v>
      </c>
      <c r="C1642" t="s">
        <v>644</v>
      </c>
      <c r="D1642">
        <v>2018</v>
      </c>
      <c r="E1642" s="2">
        <v>10</v>
      </c>
      <c r="F1642" s="2">
        <v>850</v>
      </c>
      <c r="G1642" s="2">
        <v>892.5</v>
      </c>
    </row>
    <row r="1643" spans="1:7" x14ac:dyDescent="0.3">
      <c r="A1643" t="s">
        <v>993</v>
      </c>
      <c r="B1643" t="s">
        <v>643</v>
      </c>
      <c r="C1643" t="s">
        <v>644</v>
      </c>
      <c r="D1643">
        <v>2019</v>
      </c>
      <c r="E1643" s="2">
        <v>10</v>
      </c>
      <c r="F1643" s="2">
        <v>850</v>
      </c>
      <c r="G1643" s="2">
        <v>892.5</v>
      </c>
    </row>
    <row r="1644" spans="1:7" x14ac:dyDescent="0.3">
      <c r="A1644" t="s">
        <v>993</v>
      </c>
      <c r="B1644" t="s">
        <v>184</v>
      </c>
      <c r="C1644" t="s">
        <v>185</v>
      </c>
      <c r="D1644">
        <v>2017</v>
      </c>
      <c r="E1644" s="2">
        <v>25</v>
      </c>
      <c r="F1644" s="2">
        <v>1500</v>
      </c>
      <c r="G1644" s="2"/>
    </row>
    <row r="1645" spans="1:7" x14ac:dyDescent="0.3">
      <c r="A1645" t="s">
        <v>993</v>
      </c>
      <c r="B1645" t="s">
        <v>649</v>
      </c>
      <c r="C1645" t="s">
        <v>650</v>
      </c>
      <c r="D1645">
        <v>2017</v>
      </c>
      <c r="E1645" s="2">
        <v>5</v>
      </c>
      <c r="F1645" s="2">
        <v>425</v>
      </c>
      <c r="G1645" s="2"/>
    </row>
    <row r="1646" spans="1:7" x14ac:dyDescent="0.3">
      <c r="A1646" t="s">
        <v>993</v>
      </c>
      <c r="B1646" t="s">
        <v>649</v>
      </c>
      <c r="C1646" t="s">
        <v>650</v>
      </c>
      <c r="D1646">
        <v>2018</v>
      </c>
      <c r="E1646" s="2">
        <v>1</v>
      </c>
      <c r="F1646" s="2">
        <v>50</v>
      </c>
      <c r="G1646" s="2">
        <v>52.5</v>
      </c>
    </row>
    <row r="1647" spans="1:7" x14ac:dyDescent="0.3">
      <c r="A1647" t="s">
        <v>993</v>
      </c>
      <c r="B1647" t="s">
        <v>543</v>
      </c>
      <c r="C1647" t="s">
        <v>544</v>
      </c>
      <c r="D1647">
        <v>2017</v>
      </c>
      <c r="E1647" s="2">
        <v>5</v>
      </c>
      <c r="F1647" s="2">
        <v>400</v>
      </c>
      <c r="G1647" s="2"/>
    </row>
    <row r="1648" spans="1:7" x14ac:dyDescent="0.3">
      <c r="A1648" t="s">
        <v>993</v>
      </c>
      <c r="B1648" t="s">
        <v>21</v>
      </c>
      <c r="C1648" t="s">
        <v>22</v>
      </c>
      <c r="D1648">
        <v>2019</v>
      </c>
      <c r="E1648" s="2">
        <v>5</v>
      </c>
      <c r="F1648" s="2">
        <v>390</v>
      </c>
      <c r="G1648" s="2">
        <v>409.5</v>
      </c>
    </row>
    <row r="1649" spans="1:7" x14ac:dyDescent="0.3">
      <c r="A1649" t="s">
        <v>993</v>
      </c>
      <c r="B1649" t="s">
        <v>21</v>
      </c>
      <c r="C1649" t="s">
        <v>22</v>
      </c>
      <c r="D1649">
        <v>2020</v>
      </c>
      <c r="E1649" s="2">
        <v>10</v>
      </c>
      <c r="F1649" s="2">
        <v>650</v>
      </c>
      <c r="G1649" s="2">
        <v>682.5</v>
      </c>
    </row>
    <row r="1650" spans="1:7" x14ac:dyDescent="0.3">
      <c r="A1650" t="s">
        <v>993</v>
      </c>
      <c r="B1650" t="s">
        <v>995</v>
      </c>
      <c r="C1650" t="s">
        <v>672</v>
      </c>
      <c r="D1650">
        <v>2017</v>
      </c>
      <c r="E1650" s="2">
        <v>5</v>
      </c>
      <c r="F1650" s="2">
        <v>400</v>
      </c>
      <c r="G1650" s="2"/>
    </row>
    <row r="1651" spans="1:7" x14ac:dyDescent="0.3">
      <c r="A1651" t="s">
        <v>993</v>
      </c>
      <c r="B1651" t="s">
        <v>995</v>
      </c>
      <c r="C1651" t="s">
        <v>672</v>
      </c>
      <c r="D1651">
        <v>2018</v>
      </c>
      <c r="E1651" s="2">
        <v>10</v>
      </c>
      <c r="F1651" s="2">
        <v>800</v>
      </c>
      <c r="G1651" s="2">
        <v>840</v>
      </c>
    </row>
    <row r="1652" spans="1:7" x14ac:dyDescent="0.3">
      <c r="A1652" t="s">
        <v>993</v>
      </c>
      <c r="B1652" t="s">
        <v>995</v>
      </c>
      <c r="C1652" t="s">
        <v>672</v>
      </c>
      <c r="D1652">
        <v>2019</v>
      </c>
      <c r="E1652" s="2">
        <v>10</v>
      </c>
      <c r="F1652" s="2">
        <v>800</v>
      </c>
      <c r="G1652" s="2">
        <v>840</v>
      </c>
    </row>
    <row r="1653" spans="1:7" x14ac:dyDescent="0.3">
      <c r="A1653" t="s">
        <v>993</v>
      </c>
      <c r="B1653" t="s">
        <v>187</v>
      </c>
      <c r="C1653" t="s">
        <v>188</v>
      </c>
      <c r="D1653">
        <v>2017</v>
      </c>
      <c r="E1653" s="2">
        <v>10</v>
      </c>
      <c r="F1653" s="2">
        <v>800</v>
      </c>
      <c r="G1653" s="2"/>
    </row>
    <row r="1654" spans="1:7" x14ac:dyDescent="0.3">
      <c r="A1654" t="s">
        <v>993</v>
      </c>
      <c r="B1654" t="s">
        <v>187</v>
      </c>
      <c r="C1654" t="s">
        <v>188</v>
      </c>
      <c r="D1654">
        <v>2018</v>
      </c>
      <c r="E1654" s="2">
        <v>5</v>
      </c>
      <c r="F1654" s="2">
        <v>400</v>
      </c>
      <c r="G1654" s="2">
        <v>420</v>
      </c>
    </row>
    <row r="1655" spans="1:7" x14ac:dyDescent="0.3">
      <c r="A1655" t="s">
        <v>993</v>
      </c>
      <c r="B1655" t="s">
        <v>187</v>
      </c>
      <c r="C1655" t="s">
        <v>188</v>
      </c>
      <c r="D1655">
        <v>2019</v>
      </c>
      <c r="E1655" s="2">
        <v>5</v>
      </c>
      <c r="F1655" s="2">
        <v>400</v>
      </c>
      <c r="G1655" s="2">
        <v>420</v>
      </c>
    </row>
    <row r="1656" spans="1:7" x14ac:dyDescent="0.3">
      <c r="A1656" t="s">
        <v>993</v>
      </c>
      <c r="B1656" t="s">
        <v>573</v>
      </c>
      <c r="C1656" t="s">
        <v>574</v>
      </c>
      <c r="D1656">
        <v>2018</v>
      </c>
      <c r="E1656" s="2">
        <v>10</v>
      </c>
      <c r="F1656" s="2">
        <v>930</v>
      </c>
      <c r="G1656" s="2">
        <v>976.5</v>
      </c>
    </row>
    <row r="1657" spans="1:7" x14ac:dyDescent="0.3">
      <c r="A1657" t="s">
        <v>993</v>
      </c>
      <c r="B1657" t="s">
        <v>573</v>
      </c>
      <c r="C1657" t="s">
        <v>574</v>
      </c>
      <c r="D1657">
        <v>2019</v>
      </c>
      <c r="E1657" s="2">
        <v>5</v>
      </c>
      <c r="F1657" s="2">
        <v>465</v>
      </c>
      <c r="G1657" s="2">
        <v>488.25</v>
      </c>
    </row>
    <row r="1658" spans="1:7" x14ac:dyDescent="0.3">
      <c r="A1658" t="s">
        <v>993</v>
      </c>
      <c r="B1658" t="s">
        <v>68</v>
      </c>
      <c r="C1658" t="s">
        <v>69</v>
      </c>
      <c r="D1658">
        <v>2017</v>
      </c>
      <c r="E1658" s="2">
        <v>5</v>
      </c>
      <c r="F1658" s="2">
        <v>390</v>
      </c>
      <c r="G1658" s="2"/>
    </row>
    <row r="1659" spans="1:7" x14ac:dyDescent="0.3">
      <c r="A1659" t="s">
        <v>993</v>
      </c>
      <c r="B1659" t="s">
        <v>68</v>
      </c>
      <c r="C1659" t="s">
        <v>69</v>
      </c>
      <c r="D1659">
        <v>2018</v>
      </c>
      <c r="E1659" s="2">
        <v>5</v>
      </c>
      <c r="F1659" s="2">
        <v>390</v>
      </c>
      <c r="G1659" s="2">
        <v>409.5</v>
      </c>
    </row>
    <row r="1660" spans="1:7" x14ac:dyDescent="0.3">
      <c r="A1660" t="s">
        <v>993</v>
      </c>
      <c r="B1660" t="s">
        <v>575</v>
      </c>
      <c r="C1660" t="s">
        <v>673</v>
      </c>
      <c r="D1660">
        <v>2017</v>
      </c>
      <c r="E1660" s="2">
        <v>5</v>
      </c>
      <c r="F1660" s="2">
        <v>390</v>
      </c>
      <c r="G1660" s="2"/>
    </row>
    <row r="1661" spans="1:7" x14ac:dyDescent="0.3">
      <c r="A1661" t="s">
        <v>993</v>
      </c>
      <c r="B1661" t="s">
        <v>575</v>
      </c>
      <c r="C1661" t="s">
        <v>673</v>
      </c>
      <c r="D1661">
        <v>2018</v>
      </c>
      <c r="E1661" s="2">
        <v>15</v>
      </c>
      <c r="F1661" s="2">
        <v>1170</v>
      </c>
      <c r="G1661" s="2">
        <v>1228.5</v>
      </c>
    </row>
    <row r="1662" spans="1:7" x14ac:dyDescent="0.3">
      <c r="A1662" t="s">
        <v>993</v>
      </c>
      <c r="B1662" t="s">
        <v>518</v>
      </c>
      <c r="C1662" t="s">
        <v>519</v>
      </c>
      <c r="D1662">
        <v>2018</v>
      </c>
      <c r="E1662" s="2">
        <v>5</v>
      </c>
      <c r="F1662" s="2">
        <v>390</v>
      </c>
      <c r="G1662" s="2">
        <v>409.5</v>
      </c>
    </row>
    <row r="1663" spans="1:7" x14ac:dyDescent="0.3">
      <c r="A1663" t="s">
        <v>993</v>
      </c>
      <c r="B1663" t="s">
        <v>518</v>
      </c>
      <c r="C1663" t="s">
        <v>519</v>
      </c>
      <c r="D1663">
        <v>2019</v>
      </c>
      <c r="E1663" s="2">
        <v>5</v>
      </c>
      <c r="F1663" s="2">
        <v>390</v>
      </c>
      <c r="G1663" s="2">
        <v>409.5</v>
      </c>
    </row>
    <row r="1664" spans="1:7" x14ac:dyDescent="0.3">
      <c r="A1664" t="s">
        <v>993</v>
      </c>
      <c r="B1664" t="s">
        <v>314</v>
      </c>
      <c r="C1664" t="s">
        <v>315</v>
      </c>
      <c r="D1664">
        <v>2017</v>
      </c>
      <c r="E1664" s="2">
        <v>5</v>
      </c>
      <c r="F1664" s="2">
        <v>350</v>
      </c>
      <c r="G1664" s="2"/>
    </row>
    <row r="1665" spans="1:7" x14ac:dyDescent="0.3">
      <c r="A1665" t="s">
        <v>993</v>
      </c>
      <c r="B1665" t="s">
        <v>314</v>
      </c>
      <c r="C1665" t="s">
        <v>315</v>
      </c>
      <c r="D1665">
        <v>2018</v>
      </c>
      <c r="E1665" s="2">
        <v>20</v>
      </c>
      <c r="F1665" s="2">
        <v>1400</v>
      </c>
      <c r="G1665" s="2">
        <v>1470</v>
      </c>
    </row>
    <row r="1666" spans="1:7" x14ac:dyDescent="0.3">
      <c r="A1666" t="s">
        <v>993</v>
      </c>
      <c r="B1666" t="s">
        <v>46</v>
      </c>
      <c r="C1666" t="s">
        <v>47</v>
      </c>
      <c r="D1666">
        <v>2017</v>
      </c>
      <c r="E1666" s="2">
        <v>5</v>
      </c>
      <c r="F1666" s="2">
        <v>325</v>
      </c>
      <c r="G1666" s="2"/>
    </row>
    <row r="1667" spans="1:7" x14ac:dyDescent="0.3">
      <c r="A1667" t="s">
        <v>993</v>
      </c>
      <c r="B1667" t="s">
        <v>46</v>
      </c>
      <c r="C1667" t="s">
        <v>47</v>
      </c>
      <c r="D1667">
        <v>2018</v>
      </c>
      <c r="E1667" s="2">
        <v>10</v>
      </c>
      <c r="F1667" s="2">
        <v>650</v>
      </c>
      <c r="G1667" s="2">
        <v>682.5</v>
      </c>
    </row>
    <row r="1668" spans="1:7" x14ac:dyDescent="0.3">
      <c r="A1668" t="s">
        <v>993</v>
      </c>
      <c r="B1668" t="s">
        <v>483</v>
      </c>
      <c r="C1668" t="s">
        <v>484</v>
      </c>
      <c r="D1668">
        <v>2020</v>
      </c>
      <c r="E1668" s="2">
        <v>10</v>
      </c>
      <c r="F1668" s="2">
        <v>650</v>
      </c>
      <c r="G1668" s="2">
        <v>682.5</v>
      </c>
    </row>
    <row r="1669" spans="1:7" x14ac:dyDescent="0.3">
      <c r="A1669" t="s">
        <v>993</v>
      </c>
      <c r="B1669" t="s">
        <v>754</v>
      </c>
      <c r="C1669" t="s">
        <v>755</v>
      </c>
      <c r="D1669">
        <v>2018</v>
      </c>
      <c r="E1669" s="2">
        <v>20</v>
      </c>
      <c r="F1669" s="2">
        <v>1400</v>
      </c>
      <c r="G1669" s="2">
        <v>1470</v>
      </c>
    </row>
    <row r="1670" spans="1:7" x14ac:dyDescent="0.3">
      <c r="A1670" t="s">
        <v>993</v>
      </c>
      <c r="B1670" t="s">
        <v>754</v>
      </c>
      <c r="C1670" t="s">
        <v>755</v>
      </c>
      <c r="D1670">
        <v>2019</v>
      </c>
      <c r="E1670" s="2">
        <v>5</v>
      </c>
      <c r="F1670" s="2">
        <v>400</v>
      </c>
      <c r="G1670" s="2">
        <v>420</v>
      </c>
    </row>
    <row r="1671" spans="1:7" x14ac:dyDescent="0.3">
      <c r="A1671" t="s">
        <v>993</v>
      </c>
      <c r="B1671" t="s">
        <v>203</v>
      </c>
      <c r="C1671" t="s">
        <v>204</v>
      </c>
      <c r="D1671">
        <v>2018</v>
      </c>
      <c r="E1671" s="2">
        <v>5</v>
      </c>
      <c r="F1671" s="2">
        <v>425</v>
      </c>
      <c r="G1671" s="2">
        <v>446.25</v>
      </c>
    </row>
    <row r="1672" spans="1:7" x14ac:dyDescent="0.3">
      <c r="A1672" t="s">
        <v>993</v>
      </c>
      <c r="B1672" t="s">
        <v>203</v>
      </c>
      <c r="C1672" t="s">
        <v>204</v>
      </c>
      <c r="D1672">
        <v>2019</v>
      </c>
      <c r="E1672" s="2">
        <v>5</v>
      </c>
      <c r="F1672" s="2">
        <v>425</v>
      </c>
      <c r="G1672" s="2">
        <v>446.25</v>
      </c>
    </row>
    <row r="1673" spans="1:7" x14ac:dyDescent="0.3">
      <c r="A1673" t="s">
        <v>993</v>
      </c>
      <c r="B1673" t="s">
        <v>12</v>
      </c>
      <c r="C1673" t="s">
        <v>13</v>
      </c>
      <c r="D1673">
        <v>2017</v>
      </c>
      <c r="E1673" s="2">
        <v>5</v>
      </c>
      <c r="F1673" s="2">
        <v>390</v>
      </c>
      <c r="G1673" s="2"/>
    </row>
    <row r="1674" spans="1:7" x14ac:dyDescent="0.3">
      <c r="A1674" t="s">
        <v>993</v>
      </c>
      <c r="B1674" t="s">
        <v>12</v>
      </c>
      <c r="C1674" t="s">
        <v>13</v>
      </c>
      <c r="D1674">
        <v>2018</v>
      </c>
      <c r="E1674" s="2">
        <v>30</v>
      </c>
      <c r="F1674" s="2">
        <v>2340</v>
      </c>
      <c r="G1674" s="2">
        <v>2457</v>
      </c>
    </row>
    <row r="1675" spans="1:7" x14ac:dyDescent="0.3">
      <c r="A1675" t="s">
        <v>993</v>
      </c>
      <c r="B1675" t="s">
        <v>12</v>
      </c>
      <c r="C1675" t="s">
        <v>13</v>
      </c>
      <c r="D1675">
        <v>2019</v>
      </c>
      <c r="E1675" s="2">
        <v>5</v>
      </c>
      <c r="F1675" s="2">
        <v>350</v>
      </c>
      <c r="G1675" s="2">
        <v>367.5</v>
      </c>
    </row>
    <row r="1676" spans="1:7" x14ac:dyDescent="0.3">
      <c r="A1676" t="s">
        <v>996</v>
      </c>
      <c r="B1676" t="s">
        <v>997</v>
      </c>
      <c r="C1676" t="s">
        <v>998</v>
      </c>
      <c r="D1676">
        <v>2014</v>
      </c>
      <c r="E1676" s="2">
        <v>25</v>
      </c>
      <c r="F1676" s="2">
        <v>3000</v>
      </c>
      <c r="G1676" s="2"/>
    </row>
    <row r="1677" spans="1:7" x14ac:dyDescent="0.3">
      <c r="A1677" t="s">
        <v>999</v>
      </c>
      <c r="B1677" t="s">
        <v>600</v>
      </c>
      <c r="C1677" t="s">
        <v>75</v>
      </c>
      <c r="D1677">
        <v>2020</v>
      </c>
      <c r="E1677" s="2">
        <v>5</v>
      </c>
      <c r="F1677" s="2">
        <v>700</v>
      </c>
      <c r="G1677" s="2">
        <v>735</v>
      </c>
    </row>
    <row r="1678" spans="1:7" x14ac:dyDescent="0.3">
      <c r="A1678" t="s">
        <v>1000</v>
      </c>
      <c r="B1678" t="s">
        <v>51</v>
      </c>
      <c r="C1678" t="s">
        <v>52</v>
      </c>
      <c r="D1678">
        <v>2019</v>
      </c>
      <c r="E1678" s="2">
        <v>1</v>
      </c>
      <c r="F1678" s="2">
        <v>160</v>
      </c>
      <c r="G1678" s="2">
        <v>168</v>
      </c>
    </row>
    <row r="1679" spans="1:7" x14ac:dyDescent="0.3">
      <c r="A1679" t="s">
        <v>1000</v>
      </c>
      <c r="B1679" t="s">
        <v>1001</v>
      </c>
      <c r="C1679" t="s">
        <v>789</v>
      </c>
      <c r="D1679">
        <v>2019</v>
      </c>
      <c r="E1679" s="2">
        <v>36</v>
      </c>
      <c r="F1679" s="2">
        <v>6065</v>
      </c>
      <c r="G1679" s="2">
        <v>6368.25</v>
      </c>
    </row>
    <row r="1680" spans="1:7" x14ac:dyDescent="0.3">
      <c r="A1680" t="s">
        <v>1000</v>
      </c>
      <c r="B1680" t="s">
        <v>631</v>
      </c>
      <c r="C1680" t="s">
        <v>632</v>
      </c>
      <c r="D1680">
        <v>2019</v>
      </c>
      <c r="E1680" s="2">
        <v>1</v>
      </c>
      <c r="F1680" s="2">
        <v>85</v>
      </c>
      <c r="G1680" s="2">
        <v>89.25</v>
      </c>
    </row>
    <row r="1681" spans="1:8" x14ac:dyDescent="0.3">
      <c r="A1681" t="s">
        <v>1000</v>
      </c>
      <c r="B1681" t="s">
        <v>649</v>
      </c>
      <c r="C1681" t="s">
        <v>650</v>
      </c>
      <c r="D1681">
        <v>2019</v>
      </c>
      <c r="E1681" s="2">
        <v>11</v>
      </c>
      <c r="F1681" s="2">
        <v>1045</v>
      </c>
      <c r="G1681" s="2">
        <v>1097.25</v>
      </c>
    </row>
    <row r="1682" spans="1:8" x14ac:dyDescent="0.3">
      <c r="A1682" t="s">
        <v>1000</v>
      </c>
      <c r="B1682" t="s">
        <v>995</v>
      </c>
      <c r="C1682" t="s">
        <v>672</v>
      </c>
      <c r="D1682">
        <v>2019</v>
      </c>
      <c r="E1682" s="2">
        <v>1</v>
      </c>
      <c r="F1682" s="2">
        <v>75</v>
      </c>
      <c r="G1682" s="2">
        <v>78.75</v>
      </c>
    </row>
    <row r="1683" spans="1:8" x14ac:dyDescent="0.3">
      <c r="A1683" t="s">
        <v>1000</v>
      </c>
      <c r="B1683" t="s">
        <v>117</v>
      </c>
      <c r="C1683" t="s">
        <v>118</v>
      </c>
      <c r="D1683">
        <v>2019</v>
      </c>
      <c r="E1683" s="2">
        <v>1</v>
      </c>
      <c r="F1683" s="2">
        <v>160</v>
      </c>
      <c r="G1683" s="2">
        <v>168</v>
      </c>
    </row>
    <row r="1684" spans="1:8" x14ac:dyDescent="0.3">
      <c r="A1684" t="s">
        <v>1000</v>
      </c>
      <c r="B1684" t="s">
        <v>372</v>
      </c>
      <c r="C1684" t="s">
        <v>331</v>
      </c>
      <c r="D1684">
        <v>2019</v>
      </c>
      <c r="E1684" s="2">
        <v>31</v>
      </c>
      <c r="F1684" s="2">
        <v>4340</v>
      </c>
      <c r="G1684" s="2">
        <v>4557</v>
      </c>
    </row>
    <row r="1685" spans="1:8" x14ac:dyDescent="0.3">
      <c r="A1685" t="s">
        <v>1000</v>
      </c>
      <c r="B1685" t="s">
        <v>1002</v>
      </c>
      <c r="C1685" t="s">
        <v>138</v>
      </c>
      <c r="D1685">
        <v>2019</v>
      </c>
      <c r="E1685" s="2">
        <v>2</v>
      </c>
      <c r="F1685" s="2">
        <v>290</v>
      </c>
      <c r="G1685" s="2">
        <v>304.5</v>
      </c>
    </row>
    <row r="1686" spans="1:8" x14ac:dyDescent="0.3">
      <c r="A1686" t="s">
        <v>1000</v>
      </c>
      <c r="B1686" t="s">
        <v>1003</v>
      </c>
      <c r="C1686" t="s">
        <v>292</v>
      </c>
      <c r="D1686">
        <v>2019</v>
      </c>
      <c r="E1686" s="2">
        <v>3</v>
      </c>
      <c r="F1686" s="2">
        <v>405</v>
      </c>
      <c r="G1686" s="2">
        <v>425.25</v>
      </c>
    </row>
    <row r="1687" spans="1:8" x14ac:dyDescent="0.3">
      <c r="A1687" t="s">
        <v>1000</v>
      </c>
      <c r="B1687" t="s">
        <v>1004</v>
      </c>
      <c r="C1687" t="s">
        <v>197</v>
      </c>
      <c r="D1687">
        <v>2019</v>
      </c>
      <c r="E1687" s="2">
        <v>5</v>
      </c>
      <c r="F1687" s="2">
        <v>825</v>
      </c>
      <c r="G1687" s="2">
        <v>866.25</v>
      </c>
    </row>
    <row r="1688" spans="1:8" x14ac:dyDescent="0.3">
      <c r="A1688" t="s">
        <v>1000</v>
      </c>
      <c r="B1688" t="s">
        <v>46</v>
      </c>
      <c r="C1688" t="s">
        <v>47</v>
      </c>
      <c r="D1688">
        <v>2019</v>
      </c>
      <c r="E1688" s="2">
        <v>6</v>
      </c>
      <c r="F1688" s="2">
        <v>320</v>
      </c>
      <c r="G1688" s="2">
        <v>336</v>
      </c>
    </row>
    <row r="1689" spans="1:8" x14ac:dyDescent="0.3">
      <c r="A1689" t="s">
        <v>1005</v>
      </c>
      <c r="B1689" t="s">
        <v>174</v>
      </c>
      <c r="C1689" t="s">
        <v>175</v>
      </c>
      <c r="D1689">
        <v>2015</v>
      </c>
      <c r="E1689" s="2">
        <v>2</v>
      </c>
      <c r="F1689" s="2">
        <v>170</v>
      </c>
      <c r="G1689" s="2"/>
    </row>
    <row r="1690" spans="1:8" x14ac:dyDescent="0.3">
      <c r="A1690" t="s">
        <v>1005</v>
      </c>
      <c r="B1690" t="s">
        <v>174</v>
      </c>
      <c r="C1690" t="s">
        <v>175</v>
      </c>
      <c r="D1690">
        <v>2016</v>
      </c>
      <c r="E1690" s="2">
        <v>10</v>
      </c>
      <c r="F1690" s="2">
        <v>850</v>
      </c>
      <c r="G1690" s="2"/>
    </row>
    <row r="1691" spans="1:8" x14ac:dyDescent="0.3">
      <c r="A1691" t="s">
        <v>1005</v>
      </c>
      <c r="B1691" t="s">
        <v>532</v>
      </c>
      <c r="C1691" t="s">
        <v>452</v>
      </c>
      <c r="D1691">
        <v>2019</v>
      </c>
      <c r="E1691" s="2">
        <v>10</v>
      </c>
      <c r="F1691" s="2">
        <v>850</v>
      </c>
      <c r="G1691" s="2">
        <v>892.5</v>
      </c>
      <c r="H1691" s="3" t="s">
        <v>18</v>
      </c>
    </row>
    <row r="1692" spans="1:8" x14ac:dyDescent="0.3">
      <c r="A1692" t="s">
        <v>1005</v>
      </c>
      <c r="B1692" t="s">
        <v>532</v>
      </c>
      <c r="C1692" t="s">
        <v>452</v>
      </c>
      <c r="D1692">
        <v>2020</v>
      </c>
      <c r="E1692" s="2">
        <v>25</v>
      </c>
      <c r="F1692" s="2">
        <v>2125</v>
      </c>
      <c r="G1692" s="2">
        <v>2231.25</v>
      </c>
      <c r="H1692" s="3" t="s">
        <v>18</v>
      </c>
    </row>
    <row r="1693" spans="1:8" x14ac:dyDescent="0.3">
      <c r="A1693" t="s">
        <v>1005</v>
      </c>
      <c r="B1693" t="s">
        <v>532</v>
      </c>
      <c r="C1693" t="s">
        <v>452</v>
      </c>
      <c r="D1693">
        <v>2021</v>
      </c>
      <c r="E1693" s="2">
        <v>10</v>
      </c>
      <c r="F1693" s="2">
        <v>850</v>
      </c>
      <c r="G1693" s="2">
        <v>892.5</v>
      </c>
      <c r="H1693" s="3" t="s">
        <v>18</v>
      </c>
    </row>
    <row r="1694" spans="1:8" x14ac:dyDescent="0.3">
      <c r="A1694" t="s">
        <v>1005</v>
      </c>
      <c r="B1694" t="s">
        <v>1006</v>
      </c>
      <c r="C1694" t="s">
        <v>611</v>
      </c>
      <c r="D1694">
        <v>2016</v>
      </c>
      <c r="E1694" s="2">
        <v>25</v>
      </c>
      <c r="F1694" s="2">
        <v>1875</v>
      </c>
      <c r="G1694" s="2"/>
    </row>
    <row r="1695" spans="1:8" x14ac:dyDescent="0.3">
      <c r="A1695" t="s">
        <v>1005</v>
      </c>
      <c r="B1695" t="s">
        <v>1006</v>
      </c>
      <c r="C1695" t="s">
        <v>611</v>
      </c>
      <c r="D1695">
        <v>2017</v>
      </c>
      <c r="E1695" s="2">
        <v>25</v>
      </c>
      <c r="F1695" s="2">
        <v>1875</v>
      </c>
      <c r="G1695" s="2"/>
    </row>
    <row r="1696" spans="1:8" x14ac:dyDescent="0.3">
      <c r="A1696" t="s">
        <v>1005</v>
      </c>
      <c r="B1696" t="s">
        <v>721</v>
      </c>
      <c r="C1696" t="s">
        <v>722</v>
      </c>
      <c r="D1696">
        <v>2015</v>
      </c>
      <c r="E1696" s="2">
        <v>36</v>
      </c>
      <c r="F1696" s="2">
        <v>2700</v>
      </c>
      <c r="G1696" s="2"/>
    </row>
    <row r="1697" spans="1:7" x14ac:dyDescent="0.3">
      <c r="A1697" t="s">
        <v>1005</v>
      </c>
      <c r="B1697" t="s">
        <v>721</v>
      </c>
      <c r="C1697" t="s">
        <v>722</v>
      </c>
      <c r="D1697">
        <v>2016</v>
      </c>
      <c r="E1697" s="2">
        <v>75</v>
      </c>
      <c r="F1697" s="2">
        <v>5625</v>
      </c>
      <c r="G1697" s="2"/>
    </row>
    <row r="1698" spans="1:7" x14ac:dyDescent="0.3">
      <c r="A1698" t="s">
        <v>1005</v>
      </c>
      <c r="B1698" t="s">
        <v>721</v>
      </c>
      <c r="C1698" t="s">
        <v>722</v>
      </c>
      <c r="D1698">
        <v>2017</v>
      </c>
      <c r="E1698" s="2">
        <v>25</v>
      </c>
      <c r="F1698" s="2">
        <v>1875</v>
      </c>
      <c r="G1698" s="2"/>
    </row>
    <row r="1699" spans="1:7" x14ac:dyDescent="0.3">
      <c r="A1699" t="s">
        <v>1005</v>
      </c>
      <c r="B1699" t="s">
        <v>721</v>
      </c>
      <c r="C1699" t="s">
        <v>722</v>
      </c>
      <c r="D1699">
        <v>2018</v>
      </c>
      <c r="E1699" s="2">
        <v>25</v>
      </c>
      <c r="F1699" s="2">
        <v>1875</v>
      </c>
      <c r="G1699" s="2">
        <v>1968.75</v>
      </c>
    </row>
    <row r="1700" spans="1:7" x14ac:dyDescent="0.3">
      <c r="A1700" t="s">
        <v>1005</v>
      </c>
      <c r="B1700" t="s">
        <v>721</v>
      </c>
      <c r="C1700" t="s">
        <v>722</v>
      </c>
      <c r="D1700">
        <v>2019</v>
      </c>
      <c r="E1700" s="2">
        <v>50</v>
      </c>
      <c r="F1700" s="2">
        <v>3750</v>
      </c>
      <c r="G1700" s="2">
        <v>3937.5</v>
      </c>
    </row>
    <row r="1701" spans="1:7" x14ac:dyDescent="0.3">
      <c r="A1701" t="s">
        <v>1005</v>
      </c>
      <c r="B1701" t="s">
        <v>721</v>
      </c>
      <c r="C1701" t="s">
        <v>722</v>
      </c>
      <c r="D1701">
        <v>2020</v>
      </c>
      <c r="E1701" s="2">
        <v>25</v>
      </c>
      <c r="F1701" s="2">
        <v>1875</v>
      </c>
      <c r="G1701" s="2">
        <v>1968.75</v>
      </c>
    </row>
    <row r="1702" spans="1:7" x14ac:dyDescent="0.3">
      <c r="A1702" t="s">
        <v>1005</v>
      </c>
      <c r="B1702" t="s">
        <v>696</v>
      </c>
      <c r="C1702" t="s">
        <v>697</v>
      </c>
      <c r="D1702">
        <v>2020</v>
      </c>
      <c r="E1702" s="2">
        <v>5</v>
      </c>
      <c r="F1702" s="2">
        <v>380</v>
      </c>
      <c r="G1702" s="2">
        <v>399</v>
      </c>
    </row>
    <row r="1703" spans="1:7" x14ac:dyDescent="0.3">
      <c r="A1703" t="s">
        <v>1005</v>
      </c>
      <c r="B1703" t="s">
        <v>206</v>
      </c>
      <c r="C1703" t="s">
        <v>207</v>
      </c>
      <c r="D1703">
        <v>2018</v>
      </c>
      <c r="E1703" s="2">
        <v>25</v>
      </c>
      <c r="F1703" s="2">
        <v>3375</v>
      </c>
      <c r="G1703" s="2">
        <v>3543.75</v>
      </c>
    </row>
    <row r="1704" spans="1:7" x14ac:dyDescent="0.3">
      <c r="A1704" t="s">
        <v>1005</v>
      </c>
      <c r="B1704" t="s">
        <v>206</v>
      </c>
      <c r="C1704" t="s">
        <v>207</v>
      </c>
      <c r="D1704">
        <v>2019</v>
      </c>
      <c r="E1704" s="2">
        <v>25</v>
      </c>
      <c r="F1704" s="2">
        <v>3375</v>
      </c>
      <c r="G1704" s="2">
        <v>3543.75</v>
      </c>
    </row>
    <row r="1705" spans="1:7" x14ac:dyDescent="0.3">
      <c r="A1705" t="s">
        <v>1005</v>
      </c>
      <c r="B1705" t="s">
        <v>1007</v>
      </c>
      <c r="C1705" t="s">
        <v>1008</v>
      </c>
      <c r="D1705">
        <v>2016</v>
      </c>
      <c r="E1705" s="2">
        <v>24</v>
      </c>
      <c r="F1705" s="2">
        <v>3360</v>
      </c>
      <c r="G1705" s="2"/>
    </row>
    <row r="1706" spans="1:7" x14ac:dyDescent="0.3">
      <c r="A1706" t="s">
        <v>1005</v>
      </c>
      <c r="B1706" t="s">
        <v>942</v>
      </c>
      <c r="C1706" t="s">
        <v>943</v>
      </c>
      <c r="D1706">
        <v>2015</v>
      </c>
      <c r="E1706" s="2">
        <v>22</v>
      </c>
      <c r="F1706" s="2">
        <v>1650</v>
      </c>
      <c r="G1706" s="2"/>
    </row>
    <row r="1707" spans="1:7" x14ac:dyDescent="0.3">
      <c r="A1707" t="s">
        <v>1005</v>
      </c>
      <c r="B1707" t="s">
        <v>297</v>
      </c>
      <c r="C1707" t="s">
        <v>298</v>
      </c>
      <c r="D1707">
        <v>2018</v>
      </c>
      <c r="E1707" s="2">
        <v>30</v>
      </c>
      <c r="F1707" s="2">
        <v>2040</v>
      </c>
      <c r="G1707" s="2">
        <v>2142</v>
      </c>
    </row>
    <row r="1708" spans="1:7" x14ac:dyDescent="0.3">
      <c r="A1708" t="s">
        <v>1005</v>
      </c>
      <c r="B1708" t="s">
        <v>668</v>
      </c>
      <c r="C1708" t="s">
        <v>669</v>
      </c>
      <c r="D1708">
        <v>2020</v>
      </c>
      <c r="E1708" s="2">
        <v>10</v>
      </c>
      <c r="F1708" s="2">
        <v>680</v>
      </c>
      <c r="G1708" s="2">
        <v>714</v>
      </c>
    </row>
    <row r="1709" spans="1:7" x14ac:dyDescent="0.3">
      <c r="A1709" t="s">
        <v>1005</v>
      </c>
      <c r="B1709" t="s">
        <v>1009</v>
      </c>
      <c r="C1709" t="s">
        <v>934</v>
      </c>
      <c r="D1709">
        <v>2018</v>
      </c>
      <c r="E1709" s="2">
        <v>25</v>
      </c>
      <c r="F1709" s="2">
        <v>3000</v>
      </c>
      <c r="G1709" s="2">
        <v>3150</v>
      </c>
    </row>
    <row r="1710" spans="1:7" x14ac:dyDescent="0.3">
      <c r="A1710" t="s">
        <v>1005</v>
      </c>
      <c r="B1710" t="s">
        <v>1009</v>
      </c>
      <c r="C1710" t="s">
        <v>934</v>
      </c>
      <c r="D1710">
        <v>2020</v>
      </c>
      <c r="E1710" s="2">
        <v>40</v>
      </c>
      <c r="F1710" s="2">
        <v>3100</v>
      </c>
      <c r="G1710" s="2">
        <v>3255</v>
      </c>
    </row>
    <row r="1711" spans="1:7" x14ac:dyDescent="0.3">
      <c r="A1711" t="s">
        <v>1005</v>
      </c>
      <c r="B1711" t="s">
        <v>19</v>
      </c>
      <c r="C1711" t="s">
        <v>20</v>
      </c>
      <c r="D1711">
        <v>2018</v>
      </c>
      <c r="E1711" s="2">
        <v>75</v>
      </c>
      <c r="F1711" s="2">
        <v>4650</v>
      </c>
      <c r="G1711" s="2">
        <v>4882.5</v>
      </c>
    </row>
    <row r="1712" spans="1:7" x14ac:dyDescent="0.3">
      <c r="A1712" t="s">
        <v>1005</v>
      </c>
      <c r="B1712" t="s">
        <v>19</v>
      </c>
      <c r="C1712" t="s">
        <v>107</v>
      </c>
      <c r="D1712">
        <v>2018</v>
      </c>
      <c r="E1712" s="2">
        <v>25</v>
      </c>
      <c r="F1712" s="2">
        <v>1500</v>
      </c>
      <c r="G1712" s="2">
        <v>1575</v>
      </c>
    </row>
    <row r="1713" spans="1:8" x14ac:dyDescent="0.3">
      <c r="A1713" t="s">
        <v>1005</v>
      </c>
      <c r="B1713" t="s">
        <v>19</v>
      </c>
      <c r="C1713" t="s">
        <v>20</v>
      </c>
      <c r="D1713">
        <v>2019</v>
      </c>
      <c r="E1713" s="2">
        <v>50</v>
      </c>
      <c r="F1713" s="2">
        <v>3150</v>
      </c>
      <c r="G1713" s="2">
        <v>3307.5</v>
      </c>
    </row>
    <row r="1714" spans="1:8" x14ac:dyDescent="0.3">
      <c r="A1714" t="s">
        <v>1005</v>
      </c>
      <c r="B1714" t="s">
        <v>19</v>
      </c>
      <c r="C1714" t="s">
        <v>20</v>
      </c>
      <c r="D1714">
        <v>2020</v>
      </c>
      <c r="E1714" s="2">
        <v>25</v>
      </c>
      <c r="F1714" s="2">
        <v>1500</v>
      </c>
      <c r="G1714" s="2">
        <v>1575</v>
      </c>
    </row>
    <row r="1715" spans="1:8" x14ac:dyDescent="0.3">
      <c r="A1715" t="s">
        <v>1005</v>
      </c>
      <c r="B1715" t="s">
        <v>490</v>
      </c>
      <c r="C1715" t="s">
        <v>491</v>
      </c>
      <c r="D1715">
        <v>2016</v>
      </c>
      <c r="E1715" s="2">
        <v>75</v>
      </c>
      <c r="F1715" s="2">
        <v>7875</v>
      </c>
      <c r="G1715" s="2"/>
    </row>
    <row r="1716" spans="1:8" x14ac:dyDescent="0.3">
      <c r="A1716" t="s">
        <v>1005</v>
      </c>
      <c r="B1716" t="s">
        <v>490</v>
      </c>
      <c r="C1716" t="s">
        <v>491</v>
      </c>
      <c r="D1716">
        <v>2017</v>
      </c>
      <c r="E1716" s="2">
        <v>100</v>
      </c>
      <c r="F1716" s="2">
        <v>10500</v>
      </c>
      <c r="G1716" s="2"/>
    </row>
    <row r="1717" spans="1:8" x14ac:dyDescent="0.3">
      <c r="A1717" t="s">
        <v>1005</v>
      </c>
      <c r="B1717" t="s">
        <v>490</v>
      </c>
      <c r="C1717" t="s">
        <v>491</v>
      </c>
      <c r="D1717">
        <v>2018</v>
      </c>
      <c r="E1717" s="2">
        <v>25</v>
      </c>
      <c r="F1717" s="2">
        <v>2625</v>
      </c>
      <c r="G1717" s="2">
        <v>2756.25</v>
      </c>
    </row>
    <row r="1718" spans="1:8" x14ac:dyDescent="0.3">
      <c r="A1718" t="s">
        <v>1005</v>
      </c>
      <c r="B1718" t="s">
        <v>490</v>
      </c>
      <c r="C1718" t="s">
        <v>491</v>
      </c>
      <c r="D1718">
        <v>2019</v>
      </c>
      <c r="E1718" s="2">
        <v>10</v>
      </c>
      <c r="F1718" s="2">
        <v>1050</v>
      </c>
      <c r="G1718" s="2">
        <v>1102.5</v>
      </c>
    </row>
    <row r="1719" spans="1:8" x14ac:dyDescent="0.3">
      <c r="A1719" t="s">
        <v>1005</v>
      </c>
      <c r="B1719" t="s">
        <v>490</v>
      </c>
      <c r="C1719" t="s">
        <v>491</v>
      </c>
      <c r="D1719">
        <v>2020</v>
      </c>
      <c r="E1719" s="2">
        <v>25</v>
      </c>
      <c r="F1719" s="2">
        <v>2625</v>
      </c>
      <c r="G1719" s="2">
        <v>2756.25</v>
      </c>
    </row>
    <row r="1720" spans="1:8" x14ac:dyDescent="0.3">
      <c r="A1720" t="s">
        <v>1005</v>
      </c>
      <c r="B1720" t="s">
        <v>543</v>
      </c>
      <c r="C1720" t="s">
        <v>544</v>
      </c>
      <c r="D1720">
        <v>2015</v>
      </c>
      <c r="E1720" s="2">
        <v>10</v>
      </c>
      <c r="F1720" s="2">
        <v>840</v>
      </c>
      <c r="G1720" s="2"/>
    </row>
    <row r="1721" spans="1:8" x14ac:dyDescent="0.3">
      <c r="A1721" t="s">
        <v>1005</v>
      </c>
      <c r="B1721" t="s">
        <v>62</v>
      </c>
      <c r="C1721" t="s">
        <v>63</v>
      </c>
      <c r="D1721">
        <v>2016</v>
      </c>
      <c r="E1721" s="2">
        <v>25</v>
      </c>
      <c r="F1721" s="2">
        <v>1200</v>
      </c>
      <c r="G1721" s="2"/>
      <c r="H1721" s="3" t="s">
        <v>14</v>
      </c>
    </row>
    <row r="1722" spans="1:8" x14ac:dyDescent="0.3">
      <c r="A1722" t="s">
        <v>1005</v>
      </c>
      <c r="B1722" t="s">
        <v>62</v>
      </c>
      <c r="C1722" t="s">
        <v>63</v>
      </c>
      <c r="D1722">
        <v>2017</v>
      </c>
      <c r="E1722" s="2">
        <v>75</v>
      </c>
      <c r="F1722" s="2">
        <v>3750</v>
      </c>
      <c r="G1722" s="2"/>
      <c r="H1722" s="3" t="s">
        <v>14</v>
      </c>
    </row>
    <row r="1723" spans="1:8" x14ac:dyDescent="0.3">
      <c r="A1723" t="s">
        <v>1005</v>
      </c>
      <c r="B1723" t="s">
        <v>62</v>
      </c>
      <c r="C1723" t="s">
        <v>63</v>
      </c>
      <c r="D1723">
        <v>2018</v>
      </c>
      <c r="E1723" s="2">
        <v>25</v>
      </c>
      <c r="F1723" s="2">
        <v>1250</v>
      </c>
      <c r="G1723" s="2">
        <v>1312.5</v>
      </c>
      <c r="H1723" s="3" t="s">
        <v>14</v>
      </c>
    </row>
    <row r="1724" spans="1:8" x14ac:dyDescent="0.3">
      <c r="A1724" t="s">
        <v>1005</v>
      </c>
      <c r="B1724" t="s">
        <v>62</v>
      </c>
      <c r="C1724" t="s">
        <v>63</v>
      </c>
      <c r="D1724">
        <v>2020</v>
      </c>
      <c r="E1724" s="2">
        <v>175</v>
      </c>
      <c r="F1724" s="2">
        <v>8750</v>
      </c>
      <c r="G1724" s="2">
        <v>9187.5</v>
      </c>
      <c r="H1724" s="3" t="s">
        <v>14</v>
      </c>
    </row>
    <row r="1725" spans="1:8" x14ac:dyDescent="0.3">
      <c r="A1725" t="s">
        <v>1005</v>
      </c>
      <c r="B1725" t="s">
        <v>62</v>
      </c>
      <c r="C1725" t="s">
        <v>63</v>
      </c>
      <c r="D1725">
        <v>2021</v>
      </c>
      <c r="E1725" s="2">
        <v>50</v>
      </c>
      <c r="F1725" s="2">
        <v>2500</v>
      </c>
      <c r="G1725" s="2">
        <v>2625</v>
      </c>
      <c r="H1725" s="3" t="s">
        <v>14</v>
      </c>
    </row>
    <row r="1726" spans="1:8" x14ac:dyDescent="0.3">
      <c r="A1726" t="s">
        <v>1005</v>
      </c>
      <c r="B1726" t="s">
        <v>995</v>
      </c>
      <c r="C1726" t="s">
        <v>672</v>
      </c>
      <c r="D1726">
        <v>2019</v>
      </c>
      <c r="E1726" s="2">
        <v>45</v>
      </c>
      <c r="F1726" s="2">
        <v>2250</v>
      </c>
      <c r="G1726" s="2">
        <v>2362.5</v>
      </c>
    </row>
    <row r="1727" spans="1:8" x14ac:dyDescent="0.3">
      <c r="A1727" t="s">
        <v>1005</v>
      </c>
      <c r="B1727" t="s">
        <v>110</v>
      </c>
      <c r="C1727" t="s">
        <v>111</v>
      </c>
      <c r="D1727">
        <v>2020</v>
      </c>
      <c r="E1727" s="2">
        <v>50</v>
      </c>
      <c r="F1727" s="2">
        <v>2500</v>
      </c>
      <c r="G1727" s="2">
        <v>2625</v>
      </c>
    </row>
    <row r="1728" spans="1:8" x14ac:dyDescent="0.3">
      <c r="A1728" t="s">
        <v>1005</v>
      </c>
      <c r="B1728" t="s">
        <v>471</v>
      </c>
      <c r="C1728" t="s">
        <v>472</v>
      </c>
      <c r="D1728">
        <v>2019</v>
      </c>
      <c r="E1728" s="2">
        <v>25</v>
      </c>
      <c r="F1728" s="2">
        <v>2050</v>
      </c>
      <c r="G1728" s="2">
        <v>2152.5</v>
      </c>
      <c r="H1728" s="3" t="s">
        <v>18</v>
      </c>
    </row>
    <row r="1729" spans="1:8" x14ac:dyDescent="0.3">
      <c r="A1729" t="s">
        <v>1005</v>
      </c>
      <c r="B1729" t="s">
        <v>471</v>
      </c>
      <c r="C1729" t="s">
        <v>472</v>
      </c>
      <c r="D1729">
        <v>2020</v>
      </c>
      <c r="E1729" s="2">
        <v>25</v>
      </c>
      <c r="F1729" s="2">
        <v>2050</v>
      </c>
      <c r="G1729" s="2">
        <v>2152.5</v>
      </c>
    </row>
    <row r="1730" spans="1:8" x14ac:dyDescent="0.3">
      <c r="A1730" t="s">
        <v>1005</v>
      </c>
      <c r="B1730" t="s">
        <v>471</v>
      </c>
      <c r="C1730" t="s">
        <v>472</v>
      </c>
      <c r="D1730">
        <v>2021</v>
      </c>
      <c r="E1730" s="2">
        <v>10</v>
      </c>
      <c r="F1730" s="2">
        <v>820</v>
      </c>
      <c r="G1730" s="2">
        <v>861</v>
      </c>
      <c r="H1730" s="3" t="s">
        <v>18</v>
      </c>
    </row>
    <row r="1731" spans="1:8" x14ac:dyDescent="0.3">
      <c r="A1731" t="s">
        <v>1005</v>
      </c>
      <c r="B1731" t="s">
        <v>68</v>
      </c>
      <c r="C1731" t="s">
        <v>69</v>
      </c>
      <c r="D1731">
        <v>2015</v>
      </c>
      <c r="E1731" s="2">
        <v>14</v>
      </c>
      <c r="F1731" s="2">
        <v>1092</v>
      </c>
      <c r="G1731" s="2"/>
    </row>
    <row r="1732" spans="1:8" x14ac:dyDescent="0.3">
      <c r="A1732" t="s">
        <v>1005</v>
      </c>
      <c r="B1732" t="s">
        <v>867</v>
      </c>
      <c r="C1732" t="s">
        <v>868</v>
      </c>
      <c r="D1732">
        <v>2015</v>
      </c>
      <c r="E1732" s="2">
        <v>11</v>
      </c>
      <c r="F1732" s="2">
        <v>1210</v>
      </c>
      <c r="G1732" s="2"/>
    </row>
    <row r="1733" spans="1:8" x14ac:dyDescent="0.3">
      <c r="A1733" t="s">
        <v>1005</v>
      </c>
      <c r="B1733" t="s">
        <v>334</v>
      </c>
      <c r="C1733" t="s">
        <v>335</v>
      </c>
      <c r="D1733">
        <v>2019</v>
      </c>
      <c r="E1733" s="2">
        <v>5</v>
      </c>
      <c r="F1733" s="2">
        <v>375</v>
      </c>
      <c r="G1733" s="2">
        <v>393.75</v>
      </c>
    </row>
    <row r="1734" spans="1:8" x14ac:dyDescent="0.3">
      <c r="A1734" t="s">
        <v>1005</v>
      </c>
      <c r="B1734" t="s">
        <v>750</v>
      </c>
      <c r="C1734" t="s">
        <v>751</v>
      </c>
      <c r="D1734">
        <v>2017</v>
      </c>
      <c r="E1734" s="2">
        <v>25</v>
      </c>
      <c r="F1734" s="2">
        <v>1625</v>
      </c>
      <c r="G1734" s="2"/>
    </row>
    <row r="1735" spans="1:8" x14ac:dyDescent="0.3">
      <c r="A1735" t="s">
        <v>1005</v>
      </c>
      <c r="B1735" t="s">
        <v>203</v>
      </c>
      <c r="C1735" t="s">
        <v>204</v>
      </c>
      <c r="D1735">
        <v>2019</v>
      </c>
      <c r="E1735" s="2">
        <v>5</v>
      </c>
      <c r="F1735" s="2">
        <v>375</v>
      </c>
      <c r="G1735" s="2">
        <v>393.75</v>
      </c>
    </row>
    <row r="1736" spans="1:8" x14ac:dyDescent="0.3">
      <c r="A1736" t="s">
        <v>1010</v>
      </c>
      <c r="B1736" t="s">
        <v>610</v>
      </c>
      <c r="C1736" t="s">
        <v>611</v>
      </c>
      <c r="D1736">
        <v>2015</v>
      </c>
      <c r="E1736" s="2">
        <v>2</v>
      </c>
      <c r="F1736" s="2">
        <v>146</v>
      </c>
      <c r="G1736" s="2"/>
    </row>
    <row r="1737" spans="1:8" x14ac:dyDescent="0.3">
      <c r="A1737" t="s">
        <v>1010</v>
      </c>
      <c r="B1737" t="s">
        <v>610</v>
      </c>
      <c r="C1737" t="s">
        <v>611</v>
      </c>
      <c r="D1737">
        <v>2017</v>
      </c>
      <c r="E1737" s="2">
        <v>5</v>
      </c>
      <c r="F1737" s="2">
        <v>325</v>
      </c>
      <c r="G1737" s="2"/>
    </row>
    <row r="1738" spans="1:8" x14ac:dyDescent="0.3">
      <c r="A1738" t="s">
        <v>1010</v>
      </c>
      <c r="B1738" t="s">
        <v>1011</v>
      </c>
      <c r="C1738" t="s">
        <v>1012</v>
      </c>
      <c r="D1738">
        <v>2020</v>
      </c>
      <c r="E1738" s="2">
        <v>25</v>
      </c>
      <c r="F1738" s="2">
        <v>800</v>
      </c>
      <c r="G1738" s="2">
        <v>840</v>
      </c>
    </row>
    <row r="1739" spans="1:8" x14ac:dyDescent="0.3">
      <c r="A1739" t="s">
        <v>1010</v>
      </c>
      <c r="B1739" t="s">
        <v>24</v>
      </c>
      <c r="C1739" t="s">
        <v>25</v>
      </c>
      <c r="D1739">
        <v>2020</v>
      </c>
      <c r="E1739" s="2">
        <v>100</v>
      </c>
      <c r="F1739" s="2">
        <v>3200</v>
      </c>
      <c r="G1739" s="2">
        <v>3360</v>
      </c>
    </row>
    <row r="1740" spans="1:8" x14ac:dyDescent="0.3">
      <c r="A1740" t="s">
        <v>1010</v>
      </c>
      <c r="B1740" t="s">
        <v>1013</v>
      </c>
      <c r="C1740" t="s">
        <v>1014</v>
      </c>
      <c r="D1740">
        <v>2015</v>
      </c>
      <c r="E1740" s="2">
        <v>25</v>
      </c>
      <c r="F1740" s="2">
        <v>1750</v>
      </c>
      <c r="G1740" s="2"/>
    </row>
    <row r="1741" spans="1:8" x14ac:dyDescent="0.3">
      <c r="A1741" t="s">
        <v>1010</v>
      </c>
      <c r="B1741" t="s">
        <v>1013</v>
      </c>
      <c r="C1741" t="s">
        <v>1014</v>
      </c>
      <c r="D1741">
        <v>2016</v>
      </c>
      <c r="E1741" s="2">
        <v>25</v>
      </c>
      <c r="F1741" s="2">
        <v>1750</v>
      </c>
      <c r="G1741" s="2"/>
    </row>
    <row r="1742" spans="1:8" x14ac:dyDescent="0.3">
      <c r="A1742" t="s">
        <v>1010</v>
      </c>
      <c r="B1742" t="s">
        <v>1013</v>
      </c>
      <c r="C1742" t="s">
        <v>1014</v>
      </c>
      <c r="D1742">
        <v>2018</v>
      </c>
      <c r="E1742" s="2">
        <v>25</v>
      </c>
      <c r="F1742" s="2">
        <v>1750</v>
      </c>
      <c r="G1742" s="2">
        <v>1837.5</v>
      </c>
    </row>
    <row r="1743" spans="1:8" x14ac:dyDescent="0.3">
      <c r="A1743" t="s">
        <v>1010</v>
      </c>
      <c r="B1743" t="s">
        <v>1013</v>
      </c>
      <c r="C1743" t="s">
        <v>1014</v>
      </c>
      <c r="D1743">
        <v>2020</v>
      </c>
      <c r="E1743" s="2">
        <v>25</v>
      </c>
      <c r="F1743" s="2">
        <v>1750</v>
      </c>
      <c r="G1743" s="2">
        <v>1837.5</v>
      </c>
    </row>
    <row r="1744" spans="1:8" x14ac:dyDescent="0.3">
      <c r="A1744" t="s">
        <v>1010</v>
      </c>
      <c r="B1744" t="s">
        <v>297</v>
      </c>
      <c r="C1744" t="s">
        <v>298</v>
      </c>
      <c r="D1744">
        <v>2015</v>
      </c>
      <c r="E1744" s="2">
        <v>25</v>
      </c>
      <c r="F1744" s="2">
        <v>1312.5</v>
      </c>
      <c r="G1744" s="2"/>
    </row>
    <row r="1745" spans="1:7" x14ac:dyDescent="0.3">
      <c r="A1745" t="s">
        <v>1010</v>
      </c>
      <c r="B1745" t="s">
        <v>528</v>
      </c>
      <c r="C1745" t="s">
        <v>529</v>
      </c>
      <c r="D1745">
        <v>2020</v>
      </c>
      <c r="E1745" s="2">
        <v>250</v>
      </c>
      <c r="F1745" s="2">
        <v>15500</v>
      </c>
      <c r="G1745" s="2">
        <v>16275</v>
      </c>
    </row>
    <row r="1746" spans="1:7" x14ac:dyDescent="0.3">
      <c r="A1746" t="s">
        <v>1010</v>
      </c>
      <c r="B1746" t="s">
        <v>1015</v>
      </c>
      <c r="C1746" t="s">
        <v>1016</v>
      </c>
      <c r="D1746">
        <v>2017</v>
      </c>
      <c r="E1746" s="2">
        <v>25</v>
      </c>
      <c r="F1746" s="2">
        <v>1750</v>
      </c>
      <c r="G1746" s="2"/>
    </row>
    <row r="1747" spans="1:7" x14ac:dyDescent="0.3">
      <c r="A1747" t="s">
        <v>1010</v>
      </c>
      <c r="B1747" t="s">
        <v>19</v>
      </c>
      <c r="C1747" t="s">
        <v>1017</v>
      </c>
      <c r="D1747">
        <v>2009</v>
      </c>
      <c r="E1747" s="2">
        <v>10</v>
      </c>
      <c r="F1747" s="2">
        <v>750</v>
      </c>
      <c r="G1747" s="2"/>
    </row>
    <row r="1748" spans="1:7" x14ac:dyDescent="0.3">
      <c r="A1748" t="s">
        <v>1010</v>
      </c>
      <c r="B1748" t="s">
        <v>19</v>
      </c>
      <c r="C1748" t="s">
        <v>1017</v>
      </c>
      <c r="D1748">
        <v>2010</v>
      </c>
      <c r="E1748" s="2">
        <v>10</v>
      </c>
      <c r="F1748" s="2">
        <v>750</v>
      </c>
      <c r="G1748" s="2"/>
    </row>
    <row r="1749" spans="1:7" x14ac:dyDescent="0.3">
      <c r="A1749" t="s">
        <v>1010</v>
      </c>
      <c r="B1749" t="s">
        <v>19</v>
      </c>
      <c r="C1749" t="s">
        <v>699</v>
      </c>
      <c r="D1749">
        <v>2014</v>
      </c>
      <c r="E1749" s="2">
        <v>25</v>
      </c>
      <c r="F1749" s="2">
        <v>1450</v>
      </c>
      <c r="G1749" s="2"/>
    </row>
    <row r="1750" spans="1:7" x14ac:dyDescent="0.3">
      <c r="A1750" t="s">
        <v>1010</v>
      </c>
      <c r="B1750" t="s">
        <v>19</v>
      </c>
      <c r="C1750" t="s">
        <v>699</v>
      </c>
      <c r="D1750">
        <v>2015</v>
      </c>
      <c r="E1750" s="2">
        <v>75</v>
      </c>
      <c r="F1750" s="2">
        <v>4350</v>
      </c>
      <c r="G1750" s="2"/>
    </row>
    <row r="1751" spans="1:7" x14ac:dyDescent="0.3">
      <c r="A1751" t="s">
        <v>1010</v>
      </c>
      <c r="B1751" t="s">
        <v>19</v>
      </c>
      <c r="C1751" t="s">
        <v>699</v>
      </c>
      <c r="D1751">
        <v>2016</v>
      </c>
      <c r="E1751" s="2">
        <v>25</v>
      </c>
      <c r="F1751" s="2">
        <v>1450</v>
      </c>
      <c r="G1751" s="2"/>
    </row>
    <row r="1752" spans="1:7" x14ac:dyDescent="0.3">
      <c r="A1752" t="s">
        <v>1010</v>
      </c>
      <c r="B1752" t="s">
        <v>19</v>
      </c>
      <c r="C1752" t="s">
        <v>699</v>
      </c>
      <c r="D1752">
        <v>2017</v>
      </c>
      <c r="E1752" s="2">
        <v>50</v>
      </c>
      <c r="F1752" s="2">
        <v>2900</v>
      </c>
      <c r="G1752" s="2"/>
    </row>
    <row r="1753" spans="1:7" x14ac:dyDescent="0.3">
      <c r="A1753" t="s">
        <v>1010</v>
      </c>
      <c r="B1753" t="s">
        <v>19</v>
      </c>
      <c r="C1753" t="s">
        <v>699</v>
      </c>
      <c r="D1753">
        <v>2018</v>
      </c>
      <c r="E1753" s="2">
        <v>50</v>
      </c>
      <c r="F1753" s="2">
        <v>2750</v>
      </c>
      <c r="G1753" s="2">
        <v>2887.5</v>
      </c>
    </row>
    <row r="1754" spans="1:7" x14ac:dyDescent="0.3">
      <c r="A1754" t="s">
        <v>1010</v>
      </c>
      <c r="B1754" t="s">
        <v>19</v>
      </c>
      <c r="C1754" t="s">
        <v>699</v>
      </c>
      <c r="D1754">
        <v>2019</v>
      </c>
      <c r="E1754" s="2">
        <v>25</v>
      </c>
      <c r="F1754" s="2">
        <v>1300</v>
      </c>
      <c r="G1754" s="2">
        <v>1365</v>
      </c>
    </row>
    <row r="1755" spans="1:7" x14ac:dyDescent="0.3">
      <c r="A1755" t="s">
        <v>1010</v>
      </c>
      <c r="B1755" t="s">
        <v>939</v>
      </c>
      <c r="C1755" t="s">
        <v>940</v>
      </c>
      <c r="D1755">
        <v>2019</v>
      </c>
      <c r="E1755" s="2">
        <v>25</v>
      </c>
      <c r="F1755" s="2">
        <v>1100</v>
      </c>
      <c r="G1755" s="2">
        <v>1155</v>
      </c>
    </row>
    <row r="1756" spans="1:7" x14ac:dyDescent="0.3">
      <c r="A1756" t="s">
        <v>1010</v>
      </c>
      <c r="B1756" t="s">
        <v>939</v>
      </c>
      <c r="C1756" t="s">
        <v>940</v>
      </c>
      <c r="D1756">
        <v>2020</v>
      </c>
      <c r="E1756" s="2">
        <v>125</v>
      </c>
      <c r="F1756" s="2">
        <v>5500</v>
      </c>
      <c r="G1756" s="2">
        <v>5775</v>
      </c>
    </row>
    <row r="1757" spans="1:7" x14ac:dyDescent="0.3">
      <c r="A1757" t="s">
        <v>1010</v>
      </c>
      <c r="B1757" t="s">
        <v>41</v>
      </c>
      <c r="C1757" t="s">
        <v>63</v>
      </c>
      <c r="D1757">
        <v>2014</v>
      </c>
      <c r="E1757" s="2">
        <v>50</v>
      </c>
      <c r="F1757" s="2">
        <v>2250</v>
      </c>
      <c r="G1757" s="2"/>
    </row>
    <row r="1758" spans="1:7" x14ac:dyDescent="0.3">
      <c r="A1758" t="s">
        <v>1010</v>
      </c>
      <c r="B1758" t="s">
        <v>41</v>
      </c>
      <c r="C1758" t="s">
        <v>63</v>
      </c>
      <c r="D1758">
        <v>2015</v>
      </c>
      <c r="E1758" s="2">
        <v>250</v>
      </c>
      <c r="F1758" s="2">
        <v>11250</v>
      </c>
      <c r="G1758" s="2"/>
    </row>
    <row r="1759" spans="1:7" x14ac:dyDescent="0.3">
      <c r="A1759" t="s">
        <v>1010</v>
      </c>
      <c r="B1759" t="s">
        <v>41</v>
      </c>
      <c r="C1759" t="s">
        <v>63</v>
      </c>
      <c r="D1759">
        <v>2016</v>
      </c>
      <c r="E1759" s="2">
        <v>150</v>
      </c>
      <c r="F1759" s="2">
        <v>6750</v>
      </c>
      <c r="G1759" s="2"/>
    </row>
    <row r="1760" spans="1:7" x14ac:dyDescent="0.3">
      <c r="A1760" t="s">
        <v>1010</v>
      </c>
      <c r="B1760" t="s">
        <v>110</v>
      </c>
      <c r="C1760" t="s">
        <v>111</v>
      </c>
      <c r="D1760">
        <v>2018</v>
      </c>
      <c r="E1760" s="2">
        <v>50</v>
      </c>
      <c r="F1760" s="2">
        <v>1800</v>
      </c>
      <c r="G1760" s="2">
        <v>1890</v>
      </c>
    </row>
    <row r="1761" spans="1:7" x14ac:dyDescent="0.3">
      <c r="A1761" t="s">
        <v>1010</v>
      </c>
      <c r="B1761" t="s">
        <v>110</v>
      </c>
      <c r="C1761" t="s">
        <v>111</v>
      </c>
      <c r="D1761">
        <v>2019</v>
      </c>
      <c r="E1761" s="2">
        <v>100</v>
      </c>
      <c r="F1761" s="2">
        <v>3600</v>
      </c>
      <c r="G1761" s="2">
        <v>3780</v>
      </c>
    </row>
    <row r="1762" spans="1:7" x14ac:dyDescent="0.3">
      <c r="A1762" t="s">
        <v>1010</v>
      </c>
      <c r="B1762" t="s">
        <v>110</v>
      </c>
      <c r="C1762" t="s">
        <v>111</v>
      </c>
      <c r="D1762">
        <v>2020</v>
      </c>
      <c r="E1762" s="2">
        <v>300</v>
      </c>
      <c r="F1762" s="2">
        <v>9900</v>
      </c>
      <c r="G1762" s="2">
        <v>10395</v>
      </c>
    </row>
    <row r="1763" spans="1:7" x14ac:dyDescent="0.3">
      <c r="A1763" t="s">
        <v>1010</v>
      </c>
      <c r="B1763" t="s">
        <v>1018</v>
      </c>
      <c r="D1763">
        <v>2011</v>
      </c>
      <c r="E1763" s="2">
        <v>25</v>
      </c>
      <c r="F1763" s="2">
        <v>1375</v>
      </c>
      <c r="G1763" s="2"/>
    </row>
    <row r="1764" spans="1:7" x14ac:dyDescent="0.3">
      <c r="A1764" t="s">
        <v>1010</v>
      </c>
      <c r="B1764" t="s">
        <v>518</v>
      </c>
      <c r="C1764" t="s">
        <v>519</v>
      </c>
      <c r="D1764">
        <v>2020</v>
      </c>
      <c r="E1764" s="2">
        <v>50</v>
      </c>
      <c r="F1764" s="2">
        <v>2500</v>
      </c>
      <c r="G1764" s="2">
        <v>2625</v>
      </c>
    </row>
    <row r="1765" spans="1:7" x14ac:dyDescent="0.3">
      <c r="A1765" t="s">
        <v>1010</v>
      </c>
      <c r="B1765" t="s">
        <v>438</v>
      </c>
      <c r="C1765" t="s">
        <v>439</v>
      </c>
      <c r="D1765">
        <v>2014</v>
      </c>
      <c r="E1765" s="2">
        <v>25</v>
      </c>
      <c r="F1765" s="2">
        <v>1050</v>
      </c>
      <c r="G1765" s="2"/>
    </row>
    <row r="1766" spans="1:7" x14ac:dyDescent="0.3">
      <c r="A1766" t="s">
        <v>1010</v>
      </c>
      <c r="B1766" t="s">
        <v>438</v>
      </c>
      <c r="C1766" t="s">
        <v>439</v>
      </c>
      <c r="D1766">
        <v>2015</v>
      </c>
      <c r="E1766" s="2">
        <v>100</v>
      </c>
      <c r="F1766" s="2">
        <v>4200</v>
      </c>
      <c r="G1766" s="2"/>
    </row>
    <row r="1767" spans="1:7" x14ac:dyDescent="0.3">
      <c r="A1767" t="s">
        <v>1010</v>
      </c>
      <c r="B1767" t="s">
        <v>438</v>
      </c>
      <c r="C1767" t="s">
        <v>439</v>
      </c>
      <c r="D1767">
        <v>2016</v>
      </c>
      <c r="E1767" s="2">
        <v>200</v>
      </c>
      <c r="F1767" s="2">
        <v>8400</v>
      </c>
      <c r="G1767" s="2"/>
    </row>
    <row r="1768" spans="1:7" x14ac:dyDescent="0.3">
      <c r="A1768" t="s">
        <v>1010</v>
      </c>
      <c r="B1768" t="s">
        <v>438</v>
      </c>
      <c r="C1768" t="s">
        <v>439</v>
      </c>
      <c r="D1768">
        <v>2019</v>
      </c>
      <c r="E1768" s="2">
        <v>25</v>
      </c>
      <c r="F1768" s="2">
        <v>8000</v>
      </c>
      <c r="G1768" s="2">
        <v>8400</v>
      </c>
    </row>
    <row r="1769" spans="1:7" x14ac:dyDescent="0.3">
      <c r="A1769" t="s">
        <v>1010</v>
      </c>
      <c r="B1769" t="s">
        <v>438</v>
      </c>
      <c r="C1769" t="s">
        <v>439</v>
      </c>
      <c r="D1769">
        <v>2020</v>
      </c>
      <c r="E1769" s="2">
        <v>50</v>
      </c>
      <c r="F1769" s="2">
        <v>1600</v>
      </c>
      <c r="G1769" s="2">
        <v>1680</v>
      </c>
    </row>
    <row r="1770" spans="1:7" x14ac:dyDescent="0.3">
      <c r="A1770" t="s">
        <v>1010</v>
      </c>
      <c r="B1770" t="s">
        <v>706</v>
      </c>
      <c r="C1770" t="s">
        <v>707</v>
      </c>
      <c r="D1770">
        <v>2016</v>
      </c>
      <c r="E1770" s="2">
        <v>25</v>
      </c>
      <c r="F1770" s="2">
        <v>1500</v>
      </c>
      <c r="G1770" s="2"/>
    </row>
    <row r="1771" spans="1:7" x14ac:dyDescent="0.3">
      <c r="A1771" t="s">
        <v>1010</v>
      </c>
      <c r="B1771" t="s">
        <v>706</v>
      </c>
      <c r="C1771" t="s">
        <v>707</v>
      </c>
      <c r="D1771">
        <v>2019</v>
      </c>
      <c r="E1771" s="2">
        <v>25</v>
      </c>
      <c r="F1771" s="2">
        <v>950</v>
      </c>
      <c r="G1771" s="2">
        <v>997.5</v>
      </c>
    </row>
    <row r="1772" spans="1:7" x14ac:dyDescent="0.3">
      <c r="A1772" t="s">
        <v>1010</v>
      </c>
      <c r="B1772" t="s">
        <v>36</v>
      </c>
      <c r="D1772">
        <v>2020</v>
      </c>
      <c r="E1772" s="2">
        <v>5</v>
      </c>
      <c r="F1772" s="2">
        <v>400</v>
      </c>
      <c r="G1772" s="2">
        <v>420</v>
      </c>
    </row>
    <row r="1773" spans="1:7" x14ac:dyDescent="0.3">
      <c r="A1773" t="s">
        <v>1010</v>
      </c>
      <c r="B1773" t="s">
        <v>1019</v>
      </c>
      <c r="C1773" t="s">
        <v>1020</v>
      </c>
      <c r="D1773">
        <v>2015</v>
      </c>
      <c r="E1773" s="2">
        <v>2</v>
      </c>
      <c r="F1773" s="2">
        <v>134</v>
      </c>
      <c r="G1773" s="2"/>
    </row>
    <row r="1774" spans="1:7" x14ac:dyDescent="0.3">
      <c r="A1774" t="s">
        <v>1010</v>
      </c>
      <c r="B1774" t="s">
        <v>1021</v>
      </c>
      <c r="C1774" t="s">
        <v>1022</v>
      </c>
      <c r="D1774">
        <v>2020</v>
      </c>
      <c r="E1774" s="2">
        <v>175</v>
      </c>
      <c r="F1774" s="2">
        <v>10850</v>
      </c>
      <c r="G1774" s="2">
        <v>11392.5</v>
      </c>
    </row>
    <row r="1775" spans="1:7" x14ac:dyDescent="0.3">
      <c r="A1775" t="s">
        <v>1010</v>
      </c>
      <c r="B1775" t="s">
        <v>1023</v>
      </c>
      <c r="C1775" t="s">
        <v>1024</v>
      </c>
      <c r="D1775">
        <v>2020</v>
      </c>
      <c r="E1775" s="2">
        <v>10</v>
      </c>
      <c r="F1775" s="2">
        <v>700</v>
      </c>
      <c r="G1775" s="2">
        <v>735</v>
      </c>
    </row>
    <row r="1776" spans="1:7" x14ac:dyDescent="0.3">
      <c r="A1776" t="s">
        <v>1010</v>
      </c>
      <c r="B1776" t="s">
        <v>1025</v>
      </c>
      <c r="C1776" t="s">
        <v>1026</v>
      </c>
      <c r="D1776">
        <v>2016</v>
      </c>
      <c r="E1776" s="2">
        <v>10</v>
      </c>
      <c r="F1776" s="2">
        <v>700</v>
      </c>
      <c r="G1776" s="2"/>
    </row>
    <row r="1777" spans="1:8" x14ac:dyDescent="0.3">
      <c r="A1777" t="s">
        <v>1010</v>
      </c>
      <c r="B1777" t="s">
        <v>1025</v>
      </c>
      <c r="C1777" t="s">
        <v>1026</v>
      </c>
      <c r="D1777">
        <v>2018</v>
      </c>
      <c r="E1777" s="2">
        <v>10</v>
      </c>
      <c r="F1777" s="2">
        <v>700</v>
      </c>
      <c r="G1777" s="2">
        <v>735</v>
      </c>
    </row>
    <row r="1778" spans="1:8" x14ac:dyDescent="0.3">
      <c r="A1778" t="s">
        <v>1010</v>
      </c>
      <c r="B1778" t="s">
        <v>46</v>
      </c>
      <c r="C1778" t="s">
        <v>47</v>
      </c>
      <c r="D1778">
        <v>2009</v>
      </c>
      <c r="E1778" s="2">
        <v>10</v>
      </c>
      <c r="F1778" s="2">
        <v>750</v>
      </c>
      <c r="G1778" s="2"/>
    </row>
    <row r="1779" spans="1:8" x14ac:dyDescent="0.3">
      <c r="A1779" t="s">
        <v>1010</v>
      </c>
      <c r="B1779" t="s">
        <v>46</v>
      </c>
      <c r="C1779" t="s">
        <v>47</v>
      </c>
      <c r="D1779">
        <v>2010</v>
      </c>
      <c r="E1779" s="2">
        <v>10</v>
      </c>
      <c r="F1779" s="2">
        <v>500</v>
      </c>
      <c r="G1779" s="2"/>
    </row>
    <row r="1780" spans="1:8" x14ac:dyDescent="0.3">
      <c r="A1780" t="s">
        <v>1010</v>
      </c>
      <c r="B1780" t="s">
        <v>46</v>
      </c>
      <c r="C1780" t="s">
        <v>47</v>
      </c>
      <c r="D1780">
        <v>2019</v>
      </c>
      <c r="E1780" s="2">
        <v>5</v>
      </c>
      <c r="F1780" s="2">
        <v>175</v>
      </c>
      <c r="G1780" s="2">
        <v>183.75</v>
      </c>
    </row>
    <row r="1781" spans="1:8" x14ac:dyDescent="0.3">
      <c r="A1781" t="s">
        <v>1010</v>
      </c>
      <c r="B1781" t="s">
        <v>37</v>
      </c>
      <c r="D1781">
        <v>2020</v>
      </c>
      <c r="E1781" s="2">
        <v>5</v>
      </c>
      <c r="F1781" s="2">
        <v>367.5</v>
      </c>
      <c r="G1781" s="2">
        <v>385.875</v>
      </c>
    </row>
    <row r="1782" spans="1:8" x14ac:dyDescent="0.3">
      <c r="A1782" t="s">
        <v>1027</v>
      </c>
      <c r="B1782" t="s">
        <v>26</v>
      </c>
      <c r="C1782" t="s">
        <v>27</v>
      </c>
      <c r="D1782">
        <v>2018</v>
      </c>
      <c r="E1782" s="2">
        <v>25</v>
      </c>
      <c r="F1782" s="2">
        <v>1375</v>
      </c>
      <c r="G1782" s="2">
        <v>1443.75</v>
      </c>
    </row>
    <row r="1783" spans="1:8" x14ac:dyDescent="0.3">
      <c r="A1783" t="s">
        <v>1027</v>
      </c>
      <c r="B1783" t="s">
        <v>297</v>
      </c>
      <c r="C1783" t="s">
        <v>298</v>
      </c>
      <c r="D1783">
        <v>2019</v>
      </c>
      <c r="E1783" s="2">
        <v>100</v>
      </c>
      <c r="F1783" s="2">
        <v>6000</v>
      </c>
      <c r="G1783" s="2">
        <v>6300</v>
      </c>
    </row>
    <row r="1784" spans="1:8" x14ac:dyDescent="0.3">
      <c r="A1784" t="s">
        <v>1027</v>
      </c>
      <c r="B1784" t="s">
        <v>297</v>
      </c>
      <c r="C1784" t="s">
        <v>298</v>
      </c>
      <c r="D1784">
        <v>2020</v>
      </c>
      <c r="E1784" s="2">
        <v>25</v>
      </c>
      <c r="F1784" s="2">
        <v>1500</v>
      </c>
      <c r="G1784" s="2">
        <v>1575</v>
      </c>
    </row>
    <row r="1785" spans="1:8" x14ac:dyDescent="0.3">
      <c r="A1785" t="s">
        <v>1027</v>
      </c>
      <c r="B1785" t="s">
        <v>668</v>
      </c>
      <c r="C1785" t="s">
        <v>669</v>
      </c>
      <c r="D1785">
        <v>2020</v>
      </c>
      <c r="E1785" s="2">
        <v>75</v>
      </c>
      <c r="F1785" s="2">
        <v>4500</v>
      </c>
      <c r="G1785" s="2">
        <v>4725</v>
      </c>
    </row>
    <row r="1786" spans="1:8" x14ac:dyDescent="0.3">
      <c r="A1786" t="s">
        <v>1027</v>
      </c>
      <c r="B1786" t="s">
        <v>702</v>
      </c>
      <c r="C1786" t="s">
        <v>703</v>
      </c>
      <c r="D1786">
        <v>2018</v>
      </c>
      <c r="E1786" s="2">
        <v>25</v>
      </c>
      <c r="F1786" s="2">
        <v>1375</v>
      </c>
      <c r="G1786" s="2">
        <v>1443.75</v>
      </c>
    </row>
    <row r="1787" spans="1:8" x14ac:dyDescent="0.3">
      <c r="A1787" t="s">
        <v>1027</v>
      </c>
      <c r="B1787" t="s">
        <v>32</v>
      </c>
      <c r="D1787">
        <v>2018</v>
      </c>
      <c r="E1787" s="2">
        <v>20</v>
      </c>
      <c r="F1787" s="2">
        <v>1500</v>
      </c>
      <c r="G1787" s="2">
        <v>1575</v>
      </c>
      <c r="H1787" s="3" t="s">
        <v>18</v>
      </c>
    </row>
    <row r="1788" spans="1:8" x14ac:dyDescent="0.3">
      <c r="A1788" t="s">
        <v>1027</v>
      </c>
      <c r="B1788" t="s">
        <v>32</v>
      </c>
      <c r="D1788">
        <v>2019</v>
      </c>
      <c r="E1788" s="2">
        <v>20</v>
      </c>
      <c r="F1788" s="2">
        <v>1500</v>
      </c>
      <c r="G1788" s="2">
        <v>1575</v>
      </c>
      <c r="H1788" s="3" t="s">
        <v>18</v>
      </c>
    </row>
    <row r="1789" spans="1:8" x14ac:dyDescent="0.3">
      <c r="A1789" t="s">
        <v>1027</v>
      </c>
      <c r="B1789" t="s">
        <v>32</v>
      </c>
      <c r="D1789">
        <v>2021</v>
      </c>
      <c r="E1789" s="2">
        <v>20</v>
      </c>
      <c r="F1789" s="2">
        <v>1500</v>
      </c>
      <c r="G1789" s="2">
        <v>1575</v>
      </c>
      <c r="H1789" s="3" t="s">
        <v>18</v>
      </c>
    </row>
    <row r="1790" spans="1:8" x14ac:dyDescent="0.3">
      <c r="A1790" t="s">
        <v>1028</v>
      </c>
      <c r="B1790" t="s">
        <v>1029</v>
      </c>
      <c r="D1790">
        <v>2010</v>
      </c>
      <c r="E1790" s="2">
        <v>110</v>
      </c>
      <c r="F1790" s="2">
        <v>20050.8</v>
      </c>
      <c r="G1790" s="2"/>
    </row>
    <row r="1791" spans="1:8" x14ac:dyDescent="0.3">
      <c r="A1791" t="s">
        <v>1028</v>
      </c>
      <c r="B1791" t="s">
        <v>1030</v>
      </c>
      <c r="D1791">
        <v>2010</v>
      </c>
      <c r="E1791" s="2">
        <v>381</v>
      </c>
      <c r="F1791" s="2">
        <v>67208.399999999994</v>
      </c>
      <c r="G1791" s="2"/>
    </row>
    <row r="1792" spans="1:8" x14ac:dyDescent="0.3">
      <c r="A1792" t="s">
        <v>1028</v>
      </c>
      <c r="B1792" t="s">
        <v>1031</v>
      </c>
      <c r="D1792">
        <v>2010</v>
      </c>
      <c r="E1792" s="2">
        <v>10</v>
      </c>
      <c r="F1792" s="2">
        <v>4487</v>
      </c>
      <c r="G1792" s="2"/>
    </row>
    <row r="1793" spans="1:7" x14ac:dyDescent="0.3">
      <c r="A1793" t="s">
        <v>1028</v>
      </c>
      <c r="B1793" t="s">
        <v>1032</v>
      </c>
      <c r="D1793">
        <v>2009</v>
      </c>
      <c r="E1793" s="2">
        <v>178</v>
      </c>
      <c r="F1793" s="2">
        <v>37380</v>
      </c>
      <c r="G1793" s="2"/>
    </row>
    <row r="1794" spans="1:7" x14ac:dyDescent="0.3">
      <c r="A1794" t="s">
        <v>1028</v>
      </c>
      <c r="B1794" t="s">
        <v>1033</v>
      </c>
      <c r="C1794" t="s">
        <v>1034</v>
      </c>
      <c r="D1794">
        <v>2011</v>
      </c>
      <c r="E1794" s="2">
        <v>25</v>
      </c>
      <c r="F1794" s="2">
        <v>4150</v>
      </c>
      <c r="G1794" s="2"/>
    </row>
    <row r="1795" spans="1:7" x14ac:dyDescent="0.3">
      <c r="A1795" t="s">
        <v>1028</v>
      </c>
      <c r="B1795" t="s">
        <v>1035</v>
      </c>
      <c r="C1795" t="s">
        <v>1036</v>
      </c>
      <c r="D1795">
        <v>2011</v>
      </c>
      <c r="E1795" s="2">
        <v>17</v>
      </c>
      <c r="F1795" s="2">
        <v>3434</v>
      </c>
      <c r="G1795" s="2"/>
    </row>
    <row r="1796" spans="1:7" x14ac:dyDescent="0.3">
      <c r="A1796" t="s">
        <v>1028</v>
      </c>
      <c r="B1796" t="s">
        <v>1037</v>
      </c>
      <c r="C1796" t="s">
        <v>1038</v>
      </c>
      <c r="D1796">
        <v>2009</v>
      </c>
      <c r="E1796" s="2">
        <v>85</v>
      </c>
      <c r="F1796" s="2">
        <v>16150</v>
      </c>
      <c r="G1796" s="2"/>
    </row>
    <row r="1797" spans="1:7" x14ac:dyDescent="0.3">
      <c r="A1797" t="s">
        <v>1028</v>
      </c>
      <c r="B1797" t="s">
        <v>393</v>
      </c>
      <c r="C1797" t="s">
        <v>947</v>
      </c>
      <c r="D1797">
        <v>2010</v>
      </c>
      <c r="E1797" s="2">
        <v>32</v>
      </c>
      <c r="F1797" s="2">
        <v>11305.92</v>
      </c>
      <c r="G1797" s="2"/>
    </row>
    <row r="1798" spans="1:7" x14ac:dyDescent="0.3">
      <c r="A1798" t="s">
        <v>1028</v>
      </c>
      <c r="B1798" t="s">
        <v>1039</v>
      </c>
      <c r="C1798" t="s">
        <v>1040</v>
      </c>
      <c r="D1798">
        <v>2009</v>
      </c>
      <c r="E1798" s="2">
        <v>55</v>
      </c>
      <c r="F1798" s="2">
        <v>11715</v>
      </c>
      <c r="G1798" s="2"/>
    </row>
    <row r="1799" spans="1:7" x14ac:dyDescent="0.3">
      <c r="A1799" t="s">
        <v>1028</v>
      </c>
      <c r="B1799" t="s">
        <v>1041</v>
      </c>
      <c r="C1799" t="s">
        <v>1042</v>
      </c>
      <c r="D1799">
        <v>2009</v>
      </c>
      <c r="E1799" s="2">
        <v>85</v>
      </c>
      <c r="F1799" s="2">
        <v>15895</v>
      </c>
      <c r="G1799" s="2"/>
    </row>
    <row r="1800" spans="1:7" x14ac:dyDescent="0.3">
      <c r="A1800" t="s">
        <v>1028</v>
      </c>
      <c r="B1800" t="s">
        <v>340</v>
      </c>
      <c r="C1800" t="s">
        <v>341</v>
      </c>
      <c r="D1800">
        <v>2010</v>
      </c>
      <c r="E1800" s="2">
        <v>153</v>
      </c>
      <c r="F1800" s="2">
        <v>32821.56</v>
      </c>
      <c r="G1800" s="2"/>
    </row>
    <row r="1801" spans="1:7" x14ac:dyDescent="0.3">
      <c r="A1801" t="s">
        <v>1028</v>
      </c>
      <c r="B1801" t="s">
        <v>1043</v>
      </c>
      <c r="C1801" t="s">
        <v>1044</v>
      </c>
      <c r="D1801">
        <v>2011</v>
      </c>
      <c r="E1801" s="2">
        <v>22</v>
      </c>
      <c r="F1801" s="2">
        <v>2992</v>
      </c>
      <c r="G1801" s="2"/>
    </row>
    <row r="1802" spans="1:7" x14ac:dyDescent="0.3">
      <c r="A1802" t="s">
        <v>1028</v>
      </c>
      <c r="B1802" t="s">
        <v>1045</v>
      </c>
      <c r="C1802" t="s">
        <v>1046</v>
      </c>
      <c r="D1802">
        <v>2016</v>
      </c>
      <c r="E1802" s="2">
        <v>25</v>
      </c>
      <c r="F1802" s="2">
        <v>3950.625</v>
      </c>
      <c r="G1802" s="2"/>
    </row>
    <row r="1803" spans="1:7" x14ac:dyDescent="0.3">
      <c r="A1803" t="s">
        <v>1028</v>
      </c>
      <c r="B1803" t="s">
        <v>1047</v>
      </c>
      <c r="C1803" t="s">
        <v>1048</v>
      </c>
      <c r="D1803">
        <v>2016</v>
      </c>
      <c r="E1803" s="2">
        <v>10</v>
      </c>
      <c r="F1803" s="2">
        <v>1653.75</v>
      </c>
      <c r="G1803" s="2"/>
    </row>
    <row r="1804" spans="1:7" x14ac:dyDescent="0.3">
      <c r="A1804" t="s">
        <v>1028</v>
      </c>
      <c r="B1804" t="s">
        <v>1049</v>
      </c>
      <c r="C1804" t="s">
        <v>1050</v>
      </c>
      <c r="D1804">
        <v>2016</v>
      </c>
      <c r="E1804" s="2">
        <v>20</v>
      </c>
      <c r="F1804" s="2">
        <v>3307.5</v>
      </c>
      <c r="G1804" s="2"/>
    </row>
    <row r="1805" spans="1:7" x14ac:dyDescent="0.3">
      <c r="A1805" t="s">
        <v>1028</v>
      </c>
      <c r="B1805" t="s">
        <v>1051</v>
      </c>
      <c r="C1805" t="s">
        <v>1052</v>
      </c>
      <c r="D1805">
        <v>2016</v>
      </c>
      <c r="E1805" s="2">
        <v>25</v>
      </c>
      <c r="F1805" s="2">
        <v>4961.25</v>
      </c>
      <c r="G1805" s="2"/>
    </row>
    <row r="1806" spans="1:7" x14ac:dyDescent="0.3">
      <c r="A1806" t="s">
        <v>1028</v>
      </c>
      <c r="B1806" t="s">
        <v>1053</v>
      </c>
      <c r="C1806" t="s">
        <v>1054</v>
      </c>
      <c r="D1806">
        <v>2011</v>
      </c>
      <c r="E1806" s="2">
        <v>22</v>
      </c>
      <c r="F1806" s="2">
        <v>5522</v>
      </c>
      <c r="G1806" s="2"/>
    </row>
    <row r="1807" spans="1:7" x14ac:dyDescent="0.3">
      <c r="A1807" t="s">
        <v>1028</v>
      </c>
      <c r="B1807" t="s">
        <v>1055</v>
      </c>
      <c r="C1807" t="s">
        <v>1056</v>
      </c>
      <c r="D1807">
        <v>2016</v>
      </c>
      <c r="E1807" s="2">
        <v>35</v>
      </c>
      <c r="F1807" s="2">
        <v>5916.75</v>
      </c>
      <c r="G1807" s="2"/>
    </row>
    <row r="1808" spans="1:7" x14ac:dyDescent="0.3">
      <c r="A1808" t="s">
        <v>1028</v>
      </c>
      <c r="B1808" t="s">
        <v>1057</v>
      </c>
      <c r="C1808" t="s">
        <v>1058</v>
      </c>
      <c r="D1808">
        <v>2009</v>
      </c>
      <c r="E1808" s="2">
        <v>55</v>
      </c>
      <c r="F1808" s="2">
        <v>29260</v>
      </c>
      <c r="G1808" s="2"/>
    </row>
    <row r="1809" spans="1:7" x14ac:dyDescent="0.3">
      <c r="A1809" t="s">
        <v>1028</v>
      </c>
      <c r="B1809" t="s">
        <v>1059</v>
      </c>
      <c r="C1809" t="s">
        <v>1060</v>
      </c>
      <c r="D1809">
        <v>2009</v>
      </c>
      <c r="E1809" s="2">
        <v>15</v>
      </c>
      <c r="F1809" s="2">
        <v>5235</v>
      </c>
      <c r="G1809" s="2"/>
    </row>
    <row r="1810" spans="1:7" x14ac:dyDescent="0.3">
      <c r="A1810" t="s">
        <v>1028</v>
      </c>
      <c r="B1810" t="s">
        <v>1061</v>
      </c>
      <c r="C1810" t="s">
        <v>1062</v>
      </c>
      <c r="D1810">
        <v>2016</v>
      </c>
      <c r="E1810" s="2">
        <v>25</v>
      </c>
      <c r="F1810" s="2">
        <v>4410</v>
      </c>
      <c r="G1810" s="2"/>
    </row>
    <row r="1811" spans="1:7" x14ac:dyDescent="0.3">
      <c r="A1811" t="s">
        <v>1028</v>
      </c>
      <c r="B1811" t="s">
        <v>1063</v>
      </c>
      <c r="C1811" t="s">
        <v>1064</v>
      </c>
      <c r="D1811">
        <v>2011</v>
      </c>
      <c r="E1811" s="2">
        <v>32</v>
      </c>
      <c r="F1811" s="2">
        <v>4704</v>
      </c>
      <c r="G1811" s="2"/>
    </row>
    <row r="1812" spans="1:7" x14ac:dyDescent="0.3">
      <c r="A1812" t="s">
        <v>1028</v>
      </c>
      <c r="B1812" t="s">
        <v>1065</v>
      </c>
      <c r="C1812" t="s">
        <v>1066</v>
      </c>
      <c r="D1812">
        <v>2009</v>
      </c>
      <c r="E1812" s="2">
        <v>22</v>
      </c>
      <c r="F1812" s="2">
        <v>4840</v>
      </c>
      <c r="G1812" s="2"/>
    </row>
    <row r="1813" spans="1:7" x14ac:dyDescent="0.3">
      <c r="A1813" t="s">
        <v>1028</v>
      </c>
      <c r="B1813" t="s">
        <v>1067</v>
      </c>
      <c r="C1813" t="s">
        <v>1068</v>
      </c>
      <c r="D1813">
        <v>2010</v>
      </c>
      <c r="E1813" s="2">
        <v>153</v>
      </c>
      <c r="F1813" s="2">
        <v>42229.53</v>
      </c>
      <c r="G1813" s="2"/>
    </row>
    <row r="1814" spans="1:7" x14ac:dyDescent="0.3">
      <c r="A1814" t="s">
        <v>1028</v>
      </c>
      <c r="B1814" t="s">
        <v>1069</v>
      </c>
      <c r="C1814" t="s">
        <v>1070</v>
      </c>
      <c r="D1814">
        <v>2009</v>
      </c>
      <c r="E1814" s="2">
        <v>25</v>
      </c>
      <c r="F1814" s="2">
        <v>4350</v>
      </c>
      <c r="G1814" s="2"/>
    </row>
    <row r="1815" spans="1:7" x14ac:dyDescent="0.3">
      <c r="A1815" t="s">
        <v>1028</v>
      </c>
      <c r="B1815" t="s">
        <v>1071</v>
      </c>
      <c r="C1815" t="s">
        <v>1072</v>
      </c>
      <c r="D1815">
        <v>2016</v>
      </c>
      <c r="E1815" s="2">
        <v>35</v>
      </c>
      <c r="F1815" s="2">
        <v>6045.375</v>
      </c>
      <c r="G1815" s="2"/>
    </row>
    <row r="1816" spans="1:7" x14ac:dyDescent="0.3">
      <c r="A1816" t="s">
        <v>1028</v>
      </c>
      <c r="B1816" t="s">
        <v>135</v>
      </c>
      <c r="C1816" t="s">
        <v>136</v>
      </c>
      <c r="D1816">
        <v>2010</v>
      </c>
      <c r="E1816" s="2">
        <v>35</v>
      </c>
      <c r="F1816" s="2">
        <v>43129.8</v>
      </c>
      <c r="G1816" s="2"/>
    </row>
    <row r="1817" spans="1:7" x14ac:dyDescent="0.3">
      <c r="A1817" t="s">
        <v>1028</v>
      </c>
      <c r="B1817" t="s">
        <v>1073</v>
      </c>
      <c r="C1817" t="s">
        <v>956</v>
      </c>
      <c r="D1817">
        <v>2011</v>
      </c>
      <c r="E1817" s="2">
        <v>36</v>
      </c>
      <c r="F1817" s="2">
        <v>7956</v>
      </c>
      <c r="G1817" s="2"/>
    </row>
    <row r="1818" spans="1:7" x14ac:dyDescent="0.3">
      <c r="A1818" t="s">
        <v>1028</v>
      </c>
      <c r="B1818" t="s">
        <v>1074</v>
      </c>
      <c r="C1818" t="s">
        <v>1075</v>
      </c>
      <c r="D1818">
        <v>2011</v>
      </c>
      <c r="E1818" s="2">
        <v>80</v>
      </c>
      <c r="F1818" s="2">
        <v>17600</v>
      </c>
      <c r="G1818" s="2"/>
    </row>
    <row r="1819" spans="1:7" x14ac:dyDescent="0.3">
      <c r="A1819" t="s">
        <v>1028</v>
      </c>
      <c r="B1819" t="s">
        <v>1076</v>
      </c>
      <c r="C1819" t="s">
        <v>1077</v>
      </c>
      <c r="D1819">
        <v>2016</v>
      </c>
      <c r="E1819" s="2">
        <v>150</v>
      </c>
      <c r="F1819" s="2">
        <v>27562.5</v>
      </c>
      <c r="G1819" s="2"/>
    </row>
    <row r="1820" spans="1:7" x14ac:dyDescent="0.3">
      <c r="A1820" t="s">
        <v>1028</v>
      </c>
      <c r="B1820" t="s">
        <v>1078</v>
      </c>
      <c r="C1820" t="s">
        <v>1079</v>
      </c>
      <c r="D1820">
        <v>2016</v>
      </c>
      <c r="E1820" s="2">
        <v>200</v>
      </c>
      <c r="F1820" s="2">
        <v>57330</v>
      </c>
      <c r="G1820" s="2"/>
    </row>
    <row r="1821" spans="1:7" x14ac:dyDescent="0.3">
      <c r="A1821" t="s">
        <v>1028</v>
      </c>
      <c r="B1821" t="s">
        <v>1080</v>
      </c>
      <c r="C1821" t="s">
        <v>1081</v>
      </c>
      <c r="D1821">
        <v>2009</v>
      </c>
      <c r="E1821" s="2">
        <v>100</v>
      </c>
      <c r="F1821" s="2">
        <v>15800</v>
      </c>
      <c r="G1821" s="2"/>
    </row>
    <row r="1822" spans="1:7" x14ac:dyDescent="0.3">
      <c r="A1822" t="s">
        <v>1082</v>
      </c>
      <c r="B1822" t="s">
        <v>1083</v>
      </c>
      <c r="C1822" t="s">
        <v>1084</v>
      </c>
      <c r="D1822">
        <v>2010</v>
      </c>
      <c r="E1822" s="2">
        <v>30</v>
      </c>
      <c r="F1822" s="2">
        <v>11139.9</v>
      </c>
      <c r="G1822" s="2"/>
    </row>
    <row r="1823" spans="1:7" x14ac:dyDescent="0.3">
      <c r="A1823" t="s">
        <v>1082</v>
      </c>
      <c r="B1823" t="s">
        <v>1085</v>
      </c>
      <c r="C1823" t="s">
        <v>1086</v>
      </c>
      <c r="D1823">
        <v>2010</v>
      </c>
      <c r="E1823" s="2">
        <v>110</v>
      </c>
      <c r="F1823" s="2">
        <v>14647.6</v>
      </c>
      <c r="G1823" s="2"/>
    </row>
    <row r="1824" spans="1:7" x14ac:dyDescent="0.3">
      <c r="A1824" t="s">
        <v>1082</v>
      </c>
      <c r="B1824" t="s">
        <v>1087</v>
      </c>
      <c r="C1824" t="s">
        <v>903</v>
      </c>
      <c r="D1824">
        <v>2012</v>
      </c>
      <c r="E1824" s="2">
        <v>15</v>
      </c>
      <c r="F1824" s="2">
        <v>4500</v>
      </c>
      <c r="G1824" s="2"/>
    </row>
    <row r="1825" spans="1:8" x14ac:dyDescent="0.3">
      <c r="A1825" t="s">
        <v>1082</v>
      </c>
      <c r="B1825" t="s">
        <v>1088</v>
      </c>
      <c r="C1825" t="s">
        <v>1089</v>
      </c>
      <c r="D1825">
        <v>2012</v>
      </c>
      <c r="E1825" s="2">
        <v>25</v>
      </c>
      <c r="F1825" s="2">
        <v>5625</v>
      </c>
      <c r="G1825" s="2"/>
    </row>
    <row r="1826" spans="1:8" x14ac:dyDescent="0.3">
      <c r="A1826" t="s">
        <v>1082</v>
      </c>
      <c r="B1826" t="s">
        <v>799</v>
      </c>
      <c r="C1826" t="s">
        <v>800</v>
      </c>
      <c r="D1826">
        <v>2009</v>
      </c>
      <c r="E1826" s="2">
        <v>70</v>
      </c>
      <c r="F1826" s="2">
        <v>11550</v>
      </c>
      <c r="G1826" s="2"/>
    </row>
    <row r="1827" spans="1:8" x14ac:dyDescent="0.3">
      <c r="A1827" t="s">
        <v>1082</v>
      </c>
      <c r="B1827" t="s">
        <v>799</v>
      </c>
      <c r="C1827" t="s">
        <v>800</v>
      </c>
      <c r="D1827">
        <v>2010</v>
      </c>
      <c r="E1827" s="2">
        <v>100</v>
      </c>
      <c r="F1827" s="2">
        <v>16858</v>
      </c>
      <c r="G1827" s="2"/>
    </row>
    <row r="1828" spans="1:8" x14ac:dyDescent="0.3">
      <c r="A1828" t="s">
        <v>1082</v>
      </c>
      <c r="B1828" t="s">
        <v>857</v>
      </c>
      <c r="C1828" t="s">
        <v>1090</v>
      </c>
      <c r="D1828">
        <v>2012</v>
      </c>
      <c r="E1828" s="2">
        <v>50</v>
      </c>
      <c r="F1828" s="2">
        <v>15000</v>
      </c>
      <c r="G1828" s="2"/>
    </row>
    <row r="1829" spans="1:8" x14ac:dyDescent="0.3">
      <c r="A1829" t="s">
        <v>1091</v>
      </c>
      <c r="B1829" t="s">
        <v>417</v>
      </c>
      <c r="C1829" t="s">
        <v>418</v>
      </c>
      <c r="D1829">
        <v>2021</v>
      </c>
      <c r="E1829" s="2">
        <v>25</v>
      </c>
      <c r="F1829" s="2">
        <v>1600</v>
      </c>
      <c r="G1829" s="2">
        <v>1680</v>
      </c>
      <c r="H1829" s="3" t="s">
        <v>18</v>
      </c>
    </row>
    <row r="1830" spans="1:8" x14ac:dyDescent="0.3">
      <c r="A1830" t="s">
        <v>1091</v>
      </c>
      <c r="B1830" t="s">
        <v>863</v>
      </c>
      <c r="D1830">
        <v>2019</v>
      </c>
      <c r="E1830" s="2">
        <v>20</v>
      </c>
      <c r="F1830" s="2">
        <v>1700</v>
      </c>
      <c r="G1830" s="2">
        <v>1785</v>
      </c>
    </row>
    <row r="1831" spans="1:8" x14ac:dyDescent="0.3">
      <c r="A1831" t="s">
        <v>1091</v>
      </c>
      <c r="B1831" t="s">
        <v>240</v>
      </c>
      <c r="D1831">
        <v>2021</v>
      </c>
      <c r="E1831" s="2">
        <v>5</v>
      </c>
      <c r="F1831" s="2">
        <v>350</v>
      </c>
      <c r="G1831" s="2">
        <v>367.5</v>
      </c>
      <c r="H1831" s="3" t="s">
        <v>18</v>
      </c>
    </row>
    <row r="1832" spans="1:8" x14ac:dyDescent="0.3">
      <c r="A1832" t="s">
        <v>1091</v>
      </c>
      <c r="B1832" t="s">
        <v>32</v>
      </c>
      <c r="D1832">
        <v>2019</v>
      </c>
      <c r="E1832" s="2">
        <v>20</v>
      </c>
      <c r="F1832" s="2">
        <v>1460</v>
      </c>
      <c r="G1832" s="2">
        <v>1533</v>
      </c>
    </row>
    <row r="1833" spans="1:8" x14ac:dyDescent="0.3">
      <c r="A1833" t="s">
        <v>1092</v>
      </c>
      <c r="B1833" t="s">
        <v>1093</v>
      </c>
      <c r="C1833" t="s">
        <v>169</v>
      </c>
      <c r="D1833">
        <v>2018</v>
      </c>
      <c r="E1833" s="2">
        <v>0.5</v>
      </c>
      <c r="F1833" s="2">
        <v>115</v>
      </c>
      <c r="G1833" s="2">
        <v>120.75</v>
      </c>
    </row>
    <row r="1834" spans="1:8" x14ac:dyDescent="0.3">
      <c r="A1834" t="s">
        <v>1092</v>
      </c>
      <c r="B1834" t="s">
        <v>51</v>
      </c>
      <c r="C1834" t="s">
        <v>52</v>
      </c>
      <c r="D1834">
        <v>2018</v>
      </c>
      <c r="E1834" s="2">
        <v>0.5</v>
      </c>
      <c r="F1834" s="2">
        <v>125</v>
      </c>
      <c r="G1834" s="2">
        <v>131.25</v>
      </c>
    </row>
    <row r="1835" spans="1:8" x14ac:dyDescent="0.3">
      <c r="A1835" t="s">
        <v>1092</v>
      </c>
      <c r="B1835" t="s">
        <v>1094</v>
      </c>
      <c r="C1835" t="s">
        <v>209</v>
      </c>
      <c r="D1835">
        <v>2018</v>
      </c>
      <c r="E1835" s="2">
        <v>0.5</v>
      </c>
      <c r="F1835" s="2">
        <v>100</v>
      </c>
      <c r="G1835" s="2">
        <v>105</v>
      </c>
    </row>
    <row r="1836" spans="1:8" x14ac:dyDescent="0.3">
      <c r="A1836" t="s">
        <v>1092</v>
      </c>
      <c r="B1836" t="s">
        <v>391</v>
      </c>
      <c r="C1836" t="s">
        <v>1095</v>
      </c>
      <c r="D1836">
        <v>2018</v>
      </c>
      <c r="E1836" s="2">
        <v>0.5</v>
      </c>
      <c r="F1836" s="2">
        <v>90</v>
      </c>
      <c r="G1836" s="2">
        <v>94.5</v>
      </c>
    </row>
    <row r="1837" spans="1:8" x14ac:dyDescent="0.3">
      <c r="A1837" t="s">
        <v>1092</v>
      </c>
      <c r="B1837" t="s">
        <v>393</v>
      </c>
      <c r="C1837" t="s">
        <v>394</v>
      </c>
      <c r="D1837">
        <v>2018</v>
      </c>
      <c r="E1837" s="2">
        <v>0.5</v>
      </c>
      <c r="F1837" s="2">
        <v>100</v>
      </c>
      <c r="G1837" s="2">
        <v>105</v>
      </c>
    </row>
    <row r="1838" spans="1:8" x14ac:dyDescent="0.3">
      <c r="A1838" t="s">
        <v>1092</v>
      </c>
      <c r="B1838" t="s">
        <v>82</v>
      </c>
      <c r="C1838" t="s">
        <v>83</v>
      </c>
      <c r="D1838">
        <v>2018</v>
      </c>
      <c r="E1838" s="2">
        <v>1</v>
      </c>
      <c r="F1838" s="2">
        <v>500</v>
      </c>
      <c r="G1838" s="2">
        <v>525</v>
      </c>
    </row>
    <row r="1839" spans="1:8" x14ac:dyDescent="0.3">
      <c r="A1839" t="s">
        <v>1092</v>
      </c>
      <c r="B1839" t="s">
        <v>581</v>
      </c>
      <c r="C1839" t="s">
        <v>582</v>
      </c>
      <c r="D1839">
        <v>2018</v>
      </c>
      <c r="E1839" s="2">
        <v>1.5</v>
      </c>
      <c r="F1839" s="2">
        <v>285.24</v>
      </c>
      <c r="G1839" s="2">
        <v>299.50200000000001</v>
      </c>
    </row>
    <row r="1840" spans="1:8" x14ac:dyDescent="0.3">
      <c r="A1840" t="s">
        <v>1092</v>
      </c>
      <c r="B1840" t="s">
        <v>395</v>
      </c>
      <c r="D1840">
        <v>2018</v>
      </c>
      <c r="E1840" s="2">
        <v>1</v>
      </c>
      <c r="F1840" s="2">
        <v>280</v>
      </c>
      <c r="G1840" s="2">
        <v>294</v>
      </c>
    </row>
    <row r="1841" spans="1:7" x14ac:dyDescent="0.3">
      <c r="A1841" t="s">
        <v>1092</v>
      </c>
      <c r="B1841" t="s">
        <v>824</v>
      </c>
      <c r="C1841" t="s">
        <v>825</v>
      </c>
      <c r="D1841">
        <v>2018</v>
      </c>
      <c r="E1841" s="2">
        <v>0.5</v>
      </c>
      <c r="F1841" s="2">
        <v>100</v>
      </c>
      <c r="G1841" s="2">
        <v>105</v>
      </c>
    </row>
    <row r="1842" spans="1:7" x14ac:dyDescent="0.3">
      <c r="A1842" t="s">
        <v>1092</v>
      </c>
      <c r="B1842" t="s">
        <v>363</v>
      </c>
      <c r="C1842" t="s">
        <v>364</v>
      </c>
      <c r="D1842">
        <v>2018</v>
      </c>
      <c r="E1842" s="2">
        <v>0.5</v>
      </c>
      <c r="F1842" s="2">
        <v>100</v>
      </c>
      <c r="G1842" s="2">
        <v>105</v>
      </c>
    </row>
    <row r="1843" spans="1:7" x14ac:dyDescent="0.3">
      <c r="A1843" t="s">
        <v>1092</v>
      </c>
      <c r="B1843" t="s">
        <v>95</v>
      </c>
      <c r="C1843" t="s">
        <v>96</v>
      </c>
      <c r="D1843">
        <v>2018</v>
      </c>
      <c r="E1843" s="2">
        <v>0.5</v>
      </c>
      <c r="F1843" s="2">
        <v>105</v>
      </c>
      <c r="G1843" s="2">
        <v>110.25</v>
      </c>
    </row>
    <row r="1844" spans="1:7" x14ac:dyDescent="0.3">
      <c r="A1844" t="s">
        <v>1092</v>
      </c>
      <c r="B1844" t="s">
        <v>99</v>
      </c>
      <c r="C1844" t="s">
        <v>100</v>
      </c>
      <c r="D1844">
        <v>2018</v>
      </c>
      <c r="E1844" s="2">
        <v>0.5</v>
      </c>
      <c r="F1844" s="2">
        <v>125</v>
      </c>
      <c r="G1844" s="2">
        <v>131.25</v>
      </c>
    </row>
    <row r="1845" spans="1:7" x14ac:dyDescent="0.3">
      <c r="A1845" t="s">
        <v>1092</v>
      </c>
      <c r="B1845" t="s">
        <v>60</v>
      </c>
      <c r="C1845" t="s">
        <v>61</v>
      </c>
      <c r="D1845">
        <v>2018</v>
      </c>
      <c r="E1845" s="2">
        <v>1.5</v>
      </c>
      <c r="F1845" s="2">
        <v>215</v>
      </c>
      <c r="G1845" s="2">
        <v>225.75</v>
      </c>
    </row>
    <row r="1846" spans="1:7" x14ac:dyDescent="0.3">
      <c r="A1846" t="s">
        <v>1092</v>
      </c>
      <c r="B1846" t="s">
        <v>297</v>
      </c>
      <c r="C1846" t="s">
        <v>298</v>
      </c>
      <c r="D1846">
        <v>2018</v>
      </c>
      <c r="E1846" s="2">
        <v>0.5</v>
      </c>
      <c r="F1846" s="2">
        <v>75.239999999999995</v>
      </c>
      <c r="G1846" s="2">
        <v>79.001999999999995</v>
      </c>
    </row>
    <row r="1847" spans="1:7" x14ac:dyDescent="0.3">
      <c r="A1847" t="s">
        <v>1092</v>
      </c>
      <c r="B1847" t="s">
        <v>108</v>
      </c>
      <c r="C1847" t="s">
        <v>109</v>
      </c>
      <c r="D1847">
        <v>2018</v>
      </c>
      <c r="E1847" s="2">
        <v>0.5</v>
      </c>
      <c r="F1847" s="2">
        <v>125</v>
      </c>
      <c r="G1847" s="2">
        <v>131.25</v>
      </c>
    </row>
    <row r="1848" spans="1:7" x14ac:dyDescent="0.3">
      <c r="A1848" t="s">
        <v>1092</v>
      </c>
      <c r="B1848" t="s">
        <v>555</v>
      </c>
      <c r="C1848" t="s">
        <v>259</v>
      </c>
      <c r="D1848">
        <v>2018</v>
      </c>
      <c r="E1848" s="2">
        <v>0.5</v>
      </c>
      <c r="F1848" s="2">
        <v>120</v>
      </c>
      <c r="G1848" s="2">
        <v>126</v>
      </c>
    </row>
    <row r="1849" spans="1:7" x14ac:dyDescent="0.3">
      <c r="A1849" t="s">
        <v>1092</v>
      </c>
      <c r="B1849" t="s">
        <v>112</v>
      </c>
      <c r="C1849" t="s">
        <v>113</v>
      </c>
      <c r="D1849">
        <v>2018</v>
      </c>
      <c r="E1849" s="2">
        <v>0.5</v>
      </c>
      <c r="F1849" s="2">
        <v>120</v>
      </c>
      <c r="G1849" s="2">
        <v>126</v>
      </c>
    </row>
    <row r="1850" spans="1:7" x14ac:dyDescent="0.3">
      <c r="A1850" t="s">
        <v>1092</v>
      </c>
      <c r="B1850" t="s">
        <v>120</v>
      </c>
      <c r="C1850" t="s">
        <v>121</v>
      </c>
      <c r="D1850">
        <v>2018</v>
      </c>
      <c r="E1850" s="2">
        <v>0.5</v>
      </c>
      <c r="F1850" s="2">
        <v>52.5</v>
      </c>
      <c r="G1850" s="2">
        <v>55.125</v>
      </c>
    </row>
    <row r="1851" spans="1:7" x14ac:dyDescent="0.3">
      <c r="A1851" t="s">
        <v>1092</v>
      </c>
      <c r="B1851" t="s">
        <v>125</v>
      </c>
      <c r="D1851">
        <v>2018</v>
      </c>
      <c r="E1851" s="2">
        <v>1.5</v>
      </c>
      <c r="F1851" s="2">
        <v>350</v>
      </c>
      <c r="G1851" s="2">
        <v>367.5</v>
      </c>
    </row>
    <row r="1852" spans="1:7" x14ac:dyDescent="0.3">
      <c r="A1852" t="s">
        <v>1092</v>
      </c>
      <c r="B1852" t="s">
        <v>135</v>
      </c>
      <c r="C1852" t="s">
        <v>331</v>
      </c>
      <c r="D1852">
        <v>2018</v>
      </c>
      <c r="E1852" s="2">
        <v>10</v>
      </c>
      <c r="F1852" s="2">
        <v>100</v>
      </c>
      <c r="G1852" s="2">
        <v>105</v>
      </c>
    </row>
    <row r="1853" spans="1:7" x14ac:dyDescent="0.3">
      <c r="A1853" t="s">
        <v>1092</v>
      </c>
      <c r="B1853" t="s">
        <v>142</v>
      </c>
      <c r="C1853" t="s">
        <v>143</v>
      </c>
      <c r="D1853">
        <v>2018</v>
      </c>
      <c r="E1853" s="2">
        <v>0.5</v>
      </c>
      <c r="F1853" s="2">
        <v>120</v>
      </c>
      <c r="G1853" s="2">
        <v>126</v>
      </c>
    </row>
    <row r="1854" spans="1:7" x14ac:dyDescent="0.3">
      <c r="A1854" t="s">
        <v>1092</v>
      </c>
      <c r="B1854" t="s">
        <v>584</v>
      </c>
      <c r="C1854" t="s">
        <v>413</v>
      </c>
      <c r="D1854">
        <v>2018</v>
      </c>
      <c r="E1854" s="2">
        <v>0.5</v>
      </c>
      <c r="F1854" s="2">
        <v>120</v>
      </c>
      <c r="G1854" s="2">
        <v>126</v>
      </c>
    </row>
    <row r="1855" spans="1:7" x14ac:dyDescent="0.3">
      <c r="A1855" t="s">
        <v>1092</v>
      </c>
      <c r="B1855" t="s">
        <v>318</v>
      </c>
      <c r="C1855" t="s">
        <v>319</v>
      </c>
      <c r="D1855">
        <v>2018</v>
      </c>
      <c r="E1855" s="2">
        <v>0.5</v>
      </c>
      <c r="F1855" s="2">
        <v>110</v>
      </c>
      <c r="G1855" s="2">
        <v>115.5</v>
      </c>
    </row>
    <row r="1856" spans="1:7" x14ac:dyDescent="0.3">
      <c r="A1856" t="s">
        <v>1092</v>
      </c>
      <c r="B1856" t="s">
        <v>236</v>
      </c>
      <c r="C1856" t="s">
        <v>237</v>
      </c>
      <c r="D1856">
        <v>2018</v>
      </c>
      <c r="E1856" s="2">
        <v>0.5</v>
      </c>
      <c r="F1856" s="2">
        <v>110</v>
      </c>
      <c r="G1856" s="2">
        <v>115.5</v>
      </c>
    </row>
    <row r="1857" spans="1:8" x14ac:dyDescent="0.3">
      <c r="A1857" t="s">
        <v>1092</v>
      </c>
      <c r="B1857" t="s">
        <v>159</v>
      </c>
      <c r="C1857" t="s">
        <v>160</v>
      </c>
      <c r="D1857">
        <v>2018</v>
      </c>
      <c r="E1857" s="2">
        <v>0.5</v>
      </c>
      <c r="F1857" s="2">
        <v>120</v>
      </c>
      <c r="G1857" s="2">
        <v>126</v>
      </c>
    </row>
    <row r="1858" spans="1:8" x14ac:dyDescent="0.3">
      <c r="A1858" t="s">
        <v>1096</v>
      </c>
      <c r="B1858" t="s">
        <v>1097</v>
      </c>
      <c r="C1858" t="s">
        <v>1098</v>
      </c>
      <c r="D1858">
        <v>2020</v>
      </c>
      <c r="E1858" s="2">
        <v>20</v>
      </c>
      <c r="F1858" s="2">
        <v>1380</v>
      </c>
      <c r="G1858" s="2">
        <v>1380</v>
      </c>
      <c r="H1858" s="3" t="s">
        <v>1099</v>
      </c>
    </row>
    <row r="1859" spans="1:8" x14ac:dyDescent="0.3">
      <c r="A1859" t="s">
        <v>1096</v>
      </c>
      <c r="B1859" t="s">
        <v>1097</v>
      </c>
      <c r="C1859" t="s">
        <v>1098</v>
      </c>
      <c r="D1859">
        <v>2021</v>
      </c>
      <c r="E1859" s="2">
        <v>20</v>
      </c>
      <c r="F1859" s="2">
        <v>1380</v>
      </c>
      <c r="G1859" s="2">
        <v>1449</v>
      </c>
      <c r="H1859" s="3" t="s">
        <v>1099</v>
      </c>
    </row>
    <row r="1860" spans="1:8" x14ac:dyDescent="0.3">
      <c r="A1860" t="s">
        <v>1096</v>
      </c>
      <c r="B1860" t="s">
        <v>19</v>
      </c>
      <c r="C1860" t="s">
        <v>20</v>
      </c>
      <c r="D1860">
        <v>2021</v>
      </c>
      <c r="E1860" s="2">
        <v>5</v>
      </c>
      <c r="F1860" s="2">
        <v>350</v>
      </c>
      <c r="G1860" s="2">
        <v>367.5</v>
      </c>
      <c r="H1860" s="3" t="s">
        <v>374</v>
      </c>
    </row>
    <row r="1861" spans="1:8" x14ac:dyDescent="0.3">
      <c r="A1861" t="s">
        <v>1096</v>
      </c>
      <c r="B1861" t="s">
        <v>64</v>
      </c>
      <c r="C1861" t="s">
        <v>65</v>
      </c>
      <c r="D1861">
        <v>2020</v>
      </c>
      <c r="E1861" s="2">
        <v>5</v>
      </c>
      <c r="F1861" s="2">
        <v>290</v>
      </c>
      <c r="G1861" s="2">
        <v>290</v>
      </c>
      <c r="H1861" s="3" t="s">
        <v>495</v>
      </c>
    </row>
    <row r="1862" spans="1:8" x14ac:dyDescent="0.3">
      <c r="A1862" t="s">
        <v>1096</v>
      </c>
      <c r="B1862" t="s">
        <v>64</v>
      </c>
      <c r="C1862" t="s">
        <v>65</v>
      </c>
      <c r="D1862">
        <v>2021</v>
      </c>
      <c r="E1862" s="2">
        <v>5</v>
      </c>
      <c r="F1862" s="2">
        <v>290</v>
      </c>
      <c r="G1862" s="2">
        <v>304.5</v>
      </c>
      <c r="H1862" s="3" t="s">
        <v>495</v>
      </c>
    </row>
    <row r="1863" spans="1:8" x14ac:dyDescent="0.3">
      <c r="A1863" t="s">
        <v>1096</v>
      </c>
      <c r="B1863" t="s">
        <v>1100</v>
      </c>
      <c r="C1863" t="s">
        <v>1101</v>
      </c>
      <c r="D1863">
        <v>2021</v>
      </c>
      <c r="E1863" s="2">
        <v>5</v>
      </c>
      <c r="F1863" s="2">
        <v>390</v>
      </c>
      <c r="G1863" s="2">
        <v>409.5</v>
      </c>
      <c r="H1863" s="3" t="s">
        <v>147</v>
      </c>
    </row>
    <row r="1864" spans="1:8" x14ac:dyDescent="0.3">
      <c r="A1864" t="s">
        <v>1102</v>
      </c>
      <c r="B1864" t="s">
        <v>532</v>
      </c>
      <c r="C1864" t="s">
        <v>452</v>
      </c>
      <c r="D1864">
        <v>2019</v>
      </c>
      <c r="E1864" s="2">
        <v>50</v>
      </c>
      <c r="F1864" s="2">
        <v>3750</v>
      </c>
      <c r="G1864" s="2">
        <v>3750</v>
      </c>
    </row>
    <row r="1865" spans="1:8" x14ac:dyDescent="0.3">
      <c r="A1865" t="s">
        <v>1102</v>
      </c>
      <c r="B1865" t="s">
        <v>721</v>
      </c>
      <c r="C1865" t="s">
        <v>722</v>
      </c>
      <c r="D1865">
        <v>2019</v>
      </c>
      <c r="E1865" s="2">
        <v>50</v>
      </c>
      <c r="F1865" s="2">
        <v>6825</v>
      </c>
      <c r="G1865" s="2">
        <v>6825</v>
      </c>
    </row>
    <row r="1866" spans="1:8" x14ac:dyDescent="0.3">
      <c r="A1866" t="s">
        <v>1102</v>
      </c>
      <c r="B1866" t="s">
        <v>246</v>
      </c>
      <c r="C1866" t="s">
        <v>247</v>
      </c>
      <c r="D1866">
        <v>2019</v>
      </c>
      <c r="E1866" s="2">
        <v>25</v>
      </c>
      <c r="F1866" s="2">
        <v>1875</v>
      </c>
      <c r="G1866" s="2">
        <v>1875</v>
      </c>
    </row>
    <row r="1867" spans="1:8" x14ac:dyDescent="0.3">
      <c r="A1867" t="s">
        <v>1102</v>
      </c>
      <c r="B1867" t="s">
        <v>246</v>
      </c>
      <c r="C1867" t="s">
        <v>247</v>
      </c>
      <c r="D1867">
        <v>2020</v>
      </c>
      <c r="E1867" s="2">
        <v>50</v>
      </c>
      <c r="F1867" s="2">
        <v>3750</v>
      </c>
      <c r="G1867" s="2">
        <v>3750</v>
      </c>
    </row>
    <row r="1868" spans="1:8" x14ac:dyDescent="0.3">
      <c r="A1868" t="s">
        <v>1102</v>
      </c>
      <c r="B1868" t="s">
        <v>453</v>
      </c>
      <c r="D1868">
        <v>2019</v>
      </c>
      <c r="E1868" s="2">
        <v>70</v>
      </c>
      <c r="F1868" s="2">
        <v>4620</v>
      </c>
      <c r="G1868" s="2">
        <v>4620</v>
      </c>
    </row>
    <row r="1869" spans="1:8" x14ac:dyDescent="0.3">
      <c r="A1869" t="s">
        <v>1102</v>
      </c>
      <c r="B1869" t="s">
        <v>253</v>
      </c>
      <c r="C1869" t="s">
        <v>254</v>
      </c>
      <c r="D1869">
        <v>2019</v>
      </c>
      <c r="E1869" s="2">
        <v>25</v>
      </c>
      <c r="F1869" s="2">
        <v>1875</v>
      </c>
      <c r="G1869" s="2">
        <v>1875</v>
      </c>
    </row>
    <row r="1870" spans="1:8" x14ac:dyDescent="0.3">
      <c r="A1870" t="s">
        <v>1102</v>
      </c>
      <c r="B1870" t="s">
        <v>1013</v>
      </c>
      <c r="C1870" t="s">
        <v>1014</v>
      </c>
      <c r="D1870">
        <v>2019</v>
      </c>
      <c r="E1870" s="2">
        <v>25</v>
      </c>
      <c r="F1870" s="2">
        <v>1875</v>
      </c>
      <c r="G1870" s="2">
        <v>1875</v>
      </c>
    </row>
    <row r="1871" spans="1:8" x14ac:dyDescent="0.3">
      <c r="A1871" t="s">
        <v>1102</v>
      </c>
      <c r="B1871" t="s">
        <v>641</v>
      </c>
      <c r="C1871" t="s">
        <v>289</v>
      </c>
      <c r="D1871">
        <v>2019</v>
      </c>
      <c r="E1871" s="2">
        <v>150</v>
      </c>
      <c r="F1871" s="2">
        <v>12250</v>
      </c>
      <c r="G1871" s="2">
        <v>12250</v>
      </c>
    </row>
    <row r="1872" spans="1:8" x14ac:dyDescent="0.3">
      <c r="A1872" t="s">
        <v>1102</v>
      </c>
      <c r="B1872" t="s">
        <v>1103</v>
      </c>
      <c r="C1872" t="s">
        <v>224</v>
      </c>
      <c r="D1872">
        <v>2019</v>
      </c>
      <c r="E1872" s="2">
        <v>25</v>
      </c>
      <c r="F1872" s="2">
        <v>1875</v>
      </c>
      <c r="G1872" s="2">
        <v>1875</v>
      </c>
    </row>
    <row r="1873" spans="1:7" x14ac:dyDescent="0.3">
      <c r="A1873" t="s">
        <v>1102</v>
      </c>
      <c r="B1873" t="s">
        <v>461</v>
      </c>
      <c r="D1873">
        <v>2019</v>
      </c>
      <c r="E1873" s="2">
        <v>10</v>
      </c>
      <c r="F1873" s="2">
        <v>800</v>
      </c>
      <c r="G1873" s="2">
        <v>800</v>
      </c>
    </row>
    <row r="1874" spans="1:7" x14ac:dyDescent="0.3">
      <c r="A1874" t="s">
        <v>1102</v>
      </c>
      <c r="B1874" t="s">
        <v>461</v>
      </c>
      <c r="D1874">
        <v>2020</v>
      </c>
      <c r="E1874" s="2">
        <v>20</v>
      </c>
      <c r="F1874" s="2">
        <v>1600</v>
      </c>
      <c r="G1874" s="2">
        <v>1600</v>
      </c>
    </row>
    <row r="1875" spans="1:7" x14ac:dyDescent="0.3">
      <c r="A1875" t="s">
        <v>1102</v>
      </c>
      <c r="B1875" t="s">
        <v>35</v>
      </c>
      <c r="D1875">
        <v>2019</v>
      </c>
      <c r="E1875" s="2">
        <v>10</v>
      </c>
      <c r="F1875" s="2">
        <v>700</v>
      </c>
      <c r="G1875" s="2">
        <v>700</v>
      </c>
    </row>
    <row r="1876" spans="1:7" x14ac:dyDescent="0.3">
      <c r="A1876" t="s">
        <v>1102</v>
      </c>
      <c r="B1876" t="s">
        <v>666</v>
      </c>
      <c r="C1876" t="s">
        <v>667</v>
      </c>
      <c r="D1876">
        <v>2019</v>
      </c>
      <c r="E1876" s="2">
        <v>50</v>
      </c>
      <c r="F1876" s="2">
        <v>2750</v>
      </c>
      <c r="G1876" s="2">
        <v>2750</v>
      </c>
    </row>
    <row r="1877" spans="1:7" x14ac:dyDescent="0.3">
      <c r="A1877" t="s">
        <v>1102</v>
      </c>
      <c r="B1877" t="s">
        <v>26</v>
      </c>
      <c r="C1877" t="s">
        <v>27</v>
      </c>
      <c r="D1877">
        <v>2019</v>
      </c>
      <c r="E1877" s="2">
        <v>100</v>
      </c>
      <c r="F1877" s="2">
        <v>5500</v>
      </c>
      <c r="G1877" s="2">
        <v>5500</v>
      </c>
    </row>
    <row r="1878" spans="1:7" x14ac:dyDescent="0.3">
      <c r="A1878" t="s">
        <v>1102</v>
      </c>
      <c r="B1878" t="s">
        <v>686</v>
      </c>
      <c r="C1878" t="s">
        <v>866</v>
      </c>
      <c r="D1878">
        <v>2019</v>
      </c>
      <c r="E1878" s="2">
        <v>100</v>
      </c>
      <c r="F1878" s="2">
        <v>5500</v>
      </c>
      <c r="G1878" s="2">
        <v>5500</v>
      </c>
    </row>
    <row r="1879" spans="1:7" x14ac:dyDescent="0.3">
      <c r="A1879" t="s">
        <v>1102</v>
      </c>
      <c r="B1879" t="s">
        <v>567</v>
      </c>
      <c r="C1879" t="s">
        <v>698</v>
      </c>
      <c r="D1879">
        <v>2019</v>
      </c>
      <c r="E1879" s="2">
        <v>300</v>
      </c>
      <c r="F1879" s="2">
        <v>21000</v>
      </c>
      <c r="G1879" s="2">
        <v>21000</v>
      </c>
    </row>
    <row r="1880" spans="1:7" x14ac:dyDescent="0.3">
      <c r="A1880" t="s">
        <v>1102</v>
      </c>
      <c r="B1880" t="s">
        <v>257</v>
      </c>
      <c r="C1880" t="s">
        <v>61</v>
      </c>
      <c r="D1880">
        <v>2019</v>
      </c>
      <c r="E1880" s="2">
        <v>50</v>
      </c>
      <c r="F1880" s="2">
        <v>3750</v>
      </c>
      <c r="G1880" s="2">
        <v>3750</v>
      </c>
    </row>
    <row r="1881" spans="1:7" x14ac:dyDescent="0.3">
      <c r="A1881" t="s">
        <v>1102</v>
      </c>
      <c r="B1881" t="s">
        <v>297</v>
      </c>
      <c r="C1881" t="s">
        <v>298</v>
      </c>
      <c r="D1881">
        <v>2019</v>
      </c>
      <c r="E1881" s="2">
        <v>50</v>
      </c>
      <c r="F1881" s="2">
        <v>3250</v>
      </c>
      <c r="G1881" s="2">
        <v>3250</v>
      </c>
    </row>
    <row r="1882" spans="1:7" x14ac:dyDescent="0.3">
      <c r="A1882" t="s">
        <v>1102</v>
      </c>
      <c r="B1882" t="s">
        <v>1015</v>
      </c>
      <c r="C1882" t="s">
        <v>1016</v>
      </c>
      <c r="D1882">
        <v>2019</v>
      </c>
      <c r="E1882" s="2">
        <v>50</v>
      </c>
      <c r="F1882" s="2">
        <v>3750</v>
      </c>
      <c r="G1882" s="2">
        <v>3750</v>
      </c>
    </row>
    <row r="1883" spans="1:7" x14ac:dyDescent="0.3">
      <c r="A1883" t="s">
        <v>1102</v>
      </c>
      <c r="B1883" t="s">
        <v>543</v>
      </c>
      <c r="C1883" t="s">
        <v>544</v>
      </c>
      <c r="D1883">
        <v>2019</v>
      </c>
      <c r="E1883" s="2">
        <v>25</v>
      </c>
      <c r="F1883" s="2">
        <v>1750</v>
      </c>
      <c r="G1883" s="2">
        <v>1750</v>
      </c>
    </row>
    <row r="1884" spans="1:7" x14ac:dyDescent="0.3">
      <c r="A1884" t="s">
        <v>1102</v>
      </c>
      <c r="B1884" t="s">
        <v>21</v>
      </c>
      <c r="C1884" t="s">
        <v>22</v>
      </c>
      <c r="D1884">
        <v>2020</v>
      </c>
      <c r="E1884" s="2">
        <v>150</v>
      </c>
      <c r="F1884" s="2">
        <v>9000</v>
      </c>
      <c r="G1884" s="2">
        <v>9000</v>
      </c>
    </row>
    <row r="1885" spans="1:7" x14ac:dyDescent="0.3">
      <c r="A1885" t="s">
        <v>1102</v>
      </c>
      <c r="B1885" t="s">
        <v>110</v>
      </c>
      <c r="C1885" t="s">
        <v>111</v>
      </c>
      <c r="D1885">
        <v>2019</v>
      </c>
      <c r="E1885" s="2">
        <v>250</v>
      </c>
      <c r="F1885" s="2">
        <v>13750</v>
      </c>
      <c r="G1885" s="2">
        <v>13750</v>
      </c>
    </row>
    <row r="1886" spans="1:7" x14ac:dyDescent="0.3">
      <c r="A1886" t="s">
        <v>1102</v>
      </c>
      <c r="B1886" t="s">
        <v>911</v>
      </c>
      <c r="C1886" t="s">
        <v>912</v>
      </c>
      <c r="D1886">
        <v>2019</v>
      </c>
      <c r="E1886" s="2">
        <v>25</v>
      </c>
      <c r="F1886" s="2">
        <v>2000</v>
      </c>
      <c r="G1886" s="2">
        <v>2000</v>
      </c>
    </row>
    <row r="1887" spans="1:7" x14ac:dyDescent="0.3">
      <c r="A1887" t="s">
        <v>1102</v>
      </c>
      <c r="B1887" t="s">
        <v>68</v>
      </c>
      <c r="C1887" t="s">
        <v>69</v>
      </c>
      <c r="D1887">
        <v>2019</v>
      </c>
      <c r="E1887" s="2">
        <v>450</v>
      </c>
      <c r="F1887" s="2">
        <v>27000</v>
      </c>
      <c r="G1887" s="2">
        <v>27000</v>
      </c>
    </row>
    <row r="1888" spans="1:7" x14ac:dyDescent="0.3">
      <c r="A1888" t="s">
        <v>1102</v>
      </c>
      <c r="B1888" t="s">
        <v>1104</v>
      </c>
      <c r="C1888" t="s">
        <v>1105</v>
      </c>
      <c r="D1888">
        <v>2019</v>
      </c>
      <c r="E1888" s="2">
        <v>25</v>
      </c>
      <c r="F1888" s="2">
        <v>2000</v>
      </c>
      <c r="G1888" s="2">
        <v>2000</v>
      </c>
    </row>
    <row r="1889" spans="1:7" x14ac:dyDescent="0.3">
      <c r="A1889" t="s">
        <v>1102</v>
      </c>
      <c r="B1889" t="s">
        <v>1104</v>
      </c>
      <c r="C1889" t="s">
        <v>1105</v>
      </c>
      <c r="D1889">
        <v>2020</v>
      </c>
      <c r="E1889" s="2">
        <v>50</v>
      </c>
      <c r="F1889" s="2">
        <v>4000</v>
      </c>
      <c r="G1889" s="2">
        <v>4000</v>
      </c>
    </row>
    <row r="1890" spans="1:7" x14ac:dyDescent="0.3">
      <c r="A1890" t="s">
        <v>1102</v>
      </c>
      <c r="B1890" t="s">
        <v>1106</v>
      </c>
      <c r="C1890" t="s">
        <v>1095</v>
      </c>
      <c r="D1890">
        <v>2019</v>
      </c>
      <c r="E1890" s="2">
        <v>25</v>
      </c>
      <c r="F1890" s="2">
        <v>1875</v>
      </c>
      <c r="G1890" s="2">
        <v>1875</v>
      </c>
    </row>
    <row r="1891" spans="1:7" x14ac:dyDescent="0.3">
      <c r="A1891" t="s">
        <v>1102</v>
      </c>
      <c r="B1891" t="s">
        <v>30</v>
      </c>
      <c r="C1891" t="s">
        <v>31</v>
      </c>
      <c r="D1891">
        <v>2019</v>
      </c>
      <c r="E1891" s="2">
        <v>50</v>
      </c>
      <c r="F1891" s="2">
        <v>3500</v>
      </c>
      <c r="G1891" s="2">
        <v>3500</v>
      </c>
    </row>
    <row r="1892" spans="1:7" x14ac:dyDescent="0.3">
      <c r="A1892" t="s">
        <v>1102</v>
      </c>
      <c r="B1892" t="s">
        <v>314</v>
      </c>
      <c r="C1892" t="s">
        <v>315</v>
      </c>
      <c r="D1892">
        <v>2019</v>
      </c>
      <c r="E1892" s="2">
        <v>100</v>
      </c>
      <c r="F1892" s="2">
        <v>6000</v>
      </c>
      <c r="G1892" s="2">
        <v>6000</v>
      </c>
    </row>
    <row r="1893" spans="1:7" x14ac:dyDescent="0.3">
      <c r="A1893" t="s">
        <v>1102</v>
      </c>
      <c r="B1893" t="s">
        <v>674</v>
      </c>
      <c r="C1893" t="s">
        <v>675</v>
      </c>
      <c r="D1893">
        <v>2019</v>
      </c>
      <c r="E1893" s="2">
        <v>200</v>
      </c>
      <c r="F1893" s="2">
        <v>12000</v>
      </c>
      <c r="G1893" s="2">
        <v>12000</v>
      </c>
    </row>
    <row r="1894" spans="1:7" x14ac:dyDescent="0.3">
      <c r="A1894" t="s">
        <v>1102</v>
      </c>
      <c r="B1894" t="s">
        <v>1107</v>
      </c>
      <c r="C1894" t="s">
        <v>1108</v>
      </c>
      <c r="D1894">
        <v>2019</v>
      </c>
      <c r="E1894" s="2">
        <v>25</v>
      </c>
      <c r="F1894" s="2">
        <v>1875</v>
      </c>
      <c r="G1894" s="2">
        <v>1875</v>
      </c>
    </row>
    <row r="1895" spans="1:7" x14ac:dyDescent="0.3">
      <c r="A1895" t="s">
        <v>1102</v>
      </c>
      <c r="B1895" t="s">
        <v>1109</v>
      </c>
      <c r="C1895" t="s">
        <v>1026</v>
      </c>
      <c r="D1895">
        <v>2019</v>
      </c>
      <c r="E1895" s="2">
        <v>150</v>
      </c>
      <c r="F1895" s="2">
        <v>12000</v>
      </c>
      <c r="G1895" s="2">
        <v>12000</v>
      </c>
    </row>
    <row r="1896" spans="1:7" x14ac:dyDescent="0.3">
      <c r="A1896" t="s">
        <v>1102</v>
      </c>
      <c r="B1896" t="s">
        <v>1023</v>
      </c>
      <c r="C1896" t="s">
        <v>1024</v>
      </c>
      <c r="D1896">
        <v>2020</v>
      </c>
      <c r="E1896" s="2">
        <v>150</v>
      </c>
      <c r="F1896" s="2">
        <v>12000</v>
      </c>
      <c r="G1896" s="2">
        <v>12000</v>
      </c>
    </row>
    <row r="1897" spans="1:7" x14ac:dyDescent="0.3">
      <c r="A1897" t="s">
        <v>1102</v>
      </c>
      <c r="B1897" t="s">
        <v>483</v>
      </c>
      <c r="C1897" t="s">
        <v>484</v>
      </c>
      <c r="D1897">
        <v>2019</v>
      </c>
      <c r="E1897" s="2">
        <v>250</v>
      </c>
      <c r="F1897" s="2">
        <v>13750</v>
      </c>
      <c r="G1897" s="2">
        <v>13750</v>
      </c>
    </row>
    <row r="1898" spans="1:7" x14ac:dyDescent="0.3">
      <c r="A1898" t="s">
        <v>1102</v>
      </c>
      <c r="B1898" t="s">
        <v>754</v>
      </c>
      <c r="C1898" t="s">
        <v>755</v>
      </c>
      <c r="D1898">
        <v>2019</v>
      </c>
      <c r="E1898" s="2">
        <v>50</v>
      </c>
      <c r="F1898" s="2">
        <v>4000</v>
      </c>
      <c r="G1898" s="2">
        <v>4000</v>
      </c>
    </row>
    <row r="1899" spans="1:7" x14ac:dyDescent="0.3">
      <c r="A1899" t="s">
        <v>1102</v>
      </c>
      <c r="B1899" t="s">
        <v>37</v>
      </c>
      <c r="D1899">
        <v>2019</v>
      </c>
      <c r="E1899" s="2">
        <v>20</v>
      </c>
      <c r="F1899" s="2">
        <v>1100</v>
      </c>
      <c r="G1899" s="2">
        <v>1100</v>
      </c>
    </row>
    <row r="1900" spans="1:7" x14ac:dyDescent="0.3">
      <c r="A1900" t="s">
        <v>1102</v>
      </c>
      <c r="B1900" t="s">
        <v>37</v>
      </c>
      <c r="D1900">
        <v>2020</v>
      </c>
      <c r="E1900" s="2">
        <v>50</v>
      </c>
      <c r="F1900" s="2">
        <v>2750</v>
      </c>
      <c r="G1900" s="2">
        <v>2750</v>
      </c>
    </row>
    <row r="1901" spans="1:7" x14ac:dyDescent="0.3">
      <c r="A1901" t="s">
        <v>1102</v>
      </c>
      <c r="B1901" t="s">
        <v>1110</v>
      </c>
      <c r="C1901" t="s">
        <v>237</v>
      </c>
      <c r="D1901">
        <v>2019</v>
      </c>
      <c r="E1901" s="2">
        <v>25</v>
      </c>
      <c r="F1901" s="2">
        <v>1875</v>
      </c>
      <c r="G1901" s="2">
        <v>1875</v>
      </c>
    </row>
    <row r="1902" spans="1:7" x14ac:dyDescent="0.3">
      <c r="A1902" t="s">
        <v>1102</v>
      </c>
      <c r="B1902" t="s">
        <v>681</v>
      </c>
      <c r="C1902" t="s">
        <v>682</v>
      </c>
      <c r="D1902">
        <v>2019</v>
      </c>
      <c r="E1902" s="2">
        <v>300</v>
      </c>
      <c r="F1902" s="2">
        <v>19500</v>
      </c>
      <c r="G1902" s="2">
        <v>19500</v>
      </c>
    </row>
    <row r="1903" spans="1:7" x14ac:dyDescent="0.3">
      <c r="A1903" t="s">
        <v>1111</v>
      </c>
      <c r="B1903" t="s">
        <v>721</v>
      </c>
      <c r="C1903" t="s">
        <v>722</v>
      </c>
      <c r="D1903">
        <v>2011</v>
      </c>
      <c r="E1903" s="2">
        <v>25</v>
      </c>
      <c r="F1903" s="2">
        <v>2125</v>
      </c>
      <c r="G1903" s="2"/>
    </row>
    <row r="1904" spans="1:7" x14ac:dyDescent="0.3">
      <c r="A1904" t="s">
        <v>1111</v>
      </c>
      <c r="B1904" t="s">
        <v>721</v>
      </c>
      <c r="C1904" t="s">
        <v>722</v>
      </c>
      <c r="D1904">
        <v>2012</v>
      </c>
      <c r="E1904" s="2">
        <v>50</v>
      </c>
      <c r="F1904" s="2">
        <v>4250</v>
      </c>
      <c r="G1904" s="2"/>
    </row>
    <row r="1905" spans="1:7" x14ac:dyDescent="0.3">
      <c r="A1905" t="s">
        <v>1111</v>
      </c>
      <c r="B1905" t="s">
        <v>696</v>
      </c>
      <c r="C1905" t="s">
        <v>697</v>
      </c>
      <c r="D1905">
        <v>2010</v>
      </c>
      <c r="E1905" s="2">
        <v>14.5</v>
      </c>
      <c r="F1905" s="2">
        <v>986</v>
      </c>
      <c r="G1905" s="2"/>
    </row>
    <row r="1906" spans="1:7" x14ac:dyDescent="0.3">
      <c r="A1906" t="s">
        <v>1111</v>
      </c>
      <c r="B1906" t="s">
        <v>696</v>
      </c>
      <c r="C1906" t="s">
        <v>697</v>
      </c>
      <c r="D1906">
        <v>2011</v>
      </c>
      <c r="E1906" s="2">
        <v>50</v>
      </c>
      <c r="F1906" s="2">
        <v>4000</v>
      </c>
      <c r="G1906" s="2"/>
    </row>
    <row r="1907" spans="1:7" x14ac:dyDescent="0.3">
      <c r="A1907" t="s">
        <v>1111</v>
      </c>
      <c r="B1907" t="s">
        <v>696</v>
      </c>
      <c r="C1907" t="s">
        <v>697</v>
      </c>
      <c r="D1907">
        <v>2012</v>
      </c>
      <c r="E1907" s="2">
        <v>125</v>
      </c>
      <c r="F1907" s="2">
        <v>11250</v>
      </c>
      <c r="G1907" s="2"/>
    </row>
    <row r="1908" spans="1:7" x14ac:dyDescent="0.3">
      <c r="A1908" t="s">
        <v>1111</v>
      </c>
      <c r="B1908" t="s">
        <v>1112</v>
      </c>
      <c r="C1908" t="s">
        <v>943</v>
      </c>
      <c r="D1908">
        <v>2011</v>
      </c>
      <c r="E1908" s="2">
        <v>50</v>
      </c>
      <c r="F1908" s="2">
        <v>4000</v>
      </c>
      <c r="G1908" s="2"/>
    </row>
    <row r="1909" spans="1:7" x14ac:dyDescent="0.3">
      <c r="A1909" t="s">
        <v>1111</v>
      </c>
      <c r="B1909" t="s">
        <v>184</v>
      </c>
      <c r="C1909" t="s">
        <v>185</v>
      </c>
      <c r="D1909">
        <v>2010</v>
      </c>
      <c r="E1909" s="2">
        <v>25</v>
      </c>
      <c r="F1909" s="2">
        <v>1500</v>
      </c>
      <c r="G1909" s="2"/>
    </row>
    <row r="1910" spans="1:7" x14ac:dyDescent="0.3">
      <c r="A1910" t="s">
        <v>1111</v>
      </c>
      <c r="B1910" t="s">
        <v>184</v>
      </c>
      <c r="C1910" t="s">
        <v>185</v>
      </c>
      <c r="D1910">
        <v>2011</v>
      </c>
      <c r="E1910" s="2">
        <v>225</v>
      </c>
      <c r="F1910" s="2">
        <v>13250</v>
      </c>
      <c r="G1910" s="2"/>
    </row>
    <row r="1911" spans="1:7" x14ac:dyDescent="0.3">
      <c r="A1911" t="s">
        <v>1111</v>
      </c>
      <c r="B1911" t="s">
        <v>297</v>
      </c>
      <c r="C1911" t="s">
        <v>298</v>
      </c>
      <c r="D1911">
        <v>2011</v>
      </c>
      <c r="E1911" s="2">
        <v>25</v>
      </c>
      <c r="F1911" s="2">
        <v>1750</v>
      </c>
      <c r="G1911" s="2"/>
    </row>
    <row r="1912" spans="1:7" x14ac:dyDescent="0.3">
      <c r="A1912" t="s">
        <v>1111</v>
      </c>
      <c r="B1912" t="s">
        <v>19</v>
      </c>
      <c r="C1912" t="s">
        <v>699</v>
      </c>
      <c r="D1912">
        <v>2010</v>
      </c>
      <c r="E1912" s="2">
        <v>20</v>
      </c>
      <c r="F1912" s="2">
        <v>1700</v>
      </c>
      <c r="G1912" s="2"/>
    </row>
    <row r="1913" spans="1:7" x14ac:dyDescent="0.3">
      <c r="A1913" t="s">
        <v>1111</v>
      </c>
      <c r="B1913" t="s">
        <v>19</v>
      </c>
      <c r="C1913" t="s">
        <v>699</v>
      </c>
      <c r="D1913">
        <v>2014</v>
      </c>
      <c r="E1913" s="2">
        <v>50</v>
      </c>
      <c r="F1913" s="2">
        <v>3600</v>
      </c>
      <c r="G1913" s="2"/>
    </row>
    <row r="1914" spans="1:7" x14ac:dyDescent="0.3">
      <c r="A1914" t="s">
        <v>1111</v>
      </c>
      <c r="B1914" t="s">
        <v>41</v>
      </c>
      <c r="C1914" t="s">
        <v>42</v>
      </c>
      <c r="D1914">
        <v>2011</v>
      </c>
      <c r="E1914" s="2">
        <v>25</v>
      </c>
      <c r="F1914" s="2">
        <v>1625</v>
      </c>
      <c r="G1914" s="2"/>
    </row>
    <row r="1915" spans="1:7" x14ac:dyDescent="0.3">
      <c r="A1915" t="s">
        <v>1111</v>
      </c>
      <c r="B1915" t="s">
        <v>21</v>
      </c>
      <c r="C1915" t="s">
        <v>22</v>
      </c>
      <c r="D1915">
        <v>2010</v>
      </c>
      <c r="E1915" s="2">
        <v>25</v>
      </c>
      <c r="F1915" s="2">
        <v>1625</v>
      </c>
      <c r="G1915" s="2"/>
    </row>
    <row r="1916" spans="1:7" x14ac:dyDescent="0.3">
      <c r="A1916" t="s">
        <v>1111</v>
      </c>
      <c r="B1916" t="s">
        <v>1113</v>
      </c>
      <c r="C1916" t="s">
        <v>405</v>
      </c>
      <c r="D1916">
        <v>2011</v>
      </c>
      <c r="E1916" s="2">
        <v>25</v>
      </c>
      <c r="F1916" s="2">
        <v>2750</v>
      </c>
      <c r="G1916" s="2"/>
    </row>
    <row r="1917" spans="1:7" x14ac:dyDescent="0.3">
      <c r="A1917" t="s">
        <v>1111</v>
      </c>
      <c r="B1917" t="s">
        <v>473</v>
      </c>
      <c r="C1917" t="s">
        <v>747</v>
      </c>
      <c r="D1917">
        <v>2011</v>
      </c>
      <c r="E1917" s="2">
        <v>125</v>
      </c>
      <c r="F1917" s="2">
        <v>10000</v>
      </c>
      <c r="G1917" s="2"/>
    </row>
    <row r="1918" spans="1:7" x14ac:dyDescent="0.3">
      <c r="A1918" t="s">
        <v>1111</v>
      </c>
      <c r="B1918" t="s">
        <v>1114</v>
      </c>
      <c r="C1918" t="s">
        <v>1115</v>
      </c>
      <c r="D1918">
        <v>2009</v>
      </c>
      <c r="E1918" s="2">
        <v>25</v>
      </c>
      <c r="F1918" s="2">
        <v>1350</v>
      </c>
      <c r="G1918" s="2"/>
    </row>
    <row r="1919" spans="1:7" x14ac:dyDescent="0.3">
      <c r="A1919" t="s">
        <v>1111</v>
      </c>
      <c r="B1919" t="s">
        <v>1114</v>
      </c>
      <c r="C1919" t="s">
        <v>1115</v>
      </c>
      <c r="D1919">
        <v>2010</v>
      </c>
      <c r="E1919" s="2">
        <v>50</v>
      </c>
      <c r="F1919" s="2">
        <v>3500</v>
      </c>
      <c r="G1919" s="2"/>
    </row>
    <row r="1920" spans="1:7" x14ac:dyDescent="0.3">
      <c r="A1920" t="s">
        <v>1111</v>
      </c>
      <c r="B1920" t="s">
        <v>1114</v>
      </c>
      <c r="C1920" t="s">
        <v>1115</v>
      </c>
      <c r="D1920">
        <v>2012</v>
      </c>
      <c r="E1920" s="2">
        <v>50</v>
      </c>
      <c r="F1920" s="2">
        <v>4000</v>
      </c>
      <c r="G1920" s="2"/>
    </row>
    <row r="1921" spans="1:8" x14ac:dyDescent="0.3">
      <c r="A1921" t="s">
        <v>1111</v>
      </c>
      <c r="B1921" t="s">
        <v>46</v>
      </c>
      <c r="C1921" t="s">
        <v>47</v>
      </c>
      <c r="D1921">
        <v>2010</v>
      </c>
      <c r="E1921" s="2">
        <v>25</v>
      </c>
      <c r="F1921" s="2">
        <v>1500</v>
      </c>
      <c r="G1921" s="2"/>
    </row>
    <row r="1922" spans="1:8" x14ac:dyDescent="0.3">
      <c r="A1922" t="s">
        <v>1111</v>
      </c>
      <c r="B1922" t="s">
        <v>46</v>
      </c>
      <c r="C1922" t="s">
        <v>47</v>
      </c>
      <c r="D1922">
        <v>2011</v>
      </c>
      <c r="E1922" s="2">
        <v>25</v>
      </c>
      <c r="F1922" s="2">
        <v>1500</v>
      </c>
      <c r="G1922" s="2"/>
    </row>
    <row r="1923" spans="1:8" x14ac:dyDescent="0.3">
      <c r="A1923" t="s">
        <v>1116</v>
      </c>
      <c r="B1923" t="s">
        <v>719</v>
      </c>
      <c r="C1923" t="s">
        <v>611</v>
      </c>
      <c r="D1923">
        <v>2012</v>
      </c>
      <c r="E1923" s="2">
        <v>50</v>
      </c>
      <c r="F1923" s="2">
        <v>5500</v>
      </c>
      <c r="G1923" s="2"/>
    </row>
    <row r="1924" spans="1:8" x14ac:dyDescent="0.3">
      <c r="A1924" t="s">
        <v>1116</v>
      </c>
      <c r="B1924" t="s">
        <v>719</v>
      </c>
      <c r="C1924" t="s">
        <v>611</v>
      </c>
      <c r="D1924">
        <v>2014</v>
      </c>
      <c r="E1924" s="2">
        <v>50</v>
      </c>
      <c r="F1924" s="2">
        <v>5500</v>
      </c>
      <c r="G1924" s="2"/>
    </row>
    <row r="1925" spans="1:8" x14ac:dyDescent="0.3">
      <c r="A1925" t="s">
        <v>1116</v>
      </c>
      <c r="B1925" t="s">
        <v>719</v>
      </c>
      <c r="C1925" t="s">
        <v>611</v>
      </c>
      <c r="D1925">
        <v>2015</v>
      </c>
      <c r="E1925" s="2">
        <v>60</v>
      </c>
      <c r="F1925" s="2">
        <v>6600</v>
      </c>
      <c r="G1925" s="2"/>
    </row>
    <row r="1926" spans="1:8" x14ac:dyDescent="0.3">
      <c r="A1926" t="s">
        <v>1116</v>
      </c>
      <c r="B1926" t="s">
        <v>589</v>
      </c>
      <c r="C1926" t="s">
        <v>590</v>
      </c>
      <c r="D1926">
        <v>2020</v>
      </c>
      <c r="E1926" s="2">
        <v>50</v>
      </c>
      <c r="F1926" s="2">
        <v>4800</v>
      </c>
      <c r="G1926" s="2">
        <v>5040</v>
      </c>
    </row>
    <row r="1927" spans="1:8" x14ac:dyDescent="0.3">
      <c r="A1927" t="s">
        <v>1116</v>
      </c>
      <c r="B1927" t="s">
        <v>16</v>
      </c>
      <c r="C1927" t="s">
        <v>17</v>
      </c>
      <c r="D1927">
        <v>2020</v>
      </c>
      <c r="E1927" s="2">
        <v>130</v>
      </c>
      <c r="F1927" s="2">
        <v>11700</v>
      </c>
      <c r="G1927" s="2">
        <v>12285</v>
      </c>
      <c r="H1927" s="3" t="s">
        <v>14</v>
      </c>
    </row>
    <row r="1928" spans="1:8" x14ac:dyDescent="0.3">
      <c r="A1928" t="s">
        <v>1116</v>
      </c>
      <c r="B1928" t="s">
        <v>16</v>
      </c>
      <c r="C1928" t="s">
        <v>17</v>
      </c>
      <c r="D1928">
        <v>2021</v>
      </c>
      <c r="E1928" s="2">
        <v>75</v>
      </c>
      <c r="F1928" s="2">
        <v>6750</v>
      </c>
      <c r="G1928" s="2">
        <v>7087.5</v>
      </c>
      <c r="H1928" s="3" t="s">
        <v>14</v>
      </c>
    </row>
    <row r="1929" spans="1:8" x14ac:dyDescent="0.3">
      <c r="A1929" t="s">
        <v>1116</v>
      </c>
      <c r="B1929" t="s">
        <v>1117</v>
      </c>
      <c r="C1929" t="s">
        <v>1118</v>
      </c>
      <c r="D1929">
        <v>2021</v>
      </c>
      <c r="E1929" s="2">
        <v>25</v>
      </c>
      <c r="F1929" s="2">
        <v>1875</v>
      </c>
      <c r="G1929" s="2">
        <v>1968.75</v>
      </c>
      <c r="H1929" s="3" t="s">
        <v>1119</v>
      </c>
    </row>
    <row r="1930" spans="1:8" x14ac:dyDescent="0.3">
      <c r="A1930" t="s">
        <v>1116</v>
      </c>
      <c r="B1930" t="s">
        <v>536</v>
      </c>
      <c r="C1930" t="s">
        <v>537</v>
      </c>
      <c r="D1930">
        <v>2021</v>
      </c>
      <c r="E1930" s="2">
        <v>50</v>
      </c>
      <c r="F1930" s="2">
        <v>7750</v>
      </c>
      <c r="G1930" s="2">
        <v>8137.5</v>
      </c>
      <c r="H1930" s="3" t="s">
        <v>18</v>
      </c>
    </row>
    <row r="1931" spans="1:8" x14ac:dyDescent="0.3">
      <c r="A1931" t="s">
        <v>1116</v>
      </c>
      <c r="B1931" t="s">
        <v>346</v>
      </c>
      <c r="C1931" t="s">
        <v>347</v>
      </c>
      <c r="D1931">
        <v>2015</v>
      </c>
      <c r="E1931" s="2">
        <v>22</v>
      </c>
      <c r="F1931" s="2">
        <v>1738</v>
      </c>
      <c r="G1931" s="2"/>
    </row>
    <row r="1932" spans="1:8" x14ac:dyDescent="0.3">
      <c r="A1932" t="s">
        <v>1116</v>
      </c>
      <c r="B1932" t="s">
        <v>346</v>
      </c>
      <c r="C1932" t="s">
        <v>347</v>
      </c>
      <c r="D1932">
        <v>2016</v>
      </c>
      <c r="E1932" s="2">
        <v>50</v>
      </c>
      <c r="F1932" s="2">
        <v>3950</v>
      </c>
      <c r="G1932" s="2"/>
    </row>
    <row r="1933" spans="1:8" x14ac:dyDescent="0.3">
      <c r="A1933" t="s">
        <v>1116</v>
      </c>
      <c r="B1933" t="s">
        <v>348</v>
      </c>
      <c r="C1933" t="s">
        <v>347</v>
      </c>
      <c r="D1933">
        <v>2018</v>
      </c>
      <c r="E1933" s="2">
        <v>25</v>
      </c>
      <c r="F1933" s="2">
        <v>2050</v>
      </c>
      <c r="G1933" s="2">
        <v>2152.5</v>
      </c>
    </row>
    <row r="1934" spans="1:8" x14ac:dyDescent="0.3">
      <c r="A1934" t="s">
        <v>1116</v>
      </c>
      <c r="B1934" t="s">
        <v>643</v>
      </c>
      <c r="C1934" t="s">
        <v>644</v>
      </c>
      <c r="D1934">
        <v>2020</v>
      </c>
      <c r="E1934" s="2">
        <v>75</v>
      </c>
      <c r="F1934" s="2">
        <v>6000</v>
      </c>
      <c r="G1934" s="2">
        <v>6300</v>
      </c>
      <c r="H1934" s="3" t="s">
        <v>14</v>
      </c>
    </row>
    <row r="1935" spans="1:8" x14ac:dyDescent="0.3">
      <c r="A1935" t="s">
        <v>1116</v>
      </c>
      <c r="B1935" t="s">
        <v>643</v>
      </c>
      <c r="C1935" t="s">
        <v>644</v>
      </c>
      <c r="D1935">
        <v>2021</v>
      </c>
      <c r="E1935" s="2">
        <v>25</v>
      </c>
      <c r="F1935" s="2">
        <v>2000</v>
      </c>
      <c r="G1935" s="2">
        <v>2100</v>
      </c>
      <c r="H1935" s="3" t="s">
        <v>14</v>
      </c>
    </row>
    <row r="1936" spans="1:8" x14ac:dyDescent="0.3">
      <c r="A1936" t="s">
        <v>1116</v>
      </c>
      <c r="B1936" t="s">
        <v>649</v>
      </c>
      <c r="C1936" t="s">
        <v>650</v>
      </c>
      <c r="D1936">
        <v>2020</v>
      </c>
      <c r="E1936" s="2">
        <v>5</v>
      </c>
      <c r="F1936" s="2">
        <v>400</v>
      </c>
      <c r="G1936" s="2">
        <v>420</v>
      </c>
    </row>
    <row r="1937" spans="1:8" x14ac:dyDescent="0.3">
      <c r="A1937" t="s">
        <v>1116</v>
      </c>
      <c r="B1937" t="s">
        <v>1120</v>
      </c>
      <c r="C1937" t="s">
        <v>1121</v>
      </c>
      <c r="D1937">
        <v>2019</v>
      </c>
      <c r="E1937" s="2">
        <v>25</v>
      </c>
      <c r="F1937" s="2">
        <v>1875</v>
      </c>
      <c r="G1937" s="2">
        <v>1968.75</v>
      </c>
    </row>
    <row r="1938" spans="1:8" x14ac:dyDescent="0.3">
      <c r="A1938" t="s">
        <v>1116</v>
      </c>
      <c r="B1938" t="s">
        <v>1122</v>
      </c>
      <c r="C1938" t="s">
        <v>1123</v>
      </c>
      <c r="D1938">
        <v>2020</v>
      </c>
      <c r="E1938" s="2">
        <v>160</v>
      </c>
      <c r="F1938" s="2">
        <v>12125</v>
      </c>
      <c r="G1938" s="2">
        <v>12731.25</v>
      </c>
      <c r="H1938" s="3" t="s">
        <v>14</v>
      </c>
    </row>
    <row r="1939" spans="1:8" x14ac:dyDescent="0.3">
      <c r="A1939" t="s">
        <v>1116</v>
      </c>
      <c r="B1939" t="s">
        <v>1122</v>
      </c>
      <c r="C1939" t="s">
        <v>1123</v>
      </c>
      <c r="D1939">
        <v>2021</v>
      </c>
      <c r="E1939" s="2">
        <v>25</v>
      </c>
      <c r="F1939" s="2">
        <v>1875</v>
      </c>
      <c r="G1939" s="2">
        <v>1968.75</v>
      </c>
      <c r="H1939" s="3" t="s">
        <v>14</v>
      </c>
    </row>
    <row r="1940" spans="1:8" x14ac:dyDescent="0.3">
      <c r="A1940" t="s">
        <v>1116</v>
      </c>
      <c r="B1940" t="s">
        <v>297</v>
      </c>
      <c r="C1940" t="s">
        <v>298</v>
      </c>
      <c r="D1940">
        <v>2012</v>
      </c>
      <c r="E1940" s="2">
        <v>50</v>
      </c>
      <c r="F1940" s="2">
        <v>3500</v>
      </c>
      <c r="G1940" s="2"/>
    </row>
    <row r="1941" spans="1:8" x14ac:dyDescent="0.3">
      <c r="A1941" t="s">
        <v>1116</v>
      </c>
      <c r="B1941" t="s">
        <v>297</v>
      </c>
      <c r="C1941" t="s">
        <v>298</v>
      </c>
      <c r="D1941">
        <v>2014</v>
      </c>
      <c r="E1941" s="2">
        <v>50</v>
      </c>
      <c r="F1941" s="2">
        <v>3500</v>
      </c>
      <c r="G1941" s="2"/>
    </row>
    <row r="1942" spans="1:8" x14ac:dyDescent="0.3">
      <c r="A1942" t="s">
        <v>1116</v>
      </c>
      <c r="B1942" t="s">
        <v>297</v>
      </c>
      <c r="C1942" t="s">
        <v>298</v>
      </c>
      <c r="D1942">
        <v>2015</v>
      </c>
      <c r="E1942" s="2">
        <v>100</v>
      </c>
      <c r="F1942" s="2">
        <v>7000</v>
      </c>
      <c r="G1942" s="2"/>
    </row>
    <row r="1943" spans="1:8" x14ac:dyDescent="0.3">
      <c r="A1943" t="s">
        <v>1116</v>
      </c>
      <c r="B1943" t="s">
        <v>297</v>
      </c>
      <c r="C1943" t="s">
        <v>298</v>
      </c>
      <c r="D1943">
        <v>2016</v>
      </c>
      <c r="E1943" s="2">
        <v>25</v>
      </c>
      <c r="F1943" s="2">
        <v>1750</v>
      </c>
      <c r="G1943" s="2"/>
    </row>
    <row r="1944" spans="1:8" x14ac:dyDescent="0.3">
      <c r="A1944" t="s">
        <v>1116</v>
      </c>
      <c r="B1944" t="s">
        <v>19</v>
      </c>
      <c r="C1944" t="s">
        <v>20</v>
      </c>
      <c r="D1944">
        <v>2012</v>
      </c>
      <c r="E1944" s="2">
        <v>50</v>
      </c>
      <c r="F1944" s="2">
        <v>4750</v>
      </c>
      <c r="G1944" s="2"/>
    </row>
    <row r="1945" spans="1:8" x14ac:dyDescent="0.3">
      <c r="A1945" t="s">
        <v>1116</v>
      </c>
      <c r="B1945" t="s">
        <v>19</v>
      </c>
      <c r="C1945" t="s">
        <v>20</v>
      </c>
      <c r="D1945">
        <v>2014</v>
      </c>
      <c r="E1945" s="2">
        <v>75</v>
      </c>
      <c r="F1945" s="2">
        <v>7125</v>
      </c>
      <c r="G1945" s="2"/>
    </row>
    <row r="1946" spans="1:8" x14ac:dyDescent="0.3">
      <c r="A1946" t="s">
        <v>1116</v>
      </c>
      <c r="B1946" t="s">
        <v>19</v>
      </c>
      <c r="C1946" t="s">
        <v>20</v>
      </c>
      <c r="D1946">
        <v>2015</v>
      </c>
      <c r="E1946" s="2">
        <v>114.4</v>
      </c>
      <c r="F1946" s="2">
        <v>12668</v>
      </c>
      <c r="G1946" s="2"/>
    </row>
    <row r="1947" spans="1:8" x14ac:dyDescent="0.3">
      <c r="A1947" t="s">
        <v>1116</v>
      </c>
      <c r="B1947" t="s">
        <v>19</v>
      </c>
      <c r="C1947" t="s">
        <v>20</v>
      </c>
      <c r="D1947">
        <v>2019</v>
      </c>
      <c r="E1947" s="2">
        <v>25</v>
      </c>
      <c r="F1947" s="2">
        <v>2875</v>
      </c>
      <c r="G1947" s="2">
        <v>3018.75</v>
      </c>
    </row>
    <row r="1948" spans="1:8" x14ac:dyDescent="0.3">
      <c r="A1948" t="s">
        <v>1116</v>
      </c>
      <c r="B1948" t="s">
        <v>19</v>
      </c>
      <c r="C1948" t="s">
        <v>20</v>
      </c>
      <c r="D1948">
        <v>2020</v>
      </c>
      <c r="E1948" s="2">
        <v>25</v>
      </c>
      <c r="F1948" s="2">
        <v>2875</v>
      </c>
      <c r="G1948" s="2">
        <v>3018.75</v>
      </c>
    </row>
    <row r="1949" spans="1:8" x14ac:dyDescent="0.3">
      <c r="A1949" t="s">
        <v>1116</v>
      </c>
      <c r="B1949" t="s">
        <v>19</v>
      </c>
      <c r="C1949" t="s">
        <v>107</v>
      </c>
      <c r="D1949">
        <v>2020</v>
      </c>
      <c r="E1949" s="2">
        <v>25</v>
      </c>
      <c r="F1949" s="2">
        <v>2875</v>
      </c>
      <c r="G1949" s="2">
        <v>3018.75</v>
      </c>
    </row>
    <row r="1950" spans="1:8" x14ac:dyDescent="0.3">
      <c r="A1950" t="s">
        <v>1116</v>
      </c>
      <c r="B1950" t="s">
        <v>543</v>
      </c>
      <c r="C1950" t="s">
        <v>544</v>
      </c>
      <c r="D1950">
        <v>2020</v>
      </c>
      <c r="E1950" s="2">
        <v>25</v>
      </c>
      <c r="F1950" s="2">
        <v>1625</v>
      </c>
      <c r="G1950" s="2">
        <v>1706.25</v>
      </c>
    </row>
    <row r="1951" spans="1:8" x14ac:dyDescent="0.3">
      <c r="A1951" t="s">
        <v>1116</v>
      </c>
      <c r="B1951" t="s">
        <v>62</v>
      </c>
      <c r="C1951" t="s">
        <v>63</v>
      </c>
      <c r="D1951">
        <v>2020</v>
      </c>
      <c r="E1951" s="2">
        <v>115</v>
      </c>
      <c r="F1951" s="2">
        <v>6900</v>
      </c>
      <c r="G1951" s="2">
        <v>7245</v>
      </c>
    </row>
    <row r="1952" spans="1:8" x14ac:dyDescent="0.3">
      <c r="A1952" t="s">
        <v>1116</v>
      </c>
      <c r="B1952" t="s">
        <v>21</v>
      </c>
      <c r="C1952" t="s">
        <v>22</v>
      </c>
      <c r="D1952">
        <v>2009</v>
      </c>
      <c r="E1952" s="2">
        <v>200</v>
      </c>
      <c r="F1952" s="2">
        <v>7800</v>
      </c>
      <c r="G1952" s="2"/>
    </row>
    <row r="1953" spans="1:8" x14ac:dyDescent="0.3">
      <c r="A1953" t="s">
        <v>1116</v>
      </c>
      <c r="B1953" t="s">
        <v>21</v>
      </c>
      <c r="C1953" t="s">
        <v>22</v>
      </c>
      <c r="D1953">
        <v>2012</v>
      </c>
      <c r="E1953" s="2">
        <v>50</v>
      </c>
      <c r="F1953" s="2">
        <v>3750</v>
      </c>
      <c r="G1953" s="2"/>
    </row>
    <row r="1954" spans="1:8" x14ac:dyDescent="0.3">
      <c r="A1954" t="s">
        <v>1116</v>
      </c>
      <c r="B1954" t="s">
        <v>21</v>
      </c>
      <c r="C1954" t="s">
        <v>22</v>
      </c>
      <c r="D1954">
        <v>2014</v>
      </c>
      <c r="E1954" s="2">
        <v>50</v>
      </c>
      <c r="F1954" s="2">
        <v>3750</v>
      </c>
      <c r="G1954" s="2"/>
    </row>
    <row r="1955" spans="1:8" x14ac:dyDescent="0.3">
      <c r="A1955" t="s">
        <v>1116</v>
      </c>
      <c r="B1955" t="s">
        <v>110</v>
      </c>
      <c r="C1955" t="s">
        <v>111</v>
      </c>
      <c r="D1955">
        <v>2016</v>
      </c>
      <c r="E1955" s="2">
        <v>25</v>
      </c>
      <c r="F1955" s="2">
        <v>825</v>
      </c>
      <c r="G1955" s="2"/>
    </row>
    <row r="1956" spans="1:8" x14ac:dyDescent="0.3">
      <c r="A1956" t="s">
        <v>1116</v>
      </c>
      <c r="B1956" t="s">
        <v>110</v>
      </c>
      <c r="C1956" t="s">
        <v>111</v>
      </c>
      <c r="D1956">
        <v>2017</v>
      </c>
      <c r="E1956" s="2">
        <v>500</v>
      </c>
      <c r="F1956" s="2">
        <v>16500</v>
      </c>
      <c r="G1956" s="2"/>
    </row>
    <row r="1957" spans="1:8" x14ac:dyDescent="0.3">
      <c r="A1957" t="s">
        <v>1116</v>
      </c>
      <c r="B1957" t="s">
        <v>110</v>
      </c>
      <c r="C1957" t="s">
        <v>111</v>
      </c>
      <c r="D1957">
        <v>2018</v>
      </c>
      <c r="E1957" s="2">
        <v>1000</v>
      </c>
      <c r="F1957" s="2">
        <v>42000</v>
      </c>
      <c r="G1957" s="2">
        <v>44100</v>
      </c>
    </row>
    <row r="1958" spans="1:8" x14ac:dyDescent="0.3">
      <c r="A1958" t="s">
        <v>1116</v>
      </c>
      <c r="B1958" t="s">
        <v>110</v>
      </c>
      <c r="C1958" t="s">
        <v>111</v>
      </c>
      <c r="D1958">
        <v>2020</v>
      </c>
      <c r="E1958" s="2">
        <v>500</v>
      </c>
      <c r="F1958" s="2">
        <v>17000</v>
      </c>
      <c r="G1958" s="2">
        <v>17850</v>
      </c>
    </row>
    <row r="1959" spans="1:8" x14ac:dyDescent="0.3">
      <c r="A1959" t="s">
        <v>1116</v>
      </c>
      <c r="B1959" t="s">
        <v>1124</v>
      </c>
      <c r="C1959" t="s">
        <v>868</v>
      </c>
      <c r="D1959">
        <v>2012</v>
      </c>
      <c r="E1959" s="2">
        <v>50</v>
      </c>
      <c r="F1959" s="2">
        <v>6500</v>
      </c>
      <c r="G1959" s="2"/>
    </row>
    <row r="1960" spans="1:8" x14ac:dyDescent="0.3">
      <c r="A1960" t="s">
        <v>1116</v>
      </c>
      <c r="B1960" t="s">
        <v>1124</v>
      </c>
      <c r="C1960" t="s">
        <v>868</v>
      </c>
      <c r="D1960">
        <v>2014</v>
      </c>
      <c r="E1960" s="2">
        <v>50</v>
      </c>
      <c r="F1960" s="2">
        <v>6500</v>
      </c>
      <c r="G1960" s="2"/>
    </row>
    <row r="1961" spans="1:8" x14ac:dyDescent="0.3">
      <c r="A1961" t="s">
        <v>1116</v>
      </c>
      <c r="B1961" t="s">
        <v>839</v>
      </c>
      <c r="C1961" t="s">
        <v>138</v>
      </c>
      <c r="D1961">
        <v>2021</v>
      </c>
      <c r="E1961" s="2">
        <v>9</v>
      </c>
      <c r="F1961" s="2">
        <v>1530</v>
      </c>
      <c r="G1961" s="2">
        <v>1606.5</v>
      </c>
      <c r="H1961" s="3" t="s">
        <v>14</v>
      </c>
    </row>
    <row r="1962" spans="1:8" x14ac:dyDescent="0.3">
      <c r="A1962" t="s">
        <v>1116</v>
      </c>
      <c r="B1962" t="s">
        <v>30</v>
      </c>
      <c r="C1962" t="s">
        <v>31</v>
      </c>
      <c r="D1962">
        <v>2014</v>
      </c>
      <c r="E1962" s="2">
        <v>75</v>
      </c>
      <c r="F1962" s="2">
        <v>6750</v>
      </c>
      <c r="G1962" s="2"/>
      <c r="H1962" s="3" t="s">
        <v>18</v>
      </c>
    </row>
    <row r="1963" spans="1:8" x14ac:dyDescent="0.3">
      <c r="A1963" t="s">
        <v>1116</v>
      </c>
      <c r="B1963" t="s">
        <v>30</v>
      </c>
      <c r="C1963" t="s">
        <v>31</v>
      </c>
      <c r="D1963">
        <v>2015</v>
      </c>
      <c r="E1963" s="2">
        <v>125</v>
      </c>
      <c r="F1963" s="2">
        <v>11250</v>
      </c>
      <c r="G1963" s="2"/>
      <c r="H1963" s="3" t="s">
        <v>18</v>
      </c>
    </row>
    <row r="1964" spans="1:8" x14ac:dyDescent="0.3">
      <c r="A1964" t="s">
        <v>1116</v>
      </c>
      <c r="B1964" t="s">
        <v>30</v>
      </c>
      <c r="C1964" t="s">
        <v>31</v>
      </c>
      <c r="D1964">
        <v>2017</v>
      </c>
      <c r="E1964" s="2">
        <v>125</v>
      </c>
      <c r="F1964" s="2">
        <v>11250</v>
      </c>
      <c r="G1964" s="2"/>
      <c r="H1964" s="3" t="s">
        <v>18</v>
      </c>
    </row>
    <row r="1965" spans="1:8" x14ac:dyDescent="0.3">
      <c r="A1965" t="s">
        <v>1116</v>
      </c>
      <c r="B1965" t="s">
        <v>30</v>
      </c>
      <c r="C1965" t="s">
        <v>31</v>
      </c>
      <c r="D1965">
        <v>2018</v>
      </c>
      <c r="E1965" s="2">
        <v>100</v>
      </c>
      <c r="F1965" s="2">
        <v>9000</v>
      </c>
      <c r="G1965" s="2">
        <v>9450</v>
      </c>
      <c r="H1965" s="3" t="s">
        <v>18</v>
      </c>
    </row>
    <row r="1966" spans="1:8" x14ac:dyDescent="0.3">
      <c r="A1966" t="s">
        <v>1116</v>
      </c>
      <c r="B1966" t="s">
        <v>30</v>
      </c>
      <c r="C1966" t="s">
        <v>31</v>
      </c>
      <c r="D1966">
        <v>2019</v>
      </c>
      <c r="E1966" s="2">
        <v>50</v>
      </c>
      <c r="F1966" s="2">
        <v>4500</v>
      </c>
      <c r="G1966" s="2">
        <v>4725</v>
      </c>
      <c r="H1966" s="3" t="s">
        <v>18</v>
      </c>
    </row>
    <row r="1967" spans="1:8" x14ac:dyDescent="0.3">
      <c r="A1967" t="s">
        <v>1116</v>
      </c>
      <c r="B1967" t="s">
        <v>30</v>
      </c>
      <c r="C1967" t="s">
        <v>31</v>
      </c>
      <c r="D1967">
        <v>2020</v>
      </c>
      <c r="E1967" s="2">
        <v>75</v>
      </c>
      <c r="F1967" s="2">
        <v>6625</v>
      </c>
      <c r="G1967" s="2">
        <v>6956.25</v>
      </c>
      <c r="H1967" s="3" t="s">
        <v>18</v>
      </c>
    </row>
    <row r="1968" spans="1:8" x14ac:dyDescent="0.3">
      <c r="A1968" t="s">
        <v>1116</v>
      </c>
      <c r="B1968" t="s">
        <v>30</v>
      </c>
      <c r="C1968" t="s">
        <v>31</v>
      </c>
      <c r="D1968">
        <v>2021</v>
      </c>
      <c r="E1968" s="2">
        <v>50</v>
      </c>
      <c r="F1968" s="2">
        <v>4250</v>
      </c>
      <c r="G1968" s="2">
        <v>4462.5</v>
      </c>
      <c r="H1968" s="3" t="s">
        <v>18</v>
      </c>
    </row>
    <row r="1969" spans="1:8" x14ac:dyDescent="0.3">
      <c r="A1969" t="s">
        <v>1116</v>
      </c>
      <c r="B1969" t="s">
        <v>1125</v>
      </c>
      <c r="C1969" t="s">
        <v>1126</v>
      </c>
      <c r="D1969">
        <v>2009</v>
      </c>
      <c r="E1969" s="2">
        <v>50</v>
      </c>
      <c r="F1969" s="2">
        <v>2400</v>
      </c>
      <c r="G1969" s="2"/>
    </row>
    <row r="1970" spans="1:8" x14ac:dyDescent="0.3">
      <c r="A1970" t="s">
        <v>1116</v>
      </c>
      <c r="B1970" t="s">
        <v>1125</v>
      </c>
      <c r="C1970" t="s">
        <v>1126</v>
      </c>
      <c r="D1970">
        <v>2012</v>
      </c>
      <c r="E1970" s="2">
        <v>50</v>
      </c>
      <c r="F1970" s="2">
        <v>3750</v>
      </c>
      <c r="G1970" s="2"/>
    </row>
    <row r="1971" spans="1:8" x14ac:dyDescent="0.3">
      <c r="A1971" t="s">
        <v>1116</v>
      </c>
      <c r="B1971" t="s">
        <v>1125</v>
      </c>
      <c r="C1971" t="s">
        <v>1126</v>
      </c>
      <c r="D1971">
        <v>2013</v>
      </c>
      <c r="E1971" s="2">
        <v>250</v>
      </c>
      <c r="F1971" s="2">
        <v>18750</v>
      </c>
      <c r="G1971" s="2"/>
    </row>
    <row r="1972" spans="1:8" x14ac:dyDescent="0.3">
      <c r="A1972" t="s">
        <v>1116</v>
      </c>
      <c r="B1972" t="s">
        <v>1125</v>
      </c>
      <c r="C1972" t="s">
        <v>1126</v>
      </c>
      <c r="D1972">
        <v>2014</v>
      </c>
      <c r="E1972" s="2">
        <v>1900</v>
      </c>
      <c r="F1972" s="2">
        <v>142500</v>
      </c>
      <c r="G1972" s="2"/>
    </row>
    <row r="1973" spans="1:8" x14ac:dyDescent="0.3">
      <c r="A1973" t="s">
        <v>1116</v>
      </c>
      <c r="B1973" t="s">
        <v>314</v>
      </c>
      <c r="C1973" t="s">
        <v>315</v>
      </c>
      <c r="D1973">
        <v>2012</v>
      </c>
      <c r="E1973" s="2">
        <v>50</v>
      </c>
      <c r="F1973" s="2">
        <v>3600</v>
      </c>
      <c r="G1973" s="2"/>
    </row>
    <row r="1974" spans="1:8" x14ac:dyDescent="0.3">
      <c r="A1974" t="s">
        <v>1116</v>
      </c>
      <c r="B1974" t="s">
        <v>314</v>
      </c>
      <c r="C1974" t="s">
        <v>315</v>
      </c>
      <c r="D1974">
        <v>2014</v>
      </c>
      <c r="E1974" s="2">
        <v>100</v>
      </c>
      <c r="F1974" s="2">
        <v>7200</v>
      </c>
      <c r="G1974" s="2"/>
    </row>
    <row r="1975" spans="1:8" x14ac:dyDescent="0.3">
      <c r="A1975" t="s">
        <v>1116</v>
      </c>
      <c r="B1975" t="s">
        <v>314</v>
      </c>
      <c r="C1975" t="s">
        <v>315</v>
      </c>
      <c r="D1975">
        <v>2015</v>
      </c>
      <c r="E1975" s="2">
        <v>75</v>
      </c>
      <c r="F1975" s="2">
        <v>5400</v>
      </c>
      <c r="G1975" s="2"/>
    </row>
    <row r="1976" spans="1:8" x14ac:dyDescent="0.3">
      <c r="A1976" t="s">
        <v>1116</v>
      </c>
      <c r="B1976" t="s">
        <v>750</v>
      </c>
      <c r="C1976" t="s">
        <v>751</v>
      </c>
      <c r="D1976">
        <v>2012</v>
      </c>
      <c r="E1976" s="2">
        <v>50</v>
      </c>
      <c r="F1976" s="2">
        <v>4250</v>
      </c>
      <c r="G1976" s="2"/>
    </row>
    <row r="1977" spans="1:8" x14ac:dyDescent="0.3">
      <c r="A1977" t="s">
        <v>1116</v>
      </c>
      <c r="B1977" t="s">
        <v>750</v>
      </c>
      <c r="C1977" t="s">
        <v>751</v>
      </c>
      <c r="D1977">
        <v>2014</v>
      </c>
      <c r="E1977" s="2">
        <v>50</v>
      </c>
      <c r="F1977" s="2">
        <v>4250</v>
      </c>
      <c r="G1977" s="2"/>
    </row>
    <row r="1978" spans="1:8" x14ac:dyDescent="0.3">
      <c r="A1978" t="s">
        <v>1116</v>
      </c>
      <c r="B1978" t="s">
        <v>750</v>
      </c>
      <c r="C1978" t="s">
        <v>751</v>
      </c>
      <c r="D1978">
        <v>2015</v>
      </c>
      <c r="E1978" s="2">
        <v>25</v>
      </c>
      <c r="F1978" s="2">
        <v>2125</v>
      </c>
      <c r="G1978" s="2"/>
    </row>
    <row r="1979" spans="1:8" x14ac:dyDescent="0.3">
      <c r="A1979" t="s">
        <v>1116</v>
      </c>
      <c r="B1979" t="s">
        <v>383</v>
      </c>
      <c r="C1979" t="s">
        <v>385</v>
      </c>
      <c r="D1979">
        <v>2021</v>
      </c>
      <c r="E1979" s="2">
        <v>9</v>
      </c>
      <c r="F1979" s="2">
        <v>1440</v>
      </c>
      <c r="G1979" s="2">
        <v>1512</v>
      </c>
      <c r="H1979" s="3" t="s">
        <v>18</v>
      </c>
    </row>
    <row r="1980" spans="1:8" x14ac:dyDescent="0.3">
      <c r="A1980" t="s">
        <v>1127</v>
      </c>
      <c r="B1980" t="s">
        <v>1128</v>
      </c>
      <c r="C1980" t="s">
        <v>1129</v>
      </c>
      <c r="D1980">
        <v>2020</v>
      </c>
      <c r="E1980" s="2">
        <v>35</v>
      </c>
      <c r="F1980" s="2">
        <v>4900</v>
      </c>
      <c r="G1980" s="2">
        <v>5145</v>
      </c>
    </row>
    <row r="1981" spans="1:8" x14ac:dyDescent="0.3">
      <c r="A1981" t="s">
        <v>1127</v>
      </c>
      <c r="B1981" t="s">
        <v>82</v>
      </c>
      <c r="C1981" t="s">
        <v>83</v>
      </c>
      <c r="D1981">
        <v>2020</v>
      </c>
      <c r="E1981" s="2">
        <v>10</v>
      </c>
      <c r="F1981" s="2">
        <v>2095</v>
      </c>
      <c r="G1981" s="2">
        <v>2199.75</v>
      </c>
    </row>
    <row r="1982" spans="1:8" x14ac:dyDescent="0.3">
      <c r="A1982" t="s">
        <v>1127</v>
      </c>
      <c r="B1982" t="s">
        <v>1130</v>
      </c>
      <c r="C1982" t="s">
        <v>355</v>
      </c>
      <c r="D1982">
        <v>2019</v>
      </c>
      <c r="E1982" s="2">
        <v>10</v>
      </c>
      <c r="F1982" s="2">
        <v>2100</v>
      </c>
      <c r="G1982" s="2">
        <v>2205</v>
      </c>
    </row>
    <row r="1983" spans="1:8" x14ac:dyDescent="0.3">
      <c r="A1983" t="s">
        <v>1127</v>
      </c>
      <c r="B1983" t="s">
        <v>626</v>
      </c>
      <c r="C1983" t="s">
        <v>582</v>
      </c>
      <c r="D1983">
        <v>2019</v>
      </c>
      <c r="E1983" s="2">
        <v>5</v>
      </c>
      <c r="F1983" s="2">
        <v>950</v>
      </c>
      <c r="G1983" s="2">
        <v>997.5</v>
      </c>
    </row>
    <row r="1984" spans="1:8" x14ac:dyDescent="0.3">
      <c r="A1984" t="s">
        <v>1127</v>
      </c>
      <c r="B1984" t="s">
        <v>586</v>
      </c>
      <c r="C1984" t="s">
        <v>587</v>
      </c>
      <c r="D1984">
        <v>2020</v>
      </c>
      <c r="E1984" s="2">
        <v>25</v>
      </c>
      <c r="F1984" s="2">
        <v>4500</v>
      </c>
      <c r="G1984" s="2">
        <v>4725</v>
      </c>
    </row>
    <row r="1985" spans="1:7" x14ac:dyDescent="0.3">
      <c r="A1985" t="s">
        <v>1127</v>
      </c>
      <c r="B1985" t="s">
        <v>591</v>
      </c>
      <c r="C1985" t="s">
        <v>592</v>
      </c>
      <c r="D1985">
        <v>2019</v>
      </c>
      <c r="E1985" s="2">
        <v>10</v>
      </c>
      <c r="F1985" s="2">
        <v>2000</v>
      </c>
      <c r="G1985" s="2">
        <v>2100</v>
      </c>
    </row>
    <row r="1986" spans="1:7" x14ac:dyDescent="0.3">
      <c r="A1986" t="s">
        <v>1127</v>
      </c>
      <c r="B1986" t="s">
        <v>1131</v>
      </c>
      <c r="D1986">
        <v>2020</v>
      </c>
      <c r="E1986" s="2">
        <v>20</v>
      </c>
      <c r="F1986" s="2">
        <v>4400</v>
      </c>
      <c r="G1986" s="2">
        <v>4620</v>
      </c>
    </row>
    <row r="1987" spans="1:7" x14ac:dyDescent="0.3">
      <c r="A1987" t="s">
        <v>1127</v>
      </c>
      <c r="B1987" t="s">
        <v>348</v>
      </c>
      <c r="C1987" t="s">
        <v>347</v>
      </c>
      <c r="D1987">
        <v>2020</v>
      </c>
      <c r="E1987" s="2">
        <v>25</v>
      </c>
      <c r="F1987" s="2">
        <v>2750</v>
      </c>
      <c r="G1987" s="2">
        <v>2887.5</v>
      </c>
    </row>
    <row r="1988" spans="1:7" x14ac:dyDescent="0.3">
      <c r="A1988" t="s">
        <v>1127</v>
      </c>
      <c r="B1988" t="s">
        <v>1132</v>
      </c>
      <c r="C1988" t="s">
        <v>181</v>
      </c>
      <c r="D1988">
        <v>2020</v>
      </c>
      <c r="E1988" s="2">
        <v>6</v>
      </c>
      <c r="F1988" s="2">
        <v>960</v>
      </c>
      <c r="G1988" s="2">
        <v>1008</v>
      </c>
    </row>
    <row r="1989" spans="1:7" x14ac:dyDescent="0.3">
      <c r="A1989" t="s">
        <v>1127</v>
      </c>
      <c r="B1989" t="s">
        <v>1133</v>
      </c>
      <c r="C1989" t="s">
        <v>1134</v>
      </c>
      <c r="D1989">
        <v>2019</v>
      </c>
      <c r="E1989" s="2">
        <v>5</v>
      </c>
      <c r="F1989" s="2">
        <v>950</v>
      </c>
      <c r="G1989" s="2">
        <v>997.5</v>
      </c>
    </row>
    <row r="1990" spans="1:7" x14ac:dyDescent="0.3">
      <c r="A1990" t="s">
        <v>1127</v>
      </c>
      <c r="B1990" t="s">
        <v>58</v>
      </c>
      <c r="C1990" t="s">
        <v>59</v>
      </c>
      <c r="D1990">
        <v>2020</v>
      </c>
      <c r="E1990" s="2">
        <v>25</v>
      </c>
      <c r="F1990" s="2">
        <v>2750</v>
      </c>
      <c r="G1990" s="2">
        <v>2887.5</v>
      </c>
    </row>
    <row r="1991" spans="1:7" x14ac:dyDescent="0.3">
      <c r="A1991" t="s">
        <v>1127</v>
      </c>
      <c r="B1991" t="s">
        <v>99</v>
      </c>
      <c r="C1991" t="s">
        <v>100</v>
      </c>
      <c r="D1991">
        <v>2020</v>
      </c>
      <c r="E1991" s="2">
        <v>105</v>
      </c>
      <c r="F1991" s="2">
        <v>16800</v>
      </c>
      <c r="G1991" s="2">
        <v>17640</v>
      </c>
    </row>
    <row r="1992" spans="1:7" x14ac:dyDescent="0.3">
      <c r="A1992" t="s">
        <v>1127</v>
      </c>
      <c r="B1992" t="s">
        <v>1135</v>
      </c>
      <c r="C1992" t="s">
        <v>561</v>
      </c>
      <c r="D1992">
        <v>2019</v>
      </c>
      <c r="E1992" s="2">
        <v>10</v>
      </c>
      <c r="F1992" s="2">
        <v>1800</v>
      </c>
      <c r="G1992" s="2">
        <v>1890</v>
      </c>
    </row>
    <row r="1993" spans="1:7" x14ac:dyDescent="0.3">
      <c r="A1993" t="s">
        <v>1127</v>
      </c>
      <c r="B1993" t="s">
        <v>1135</v>
      </c>
      <c r="C1993" t="s">
        <v>561</v>
      </c>
      <c r="D1993">
        <v>2020</v>
      </c>
      <c r="E1993" s="2">
        <v>10</v>
      </c>
      <c r="F1993" s="2">
        <v>1800</v>
      </c>
      <c r="G1993" s="2">
        <v>1890</v>
      </c>
    </row>
    <row r="1994" spans="1:7" x14ac:dyDescent="0.3">
      <c r="A1994" t="s">
        <v>1127</v>
      </c>
      <c r="B1994" t="s">
        <v>567</v>
      </c>
      <c r="C1994" t="s">
        <v>698</v>
      </c>
      <c r="D1994">
        <v>2020</v>
      </c>
      <c r="E1994" s="2">
        <v>25</v>
      </c>
      <c r="F1994" s="2">
        <v>2750</v>
      </c>
      <c r="G1994" s="2">
        <v>2887.5</v>
      </c>
    </row>
    <row r="1995" spans="1:7" x14ac:dyDescent="0.3">
      <c r="A1995" t="s">
        <v>1127</v>
      </c>
      <c r="B1995" t="s">
        <v>516</v>
      </c>
      <c r="D1995">
        <v>2020</v>
      </c>
      <c r="E1995" s="2">
        <v>65</v>
      </c>
      <c r="F1995" s="2">
        <v>15000</v>
      </c>
      <c r="G1995" s="2">
        <v>15750</v>
      </c>
    </row>
    <row r="1996" spans="1:7" x14ac:dyDescent="0.3">
      <c r="A1996" t="s">
        <v>1127</v>
      </c>
      <c r="B1996" t="s">
        <v>105</v>
      </c>
      <c r="C1996" t="s">
        <v>106</v>
      </c>
      <c r="D1996">
        <v>2019</v>
      </c>
      <c r="E1996" s="2">
        <v>5</v>
      </c>
      <c r="F1996" s="2">
        <v>950</v>
      </c>
      <c r="G1996" s="2">
        <v>997.5</v>
      </c>
    </row>
    <row r="1997" spans="1:7" x14ac:dyDescent="0.3">
      <c r="A1997" t="s">
        <v>1127</v>
      </c>
      <c r="B1997" t="s">
        <v>1136</v>
      </c>
      <c r="C1997" t="s">
        <v>1137</v>
      </c>
      <c r="D1997">
        <v>2019</v>
      </c>
      <c r="E1997" s="2">
        <v>2</v>
      </c>
      <c r="F1997" s="2">
        <v>1260</v>
      </c>
      <c r="G1997" s="2">
        <v>1323</v>
      </c>
    </row>
    <row r="1998" spans="1:7" x14ac:dyDescent="0.3">
      <c r="A1998" t="s">
        <v>1127</v>
      </c>
      <c r="B1998" t="s">
        <v>1136</v>
      </c>
      <c r="C1998" t="s">
        <v>1137</v>
      </c>
      <c r="D1998">
        <v>2019</v>
      </c>
      <c r="E1998" s="2">
        <v>2</v>
      </c>
      <c r="F1998" s="2">
        <v>1680</v>
      </c>
      <c r="G1998" s="2">
        <v>1764</v>
      </c>
    </row>
    <row r="1999" spans="1:7" x14ac:dyDescent="0.3">
      <c r="A1999" t="s">
        <v>1127</v>
      </c>
      <c r="B1999" t="s">
        <v>1138</v>
      </c>
      <c r="D1999">
        <v>2020</v>
      </c>
      <c r="E1999" s="2">
        <v>95</v>
      </c>
      <c r="F1999" s="2">
        <v>30875</v>
      </c>
      <c r="G1999" s="2">
        <v>30875</v>
      </c>
    </row>
    <row r="2000" spans="1:7" x14ac:dyDescent="0.3">
      <c r="A2000" t="s">
        <v>1127</v>
      </c>
      <c r="B2000" t="s">
        <v>402</v>
      </c>
      <c r="C2000" t="s">
        <v>403</v>
      </c>
      <c r="D2000">
        <v>2019</v>
      </c>
      <c r="E2000" s="2">
        <v>5</v>
      </c>
      <c r="F2000" s="2">
        <v>2350</v>
      </c>
      <c r="G2000" s="2">
        <v>2467.5</v>
      </c>
    </row>
    <row r="2001" spans="1:7" x14ac:dyDescent="0.3">
      <c r="A2001" t="s">
        <v>1127</v>
      </c>
      <c r="B2001" t="s">
        <v>189</v>
      </c>
      <c r="D2001">
        <v>2019</v>
      </c>
      <c r="E2001" s="2">
        <v>2</v>
      </c>
      <c r="F2001" s="2">
        <v>1000</v>
      </c>
      <c r="G2001" s="2">
        <v>1050</v>
      </c>
    </row>
    <row r="2002" spans="1:7" x14ac:dyDescent="0.3">
      <c r="A2002" t="s">
        <v>1127</v>
      </c>
      <c r="B2002" t="s">
        <v>1003</v>
      </c>
      <c r="C2002" t="s">
        <v>292</v>
      </c>
      <c r="D2002">
        <v>2019</v>
      </c>
      <c r="E2002" s="2">
        <v>25</v>
      </c>
      <c r="F2002" s="2">
        <v>3000</v>
      </c>
      <c r="G2002" s="2">
        <v>3150</v>
      </c>
    </row>
    <row r="2003" spans="1:7" x14ac:dyDescent="0.3">
      <c r="A2003" t="s">
        <v>1127</v>
      </c>
      <c r="B2003" t="s">
        <v>1003</v>
      </c>
      <c r="C2003" t="s">
        <v>292</v>
      </c>
      <c r="D2003">
        <v>2020</v>
      </c>
      <c r="E2003" s="2">
        <v>80</v>
      </c>
      <c r="F2003" s="2">
        <v>8400</v>
      </c>
      <c r="G2003" s="2">
        <v>8820</v>
      </c>
    </row>
    <row r="2004" spans="1:7" x14ac:dyDescent="0.3">
      <c r="A2004" t="s">
        <v>1127</v>
      </c>
      <c r="B2004" t="s">
        <v>265</v>
      </c>
      <c r="C2004" t="s">
        <v>197</v>
      </c>
      <c r="D2004">
        <v>2019</v>
      </c>
      <c r="E2004" s="2">
        <v>25</v>
      </c>
      <c r="F2004" s="2">
        <v>2750</v>
      </c>
      <c r="G2004" s="2">
        <v>2887.5</v>
      </c>
    </row>
    <row r="2005" spans="1:7" x14ac:dyDescent="0.3">
      <c r="A2005" t="s">
        <v>1127</v>
      </c>
      <c r="B2005" t="s">
        <v>411</v>
      </c>
      <c r="D2005">
        <v>2020</v>
      </c>
      <c r="E2005" s="2">
        <v>100</v>
      </c>
      <c r="F2005" s="2">
        <v>32500</v>
      </c>
      <c r="G2005" s="2">
        <v>32500</v>
      </c>
    </row>
    <row r="2006" spans="1:7" x14ac:dyDescent="0.3">
      <c r="A2006" t="s">
        <v>1127</v>
      </c>
      <c r="B2006" t="s">
        <v>411</v>
      </c>
      <c r="D2006">
        <v>2021</v>
      </c>
      <c r="E2006" s="2">
        <v>50</v>
      </c>
      <c r="F2006" s="2">
        <v>15000</v>
      </c>
      <c r="G2006" s="2">
        <v>15000</v>
      </c>
    </row>
    <row r="2007" spans="1:7" x14ac:dyDescent="0.3">
      <c r="A2007" t="s">
        <v>1127</v>
      </c>
      <c r="B2007" t="s">
        <v>320</v>
      </c>
      <c r="C2007" t="s">
        <v>414</v>
      </c>
      <c r="D2007">
        <v>2019</v>
      </c>
      <c r="E2007" s="2">
        <v>5</v>
      </c>
      <c r="F2007" s="2">
        <v>1000</v>
      </c>
      <c r="G2007" s="2">
        <v>1050</v>
      </c>
    </row>
    <row r="2008" spans="1:7" x14ac:dyDescent="0.3">
      <c r="A2008" t="s">
        <v>1127</v>
      </c>
      <c r="B2008" t="s">
        <v>677</v>
      </c>
      <c r="C2008" t="s">
        <v>678</v>
      </c>
      <c r="D2008">
        <v>2019</v>
      </c>
      <c r="E2008" s="2">
        <v>25</v>
      </c>
      <c r="F2008" s="2">
        <v>3750</v>
      </c>
      <c r="G2008" s="2">
        <v>3937.5</v>
      </c>
    </row>
    <row r="2009" spans="1:7" x14ac:dyDescent="0.3">
      <c r="A2009" t="s">
        <v>1139</v>
      </c>
      <c r="B2009" t="s">
        <v>1140</v>
      </c>
      <c r="C2009" t="s">
        <v>1141</v>
      </c>
      <c r="D2009">
        <v>2010</v>
      </c>
      <c r="E2009" s="2">
        <v>50</v>
      </c>
      <c r="F2009" s="2">
        <v>6350</v>
      </c>
      <c r="G2009" s="2"/>
    </row>
    <row r="2010" spans="1:7" x14ac:dyDescent="0.3">
      <c r="A2010" t="s">
        <v>1139</v>
      </c>
      <c r="B2010" t="s">
        <v>1142</v>
      </c>
      <c r="C2010" t="s">
        <v>418</v>
      </c>
      <c r="D2010">
        <v>2016</v>
      </c>
      <c r="E2010" s="2">
        <v>50</v>
      </c>
      <c r="F2010" s="2">
        <v>2750</v>
      </c>
      <c r="G2010" s="2"/>
    </row>
    <row r="2011" spans="1:7" x14ac:dyDescent="0.3">
      <c r="A2011" t="s">
        <v>1139</v>
      </c>
      <c r="B2011" t="s">
        <v>1143</v>
      </c>
      <c r="C2011" t="s">
        <v>25</v>
      </c>
      <c r="D2011">
        <v>2015</v>
      </c>
      <c r="E2011" s="2">
        <v>50</v>
      </c>
      <c r="F2011" s="2">
        <v>4750</v>
      </c>
      <c r="G2011" s="2"/>
    </row>
    <row r="2012" spans="1:7" x14ac:dyDescent="0.3">
      <c r="A2012" t="s">
        <v>1139</v>
      </c>
      <c r="B2012" t="s">
        <v>19</v>
      </c>
      <c r="C2012" t="s">
        <v>270</v>
      </c>
      <c r="D2012">
        <v>2012</v>
      </c>
      <c r="E2012" s="2">
        <v>25</v>
      </c>
      <c r="F2012" s="2">
        <v>2125</v>
      </c>
      <c r="G2012" s="2"/>
    </row>
    <row r="2013" spans="1:7" x14ac:dyDescent="0.3">
      <c r="A2013" t="s">
        <v>1139</v>
      </c>
      <c r="B2013" t="s">
        <v>30</v>
      </c>
      <c r="C2013" t="s">
        <v>31</v>
      </c>
      <c r="D2013">
        <v>2012</v>
      </c>
      <c r="E2013" s="2">
        <v>100</v>
      </c>
      <c r="F2013" s="2">
        <v>8250</v>
      </c>
      <c r="G2013" s="2"/>
    </row>
    <row r="2014" spans="1:7" x14ac:dyDescent="0.3">
      <c r="A2014" t="s">
        <v>1139</v>
      </c>
      <c r="B2014" t="s">
        <v>30</v>
      </c>
      <c r="C2014" t="s">
        <v>31</v>
      </c>
      <c r="D2014">
        <v>2013</v>
      </c>
      <c r="E2014" s="2">
        <v>25</v>
      </c>
      <c r="F2014" s="2">
        <v>2000</v>
      </c>
      <c r="G2014" s="2"/>
    </row>
    <row r="2015" spans="1:7" x14ac:dyDescent="0.3">
      <c r="A2015" t="s">
        <v>1139</v>
      </c>
      <c r="B2015" t="s">
        <v>30</v>
      </c>
      <c r="C2015" t="s">
        <v>31</v>
      </c>
      <c r="D2015">
        <v>2014</v>
      </c>
      <c r="E2015" s="2">
        <v>99</v>
      </c>
      <c r="F2015" s="2">
        <v>7920</v>
      </c>
      <c r="G2015" s="2"/>
    </row>
    <row r="2016" spans="1:7" x14ac:dyDescent="0.3">
      <c r="A2016" t="s">
        <v>1139</v>
      </c>
      <c r="B2016" t="s">
        <v>30</v>
      </c>
      <c r="C2016" t="s">
        <v>31</v>
      </c>
      <c r="D2016">
        <v>2016</v>
      </c>
      <c r="E2016" s="2">
        <v>25</v>
      </c>
      <c r="F2016" s="2">
        <v>2125</v>
      </c>
      <c r="G2016" s="2"/>
    </row>
    <row r="2017" spans="1:8" x14ac:dyDescent="0.3">
      <c r="A2017" t="s">
        <v>1139</v>
      </c>
      <c r="B2017" t="s">
        <v>45</v>
      </c>
      <c r="D2017">
        <v>2010</v>
      </c>
      <c r="E2017" s="2">
        <v>20</v>
      </c>
      <c r="F2017" s="2">
        <v>1800</v>
      </c>
      <c r="G2017" s="2"/>
    </row>
    <row r="2018" spans="1:8" x14ac:dyDescent="0.3">
      <c r="A2018" t="s">
        <v>1139</v>
      </c>
      <c r="B2018" t="s">
        <v>45</v>
      </c>
      <c r="D2018">
        <v>2014</v>
      </c>
      <c r="E2018" s="2">
        <v>20</v>
      </c>
      <c r="F2018" s="2">
        <v>1800</v>
      </c>
      <c r="G2018" s="2"/>
    </row>
    <row r="2019" spans="1:8" x14ac:dyDescent="0.3">
      <c r="A2019" t="s">
        <v>1139</v>
      </c>
      <c r="B2019" t="s">
        <v>45</v>
      </c>
      <c r="D2019">
        <v>2017</v>
      </c>
      <c r="E2019" s="2">
        <v>20</v>
      </c>
      <c r="F2019" s="2">
        <v>1800</v>
      </c>
      <c r="G2019" s="2"/>
    </row>
    <row r="2020" spans="1:8" x14ac:dyDescent="0.3">
      <c r="A2020" t="s">
        <v>1139</v>
      </c>
      <c r="B2020" t="s">
        <v>1144</v>
      </c>
      <c r="D2020">
        <v>2010</v>
      </c>
      <c r="E2020" s="2">
        <v>20</v>
      </c>
      <c r="F2020" s="2">
        <v>1800</v>
      </c>
      <c r="G2020" s="2"/>
    </row>
    <row r="2021" spans="1:8" x14ac:dyDescent="0.3">
      <c r="A2021" t="s">
        <v>1139</v>
      </c>
      <c r="B2021" t="s">
        <v>1144</v>
      </c>
      <c r="D2021">
        <v>2011</v>
      </c>
      <c r="E2021" s="2">
        <v>20</v>
      </c>
      <c r="F2021" s="2">
        <v>1800</v>
      </c>
      <c r="G2021" s="2"/>
    </row>
    <row r="2022" spans="1:8" x14ac:dyDescent="0.3">
      <c r="A2022" t="s">
        <v>1139</v>
      </c>
      <c r="B2022" t="s">
        <v>32</v>
      </c>
      <c r="D2022">
        <v>2010</v>
      </c>
      <c r="E2022" s="2">
        <v>40</v>
      </c>
      <c r="F2022" s="2">
        <v>3600</v>
      </c>
      <c r="G2022" s="2"/>
    </row>
    <row r="2023" spans="1:8" x14ac:dyDescent="0.3">
      <c r="A2023" t="s">
        <v>1139</v>
      </c>
      <c r="B2023" t="s">
        <v>32</v>
      </c>
      <c r="D2023">
        <v>2013</v>
      </c>
      <c r="E2023" s="2">
        <v>20</v>
      </c>
      <c r="F2023" s="2">
        <v>1800</v>
      </c>
      <c r="G2023" s="2"/>
    </row>
    <row r="2024" spans="1:8" x14ac:dyDescent="0.3">
      <c r="A2024" t="s">
        <v>1139</v>
      </c>
      <c r="B2024" t="s">
        <v>32</v>
      </c>
      <c r="D2024">
        <v>2014</v>
      </c>
      <c r="E2024" s="2">
        <v>20</v>
      </c>
      <c r="F2024" s="2">
        <v>1800</v>
      </c>
      <c r="G2024" s="2"/>
    </row>
    <row r="2025" spans="1:8" x14ac:dyDescent="0.3">
      <c r="A2025" t="s">
        <v>1139</v>
      </c>
      <c r="B2025" t="s">
        <v>32</v>
      </c>
      <c r="D2025">
        <v>2015</v>
      </c>
      <c r="E2025" s="2">
        <v>20</v>
      </c>
      <c r="F2025" s="2">
        <v>1800</v>
      </c>
      <c r="G2025" s="2"/>
    </row>
    <row r="2026" spans="1:8" x14ac:dyDescent="0.3">
      <c r="A2026" t="s">
        <v>1139</v>
      </c>
      <c r="B2026" t="s">
        <v>336</v>
      </c>
      <c r="C2026" t="s">
        <v>1145</v>
      </c>
      <c r="D2026">
        <v>2009</v>
      </c>
      <c r="E2026" s="2">
        <v>25</v>
      </c>
      <c r="F2026" s="2">
        <v>2450</v>
      </c>
      <c r="G2026" s="2"/>
    </row>
    <row r="2027" spans="1:8" x14ac:dyDescent="0.3">
      <c r="A2027" t="s">
        <v>1139</v>
      </c>
      <c r="B2027" t="s">
        <v>336</v>
      </c>
      <c r="C2027" t="s">
        <v>1145</v>
      </c>
      <c r="D2027">
        <v>2010</v>
      </c>
      <c r="E2027" s="2">
        <v>25</v>
      </c>
      <c r="F2027" s="2">
        <v>2625</v>
      </c>
      <c r="G2027" s="2"/>
    </row>
    <row r="2028" spans="1:8" x14ac:dyDescent="0.3">
      <c r="A2028" t="s">
        <v>1139</v>
      </c>
      <c r="B2028" t="s">
        <v>498</v>
      </c>
      <c r="C2028" t="s">
        <v>499</v>
      </c>
      <c r="D2028">
        <v>2010</v>
      </c>
      <c r="E2028" s="2">
        <v>25</v>
      </c>
      <c r="F2028" s="2">
        <v>3175</v>
      </c>
      <c r="G2028" s="2"/>
    </row>
    <row r="2029" spans="1:8" x14ac:dyDescent="0.3">
      <c r="A2029" t="s">
        <v>1139</v>
      </c>
      <c r="B2029" t="s">
        <v>498</v>
      </c>
      <c r="C2029" t="s">
        <v>499</v>
      </c>
      <c r="D2029">
        <v>2012</v>
      </c>
      <c r="E2029" s="2">
        <v>25</v>
      </c>
      <c r="F2029" s="2">
        <v>2875</v>
      </c>
      <c r="G2029" s="2"/>
    </row>
    <row r="2030" spans="1:8" x14ac:dyDescent="0.3">
      <c r="A2030" t="s">
        <v>1146</v>
      </c>
      <c r="B2030" t="s">
        <v>383</v>
      </c>
      <c r="C2030" t="s">
        <v>385</v>
      </c>
      <c r="D2030">
        <v>2021</v>
      </c>
      <c r="E2030" s="2">
        <v>5</v>
      </c>
      <c r="F2030" s="2">
        <v>900</v>
      </c>
      <c r="G2030" s="2">
        <v>945</v>
      </c>
      <c r="H2030" s="3" t="s">
        <v>18</v>
      </c>
    </row>
    <row r="2031" spans="1:8" x14ac:dyDescent="0.3">
      <c r="A2031" t="s">
        <v>1147</v>
      </c>
      <c r="B2031" t="s">
        <v>86</v>
      </c>
      <c r="C2031" t="s">
        <v>87</v>
      </c>
      <c r="D2031">
        <v>2018</v>
      </c>
      <c r="E2031" s="2">
        <v>1</v>
      </c>
      <c r="F2031" s="2">
        <v>275</v>
      </c>
      <c r="G2031" s="2">
        <v>288.75</v>
      </c>
    </row>
    <row r="2032" spans="1:8" x14ac:dyDescent="0.3">
      <c r="A2032" t="s">
        <v>1147</v>
      </c>
      <c r="B2032" t="s">
        <v>86</v>
      </c>
      <c r="C2032" t="s">
        <v>87</v>
      </c>
      <c r="D2032">
        <v>2019</v>
      </c>
      <c r="E2032" s="2">
        <v>5</v>
      </c>
      <c r="F2032" s="2">
        <v>1375</v>
      </c>
      <c r="G2032" s="2">
        <v>1443.75</v>
      </c>
    </row>
    <row r="2033" spans="1:8" x14ac:dyDescent="0.3">
      <c r="A2033" t="s">
        <v>1147</v>
      </c>
      <c r="B2033" t="s">
        <v>538</v>
      </c>
      <c r="C2033" t="s">
        <v>539</v>
      </c>
      <c r="D2033">
        <v>2018</v>
      </c>
      <c r="E2033" s="2">
        <v>7</v>
      </c>
      <c r="F2033" s="2">
        <v>1540</v>
      </c>
      <c r="G2033" s="2">
        <v>1617</v>
      </c>
    </row>
    <row r="2034" spans="1:8" x14ac:dyDescent="0.3">
      <c r="A2034" t="s">
        <v>1147</v>
      </c>
      <c r="B2034" t="s">
        <v>60</v>
      </c>
      <c r="C2034" t="s">
        <v>61</v>
      </c>
      <c r="D2034">
        <v>2018</v>
      </c>
      <c r="E2034" s="2">
        <v>1</v>
      </c>
      <c r="F2034" s="2">
        <v>750</v>
      </c>
      <c r="G2034" s="2">
        <v>787.5</v>
      </c>
    </row>
    <row r="2035" spans="1:8" x14ac:dyDescent="0.3">
      <c r="A2035" t="s">
        <v>1147</v>
      </c>
      <c r="B2035" t="s">
        <v>125</v>
      </c>
      <c r="D2035">
        <v>2018</v>
      </c>
      <c r="E2035" s="2">
        <v>5</v>
      </c>
      <c r="F2035" s="2">
        <v>1600</v>
      </c>
      <c r="G2035" s="2">
        <v>1680</v>
      </c>
    </row>
    <row r="2036" spans="1:8" x14ac:dyDescent="0.3">
      <c r="A2036" t="s">
        <v>1147</v>
      </c>
      <c r="B2036" t="s">
        <v>149</v>
      </c>
      <c r="C2036" t="s">
        <v>150</v>
      </c>
      <c r="D2036">
        <v>2018</v>
      </c>
      <c r="E2036" s="2">
        <v>5</v>
      </c>
      <c r="F2036" s="2">
        <v>1200</v>
      </c>
      <c r="G2036" s="2">
        <v>1260</v>
      </c>
    </row>
    <row r="2037" spans="1:8" x14ac:dyDescent="0.3">
      <c r="A2037" t="s">
        <v>1147</v>
      </c>
      <c r="B2037" t="s">
        <v>159</v>
      </c>
      <c r="C2037" t="s">
        <v>160</v>
      </c>
      <c r="D2037">
        <v>2018</v>
      </c>
      <c r="E2037" s="2">
        <v>20</v>
      </c>
      <c r="F2037" s="2">
        <v>4800</v>
      </c>
      <c r="G2037" s="2">
        <v>5040</v>
      </c>
    </row>
    <row r="2038" spans="1:8" x14ac:dyDescent="0.3">
      <c r="A2038" t="s">
        <v>1148</v>
      </c>
      <c r="B2038" t="s">
        <v>542</v>
      </c>
      <c r="C2038" t="s">
        <v>160</v>
      </c>
      <c r="D2038">
        <v>2021</v>
      </c>
      <c r="E2038" s="2">
        <v>5</v>
      </c>
      <c r="F2038" s="2">
        <v>425</v>
      </c>
      <c r="G2038" s="2">
        <v>446.25</v>
      </c>
      <c r="H2038" s="3" t="s">
        <v>442</v>
      </c>
    </row>
    <row r="2039" spans="1:8" x14ac:dyDescent="0.3">
      <c r="A2039" t="s">
        <v>1149</v>
      </c>
      <c r="B2039" t="s">
        <v>28</v>
      </c>
      <c r="D2039">
        <v>2015</v>
      </c>
      <c r="E2039" s="2">
        <v>2</v>
      </c>
      <c r="F2039" s="2">
        <v>1000</v>
      </c>
      <c r="G2039" s="2"/>
    </row>
    <row r="2040" spans="1:8" x14ac:dyDescent="0.3">
      <c r="A2040" t="s">
        <v>1149</v>
      </c>
      <c r="B2040" t="s">
        <v>32</v>
      </c>
      <c r="D2040">
        <v>2015</v>
      </c>
      <c r="E2040" s="2">
        <v>20</v>
      </c>
      <c r="F2040" s="2">
        <v>1800</v>
      </c>
      <c r="G2040" s="2"/>
    </row>
    <row r="2041" spans="1:8" x14ac:dyDescent="0.3">
      <c r="A2041" t="s">
        <v>1149</v>
      </c>
      <c r="B2041" t="s">
        <v>46</v>
      </c>
      <c r="C2041" t="s">
        <v>47</v>
      </c>
      <c r="D2041">
        <v>2014</v>
      </c>
      <c r="E2041" s="2">
        <v>25</v>
      </c>
      <c r="F2041" s="2">
        <v>1500</v>
      </c>
      <c r="G2041" s="2"/>
    </row>
    <row r="2042" spans="1:8" x14ac:dyDescent="0.3">
      <c r="A2042" t="s">
        <v>1149</v>
      </c>
      <c r="B2042" t="s">
        <v>46</v>
      </c>
      <c r="C2042" t="s">
        <v>47</v>
      </c>
      <c r="D2042">
        <v>2015</v>
      </c>
      <c r="E2042" s="2">
        <v>50</v>
      </c>
      <c r="F2042" s="2">
        <v>3000</v>
      </c>
      <c r="G2042" s="2"/>
    </row>
    <row r="2043" spans="1:8" x14ac:dyDescent="0.3">
      <c r="A2043" t="s">
        <v>1150</v>
      </c>
      <c r="B2043" t="s">
        <v>53</v>
      </c>
      <c r="C2043" t="s">
        <v>54</v>
      </c>
      <c r="D2043">
        <v>2018</v>
      </c>
      <c r="E2043" s="2">
        <v>5</v>
      </c>
      <c r="F2043" s="2">
        <v>875</v>
      </c>
      <c r="G2043" s="2">
        <v>918.75</v>
      </c>
    </row>
    <row r="2044" spans="1:8" x14ac:dyDescent="0.3">
      <c r="A2044" t="s">
        <v>1150</v>
      </c>
      <c r="B2044" t="s">
        <v>53</v>
      </c>
      <c r="C2044" t="s">
        <v>54</v>
      </c>
      <c r="D2044">
        <v>2019</v>
      </c>
      <c r="E2044" s="2">
        <v>25</v>
      </c>
      <c r="F2044" s="2">
        <v>1875</v>
      </c>
      <c r="G2044" s="2">
        <v>1968.75</v>
      </c>
    </row>
    <row r="2045" spans="1:8" x14ac:dyDescent="0.3">
      <c r="A2045" t="s">
        <v>1150</v>
      </c>
      <c r="B2045" t="s">
        <v>788</v>
      </c>
      <c r="C2045" t="s">
        <v>789</v>
      </c>
      <c r="D2045">
        <v>2021</v>
      </c>
      <c r="E2045" s="2">
        <v>5</v>
      </c>
      <c r="F2045" s="2">
        <v>575</v>
      </c>
      <c r="G2045" s="2">
        <v>575</v>
      </c>
      <c r="H2045" s="3" t="s">
        <v>374</v>
      </c>
    </row>
    <row r="2046" spans="1:8" x14ac:dyDescent="0.3">
      <c r="A2046" t="s">
        <v>1150</v>
      </c>
      <c r="B2046" t="s">
        <v>453</v>
      </c>
      <c r="D2046">
        <v>2021</v>
      </c>
      <c r="E2046" s="2">
        <v>1</v>
      </c>
      <c r="F2046" s="2">
        <v>102</v>
      </c>
      <c r="G2046" s="2">
        <v>102</v>
      </c>
      <c r="H2046" s="3" t="s">
        <v>18</v>
      </c>
    </row>
    <row r="2047" spans="1:8" x14ac:dyDescent="0.3">
      <c r="A2047" t="s">
        <v>1150</v>
      </c>
      <c r="B2047" t="s">
        <v>417</v>
      </c>
      <c r="C2047" t="s">
        <v>418</v>
      </c>
      <c r="D2047">
        <v>2018</v>
      </c>
      <c r="E2047" s="2">
        <v>5</v>
      </c>
      <c r="F2047" s="2">
        <v>300</v>
      </c>
      <c r="G2047" s="2">
        <v>315</v>
      </c>
    </row>
    <row r="2048" spans="1:8" x14ac:dyDescent="0.3">
      <c r="A2048" t="s">
        <v>1150</v>
      </c>
      <c r="B2048" t="s">
        <v>26</v>
      </c>
      <c r="C2048" t="s">
        <v>27</v>
      </c>
      <c r="D2048">
        <v>2018</v>
      </c>
      <c r="E2048" s="2">
        <v>5</v>
      </c>
      <c r="F2048" s="2">
        <v>300</v>
      </c>
      <c r="G2048" s="2">
        <v>315</v>
      </c>
    </row>
    <row r="2049" spans="1:8" x14ac:dyDescent="0.3">
      <c r="A2049" t="s">
        <v>1150</v>
      </c>
      <c r="B2049" t="s">
        <v>99</v>
      </c>
      <c r="C2049" t="s">
        <v>100</v>
      </c>
      <c r="D2049">
        <v>2021</v>
      </c>
      <c r="E2049" s="2">
        <v>5</v>
      </c>
      <c r="F2049" s="2">
        <v>550</v>
      </c>
      <c r="G2049" s="2">
        <v>550</v>
      </c>
      <c r="H2049" s="3" t="s">
        <v>606</v>
      </c>
    </row>
    <row r="2050" spans="1:8" x14ac:dyDescent="0.3">
      <c r="A2050" t="s">
        <v>1150</v>
      </c>
      <c r="B2050" t="s">
        <v>373</v>
      </c>
      <c r="C2050" t="s">
        <v>331</v>
      </c>
      <c r="D2050">
        <v>2021</v>
      </c>
      <c r="E2050" s="2">
        <v>5</v>
      </c>
      <c r="F2050" s="2">
        <v>650</v>
      </c>
      <c r="G2050" s="2">
        <v>650</v>
      </c>
      <c r="H2050" s="3" t="s">
        <v>442</v>
      </c>
    </row>
    <row r="2051" spans="1:8" x14ac:dyDescent="0.3">
      <c r="A2051" t="s">
        <v>1150</v>
      </c>
      <c r="B2051" t="s">
        <v>1151</v>
      </c>
      <c r="C2051" t="s">
        <v>1152</v>
      </c>
      <c r="D2051">
        <v>2021</v>
      </c>
      <c r="E2051" s="2">
        <v>5</v>
      </c>
      <c r="F2051" s="2">
        <v>740</v>
      </c>
      <c r="G2051" s="2">
        <v>740</v>
      </c>
      <c r="H2051" s="3" t="s">
        <v>1153</v>
      </c>
    </row>
    <row r="2052" spans="1:8" x14ac:dyDescent="0.3">
      <c r="A2052" t="s">
        <v>1150</v>
      </c>
      <c r="B2052" t="s">
        <v>839</v>
      </c>
      <c r="C2052" t="s">
        <v>138</v>
      </c>
      <c r="D2052">
        <v>2021</v>
      </c>
      <c r="E2052" s="2">
        <v>5</v>
      </c>
      <c r="F2052" s="2">
        <v>675</v>
      </c>
      <c r="G2052" s="2">
        <v>675</v>
      </c>
      <c r="H2052" s="3" t="s">
        <v>1154</v>
      </c>
    </row>
    <row r="2053" spans="1:8" x14ac:dyDescent="0.3">
      <c r="A2053" t="s">
        <v>1150</v>
      </c>
      <c r="B2053" t="s">
        <v>656</v>
      </c>
      <c r="C2053" t="s">
        <v>71</v>
      </c>
      <c r="D2053">
        <v>2018</v>
      </c>
      <c r="E2053" s="2">
        <v>5</v>
      </c>
      <c r="F2053" s="2">
        <v>650</v>
      </c>
      <c r="G2053" s="2">
        <v>682.5</v>
      </c>
    </row>
    <row r="2054" spans="1:8" x14ac:dyDescent="0.3">
      <c r="A2054" t="s">
        <v>1150</v>
      </c>
      <c r="B2054" t="s">
        <v>656</v>
      </c>
      <c r="C2054" t="s">
        <v>71</v>
      </c>
      <c r="D2054">
        <v>2019</v>
      </c>
      <c r="E2054" s="2">
        <v>25</v>
      </c>
      <c r="F2054" s="2">
        <v>1875</v>
      </c>
      <c r="G2054" s="2">
        <v>1968.75</v>
      </c>
    </row>
    <row r="2055" spans="1:8" x14ac:dyDescent="0.3">
      <c r="A2055" t="s">
        <v>1150</v>
      </c>
      <c r="B2055" t="s">
        <v>46</v>
      </c>
      <c r="C2055" t="s">
        <v>47</v>
      </c>
      <c r="D2055">
        <v>2018</v>
      </c>
      <c r="E2055" s="2">
        <v>5</v>
      </c>
      <c r="F2055" s="2">
        <v>300</v>
      </c>
      <c r="G2055" s="2">
        <v>315</v>
      </c>
    </row>
    <row r="2056" spans="1:8" x14ac:dyDescent="0.3">
      <c r="A2056" t="s">
        <v>1150</v>
      </c>
      <c r="B2056" t="s">
        <v>1155</v>
      </c>
      <c r="C2056" t="s">
        <v>1156</v>
      </c>
      <c r="D2056">
        <v>2019</v>
      </c>
      <c r="E2056" s="2">
        <v>25</v>
      </c>
      <c r="F2056" s="2">
        <v>1875</v>
      </c>
      <c r="G2056" s="2">
        <v>1968.75</v>
      </c>
    </row>
    <row r="2057" spans="1:8" x14ac:dyDescent="0.3">
      <c r="A2057" t="s">
        <v>1157</v>
      </c>
      <c r="B2057" t="s">
        <v>1158</v>
      </c>
      <c r="C2057" t="s">
        <v>1159</v>
      </c>
      <c r="D2057">
        <v>2014</v>
      </c>
      <c r="E2057" s="2">
        <v>1</v>
      </c>
      <c r="F2057" s="2">
        <v>500</v>
      </c>
      <c r="G2057" s="2"/>
    </row>
    <row r="2058" spans="1:8" x14ac:dyDescent="0.3">
      <c r="A2058" t="s">
        <v>1157</v>
      </c>
      <c r="B2058" t="s">
        <v>1160</v>
      </c>
      <c r="C2058" t="s">
        <v>1161</v>
      </c>
      <c r="D2058">
        <v>2014</v>
      </c>
      <c r="E2058" s="2">
        <v>1</v>
      </c>
      <c r="F2058" s="2">
        <v>550</v>
      </c>
      <c r="G2058" s="2"/>
    </row>
    <row r="2059" spans="1:8" x14ac:dyDescent="0.3">
      <c r="A2059" t="s">
        <v>1162</v>
      </c>
      <c r="B2059" t="s">
        <v>696</v>
      </c>
      <c r="C2059" t="s">
        <v>697</v>
      </c>
      <c r="D2059">
        <v>2018</v>
      </c>
      <c r="E2059" s="2">
        <v>100</v>
      </c>
      <c r="F2059" s="2">
        <v>8000</v>
      </c>
      <c r="G2059" s="2">
        <v>8400</v>
      </c>
    </row>
    <row r="2060" spans="1:8" x14ac:dyDescent="0.3">
      <c r="A2060" t="s">
        <v>1162</v>
      </c>
      <c r="B2060" t="s">
        <v>696</v>
      </c>
      <c r="C2060" t="s">
        <v>697</v>
      </c>
      <c r="D2060">
        <v>2019</v>
      </c>
      <c r="E2060" s="2">
        <v>50</v>
      </c>
      <c r="F2060" s="2">
        <v>4000</v>
      </c>
      <c r="G2060" s="2">
        <v>4200</v>
      </c>
    </row>
    <row r="2061" spans="1:8" x14ac:dyDescent="0.3">
      <c r="A2061" t="s">
        <v>1162</v>
      </c>
      <c r="B2061" t="s">
        <v>39</v>
      </c>
      <c r="D2061">
        <v>2020</v>
      </c>
      <c r="E2061" s="2">
        <v>20</v>
      </c>
      <c r="F2061" s="2">
        <v>5200</v>
      </c>
      <c r="G2061" s="2">
        <v>5460</v>
      </c>
    </row>
    <row r="2062" spans="1:8" x14ac:dyDescent="0.3">
      <c r="A2062" t="s">
        <v>1162</v>
      </c>
      <c r="B2062" t="s">
        <v>41</v>
      </c>
      <c r="C2062" t="s">
        <v>42</v>
      </c>
      <c r="D2062">
        <v>2018</v>
      </c>
      <c r="E2062" s="2">
        <v>25</v>
      </c>
      <c r="F2062" s="2">
        <v>1750</v>
      </c>
      <c r="G2062" s="2">
        <v>1837.5</v>
      </c>
    </row>
    <row r="2063" spans="1:8" x14ac:dyDescent="0.3">
      <c r="A2063" t="s">
        <v>1162</v>
      </c>
      <c r="B2063" t="s">
        <v>467</v>
      </c>
      <c r="C2063" t="s">
        <v>468</v>
      </c>
      <c r="D2063">
        <v>2020</v>
      </c>
      <c r="E2063" s="2">
        <v>50</v>
      </c>
      <c r="F2063" s="2">
        <v>3250</v>
      </c>
      <c r="G2063" s="2">
        <v>3412.5</v>
      </c>
    </row>
    <row r="2064" spans="1:8" x14ac:dyDescent="0.3">
      <c r="A2064" t="s">
        <v>1162</v>
      </c>
      <c r="B2064" t="s">
        <v>240</v>
      </c>
      <c r="D2064">
        <v>2020</v>
      </c>
      <c r="E2064" s="2">
        <v>40</v>
      </c>
      <c r="F2064" s="2">
        <v>3600</v>
      </c>
      <c r="G2064" s="2">
        <v>3780</v>
      </c>
    </row>
    <row r="2065" spans="1:8" x14ac:dyDescent="0.3">
      <c r="A2065" t="s">
        <v>1162</v>
      </c>
      <c r="B2065" t="s">
        <v>32</v>
      </c>
      <c r="D2065">
        <v>2018</v>
      </c>
      <c r="E2065" s="2">
        <v>20</v>
      </c>
      <c r="F2065" s="2">
        <v>1700</v>
      </c>
      <c r="G2065" s="2">
        <v>1785</v>
      </c>
    </row>
    <row r="2066" spans="1:8" x14ac:dyDescent="0.3">
      <c r="A2066" t="s">
        <v>1162</v>
      </c>
      <c r="B2066" t="s">
        <v>32</v>
      </c>
      <c r="D2066">
        <v>2020</v>
      </c>
      <c r="E2066" s="2">
        <v>40</v>
      </c>
      <c r="F2066" s="2">
        <v>3200</v>
      </c>
      <c r="G2066" s="2">
        <v>3360</v>
      </c>
    </row>
    <row r="2067" spans="1:8" x14ac:dyDescent="0.3">
      <c r="A2067" t="s">
        <v>1163</v>
      </c>
      <c r="B2067" t="s">
        <v>26</v>
      </c>
      <c r="C2067" t="s">
        <v>27</v>
      </c>
      <c r="D2067">
        <v>2015</v>
      </c>
      <c r="E2067" s="2">
        <v>50</v>
      </c>
      <c r="F2067" s="2">
        <v>2500</v>
      </c>
      <c r="G2067" s="2"/>
    </row>
    <row r="2068" spans="1:8" x14ac:dyDescent="0.3">
      <c r="A2068" t="s">
        <v>1163</v>
      </c>
      <c r="B2068" t="s">
        <v>19</v>
      </c>
      <c r="C2068" t="s">
        <v>20</v>
      </c>
      <c r="D2068">
        <v>2016</v>
      </c>
      <c r="E2068" s="2">
        <v>100</v>
      </c>
      <c r="F2068" s="2">
        <v>9000</v>
      </c>
      <c r="G2068" s="2"/>
    </row>
    <row r="2069" spans="1:8" x14ac:dyDescent="0.3">
      <c r="A2069" t="s">
        <v>1163</v>
      </c>
      <c r="B2069" t="s">
        <v>828</v>
      </c>
      <c r="D2069">
        <v>2015</v>
      </c>
      <c r="E2069" s="2">
        <v>100</v>
      </c>
      <c r="F2069" s="2">
        <v>32000</v>
      </c>
      <c r="G2069" s="2"/>
    </row>
    <row r="2070" spans="1:8" x14ac:dyDescent="0.3">
      <c r="A2070" t="s">
        <v>1164</v>
      </c>
      <c r="B2070" t="s">
        <v>532</v>
      </c>
      <c r="C2070" t="s">
        <v>452</v>
      </c>
      <c r="D2070">
        <v>2021</v>
      </c>
      <c r="E2070" s="2">
        <v>1</v>
      </c>
      <c r="F2070" s="2">
        <v>130</v>
      </c>
      <c r="G2070" s="2">
        <v>136.5</v>
      </c>
      <c r="H2070" s="3" t="s">
        <v>18</v>
      </c>
    </row>
    <row r="2071" spans="1:8" x14ac:dyDescent="0.3">
      <c r="A2071" t="s">
        <v>1164</v>
      </c>
      <c r="B2071" t="s">
        <v>635</v>
      </c>
      <c r="C2071" t="s">
        <v>636</v>
      </c>
      <c r="D2071">
        <v>2021</v>
      </c>
      <c r="E2071" s="2">
        <v>1</v>
      </c>
      <c r="F2071" s="2">
        <v>120</v>
      </c>
      <c r="G2071" s="2">
        <v>126</v>
      </c>
      <c r="H2071" s="3" t="s">
        <v>18</v>
      </c>
    </row>
    <row r="2072" spans="1:8" x14ac:dyDescent="0.3">
      <c r="A2072" t="s">
        <v>1164</v>
      </c>
      <c r="B2072" t="s">
        <v>686</v>
      </c>
      <c r="C2072" t="s">
        <v>687</v>
      </c>
      <c r="D2072">
        <v>2021</v>
      </c>
      <c r="E2072" s="2">
        <v>5</v>
      </c>
      <c r="F2072" s="2">
        <v>550</v>
      </c>
      <c r="G2072" s="2">
        <v>577.5</v>
      </c>
      <c r="H2072" s="3" t="s">
        <v>1165</v>
      </c>
    </row>
    <row r="2073" spans="1:8" x14ac:dyDescent="0.3">
      <c r="A2073" t="s">
        <v>1164</v>
      </c>
      <c r="B2073" t="s">
        <v>125</v>
      </c>
      <c r="D2073">
        <v>2019</v>
      </c>
      <c r="E2073" s="2">
        <v>5</v>
      </c>
      <c r="F2073" s="2">
        <v>1650</v>
      </c>
      <c r="G2073" s="2">
        <v>1732.5</v>
      </c>
    </row>
    <row r="2074" spans="1:8" x14ac:dyDescent="0.3">
      <c r="A2074" t="s">
        <v>1164</v>
      </c>
      <c r="B2074" t="s">
        <v>125</v>
      </c>
      <c r="D2074">
        <v>2020</v>
      </c>
      <c r="E2074" s="2">
        <v>5</v>
      </c>
      <c r="F2074" s="2">
        <v>1650</v>
      </c>
      <c r="G2074" s="2">
        <v>1732.5</v>
      </c>
    </row>
    <row r="2075" spans="1:8" x14ac:dyDescent="0.3">
      <c r="A2075" t="s">
        <v>1164</v>
      </c>
      <c r="B2075" t="s">
        <v>30</v>
      </c>
      <c r="C2075" t="s">
        <v>31</v>
      </c>
      <c r="D2075">
        <v>2021</v>
      </c>
      <c r="E2075" s="2">
        <v>5</v>
      </c>
      <c r="F2075" s="2">
        <v>550</v>
      </c>
      <c r="G2075" s="2">
        <v>577.5</v>
      </c>
      <c r="H2075" s="3" t="s">
        <v>18</v>
      </c>
    </row>
    <row r="2076" spans="1:8" x14ac:dyDescent="0.3">
      <c r="A2076" t="s">
        <v>1164</v>
      </c>
      <c r="B2076" t="s">
        <v>817</v>
      </c>
      <c r="D2076">
        <v>2019</v>
      </c>
      <c r="E2076" s="2">
        <v>5</v>
      </c>
      <c r="F2076" s="2">
        <v>1400</v>
      </c>
      <c r="G2076" s="2">
        <v>1470</v>
      </c>
    </row>
    <row r="2077" spans="1:8" x14ac:dyDescent="0.3">
      <c r="A2077" t="s">
        <v>1164</v>
      </c>
      <c r="B2077" t="s">
        <v>483</v>
      </c>
      <c r="C2077" t="s">
        <v>484</v>
      </c>
      <c r="D2077">
        <v>2021</v>
      </c>
      <c r="E2077" s="2">
        <v>1</v>
      </c>
      <c r="F2077" s="2">
        <v>110</v>
      </c>
      <c r="G2077" s="2">
        <v>115.5</v>
      </c>
      <c r="H2077" s="3" t="s">
        <v>18</v>
      </c>
    </row>
    <row r="2078" spans="1:8" x14ac:dyDescent="0.3">
      <c r="A2078" t="s">
        <v>1164</v>
      </c>
      <c r="B2078" t="s">
        <v>76</v>
      </c>
      <c r="C2078" t="s">
        <v>77</v>
      </c>
      <c r="D2078">
        <v>2021</v>
      </c>
      <c r="E2078" s="2">
        <v>1</v>
      </c>
      <c r="F2078" s="2">
        <v>200</v>
      </c>
      <c r="G2078" s="2">
        <v>210</v>
      </c>
      <c r="H2078" s="3" t="s">
        <v>18</v>
      </c>
    </row>
    <row r="2079" spans="1:8" x14ac:dyDescent="0.3">
      <c r="A2079" t="s">
        <v>1164</v>
      </c>
      <c r="B2079" t="s">
        <v>679</v>
      </c>
      <c r="C2079" t="s">
        <v>680</v>
      </c>
      <c r="D2079">
        <v>2021</v>
      </c>
      <c r="E2079" s="2">
        <v>5</v>
      </c>
      <c r="F2079" s="2">
        <v>450</v>
      </c>
      <c r="G2079" s="2">
        <v>472.5</v>
      </c>
      <c r="H2079" s="3" t="s">
        <v>18</v>
      </c>
    </row>
    <row r="2080" spans="1:8" x14ac:dyDescent="0.3">
      <c r="A2080" t="s">
        <v>1164</v>
      </c>
      <c r="B2080" t="s">
        <v>155</v>
      </c>
      <c r="C2080" t="s">
        <v>156</v>
      </c>
      <c r="D2080">
        <v>2021</v>
      </c>
      <c r="E2080" s="2">
        <v>1</v>
      </c>
      <c r="F2080" s="2">
        <v>120</v>
      </c>
      <c r="G2080" s="2">
        <v>126</v>
      </c>
      <c r="H2080" s="3" t="s">
        <v>18</v>
      </c>
    </row>
    <row r="2081" spans="1:8" x14ac:dyDescent="0.3">
      <c r="A2081" t="s">
        <v>1166</v>
      </c>
      <c r="B2081" t="s">
        <v>248</v>
      </c>
      <c r="C2081" t="s">
        <v>249</v>
      </c>
      <c r="D2081">
        <v>2020</v>
      </c>
      <c r="E2081" s="2">
        <v>5</v>
      </c>
      <c r="F2081" s="2">
        <v>1000</v>
      </c>
      <c r="G2081" s="2">
        <v>1050</v>
      </c>
    </row>
    <row r="2082" spans="1:8" x14ac:dyDescent="0.3">
      <c r="A2082" t="s">
        <v>1166</v>
      </c>
      <c r="B2082" t="s">
        <v>290</v>
      </c>
      <c r="C2082" t="s">
        <v>57</v>
      </c>
      <c r="D2082">
        <v>2015</v>
      </c>
      <c r="E2082" s="2">
        <v>1</v>
      </c>
      <c r="F2082" s="2">
        <v>240</v>
      </c>
      <c r="G2082" s="2"/>
    </row>
    <row r="2083" spans="1:8" x14ac:dyDescent="0.3">
      <c r="A2083" t="s">
        <v>1166</v>
      </c>
      <c r="B2083" t="s">
        <v>290</v>
      </c>
      <c r="C2083" t="s">
        <v>57</v>
      </c>
      <c r="D2083">
        <v>2018</v>
      </c>
      <c r="E2083" s="2">
        <v>2</v>
      </c>
      <c r="F2083" s="2">
        <v>366</v>
      </c>
      <c r="G2083" s="2">
        <v>366</v>
      </c>
    </row>
    <row r="2084" spans="1:8" x14ac:dyDescent="0.3">
      <c r="A2084" t="s">
        <v>1166</v>
      </c>
      <c r="B2084" t="s">
        <v>597</v>
      </c>
      <c r="C2084" t="s">
        <v>598</v>
      </c>
      <c r="D2084">
        <v>2020</v>
      </c>
      <c r="E2084" s="2">
        <v>1</v>
      </c>
      <c r="F2084" s="2">
        <v>180</v>
      </c>
      <c r="G2084" s="2">
        <v>189</v>
      </c>
    </row>
    <row r="2085" spans="1:8" x14ac:dyDescent="0.3">
      <c r="A2085" t="s">
        <v>1166</v>
      </c>
      <c r="B2085" t="s">
        <v>307</v>
      </c>
      <c r="C2085" t="s">
        <v>132</v>
      </c>
      <c r="D2085">
        <v>2015</v>
      </c>
      <c r="E2085" s="2">
        <v>1</v>
      </c>
      <c r="F2085" s="2">
        <v>230</v>
      </c>
      <c r="G2085" s="2"/>
    </row>
    <row r="2086" spans="1:8" x14ac:dyDescent="0.3">
      <c r="A2086" t="s">
        <v>1166</v>
      </c>
      <c r="B2086" t="s">
        <v>307</v>
      </c>
      <c r="C2086" t="s">
        <v>132</v>
      </c>
      <c r="D2086">
        <v>2018</v>
      </c>
      <c r="E2086" s="2">
        <v>1</v>
      </c>
      <c r="F2086" s="2">
        <v>167</v>
      </c>
      <c r="G2086" s="2">
        <v>167</v>
      </c>
    </row>
    <row r="2087" spans="1:8" x14ac:dyDescent="0.3">
      <c r="A2087" t="s">
        <v>1166</v>
      </c>
      <c r="B2087" t="s">
        <v>373</v>
      </c>
      <c r="C2087" t="s">
        <v>331</v>
      </c>
      <c r="D2087">
        <v>2020</v>
      </c>
      <c r="E2087" s="2">
        <v>1</v>
      </c>
      <c r="F2087" s="2">
        <v>190</v>
      </c>
      <c r="G2087" s="2">
        <v>199.5</v>
      </c>
    </row>
    <row r="2088" spans="1:8" x14ac:dyDescent="0.3">
      <c r="A2088" t="s">
        <v>1166</v>
      </c>
      <c r="B2088" t="s">
        <v>1167</v>
      </c>
      <c r="C2088" t="s">
        <v>102</v>
      </c>
      <c r="D2088">
        <v>2020</v>
      </c>
      <c r="E2088" s="2">
        <v>1</v>
      </c>
      <c r="F2088" s="2">
        <v>220</v>
      </c>
      <c r="G2088" s="2">
        <v>231</v>
      </c>
    </row>
    <row r="2089" spans="1:8" x14ac:dyDescent="0.3">
      <c r="A2089" t="s">
        <v>1168</v>
      </c>
      <c r="B2089" t="s">
        <v>1169</v>
      </c>
      <c r="C2089" t="s">
        <v>1170</v>
      </c>
      <c r="D2089">
        <v>2013</v>
      </c>
      <c r="E2089" s="2">
        <v>10</v>
      </c>
      <c r="F2089" s="2">
        <v>980</v>
      </c>
      <c r="G2089" s="2"/>
    </row>
    <row r="2090" spans="1:8" x14ac:dyDescent="0.3">
      <c r="A2090" t="s">
        <v>1168</v>
      </c>
      <c r="B2090" t="s">
        <v>1171</v>
      </c>
      <c r="C2090" t="s">
        <v>1172</v>
      </c>
      <c r="D2090">
        <v>2013</v>
      </c>
      <c r="E2090" s="2">
        <v>10</v>
      </c>
      <c r="F2090" s="2">
        <v>1800</v>
      </c>
      <c r="G2090" s="2"/>
    </row>
    <row r="2091" spans="1:8" x14ac:dyDescent="0.3">
      <c r="A2091" t="s">
        <v>1168</v>
      </c>
      <c r="B2091" t="s">
        <v>1171</v>
      </c>
      <c r="C2091" t="s">
        <v>1172</v>
      </c>
      <c r="D2091">
        <v>2014</v>
      </c>
      <c r="E2091" s="2">
        <v>25</v>
      </c>
      <c r="F2091" s="2">
        <v>4500</v>
      </c>
      <c r="G2091" s="2"/>
    </row>
    <row r="2092" spans="1:8" x14ac:dyDescent="0.3">
      <c r="A2092" t="s">
        <v>1173</v>
      </c>
      <c r="B2092" t="s">
        <v>45</v>
      </c>
      <c r="D2092">
        <v>2021</v>
      </c>
      <c r="E2092" s="2">
        <v>1</v>
      </c>
      <c r="F2092" s="2">
        <v>85</v>
      </c>
      <c r="G2092" s="2">
        <v>89.25</v>
      </c>
      <c r="H2092" s="3" t="s">
        <v>18</v>
      </c>
    </row>
    <row r="2093" spans="1:8" x14ac:dyDescent="0.3">
      <c r="A2093" t="s">
        <v>1173</v>
      </c>
      <c r="B2093" t="s">
        <v>863</v>
      </c>
      <c r="D2093">
        <v>2019</v>
      </c>
      <c r="E2093" s="2">
        <v>2</v>
      </c>
      <c r="F2093" s="2">
        <v>154</v>
      </c>
      <c r="G2093" s="2">
        <v>161.69999999999999</v>
      </c>
    </row>
    <row r="2094" spans="1:8" x14ac:dyDescent="0.3">
      <c r="A2094" t="s">
        <v>1173</v>
      </c>
      <c r="B2094" t="s">
        <v>863</v>
      </c>
      <c r="D2094">
        <v>2020</v>
      </c>
      <c r="E2094" s="2">
        <v>3</v>
      </c>
      <c r="F2094" s="2">
        <v>385</v>
      </c>
      <c r="G2094" s="2">
        <v>385</v>
      </c>
    </row>
    <row r="2095" spans="1:8" x14ac:dyDescent="0.3">
      <c r="A2095" t="s">
        <v>1174</v>
      </c>
      <c r="B2095" t="s">
        <v>184</v>
      </c>
      <c r="C2095" t="s">
        <v>185</v>
      </c>
      <c r="D2095">
        <v>2017</v>
      </c>
      <c r="E2095" s="2">
        <v>75</v>
      </c>
      <c r="F2095" s="2">
        <v>4500</v>
      </c>
      <c r="G2095" s="2"/>
    </row>
    <row r="2096" spans="1:8" x14ac:dyDescent="0.3">
      <c r="A2096" t="s">
        <v>1174</v>
      </c>
      <c r="B2096" t="s">
        <v>184</v>
      </c>
      <c r="C2096" t="s">
        <v>185</v>
      </c>
      <c r="D2096">
        <v>2018</v>
      </c>
      <c r="E2096" s="2">
        <v>75</v>
      </c>
      <c r="F2096" s="2">
        <v>4500</v>
      </c>
      <c r="G2096" s="2">
        <v>4725</v>
      </c>
    </row>
    <row r="2097" spans="1:8" x14ac:dyDescent="0.3">
      <c r="A2097" t="s">
        <v>1174</v>
      </c>
      <c r="B2097" t="s">
        <v>184</v>
      </c>
      <c r="C2097" t="s">
        <v>185</v>
      </c>
      <c r="D2097">
        <v>2019</v>
      </c>
      <c r="E2097" s="2">
        <v>100</v>
      </c>
      <c r="F2097" s="2">
        <v>6500</v>
      </c>
      <c r="G2097" s="2">
        <v>6825</v>
      </c>
    </row>
    <row r="2098" spans="1:8" x14ac:dyDescent="0.3">
      <c r="A2098" t="s">
        <v>1174</v>
      </c>
      <c r="B2098" t="s">
        <v>686</v>
      </c>
      <c r="C2098" t="s">
        <v>687</v>
      </c>
      <c r="D2098">
        <v>2020</v>
      </c>
      <c r="E2098" s="2">
        <v>50</v>
      </c>
      <c r="F2098" s="2">
        <v>3250</v>
      </c>
      <c r="G2098" s="2">
        <v>3412.5</v>
      </c>
    </row>
    <row r="2099" spans="1:8" x14ac:dyDescent="0.3">
      <c r="A2099" t="s">
        <v>1174</v>
      </c>
      <c r="B2099" t="s">
        <v>19</v>
      </c>
      <c r="C2099" t="s">
        <v>20</v>
      </c>
      <c r="D2099">
        <v>2017</v>
      </c>
      <c r="E2099" s="2">
        <v>10</v>
      </c>
      <c r="F2099" s="2">
        <v>950</v>
      </c>
      <c r="G2099" s="2"/>
    </row>
    <row r="2100" spans="1:8" x14ac:dyDescent="0.3">
      <c r="A2100" t="s">
        <v>1174</v>
      </c>
      <c r="B2100" t="s">
        <v>19</v>
      </c>
      <c r="C2100" t="s">
        <v>20</v>
      </c>
      <c r="D2100">
        <v>2018</v>
      </c>
      <c r="E2100" s="2">
        <v>10</v>
      </c>
      <c r="F2100" s="2">
        <v>900</v>
      </c>
      <c r="G2100" s="2">
        <v>945</v>
      </c>
    </row>
    <row r="2101" spans="1:8" x14ac:dyDescent="0.3">
      <c r="A2101" t="s">
        <v>1175</v>
      </c>
      <c r="B2101" t="s">
        <v>1128</v>
      </c>
      <c r="C2101" t="s">
        <v>1129</v>
      </c>
      <c r="D2101">
        <v>2020</v>
      </c>
      <c r="E2101" s="2">
        <v>6</v>
      </c>
      <c r="F2101" s="2">
        <v>810</v>
      </c>
      <c r="G2101" s="2">
        <v>850.5</v>
      </c>
    </row>
    <row r="2102" spans="1:8" x14ac:dyDescent="0.3">
      <c r="A2102" t="s">
        <v>1175</v>
      </c>
      <c r="B2102" t="s">
        <v>174</v>
      </c>
      <c r="C2102" t="s">
        <v>175</v>
      </c>
      <c r="D2102">
        <v>2018</v>
      </c>
      <c r="E2102" s="2">
        <v>25</v>
      </c>
      <c r="F2102" s="2">
        <v>1875</v>
      </c>
      <c r="G2102" s="2">
        <v>1968.75</v>
      </c>
    </row>
    <row r="2103" spans="1:8" x14ac:dyDescent="0.3">
      <c r="A2103" t="s">
        <v>1175</v>
      </c>
      <c r="B2103" t="s">
        <v>174</v>
      </c>
      <c r="C2103" t="s">
        <v>175</v>
      </c>
      <c r="D2103">
        <v>2019</v>
      </c>
      <c r="E2103" s="2">
        <v>30</v>
      </c>
      <c r="F2103" s="2">
        <v>2250</v>
      </c>
      <c r="G2103" s="2">
        <v>2362.5</v>
      </c>
    </row>
    <row r="2104" spans="1:8" x14ac:dyDescent="0.3">
      <c r="A2104" t="s">
        <v>1175</v>
      </c>
      <c r="B2104" t="s">
        <v>451</v>
      </c>
      <c r="C2104" t="s">
        <v>452</v>
      </c>
      <c r="D2104">
        <v>2019</v>
      </c>
      <c r="E2104" s="2">
        <v>10</v>
      </c>
      <c r="F2104" s="2">
        <v>750</v>
      </c>
      <c r="G2104" s="2">
        <v>787.5</v>
      </c>
      <c r="H2104" s="3" t="s">
        <v>14</v>
      </c>
    </row>
    <row r="2105" spans="1:8" x14ac:dyDescent="0.3">
      <c r="A2105" t="s">
        <v>1175</v>
      </c>
      <c r="B2105" t="s">
        <v>451</v>
      </c>
      <c r="C2105" t="s">
        <v>452</v>
      </c>
      <c r="D2105">
        <v>2020</v>
      </c>
      <c r="E2105" s="2">
        <v>20</v>
      </c>
      <c r="F2105" s="2">
        <v>1500</v>
      </c>
      <c r="G2105" s="2">
        <v>1575</v>
      </c>
      <c r="H2105" s="3" t="s">
        <v>14</v>
      </c>
    </row>
    <row r="2106" spans="1:8" x14ac:dyDescent="0.3">
      <c r="A2106" t="s">
        <v>1175</v>
      </c>
      <c r="B2106" t="s">
        <v>451</v>
      </c>
      <c r="C2106" t="s">
        <v>452</v>
      </c>
      <c r="D2106">
        <v>2021</v>
      </c>
      <c r="E2106" s="2">
        <v>15</v>
      </c>
      <c r="F2106" s="2">
        <v>1125</v>
      </c>
      <c r="G2106" s="2">
        <v>1181.25</v>
      </c>
      <c r="H2106" s="3" t="s">
        <v>14</v>
      </c>
    </row>
    <row r="2107" spans="1:8" x14ac:dyDescent="0.3">
      <c r="A2107" t="s">
        <v>1175</v>
      </c>
      <c r="B2107" t="s">
        <v>714</v>
      </c>
      <c r="C2107" t="s">
        <v>715</v>
      </c>
      <c r="D2107">
        <v>2018</v>
      </c>
      <c r="E2107" s="2">
        <v>10</v>
      </c>
      <c r="F2107" s="2">
        <v>850</v>
      </c>
      <c r="G2107" s="2">
        <v>892.5</v>
      </c>
    </row>
    <row r="2108" spans="1:8" x14ac:dyDescent="0.3">
      <c r="A2108" t="s">
        <v>1175</v>
      </c>
      <c r="B2108" t="s">
        <v>716</v>
      </c>
      <c r="C2108" t="s">
        <v>717</v>
      </c>
      <c r="D2108">
        <v>2020</v>
      </c>
      <c r="E2108" s="2">
        <v>5</v>
      </c>
      <c r="F2108" s="2">
        <v>425</v>
      </c>
      <c r="G2108" s="2">
        <v>446.25</v>
      </c>
      <c r="H2108" s="3" t="s">
        <v>18</v>
      </c>
    </row>
    <row r="2109" spans="1:8" x14ac:dyDescent="0.3">
      <c r="A2109" t="s">
        <v>1175</v>
      </c>
      <c r="B2109" t="s">
        <v>716</v>
      </c>
      <c r="C2109" t="s">
        <v>717</v>
      </c>
      <c r="D2109">
        <v>2021</v>
      </c>
      <c r="E2109" s="2">
        <v>5</v>
      </c>
      <c r="F2109" s="2">
        <v>500</v>
      </c>
      <c r="G2109" s="2">
        <v>525</v>
      </c>
      <c r="H2109" s="3" t="s">
        <v>18</v>
      </c>
    </row>
    <row r="2110" spans="1:8" x14ac:dyDescent="0.3">
      <c r="A2110" t="s">
        <v>1175</v>
      </c>
      <c r="B2110" t="s">
        <v>1176</v>
      </c>
      <c r="D2110">
        <v>2020</v>
      </c>
      <c r="E2110" s="2">
        <v>130</v>
      </c>
      <c r="F2110" s="2">
        <v>9375</v>
      </c>
      <c r="G2110" s="2">
        <v>9843.75</v>
      </c>
      <c r="H2110" s="3" t="s">
        <v>1177</v>
      </c>
    </row>
    <row r="2111" spans="1:8" x14ac:dyDescent="0.3">
      <c r="A2111" t="s">
        <v>1175</v>
      </c>
      <c r="B2111" t="s">
        <v>1176</v>
      </c>
      <c r="D2111">
        <v>2021</v>
      </c>
      <c r="E2111" s="2">
        <v>75</v>
      </c>
      <c r="F2111" s="2">
        <v>5250</v>
      </c>
      <c r="G2111" s="2">
        <v>5512.5</v>
      </c>
      <c r="H2111" s="3" t="s">
        <v>1177</v>
      </c>
    </row>
    <row r="2112" spans="1:8" x14ac:dyDescent="0.3">
      <c r="A2112" t="s">
        <v>1175</v>
      </c>
      <c r="B2112" t="s">
        <v>627</v>
      </c>
      <c r="C2112" t="s">
        <v>628</v>
      </c>
      <c r="D2112">
        <v>2018</v>
      </c>
      <c r="E2112" s="2">
        <v>20</v>
      </c>
      <c r="F2112" s="2">
        <v>1800</v>
      </c>
      <c r="G2112" s="2">
        <v>1890</v>
      </c>
    </row>
    <row r="2113" spans="1:8" x14ac:dyDescent="0.3">
      <c r="A2113" t="s">
        <v>1175</v>
      </c>
      <c r="B2113" t="s">
        <v>627</v>
      </c>
      <c r="C2113" t="s">
        <v>628</v>
      </c>
      <c r="D2113">
        <v>2019</v>
      </c>
      <c r="E2113" s="2">
        <v>10</v>
      </c>
      <c r="F2113" s="2">
        <v>900</v>
      </c>
      <c r="G2113" s="2">
        <v>945</v>
      </c>
    </row>
    <row r="2114" spans="1:8" x14ac:dyDescent="0.3">
      <c r="A2114" t="s">
        <v>1175</v>
      </c>
      <c r="B2114" t="s">
        <v>627</v>
      </c>
      <c r="C2114" t="s">
        <v>628</v>
      </c>
      <c r="D2114">
        <v>2020</v>
      </c>
      <c r="E2114" s="2">
        <v>10</v>
      </c>
      <c r="F2114" s="2">
        <v>900</v>
      </c>
      <c r="G2114" s="2">
        <v>945</v>
      </c>
    </row>
    <row r="2115" spans="1:8" x14ac:dyDescent="0.3">
      <c r="A2115" t="s">
        <v>1175</v>
      </c>
      <c r="B2115" t="s">
        <v>721</v>
      </c>
      <c r="C2115" t="s">
        <v>722</v>
      </c>
      <c r="D2115">
        <v>2018</v>
      </c>
      <c r="E2115" s="2">
        <v>10</v>
      </c>
      <c r="F2115" s="2">
        <v>850</v>
      </c>
      <c r="G2115" s="2">
        <v>892.5</v>
      </c>
    </row>
    <row r="2116" spans="1:8" x14ac:dyDescent="0.3">
      <c r="A2116" t="s">
        <v>1175</v>
      </c>
      <c r="B2116" t="s">
        <v>721</v>
      </c>
      <c r="C2116" t="s">
        <v>722</v>
      </c>
      <c r="D2116">
        <v>2019</v>
      </c>
      <c r="E2116" s="2">
        <v>10</v>
      </c>
      <c r="F2116" s="2">
        <v>850</v>
      </c>
      <c r="G2116" s="2">
        <v>892.5</v>
      </c>
    </row>
    <row r="2117" spans="1:8" x14ac:dyDescent="0.3">
      <c r="A2117" t="s">
        <v>1175</v>
      </c>
      <c r="B2117" t="s">
        <v>250</v>
      </c>
      <c r="C2117" t="s">
        <v>222</v>
      </c>
      <c r="D2117">
        <v>2020</v>
      </c>
      <c r="E2117" s="2">
        <v>10</v>
      </c>
      <c r="F2117" s="2">
        <v>1000</v>
      </c>
      <c r="G2117" s="2">
        <v>1050</v>
      </c>
      <c r="H2117" s="3" t="s">
        <v>495</v>
      </c>
    </row>
    <row r="2118" spans="1:8" x14ac:dyDescent="0.3">
      <c r="A2118" t="s">
        <v>1175</v>
      </c>
      <c r="B2118" t="s">
        <v>250</v>
      </c>
      <c r="C2118" t="s">
        <v>222</v>
      </c>
      <c r="D2118">
        <v>2021</v>
      </c>
      <c r="E2118" s="2">
        <v>10</v>
      </c>
      <c r="F2118" s="2">
        <v>1000</v>
      </c>
      <c r="G2118" s="2">
        <v>1050</v>
      </c>
      <c r="H2118" s="3" t="s">
        <v>495</v>
      </c>
    </row>
    <row r="2119" spans="1:8" x14ac:dyDescent="0.3">
      <c r="A2119" t="s">
        <v>1175</v>
      </c>
      <c r="B2119" t="s">
        <v>34</v>
      </c>
      <c r="D2119">
        <v>2018</v>
      </c>
      <c r="E2119" s="2">
        <v>2</v>
      </c>
      <c r="F2119" s="2">
        <v>240</v>
      </c>
      <c r="G2119" s="2">
        <v>252</v>
      </c>
      <c r="H2119" s="3" t="s">
        <v>18</v>
      </c>
    </row>
    <row r="2120" spans="1:8" x14ac:dyDescent="0.3">
      <c r="A2120" t="s">
        <v>1175</v>
      </c>
      <c r="B2120" t="s">
        <v>34</v>
      </c>
      <c r="D2120">
        <v>2021</v>
      </c>
      <c r="E2120" s="2">
        <v>1</v>
      </c>
      <c r="F2120" s="2">
        <v>110</v>
      </c>
      <c r="G2120" s="2">
        <v>115.5</v>
      </c>
      <c r="H2120" s="3" t="s">
        <v>18</v>
      </c>
    </row>
    <row r="2121" spans="1:8" x14ac:dyDescent="0.3">
      <c r="A2121" t="s">
        <v>1175</v>
      </c>
      <c r="B2121" t="s">
        <v>453</v>
      </c>
      <c r="D2121">
        <v>2018</v>
      </c>
      <c r="E2121" s="2">
        <v>2</v>
      </c>
      <c r="F2121" s="2">
        <v>220</v>
      </c>
      <c r="G2121" s="2">
        <v>231</v>
      </c>
    </row>
    <row r="2122" spans="1:8" x14ac:dyDescent="0.3">
      <c r="A2122" t="s">
        <v>1175</v>
      </c>
      <c r="B2122" t="s">
        <v>1178</v>
      </c>
      <c r="C2122" t="s">
        <v>1179</v>
      </c>
      <c r="D2122">
        <v>2018</v>
      </c>
      <c r="E2122" s="2">
        <v>25</v>
      </c>
      <c r="F2122" s="2">
        <v>2000</v>
      </c>
      <c r="G2122" s="2">
        <v>2100</v>
      </c>
    </row>
    <row r="2123" spans="1:8" x14ac:dyDescent="0.3">
      <c r="A2123" t="s">
        <v>1175</v>
      </c>
      <c r="B2123" t="s">
        <v>1178</v>
      </c>
      <c r="C2123" t="s">
        <v>1179</v>
      </c>
      <c r="D2123">
        <v>2019</v>
      </c>
      <c r="E2123" s="2">
        <v>80</v>
      </c>
      <c r="F2123" s="2">
        <v>6400</v>
      </c>
      <c r="G2123" s="2">
        <v>6720</v>
      </c>
    </row>
    <row r="2124" spans="1:8" x14ac:dyDescent="0.3">
      <c r="A2124" t="s">
        <v>1175</v>
      </c>
      <c r="B2124" t="s">
        <v>1178</v>
      </c>
      <c r="C2124" t="s">
        <v>1179</v>
      </c>
      <c r="D2124">
        <v>2020</v>
      </c>
      <c r="E2124" s="2">
        <v>30</v>
      </c>
      <c r="F2124" s="2">
        <v>2400</v>
      </c>
      <c r="G2124" s="2">
        <v>2520</v>
      </c>
    </row>
    <row r="2125" spans="1:8" x14ac:dyDescent="0.3">
      <c r="A2125" t="s">
        <v>1175</v>
      </c>
      <c r="B2125" t="s">
        <v>1117</v>
      </c>
      <c r="C2125" t="s">
        <v>1118</v>
      </c>
      <c r="D2125">
        <v>2021</v>
      </c>
      <c r="E2125" s="2">
        <v>10</v>
      </c>
      <c r="F2125" s="2">
        <v>800</v>
      </c>
      <c r="G2125" s="2">
        <v>840</v>
      </c>
      <c r="H2125" s="3" t="s">
        <v>14</v>
      </c>
    </row>
    <row r="2126" spans="1:8" x14ac:dyDescent="0.3">
      <c r="A2126" t="s">
        <v>1175</v>
      </c>
      <c r="B2126" t="s">
        <v>417</v>
      </c>
      <c r="C2126" t="s">
        <v>418</v>
      </c>
      <c r="D2126">
        <v>2018</v>
      </c>
      <c r="E2126" s="2">
        <v>10</v>
      </c>
      <c r="F2126" s="2">
        <v>850</v>
      </c>
      <c r="G2126" s="2">
        <v>892.5</v>
      </c>
    </row>
    <row r="2127" spans="1:8" x14ac:dyDescent="0.3">
      <c r="A2127" t="s">
        <v>1175</v>
      </c>
      <c r="B2127" t="s">
        <v>506</v>
      </c>
      <c r="C2127" t="s">
        <v>507</v>
      </c>
      <c r="D2127">
        <v>2020</v>
      </c>
      <c r="E2127" s="2">
        <v>5</v>
      </c>
      <c r="F2127" s="2">
        <v>375</v>
      </c>
      <c r="G2127" s="2">
        <v>393.75</v>
      </c>
    </row>
    <row r="2128" spans="1:8" x14ac:dyDescent="0.3">
      <c r="A2128" t="s">
        <v>1175</v>
      </c>
      <c r="B2128" t="s">
        <v>633</v>
      </c>
      <c r="C2128" t="s">
        <v>634</v>
      </c>
      <c r="D2128">
        <v>2018</v>
      </c>
      <c r="E2128" s="2">
        <v>5</v>
      </c>
      <c r="F2128" s="2">
        <v>450</v>
      </c>
      <c r="G2128" s="2">
        <v>472.5</v>
      </c>
    </row>
    <row r="2129" spans="1:8" x14ac:dyDescent="0.3">
      <c r="A2129" t="s">
        <v>1175</v>
      </c>
      <c r="B2129" t="s">
        <v>633</v>
      </c>
      <c r="C2129" t="s">
        <v>634</v>
      </c>
      <c r="D2129">
        <v>2019</v>
      </c>
      <c r="E2129" s="2">
        <v>15</v>
      </c>
      <c r="F2129" s="2">
        <v>1350</v>
      </c>
      <c r="G2129" s="2">
        <v>1417.5</v>
      </c>
    </row>
    <row r="2130" spans="1:8" x14ac:dyDescent="0.3">
      <c r="A2130" t="s">
        <v>1175</v>
      </c>
      <c r="B2130" t="s">
        <v>635</v>
      </c>
      <c r="C2130" t="s">
        <v>636</v>
      </c>
      <c r="D2130">
        <v>2019</v>
      </c>
      <c r="E2130" s="2">
        <v>10</v>
      </c>
      <c r="F2130" s="2">
        <v>750</v>
      </c>
      <c r="G2130" s="2">
        <v>787.5</v>
      </c>
    </row>
    <row r="2131" spans="1:8" x14ac:dyDescent="0.3">
      <c r="A2131" t="s">
        <v>1175</v>
      </c>
      <c r="B2131" t="s">
        <v>635</v>
      </c>
      <c r="C2131" t="s">
        <v>636</v>
      </c>
      <c r="D2131">
        <v>2020</v>
      </c>
      <c r="E2131" s="2">
        <v>1</v>
      </c>
      <c r="F2131" s="2">
        <v>65</v>
      </c>
      <c r="G2131" s="2">
        <v>68.25</v>
      </c>
    </row>
    <row r="2132" spans="1:8" x14ac:dyDescent="0.3">
      <c r="A2132" t="s">
        <v>1175</v>
      </c>
      <c r="B2132" t="s">
        <v>441</v>
      </c>
      <c r="C2132" t="s">
        <v>93</v>
      </c>
      <c r="D2132">
        <v>2020</v>
      </c>
      <c r="E2132" s="2">
        <v>5</v>
      </c>
      <c r="F2132" s="2">
        <v>450</v>
      </c>
      <c r="G2132" s="2">
        <v>472.5</v>
      </c>
    </row>
    <row r="2133" spans="1:8" x14ac:dyDescent="0.3">
      <c r="A2133" t="s">
        <v>1175</v>
      </c>
      <c r="B2133" t="s">
        <v>251</v>
      </c>
      <c r="C2133" t="s">
        <v>207</v>
      </c>
      <c r="D2133">
        <v>2018</v>
      </c>
      <c r="E2133" s="2">
        <v>35</v>
      </c>
      <c r="F2133" s="2">
        <v>5600</v>
      </c>
      <c r="G2133" s="2">
        <v>5880</v>
      </c>
    </row>
    <row r="2134" spans="1:8" x14ac:dyDescent="0.3">
      <c r="A2134" t="s">
        <v>1175</v>
      </c>
      <c r="B2134" t="s">
        <v>251</v>
      </c>
      <c r="C2134" t="s">
        <v>207</v>
      </c>
      <c r="D2134">
        <v>2019</v>
      </c>
      <c r="E2134" s="2">
        <v>106</v>
      </c>
      <c r="F2134" s="2">
        <v>7945</v>
      </c>
      <c r="G2134" s="2">
        <v>8342.25</v>
      </c>
    </row>
    <row r="2135" spans="1:8" x14ac:dyDescent="0.3">
      <c r="A2135" t="s">
        <v>1175</v>
      </c>
      <c r="B2135" t="s">
        <v>251</v>
      </c>
      <c r="C2135" t="s">
        <v>207</v>
      </c>
      <c r="D2135">
        <v>2020</v>
      </c>
      <c r="E2135" s="2">
        <v>40</v>
      </c>
      <c r="F2135" s="2">
        <v>3000</v>
      </c>
      <c r="G2135" s="2">
        <v>3150</v>
      </c>
    </row>
    <row r="2136" spans="1:8" x14ac:dyDescent="0.3">
      <c r="A2136" t="s">
        <v>1175</v>
      </c>
      <c r="B2136" t="s">
        <v>602</v>
      </c>
      <c r="C2136" t="s">
        <v>603</v>
      </c>
      <c r="D2136">
        <v>2018</v>
      </c>
      <c r="E2136" s="2">
        <v>20</v>
      </c>
      <c r="F2136" s="2">
        <v>1400</v>
      </c>
      <c r="G2136" s="2">
        <v>1470</v>
      </c>
    </row>
    <row r="2137" spans="1:8" x14ac:dyDescent="0.3">
      <c r="A2137" t="s">
        <v>1175</v>
      </c>
      <c r="B2137" t="s">
        <v>602</v>
      </c>
      <c r="C2137" t="s">
        <v>603</v>
      </c>
      <c r="D2137">
        <v>2019</v>
      </c>
      <c r="E2137" s="2">
        <v>5</v>
      </c>
      <c r="F2137" s="2">
        <v>350</v>
      </c>
      <c r="G2137" s="2">
        <v>367.5</v>
      </c>
    </row>
    <row r="2138" spans="1:8" x14ac:dyDescent="0.3">
      <c r="A2138" t="s">
        <v>1175</v>
      </c>
      <c r="B2138" t="s">
        <v>602</v>
      </c>
      <c r="C2138" t="s">
        <v>603</v>
      </c>
      <c r="D2138">
        <v>2020</v>
      </c>
      <c r="E2138" s="2">
        <v>6</v>
      </c>
      <c r="F2138" s="2">
        <v>390</v>
      </c>
      <c r="G2138" s="2">
        <v>409.5</v>
      </c>
    </row>
    <row r="2139" spans="1:8" x14ac:dyDescent="0.3">
      <c r="A2139" t="s">
        <v>1175</v>
      </c>
      <c r="B2139" t="s">
        <v>639</v>
      </c>
      <c r="C2139" t="s">
        <v>640</v>
      </c>
      <c r="D2139">
        <v>2019</v>
      </c>
      <c r="E2139" s="2">
        <v>5</v>
      </c>
      <c r="F2139" s="2">
        <v>400</v>
      </c>
      <c r="G2139" s="2">
        <v>420</v>
      </c>
      <c r="H2139" s="3" t="s">
        <v>1180</v>
      </c>
    </row>
    <row r="2140" spans="1:8" x14ac:dyDescent="0.3">
      <c r="A2140" t="s">
        <v>1175</v>
      </c>
      <c r="B2140" t="s">
        <v>639</v>
      </c>
      <c r="C2140" t="s">
        <v>640</v>
      </c>
      <c r="D2140">
        <v>2020</v>
      </c>
      <c r="E2140" s="2">
        <v>15</v>
      </c>
      <c r="F2140" s="2">
        <v>1075</v>
      </c>
      <c r="G2140" s="2">
        <v>1128.75</v>
      </c>
      <c r="H2140" s="3" t="s">
        <v>1180</v>
      </c>
    </row>
    <row r="2141" spans="1:8" x14ac:dyDescent="0.3">
      <c r="A2141" t="s">
        <v>1175</v>
      </c>
      <c r="B2141" t="s">
        <v>639</v>
      </c>
      <c r="C2141" t="s">
        <v>640</v>
      </c>
      <c r="D2141">
        <v>2021</v>
      </c>
      <c r="E2141" s="2">
        <v>15</v>
      </c>
      <c r="F2141" s="2">
        <v>1050</v>
      </c>
      <c r="G2141" s="2">
        <v>1102.5</v>
      </c>
      <c r="H2141" s="3" t="s">
        <v>1180</v>
      </c>
    </row>
    <row r="2142" spans="1:8" x14ac:dyDescent="0.3">
      <c r="A2142" t="s">
        <v>1175</v>
      </c>
      <c r="B2142" t="s">
        <v>35</v>
      </c>
      <c r="D2142">
        <v>2021</v>
      </c>
      <c r="E2142" s="2">
        <v>1</v>
      </c>
      <c r="F2142" s="2">
        <v>85</v>
      </c>
      <c r="G2142" s="2">
        <v>89.25</v>
      </c>
      <c r="H2142" s="3" t="s">
        <v>18</v>
      </c>
    </row>
    <row r="2143" spans="1:8" x14ac:dyDescent="0.3">
      <c r="A2143" t="s">
        <v>1175</v>
      </c>
      <c r="B2143" t="s">
        <v>942</v>
      </c>
      <c r="C2143" t="s">
        <v>943</v>
      </c>
      <c r="D2143">
        <v>2020</v>
      </c>
      <c r="E2143" s="2">
        <v>5</v>
      </c>
      <c r="F2143" s="2">
        <v>375</v>
      </c>
      <c r="G2143" s="2">
        <v>393.75</v>
      </c>
    </row>
    <row r="2144" spans="1:8" x14ac:dyDescent="0.3">
      <c r="A2144" t="s">
        <v>1175</v>
      </c>
      <c r="B2144" t="s">
        <v>942</v>
      </c>
      <c r="C2144" t="s">
        <v>943</v>
      </c>
      <c r="D2144">
        <v>2021</v>
      </c>
      <c r="E2144" s="2">
        <v>20</v>
      </c>
      <c r="F2144" s="2">
        <v>1500</v>
      </c>
      <c r="G2144" s="2">
        <v>1575</v>
      </c>
      <c r="H2144" s="3" t="s">
        <v>1181</v>
      </c>
    </row>
    <row r="2145" spans="1:8" x14ac:dyDescent="0.3">
      <c r="A2145" t="s">
        <v>1175</v>
      </c>
      <c r="B2145" t="s">
        <v>686</v>
      </c>
      <c r="C2145" t="s">
        <v>687</v>
      </c>
      <c r="D2145">
        <v>2020</v>
      </c>
      <c r="E2145" s="2">
        <v>5</v>
      </c>
      <c r="F2145" s="2">
        <v>350</v>
      </c>
      <c r="G2145" s="2">
        <v>367.5</v>
      </c>
    </row>
    <row r="2146" spans="1:8" x14ac:dyDescent="0.3">
      <c r="A2146" t="s">
        <v>1175</v>
      </c>
      <c r="B2146" t="s">
        <v>649</v>
      </c>
      <c r="C2146" t="s">
        <v>650</v>
      </c>
      <c r="D2146">
        <v>2018</v>
      </c>
      <c r="E2146" s="2">
        <v>20</v>
      </c>
      <c r="F2146" s="2">
        <v>1750</v>
      </c>
      <c r="G2146" s="2">
        <v>1837.5</v>
      </c>
      <c r="H2146" s="3" t="s">
        <v>14</v>
      </c>
    </row>
    <row r="2147" spans="1:8" x14ac:dyDescent="0.3">
      <c r="A2147" t="s">
        <v>1175</v>
      </c>
      <c r="B2147" t="s">
        <v>649</v>
      </c>
      <c r="C2147" t="s">
        <v>650</v>
      </c>
      <c r="D2147">
        <v>2019</v>
      </c>
      <c r="E2147" s="2">
        <v>15</v>
      </c>
      <c r="F2147" s="2">
        <v>1200</v>
      </c>
      <c r="G2147" s="2">
        <v>1260</v>
      </c>
      <c r="H2147" s="3" t="s">
        <v>14</v>
      </c>
    </row>
    <row r="2148" spans="1:8" x14ac:dyDescent="0.3">
      <c r="A2148" t="s">
        <v>1175</v>
      </c>
      <c r="B2148" t="s">
        <v>649</v>
      </c>
      <c r="C2148" t="s">
        <v>650</v>
      </c>
      <c r="D2148">
        <v>2020</v>
      </c>
      <c r="E2148" s="2">
        <v>20</v>
      </c>
      <c r="F2148" s="2">
        <v>1600</v>
      </c>
      <c r="G2148" s="2">
        <v>1680</v>
      </c>
      <c r="H2148" s="3" t="s">
        <v>14</v>
      </c>
    </row>
    <row r="2149" spans="1:8" x14ac:dyDescent="0.3">
      <c r="A2149" t="s">
        <v>1175</v>
      </c>
      <c r="B2149" t="s">
        <v>649</v>
      </c>
      <c r="C2149" t="s">
        <v>650</v>
      </c>
      <c r="D2149">
        <v>2021</v>
      </c>
      <c r="E2149" s="2">
        <v>10</v>
      </c>
      <c r="F2149" s="2">
        <v>800</v>
      </c>
      <c r="G2149" s="2">
        <v>840</v>
      </c>
      <c r="H2149" s="3" t="s">
        <v>14</v>
      </c>
    </row>
    <row r="2150" spans="1:8" x14ac:dyDescent="0.3">
      <c r="A2150" t="s">
        <v>1175</v>
      </c>
      <c r="B2150" t="s">
        <v>1120</v>
      </c>
      <c r="C2150" t="s">
        <v>1121</v>
      </c>
      <c r="D2150">
        <v>2018</v>
      </c>
      <c r="E2150" s="2">
        <v>5</v>
      </c>
      <c r="F2150" s="2">
        <v>375</v>
      </c>
      <c r="G2150" s="2">
        <v>393.75</v>
      </c>
    </row>
    <row r="2151" spans="1:8" x14ac:dyDescent="0.3">
      <c r="A2151" t="s">
        <v>1175</v>
      </c>
      <c r="B2151" t="s">
        <v>1120</v>
      </c>
      <c r="C2151" t="s">
        <v>1121</v>
      </c>
      <c r="D2151">
        <v>2019</v>
      </c>
      <c r="E2151" s="2">
        <v>20</v>
      </c>
      <c r="F2151" s="2">
        <v>1500</v>
      </c>
      <c r="G2151" s="2">
        <v>1575</v>
      </c>
    </row>
    <row r="2152" spans="1:8" x14ac:dyDescent="0.3">
      <c r="A2152" t="s">
        <v>1175</v>
      </c>
      <c r="B2152" t="s">
        <v>19</v>
      </c>
      <c r="C2152" t="s">
        <v>107</v>
      </c>
      <c r="D2152">
        <v>2020</v>
      </c>
      <c r="E2152" s="2">
        <v>1</v>
      </c>
      <c r="F2152" s="2">
        <v>65</v>
      </c>
      <c r="G2152" s="2">
        <v>68.25</v>
      </c>
    </row>
    <row r="2153" spans="1:8" x14ac:dyDescent="0.3">
      <c r="A2153" t="s">
        <v>1175</v>
      </c>
      <c r="B2153" t="s">
        <v>269</v>
      </c>
      <c r="C2153" t="s">
        <v>270</v>
      </c>
      <c r="D2153">
        <v>2018</v>
      </c>
      <c r="E2153" s="2">
        <v>10</v>
      </c>
      <c r="F2153" s="2">
        <v>1000</v>
      </c>
      <c r="G2153" s="2">
        <v>1050</v>
      </c>
    </row>
    <row r="2154" spans="1:8" x14ac:dyDescent="0.3">
      <c r="A2154" t="s">
        <v>1175</v>
      </c>
      <c r="B2154" t="s">
        <v>269</v>
      </c>
      <c r="C2154" t="s">
        <v>270</v>
      </c>
      <c r="D2154">
        <v>2019</v>
      </c>
      <c r="E2154" s="2">
        <v>11</v>
      </c>
      <c r="F2154" s="2">
        <v>1070</v>
      </c>
      <c r="G2154" s="2">
        <v>1123.5</v>
      </c>
    </row>
    <row r="2155" spans="1:8" x14ac:dyDescent="0.3">
      <c r="A2155" t="s">
        <v>1175</v>
      </c>
      <c r="B2155" t="s">
        <v>671</v>
      </c>
      <c r="C2155" t="s">
        <v>672</v>
      </c>
      <c r="D2155">
        <v>2019</v>
      </c>
      <c r="E2155" s="2">
        <v>1</v>
      </c>
      <c r="F2155" s="2">
        <v>70</v>
      </c>
      <c r="G2155" s="2">
        <v>73.5</v>
      </c>
    </row>
    <row r="2156" spans="1:8" x14ac:dyDescent="0.3">
      <c r="A2156" t="s">
        <v>1175</v>
      </c>
      <c r="B2156" t="s">
        <v>1182</v>
      </c>
      <c r="D2156">
        <v>2020</v>
      </c>
      <c r="E2156" s="2">
        <v>10</v>
      </c>
      <c r="F2156" s="2">
        <v>650</v>
      </c>
      <c r="G2156" s="2">
        <v>682.5</v>
      </c>
      <c r="H2156" s="3" t="s">
        <v>1183</v>
      </c>
    </row>
    <row r="2157" spans="1:8" x14ac:dyDescent="0.3">
      <c r="A2157" t="s">
        <v>1175</v>
      </c>
      <c r="B2157" t="s">
        <v>1182</v>
      </c>
      <c r="D2157">
        <v>2021</v>
      </c>
      <c r="E2157" s="2">
        <v>10</v>
      </c>
      <c r="F2157" s="2">
        <v>650</v>
      </c>
      <c r="G2157" s="2">
        <v>682.5</v>
      </c>
      <c r="H2157" s="3" t="s">
        <v>1183</v>
      </c>
    </row>
    <row r="2158" spans="1:8" x14ac:dyDescent="0.3">
      <c r="A2158" t="s">
        <v>1175</v>
      </c>
      <c r="B2158" t="s">
        <v>114</v>
      </c>
      <c r="C2158" t="s">
        <v>115</v>
      </c>
      <c r="D2158">
        <v>2019</v>
      </c>
      <c r="E2158" s="2">
        <v>10</v>
      </c>
      <c r="F2158" s="2">
        <v>850</v>
      </c>
      <c r="G2158" s="2">
        <v>892.5</v>
      </c>
    </row>
    <row r="2159" spans="1:8" x14ac:dyDescent="0.3">
      <c r="A2159" t="s">
        <v>1175</v>
      </c>
      <c r="B2159" t="s">
        <v>1184</v>
      </c>
      <c r="D2159">
        <v>2021</v>
      </c>
      <c r="E2159" s="2">
        <v>50</v>
      </c>
      <c r="F2159" s="2">
        <v>5250</v>
      </c>
      <c r="G2159" s="2">
        <v>5512.5</v>
      </c>
      <c r="H2159" s="3" t="s">
        <v>18</v>
      </c>
    </row>
    <row r="2160" spans="1:8" x14ac:dyDescent="0.3">
      <c r="A2160" t="s">
        <v>1175</v>
      </c>
      <c r="B2160" t="s">
        <v>187</v>
      </c>
      <c r="C2160" t="s">
        <v>188</v>
      </c>
      <c r="D2160">
        <v>2019</v>
      </c>
      <c r="E2160" s="2">
        <v>1</v>
      </c>
      <c r="F2160" s="2">
        <v>65</v>
      </c>
      <c r="G2160" s="2">
        <v>68.25</v>
      </c>
    </row>
    <row r="2161" spans="1:8" x14ac:dyDescent="0.3">
      <c r="A2161" t="s">
        <v>1175</v>
      </c>
      <c r="B2161" t="s">
        <v>187</v>
      </c>
      <c r="C2161" t="s">
        <v>188</v>
      </c>
      <c r="D2161">
        <v>2020</v>
      </c>
      <c r="E2161" s="2">
        <v>5</v>
      </c>
      <c r="F2161" s="2">
        <v>325</v>
      </c>
      <c r="G2161" s="2">
        <v>341.25</v>
      </c>
    </row>
    <row r="2162" spans="1:8" x14ac:dyDescent="0.3">
      <c r="A2162" t="s">
        <v>1175</v>
      </c>
      <c r="B2162" t="s">
        <v>597</v>
      </c>
      <c r="C2162" t="s">
        <v>598</v>
      </c>
      <c r="D2162">
        <v>2021</v>
      </c>
      <c r="E2162" s="2">
        <v>5</v>
      </c>
      <c r="F2162" s="2">
        <v>700</v>
      </c>
      <c r="G2162" s="2">
        <v>735</v>
      </c>
      <c r="H2162" s="3" t="s">
        <v>374</v>
      </c>
    </row>
    <row r="2163" spans="1:8" x14ac:dyDescent="0.3">
      <c r="A2163" t="s">
        <v>1175</v>
      </c>
      <c r="B2163" t="s">
        <v>573</v>
      </c>
      <c r="C2163" t="s">
        <v>574</v>
      </c>
      <c r="D2163">
        <v>2018</v>
      </c>
      <c r="E2163" s="2">
        <v>20</v>
      </c>
      <c r="F2163" s="2">
        <v>1900</v>
      </c>
      <c r="G2163" s="2">
        <v>1995</v>
      </c>
    </row>
    <row r="2164" spans="1:8" x14ac:dyDescent="0.3">
      <c r="A2164" t="s">
        <v>1175</v>
      </c>
      <c r="B2164" t="s">
        <v>573</v>
      </c>
      <c r="C2164" t="s">
        <v>574</v>
      </c>
      <c r="D2164">
        <v>2019</v>
      </c>
      <c r="E2164" s="2">
        <v>20</v>
      </c>
      <c r="F2164" s="2">
        <v>1900</v>
      </c>
      <c r="G2164" s="2">
        <v>1995</v>
      </c>
    </row>
    <row r="2165" spans="1:8" x14ac:dyDescent="0.3">
      <c r="A2165" t="s">
        <v>1175</v>
      </c>
      <c r="B2165" t="s">
        <v>68</v>
      </c>
      <c r="C2165" t="s">
        <v>69</v>
      </c>
      <c r="D2165">
        <v>2020</v>
      </c>
      <c r="E2165" s="2">
        <v>20</v>
      </c>
      <c r="F2165" s="2">
        <v>1500</v>
      </c>
      <c r="G2165" s="2">
        <v>1575</v>
      </c>
    </row>
    <row r="2166" spans="1:8" x14ac:dyDescent="0.3">
      <c r="A2166" t="s">
        <v>1175</v>
      </c>
      <c r="B2166" t="s">
        <v>404</v>
      </c>
      <c r="C2166" t="s">
        <v>405</v>
      </c>
      <c r="D2166">
        <v>2018</v>
      </c>
      <c r="E2166" s="2">
        <v>5</v>
      </c>
      <c r="F2166" s="2">
        <v>500</v>
      </c>
      <c r="G2166" s="2">
        <v>525</v>
      </c>
    </row>
    <row r="2167" spans="1:8" x14ac:dyDescent="0.3">
      <c r="A2167" t="s">
        <v>1175</v>
      </c>
      <c r="B2167" t="s">
        <v>404</v>
      </c>
      <c r="C2167" t="s">
        <v>405</v>
      </c>
      <c r="D2167">
        <v>2019</v>
      </c>
      <c r="E2167" s="2">
        <v>5</v>
      </c>
      <c r="F2167" s="2">
        <v>500</v>
      </c>
      <c r="G2167" s="2">
        <v>525</v>
      </c>
    </row>
    <row r="2168" spans="1:8" x14ac:dyDescent="0.3">
      <c r="A2168" t="s">
        <v>1175</v>
      </c>
      <c r="B2168" t="s">
        <v>404</v>
      </c>
      <c r="C2168" t="s">
        <v>405</v>
      </c>
      <c r="D2168">
        <v>2020</v>
      </c>
      <c r="E2168" s="2">
        <v>5</v>
      </c>
      <c r="F2168" s="2">
        <v>500</v>
      </c>
      <c r="G2168" s="2">
        <v>525</v>
      </c>
    </row>
    <row r="2169" spans="1:8" x14ac:dyDescent="0.3">
      <c r="A2169" t="s">
        <v>1175</v>
      </c>
      <c r="B2169" t="s">
        <v>1002</v>
      </c>
      <c r="C2169" t="s">
        <v>138</v>
      </c>
      <c r="D2169">
        <v>2019</v>
      </c>
      <c r="E2169" s="2">
        <v>5</v>
      </c>
      <c r="F2169" s="2">
        <v>600</v>
      </c>
      <c r="G2169" s="2">
        <v>630</v>
      </c>
      <c r="H2169" s="3" t="s">
        <v>495</v>
      </c>
    </row>
    <row r="2170" spans="1:8" x14ac:dyDescent="0.3">
      <c r="A2170" t="s">
        <v>1175</v>
      </c>
      <c r="B2170" t="s">
        <v>1002</v>
      </c>
      <c r="C2170" t="s">
        <v>138</v>
      </c>
      <c r="D2170">
        <v>2021</v>
      </c>
      <c r="E2170" s="2">
        <v>20</v>
      </c>
      <c r="F2170" s="2">
        <v>1400</v>
      </c>
      <c r="G2170" s="2">
        <v>1470</v>
      </c>
      <c r="H2170" s="3" t="s">
        <v>495</v>
      </c>
    </row>
    <row r="2171" spans="1:8" x14ac:dyDescent="0.3">
      <c r="A2171" t="s">
        <v>1175</v>
      </c>
      <c r="B2171" t="s">
        <v>653</v>
      </c>
      <c r="C2171" t="s">
        <v>654</v>
      </c>
      <c r="D2171">
        <v>2018</v>
      </c>
      <c r="E2171" s="2">
        <v>5</v>
      </c>
      <c r="F2171" s="2">
        <v>400</v>
      </c>
      <c r="G2171" s="2">
        <v>420</v>
      </c>
    </row>
    <row r="2172" spans="1:8" x14ac:dyDescent="0.3">
      <c r="A2172" t="s">
        <v>1175</v>
      </c>
      <c r="B2172" t="s">
        <v>653</v>
      </c>
      <c r="C2172" t="s">
        <v>654</v>
      </c>
      <c r="D2172">
        <v>2019</v>
      </c>
      <c r="E2172" s="2">
        <v>10</v>
      </c>
      <c r="F2172" s="2">
        <v>800</v>
      </c>
      <c r="G2172" s="2">
        <v>840</v>
      </c>
    </row>
    <row r="2173" spans="1:8" x14ac:dyDescent="0.3">
      <c r="A2173" t="s">
        <v>1175</v>
      </c>
      <c r="B2173" t="s">
        <v>653</v>
      </c>
      <c r="C2173" t="s">
        <v>654</v>
      </c>
      <c r="D2173">
        <v>2020</v>
      </c>
      <c r="E2173" s="2">
        <v>10</v>
      </c>
      <c r="F2173" s="2">
        <v>800</v>
      </c>
      <c r="G2173" s="2">
        <v>840</v>
      </c>
    </row>
    <row r="2174" spans="1:8" x14ac:dyDescent="0.3">
      <c r="A2174" t="s">
        <v>1175</v>
      </c>
      <c r="B2174" t="s">
        <v>518</v>
      </c>
      <c r="C2174" t="s">
        <v>519</v>
      </c>
      <c r="D2174">
        <v>2019</v>
      </c>
      <c r="E2174" s="2">
        <v>5</v>
      </c>
      <c r="F2174" s="2">
        <v>425</v>
      </c>
      <c r="G2174" s="2">
        <v>446.25</v>
      </c>
    </row>
    <row r="2175" spans="1:8" x14ac:dyDescent="0.3">
      <c r="A2175" t="s">
        <v>1175</v>
      </c>
      <c r="B2175" t="s">
        <v>36</v>
      </c>
      <c r="D2175">
        <v>2021</v>
      </c>
      <c r="E2175" s="2">
        <v>1</v>
      </c>
      <c r="F2175" s="2">
        <v>85</v>
      </c>
      <c r="G2175" s="2">
        <v>89.25</v>
      </c>
      <c r="H2175" s="3" t="s">
        <v>18</v>
      </c>
    </row>
    <row r="2176" spans="1:8" x14ac:dyDescent="0.3">
      <c r="A2176" t="s">
        <v>1175</v>
      </c>
      <c r="B2176" t="s">
        <v>334</v>
      </c>
      <c r="C2176" t="s">
        <v>335</v>
      </c>
      <c r="D2176">
        <v>2019</v>
      </c>
      <c r="E2176" s="2">
        <v>35</v>
      </c>
      <c r="F2176" s="2">
        <v>1735</v>
      </c>
      <c r="G2176" s="2">
        <v>1821.75</v>
      </c>
    </row>
    <row r="2177" spans="1:8" x14ac:dyDescent="0.3">
      <c r="A2177" t="s">
        <v>1175</v>
      </c>
      <c r="B2177" t="s">
        <v>483</v>
      </c>
      <c r="C2177" t="s">
        <v>484</v>
      </c>
      <c r="D2177">
        <v>2018</v>
      </c>
      <c r="E2177" s="2">
        <v>10</v>
      </c>
      <c r="F2177" s="2">
        <v>700</v>
      </c>
      <c r="G2177" s="2">
        <v>735</v>
      </c>
      <c r="H2177" s="3" t="s">
        <v>14</v>
      </c>
    </row>
    <row r="2178" spans="1:8" x14ac:dyDescent="0.3">
      <c r="A2178" t="s">
        <v>1175</v>
      </c>
      <c r="B2178" t="s">
        <v>483</v>
      </c>
      <c r="C2178" t="s">
        <v>484</v>
      </c>
      <c r="D2178">
        <v>2019</v>
      </c>
      <c r="E2178" s="2">
        <v>25</v>
      </c>
      <c r="F2178" s="2">
        <v>1750</v>
      </c>
      <c r="G2178" s="2">
        <v>1837.5</v>
      </c>
      <c r="H2178" s="3" t="s">
        <v>14</v>
      </c>
    </row>
    <row r="2179" spans="1:8" x14ac:dyDescent="0.3">
      <c r="A2179" t="s">
        <v>1175</v>
      </c>
      <c r="B2179" t="s">
        <v>483</v>
      </c>
      <c r="C2179" t="s">
        <v>484</v>
      </c>
      <c r="D2179">
        <v>2021</v>
      </c>
      <c r="E2179" s="2">
        <v>5</v>
      </c>
      <c r="F2179" s="2">
        <v>350</v>
      </c>
      <c r="G2179" s="2">
        <v>367.5</v>
      </c>
      <c r="H2179" s="3" t="s">
        <v>14</v>
      </c>
    </row>
    <row r="2180" spans="1:8" x14ac:dyDescent="0.3">
      <c r="A2180" t="s">
        <v>1175</v>
      </c>
      <c r="B2180" t="s">
        <v>754</v>
      </c>
      <c r="C2180" t="s">
        <v>755</v>
      </c>
      <c r="D2180">
        <v>2018</v>
      </c>
      <c r="E2180" s="2">
        <v>20</v>
      </c>
      <c r="F2180" s="2">
        <v>1600</v>
      </c>
      <c r="G2180" s="2">
        <v>1680</v>
      </c>
      <c r="H2180" s="3" t="s">
        <v>14</v>
      </c>
    </row>
    <row r="2181" spans="1:8" x14ac:dyDescent="0.3">
      <c r="A2181" t="s">
        <v>1175</v>
      </c>
      <c r="B2181" t="s">
        <v>754</v>
      </c>
      <c r="C2181" t="s">
        <v>755</v>
      </c>
      <c r="D2181">
        <v>2019</v>
      </c>
      <c r="E2181" s="2">
        <v>105</v>
      </c>
      <c r="F2181" s="2">
        <v>8400</v>
      </c>
      <c r="G2181" s="2">
        <v>8820</v>
      </c>
      <c r="H2181" s="3" t="s">
        <v>14</v>
      </c>
    </row>
    <row r="2182" spans="1:8" x14ac:dyDescent="0.3">
      <c r="A2182" t="s">
        <v>1175</v>
      </c>
      <c r="B2182" t="s">
        <v>754</v>
      </c>
      <c r="C2182" t="s">
        <v>755</v>
      </c>
      <c r="D2182">
        <v>2021</v>
      </c>
      <c r="E2182" s="2">
        <v>10</v>
      </c>
      <c r="F2182" s="2">
        <v>800</v>
      </c>
      <c r="G2182" s="2">
        <v>840</v>
      </c>
      <c r="H2182" s="3" t="s">
        <v>14</v>
      </c>
    </row>
    <row r="2183" spans="1:8" x14ac:dyDescent="0.3">
      <c r="A2183" t="s">
        <v>1175</v>
      </c>
      <c r="B2183" t="s">
        <v>1185</v>
      </c>
      <c r="D2183">
        <v>2019</v>
      </c>
      <c r="E2183" s="2">
        <v>2</v>
      </c>
      <c r="F2183" s="2">
        <v>170</v>
      </c>
      <c r="G2183" s="2">
        <v>178.5</v>
      </c>
    </row>
    <row r="2184" spans="1:8" x14ac:dyDescent="0.3">
      <c r="A2184" t="s">
        <v>1175</v>
      </c>
      <c r="B2184" t="s">
        <v>1185</v>
      </c>
      <c r="D2184">
        <v>2020</v>
      </c>
      <c r="E2184" s="2">
        <v>2</v>
      </c>
      <c r="F2184" s="2">
        <v>170</v>
      </c>
      <c r="G2184" s="2">
        <v>178.5</v>
      </c>
    </row>
    <row r="2185" spans="1:8" x14ac:dyDescent="0.3">
      <c r="A2185" t="s">
        <v>1175</v>
      </c>
      <c r="B2185" t="s">
        <v>657</v>
      </c>
      <c r="C2185" t="s">
        <v>658</v>
      </c>
      <c r="D2185">
        <v>2018</v>
      </c>
      <c r="E2185" s="2">
        <v>25</v>
      </c>
      <c r="F2185" s="2">
        <v>2270</v>
      </c>
      <c r="G2185" s="2">
        <v>2383.5</v>
      </c>
      <c r="H2185" s="3" t="s">
        <v>14</v>
      </c>
    </row>
    <row r="2186" spans="1:8" x14ac:dyDescent="0.3">
      <c r="A2186" t="s">
        <v>1175</v>
      </c>
      <c r="B2186" t="s">
        <v>657</v>
      </c>
      <c r="C2186" t="s">
        <v>658</v>
      </c>
      <c r="D2186">
        <v>2019</v>
      </c>
      <c r="E2186" s="2">
        <v>50</v>
      </c>
      <c r="F2186" s="2">
        <v>4400</v>
      </c>
      <c r="G2186" s="2">
        <v>4620</v>
      </c>
      <c r="H2186" s="3" t="s">
        <v>14</v>
      </c>
    </row>
    <row r="2187" spans="1:8" x14ac:dyDescent="0.3">
      <c r="A2187" t="s">
        <v>1175</v>
      </c>
      <c r="B2187" t="s">
        <v>657</v>
      </c>
      <c r="C2187" t="s">
        <v>658</v>
      </c>
      <c r="D2187">
        <v>2020</v>
      </c>
      <c r="E2187" s="2">
        <v>20</v>
      </c>
      <c r="F2187" s="2">
        <v>1760</v>
      </c>
      <c r="G2187" s="2">
        <v>1848</v>
      </c>
      <c r="H2187" s="3" t="s">
        <v>14</v>
      </c>
    </row>
    <row r="2188" spans="1:8" x14ac:dyDescent="0.3">
      <c r="A2188" t="s">
        <v>1175</v>
      </c>
      <c r="B2188" t="s">
        <v>657</v>
      </c>
      <c r="C2188" t="s">
        <v>658</v>
      </c>
      <c r="D2188">
        <v>2021</v>
      </c>
      <c r="E2188" s="2">
        <v>5</v>
      </c>
      <c r="F2188" s="2">
        <v>400</v>
      </c>
      <c r="G2188" s="2">
        <v>420</v>
      </c>
      <c r="H2188" s="3" t="s">
        <v>14</v>
      </c>
    </row>
    <row r="2189" spans="1:8" x14ac:dyDescent="0.3">
      <c r="A2189" t="s">
        <v>1175</v>
      </c>
      <c r="B2189" t="s">
        <v>37</v>
      </c>
      <c r="D2189">
        <v>2018</v>
      </c>
      <c r="E2189" s="2">
        <v>2</v>
      </c>
      <c r="F2189" s="2">
        <v>180</v>
      </c>
      <c r="G2189" s="2">
        <v>189</v>
      </c>
      <c r="H2189" s="3" t="s">
        <v>18</v>
      </c>
    </row>
    <row r="2190" spans="1:8" x14ac:dyDescent="0.3">
      <c r="A2190" t="s">
        <v>1175</v>
      </c>
      <c r="B2190" t="s">
        <v>37</v>
      </c>
      <c r="D2190">
        <v>2019</v>
      </c>
      <c r="E2190" s="2">
        <v>2</v>
      </c>
      <c r="F2190" s="2">
        <v>180</v>
      </c>
      <c r="G2190" s="2">
        <v>189</v>
      </c>
      <c r="H2190" s="3" t="s">
        <v>18</v>
      </c>
    </row>
    <row r="2191" spans="1:8" x14ac:dyDescent="0.3">
      <c r="A2191" t="s">
        <v>1175</v>
      </c>
      <c r="B2191" t="s">
        <v>37</v>
      </c>
      <c r="D2191">
        <v>2021</v>
      </c>
      <c r="E2191" s="2">
        <v>1</v>
      </c>
      <c r="F2191" s="2">
        <v>85</v>
      </c>
      <c r="G2191" s="2">
        <v>89.25</v>
      </c>
      <c r="H2191" s="3" t="s">
        <v>18</v>
      </c>
    </row>
    <row r="2192" spans="1:8" x14ac:dyDescent="0.3">
      <c r="A2192" t="s">
        <v>1175</v>
      </c>
      <c r="B2192" t="s">
        <v>498</v>
      </c>
      <c r="C2192" t="s">
        <v>499</v>
      </c>
      <c r="D2192">
        <v>2018</v>
      </c>
      <c r="E2192" s="2">
        <v>5</v>
      </c>
      <c r="F2192" s="2">
        <v>475</v>
      </c>
      <c r="G2192" s="2">
        <v>498.75</v>
      </c>
    </row>
    <row r="2193" spans="1:7" x14ac:dyDescent="0.3">
      <c r="A2193" t="s">
        <v>1175</v>
      </c>
      <c r="B2193" t="s">
        <v>203</v>
      </c>
      <c r="C2193" t="s">
        <v>204</v>
      </c>
      <c r="D2193">
        <v>2017</v>
      </c>
      <c r="E2193" s="2">
        <v>25</v>
      </c>
      <c r="F2193" s="2">
        <v>2375</v>
      </c>
      <c r="G2193" s="2"/>
    </row>
    <row r="2194" spans="1:7" x14ac:dyDescent="0.3">
      <c r="A2194" t="s">
        <v>1175</v>
      </c>
      <c r="B2194" t="s">
        <v>203</v>
      </c>
      <c r="C2194" t="s">
        <v>204</v>
      </c>
      <c r="D2194">
        <v>2018</v>
      </c>
      <c r="E2194" s="2">
        <v>10</v>
      </c>
      <c r="F2194" s="2">
        <v>950</v>
      </c>
      <c r="G2194" s="2">
        <v>997.5</v>
      </c>
    </row>
    <row r="2195" spans="1:7" x14ac:dyDescent="0.3">
      <c r="A2195" t="s">
        <v>1175</v>
      </c>
      <c r="B2195" t="s">
        <v>203</v>
      </c>
      <c r="C2195" t="s">
        <v>204</v>
      </c>
      <c r="D2195">
        <v>2019</v>
      </c>
      <c r="E2195" s="2">
        <v>15</v>
      </c>
      <c r="F2195" s="2">
        <v>1425</v>
      </c>
      <c r="G2195" s="2">
        <v>1496.25</v>
      </c>
    </row>
    <row r="2196" spans="1:7" x14ac:dyDescent="0.3">
      <c r="A2196" t="s">
        <v>1175</v>
      </c>
      <c r="B2196" t="s">
        <v>679</v>
      </c>
      <c r="C2196" t="s">
        <v>680</v>
      </c>
      <c r="D2196">
        <v>2020</v>
      </c>
      <c r="E2196" s="2">
        <v>10</v>
      </c>
      <c r="F2196" s="2">
        <v>950</v>
      </c>
      <c r="G2196" s="2">
        <v>997.5</v>
      </c>
    </row>
    <row r="2197" spans="1:7" x14ac:dyDescent="0.3">
      <c r="A2197" t="s">
        <v>1175</v>
      </c>
      <c r="B2197" t="s">
        <v>1186</v>
      </c>
      <c r="C2197" t="s">
        <v>237</v>
      </c>
      <c r="D2197">
        <v>2019</v>
      </c>
      <c r="E2197" s="2">
        <v>5</v>
      </c>
      <c r="F2197" s="2">
        <v>600</v>
      </c>
      <c r="G2197" s="2">
        <v>630</v>
      </c>
    </row>
    <row r="2198" spans="1:7" x14ac:dyDescent="0.3">
      <c r="A2198" t="s">
        <v>1187</v>
      </c>
      <c r="B2198" t="s">
        <v>340</v>
      </c>
      <c r="C2198" t="s">
        <v>341</v>
      </c>
      <c r="D2198">
        <v>2010</v>
      </c>
      <c r="E2198" s="2">
        <v>10</v>
      </c>
      <c r="F2198" s="2">
        <v>2300</v>
      </c>
      <c r="G2198" s="2"/>
    </row>
    <row r="2199" spans="1:7" x14ac:dyDescent="0.3">
      <c r="A2199" t="s">
        <v>1187</v>
      </c>
      <c r="B2199" t="s">
        <v>1188</v>
      </c>
      <c r="C2199" t="s">
        <v>1189</v>
      </c>
      <c r="D2199">
        <v>2010</v>
      </c>
      <c r="E2199" s="2">
        <v>25</v>
      </c>
      <c r="F2199" s="2">
        <v>7675</v>
      </c>
      <c r="G2199" s="2"/>
    </row>
    <row r="2200" spans="1:7" x14ac:dyDescent="0.3">
      <c r="A2200" t="s">
        <v>1187</v>
      </c>
      <c r="B2200" t="s">
        <v>1190</v>
      </c>
      <c r="C2200" t="s">
        <v>1191</v>
      </c>
      <c r="D2200">
        <v>2010</v>
      </c>
      <c r="E2200" s="2">
        <v>5</v>
      </c>
      <c r="F2200" s="2">
        <v>1104</v>
      </c>
      <c r="G2200" s="2"/>
    </row>
    <row r="2201" spans="1:7" x14ac:dyDescent="0.3">
      <c r="A2201" t="s">
        <v>1187</v>
      </c>
      <c r="B2201" t="s">
        <v>1190</v>
      </c>
      <c r="C2201" t="s">
        <v>1191</v>
      </c>
      <c r="D2201">
        <v>2011</v>
      </c>
      <c r="E2201" s="2">
        <v>10</v>
      </c>
      <c r="F2201" s="2">
        <v>2518</v>
      </c>
      <c r="G2201" s="2"/>
    </row>
    <row r="2202" spans="1:7" x14ac:dyDescent="0.3">
      <c r="A2202" t="s">
        <v>1187</v>
      </c>
      <c r="B2202" t="s">
        <v>176</v>
      </c>
      <c r="C2202" t="s">
        <v>177</v>
      </c>
      <c r="D2202">
        <v>2011</v>
      </c>
      <c r="E2202" s="2">
        <v>20</v>
      </c>
      <c r="F2202" s="2">
        <v>4404</v>
      </c>
      <c r="G2202" s="2"/>
    </row>
    <row r="2203" spans="1:7" x14ac:dyDescent="0.3">
      <c r="A2203" t="s">
        <v>1187</v>
      </c>
      <c r="B2203" t="s">
        <v>218</v>
      </c>
      <c r="C2203" t="s">
        <v>212</v>
      </c>
      <c r="D2203">
        <v>2011</v>
      </c>
      <c r="E2203" s="2">
        <v>20</v>
      </c>
      <c r="F2203" s="2">
        <v>4037</v>
      </c>
      <c r="G2203" s="2"/>
    </row>
    <row r="2204" spans="1:7" x14ac:dyDescent="0.3">
      <c r="A2204" t="s">
        <v>1187</v>
      </c>
      <c r="B2204" t="s">
        <v>890</v>
      </c>
      <c r="C2204" t="s">
        <v>891</v>
      </c>
      <c r="D2204">
        <v>2010</v>
      </c>
      <c r="E2204" s="2">
        <v>45</v>
      </c>
      <c r="F2204" s="2">
        <v>14319</v>
      </c>
      <c r="G2204" s="2"/>
    </row>
    <row r="2205" spans="1:7" x14ac:dyDescent="0.3">
      <c r="A2205" t="s">
        <v>1187</v>
      </c>
      <c r="B2205" t="s">
        <v>890</v>
      </c>
      <c r="C2205" t="s">
        <v>891</v>
      </c>
      <c r="D2205">
        <v>2011</v>
      </c>
      <c r="E2205" s="2">
        <v>45</v>
      </c>
      <c r="F2205" s="2">
        <v>14924</v>
      </c>
      <c r="G2205" s="2"/>
    </row>
    <row r="2206" spans="1:7" x14ac:dyDescent="0.3">
      <c r="A2206" t="s">
        <v>1187</v>
      </c>
      <c r="B2206" t="s">
        <v>1192</v>
      </c>
      <c r="C2206" t="s">
        <v>1193</v>
      </c>
      <c r="D2206">
        <v>2011</v>
      </c>
      <c r="E2206" s="2">
        <v>20</v>
      </c>
      <c r="F2206" s="2">
        <v>4822.3999999999996</v>
      </c>
      <c r="G2206" s="2"/>
    </row>
    <row r="2207" spans="1:7" x14ac:dyDescent="0.3">
      <c r="A2207" t="s">
        <v>1187</v>
      </c>
      <c r="B2207" t="s">
        <v>99</v>
      </c>
      <c r="C2207" t="s">
        <v>100</v>
      </c>
      <c r="D2207">
        <v>2014</v>
      </c>
      <c r="E2207" s="2">
        <v>30</v>
      </c>
      <c r="F2207" s="2">
        <v>4800</v>
      </c>
      <c r="G2207" s="2"/>
    </row>
    <row r="2208" spans="1:7" x14ac:dyDescent="0.3">
      <c r="A2208" t="s">
        <v>1187</v>
      </c>
      <c r="B2208" t="s">
        <v>1194</v>
      </c>
      <c r="C2208" t="s">
        <v>1195</v>
      </c>
      <c r="D2208">
        <v>2010</v>
      </c>
      <c r="E2208" s="2">
        <v>5</v>
      </c>
      <c r="F2208" s="2">
        <v>1380</v>
      </c>
      <c r="G2208" s="2"/>
    </row>
    <row r="2209" spans="1:7" x14ac:dyDescent="0.3">
      <c r="A2209" t="s">
        <v>1187</v>
      </c>
      <c r="B2209" t="s">
        <v>1194</v>
      </c>
      <c r="C2209" t="s">
        <v>1195</v>
      </c>
      <c r="D2209">
        <v>2011</v>
      </c>
      <c r="E2209" s="2">
        <v>10</v>
      </c>
      <c r="F2209" s="2">
        <v>2760</v>
      </c>
      <c r="G2209" s="2"/>
    </row>
    <row r="2210" spans="1:7" x14ac:dyDescent="0.3">
      <c r="A2210" t="s">
        <v>1187</v>
      </c>
      <c r="B2210" t="s">
        <v>1196</v>
      </c>
      <c r="C2210" t="s">
        <v>1197</v>
      </c>
      <c r="D2210">
        <v>2009</v>
      </c>
      <c r="E2210" s="2">
        <v>75</v>
      </c>
      <c r="F2210" s="2">
        <v>13125</v>
      </c>
      <c r="G2210" s="2"/>
    </row>
    <row r="2211" spans="1:7" x14ac:dyDescent="0.3">
      <c r="A2211" t="s">
        <v>1187</v>
      </c>
      <c r="B2211" t="s">
        <v>1196</v>
      </c>
      <c r="C2211" t="s">
        <v>1197</v>
      </c>
      <c r="D2211">
        <v>2010</v>
      </c>
      <c r="E2211" s="2">
        <v>20</v>
      </c>
      <c r="F2211" s="2">
        <v>3500</v>
      </c>
      <c r="G2211" s="2"/>
    </row>
    <row r="2212" spans="1:7" x14ac:dyDescent="0.3">
      <c r="A2212" t="s">
        <v>1187</v>
      </c>
      <c r="B2212" t="s">
        <v>1196</v>
      </c>
      <c r="C2212" t="s">
        <v>1197</v>
      </c>
      <c r="D2212">
        <v>2011</v>
      </c>
      <c r="E2212" s="2">
        <v>20</v>
      </c>
      <c r="F2212" s="2">
        <v>3500</v>
      </c>
      <c r="G2212" s="2"/>
    </row>
    <row r="2213" spans="1:7" x14ac:dyDescent="0.3">
      <c r="A2213" t="s">
        <v>1187</v>
      </c>
      <c r="B2213" t="s">
        <v>1196</v>
      </c>
      <c r="C2213" t="s">
        <v>1197</v>
      </c>
      <c r="D2213">
        <v>2012</v>
      </c>
      <c r="E2213" s="2">
        <v>20</v>
      </c>
      <c r="F2213" s="2">
        <v>3500</v>
      </c>
      <c r="G2213" s="2"/>
    </row>
    <row r="2214" spans="1:7" x14ac:dyDescent="0.3">
      <c r="A2214" t="s">
        <v>1187</v>
      </c>
      <c r="B2214" t="s">
        <v>1196</v>
      </c>
      <c r="C2214" t="s">
        <v>1197</v>
      </c>
      <c r="D2214">
        <v>2014</v>
      </c>
      <c r="E2214" s="2">
        <v>20</v>
      </c>
      <c r="F2214" s="2">
        <v>4400</v>
      </c>
      <c r="G2214" s="2"/>
    </row>
    <row r="2215" spans="1:7" x14ac:dyDescent="0.3">
      <c r="A2215" t="s">
        <v>1187</v>
      </c>
      <c r="B2215" t="s">
        <v>297</v>
      </c>
      <c r="C2215" t="s">
        <v>1198</v>
      </c>
      <c r="D2215">
        <v>2010</v>
      </c>
      <c r="E2215" s="2">
        <v>5</v>
      </c>
      <c r="F2215" s="2">
        <v>1380</v>
      </c>
      <c r="G2215" s="2"/>
    </row>
    <row r="2216" spans="1:7" x14ac:dyDescent="0.3">
      <c r="A2216" t="s">
        <v>1187</v>
      </c>
      <c r="B2216" t="s">
        <v>1199</v>
      </c>
      <c r="C2216" t="s">
        <v>1200</v>
      </c>
      <c r="D2216">
        <v>2014</v>
      </c>
      <c r="E2216" s="2">
        <v>10</v>
      </c>
      <c r="F2216" s="2">
        <v>2400</v>
      </c>
      <c r="G2216" s="2"/>
    </row>
    <row r="2217" spans="1:7" x14ac:dyDescent="0.3">
      <c r="A2217" t="s">
        <v>1187</v>
      </c>
      <c r="B2217" t="s">
        <v>1199</v>
      </c>
      <c r="C2217" t="s">
        <v>1200</v>
      </c>
      <c r="D2217">
        <v>2017</v>
      </c>
      <c r="E2217" s="2">
        <v>25</v>
      </c>
      <c r="F2217" s="2">
        <v>6000</v>
      </c>
      <c r="G2217" s="2"/>
    </row>
    <row r="2218" spans="1:7" x14ac:dyDescent="0.3">
      <c r="A2218" t="s">
        <v>1187</v>
      </c>
      <c r="B2218" t="s">
        <v>1199</v>
      </c>
      <c r="C2218" t="s">
        <v>1200</v>
      </c>
      <c r="D2218">
        <v>2019</v>
      </c>
      <c r="E2218" s="2">
        <v>10</v>
      </c>
      <c r="F2218" s="2">
        <v>2400</v>
      </c>
      <c r="G2218" s="2">
        <v>2520</v>
      </c>
    </row>
    <row r="2219" spans="1:7" x14ac:dyDescent="0.3">
      <c r="A2219" t="s">
        <v>1187</v>
      </c>
      <c r="B2219" t="s">
        <v>1201</v>
      </c>
      <c r="C2219" t="s">
        <v>1202</v>
      </c>
      <c r="D2219">
        <v>2014</v>
      </c>
      <c r="E2219" s="2">
        <v>10</v>
      </c>
      <c r="F2219" s="2">
        <v>2300</v>
      </c>
      <c r="G2219" s="2"/>
    </row>
    <row r="2220" spans="1:7" x14ac:dyDescent="0.3">
      <c r="A2220" t="s">
        <v>1187</v>
      </c>
      <c r="B2220" t="s">
        <v>1201</v>
      </c>
      <c r="C2220" t="s">
        <v>1202</v>
      </c>
      <c r="D2220">
        <v>2016</v>
      </c>
      <c r="E2220" s="2">
        <v>10</v>
      </c>
      <c r="F2220" s="2">
        <v>2300</v>
      </c>
      <c r="G2220" s="2"/>
    </row>
    <row r="2221" spans="1:7" x14ac:dyDescent="0.3">
      <c r="A2221" t="s">
        <v>1187</v>
      </c>
      <c r="B2221" t="s">
        <v>1203</v>
      </c>
      <c r="C2221" t="s">
        <v>1204</v>
      </c>
      <c r="D2221">
        <v>2010</v>
      </c>
      <c r="E2221" s="2">
        <v>5</v>
      </c>
      <c r="F2221" s="2">
        <v>1012</v>
      </c>
      <c r="G2221" s="2"/>
    </row>
    <row r="2222" spans="1:7" x14ac:dyDescent="0.3">
      <c r="A2222" t="s">
        <v>1187</v>
      </c>
      <c r="B2222" t="s">
        <v>1203</v>
      </c>
      <c r="C2222" t="s">
        <v>1204</v>
      </c>
      <c r="D2222">
        <v>2011</v>
      </c>
      <c r="E2222" s="2">
        <v>10</v>
      </c>
      <c r="F2222" s="2">
        <v>2024</v>
      </c>
      <c r="G2222" s="2"/>
    </row>
    <row r="2223" spans="1:7" x14ac:dyDescent="0.3">
      <c r="A2223" t="s">
        <v>1187</v>
      </c>
      <c r="B2223" t="s">
        <v>1205</v>
      </c>
      <c r="C2223" t="s">
        <v>1206</v>
      </c>
      <c r="D2223">
        <v>2010</v>
      </c>
      <c r="E2223" s="2">
        <v>5</v>
      </c>
      <c r="F2223" s="2">
        <v>1472</v>
      </c>
      <c r="G2223" s="2"/>
    </row>
    <row r="2224" spans="1:7" x14ac:dyDescent="0.3">
      <c r="A2224" t="s">
        <v>1207</v>
      </c>
      <c r="B2224" t="s">
        <v>647</v>
      </c>
      <c r="C2224" t="s">
        <v>648</v>
      </c>
      <c r="D2224">
        <v>2019</v>
      </c>
      <c r="E2224" s="2">
        <v>5</v>
      </c>
      <c r="F2224" s="2">
        <v>450</v>
      </c>
      <c r="G2224" s="2">
        <v>472.5</v>
      </c>
    </row>
    <row r="2225" spans="1:8" x14ac:dyDescent="0.3">
      <c r="A2225" t="s">
        <v>1207</v>
      </c>
      <c r="B2225" t="s">
        <v>490</v>
      </c>
      <c r="C2225" t="s">
        <v>491</v>
      </c>
      <c r="D2225">
        <v>2019</v>
      </c>
      <c r="E2225" s="2">
        <v>5</v>
      </c>
      <c r="F2225" s="2">
        <v>575</v>
      </c>
      <c r="G2225" s="2">
        <v>603.75</v>
      </c>
    </row>
    <row r="2226" spans="1:8" x14ac:dyDescent="0.3">
      <c r="A2226" t="s">
        <v>1207</v>
      </c>
      <c r="B2226" t="s">
        <v>471</v>
      </c>
      <c r="C2226" t="s">
        <v>472</v>
      </c>
      <c r="D2226">
        <v>2020</v>
      </c>
      <c r="E2226" s="2">
        <v>10</v>
      </c>
      <c r="F2226" s="2">
        <v>950</v>
      </c>
      <c r="G2226" s="2">
        <v>997.5</v>
      </c>
    </row>
    <row r="2227" spans="1:8" x14ac:dyDescent="0.3">
      <c r="A2227" t="s">
        <v>1207</v>
      </c>
      <c r="B2227" t="s">
        <v>476</v>
      </c>
      <c r="C2227" t="s">
        <v>478</v>
      </c>
      <c r="D2227">
        <v>2020</v>
      </c>
      <c r="E2227" s="2">
        <v>5</v>
      </c>
      <c r="F2227" s="2">
        <v>45</v>
      </c>
      <c r="G2227" s="2">
        <v>47.25</v>
      </c>
    </row>
    <row r="2228" spans="1:8" x14ac:dyDescent="0.3">
      <c r="A2228" t="s">
        <v>1207</v>
      </c>
      <c r="B2228" t="s">
        <v>1208</v>
      </c>
      <c r="C2228" t="s">
        <v>1209</v>
      </c>
      <c r="D2228">
        <v>2019</v>
      </c>
      <c r="E2228" s="2">
        <v>5</v>
      </c>
      <c r="F2228" s="2">
        <v>450</v>
      </c>
      <c r="G2228" s="2">
        <v>472.5</v>
      </c>
    </row>
    <row r="2229" spans="1:8" x14ac:dyDescent="0.3">
      <c r="A2229" t="s">
        <v>1210</v>
      </c>
      <c r="B2229" t="s">
        <v>269</v>
      </c>
      <c r="C2229" t="s">
        <v>270</v>
      </c>
      <c r="D2229">
        <v>2018</v>
      </c>
      <c r="E2229" s="2">
        <v>20</v>
      </c>
      <c r="F2229" s="2">
        <v>1500</v>
      </c>
      <c r="G2229" s="2">
        <v>1575</v>
      </c>
    </row>
    <row r="2230" spans="1:8" x14ac:dyDescent="0.3">
      <c r="A2230" t="s">
        <v>1210</v>
      </c>
      <c r="B2230" t="s">
        <v>41</v>
      </c>
      <c r="C2230" t="s">
        <v>530</v>
      </c>
      <c r="D2230">
        <v>2011</v>
      </c>
      <c r="E2230" s="2">
        <v>25</v>
      </c>
      <c r="F2230" s="2">
        <v>1625</v>
      </c>
      <c r="G2230" s="2"/>
    </row>
    <row r="2231" spans="1:8" x14ac:dyDescent="0.3">
      <c r="A2231" t="s">
        <v>1210</v>
      </c>
      <c r="B2231" t="s">
        <v>41</v>
      </c>
      <c r="C2231" t="s">
        <v>42</v>
      </c>
      <c r="D2231">
        <v>2011</v>
      </c>
      <c r="E2231" s="2">
        <v>25</v>
      </c>
      <c r="F2231" s="2">
        <v>1500</v>
      </c>
      <c r="G2231" s="2"/>
    </row>
    <row r="2232" spans="1:8" x14ac:dyDescent="0.3">
      <c r="A2232" t="s">
        <v>1211</v>
      </c>
      <c r="B2232" t="s">
        <v>39</v>
      </c>
      <c r="D2232">
        <v>2019</v>
      </c>
      <c r="E2232" s="2">
        <v>1</v>
      </c>
      <c r="F2232" s="2">
        <v>300</v>
      </c>
      <c r="G2232" s="2">
        <v>315</v>
      </c>
    </row>
    <row r="2233" spans="1:8" x14ac:dyDescent="0.3">
      <c r="A2233" t="s">
        <v>1211</v>
      </c>
      <c r="B2233" t="s">
        <v>39</v>
      </c>
      <c r="D2233">
        <v>2020</v>
      </c>
      <c r="E2233" s="2">
        <v>15</v>
      </c>
      <c r="F2233" s="2">
        <v>3690</v>
      </c>
      <c r="G2233" s="2">
        <v>3874.5</v>
      </c>
    </row>
    <row r="2234" spans="1:8" x14ac:dyDescent="0.3">
      <c r="A2234" t="s">
        <v>1212</v>
      </c>
      <c r="B2234" t="s">
        <v>820</v>
      </c>
      <c r="C2234" t="s">
        <v>821</v>
      </c>
      <c r="D2234">
        <v>2020</v>
      </c>
      <c r="E2234" s="2">
        <v>10</v>
      </c>
      <c r="F2234" s="2">
        <v>1900</v>
      </c>
      <c r="G2234" s="2">
        <v>1995</v>
      </c>
    </row>
    <row r="2235" spans="1:8" x14ac:dyDescent="0.3">
      <c r="A2235" t="s">
        <v>1212</v>
      </c>
      <c r="B2235" t="s">
        <v>153</v>
      </c>
      <c r="C2235" t="s">
        <v>154</v>
      </c>
      <c r="D2235">
        <v>2020</v>
      </c>
      <c r="E2235" s="2">
        <v>8</v>
      </c>
      <c r="F2235" s="2">
        <v>1920</v>
      </c>
      <c r="G2235" s="2">
        <v>2016</v>
      </c>
    </row>
    <row r="2236" spans="1:8" x14ac:dyDescent="0.3">
      <c r="A2236" t="s">
        <v>1213</v>
      </c>
      <c r="B2236" t="s">
        <v>586</v>
      </c>
      <c r="C2236" t="s">
        <v>587</v>
      </c>
      <c r="D2236">
        <v>2020</v>
      </c>
      <c r="E2236" s="2">
        <v>25</v>
      </c>
      <c r="F2236" s="2">
        <v>4625</v>
      </c>
      <c r="G2236" s="2">
        <v>4856.25</v>
      </c>
    </row>
    <row r="2237" spans="1:8" x14ac:dyDescent="0.3">
      <c r="A2237" t="s">
        <v>1213</v>
      </c>
      <c r="B2237" t="s">
        <v>660</v>
      </c>
      <c r="C2237" t="s">
        <v>661</v>
      </c>
      <c r="D2237">
        <v>2021</v>
      </c>
      <c r="E2237" s="2">
        <v>25</v>
      </c>
      <c r="F2237" s="2">
        <v>1750</v>
      </c>
      <c r="G2237" s="2">
        <v>1837.5</v>
      </c>
      <c r="H2237" s="3" t="s">
        <v>14</v>
      </c>
    </row>
    <row r="2238" spans="1:8" x14ac:dyDescent="0.3">
      <c r="A2238" t="s">
        <v>1213</v>
      </c>
      <c r="B2238" t="s">
        <v>244</v>
      </c>
      <c r="C2238" t="s">
        <v>245</v>
      </c>
      <c r="D2238">
        <v>2020</v>
      </c>
      <c r="E2238" s="2">
        <v>15</v>
      </c>
      <c r="F2238" s="2">
        <v>3300</v>
      </c>
      <c r="G2238" s="2">
        <v>3465</v>
      </c>
    </row>
    <row r="2239" spans="1:8" x14ac:dyDescent="0.3">
      <c r="A2239" t="s">
        <v>1213</v>
      </c>
      <c r="B2239" t="s">
        <v>246</v>
      </c>
      <c r="C2239" t="s">
        <v>247</v>
      </c>
      <c r="D2239">
        <v>2021</v>
      </c>
      <c r="E2239" s="2">
        <v>10</v>
      </c>
      <c r="F2239" s="2">
        <v>2000</v>
      </c>
      <c r="G2239" s="2">
        <v>2100</v>
      </c>
      <c r="H2239" s="3" t="s">
        <v>14</v>
      </c>
    </row>
    <row r="2240" spans="1:8" x14ac:dyDescent="0.3">
      <c r="A2240" t="s">
        <v>1213</v>
      </c>
      <c r="B2240" t="s">
        <v>1214</v>
      </c>
      <c r="C2240" t="s">
        <v>1215</v>
      </c>
      <c r="D2240">
        <v>2016</v>
      </c>
      <c r="E2240" s="2">
        <v>25</v>
      </c>
      <c r="F2240" s="2">
        <v>1250</v>
      </c>
      <c r="G2240" s="2"/>
    </row>
    <row r="2241" spans="1:8" x14ac:dyDescent="0.3">
      <c r="A2241" t="s">
        <v>1213</v>
      </c>
      <c r="B2241" t="s">
        <v>1214</v>
      </c>
      <c r="C2241" t="s">
        <v>1215</v>
      </c>
      <c r="D2241">
        <v>2017</v>
      </c>
      <c r="E2241" s="2">
        <v>100</v>
      </c>
      <c r="F2241" s="2">
        <v>5000</v>
      </c>
      <c r="G2241" s="2"/>
    </row>
    <row r="2242" spans="1:8" x14ac:dyDescent="0.3">
      <c r="A2242" t="s">
        <v>1213</v>
      </c>
      <c r="B2242" t="s">
        <v>417</v>
      </c>
      <c r="C2242" t="s">
        <v>418</v>
      </c>
      <c r="D2242">
        <v>2014</v>
      </c>
      <c r="E2242" s="2">
        <v>25</v>
      </c>
      <c r="F2242" s="2">
        <v>1700</v>
      </c>
      <c r="G2242" s="2"/>
    </row>
    <row r="2243" spans="1:8" x14ac:dyDescent="0.3">
      <c r="A2243" t="s">
        <v>1213</v>
      </c>
      <c r="B2243" t="s">
        <v>696</v>
      </c>
      <c r="C2243" t="s">
        <v>697</v>
      </c>
      <c r="D2243">
        <v>2014</v>
      </c>
      <c r="E2243" s="2">
        <v>150</v>
      </c>
      <c r="F2243" s="2">
        <v>10500</v>
      </c>
      <c r="G2243" s="2"/>
    </row>
    <row r="2244" spans="1:8" x14ac:dyDescent="0.3">
      <c r="A2244" t="s">
        <v>1213</v>
      </c>
      <c r="B2244" t="s">
        <v>696</v>
      </c>
      <c r="C2244" t="s">
        <v>697</v>
      </c>
      <c r="D2244">
        <v>2020</v>
      </c>
      <c r="E2244" s="2">
        <v>25</v>
      </c>
      <c r="F2244" s="2">
        <v>1950</v>
      </c>
      <c r="G2244" s="2">
        <v>2047.5</v>
      </c>
    </row>
    <row r="2245" spans="1:8" x14ac:dyDescent="0.3">
      <c r="A2245" t="s">
        <v>1213</v>
      </c>
      <c r="B2245" t="s">
        <v>26</v>
      </c>
      <c r="C2245" t="s">
        <v>27</v>
      </c>
      <c r="D2245">
        <v>2012</v>
      </c>
      <c r="E2245" s="2">
        <v>150</v>
      </c>
      <c r="F2245" s="2">
        <v>7650</v>
      </c>
      <c r="G2245" s="2"/>
    </row>
    <row r="2246" spans="1:8" x14ac:dyDescent="0.3">
      <c r="A2246" t="s">
        <v>1213</v>
      </c>
      <c r="B2246" t="s">
        <v>26</v>
      </c>
      <c r="C2246" t="s">
        <v>27</v>
      </c>
      <c r="D2246">
        <v>2013</v>
      </c>
      <c r="E2246" s="2">
        <v>200</v>
      </c>
      <c r="F2246" s="2">
        <v>11000</v>
      </c>
      <c r="G2246" s="2"/>
    </row>
    <row r="2247" spans="1:8" x14ac:dyDescent="0.3">
      <c r="A2247" t="s">
        <v>1213</v>
      </c>
      <c r="B2247" t="s">
        <v>26</v>
      </c>
      <c r="C2247" t="s">
        <v>27</v>
      </c>
      <c r="D2247">
        <v>2014</v>
      </c>
      <c r="E2247" s="2">
        <v>775</v>
      </c>
      <c r="F2247" s="2">
        <v>45375</v>
      </c>
      <c r="G2247" s="2"/>
    </row>
    <row r="2248" spans="1:8" x14ac:dyDescent="0.3">
      <c r="A2248" t="s">
        <v>1213</v>
      </c>
      <c r="B2248" t="s">
        <v>26</v>
      </c>
      <c r="C2248" t="s">
        <v>27</v>
      </c>
      <c r="D2248">
        <v>2015</v>
      </c>
      <c r="E2248" s="2">
        <v>1350</v>
      </c>
      <c r="F2248" s="2">
        <v>67500</v>
      </c>
      <c r="G2248" s="2"/>
    </row>
    <row r="2249" spans="1:8" x14ac:dyDescent="0.3">
      <c r="A2249" t="s">
        <v>1213</v>
      </c>
      <c r="B2249" t="s">
        <v>26</v>
      </c>
      <c r="C2249" t="s">
        <v>27</v>
      </c>
      <c r="D2249">
        <v>2016</v>
      </c>
      <c r="E2249" s="2">
        <v>1400</v>
      </c>
      <c r="F2249" s="2">
        <v>70000</v>
      </c>
      <c r="G2249" s="2"/>
    </row>
    <row r="2250" spans="1:8" x14ac:dyDescent="0.3">
      <c r="A2250" t="s">
        <v>1213</v>
      </c>
      <c r="B2250" t="s">
        <v>26</v>
      </c>
      <c r="C2250" t="s">
        <v>27</v>
      </c>
      <c r="D2250">
        <v>2017</v>
      </c>
      <c r="E2250" s="2">
        <v>2100</v>
      </c>
      <c r="F2250" s="2">
        <v>105000</v>
      </c>
      <c r="G2250" s="2"/>
    </row>
    <row r="2251" spans="1:8" x14ac:dyDescent="0.3">
      <c r="A2251" t="s">
        <v>1213</v>
      </c>
      <c r="B2251" t="s">
        <v>26</v>
      </c>
      <c r="C2251" t="s">
        <v>27</v>
      </c>
      <c r="D2251">
        <v>2018</v>
      </c>
      <c r="E2251" s="2">
        <v>900</v>
      </c>
      <c r="F2251" s="2">
        <v>43000</v>
      </c>
      <c r="G2251" s="2">
        <v>45150</v>
      </c>
    </row>
    <row r="2252" spans="1:8" x14ac:dyDescent="0.3">
      <c r="A2252" t="s">
        <v>1213</v>
      </c>
      <c r="B2252" t="s">
        <v>26</v>
      </c>
      <c r="C2252" t="s">
        <v>27</v>
      </c>
      <c r="D2252">
        <v>2019</v>
      </c>
      <c r="E2252" s="2">
        <v>100</v>
      </c>
      <c r="F2252" s="2">
        <v>4000</v>
      </c>
      <c r="G2252" s="2">
        <v>4200</v>
      </c>
    </row>
    <row r="2253" spans="1:8" x14ac:dyDescent="0.3">
      <c r="A2253" t="s">
        <v>1213</v>
      </c>
      <c r="B2253" t="s">
        <v>686</v>
      </c>
      <c r="C2253" t="s">
        <v>866</v>
      </c>
      <c r="D2253">
        <v>2019</v>
      </c>
      <c r="E2253" s="2">
        <v>50</v>
      </c>
      <c r="F2253" s="2">
        <v>2900</v>
      </c>
      <c r="G2253" s="2">
        <v>3045</v>
      </c>
    </row>
    <row r="2254" spans="1:8" x14ac:dyDescent="0.3">
      <c r="A2254" t="s">
        <v>1213</v>
      </c>
      <c r="B2254" t="s">
        <v>1216</v>
      </c>
      <c r="C2254" t="s">
        <v>1217</v>
      </c>
      <c r="D2254">
        <v>2021</v>
      </c>
      <c r="E2254" s="2">
        <v>6</v>
      </c>
      <c r="F2254" s="2">
        <v>1200</v>
      </c>
      <c r="G2254" s="2">
        <v>1260</v>
      </c>
      <c r="H2254" s="3" t="s">
        <v>18</v>
      </c>
    </row>
    <row r="2255" spans="1:8" x14ac:dyDescent="0.3">
      <c r="A2255" t="s">
        <v>1213</v>
      </c>
      <c r="B2255" t="s">
        <v>668</v>
      </c>
      <c r="C2255" t="s">
        <v>669</v>
      </c>
      <c r="D2255">
        <v>2020</v>
      </c>
      <c r="E2255" s="2">
        <v>5</v>
      </c>
      <c r="F2255" s="2">
        <v>350</v>
      </c>
      <c r="G2255" s="2">
        <v>367.5</v>
      </c>
      <c r="H2255" s="3" t="s">
        <v>18</v>
      </c>
    </row>
    <row r="2256" spans="1:8" x14ac:dyDescent="0.3">
      <c r="A2256" t="s">
        <v>1213</v>
      </c>
      <c r="B2256" t="s">
        <v>668</v>
      </c>
      <c r="C2256" t="s">
        <v>669</v>
      </c>
      <c r="D2256">
        <v>2021</v>
      </c>
      <c r="E2256" s="2">
        <v>25</v>
      </c>
      <c r="F2256" s="2">
        <v>1750</v>
      </c>
      <c r="G2256" s="2">
        <v>1837.5</v>
      </c>
      <c r="H2256" s="3" t="s">
        <v>18</v>
      </c>
    </row>
    <row r="2257" spans="1:8" x14ac:dyDescent="0.3">
      <c r="A2257" t="s">
        <v>1213</v>
      </c>
      <c r="B2257" t="s">
        <v>19</v>
      </c>
      <c r="C2257" t="s">
        <v>670</v>
      </c>
      <c r="D2257">
        <v>2021</v>
      </c>
      <c r="E2257" s="2">
        <v>25</v>
      </c>
      <c r="F2257" s="2">
        <v>2000</v>
      </c>
      <c r="G2257" s="2">
        <v>2100</v>
      </c>
      <c r="H2257" s="3" t="s">
        <v>18</v>
      </c>
    </row>
    <row r="2258" spans="1:8" x14ac:dyDescent="0.3">
      <c r="A2258" t="s">
        <v>1213</v>
      </c>
      <c r="B2258" t="s">
        <v>671</v>
      </c>
      <c r="C2258" t="s">
        <v>672</v>
      </c>
      <c r="D2258">
        <v>2021</v>
      </c>
      <c r="E2258" s="2">
        <v>25</v>
      </c>
      <c r="F2258" s="2">
        <v>1375</v>
      </c>
      <c r="G2258" s="2">
        <v>1443.75</v>
      </c>
      <c r="H2258" s="3" t="s">
        <v>374</v>
      </c>
    </row>
    <row r="2259" spans="1:8" x14ac:dyDescent="0.3">
      <c r="A2259" t="s">
        <v>1213</v>
      </c>
      <c r="B2259" t="s">
        <v>741</v>
      </c>
      <c r="C2259" t="s">
        <v>742</v>
      </c>
      <c r="D2259">
        <v>2016</v>
      </c>
      <c r="E2259" s="2">
        <v>25</v>
      </c>
      <c r="F2259" s="2">
        <v>1250</v>
      </c>
      <c r="G2259" s="2"/>
    </row>
    <row r="2260" spans="1:8" x14ac:dyDescent="0.3">
      <c r="A2260" t="s">
        <v>1213</v>
      </c>
      <c r="B2260" t="s">
        <v>867</v>
      </c>
      <c r="C2260" t="s">
        <v>868</v>
      </c>
      <c r="D2260">
        <v>2021</v>
      </c>
      <c r="E2260" s="2">
        <v>25</v>
      </c>
      <c r="F2260" s="2">
        <v>2000</v>
      </c>
      <c r="G2260" s="2">
        <v>2100</v>
      </c>
      <c r="H2260" s="3" t="s">
        <v>14</v>
      </c>
    </row>
    <row r="2261" spans="1:8" x14ac:dyDescent="0.3">
      <c r="A2261" t="s">
        <v>1213</v>
      </c>
      <c r="B2261" t="s">
        <v>189</v>
      </c>
      <c r="D2261">
        <v>2021</v>
      </c>
      <c r="E2261" s="2">
        <v>10</v>
      </c>
      <c r="F2261" s="2">
        <v>2400</v>
      </c>
      <c r="G2261" s="2">
        <v>2520</v>
      </c>
      <c r="H2261" s="3" t="s">
        <v>442</v>
      </c>
    </row>
    <row r="2262" spans="1:8" x14ac:dyDescent="0.3">
      <c r="A2262" t="s">
        <v>1213</v>
      </c>
      <c r="B2262" t="s">
        <v>674</v>
      </c>
      <c r="C2262" t="s">
        <v>675</v>
      </c>
      <c r="D2262">
        <v>2021</v>
      </c>
      <c r="E2262" s="2">
        <v>25</v>
      </c>
      <c r="F2262" s="2">
        <v>1750</v>
      </c>
      <c r="G2262" s="2">
        <v>1837.5</v>
      </c>
      <c r="H2262" s="3" t="s">
        <v>18</v>
      </c>
    </row>
    <row r="2263" spans="1:8" x14ac:dyDescent="0.3">
      <c r="A2263" t="s">
        <v>1213</v>
      </c>
      <c r="B2263" t="s">
        <v>263</v>
      </c>
      <c r="C2263" t="s">
        <v>264</v>
      </c>
      <c r="D2263">
        <v>2021</v>
      </c>
      <c r="E2263" s="2">
        <v>1</v>
      </c>
      <c r="F2263" s="2">
        <v>130</v>
      </c>
      <c r="G2263" s="2">
        <v>136.5</v>
      </c>
      <c r="H2263" s="3" t="s">
        <v>1218</v>
      </c>
    </row>
    <row r="2264" spans="1:8" x14ac:dyDescent="0.3">
      <c r="A2264" t="s">
        <v>1213</v>
      </c>
      <c r="B2264" t="s">
        <v>72</v>
      </c>
      <c r="C2264" t="s">
        <v>319</v>
      </c>
      <c r="D2264">
        <v>2020</v>
      </c>
      <c r="E2264" s="2">
        <v>10</v>
      </c>
      <c r="F2264" s="2">
        <v>1800</v>
      </c>
      <c r="G2264" s="2">
        <v>1890</v>
      </c>
    </row>
    <row r="2265" spans="1:8" x14ac:dyDescent="0.3">
      <c r="A2265" t="s">
        <v>1213</v>
      </c>
      <c r="B2265" t="s">
        <v>32</v>
      </c>
      <c r="D2265">
        <v>2018</v>
      </c>
      <c r="E2265" s="2">
        <v>60</v>
      </c>
      <c r="F2265" s="2">
        <v>4080</v>
      </c>
      <c r="G2265" s="2">
        <v>4284</v>
      </c>
      <c r="H2265" s="3" t="s">
        <v>18</v>
      </c>
    </row>
    <row r="2266" spans="1:8" x14ac:dyDescent="0.3">
      <c r="A2266" t="s">
        <v>1213</v>
      </c>
      <c r="B2266" t="s">
        <v>32</v>
      </c>
      <c r="D2266">
        <v>2021</v>
      </c>
      <c r="E2266" s="2">
        <v>20</v>
      </c>
      <c r="F2266" s="2">
        <v>1300</v>
      </c>
      <c r="G2266" s="2">
        <v>1365</v>
      </c>
      <c r="H2266" s="3" t="s">
        <v>18</v>
      </c>
    </row>
    <row r="2267" spans="1:8" x14ac:dyDescent="0.3">
      <c r="A2267" t="s">
        <v>1213</v>
      </c>
      <c r="B2267" t="s">
        <v>46</v>
      </c>
      <c r="C2267" t="s">
        <v>47</v>
      </c>
      <c r="D2267">
        <v>2013</v>
      </c>
      <c r="E2267" s="2">
        <v>5</v>
      </c>
      <c r="F2267" s="2">
        <v>400</v>
      </c>
      <c r="G2267" s="2"/>
    </row>
    <row r="2268" spans="1:8" x14ac:dyDescent="0.3">
      <c r="A2268" t="s">
        <v>1213</v>
      </c>
      <c r="B2268" t="s">
        <v>46</v>
      </c>
      <c r="C2268" t="s">
        <v>47</v>
      </c>
      <c r="D2268">
        <v>2014</v>
      </c>
      <c r="E2268" s="2">
        <v>200</v>
      </c>
      <c r="F2268" s="2">
        <v>13525</v>
      </c>
      <c r="G2268" s="2"/>
    </row>
    <row r="2269" spans="1:8" x14ac:dyDescent="0.3">
      <c r="A2269" t="s">
        <v>1213</v>
      </c>
      <c r="B2269" t="s">
        <v>46</v>
      </c>
      <c r="C2269" t="s">
        <v>47</v>
      </c>
      <c r="D2269">
        <v>2015</v>
      </c>
      <c r="E2269" s="2">
        <v>100</v>
      </c>
      <c r="F2269" s="2">
        <v>6650</v>
      </c>
      <c r="G2269" s="2"/>
    </row>
    <row r="2270" spans="1:8" x14ac:dyDescent="0.3">
      <c r="A2270" t="s">
        <v>1213</v>
      </c>
      <c r="B2270" t="s">
        <v>46</v>
      </c>
      <c r="C2270" t="s">
        <v>47</v>
      </c>
      <c r="D2270">
        <v>2016</v>
      </c>
      <c r="E2270" s="2">
        <v>100</v>
      </c>
      <c r="F2270" s="2">
        <v>6800</v>
      </c>
      <c r="G2270" s="2"/>
    </row>
    <row r="2271" spans="1:8" x14ac:dyDescent="0.3">
      <c r="A2271" t="s">
        <v>1213</v>
      </c>
      <c r="B2271" t="s">
        <v>46</v>
      </c>
      <c r="C2271" t="s">
        <v>47</v>
      </c>
      <c r="D2271">
        <v>2019</v>
      </c>
      <c r="E2271" s="2">
        <v>200</v>
      </c>
      <c r="F2271" s="2">
        <v>8000</v>
      </c>
      <c r="G2271" s="2">
        <v>8400</v>
      </c>
    </row>
    <row r="2272" spans="1:8" x14ac:dyDescent="0.3">
      <c r="A2272" t="s">
        <v>1213</v>
      </c>
      <c r="B2272" t="s">
        <v>604</v>
      </c>
      <c r="C2272" t="s">
        <v>605</v>
      </c>
      <c r="D2272">
        <v>2020</v>
      </c>
      <c r="E2272" s="2">
        <v>15</v>
      </c>
      <c r="F2272" s="2">
        <v>2700</v>
      </c>
      <c r="G2272" s="2">
        <v>2835</v>
      </c>
    </row>
    <row r="2273" spans="1:7" x14ac:dyDescent="0.3">
      <c r="A2273" t="s">
        <v>1219</v>
      </c>
      <c r="B2273" t="s">
        <v>438</v>
      </c>
      <c r="C2273" t="s">
        <v>439</v>
      </c>
      <c r="D2273">
        <v>2017</v>
      </c>
      <c r="E2273" s="2">
        <v>25</v>
      </c>
      <c r="F2273" s="2">
        <v>1375</v>
      </c>
      <c r="G2273" s="2"/>
    </row>
    <row r="2274" spans="1:7" x14ac:dyDescent="0.3">
      <c r="A2274" t="s">
        <v>1220</v>
      </c>
      <c r="B2274" t="s">
        <v>1221</v>
      </c>
      <c r="D2274">
        <v>2013</v>
      </c>
      <c r="E2274" s="2">
        <v>45</v>
      </c>
      <c r="F2274" s="2">
        <v>14850</v>
      </c>
      <c r="G2274" s="2"/>
    </row>
    <row r="2275" spans="1:7" x14ac:dyDescent="0.3">
      <c r="A2275" t="s">
        <v>1220</v>
      </c>
      <c r="B2275" t="s">
        <v>1221</v>
      </c>
      <c r="D2275">
        <v>2014</v>
      </c>
      <c r="E2275" s="2">
        <v>15</v>
      </c>
      <c r="F2275" s="2">
        <v>4950</v>
      </c>
      <c r="G2275" s="2"/>
    </row>
    <row r="2276" spans="1:7" x14ac:dyDescent="0.3">
      <c r="A2276" t="s">
        <v>1220</v>
      </c>
      <c r="B2276" t="s">
        <v>1222</v>
      </c>
      <c r="C2276" t="s">
        <v>1223</v>
      </c>
      <c r="D2276">
        <v>2013</v>
      </c>
      <c r="E2276" s="2">
        <v>1</v>
      </c>
      <c r="F2276" s="2">
        <v>90</v>
      </c>
      <c r="G2276" s="2"/>
    </row>
    <row r="2277" spans="1:7" x14ac:dyDescent="0.3">
      <c r="A2277" t="s">
        <v>1220</v>
      </c>
      <c r="B2277" t="s">
        <v>1222</v>
      </c>
      <c r="C2277" t="s">
        <v>1223</v>
      </c>
      <c r="D2277">
        <v>2014</v>
      </c>
      <c r="E2277" s="2">
        <v>25</v>
      </c>
      <c r="F2277" s="2">
        <v>2250</v>
      </c>
      <c r="G2277" s="2"/>
    </row>
    <row r="2278" spans="1:7" x14ac:dyDescent="0.3">
      <c r="A2278" t="s">
        <v>1220</v>
      </c>
      <c r="B2278" t="s">
        <v>32</v>
      </c>
      <c r="D2278">
        <v>2013</v>
      </c>
      <c r="E2278" s="2">
        <v>50</v>
      </c>
      <c r="F2278" s="2">
        <v>4500</v>
      </c>
      <c r="G2278" s="2"/>
    </row>
    <row r="2279" spans="1:7" x14ac:dyDescent="0.3">
      <c r="A2279" t="s">
        <v>1220</v>
      </c>
      <c r="B2279" t="s">
        <v>32</v>
      </c>
      <c r="D2279">
        <v>2014</v>
      </c>
      <c r="E2279" s="2">
        <v>20</v>
      </c>
      <c r="F2279" s="2">
        <v>1800</v>
      </c>
      <c r="G2279" s="2"/>
    </row>
    <row r="2280" spans="1:7" x14ac:dyDescent="0.3">
      <c r="A2280" t="s">
        <v>1220</v>
      </c>
      <c r="B2280" t="s">
        <v>32</v>
      </c>
      <c r="D2280">
        <v>2015</v>
      </c>
      <c r="E2280" s="2">
        <v>60</v>
      </c>
      <c r="F2280" s="2">
        <v>5400</v>
      </c>
      <c r="G2280" s="2"/>
    </row>
    <row r="2281" spans="1:7" x14ac:dyDescent="0.3">
      <c r="A2281" t="s">
        <v>1224</v>
      </c>
      <c r="B2281" t="s">
        <v>441</v>
      </c>
      <c r="C2281" t="s">
        <v>93</v>
      </c>
      <c r="D2281">
        <v>2019</v>
      </c>
      <c r="E2281" s="2">
        <v>5</v>
      </c>
      <c r="F2281" s="2">
        <v>575</v>
      </c>
      <c r="G2281" s="2">
        <v>603.75</v>
      </c>
    </row>
    <row r="2282" spans="1:7" x14ac:dyDescent="0.3">
      <c r="A2282" t="s">
        <v>1225</v>
      </c>
      <c r="B2282" t="s">
        <v>666</v>
      </c>
      <c r="C2282" t="s">
        <v>667</v>
      </c>
      <c r="D2282">
        <v>2020</v>
      </c>
      <c r="E2282" s="2">
        <v>75</v>
      </c>
      <c r="F2282" s="2">
        <v>4125</v>
      </c>
      <c r="G2282" s="2">
        <v>4331.25</v>
      </c>
    </row>
    <row r="2283" spans="1:7" x14ac:dyDescent="0.3">
      <c r="A2283" t="s">
        <v>1225</v>
      </c>
      <c r="B2283" t="s">
        <v>62</v>
      </c>
      <c r="C2283" t="s">
        <v>63</v>
      </c>
      <c r="D2283">
        <v>2020</v>
      </c>
      <c r="E2283" s="2">
        <v>100</v>
      </c>
      <c r="F2283" s="2">
        <v>5500</v>
      </c>
      <c r="G2283" s="2">
        <v>5775</v>
      </c>
    </row>
    <row r="2284" spans="1:7" x14ac:dyDescent="0.3">
      <c r="A2284" t="s">
        <v>1225</v>
      </c>
      <c r="B2284" t="s">
        <v>483</v>
      </c>
      <c r="C2284" t="s">
        <v>484</v>
      </c>
      <c r="D2284">
        <v>2020</v>
      </c>
      <c r="E2284" s="2">
        <v>25</v>
      </c>
      <c r="F2284" s="2">
        <v>1500</v>
      </c>
      <c r="G2284" s="2">
        <v>1575</v>
      </c>
    </row>
    <row r="2285" spans="1:7" x14ac:dyDescent="0.3">
      <c r="A2285" t="s">
        <v>1226</v>
      </c>
      <c r="B2285" t="s">
        <v>1227</v>
      </c>
      <c r="C2285" t="s">
        <v>1228</v>
      </c>
      <c r="D2285">
        <v>2011</v>
      </c>
      <c r="E2285" s="2">
        <v>5</v>
      </c>
      <c r="F2285" s="2">
        <v>800</v>
      </c>
      <c r="G2285" s="2"/>
    </row>
    <row r="2286" spans="1:7" x14ac:dyDescent="0.3">
      <c r="A2286" t="s">
        <v>1226</v>
      </c>
      <c r="B2286" t="s">
        <v>1229</v>
      </c>
      <c r="C2286" t="s">
        <v>1230</v>
      </c>
      <c r="D2286">
        <v>2010</v>
      </c>
      <c r="E2286" s="2">
        <v>5</v>
      </c>
      <c r="F2286" s="2">
        <v>700</v>
      </c>
      <c r="G2286" s="2"/>
    </row>
    <row r="2287" spans="1:7" x14ac:dyDescent="0.3">
      <c r="A2287" t="s">
        <v>1226</v>
      </c>
      <c r="B2287" t="s">
        <v>1231</v>
      </c>
      <c r="C2287" t="s">
        <v>1232</v>
      </c>
      <c r="D2287">
        <v>2019</v>
      </c>
      <c r="E2287" s="2">
        <v>5</v>
      </c>
      <c r="F2287" s="2">
        <v>650</v>
      </c>
      <c r="G2287" s="2">
        <v>682.5</v>
      </c>
    </row>
    <row r="2288" spans="1:7" x14ac:dyDescent="0.3">
      <c r="A2288" t="s">
        <v>1226</v>
      </c>
      <c r="B2288" t="s">
        <v>340</v>
      </c>
      <c r="C2288" t="s">
        <v>1233</v>
      </c>
      <c r="D2288">
        <v>2011</v>
      </c>
      <c r="E2288" s="2">
        <v>5</v>
      </c>
      <c r="F2288" s="2">
        <v>800</v>
      </c>
      <c r="G2288" s="2"/>
    </row>
    <row r="2289" spans="1:7" x14ac:dyDescent="0.3">
      <c r="A2289" t="s">
        <v>1226</v>
      </c>
      <c r="B2289" t="s">
        <v>1234</v>
      </c>
      <c r="C2289" t="s">
        <v>1235</v>
      </c>
      <c r="D2289">
        <v>2010</v>
      </c>
      <c r="E2289" s="2">
        <v>20</v>
      </c>
      <c r="F2289" s="2">
        <v>2500</v>
      </c>
      <c r="G2289" s="2"/>
    </row>
    <row r="2290" spans="1:7" x14ac:dyDescent="0.3">
      <c r="A2290" t="s">
        <v>1226</v>
      </c>
      <c r="B2290" t="s">
        <v>1236</v>
      </c>
      <c r="C2290" t="s">
        <v>1237</v>
      </c>
      <c r="D2290">
        <v>2011</v>
      </c>
      <c r="E2290" s="2">
        <v>10</v>
      </c>
      <c r="F2290" s="2">
        <v>1500</v>
      </c>
      <c r="G2290" s="2"/>
    </row>
    <row r="2291" spans="1:7" x14ac:dyDescent="0.3">
      <c r="A2291" t="s">
        <v>1226</v>
      </c>
      <c r="B2291" t="s">
        <v>1238</v>
      </c>
      <c r="C2291" t="s">
        <v>1239</v>
      </c>
      <c r="D2291">
        <v>2011</v>
      </c>
      <c r="E2291" s="2">
        <v>10</v>
      </c>
      <c r="F2291" s="2">
        <v>1300</v>
      </c>
      <c r="G2291" s="2"/>
    </row>
    <row r="2292" spans="1:7" x14ac:dyDescent="0.3">
      <c r="A2292" t="s">
        <v>1226</v>
      </c>
      <c r="B2292" t="s">
        <v>1240</v>
      </c>
      <c r="C2292" t="s">
        <v>1241</v>
      </c>
      <c r="D2292">
        <v>2011</v>
      </c>
      <c r="E2292" s="2">
        <v>10</v>
      </c>
      <c r="F2292" s="2">
        <v>1500</v>
      </c>
      <c r="G2292" s="2"/>
    </row>
    <row r="2293" spans="1:7" x14ac:dyDescent="0.3">
      <c r="A2293" t="s">
        <v>1226</v>
      </c>
      <c r="B2293" t="s">
        <v>84</v>
      </c>
      <c r="C2293" t="s">
        <v>85</v>
      </c>
      <c r="D2293">
        <v>2014</v>
      </c>
      <c r="E2293" s="2">
        <v>5</v>
      </c>
      <c r="F2293" s="2">
        <v>825</v>
      </c>
      <c r="G2293" s="2"/>
    </row>
    <row r="2294" spans="1:7" x14ac:dyDescent="0.3">
      <c r="A2294" t="s">
        <v>1226</v>
      </c>
      <c r="B2294" t="s">
        <v>1242</v>
      </c>
      <c r="C2294" t="s">
        <v>1243</v>
      </c>
      <c r="D2294">
        <v>2011</v>
      </c>
      <c r="E2294" s="2">
        <v>10</v>
      </c>
      <c r="F2294" s="2">
        <v>4700</v>
      </c>
      <c r="G2294" s="2"/>
    </row>
    <row r="2295" spans="1:7" x14ac:dyDescent="0.3">
      <c r="A2295" t="s">
        <v>1226</v>
      </c>
      <c r="B2295" t="s">
        <v>719</v>
      </c>
      <c r="C2295" t="s">
        <v>1244</v>
      </c>
      <c r="D2295">
        <v>2009</v>
      </c>
      <c r="E2295" s="2">
        <v>10</v>
      </c>
      <c r="F2295" s="2">
        <v>1500</v>
      </c>
      <c r="G2295" s="2"/>
    </row>
    <row r="2296" spans="1:7" x14ac:dyDescent="0.3">
      <c r="A2296" t="s">
        <v>1226</v>
      </c>
      <c r="B2296" t="s">
        <v>719</v>
      </c>
      <c r="C2296" t="s">
        <v>1244</v>
      </c>
      <c r="D2296">
        <v>2010</v>
      </c>
      <c r="E2296" s="2">
        <v>10</v>
      </c>
      <c r="F2296" s="2">
        <v>1500</v>
      </c>
      <c r="G2296" s="2"/>
    </row>
    <row r="2297" spans="1:7" x14ac:dyDescent="0.3">
      <c r="A2297" t="s">
        <v>1226</v>
      </c>
      <c r="B2297" t="s">
        <v>1245</v>
      </c>
      <c r="D2297">
        <v>2010</v>
      </c>
      <c r="E2297" s="2">
        <v>5</v>
      </c>
      <c r="F2297" s="2">
        <v>650</v>
      </c>
      <c r="G2297" s="2"/>
    </row>
    <row r="2298" spans="1:7" x14ac:dyDescent="0.3">
      <c r="A2298" t="s">
        <v>1226</v>
      </c>
      <c r="B2298" t="s">
        <v>1246</v>
      </c>
      <c r="C2298" t="s">
        <v>927</v>
      </c>
      <c r="D2298">
        <v>2019</v>
      </c>
      <c r="E2298" s="2">
        <v>11</v>
      </c>
      <c r="F2298" s="2">
        <v>2200</v>
      </c>
      <c r="G2298" s="2">
        <v>2310</v>
      </c>
    </row>
    <row r="2299" spans="1:7" x14ac:dyDescent="0.3">
      <c r="A2299" t="s">
        <v>1226</v>
      </c>
      <c r="B2299" t="s">
        <v>1247</v>
      </c>
      <c r="C2299" t="s">
        <v>1248</v>
      </c>
      <c r="D2299">
        <v>2010</v>
      </c>
      <c r="E2299" s="2">
        <v>5</v>
      </c>
      <c r="F2299" s="2">
        <v>600</v>
      </c>
      <c r="G2299" s="2"/>
    </row>
    <row r="2300" spans="1:7" x14ac:dyDescent="0.3">
      <c r="A2300" t="s">
        <v>1226</v>
      </c>
      <c r="B2300" t="s">
        <v>1249</v>
      </c>
      <c r="C2300" t="s">
        <v>1250</v>
      </c>
      <c r="D2300">
        <v>2010</v>
      </c>
      <c r="E2300" s="2">
        <v>5</v>
      </c>
      <c r="F2300" s="2">
        <v>800</v>
      </c>
      <c r="G2300" s="2"/>
    </row>
    <row r="2301" spans="1:7" x14ac:dyDescent="0.3">
      <c r="A2301" t="s">
        <v>1226</v>
      </c>
      <c r="B2301" t="s">
        <v>285</v>
      </c>
      <c r="C2301" t="s">
        <v>286</v>
      </c>
      <c r="D2301">
        <v>2014</v>
      </c>
      <c r="E2301" s="2">
        <v>5</v>
      </c>
      <c r="F2301" s="2">
        <v>850</v>
      </c>
      <c r="G2301" s="2"/>
    </row>
    <row r="2302" spans="1:7" x14ac:dyDescent="0.3">
      <c r="A2302" t="s">
        <v>1226</v>
      </c>
      <c r="B2302" t="s">
        <v>1251</v>
      </c>
      <c r="C2302" t="s">
        <v>1252</v>
      </c>
      <c r="D2302">
        <v>2009</v>
      </c>
      <c r="E2302" s="2">
        <v>5</v>
      </c>
      <c r="F2302" s="2">
        <v>490</v>
      </c>
      <c r="G2302" s="2"/>
    </row>
    <row r="2303" spans="1:7" x14ac:dyDescent="0.3">
      <c r="A2303" t="s">
        <v>1226</v>
      </c>
      <c r="B2303" t="s">
        <v>1251</v>
      </c>
      <c r="C2303" t="s">
        <v>1252</v>
      </c>
      <c r="D2303">
        <v>2010</v>
      </c>
      <c r="E2303" s="2">
        <v>5</v>
      </c>
      <c r="F2303" s="2">
        <v>490</v>
      </c>
      <c r="G2303" s="2"/>
    </row>
    <row r="2304" spans="1:7" x14ac:dyDescent="0.3">
      <c r="A2304" t="s">
        <v>1226</v>
      </c>
      <c r="B2304" t="s">
        <v>287</v>
      </c>
      <c r="C2304" t="s">
        <v>186</v>
      </c>
      <c r="D2304">
        <v>2011</v>
      </c>
      <c r="E2304" s="2">
        <v>10</v>
      </c>
      <c r="F2304" s="2">
        <v>1600</v>
      </c>
      <c r="G2304" s="2"/>
    </row>
    <row r="2305" spans="1:7" x14ac:dyDescent="0.3">
      <c r="A2305" t="s">
        <v>1226</v>
      </c>
      <c r="B2305" t="s">
        <v>359</v>
      </c>
      <c r="C2305" t="s">
        <v>1253</v>
      </c>
      <c r="D2305">
        <v>2010</v>
      </c>
      <c r="E2305" s="2">
        <v>5</v>
      </c>
      <c r="F2305" s="2">
        <v>625</v>
      </c>
      <c r="G2305" s="2"/>
    </row>
    <row r="2306" spans="1:7" x14ac:dyDescent="0.3">
      <c r="A2306" t="s">
        <v>1226</v>
      </c>
      <c r="B2306" t="s">
        <v>1254</v>
      </c>
      <c r="C2306" t="s">
        <v>1255</v>
      </c>
      <c r="D2306">
        <v>2009</v>
      </c>
      <c r="E2306" s="2">
        <v>10</v>
      </c>
      <c r="F2306" s="2">
        <v>1000</v>
      </c>
      <c r="G2306" s="2"/>
    </row>
    <row r="2307" spans="1:7" x14ac:dyDescent="0.3">
      <c r="A2307" t="s">
        <v>1226</v>
      </c>
      <c r="B2307" t="s">
        <v>1256</v>
      </c>
      <c r="D2307">
        <v>2009</v>
      </c>
      <c r="E2307" s="2">
        <v>25</v>
      </c>
      <c r="F2307" s="2">
        <v>2125</v>
      </c>
      <c r="G2307" s="2"/>
    </row>
    <row r="2308" spans="1:7" x14ac:dyDescent="0.3">
      <c r="A2308" t="s">
        <v>1226</v>
      </c>
      <c r="B2308" t="s">
        <v>1257</v>
      </c>
      <c r="C2308" t="s">
        <v>638</v>
      </c>
      <c r="D2308">
        <v>2010</v>
      </c>
      <c r="E2308" s="2">
        <v>10</v>
      </c>
      <c r="F2308" s="2">
        <v>1200</v>
      </c>
      <c r="G2308" s="2"/>
    </row>
    <row r="2309" spans="1:7" x14ac:dyDescent="0.3">
      <c r="A2309" t="s">
        <v>1226</v>
      </c>
      <c r="B2309" t="s">
        <v>1257</v>
      </c>
      <c r="C2309" t="s">
        <v>638</v>
      </c>
      <c r="D2309">
        <v>2011</v>
      </c>
      <c r="E2309" s="2">
        <v>10</v>
      </c>
      <c r="F2309" s="2">
        <v>1250</v>
      </c>
      <c r="G2309" s="2"/>
    </row>
    <row r="2310" spans="1:7" x14ac:dyDescent="0.3">
      <c r="A2310" t="s">
        <v>1226</v>
      </c>
      <c r="B2310" t="s">
        <v>1258</v>
      </c>
      <c r="C2310" t="s">
        <v>1259</v>
      </c>
      <c r="D2310">
        <v>2010</v>
      </c>
      <c r="E2310" s="2">
        <v>5</v>
      </c>
      <c r="F2310" s="2">
        <v>600</v>
      </c>
      <c r="G2310" s="2"/>
    </row>
    <row r="2311" spans="1:7" x14ac:dyDescent="0.3">
      <c r="A2311" t="s">
        <v>1226</v>
      </c>
      <c r="B2311" t="s">
        <v>1260</v>
      </c>
      <c r="C2311" t="s">
        <v>1261</v>
      </c>
      <c r="D2311">
        <v>2010</v>
      </c>
      <c r="E2311" s="2">
        <v>5</v>
      </c>
      <c r="F2311" s="2">
        <v>625</v>
      </c>
      <c r="G2311" s="2"/>
    </row>
    <row r="2312" spans="1:7" x14ac:dyDescent="0.3">
      <c r="A2312" t="s">
        <v>1226</v>
      </c>
      <c r="B2312" t="s">
        <v>1262</v>
      </c>
      <c r="C2312" t="s">
        <v>181</v>
      </c>
      <c r="D2312">
        <v>2011</v>
      </c>
      <c r="E2312" s="2">
        <v>25</v>
      </c>
      <c r="F2312" s="2">
        <v>2750</v>
      </c>
      <c r="G2312" s="2"/>
    </row>
    <row r="2313" spans="1:7" x14ac:dyDescent="0.3">
      <c r="A2313" t="s">
        <v>1226</v>
      </c>
      <c r="B2313" t="s">
        <v>804</v>
      </c>
      <c r="D2313">
        <v>2009</v>
      </c>
      <c r="E2313" s="2">
        <v>5</v>
      </c>
      <c r="F2313" s="2">
        <v>425</v>
      </c>
      <c r="G2313" s="2"/>
    </row>
    <row r="2314" spans="1:7" x14ac:dyDescent="0.3">
      <c r="A2314" t="s">
        <v>1226</v>
      </c>
      <c r="B2314" t="s">
        <v>1263</v>
      </c>
      <c r="C2314" t="s">
        <v>1264</v>
      </c>
      <c r="D2314">
        <v>2011</v>
      </c>
      <c r="E2314" s="2">
        <v>10</v>
      </c>
      <c r="F2314" s="2">
        <v>1600</v>
      </c>
      <c r="G2314" s="2"/>
    </row>
    <row r="2315" spans="1:7" x14ac:dyDescent="0.3">
      <c r="A2315" t="s">
        <v>1226</v>
      </c>
      <c r="B2315" t="s">
        <v>223</v>
      </c>
      <c r="C2315" t="s">
        <v>224</v>
      </c>
      <c r="D2315">
        <v>2009</v>
      </c>
      <c r="E2315" s="2">
        <v>5</v>
      </c>
      <c r="F2315" s="2">
        <v>490</v>
      </c>
      <c r="G2315" s="2"/>
    </row>
    <row r="2316" spans="1:7" x14ac:dyDescent="0.3">
      <c r="A2316" t="s">
        <v>1226</v>
      </c>
      <c r="B2316" t="s">
        <v>223</v>
      </c>
      <c r="C2316" t="s">
        <v>224</v>
      </c>
      <c r="D2316">
        <v>2010</v>
      </c>
      <c r="E2316" s="2">
        <v>15</v>
      </c>
      <c r="F2316" s="2">
        <v>1470</v>
      </c>
      <c r="G2316" s="2"/>
    </row>
    <row r="2317" spans="1:7" x14ac:dyDescent="0.3">
      <c r="A2317" t="s">
        <v>1226</v>
      </c>
      <c r="B2317" t="s">
        <v>182</v>
      </c>
      <c r="C2317" t="s">
        <v>57</v>
      </c>
      <c r="D2317">
        <v>2010</v>
      </c>
      <c r="E2317" s="2">
        <v>50</v>
      </c>
      <c r="F2317" s="2">
        <v>6000</v>
      </c>
      <c r="G2317" s="2"/>
    </row>
    <row r="2318" spans="1:7" x14ac:dyDescent="0.3">
      <c r="A2318" t="s">
        <v>1226</v>
      </c>
      <c r="B2318" t="s">
        <v>349</v>
      </c>
      <c r="C2318" t="s">
        <v>350</v>
      </c>
      <c r="D2318">
        <v>2019</v>
      </c>
      <c r="E2318" s="2">
        <v>5</v>
      </c>
      <c r="F2318" s="2">
        <v>575</v>
      </c>
      <c r="G2318" s="2">
        <v>603.75</v>
      </c>
    </row>
    <row r="2319" spans="1:7" x14ac:dyDescent="0.3">
      <c r="A2319" t="s">
        <v>1226</v>
      </c>
      <c r="B2319" t="s">
        <v>1265</v>
      </c>
      <c r="C2319" t="s">
        <v>1266</v>
      </c>
      <c r="D2319">
        <v>2011</v>
      </c>
      <c r="E2319" s="2">
        <v>10</v>
      </c>
      <c r="F2319" s="2">
        <v>1400</v>
      </c>
      <c r="G2319" s="2"/>
    </row>
    <row r="2320" spans="1:7" x14ac:dyDescent="0.3">
      <c r="A2320" t="s">
        <v>1226</v>
      </c>
      <c r="B2320" t="s">
        <v>99</v>
      </c>
      <c r="C2320" t="s">
        <v>100</v>
      </c>
      <c r="D2320">
        <v>2011</v>
      </c>
      <c r="E2320" s="2">
        <v>10</v>
      </c>
      <c r="F2320" s="2">
        <v>1600</v>
      </c>
      <c r="G2320" s="2"/>
    </row>
    <row r="2321" spans="1:8" x14ac:dyDescent="0.3">
      <c r="A2321" t="s">
        <v>1226</v>
      </c>
      <c r="B2321" t="s">
        <v>368</v>
      </c>
      <c r="C2321" t="s">
        <v>369</v>
      </c>
      <c r="D2321">
        <v>2010</v>
      </c>
      <c r="E2321" s="2">
        <v>15</v>
      </c>
      <c r="F2321" s="2">
        <v>1800</v>
      </c>
      <c r="G2321" s="2"/>
    </row>
    <row r="2322" spans="1:8" x14ac:dyDescent="0.3">
      <c r="A2322" t="s">
        <v>1226</v>
      </c>
      <c r="B2322" t="s">
        <v>1267</v>
      </c>
      <c r="C2322" t="s">
        <v>1268</v>
      </c>
      <c r="D2322">
        <v>2010</v>
      </c>
      <c r="E2322" s="2">
        <v>5</v>
      </c>
      <c r="F2322" s="2">
        <v>675</v>
      </c>
      <c r="G2322" s="2"/>
    </row>
    <row r="2323" spans="1:8" x14ac:dyDescent="0.3">
      <c r="A2323" t="s">
        <v>1226</v>
      </c>
      <c r="B2323" t="s">
        <v>1269</v>
      </c>
      <c r="C2323" t="s">
        <v>1270</v>
      </c>
      <c r="D2323">
        <v>2010</v>
      </c>
      <c r="E2323" s="2">
        <v>10</v>
      </c>
      <c r="F2323" s="2">
        <v>1200</v>
      </c>
      <c r="G2323" s="2"/>
    </row>
    <row r="2324" spans="1:8" x14ac:dyDescent="0.3">
      <c r="A2324" t="s">
        <v>1226</v>
      </c>
      <c r="B2324" t="s">
        <v>1271</v>
      </c>
      <c r="C2324" t="s">
        <v>1272</v>
      </c>
      <c r="D2324">
        <v>2009</v>
      </c>
      <c r="E2324" s="2">
        <v>5</v>
      </c>
      <c r="F2324" s="2">
        <v>425</v>
      </c>
      <c r="G2324" s="2"/>
    </row>
    <row r="2325" spans="1:8" x14ac:dyDescent="0.3">
      <c r="A2325" t="s">
        <v>1226</v>
      </c>
      <c r="B2325" t="s">
        <v>1271</v>
      </c>
      <c r="C2325" t="s">
        <v>1272</v>
      </c>
      <c r="D2325">
        <v>2010</v>
      </c>
      <c r="E2325" s="2">
        <v>5</v>
      </c>
      <c r="F2325" s="2">
        <v>600</v>
      </c>
      <c r="G2325" s="2"/>
    </row>
    <row r="2326" spans="1:8" x14ac:dyDescent="0.3">
      <c r="A2326" t="s">
        <v>1226</v>
      </c>
      <c r="B2326" t="s">
        <v>257</v>
      </c>
      <c r="C2326" t="s">
        <v>61</v>
      </c>
      <c r="D2326">
        <v>2021</v>
      </c>
      <c r="E2326" s="2">
        <v>5</v>
      </c>
      <c r="F2326" s="2">
        <v>900</v>
      </c>
      <c r="G2326" s="2">
        <v>945</v>
      </c>
      <c r="H2326" s="3" t="s">
        <v>18</v>
      </c>
    </row>
    <row r="2327" spans="1:8" x14ac:dyDescent="0.3">
      <c r="A2327" t="s">
        <v>1226</v>
      </c>
      <c r="B2327" t="s">
        <v>849</v>
      </c>
      <c r="C2327" t="s">
        <v>1273</v>
      </c>
      <c r="D2327">
        <v>2011</v>
      </c>
      <c r="E2327" s="2">
        <v>10</v>
      </c>
      <c r="F2327" s="2">
        <v>1300</v>
      </c>
      <c r="G2327" s="2"/>
    </row>
    <row r="2328" spans="1:8" x14ac:dyDescent="0.3">
      <c r="A2328" t="s">
        <v>1226</v>
      </c>
      <c r="B2328" t="s">
        <v>1274</v>
      </c>
      <c r="C2328" t="s">
        <v>1275</v>
      </c>
      <c r="D2328">
        <v>2011</v>
      </c>
      <c r="E2328" s="2">
        <v>10</v>
      </c>
      <c r="F2328" s="2">
        <v>1900</v>
      </c>
      <c r="G2328" s="2"/>
    </row>
    <row r="2329" spans="1:8" x14ac:dyDescent="0.3">
      <c r="A2329" t="s">
        <v>1226</v>
      </c>
      <c r="B2329" t="s">
        <v>1276</v>
      </c>
      <c r="C2329" t="s">
        <v>80</v>
      </c>
      <c r="D2329">
        <v>2009</v>
      </c>
      <c r="E2329" s="2">
        <v>5</v>
      </c>
      <c r="F2329" s="2">
        <v>425</v>
      </c>
      <c r="G2329" s="2"/>
    </row>
    <row r="2330" spans="1:8" x14ac:dyDescent="0.3">
      <c r="A2330" t="s">
        <v>1226</v>
      </c>
      <c r="B2330" t="s">
        <v>1276</v>
      </c>
      <c r="C2330" t="s">
        <v>80</v>
      </c>
      <c r="D2330">
        <v>2010</v>
      </c>
      <c r="E2330" s="2">
        <v>5</v>
      </c>
      <c r="F2330" s="2">
        <v>600</v>
      </c>
      <c r="G2330" s="2"/>
    </row>
    <row r="2331" spans="1:8" x14ac:dyDescent="0.3">
      <c r="A2331" t="s">
        <v>1226</v>
      </c>
      <c r="B2331" t="s">
        <v>297</v>
      </c>
      <c r="C2331" t="s">
        <v>1277</v>
      </c>
      <c r="D2331">
        <v>2009</v>
      </c>
      <c r="E2331" s="2">
        <v>10</v>
      </c>
      <c r="F2331" s="2">
        <v>900</v>
      </c>
      <c r="G2331" s="2"/>
    </row>
    <row r="2332" spans="1:8" x14ac:dyDescent="0.3">
      <c r="A2332" t="s">
        <v>1226</v>
      </c>
      <c r="B2332" t="s">
        <v>297</v>
      </c>
      <c r="C2332" t="s">
        <v>1277</v>
      </c>
      <c r="D2332">
        <v>2010</v>
      </c>
      <c r="E2332" s="2">
        <v>10</v>
      </c>
      <c r="F2332" s="2">
        <v>900</v>
      </c>
      <c r="G2332" s="2"/>
    </row>
    <row r="2333" spans="1:8" x14ac:dyDescent="0.3">
      <c r="A2333" t="s">
        <v>1226</v>
      </c>
      <c r="B2333" t="s">
        <v>297</v>
      </c>
      <c r="C2333" t="s">
        <v>1277</v>
      </c>
      <c r="D2333">
        <v>2011</v>
      </c>
      <c r="E2333" s="2">
        <v>10</v>
      </c>
      <c r="F2333" s="2">
        <v>1100</v>
      </c>
      <c r="G2333" s="2"/>
    </row>
    <row r="2334" spans="1:8" x14ac:dyDescent="0.3">
      <c r="A2334" t="s">
        <v>1226</v>
      </c>
      <c r="B2334" t="s">
        <v>1278</v>
      </c>
      <c r="C2334" t="s">
        <v>1279</v>
      </c>
      <c r="D2334">
        <v>2011</v>
      </c>
      <c r="E2334" s="2">
        <v>10</v>
      </c>
      <c r="F2334" s="2">
        <v>1400</v>
      </c>
      <c r="G2334" s="2"/>
    </row>
    <row r="2335" spans="1:8" x14ac:dyDescent="0.3">
      <c r="A2335" t="s">
        <v>1226</v>
      </c>
      <c r="B2335" t="s">
        <v>19</v>
      </c>
      <c r="C2335" t="s">
        <v>20</v>
      </c>
      <c r="D2335">
        <v>2019</v>
      </c>
      <c r="E2335" s="2">
        <v>30</v>
      </c>
      <c r="F2335" s="2">
        <v>3420</v>
      </c>
      <c r="G2335" s="2">
        <v>3591</v>
      </c>
      <c r="H2335" s="3" t="s">
        <v>18</v>
      </c>
    </row>
    <row r="2336" spans="1:8" x14ac:dyDescent="0.3">
      <c r="A2336" t="s">
        <v>1226</v>
      </c>
      <c r="B2336" t="s">
        <v>19</v>
      </c>
      <c r="C2336" t="s">
        <v>20</v>
      </c>
      <c r="D2336">
        <v>2020</v>
      </c>
      <c r="E2336" s="2">
        <v>15</v>
      </c>
      <c r="F2336" s="2">
        <v>1710</v>
      </c>
      <c r="G2336" s="2">
        <v>1795.5</v>
      </c>
      <c r="H2336" s="3" t="s">
        <v>18</v>
      </c>
    </row>
    <row r="2337" spans="1:8" x14ac:dyDescent="0.3">
      <c r="A2337" t="s">
        <v>1226</v>
      </c>
      <c r="B2337" t="s">
        <v>19</v>
      </c>
      <c r="C2337" t="s">
        <v>20</v>
      </c>
      <c r="D2337">
        <v>2021</v>
      </c>
      <c r="E2337" s="2">
        <v>10</v>
      </c>
      <c r="F2337" s="2">
        <v>1140</v>
      </c>
      <c r="G2337" s="2">
        <v>1197</v>
      </c>
      <c r="H2337" s="3" t="s">
        <v>18</v>
      </c>
    </row>
    <row r="2338" spans="1:8" x14ac:dyDescent="0.3">
      <c r="A2338" t="s">
        <v>1226</v>
      </c>
      <c r="B2338" t="s">
        <v>1280</v>
      </c>
      <c r="C2338" t="s">
        <v>1281</v>
      </c>
      <c r="D2338">
        <v>2011</v>
      </c>
      <c r="E2338" s="2">
        <v>10</v>
      </c>
      <c r="F2338" s="2">
        <v>1350</v>
      </c>
      <c r="G2338" s="2"/>
    </row>
    <row r="2339" spans="1:8" x14ac:dyDescent="0.3">
      <c r="A2339" t="s">
        <v>1226</v>
      </c>
      <c r="B2339" t="s">
        <v>969</v>
      </c>
      <c r="C2339" t="s">
        <v>1282</v>
      </c>
      <c r="D2339">
        <v>2010</v>
      </c>
      <c r="E2339" s="2">
        <v>5</v>
      </c>
      <c r="F2339" s="2">
        <v>700</v>
      </c>
      <c r="G2339" s="2"/>
    </row>
    <row r="2340" spans="1:8" x14ac:dyDescent="0.3">
      <c r="A2340" t="s">
        <v>1226</v>
      </c>
      <c r="B2340" t="s">
        <v>836</v>
      </c>
      <c r="C2340" t="s">
        <v>837</v>
      </c>
      <c r="D2340">
        <v>2021</v>
      </c>
      <c r="E2340" s="2">
        <v>10</v>
      </c>
      <c r="F2340" s="2">
        <v>1200</v>
      </c>
      <c r="G2340" s="2">
        <v>1260</v>
      </c>
      <c r="H2340" s="3" t="s">
        <v>1283</v>
      </c>
    </row>
    <row r="2341" spans="1:8" x14ac:dyDescent="0.3">
      <c r="A2341" t="s">
        <v>1226</v>
      </c>
      <c r="B2341" t="s">
        <v>1284</v>
      </c>
      <c r="D2341">
        <v>2011</v>
      </c>
      <c r="E2341" s="2">
        <v>10</v>
      </c>
      <c r="F2341" s="2">
        <v>1300</v>
      </c>
      <c r="G2341" s="2"/>
    </row>
    <row r="2342" spans="1:8" x14ac:dyDescent="0.3">
      <c r="A2342" t="s">
        <v>1226</v>
      </c>
      <c r="B2342" t="s">
        <v>1285</v>
      </c>
      <c r="C2342" t="s">
        <v>1286</v>
      </c>
      <c r="D2342">
        <v>2011</v>
      </c>
      <c r="E2342" s="2">
        <v>10</v>
      </c>
      <c r="F2342" s="2">
        <v>1500</v>
      </c>
      <c r="G2342" s="2"/>
    </row>
    <row r="2343" spans="1:8" x14ac:dyDescent="0.3">
      <c r="A2343" t="s">
        <v>1226</v>
      </c>
      <c r="B2343" t="s">
        <v>1287</v>
      </c>
      <c r="C2343" t="s">
        <v>1288</v>
      </c>
      <c r="D2343">
        <v>2011</v>
      </c>
      <c r="E2343" s="2">
        <v>10</v>
      </c>
      <c r="F2343" s="2">
        <v>1250</v>
      </c>
      <c r="G2343" s="2"/>
    </row>
    <row r="2344" spans="1:8" x14ac:dyDescent="0.3">
      <c r="A2344" t="s">
        <v>1226</v>
      </c>
      <c r="B2344" t="s">
        <v>1289</v>
      </c>
      <c r="C2344" t="s">
        <v>1290</v>
      </c>
      <c r="D2344">
        <v>2011</v>
      </c>
      <c r="E2344" s="2">
        <v>10</v>
      </c>
      <c r="F2344" s="2">
        <v>1400</v>
      </c>
      <c r="G2344" s="2"/>
    </row>
    <row r="2345" spans="1:8" x14ac:dyDescent="0.3">
      <c r="A2345" t="s">
        <v>1226</v>
      </c>
      <c r="B2345" t="s">
        <v>1291</v>
      </c>
      <c r="C2345" t="s">
        <v>1281</v>
      </c>
      <c r="D2345">
        <v>2010</v>
      </c>
      <c r="E2345" s="2">
        <v>5</v>
      </c>
      <c r="F2345" s="2">
        <v>600</v>
      </c>
      <c r="G2345" s="2"/>
    </row>
    <row r="2346" spans="1:8" x14ac:dyDescent="0.3">
      <c r="A2346" t="s">
        <v>1226</v>
      </c>
      <c r="B2346" t="s">
        <v>1292</v>
      </c>
      <c r="C2346" t="s">
        <v>1293</v>
      </c>
      <c r="D2346">
        <v>2011</v>
      </c>
      <c r="E2346" s="2">
        <v>10</v>
      </c>
      <c r="F2346" s="2">
        <v>1500</v>
      </c>
      <c r="G2346" s="2"/>
    </row>
    <row r="2347" spans="1:8" x14ac:dyDescent="0.3">
      <c r="A2347" t="s">
        <v>1226</v>
      </c>
      <c r="B2347" t="s">
        <v>1294</v>
      </c>
      <c r="C2347" t="s">
        <v>1072</v>
      </c>
      <c r="D2347">
        <v>2011</v>
      </c>
      <c r="E2347" s="2">
        <v>10</v>
      </c>
      <c r="F2347" s="2">
        <v>1450</v>
      </c>
      <c r="G2347" s="2"/>
    </row>
    <row r="2348" spans="1:8" x14ac:dyDescent="0.3">
      <c r="A2348" t="s">
        <v>1226</v>
      </c>
      <c r="B2348" t="s">
        <v>1295</v>
      </c>
      <c r="C2348" t="s">
        <v>226</v>
      </c>
      <c r="D2348">
        <v>2011</v>
      </c>
      <c r="E2348" s="2">
        <v>10</v>
      </c>
      <c r="F2348" s="2">
        <v>1500</v>
      </c>
      <c r="G2348" s="2"/>
    </row>
    <row r="2349" spans="1:8" x14ac:dyDescent="0.3">
      <c r="A2349" t="s">
        <v>1226</v>
      </c>
      <c r="B2349" t="s">
        <v>135</v>
      </c>
      <c r="C2349" t="s">
        <v>1296</v>
      </c>
      <c r="D2349">
        <v>2010</v>
      </c>
      <c r="E2349" s="2">
        <v>15</v>
      </c>
      <c r="F2349" s="2">
        <v>1800</v>
      </c>
      <c r="G2349" s="2"/>
    </row>
    <row r="2350" spans="1:8" x14ac:dyDescent="0.3">
      <c r="A2350" t="s">
        <v>1226</v>
      </c>
      <c r="B2350" t="s">
        <v>1297</v>
      </c>
      <c r="C2350" t="s">
        <v>1298</v>
      </c>
      <c r="D2350">
        <v>2011</v>
      </c>
      <c r="E2350" s="2">
        <v>10</v>
      </c>
      <c r="F2350" s="2">
        <v>2400</v>
      </c>
      <c r="G2350" s="2"/>
    </row>
    <row r="2351" spans="1:8" x14ac:dyDescent="0.3">
      <c r="A2351" t="s">
        <v>1226</v>
      </c>
      <c r="B2351" t="s">
        <v>189</v>
      </c>
      <c r="D2351">
        <v>2021</v>
      </c>
      <c r="E2351" s="2">
        <v>5</v>
      </c>
      <c r="F2351" s="2">
        <v>2500</v>
      </c>
      <c r="G2351" s="2">
        <v>2625</v>
      </c>
      <c r="H2351" s="3" t="s">
        <v>14</v>
      </c>
    </row>
    <row r="2352" spans="1:8" x14ac:dyDescent="0.3">
      <c r="A2352" t="s">
        <v>1226</v>
      </c>
      <c r="B2352" t="s">
        <v>1124</v>
      </c>
      <c r="C2352" t="s">
        <v>311</v>
      </c>
      <c r="D2352">
        <v>2009</v>
      </c>
      <c r="E2352" s="2">
        <v>5</v>
      </c>
      <c r="F2352" s="2">
        <v>750</v>
      </c>
      <c r="G2352" s="2"/>
    </row>
    <row r="2353" spans="1:8" x14ac:dyDescent="0.3">
      <c r="A2353" t="s">
        <v>1226</v>
      </c>
      <c r="B2353" t="s">
        <v>137</v>
      </c>
      <c r="C2353" t="s">
        <v>138</v>
      </c>
      <c r="D2353">
        <v>2010</v>
      </c>
      <c r="E2353" s="2">
        <v>5</v>
      </c>
      <c r="F2353" s="2">
        <v>625</v>
      </c>
      <c r="G2353" s="2"/>
    </row>
    <row r="2354" spans="1:8" x14ac:dyDescent="0.3">
      <c r="A2354" t="s">
        <v>1226</v>
      </c>
      <c r="B2354" t="s">
        <v>1299</v>
      </c>
      <c r="C2354" t="s">
        <v>313</v>
      </c>
      <c r="D2354">
        <v>2010</v>
      </c>
      <c r="E2354" s="2">
        <v>25</v>
      </c>
      <c r="F2354" s="2">
        <v>3000</v>
      </c>
      <c r="G2354" s="2"/>
    </row>
    <row r="2355" spans="1:8" x14ac:dyDescent="0.3">
      <c r="A2355" t="s">
        <v>1226</v>
      </c>
      <c r="B2355" t="s">
        <v>575</v>
      </c>
      <c r="C2355" t="s">
        <v>673</v>
      </c>
      <c r="D2355">
        <v>2021</v>
      </c>
      <c r="E2355" s="2">
        <v>95</v>
      </c>
      <c r="F2355" s="2">
        <v>10260</v>
      </c>
      <c r="G2355" s="2">
        <v>10773</v>
      </c>
    </row>
    <row r="2356" spans="1:8" x14ac:dyDescent="0.3">
      <c r="A2356" t="s">
        <v>1226</v>
      </c>
      <c r="B2356" t="s">
        <v>1300</v>
      </c>
      <c r="C2356" t="s">
        <v>521</v>
      </c>
      <c r="D2356">
        <v>2009</v>
      </c>
      <c r="E2356" s="2">
        <v>10</v>
      </c>
      <c r="F2356" s="2">
        <v>890</v>
      </c>
      <c r="G2356" s="2"/>
    </row>
    <row r="2357" spans="1:8" x14ac:dyDescent="0.3">
      <c r="A2357" t="s">
        <v>1226</v>
      </c>
      <c r="B2357" t="s">
        <v>1300</v>
      </c>
      <c r="C2357" t="s">
        <v>521</v>
      </c>
      <c r="D2357">
        <v>2010</v>
      </c>
      <c r="E2357" s="2">
        <v>5</v>
      </c>
      <c r="F2357" s="2">
        <v>490</v>
      </c>
      <c r="G2357" s="2"/>
    </row>
    <row r="2358" spans="1:8" x14ac:dyDescent="0.3">
      <c r="A2358" t="s">
        <v>1226</v>
      </c>
      <c r="B2358" t="s">
        <v>1301</v>
      </c>
      <c r="C2358" t="s">
        <v>1302</v>
      </c>
      <c r="D2358">
        <v>2010</v>
      </c>
      <c r="E2358" s="2">
        <v>5</v>
      </c>
      <c r="F2358" s="2">
        <v>850</v>
      </c>
      <c r="G2358" s="2"/>
    </row>
    <row r="2359" spans="1:8" x14ac:dyDescent="0.3">
      <c r="A2359" t="s">
        <v>1226</v>
      </c>
      <c r="B2359" t="s">
        <v>1074</v>
      </c>
      <c r="C2359" t="s">
        <v>1303</v>
      </c>
      <c r="D2359">
        <v>2011</v>
      </c>
      <c r="E2359" s="2">
        <v>10</v>
      </c>
      <c r="F2359" s="2">
        <v>1600</v>
      </c>
      <c r="G2359" s="2"/>
    </row>
    <row r="2360" spans="1:8" x14ac:dyDescent="0.3">
      <c r="A2360" t="s">
        <v>1226</v>
      </c>
      <c r="B2360" t="s">
        <v>146</v>
      </c>
      <c r="D2360">
        <v>2021</v>
      </c>
      <c r="E2360" s="2">
        <v>5</v>
      </c>
      <c r="F2360" s="2">
        <v>1500</v>
      </c>
      <c r="G2360" s="2">
        <v>1575</v>
      </c>
      <c r="H2360" s="3" t="s">
        <v>1304</v>
      </c>
    </row>
    <row r="2361" spans="1:8" x14ac:dyDescent="0.3">
      <c r="A2361" t="s">
        <v>1226</v>
      </c>
      <c r="B2361" t="s">
        <v>1305</v>
      </c>
      <c r="C2361" t="s">
        <v>1306</v>
      </c>
      <c r="D2361">
        <v>2011</v>
      </c>
      <c r="E2361" s="2">
        <v>10</v>
      </c>
      <c r="F2361" s="2">
        <v>1400</v>
      </c>
      <c r="G2361" s="2"/>
    </row>
    <row r="2362" spans="1:8" x14ac:dyDescent="0.3">
      <c r="A2362" t="s">
        <v>1226</v>
      </c>
      <c r="B2362" t="s">
        <v>314</v>
      </c>
      <c r="C2362" t="s">
        <v>1307</v>
      </c>
      <c r="D2362">
        <v>2010</v>
      </c>
      <c r="E2362" s="2">
        <v>5</v>
      </c>
      <c r="F2362" s="2">
        <v>675</v>
      </c>
      <c r="G2362" s="2"/>
    </row>
    <row r="2363" spans="1:8" x14ac:dyDescent="0.3">
      <c r="A2363" t="s">
        <v>1226</v>
      </c>
      <c r="B2363" t="s">
        <v>381</v>
      </c>
      <c r="C2363" t="s">
        <v>382</v>
      </c>
      <c r="D2363">
        <v>2010</v>
      </c>
      <c r="E2363" s="2">
        <v>5</v>
      </c>
      <c r="F2363" s="2">
        <v>1125</v>
      </c>
      <c r="G2363" s="2"/>
    </row>
    <row r="2364" spans="1:8" x14ac:dyDescent="0.3">
      <c r="A2364" t="s">
        <v>1226</v>
      </c>
      <c r="B2364" t="s">
        <v>1308</v>
      </c>
      <c r="C2364" t="s">
        <v>1309</v>
      </c>
      <c r="D2364">
        <v>2010</v>
      </c>
      <c r="E2364" s="2">
        <v>5</v>
      </c>
      <c r="F2364" s="2">
        <v>675</v>
      </c>
      <c r="G2364" s="2"/>
    </row>
    <row r="2365" spans="1:8" x14ac:dyDescent="0.3">
      <c r="A2365" t="s">
        <v>1226</v>
      </c>
      <c r="B2365" t="s">
        <v>318</v>
      </c>
      <c r="C2365" t="s">
        <v>319</v>
      </c>
      <c r="D2365">
        <v>2014</v>
      </c>
      <c r="E2365" s="2">
        <v>5</v>
      </c>
      <c r="F2365" s="2">
        <v>825</v>
      </c>
      <c r="G2365" s="2"/>
    </row>
    <row r="2366" spans="1:8" x14ac:dyDescent="0.3">
      <c r="A2366" t="s">
        <v>1226</v>
      </c>
      <c r="B2366" t="s">
        <v>198</v>
      </c>
      <c r="C2366" t="s">
        <v>199</v>
      </c>
      <c r="D2366">
        <v>2011</v>
      </c>
      <c r="E2366" s="2">
        <v>10</v>
      </c>
      <c r="F2366" s="2">
        <v>1600</v>
      </c>
      <c r="G2366" s="2"/>
    </row>
    <row r="2367" spans="1:8" x14ac:dyDescent="0.3">
      <c r="A2367" t="s">
        <v>1226</v>
      </c>
      <c r="B2367" t="s">
        <v>149</v>
      </c>
      <c r="C2367" t="s">
        <v>150</v>
      </c>
      <c r="D2367">
        <v>2014</v>
      </c>
      <c r="E2367" s="2">
        <v>5</v>
      </c>
      <c r="F2367" s="2">
        <v>850</v>
      </c>
      <c r="G2367" s="2"/>
    </row>
    <row r="2368" spans="1:8" x14ac:dyDescent="0.3">
      <c r="A2368" t="s">
        <v>1226</v>
      </c>
      <c r="B2368" t="s">
        <v>1310</v>
      </c>
      <c r="C2368" t="s">
        <v>1311</v>
      </c>
      <c r="D2368">
        <v>2010</v>
      </c>
      <c r="E2368" s="2">
        <v>10</v>
      </c>
      <c r="F2368" s="2">
        <v>2250</v>
      </c>
      <c r="G2368" s="2"/>
    </row>
    <row r="2369" spans="1:7" x14ac:dyDescent="0.3">
      <c r="A2369" t="s">
        <v>1226</v>
      </c>
      <c r="B2369" t="s">
        <v>1312</v>
      </c>
      <c r="C2369" t="s">
        <v>1313</v>
      </c>
      <c r="D2369">
        <v>2011</v>
      </c>
      <c r="E2369" s="2">
        <v>10</v>
      </c>
      <c r="F2369" s="2">
        <v>2000</v>
      </c>
      <c r="G2369" s="2"/>
    </row>
    <row r="2370" spans="1:7" x14ac:dyDescent="0.3">
      <c r="A2370" t="s">
        <v>1226</v>
      </c>
      <c r="B2370" t="s">
        <v>1314</v>
      </c>
      <c r="C2370" t="s">
        <v>389</v>
      </c>
      <c r="D2370">
        <v>2009</v>
      </c>
      <c r="E2370" s="2">
        <v>5</v>
      </c>
      <c r="F2370" s="2">
        <v>825</v>
      </c>
      <c r="G2370" s="2"/>
    </row>
    <row r="2371" spans="1:7" x14ac:dyDescent="0.3">
      <c r="A2371" t="s">
        <v>1226</v>
      </c>
      <c r="B2371" t="s">
        <v>1314</v>
      </c>
      <c r="C2371" t="s">
        <v>389</v>
      </c>
      <c r="D2371">
        <v>2010</v>
      </c>
      <c r="E2371" s="2">
        <v>15</v>
      </c>
      <c r="F2371" s="2">
        <v>2475</v>
      </c>
      <c r="G2371" s="2"/>
    </row>
    <row r="2372" spans="1:7" x14ac:dyDescent="0.3">
      <c r="A2372" t="s">
        <v>1226</v>
      </c>
      <c r="B2372" t="s">
        <v>1314</v>
      </c>
      <c r="C2372" t="s">
        <v>389</v>
      </c>
      <c r="D2372">
        <v>2011</v>
      </c>
      <c r="E2372" s="2">
        <v>15</v>
      </c>
      <c r="F2372" s="2">
        <v>2475</v>
      </c>
      <c r="G2372" s="2"/>
    </row>
    <row r="2373" spans="1:7" x14ac:dyDescent="0.3">
      <c r="A2373" t="s">
        <v>1226</v>
      </c>
      <c r="B2373" t="s">
        <v>1315</v>
      </c>
      <c r="C2373" t="s">
        <v>1316</v>
      </c>
      <c r="D2373">
        <v>2011</v>
      </c>
      <c r="E2373" s="2">
        <v>10</v>
      </c>
      <c r="F2373" s="2">
        <v>1600</v>
      </c>
      <c r="G2373" s="2"/>
    </row>
    <row r="2374" spans="1:7" x14ac:dyDescent="0.3">
      <c r="A2374" t="s">
        <v>1226</v>
      </c>
      <c r="B2374" t="s">
        <v>1317</v>
      </c>
      <c r="C2374" t="s">
        <v>1318</v>
      </c>
      <c r="D2374">
        <v>2010</v>
      </c>
      <c r="E2374" s="2">
        <v>5</v>
      </c>
      <c r="F2374" s="2">
        <v>625</v>
      </c>
      <c r="G2374" s="2"/>
    </row>
    <row r="2375" spans="1:7" x14ac:dyDescent="0.3">
      <c r="A2375" t="s">
        <v>1226</v>
      </c>
      <c r="B2375" t="s">
        <v>1319</v>
      </c>
      <c r="C2375" t="s">
        <v>1320</v>
      </c>
      <c r="D2375">
        <v>2010</v>
      </c>
      <c r="E2375" s="2">
        <v>5</v>
      </c>
      <c r="F2375" s="2">
        <v>625</v>
      </c>
      <c r="G2375" s="2"/>
    </row>
    <row r="2376" spans="1:7" x14ac:dyDescent="0.3">
      <c r="A2376" t="s">
        <v>1226</v>
      </c>
      <c r="B2376" t="s">
        <v>325</v>
      </c>
      <c r="C2376" t="s">
        <v>326</v>
      </c>
      <c r="D2376">
        <v>2010</v>
      </c>
      <c r="E2376" s="2">
        <v>10</v>
      </c>
      <c r="F2376" s="2">
        <v>1650</v>
      </c>
      <c r="G2376" s="2"/>
    </row>
    <row r="2377" spans="1:7" x14ac:dyDescent="0.3">
      <c r="A2377" t="s">
        <v>1321</v>
      </c>
      <c r="B2377" t="s">
        <v>84</v>
      </c>
      <c r="C2377" t="s">
        <v>85</v>
      </c>
      <c r="D2377">
        <v>2019</v>
      </c>
      <c r="E2377" s="2">
        <v>1</v>
      </c>
      <c r="F2377" s="2">
        <v>200</v>
      </c>
      <c r="G2377" s="2">
        <v>210</v>
      </c>
    </row>
    <row r="2378" spans="1:7" x14ac:dyDescent="0.3">
      <c r="A2378" t="s">
        <v>1321</v>
      </c>
      <c r="B2378" t="s">
        <v>84</v>
      </c>
      <c r="C2378" t="s">
        <v>85</v>
      </c>
      <c r="D2378">
        <v>2020</v>
      </c>
      <c r="E2378" s="2">
        <v>1</v>
      </c>
      <c r="F2378" s="2">
        <v>200</v>
      </c>
      <c r="G2378" s="2">
        <v>210</v>
      </c>
    </row>
    <row r="2379" spans="1:7" x14ac:dyDescent="0.3">
      <c r="A2379" t="s">
        <v>1321</v>
      </c>
      <c r="B2379" t="s">
        <v>719</v>
      </c>
      <c r="C2379" t="s">
        <v>925</v>
      </c>
      <c r="D2379">
        <v>2019</v>
      </c>
      <c r="E2379" s="2">
        <v>1</v>
      </c>
      <c r="F2379" s="2">
        <v>200</v>
      </c>
      <c r="G2379" s="2">
        <v>210</v>
      </c>
    </row>
    <row r="2380" spans="1:7" x14ac:dyDescent="0.3">
      <c r="A2380" t="s">
        <v>1321</v>
      </c>
      <c r="B2380" t="s">
        <v>86</v>
      </c>
      <c r="C2380" t="s">
        <v>87</v>
      </c>
      <c r="D2380">
        <v>2019</v>
      </c>
      <c r="E2380" s="2">
        <v>1</v>
      </c>
      <c r="F2380" s="2">
        <v>240</v>
      </c>
      <c r="G2380" s="2">
        <v>252</v>
      </c>
    </row>
    <row r="2381" spans="1:7" x14ac:dyDescent="0.3">
      <c r="A2381" t="s">
        <v>1321</v>
      </c>
      <c r="B2381" t="s">
        <v>1322</v>
      </c>
      <c r="C2381" t="s">
        <v>169</v>
      </c>
      <c r="D2381">
        <v>2019</v>
      </c>
      <c r="E2381" s="2">
        <v>2</v>
      </c>
      <c r="F2381" s="2">
        <v>390</v>
      </c>
      <c r="G2381" s="2">
        <v>409.5</v>
      </c>
    </row>
    <row r="2382" spans="1:7" x14ac:dyDescent="0.3">
      <c r="A2382" t="s">
        <v>1321</v>
      </c>
      <c r="B2382" t="s">
        <v>19</v>
      </c>
      <c r="C2382" t="s">
        <v>20</v>
      </c>
      <c r="D2382">
        <v>2019</v>
      </c>
      <c r="E2382" s="2">
        <v>3</v>
      </c>
      <c r="F2382" s="2">
        <v>440</v>
      </c>
      <c r="G2382" s="2">
        <v>462</v>
      </c>
    </row>
    <row r="2383" spans="1:7" x14ac:dyDescent="0.3">
      <c r="A2383" t="s">
        <v>1321</v>
      </c>
      <c r="B2383" t="s">
        <v>1004</v>
      </c>
      <c r="C2383" t="s">
        <v>197</v>
      </c>
      <c r="D2383">
        <v>2019</v>
      </c>
      <c r="E2383" s="2">
        <v>5</v>
      </c>
      <c r="F2383" s="2">
        <v>1000</v>
      </c>
      <c r="G2383" s="2">
        <v>1050</v>
      </c>
    </row>
    <row r="2384" spans="1:7" x14ac:dyDescent="0.3">
      <c r="A2384" t="s">
        <v>1321</v>
      </c>
      <c r="B2384" t="s">
        <v>383</v>
      </c>
      <c r="C2384" t="s">
        <v>384</v>
      </c>
      <c r="D2384">
        <v>2020</v>
      </c>
      <c r="E2384" s="2">
        <v>2</v>
      </c>
      <c r="F2384" s="2">
        <v>400</v>
      </c>
      <c r="G2384" s="2">
        <v>420</v>
      </c>
    </row>
    <row r="2385" spans="1:7" x14ac:dyDescent="0.3">
      <c r="A2385" t="s">
        <v>1321</v>
      </c>
      <c r="B2385" t="s">
        <v>72</v>
      </c>
      <c r="C2385" t="s">
        <v>319</v>
      </c>
      <c r="D2385">
        <v>2020</v>
      </c>
      <c r="E2385" s="2">
        <v>1</v>
      </c>
      <c r="F2385" s="2">
        <v>180</v>
      </c>
      <c r="G2385" s="2">
        <v>189</v>
      </c>
    </row>
    <row r="2386" spans="1:7" x14ac:dyDescent="0.3">
      <c r="A2386" t="s">
        <v>1321</v>
      </c>
      <c r="B2386" t="s">
        <v>320</v>
      </c>
      <c r="C2386" t="s">
        <v>414</v>
      </c>
      <c r="D2386">
        <v>2019</v>
      </c>
      <c r="E2386" s="2">
        <v>1</v>
      </c>
      <c r="F2386" s="2">
        <v>240</v>
      </c>
      <c r="G2386" s="2">
        <v>252</v>
      </c>
    </row>
    <row r="2387" spans="1:7" x14ac:dyDescent="0.3">
      <c r="A2387" t="s">
        <v>1321</v>
      </c>
      <c r="B2387" t="s">
        <v>841</v>
      </c>
      <c r="C2387" t="s">
        <v>169</v>
      </c>
      <c r="D2387">
        <v>2020</v>
      </c>
      <c r="E2387" s="2">
        <v>1</v>
      </c>
      <c r="F2387" s="2">
        <v>190</v>
      </c>
      <c r="G2387" s="2">
        <v>199.5</v>
      </c>
    </row>
    <row r="2388" spans="1:7" x14ac:dyDescent="0.3">
      <c r="A2388" t="s">
        <v>1323</v>
      </c>
      <c r="B2388" t="s">
        <v>391</v>
      </c>
      <c r="C2388" t="s">
        <v>1095</v>
      </c>
      <c r="D2388">
        <v>2018</v>
      </c>
      <c r="E2388" s="2">
        <v>1</v>
      </c>
      <c r="F2388" s="2">
        <v>140</v>
      </c>
      <c r="G2388" s="2">
        <v>147</v>
      </c>
    </row>
    <row r="2389" spans="1:7" x14ac:dyDescent="0.3">
      <c r="A2389" t="s">
        <v>1323</v>
      </c>
      <c r="B2389" t="s">
        <v>553</v>
      </c>
      <c r="C2389" t="s">
        <v>292</v>
      </c>
      <c r="D2389">
        <v>2018</v>
      </c>
      <c r="E2389" s="2">
        <v>1</v>
      </c>
      <c r="F2389" s="2">
        <v>140</v>
      </c>
      <c r="G2389" s="2">
        <v>147</v>
      </c>
    </row>
    <row r="2390" spans="1:7" x14ac:dyDescent="0.3">
      <c r="A2390" t="s">
        <v>1323</v>
      </c>
      <c r="B2390" t="s">
        <v>558</v>
      </c>
      <c r="C2390" t="s">
        <v>559</v>
      </c>
      <c r="D2390">
        <v>2018</v>
      </c>
      <c r="E2390" s="2">
        <v>1</v>
      </c>
      <c r="F2390" s="2">
        <v>140</v>
      </c>
      <c r="G2390" s="2">
        <v>147</v>
      </c>
    </row>
    <row r="2391" spans="1:7" x14ac:dyDescent="0.3">
      <c r="A2391" t="s">
        <v>1323</v>
      </c>
      <c r="B2391" t="s">
        <v>206</v>
      </c>
      <c r="C2391" t="s">
        <v>207</v>
      </c>
      <c r="D2391">
        <v>2018</v>
      </c>
      <c r="E2391" s="2">
        <v>1</v>
      </c>
      <c r="F2391" s="2">
        <v>140</v>
      </c>
      <c r="G2391" s="2">
        <v>147</v>
      </c>
    </row>
    <row r="2392" spans="1:7" x14ac:dyDescent="0.3">
      <c r="A2392" t="s">
        <v>1323</v>
      </c>
      <c r="B2392" t="s">
        <v>1324</v>
      </c>
      <c r="C2392" t="s">
        <v>789</v>
      </c>
      <c r="D2392">
        <v>2018</v>
      </c>
      <c r="E2392" s="2">
        <v>4</v>
      </c>
      <c r="F2392" s="2">
        <v>640</v>
      </c>
      <c r="G2392" s="2">
        <v>672</v>
      </c>
    </row>
    <row r="2393" spans="1:7" x14ac:dyDescent="0.3">
      <c r="A2393" t="s">
        <v>1323</v>
      </c>
      <c r="B2393" t="s">
        <v>396</v>
      </c>
      <c r="C2393" t="s">
        <v>397</v>
      </c>
      <c r="D2393">
        <v>2018</v>
      </c>
      <c r="E2393" s="2">
        <v>1</v>
      </c>
      <c r="F2393" s="2">
        <v>140</v>
      </c>
      <c r="G2393" s="2">
        <v>147</v>
      </c>
    </row>
    <row r="2394" spans="1:7" x14ac:dyDescent="0.3">
      <c r="A2394" t="s">
        <v>1323</v>
      </c>
      <c r="B2394" t="s">
        <v>614</v>
      </c>
      <c r="C2394" t="s">
        <v>141</v>
      </c>
      <c r="D2394">
        <v>2018</v>
      </c>
      <c r="E2394" s="2">
        <v>1</v>
      </c>
      <c r="F2394" s="2">
        <v>110</v>
      </c>
      <c r="G2394" s="2">
        <v>115.5</v>
      </c>
    </row>
    <row r="2395" spans="1:7" x14ac:dyDescent="0.3">
      <c r="A2395" t="s">
        <v>1323</v>
      </c>
      <c r="B2395" t="s">
        <v>95</v>
      </c>
      <c r="C2395" t="s">
        <v>96</v>
      </c>
      <c r="D2395">
        <v>2018</v>
      </c>
      <c r="E2395" s="2">
        <v>2.5</v>
      </c>
      <c r="F2395" s="2">
        <v>400</v>
      </c>
      <c r="G2395" s="2">
        <v>420</v>
      </c>
    </row>
    <row r="2396" spans="1:7" x14ac:dyDescent="0.3">
      <c r="A2396" t="s">
        <v>1323</v>
      </c>
      <c r="B2396" t="s">
        <v>1325</v>
      </c>
      <c r="C2396" t="s">
        <v>1095</v>
      </c>
      <c r="D2396">
        <v>2018</v>
      </c>
      <c r="E2396" s="2">
        <v>1</v>
      </c>
      <c r="F2396" s="2">
        <v>160</v>
      </c>
      <c r="G2396" s="2">
        <v>168</v>
      </c>
    </row>
    <row r="2397" spans="1:7" x14ac:dyDescent="0.3">
      <c r="A2397" t="s">
        <v>1323</v>
      </c>
      <c r="B2397" t="s">
        <v>60</v>
      </c>
      <c r="C2397" t="s">
        <v>61</v>
      </c>
      <c r="D2397">
        <v>2018</v>
      </c>
      <c r="E2397" s="2">
        <v>1</v>
      </c>
      <c r="F2397" s="2">
        <v>160</v>
      </c>
      <c r="G2397" s="2">
        <v>168</v>
      </c>
    </row>
    <row r="2398" spans="1:7" x14ac:dyDescent="0.3">
      <c r="A2398" t="s">
        <v>1323</v>
      </c>
      <c r="B2398" t="s">
        <v>702</v>
      </c>
      <c r="C2398" t="s">
        <v>703</v>
      </c>
      <c r="D2398">
        <v>2019</v>
      </c>
      <c r="E2398" s="2">
        <v>10</v>
      </c>
      <c r="F2398" s="2">
        <v>700</v>
      </c>
      <c r="G2398" s="2">
        <v>735</v>
      </c>
    </row>
    <row r="2399" spans="1:7" x14ac:dyDescent="0.3">
      <c r="A2399" t="s">
        <v>1323</v>
      </c>
      <c r="B2399" t="s">
        <v>933</v>
      </c>
      <c r="C2399" t="s">
        <v>934</v>
      </c>
      <c r="D2399">
        <v>2018</v>
      </c>
      <c r="E2399" s="2">
        <v>1</v>
      </c>
      <c r="F2399" s="2">
        <v>140</v>
      </c>
      <c r="G2399" s="2">
        <v>147</v>
      </c>
    </row>
    <row r="2400" spans="1:7" x14ac:dyDescent="0.3">
      <c r="A2400" t="s">
        <v>1323</v>
      </c>
      <c r="B2400" t="s">
        <v>620</v>
      </c>
      <c r="C2400" t="s">
        <v>621</v>
      </c>
      <c r="D2400">
        <v>2018</v>
      </c>
      <c r="E2400" s="2">
        <v>1</v>
      </c>
      <c r="F2400" s="2">
        <v>140</v>
      </c>
      <c r="G2400" s="2">
        <v>147</v>
      </c>
    </row>
    <row r="2401" spans="1:8" x14ac:dyDescent="0.3">
      <c r="A2401" t="s">
        <v>1323</v>
      </c>
      <c r="B2401" t="s">
        <v>1326</v>
      </c>
      <c r="C2401" t="s">
        <v>143</v>
      </c>
      <c r="D2401">
        <v>2018</v>
      </c>
      <c r="E2401" s="2">
        <v>5</v>
      </c>
      <c r="F2401" s="2">
        <v>800</v>
      </c>
      <c r="G2401" s="2">
        <v>840</v>
      </c>
    </row>
    <row r="2402" spans="1:8" x14ac:dyDescent="0.3">
      <c r="A2402" t="s">
        <v>1323</v>
      </c>
      <c r="B2402" t="s">
        <v>1326</v>
      </c>
      <c r="C2402" t="s">
        <v>143</v>
      </c>
      <c r="D2402">
        <v>2019</v>
      </c>
      <c r="E2402" s="2">
        <v>1</v>
      </c>
      <c r="F2402" s="2">
        <v>160</v>
      </c>
      <c r="G2402" s="2">
        <v>168</v>
      </c>
    </row>
    <row r="2403" spans="1:8" x14ac:dyDescent="0.3">
      <c r="A2403" t="s">
        <v>1327</v>
      </c>
      <c r="B2403" t="s">
        <v>446</v>
      </c>
      <c r="C2403" t="s">
        <v>447</v>
      </c>
      <c r="D2403">
        <v>2020</v>
      </c>
      <c r="E2403" s="2">
        <v>25</v>
      </c>
      <c r="F2403" s="2">
        <v>1750</v>
      </c>
      <c r="G2403" s="2">
        <v>1837.5</v>
      </c>
      <c r="H2403" s="3" t="s">
        <v>1328</v>
      </c>
    </row>
    <row r="2404" spans="1:8" x14ac:dyDescent="0.3">
      <c r="A2404" t="s">
        <v>1327</v>
      </c>
      <c r="B2404" t="s">
        <v>446</v>
      </c>
      <c r="C2404" t="s">
        <v>447</v>
      </c>
      <c r="D2404">
        <v>2021</v>
      </c>
      <c r="E2404" s="2">
        <v>25</v>
      </c>
      <c r="F2404" s="2">
        <v>1750</v>
      </c>
      <c r="G2404" s="2">
        <v>1837.5</v>
      </c>
      <c r="H2404" s="3" t="s">
        <v>1328</v>
      </c>
    </row>
    <row r="2405" spans="1:8" x14ac:dyDescent="0.3">
      <c r="A2405" t="s">
        <v>1327</v>
      </c>
      <c r="B2405" t="s">
        <v>702</v>
      </c>
      <c r="C2405" t="s">
        <v>703</v>
      </c>
      <c r="D2405">
        <v>2019</v>
      </c>
      <c r="E2405" s="2">
        <v>35</v>
      </c>
      <c r="F2405" s="2">
        <v>2450</v>
      </c>
      <c r="G2405" s="2">
        <v>2572.5</v>
      </c>
    </row>
    <row r="2406" spans="1:8" x14ac:dyDescent="0.3">
      <c r="A2406" t="s">
        <v>1327</v>
      </c>
      <c r="B2406" t="s">
        <v>702</v>
      </c>
      <c r="C2406" t="s">
        <v>703</v>
      </c>
      <c r="D2406">
        <v>2020</v>
      </c>
      <c r="E2406" s="2">
        <v>10</v>
      </c>
      <c r="F2406" s="2">
        <v>700</v>
      </c>
      <c r="G2406" s="2"/>
    </row>
    <row r="2407" spans="1:8" x14ac:dyDescent="0.3">
      <c r="A2407" t="s">
        <v>1327</v>
      </c>
      <c r="B2407" t="s">
        <v>438</v>
      </c>
      <c r="C2407" t="s">
        <v>439</v>
      </c>
      <c r="D2407">
        <v>2016</v>
      </c>
      <c r="E2407" s="2">
        <v>25</v>
      </c>
      <c r="F2407" s="2">
        <v>2125</v>
      </c>
      <c r="G2407" s="2"/>
    </row>
    <row r="2408" spans="1:8" x14ac:dyDescent="0.3">
      <c r="A2408" t="s">
        <v>1329</v>
      </c>
      <c r="B2408" t="s">
        <v>37</v>
      </c>
      <c r="D2408">
        <v>2021</v>
      </c>
      <c r="E2408" s="2">
        <v>10</v>
      </c>
      <c r="F2408" s="2">
        <v>950</v>
      </c>
      <c r="G2408" s="2">
        <v>997.5</v>
      </c>
      <c r="H2408" s="3" t="s">
        <v>18</v>
      </c>
    </row>
    <row r="2409" spans="1:8" x14ac:dyDescent="0.3">
      <c r="A2409" t="s">
        <v>1330</v>
      </c>
      <c r="B2409" t="s">
        <v>120</v>
      </c>
      <c r="C2409" t="s">
        <v>121</v>
      </c>
      <c r="D2409">
        <v>2016</v>
      </c>
      <c r="E2409" s="2">
        <v>1</v>
      </c>
      <c r="F2409" s="2">
        <v>200</v>
      </c>
      <c r="G2409" s="2"/>
    </row>
    <row r="2410" spans="1:8" x14ac:dyDescent="0.3">
      <c r="A2410" t="s">
        <v>1330</v>
      </c>
      <c r="B2410" t="s">
        <v>386</v>
      </c>
      <c r="C2410" t="s">
        <v>387</v>
      </c>
      <c r="D2410">
        <v>2016</v>
      </c>
      <c r="E2410" s="2">
        <v>1</v>
      </c>
      <c r="F2410" s="2">
        <v>240</v>
      </c>
      <c r="G2410" s="2"/>
    </row>
    <row r="2411" spans="1:8" x14ac:dyDescent="0.3">
      <c r="A2411" t="s">
        <v>1331</v>
      </c>
      <c r="B2411" t="s">
        <v>532</v>
      </c>
      <c r="C2411" t="s">
        <v>452</v>
      </c>
      <c r="D2411">
        <v>2020</v>
      </c>
      <c r="E2411" s="2">
        <v>30</v>
      </c>
      <c r="F2411" s="2">
        <v>1950</v>
      </c>
      <c r="G2411" s="2">
        <v>2047.5</v>
      </c>
    </row>
    <row r="2412" spans="1:8" x14ac:dyDescent="0.3">
      <c r="A2412" t="s">
        <v>1331</v>
      </c>
      <c r="B2412" t="s">
        <v>589</v>
      </c>
      <c r="C2412" t="s">
        <v>590</v>
      </c>
      <c r="D2412">
        <v>2020</v>
      </c>
      <c r="E2412" s="2">
        <v>5</v>
      </c>
      <c r="F2412" s="2">
        <v>375</v>
      </c>
      <c r="G2412" s="2">
        <v>393.75</v>
      </c>
    </row>
    <row r="2413" spans="1:8" x14ac:dyDescent="0.3">
      <c r="A2413" t="s">
        <v>1331</v>
      </c>
      <c r="B2413" t="s">
        <v>1332</v>
      </c>
      <c r="C2413" t="s">
        <v>1333</v>
      </c>
      <c r="D2413">
        <v>2020</v>
      </c>
      <c r="E2413" s="2">
        <v>5</v>
      </c>
      <c r="F2413" s="2">
        <v>350</v>
      </c>
      <c r="G2413" s="2">
        <v>367.5</v>
      </c>
    </row>
    <row r="2414" spans="1:8" x14ac:dyDescent="0.3">
      <c r="A2414" t="s">
        <v>1331</v>
      </c>
      <c r="B2414" t="s">
        <v>1334</v>
      </c>
      <c r="C2414" t="s">
        <v>1335</v>
      </c>
      <c r="D2414">
        <v>2020</v>
      </c>
      <c r="E2414" s="2">
        <v>5</v>
      </c>
      <c r="F2414" s="2">
        <v>325</v>
      </c>
      <c r="G2414" s="2">
        <v>341.25</v>
      </c>
    </row>
    <row r="2415" spans="1:8" x14ac:dyDescent="0.3">
      <c r="A2415" t="s">
        <v>1331</v>
      </c>
      <c r="B2415" t="s">
        <v>686</v>
      </c>
      <c r="C2415" t="s">
        <v>687</v>
      </c>
      <c r="D2415">
        <v>2021</v>
      </c>
      <c r="E2415" s="2">
        <v>25</v>
      </c>
      <c r="F2415" s="2">
        <v>1250</v>
      </c>
      <c r="G2415" s="2">
        <v>1312.5</v>
      </c>
      <c r="H2415" s="3" t="s">
        <v>1336</v>
      </c>
    </row>
    <row r="2416" spans="1:8" x14ac:dyDescent="0.3">
      <c r="A2416" t="s">
        <v>1331</v>
      </c>
      <c r="B2416" t="s">
        <v>1122</v>
      </c>
      <c r="C2416" t="s">
        <v>1123</v>
      </c>
      <c r="D2416">
        <v>2021</v>
      </c>
      <c r="E2416" s="2">
        <v>25</v>
      </c>
      <c r="F2416" s="2">
        <v>1625</v>
      </c>
      <c r="G2416" s="2">
        <v>1706.25</v>
      </c>
      <c r="H2416" s="3" t="s">
        <v>14</v>
      </c>
    </row>
    <row r="2417" spans="1:8" x14ac:dyDescent="0.3">
      <c r="A2417" t="s">
        <v>1331</v>
      </c>
      <c r="B2417" t="s">
        <v>668</v>
      </c>
      <c r="C2417" t="s">
        <v>669</v>
      </c>
      <c r="D2417">
        <v>2021</v>
      </c>
      <c r="E2417" s="2">
        <v>25</v>
      </c>
      <c r="F2417" s="2">
        <v>1450</v>
      </c>
      <c r="G2417" s="2">
        <v>1522.5</v>
      </c>
      <c r="H2417" s="3" t="s">
        <v>14</v>
      </c>
    </row>
    <row r="2418" spans="1:8" x14ac:dyDescent="0.3">
      <c r="A2418" t="s">
        <v>1331</v>
      </c>
      <c r="B2418" t="s">
        <v>19</v>
      </c>
      <c r="C2418" t="s">
        <v>20</v>
      </c>
      <c r="D2418">
        <v>2020</v>
      </c>
      <c r="E2418" s="2">
        <v>5</v>
      </c>
      <c r="F2418" s="2">
        <v>525</v>
      </c>
      <c r="G2418" s="2">
        <v>551.25</v>
      </c>
    </row>
    <row r="2419" spans="1:8" x14ac:dyDescent="0.3">
      <c r="A2419" t="s">
        <v>1331</v>
      </c>
      <c r="B2419" t="s">
        <v>671</v>
      </c>
      <c r="C2419" t="s">
        <v>672</v>
      </c>
      <c r="D2419">
        <v>2020</v>
      </c>
      <c r="E2419" s="2">
        <v>30</v>
      </c>
      <c r="F2419" s="2">
        <v>1400</v>
      </c>
      <c r="G2419" s="2">
        <v>1470</v>
      </c>
      <c r="H2419" s="3" t="s">
        <v>374</v>
      </c>
    </row>
    <row r="2420" spans="1:8" x14ac:dyDescent="0.3">
      <c r="A2420" t="s">
        <v>1331</v>
      </c>
      <c r="B2420" t="s">
        <v>671</v>
      </c>
      <c r="C2420" t="s">
        <v>672</v>
      </c>
      <c r="D2420">
        <v>2021</v>
      </c>
      <c r="E2420" s="2">
        <v>125</v>
      </c>
      <c r="F2420" s="2">
        <v>6200</v>
      </c>
      <c r="G2420" s="2">
        <v>6510</v>
      </c>
      <c r="H2420" s="3" t="s">
        <v>374</v>
      </c>
    </row>
    <row r="2421" spans="1:8" x14ac:dyDescent="0.3">
      <c r="A2421" t="s">
        <v>1331</v>
      </c>
      <c r="B2421" t="s">
        <v>68</v>
      </c>
      <c r="C2421" t="s">
        <v>69</v>
      </c>
      <c r="D2421">
        <v>2020</v>
      </c>
      <c r="E2421" s="2">
        <v>30</v>
      </c>
      <c r="F2421" s="2">
        <v>1950</v>
      </c>
      <c r="G2421" s="2">
        <v>2047.5</v>
      </c>
    </row>
    <row r="2422" spans="1:8" x14ac:dyDescent="0.3">
      <c r="A2422" t="s">
        <v>1331</v>
      </c>
      <c r="B2422" t="s">
        <v>867</v>
      </c>
      <c r="C2422" t="s">
        <v>868</v>
      </c>
      <c r="D2422">
        <v>2020</v>
      </c>
      <c r="E2422" s="2">
        <v>5</v>
      </c>
      <c r="F2422" s="2">
        <v>425</v>
      </c>
      <c r="G2422" s="2">
        <v>446.25</v>
      </c>
      <c r="H2422" s="3" t="s">
        <v>18</v>
      </c>
    </row>
    <row r="2423" spans="1:8" x14ac:dyDescent="0.3">
      <c r="A2423" t="s">
        <v>1331</v>
      </c>
      <c r="B2423" t="s">
        <v>867</v>
      </c>
      <c r="C2423" t="s">
        <v>868</v>
      </c>
      <c r="D2423">
        <v>2021</v>
      </c>
      <c r="E2423" s="2">
        <v>25</v>
      </c>
      <c r="F2423" s="2">
        <v>2125</v>
      </c>
      <c r="G2423" s="2">
        <v>2231.25</v>
      </c>
      <c r="H2423" s="3" t="s">
        <v>18</v>
      </c>
    </row>
    <row r="2424" spans="1:8" x14ac:dyDescent="0.3">
      <c r="A2424" t="s">
        <v>1331</v>
      </c>
      <c r="B2424" t="s">
        <v>1337</v>
      </c>
      <c r="C2424" t="s">
        <v>1338</v>
      </c>
      <c r="D2424">
        <v>2020</v>
      </c>
      <c r="E2424" s="2">
        <v>5</v>
      </c>
      <c r="F2424" s="2">
        <v>400</v>
      </c>
      <c r="G2424" s="2">
        <v>420</v>
      </c>
    </row>
    <row r="2425" spans="1:8" x14ac:dyDescent="0.3">
      <c r="A2425" t="s">
        <v>1331</v>
      </c>
      <c r="B2425" t="s">
        <v>438</v>
      </c>
      <c r="C2425" t="s">
        <v>439</v>
      </c>
      <c r="D2425">
        <v>2020</v>
      </c>
      <c r="E2425" s="2">
        <v>25</v>
      </c>
      <c r="F2425" s="2">
        <v>1625</v>
      </c>
      <c r="G2425" s="2">
        <v>1706.25</v>
      </c>
    </row>
    <row r="2426" spans="1:8" x14ac:dyDescent="0.3">
      <c r="A2426" t="s">
        <v>1331</v>
      </c>
      <c r="B2426" t="s">
        <v>476</v>
      </c>
      <c r="C2426" t="s">
        <v>478</v>
      </c>
      <c r="D2426">
        <v>2021</v>
      </c>
      <c r="E2426" s="2">
        <v>25</v>
      </c>
      <c r="F2426" s="2">
        <v>1450</v>
      </c>
      <c r="G2426" s="2">
        <v>1522.5</v>
      </c>
      <c r="H2426" s="3" t="s">
        <v>14</v>
      </c>
    </row>
    <row r="2427" spans="1:8" x14ac:dyDescent="0.3">
      <c r="A2427" t="s">
        <v>1331</v>
      </c>
      <c r="B2427" t="s">
        <v>1339</v>
      </c>
      <c r="C2427" t="s">
        <v>1340</v>
      </c>
      <c r="D2427">
        <v>2020</v>
      </c>
      <c r="E2427" s="2">
        <v>30</v>
      </c>
      <c r="F2427" s="2">
        <v>3451</v>
      </c>
      <c r="G2427" s="2">
        <v>3623.55</v>
      </c>
    </row>
    <row r="2428" spans="1:8" x14ac:dyDescent="0.3">
      <c r="A2428" t="s">
        <v>1331</v>
      </c>
      <c r="B2428" t="s">
        <v>656</v>
      </c>
      <c r="C2428" t="s">
        <v>71</v>
      </c>
      <c r="D2428">
        <v>2020</v>
      </c>
      <c r="E2428" s="2">
        <v>5</v>
      </c>
      <c r="F2428" s="2">
        <v>550</v>
      </c>
      <c r="G2428" s="2">
        <v>577.5</v>
      </c>
    </row>
    <row r="2429" spans="1:8" x14ac:dyDescent="0.3">
      <c r="A2429" t="s">
        <v>1331</v>
      </c>
      <c r="B2429" t="s">
        <v>485</v>
      </c>
      <c r="C2429" t="s">
        <v>486</v>
      </c>
      <c r="D2429">
        <v>2020</v>
      </c>
      <c r="E2429" s="2">
        <v>45</v>
      </c>
      <c r="F2429" s="2">
        <v>2925</v>
      </c>
      <c r="G2429" s="2">
        <v>3071.25</v>
      </c>
      <c r="H2429" s="3" t="s">
        <v>18</v>
      </c>
    </row>
    <row r="2430" spans="1:8" x14ac:dyDescent="0.3">
      <c r="A2430" t="s">
        <v>1331</v>
      </c>
      <c r="B2430" t="s">
        <v>485</v>
      </c>
      <c r="C2430" t="s">
        <v>486</v>
      </c>
      <c r="D2430">
        <v>2021</v>
      </c>
      <c r="E2430" s="2">
        <v>85</v>
      </c>
      <c r="F2430" s="2">
        <v>5975</v>
      </c>
      <c r="G2430" s="2">
        <v>6273.75</v>
      </c>
      <c r="H2430" s="3" t="s">
        <v>18</v>
      </c>
    </row>
    <row r="2431" spans="1:8" x14ac:dyDescent="0.3">
      <c r="A2431" t="s">
        <v>1331</v>
      </c>
      <c r="B2431" t="s">
        <v>12</v>
      </c>
      <c r="C2431" t="s">
        <v>13</v>
      </c>
      <c r="D2431">
        <v>2021</v>
      </c>
      <c r="E2431" s="2">
        <v>25</v>
      </c>
      <c r="F2431" s="2">
        <v>1750</v>
      </c>
      <c r="G2431" s="2">
        <v>1837.5</v>
      </c>
      <c r="H2431" s="3" t="s">
        <v>14</v>
      </c>
    </row>
    <row r="2432" spans="1:8" x14ac:dyDescent="0.3">
      <c r="A2432" t="s">
        <v>1341</v>
      </c>
      <c r="B2432" t="s">
        <v>548</v>
      </c>
      <c r="D2432">
        <v>2020</v>
      </c>
      <c r="E2432" s="2">
        <v>55</v>
      </c>
      <c r="F2432" s="2">
        <v>4900</v>
      </c>
      <c r="G2432" s="2">
        <v>5145</v>
      </c>
    </row>
    <row r="2433" spans="1:8" x14ac:dyDescent="0.3">
      <c r="A2433" t="s">
        <v>1341</v>
      </c>
      <c r="B2433" t="s">
        <v>297</v>
      </c>
      <c r="C2433" t="s">
        <v>298</v>
      </c>
      <c r="D2433">
        <v>2020</v>
      </c>
      <c r="E2433" s="2">
        <v>5</v>
      </c>
      <c r="F2433" s="2">
        <v>375</v>
      </c>
      <c r="G2433" s="2">
        <v>393.75</v>
      </c>
      <c r="H2433" s="3" t="s">
        <v>18</v>
      </c>
    </row>
    <row r="2434" spans="1:8" x14ac:dyDescent="0.3">
      <c r="A2434" t="s">
        <v>1341</v>
      </c>
      <c r="B2434" t="s">
        <v>297</v>
      </c>
      <c r="C2434" t="s">
        <v>298</v>
      </c>
      <c r="D2434">
        <v>2021</v>
      </c>
      <c r="E2434" s="2">
        <v>5</v>
      </c>
      <c r="F2434" s="2">
        <v>375</v>
      </c>
      <c r="G2434" s="2">
        <v>393.75</v>
      </c>
      <c r="H2434" s="3" t="s">
        <v>18</v>
      </c>
    </row>
    <row r="2435" spans="1:8" x14ac:dyDescent="0.3">
      <c r="A2435" t="s">
        <v>1341</v>
      </c>
      <c r="B2435" t="s">
        <v>668</v>
      </c>
      <c r="C2435" t="s">
        <v>669</v>
      </c>
      <c r="D2435">
        <v>2020</v>
      </c>
      <c r="E2435" s="2">
        <v>5</v>
      </c>
      <c r="F2435" s="2">
        <v>375</v>
      </c>
      <c r="G2435" s="2">
        <v>393.75</v>
      </c>
    </row>
    <row r="2436" spans="1:8" x14ac:dyDescent="0.3">
      <c r="A2436" t="s">
        <v>1341</v>
      </c>
      <c r="B2436" t="s">
        <v>528</v>
      </c>
      <c r="C2436" t="s">
        <v>529</v>
      </c>
      <c r="D2436">
        <v>2020</v>
      </c>
      <c r="E2436" s="2">
        <v>5</v>
      </c>
      <c r="F2436" s="2">
        <v>375</v>
      </c>
      <c r="G2436" s="2">
        <v>393.75</v>
      </c>
      <c r="H2436" s="3" t="s">
        <v>14</v>
      </c>
    </row>
    <row r="2437" spans="1:8" x14ac:dyDescent="0.3">
      <c r="A2437" t="s">
        <v>1341</v>
      </c>
      <c r="B2437" t="s">
        <v>528</v>
      </c>
      <c r="C2437" t="s">
        <v>529</v>
      </c>
      <c r="D2437">
        <v>2021</v>
      </c>
      <c r="E2437" s="2">
        <v>20</v>
      </c>
      <c r="F2437" s="2">
        <v>1500</v>
      </c>
      <c r="G2437" s="2">
        <v>1575</v>
      </c>
      <c r="H2437" s="3" t="s">
        <v>14</v>
      </c>
    </row>
    <row r="2438" spans="1:8" x14ac:dyDescent="0.3">
      <c r="A2438" t="s">
        <v>1341</v>
      </c>
      <c r="B2438" t="s">
        <v>12</v>
      </c>
      <c r="C2438" t="s">
        <v>13</v>
      </c>
      <c r="D2438">
        <v>2020</v>
      </c>
      <c r="E2438" s="2">
        <v>11</v>
      </c>
      <c r="F2438" s="2">
        <v>825</v>
      </c>
      <c r="G2438" s="2">
        <v>866.25</v>
      </c>
      <c r="H2438" s="3" t="s">
        <v>14</v>
      </c>
    </row>
    <row r="2439" spans="1:8" x14ac:dyDescent="0.3">
      <c r="A2439" t="s">
        <v>1341</v>
      </c>
      <c r="B2439" t="s">
        <v>12</v>
      </c>
      <c r="C2439" t="s">
        <v>13</v>
      </c>
      <c r="D2439">
        <v>2021</v>
      </c>
      <c r="E2439" s="2">
        <v>100</v>
      </c>
      <c r="F2439" s="2">
        <v>7500</v>
      </c>
      <c r="G2439" s="2">
        <v>7875</v>
      </c>
      <c r="H2439" s="3" t="s">
        <v>14</v>
      </c>
    </row>
    <row r="2440" spans="1:8" x14ac:dyDescent="0.3">
      <c r="A2440" t="s">
        <v>1342</v>
      </c>
      <c r="B2440" t="s">
        <v>528</v>
      </c>
      <c r="C2440" t="s">
        <v>529</v>
      </c>
      <c r="D2440">
        <v>2019</v>
      </c>
      <c r="E2440" s="2">
        <v>1</v>
      </c>
      <c r="F2440" s="2">
        <v>90</v>
      </c>
      <c r="G2440" s="2">
        <v>94.5</v>
      </c>
    </row>
    <row r="2441" spans="1:8" x14ac:dyDescent="0.3">
      <c r="A2441" t="s">
        <v>1343</v>
      </c>
      <c r="B2441" t="s">
        <v>1344</v>
      </c>
      <c r="C2441" t="s">
        <v>1345</v>
      </c>
      <c r="D2441">
        <v>2018</v>
      </c>
      <c r="E2441" s="2">
        <v>25</v>
      </c>
      <c r="F2441" s="2">
        <v>3000</v>
      </c>
      <c r="G2441" s="2">
        <v>3150</v>
      </c>
    </row>
    <row r="2442" spans="1:8" x14ac:dyDescent="0.3">
      <c r="A2442" t="s">
        <v>1346</v>
      </c>
      <c r="B2442" t="s">
        <v>1231</v>
      </c>
      <c r="C2442" t="s">
        <v>1232</v>
      </c>
      <c r="D2442">
        <v>2016</v>
      </c>
      <c r="E2442" s="2">
        <v>100</v>
      </c>
      <c r="F2442" s="2">
        <v>7700</v>
      </c>
      <c r="G2442" s="2"/>
    </row>
    <row r="2443" spans="1:8" x14ac:dyDescent="0.3">
      <c r="A2443" t="s">
        <v>1346</v>
      </c>
      <c r="B2443" t="s">
        <v>1231</v>
      </c>
      <c r="C2443" t="s">
        <v>1232</v>
      </c>
      <c r="D2443">
        <v>2017</v>
      </c>
      <c r="E2443" s="2">
        <v>400</v>
      </c>
      <c r="F2443" s="2">
        <v>30800</v>
      </c>
      <c r="G2443" s="2"/>
    </row>
    <row r="2444" spans="1:8" x14ac:dyDescent="0.3">
      <c r="A2444" t="s">
        <v>1346</v>
      </c>
      <c r="B2444" t="s">
        <v>1231</v>
      </c>
      <c r="C2444" t="s">
        <v>1232</v>
      </c>
      <c r="D2444">
        <v>2018</v>
      </c>
      <c r="E2444" s="2">
        <v>325</v>
      </c>
      <c r="F2444" s="2">
        <v>26600</v>
      </c>
      <c r="G2444" s="2">
        <v>27930</v>
      </c>
    </row>
    <row r="2445" spans="1:8" x14ac:dyDescent="0.3">
      <c r="A2445" t="s">
        <v>1346</v>
      </c>
      <c r="B2445" t="s">
        <v>1231</v>
      </c>
      <c r="C2445" t="s">
        <v>1232</v>
      </c>
      <c r="D2445">
        <v>2019</v>
      </c>
      <c r="E2445" s="2">
        <v>150</v>
      </c>
      <c r="F2445" s="2">
        <v>10700</v>
      </c>
      <c r="G2445" s="2">
        <v>11235</v>
      </c>
    </row>
    <row r="2446" spans="1:8" x14ac:dyDescent="0.3">
      <c r="A2446" t="s">
        <v>1346</v>
      </c>
      <c r="B2446" t="s">
        <v>830</v>
      </c>
      <c r="C2446" t="s">
        <v>831</v>
      </c>
      <c r="D2446">
        <v>2018</v>
      </c>
      <c r="E2446" s="2">
        <v>75</v>
      </c>
      <c r="F2446" s="2">
        <v>6450</v>
      </c>
      <c r="G2446" s="2">
        <v>6772.5</v>
      </c>
      <c r="H2446" s="3" t="s">
        <v>14</v>
      </c>
    </row>
    <row r="2447" spans="1:8" x14ac:dyDescent="0.3">
      <c r="A2447" t="s">
        <v>1346</v>
      </c>
      <c r="B2447" t="s">
        <v>830</v>
      </c>
      <c r="C2447" t="s">
        <v>831</v>
      </c>
      <c r="D2447">
        <v>2019</v>
      </c>
      <c r="E2447" s="2">
        <v>275</v>
      </c>
      <c r="F2447" s="2">
        <v>23650</v>
      </c>
      <c r="G2447" s="2">
        <v>24832.5</v>
      </c>
      <c r="H2447" s="3" t="s">
        <v>14</v>
      </c>
    </row>
    <row r="2448" spans="1:8" x14ac:dyDescent="0.3">
      <c r="A2448" t="s">
        <v>1346</v>
      </c>
      <c r="B2448" t="s">
        <v>830</v>
      </c>
      <c r="C2448" t="s">
        <v>831</v>
      </c>
      <c r="D2448">
        <v>2020</v>
      </c>
      <c r="E2448" s="2">
        <v>350</v>
      </c>
      <c r="F2448" s="2">
        <v>30000</v>
      </c>
      <c r="G2448" s="2">
        <v>31500</v>
      </c>
      <c r="H2448" s="3" t="s">
        <v>14</v>
      </c>
    </row>
    <row r="2449" spans="1:8" x14ac:dyDescent="0.3">
      <c r="A2449" t="s">
        <v>1346</v>
      </c>
      <c r="B2449" t="s">
        <v>830</v>
      </c>
      <c r="C2449" t="s">
        <v>831</v>
      </c>
      <c r="D2449">
        <v>2021</v>
      </c>
      <c r="E2449" s="2">
        <v>125</v>
      </c>
      <c r="F2449" s="2">
        <v>10750</v>
      </c>
      <c r="G2449" s="2">
        <v>11287.5</v>
      </c>
      <c r="H2449" s="3" t="s">
        <v>14</v>
      </c>
    </row>
    <row r="2450" spans="1:8" x14ac:dyDescent="0.3">
      <c r="A2450" t="s">
        <v>1346</v>
      </c>
      <c r="B2450" t="s">
        <v>453</v>
      </c>
      <c r="D2450">
        <v>2020</v>
      </c>
      <c r="E2450" s="2">
        <v>5</v>
      </c>
      <c r="F2450" s="2">
        <v>475</v>
      </c>
      <c r="G2450" s="2">
        <v>498.75</v>
      </c>
      <c r="H2450" s="3" t="s">
        <v>18</v>
      </c>
    </row>
    <row r="2451" spans="1:8" x14ac:dyDescent="0.3">
      <c r="A2451" t="s">
        <v>1346</v>
      </c>
      <c r="B2451" t="s">
        <v>453</v>
      </c>
      <c r="D2451">
        <v>2021</v>
      </c>
      <c r="E2451" s="2">
        <v>10</v>
      </c>
      <c r="F2451" s="2">
        <v>950</v>
      </c>
      <c r="G2451" s="2">
        <v>997.5</v>
      </c>
      <c r="H2451" s="3" t="s">
        <v>18</v>
      </c>
    </row>
    <row r="2452" spans="1:8" x14ac:dyDescent="0.3">
      <c r="A2452" t="s">
        <v>1346</v>
      </c>
      <c r="B2452" t="s">
        <v>696</v>
      </c>
      <c r="C2452" t="s">
        <v>697</v>
      </c>
      <c r="D2452">
        <v>2011</v>
      </c>
      <c r="E2452" s="2">
        <v>75</v>
      </c>
      <c r="F2452" s="2">
        <v>5625</v>
      </c>
      <c r="G2452" s="2"/>
    </row>
    <row r="2453" spans="1:8" x14ac:dyDescent="0.3">
      <c r="A2453" t="s">
        <v>1346</v>
      </c>
      <c r="B2453" t="s">
        <v>696</v>
      </c>
      <c r="C2453" t="s">
        <v>697</v>
      </c>
      <c r="D2453">
        <v>2012</v>
      </c>
      <c r="E2453" s="2">
        <v>50</v>
      </c>
      <c r="F2453" s="2">
        <v>3750</v>
      </c>
      <c r="G2453" s="2"/>
    </row>
    <row r="2454" spans="1:8" x14ac:dyDescent="0.3">
      <c r="A2454" t="s">
        <v>1346</v>
      </c>
      <c r="B2454" t="s">
        <v>696</v>
      </c>
      <c r="C2454" t="s">
        <v>697</v>
      </c>
      <c r="D2454">
        <v>2013</v>
      </c>
      <c r="E2454" s="2">
        <v>50</v>
      </c>
      <c r="F2454" s="2">
        <v>3750</v>
      </c>
      <c r="G2454" s="2"/>
    </row>
    <row r="2455" spans="1:8" x14ac:dyDescent="0.3">
      <c r="A2455" t="s">
        <v>1346</v>
      </c>
      <c r="B2455" t="s">
        <v>1347</v>
      </c>
      <c r="C2455" t="s">
        <v>737</v>
      </c>
      <c r="D2455">
        <v>2021</v>
      </c>
      <c r="E2455" s="2">
        <v>250</v>
      </c>
      <c r="F2455" s="2">
        <v>13750</v>
      </c>
      <c r="G2455" s="2">
        <v>14437.5</v>
      </c>
      <c r="H2455" s="3" t="s">
        <v>1348</v>
      </c>
    </row>
    <row r="2456" spans="1:8" x14ac:dyDescent="0.3">
      <c r="A2456" t="s">
        <v>1346</v>
      </c>
      <c r="B2456" t="s">
        <v>26</v>
      </c>
      <c r="C2456" t="s">
        <v>27</v>
      </c>
      <c r="D2456">
        <v>2021</v>
      </c>
      <c r="E2456" s="2">
        <v>250</v>
      </c>
      <c r="F2456" s="2">
        <v>13750</v>
      </c>
      <c r="G2456" s="2">
        <v>14437.5</v>
      </c>
      <c r="H2456" s="3" t="s">
        <v>1348</v>
      </c>
    </row>
    <row r="2457" spans="1:8" x14ac:dyDescent="0.3">
      <c r="A2457" t="s">
        <v>1346</v>
      </c>
      <c r="B2457" t="s">
        <v>490</v>
      </c>
      <c r="C2457" t="s">
        <v>491</v>
      </c>
      <c r="D2457">
        <v>2012</v>
      </c>
      <c r="E2457" s="2">
        <v>50</v>
      </c>
      <c r="F2457" s="2">
        <v>5500</v>
      </c>
      <c r="G2457" s="2"/>
    </row>
    <row r="2458" spans="1:8" x14ac:dyDescent="0.3">
      <c r="A2458" t="s">
        <v>1346</v>
      </c>
      <c r="B2458" t="s">
        <v>490</v>
      </c>
      <c r="C2458" t="s">
        <v>491</v>
      </c>
      <c r="D2458">
        <v>2013</v>
      </c>
      <c r="E2458" s="2">
        <v>50</v>
      </c>
      <c r="F2458" s="2">
        <v>5500</v>
      </c>
      <c r="G2458" s="2"/>
    </row>
    <row r="2459" spans="1:8" x14ac:dyDescent="0.3">
      <c r="A2459" t="s">
        <v>1346</v>
      </c>
      <c r="B2459" t="s">
        <v>490</v>
      </c>
      <c r="C2459" t="s">
        <v>491</v>
      </c>
      <c r="D2459">
        <v>2014</v>
      </c>
      <c r="E2459" s="2">
        <v>150</v>
      </c>
      <c r="F2459" s="2">
        <v>16500</v>
      </c>
      <c r="G2459" s="2"/>
    </row>
    <row r="2460" spans="1:8" x14ac:dyDescent="0.3">
      <c r="A2460" t="s">
        <v>1346</v>
      </c>
      <c r="B2460" t="s">
        <v>490</v>
      </c>
      <c r="C2460" t="s">
        <v>491</v>
      </c>
      <c r="D2460">
        <v>2015</v>
      </c>
      <c r="E2460" s="2">
        <v>125</v>
      </c>
      <c r="F2460" s="2">
        <v>13750</v>
      </c>
      <c r="G2460" s="2"/>
    </row>
    <row r="2461" spans="1:8" x14ac:dyDescent="0.3">
      <c r="A2461" t="s">
        <v>1346</v>
      </c>
      <c r="B2461" t="s">
        <v>490</v>
      </c>
      <c r="C2461" t="s">
        <v>491</v>
      </c>
      <c r="D2461">
        <v>2016</v>
      </c>
      <c r="E2461" s="2">
        <v>50</v>
      </c>
      <c r="F2461" s="2">
        <v>5500</v>
      </c>
      <c r="G2461" s="2"/>
    </row>
    <row r="2462" spans="1:8" x14ac:dyDescent="0.3">
      <c r="A2462" t="s">
        <v>1346</v>
      </c>
      <c r="B2462" t="s">
        <v>671</v>
      </c>
      <c r="C2462" t="s">
        <v>672</v>
      </c>
      <c r="D2462">
        <v>2020</v>
      </c>
      <c r="E2462" s="2">
        <v>50</v>
      </c>
      <c r="F2462" s="2">
        <v>3250</v>
      </c>
      <c r="G2462" s="2">
        <v>3412.5</v>
      </c>
    </row>
    <row r="2463" spans="1:8" x14ac:dyDescent="0.3">
      <c r="A2463" t="s">
        <v>1346</v>
      </c>
      <c r="B2463" t="s">
        <v>62</v>
      </c>
      <c r="C2463" t="s">
        <v>63</v>
      </c>
      <c r="D2463">
        <v>2014</v>
      </c>
      <c r="E2463" s="2">
        <v>200</v>
      </c>
      <c r="F2463" s="2">
        <v>10000</v>
      </c>
      <c r="G2463" s="2"/>
      <c r="H2463" s="3" t="s">
        <v>14</v>
      </c>
    </row>
    <row r="2464" spans="1:8" x14ac:dyDescent="0.3">
      <c r="A2464" t="s">
        <v>1346</v>
      </c>
      <c r="B2464" t="s">
        <v>62</v>
      </c>
      <c r="C2464" t="s">
        <v>63</v>
      </c>
      <c r="D2464">
        <v>2015</v>
      </c>
      <c r="E2464" s="2">
        <v>800</v>
      </c>
      <c r="F2464" s="2">
        <v>40000</v>
      </c>
      <c r="G2464" s="2"/>
      <c r="H2464" s="3" t="s">
        <v>14</v>
      </c>
    </row>
    <row r="2465" spans="1:8" x14ac:dyDescent="0.3">
      <c r="A2465" t="s">
        <v>1346</v>
      </c>
      <c r="B2465" t="s">
        <v>62</v>
      </c>
      <c r="C2465" t="s">
        <v>63</v>
      </c>
      <c r="D2465">
        <v>2016</v>
      </c>
      <c r="E2465" s="2">
        <v>1000</v>
      </c>
      <c r="F2465" s="2">
        <v>50000</v>
      </c>
      <c r="G2465" s="2"/>
      <c r="H2465" s="3" t="s">
        <v>14</v>
      </c>
    </row>
    <row r="2466" spans="1:8" x14ac:dyDescent="0.3">
      <c r="A2466" t="s">
        <v>1346</v>
      </c>
      <c r="B2466" t="s">
        <v>62</v>
      </c>
      <c r="C2466" t="s">
        <v>63</v>
      </c>
      <c r="D2466">
        <v>2017</v>
      </c>
      <c r="E2466" s="2">
        <v>600</v>
      </c>
      <c r="F2466" s="2">
        <v>30000</v>
      </c>
      <c r="G2466" s="2"/>
      <c r="H2466" s="3" t="s">
        <v>14</v>
      </c>
    </row>
    <row r="2467" spans="1:8" x14ac:dyDescent="0.3">
      <c r="A2467" t="s">
        <v>1346</v>
      </c>
      <c r="B2467" t="s">
        <v>62</v>
      </c>
      <c r="C2467" t="s">
        <v>63</v>
      </c>
      <c r="D2467">
        <v>2018</v>
      </c>
      <c r="E2467" s="2">
        <v>750</v>
      </c>
      <c r="F2467" s="2">
        <v>45000</v>
      </c>
      <c r="G2467" s="2">
        <v>47250</v>
      </c>
      <c r="H2467" s="3" t="s">
        <v>14</v>
      </c>
    </row>
    <row r="2468" spans="1:8" x14ac:dyDescent="0.3">
      <c r="A2468" t="s">
        <v>1346</v>
      </c>
      <c r="B2468" t="s">
        <v>62</v>
      </c>
      <c r="C2468" t="s">
        <v>63</v>
      </c>
      <c r="D2468">
        <v>2019</v>
      </c>
      <c r="E2468" s="2">
        <v>575</v>
      </c>
      <c r="F2468" s="2">
        <v>34376</v>
      </c>
      <c r="G2468" s="2">
        <v>36094.800000000003</v>
      </c>
      <c r="H2468" s="3" t="s">
        <v>14</v>
      </c>
    </row>
    <row r="2469" spans="1:8" x14ac:dyDescent="0.3">
      <c r="A2469" t="s">
        <v>1346</v>
      </c>
      <c r="B2469" t="s">
        <v>62</v>
      </c>
      <c r="C2469" t="s">
        <v>63</v>
      </c>
      <c r="D2469">
        <v>2020</v>
      </c>
      <c r="E2469" s="2">
        <v>400</v>
      </c>
      <c r="F2469" s="2">
        <v>26000</v>
      </c>
      <c r="G2469" s="2">
        <v>27300</v>
      </c>
      <c r="H2469" s="3" t="s">
        <v>14</v>
      </c>
    </row>
    <row r="2470" spans="1:8" x14ac:dyDescent="0.3">
      <c r="A2470" t="s">
        <v>1346</v>
      </c>
      <c r="B2470" t="s">
        <v>62</v>
      </c>
      <c r="C2470" t="s">
        <v>63</v>
      </c>
      <c r="D2470">
        <v>2021</v>
      </c>
      <c r="E2470" s="2">
        <v>250</v>
      </c>
      <c r="F2470" s="2">
        <v>16250</v>
      </c>
      <c r="G2470" s="2">
        <v>17062.5</v>
      </c>
      <c r="H2470" s="3" t="s">
        <v>14</v>
      </c>
    </row>
    <row r="2471" spans="1:8" x14ac:dyDescent="0.3">
      <c r="A2471" t="s">
        <v>1346</v>
      </c>
      <c r="B2471" t="s">
        <v>64</v>
      </c>
      <c r="C2471" t="s">
        <v>65</v>
      </c>
      <c r="D2471">
        <v>2016</v>
      </c>
      <c r="E2471" s="2">
        <v>44</v>
      </c>
      <c r="F2471" s="2">
        <v>3476</v>
      </c>
      <c r="G2471" s="2"/>
      <c r="H2471" s="3" t="s">
        <v>14</v>
      </c>
    </row>
    <row r="2472" spans="1:8" x14ac:dyDescent="0.3">
      <c r="A2472" t="s">
        <v>1346</v>
      </c>
      <c r="B2472" t="s">
        <v>64</v>
      </c>
      <c r="C2472" t="s">
        <v>65</v>
      </c>
      <c r="D2472">
        <v>2017</v>
      </c>
      <c r="E2472" s="2">
        <v>450</v>
      </c>
      <c r="F2472" s="2">
        <v>34850</v>
      </c>
      <c r="G2472" s="2"/>
      <c r="H2472" s="3" t="s">
        <v>14</v>
      </c>
    </row>
    <row r="2473" spans="1:8" x14ac:dyDescent="0.3">
      <c r="A2473" t="s">
        <v>1346</v>
      </c>
      <c r="B2473" t="s">
        <v>64</v>
      </c>
      <c r="C2473" t="s">
        <v>65</v>
      </c>
      <c r="D2473">
        <v>2018</v>
      </c>
      <c r="E2473" s="2">
        <v>1025</v>
      </c>
      <c r="F2473" s="2">
        <v>89650</v>
      </c>
      <c r="G2473" s="2">
        <v>94132.5</v>
      </c>
      <c r="H2473" s="3" t="s">
        <v>14</v>
      </c>
    </row>
    <row r="2474" spans="1:8" x14ac:dyDescent="0.3">
      <c r="A2474" t="s">
        <v>1346</v>
      </c>
      <c r="B2474" t="s">
        <v>64</v>
      </c>
      <c r="C2474" t="s">
        <v>65</v>
      </c>
      <c r="D2474">
        <v>2019</v>
      </c>
      <c r="E2474" s="2">
        <v>1350</v>
      </c>
      <c r="F2474" s="2">
        <v>121500</v>
      </c>
      <c r="G2474" s="2">
        <v>127575</v>
      </c>
      <c r="H2474" s="3" t="s">
        <v>14</v>
      </c>
    </row>
    <row r="2475" spans="1:8" x14ac:dyDescent="0.3">
      <c r="A2475" t="s">
        <v>1346</v>
      </c>
      <c r="B2475" t="s">
        <v>64</v>
      </c>
      <c r="C2475" t="s">
        <v>65</v>
      </c>
      <c r="D2475">
        <v>2020</v>
      </c>
      <c r="E2475" s="2">
        <v>875</v>
      </c>
      <c r="F2475" s="2">
        <v>74250</v>
      </c>
      <c r="G2475" s="2">
        <v>77962.5</v>
      </c>
      <c r="H2475" s="3" t="s">
        <v>14</v>
      </c>
    </row>
    <row r="2476" spans="1:8" x14ac:dyDescent="0.3">
      <c r="A2476" t="s">
        <v>1346</v>
      </c>
      <c r="B2476" t="s">
        <v>64</v>
      </c>
      <c r="C2476" t="s">
        <v>65</v>
      </c>
      <c r="D2476">
        <v>2021</v>
      </c>
      <c r="E2476" s="2">
        <v>125</v>
      </c>
      <c r="F2476" s="2">
        <v>11250</v>
      </c>
      <c r="G2476" s="2">
        <v>11812.5</v>
      </c>
      <c r="H2476" s="3" t="s">
        <v>14</v>
      </c>
    </row>
    <row r="2477" spans="1:8" x14ac:dyDescent="0.3">
      <c r="A2477" t="s">
        <v>1346</v>
      </c>
      <c r="B2477" t="s">
        <v>110</v>
      </c>
      <c r="C2477" t="s">
        <v>111</v>
      </c>
      <c r="D2477">
        <v>2017</v>
      </c>
      <c r="E2477" s="2">
        <v>100</v>
      </c>
      <c r="F2477" s="2">
        <v>5000</v>
      </c>
      <c r="G2477" s="2"/>
    </row>
    <row r="2478" spans="1:8" x14ac:dyDescent="0.3">
      <c r="A2478" t="s">
        <v>1346</v>
      </c>
      <c r="B2478" t="s">
        <v>110</v>
      </c>
      <c r="C2478" t="s">
        <v>111</v>
      </c>
      <c r="D2478">
        <v>2019</v>
      </c>
      <c r="E2478" s="2">
        <v>100</v>
      </c>
      <c r="F2478" s="2">
        <v>13250</v>
      </c>
      <c r="G2478" s="2">
        <v>13912.5</v>
      </c>
    </row>
    <row r="2479" spans="1:8" x14ac:dyDescent="0.3">
      <c r="A2479" t="s">
        <v>1346</v>
      </c>
      <c r="B2479" t="s">
        <v>110</v>
      </c>
      <c r="C2479" t="s">
        <v>111</v>
      </c>
      <c r="D2479">
        <v>2020</v>
      </c>
      <c r="E2479" s="2">
        <v>275</v>
      </c>
      <c r="F2479" s="2">
        <v>18475</v>
      </c>
      <c r="G2479" s="2">
        <v>19398.75</v>
      </c>
    </row>
    <row r="2480" spans="1:8" x14ac:dyDescent="0.3">
      <c r="A2480" t="s">
        <v>1346</v>
      </c>
      <c r="B2480" t="s">
        <v>575</v>
      </c>
      <c r="C2480" t="s">
        <v>673</v>
      </c>
      <c r="D2480">
        <v>2020</v>
      </c>
      <c r="E2480" s="2">
        <v>70</v>
      </c>
      <c r="F2480" s="2">
        <v>3850</v>
      </c>
      <c r="G2480" s="2">
        <v>4042.5</v>
      </c>
    </row>
    <row r="2481" spans="1:8" x14ac:dyDescent="0.3">
      <c r="A2481" t="s">
        <v>1346</v>
      </c>
      <c r="B2481" t="s">
        <v>438</v>
      </c>
      <c r="C2481" t="s">
        <v>439</v>
      </c>
      <c r="D2481">
        <v>2020</v>
      </c>
      <c r="E2481" s="2">
        <v>100</v>
      </c>
      <c r="F2481" s="2">
        <v>7000</v>
      </c>
      <c r="G2481" s="2">
        <v>7350</v>
      </c>
    </row>
    <row r="2482" spans="1:8" x14ac:dyDescent="0.3">
      <c r="A2482" t="s">
        <v>1346</v>
      </c>
      <c r="B2482" t="s">
        <v>706</v>
      </c>
      <c r="C2482" t="s">
        <v>707</v>
      </c>
      <c r="D2482">
        <v>2019</v>
      </c>
      <c r="E2482" s="2">
        <v>50</v>
      </c>
      <c r="F2482" s="2">
        <v>3600</v>
      </c>
      <c r="G2482" s="2">
        <v>3780</v>
      </c>
    </row>
    <row r="2483" spans="1:8" x14ac:dyDescent="0.3">
      <c r="A2483" t="s">
        <v>1346</v>
      </c>
      <c r="B2483" t="s">
        <v>1349</v>
      </c>
      <c r="C2483" t="s">
        <v>1350</v>
      </c>
      <c r="D2483">
        <v>2020</v>
      </c>
      <c r="E2483" s="2">
        <v>15</v>
      </c>
      <c r="F2483" s="2">
        <v>1080</v>
      </c>
      <c r="G2483" s="2">
        <v>1134</v>
      </c>
    </row>
    <row r="2484" spans="1:8" x14ac:dyDescent="0.3">
      <c r="A2484" t="s">
        <v>1346</v>
      </c>
      <c r="B2484" t="s">
        <v>915</v>
      </c>
      <c r="C2484" t="s">
        <v>916</v>
      </c>
      <c r="D2484">
        <v>2011</v>
      </c>
      <c r="E2484" s="2">
        <v>75</v>
      </c>
      <c r="F2484" s="2">
        <v>5250</v>
      </c>
      <c r="G2484" s="2"/>
      <c r="H2484" s="3" t="s">
        <v>14</v>
      </c>
    </row>
    <row r="2485" spans="1:8" x14ac:dyDescent="0.3">
      <c r="A2485" t="s">
        <v>1346</v>
      </c>
      <c r="B2485" t="s">
        <v>915</v>
      </c>
      <c r="C2485" t="s">
        <v>916</v>
      </c>
      <c r="D2485">
        <v>2012</v>
      </c>
      <c r="E2485" s="2">
        <v>100</v>
      </c>
      <c r="F2485" s="2">
        <v>7000</v>
      </c>
      <c r="G2485" s="2"/>
      <c r="H2485" s="3" t="s">
        <v>14</v>
      </c>
    </row>
    <row r="2486" spans="1:8" x14ac:dyDescent="0.3">
      <c r="A2486" t="s">
        <v>1346</v>
      </c>
      <c r="B2486" t="s">
        <v>915</v>
      </c>
      <c r="C2486" t="s">
        <v>916</v>
      </c>
      <c r="D2486">
        <v>2014</v>
      </c>
      <c r="E2486" s="2">
        <v>100</v>
      </c>
      <c r="F2486" s="2">
        <v>7000</v>
      </c>
      <c r="G2486" s="2"/>
      <c r="H2486" s="3" t="s">
        <v>14</v>
      </c>
    </row>
    <row r="2487" spans="1:8" x14ac:dyDescent="0.3">
      <c r="A2487" t="s">
        <v>1346</v>
      </c>
      <c r="B2487" t="s">
        <v>915</v>
      </c>
      <c r="C2487" t="s">
        <v>916</v>
      </c>
      <c r="D2487">
        <v>2015</v>
      </c>
      <c r="E2487" s="2">
        <v>125</v>
      </c>
      <c r="F2487" s="2">
        <v>8750</v>
      </c>
      <c r="G2487" s="2"/>
      <c r="H2487" s="3" t="s">
        <v>14</v>
      </c>
    </row>
    <row r="2488" spans="1:8" x14ac:dyDescent="0.3">
      <c r="A2488" t="s">
        <v>1346</v>
      </c>
      <c r="B2488" t="s">
        <v>915</v>
      </c>
      <c r="C2488" t="s">
        <v>916</v>
      </c>
      <c r="D2488">
        <v>2016</v>
      </c>
      <c r="E2488" s="2">
        <v>50</v>
      </c>
      <c r="F2488" s="2">
        <v>3500</v>
      </c>
      <c r="G2488" s="2"/>
      <c r="H2488" s="3" t="s">
        <v>14</v>
      </c>
    </row>
    <row r="2489" spans="1:8" x14ac:dyDescent="0.3">
      <c r="A2489" t="s">
        <v>1346</v>
      </c>
      <c r="B2489" t="s">
        <v>915</v>
      </c>
      <c r="C2489" t="s">
        <v>916</v>
      </c>
      <c r="D2489">
        <v>2017</v>
      </c>
      <c r="E2489" s="2">
        <v>50</v>
      </c>
      <c r="F2489" s="2">
        <v>3500</v>
      </c>
      <c r="G2489" s="2"/>
      <c r="H2489" s="3" t="s">
        <v>14</v>
      </c>
    </row>
    <row r="2490" spans="1:8" x14ac:dyDescent="0.3">
      <c r="A2490" t="s">
        <v>1346</v>
      </c>
      <c r="B2490" t="s">
        <v>915</v>
      </c>
      <c r="C2490" t="s">
        <v>916</v>
      </c>
      <c r="D2490">
        <v>2018</v>
      </c>
      <c r="E2490" s="2">
        <v>50</v>
      </c>
      <c r="F2490" s="2">
        <v>3500</v>
      </c>
      <c r="G2490" s="2">
        <v>3675</v>
      </c>
      <c r="H2490" s="3" t="s">
        <v>14</v>
      </c>
    </row>
    <row r="2491" spans="1:8" x14ac:dyDescent="0.3">
      <c r="A2491" t="s">
        <v>1346</v>
      </c>
      <c r="B2491" t="s">
        <v>915</v>
      </c>
      <c r="C2491" t="s">
        <v>916</v>
      </c>
      <c r="D2491">
        <v>2019</v>
      </c>
      <c r="E2491" s="2">
        <v>75</v>
      </c>
      <c r="F2491" s="2">
        <v>5250</v>
      </c>
      <c r="G2491" s="2">
        <v>5512.5</v>
      </c>
      <c r="H2491" s="3" t="s">
        <v>14</v>
      </c>
    </row>
    <row r="2492" spans="1:8" x14ac:dyDescent="0.3">
      <c r="A2492" t="s">
        <v>1346</v>
      </c>
      <c r="B2492" t="s">
        <v>915</v>
      </c>
      <c r="C2492" t="s">
        <v>916</v>
      </c>
      <c r="D2492">
        <v>2020</v>
      </c>
      <c r="E2492" s="2">
        <v>75</v>
      </c>
      <c r="F2492" s="2">
        <v>5250</v>
      </c>
      <c r="G2492" s="2">
        <v>5512.5</v>
      </c>
      <c r="H2492" s="3" t="s">
        <v>14</v>
      </c>
    </row>
    <row r="2493" spans="1:8" x14ac:dyDescent="0.3">
      <c r="A2493" t="s">
        <v>1346</v>
      </c>
      <c r="B2493" t="s">
        <v>915</v>
      </c>
      <c r="C2493" t="s">
        <v>916</v>
      </c>
      <c r="D2493">
        <v>2021</v>
      </c>
      <c r="E2493" s="2">
        <v>25</v>
      </c>
      <c r="F2493" s="2">
        <v>1750</v>
      </c>
      <c r="G2493" s="2">
        <v>1837.5</v>
      </c>
      <c r="H2493" s="3" t="s">
        <v>14</v>
      </c>
    </row>
    <row r="2494" spans="1:8" x14ac:dyDescent="0.3">
      <c r="A2494" t="s">
        <v>1346</v>
      </c>
      <c r="B2494" t="s">
        <v>192</v>
      </c>
      <c r="C2494" t="s">
        <v>193</v>
      </c>
      <c r="D2494">
        <v>2021</v>
      </c>
      <c r="E2494" s="2">
        <v>50</v>
      </c>
      <c r="F2494" s="2">
        <v>3400</v>
      </c>
      <c r="G2494" s="2">
        <v>3570</v>
      </c>
      <c r="H2494" s="3" t="s">
        <v>1351</v>
      </c>
    </row>
    <row r="2495" spans="1:8" x14ac:dyDescent="0.3">
      <c r="A2495" t="s">
        <v>1346</v>
      </c>
      <c r="B2495" t="s">
        <v>674</v>
      </c>
      <c r="C2495" t="s">
        <v>675</v>
      </c>
      <c r="D2495">
        <v>2020</v>
      </c>
      <c r="E2495" s="2">
        <v>75</v>
      </c>
      <c r="F2495" s="2">
        <v>5400</v>
      </c>
      <c r="G2495" s="2">
        <v>5670</v>
      </c>
      <c r="H2495" s="3" t="s">
        <v>14</v>
      </c>
    </row>
    <row r="2496" spans="1:8" x14ac:dyDescent="0.3">
      <c r="A2496" t="s">
        <v>1346</v>
      </c>
      <c r="B2496" t="s">
        <v>674</v>
      </c>
      <c r="C2496" t="s">
        <v>675</v>
      </c>
      <c r="D2496">
        <v>2021</v>
      </c>
      <c r="E2496" s="2">
        <v>25</v>
      </c>
      <c r="F2496" s="2">
        <v>1800</v>
      </c>
      <c r="G2496" s="2">
        <v>1890</v>
      </c>
      <c r="H2496" s="3" t="s">
        <v>14</v>
      </c>
    </row>
    <row r="2497" spans="1:8" x14ac:dyDescent="0.3">
      <c r="A2497" t="s">
        <v>1346</v>
      </c>
      <c r="B2497" t="s">
        <v>46</v>
      </c>
      <c r="C2497" t="s">
        <v>47</v>
      </c>
      <c r="D2497">
        <v>2018</v>
      </c>
      <c r="E2497" s="2">
        <v>25</v>
      </c>
      <c r="F2497" s="2">
        <v>1700</v>
      </c>
      <c r="G2497" s="2">
        <v>1785</v>
      </c>
    </row>
    <row r="2498" spans="1:8" x14ac:dyDescent="0.3">
      <c r="A2498" t="s">
        <v>1346</v>
      </c>
      <c r="B2498" t="s">
        <v>483</v>
      </c>
      <c r="C2498" t="s">
        <v>484</v>
      </c>
      <c r="D2498">
        <v>2019</v>
      </c>
      <c r="E2498" s="2">
        <v>100</v>
      </c>
      <c r="F2498" s="2">
        <v>6800</v>
      </c>
      <c r="G2498" s="2">
        <v>7140</v>
      </c>
      <c r="H2498" s="3" t="s">
        <v>14</v>
      </c>
    </row>
    <row r="2499" spans="1:8" x14ac:dyDescent="0.3">
      <c r="A2499" t="s">
        <v>1346</v>
      </c>
      <c r="B2499" t="s">
        <v>483</v>
      </c>
      <c r="C2499" t="s">
        <v>484</v>
      </c>
      <c r="D2499">
        <v>2020</v>
      </c>
      <c r="E2499" s="2">
        <v>500</v>
      </c>
      <c r="F2499" s="2">
        <v>28800</v>
      </c>
      <c r="G2499" s="2">
        <v>30240</v>
      </c>
      <c r="H2499" s="3" t="s">
        <v>14</v>
      </c>
    </row>
    <row r="2500" spans="1:8" x14ac:dyDescent="0.3">
      <c r="A2500" t="s">
        <v>1346</v>
      </c>
      <c r="B2500" t="s">
        <v>483</v>
      </c>
      <c r="C2500" t="s">
        <v>484</v>
      </c>
      <c r="D2500">
        <v>2021</v>
      </c>
      <c r="E2500" s="2">
        <v>75</v>
      </c>
      <c r="F2500" s="2">
        <v>5100</v>
      </c>
      <c r="G2500" s="2">
        <v>5355</v>
      </c>
      <c r="H2500" s="3" t="s">
        <v>14</v>
      </c>
    </row>
    <row r="2501" spans="1:8" x14ac:dyDescent="0.3">
      <c r="A2501" t="s">
        <v>1352</v>
      </c>
      <c r="B2501" t="s">
        <v>19</v>
      </c>
      <c r="C2501" t="s">
        <v>20</v>
      </c>
      <c r="D2501">
        <v>2021</v>
      </c>
      <c r="E2501" s="2">
        <v>5</v>
      </c>
      <c r="F2501" s="2">
        <v>350</v>
      </c>
      <c r="G2501" s="2">
        <v>367.5</v>
      </c>
      <c r="H2501" s="3" t="s">
        <v>374</v>
      </c>
    </row>
    <row r="2502" spans="1:8" x14ac:dyDescent="0.3">
      <c r="A2502" t="s">
        <v>1353</v>
      </c>
      <c r="B2502" t="s">
        <v>454</v>
      </c>
      <c r="C2502" t="s">
        <v>455</v>
      </c>
      <c r="D2502">
        <v>2017</v>
      </c>
      <c r="E2502" s="2">
        <v>25</v>
      </c>
      <c r="F2502" s="2">
        <v>2375</v>
      </c>
      <c r="G2502" s="2"/>
    </row>
    <row r="2503" spans="1:8" x14ac:dyDescent="0.3">
      <c r="A2503" t="s">
        <v>1353</v>
      </c>
      <c r="B2503" t="s">
        <v>28</v>
      </c>
      <c r="D2503">
        <v>2015</v>
      </c>
      <c r="E2503" s="2">
        <v>2</v>
      </c>
      <c r="F2503" s="2">
        <v>1000</v>
      </c>
      <c r="G2503" s="2"/>
    </row>
    <row r="2504" spans="1:8" x14ac:dyDescent="0.3">
      <c r="A2504" t="s">
        <v>1353</v>
      </c>
      <c r="B2504" t="s">
        <v>28</v>
      </c>
      <c r="D2504">
        <v>2016</v>
      </c>
      <c r="E2504" s="2">
        <v>15</v>
      </c>
      <c r="F2504" s="2">
        <v>7500</v>
      </c>
      <c r="G2504" s="2"/>
    </row>
    <row r="2505" spans="1:8" x14ac:dyDescent="0.3">
      <c r="A2505" t="s">
        <v>1353</v>
      </c>
      <c r="B2505" t="s">
        <v>29</v>
      </c>
      <c r="D2505">
        <v>2018</v>
      </c>
      <c r="E2505" s="2">
        <v>5</v>
      </c>
      <c r="F2505" s="2">
        <v>2500</v>
      </c>
      <c r="G2505" s="2">
        <v>2625</v>
      </c>
    </row>
    <row r="2506" spans="1:8" x14ac:dyDescent="0.3">
      <c r="A2506" t="s">
        <v>1353</v>
      </c>
      <c r="B2506" t="s">
        <v>29</v>
      </c>
      <c r="D2506">
        <v>2019</v>
      </c>
      <c r="E2506" s="2">
        <v>5</v>
      </c>
      <c r="F2506" s="2">
        <v>2250</v>
      </c>
      <c r="G2506" s="2">
        <v>2362.5</v>
      </c>
    </row>
    <row r="2507" spans="1:8" x14ac:dyDescent="0.3">
      <c r="A2507" t="s">
        <v>1353</v>
      </c>
      <c r="B2507" t="s">
        <v>1354</v>
      </c>
      <c r="D2507">
        <v>2020</v>
      </c>
      <c r="E2507" s="2">
        <v>40</v>
      </c>
      <c r="F2507" s="2">
        <v>4000</v>
      </c>
      <c r="G2507" s="2">
        <v>4200</v>
      </c>
      <c r="H2507" s="3" t="s">
        <v>18</v>
      </c>
    </row>
    <row r="2508" spans="1:8" x14ac:dyDescent="0.3">
      <c r="A2508" t="s">
        <v>1353</v>
      </c>
      <c r="B2508" t="s">
        <v>1354</v>
      </c>
      <c r="D2508">
        <v>2021</v>
      </c>
      <c r="E2508" s="2">
        <v>45</v>
      </c>
      <c r="F2508" s="2">
        <v>4500</v>
      </c>
      <c r="G2508" s="2">
        <v>4725</v>
      </c>
      <c r="H2508" s="3" t="s">
        <v>18</v>
      </c>
    </row>
    <row r="2509" spans="1:8" x14ac:dyDescent="0.3">
      <c r="A2509" t="s">
        <v>1353</v>
      </c>
      <c r="B2509" t="s">
        <v>297</v>
      </c>
      <c r="C2509" t="s">
        <v>298</v>
      </c>
      <c r="D2509">
        <v>2017</v>
      </c>
      <c r="E2509" s="2">
        <v>50</v>
      </c>
      <c r="F2509" s="2">
        <v>3750</v>
      </c>
      <c r="G2509" s="2"/>
    </row>
    <row r="2510" spans="1:8" x14ac:dyDescent="0.3">
      <c r="A2510" t="s">
        <v>1353</v>
      </c>
      <c r="B2510" t="s">
        <v>828</v>
      </c>
      <c r="D2510">
        <v>2015</v>
      </c>
      <c r="E2510" s="2">
        <v>10</v>
      </c>
      <c r="F2510" s="2">
        <v>3300</v>
      </c>
      <c r="G2510" s="2"/>
    </row>
    <row r="2511" spans="1:8" x14ac:dyDescent="0.3">
      <c r="A2511" t="s">
        <v>1353</v>
      </c>
      <c r="B2511" t="s">
        <v>863</v>
      </c>
      <c r="D2511">
        <v>2017</v>
      </c>
      <c r="E2511" s="2">
        <v>20</v>
      </c>
      <c r="F2511" s="2">
        <v>1760</v>
      </c>
      <c r="G2511" s="2"/>
    </row>
    <row r="2512" spans="1:8" x14ac:dyDescent="0.3">
      <c r="A2512" t="s">
        <v>1353</v>
      </c>
      <c r="B2512" t="s">
        <v>863</v>
      </c>
      <c r="D2512">
        <v>2019</v>
      </c>
      <c r="E2512" s="2">
        <v>16</v>
      </c>
      <c r="F2512" s="2">
        <v>1440</v>
      </c>
      <c r="G2512" s="2">
        <v>1512</v>
      </c>
    </row>
    <row r="2513" spans="1:8" x14ac:dyDescent="0.3">
      <c r="A2513" t="s">
        <v>1353</v>
      </c>
      <c r="B2513" t="s">
        <v>863</v>
      </c>
      <c r="D2513">
        <v>2020</v>
      </c>
      <c r="E2513" s="2">
        <v>20</v>
      </c>
      <c r="F2513" s="2">
        <v>1700</v>
      </c>
      <c r="G2513" s="2">
        <v>1785</v>
      </c>
    </row>
    <row r="2514" spans="1:8" x14ac:dyDescent="0.3">
      <c r="A2514" t="s">
        <v>1353</v>
      </c>
      <c r="B2514" t="s">
        <v>240</v>
      </c>
      <c r="D2514">
        <v>2013</v>
      </c>
      <c r="E2514" s="2">
        <v>5</v>
      </c>
      <c r="F2514" s="2">
        <v>500</v>
      </c>
      <c r="G2514" s="2"/>
    </row>
    <row r="2515" spans="1:8" x14ac:dyDescent="0.3">
      <c r="A2515" t="s">
        <v>1353</v>
      </c>
      <c r="B2515" t="s">
        <v>240</v>
      </c>
      <c r="D2515">
        <v>2014</v>
      </c>
      <c r="E2515" s="2">
        <v>20</v>
      </c>
      <c r="F2515" s="2">
        <v>1800</v>
      </c>
      <c r="G2515" s="2"/>
    </row>
    <row r="2516" spans="1:8" x14ac:dyDescent="0.3">
      <c r="A2516" t="s">
        <v>1353</v>
      </c>
      <c r="B2516" t="s">
        <v>32</v>
      </c>
      <c r="D2516">
        <v>2013</v>
      </c>
      <c r="E2516" s="2">
        <v>5</v>
      </c>
      <c r="F2516" s="2">
        <v>500</v>
      </c>
      <c r="G2516" s="2"/>
    </row>
    <row r="2517" spans="1:8" x14ac:dyDescent="0.3">
      <c r="A2517" t="s">
        <v>1353</v>
      </c>
      <c r="B2517" t="s">
        <v>32</v>
      </c>
      <c r="D2517">
        <v>2017</v>
      </c>
      <c r="E2517" s="2">
        <v>20</v>
      </c>
      <c r="F2517" s="2">
        <v>1800</v>
      </c>
      <c r="G2517" s="2"/>
    </row>
    <row r="2518" spans="1:8" x14ac:dyDescent="0.3">
      <c r="A2518" t="s">
        <v>1353</v>
      </c>
      <c r="B2518" t="s">
        <v>32</v>
      </c>
      <c r="D2518">
        <v>2018</v>
      </c>
      <c r="E2518" s="2">
        <v>45</v>
      </c>
      <c r="F2518" s="2">
        <v>4050</v>
      </c>
      <c r="G2518" s="2">
        <v>4252.5</v>
      </c>
    </row>
    <row r="2519" spans="1:8" x14ac:dyDescent="0.3">
      <c r="A2519" t="s">
        <v>1353</v>
      </c>
      <c r="B2519" t="s">
        <v>864</v>
      </c>
      <c r="D2519">
        <v>2013</v>
      </c>
      <c r="E2519" s="2">
        <v>5</v>
      </c>
      <c r="F2519" s="2">
        <v>500</v>
      </c>
      <c r="G2519" s="2"/>
    </row>
    <row r="2520" spans="1:8" x14ac:dyDescent="0.3">
      <c r="A2520" t="s">
        <v>1353</v>
      </c>
      <c r="B2520" t="s">
        <v>864</v>
      </c>
      <c r="D2520">
        <v>2016</v>
      </c>
      <c r="E2520" s="2">
        <v>20</v>
      </c>
      <c r="F2520" s="2">
        <v>1860</v>
      </c>
      <c r="G2520" s="2"/>
    </row>
    <row r="2521" spans="1:8" x14ac:dyDescent="0.3">
      <c r="A2521" t="s">
        <v>1353</v>
      </c>
      <c r="B2521" t="s">
        <v>46</v>
      </c>
      <c r="C2521" t="s">
        <v>47</v>
      </c>
      <c r="D2521">
        <v>2017</v>
      </c>
      <c r="E2521" s="2">
        <v>13</v>
      </c>
      <c r="F2521" s="2">
        <v>875</v>
      </c>
      <c r="G2521" s="2"/>
    </row>
    <row r="2522" spans="1:8" x14ac:dyDescent="0.3">
      <c r="A2522" t="s">
        <v>1353</v>
      </c>
      <c r="B2522" t="s">
        <v>483</v>
      </c>
      <c r="C2522" t="s">
        <v>484</v>
      </c>
      <c r="D2522">
        <v>2019</v>
      </c>
      <c r="E2522" s="2">
        <v>25</v>
      </c>
      <c r="F2522" s="2">
        <v>1675</v>
      </c>
      <c r="G2522" s="2">
        <v>1758.75</v>
      </c>
    </row>
    <row r="2523" spans="1:8" x14ac:dyDescent="0.3">
      <c r="A2523" t="s">
        <v>1355</v>
      </c>
      <c r="B2523" t="s">
        <v>586</v>
      </c>
      <c r="C2523" t="s">
        <v>587</v>
      </c>
      <c r="D2523">
        <v>2020</v>
      </c>
      <c r="E2523" s="2">
        <v>10</v>
      </c>
      <c r="F2523" s="2">
        <v>1900</v>
      </c>
      <c r="G2523" s="2">
        <v>1995</v>
      </c>
    </row>
    <row r="2524" spans="1:8" x14ac:dyDescent="0.3">
      <c r="A2524" t="s">
        <v>1355</v>
      </c>
      <c r="B2524" t="s">
        <v>248</v>
      </c>
      <c r="C2524" t="s">
        <v>249</v>
      </c>
      <c r="D2524">
        <v>2020</v>
      </c>
      <c r="E2524" s="2">
        <v>20</v>
      </c>
      <c r="F2524" s="2">
        <v>4000</v>
      </c>
      <c r="G2524" s="2">
        <v>4200</v>
      </c>
    </row>
    <row r="2525" spans="1:8" x14ac:dyDescent="0.3">
      <c r="A2525" t="s">
        <v>1355</v>
      </c>
      <c r="B2525" t="s">
        <v>510</v>
      </c>
      <c r="C2525" t="s">
        <v>511</v>
      </c>
      <c r="D2525">
        <v>2021</v>
      </c>
      <c r="E2525" s="2">
        <v>20</v>
      </c>
      <c r="F2525" s="2">
        <v>3200</v>
      </c>
      <c r="G2525" s="2">
        <v>3360</v>
      </c>
      <c r="H2525" s="3" t="s">
        <v>18</v>
      </c>
    </row>
    <row r="2526" spans="1:8" x14ac:dyDescent="0.3">
      <c r="A2526" t="s">
        <v>1356</v>
      </c>
      <c r="B2526" t="s">
        <v>714</v>
      </c>
      <c r="C2526" t="s">
        <v>715</v>
      </c>
      <c r="D2526">
        <v>2018</v>
      </c>
      <c r="E2526" s="2">
        <v>5</v>
      </c>
      <c r="F2526" s="2">
        <v>500</v>
      </c>
      <c r="G2526" s="2">
        <v>525</v>
      </c>
    </row>
    <row r="2527" spans="1:8" x14ac:dyDescent="0.3">
      <c r="A2527" t="s">
        <v>1356</v>
      </c>
      <c r="B2527" t="s">
        <v>1234</v>
      </c>
      <c r="C2527" t="s">
        <v>1235</v>
      </c>
      <c r="D2527">
        <v>2011</v>
      </c>
      <c r="E2527" s="2">
        <v>5</v>
      </c>
      <c r="F2527" s="2">
        <v>1250</v>
      </c>
      <c r="G2527" s="2"/>
    </row>
    <row r="2528" spans="1:8" x14ac:dyDescent="0.3">
      <c r="A2528" t="s">
        <v>1356</v>
      </c>
      <c r="B2528" t="s">
        <v>988</v>
      </c>
      <c r="C2528" t="s">
        <v>1357</v>
      </c>
      <c r="D2528">
        <v>2011</v>
      </c>
      <c r="E2528" s="2">
        <v>5</v>
      </c>
      <c r="F2528" s="2">
        <v>950</v>
      </c>
      <c r="G2528" s="2"/>
    </row>
    <row r="2529" spans="1:8" x14ac:dyDescent="0.3">
      <c r="A2529" t="s">
        <v>1356</v>
      </c>
      <c r="B2529" t="s">
        <v>55</v>
      </c>
      <c r="D2529">
        <v>2018</v>
      </c>
      <c r="E2529" s="2">
        <v>5</v>
      </c>
      <c r="F2529" s="2">
        <v>1100</v>
      </c>
      <c r="G2529" s="2">
        <v>1155</v>
      </c>
    </row>
    <row r="2530" spans="1:8" x14ac:dyDescent="0.3">
      <c r="A2530" t="s">
        <v>1356</v>
      </c>
      <c r="B2530" t="s">
        <v>557</v>
      </c>
      <c r="C2530" t="s">
        <v>212</v>
      </c>
      <c r="D2530">
        <v>2017</v>
      </c>
      <c r="E2530" s="2">
        <v>5</v>
      </c>
      <c r="F2530" s="2">
        <v>1000</v>
      </c>
      <c r="G2530" s="2"/>
    </row>
    <row r="2531" spans="1:8" x14ac:dyDescent="0.3">
      <c r="A2531" t="s">
        <v>1356</v>
      </c>
      <c r="B2531" t="s">
        <v>219</v>
      </c>
      <c r="C2531" t="s">
        <v>220</v>
      </c>
      <c r="D2531">
        <v>2016</v>
      </c>
      <c r="E2531" s="2">
        <v>5</v>
      </c>
      <c r="F2531" s="2">
        <v>1100</v>
      </c>
      <c r="G2531" s="2"/>
    </row>
    <row r="2532" spans="1:8" x14ac:dyDescent="0.3">
      <c r="A2532" t="s">
        <v>1356</v>
      </c>
      <c r="B2532" t="s">
        <v>16</v>
      </c>
      <c r="C2532" t="s">
        <v>17</v>
      </c>
      <c r="D2532">
        <v>2017</v>
      </c>
      <c r="E2532" s="2">
        <v>25</v>
      </c>
      <c r="F2532" s="2">
        <v>3000</v>
      </c>
      <c r="G2532" s="2"/>
      <c r="H2532" s="3" t="s">
        <v>18</v>
      </c>
    </row>
    <row r="2533" spans="1:8" x14ac:dyDescent="0.3">
      <c r="A2533" t="s">
        <v>1356</v>
      </c>
      <c r="B2533" t="s">
        <v>16</v>
      </c>
      <c r="C2533" t="s">
        <v>17</v>
      </c>
      <c r="D2533">
        <v>2018</v>
      </c>
      <c r="E2533" s="2">
        <v>30</v>
      </c>
      <c r="F2533" s="2">
        <v>3600</v>
      </c>
      <c r="G2533" s="2">
        <v>3780</v>
      </c>
      <c r="H2533" s="3" t="s">
        <v>18</v>
      </c>
    </row>
    <row r="2534" spans="1:8" x14ac:dyDescent="0.3">
      <c r="A2534" t="s">
        <v>1356</v>
      </c>
      <c r="B2534" t="s">
        <v>16</v>
      </c>
      <c r="C2534" t="s">
        <v>17</v>
      </c>
      <c r="D2534">
        <v>2019</v>
      </c>
      <c r="E2534" s="2">
        <v>65</v>
      </c>
      <c r="F2534" s="2">
        <v>7800</v>
      </c>
      <c r="G2534" s="2">
        <v>8190</v>
      </c>
      <c r="H2534" s="3" t="s">
        <v>18</v>
      </c>
    </row>
    <row r="2535" spans="1:8" x14ac:dyDescent="0.3">
      <c r="A2535" t="s">
        <v>1356</v>
      </c>
      <c r="B2535" t="s">
        <v>16</v>
      </c>
      <c r="C2535" t="s">
        <v>17</v>
      </c>
      <c r="D2535">
        <v>2020</v>
      </c>
      <c r="E2535" s="2">
        <v>55</v>
      </c>
      <c r="F2535" s="2">
        <v>6600</v>
      </c>
      <c r="G2535" s="2">
        <v>6930</v>
      </c>
      <c r="H2535" s="3" t="s">
        <v>18</v>
      </c>
    </row>
    <row r="2536" spans="1:8" x14ac:dyDescent="0.3">
      <c r="A2536" t="s">
        <v>1356</v>
      </c>
      <c r="B2536" t="s">
        <v>16</v>
      </c>
      <c r="C2536" t="s">
        <v>17</v>
      </c>
      <c r="D2536">
        <v>2021</v>
      </c>
      <c r="E2536" s="2">
        <v>25</v>
      </c>
      <c r="F2536" s="2">
        <v>3000</v>
      </c>
      <c r="G2536" s="2">
        <v>3150</v>
      </c>
      <c r="H2536" s="3" t="s">
        <v>18</v>
      </c>
    </row>
    <row r="2537" spans="1:8" x14ac:dyDescent="0.3">
      <c r="A2537" t="s">
        <v>1356</v>
      </c>
      <c r="B2537" t="s">
        <v>1247</v>
      </c>
      <c r="C2537" t="s">
        <v>1248</v>
      </c>
      <c r="D2537">
        <v>2011</v>
      </c>
      <c r="E2537" s="2">
        <v>5</v>
      </c>
      <c r="F2537" s="2">
        <v>850</v>
      </c>
      <c r="G2537" s="2"/>
    </row>
    <row r="2538" spans="1:8" x14ac:dyDescent="0.3">
      <c r="A2538" t="s">
        <v>1356</v>
      </c>
      <c r="B2538" t="s">
        <v>790</v>
      </c>
      <c r="C2538" t="s">
        <v>791</v>
      </c>
      <c r="D2538">
        <v>2020</v>
      </c>
      <c r="E2538" s="2">
        <v>5</v>
      </c>
      <c r="F2538" s="2">
        <v>1000</v>
      </c>
      <c r="G2538" s="2">
        <v>1050</v>
      </c>
    </row>
    <row r="2539" spans="1:8" x14ac:dyDescent="0.3">
      <c r="A2539" t="s">
        <v>1356</v>
      </c>
      <c r="B2539" t="s">
        <v>504</v>
      </c>
      <c r="C2539" t="s">
        <v>505</v>
      </c>
      <c r="D2539">
        <v>2011</v>
      </c>
      <c r="E2539" s="2">
        <v>5</v>
      </c>
      <c r="F2539" s="2">
        <v>850</v>
      </c>
      <c r="G2539" s="2"/>
    </row>
    <row r="2540" spans="1:8" x14ac:dyDescent="0.3">
      <c r="A2540" t="s">
        <v>1356</v>
      </c>
      <c r="B2540" t="s">
        <v>504</v>
      </c>
      <c r="C2540" t="s">
        <v>505</v>
      </c>
      <c r="D2540">
        <v>2020</v>
      </c>
      <c r="E2540" s="2">
        <v>5</v>
      </c>
      <c r="F2540" s="2">
        <v>800</v>
      </c>
      <c r="G2540" s="2">
        <v>840</v>
      </c>
    </row>
    <row r="2541" spans="1:8" x14ac:dyDescent="0.3">
      <c r="A2541" t="s">
        <v>1356</v>
      </c>
      <c r="B2541" t="s">
        <v>631</v>
      </c>
      <c r="C2541" t="s">
        <v>632</v>
      </c>
      <c r="D2541">
        <v>2016</v>
      </c>
      <c r="E2541" s="2">
        <v>5</v>
      </c>
      <c r="F2541" s="2">
        <v>800</v>
      </c>
      <c r="G2541" s="2"/>
    </row>
    <row r="2542" spans="1:8" x14ac:dyDescent="0.3">
      <c r="A2542" t="s">
        <v>1356</v>
      </c>
      <c r="B2542" t="s">
        <v>206</v>
      </c>
      <c r="C2542" t="s">
        <v>207</v>
      </c>
      <c r="D2542">
        <v>2017</v>
      </c>
      <c r="E2542" s="2">
        <v>5</v>
      </c>
      <c r="F2542" s="2">
        <v>750</v>
      </c>
      <c r="G2542" s="2"/>
    </row>
    <row r="2543" spans="1:8" x14ac:dyDescent="0.3">
      <c r="A2543" t="s">
        <v>1356</v>
      </c>
      <c r="B2543" t="s">
        <v>206</v>
      </c>
      <c r="C2543" t="s">
        <v>207</v>
      </c>
      <c r="D2543">
        <v>2018</v>
      </c>
      <c r="E2543" s="2">
        <v>5</v>
      </c>
      <c r="F2543" s="2">
        <v>750</v>
      </c>
      <c r="G2543" s="2">
        <v>787.5</v>
      </c>
    </row>
    <row r="2544" spans="1:8" x14ac:dyDescent="0.3">
      <c r="A2544" t="s">
        <v>1356</v>
      </c>
      <c r="B2544" t="s">
        <v>206</v>
      </c>
      <c r="C2544" t="s">
        <v>207</v>
      </c>
      <c r="D2544">
        <v>2019</v>
      </c>
      <c r="E2544" s="2">
        <v>10</v>
      </c>
      <c r="F2544" s="2">
        <v>1500</v>
      </c>
      <c r="G2544" s="2">
        <v>1575</v>
      </c>
    </row>
    <row r="2545" spans="1:8" x14ac:dyDescent="0.3">
      <c r="A2545" t="s">
        <v>1356</v>
      </c>
      <c r="B2545" t="s">
        <v>612</v>
      </c>
      <c r="C2545" t="s">
        <v>613</v>
      </c>
      <c r="D2545">
        <v>2016</v>
      </c>
      <c r="E2545" s="2">
        <v>5</v>
      </c>
      <c r="F2545" s="2">
        <v>1200</v>
      </c>
      <c r="G2545" s="2"/>
    </row>
    <row r="2546" spans="1:8" x14ac:dyDescent="0.3">
      <c r="A2546" t="s">
        <v>1356</v>
      </c>
      <c r="B2546" t="s">
        <v>612</v>
      </c>
      <c r="C2546" t="s">
        <v>613</v>
      </c>
      <c r="D2546">
        <v>2017</v>
      </c>
      <c r="E2546" s="2">
        <v>5</v>
      </c>
      <c r="F2546" s="2">
        <v>1200</v>
      </c>
      <c r="G2546" s="2"/>
    </row>
    <row r="2547" spans="1:8" x14ac:dyDescent="0.3">
      <c r="A2547" t="s">
        <v>1356</v>
      </c>
      <c r="B2547" t="s">
        <v>1358</v>
      </c>
      <c r="C2547" t="s">
        <v>539</v>
      </c>
      <c r="D2547">
        <v>2011</v>
      </c>
      <c r="E2547" s="2">
        <v>5</v>
      </c>
      <c r="F2547" s="2">
        <v>1200</v>
      </c>
      <c r="G2547" s="2"/>
    </row>
    <row r="2548" spans="1:8" x14ac:dyDescent="0.3">
      <c r="A2548" t="s">
        <v>1356</v>
      </c>
      <c r="B2548" t="s">
        <v>1358</v>
      </c>
      <c r="C2548" t="s">
        <v>539</v>
      </c>
      <c r="D2548">
        <v>2017</v>
      </c>
      <c r="E2548" s="2">
        <v>5</v>
      </c>
      <c r="F2548" s="2">
        <v>800</v>
      </c>
      <c r="G2548" s="2"/>
    </row>
    <row r="2549" spans="1:8" x14ac:dyDescent="0.3">
      <c r="A2549" t="s">
        <v>1356</v>
      </c>
      <c r="B2549" t="s">
        <v>637</v>
      </c>
      <c r="C2549" t="s">
        <v>638</v>
      </c>
      <c r="D2549">
        <v>2019</v>
      </c>
      <c r="E2549" s="2">
        <v>5</v>
      </c>
      <c r="F2549" s="2">
        <v>1000</v>
      </c>
      <c r="G2549" s="2">
        <v>1050</v>
      </c>
    </row>
    <row r="2550" spans="1:8" x14ac:dyDescent="0.3">
      <c r="A2550" t="s">
        <v>1356</v>
      </c>
      <c r="B2550" t="s">
        <v>637</v>
      </c>
      <c r="C2550" t="s">
        <v>638</v>
      </c>
      <c r="D2550">
        <v>2020</v>
      </c>
      <c r="E2550" s="2">
        <v>5</v>
      </c>
      <c r="F2550" s="2">
        <v>1000</v>
      </c>
      <c r="G2550" s="2">
        <v>1050</v>
      </c>
    </row>
    <row r="2551" spans="1:8" x14ac:dyDescent="0.3">
      <c r="A2551" t="s">
        <v>1356</v>
      </c>
      <c r="B2551" t="s">
        <v>510</v>
      </c>
      <c r="C2551" t="s">
        <v>511</v>
      </c>
      <c r="D2551">
        <v>2018</v>
      </c>
      <c r="E2551" s="2">
        <v>5</v>
      </c>
      <c r="F2551" s="2">
        <v>875</v>
      </c>
      <c r="G2551" s="2">
        <v>918.75</v>
      </c>
    </row>
    <row r="2552" spans="1:8" x14ac:dyDescent="0.3">
      <c r="A2552" t="s">
        <v>1356</v>
      </c>
      <c r="B2552" t="s">
        <v>1359</v>
      </c>
      <c r="C2552" t="s">
        <v>364</v>
      </c>
      <c r="D2552">
        <v>2016</v>
      </c>
      <c r="E2552" s="2">
        <v>5</v>
      </c>
      <c r="F2552" s="2">
        <v>1000</v>
      </c>
      <c r="G2552" s="2"/>
    </row>
    <row r="2553" spans="1:8" x14ac:dyDescent="0.3">
      <c r="A2553" t="s">
        <v>1356</v>
      </c>
      <c r="B2553" t="s">
        <v>99</v>
      </c>
      <c r="C2553" t="s">
        <v>100</v>
      </c>
      <c r="D2553">
        <v>2011</v>
      </c>
      <c r="E2553" s="2">
        <v>5</v>
      </c>
      <c r="F2553" s="2">
        <v>1000</v>
      </c>
      <c r="G2553" s="2"/>
    </row>
    <row r="2554" spans="1:8" x14ac:dyDescent="0.3">
      <c r="A2554" t="s">
        <v>1356</v>
      </c>
      <c r="B2554" t="s">
        <v>99</v>
      </c>
      <c r="C2554" t="s">
        <v>100</v>
      </c>
      <c r="D2554">
        <v>2015</v>
      </c>
      <c r="E2554" s="2">
        <v>5</v>
      </c>
      <c r="F2554" s="2">
        <v>1000</v>
      </c>
      <c r="G2554" s="2"/>
    </row>
    <row r="2555" spans="1:8" x14ac:dyDescent="0.3">
      <c r="A2555" t="s">
        <v>1356</v>
      </c>
      <c r="B2555" t="s">
        <v>99</v>
      </c>
      <c r="C2555" t="s">
        <v>100</v>
      </c>
      <c r="D2555">
        <v>2018</v>
      </c>
      <c r="E2555" s="2">
        <v>5</v>
      </c>
      <c r="F2555" s="2">
        <v>1000</v>
      </c>
      <c r="G2555" s="2">
        <v>1050</v>
      </c>
    </row>
    <row r="2556" spans="1:8" x14ac:dyDescent="0.3">
      <c r="A2556" t="s">
        <v>1356</v>
      </c>
      <c r="B2556" t="s">
        <v>1360</v>
      </c>
      <c r="D2556">
        <v>2019</v>
      </c>
      <c r="E2556" s="2">
        <v>5</v>
      </c>
      <c r="F2556" s="2">
        <v>1200</v>
      </c>
      <c r="G2556" s="2">
        <v>1260</v>
      </c>
    </row>
    <row r="2557" spans="1:8" x14ac:dyDescent="0.3">
      <c r="A2557" t="s">
        <v>1356</v>
      </c>
      <c r="B2557" t="s">
        <v>103</v>
      </c>
      <c r="C2557" t="s">
        <v>104</v>
      </c>
      <c r="D2557">
        <v>2011</v>
      </c>
      <c r="E2557" s="2">
        <v>5</v>
      </c>
      <c r="F2557" s="2">
        <v>1200</v>
      </c>
      <c r="G2557" s="2"/>
      <c r="H2557" s="3" t="s">
        <v>18</v>
      </c>
    </row>
    <row r="2558" spans="1:8" x14ac:dyDescent="0.3">
      <c r="A2558" t="s">
        <v>1356</v>
      </c>
      <c r="B2558" t="s">
        <v>103</v>
      </c>
      <c r="C2558" t="s">
        <v>104</v>
      </c>
      <c r="D2558">
        <v>2016</v>
      </c>
      <c r="E2558" s="2">
        <v>10</v>
      </c>
      <c r="F2558" s="2">
        <v>2400</v>
      </c>
      <c r="G2558" s="2"/>
      <c r="H2558" s="3" t="s">
        <v>18</v>
      </c>
    </row>
    <row r="2559" spans="1:8" x14ac:dyDescent="0.3">
      <c r="A2559" t="s">
        <v>1356</v>
      </c>
      <c r="B2559" t="s">
        <v>103</v>
      </c>
      <c r="C2559" t="s">
        <v>104</v>
      </c>
      <c r="D2559">
        <v>2017</v>
      </c>
      <c r="E2559" s="2">
        <v>5</v>
      </c>
      <c r="F2559" s="2">
        <v>1200</v>
      </c>
      <c r="G2559" s="2"/>
      <c r="H2559" s="3" t="s">
        <v>18</v>
      </c>
    </row>
    <row r="2560" spans="1:8" x14ac:dyDescent="0.3">
      <c r="A2560" t="s">
        <v>1356</v>
      </c>
      <c r="B2560" t="s">
        <v>103</v>
      </c>
      <c r="C2560" t="s">
        <v>104</v>
      </c>
      <c r="D2560">
        <v>2018</v>
      </c>
      <c r="E2560" s="2">
        <v>5</v>
      </c>
      <c r="F2560" s="2">
        <v>1200</v>
      </c>
      <c r="G2560" s="2">
        <v>1260</v>
      </c>
      <c r="H2560" s="3" t="s">
        <v>18</v>
      </c>
    </row>
    <row r="2561" spans="1:8" x14ac:dyDescent="0.3">
      <c r="A2561" t="s">
        <v>1356</v>
      </c>
      <c r="B2561" t="s">
        <v>103</v>
      </c>
      <c r="C2561" t="s">
        <v>104</v>
      </c>
      <c r="D2561">
        <v>2021</v>
      </c>
      <c r="E2561" s="2">
        <v>5</v>
      </c>
      <c r="F2561" s="2">
        <v>1200</v>
      </c>
      <c r="G2561" s="2">
        <v>1260</v>
      </c>
      <c r="H2561" s="3" t="s">
        <v>18</v>
      </c>
    </row>
    <row r="2562" spans="1:8" x14ac:dyDescent="0.3">
      <c r="A2562" t="s">
        <v>1356</v>
      </c>
      <c r="B2562" t="s">
        <v>299</v>
      </c>
      <c r="C2562" t="s">
        <v>300</v>
      </c>
      <c r="D2562">
        <v>2011</v>
      </c>
      <c r="E2562" s="2">
        <v>5</v>
      </c>
      <c r="F2562" s="2">
        <v>1700</v>
      </c>
      <c r="G2562" s="2"/>
    </row>
    <row r="2563" spans="1:8" x14ac:dyDescent="0.3">
      <c r="A2563" t="s">
        <v>1356</v>
      </c>
      <c r="B2563" t="s">
        <v>299</v>
      </c>
      <c r="C2563" t="s">
        <v>300</v>
      </c>
      <c r="D2563">
        <v>2017</v>
      </c>
      <c r="E2563" s="2">
        <v>3</v>
      </c>
      <c r="F2563" s="2">
        <v>450</v>
      </c>
      <c r="G2563" s="2"/>
    </row>
    <row r="2564" spans="1:8" x14ac:dyDescent="0.3">
      <c r="A2564" t="s">
        <v>1356</v>
      </c>
      <c r="B2564" t="s">
        <v>114</v>
      </c>
      <c r="C2564" t="s">
        <v>115</v>
      </c>
      <c r="D2564">
        <v>2018</v>
      </c>
      <c r="E2564" s="2">
        <v>5</v>
      </c>
      <c r="F2564" s="2">
        <v>500</v>
      </c>
      <c r="G2564" s="2">
        <v>525</v>
      </c>
    </row>
    <row r="2565" spans="1:8" x14ac:dyDescent="0.3">
      <c r="A2565" t="s">
        <v>1356</v>
      </c>
      <c r="B2565" t="s">
        <v>125</v>
      </c>
      <c r="D2565">
        <v>2021</v>
      </c>
      <c r="E2565" s="2">
        <v>5</v>
      </c>
      <c r="F2565" s="2">
        <v>1400</v>
      </c>
      <c r="G2565" s="2">
        <v>1470</v>
      </c>
      <c r="H2565" s="3" t="s">
        <v>18</v>
      </c>
    </row>
    <row r="2566" spans="1:8" x14ac:dyDescent="0.3">
      <c r="A2566" t="s">
        <v>1356</v>
      </c>
      <c r="B2566" t="s">
        <v>1361</v>
      </c>
      <c r="C2566" t="s">
        <v>1362</v>
      </c>
      <c r="D2566">
        <v>2017</v>
      </c>
      <c r="E2566" s="2">
        <v>9</v>
      </c>
      <c r="F2566" s="2">
        <v>1440</v>
      </c>
      <c r="G2566" s="2"/>
    </row>
    <row r="2567" spans="1:8" x14ac:dyDescent="0.3">
      <c r="A2567" t="s">
        <v>1356</v>
      </c>
      <c r="B2567" t="s">
        <v>307</v>
      </c>
      <c r="C2567" t="s">
        <v>132</v>
      </c>
      <c r="D2567">
        <v>2016</v>
      </c>
      <c r="E2567" s="2">
        <v>5</v>
      </c>
      <c r="F2567" s="2">
        <v>1000</v>
      </c>
      <c r="G2567" s="2"/>
    </row>
    <row r="2568" spans="1:8" x14ac:dyDescent="0.3">
      <c r="A2568" t="s">
        <v>1356</v>
      </c>
      <c r="B2568" t="s">
        <v>373</v>
      </c>
      <c r="C2568" t="s">
        <v>331</v>
      </c>
      <c r="D2568">
        <v>2017</v>
      </c>
      <c r="E2568" s="2">
        <v>5</v>
      </c>
      <c r="F2568" s="2">
        <v>875</v>
      </c>
      <c r="G2568" s="2"/>
      <c r="H2568" s="3" t="s">
        <v>18</v>
      </c>
    </row>
    <row r="2569" spans="1:8" x14ac:dyDescent="0.3">
      <c r="A2569" t="s">
        <v>1356</v>
      </c>
      <c r="B2569" t="s">
        <v>373</v>
      </c>
      <c r="C2569" t="s">
        <v>331</v>
      </c>
      <c r="D2569">
        <v>2018</v>
      </c>
      <c r="E2569" s="2">
        <v>5</v>
      </c>
      <c r="F2569" s="2">
        <v>875</v>
      </c>
      <c r="G2569" s="2">
        <v>918.75</v>
      </c>
      <c r="H2569" s="3" t="s">
        <v>18</v>
      </c>
    </row>
    <row r="2570" spans="1:8" x14ac:dyDescent="0.3">
      <c r="A2570" t="s">
        <v>1356</v>
      </c>
      <c r="B2570" t="s">
        <v>373</v>
      </c>
      <c r="C2570" t="s">
        <v>331</v>
      </c>
      <c r="D2570">
        <v>2021</v>
      </c>
      <c r="E2570" s="2">
        <v>5</v>
      </c>
      <c r="F2570" s="2">
        <v>750</v>
      </c>
      <c r="G2570" s="2">
        <v>787.5</v>
      </c>
      <c r="H2570" s="3" t="s">
        <v>18</v>
      </c>
    </row>
    <row r="2571" spans="1:8" x14ac:dyDescent="0.3">
      <c r="A2571" t="s">
        <v>1356</v>
      </c>
      <c r="B2571" t="s">
        <v>402</v>
      </c>
      <c r="C2571" t="s">
        <v>403</v>
      </c>
      <c r="D2571">
        <v>2018</v>
      </c>
      <c r="E2571" s="2">
        <v>5</v>
      </c>
      <c r="F2571" s="2">
        <v>1000</v>
      </c>
      <c r="G2571" s="2">
        <v>1050</v>
      </c>
    </row>
    <row r="2572" spans="1:8" x14ac:dyDescent="0.3">
      <c r="A2572" t="s">
        <v>1356</v>
      </c>
      <c r="B2572" t="s">
        <v>402</v>
      </c>
      <c r="C2572" t="s">
        <v>403</v>
      </c>
      <c r="D2572">
        <v>2019</v>
      </c>
      <c r="E2572" s="2">
        <v>5</v>
      </c>
      <c r="F2572" s="2">
        <v>1000</v>
      </c>
      <c r="G2572" s="2">
        <v>1050</v>
      </c>
    </row>
    <row r="2573" spans="1:8" x14ac:dyDescent="0.3">
      <c r="A2573" t="s">
        <v>1356</v>
      </c>
      <c r="B2573" t="s">
        <v>402</v>
      </c>
      <c r="C2573" t="s">
        <v>403</v>
      </c>
      <c r="D2573">
        <v>2020</v>
      </c>
      <c r="E2573" s="2">
        <v>5</v>
      </c>
      <c r="F2573" s="2">
        <v>1000</v>
      </c>
      <c r="G2573" s="2">
        <v>1050</v>
      </c>
    </row>
    <row r="2574" spans="1:8" x14ac:dyDescent="0.3">
      <c r="A2574" t="s">
        <v>1356</v>
      </c>
      <c r="B2574" t="s">
        <v>1363</v>
      </c>
      <c r="C2574" t="s">
        <v>1364</v>
      </c>
      <c r="D2574">
        <v>2017</v>
      </c>
      <c r="E2574" s="2">
        <v>5</v>
      </c>
      <c r="F2574" s="2">
        <v>1000</v>
      </c>
      <c r="G2574" s="2"/>
    </row>
    <row r="2575" spans="1:8" x14ac:dyDescent="0.3">
      <c r="A2575" t="s">
        <v>1356</v>
      </c>
      <c r="B2575" t="s">
        <v>1365</v>
      </c>
      <c r="C2575" t="s">
        <v>1366</v>
      </c>
      <c r="D2575">
        <v>2011</v>
      </c>
      <c r="E2575" s="2">
        <v>5</v>
      </c>
      <c r="F2575" s="2">
        <v>1150</v>
      </c>
      <c r="G2575" s="2"/>
    </row>
    <row r="2576" spans="1:8" x14ac:dyDescent="0.3">
      <c r="A2576" t="s">
        <v>1356</v>
      </c>
      <c r="B2576" t="s">
        <v>137</v>
      </c>
      <c r="C2576" t="s">
        <v>138</v>
      </c>
      <c r="D2576">
        <v>2017</v>
      </c>
      <c r="E2576" s="2">
        <v>5</v>
      </c>
      <c r="F2576" s="2">
        <v>875</v>
      </c>
      <c r="G2576" s="2"/>
    </row>
    <row r="2577" spans="1:7" x14ac:dyDescent="0.3">
      <c r="A2577" t="s">
        <v>1356</v>
      </c>
      <c r="B2577" t="s">
        <v>575</v>
      </c>
      <c r="C2577" t="s">
        <v>673</v>
      </c>
      <c r="D2577">
        <v>2018</v>
      </c>
      <c r="E2577" s="2">
        <v>5</v>
      </c>
      <c r="F2577" s="2">
        <v>500</v>
      </c>
      <c r="G2577" s="2">
        <v>525</v>
      </c>
    </row>
    <row r="2578" spans="1:7" x14ac:dyDescent="0.3">
      <c r="A2578" t="s">
        <v>1356</v>
      </c>
      <c r="B2578" t="s">
        <v>1367</v>
      </c>
      <c r="C2578" t="s">
        <v>1368</v>
      </c>
      <c r="D2578">
        <v>2018</v>
      </c>
      <c r="E2578" s="2">
        <v>5</v>
      </c>
      <c r="F2578" s="2">
        <v>950</v>
      </c>
      <c r="G2578" s="2">
        <v>997.5</v>
      </c>
    </row>
    <row r="2579" spans="1:7" x14ac:dyDescent="0.3">
      <c r="A2579" t="s">
        <v>1356</v>
      </c>
      <c r="B2579" t="s">
        <v>1369</v>
      </c>
      <c r="C2579" t="s">
        <v>1370</v>
      </c>
      <c r="D2579">
        <v>2020</v>
      </c>
      <c r="E2579" s="2">
        <v>5</v>
      </c>
      <c r="F2579" s="2">
        <v>950</v>
      </c>
      <c r="G2579" s="2">
        <v>997.5</v>
      </c>
    </row>
    <row r="2580" spans="1:7" x14ac:dyDescent="0.3">
      <c r="A2580" t="s">
        <v>1356</v>
      </c>
      <c r="B2580" t="s">
        <v>142</v>
      </c>
      <c r="C2580" t="s">
        <v>143</v>
      </c>
      <c r="D2580">
        <v>2016</v>
      </c>
      <c r="E2580" s="2">
        <v>5</v>
      </c>
      <c r="F2580" s="2">
        <v>1100</v>
      </c>
      <c r="G2580" s="2"/>
    </row>
    <row r="2581" spans="1:7" x14ac:dyDescent="0.3">
      <c r="A2581" t="s">
        <v>1356</v>
      </c>
      <c r="B2581" t="s">
        <v>144</v>
      </c>
      <c r="C2581" t="s">
        <v>145</v>
      </c>
      <c r="D2581">
        <v>2017</v>
      </c>
      <c r="E2581" s="2">
        <v>5</v>
      </c>
      <c r="F2581" s="2">
        <v>1150</v>
      </c>
      <c r="G2581" s="2"/>
    </row>
    <row r="2582" spans="1:7" x14ac:dyDescent="0.3">
      <c r="A2582" t="s">
        <v>1356</v>
      </c>
      <c r="B2582" t="s">
        <v>1074</v>
      </c>
      <c r="C2582" t="s">
        <v>1303</v>
      </c>
      <c r="D2582">
        <v>2011</v>
      </c>
      <c r="E2582" s="2">
        <v>5</v>
      </c>
      <c r="F2582" s="2">
        <v>1050</v>
      </c>
      <c r="G2582" s="2"/>
    </row>
    <row r="2583" spans="1:7" x14ac:dyDescent="0.3">
      <c r="A2583" t="s">
        <v>1356</v>
      </c>
      <c r="B2583" t="s">
        <v>1074</v>
      </c>
      <c r="C2583" t="s">
        <v>1303</v>
      </c>
      <c r="D2583">
        <v>2016</v>
      </c>
      <c r="E2583" s="2">
        <v>10</v>
      </c>
      <c r="F2583" s="2">
        <v>2100</v>
      </c>
      <c r="G2583" s="2"/>
    </row>
    <row r="2584" spans="1:7" x14ac:dyDescent="0.3">
      <c r="A2584" t="s">
        <v>1356</v>
      </c>
      <c r="B2584" t="s">
        <v>196</v>
      </c>
      <c r="C2584" t="s">
        <v>197</v>
      </c>
      <c r="D2584">
        <v>2016</v>
      </c>
      <c r="E2584" s="2">
        <v>5</v>
      </c>
      <c r="F2584" s="2">
        <v>1000</v>
      </c>
      <c r="G2584" s="2"/>
    </row>
    <row r="2585" spans="1:7" x14ac:dyDescent="0.3">
      <c r="A2585" t="s">
        <v>1356</v>
      </c>
      <c r="B2585" t="s">
        <v>70</v>
      </c>
      <c r="C2585" t="s">
        <v>71</v>
      </c>
      <c r="D2585">
        <v>2018</v>
      </c>
      <c r="E2585" s="2">
        <v>5</v>
      </c>
      <c r="F2585" s="2">
        <v>650</v>
      </c>
      <c r="G2585" s="2">
        <v>682.5</v>
      </c>
    </row>
    <row r="2586" spans="1:7" x14ac:dyDescent="0.3">
      <c r="A2586" t="s">
        <v>1356</v>
      </c>
      <c r="B2586" t="s">
        <v>72</v>
      </c>
      <c r="C2586" t="s">
        <v>73</v>
      </c>
      <c r="D2586">
        <v>2017</v>
      </c>
      <c r="E2586" s="2">
        <v>5</v>
      </c>
      <c r="F2586" s="2">
        <v>450</v>
      </c>
      <c r="G2586" s="2"/>
    </row>
    <row r="2587" spans="1:7" x14ac:dyDescent="0.3">
      <c r="A2587" t="s">
        <v>1356</v>
      </c>
      <c r="B2587" t="s">
        <v>318</v>
      </c>
      <c r="C2587" t="s">
        <v>319</v>
      </c>
      <c r="D2587">
        <v>2015</v>
      </c>
      <c r="E2587" s="2">
        <v>5</v>
      </c>
      <c r="F2587" s="2">
        <v>900</v>
      </c>
      <c r="G2587" s="2"/>
    </row>
    <row r="2588" spans="1:7" x14ac:dyDescent="0.3">
      <c r="A2588" t="s">
        <v>1356</v>
      </c>
      <c r="B2588" t="s">
        <v>318</v>
      </c>
      <c r="C2588" t="s">
        <v>319</v>
      </c>
      <c r="D2588">
        <v>2016</v>
      </c>
      <c r="E2588" s="2">
        <v>150</v>
      </c>
      <c r="F2588" s="2">
        <v>2700</v>
      </c>
      <c r="G2588" s="2"/>
    </row>
    <row r="2589" spans="1:7" x14ac:dyDescent="0.3">
      <c r="A2589" t="s">
        <v>1356</v>
      </c>
      <c r="B2589" t="s">
        <v>318</v>
      </c>
      <c r="C2589" t="s">
        <v>319</v>
      </c>
      <c r="D2589">
        <v>2017</v>
      </c>
      <c r="E2589" s="2">
        <v>5</v>
      </c>
      <c r="F2589" s="2">
        <v>750</v>
      </c>
      <c r="G2589" s="2"/>
    </row>
    <row r="2590" spans="1:7" x14ac:dyDescent="0.3">
      <c r="A2590" t="s">
        <v>1356</v>
      </c>
      <c r="B2590" t="s">
        <v>74</v>
      </c>
      <c r="C2590" t="s">
        <v>75</v>
      </c>
      <c r="D2590">
        <v>2018</v>
      </c>
      <c r="E2590" s="2">
        <v>5</v>
      </c>
      <c r="F2590" s="2">
        <v>950</v>
      </c>
      <c r="G2590" s="2">
        <v>997.5</v>
      </c>
    </row>
    <row r="2591" spans="1:7" x14ac:dyDescent="0.3">
      <c r="A2591" t="s">
        <v>1356</v>
      </c>
      <c r="B2591" t="s">
        <v>600</v>
      </c>
      <c r="C2591" t="s">
        <v>75</v>
      </c>
      <c r="D2591">
        <v>2020</v>
      </c>
      <c r="E2591" s="2">
        <v>5</v>
      </c>
      <c r="F2591" s="2">
        <v>950</v>
      </c>
      <c r="G2591" s="2">
        <v>997.5</v>
      </c>
    </row>
    <row r="2592" spans="1:7" x14ac:dyDescent="0.3">
      <c r="A2592" t="s">
        <v>1356</v>
      </c>
      <c r="B2592" t="s">
        <v>1109</v>
      </c>
      <c r="C2592" t="s">
        <v>1026</v>
      </c>
      <c r="D2592">
        <v>2017</v>
      </c>
      <c r="E2592" s="2">
        <v>5</v>
      </c>
      <c r="F2592" s="2">
        <v>600</v>
      </c>
      <c r="G2592" s="2"/>
    </row>
    <row r="2593" spans="1:7" x14ac:dyDescent="0.3">
      <c r="A2593" t="s">
        <v>1356</v>
      </c>
      <c r="B2593" t="s">
        <v>1344</v>
      </c>
      <c r="C2593" t="s">
        <v>1345</v>
      </c>
      <c r="D2593">
        <v>2011</v>
      </c>
      <c r="E2593" s="2">
        <v>5</v>
      </c>
      <c r="F2593" s="2">
        <v>850</v>
      </c>
      <c r="G2593" s="2"/>
    </row>
    <row r="2594" spans="1:7" x14ac:dyDescent="0.3">
      <c r="A2594" t="s">
        <v>1356</v>
      </c>
      <c r="B2594" t="s">
        <v>1371</v>
      </c>
      <c r="C2594" t="s">
        <v>613</v>
      </c>
      <c r="D2594">
        <v>2019</v>
      </c>
      <c r="E2594" s="2">
        <v>5</v>
      </c>
      <c r="F2594" s="2">
        <v>1200</v>
      </c>
      <c r="G2594" s="2">
        <v>1260</v>
      </c>
    </row>
    <row r="2595" spans="1:7" x14ac:dyDescent="0.3">
      <c r="A2595" t="s">
        <v>1356</v>
      </c>
      <c r="B2595" t="s">
        <v>203</v>
      </c>
      <c r="C2595" t="s">
        <v>204</v>
      </c>
      <c r="D2595">
        <v>2015</v>
      </c>
      <c r="E2595" s="2">
        <v>3</v>
      </c>
      <c r="F2595" s="2">
        <v>510</v>
      </c>
      <c r="G2595" s="2"/>
    </row>
    <row r="2596" spans="1:7" x14ac:dyDescent="0.3">
      <c r="A2596" t="s">
        <v>1356</v>
      </c>
      <c r="B2596" t="s">
        <v>203</v>
      </c>
      <c r="C2596" t="s">
        <v>204</v>
      </c>
      <c r="D2596">
        <v>2016</v>
      </c>
      <c r="E2596" s="2">
        <v>5</v>
      </c>
      <c r="F2596" s="2">
        <v>850</v>
      </c>
      <c r="G2596" s="2"/>
    </row>
    <row r="2597" spans="1:7" x14ac:dyDescent="0.3">
      <c r="A2597" t="s">
        <v>1356</v>
      </c>
      <c r="B2597" t="s">
        <v>203</v>
      </c>
      <c r="C2597" t="s">
        <v>204</v>
      </c>
      <c r="D2597">
        <v>2017</v>
      </c>
      <c r="E2597" s="2">
        <v>5</v>
      </c>
      <c r="F2597" s="2">
        <v>600</v>
      </c>
      <c r="G2597" s="2"/>
    </row>
    <row r="2598" spans="1:7" x14ac:dyDescent="0.3">
      <c r="A2598" t="s">
        <v>1356</v>
      </c>
      <c r="B2598" t="s">
        <v>236</v>
      </c>
      <c r="C2598" t="s">
        <v>237</v>
      </c>
      <c r="D2598">
        <v>2017</v>
      </c>
      <c r="E2598" s="2">
        <v>5</v>
      </c>
      <c r="F2598" s="2">
        <v>1100</v>
      </c>
      <c r="G2598" s="2"/>
    </row>
    <row r="2599" spans="1:7" x14ac:dyDescent="0.3">
      <c r="A2599" t="s">
        <v>1356</v>
      </c>
      <c r="B2599" t="s">
        <v>807</v>
      </c>
      <c r="C2599" t="s">
        <v>515</v>
      </c>
      <c r="D2599">
        <v>2018</v>
      </c>
      <c r="E2599" s="2">
        <v>5</v>
      </c>
      <c r="F2599" s="2">
        <v>900</v>
      </c>
      <c r="G2599" s="2">
        <v>945</v>
      </c>
    </row>
    <row r="2600" spans="1:7" x14ac:dyDescent="0.3">
      <c r="A2600" t="s">
        <v>1356</v>
      </c>
      <c r="B2600" t="s">
        <v>159</v>
      </c>
      <c r="C2600" t="s">
        <v>160</v>
      </c>
      <c r="D2600">
        <v>2018</v>
      </c>
      <c r="E2600" s="2">
        <v>5</v>
      </c>
      <c r="F2600" s="2">
        <v>1200</v>
      </c>
      <c r="G2600" s="2">
        <v>1260</v>
      </c>
    </row>
    <row r="2601" spans="1:7" x14ac:dyDescent="0.3">
      <c r="A2601" t="s">
        <v>1372</v>
      </c>
      <c r="B2601" t="s">
        <v>647</v>
      </c>
      <c r="C2601" t="s">
        <v>648</v>
      </c>
      <c r="D2601">
        <v>2016</v>
      </c>
      <c r="E2601" s="2">
        <v>25</v>
      </c>
      <c r="F2601" s="2">
        <v>1875</v>
      </c>
      <c r="G2601" s="2"/>
    </row>
    <row r="2602" spans="1:7" x14ac:dyDescent="0.3">
      <c r="A2602" t="s">
        <v>1372</v>
      </c>
      <c r="B2602" t="s">
        <v>647</v>
      </c>
      <c r="C2602" t="s">
        <v>648</v>
      </c>
      <c r="D2602">
        <v>2017</v>
      </c>
      <c r="E2602" s="2">
        <v>150</v>
      </c>
      <c r="F2602" s="2">
        <v>11250</v>
      </c>
      <c r="G2602" s="2"/>
    </row>
    <row r="2603" spans="1:7" x14ac:dyDescent="0.3">
      <c r="A2603" t="s">
        <v>1372</v>
      </c>
      <c r="B2603" t="s">
        <v>647</v>
      </c>
      <c r="C2603" t="s">
        <v>648</v>
      </c>
      <c r="D2603">
        <v>2018</v>
      </c>
      <c r="E2603" s="2">
        <v>50</v>
      </c>
      <c r="F2603" s="2">
        <v>3750</v>
      </c>
      <c r="G2603" s="2">
        <v>3937.5</v>
      </c>
    </row>
    <row r="2604" spans="1:7" x14ac:dyDescent="0.3">
      <c r="A2604" t="s">
        <v>1372</v>
      </c>
      <c r="B2604" t="s">
        <v>528</v>
      </c>
      <c r="C2604" t="s">
        <v>529</v>
      </c>
      <c r="D2604">
        <v>2018</v>
      </c>
      <c r="E2604" s="2">
        <v>150</v>
      </c>
      <c r="F2604" s="2">
        <v>12000</v>
      </c>
      <c r="G2604" s="2">
        <v>12600</v>
      </c>
    </row>
    <row r="2605" spans="1:7" x14ac:dyDescent="0.3">
      <c r="A2605" t="s">
        <v>1373</v>
      </c>
      <c r="B2605" t="s">
        <v>26</v>
      </c>
      <c r="C2605" t="s">
        <v>27</v>
      </c>
      <c r="D2605">
        <v>2015</v>
      </c>
      <c r="E2605" s="2">
        <v>25</v>
      </c>
      <c r="F2605" s="2">
        <v>1875</v>
      </c>
      <c r="G2605" s="2"/>
    </row>
    <row r="2606" spans="1:7" x14ac:dyDescent="0.3">
      <c r="A2606" t="s">
        <v>1373</v>
      </c>
      <c r="B2606" t="s">
        <v>32</v>
      </c>
      <c r="D2606">
        <v>2015</v>
      </c>
      <c r="E2606" s="2">
        <v>40</v>
      </c>
      <c r="F2606" s="2">
        <v>3300</v>
      </c>
      <c r="G2606" s="2"/>
    </row>
    <row r="2607" spans="1:7" x14ac:dyDescent="0.3">
      <c r="A2607" t="s">
        <v>1374</v>
      </c>
      <c r="B2607" t="s">
        <v>51</v>
      </c>
      <c r="C2607" t="s">
        <v>52</v>
      </c>
      <c r="D2607">
        <v>2018</v>
      </c>
      <c r="E2607" s="2">
        <v>3</v>
      </c>
      <c r="F2607" s="2">
        <v>660</v>
      </c>
      <c r="G2607" s="2">
        <v>693</v>
      </c>
    </row>
    <row r="2608" spans="1:7" x14ac:dyDescent="0.3">
      <c r="A2608" t="s">
        <v>1374</v>
      </c>
      <c r="B2608" t="s">
        <v>51</v>
      </c>
      <c r="C2608" t="s">
        <v>52</v>
      </c>
      <c r="D2608">
        <v>2019</v>
      </c>
      <c r="E2608" s="2">
        <v>5</v>
      </c>
      <c r="F2608" s="2">
        <v>1100</v>
      </c>
      <c r="G2608" s="2">
        <v>1155</v>
      </c>
    </row>
    <row r="2609" spans="1:8" x14ac:dyDescent="0.3">
      <c r="A2609" t="s">
        <v>1374</v>
      </c>
      <c r="B2609" t="s">
        <v>51</v>
      </c>
      <c r="C2609" t="s">
        <v>52</v>
      </c>
      <c r="D2609">
        <v>2020</v>
      </c>
      <c r="E2609" s="2">
        <v>20</v>
      </c>
      <c r="F2609" s="2">
        <v>4400</v>
      </c>
      <c r="G2609" s="2">
        <v>4620</v>
      </c>
    </row>
    <row r="2610" spans="1:8" x14ac:dyDescent="0.3">
      <c r="A2610" t="s">
        <v>1374</v>
      </c>
      <c r="B2610" t="s">
        <v>276</v>
      </c>
      <c r="C2610" t="s">
        <v>277</v>
      </c>
      <c r="D2610">
        <v>2018</v>
      </c>
      <c r="E2610" s="2">
        <v>1</v>
      </c>
      <c r="F2610" s="2">
        <v>150</v>
      </c>
      <c r="G2610" s="2">
        <v>157.5</v>
      </c>
    </row>
    <row r="2611" spans="1:8" x14ac:dyDescent="0.3">
      <c r="A2611" t="s">
        <v>1374</v>
      </c>
      <c r="B2611" t="s">
        <v>716</v>
      </c>
      <c r="C2611" t="s">
        <v>717</v>
      </c>
      <c r="D2611">
        <v>2021</v>
      </c>
      <c r="E2611" s="2">
        <v>5</v>
      </c>
      <c r="F2611" s="2">
        <v>400</v>
      </c>
      <c r="G2611" s="2">
        <v>420</v>
      </c>
      <c r="H2611" s="3" t="s">
        <v>18</v>
      </c>
    </row>
    <row r="2612" spans="1:8" x14ac:dyDescent="0.3">
      <c r="A2612" t="s">
        <v>1374</v>
      </c>
      <c r="B2612" t="s">
        <v>581</v>
      </c>
      <c r="C2612" t="s">
        <v>582</v>
      </c>
      <c r="D2612">
        <v>2018</v>
      </c>
      <c r="E2612" s="2">
        <v>1</v>
      </c>
      <c r="F2612" s="2">
        <v>170</v>
      </c>
      <c r="G2612" s="2">
        <v>178.5</v>
      </c>
    </row>
    <row r="2613" spans="1:8" x14ac:dyDescent="0.3">
      <c r="A2613" t="s">
        <v>1374</v>
      </c>
      <c r="B2613" t="s">
        <v>586</v>
      </c>
      <c r="C2613" t="s">
        <v>587</v>
      </c>
      <c r="D2613">
        <v>2020</v>
      </c>
      <c r="E2613" s="2">
        <v>5</v>
      </c>
      <c r="F2613" s="2">
        <v>850</v>
      </c>
      <c r="G2613" s="2">
        <v>892.5</v>
      </c>
    </row>
    <row r="2614" spans="1:8" x14ac:dyDescent="0.3">
      <c r="A2614" t="s">
        <v>1374</v>
      </c>
      <c r="B2614" t="s">
        <v>280</v>
      </c>
      <c r="C2614" t="s">
        <v>224</v>
      </c>
      <c r="D2614">
        <v>2015</v>
      </c>
      <c r="E2614" s="2">
        <v>1</v>
      </c>
      <c r="F2614" s="2">
        <v>190</v>
      </c>
      <c r="G2614" s="2"/>
    </row>
    <row r="2615" spans="1:8" x14ac:dyDescent="0.3">
      <c r="A2615" t="s">
        <v>1374</v>
      </c>
      <c r="B2615" t="s">
        <v>719</v>
      </c>
      <c r="C2615" t="s">
        <v>925</v>
      </c>
      <c r="D2615">
        <v>2018</v>
      </c>
      <c r="E2615" s="2">
        <v>1</v>
      </c>
      <c r="F2615" s="2">
        <v>120</v>
      </c>
      <c r="G2615" s="2">
        <v>126</v>
      </c>
    </row>
    <row r="2616" spans="1:8" x14ac:dyDescent="0.3">
      <c r="A2616" t="s">
        <v>1374</v>
      </c>
      <c r="B2616" t="s">
        <v>719</v>
      </c>
      <c r="C2616" t="s">
        <v>925</v>
      </c>
      <c r="D2616">
        <v>2019</v>
      </c>
      <c r="E2616" s="2">
        <v>5</v>
      </c>
      <c r="F2616" s="2">
        <v>600</v>
      </c>
      <c r="G2616" s="2">
        <v>630</v>
      </c>
    </row>
    <row r="2617" spans="1:8" x14ac:dyDescent="0.3">
      <c r="A2617" t="s">
        <v>1374</v>
      </c>
      <c r="B2617" t="s">
        <v>721</v>
      </c>
      <c r="C2617" t="s">
        <v>722</v>
      </c>
      <c r="D2617">
        <v>2020</v>
      </c>
      <c r="E2617" s="2">
        <v>5</v>
      </c>
      <c r="F2617" s="2">
        <v>375</v>
      </c>
      <c r="G2617" s="2">
        <v>393.75</v>
      </c>
      <c r="H2617" s="3" t="s">
        <v>18</v>
      </c>
    </row>
    <row r="2618" spans="1:8" x14ac:dyDescent="0.3">
      <c r="A2618" t="s">
        <v>1374</v>
      </c>
      <c r="B2618" t="s">
        <v>721</v>
      </c>
      <c r="C2618" t="s">
        <v>722</v>
      </c>
      <c r="D2618">
        <v>2021</v>
      </c>
      <c r="E2618" s="2">
        <v>110</v>
      </c>
      <c r="F2618" s="2">
        <v>8140</v>
      </c>
      <c r="G2618" s="2">
        <v>8547</v>
      </c>
      <c r="H2618" s="3" t="s">
        <v>18</v>
      </c>
    </row>
    <row r="2619" spans="1:8" x14ac:dyDescent="0.3">
      <c r="A2619" t="s">
        <v>1374</v>
      </c>
      <c r="B2619" t="s">
        <v>248</v>
      </c>
      <c r="C2619" t="s">
        <v>249</v>
      </c>
      <c r="D2619">
        <v>2019</v>
      </c>
      <c r="E2619" s="2">
        <v>11</v>
      </c>
      <c r="F2619" s="2">
        <v>2475</v>
      </c>
      <c r="G2619" s="2">
        <v>2598.75</v>
      </c>
    </row>
    <row r="2620" spans="1:8" x14ac:dyDescent="0.3">
      <c r="A2620" t="s">
        <v>1374</v>
      </c>
      <c r="B2620" t="s">
        <v>248</v>
      </c>
      <c r="C2620" t="s">
        <v>249</v>
      </c>
      <c r="D2620">
        <v>2020</v>
      </c>
      <c r="E2620" s="2">
        <v>5</v>
      </c>
      <c r="F2620" s="2">
        <v>1125</v>
      </c>
      <c r="G2620" s="2">
        <v>1181.25</v>
      </c>
    </row>
    <row r="2621" spans="1:8" x14ac:dyDescent="0.3">
      <c r="A2621" t="s">
        <v>1374</v>
      </c>
      <c r="B2621" t="s">
        <v>250</v>
      </c>
      <c r="C2621" t="s">
        <v>222</v>
      </c>
      <c r="D2621">
        <v>2019</v>
      </c>
      <c r="E2621" s="2">
        <v>1</v>
      </c>
      <c r="F2621" s="2">
        <v>190</v>
      </c>
      <c r="G2621" s="2">
        <v>199.5</v>
      </c>
    </row>
    <row r="2622" spans="1:8" x14ac:dyDescent="0.3">
      <c r="A2622" t="s">
        <v>1374</v>
      </c>
      <c r="B2622" t="s">
        <v>593</v>
      </c>
      <c r="C2622" t="s">
        <v>594</v>
      </c>
      <c r="D2622">
        <v>2021</v>
      </c>
      <c r="E2622" s="2">
        <v>5</v>
      </c>
      <c r="F2622" s="2">
        <v>1100</v>
      </c>
      <c r="G2622" s="2">
        <v>1155</v>
      </c>
      <c r="H2622" s="3" t="s">
        <v>1375</v>
      </c>
    </row>
    <row r="2623" spans="1:8" x14ac:dyDescent="0.3">
      <c r="A2623" t="s">
        <v>1374</v>
      </c>
      <c r="B2623" t="s">
        <v>1376</v>
      </c>
      <c r="C2623" t="s">
        <v>1377</v>
      </c>
      <c r="D2623">
        <v>2016</v>
      </c>
      <c r="E2623" s="2">
        <v>1</v>
      </c>
      <c r="F2623" s="2">
        <v>160</v>
      </c>
      <c r="G2623" s="2"/>
    </row>
    <row r="2624" spans="1:8" x14ac:dyDescent="0.3">
      <c r="A2624" t="s">
        <v>1374</v>
      </c>
      <c r="B2624" t="s">
        <v>726</v>
      </c>
      <c r="C2624" t="s">
        <v>727</v>
      </c>
      <c r="D2624">
        <v>2015</v>
      </c>
      <c r="E2624" s="2">
        <v>1</v>
      </c>
      <c r="F2624" s="2">
        <v>180</v>
      </c>
      <c r="G2624" s="2"/>
    </row>
    <row r="2625" spans="1:8" x14ac:dyDescent="0.3">
      <c r="A2625" t="s">
        <v>1374</v>
      </c>
      <c r="B2625" t="s">
        <v>1378</v>
      </c>
      <c r="C2625" t="s">
        <v>1379</v>
      </c>
      <c r="D2625">
        <v>2016</v>
      </c>
      <c r="E2625" s="2">
        <v>1</v>
      </c>
      <c r="F2625" s="2">
        <v>230</v>
      </c>
      <c r="G2625" s="2"/>
    </row>
    <row r="2626" spans="1:8" x14ac:dyDescent="0.3">
      <c r="A2626" t="s">
        <v>1374</v>
      </c>
      <c r="B2626" t="s">
        <v>1380</v>
      </c>
      <c r="D2626">
        <v>2019</v>
      </c>
      <c r="E2626" s="2">
        <v>5</v>
      </c>
      <c r="F2626" s="2">
        <v>650</v>
      </c>
      <c r="G2626" s="2">
        <v>682.5</v>
      </c>
    </row>
    <row r="2627" spans="1:8" x14ac:dyDescent="0.3">
      <c r="A2627" t="s">
        <v>1374</v>
      </c>
      <c r="B2627" t="s">
        <v>824</v>
      </c>
      <c r="C2627" t="s">
        <v>825</v>
      </c>
      <c r="D2627">
        <v>2015</v>
      </c>
      <c r="E2627" s="2">
        <v>1</v>
      </c>
      <c r="F2627" s="2">
        <v>230</v>
      </c>
      <c r="G2627" s="2"/>
    </row>
    <row r="2628" spans="1:8" x14ac:dyDescent="0.3">
      <c r="A2628" t="s">
        <v>1374</v>
      </c>
      <c r="B2628" t="s">
        <v>536</v>
      </c>
      <c r="C2628" t="s">
        <v>537</v>
      </c>
      <c r="D2628">
        <v>2021</v>
      </c>
      <c r="E2628" s="2">
        <v>10</v>
      </c>
      <c r="F2628" s="2">
        <v>900</v>
      </c>
      <c r="G2628" s="2">
        <v>945</v>
      </c>
      <c r="H2628" s="3" t="s">
        <v>374</v>
      </c>
    </row>
    <row r="2629" spans="1:8" x14ac:dyDescent="0.3">
      <c r="A2629" t="s">
        <v>1374</v>
      </c>
      <c r="B2629" t="s">
        <v>538</v>
      </c>
      <c r="C2629" t="s">
        <v>539</v>
      </c>
      <c r="D2629">
        <v>2018</v>
      </c>
      <c r="E2629" s="2">
        <v>1</v>
      </c>
      <c r="F2629" s="2">
        <v>180</v>
      </c>
      <c r="G2629" s="2">
        <v>189</v>
      </c>
    </row>
    <row r="2630" spans="1:8" x14ac:dyDescent="0.3">
      <c r="A2630" t="s">
        <v>1374</v>
      </c>
      <c r="B2630" t="s">
        <v>538</v>
      </c>
      <c r="C2630" t="s">
        <v>539</v>
      </c>
      <c r="D2630">
        <v>2019</v>
      </c>
      <c r="E2630" s="2">
        <v>5</v>
      </c>
      <c r="F2630" s="2">
        <v>900</v>
      </c>
      <c r="G2630" s="2">
        <v>945</v>
      </c>
    </row>
    <row r="2631" spans="1:8" x14ac:dyDescent="0.3">
      <c r="A2631" t="s">
        <v>1374</v>
      </c>
      <c r="B2631" t="s">
        <v>540</v>
      </c>
      <c r="C2631" t="s">
        <v>541</v>
      </c>
      <c r="D2631">
        <v>2021</v>
      </c>
      <c r="E2631" s="2">
        <v>5</v>
      </c>
      <c r="F2631" s="2">
        <v>400</v>
      </c>
      <c r="G2631" s="2">
        <v>420</v>
      </c>
      <c r="H2631" s="3" t="s">
        <v>18</v>
      </c>
    </row>
    <row r="2632" spans="1:8" x14ac:dyDescent="0.3">
      <c r="A2632" t="s">
        <v>1374</v>
      </c>
      <c r="B2632" t="s">
        <v>1381</v>
      </c>
      <c r="C2632" t="s">
        <v>1382</v>
      </c>
      <c r="D2632">
        <v>2016</v>
      </c>
      <c r="E2632" s="2">
        <v>1</v>
      </c>
      <c r="F2632" s="2">
        <v>200</v>
      </c>
      <c r="G2632" s="2"/>
    </row>
    <row r="2633" spans="1:8" x14ac:dyDescent="0.3">
      <c r="A2633" t="s">
        <v>1374</v>
      </c>
      <c r="B2633" t="s">
        <v>1132</v>
      </c>
      <c r="C2633" t="s">
        <v>181</v>
      </c>
      <c r="D2633">
        <v>2019</v>
      </c>
      <c r="E2633" s="2">
        <v>1</v>
      </c>
      <c r="F2633" s="2">
        <v>170</v>
      </c>
      <c r="G2633" s="2">
        <v>178.5</v>
      </c>
    </row>
    <row r="2634" spans="1:8" x14ac:dyDescent="0.3">
      <c r="A2634" t="s">
        <v>1374</v>
      </c>
      <c r="B2634" t="s">
        <v>641</v>
      </c>
      <c r="C2634" t="s">
        <v>289</v>
      </c>
      <c r="D2634">
        <v>2019</v>
      </c>
      <c r="E2634" s="2">
        <v>4</v>
      </c>
      <c r="F2634" s="2">
        <v>640</v>
      </c>
      <c r="G2634" s="2">
        <v>672</v>
      </c>
    </row>
    <row r="2635" spans="1:8" x14ac:dyDescent="0.3">
      <c r="A2635" t="s">
        <v>1374</v>
      </c>
      <c r="B2635" t="s">
        <v>1383</v>
      </c>
      <c r="C2635" t="s">
        <v>1384</v>
      </c>
      <c r="D2635">
        <v>2021</v>
      </c>
      <c r="E2635" s="2">
        <v>35</v>
      </c>
      <c r="F2635" s="2">
        <v>2275</v>
      </c>
      <c r="G2635" s="2">
        <v>2388.75</v>
      </c>
      <c r="H2635" s="3" t="s">
        <v>18</v>
      </c>
    </row>
    <row r="2636" spans="1:8" x14ac:dyDescent="0.3">
      <c r="A2636" t="s">
        <v>1374</v>
      </c>
      <c r="B2636" t="s">
        <v>1385</v>
      </c>
      <c r="C2636" t="s">
        <v>1386</v>
      </c>
      <c r="D2636">
        <v>2015</v>
      </c>
      <c r="E2636" s="2">
        <v>1</v>
      </c>
      <c r="F2636" s="2">
        <v>270</v>
      </c>
      <c r="G2636" s="2"/>
    </row>
    <row r="2637" spans="1:8" x14ac:dyDescent="0.3">
      <c r="A2637" t="s">
        <v>1374</v>
      </c>
      <c r="B2637" t="s">
        <v>643</v>
      </c>
      <c r="C2637" t="s">
        <v>644</v>
      </c>
      <c r="D2637">
        <v>2017</v>
      </c>
      <c r="E2637" s="2">
        <v>5</v>
      </c>
      <c r="F2637" s="2">
        <v>750</v>
      </c>
      <c r="G2637" s="2"/>
    </row>
    <row r="2638" spans="1:8" x14ac:dyDescent="0.3">
      <c r="A2638" t="s">
        <v>1374</v>
      </c>
      <c r="B2638" t="s">
        <v>99</v>
      </c>
      <c r="C2638" t="s">
        <v>100</v>
      </c>
      <c r="D2638">
        <v>2018</v>
      </c>
      <c r="E2638" s="2">
        <v>3</v>
      </c>
      <c r="F2638" s="2">
        <v>360</v>
      </c>
      <c r="G2638" s="2">
        <v>378</v>
      </c>
    </row>
    <row r="2639" spans="1:8" x14ac:dyDescent="0.3">
      <c r="A2639" t="s">
        <v>1374</v>
      </c>
      <c r="B2639" t="s">
        <v>99</v>
      </c>
      <c r="C2639" t="s">
        <v>100</v>
      </c>
      <c r="D2639">
        <v>2019</v>
      </c>
      <c r="E2639" s="2">
        <v>20</v>
      </c>
      <c r="F2639" s="2">
        <v>2400</v>
      </c>
      <c r="G2639" s="2">
        <v>2520</v>
      </c>
    </row>
    <row r="2640" spans="1:8" x14ac:dyDescent="0.3">
      <c r="A2640" t="s">
        <v>1374</v>
      </c>
      <c r="B2640" t="s">
        <v>686</v>
      </c>
      <c r="C2640" t="s">
        <v>687</v>
      </c>
      <c r="D2640">
        <v>2020</v>
      </c>
      <c r="E2640" s="2">
        <v>5</v>
      </c>
      <c r="F2640" s="2">
        <v>350</v>
      </c>
      <c r="G2640" s="2">
        <v>367.5</v>
      </c>
    </row>
    <row r="2641" spans="1:8" x14ac:dyDescent="0.3">
      <c r="A2641" t="s">
        <v>1374</v>
      </c>
      <c r="B2641" t="s">
        <v>560</v>
      </c>
      <c r="C2641" t="s">
        <v>561</v>
      </c>
      <c r="D2641">
        <v>2015</v>
      </c>
      <c r="E2641" s="2">
        <v>1</v>
      </c>
      <c r="F2641" s="2">
        <v>230</v>
      </c>
      <c r="G2641" s="2"/>
    </row>
    <row r="2642" spans="1:8" x14ac:dyDescent="0.3">
      <c r="A2642" t="s">
        <v>1374</v>
      </c>
      <c r="B2642" t="s">
        <v>1387</v>
      </c>
      <c r="C2642" t="s">
        <v>1388</v>
      </c>
      <c r="D2642">
        <v>2016</v>
      </c>
      <c r="E2642" s="2">
        <v>1</v>
      </c>
      <c r="F2642" s="2">
        <v>230</v>
      </c>
      <c r="G2642" s="2"/>
    </row>
    <row r="2643" spans="1:8" x14ac:dyDescent="0.3">
      <c r="A2643" t="s">
        <v>1374</v>
      </c>
      <c r="B2643" t="s">
        <v>257</v>
      </c>
      <c r="C2643" t="s">
        <v>61</v>
      </c>
      <c r="D2643">
        <v>2021</v>
      </c>
      <c r="E2643" s="2">
        <v>5</v>
      </c>
      <c r="F2643" s="2">
        <v>825</v>
      </c>
      <c r="G2643" s="2">
        <v>866.25</v>
      </c>
      <c r="H2643" s="3" t="s">
        <v>18</v>
      </c>
    </row>
    <row r="2644" spans="1:8" x14ac:dyDescent="0.3">
      <c r="A2644" t="s">
        <v>1374</v>
      </c>
      <c r="B2644" t="s">
        <v>297</v>
      </c>
      <c r="C2644" t="s">
        <v>298</v>
      </c>
      <c r="D2644">
        <v>2015</v>
      </c>
      <c r="E2644" s="2">
        <v>1</v>
      </c>
      <c r="F2644" s="2">
        <v>180</v>
      </c>
      <c r="G2644" s="2"/>
    </row>
    <row r="2645" spans="1:8" x14ac:dyDescent="0.3">
      <c r="A2645" t="s">
        <v>1374</v>
      </c>
      <c r="B2645" t="s">
        <v>297</v>
      </c>
      <c r="C2645" t="s">
        <v>298</v>
      </c>
      <c r="D2645">
        <v>2018</v>
      </c>
      <c r="E2645" s="2">
        <v>2</v>
      </c>
      <c r="F2645" s="2">
        <v>367</v>
      </c>
      <c r="G2645" s="2"/>
    </row>
    <row r="2646" spans="1:8" x14ac:dyDescent="0.3">
      <c r="A2646" t="s">
        <v>1374</v>
      </c>
      <c r="B2646" t="s">
        <v>19</v>
      </c>
      <c r="C2646" t="s">
        <v>20</v>
      </c>
      <c r="D2646">
        <v>2017</v>
      </c>
      <c r="E2646" s="2">
        <v>75</v>
      </c>
      <c r="F2646" s="2">
        <v>9750</v>
      </c>
      <c r="G2646" s="2"/>
    </row>
    <row r="2647" spans="1:8" x14ac:dyDescent="0.3">
      <c r="A2647" t="s">
        <v>1374</v>
      </c>
      <c r="B2647" t="s">
        <v>19</v>
      </c>
      <c r="C2647" t="s">
        <v>20</v>
      </c>
      <c r="D2647">
        <v>2018</v>
      </c>
      <c r="E2647" s="2">
        <v>110</v>
      </c>
      <c r="F2647" s="2">
        <v>14600</v>
      </c>
      <c r="G2647" s="2">
        <v>15330</v>
      </c>
    </row>
    <row r="2648" spans="1:8" x14ac:dyDescent="0.3">
      <c r="A2648" t="s">
        <v>1374</v>
      </c>
      <c r="B2648" t="s">
        <v>19</v>
      </c>
      <c r="C2648" t="s">
        <v>20</v>
      </c>
      <c r="D2648">
        <v>2019</v>
      </c>
      <c r="E2648" s="2">
        <v>35</v>
      </c>
      <c r="F2648" s="2">
        <v>4650</v>
      </c>
      <c r="G2648" s="2">
        <v>4882.5</v>
      </c>
    </row>
    <row r="2649" spans="1:8" x14ac:dyDescent="0.3">
      <c r="A2649" t="s">
        <v>1374</v>
      </c>
      <c r="B2649" t="s">
        <v>19</v>
      </c>
      <c r="C2649" t="s">
        <v>20</v>
      </c>
      <c r="D2649">
        <v>2020</v>
      </c>
      <c r="E2649" s="2">
        <v>75</v>
      </c>
      <c r="F2649" s="2">
        <v>9750</v>
      </c>
      <c r="G2649" s="2">
        <v>10237.5</v>
      </c>
    </row>
    <row r="2650" spans="1:8" x14ac:dyDescent="0.3">
      <c r="A2650" t="s">
        <v>1374</v>
      </c>
      <c r="B2650" t="s">
        <v>490</v>
      </c>
      <c r="C2650" t="s">
        <v>491</v>
      </c>
      <c r="D2650">
        <v>2015</v>
      </c>
      <c r="E2650" s="2">
        <v>1</v>
      </c>
      <c r="F2650" s="2">
        <v>210</v>
      </c>
      <c r="G2650" s="2"/>
    </row>
    <row r="2651" spans="1:8" x14ac:dyDescent="0.3">
      <c r="A2651" t="s">
        <v>1374</v>
      </c>
      <c r="B2651" t="s">
        <v>41</v>
      </c>
      <c r="C2651" t="s">
        <v>63</v>
      </c>
      <c r="D2651">
        <v>2018</v>
      </c>
      <c r="E2651" s="2">
        <v>2</v>
      </c>
      <c r="F2651" s="2">
        <v>200</v>
      </c>
      <c r="G2651" s="2"/>
    </row>
    <row r="2652" spans="1:8" x14ac:dyDescent="0.3">
      <c r="A2652" t="s">
        <v>1374</v>
      </c>
      <c r="B2652" t="s">
        <v>1389</v>
      </c>
      <c r="C2652" t="s">
        <v>1390</v>
      </c>
      <c r="D2652">
        <v>2016</v>
      </c>
      <c r="E2652" s="2">
        <v>1</v>
      </c>
      <c r="F2652" s="2">
        <v>190</v>
      </c>
      <c r="G2652" s="2"/>
    </row>
    <row r="2653" spans="1:8" x14ac:dyDescent="0.3">
      <c r="A2653" t="s">
        <v>1374</v>
      </c>
      <c r="B2653" t="s">
        <v>543</v>
      </c>
      <c r="C2653" t="s">
        <v>544</v>
      </c>
      <c r="D2653">
        <v>2016</v>
      </c>
      <c r="E2653" s="2">
        <v>1</v>
      </c>
      <c r="F2653" s="2">
        <v>160</v>
      </c>
      <c r="G2653" s="2"/>
    </row>
    <row r="2654" spans="1:8" x14ac:dyDescent="0.3">
      <c r="A2654" t="s">
        <v>1374</v>
      </c>
      <c r="B2654" t="s">
        <v>543</v>
      </c>
      <c r="C2654" t="s">
        <v>544</v>
      </c>
      <c r="D2654">
        <v>2018</v>
      </c>
      <c r="E2654" s="2">
        <v>1</v>
      </c>
      <c r="F2654" s="2">
        <v>85</v>
      </c>
      <c r="G2654" s="2"/>
    </row>
    <row r="2655" spans="1:8" x14ac:dyDescent="0.3">
      <c r="A2655" t="s">
        <v>1374</v>
      </c>
      <c r="B2655" t="s">
        <v>543</v>
      </c>
      <c r="C2655" t="s">
        <v>544</v>
      </c>
      <c r="D2655">
        <v>2019</v>
      </c>
      <c r="E2655" s="2">
        <v>5</v>
      </c>
      <c r="F2655" s="2">
        <v>425</v>
      </c>
      <c r="G2655" s="2">
        <v>446.25</v>
      </c>
    </row>
    <row r="2656" spans="1:8" x14ac:dyDescent="0.3">
      <c r="A2656" t="s">
        <v>1374</v>
      </c>
      <c r="B2656" t="s">
        <v>554</v>
      </c>
      <c r="C2656" t="s">
        <v>249</v>
      </c>
      <c r="D2656">
        <v>2018</v>
      </c>
      <c r="E2656" s="2">
        <v>3</v>
      </c>
      <c r="F2656" s="2">
        <v>720</v>
      </c>
      <c r="G2656" s="2">
        <v>756</v>
      </c>
    </row>
    <row r="2657" spans="1:8" x14ac:dyDescent="0.3">
      <c r="A2657" t="s">
        <v>1374</v>
      </c>
      <c r="B2657" t="s">
        <v>114</v>
      </c>
      <c r="C2657" t="s">
        <v>115</v>
      </c>
      <c r="D2657">
        <v>2021</v>
      </c>
      <c r="E2657" s="2">
        <v>5</v>
      </c>
      <c r="F2657" s="2">
        <v>400</v>
      </c>
      <c r="G2657" s="2">
        <v>420</v>
      </c>
      <c r="H2657" s="3" t="s">
        <v>18</v>
      </c>
    </row>
    <row r="2658" spans="1:8" x14ac:dyDescent="0.3">
      <c r="A2658" t="s">
        <v>1374</v>
      </c>
      <c r="B2658" t="s">
        <v>792</v>
      </c>
      <c r="C2658" t="s">
        <v>793</v>
      </c>
      <c r="D2658">
        <v>2018</v>
      </c>
      <c r="E2658" s="2">
        <v>3</v>
      </c>
      <c r="F2658" s="2">
        <v>450</v>
      </c>
      <c r="G2658" s="2">
        <v>472.5</v>
      </c>
    </row>
    <row r="2659" spans="1:8" x14ac:dyDescent="0.3">
      <c r="A2659" t="s">
        <v>1374</v>
      </c>
      <c r="B2659" t="s">
        <v>1391</v>
      </c>
      <c r="C2659" t="s">
        <v>1392</v>
      </c>
      <c r="D2659">
        <v>2016</v>
      </c>
      <c r="E2659" s="2">
        <v>1</v>
      </c>
      <c r="F2659" s="2">
        <v>230</v>
      </c>
      <c r="G2659" s="2"/>
    </row>
    <row r="2660" spans="1:8" x14ac:dyDescent="0.3">
      <c r="A2660" t="s">
        <v>1374</v>
      </c>
      <c r="B2660" t="s">
        <v>120</v>
      </c>
      <c r="C2660" t="s">
        <v>121</v>
      </c>
      <c r="D2660">
        <v>2019</v>
      </c>
      <c r="E2660" s="2">
        <v>5</v>
      </c>
      <c r="F2660" s="2">
        <v>750</v>
      </c>
      <c r="G2660" s="2">
        <v>787.5</v>
      </c>
    </row>
    <row r="2661" spans="1:8" x14ac:dyDescent="0.3">
      <c r="A2661" t="s">
        <v>1374</v>
      </c>
      <c r="B2661" t="s">
        <v>933</v>
      </c>
      <c r="C2661" t="s">
        <v>934</v>
      </c>
      <c r="D2661">
        <v>2018</v>
      </c>
      <c r="E2661" s="2">
        <v>2</v>
      </c>
      <c r="F2661" s="2">
        <v>300</v>
      </c>
      <c r="G2661" s="2"/>
    </row>
    <row r="2662" spans="1:8" x14ac:dyDescent="0.3">
      <c r="A2662" t="s">
        <v>1374</v>
      </c>
      <c r="B2662" t="s">
        <v>68</v>
      </c>
      <c r="C2662" t="s">
        <v>69</v>
      </c>
      <c r="D2662">
        <v>2020</v>
      </c>
      <c r="E2662" s="2">
        <v>5</v>
      </c>
      <c r="F2662" s="2">
        <v>500</v>
      </c>
      <c r="G2662" s="2">
        <v>525</v>
      </c>
    </row>
    <row r="2663" spans="1:8" x14ac:dyDescent="0.3">
      <c r="A2663" t="s">
        <v>1374</v>
      </c>
      <c r="B2663" t="s">
        <v>189</v>
      </c>
      <c r="D2663">
        <v>2019</v>
      </c>
      <c r="E2663" s="2">
        <v>5</v>
      </c>
      <c r="F2663" s="2">
        <v>1195</v>
      </c>
      <c r="G2663" s="2">
        <v>1254.75</v>
      </c>
    </row>
    <row r="2664" spans="1:8" x14ac:dyDescent="0.3">
      <c r="A2664" t="s">
        <v>1374</v>
      </c>
      <c r="B2664" t="s">
        <v>137</v>
      </c>
      <c r="C2664" t="s">
        <v>138</v>
      </c>
      <c r="D2664">
        <v>2015</v>
      </c>
      <c r="E2664" s="2">
        <v>5</v>
      </c>
      <c r="F2664" s="2">
        <v>1100</v>
      </c>
      <c r="G2664" s="2"/>
    </row>
    <row r="2665" spans="1:8" x14ac:dyDescent="0.3">
      <c r="A2665" t="s">
        <v>1374</v>
      </c>
      <c r="B2665" t="s">
        <v>575</v>
      </c>
      <c r="C2665" t="s">
        <v>673</v>
      </c>
      <c r="D2665">
        <v>2021</v>
      </c>
      <c r="E2665" s="2">
        <v>10</v>
      </c>
      <c r="F2665" s="2">
        <v>780</v>
      </c>
      <c r="G2665" s="2">
        <v>819</v>
      </c>
      <c r="H2665" s="3" t="s">
        <v>18</v>
      </c>
    </row>
    <row r="2666" spans="1:8" x14ac:dyDescent="0.3">
      <c r="A2666" t="s">
        <v>1374</v>
      </c>
      <c r="B2666" t="s">
        <v>1367</v>
      </c>
      <c r="C2666" t="s">
        <v>1368</v>
      </c>
      <c r="D2666">
        <v>2018</v>
      </c>
      <c r="E2666" s="2">
        <v>3</v>
      </c>
      <c r="F2666" s="2">
        <v>510</v>
      </c>
      <c r="G2666" s="2">
        <v>535.5</v>
      </c>
    </row>
    <row r="2667" spans="1:8" x14ac:dyDescent="0.3">
      <c r="A2667" t="s">
        <v>1374</v>
      </c>
      <c r="B2667" t="s">
        <v>1367</v>
      </c>
      <c r="C2667" t="s">
        <v>1368</v>
      </c>
      <c r="D2667">
        <v>2019</v>
      </c>
      <c r="E2667" s="2">
        <v>5</v>
      </c>
      <c r="F2667" s="2">
        <v>850</v>
      </c>
      <c r="G2667" s="2">
        <v>892.5</v>
      </c>
    </row>
    <row r="2668" spans="1:8" x14ac:dyDescent="0.3">
      <c r="A2668" t="s">
        <v>1374</v>
      </c>
      <c r="B2668" t="s">
        <v>1369</v>
      </c>
      <c r="C2668" t="s">
        <v>1370</v>
      </c>
      <c r="D2668">
        <v>2020</v>
      </c>
      <c r="E2668" s="2">
        <v>5</v>
      </c>
      <c r="F2668" s="2">
        <v>850</v>
      </c>
      <c r="G2668" s="2">
        <v>892.5</v>
      </c>
    </row>
    <row r="2669" spans="1:8" x14ac:dyDescent="0.3">
      <c r="A2669" t="s">
        <v>1374</v>
      </c>
      <c r="B2669" t="s">
        <v>192</v>
      </c>
      <c r="C2669" t="s">
        <v>193</v>
      </c>
      <c r="D2669">
        <v>2021</v>
      </c>
      <c r="E2669" s="2">
        <v>5</v>
      </c>
      <c r="F2669" s="2">
        <v>375</v>
      </c>
      <c r="G2669" s="2">
        <v>393.75</v>
      </c>
      <c r="H2669" s="3" t="s">
        <v>14</v>
      </c>
    </row>
    <row r="2670" spans="1:8" x14ac:dyDescent="0.3">
      <c r="A2670" t="s">
        <v>1374</v>
      </c>
      <c r="B2670" t="s">
        <v>265</v>
      </c>
      <c r="C2670" t="s">
        <v>197</v>
      </c>
      <c r="D2670">
        <v>2019</v>
      </c>
      <c r="E2670" s="2">
        <v>15</v>
      </c>
      <c r="F2670" s="2">
        <v>1350</v>
      </c>
      <c r="G2670" s="2">
        <v>1417.5</v>
      </c>
    </row>
    <row r="2671" spans="1:8" x14ac:dyDescent="0.3">
      <c r="A2671" t="s">
        <v>1374</v>
      </c>
      <c r="B2671" t="s">
        <v>383</v>
      </c>
      <c r="C2671" t="s">
        <v>384</v>
      </c>
      <c r="D2671">
        <v>2020</v>
      </c>
      <c r="E2671" s="2">
        <v>25</v>
      </c>
      <c r="F2671" s="2">
        <v>2250</v>
      </c>
      <c r="G2671" s="2">
        <v>2362.5</v>
      </c>
    </row>
    <row r="2672" spans="1:8" x14ac:dyDescent="0.3">
      <c r="A2672" t="s">
        <v>1374</v>
      </c>
      <c r="B2672" t="s">
        <v>383</v>
      </c>
      <c r="C2672" t="s">
        <v>385</v>
      </c>
      <c r="D2672">
        <v>2021</v>
      </c>
      <c r="E2672" s="2">
        <v>30</v>
      </c>
      <c r="F2672" s="2">
        <v>2700</v>
      </c>
      <c r="G2672" s="2">
        <v>2835</v>
      </c>
      <c r="H2672" s="3" t="s">
        <v>374</v>
      </c>
    </row>
    <row r="2673" spans="1:8" x14ac:dyDescent="0.3">
      <c r="A2673" t="s">
        <v>1374</v>
      </c>
      <c r="B2673" t="s">
        <v>72</v>
      </c>
      <c r="C2673" t="s">
        <v>73</v>
      </c>
      <c r="D2673">
        <v>2018</v>
      </c>
      <c r="E2673" s="2">
        <v>8</v>
      </c>
      <c r="F2673" s="2">
        <v>1050</v>
      </c>
      <c r="G2673" s="2">
        <v>1102.5</v>
      </c>
    </row>
    <row r="2674" spans="1:8" x14ac:dyDescent="0.3">
      <c r="A2674" t="s">
        <v>1374</v>
      </c>
      <c r="B2674" t="s">
        <v>1023</v>
      </c>
      <c r="C2674" t="s">
        <v>1024</v>
      </c>
      <c r="D2674">
        <v>2020</v>
      </c>
      <c r="E2674" s="2">
        <v>5</v>
      </c>
      <c r="F2674" s="2">
        <v>450</v>
      </c>
      <c r="G2674" s="2">
        <v>472.5</v>
      </c>
    </row>
    <row r="2675" spans="1:8" x14ac:dyDescent="0.3">
      <c r="A2675" t="s">
        <v>1374</v>
      </c>
      <c r="B2675" t="s">
        <v>1393</v>
      </c>
      <c r="C2675" t="s">
        <v>150</v>
      </c>
      <c r="D2675">
        <v>2015</v>
      </c>
      <c r="E2675" s="2">
        <v>1</v>
      </c>
      <c r="F2675" s="2">
        <v>270</v>
      </c>
      <c r="G2675" s="2"/>
    </row>
    <row r="2676" spans="1:8" x14ac:dyDescent="0.3">
      <c r="A2676" t="s">
        <v>1374</v>
      </c>
      <c r="B2676" t="s">
        <v>483</v>
      </c>
      <c r="C2676" t="s">
        <v>484</v>
      </c>
      <c r="D2676">
        <v>2020</v>
      </c>
      <c r="E2676" s="2">
        <v>5</v>
      </c>
      <c r="F2676" s="2">
        <v>325</v>
      </c>
      <c r="G2676" s="2">
        <v>341.25</v>
      </c>
    </row>
    <row r="2677" spans="1:8" x14ac:dyDescent="0.3">
      <c r="A2677" t="s">
        <v>1374</v>
      </c>
      <c r="B2677" t="s">
        <v>1394</v>
      </c>
      <c r="C2677" t="s">
        <v>1395</v>
      </c>
      <c r="D2677">
        <v>2018</v>
      </c>
      <c r="E2677" s="2">
        <v>1</v>
      </c>
      <c r="F2677" s="2">
        <v>130</v>
      </c>
      <c r="G2677" s="2"/>
    </row>
    <row r="2678" spans="1:8" x14ac:dyDescent="0.3">
      <c r="A2678" t="s">
        <v>1374</v>
      </c>
      <c r="B2678" t="s">
        <v>1394</v>
      </c>
      <c r="C2678" t="s">
        <v>1395</v>
      </c>
      <c r="D2678">
        <v>2018</v>
      </c>
      <c r="E2678" s="2">
        <v>7</v>
      </c>
      <c r="F2678" s="2">
        <v>780</v>
      </c>
      <c r="G2678" s="2">
        <v>819</v>
      </c>
    </row>
    <row r="2679" spans="1:8" x14ac:dyDescent="0.3">
      <c r="A2679" t="s">
        <v>1374</v>
      </c>
      <c r="B2679" t="s">
        <v>841</v>
      </c>
      <c r="C2679" t="s">
        <v>169</v>
      </c>
      <c r="D2679">
        <v>2021</v>
      </c>
      <c r="E2679" s="2">
        <v>5</v>
      </c>
      <c r="F2679" s="2">
        <v>875</v>
      </c>
      <c r="G2679" s="2">
        <v>918.75</v>
      </c>
      <c r="H2679" s="3" t="s">
        <v>18</v>
      </c>
    </row>
    <row r="2680" spans="1:8" x14ac:dyDescent="0.3">
      <c r="A2680" t="s">
        <v>1374</v>
      </c>
      <c r="B2680" t="s">
        <v>1396</v>
      </c>
      <c r="C2680" t="s">
        <v>613</v>
      </c>
      <c r="D2680">
        <v>2019</v>
      </c>
      <c r="E2680" s="2">
        <v>3</v>
      </c>
      <c r="F2680" s="2">
        <v>795</v>
      </c>
      <c r="G2680" s="2">
        <v>834.75</v>
      </c>
    </row>
    <row r="2681" spans="1:8" x14ac:dyDescent="0.3">
      <c r="A2681" t="s">
        <v>1374</v>
      </c>
      <c r="B2681" t="s">
        <v>677</v>
      </c>
      <c r="C2681" t="s">
        <v>678</v>
      </c>
      <c r="D2681">
        <v>2021</v>
      </c>
      <c r="E2681" s="2">
        <v>5</v>
      </c>
      <c r="F2681" s="2">
        <v>875</v>
      </c>
      <c r="G2681" s="2">
        <v>918.75</v>
      </c>
      <c r="H2681" s="3" t="s">
        <v>18</v>
      </c>
    </row>
    <row r="2682" spans="1:8" x14ac:dyDescent="0.3">
      <c r="A2682" t="s">
        <v>1374</v>
      </c>
      <c r="B2682" t="s">
        <v>203</v>
      </c>
      <c r="C2682" t="s">
        <v>204</v>
      </c>
      <c r="D2682">
        <v>2015</v>
      </c>
      <c r="E2682" s="2">
        <v>1</v>
      </c>
      <c r="F2682" s="2">
        <v>190</v>
      </c>
      <c r="G2682" s="2"/>
    </row>
    <row r="2683" spans="1:8" x14ac:dyDescent="0.3">
      <c r="A2683" t="s">
        <v>1374</v>
      </c>
      <c r="B2683" t="s">
        <v>236</v>
      </c>
      <c r="C2683" t="s">
        <v>237</v>
      </c>
      <c r="D2683">
        <v>2015</v>
      </c>
      <c r="E2683" s="2">
        <v>1</v>
      </c>
      <c r="F2683" s="2">
        <v>230</v>
      </c>
      <c r="G2683" s="2"/>
    </row>
    <row r="2684" spans="1:8" x14ac:dyDescent="0.3">
      <c r="A2684" t="s">
        <v>1374</v>
      </c>
      <c r="B2684" t="s">
        <v>236</v>
      </c>
      <c r="C2684" t="s">
        <v>237</v>
      </c>
      <c r="D2684">
        <v>2016</v>
      </c>
      <c r="E2684" s="2">
        <v>5</v>
      </c>
      <c r="F2684" s="2">
        <v>1200</v>
      </c>
      <c r="G2684" s="2"/>
    </row>
    <row r="2685" spans="1:8" x14ac:dyDescent="0.3">
      <c r="A2685" t="s">
        <v>1374</v>
      </c>
      <c r="B2685" t="s">
        <v>236</v>
      </c>
      <c r="C2685" t="s">
        <v>237</v>
      </c>
      <c r="D2685">
        <v>2018</v>
      </c>
      <c r="E2685" s="2">
        <v>1</v>
      </c>
      <c r="F2685" s="2">
        <v>240</v>
      </c>
      <c r="G2685" s="2">
        <v>252</v>
      </c>
    </row>
    <row r="2686" spans="1:8" x14ac:dyDescent="0.3">
      <c r="A2686" t="s">
        <v>1374</v>
      </c>
      <c r="B2686" t="s">
        <v>155</v>
      </c>
      <c r="C2686" t="s">
        <v>156</v>
      </c>
      <c r="D2686">
        <v>2021</v>
      </c>
      <c r="E2686" s="2">
        <v>20</v>
      </c>
      <c r="F2686" s="2">
        <v>1600</v>
      </c>
      <c r="G2686" s="2">
        <v>1680</v>
      </c>
      <c r="H2686" s="3" t="s">
        <v>18</v>
      </c>
    </row>
    <row r="2687" spans="1:8" x14ac:dyDescent="0.3">
      <c r="A2687" t="s">
        <v>1397</v>
      </c>
      <c r="B2687" t="s">
        <v>41</v>
      </c>
      <c r="C2687" t="s">
        <v>42</v>
      </c>
      <c r="D2687">
        <v>2012</v>
      </c>
      <c r="E2687" s="2">
        <v>50</v>
      </c>
      <c r="F2687" s="2">
        <v>2000</v>
      </c>
      <c r="G2687" s="2"/>
    </row>
    <row r="2688" spans="1:8" x14ac:dyDescent="0.3">
      <c r="A2688" t="s">
        <v>1397</v>
      </c>
      <c r="B2688" t="s">
        <v>32</v>
      </c>
      <c r="D2688">
        <v>2012</v>
      </c>
      <c r="E2688" s="2">
        <v>20</v>
      </c>
      <c r="F2688" s="2">
        <v>1600</v>
      </c>
      <c r="G2688" s="2"/>
    </row>
    <row r="2689" spans="1:8" x14ac:dyDescent="0.3">
      <c r="A2689" t="s">
        <v>1397</v>
      </c>
      <c r="B2689" t="s">
        <v>46</v>
      </c>
      <c r="C2689" t="s">
        <v>47</v>
      </c>
      <c r="D2689">
        <v>2013</v>
      </c>
      <c r="E2689" s="2">
        <v>225</v>
      </c>
      <c r="F2689" s="2">
        <v>10900</v>
      </c>
      <c r="G2689" s="2"/>
    </row>
    <row r="2690" spans="1:8" x14ac:dyDescent="0.3">
      <c r="A2690" t="s">
        <v>1398</v>
      </c>
      <c r="B2690" t="s">
        <v>16</v>
      </c>
      <c r="C2690" t="s">
        <v>17</v>
      </c>
      <c r="D2690">
        <v>2021</v>
      </c>
      <c r="E2690" s="2">
        <v>25</v>
      </c>
      <c r="F2690" s="2">
        <v>2125</v>
      </c>
      <c r="G2690" s="2">
        <v>2231.25</v>
      </c>
      <c r="H2690" s="3" t="s">
        <v>14</v>
      </c>
    </row>
    <row r="2691" spans="1:8" x14ac:dyDescent="0.3">
      <c r="A2691" t="s">
        <v>1398</v>
      </c>
      <c r="B2691" t="s">
        <v>62</v>
      </c>
      <c r="C2691" t="s">
        <v>63</v>
      </c>
      <c r="D2691">
        <v>2021</v>
      </c>
      <c r="E2691" s="2">
        <v>25</v>
      </c>
      <c r="F2691" s="2">
        <v>1000</v>
      </c>
      <c r="G2691" s="2">
        <v>1050</v>
      </c>
      <c r="H2691" s="3" t="s">
        <v>14</v>
      </c>
    </row>
    <row r="2692" spans="1:8" x14ac:dyDescent="0.3">
      <c r="A2692" t="s">
        <v>1399</v>
      </c>
      <c r="B2692" t="s">
        <v>26</v>
      </c>
      <c r="C2692" t="s">
        <v>27</v>
      </c>
      <c r="D2692">
        <v>2017</v>
      </c>
      <c r="E2692" s="2">
        <v>25</v>
      </c>
      <c r="F2692" s="2">
        <v>1300</v>
      </c>
      <c r="G2692" s="2"/>
    </row>
    <row r="2693" spans="1:8" x14ac:dyDescent="0.3">
      <c r="A2693" t="s">
        <v>1399</v>
      </c>
      <c r="B2693" t="s">
        <v>26</v>
      </c>
      <c r="C2693" t="s">
        <v>27</v>
      </c>
      <c r="D2693">
        <v>2019</v>
      </c>
      <c r="E2693" s="2">
        <v>70</v>
      </c>
      <c r="F2693" s="2">
        <v>5200</v>
      </c>
      <c r="G2693" s="2">
        <v>2730</v>
      </c>
    </row>
    <row r="2694" spans="1:8" x14ac:dyDescent="0.3">
      <c r="A2694" t="s">
        <v>1399</v>
      </c>
      <c r="B2694" t="s">
        <v>26</v>
      </c>
      <c r="C2694" t="s">
        <v>27</v>
      </c>
      <c r="D2694">
        <v>2020</v>
      </c>
      <c r="E2694" s="2">
        <v>50</v>
      </c>
      <c r="F2694" s="2">
        <v>2600</v>
      </c>
      <c r="G2694" s="2">
        <v>2600</v>
      </c>
    </row>
    <row r="2695" spans="1:8" x14ac:dyDescent="0.3">
      <c r="A2695" t="s">
        <v>1399</v>
      </c>
      <c r="B2695" t="s">
        <v>39</v>
      </c>
      <c r="D2695">
        <v>2017</v>
      </c>
      <c r="E2695" s="2">
        <v>50</v>
      </c>
      <c r="F2695" s="2">
        <v>16750</v>
      </c>
      <c r="G2695" s="2"/>
    </row>
    <row r="2696" spans="1:8" x14ac:dyDescent="0.3">
      <c r="A2696" t="s">
        <v>1399</v>
      </c>
      <c r="B2696" t="s">
        <v>39</v>
      </c>
      <c r="D2696">
        <v>2019</v>
      </c>
      <c r="E2696" s="2">
        <v>25</v>
      </c>
      <c r="F2696" s="2">
        <v>8375</v>
      </c>
      <c r="G2696" s="2"/>
    </row>
    <row r="2697" spans="1:8" x14ac:dyDescent="0.3">
      <c r="A2697" t="s">
        <v>1399</v>
      </c>
      <c r="B2697" t="s">
        <v>39</v>
      </c>
      <c r="D2697">
        <v>2020</v>
      </c>
      <c r="E2697" s="2">
        <v>25</v>
      </c>
      <c r="F2697" s="2">
        <v>8375</v>
      </c>
      <c r="G2697" s="2">
        <v>8375</v>
      </c>
    </row>
    <row r="2698" spans="1:8" x14ac:dyDescent="0.3">
      <c r="A2698" t="s">
        <v>1399</v>
      </c>
      <c r="B2698" t="s">
        <v>30</v>
      </c>
      <c r="C2698" t="s">
        <v>31</v>
      </c>
      <c r="D2698">
        <v>2020</v>
      </c>
      <c r="E2698" s="2">
        <v>75</v>
      </c>
      <c r="F2698" s="2">
        <v>3900</v>
      </c>
      <c r="G2698" s="2">
        <v>3900</v>
      </c>
    </row>
    <row r="2699" spans="1:8" x14ac:dyDescent="0.3">
      <c r="A2699" t="s">
        <v>1399</v>
      </c>
      <c r="B2699" t="s">
        <v>45</v>
      </c>
      <c r="D2699">
        <v>2018</v>
      </c>
      <c r="E2699" s="2">
        <v>20</v>
      </c>
      <c r="F2699" s="2">
        <v>1700</v>
      </c>
      <c r="G2699" s="2">
        <v>1785</v>
      </c>
    </row>
    <row r="2700" spans="1:8" x14ac:dyDescent="0.3">
      <c r="A2700" t="s">
        <v>1399</v>
      </c>
      <c r="B2700" t="s">
        <v>45</v>
      </c>
      <c r="D2700">
        <v>2020</v>
      </c>
      <c r="E2700" s="2">
        <v>20</v>
      </c>
      <c r="F2700" s="2">
        <v>1700</v>
      </c>
      <c r="G2700" s="2">
        <v>1700</v>
      </c>
    </row>
    <row r="2701" spans="1:8" x14ac:dyDescent="0.3">
      <c r="A2701" t="s">
        <v>1399</v>
      </c>
      <c r="B2701" t="s">
        <v>32</v>
      </c>
      <c r="D2701">
        <v>2017</v>
      </c>
      <c r="E2701" s="2">
        <v>20</v>
      </c>
      <c r="F2701" s="2">
        <v>1500</v>
      </c>
      <c r="G2701" s="2"/>
    </row>
    <row r="2702" spans="1:8" x14ac:dyDescent="0.3">
      <c r="A2702" t="s">
        <v>1399</v>
      </c>
      <c r="B2702" t="s">
        <v>32</v>
      </c>
      <c r="D2702">
        <v>2018</v>
      </c>
      <c r="E2702" s="2">
        <v>20</v>
      </c>
      <c r="F2702" s="2">
        <v>1500</v>
      </c>
      <c r="G2702" s="2">
        <v>1575</v>
      </c>
    </row>
    <row r="2703" spans="1:8" x14ac:dyDescent="0.3">
      <c r="A2703" t="s">
        <v>1399</v>
      </c>
      <c r="B2703" t="s">
        <v>32</v>
      </c>
      <c r="D2703">
        <v>2019</v>
      </c>
      <c r="E2703" s="2">
        <v>45</v>
      </c>
      <c r="F2703" s="2">
        <v>3375</v>
      </c>
      <c r="G2703" s="2">
        <v>3543.75</v>
      </c>
    </row>
    <row r="2704" spans="1:8" x14ac:dyDescent="0.3">
      <c r="A2704" t="s">
        <v>1399</v>
      </c>
      <c r="B2704" t="s">
        <v>32</v>
      </c>
      <c r="D2704">
        <v>2020</v>
      </c>
      <c r="E2704" s="2">
        <v>20</v>
      </c>
      <c r="F2704" s="2">
        <v>1500</v>
      </c>
      <c r="G2704" s="2">
        <v>1500</v>
      </c>
    </row>
    <row r="2705" spans="1:7" x14ac:dyDescent="0.3">
      <c r="A2705" t="s">
        <v>1399</v>
      </c>
      <c r="B2705" t="s">
        <v>46</v>
      </c>
      <c r="C2705" t="s">
        <v>47</v>
      </c>
      <c r="D2705">
        <v>2018</v>
      </c>
      <c r="E2705" s="2">
        <v>25</v>
      </c>
      <c r="F2705" s="2">
        <v>1500</v>
      </c>
      <c r="G2705" s="2">
        <v>1575</v>
      </c>
    </row>
    <row r="2706" spans="1:7" x14ac:dyDescent="0.3">
      <c r="A2706" t="s">
        <v>1399</v>
      </c>
      <c r="B2706" t="s">
        <v>483</v>
      </c>
      <c r="C2706" t="s">
        <v>484</v>
      </c>
      <c r="D2706">
        <v>2020</v>
      </c>
      <c r="E2706" s="2">
        <v>25</v>
      </c>
      <c r="F2706" s="2">
        <v>1500</v>
      </c>
      <c r="G2706" s="2">
        <v>1500</v>
      </c>
    </row>
    <row r="2707" spans="1:7" x14ac:dyDescent="0.3">
      <c r="A2707" t="s">
        <v>1400</v>
      </c>
      <c r="B2707" t="s">
        <v>1401</v>
      </c>
      <c r="D2707">
        <v>2012</v>
      </c>
      <c r="E2707" s="2">
        <v>20</v>
      </c>
      <c r="F2707" s="2">
        <v>6300</v>
      </c>
      <c r="G2707" s="2"/>
    </row>
    <row r="2708" spans="1:7" x14ac:dyDescent="0.3">
      <c r="A2708" t="s">
        <v>1400</v>
      </c>
      <c r="B2708" t="s">
        <v>1401</v>
      </c>
      <c r="D2708">
        <v>2013</v>
      </c>
      <c r="E2708" s="2">
        <v>60</v>
      </c>
      <c r="F2708" s="2">
        <v>18900</v>
      </c>
      <c r="G2708" s="2"/>
    </row>
    <row r="2709" spans="1:7" x14ac:dyDescent="0.3">
      <c r="A2709" t="s">
        <v>1400</v>
      </c>
      <c r="B2709" t="s">
        <v>1401</v>
      </c>
      <c r="D2709">
        <v>2014</v>
      </c>
      <c r="E2709" s="2">
        <v>55</v>
      </c>
      <c r="F2709" s="2">
        <v>17325</v>
      </c>
      <c r="G2709" s="2"/>
    </row>
    <row r="2710" spans="1:7" x14ac:dyDescent="0.3">
      <c r="A2710" t="s">
        <v>1400</v>
      </c>
      <c r="B2710" t="s">
        <v>1401</v>
      </c>
      <c r="D2710">
        <v>2015</v>
      </c>
      <c r="E2710" s="2">
        <v>60</v>
      </c>
      <c r="F2710" s="2">
        <v>18900</v>
      </c>
      <c r="G2710" s="2"/>
    </row>
    <row r="2711" spans="1:7" x14ac:dyDescent="0.3">
      <c r="A2711" t="s">
        <v>1400</v>
      </c>
      <c r="B2711" t="s">
        <v>1401</v>
      </c>
      <c r="D2711">
        <v>2016</v>
      </c>
      <c r="E2711" s="2">
        <v>60</v>
      </c>
      <c r="F2711" s="2">
        <v>18900</v>
      </c>
      <c r="G2711" s="2"/>
    </row>
    <row r="2712" spans="1:7" x14ac:dyDescent="0.3">
      <c r="A2712" t="s">
        <v>1400</v>
      </c>
      <c r="B2712" t="s">
        <v>1401</v>
      </c>
      <c r="D2712">
        <v>2017</v>
      </c>
      <c r="E2712" s="2">
        <v>90</v>
      </c>
      <c r="F2712" s="2">
        <v>28350</v>
      </c>
      <c r="G2712" s="2"/>
    </row>
    <row r="2713" spans="1:7" x14ac:dyDescent="0.3">
      <c r="A2713" t="s">
        <v>1400</v>
      </c>
      <c r="B2713" t="s">
        <v>45</v>
      </c>
      <c r="D2713">
        <v>2015</v>
      </c>
      <c r="E2713" s="2">
        <v>20</v>
      </c>
      <c r="F2713" s="2">
        <v>1800</v>
      </c>
      <c r="G2713" s="2"/>
    </row>
    <row r="2714" spans="1:7" x14ac:dyDescent="0.3">
      <c r="A2714" t="s">
        <v>1400</v>
      </c>
      <c r="B2714" t="s">
        <v>45</v>
      </c>
      <c r="D2714">
        <v>2017</v>
      </c>
      <c r="E2714" s="2">
        <v>20</v>
      </c>
      <c r="F2714" s="2">
        <v>1800</v>
      </c>
      <c r="G2714" s="2"/>
    </row>
    <row r="2715" spans="1:7" x14ac:dyDescent="0.3">
      <c r="A2715" t="s">
        <v>1400</v>
      </c>
      <c r="B2715" t="s">
        <v>863</v>
      </c>
      <c r="D2715">
        <v>2015</v>
      </c>
      <c r="E2715" s="2">
        <v>20</v>
      </c>
      <c r="F2715" s="2">
        <v>1800</v>
      </c>
      <c r="G2715" s="2"/>
    </row>
    <row r="2716" spans="1:7" x14ac:dyDescent="0.3">
      <c r="A2716" t="s">
        <v>1400</v>
      </c>
      <c r="B2716" t="s">
        <v>240</v>
      </c>
      <c r="D2716">
        <v>2013</v>
      </c>
      <c r="E2716" s="2">
        <v>20</v>
      </c>
      <c r="F2716" s="2">
        <v>1800</v>
      </c>
      <c r="G2716" s="2"/>
    </row>
    <row r="2717" spans="1:7" x14ac:dyDescent="0.3">
      <c r="A2717" t="s">
        <v>1400</v>
      </c>
      <c r="B2717" t="s">
        <v>240</v>
      </c>
      <c r="D2717">
        <v>2017</v>
      </c>
      <c r="E2717" s="2">
        <v>20</v>
      </c>
      <c r="F2717" s="2">
        <v>1800</v>
      </c>
      <c r="G2717" s="2"/>
    </row>
    <row r="2718" spans="1:7" x14ac:dyDescent="0.3">
      <c r="A2718" t="s">
        <v>1400</v>
      </c>
      <c r="B2718" t="s">
        <v>32</v>
      </c>
      <c r="D2718">
        <v>2012</v>
      </c>
      <c r="E2718" s="2">
        <v>220</v>
      </c>
      <c r="F2718" s="2">
        <v>15400</v>
      </c>
      <c r="G2718" s="2"/>
    </row>
    <row r="2719" spans="1:7" x14ac:dyDescent="0.3">
      <c r="A2719" t="s">
        <v>1400</v>
      </c>
      <c r="B2719" t="s">
        <v>32</v>
      </c>
      <c r="D2719">
        <v>2013</v>
      </c>
      <c r="E2719" s="2">
        <v>180</v>
      </c>
      <c r="F2719" s="2">
        <v>13500</v>
      </c>
      <c r="G2719" s="2"/>
    </row>
    <row r="2720" spans="1:7" x14ac:dyDescent="0.3">
      <c r="A2720" t="s">
        <v>1400</v>
      </c>
      <c r="B2720" t="s">
        <v>32</v>
      </c>
      <c r="D2720">
        <v>2014</v>
      </c>
      <c r="E2720" s="2">
        <v>80</v>
      </c>
      <c r="F2720" s="2">
        <v>6200</v>
      </c>
      <c r="G2720" s="2"/>
    </row>
    <row r="2721" spans="1:8" x14ac:dyDescent="0.3">
      <c r="A2721" t="s">
        <v>1400</v>
      </c>
      <c r="B2721" t="s">
        <v>32</v>
      </c>
      <c r="D2721">
        <v>2015</v>
      </c>
      <c r="E2721" s="2">
        <v>20</v>
      </c>
      <c r="F2721" s="2">
        <v>1600</v>
      </c>
      <c r="G2721" s="2"/>
    </row>
    <row r="2722" spans="1:8" x14ac:dyDescent="0.3">
      <c r="A2722" t="s">
        <v>1400</v>
      </c>
      <c r="B2722" t="s">
        <v>32</v>
      </c>
      <c r="D2722">
        <v>2016</v>
      </c>
      <c r="E2722" s="2">
        <v>20</v>
      </c>
      <c r="F2722" s="2">
        <v>1600</v>
      </c>
      <c r="G2722" s="2"/>
    </row>
    <row r="2723" spans="1:8" x14ac:dyDescent="0.3">
      <c r="A2723" t="s">
        <v>1400</v>
      </c>
      <c r="B2723" t="s">
        <v>32</v>
      </c>
      <c r="D2723">
        <v>2017</v>
      </c>
      <c r="E2723" s="2">
        <v>20</v>
      </c>
      <c r="F2723" s="2">
        <v>1600</v>
      </c>
      <c r="G2723" s="2"/>
    </row>
    <row r="2724" spans="1:8" x14ac:dyDescent="0.3">
      <c r="A2724" t="s">
        <v>1400</v>
      </c>
      <c r="B2724" t="s">
        <v>32</v>
      </c>
      <c r="D2724">
        <v>2018</v>
      </c>
      <c r="E2724" s="2">
        <v>20</v>
      </c>
      <c r="F2724" s="2">
        <v>1600</v>
      </c>
      <c r="G2724" s="2">
        <v>1680</v>
      </c>
    </row>
    <row r="2725" spans="1:8" x14ac:dyDescent="0.3">
      <c r="A2725" t="s">
        <v>1400</v>
      </c>
      <c r="B2725" t="s">
        <v>864</v>
      </c>
      <c r="D2725">
        <v>2013</v>
      </c>
      <c r="E2725" s="2">
        <v>20</v>
      </c>
      <c r="F2725" s="2">
        <v>1800</v>
      </c>
      <c r="G2725" s="2"/>
    </row>
    <row r="2726" spans="1:8" x14ac:dyDescent="0.3">
      <c r="A2726" t="s">
        <v>1400</v>
      </c>
      <c r="B2726" t="s">
        <v>864</v>
      </c>
      <c r="D2726">
        <v>2014</v>
      </c>
      <c r="E2726" s="2">
        <v>20</v>
      </c>
      <c r="F2726" s="2">
        <v>1800</v>
      </c>
      <c r="G2726" s="2"/>
    </row>
    <row r="2727" spans="1:8" x14ac:dyDescent="0.3">
      <c r="A2727" t="s">
        <v>1400</v>
      </c>
      <c r="B2727" t="s">
        <v>864</v>
      </c>
      <c r="D2727">
        <v>2016</v>
      </c>
      <c r="E2727" s="2">
        <v>20</v>
      </c>
      <c r="F2727" s="2">
        <v>1800</v>
      </c>
      <c r="G2727" s="2"/>
    </row>
    <row r="2728" spans="1:8" x14ac:dyDescent="0.3">
      <c r="A2728" t="s">
        <v>1402</v>
      </c>
      <c r="B2728" t="s">
        <v>32</v>
      </c>
      <c r="D2728">
        <v>2019</v>
      </c>
      <c r="E2728" s="2">
        <v>50</v>
      </c>
      <c r="F2728" s="2">
        <v>3250</v>
      </c>
      <c r="G2728" s="2">
        <v>3412.5</v>
      </c>
    </row>
    <row r="2729" spans="1:8" x14ac:dyDescent="0.3">
      <c r="A2729" t="s">
        <v>1403</v>
      </c>
      <c r="B2729" t="s">
        <v>1404</v>
      </c>
      <c r="D2729">
        <v>2020</v>
      </c>
      <c r="E2729" s="2">
        <v>1</v>
      </c>
      <c r="F2729" s="2">
        <v>265</v>
      </c>
      <c r="G2729" s="2">
        <v>265</v>
      </c>
    </row>
    <row r="2730" spans="1:8" x14ac:dyDescent="0.3">
      <c r="A2730" t="s">
        <v>1403</v>
      </c>
      <c r="B2730" t="s">
        <v>1405</v>
      </c>
      <c r="C2730" t="s">
        <v>1406</v>
      </c>
      <c r="D2730">
        <v>2020</v>
      </c>
      <c r="E2730" s="2">
        <v>5</v>
      </c>
      <c r="F2730" s="2">
        <v>1100</v>
      </c>
      <c r="G2730" s="2">
        <v>1100</v>
      </c>
    </row>
    <row r="2731" spans="1:8" x14ac:dyDescent="0.3">
      <c r="A2731" t="s">
        <v>1403</v>
      </c>
      <c r="B2731" t="s">
        <v>841</v>
      </c>
      <c r="C2731" t="s">
        <v>169</v>
      </c>
      <c r="D2731">
        <v>2020</v>
      </c>
      <c r="E2731" s="2">
        <v>5</v>
      </c>
      <c r="F2731" s="2">
        <v>950</v>
      </c>
      <c r="G2731" s="2">
        <v>950</v>
      </c>
    </row>
    <row r="2732" spans="1:8" x14ac:dyDescent="0.3">
      <c r="A2732" t="s">
        <v>1407</v>
      </c>
      <c r="B2732" t="s">
        <v>623</v>
      </c>
      <c r="C2732" t="s">
        <v>324</v>
      </c>
      <c r="D2732">
        <v>2019</v>
      </c>
      <c r="E2732" s="2">
        <v>16</v>
      </c>
      <c r="F2732" s="2">
        <v>1760</v>
      </c>
      <c r="G2732" s="2"/>
    </row>
    <row r="2733" spans="1:8" x14ac:dyDescent="0.3">
      <c r="A2733" t="s">
        <v>1407</v>
      </c>
      <c r="B2733" t="s">
        <v>1128</v>
      </c>
      <c r="C2733" t="s">
        <v>1129</v>
      </c>
      <c r="D2733">
        <v>2020</v>
      </c>
      <c r="E2733" s="2">
        <v>1</v>
      </c>
      <c r="F2733" s="2">
        <v>170</v>
      </c>
      <c r="G2733" s="2">
        <v>170</v>
      </c>
    </row>
    <row r="2734" spans="1:8" x14ac:dyDescent="0.3">
      <c r="A2734" t="s">
        <v>1407</v>
      </c>
      <c r="B2734" t="s">
        <v>1408</v>
      </c>
      <c r="D2734">
        <v>2021</v>
      </c>
      <c r="E2734" s="2">
        <v>2</v>
      </c>
      <c r="F2734" s="2">
        <v>500</v>
      </c>
      <c r="G2734" s="2">
        <v>500</v>
      </c>
      <c r="H2734" s="3" t="s">
        <v>147</v>
      </c>
    </row>
    <row r="2735" spans="1:8" x14ac:dyDescent="0.3">
      <c r="A2735" t="s">
        <v>1407</v>
      </c>
      <c r="B2735" t="s">
        <v>276</v>
      </c>
      <c r="C2735" t="s">
        <v>277</v>
      </c>
      <c r="D2735">
        <v>2019</v>
      </c>
      <c r="E2735" s="2">
        <v>1</v>
      </c>
      <c r="F2735" s="2">
        <v>250</v>
      </c>
      <c r="G2735" s="2"/>
    </row>
    <row r="2736" spans="1:8" x14ac:dyDescent="0.3">
      <c r="A2736" t="s">
        <v>1407</v>
      </c>
      <c r="B2736" t="s">
        <v>1238</v>
      </c>
      <c r="C2736" t="s">
        <v>1239</v>
      </c>
      <c r="D2736">
        <v>2019</v>
      </c>
      <c r="E2736" s="2">
        <v>1</v>
      </c>
      <c r="F2736" s="2">
        <v>160</v>
      </c>
      <c r="G2736" s="2"/>
    </row>
    <row r="2737" spans="1:8" x14ac:dyDescent="0.3">
      <c r="A2737" t="s">
        <v>1407</v>
      </c>
      <c r="B2737" t="s">
        <v>84</v>
      </c>
      <c r="C2737" t="s">
        <v>85</v>
      </c>
      <c r="D2737">
        <v>2019</v>
      </c>
      <c r="E2737" s="2">
        <v>1</v>
      </c>
      <c r="F2737" s="2">
        <v>85</v>
      </c>
      <c r="G2737" s="2">
        <v>89.25</v>
      </c>
    </row>
    <row r="2738" spans="1:8" x14ac:dyDescent="0.3">
      <c r="A2738" t="s">
        <v>1407</v>
      </c>
      <c r="B2738" t="s">
        <v>718</v>
      </c>
      <c r="C2738" t="s">
        <v>582</v>
      </c>
      <c r="D2738">
        <v>2019</v>
      </c>
      <c r="E2738" s="2">
        <v>1</v>
      </c>
      <c r="F2738" s="2">
        <v>235</v>
      </c>
      <c r="G2738" s="2">
        <v>246.75</v>
      </c>
    </row>
    <row r="2739" spans="1:8" x14ac:dyDescent="0.3">
      <c r="A2739" t="s">
        <v>1407</v>
      </c>
      <c r="B2739" t="s">
        <v>586</v>
      </c>
      <c r="C2739" t="s">
        <v>587</v>
      </c>
      <c r="D2739">
        <v>2021</v>
      </c>
      <c r="E2739" s="2">
        <v>2</v>
      </c>
      <c r="F2739" s="2">
        <v>420</v>
      </c>
      <c r="G2739" s="2">
        <v>420</v>
      </c>
      <c r="H2739" s="3" t="s">
        <v>18</v>
      </c>
    </row>
    <row r="2740" spans="1:8" x14ac:dyDescent="0.3">
      <c r="A2740" t="s">
        <v>1407</v>
      </c>
      <c r="B2740" t="s">
        <v>55</v>
      </c>
      <c r="D2740">
        <v>2019</v>
      </c>
      <c r="E2740" s="2">
        <v>1</v>
      </c>
      <c r="F2740" s="2">
        <v>350</v>
      </c>
      <c r="G2740" s="2">
        <v>367.5</v>
      </c>
      <c r="H2740" s="3" t="s">
        <v>18</v>
      </c>
    </row>
    <row r="2741" spans="1:8" x14ac:dyDescent="0.3">
      <c r="A2741" t="s">
        <v>1407</v>
      </c>
      <c r="B2741" t="s">
        <v>55</v>
      </c>
      <c r="D2741">
        <v>2021</v>
      </c>
      <c r="E2741" s="2">
        <v>3</v>
      </c>
      <c r="F2741" s="2">
        <v>850</v>
      </c>
      <c r="G2741" s="2">
        <v>270</v>
      </c>
      <c r="H2741" s="3" t="s">
        <v>18</v>
      </c>
    </row>
    <row r="2742" spans="1:8" x14ac:dyDescent="0.3">
      <c r="A2742" t="s">
        <v>1407</v>
      </c>
      <c r="B2742" t="s">
        <v>551</v>
      </c>
      <c r="D2742">
        <v>2019</v>
      </c>
      <c r="E2742" s="2">
        <v>11</v>
      </c>
      <c r="F2742" s="2">
        <v>2475</v>
      </c>
      <c r="G2742" s="2">
        <v>2415</v>
      </c>
    </row>
    <row r="2743" spans="1:8" x14ac:dyDescent="0.3">
      <c r="A2743" t="s">
        <v>1407</v>
      </c>
      <c r="B2743" t="s">
        <v>719</v>
      </c>
      <c r="C2743" t="s">
        <v>925</v>
      </c>
      <c r="D2743">
        <v>2019</v>
      </c>
      <c r="E2743" s="2">
        <v>1</v>
      </c>
      <c r="F2743" s="2">
        <v>160</v>
      </c>
      <c r="G2743" s="2">
        <v>168</v>
      </c>
    </row>
    <row r="2744" spans="1:8" x14ac:dyDescent="0.3">
      <c r="A2744" t="s">
        <v>1407</v>
      </c>
      <c r="B2744" t="s">
        <v>629</v>
      </c>
      <c r="C2744" t="s">
        <v>630</v>
      </c>
      <c r="D2744">
        <v>2021</v>
      </c>
      <c r="E2744" s="2">
        <v>1</v>
      </c>
      <c r="F2744" s="2">
        <v>80</v>
      </c>
      <c r="G2744" s="2">
        <v>80</v>
      </c>
      <c r="H2744" s="3" t="s">
        <v>14</v>
      </c>
    </row>
    <row r="2745" spans="1:8" x14ac:dyDescent="0.3">
      <c r="A2745" t="s">
        <v>1407</v>
      </c>
      <c r="B2745" t="s">
        <v>819</v>
      </c>
      <c r="C2745" t="s">
        <v>220</v>
      </c>
      <c r="D2745">
        <v>2019</v>
      </c>
      <c r="E2745" s="2">
        <v>1</v>
      </c>
      <c r="F2745" s="2">
        <v>270</v>
      </c>
      <c r="G2745" s="2">
        <v>283.5</v>
      </c>
    </row>
    <row r="2746" spans="1:8" x14ac:dyDescent="0.3">
      <c r="A2746" t="s">
        <v>1407</v>
      </c>
      <c r="B2746" t="s">
        <v>723</v>
      </c>
      <c r="C2746" t="s">
        <v>724</v>
      </c>
      <c r="D2746">
        <v>2020</v>
      </c>
      <c r="E2746" s="2">
        <v>1</v>
      </c>
      <c r="F2746" s="2">
        <v>220</v>
      </c>
      <c r="G2746" s="2">
        <v>220</v>
      </c>
      <c r="H2746" s="3" t="s">
        <v>14</v>
      </c>
    </row>
    <row r="2747" spans="1:8" x14ac:dyDescent="0.3">
      <c r="A2747" t="s">
        <v>1407</v>
      </c>
      <c r="B2747" t="s">
        <v>723</v>
      </c>
      <c r="C2747" t="s">
        <v>724</v>
      </c>
      <c r="D2747">
        <v>2021</v>
      </c>
      <c r="E2747" s="2">
        <v>4</v>
      </c>
      <c r="F2747" s="2">
        <v>437.5</v>
      </c>
      <c r="G2747" s="2">
        <v>220</v>
      </c>
      <c r="H2747" s="3" t="s">
        <v>14</v>
      </c>
    </row>
    <row r="2748" spans="1:8" x14ac:dyDescent="0.3">
      <c r="A2748" t="s">
        <v>1407</v>
      </c>
      <c r="B2748" t="s">
        <v>244</v>
      </c>
      <c r="C2748" t="s">
        <v>245</v>
      </c>
      <c r="D2748">
        <v>2020</v>
      </c>
      <c r="E2748" s="2">
        <v>1</v>
      </c>
      <c r="F2748" s="2">
        <v>240</v>
      </c>
      <c r="G2748" s="2">
        <v>240</v>
      </c>
    </row>
    <row r="2749" spans="1:8" x14ac:dyDescent="0.3">
      <c r="A2749" t="s">
        <v>1407</v>
      </c>
      <c r="B2749" t="s">
        <v>246</v>
      </c>
      <c r="C2749" t="s">
        <v>247</v>
      </c>
      <c r="D2749">
        <v>2019</v>
      </c>
      <c r="E2749" s="2">
        <v>5</v>
      </c>
      <c r="F2749" s="2">
        <v>900</v>
      </c>
      <c r="G2749" s="2"/>
    </row>
    <row r="2750" spans="1:8" x14ac:dyDescent="0.3">
      <c r="A2750" t="s">
        <v>1407</v>
      </c>
      <c r="B2750" t="s">
        <v>248</v>
      </c>
      <c r="C2750" t="s">
        <v>249</v>
      </c>
      <c r="D2750">
        <v>2021</v>
      </c>
      <c r="E2750" s="2">
        <v>1</v>
      </c>
      <c r="F2750" s="2">
        <v>120</v>
      </c>
      <c r="G2750" s="2">
        <v>120</v>
      </c>
      <c r="H2750" s="3" t="s">
        <v>18</v>
      </c>
    </row>
    <row r="2751" spans="1:8" x14ac:dyDescent="0.3">
      <c r="A2751" t="s">
        <v>1407</v>
      </c>
      <c r="B2751" t="s">
        <v>395</v>
      </c>
      <c r="D2751">
        <v>2019</v>
      </c>
      <c r="E2751" s="2">
        <v>1</v>
      </c>
      <c r="F2751" s="2">
        <v>260</v>
      </c>
      <c r="G2751" s="2">
        <v>273</v>
      </c>
    </row>
    <row r="2752" spans="1:8" x14ac:dyDescent="0.3">
      <c r="A2752" t="s">
        <v>1407</v>
      </c>
      <c r="B2752" t="s">
        <v>250</v>
      </c>
      <c r="C2752" t="s">
        <v>222</v>
      </c>
      <c r="D2752">
        <v>2019</v>
      </c>
      <c r="E2752" s="2">
        <v>1</v>
      </c>
      <c r="F2752" s="2">
        <v>50</v>
      </c>
      <c r="G2752" s="2"/>
      <c r="H2752" s="3" t="s">
        <v>18</v>
      </c>
    </row>
    <row r="2753" spans="1:8" x14ac:dyDescent="0.3">
      <c r="A2753" t="s">
        <v>1407</v>
      </c>
      <c r="B2753" t="s">
        <v>250</v>
      </c>
      <c r="C2753" t="s">
        <v>222</v>
      </c>
      <c r="D2753">
        <v>2021</v>
      </c>
      <c r="E2753" s="2">
        <v>1</v>
      </c>
      <c r="F2753" s="2">
        <v>190</v>
      </c>
      <c r="G2753" s="2">
        <v>190</v>
      </c>
      <c r="H2753" s="3" t="s">
        <v>18</v>
      </c>
    </row>
    <row r="2754" spans="1:8" x14ac:dyDescent="0.3">
      <c r="A2754" t="s">
        <v>1407</v>
      </c>
      <c r="B2754" t="s">
        <v>1409</v>
      </c>
      <c r="C2754" t="s">
        <v>1406</v>
      </c>
      <c r="D2754">
        <v>2019</v>
      </c>
      <c r="E2754" s="2">
        <v>3</v>
      </c>
      <c r="F2754" s="2">
        <v>1100</v>
      </c>
      <c r="G2754" s="2">
        <v>1155</v>
      </c>
    </row>
    <row r="2755" spans="1:8" x14ac:dyDescent="0.3">
      <c r="A2755" t="s">
        <v>1407</v>
      </c>
      <c r="B2755" t="s">
        <v>790</v>
      </c>
      <c r="C2755" t="s">
        <v>791</v>
      </c>
      <c r="D2755">
        <v>2020</v>
      </c>
      <c r="E2755" s="2">
        <v>1</v>
      </c>
      <c r="F2755" s="2">
        <v>190</v>
      </c>
      <c r="G2755" s="2">
        <v>190</v>
      </c>
      <c r="H2755" s="3" t="s">
        <v>18</v>
      </c>
    </row>
    <row r="2756" spans="1:8" x14ac:dyDescent="0.3">
      <c r="A2756" t="s">
        <v>1407</v>
      </c>
      <c r="B2756" t="s">
        <v>790</v>
      </c>
      <c r="C2756" t="s">
        <v>791</v>
      </c>
      <c r="D2756">
        <v>2021</v>
      </c>
      <c r="E2756" s="2">
        <v>1</v>
      </c>
      <c r="F2756" s="2">
        <v>200</v>
      </c>
      <c r="G2756" s="2">
        <v>200</v>
      </c>
      <c r="H2756" s="3" t="s">
        <v>18</v>
      </c>
    </row>
    <row r="2757" spans="1:8" x14ac:dyDescent="0.3">
      <c r="A2757" t="s">
        <v>1407</v>
      </c>
      <c r="B2757" t="s">
        <v>665</v>
      </c>
      <c r="D2757">
        <v>2020</v>
      </c>
      <c r="E2757" s="2">
        <v>10</v>
      </c>
      <c r="F2757" s="2">
        <v>800</v>
      </c>
      <c r="G2757" s="2">
        <v>800</v>
      </c>
    </row>
    <row r="2758" spans="1:8" x14ac:dyDescent="0.3">
      <c r="A2758" t="s">
        <v>1407</v>
      </c>
      <c r="B2758" t="s">
        <v>506</v>
      </c>
      <c r="C2758" t="s">
        <v>507</v>
      </c>
      <c r="D2758">
        <v>2020</v>
      </c>
      <c r="E2758" s="2">
        <v>3</v>
      </c>
      <c r="F2758" s="2">
        <v>600</v>
      </c>
      <c r="G2758" s="2">
        <v>600</v>
      </c>
    </row>
    <row r="2759" spans="1:8" x14ac:dyDescent="0.3">
      <c r="A2759" t="s">
        <v>1407</v>
      </c>
      <c r="B2759" t="s">
        <v>1410</v>
      </c>
      <c r="C2759" t="s">
        <v>1411</v>
      </c>
      <c r="D2759">
        <v>2021</v>
      </c>
      <c r="E2759" s="2">
        <v>1</v>
      </c>
      <c r="F2759" s="2">
        <v>175</v>
      </c>
      <c r="G2759" s="2">
        <v>175</v>
      </c>
      <c r="H2759" s="3" t="s">
        <v>18</v>
      </c>
    </row>
    <row r="2760" spans="1:8" x14ac:dyDescent="0.3">
      <c r="A2760" t="s">
        <v>1407</v>
      </c>
      <c r="B2760" t="s">
        <v>536</v>
      </c>
      <c r="C2760" t="s">
        <v>537</v>
      </c>
      <c r="D2760">
        <v>2020</v>
      </c>
      <c r="E2760" s="2">
        <v>2</v>
      </c>
      <c r="F2760" s="2">
        <v>360</v>
      </c>
      <c r="G2760" s="2">
        <v>360</v>
      </c>
      <c r="H2760" s="3" t="s">
        <v>18</v>
      </c>
    </row>
    <row r="2761" spans="1:8" x14ac:dyDescent="0.3">
      <c r="A2761" t="s">
        <v>1407</v>
      </c>
      <c r="B2761" t="s">
        <v>536</v>
      </c>
      <c r="C2761" t="s">
        <v>537</v>
      </c>
      <c r="D2761">
        <v>2021</v>
      </c>
      <c r="E2761" s="2">
        <v>1</v>
      </c>
      <c r="F2761" s="2">
        <v>180</v>
      </c>
      <c r="G2761" s="2">
        <v>180</v>
      </c>
      <c r="H2761" s="3" t="s">
        <v>18</v>
      </c>
    </row>
    <row r="2762" spans="1:8" x14ac:dyDescent="0.3">
      <c r="A2762" t="s">
        <v>1407</v>
      </c>
      <c r="B2762" t="s">
        <v>24</v>
      </c>
      <c r="C2762" t="s">
        <v>25</v>
      </c>
      <c r="D2762">
        <v>2017</v>
      </c>
      <c r="E2762" s="2">
        <v>5</v>
      </c>
      <c r="F2762" s="2">
        <v>4750</v>
      </c>
      <c r="G2762" s="2"/>
    </row>
    <row r="2763" spans="1:8" x14ac:dyDescent="0.3">
      <c r="A2763" t="s">
        <v>1407</v>
      </c>
      <c r="B2763" t="s">
        <v>538</v>
      </c>
      <c r="C2763" t="s">
        <v>539</v>
      </c>
      <c r="D2763">
        <v>2021</v>
      </c>
      <c r="E2763" s="2">
        <v>1</v>
      </c>
      <c r="F2763" s="2">
        <v>95</v>
      </c>
      <c r="G2763" s="2">
        <v>95</v>
      </c>
      <c r="H2763" s="3" t="s">
        <v>442</v>
      </c>
    </row>
    <row r="2764" spans="1:8" x14ac:dyDescent="0.3">
      <c r="A2764" t="s">
        <v>1407</v>
      </c>
      <c r="B2764" t="s">
        <v>252</v>
      </c>
      <c r="C2764" t="s">
        <v>191</v>
      </c>
      <c r="D2764">
        <v>2019</v>
      </c>
      <c r="E2764" s="2">
        <v>1</v>
      </c>
      <c r="F2764" s="2">
        <v>110</v>
      </c>
      <c r="G2764" s="2"/>
    </row>
    <row r="2765" spans="1:8" x14ac:dyDescent="0.3">
      <c r="A2765" t="s">
        <v>1407</v>
      </c>
      <c r="B2765" t="s">
        <v>637</v>
      </c>
      <c r="C2765" t="s">
        <v>638</v>
      </c>
      <c r="D2765">
        <v>2021</v>
      </c>
      <c r="E2765" s="2">
        <v>1</v>
      </c>
      <c r="F2765" s="2">
        <v>220</v>
      </c>
      <c r="G2765" s="2">
        <v>220</v>
      </c>
      <c r="H2765" s="3" t="s">
        <v>18</v>
      </c>
    </row>
    <row r="2766" spans="1:8" x14ac:dyDescent="0.3">
      <c r="A2766" t="s">
        <v>1407</v>
      </c>
      <c r="B2766" t="s">
        <v>510</v>
      </c>
      <c r="C2766" t="s">
        <v>511</v>
      </c>
      <c r="D2766">
        <v>2019</v>
      </c>
      <c r="E2766" s="2">
        <v>26</v>
      </c>
      <c r="F2766" s="2">
        <v>4200</v>
      </c>
      <c r="G2766" s="2"/>
    </row>
    <row r="2767" spans="1:8" x14ac:dyDescent="0.3">
      <c r="A2767" t="s">
        <v>1407</v>
      </c>
      <c r="B2767" t="s">
        <v>510</v>
      </c>
      <c r="C2767" t="s">
        <v>511</v>
      </c>
      <c r="D2767">
        <v>2020</v>
      </c>
      <c r="E2767" s="2">
        <v>5</v>
      </c>
      <c r="F2767" s="2">
        <v>875</v>
      </c>
      <c r="G2767" s="2">
        <v>875</v>
      </c>
    </row>
    <row r="2768" spans="1:8" x14ac:dyDescent="0.3">
      <c r="A2768" t="s">
        <v>1407</v>
      </c>
      <c r="B2768" t="s">
        <v>1412</v>
      </c>
      <c r="D2768">
        <v>2021</v>
      </c>
      <c r="E2768" s="2">
        <v>1.5</v>
      </c>
      <c r="F2768" s="2">
        <v>257.5</v>
      </c>
      <c r="G2768" s="2">
        <v>257.5</v>
      </c>
    </row>
    <row r="2769" spans="1:8" x14ac:dyDescent="0.3">
      <c r="A2769" t="s">
        <v>1407</v>
      </c>
      <c r="B2769" t="s">
        <v>1413</v>
      </c>
      <c r="D2769">
        <v>2021</v>
      </c>
      <c r="E2769" s="2">
        <v>1</v>
      </c>
      <c r="F2769" s="2">
        <v>70</v>
      </c>
      <c r="G2769" s="2">
        <v>70</v>
      </c>
    </row>
    <row r="2770" spans="1:8" x14ac:dyDescent="0.3">
      <c r="A2770" t="s">
        <v>1407</v>
      </c>
      <c r="B2770" t="s">
        <v>1414</v>
      </c>
      <c r="C2770" t="s">
        <v>1415</v>
      </c>
      <c r="D2770">
        <v>2020</v>
      </c>
      <c r="E2770" s="2">
        <v>1</v>
      </c>
      <c r="F2770" s="2">
        <v>180</v>
      </c>
      <c r="G2770" s="2">
        <v>180</v>
      </c>
      <c r="H2770" s="3" t="s">
        <v>18</v>
      </c>
    </row>
    <row r="2771" spans="1:8" x14ac:dyDescent="0.3">
      <c r="A2771" t="s">
        <v>1407</v>
      </c>
      <c r="B2771" t="s">
        <v>1414</v>
      </c>
      <c r="C2771" t="s">
        <v>1415</v>
      </c>
      <c r="D2771">
        <v>2021</v>
      </c>
      <c r="E2771" s="2">
        <v>1</v>
      </c>
      <c r="F2771" s="2">
        <v>180</v>
      </c>
      <c r="G2771" s="2">
        <v>180</v>
      </c>
      <c r="H2771" s="3" t="s">
        <v>18</v>
      </c>
    </row>
    <row r="2772" spans="1:8" x14ac:dyDescent="0.3">
      <c r="A2772" t="s">
        <v>1407</v>
      </c>
      <c r="B2772" t="s">
        <v>255</v>
      </c>
      <c r="C2772" t="s">
        <v>256</v>
      </c>
      <c r="D2772">
        <v>2020</v>
      </c>
      <c r="E2772" s="2">
        <v>1</v>
      </c>
      <c r="F2772" s="2">
        <v>180</v>
      </c>
      <c r="G2772" s="2">
        <v>180</v>
      </c>
    </row>
    <row r="2773" spans="1:8" x14ac:dyDescent="0.3">
      <c r="A2773" t="s">
        <v>1407</v>
      </c>
      <c r="B2773" t="s">
        <v>1416</v>
      </c>
      <c r="C2773" t="s">
        <v>1417</v>
      </c>
      <c r="D2773">
        <v>2020</v>
      </c>
      <c r="E2773" s="2">
        <v>1</v>
      </c>
      <c r="F2773" s="2">
        <v>180</v>
      </c>
      <c r="G2773" s="2">
        <v>180</v>
      </c>
    </row>
    <row r="2774" spans="1:8" x14ac:dyDescent="0.3">
      <c r="A2774" t="s">
        <v>1407</v>
      </c>
      <c r="B2774" t="s">
        <v>1347</v>
      </c>
      <c r="C2774" t="s">
        <v>737</v>
      </c>
      <c r="D2774">
        <v>2021</v>
      </c>
      <c r="E2774" s="2">
        <v>10</v>
      </c>
      <c r="F2774" s="2">
        <v>750</v>
      </c>
      <c r="G2774" s="2">
        <v>750</v>
      </c>
      <c r="H2774" s="3" t="s">
        <v>18</v>
      </c>
    </row>
    <row r="2775" spans="1:8" x14ac:dyDescent="0.3">
      <c r="A2775" t="s">
        <v>1407</v>
      </c>
      <c r="B2775" t="s">
        <v>1418</v>
      </c>
      <c r="C2775" t="s">
        <v>224</v>
      </c>
      <c r="D2775">
        <v>2019</v>
      </c>
      <c r="E2775" s="2">
        <v>8</v>
      </c>
      <c r="F2775" s="2">
        <v>1465</v>
      </c>
      <c r="G2775" s="2"/>
    </row>
    <row r="2776" spans="1:8" x14ac:dyDescent="0.3">
      <c r="A2776" t="s">
        <v>1407</v>
      </c>
      <c r="B2776" t="s">
        <v>1419</v>
      </c>
      <c r="C2776" t="s">
        <v>1420</v>
      </c>
      <c r="D2776">
        <v>2020</v>
      </c>
      <c r="E2776" s="2">
        <v>2</v>
      </c>
      <c r="F2776" s="2">
        <v>370</v>
      </c>
      <c r="G2776" s="2">
        <v>370</v>
      </c>
      <c r="H2776" s="3" t="s">
        <v>18</v>
      </c>
    </row>
    <row r="2777" spans="1:8" x14ac:dyDescent="0.3">
      <c r="A2777" t="s">
        <v>1407</v>
      </c>
      <c r="B2777" t="s">
        <v>1419</v>
      </c>
      <c r="C2777" t="s">
        <v>1420</v>
      </c>
      <c r="D2777">
        <v>2021</v>
      </c>
      <c r="E2777" s="2">
        <v>1</v>
      </c>
      <c r="F2777" s="2">
        <v>180</v>
      </c>
      <c r="G2777" s="2">
        <v>180</v>
      </c>
      <c r="H2777" s="3" t="s">
        <v>18</v>
      </c>
    </row>
    <row r="2778" spans="1:8" x14ac:dyDescent="0.3">
      <c r="A2778" t="s">
        <v>1407</v>
      </c>
      <c r="B2778" t="s">
        <v>58</v>
      </c>
      <c r="C2778" t="s">
        <v>59</v>
      </c>
      <c r="D2778">
        <v>2020</v>
      </c>
      <c r="E2778" s="2">
        <v>4</v>
      </c>
      <c r="F2778" s="2">
        <v>782</v>
      </c>
      <c r="G2778" s="2">
        <v>821.1</v>
      </c>
    </row>
    <row r="2779" spans="1:8" x14ac:dyDescent="0.3">
      <c r="A2779" t="s">
        <v>1407</v>
      </c>
      <c r="B2779" t="s">
        <v>26</v>
      </c>
      <c r="C2779" t="s">
        <v>27</v>
      </c>
      <c r="D2779">
        <v>2020</v>
      </c>
      <c r="E2779" s="2">
        <v>10</v>
      </c>
      <c r="F2779" s="2">
        <v>770</v>
      </c>
      <c r="G2779" s="2">
        <v>770</v>
      </c>
    </row>
    <row r="2780" spans="1:8" x14ac:dyDescent="0.3">
      <c r="A2780" t="s">
        <v>1407</v>
      </c>
      <c r="B2780" t="s">
        <v>39</v>
      </c>
      <c r="D2780">
        <v>2021</v>
      </c>
      <c r="E2780" s="2">
        <v>10</v>
      </c>
      <c r="F2780" s="2">
        <v>3050</v>
      </c>
      <c r="G2780" s="2">
        <v>3050</v>
      </c>
      <c r="H2780" s="3" t="s">
        <v>18</v>
      </c>
    </row>
    <row r="2781" spans="1:8" x14ac:dyDescent="0.3">
      <c r="A2781" t="s">
        <v>1407</v>
      </c>
      <c r="B2781" t="s">
        <v>1354</v>
      </c>
      <c r="D2781">
        <v>2020</v>
      </c>
      <c r="E2781" s="2">
        <v>25</v>
      </c>
      <c r="F2781" s="2">
        <v>1905</v>
      </c>
      <c r="G2781" s="2">
        <v>2000.25</v>
      </c>
    </row>
    <row r="2782" spans="1:8" x14ac:dyDescent="0.3">
      <c r="A2782" t="s">
        <v>1407</v>
      </c>
      <c r="B2782" t="s">
        <v>1421</v>
      </c>
      <c r="C2782" t="s">
        <v>98</v>
      </c>
      <c r="D2782">
        <v>2019</v>
      </c>
      <c r="E2782" s="2">
        <v>1</v>
      </c>
      <c r="F2782" s="2">
        <v>160</v>
      </c>
      <c r="G2782" s="2"/>
    </row>
    <row r="2783" spans="1:8" x14ac:dyDescent="0.3">
      <c r="A2783" t="s">
        <v>1407</v>
      </c>
      <c r="B2783" t="s">
        <v>643</v>
      </c>
      <c r="C2783" t="s">
        <v>644</v>
      </c>
      <c r="D2783">
        <v>2020</v>
      </c>
      <c r="E2783" s="2">
        <v>3</v>
      </c>
      <c r="F2783" s="2">
        <v>290</v>
      </c>
      <c r="G2783" s="2">
        <v>290</v>
      </c>
    </row>
    <row r="2784" spans="1:8" x14ac:dyDescent="0.3">
      <c r="A2784" t="s">
        <v>1407</v>
      </c>
      <c r="B2784" t="s">
        <v>596</v>
      </c>
      <c r="D2784">
        <v>2021</v>
      </c>
      <c r="E2784" s="2">
        <v>1</v>
      </c>
      <c r="F2784" s="2">
        <v>242</v>
      </c>
      <c r="G2784" s="2">
        <v>242</v>
      </c>
      <c r="H2784" s="3" t="s">
        <v>18</v>
      </c>
    </row>
    <row r="2785" spans="1:8" x14ac:dyDescent="0.3">
      <c r="A2785" t="s">
        <v>1407</v>
      </c>
      <c r="B2785" t="s">
        <v>99</v>
      </c>
      <c r="C2785" t="s">
        <v>100</v>
      </c>
      <c r="D2785">
        <v>2019</v>
      </c>
      <c r="E2785" s="2">
        <v>25</v>
      </c>
      <c r="F2785" s="2">
        <v>4860</v>
      </c>
      <c r="G2785" s="2"/>
      <c r="H2785" s="3" t="s">
        <v>18</v>
      </c>
    </row>
    <row r="2786" spans="1:8" x14ac:dyDescent="0.3">
      <c r="A2786" t="s">
        <v>1407</v>
      </c>
      <c r="B2786" t="s">
        <v>99</v>
      </c>
      <c r="C2786" t="s">
        <v>100</v>
      </c>
      <c r="D2786">
        <v>2020</v>
      </c>
      <c r="E2786" s="2">
        <v>1</v>
      </c>
      <c r="F2786" s="2">
        <v>220</v>
      </c>
      <c r="G2786" s="2">
        <v>220</v>
      </c>
      <c r="H2786" s="3" t="s">
        <v>18</v>
      </c>
    </row>
    <row r="2787" spans="1:8" x14ac:dyDescent="0.3">
      <c r="A2787" t="s">
        <v>1407</v>
      </c>
      <c r="B2787" t="s">
        <v>99</v>
      </c>
      <c r="C2787" t="s">
        <v>100</v>
      </c>
      <c r="D2787">
        <v>2021</v>
      </c>
      <c r="E2787" s="2">
        <v>1.5</v>
      </c>
      <c r="F2787" s="2">
        <v>330</v>
      </c>
      <c r="G2787" s="2">
        <v>110</v>
      </c>
      <c r="H2787" s="3" t="s">
        <v>18</v>
      </c>
    </row>
    <row r="2788" spans="1:8" x14ac:dyDescent="0.3">
      <c r="A2788" t="s">
        <v>1407</v>
      </c>
      <c r="B2788" t="s">
        <v>1135</v>
      </c>
      <c r="C2788" t="s">
        <v>561</v>
      </c>
      <c r="D2788">
        <v>2020</v>
      </c>
      <c r="E2788" s="2">
        <v>1</v>
      </c>
      <c r="F2788" s="2">
        <v>180</v>
      </c>
      <c r="G2788" s="2">
        <v>180</v>
      </c>
    </row>
    <row r="2789" spans="1:8" x14ac:dyDescent="0.3">
      <c r="A2789" t="s">
        <v>1407</v>
      </c>
      <c r="B2789" t="s">
        <v>257</v>
      </c>
      <c r="C2789" t="s">
        <v>61</v>
      </c>
      <c r="D2789">
        <v>2019</v>
      </c>
      <c r="E2789" s="2">
        <v>1</v>
      </c>
      <c r="F2789" s="2">
        <v>180</v>
      </c>
      <c r="G2789" s="2"/>
      <c r="H2789" s="3" t="s">
        <v>18</v>
      </c>
    </row>
    <row r="2790" spans="1:8" x14ac:dyDescent="0.3">
      <c r="A2790" t="s">
        <v>1407</v>
      </c>
      <c r="B2790" t="s">
        <v>257</v>
      </c>
      <c r="C2790" t="s">
        <v>61</v>
      </c>
      <c r="D2790">
        <v>2020</v>
      </c>
      <c r="E2790" s="2">
        <v>1</v>
      </c>
      <c r="F2790" s="2">
        <v>180</v>
      </c>
      <c r="G2790" s="2">
        <v>180</v>
      </c>
      <c r="H2790" s="3" t="s">
        <v>18</v>
      </c>
    </row>
    <row r="2791" spans="1:8" x14ac:dyDescent="0.3">
      <c r="A2791" t="s">
        <v>1407</v>
      </c>
      <c r="B2791" t="s">
        <v>257</v>
      </c>
      <c r="C2791" t="s">
        <v>61</v>
      </c>
      <c r="D2791">
        <v>2021</v>
      </c>
      <c r="E2791" s="2">
        <v>1</v>
      </c>
      <c r="F2791" s="2">
        <v>170</v>
      </c>
      <c r="G2791" s="2">
        <v>170</v>
      </c>
      <c r="H2791" s="3" t="s">
        <v>18</v>
      </c>
    </row>
    <row r="2792" spans="1:8" x14ac:dyDescent="0.3">
      <c r="A2792" t="s">
        <v>1407</v>
      </c>
      <c r="B2792" t="s">
        <v>516</v>
      </c>
      <c r="D2792">
        <v>2021</v>
      </c>
      <c r="E2792" s="2">
        <v>1</v>
      </c>
      <c r="F2792" s="2">
        <v>273</v>
      </c>
      <c r="G2792" s="2">
        <v>273</v>
      </c>
      <c r="H2792" s="3" t="s">
        <v>18</v>
      </c>
    </row>
    <row r="2793" spans="1:8" x14ac:dyDescent="0.3">
      <c r="A2793" t="s">
        <v>1407</v>
      </c>
      <c r="B2793" t="s">
        <v>1422</v>
      </c>
      <c r="C2793" t="s">
        <v>80</v>
      </c>
      <c r="D2793">
        <v>2019</v>
      </c>
      <c r="E2793" s="2">
        <v>3</v>
      </c>
      <c r="F2793" s="2">
        <v>550</v>
      </c>
      <c r="G2793" s="2">
        <v>189</v>
      </c>
    </row>
    <row r="2794" spans="1:8" x14ac:dyDescent="0.3">
      <c r="A2794" t="s">
        <v>1407</v>
      </c>
      <c r="B2794" t="s">
        <v>1423</v>
      </c>
      <c r="C2794" t="s">
        <v>1424</v>
      </c>
      <c r="D2794">
        <v>2020</v>
      </c>
      <c r="E2794" s="2">
        <v>2</v>
      </c>
      <c r="F2794" s="2">
        <v>370</v>
      </c>
      <c r="G2794" s="2">
        <v>370</v>
      </c>
      <c r="H2794" s="3" t="s">
        <v>18</v>
      </c>
    </row>
    <row r="2795" spans="1:8" x14ac:dyDescent="0.3">
      <c r="A2795" t="s">
        <v>1407</v>
      </c>
      <c r="B2795" t="s">
        <v>1423</v>
      </c>
      <c r="C2795" t="s">
        <v>1424</v>
      </c>
      <c r="D2795">
        <v>2021</v>
      </c>
      <c r="E2795" s="2">
        <v>1</v>
      </c>
      <c r="F2795" s="2">
        <v>180</v>
      </c>
      <c r="G2795" s="2">
        <v>180</v>
      </c>
      <c r="H2795" s="3" t="s">
        <v>18</v>
      </c>
    </row>
    <row r="2796" spans="1:8" x14ac:dyDescent="0.3">
      <c r="A2796" t="s">
        <v>1407</v>
      </c>
      <c r="B2796" t="s">
        <v>103</v>
      </c>
      <c r="C2796" t="s">
        <v>104</v>
      </c>
      <c r="D2796">
        <v>2019</v>
      </c>
      <c r="E2796" s="2">
        <v>2</v>
      </c>
      <c r="F2796" s="2">
        <v>275</v>
      </c>
      <c r="G2796" s="2"/>
    </row>
    <row r="2797" spans="1:8" x14ac:dyDescent="0.3">
      <c r="A2797" t="s">
        <v>1407</v>
      </c>
      <c r="B2797" t="s">
        <v>1009</v>
      </c>
      <c r="C2797" t="s">
        <v>934</v>
      </c>
      <c r="D2797">
        <v>2020</v>
      </c>
      <c r="E2797" s="2">
        <v>1</v>
      </c>
      <c r="F2797" s="2">
        <v>65</v>
      </c>
      <c r="G2797" s="2">
        <v>65</v>
      </c>
    </row>
    <row r="2798" spans="1:8" x14ac:dyDescent="0.3">
      <c r="A2798" t="s">
        <v>1407</v>
      </c>
      <c r="B2798" t="s">
        <v>542</v>
      </c>
      <c r="C2798" t="s">
        <v>160</v>
      </c>
      <c r="D2798">
        <v>2019</v>
      </c>
      <c r="E2798" s="2">
        <v>70</v>
      </c>
      <c r="F2798" s="2">
        <v>11200</v>
      </c>
      <c r="G2798" s="2"/>
      <c r="H2798" s="3" t="s">
        <v>18</v>
      </c>
    </row>
    <row r="2799" spans="1:8" x14ac:dyDescent="0.3">
      <c r="A2799" t="s">
        <v>1407</v>
      </c>
      <c r="B2799" t="s">
        <v>542</v>
      </c>
      <c r="C2799" t="s">
        <v>160</v>
      </c>
      <c r="D2799">
        <v>2020</v>
      </c>
      <c r="E2799" s="2">
        <v>2</v>
      </c>
      <c r="F2799" s="2">
        <v>380</v>
      </c>
      <c r="G2799" s="2">
        <v>380</v>
      </c>
      <c r="H2799" s="3" t="s">
        <v>18</v>
      </c>
    </row>
    <row r="2800" spans="1:8" x14ac:dyDescent="0.3">
      <c r="A2800" t="s">
        <v>1407</v>
      </c>
      <c r="B2800" t="s">
        <v>542</v>
      </c>
      <c r="C2800" t="s">
        <v>160</v>
      </c>
      <c r="D2800">
        <v>2021</v>
      </c>
      <c r="E2800" s="2">
        <v>1</v>
      </c>
      <c r="F2800" s="2">
        <v>220</v>
      </c>
      <c r="G2800" s="2">
        <v>220</v>
      </c>
      <c r="H2800" s="3" t="s">
        <v>18</v>
      </c>
    </row>
    <row r="2801" spans="1:8" x14ac:dyDescent="0.3">
      <c r="A2801" t="s">
        <v>1407</v>
      </c>
      <c r="B2801" t="s">
        <v>105</v>
      </c>
      <c r="C2801" t="s">
        <v>106</v>
      </c>
      <c r="D2801">
        <v>2019</v>
      </c>
      <c r="E2801" s="2">
        <v>3</v>
      </c>
      <c r="F2801" s="2">
        <v>640</v>
      </c>
      <c r="G2801" s="2">
        <v>231</v>
      </c>
      <c r="H2801" s="3" t="s">
        <v>18</v>
      </c>
    </row>
    <row r="2802" spans="1:8" x14ac:dyDescent="0.3">
      <c r="A2802" t="s">
        <v>1407</v>
      </c>
      <c r="B2802" t="s">
        <v>105</v>
      </c>
      <c r="C2802" t="s">
        <v>106</v>
      </c>
      <c r="D2802">
        <v>2020</v>
      </c>
      <c r="E2802" s="2">
        <v>1</v>
      </c>
      <c r="F2802" s="2">
        <v>210</v>
      </c>
      <c r="G2802" s="2">
        <v>210</v>
      </c>
      <c r="H2802" s="3" t="s">
        <v>18</v>
      </c>
    </row>
    <row r="2803" spans="1:8" x14ac:dyDescent="0.3">
      <c r="A2803" t="s">
        <v>1407</v>
      </c>
      <c r="B2803" t="s">
        <v>105</v>
      </c>
      <c r="C2803" t="s">
        <v>106</v>
      </c>
      <c r="D2803">
        <v>2021</v>
      </c>
      <c r="E2803" s="2">
        <v>1</v>
      </c>
      <c r="F2803" s="2">
        <v>200</v>
      </c>
      <c r="G2803" s="2">
        <v>200</v>
      </c>
      <c r="H2803" s="3" t="s">
        <v>18</v>
      </c>
    </row>
    <row r="2804" spans="1:8" x14ac:dyDescent="0.3">
      <c r="A2804" t="s">
        <v>1407</v>
      </c>
      <c r="B2804" t="s">
        <v>258</v>
      </c>
      <c r="C2804" t="s">
        <v>259</v>
      </c>
      <c r="D2804">
        <v>2019</v>
      </c>
      <c r="E2804" s="2">
        <v>2</v>
      </c>
      <c r="F2804" s="2">
        <v>500</v>
      </c>
      <c r="G2804" s="2">
        <v>273</v>
      </c>
      <c r="H2804" s="3" t="s">
        <v>18</v>
      </c>
    </row>
    <row r="2805" spans="1:8" x14ac:dyDescent="0.3">
      <c r="A2805" t="s">
        <v>1407</v>
      </c>
      <c r="B2805" t="s">
        <v>258</v>
      </c>
      <c r="C2805" t="s">
        <v>259</v>
      </c>
      <c r="D2805">
        <v>2020</v>
      </c>
      <c r="E2805" s="2">
        <v>2</v>
      </c>
      <c r="F2805" s="2">
        <v>360</v>
      </c>
      <c r="G2805" s="2">
        <v>360</v>
      </c>
      <c r="H2805" s="3" t="s">
        <v>18</v>
      </c>
    </row>
    <row r="2806" spans="1:8" x14ac:dyDescent="0.3">
      <c r="A2806" t="s">
        <v>1407</v>
      </c>
      <c r="B2806" t="s">
        <v>258</v>
      </c>
      <c r="C2806" t="s">
        <v>259</v>
      </c>
      <c r="D2806">
        <v>2021</v>
      </c>
      <c r="E2806" s="2">
        <v>3</v>
      </c>
      <c r="F2806" s="2">
        <v>630</v>
      </c>
      <c r="G2806" s="2">
        <v>350</v>
      </c>
      <c r="H2806" s="3" t="s">
        <v>18</v>
      </c>
    </row>
    <row r="2807" spans="1:8" x14ac:dyDescent="0.3">
      <c r="A2807" t="s">
        <v>1407</v>
      </c>
      <c r="B2807" t="s">
        <v>1425</v>
      </c>
      <c r="C2807" t="s">
        <v>212</v>
      </c>
      <c r="D2807">
        <v>2019</v>
      </c>
      <c r="E2807" s="2">
        <v>3</v>
      </c>
      <c r="F2807" s="2">
        <v>600</v>
      </c>
      <c r="G2807" s="2">
        <v>210</v>
      </c>
      <c r="H2807" s="3" t="s">
        <v>18</v>
      </c>
    </row>
    <row r="2808" spans="1:8" x14ac:dyDescent="0.3">
      <c r="A2808" t="s">
        <v>1407</v>
      </c>
      <c r="B2808" t="s">
        <v>1425</v>
      </c>
      <c r="C2808" t="s">
        <v>212</v>
      </c>
      <c r="D2808">
        <v>2020</v>
      </c>
      <c r="E2808" s="2">
        <v>1</v>
      </c>
      <c r="F2808" s="2">
        <v>190</v>
      </c>
      <c r="G2808" s="2">
        <v>190</v>
      </c>
      <c r="H2808" s="3" t="s">
        <v>18</v>
      </c>
    </row>
    <row r="2809" spans="1:8" x14ac:dyDescent="0.3">
      <c r="A2809" t="s">
        <v>1407</v>
      </c>
      <c r="B2809" t="s">
        <v>1425</v>
      </c>
      <c r="C2809" t="s">
        <v>212</v>
      </c>
      <c r="D2809">
        <v>2021</v>
      </c>
      <c r="E2809" s="2">
        <v>1</v>
      </c>
      <c r="F2809" s="2">
        <v>185</v>
      </c>
      <c r="G2809" s="2">
        <v>185</v>
      </c>
      <c r="H2809" s="3" t="s">
        <v>18</v>
      </c>
    </row>
    <row r="2810" spans="1:8" x14ac:dyDescent="0.3">
      <c r="A2810" t="s">
        <v>1407</v>
      </c>
      <c r="B2810" t="s">
        <v>19</v>
      </c>
      <c r="C2810" t="s">
        <v>699</v>
      </c>
      <c r="D2810">
        <v>2019</v>
      </c>
      <c r="E2810" s="2">
        <v>1</v>
      </c>
      <c r="F2810" s="2">
        <v>90</v>
      </c>
      <c r="G2810" s="2">
        <v>94.5</v>
      </c>
    </row>
    <row r="2811" spans="1:8" x14ac:dyDescent="0.3">
      <c r="A2811" t="s">
        <v>1407</v>
      </c>
      <c r="B2811" t="s">
        <v>260</v>
      </c>
      <c r="C2811" t="s">
        <v>109</v>
      </c>
      <c r="D2811">
        <v>2019</v>
      </c>
      <c r="E2811" s="2">
        <v>1</v>
      </c>
      <c r="F2811" s="2">
        <v>190</v>
      </c>
      <c r="G2811" s="2">
        <v>199.5</v>
      </c>
    </row>
    <row r="2812" spans="1:8" x14ac:dyDescent="0.3">
      <c r="A2812" t="s">
        <v>1407</v>
      </c>
      <c r="B2812" t="s">
        <v>543</v>
      </c>
      <c r="C2812" t="s">
        <v>544</v>
      </c>
      <c r="D2812">
        <v>2020</v>
      </c>
      <c r="E2812" s="2">
        <v>21</v>
      </c>
      <c r="F2812" s="2">
        <v>1740</v>
      </c>
      <c r="G2812" s="2">
        <v>1740</v>
      </c>
    </row>
    <row r="2813" spans="1:8" x14ac:dyDescent="0.3">
      <c r="A2813" t="s">
        <v>1407</v>
      </c>
      <c r="B2813" t="s">
        <v>1426</v>
      </c>
      <c r="C2813" t="s">
        <v>209</v>
      </c>
      <c r="D2813">
        <v>2019</v>
      </c>
      <c r="E2813" s="2">
        <v>7</v>
      </c>
      <c r="F2813" s="2">
        <v>770</v>
      </c>
      <c r="G2813" s="2"/>
    </row>
    <row r="2814" spans="1:8" x14ac:dyDescent="0.3">
      <c r="A2814" t="s">
        <v>1407</v>
      </c>
      <c r="B2814" t="s">
        <v>117</v>
      </c>
      <c r="C2814" t="s">
        <v>118</v>
      </c>
      <c r="D2814">
        <v>2019</v>
      </c>
      <c r="E2814" s="2">
        <v>14</v>
      </c>
      <c r="F2814" s="2">
        <v>2700</v>
      </c>
      <c r="G2814" s="2"/>
    </row>
    <row r="2815" spans="1:8" x14ac:dyDescent="0.3">
      <c r="A2815" t="s">
        <v>1407</v>
      </c>
      <c r="B2815" t="s">
        <v>446</v>
      </c>
      <c r="C2815" t="s">
        <v>447</v>
      </c>
      <c r="D2815">
        <v>2021</v>
      </c>
      <c r="E2815" s="2">
        <v>11</v>
      </c>
      <c r="F2815" s="2">
        <v>825</v>
      </c>
      <c r="G2815" s="2">
        <v>825</v>
      </c>
      <c r="H2815" s="3" t="s">
        <v>1427</v>
      </c>
    </row>
    <row r="2816" spans="1:8" x14ac:dyDescent="0.3">
      <c r="A2816" t="s">
        <v>1407</v>
      </c>
      <c r="B2816" t="s">
        <v>187</v>
      </c>
      <c r="C2816" t="s">
        <v>188</v>
      </c>
      <c r="D2816">
        <v>2021</v>
      </c>
      <c r="E2816" s="2">
        <v>10</v>
      </c>
      <c r="F2816" s="2">
        <v>770</v>
      </c>
      <c r="G2816" s="2">
        <v>770</v>
      </c>
      <c r="H2816" s="3" t="s">
        <v>18</v>
      </c>
    </row>
    <row r="2817" spans="1:8" x14ac:dyDescent="0.3">
      <c r="A2817" t="s">
        <v>1407</v>
      </c>
      <c r="B2817" t="s">
        <v>597</v>
      </c>
      <c r="C2817" t="s">
        <v>598</v>
      </c>
      <c r="D2817">
        <v>2020</v>
      </c>
      <c r="E2817" s="2">
        <v>2</v>
      </c>
      <c r="F2817" s="2">
        <v>350</v>
      </c>
      <c r="G2817" s="2">
        <v>350</v>
      </c>
      <c r="H2817" s="3" t="s">
        <v>18</v>
      </c>
    </row>
    <row r="2818" spans="1:8" x14ac:dyDescent="0.3">
      <c r="A2818" t="s">
        <v>1407</v>
      </c>
      <c r="B2818" t="s">
        <v>597</v>
      </c>
      <c r="C2818" t="s">
        <v>598</v>
      </c>
      <c r="D2818">
        <v>2021</v>
      </c>
      <c r="E2818" s="2">
        <v>1.5</v>
      </c>
      <c r="F2818" s="2">
        <v>177.5</v>
      </c>
      <c r="G2818" s="2">
        <v>177.5</v>
      </c>
      <c r="H2818" s="3" t="s">
        <v>18</v>
      </c>
    </row>
    <row r="2819" spans="1:8" x14ac:dyDescent="0.3">
      <c r="A2819" t="s">
        <v>1407</v>
      </c>
      <c r="B2819" t="s">
        <v>125</v>
      </c>
      <c r="D2819">
        <v>2020</v>
      </c>
      <c r="E2819" s="2">
        <v>2</v>
      </c>
      <c r="F2819" s="2">
        <v>620</v>
      </c>
      <c r="G2819" s="2">
        <v>620</v>
      </c>
    </row>
    <row r="2820" spans="1:8" x14ac:dyDescent="0.3">
      <c r="A2820" t="s">
        <v>1407</v>
      </c>
      <c r="B2820" t="s">
        <v>126</v>
      </c>
      <c r="D2820">
        <v>2020</v>
      </c>
      <c r="E2820" s="2">
        <v>2</v>
      </c>
      <c r="F2820" s="2">
        <v>600</v>
      </c>
      <c r="G2820" s="2">
        <v>600</v>
      </c>
    </row>
    <row r="2821" spans="1:8" x14ac:dyDescent="0.3">
      <c r="A2821" t="s">
        <v>1407</v>
      </c>
      <c r="B2821" t="s">
        <v>127</v>
      </c>
      <c r="D2821">
        <v>2019</v>
      </c>
      <c r="E2821" s="2">
        <v>1</v>
      </c>
      <c r="F2821" s="2">
        <v>260</v>
      </c>
      <c r="G2821" s="2"/>
    </row>
    <row r="2822" spans="1:8" x14ac:dyDescent="0.3">
      <c r="A2822" t="s">
        <v>1407</v>
      </c>
      <c r="B2822" t="s">
        <v>128</v>
      </c>
      <c r="D2822">
        <v>2020</v>
      </c>
      <c r="E2822" s="2">
        <v>2</v>
      </c>
      <c r="F2822" s="2">
        <v>600</v>
      </c>
      <c r="G2822" s="2">
        <v>600</v>
      </c>
    </row>
    <row r="2823" spans="1:8" x14ac:dyDescent="0.3">
      <c r="A2823" t="s">
        <v>1407</v>
      </c>
      <c r="B2823" t="s">
        <v>1404</v>
      </c>
      <c r="D2823">
        <v>2019</v>
      </c>
      <c r="E2823" s="2">
        <v>1</v>
      </c>
      <c r="F2823" s="2">
        <v>260</v>
      </c>
      <c r="G2823" s="2"/>
      <c r="H2823" s="3" t="s">
        <v>18</v>
      </c>
    </row>
    <row r="2824" spans="1:8" x14ac:dyDescent="0.3">
      <c r="A2824" t="s">
        <v>1407</v>
      </c>
      <c r="B2824" t="s">
        <v>1404</v>
      </c>
      <c r="D2824">
        <v>2020</v>
      </c>
      <c r="E2824" s="2">
        <v>5</v>
      </c>
      <c r="F2824" s="2">
        <v>1372</v>
      </c>
      <c r="G2824" s="2">
        <v>1372</v>
      </c>
      <c r="H2824" s="3" t="s">
        <v>18</v>
      </c>
    </row>
    <row r="2825" spans="1:8" x14ac:dyDescent="0.3">
      <c r="A2825" t="s">
        <v>1407</v>
      </c>
      <c r="B2825" t="s">
        <v>1404</v>
      </c>
      <c r="D2825">
        <v>2021</v>
      </c>
      <c r="E2825" s="2">
        <v>3.5</v>
      </c>
      <c r="F2825" s="2">
        <v>797.5</v>
      </c>
      <c r="G2825" s="2">
        <v>260</v>
      </c>
      <c r="H2825" s="3" t="s">
        <v>18</v>
      </c>
    </row>
    <row r="2826" spans="1:8" x14ac:dyDescent="0.3">
      <c r="A2826" t="s">
        <v>1407</v>
      </c>
      <c r="B2826" t="s">
        <v>517</v>
      </c>
      <c r="C2826" t="s">
        <v>145</v>
      </c>
      <c r="D2826">
        <v>2019</v>
      </c>
      <c r="E2826" s="2">
        <v>5</v>
      </c>
      <c r="F2826" s="2">
        <v>1100</v>
      </c>
      <c r="G2826" s="2">
        <v>1155</v>
      </c>
    </row>
    <row r="2827" spans="1:8" x14ac:dyDescent="0.3">
      <c r="A2827" t="s">
        <v>1407</v>
      </c>
      <c r="B2827" t="s">
        <v>517</v>
      </c>
      <c r="C2827" t="s">
        <v>145</v>
      </c>
      <c r="D2827">
        <v>2020</v>
      </c>
      <c r="E2827" s="2">
        <v>1</v>
      </c>
      <c r="F2827" s="2">
        <v>230</v>
      </c>
      <c r="G2827" s="2">
        <v>230</v>
      </c>
    </row>
    <row r="2828" spans="1:8" x14ac:dyDescent="0.3">
      <c r="A2828" t="s">
        <v>1407</v>
      </c>
      <c r="B2828" t="s">
        <v>373</v>
      </c>
      <c r="C2828" t="s">
        <v>331</v>
      </c>
      <c r="D2828">
        <v>2020</v>
      </c>
      <c r="E2828" s="2">
        <v>1</v>
      </c>
      <c r="F2828" s="2">
        <v>200</v>
      </c>
      <c r="G2828" s="2">
        <v>200</v>
      </c>
      <c r="H2828" s="3" t="s">
        <v>374</v>
      </c>
    </row>
    <row r="2829" spans="1:8" x14ac:dyDescent="0.3">
      <c r="A2829" t="s">
        <v>1407</v>
      </c>
      <c r="B2829" t="s">
        <v>373</v>
      </c>
      <c r="C2829" t="s">
        <v>331</v>
      </c>
      <c r="D2829">
        <v>2021</v>
      </c>
      <c r="E2829" s="2">
        <v>1</v>
      </c>
      <c r="F2829" s="2">
        <v>200</v>
      </c>
      <c r="G2829" s="2">
        <v>200</v>
      </c>
      <c r="H2829" s="3" t="s">
        <v>374</v>
      </c>
    </row>
    <row r="2830" spans="1:8" x14ac:dyDescent="0.3">
      <c r="A2830" t="s">
        <v>1407</v>
      </c>
      <c r="B2830" t="s">
        <v>68</v>
      </c>
      <c r="C2830" t="s">
        <v>69</v>
      </c>
      <c r="D2830">
        <v>2021</v>
      </c>
      <c r="E2830" s="2">
        <v>10</v>
      </c>
      <c r="F2830" s="2">
        <v>870</v>
      </c>
      <c r="G2830" s="2">
        <v>870</v>
      </c>
      <c r="H2830" s="3" t="s">
        <v>18</v>
      </c>
    </row>
    <row r="2831" spans="1:8" x14ac:dyDescent="0.3">
      <c r="A2831" t="s">
        <v>1407</v>
      </c>
      <c r="B2831" t="s">
        <v>402</v>
      </c>
      <c r="C2831" t="s">
        <v>403</v>
      </c>
      <c r="D2831">
        <v>2019</v>
      </c>
      <c r="E2831" s="2">
        <v>1</v>
      </c>
      <c r="F2831" s="2">
        <v>262.5</v>
      </c>
      <c r="G2831" s="2">
        <v>275.625</v>
      </c>
    </row>
    <row r="2832" spans="1:8" x14ac:dyDescent="0.3">
      <c r="A2832" t="s">
        <v>1407</v>
      </c>
      <c r="B2832" t="s">
        <v>189</v>
      </c>
      <c r="D2832">
        <v>2019</v>
      </c>
      <c r="E2832" s="2">
        <v>1</v>
      </c>
      <c r="F2832" s="2">
        <v>550</v>
      </c>
      <c r="G2832" s="2"/>
    </row>
    <row r="2833" spans="1:8" x14ac:dyDescent="0.3">
      <c r="A2833" t="s">
        <v>1407</v>
      </c>
      <c r="B2833" t="s">
        <v>189</v>
      </c>
      <c r="D2833">
        <v>2020</v>
      </c>
      <c r="E2833" s="2">
        <v>10</v>
      </c>
      <c r="F2833" s="2">
        <v>2300</v>
      </c>
      <c r="G2833" s="2">
        <v>2300</v>
      </c>
    </row>
    <row r="2834" spans="1:8" x14ac:dyDescent="0.3">
      <c r="A2834" t="s">
        <v>1407</v>
      </c>
      <c r="B2834" t="s">
        <v>1428</v>
      </c>
      <c r="D2834">
        <v>2020</v>
      </c>
      <c r="E2834" s="2">
        <v>4</v>
      </c>
      <c r="F2834" s="2">
        <v>56</v>
      </c>
      <c r="G2834" s="2">
        <v>56</v>
      </c>
    </row>
    <row r="2835" spans="1:8" x14ac:dyDescent="0.3">
      <c r="A2835" t="s">
        <v>1407</v>
      </c>
      <c r="B2835" t="s">
        <v>839</v>
      </c>
      <c r="C2835" t="s">
        <v>138</v>
      </c>
      <c r="D2835">
        <v>2019</v>
      </c>
      <c r="E2835" s="2">
        <v>1</v>
      </c>
      <c r="F2835" s="2">
        <v>190</v>
      </c>
      <c r="G2835" s="2"/>
      <c r="H2835" s="3" t="s">
        <v>18</v>
      </c>
    </row>
    <row r="2836" spans="1:8" x14ac:dyDescent="0.3">
      <c r="A2836" t="s">
        <v>1407</v>
      </c>
      <c r="B2836" t="s">
        <v>839</v>
      </c>
      <c r="C2836" t="s">
        <v>138</v>
      </c>
      <c r="D2836">
        <v>2020</v>
      </c>
      <c r="E2836" s="2">
        <v>3</v>
      </c>
      <c r="F2836" s="2">
        <v>520</v>
      </c>
      <c r="G2836" s="2">
        <v>520</v>
      </c>
      <c r="H2836" s="3" t="s">
        <v>18</v>
      </c>
    </row>
    <row r="2837" spans="1:8" x14ac:dyDescent="0.3">
      <c r="A2837" t="s">
        <v>1407</v>
      </c>
      <c r="B2837" t="s">
        <v>839</v>
      </c>
      <c r="C2837" t="s">
        <v>138</v>
      </c>
      <c r="D2837">
        <v>2021</v>
      </c>
      <c r="E2837" s="2">
        <v>1</v>
      </c>
      <c r="F2837" s="2">
        <v>170</v>
      </c>
      <c r="G2837" s="2">
        <v>170</v>
      </c>
      <c r="H2837" s="3" t="s">
        <v>18</v>
      </c>
    </row>
    <row r="2838" spans="1:8" x14ac:dyDescent="0.3">
      <c r="A2838" t="s">
        <v>1407</v>
      </c>
      <c r="B2838" t="s">
        <v>1429</v>
      </c>
      <c r="C2838" t="s">
        <v>1368</v>
      </c>
      <c r="D2838">
        <v>2020</v>
      </c>
      <c r="E2838" s="2">
        <v>1</v>
      </c>
      <c r="F2838" s="2">
        <v>90</v>
      </c>
      <c r="G2838" s="2">
        <v>90</v>
      </c>
    </row>
    <row r="2839" spans="1:8" x14ac:dyDescent="0.3">
      <c r="A2839" t="s">
        <v>1407</v>
      </c>
      <c r="B2839" t="s">
        <v>1369</v>
      </c>
      <c r="C2839" t="s">
        <v>1370</v>
      </c>
      <c r="D2839">
        <v>2020</v>
      </c>
      <c r="E2839" s="2">
        <v>2</v>
      </c>
      <c r="F2839" s="2">
        <v>350</v>
      </c>
      <c r="G2839" s="2">
        <v>350</v>
      </c>
      <c r="H2839" s="3" t="s">
        <v>18</v>
      </c>
    </row>
    <row r="2840" spans="1:8" x14ac:dyDescent="0.3">
      <c r="A2840" t="s">
        <v>1407</v>
      </c>
      <c r="B2840" t="s">
        <v>1369</v>
      </c>
      <c r="C2840" t="s">
        <v>1370</v>
      </c>
      <c r="D2840">
        <v>2021</v>
      </c>
      <c r="E2840" s="2">
        <v>1</v>
      </c>
      <c r="F2840" s="2">
        <v>175</v>
      </c>
      <c r="G2840" s="2">
        <v>175</v>
      </c>
      <c r="H2840" s="3" t="s">
        <v>18</v>
      </c>
    </row>
    <row r="2841" spans="1:8" x14ac:dyDescent="0.3">
      <c r="A2841" t="s">
        <v>1407</v>
      </c>
      <c r="B2841" t="s">
        <v>817</v>
      </c>
      <c r="D2841">
        <v>2019</v>
      </c>
      <c r="E2841" s="2">
        <v>1</v>
      </c>
      <c r="F2841" s="2">
        <v>280</v>
      </c>
      <c r="G2841" s="2"/>
    </row>
    <row r="2842" spans="1:8" x14ac:dyDescent="0.3">
      <c r="A2842" t="s">
        <v>1407</v>
      </c>
      <c r="B2842" t="s">
        <v>314</v>
      </c>
      <c r="C2842" t="s">
        <v>315</v>
      </c>
      <c r="D2842">
        <v>2019</v>
      </c>
      <c r="E2842" s="2">
        <v>1</v>
      </c>
      <c r="F2842" s="2">
        <v>85</v>
      </c>
      <c r="G2842" s="2">
        <v>89.25</v>
      </c>
    </row>
    <row r="2843" spans="1:8" x14ac:dyDescent="0.3">
      <c r="A2843" t="s">
        <v>1407</v>
      </c>
      <c r="B2843" t="s">
        <v>674</v>
      </c>
      <c r="C2843" t="s">
        <v>675</v>
      </c>
      <c r="D2843">
        <v>2020</v>
      </c>
      <c r="E2843" s="2">
        <v>1</v>
      </c>
      <c r="F2843" s="2">
        <v>137</v>
      </c>
      <c r="G2843" s="2">
        <v>137</v>
      </c>
    </row>
    <row r="2844" spans="1:8" x14ac:dyDescent="0.3">
      <c r="A2844" t="s">
        <v>1407</v>
      </c>
      <c r="B2844" t="s">
        <v>479</v>
      </c>
      <c r="C2844" t="s">
        <v>480</v>
      </c>
      <c r="D2844">
        <v>2021</v>
      </c>
      <c r="E2844" s="2">
        <v>10</v>
      </c>
      <c r="F2844" s="2">
        <v>670</v>
      </c>
      <c r="G2844" s="2">
        <v>670</v>
      </c>
      <c r="H2844" s="3" t="s">
        <v>18</v>
      </c>
    </row>
    <row r="2845" spans="1:8" x14ac:dyDescent="0.3">
      <c r="A2845" t="s">
        <v>1407</v>
      </c>
      <c r="B2845" t="s">
        <v>496</v>
      </c>
      <c r="C2845" t="s">
        <v>497</v>
      </c>
      <c r="D2845">
        <v>2021</v>
      </c>
      <c r="E2845" s="2">
        <v>10</v>
      </c>
      <c r="F2845" s="2">
        <v>720</v>
      </c>
      <c r="G2845" s="2">
        <v>720</v>
      </c>
      <c r="H2845" s="3" t="s">
        <v>374</v>
      </c>
    </row>
    <row r="2846" spans="1:8" x14ac:dyDescent="0.3">
      <c r="A2846" t="s">
        <v>1407</v>
      </c>
      <c r="B2846" t="s">
        <v>263</v>
      </c>
      <c r="C2846" t="s">
        <v>264</v>
      </c>
      <c r="D2846">
        <v>2020</v>
      </c>
      <c r="E2846" s="2">
        <v>1</v>
      </c>
      <c r="F2846" s="2">
        <v>240</v>
      </c>
      <c r="G2846" s="2">
        <v>240</v>
      </c>
      <c r="H2846" s="3" t="s">
        <v>374</v>
      </c>
    </row>
    <row r="2847" spans="1:8" x14ac:dyDescent="0.3">
      <c r="A2847" t="s">
        <v>1407</v>
      </c>
      <c r="B2847" t="s">
        <v>263</v>
      </c>
      <c r="C2847" t="s">
        <v>264</v>
      </c>
      <c r="D2847">
        <v>2021</v>
      </c>
      <c r="E2847" s="2">
        <v>3</v>
      </c>
      <c r="F2847" s="2">
        <v>472</v>
      </c>
      <c r="G2847" s="2">
        <v>230</v>
      </c>
      <c r="H2847" s="3" t="s">
        <v>374</v>
      </c>
    </row>
    <row r="2848" spans="1:8" x14ac:dyDescent="0.3">
      <c r="A2848" t="s">
        <v>1407</v>
      </c>
      <c r="B2848" t="s">
        <v>1004</v>
      </c>
      <c r="C2848" t="s">
        <v>197</v>
      </c>
      <c r="D2848">
        <v>2019</v>
      </c>
      <c r="E2848" s="2">
        <v>7</v>
      </c>
      <c r="F2848" s="2">
        <v>1080</v>
      </c>
      <c r="G2848" s="2"/>
    </row>
    <row r="2849" spans="1:8" x14ac:dyDescent="0.3">
      <c r="A2849" t="s">
        <v>1407</v>
      </c>
      <c r="B2849" t="s">
        <v>1004</v>
      </c>
      <c r="C2849" t="s">
        <v>197</v>
      </c>
      <c r="D2849">
        <v>2019</v>
      </c>
      <c r="E2849" s="2">
        <v>7</v>
      </c>
      <c r="F2849" s="2">
        <v>1190</v>
      </c>
      <c r="G2849" s="2">
        <v>1249.5</v>
      </c>
    </row>
    <row r="2850" spans="1:8" x14ac:dyDescent="0.3">
      <c r="A2850" t="s">
        <v>1407</v>
      </c>
      <c r="B2850" t="s">
        <v>265</v>
      </c>
      <c r="C2850" t="s">
        <v>197</v>
      </c>
      <c r="D2850">
        <v>2019</v>
      </c>
      <c r="E2850" s="2">
        <v>5</v>
      </c>
      <c r="F2850" s="2">
        <v>800</v>
      </c>
      <c r="G2850" s="2">
        <v>840</v>
      </c>
    </row>
    <row r="2851" spans="1:8" x14ac:dyDescent="0.3">
      <c r="A2851" t="s">
        <v>1407</v>
      </c>
      <c r="B2851" t="s">
        <v>383</v>
      </c>
      <c r="C2851" t="s">
        <v>385</v>
      </c>
      <c r="D2851">
        <v>2020</v>
      </c>
      <c r="E2851" s="2">
        <v>28</v>
      </c>
      <c r="F2851" s="2">
        <v>3790</v>
      </c>
      <c r="G2851" s="2">
        <v>3790</v>
      </c>
      <c r="H2851" s="3" t="s">
        <v>18</v>
      </c>
    </row>
    <row r="2852" spans="1:8" x14ac:dyDescent="0.3">
      <c r="A2852" t="s">
        <v>1407</v>
      </c>
      <c r="B2852" t="s">
        <v>383</v>
      </c>
      <c r="C2852" t="s">
        <v>384</v>
      </c>
      <c r="D2852">
        <v>2020</v>
      </c>
      <c r="E2852" s="2">
        <v>2</v>
      </c>
      <c r="F2852" s="2">
        <v>280</v>
      </c>
      <c r="G2852" s="2">
        <v>280</v>
      </c>
    </row>
    <row r="2853" spans="1:8" x14ac:dyDescent="0.3">
      <c r="A2853" t="s">
        <v>1407</v>
      </c>
      <c r="B2853" t="s">
        <v>383</v>
      </c>
      <c r="C2853" t="s">
        <v>384</v>
      </c>
      <c r="D2853">
        <v>2020</v>
      </c>
      <c r="E2853" s="2">
        <v>1</v>
      </c>
      <c r="F2853" s="2">
        <v>190</v>
      </c>
      <c r="G2853" s="2">
        <v>190</v>
      </c>
    </row>
    <row r="2854" spans="1:8" x14ac:dyDescent="0.3">
      <c r="A2854" t="s">
        <v>1407</v>
      </c>
      <c r="B2854" t="s">
        <v>383</v>
      </c>
      <c r="C2854" t="s">
        <v>385</v>
      </c>
      <c r="D2854">
        <v>2021</v>
      </c>
      <c r="E2854" s="2">
        <v>2</v>
      </c>
      <c r="F2854" s="2">
        <v>340</v>
      </c>
      <c r="G2854" s="2">
        <v>340</v>
      </c>
      <c r="H2854" s="3" t="s">
        <v>18</v>
      </c>
    </row>
    <row r="2855" spans="1:8" x14ac:dyDescent="0.3">
      <c r="A2855" t="s">
        <v>1407</v>
      </c>
      <c r="B2855" t="s">
        <v>266</v>
      </c>
      <c r="C2855" t="s">
        <v>143</v>
      </c>
      <c r="D2855">
        <v>2020</v>
      </c>
      <c r="E2855" s="2">
        <v>2</v>
      </c>
      <c r="F2855" s="2">
        <v>460</v>
      </c>
      <c r="G2855" s="2">
        <v>460</v>
      </c>
      <c r="H2855" s="3" t="s">
        <v>18</v>
      </c>
    </row>
    <row r="2856" spans="1:8" x14ac:dyDescent="0.3">
      <c r="A2856" t="s">
        <v>1407</v>
      </c>
      <c r="B2856" t="s">
        <v>266</v>
      </c>
      <c r="C2856" t="s">
        <v>143</v>
      </c>
      <c r="D2856">
        <v>2021</v>
      </c>
      <c r="E2856" s="2">
        <v>1</v>
      </c>
      <c r="F2856" s="2">
        <v>220</v>
      </c>
      <c r="G2856" s="2">
        <v>220</v>
      </c>
      <c r="H2856" s="3" t="s">
        <v>18</v>
      </c>
    </row>
    <row r="2857" spans="1:8" x14ac:dyDescent="0.3">
      <c r="A2857" t="s">
        <v>1407</v>
      </c>
      <c r="B2857" t="s">
        <v>599</v>
      </c>
      <c r="C2857" t="s">
        <v>413</v>
      </c>
      <c r="D2857">
        <v>2019</v>
      </c>
      <c r="E2857" s="2">
        <v>1</v>
      </c>
      <c r="F2857" s="2">
        <v>240</v>
      </c>
      <c r="G2857" s="2">
        <v>252</v>
      </c>
    </row>
    <row r="2858" spans="1:8" x14ac:dyDescent="0.3">
      <c r="A2858" t="s">
        <v>1407</v>
      </c>
      <c r="B2858" t="s">
        <v>656</v>
      </c>
      <c r="C2858" t="s">
        <v>71</v>
      </c>
      <c r="D2858">
        <v>2021</v>
      </c>
      <c r="E2858" s="2">
        <v>1</v>
      </c>
      <c r="F2858" s="2">
        <v>90</v>
      </c>
      <c r="G2858" s="2">
        <v>90</v>
      </c>
      <c r="H2858" s="3" t="s">
        <v>18</v>
      </c>
    </row>
    <row r="2859" spans="1:8" x14ac:dyDescent="0.3">
      <c r="A2859" t="s">
        <v>1407</v>
      </c>
      <c r="B2859" t="s">
        <v>72</v>
      </c>
      <c r="C2859" t="s">
        <v>73</v>
      </c>
      <c r="D2859">
        <v>2019</v>
      </c>
      <c r="E2859" s="2">
        <v>5</v>
      </c>
      <c r="F2859" s="2">
        <v>900</v>
      </c>
      <c r="G2859" s="2"/>
    </row>
    <row r="2860" spans="1:8" x14ac:dyDescent="0.3">
      <c r="A2860" t="s">
        <v>1407</v>
      </c>
      <c r="B2860" t="s">
        <v>72</v>
      </c>
      <c r="C2860" t="s">
        <v>73</v>
      </c>
      <c r="D2860">
        <v>2020</v>
      </c>
      <c r="E2860" s="2">
        <v>2</v>
      </c>
      <c r="F2860" s="2">
        <v>290</v>
      </c>
      <c r="G2860" s="2">
        <v>290</v>
      </c>
    </row>
    <row r="2861" spans="1:8" x14ac:dyDescent="0.3">
      <c r="A2861" t="s">
        <v>1407</v>
      </c>
      <c r="B2861" t="s">
        <v>318</v>
      </c>
      <c r="C2861" t="s">
        <v>319</v>
      </c>
      <c r="D2861">
        <v>2019</v>
      </c>
      <c r="E2861" s="2">
        <v>27</v>
      </c>
      <c r="F2861" s="2">
        <v>4115</v>
      </c>
      <c r="G2861" s="2"/>
      <c r="H2861" s="3" t="s">
        <v>18</v>
      </c>
    </row>
    <row r="2862" spans="1:8" x14ac:dyDescent="0.3">
      <c r="A2862" t="s">
        <v>1407</v>
      </c>
      <c r="B2862" t="s">
        <v>318</v>
      </c>
      <c r="C2862" t="s">
        <v>319</v>
      </c>
      <c r="D2862">
        <v>2020</v>
      </c>
      <c r="E2862" s="2">
        <v>13</v>
      </c>
      <c r="F2862" s="2">
        <v>2310</v>
      </c>
      <c r="G2862" s="2">
        <v>2310</v>
      </c>
      <c r="H2862" s="3" t="s">
        <v>18</v>
      </c>
    </row>
    <row r="2863" spans="1:8" x14ac:dyDescent="0.3">
      <c r="A2863" t="s">
        <v>1407</v>
      </c>
      <c r="B2863" t="s">
        <v>318</v>
      </c>
      <c r="C2863" t="s">
        <v>319</v>
      </c>
      <c r="D2863">
        <v>2021</v>
      </c>
      <c r="E2863" s="2">
        <v>8</v>
      </c>
      <c r="F2863" s="2">
        <v>1410</v>
      </c>
      <c r="G2863" s="2">
        <v>1410</v>
      </c>
      <c r="H2863" s="3" t="s">
        <v>18</v>
      </c>
    </row>
    <row r="2864" spans="1:8" x14ac:dyDescent="0.3">
      <c r="A2864" t="s">
        <v>1407</v>
      </c>
      <c r="B2864" t="s">
        <v>863</v>
      </c>
      <c r="D2864">
        <v>2018</v>
      </c>
      <c r="E2864" s="2">
        <v>1</v>
      </c>
      <c r="F2864" s="2">
        <v>90</v>
      </c>
      <c r="G2864" s="2">
        <v>94.5</v>
      </c>
    </row>
    <row r="2865" spans="1:8" x14ac:dyDescent="0.3">
      <c r="A2865" t="s">
        <v>1407</v>
      </c>
      <c r="B2865" t="s">
        <v>863</v>
      </c>
      <c r="D2865">
        <v>2019</v>
      </c>
      <c r="E2865" s="2">
        <v>20</v>
      </c>
      <c r="F2865" s="2">
        <v>1300</v>
      </c>
      <c r="G2865" s="2">
        <v>1365</v>
      </c>
    </row>
    <row r="2866" spans="1:8" x14ac:dyDescent="0.3">
      <c r="A2866" t="s">
        <v>1407</v>
      </c>
      <c r="B2866" t="s">
        <v>600</v>
      </c>
      <c r="C2866" t="s">
        <v>75</v>
      </c>
      <c r="D2866">
        <v>2020</v>
      </c>
      <c r="E2866" s="2">
        <v>1</v>
      </c>
      <c r="F2866" s="2">
        <v>190</v>
      </c>
      <c r="G2866" s="2">
        <v>190</v>
      </c>
    </row>
    <row r="2867" spans="1:8" x14ac:dyDescent="0.3">
      <c r="A2867" t="s">
        <v>1407</v>
      </c>
      <c r="B2867" t="s">
        <v>483</v>
      </c>
      <c r="C2867" t="s">
        <v>484</v>
      </c>
      <c r="D2867">
        <v>2019</v>
      </c>
      <c r="E2867" s="2">
        <v>1</v>
      </c>
      <c r="F2867" s="2">
        <v>80</v>
      </c>
      <c r="G2867" s="2">
        <v>84</v>
      </c>
    </row>
    <row r="2868" spans="1:8" x14ac:dyDescent="0.3">
      <c r="A2868" t="s">
        <v>1407</v>
      </c>
      <c r="B2868" t="s">
        <v>1405</v>
      </c>
      <c r="C2868" t="s">
        <v>1406</v>
      </c>
      <c r="D2868">
        <v>2019</v>
      </c>
      <c r="E2868" s="2">
        <v>3</v>
      </c>
      <c r="F2868" s="2">
        <v>1110</v>
      </c>
      <c r="G2868" s="2">
        <v>1165.5</v>
      </c>
      <c r="H2868" s="3" t="s">
        <v>374</v>
      </c>
    </row>
    <row r="2869" spans="1:8" x14ac:dyDescent="0.3">
      <c r="A2869" t="s">
        <v>1407</v>
      </c>
      <c r="B2869" t="s">
        <v>1405</v>
      </c>
      <c r="C2869" t="s">
        <v>1406</v>
      </c>
      <c r="D2869">
        <v>2020</v>
      </c>
      <c r="E2869" s="2">
        <v>1</v>
      </c>
      <c r="F2869" s="2">
        <v>215</v>
      </c>
      <c r="G2869" s="2">
        <v>215</v>
      </c>
      <c r="H2869" s="3" t="s">
        <v>374</v>
      </c>
    </row>
    <row r="2870" spans="1:8" x14ac:dyDescent="0.3">
      <c r="A2870" t="s">
        <v>1407</v>
      </c>
      <c r="B2870" t="s">
        <v>1405</v>
      </c>
      <c r="C2870" t="s">
        <v>1406</v>
      </c>
      <c r="D2870">
        <v>2021</v>
      </c>
      <c r="E2870" s="2">
        <v>3.5</v>
      </c>
      <c r="F2870" s="2">
        <v>657.5</v>
      </c>
      <c r="G2870" s="2">
        <v>657.5</v>
      </c>
      <c r="H2870" s="3" t="s">
        <v>374</v>
      </c>
    </row>
    <row r="2871" spans="1:8" x14ac:dyDescent="0.3">
      <c r="A2871" t="s">
        <v>1407</v>
      </c>
      <c r="B2871" t="s">
        <v>320</v>
      </c>
      <c r="C2871" t="s">
        <v>414</v>
      </c>
      <c r="D2871">
        <v>2019</v>
      </c>
      <c r="E2871" s="2">
        <v>5</v>
      </c>
      <c r="F2871" s="2">
        <v>1150</v>
      </c>
      <c r="G2871" s="2">
        <v>1207.5</v>
      </c>
    </row>
    <row r="2872" spans="1:8" x14ac:dyDescent="0.3">
      <c r="A2872" t="s">
        <v>1407</v>
      </c>
      <c r="B2872" t="s">
        <v>841</v>
      </c>
      <c r="C2872" t="s">
        <v>169</v>
      </c>
      <c r="D2872">
        <v>2020</v>
      </c>
      <c r="E2872" s="2">
        <v>1</v>
      </c>
      <c r="F2872" s="2">
        <v>190</v>
      </c>
      <c r="G2872" s="2">
        <v>190</v>
      </c>
    </row>
    <row r="2873" spans="1:8" x14ac:dyDescent="0.3">
      <c r="A2873" t="s">
        <v>1407</v>
      </c>
      <c r="B2873" t="s">
        <v>1396</v>
      </c>
      <c r="C2873" t="s">
        <v>613</v>
      </c>
      <c r="D2873">
        <v>2019</v>
      </c>
      <c r="E2873" s="2">
        <v>1</v>
      </c>
      <c r="F2873" s="2">
        <v>280</v>
      </c>
      <c r="G2873" s="2"/>
    </row>
    <row r="2874" spans="1:8" x14ac:dyDescent="0.3">
      <c r="A2874" t="s">
        <v>1407</v>
      </c>
      <c r="B2874" t="s">
        <v>1396</v>
      </c>
      <c r="C2874" t="s">
        <v>613</v>
      </c>
      <c r="D2874">
        <v>2020</v>
      </c>
      <c r="E2874" s="2">
        <v>2</v>
      </c>
      <c r="F2874" s="2">
        <v>510</v>
      </c>
      <c r="G2874" s="2">
        <v>510</v>
      </c>
    </row>
    <row r="2875" spans="1:8" x14ac:dyDescent="0.3">
      <c r="A2875" t="s">
        <v>1430</v>
      </c>
      <c r="B2875" t="s">
        <v>702</v>
      </c>
      <c r="C2875" t="s">
        <v>703</v>
      </c>
      <c r="D2875">
        <v>2018</v>
      </c>
      <c r="E2875" s="2">
        <v>25</v>
      </c>
      <c r="F2875" s="2">
        <v>1500</v>
      </c>
      <c r="G2875" s="2">
        <v>1575</v>
      </c>
    </row>
    <row r="2876" spans="1:8" x14ac:dyDescent="0.3">
      <c r="A2876" t="s">
        <v>1431</v>
      </c>
      <c r="B2876" t="s">
        <v>1093</v>
      </c>
      <c r="C2876" t="s">
        <v>169</v>
      </c>
      <c r="D2876">
        <v>2018</v>
      </c>
      <c r="E2876" s="2">
        <v>0.5</v>
      </c>
      <c r="F2876" s="2">
        <v>110</v>
      </c>
      <c r="G2876" s="2">
        <v>115.5</v>
      </c>
    </row>
    <row r="2877" spans="1:8" x14ac:dyDescent="0.3">
      <c r="A2877" t="s">
        <v>1431</v>
      </c>
      <c r="B2877" t="s">
        <v>1094</v>
      </c>
      <c r="C2877" t="s">
        <v>209</v>
      </c>
      <c r="D2877">
        <v>2018</v>
      </c>
      <c r="E2877" s="2">
        <v>1</v>
      </c>
      <c r="F2877" s="2">
        <v>250</v>
      </c>
      <c r="G2877" s="2">
        <v>262.5</v>
      </c>
    </row>
    <row r="2878" spans="1:8" x14ac:dyDescent="0.3">
      <c r="A2878" t="s">
        <v>1431</v>
      </c>
      <c r="B2878" t="s">
        <v>391</v>
      </c>
      <c r="C2878" t="s">
        <v>392</v>
      </c>
      <c r="D2878">
        <v>2018</v>
      </c>
      <c r="E2878" s="2">
        <v>0.5</v>
      </c>
      <c r="F2878" s="2">
        <v>85</v>
      </c>
      <c r="G2878" s="2">
        <v>89.25</v>
      </c>
    </row>
    <row r="2879" spans="1:8" x14ac:dyDescent="0.3">
      <c r="A2879" t="s">
        <v>1431</v>
      </c>
      <c r="B2879" t="s">
        <v>280</v>
      </c>
      <c r="C2879" t="s">
        <v>224</v>
      </c>
      <c r="D2879">
        <v>2018</v>
      </c>
      <c r="E2879" s="2">
        <v>0.5</v>
      </c>
      <c r="F2879" s="2">
        <v>100</v>
      </c>
      <c r="G2879" s="2">
        <v>105</v>
      </c>
    </row>
    <row r="2880" spans="1:8" x14ac:dyDescent="0.3">
      <c r="A2880" t="s">
        <v>1431</v>
      </c>
      <c r="B2880" t="s">
        <v>55</v>
      </c>
      <c r="D2880">
        <v>2018</v>
      </c>
      <c r="E2880" s="2">
        <v>5</v>
      </c>
      <c r="F2880" s="2">
        <v>1400</v>
      </c>
      <c r="G2880" s="2"/>
    </row>
    <row r="2881" spans="1:7" x14ac:dyDescent="0.3">
      <c r="A2881" t="s">
        <v>1431</v>
      </c>
      <c r="B2881" t="s">
        <v>583</v>
      </c>
      <c r="C2881" t="s">
        <v>249</v>
      </c>
      <c r="D2881">
        <v>2019</v>
      </c>
      <c r="E2881" s="2">
        <v>1</v>
      </c>
      <c r="F2881" s="2">
        <v>100</v>
      </c>
      <c r="G2881" s="2">
        <v>100</v>
      </c>
    </row>
    <row r="2882" spans="1:7" x14ac:dyDescent="0.3">
      <c r="A2882" t="s">
        <v>1431</v>
      </c>
      <c r="B2882" t="s">
        <v>395</v>
      </c>
      <c r="D2882">
        <v>2018</v>
      </c>
      <c r="E2882" s="2">
        <v>9</v>
      </c>
      <c r="F2882" s="2">
        <v>2550</v>
      </c>
      <c r="G2882" s="2">
        <v>2677.5</v>
      </c>
    </row>
    <row r="2883" spans="1:7" x14ac:dyDescent="0.3">
      <c r="A2883" t="s">
        <v>1431</v>
      </c>
      <c r="B2883" t="s">
        <v>250</v>
      </c>
      <c r="C2883" t="s">
        <v>222</v>
      </c>
      <c r="D2883">
        <v>2019</v>
      </c>
      <c r="E2883" s="2">
        <v>1</v>
      </c>
      <c r="F2883" s="2">
        <v>100</v>
      </c>
      <c r="G2883" s="2">
        <v>100</v>
      </c>
    </row>
    <row r="2884" spans="1:7" x14ac:dyDescent="0.3">
      <c r="A2884" t="s">
        <v>1431</v>
      </c>
      <c r="B2884" t="s">
        <v>788</v>
      </c>
      <c r="C2884" t="s">
        <v>789</v>
      </c>
      <c r="D2884">
        <v>2019</v>
      </c>
      <c r="E2884" s="2">
        <v>1</v>
      </c>
      <c r="F2884" s="2">
        <v>270</v>
      </c>
      <c r="G2884" s="2">
        <v>270</v>
      </c>
    </row>
    <row r="2885" spans="1:7" x14ac:dyDescent="0.3">
      <c r="A2885" t="s">
        <v>1431</v>
      </c>
      <c r="B2885" t="s">
        <v>558</v>
      </c>
      <c r="C2885" t="s">
        <v>559</v>
      </c>
      <c r="D2885">
        <v>2018</v>
      </c>
      <c r="E2885" s="2">
        <v>2</v>
      </c>
      <c r="F2885" s="2">
        <v>490</v>
      </c>
      <c r="G2885" s="2">
        <v>514.5</v>
      </c>
    </row>
    <row r="2886" spans="1:7" x14ac:dyDescent="0.3">
      <c r="A2886" t="s">
        <v>1431</v>
      </c>
      <c r="B2886" t="s">
        <v>1410</v>
      </c>
      <c r="C2886" t="s">
        <v>1411</v>
      </c>
      <c r="D2886">
        <v>2019</v>
      </c>
      <c r="E2886" s="2">
        <v>1</v>
      </c>
      <c r="F2886" s="2">
        <v>190</v>
      </c>
      <c r="G2886" s="2">
        <v>190</v>
      </c>
    </row>
    <row r="2887" spans="1:7" x14ac:dyDescent="0.3">
      <c r="A2887" t="s">
        <v>1431</v>
      </c>
      <c r="B2887" t="s">
        <v>251</v>
      </c>
      <c r="C2887" t="s">
        <v>207</v>
      </c>
      <c r="D2887">
        <v>2019</v>
      </c>
      <c r="E2887" s="2">
        <v>1</v>
      </c>
      <c r="F2887" s="2">
        <v>90</v>
      </c>
      <c r="G2887" s="2">
        <v>90</v>
      </c>
    </row>
    <row r="2888" spans="1:7" x14ac:dyDescent="0.3">
      <c r="A2888" t="s">
        <v>1431</v>
      </c>
      <c r="B2888" t="s">
        <v>1324</v>
      </c>
      <c r="C2888" t="s">
        <v>789</v>
      </c>
      <c r="D2888">
        <v>2018</v>
      </c>
      <c r="E2888" s="2">
        <v>2</v>
      </c>
      <c r="F2888" s="2">
        <v>515</v>
      </c>
      <c r="G2888" s="2">
        <v>540.75</v>
      </c>
    </row>
    <row r="2889" spans="1:7" x14ac:dyDescent="0.3">
      <c r="A2889" t="s">
        <v>1431</v>
      </c>
      <c r="B2889" t="s">
        <v>1432</v>
      </c>
      <c r="C2889" t="s">
        <v>209</v>
      </c>
      <c r="D2889">
        <v>2018</v>
      </c>
      <c r="E2889" s="2">
        <v>1</v>
      </c>
      <c r="F2889" s="2">
        <v>250</v>
      </c>
      <c r="G2889" s="2">
        <v>262.5</v>
      </c>
    </row>
    <row r="2890" spans="1:7" x14ac:dyDescent="0.3">
      <c r="A2890" t="s">
        <v>1431</v>
      </c>
      <c r="B2890" t="s">
        <v>180</v>
      </c>
      <c r="C2890" t="s">
        <v>181</v>
      </c>
      <c r="D2890">
        <v>2018</v>
      </c>
      <c r="E2890" s="2">
        <v>0.5</v>
      </c>
      <c r="F2890" s="2">
        <v>120</v>
      </c>
      <c r="G2890" s="2">
        <v>126</v>
      </c>
    </row>
    <row r="2891" spans="1:7" x14ac:dyDescent="0.3">
      <c r="A2891" t="s">
        <v>1431</v>
      </c>
      <c r="B2891" t="s">
        <v>1433</v>
      </c>
      <c r="C2891" t="s">
        <v>1434</v>
      </c>
      <c r="D2891">
        <v>2019</v>
      </c>
      <c r="E2891" s="2">
        <v>1</v>
      </c>
      <c r="F2891" s="2">
        <v>190</v>
      </c>
      <c r="G2891" s="2">
        <v>190</v>
      </c>
    </row>
    <row r="2892" spans="1:7" x14ac:dyDescent="0.3">
      <c r="A2892" t="s">
        <v>1431</v>
      </c>
      <c r="B2892" t="s">
        <v>1435</v>
      </c>
      <c r="C2892" t="s">
        <v>561</v>
      </c>
      <c r="D2892">
        <v>2019</v>
      </c>
      <c r="E2892" s="2">
        <v>3</v>
      </c>
      <c r="F2892" s="2">
        <v>580</v>
      </c>
      <c r="G2892" s="2">
        <v>580</v>
      </c>
    </row>
    <row r="2893" spans="1:7" x14ac:dyDescent="0.3">
      <c r="A2893" t="s">
        <v>1431</v>
      </c>
      <c r="B2893" t="s">
        <v>542</v>
      </c>
      <c r="C2893" t="s">
        <v>160</v>
      </c>
      <c r="D2893">
        <v>2018</v>
      </c>
      <c r="E2893" s="2">
        <v>11</v>
      </c>
      <c r="F2893" s="2">
        <v>2440</v>
      </c>
      <c r="G2893" s="2">
        <v>2562</v>
      </c>
    </row>
    <row r="2894" spans="1:7" x14ac:dyDescent="0.3">
      <c r="A2894" t="s">
        <v>1431</v>
      </c>
      <c r="B2894" t="s">
        <v>542</v>
      </c>
      <c r="C2894" t="s">
        <v>160</v>
      </c>
      <c r="D2894">
        <v>2019</v>
      </c>
      <c r="E2894" s="2">
        <v>2</v>
      </c>
      <c r="F2894" s="2">
        <v>305</v>
      </c>
      <c r="G2894" s="2">
        <v>305</v>
      </c>
    </row>
    <row r="2895" spans="1:7" x14ac:dyDescent="0.3">
      <c r="A2895" t="s">
        <v>1431</v>
      </c>
      <c r="B2895" t="s">
        <v>258</v>
      </c>
      <c r="C2895" t="s">
        <v>259</v>
      </c>
      <c r="D2895">
        <v>2019</v>
      </c>
      <c r="E2895" s="2">
        <v>1</v>
      </c>
      <c r="F2895" s="2">
        <v>110</v>
      </c>
      <c r="G2895" s="2">
        <v>110</v>
      </c>
    </row>
    <row r="2896" spans="1:7" x14ac:dyDescent="0.3">
      <c r="A2896" t="s">
        <v>1431</v>
      </c>
      <c r="B2896" t="s">
        <v>809</v>
      </c>
      <c r="C2896" t="s">
        <v>810</v>
      </c>
      <c r="D2896">
        <v>2019</v>
      </c>
      <c r="E2896" s="2">
        <v>1</v>
      </c>
      <c r="F2896" s="2">
        <v>70</v>
      </c>
      <c r="G2896" s="2">
        <v>73.5</v>
      </c>
    </row>
    <row r="2897" spans="1:7" x14ac:dyDescent="0.3">
      <c r="A2897" t="s">
        <v>1431</v>
      </c>
      <c r="B2897" t="s">
        <v>62</v>
      </c>
      <c r="C2897" t="s">
        <v>63</v>
      </c>
      <c r="D2897">
        <v>2019</v>
      </c>
      <c r="E2897" s="2">
        <v>1</v>
      </c>
      <c r="F2897" s="2">
        <v>70</v>
      </c>
      <c r="G2897" s="2">
        <v>73.5</v>
      </c>
    </row>
    <row r="2898" spans="1:7" x14ac:dyDescent="0.3">
      <c r="A2898" t="s">
        <v>1431</v>
      </c>
      <c r="B2898" t="s">
        <v>922</v>
      </c>
      <c r="D2898">
        <v>2018</v>
      </c>
      <c r="E2898" s="2">
        <v>5</v>
      </c>
      <c r="F2898" s="2">
        <v>1175</v>
      </c>
      <c r="G2898" s="2"/>
    </row>
    <row r="2899" spans="1:7" x14ac:dyDescent="0.3">
      <c r="A2899" t="s">
        <v>1431</v>
      </c>
      <c r="B2899" t="s">
        <v>137</v>
      </c>
      <c r="C2899" t="s">
        <v>138</v>
      </c>
      <c r="D2899">
        <v>2018</v>
      </c>
      <c r="E2899" s="2">
        <v>0.5</v>
      </c>
      <c r="F2899" s="2">
        <v>105</v>
      </c>
      <c r="G2899" s="2">
        <v>110.25</v>
      </c>
    </row>
    <row r="2900" spans="1:7" x14ac:dyDescent="0.3">
      <c r="A2900" t="s">
        <v>1431</v>
      </c>
      <c r="B2900" t="s">
        <v>265</v>
      </c>
      <c r="C2900" t="s">
        <v>197</v>
      </c>
      <c r="D2900">
        <v>2018</v>
      </c>
      <c r="E2900" s="2">
        <v>10</v>
      </c>
      <c r="F2900" s="2">
        <v>2050</v>
      </c>
      <c r="G2900" s="2"/>
    </row>
    <row r="2901" spans="1:7" x14ac:dyDescent="0.3">
      <c r="A2901" t="s">
        <v>1431</v>
      </c>
      <c r="B2901" t="s">
        <v>265</v>
      </c>
      <c r="C2901" t="s">
        <v>197</v>
      </c>
      <c r="D2901">
        <v>2019</v>
      </c>
      <c r="E2901" s="2">
        <v>5</v>
      </c>
      <c r="F2901" s="2">
        <v>998</v>
      </c>
      <c r="G2901" s="2"/>
    </row>
    <row r="2902" spans="1:7" x14ac:dyDescent="0.3">
      <c r="A2902" t="s">
        <v>1431</v>
      </c>
      <c r="B2902" t="s">
        <v>711</v>
      </c>
      <c r="C2902" t="s">
        <v>413</v>
      </c>
      <c r="D2902">
        <v>2019</v>
      </c>
      <c r="E2902" s="2">
        <v>2</v>
      </c>
      <c r="F2902" s="2">
        <v>350</v>
      </c>
      <c r="G2902" s="2">
        <v>252</v>
      </c>
    </row>
    <row r="2903" spans="1:7" x14ac:dyDescent="0.3">
      <c r="A2903" t="s">
        <v>1431</v>
      </c>
      <c r="B2903" t="s">
        <v>72</v>
      </c>
      <c r="C2903" t="s">
        <v>73</v>
      </c>
      <c r="D2903">
        <v>2019</v>
      </c>
      <c r="E2903" s="2">
        <v>2</v>
      </c>
      <c r="F2903" s="2">
        <v>320</v>
      </c>
      <c r="G2903" s="2"/>
    </row>
    <row r="2904" spans="1:7" x14ac:dyDescent="0.3">
      <c r="A2904" t="s">
        <v>1431</v>
      </c>
      <c r="B2904" t="s">
        <v>149</v>
      </c>
      <c r="C2904" t="s">
        <v>150</v>
      </c>
      <c r="D2904">
        <v>2018</v>
      </c>
      <c r="E2904" s="2">
        <v>0.5</v>
      </c>
      <c r="F2904" s="2">
        <v>120</v>
      </c>
      <c r="G2904" s="2">
        <v>126</v>
      </c>
    </row>
    <row r="2905" spans="1:7" x14ac:dyDescent="0.3">
      <c r="A2905" t="s">
        <v>1431</v>
      </c>
      <c r="B2905" t="s">
        <v>1405</v>
      </c>
      <c r="C2905" t="s">
        <v>1406</v>
      </c>
      <c r="D2905">
        <v>2019</v>
      </c>
      <c r="E2905" s="2">
        <v>1</v>
      </c>
      <c r="F2905" s="2">
        <v>210</v>
      </c>
      <c r="G2905" s="2"/>
    </row>
    <row r="2906" spans="1:7" x14ac:dyDescent="0.3">
      <c r="A2906" t="s">
        <v>1431</v>
      </c>
      <c r="B2906" t="s">
        <v>1396</v>
      </c>
      <c r="C2906" t="s">
        <v>613</v>
      </c>
      <c r="D2906">
        <v>2019</v>
      </c>
      <c r="E2906" s="2">
        <v>1</v>
      </c>
      <c r="F2906" s="2">
        <v>260</v>
      </c>
      <c r="G2906" s="2">
        <v>273</v>
      </c>
    </row>
    <row r="2907" spans="1:7" x14ac:dyDescent="0.3">
      <c r="A2907" t="s">
        <v>1431</v>
      </c>
      <c r="B2907" t="s">
        <v>562</v>
      </c>
      <c r="C2907" t="s">
        <v>563</v>
      </c>
      <c r="D2907">
        <v>2018</v>
      </c>
      <c r="E2907" s="2">
        <v>0.5</v>
      </c>
      <c r="F2907" s="2">
        <v>120</v>
      </c>
      <c r="G2907" s="2">
        <v>126</v>
      </c>
    </row>
    <row r="2908" spans="1:7" x14ac:dyDescent="0.3">
      <c r="A2908" t="s">
        <v>1436</v>
      </c>
      <c r="B2908" t="s">
        <v>761</v>
      </c>
      <c r="D2908">
        <v>2018</v>
      </c>
      <c r="E2908" s="2">
        <v>10</v>
      </c>
      <c r="F2908" s="2">
        <v>3500</v>
      </c>
      <c r="G2908" s="2">
        <v>3675</v>
      </c>
    </row>
    <row r="2909" spans="1:7" x14ac:dyDescent="0.3">
      <c r="A2909" t="s">
        <v>1437</v>
      </c>
      <c r="B2909" t="s">
        <v>1438</v>
      </c>
      <c r="C2909" t="s">
        <v>212</v>
      </c>
      <c r="D2909">
        <v>2010</v>
      </c>
      <c r="E2909" s="2">
        <v>10</v>
      </c>
      <c r="F2909" s="2">
        <v>12144</v>
      </c>
      <c r="G2909" s="2"/>
    </row>
    <row r="2910" spans="1:7" x14ac:dyDescent="0.3">
      <c r="A2910" t="s">
        <v>1437</v>
      </c>
      <c r="B2910" t="s">
        <v>1438</v>
      </c>
      <c r="C2910" t="s">
        <v>212</v>
      </c>
      <c r="D2910">
        <v>2011</v>
      </c>
      <c r="E2910" s="2">
        <v>50</v>
      </c>
      <c r="F2910" s="2">
        <v>6072</v>
      </c>
      <c r="G2910" s="2"/>
    </row>
    <row r="2911" spans="1:7" x14ac:dyDescent="0.3">
      <c r="A2911" t="s">
        <v>1439</v>
      </c>
      <c r="B2911" t="s">
        <v>1440</v>
      </c>
      <c r="D2911">
        <v>2017</v>
      </c>
      <c r="E2911" s="2">
        <v>50</v>
      </c>
      <c r="F2911" s="2">
        <v>4000</v>
      </c>
      <c r="G2911" s="2"/>
    </row>
    <row r="2912" spans="1:7" x14ac:dyDescent="0.3">
      <c r="A2912" t="s">
        <v>1439</v>
      </c>
      <c r="B2912" t="s">
        <v>763</v>
      </c>
      <c r="D2912">
        <v>2011</v>
      </c>
      <c r="E2912" s="2">
        <v>10</v>
      </c>
      <c r="F2912" s="2">
        <v>580</v>
      </c>
      <c r="G2912" s="2"/>
    </row>
    <row r="2913" spans="1:8" x14ac:dyDescent="0.3">
      <c r="A2913" t="s">
        <v>1439</v>
      </c>
      <c r="B2913" t="s">
        <v>610</v>
      </c>
      <c r="C2913" t="s">
        <v>611</v>
      </c>
      <c r="D2913">
        <v>2017</v>
      </c>
      <c r="E2913" s="2">
        <v>50</v>
      </c>
      <c r="F2913" s="2">
        <v>5000</v>
      </c>
      <c r="G2913" s="2"/>
    </row>
    <row r="2914" spans="1:8" x14ac:dyDescent="0.3">
      <c r="A2914" t="s">
        <v>1439</v>
      </c>
      <c r="B2914" t="s">
        <v>1332</v>
      </c>
      <c r="C2914" t="s">
        <v>1333</v>
      </c>
      <c r="D2914">
        <v>2021</v>
      </c>
      <c r="E2914" s="2">
        <v>25</v>
      </c>
      <c r="F2914" s="2">
        <v>1875</v>
      </c>
      <c r="G2914" s="2">
        <v>1968.75</v>
      </c>
      <c r="H2914" s="3" t="s">
        <v>18</v>
      </c>
    </row>
    <row r="2915" spans="1:8" x14ac:dyDescent="0.3">
      <c r="A2915" t="s">
        <v>1439</v>
      </c>
      <c r="B2915" t="s">
        <v>34</v>
      </c>
      <c r="D2915">
        <v>2018</v>
      </c>
      <c r="E2915" s="2">
        <v>30</v>
      </c>
      <c r="F2915" s="2">
        <v>3290</v>
      </c>
      <c r="G2915" s="2">
        <v>3454.5</v>
      </c>
    </row>
    <row r="2916" spans="1:8" x14ac:dyDescent="0.3">
      <c r="A2916" t="s">
        <v>1439</v>
      </c>
      <c r="B2916" t="s">
        <v>696</v>
      </c>
      <c r="C2916" t="s">
        <v>697</v>
      </c>
      <c r="D2916">
        <v>2016</v>
      </c>
      <c r="E2916" s="2">
        <v>25</v>
      </c>
      <c r="F2916" s="2">
        <v>2250</v>
      </c>
      <c r="G2916" s="2"/>
    </row>
    <row r="2917" spans="1:8" x14ac:dyDescent="0.3">
      <c r="A2917" t="s">
        <v>1439</v>
      </c>
      <c r="B2917" t="s">
        <v>1334</v>
      </c>
      <c r="C2917" t="s">
        <v>1335</v>
      </c>
      <c r="D2917">
        <v>2015</v>
      </c>
      <c r="E2917" s="2">
        <v>25</v>
      </c>
      <c r="F2917" s="2">
        <v>1875</v>
      </c>
      <c r="G2917" s="2"/>
      <c r="H2917" s="3" t="s">
        <v>14</v>
      </c>
    </row>
    <row r="2918" spans="1:8" x14ac:dyDescent="0.3">
      <c r="A2918" t="s">
        <v>1439</v>
      </c>
      <c r="B2918" t="s">
        <v>1334</v>
      </c>
      <c r="C2918" t="s">
        <v>1335</v>
      </c>
      <c r="D2918">
        <v>2016</v>
      </c>
      <c r="E2918" s="2">
        <v>25</v>
      </c>
      <c r="F2918" s="2">
        <v>1875</v>
      </c>
      <c r="G2918" s="2"/>
      <c r="H2918" s="3" t="s">
        <v>14</v>
      </c>
    </row>
    <row r="2919" spans="1:8" x14ac:dyDescent="0.3">
      <c r="A2919" t="s">
        <v>1439</v>
      </c>
      <c r="B2919" t="s">
        <v>1334</v>
      </c>
      <c r="C2919" t="s">
        <v>1335</v>
      </c>
      <c r="D2919">
        <v>2017</v>
      </c>
      <c r="E2919" s="2">
        <v>175</v>
      </c>
      <c r="F2919" s="2">
        <v>13125</v>
      </c>
      <c r="G2919" s="2"/>
      <c r="H2919" s="3" t="s">
        <v>14</v>
      </c>
    </row>
    <row r="2920" spans="1:8" x14ac:dyDescent="0.3">
      <c r="A2920" t="s">
        <v>1439</v>
      </c>
      <c r="B2920" t="s">
        <v>1334</v>
      </c>
      <c r="C2920" t="s">
        <v>1335</v>
      </c>
      <c r="D2920">
        <v>2018</v>
      </c>
      <c r="E2920" s="2">
        <v>275</v>
      </c>
      <c r="F2920" s="2">
        <v>20625</v>
      </c>
      <c r="G2920" s="2">
        <v>21656.25</v>
      </c>
      <c r="H2920" s="3" t="s">
        <v>14</v>
      </c>
    </row>
    <row r="2921" spans="1:8" x14ac:dyDescent="0.3">
      <c r="A2921" t="s">
        <v>1439</v>
      </c>
      <c r="B2921" t="s">
        <v>1334</v>
      </c>
      <c r="C2921" t="s">
        <v>1335</v>
      </c>
      <c r="D2921">
        <v>2019</v>
      </c>
      <c r="E2921" s="2">
        <v>75</v>
      </c>
      <c r="F2921" s="2">
        <v>6600</v>
      </c>
      <c r="G2921" s="2">
        <v>6930</v>
      </c>
      <c r="H2921" s="3" t="s">
        <v>14</v>
      </c>
    </row>
    <row r="2922" spans="1:8" x14ac:dyDescent="0.3">
      <c r="A2922" t="s">
        <v>1439</v>
      </c>
      <c r="B2922" t="s">
        <v>1334</v>
      </c>
      <c r="C2922" t="s">
        <v>1335</v>
      </c>
      <c r="D2922">
        <v>2020</v>
      </c>
      <c r="E2922" s="2">
        <v>200</v>
      </c>
      <c r="F2922" s="2">
        <v>18200</v>
      </c>
      <c r="G2922" s="2">
        <v>19110</v>
      </c>
      <c r="H2922" s="3" t="s">
        <v>14</v>
      </c>
    </row>
    <row r="2923" spans="1:8" x14ac:dyDescent="0.3">
      <c r="A2923" t="s">
        <v>1439</v>
      </c>
      <c r="B2923" t="s">
        <v>1334</v>
      </c>
      <c r="C2923" t="s">
        <v>1335</v>
      </c>
      <c r="D2923">
        <v>2021</v>
      </c>
      <c r="E2923" s="2">
        <v>100</v>
      </c>
      <c r="F2923" s="2">
        <v>8900</v>
      </c>
      <c r="G2923" s="2">
        <v>9345</v>
      </c>
      <c r="H2923" s="3" t="s">
        <v>14</v>
      </c>
    </row>
    <row r="2924" spans="1:8" x14ac:dyDescent="0.3">
      <c r="A2924" t="s">
        <v>1439</v>
      </c>
      <c r="B2924" t="s">
        <v>1441</v>
      </c>
      <c r="C2924" t="s">
        <v>1442</v>
      </c>
      <c r="D2924">
        <v>2019</v>
      </c>
      <c r="E2924" s="2">
        <v>225</v>
      </c>
      <c r="F2924" s="2">
        <v>19800</v>
      </c>
      <c r="G2924" s="2">
        <v>20790</v>
      </c>
    </row>
    <row r="2925" spans="1:8" x14ac:dyDescent="0.3">
      <c r="A2925" t="s">
        <v>1439</v>
      </c>
      <c r="B2925" t="s">
        <v>905</v>
      </c>
      <c r="C2925" t="s">
        <v>906</v>
      </c>
      <c r="D2925">
        <v>2018</v>
      </c>
      <c r="E2925" s="2">
        <v>1</v>
      </c>
      <c r="F2925" s="2">
        <v>110</v>
      </c>
      <c r="G2925" s="2">
        <v>115.5</v>
      </c>
    </row>
    <row r="2926" spans="1:8" x14ac:dyDescent="0.3">
      <c r="A2926" t="s">
        <v>1439</v>
      </c>
      <c r="B2926" t="s">
        <v>459</v>
      </c>
      <c r="C2926" t="s">
        <v>460</v>
      </c>
      <c r="D2926">
        <v>2010</v>
      </c>
      <c r="E2926" s="2">
        <v>200</v>
      </c>
      <c r="F2926" s="2">
        <v>14000</v>
      </c>
      <c r="G2926" s="2"/>
    </row>
    <row r="2927" spans="1:8" x14ac:dyDescent="0.3">
      <c r="A2927" t="s">
        <v>1439</v>
      </c>
      <c r="B2927" t="s">
        <v>459</v>
      </c>
      <c r="C2927" t="s">
        <v>460</v>
      </c>
      <c r="D2927">
        <v>2011</v>
      </c>
      <c r="E2927" s="2">
        <v>325</v>
      </c>
      <c r="F2927" s="2">
        <v>28500</v>
      </c>
      <c r="G2927" s="2"/>
    </row>
    <row r="2928" spans="1:8" x14ac:dyDescent="0.3">
      <c r="A2928" t="s">
        <v>1439</v>
      </c>
      <c r="B2928" t="s">
        <v>459</v>
      </c>
      <c r="C2928" t="s">
        <v>460</v>
      </c>
      <c r="D2928">
        <v>2012</v>
      </c>
      <c r="E2928" s="2">
        <v>275</v>
      </c>
      <c r="F2928" s="2">
        <v>24500</v>
      </c>
      <c r="G2928" s="2"/>
    </row>
    <row r="2929" spans="1:7" x14ac:dyDescent="0.3">
      <c r="A2929" t="s">
        <v>1439</v>
      </c>
      <c r="B2929" t="s">
        <v>459</v>
      </c>
      <c r="C2929" t="s">
        <v>460</v>
      </c>
      <c r="D2929">
        <v>2013</v>
      </c>
      <c r="E2929" s="2">
        <v>150</v>
      </c>
      <c r="F2929" s="2">
        <v>13500</v>
      </c>
      <c r="G2929" s="2"/>
    </row>
    <row r="2930" spans="1:7" x14ac:dyDescent="0.3">
      <c r="A2930" t="s">
        <v>1439</v>
      </c>
      <c r="B2930" t="s">
        <v>459</v>
      </c>
      <c r="C2930" t="s">
        <v>460</v>
      </c>
      <c r="D2930">
        <v>2014</v>
      </c>
      <c r="E2930" s="2">
        <v>100</v>
      </c>
      <c r="F2930" s="2">
        <v>9000</v>
      </c>
      <c r="G2930" s="2"/>
    </row>
    <row r="2931" spans="1:7" x14ac:dyDescent="0.3">
      <c r="A2931" t="s">
        <v>1439</v>
      </c>
      <c r="B2931" t="s">
        <v>459</v>
      </c>
      <c r="C2931" t="s">
        <v>460</v>
      </c>
      <c r="D2931">
        <v>2015</v>
      </c>
      <c r="E2931" s="2">
        <v>50</v>
      </c>
      <c r="F2931" s="2">
        <v>4500</v>
      </c>
      <c r="G2931" s="2"/>
    </row>
    <row r="2932" spans="1:7" x14ac:dyDescent="0.3">
      <c r="A2932" t="s">
        <v>1439</v>
      </c>
      <c r="B2932" t="s">
        <v>459</v>
      </c>
      <c r="C2932" t="s">
        <v>460</v>
      </c>
      <c r="D2932">
        <v>2016</v>
      </c>
      <c r="E2932" s="2">
        <v>25</v>
      </c>
      <c r="F2932" s="2">
        <v>2250</v>
      </c>
      <c r="G2932" s="2"/>
    </row>
    <row r="2933" spans="1:7" x14ac:dyDescent="0.3">
      <c r="A2933" t="s">
        <v>1439</v>
      </c>
      <c r="B2933" t="s">
        <v>459</v>
      </c>
      <c r="C2933" t="s">
        <v>460</v>
      </c>
      <c r="D2933">
        <v>2018</v>
      </c>
      <c r="E2933" s="2">
        <v>200</v>
      </c>
      <c r="F2933" s="2">
        <v>18800</v>
      </c>
      <c r="G2933" s="2">
        <v>19740</v>
      </c>
    </row>
    <row r="2934" spans="1:7" x14ac:dyDescent="0.3">
      <c r="A2934" t="s">
        <v>1439</v>
      </c>
      <c r="B2934" t="s">
        <v>459</v>
      </c>
      <c r="C2934" t="s">
        <v>460</v>
      </c>
      <c r="D2934">
        <v>2019</v>
      </c>
      <c r="E2934" s="2">
        <v>100</v>
      </c>
      <c r="F2934" s="2">
        <v>9800</v>
      </c>
      <c r="G2934" s="2">
        <v>10290</v>
      </c>
    </row>
    <row r="2935" spans="1:7" x14ac:dyDescent="0.3">
      <c r="A2935" t="s">
        <v>1439</v>
      </c>
      <c r="B2935" t="s">
        <v>459</v>
      </c>
      <c r="C2935" t="s">
        <v>460</v>
      </c>
      <c r="D2935">
        <v>2020</v>
      </c>
      <c r="E2935" s="2">
        <v>225</v>
      </c>
      <c r="F2935" s="2">
        <v>25575</v>
      </c>
      <c r="G2935" s="2">
        <v>26853.75</v>
      </c>
    </row>
    <row r="2936" spans="1:7" x14ac:dyDescent="0.3">
      <c r="A2936" t="s">
        <v>1439</v>
      </c>
      <c r="B2936" t="s">
        <v>540</v>
      </c>
      <c r="C2936" t="s">
        <v>541</v>
      </c>
      <c r="D2936">
        <v>2019</v>
      </c>
      <c r="E2936" s="2">
        <v>10</v>
      </c>
      <c r="F2936" s="2">
        <v>900</v>
      </c>
      <c r="G2936" s="2">
        <v>945</v>
      </c>
    </row>
    <row r="2937" spans="1:7" x14ac:dyDescent="0.3">
      <c r="A2937" t="s">
        <v>1439</v>
      </c>
      <c r="B2937" t="s">
        <v>907</v>
      </c>
      <c r="D2937">
        <v>2014</v>
      </c>
      <c r="E2937" s="2">
        <v>250</v>
      </c>
      <c r="F2937" s="2">
        <v>17500</v>
      </c>
      <c r="G2937" s="2"/>
    </row>
    <row r="2938" spans="1:7" x14ac:dyDescent="0.3">
      <c r="A2938" t="s">
        <v>1439</v>
      </c>
      <c r="B2938" t="s">
        <v>907</v>
      </c>
      <c r="D2938">
        <v>2015</v>
      </c>
      <c r="E2938" s="2">
        <v>462</v>
      </c>
      <c r="F2938" s="2">
        <v>23100</v>
      </c>
      <c r="G2938" s="2"/>
    </row>
    <row r="2939" spans="1:7" x14ac:dyDescent="0.3">
      <c r="A2939" t="s">
        <v>1439</v>
      </c>
      <c r="B2939" t="s">
        <v>907</v>
      </c>
      <c r="D2939">
        <v>2017</v>
      </c>
      <c r="E2939" s="2">
        <v>25</v>
      </c>
      <c r="F2939" s="2">
        <v>1750</v>
      </c>
      <c r="G2939" s="2"/>
    </row>
    <row r="2940" spans="1:7" x14ac:dyDescent="0.3">
      <c r="A2940" t="s">
        <v>1439</v>
      </c>
      <c r="B2940" t="s">
        <v>1383</v>
      </c>
      <c r="C2940" t="s">
        <v>1384</v>
      </c>
      <c r="D2940">
        <v>2017</v>
      </c>
      <c r="E2940" s="2">
        <v>120</v>
      </c>
      <c r="F2940" s="2">
        <v>10200</v>
      </c>
      <c r="G2940" s="2"/>
    </row>
    <row r="2941" spans="1:7" x14ac:dyDescent="0.3">
      <c r="A2941" t="s">
        <v>1439</v>
      </c>
      <c r="B2941" t="s">
        <v>1383</v>
      </c>
      <c r="C2941" t="s">
        <v>1384</v>
      </c>
      <c r="D2941">
        <v>2018</v>
      </c>
      <c r="E2941" s="2">
        <v>50</v>
      </c>
      <c r="F2941" s="2">
        <v>4250</v>
      </c>
      <c r="G2941" s="2">
        <v>4462.5</v>
      </c>
    </row>
    <row r="2942" spans="1:7" x14ac:dyDescent="0.3">
      <c r="A2942" t="s">
        <v>1439</v>
      </c>
      <c r="B2942" t="s">
        <v>462</v>
      </c>
      <c r="C2942" t="s">
        <v>463</v>
      </c>
      <c r="D2942">
        <v>2016</v>
      </c>
      <c r="E2942" s="2">
        <v>50</v>
      </c>
      <c r="F2942" s="2">
        <v>3500</v>
      </c>
      <c r="G2942" s="2"/>
    </row>
    <row r="2943" spans="1:7" x14ac:dyDescent="0.3">
      <c r="A2943" t="s">
        <v>1439</v>
      </c>
      <c r="B2943" t="s">
        <v>462</v>
      </c>
      <c r="C2943" t="s">
        <v>463</v>
      </c>
      <c r="D2943">
        <v>2017</v>
      </c>
      <c r="E2943" s="2">
        <v>129</v>
      </c>
      <c r="F2943" s="2">
        <v>10430</v>
      </c>
      <c r="G2943" s="2"/>
    </row>
    <row r="2944" spans="1:7" x14ac:dyDescent="0.3">
      <c r="A2944" t="s">
        <v>1439</v>
      </c>
      <c r="B2944" t="s">
        <v>349</v>
      </c>
      <c r="C2944" t="s">
        <v>350</v>
      </c>
      <c r="D2944">
        <v>2016</v>
      </c>
      <c r="E2944" s="2">
        <v>26</v>
      </c>
      <c r="F2944" s="2">
        <v>2470</v>
      </c>
      <c r="G2944" s="2"/>
    </row>
    <row r="2945" spans="1:7" x14ac:dyDescent="0.3">
      <c r="A2945" t="s">
        <v>1439</v>
      </c>
      <c r="B2945" t="s">
        <v>184</v>
      </c>
      <c r="C2945" t="s">
        <v>185</v>
      </c>
      <c r="D2945">
        <v>2009</v>
      </c>
      <c r="E2945" s="2">
        <v>100</v>
      </c>
      <c r="F2945" s="2">
        <v>4400</v>
      </c>
      <c r="G2945" s="2"/>
    </row>
    <row r="2946" spans="1:7" x14ac:dyDescent="0.3">
      <c r="A2946" t="s">
        <v>1439</v>
      </c>
      <c r="B2946" t="s">
        <v>184</v>
      </c>
      <c r="C2946" t="s">
        <v>185</v>
      </c>
      <c r="D2946">
        <v>2010</v>
      </c>
      <c r="E2946" s="2">
        <v>125</v>
      </c>
      <c r="F2946" s="2">
        <v>6200</v>
      </c>
      <c r="G2946" s="2"/>
    </row>
    <row r="2947" spans="1:7" x14ac:dyDescent="0.3">
      <c r="A2947" t="s">
        <v>1439</v>
      </c>
      <c r="B2947" t="s">
        <v>184</v>
      </c>
      <c r="C2947" t="s">
        <v>185</v>
      </c>
      <c r="D2947">
        <v>2011</v>
      </c>
      <c r="E2947" s="2">
        <v>175</v>
      </c>
      <c r="F2947" s="2">
        <v>11125</v>
      </c>
      <c r="G2947" s="2"/>
    </row>
    <row r="2948" spans="1:7" x14ac:dyDescent="0.3">
      <c r="A2948" t="s">
        <v>1439</v>
      </c>
      <c r="B2948" t="s">
        <v>184</v>
      </c>
      <c r="C2948" t="s">
        <v>185</v>
      </c>
      <c r="D2948">
        <v>2012</v>
      </c>
      <c r="E2948" s="2">
        <v>125</v>
      </c>
      <c r="F2948" s="2">
        <v>8000</v>
      </c>
      <c r="G2948" s="2"/>
    </row>
    <row r="2949" spans="1:7" x14ac:dyDescent="0.3">
      <c r="A2949" t="s">
        <v>1439</v>
      </c>
      <c r="B2949" t="s">
        <v>184</v>
      </c>
      <c r="C2949" t="s">
        <v>185</v>
      </c>
      <c r="D2949">
        <v>2013</v>
      </c>
      <c r="E2949" s="2">
        <v>25</v>
      </c>
      <c r="F2949" s="2">
        <v>1625</v>
      </c>
      <c r="G2949" s="2"/>
    </row>
    <row r="2950" spans="1:7" x14ac:dyDescent="0.3">
      <c r="A2950" t="s">
        <v>1439</v>
      </c>
      <c r="B2950" t="s">
        <v>184</v>
      </c>
      <c r="C2950" t="s">
        <v>185</v>
      </c>
      <c r="D2950">
        <v>2015</v>
      </c>
      <c r="E2950" s="2">
        <v>125</v>
      </c>
      <c r="F2950" s="2">
        <v>8125</v>
      </c>
      <c r="G2950" s="2"/>
    </row>
    <row r="2951" spans="1:7" x14ac:dyDescent="0.3">
      <c r="A2951" t="s">
        <v>1439</v>
      </c>
      <c r="B2951" t="s">
        <v>184</v>
      </c>
      <c r="C2951" t="s">
        <v>185</v>
      </c>
      <c r="D2951">
        <v>2016</v>
      </c>
      <c r="E2951" s="2">
        <v>75</v>
      </c>
      <c r="F2951" s="2">
        <v>4875</v>
      </c>
      <c r="G2951" s="2"/>
    </row>
    <row r="2952" spans="1:7" x14ac:dyDescent="0.3">
      <c r="A2952" t="s">
        <v>1439</v>
      </c>
      <c r="B2952" t="s">
        <v>184</v>
      </c>
      <c r="C2952" t="s">
        <v>185</v>
      </c>
      <c r="D2952">
        <v>2017</v>
      </c>
      <c r="E2952" s="2">
        <v>135</v>
      </c>
      <c r="F2952" s="2">
        <v>10400</v>
      </c>
      <c r="G2952" s="2"/>
    </row>
    <row r="2953" spans="1:7" x14ac:dyDescent="0.3">
      <c r="A2953" t="s">
        <v>1439</v>
      </c>
      <c r="B2953" t="s">
        <v>184</v>
      </c>
      <c r="C2953" t="s">
        <v>185</v>
      </c>
      <c r="D2953">
        <v>2018</v>
      </c>
      <c r="E2953" s="2">
        <v>350</v>
      </c>
      <c r="F2953" s="2">
        <v>23200</v>
      </c>
      <c r="G2953" s="2">
        <v>24360</v>
      </c>
    </row>
    <row r="2954" spans="1:7" x14ac:dyDescent="0.3">
      <c r="A2954" t="s">
        <v>1439</v>
      </c>
      <c r="B2954" t="s">
        <v>184</v>
      </c>
      <c r="C2954" t="s">
        <v>185</v>
      </c>
      <c r="D2954">
        <v>2019</v>
      </c>
      <c r="E2954" s="2">
        <v>175</v>
      </c>
      <c r="F2954" s="2">
        <v>13825</v>
      </c>
      <c r="G2954" s="2">
        <v>14516.25</v>
      </c>
    </row>
    <row r="2955" spans="1:7" x14ac:dyDescent="0.3">
      <c r="A2955" t="s">
        <v>1439</v>
      </c>
      <c r="B2955" t="s">
        <v>686</v>
      </c>
      <c r="C2955" t="s">
        <v>866</v>
      </c>
      <c r="D2955">
        <v>2019</v>
      </c>
      <c r="E2955" s="2">
        <v>101</v>
      </c>
      <c r="F2955" s="2">
        <v>7980</v>
      </c>
      <c r="G2955" s="2">
        <v>8379</v>
      </c>
    </row>
    <row r="2956" spans="1:7" x14ac:dyDescent="0.3">
      <c r="A2956" t="s">
        <v>1439</v>
      </c>
      <c r="B2956" t="s">
        <v>686</v>
      </c>
      <c r="C2956" t="s">
        <v>687</v>
      </c>
      <c r="D2956">
        <v>2020</v>
      </c>
      <c r="E2956" s="2">
        <v>300</v>
      </c>
      <c r="F2956" s="2">
        <v>24000</v>
      </c>
      <c r="G2956" s="2">
        <v>25200</v>
      </c>
    </row>
    <row r="2957" spans="1:7" x14ac:dyDescent="0.3">
      <c r="A2957" t="s">
        <v>1439</v>
      </c>
      <c r="B2957" t="s">
        <v>297</v>
      </c>
      <c r="C2957" t="s">
        <v>298</v>
      </c>
      <c r="D2957">
        <v>2009</v>
      </c>
      <c r="E2957" s="2">
        <v>125</v>
      </c>
      <c r="F2957" s="2">
        <v>5800</v>
      </c>
      <c r="G2957" s="2"/>
    </row>
    <row r="2958" spans="1:7" x14ac:dyDescent="0.3">
      <c r="A2958" t="s">
        <v>1439</v>
      </c>
      <c r="B2958" t="s">
        <v>297</v>
      </c>
      <c r="C2958" t="s">
        <v>298</v>
      </c>
      <c r="D2958">
        <v>2010</v>
      </c>
      <c r="E2958" s="2">
        <v>150</v>
      </c>
      <c r="F2958" s="2">
        <v>7825</v>
      </c>
      <c r="G2958" s="2"/>
    </row>
    <row r="2959" spans="1:7" x14ac:dyDescent="0.3">
      <c r="A2959" t="s">
        <v>1439</v>
      </c>
      <c r="B2959" t="s">
        <v>297</v>
      </c>
      <c r="C2959" t="s">
        <v>298</v>
      </c>
      <c r="D2959">
        <v>2011</v>
      </c>
      <c r="E2959" s="2">
        <v>175</v>
      </c>
      <c r="F2959" s="2">
        <v>11125</v>
      </c>
      <c r="G2959" s="2"/>
    </row>
    <row r="2960" spans="1:7" x14ac:dyDescent="0.3">
      <c r="A2960" t="s">
        <v>1439</v>
      </c>
      <c r="B2960" t="s">
        <v>297</v>
      </c>
      <c r="C2960" t="s">
        <v>298</v>
      </c>
      <c r="D2960">
        <v>2012</v>
      </c>
      <c r="E2960" s="2">
        <v>100</v>
      </c>
      <c r="F2960" s="2">
        <v>7125</v>
      </c>
      <c r="G2960" s="2"/>
    </row>
    <row r="2961" spans="1:8" x14ac:dyDescent="0.3">
      <c r="A2961" t="s">
        <v>1439</v>
      </c>
      <c r="B2961" t="s">
        <v>297</v>
      </c>
      <c r="C2961" t="s">
        <v>298</v>
      </c>
      <c r="D2961">
        <v>2013</v>
      </c>
      <c r="E2961" s="2">
        <v>125</v>
      </c>
      <c r="F2961" s="2">
        <v>8125</v>
      </c>
      <c r="G2961" s="2"/>
    </row>
    <row r="2962" spans="1:8" x14ac:dyDescent="0.3">
      <c r="A2962" t="s">
        <v>1439</v>
      </c>
      <c r="B2962" t="s">
        <v>297</v>
      </c>
      <c r="C2962" t="s">
        <v>298</v>
      </c>
      <c r="D2962">
        <v>2014</v>
      </c>
      <c r="E2962" s="2">
        <v>75</v>
      </c>
      <c r="F2962" s="2">
        <v>5125</v>
      </c>
      <c r="G2962" s="2"/>
    </row>
    <row r="2963" spans="1:8" x14ac:dyDescent="0.3">
      <c r="A2963" t="s">
        <v>1439</v>
      </c>
      <c r="B2963" t="s">
        <v>297</v>
      </c>
      <c r="C2963" t="s">
        <v>298</v>
      </c>
      <c r="D2963">
        <v>2015</v>
      </c>
      <c r="E2963" s="2">
        <v>25</v>
      </c>
      <c r="F2963" s="2">
        <v>1750</v>
      </c>
      <c r="G2963" s="2"/>
    </row>
    <row r="2964" spans="1:8" x14ac:dyDescent="0.3">
      <c r="A2964" t="s">
        <v>1439</v>
      </c>
      <c r="B2964" t="s">
        <v>297</v>
      </c>
      <c r="C2964" t="s">
        <v>298</v>
      </c>
      <c r="D2964">
        <v>2016</v>
      </c>
      <c r="E2964" s="2">
        <v>55</v>
      </c>
      <c r="F2964" s="2">
        <v>3850</v>
      </c>
      <c r="G2964" s="2"/>
    </row>
    <row r="2965" spans="1:8" x14ac:dyDescent="0.3">
      <c r="A2965" t="s">
        <v>1439</v>
      </c>
      <c r="B2965" t="s">
        <v>297</v>
      </c>
      <c r="C2965" t="s">
        <v>298</v>
      </c>
      <c r="D2965">
        <v>2017</v>
      </c>
      <c r="E2965" s="2">
        <v>75</v>
      </c>
      <c r="F2965" s="2">
        <v>5250</v>
      </c>
      <c r="G2965" s="2"/>
    </row>
    <row r="2966" spans="1:8" x14ac:dyDescent="0.3">
      <c r="A2966" t="s">
        <v>1439</v>
      </c>
      <c r="B2966" t="s">
        <v>297</v>
      </c>
      <c r="C2966" t="s">
        <v>298</v>
      </c>
      <c r="D2966">
        <v>2018</v>
      </c>
      <c r="E2966" s="2">
        <v>125</v>
      </c>
      <c r="F2966" s="2">
        <v>9250</v>
      </c>
      <c r="G2966" s="2">
        <v>9712.5</v>
      </c>
    </row>
    <row r="2967" spans="1:8" x14ac:dyDescent="0.3">
      <c r="A2967" t="s">
        <v>1439</v>
      </c>
      <c r="B2967" t="s">
        <v>297</v>
      </c>
      <c r="C2967" t="s">
        <v>298</v>
      </c>
      <c r="D2967">
        <v>2019</v>
      </c>
      <c r="E2967" s="2">
        <v>100</v>
      </c>
      <c r="F2967" s="2">
        <v>7800</v>
      </c>
      <c r="G2967" s="2">
        <v>8190</v>
      </c>
    </row>
    <row r="2968" spans="1:8" x14ac:dyDescent="0.3">
      <c r="A2968" t="s">
        <v>1439</v>
      </c>
      <c r="B2968" t="s">
        <v>297</v>
      </c>
      <c r="C2968" t="s">
        <v>298</v>
      </c>
      <c r="D2968">
        <v>2020</v>
      </c>
      <c r="E2968" s="2">
        <v>25</v>
      </c>
      <c r="F2968" s="2">
        <v>2025</v>
      </c>
      <c r="G2968" s="2">
        <v>2126.25</v>
      </c>
    </row>
    <row r="2969" spans="1:8" x14ac:dyDescent="0.3">
      <c r="A2969" t="s">
        <v>1439</v>
      </c>
      <c r="B2969" t="s">
        <v>668</v>
      </c>
      <c r="C2969" t="s">
        <v>669</v>
      </c>
      <c r="D2969">
        <v>2019</v>
      </c>
      <c r="E2969" s="2">
        <v>50</v>
      </c>
      <c r="F2969" s="2">
        <v>3900</v>
      </c>
      <c r="G2969" s="2">
        <v>4095</v>
      </c>
    </row>
    <row r="2970" spans="1:8" x14ac:dyDescent="0.3">
      <c r="A2970" t="s">
        <v>1439</v>
      </c>
      <c r="B2970" t="s">
        <v>668</v>
      </c>
      <c r="C2970" t="s">
        <v>669</v>
      </c>
      <c r="D2970">
        <v>2020</v>
      </c>
      <c r="E2970" s="2">
        <v>50</v>
      </c>
      <c r="F2970" s="2">
        <v>4050</v>
      </c>
      <c r="G2970" s="2">
        <v>4252.5</v>
      </c>
    </row>
    <row r="2971" spans="1:8" x14ac:dyDescent="0.3">
      <c r="A2971" t="s">
        <v>1439</v>
      </c>
      <c r="B2971" t="s">
        <v>19</v>
      </c>
      <c r="C2971" t="s">
        <v>20</v>
      </c>
      <c r="D2971">
        <v>2010</v>
      </c>
      <c r="E2971" s="2">
        <v>17.149999999999999</v>
      </c>
      <c r="F2971" s="2">
        <v>1457.75</v>
      </c>
      <c r="G2971" s="2"/>
      <c r="H2971" s="3" t="s">
        <v>14</v>
      </c>
    </row>
    <row r="2972" spans="1:8" x14ac:dyDescent="0.3">
      <c r="A2972" t="s">
        <v>1439</v>
      </c>
      <c r="B2972" t="s">
        <v>19</v>
      </c>
      <c r="C2972" t="s">
        <v>20</v>
      </c>
      <c r="D2972">
        <v>2011</v>
      </c>
      <c r="E2972" s="2">
        <v>150</v>
      </c>
      <c r="F2972" s="2">
        <v>14000</v>
      </c>
      <c r="G2972" s="2"/>
      <c r="H2972" s="3" t="s">
        <v>14</v>
      </c>
    </row>
    <row r="2973" spans="1:8" x14ac:dyDescent="0.3">
      <c r="A2973" t="s">
        <v>1439</v>
      </c>
      <c r="B2973" t="s">
        <v>19</v>
      </c>
      <c r="C2973" t="s">
        <v>20</v>
      </c>
      <c r="D2973">
        <v>2012</v>
      </c>
      <c r="E2973" s="2">
        <v>430</v>
      </c>
      <c r="F2973" s="2">
        <v>40100</v>
      </c>
      <c r="G2973" s="2"/>
      <c r="H2973" s="3" t="s">
        <v>14</v>
      </c>
    </row>
    <row r="2974" spans="1:8" x14ac:dyDescent="0.3">
      <c r="A2974" t="s">
        <v>1439</v>
      </c>
      <c r="B2974" t="s">
        <v>19</v>
      </c>
      <c r="C2974" t="s">
        <v>20</v>
      </c>
      <c r="D2974">
        <v>2013</v>
      </c>
      <c r="E2974" s="2">
        <v>1045</v>
      </c>
      <c r="F2974" s="2">
        <v>97275</v>
      </c>
      <c r="G2974" s="2"/>
      <c r="H2974" s="3" t="s">
        <v>14</v>
      </c>
    </row>
    <row r="2975" spans="1:8" x14ac:dyDescent="0.3">
      <c r="A2975" t="s">
        <v>1439</v>
      </c>
      <c r="B2975" t="s">
        <v>19</v>
      </c>
      <c r="C2975" t="s">
        <v>20</v>
      </c>
      <c r="D2975">
        <v>2014</v>
      </c>
      <c r="E2975" s="2">
        <v>1785</v>
      </c>
      <c r="F2975" s="2">
        <v>169575</v>
      </c>
      <c r="G2975" s="2"/>
      <c r="H2975" s="3" t="s">
        <v>14</v>
      </c>
    </row>
    <row r="2976" spans="1:8" x14ac:dyDescent="0.3">
      <c r="A2976" t="s">
        <v>1439</v>
      </c>
      <c r="B2976" t="s">
        <v>19</v>
      </c>
      <c r="C2976" t="s">
        <v>20</v>
      </c>
      <c r="D2976">
        <v>2015</v>
      </c>
      <c r="E2976" s="2">
        <v>1200</v>
      </c>
      <c r="F2976" s="2">
        <v>114000</v>
      </c>
      <c r="G2976" s="2"/>
      <c r="H2976" s="3" t="s">
        <v>14</v>
      </c>
    </row>
    <row r="2977" spans="1:8" x14ac:dyDescent="0.3">
      <c r="A2977" t="s">
        <v>1439</v>
      </c>
      <c r="B2977" t="s">
        <v>19</v>
      </c>
      <c r="C2977" t="s">
        <v>20</v>
      </c>
      <c r="D2977">
        <v>2016</v>
      </c>
      <c r="E2977" s="2">
        <v>2031</v>
      </c>
      <c r="F2977" s="2">
        <v>193125</v>
      </c>
      <c r="G2977" s="2"/>
      <c r="H2977" s="3" t="s">
        <v>14</v>
      </c>
    </row>
    <row r="2978" spans="1:8" x14ac:dyDescent="0.3">
      <c r="A2978" t="s">
        <v>1439</v>
      </c>
      <c r="B2978" t="s">
        <v>19</v>
      </c>
      <c r="C2978" t="s">
        <v>20</v>
      </c>
      <c r="D2978">
        <v>2017</v>
      </c>
      <c r="E2978" s="2">
        <v>3100</v>
      </c>
      <c r="F2978" s="2">
        <v>294500</v>
      </c>
      <c r="G2978" s="2"/>
      <c r="H2978" s="3" t="s">
        <v>14</v>
      </c>
    </row>
    <row r="2979" spans="1:8" x14ac:dyDescent="0.3">
      <c r="A2979" t="s">
        <v>1439</v>
      </c>
      <c r="B2979" t="s">
        <v>19</v>
      </c>
      <c r="C2979" t="s">
        <v>20</v>
      </c>
      <c r="D2979">
        <v>2018</v>
      </c>
      <c r="E2979" s="2">
        <v>1400</v>
      </c>
      <c r="F2979" s="2">
        <v>147750</v>
      </c>
      <c r="G2979" s="2">
        <v>155137.5</v>
      </c>
      <c r="H2979" s="3" t="s">
        <v>14</v>
      </c>
    </row>
    <row r="2980" spans="1:8" x14ac:dyDescent="0.3">
      <c r="A2980" t="s">
        <v>1439</v>
      </c>
      <c r="B2980" t="s">
        <v>19</v>
      </c>
      <c r="C2980" t="s">
        <v>20</v>
      </c>
      <c r="D2980">
        <v>2019</v>
      </c>
      <c r="E2980" s="2">
        <v>3450</v>
      </c>
      <c r="F2980" s="2">
        <v>316248</v>
      </c>
      <c r="G2980" s="2">
        <v>332060.40000000002</v>
      </c>
      <c r="H2980" s="3" t="s">
        <v>14</v>
      </c>
    </row>
    <row r="2981" spans="1:8" x14ac:dyDescent="0.3">
      <c r="A2981" t="s">
        <v>1439</v>
      </c>
      <c r="B2981" t="s">
        <v>19</v>
      </c>
      <c r="C2981" t="s">
        <v>107</v>
      </c>
      <c r="D2981">
        <v>2019</v>
      </c>
      <c r="E2981" s="2">
        <v>250</v>
      </c>
      <c r="F2981" s="2">
        <v>28750</v>
      </c>
      <c r="G2981" s="2">
        <v>30187.5</v>
      </c>
    </row>
    <row r="2982" spans="1:8" x14ac:dyDescent="0.3">
      <c r="A2982" t="s">
        <v>1439</v>
      </c>
      <c r="B2982" t="s">
        <v>19</v>
      </c>
      <c r="C2982" t="s">
        <v>20</v>
      </c>
      <c r="D2982">
        <v>2020</v>
      </c>
      <c r="E2982" s="2">
        <v>3650</v>
      </c>
      <c r="F2982" s="2">
        <v>430700</v>
      </c>
      <c r="G2982" s="2">
        <v>452235</v>
      </c>
      <c r="H2982" s="3" t="s">
        <v>14</v>
      </c>
    </row>
    <row r="2983" spans="1:8" x14ac:dyDescent="0.3">
      <c r="A2983" t="s">
        <v>1439</v>
      </c>
      <c r="B2983" t="s">
        <v>19</v>
      </c>
      <c r="C2983" t="s">
        <v>107</v>
      </c>
      <c r="D2983">
        <v>2020</v>
      </c>
      <c r="E2983" s="2">
        <v>300</v>
      </c>
      <c r="F2983" s="2">
        <v>35400</v>
      </c>
      <c r="G2983" s="2">
        <v>37170</v>
      </c>
    </row>
    <row r="2984" spans="1:8" x14ac:dyDescent="0.3">
      <c r="A2984" t="s">
        <v>1439</v>
      </c>
      <c r="B2984" t="s">
        <v>19</v>
      </c>
      <c r="C2984" t="s">
        <v>20</v>
      </c>
      <c r="D2984">
        <v>2021</v>
      </c>
      <c r="E2984" s="2">
        <v>2250</v>
      </c>
      <c r="F2984" s="2">
        <v>264500</v>
      </c>
      <c r="G2984" s="2">
        <v>277725</v>
      </c>
      <c r="H2984" s="3" t="s">
        <v>14</v>
      </c>
    </row>
    <row r="2985" spans="1:8" x14ac:dyDescent="0.3">
      <c r="A2985" t="s">
        <v>1439</v>
      </c>
      <c r="B2985" t="s">
        <v>269</v>
      </c>
      <c r="C2985" t="s">
        <v>270</v>
      </c>
      <c r="D2985">
        <v>2015</v>
      </c>
      <c r="E2985" s="2">
        <v>25</v>
      </c>
      <c r="F2985" s="2">
        <v>2375</v>
      </c>
      <c r="G2985" s="2"/>
    </row>
    <row r="2986" spans="1:8" x14ac:dyDescent="0.3">
      <c r="A2986" t="s">
        <v>1439</v>
      </c>
      <c r="B2986" t="s">
        <v>809</v>
      </c>
      <c r="C2986" t="s">
        <v>810</v>
      </c>
      <c r="D2986">
        <v>2010</v>
      </c>
      <c r="E2986" s="2">
        <v>5</v>
      </c>
      <c r="F2986" s="2">
        <v>425</v>
      </c>
      <c r="G2986" s="2"/>
    </row>
    <row r="2987" spans="1:8" x14ac:dyDescent="0.3">
      <c r="A2987" t="s">
        <v>1439</v>
      </c>
      <c r="B2987" t="s">
        <v>809</v>
      </c>
      <c r="C2987" t="s">
        <v>810</v>
      </c>
      <c r="D2987">
        <v>2011</v>
      </c>
      <c r="E2987" s="2">
        <v>10</v>
      </c>
      <c r="F2987" s="2">
        <v>950</v>
      </c>
      <c r="G2987" s="2"/>
    </row>
    <row r="2988" spans="1:8" x14ac:dyDescent="0.3">
      <c r="A2988" t="s">
        <v>1439</v>
      </c>
      <c r="B2988" t="s">
        <v>809</v>
      </c>
      <c r="C2988" t="s">
        <v>810</v>
      </c>
      <c r="D2988">
        <v>2012</v>
      </c>
      <c r="E2988" s="2">
        <v>25</v>
      </c>
      <c r="F2988" s="2">
        <v>2375</v>
      </c>
      <c r="G2988" s="2"/>
    </row>
    <row r="2989" spans="1:8" x14ac:dyDescent="0.3">
      <c r="A2989" t="s">
        <v>1439</v>
      </c>
      <c r="B2989" t="s">
        <v>809</v>
      </c>
      <c r="C2989" t="s">
        <v>810</v>
      </c>
      <c r="D2989">
        <v>2013</v>
      </c>
      <c r="E2989" s="2">
        <v>25</v>
      </c>
      <c r="F2989" s="2">
        <v>2375</v>
      </c>
      <c r="G2989" s="2"/>
    </row>
    <row r="2990" spans="1:8" x14ac:dyDescent="0.3">
      <c r="A2990" t="s">
        <v>1439</v>
      </c>
      <c r="B2990" t="s">
        <v>809</v>
      </c>
      <c r="C2990" t="s">
        <v>810</v>
      </c>
      <c r="D2990">
        <v>2014</v>
      </c>
      <c r="E2990" s="2">
        <v>51</v>
      </c>
      <c r="F2990" s="2">
        <v>4845</v>
      </c>
      <c r="G2990" s="2"/>
    </row>
    <row r="2991" spans="1:8" x14ac:dyDescent="0.3">
      <c r="A2991" t="s">
        <v>1439</v>
      </c>
      <c r="B2991" t="s">
        <v>809</v>
      </c>
      <c r="D2991">
        <v>2015</v>
      </c>
      <c r="E2991" s="2">
        <v>50</v>
      </c>
      <c r="F2991" s="2">
        <v>4750</v>
      </c>
      <c r="G2991" s="2"/>
    </row>
    <row r="2992" spans="1:8" x14ac:dyDescent="0.3">
      <c r="A2992" t="s">
        <v>1439</v>
      </c>
      <c r="B2992" t="s">
        <v>809</v>
      </c>
      <c r="C2992" t="s">
        <v>810</v>
      </c>
      <c r="D2992">
        <v>2016</v>
      </c>
      <c r="E2992" s="2">
        <v>75</v>
      </c>
      <c r="F2992" s="2">
        <v>7125</v>
      </c>
      <c r="G2992" s="2"/>
    </row>
    <row r="2993" spans="1:7" x14ac:dyDescent="0.3">
      <c r="A2993" t="s">
        <v>1439</v>
      </c>
      <c r="B2993" t="s">
        <v>809</v>
      </c>
      <c r="C2993" t="s">
        <v>810</v>
      </c>
      <c r="D2993">
        <v>2017</v>
      </c>
      <c r="E2993" s="2">
        <v>50</v>
      </c>
      <c r="F2993" s="2">
        <v>4750</v>
      </c>
      <c r="G2993" s="2"/>
    </row>
    <row r="2994" spans="1:7" x14ac:dyDescent="0.3">
      <c r="A2994" t="s">
        <v>1439</v>
      </c>
      <c r="B2994" t="s">
        <v>1443</v>
      </c>
      <c r="C2994" t="s">
        <v>1444</v>
      </c>
      <c r="D2994">
        <v>2014</v>
      </c>
      <c r="E2994" s="2">
        <v>25</v>
      </c>
      <c r="F2994" s="2">
        <v>2125</v>
      </c>
      <c r="G2994" s="2"/>
    </row>
    <row r="2995" spans="1:7" x14ac:dyDescent="0.3">
      <c r="A2995" t="s">
        <v>1439</v>
      </c>
      <c r="B2995" t="s">
        <v>1443</v>
      </c>
      <c r="C2995" t="s">
        <v>1444</v>
      </c>
      <c r="D2995">
        <v>2015</v>
      </c>
      <c r="E2995" s="2">
        <v>50</v>
      </c>
      <c r="F2995" s="2">
        <v>4250</v>
      </c>
      <c r="G2995" s="2"/>
    </row>
    <row r="2996" spans="1:7" x14ac:dyDescent="0.3">
      <c r="A2996" t="s">
        <v>1439</v>
      </c>
      <c r="B2996" t="s">
        <v>41</v>
      </c>
      <c r="C2996" t="s">
        <v>42</v>
      </c>
      <c r="D2996">
        <v>2009</v>
      </c>
      <c r="E2996" s="2">
        <v>100</v>
      </c>
      <c r="F2996" s="2">
        <v>5500</v>
      </c>
      <c r="G2996" s="2"/>
    </row>
    <row r="2997" spans="1:7" x14ac:dyDescent="0.3">
      <c r="A2997" t="s">
        <v>1439</v>
      </c>
      <c r="B2997" t="s">
        <v>41</v>
      </c>
      <c r="C2997" t="s">
        <v>42</v>
      </c>
      <c r="D2997">
        <v>2010</v>
      </c>
      <c r="E2997" s="2">
        <v>125</v>
      </c>
      <c r="F2997" s="2">
        <v>7000</v>
      </c>
      <c r="G2997" s="2"/>
    </row>
    <row r="2998" spans="1:7" x14ac:dyDescent="0.3">
      <c r="A2998" t="s">
        <v>1439</v>
      </c>
      <c r="B2998" t="s">
        <v>41</v>
      </c>
      <c r="C2998" t="s">
        <v>530</v>
      </c>
      <c r="D2998">
        <v>2011</v>
      </c>
      <c r="E2998" s="2">
        <v>150</v>
      </c>
      <c r="F2998" s="2">
        <v>11250</v>
      </c>
      <c r="G2998" s="2"/>
    </row>
    <row r="2999" spans="1:7" x14ac:dyDescent="0.3">
      <c r="A2999" t="s">
        <v>1439</v>
      </c>
      <c r="B2999" t="s">
        <v>41</v>
      </c>
      <c r="C2999" t="s">
        <v>42</v>
      </c>
      <c r="D2999">
        <v>2011</v>
      </c>
      <c r="E2999" s="2">
        <v>350</v>
      </c>
      <c r="F2999" s="2">
        <v>24750</v>
      </c>
      <c r="G2999" s="2"/>
    </row>
    <row r="3000" spans="1:7" x14ac:dyDescent="0.3">
      <c r="A3000" t="s">
        <v>1439</v>
      </c>
      <c r="B3000" t="s">
        <v>41</v>
      </c>
      <c r="C3000" t="s">
        <v>42</v>
      </c>
      <c r="D3000">
        <v>2012</v>
      </c>
      <c r="E3000" s="2">
        <v>450</v>
      </c>
      <c r="F3000" s="2">
        <v>32500</v>
      </c>
      <c r="G3000" s="2"/>
    </row>
    <row r="3001" spans="1:7" x14ac:dyDescent="0.3">
      <c r="A3001" t="s">
        <v>1439</v>
      </c>
      <c r="B3001" t="s">
        <v>41</v>
      </c>
      <c r="C3001" t="s">
        <v>42</v>
      </c>
      <c r="D3001">
        <v>2013</v>
      </c>
      <c r="E3001" s="2">
        <v>100</v>
      </c>
      <c r="F3001" s="2">
        <v>7500</v>
      </c>
      <c r="G3001" s="2"/>
    </row>
    <row r="3002" spans="1:7" x14ac:dyDescent="0.3">
      <c r="A3002" t="s">
        <v>1439</v>
      </c>
      <c r="B3002" t="s">
        <v>41</v>
      </c>
      <c r="C3002" t="s">
        <v>42</v>
      </c>
      <c r="D3002">
        <v>2014</v>
      </c>
      <c r="E3002" s="2">
        <v>75</v>
      </c>
      <c r="F3002" s="2">
        <v>5625</v>
      </c>
      <c r="G3002" s="2"/>
    </row>
    <row r="3003" spans="1:7" x14ac:dyDescent="0.3">
      <c r="A3003" t="s">
        <v>1439</v>
      </c>
      <c r="B3003" t="s">
        <v>41</v>
      </c>
      <c r="C3003" t="s">
        <v>42</v>
      </c>
      <c r="D3003">
        <v>2015</v>
      </c>
      <c r="E3003" s="2">
        <v>575</v>
      </c>
      <c r="F3003" s="2">
        <v>34125</v>
      </c>
      <c r="G3003" s="2"/>
    </row>
    <row r="3004" spans="1:7" x14ac:dyDescent="0.3">
      <c r="A3004" t="s">
        <v>1439</v>
      </c>
      <c r="B3004" t="s">
        <v>41</v>
      </c>
      <c r="C3004" t="s">
        <v>42</v>
      </c>
      <c r="D3004">
        <v>2016</v>
      </c>
      <c r="E3004" s="2">
        <v>300</v>
      </c>
      <c r="F3004" s="2">
        <v>16500</v>
      </c>
      <c r="G3004" s="2"/>
    </row>
    <row r="3005" spans="1:7" x14ac:dyDescent="0.3">
      <c r="A3005" t="s">
        <v>1439</v>
      </c>
      <c r="B3005" t="s">
        <v>41</v>
      </c>
      <c r="C3005" t="s">
        <v>42</v>
      </c>
      <c r="D3005">
        <v>2017</v>
      </c>
      <c r="E3005" s="2">
        <v>500</v>
      </c>
      <c r="F3005" s="2">
        <v>32500</v>
      </c>
      <c r="G3005" s="2"/>
    </row>
    <row r="3006" spans="1:7" x14ac:dyDescent="0.3">
      <c r="A3006" t="s">
        <v>1439</v>
      </c>
      <c r="B3006" t="s">
        <v>41</v>
      </c>
      <c r="C3006" t="s">
        <v>63</v>
      </c>
      <c r="D3006">
        <v>2018</v>
      </c>
      <c r="E3006" s="2">
        <v>200</v>
      </c>
      <c r="F3006" s="2">
        <v>12800</v>
      </c>
      <c r="G3006" s="2">
        <v>13440</v>
      </c>
    </row>
    <row r="3007" spans="1:7" x14ac:dyDescent="0.3">
      <c r="A3007" t="s">
        <v>1439</v>
      </c>
      <c r="B3007" t="s">
        <v>467</v>
      </c>
      <c r="C3007" t="s">
        <v>468</v>
      </c>
      <c r="D3007">
        <v>2019</v>
      </c>
      <c r="E3007" s="2">
        <v>100</v>
      </c>
      <c r="F3007" s="2">
        <v>6000</v>
      </c>
      <c r="G3007" s="2">
        <v>6300</v>
      </c>
    </row>
    <row r="3008" spans="1:7" x14ac:dyDescent="0.3">
      <c r="A3008" t="s">
        <v>1439</v>
      </c>
      <c r="B3008" t="s">
        <v>543</v>
      </c>
      <c r="C3008" t="s">
        <v>544</v>
      </c>
      <c r="D3008">
        <v>2019</v>
      </c>
      <c r="E3008" s="2">
        <v>50</v>
      </c>
      <c r="F3008" s="2">
        <v>3750</v>
      </c>
      <c r="G3008" s="2">
        <v>3937.5</v>
      </c>
    </row>
    <row r="3009" spans="1:8" x14ac:dyDescent="0.3">
      <c r="A3009" t="s">
        <v>1439</v>
      </c>
      <c r="B3009" t="s">
        <v>64</v>
      </c>
      <c r="C3009" t="s">
        <v>65</v>
      </c>
      <c r="D3009">
        <v>2016</v>
      </c>
      <c r="E3009" s="2">
        <v>75</v>
      </c>
      <c r="F3009" s="2">
        <v>5625</v>
      </c>
      <c r="G3009" s="2"/>
    </row>
    <row r="3010" spans="1:8" x14ac:dyDescent="0.3">
      <c r="A3010" t="s">
        <v>1439</v>
      </c>
      <c r="B3010" t="s">
        <v>64</v>
      </c>
      <c r="C3010" t="s">
        <v>65</v>
      </c>
      <c r="D3010">
        <v>2018</v>
      </c>
      <c r="E3010" s="2">
        <v>100</v>
      </c>
      <c r="F3010" s="2">
        <v>7450</v>
      </c>
      <c r="G3010" s="2">
        <v>7822.5</v>
      </c>
    </row>
    <row r="3011" spans="1:8" x14ac:dyDescent="0.3">
      <c r="A3011" t="s">
        <v>1439</v>
      </c>
      <c r="B3011" t="s">
        <v>64</v>
      </c>
      <c r="C3011" t="s">
        <v>65</v>
      </c>
      <c r="D3011">
        <v>2019</v>
      </c>
      <c r="E3011" s="2">
        <v>100</v>
      </c>
      <c r="F3011" s="2">
        <v>8500</v>
      </c>
      <c r="G3011" s="2">
        <v>8925</v>
      </c>
    </row>
    <row r="3012" spans="1:8" x14ac:dyDescent="0.3">
      <c r="A3012" t="s">
        <v>1439</v>
      </c>
      <c r="B3012" t="s">
        <v>64</v>
      </c>
      <c r="C3012" t="s">
        <v>65</v>
      </c>
      <c r="D3012">
        <v>2020</v>
      </c>
      <c r="E3012" s="2">
        <v>50</v>
      </c>
      <c r="F3012" s="2">
        <v>4250</v>
      </c>
      <c r="G3012" s="2">
        <v>4462.5</v>
      </c>
    </row>
    <row r="3013" spans="1:8" x14ac:dyDescent="0.3">
      <c r="A3013" t="s">
        <v>1439</v>
      </c>
      <c r="B3013" t="s">
        <v>21</v>
      </c>
      <c r="C3013" t="s">
        <v>22</v>
      </c>
      <c r="D3013">
        <v>2009</v>
      </c>
      <c r="E3013" s="2">
        <v>950</v>
      </c>
      <c r="F3013" s="2">
        <v>47500</v>
      </c>
      <c r="G3013" s="2"/>
      <c r="H3013" s="3" t="s">
        <v>14</v>
      </c>
    </row>
    <row r="3014" spans="1:8" x14ac:dyDescent="0.3">
      <c r="A3014" t="s">
        <v>1439</v>
      </c>
      <c r="B3014" t="s">
        <v>21</v>
      </c>
      <c r="C3014" t="s">
        <v>22</v>
      </c>
      <c r="D3014">
        <v>2010</v>
      </c>
      <c r="E3014" s="2">
        <v>1375</v>
      </c>
      <c r="F3014" s="2">
        <v>72375</v>
      </c>
      <c r="G3014" s="2"/>
      <c r="H3014" s="3" t="s">
        <v>14</v>
      </c>
    </row>
    <row r="3015" spans="1:8" x14ac:dyDescent="0.3">
      <c r="A3015" t="s">
        <v>1439</v>
      </c>
      <c r="B3015" t="s">
        <v>21</v>
      </c>
      <c r="C3015" t="s">
        <v>22</v>
      </c>
      <c r="D3015">
        <v>2011</v>
      </c>
      <c r="E3015" s="2">
        <v>1425</v>
      </c>
      <c r="F3015" s="2">
        <v>106875</v>
      </c>
      <c r="G3015" s="2"/>
      <c r="H3015" s="3" t="s">
        <v>14</v>
      </c>
    </row>
    <row r="3016" spans="1:8" x14ac:dyDescent="0.3">
      <c r="A3016" t="s">
        <v>1439</v>
      </c>
      <c r="B3016" t="s">
        <v>21</v>
      </c>
      <c r="C3016" t="s">
        <v>22</v>
      </c>
      <c r="D3016">
        <v>2012</v>
      </c>
      <c r="E3016" s="2">
        <v>1250</v>
      </c>
      <c r="F3016" s="2">
        <v>93125</v>
      </c>
      <c r="G3016" s="2"/>
      <c r="H3016" s="3" t="s">
        <v>14</v>
      </c>
    </row>
    <row r="3017" spans="1:8" x14ac:dyDescent="0.3">
      <c r="A3017" t="s">
        <v>1439</v>
      </c>
      <c r="B3017" t="s">
        <v>21</v>
      </c>
      <c r="C3017" t="s">
        <v>22</v>
      </c>
      <c r="D3017">
        <v>2013</v>
      </c>
      <c r="E3017" s="2">
        <v>1125</v>
      </c>
      <c r="F3017" s="2">
        <v>76500</v>
      </c>
      <c r="G3017" s="2"/>
      <c r="H3017" s="3" t="s">
        <v>14</v>
      </c>
    </row>
    <row r="3018" spans="1:8" x14ac:dyDescent="0.3">
      <c r="A3018" t="s">
        <v>1439</v>
      </c>
      <c r="B3018" t="s">
        <v>21</v>
      </c>
      <c r="C3018" t="s">
        <v>22</v>
      </c>
      <c r="D3018">
        <v>2014</v>
      </c>
      <c r="E3018" s="2">
        <v>1175</v>
      </c>
      <c r="F3018" s="2">
        <v>68625</v>
      </c>
      <c r="G3018" s="2"/>
      <c r="H3018" s="3" t="s">
        <v>14</v>
      </c>
    </row>
    <row r="3019" spans="1:8" x14ac:dyDescent="0.3">
      <c r="A3019" t="s">
        <v>1439</v>
      </c>
      <c r="B3019" t="s">
        <v>21</v>
      </c>
      <c r="C3019" t="s">
        <v>22</v>
      </c>
      <c r="D3019">
        <v>2015</v>
      </c>
      <c r="E3019" s="2">
        <v>825</v>
      </c>
      <c r="F3019" s="2">
        <v>45825</v>
      </c>
      <c r="G3019" s="2"/>
      <c r="H3019" s="3" t="s">
        <v>14</v>
      </c>
    </row>
    <row r="3020" spans="1:8" x14ac:dyDescent="0.3">
      <c r="A3020" t="s">
        <v>1439</v>
      </c>
      <c r="B3020" t="s">
        <v>21</v>
      </c>
      <c r="C3020" t="s">
        <v>22</v>
      </c>
      <c r="D3020">
        <v>2016</v>
      </c>
      <c r="E3020" s="2">
        <v>1025</v>
      </c>
      <c r="F3020" s="2">
        <v>64525</v>
      </c>
      <c r="G3020" s="2"/>
      <c r="H3020" s="3" t="s">
        <v>14</v>
      </c>
    </row>
    <row r="3021" spans="1:8" x14ac:dyDescent="0.3">
      <c r="A3021" t="s">
        <v>1439</v>
      </c>
      <c r="B3021" t="s">
        <v>21</v>
      </c>
      <c r="C3021" t="s">
        <v>22</v>
      </c>
      <c r="D3021">
        <v>2017</v>
      </c>
      <c r="E3021" s="2">
        <v>525</v>
      </c>
      <c r="F3021" s="2">
        <v>46125</v>
      </c>
      <c r="G3021" s="2"/>
      <c r="H3021" s="3" t="s">
        <v>14</v>
      </c>
    </row>
    <row r="3022" spans="1:8" x14ac:dyDescent="0.3">
      <c r="A3022" t="s">
        <v>1439</v>
      </c>
      <c r="B3022" t="s">
        <v>21</v>
      </c>
      <c r="C3022" t="s">
        <v>22</v>
      </c>
      <c r="D3022">
        <v>2018</v>
      </c>
      <c r="E3022" s="2">
        <v>400</v>
      </c>
      <c r="F3022" s="2">
        <v>26500</v>
      </c>
      <c r="G3022" s="2">
        <v>27825</v>
      </c>
      <c r="H3022" s="3" t="s">
        <v>14</v>
      </c>
    </row>
    <row r="3023" spans="1:8" x14ac:dyDescent="0.3">
      <c r="A3023" t="s">
        <v>1439</v>
      </c>
      <c r="B3023" t="s">
        <v>21</v>
      </c>
      <c r="C3023" t="s">
        <v>22</v>
      </c>
      <c r="D3023">
        <v>2019</v>
      </c>
      <c r="E3023" s="2">
        <v>300</v>
      </c>
      <c r="F3023" s="2">
        <v>23400</v>
      </c>
      <c r="G3023" s="2">
        <v>24570</v>
      </c>
      <c r="H3023" s="3" t="s">
        <v>14</v>
      </c>
    </row>
    <row r="3024" spans="1:8" x14ac:dyDescent="0.3">
      <c r="A3024" t="s">
        <v>1439</v>
      </c>
      <c r="B3024" t="s">
        <v>21</v>
      </c>
      <c r="C3024" t="s">
        <v>22</v>
      </c>
      <c r="D3024">
        <v>2020</v>
      </c>
      <c r="E3024" s="2">
        <v>100</v>
      </c>
      <c r="F3024" s="2">
        <v>7800</v>
      </c>
      <c r="G3024" s="2">
        <v>8190</v>
      </c>
      <c r="H3024" s="3" t="s">
        <v>14</v>
      </c>
    </row>
    <row r="3025" spans="1:8" x14ac:dyDescent="0.3">
      <c r="A3025" t="s">
        <v>1439</v>
      </c>
      <c r="B3025" t="s">
        <v>21</v>
      </c>
      <c r="C3025" t="s">
        <v>22</v>
      </c>
      <c r="D3025">
        <v>2021</v>
      </c>
      <c r="E3025" s="2">
        <v>150</v>
      </c>
      <c r="F3025" s="2">
        <v>11700</v>
      </c>
      <c r="G3025" s="2">
        <v>12285</v>
      </c>
      <c r="H3025" s="3" t="s">
        <v>14</v>
      </c>
    </row>
    <row r="3026" spans="1:8" x14ac:dyDescent="0.3">
      <c r="A3026" t="s">
        <v>1439</v>
      </c>
      <c r="B3026" t="s">
        <v>110</v>
      </c>
      <c r="C3026" t="s">
        <v>111</v>
      </c>
      <c r="D3026">
        <v>2018</v>
      </c>
      <c r="E3026" s="2">
        <v>200</v>
      </c>
      <c r="F3026" s="2">
        <v>12800</v>
      </c>
      <c r="G3026" s="2">
        <v>13440</v>
      </c>
    </row>
    <row r="3027" spans="1:8" x14ac:dyDescent="0.3">
      <c r="A3027" t="s">
        <v>1439</v>
      </c>
      <c r="B3027" t="s">
        <v>471</v>
      </c>
      <c r="C3027" t="s">
        <v>472</v>
      </c>
      <c r="D3027">
        <v>2013</v>
      </c>
      <c r="E3027" s="2">
        <v>5</v>
      </c>
      <c r="F3027" s="2">
        <v>475</v>
      </c>
      <c r="G3027" s="2"/>
    </row>
    <row r="3028" spans="1:8" x14ac:dyDescent="0.3">
      <c r="A3028" t="s">
        <v>1439</v>
      </c>
      <c r="B3028" t="s">
        <v>471</v>
      </c>
      <c r="C3028" t="s">
        <v>472</v>
      </c>
      <c r="D3028">
        <v>2014</v>
      </c>
      <c r="E3028" s="2">
        <v>50</v>
      </c>
      <c r="F3028" s="2">
        <v>4750</v>
      </c>
      <c r="G3028" s="2"/>
    </row>
    <row r="3029" spans="1:8" x14ac:dyDescent="0.3">
      <c r="A3029" t="s">
        <v>1439</v>
      </c>
      <c r="B3029" t="s">
        <v>471</v>
      </c>
      <c r="C3029" t="s">
        <v>472</v>
      </c>
      <c r="D3029">
        <v>2017</v>
      </c>
      <c r="E3029" s="2">
        <v>5</v>
      </c>
      <c r="F3029" s="2">
        <v>475</v>
      </c>
      <c r="G3029" s="2"/>
    </row>
    <row r="3030" spans="1:8" x14ac:dyDescent="0.3">
      <c r="A3030" t="s">
        <v>1439</v>
      </c>
      <c r="B3030" t="s">
        <v>68</v>
      </c>
      <c r="C3030" t="s">
        <v>69</v>
      </c>
      <c r="D3030">
        <v>2017</v>
      </c>
      <c r="E3030" s="2">
        <v>25</v>
      </c>
      <c r="F3030" s="2">
        <v>2375</v>
      </c>
      <c r="G3030" s="2"/>
    </row>
    <row r="3031" spans="1:8" x14ac:dyDescent="0.3">
      <c r="A3031" t="s">
        <v>1439</v>
      </c>
      <c r="B3031" t="s">
        <v>68</v>
      </c>
      <c r="C3031" t="s">
        <v>69</v>
      </c>
      <c r="D3031">
        <v>2018</v>
      </c>
      <c r="E3031" s="2">
        <v>25</v>
      </c>
      <c r="F3031" s="2">
        <v>2700</v>
      </c>
      <c r="G3031" s="2">
        <v>2835</v>
      </c>
    </row>
    <row r="3032" spans="1:8" x14ac:dyDescent="0.3">
      <c r="A3032" t="s">
        <v>1439</v>
      </c>
      <c r="B3032" t="s">
        <v>68</v>
      </c>
      <c r="C3032" t="s">
        <v>69</v>
      </c>
      <c r="D3032">
        <v>2019</v>
      </c>
      <c r="E3032" s="2">
        <v>50</v>
      </c>
      <c r="F3032" s="2">
        <v>5150</v>
      </c>
      <c r="G3032" s="2">
        <v>5407.5</v>
      </c>
    </row>
    <row r="3033" spans="1:8" x14ac:dyDescent="0.3">
      <c r="A3033" t="s">
        <v>1439</v>
      </c>
      <c r="B3033" t="s">
        <v>68</v>
      </c>
      <c r="C3033" t="s">
        <v>69</v>
      </c>
      <c r="D3033">
        <v>2020</v>
      </c>
      <c r="E3033" s="2">
        <v>50</v>
      </c>
      <c r="F3033" s="2">
        <v>5400</v>
      </c>
      <c r="G3033" s="2">
        <v>5670</v>
      </c>
    </row>
    <row r="3034" spans="1:8" x14ac:dyDescent="0.3">
      <c r="A3034" t="s">
        <v>1439</v>
      </c>
      <c r="B3034" t="s">
        <v>1445</v>
      </c>
      <c r="D3034">
        <v>2011</v>
      </c>
      <c r="E3034" s="2">
        <v>11.5</v>
      </c>
      <c r="F3034" s="2">
        <v>750.03</v>
      </c>
      <c r="G3034" s="2"/>
    </row>
    <row r="3035" spans="1:8" x14ac:dyDescent="0.3">
      <c r="A3035" t="s">
        <v>1439</v>
      </c>
      <c r="B3035" t="s">
        <v>1446</v>
      </c>
      <c r="C3035" t="s">
        <v>814</v>
      </c>
      <c r="D3035">
        <v>2018</v>
      </c>
      <c r="E3035" s="2">
        <v>75</v>
      </c>
      <c r="F3035" s="2">
        <v>7075</v>
      </c>
      <c r="G3035" s="2">
        <v>7428.75</v>
      </c>
    </row>
    <row r="3036" spans="1:8" x14ac:dyDescent="0.3">
      <c r="A3036" t="s">
        <v>1439</v>
      </c>
      <c r="B3036" t="s">
        <v>1447</v>
      </c>
      <c r="D3036">
        <v>2011</v>
      </c>
      <c r="E3036" s="2">
        <v>25</v>
      </c>
      <c r="F3036" s="2">
        <v>1125</v>
      </c>
      <c r="G3036" s="2"/>
    </row>
    <row r="3037" spans="1:8" x14ac:dyDescent="0.3">
      <c r="A3037" t="s">
        <v>1439</v>
      </c>
      <c r="B3037" t="s">
        <v>1151</v>
      </c>
      <c r="C3037" t="s">
        <v>1152</v>
      </c>
      <c r="D3037">
        <v>2018</v>
      </c>
      <c r="E3037" s="2">
        <v>80</v>
      </c>
      <c r="F3037" s="2">
        <v>20800</v>
      </c>
      <c r="G3037" s="2">
        <v>21840</v>
      </c>
    </row>
    <row r="3038" spans="1:8" x14ac:dyDescent="0.3">
      <c r="A3038" t="s">
        <v>1439</v>
      </c>
      <c r="B3038" t="s">
        <v>1151</v>
      </c>
      <c r="C3038" t="s">
        <v>1152</v>
      </c>
      <c r="D3038">
        <v>2019</v>
      </c>
      <c r="E3038" s="2">
        <v>75</v>
      </c>
      <c r="F3038" s="2">
        <v>19500</v>
      </c>
      <c r="G3038" s="2">
        <v>20475</v>
      </c>
    </row>
    <row r="3039" spans="1:8" x14ac:dyDescent="0.3">
      <c r="A3039" t="s">
        <v>1439</v>
      </c>
      <c r="B3039" t="s">
        <v>404</v>
      </c>
      <c r="C3039" t="s">
        <v>405</v>
      </c>
      <c r="D3039">
        <v>2018</v>
      </c>
      <c r="E3039" s="2">
        <v>1</v>
      </c>
      <c r="F3039" s="2">
        <v>120</v>
      </c>
      <c r="G3039" s="2">
        <v>126</v>
      </c>
    </row>
    <row r="3040" spans="1:8" x14ac:dyDescent="0.3">
      <c r="A3040" t="s">
        <v>1439</v>
      </c>
      <c r="B3040" t="s">
        <v>653</v>
      </c>
      <c r="C3040" t="s">
        <v>654</v>
      </c>
      <c r="D3040">
        <v>2017</v>
      </c>
      <c r="E3040" s="2">
        <v>100</v>
      </c>
      <c r="F3040" s="2">
        <v>8500</v>
      </c>
      <c r="G3040" s="2"/>
    </row>
    <row r="3041" spans="1:7" x14ac:dyDescent="0.3">
      <c r="A3041" t="s">
        <v>1439</v>
      </c>
      <c r="B3041" t="s">
        <v>653</v>
      </c>
      <c r="C3041" t="s">
        <v>654</v>
      </c>
      <c r="D3041">
        <v>2018</v>
      </c>
      <c r="E3041" s="2">
        <v>75</v>
      </c>
      <c r="F3041" s="2">
        <v>6350</v>
      </c>
      <c r="G3041" s="2">
        <v>6667.5</v>
      </c>
    </row>
    <row r="3042" spans="1:7" x14ac:dyDescent="0.3">
      <c r="A3042" t="s">
        <v>1439</v>
      </c>
      <c r="B3042" t="s">
        <v>575</v>
      </c>
      <c r="C3042" t="s">
        <v>960</v>
      </c>
      <c r="D3042">
        <v>2013</v>
      </c>
      <c r="E3042" s="2">
        <v>5</v>
      </c>
      <c r="F3042" s="2">
        <v>525</v>
      </c>
      <c r="G3042" s="2"/>
    </row>
    <row r="3043" spans="1:7" x14ac:dyDescent="0.3">
      <c r="A3043" t="s">
        <v>1439</v>
      </c>
      <c r="B3043" t="s">
        <v>575</v>
      </c>
      <c r="C3043" t="s">
        <v>960</v>
      </c>
      <c r="D3043">
        <v>2016</v>
      </c>
      <c r="E3043" s="2">
        <v>25</v>
      </c>
      <c r="F3043" s="2">
        <v>2625</v>
      </c>
      <c r="G3043" s="2"/>
    </row>
    <row r="3044" spans="1:7" x14ac:dyDescent="0.3">
      <c r="A3044" t="s">
        <v>1439</v>
      </c>
      <c r="B3044" t="s">
        <v>575</v>
      </c>
      <c r="C3044" t="s">
        <v>960</v>
      </c>
      <c r="D3044">
        <v>2017</v>
      </c>
      <c r="E3044" s="2">
        <v>25</v>
      </c>
      <c r="F3044" s="2">
        <v>2625</v>
      </c>
      <c r="G3044" s="2"/>
    </row>
    <row r="3045" spans="1:7" x14ac:dyDescent="0.3">
      <c r="A3045" t="s">
        <v>1439</v>
      </c>
      <c r="B3045" t="s">
        <v>473</v>
      </c>
      <c r="C3045" t="s">
        <v>747</v>
      </c>
      <c r="D3045">
        <v>2009</v>
      </c>
      <c r="E3045" s="2">
        <v>450</v>
      </c>
      <c r="F3045" s="2">
        <v>22950</v>
      </c>
      <c r="G3045" s="2"/>
    </row>
    <row r="3046" spans="1:7" x14ac:dyDescent="0.3">
      <c r="A3046" t="s">
        <v>1439</v>
      </c>
      <c r="B3046" t="s">
        <v>473</v>
      </c>
      <c r="C3046" t="s">
        <v>1448</v>
      </c>
      <c r="D3046">
        <v>2009</v>
      </c>
      <c r="E3046" s="2">
        <v>25</v>
      </c>
      <c r="F3046" s="2">
        <v>1375</v>
      </c>
      <c r="G3046" s="2"/>
    </row>
    <row r="3047" spans="1:7" x14ac:dyDescent="0.3">
      <c r="A3047" t="s">
        <v>1439</v>
      </c>
      <c r="B3047" t="s">
        <v>473</v>
      </c>
      <c r="C3047" t="s">
        <v>747</v>
      </c>
      <c r="D3047">
        <v>2010</v>
      </c>
      <c r="E3047" s="2">
        <v>300</v>
      </c>
      <c r="F3047" s="2">
        <v>15900</v>
      </c>
      <c r="G3047" s="2"/>
    </row>
    <row r="3048" spans="1:7" x14ac:dyDescent="0.3">
      <c r="A3048" t="s">
        <v>1439</v>
      </c>
      <c r="B3048" t="s">
        <v>473</v>
      </c>
      <c r="C3048" t="s">
        <v>1448</v>
      </c>
      <c r="D3048">
        <v>2010</v>
      </c>
      <c r="E3048" s="2">
        <v>17.55</v>
      </c>
      <c r="F3048" s="2">
        <v>1316.25</v>
      </c>
      <c r="G3048" s="2"/>
    </row>
    <row r="3049" spans="1:7" x14ac:dyDescent="0.3">
      <c r="A3049" t="s">
        <v>1439</v>
      </c>
      <c r="B3049" t="s">
        <v>473</v>
      </c>
      <c r="C3049" t="s">
        <v>747</v>
      </c>
      <c r="D3049">
        <v>2011</v>
      </c>
      <c r="E3049" s="2">
        <v>200</v>
      </c>
      <c r="F3049" s="2">
        <v>16250</v>
      </c>
      <c r="G3049" s="2"/>
    </row>
    <row r="3050" spans="1:7" x14ac:dyDescent="0.3">
      <c r="A3050" t="s">
        <v>1439</v>
      </c>
      <c r="B3050" t="s">
        <v>473</v>
      </c>
      <c r="C3050" t="s">
        <v>747</v>
      </c>
      <c r="D3050">
        <v>2012</v>
      </c>
      <c r="E3050" s="2">
        <v>25</v>
      </c>
      <c r="F3050" s="2">
        <v>1875</v>
      </c>
      <c r="G3050" s="2"/>
    </row>
    <row r="3051" spans="1:7" x14ac:dyDescent="0.3">
      <c r="A3051" t="s">
        <v>1439</v>
      </c>
      <c r="B3051" t="s">
        <v>473</v>
      </c>
      <c r="C3051" t="s">
        <v>747</v>
      </c>
      <c r="D3051">
        <v>2013</v>
      </c>
      <c r="E3051" s="2">
        <v>100</v>
      </c>
      <c r="F3051" s="2">
        <v>9000</v>
      </c>
      <c r="G3051" s="2"/>
    </row>
    <row r="3052" spans="1:7" x14ac:dyDescent="0.3">
      <c r="A3052" t="s">
        <v>1439</v>
      </c>
      <c r="B3052" t="s">
        <v>473</v>
      </c>
      <c r="C3052" t="s">
        <v>747</v>
      </c>
      <c r="D3052">
        <v>2014</v>
      </c>
      <c r="E3052" s="2">
        <v>25</v>
      </c>
      <c r="F3052" s="2">
        <v>2250</v>
      </c>
      <c r="G3052" s="2"/>
    </row>
    <row r="3053" spans="1:7" x14ac:dyDescent="0.3">
      <c r="A3053" t="s">
        <v>1439</v>
      </c>
      <c r="B3053" t="s">
        <v>473</v>
      </c>
      <c r="C3053" t="s">
        <v>1448</v>
      </c>
      <c r="D3053">
        <v>2014</v>
      </c>
      <c r="E3053" s="2">
        <v>100</v>
      </c>
      <c r="F3053" s="2">
        <v>9000</v>
      </c>
      <c r="G3053" s="2"/>
    </row>
    <row r="3054" spans="1:7" x14ac:dyDescent="0.3">
      <c r="A3054" t="s">
        <v>1439</v>
      </c>
      <c r="B3054" t="s">
        <v>473</v>
      </c>
      <c r="C3054" t="s">
        <v>747</v>
      </c>
      <c r="D3054">
        <v>2015</v>
      </c>
      <c r="E3054" s="2">
        <v>75</v>
      </c>
      <c r="F3054" s="2">
        <v>6750</v>
      </c>
      <c r="G3054" s="2"/>
    </row>
    <row r="3055" spans="1:7" x14ac:dyDescent="0.3">
      <c r="A3055" t="s">
        <v>1439</v>
      </c>
      <c r="B3055" t="s">
        <v>473</v>
      </c>
      <c r="C3055" t="s">
        <v>1448</v>
      </c>
      <c r="D3055">
        <v>2016</v>
      </c>
      <c r="E3055" s="2">
        <v>40</v>
      </c>
      <c r="F3055" s="2">
        <v>3600</v>
      </c>
      <c r="G3055" s="2"/>
    </row>
    <row r="3056" spans="1:7" x14ac:dyDescent="0.3">
      <c r="A3056" t="s">
        <v>1439</v>
      </c>
      <c r="B3056" t="s">
        <v>473</v>
      </c>
      <c r="C3056" t="s">
        <v>747</v>
      </c>
      <c r="D3056">
        <v>2017</v>
      </c>
      <c r="E3056" s="2">
        <v>150</v>
      </c>
      <c r="F3056" s="2">
        <v>12750</v>
      </c>
      <c r="G3056" s="2"/>
    </row>
    <row r="3057" spans="1:7" x14ac:dyDescent="0.3">
      <c r="A3057" t="s">
        <v>1439</v>
      </c>
      <c r="B3057" t="s">
        <v>473</v>
      </c>
      <c r="C3057" t="s">
        <v>747</v>
      </c>
      <c r="D3057">
        <v>2018</v>
      </c>
      <c r="E3057" s="2">
        <v>100</v>
      </c>
      <c r="F3057" s="2">
        <v>8900</v>
      </c>
      <c r="G3057" s="2">
        <v>9345</v>
      </c>
    </row>
    <row r="3058" spans="1:7" x14ac:dyDescent="0.3">
      <c r="A3058" t="s">
        <v>1439</v>
      </c>
      <c r="B3058" t="s">
        <v>1449</v>
      </c>
      <c r="C3058" t="s">
        <v>1012</v>
      </c>
      <c r="D3058">
        <v>2016</v>
      </c>
      <c r="E3058" s="2">
        <v>25</v>
      </c>
      <c r="F3058" s="2">
        <v>2250</v>
      </c>
      <c r="G3058" s="2"/>
    </row>
    <row r="3059" spans="1:7" x14ac:dyDescent="0.3">
      <c r="A3059" t="s">
        <v>1439</v>
      </c>
      <c r="B3059" t="s">
        <v>438</v>
      </c>
      <c r="C3059" t="s">
        <v>439</v>
      </c>
      <c r="D3059">
        <v>2017</v>
      </c>
      <c r="E3059" s="2">
        <v>100</v>
      </c>
      <c r="F3059" s="2">
        <v>9000</v>
      </c>
      <c r="G3059" s="2"/>
    </row>
    <row r="3060" spans="1:7" x14ac:dyDescent="0.3">
      <c r="A3060" t="s">
        <v>1439</v>
      </c>
      <c r="B3060" t="s">
        <v>438</v>
      </c>
      <c r="C3060" t="s">
        <v>439</v>
      </c>
      <c r="D3060">
        <v>2018</v>
      </c>
      <c r="E3060" s="2">
        <v>350</v>
      </c>
      <c r="F3060" s="2">
        <v>32400</v>
      </c>
      <c r="G3060" s="2">
        <v>34020</v>
      </c>
    </row>
    <row r="3061" spans="1:7" x14ac:dyDescent="0.3">
      <c r="A3061" t="s">
        <v>1439</v>
      </c>
      <c r="B3061" t="s">
        <v>438</v>
      </c>
      <c r="C3061" t="s">
        <v>439</v>
      </c>
      <c r="D3061">
        <v>2019</v>
      </c>
      <c r="E3061" s="2">
        <v>850</v>
      </c>
      <c r="F3061" s="2">
        <v>89250</v>
      </c>
      <c r="G3061" s="2">
        <v>93712.5</v>
      </c>
    </row>
    <row r="3062" spans="1:7" x14ac:dyDescent="0.3">
      <c r="A3062" t="s">
        <v>1439</v>
      </c>
      <c r="B3062" t="s">
        <v>438</v>
      </c>
      <c r="C3062" t="s">
        <v>439</v>
      </c>
      <c r="D3062">
        <v>2020</v>
      </c>
      <c r="E3062" s="2">
        <v>145</v>
      </c>
      <c r="F3062" s="2">
        <v>14935</v>
      </c>
      <c r="G3062" s="2">
        <v>15681.75</v>
      </c>
    </row>
    <row r="3063" spans="1:7" x14ac:dyDescent="0.3">
      <c r="A3063" t="s">
        <v>1439</v>
      </c>
      <c r="B3063" t="s">
        <v>1450</v>
      </c>
      <c r="C3063" t="s">
        <v>1451</v>
      </c>
      <c r="D3063">
        <v>2010</v>
      </c>
      <c r="E3063" s="2">
        <v>25</v>
      </c>
      <c r="F3063" s="2">
        <v>1500</v>
      </c>
      <c r="G3063" s="2"/>
    </row>
    <row r="3064" spans="1:7" x14ac:dyDescent="0.3">
      <c r="A3064" t="s">
        <v>1439</v>
      </c>
      <c r="B3064" t="s">
        <v>1452</v>
      </c>
      <c r="C3064" t="s">
        <v>1453</v>
      </c>
      <c r="D3064">
        <v>2011</v>
      </c>
      <c r="E3064" s="2">
        <v>25</v>
      </c>
      <c r="F3064" s="2">
        <v>2000</v>
      </c>
      <c r="G3064" s="2"/>
    </row>
    <row r="3065" spans="1:7" x14ac:dyDescent="0.3">
      <c r="A3065" t="s">
        <v>1439</v>
      </c>
      <c r="B3065" t="s">
        <v>1452</v>
      </c>
      <c r="C3065" t="s">
        <v>1453</v>
      </c>
      <c r="D3065">
        <v>2012</v>
      </c>
      <c r="E3065" s="2">
        <v>175</v>
      </c>
      <c r="F3065" s="2">
        <v>14375</v>
      </c>
      <c r="G3065" s="2"/>
    </row>
    <row r="3066" spans="1:7" x14ac:dyDescent="0.3">
      <c r="A3066" t="s">
        <v>1439</v>
      </c>
      <c r="B3066" t="s">
        <v>1452</v>
      </c>
      <c r="C3066" t="s">
        <v>1453</v>
      </c>
      <c r="D3066">
        <v>2013</v>
      </c>
      <c r="E3066" s="2">
        <v>50</v>
      </c>
      <c r="F3066" s="2">
        <v>4500</v>
      </c>
      <c r="G3066" s="2"/>
    </row>
    <row r="3067" spans="1:7" x14ac:dyDescent="0.3">
      <c r="A3067" t="s">
        <v>1439</v>
      </c>
      <c r="B3067" t="s">
        <v>1452</v>
      </c>
      <c r="C3067" t="s">
        <v>1453</v>
      </c>
      <c r="D3067">
        <v>2014</v>
      </c>
      <c r="E3067" s="2">
        <v>500</v>
      </c>
      <c r="F3067" s="2">
        <v>47250</v>
      </c>
      <c r="G3067" s="2"/>
    </row>
    <row r="3068" spans="1:7" x14ac:dyDescent="0.3">
      <c r="A3068" t="s">
        <v>1439</v>
      </c>
      <c r="B3068" t="s">
        <v>1452</v>
      </c>
      <c r="C3068" t="s">
        <v>1453</v>
      </c>
      <c r="D3068">
        <v>2015</v>
      </c>
      <c r="E3068" s="2">
        <v>125</v>
      </c>
      <c r="F3068" s="2">
        <v>11500</v>
      </c>
      <c r="G3068" s="2"/>
    </row>
    <row r="3069" spans="1:7" x14ac:dyDescent="0.3">
      <c r="A3069" t="s">
        <v>1439</v>
      </c>
      <c r="B3069" t="s">
        <v>1452</v>
      </c>
      <c r="C3069" t="s">
        <v>1453</v>
      </c>
      <c r="D3069">
        <v>2016</v>
      </c>
      <c r="E3069" s="2">
        <v>475</v>
      </c>
      <c r="F3069" s="2">
        <v>42750</v>
      </c>
      <c r="G3069" s="2"/>
    </row>
    <row r="3070" spans="1:7" x14ac:dyDescent="0.3">
      <c r="A3070" t="s">
        <v>1439</v>
      </c>
      <c r="B3070" t="s">
        <v>1452</v>
      </c>
      <c r="C3070" t="s">
        <v>1453</v>
      </c>
      <c r="D3070">
        <v>2017</v>
      </c>
      <c r="E3070" s="2">
        <v>350</v>
      </c>
      <c r="F3070" s="2">
        <v>31500</v>
      </c>
      <c r="G3070" s="2"/>
    </row>
    <row r="3071" spans="1:7" x14ac:dyDescent="0.3">
      <c r="A3071" t="s">
        <v>1439</v>
      </c>
      <c r="B3071" t="s">
        <v>1452</v>
      </c>
      <c r="C3071" t="s">
        <v>1453</v>
      </c>
      <c r="D3071">
        <v>2018</v>
      </c>
      <c r="E3071" s="2">
        <v>100</v>
      </c>
      <c r="F3071" s="2">
        <v>10000</v>
      </c>
      <c r="G3071" s="2">
        <v>10500</v>
      </c>
    </row>
    <row r="3072" spans="1:7" x14ac:dyDescent="0.3">
      <c r="A3072" t="s">
        <v>1439</v>
      </c>
      <c r="B3072" t="s">
        <v>30</v>
      </c>
      <c r="C3072" t="s">
        <v>31</v>
      </c>
      <c r="D3072">
        <v>2009</v>
      </c>
      <c r="E3072" s="2">
        <v>25</v>
      </c>
      <c r="F3072" s="2">
        <v>1125</v>
      </c>
      <c r="G3072" s="2"/>
    </row>
    <row r="3073" spans="1:8" x14ac:dyDescent="0.3">
      <c r="A3073" t="s">
        <v>1439</v>
      </c>
      <c r="B3073" t="s">
        <v>30</v>
      </c>
      <c r="C3073" t="s">
        <v>31</v>
      </c>
      <c r="D3073">
        <v>2010</v>
      </c>
      <c r="E3073" s="2">
        <v>25</v>
      </c>
      <c r="F3073" s="2">
        <v>1250</v>
      </c>
      <c r="G3073" s="2"/>
    </row>
    <row r="3074" spans="1:8" x14ac:dyDescent="0.3">
      <c r="A3074" t="s">
        <v>1439</v>
      </c>
      <c r="B3074" t="s">
        <v>30</v>
      </c>
      <c r="C3074" t="s">
        <v>31</v>
      </c>
      <c r="D3074">
        <v>2014</v>
      </c>
      <c r="E3074" s="2">
        <v>25</v>
      </c>
      <c r="F3074" s="2">
        <v>1875</v>
      </c>
      <c r="G3074" s="2"/>
    </row>
    <row r="3075" spans="1:8" x14ac:dyDescent="0.3">
      <c r="A3075" t="s">
        <v>1439</v>
      </c>
      <c r="B3075" t="s">
        <v>30</v>
      </c>
      <c r="C3075" t="s">
        <v>31</v>
      </c>
      <c r="D3075">
        <v>2016</v>
      </c>
      <c r="E3075" s="2">
        <v>50</v>
      </c>
      <c r="F3075" s="2">
        <v>3750</v>
      </c>
      <c r="G3075" s="2"/>
    </row>
    <row r="3076" spans="1:8" x14ac:dyDescent="0.3">
      <c r="A3076" t="s">
        <v>1439</v>
      </c>
      <c r="B3076" t="s">
        <v>30</v>
      </c>
      <c r="C3076" t="s">
        <v>31</v>
      </c>
      <c r="D3076">
        <v>2017</v>
      </c>
      <c r="E3076" s="2">
        <v>28</v>
      </c>
      <c r="F3076" s="2">
        <v>2100</v>
      </c>
      <c r="G3076" s="2"/>
    </row>
    <row r="3077" spans="1:8" x14ac:dyDescent="0.3">
      <c r="A3077" t="s">
        <v>1439</v>
      </c>
      <c r="B3077" t="s">
        <v>1454</v>
      </c>
      <c r="C3077" t="s">
        <v>1126</v>
      </c>
      <c r="D3077">
        <v>2011</v>
      </c>
      <c r="E3077" s="2">
        <v>75</v>
      </c>
      <c r="F3077" s="2">
        <v>5625</v>
      </c>
      <c r="G3077" s="2"/>
    </row>
    <row r="3078" spans="1:8" x14ac:dyDescent="0.3">
      <c r="A3078" t="s">
        <v>1439</v>
      </c>
      <c r="B3078" t="s">
        <v>1454</v>
      </c>
      <c r="C3078" t="s">
        <v>1126</v>
      </c>
      <c r="D3078">
        <v>2012</v>
      </c>
      <c r="E3078" s="2">
        <v>25</v>
      </c>
      <c r="F3078" s="2">
        <v>1875</v>
      </c>
      <c r="G3078" s="2"/>
    </row>
    <row r="3079" spans="1:8" x14ac:dyDescent="0.3">
      <c r="A3079" t="s">
        <v>1439</v>
      </c>
      <c r="B3079" t="s">
        <v>1454</v>
      </c>
      <c r="C3079" t="s">
        <v>1126</v>
      </c>
      <c r="D3079">
        <v>2013</v>
      </c>
      <c r="E3079" s="2">
        <v>25</v>
      </c>
      <c r="F3079" s="2">
        <v>1875</v>
      </c>
      <c r="G3079" s="2"/>
    </row>
    <row r="3080" spans="1:8" x14ac:dyDescent="0.3">
      <c r="A3080" t="s">
        <v>1439</v>
      </c>
      <c r="B3080" t="s">
        <v>915</v>
      </c>
      <c r="C3080" t="s">
        <v>916</v>
      </c>
      <c r="D3080">
        <v>2014</v>
      </c>
      <c r="E3080" s="2">
        <v>50</v>
      </c>
      <c r="F3080" s="2">
        <v>4750</v>
      </c>
      <c r="G3080" s="2"/>
    </row>
    <row r="3081" spans="1:8" x14ac:dyDescent="0.3">
      <c r="A3081" t="s">
        <v>1439</v>
      </c>
      <c r="B3081" t="s">
        <v>915</v>
      </c>
      <c r="C3081" t="s">
        <v>916</v>
      </c>
      <c r="D3081">
        <v>2016</v>
      </c>
      <c r="E3081" s="2">
        <v>25</v>
      </c>
      <c r="F3081" s="2">
        <v>2375</v>
      </c>
      <c r="G3081" s="2"/>
    </row>
    <row r="3082" spans="1:8" x14ac:dyDescent="0.3">
      <c r="A3082" t="s">
        <v>1439</v>
      </c>
      <c r="B3082" t="s">
        <v>915</v>
      </c>
      <c r="C3082" t="s">
        <v>916</v>
      </c>
      <c r="D3082">
        <v>2019</v>
      </c>
      <c r="E3082" s="2">
        <v>25</v>
      </c>
      <c r="F3082" s="2">
        <v>2750</v>
      </c>
      <c r="G3082" s="2">
        <v>2887.5</v>
      </c>
    </row>
    <row r="3083" spans="1:8" x14ac:dyDescent="0.3">
      <c r="A3083" t="s">
        <v>1439</v>
      </c>
      <c r="B3083" t="s">
        <v>192</v>
      </c>
      <c r="C3083" t="s">
        <v>193</v>
      </c>
      <c r="D3083">
        <v>2014</v>
      </c>
      <c r="E3083" s="2">
        <v>19</v>
      </c>
      <c r="F3083" s="2">
        <v>1425</v>
      </c>
      <c r="G3083" s="2"/>
      <c r="H3083" s="3" t="s">
        <v>14</v>
      </c>
    </row>
    <row r="3084" spans="1:8" x14ac:dyDescent="0.3">
      <c r="A3084" t="s">
        <v>1439</v>
      </c>
      <c r="B3084" t="s">
        <v>192</v>
      </c>
      <c r="C3084" t="s">
        <v>193</v>
      </c>
      <c r="D3084">
        <v>2018</v>
      </c>
      <c r="E3084" s="2">
        <v>50</v>
      </c>
      <c r="F3084" s="2">
        <v>3750</v>
      </c>
      <c r="G3084" s="2">
        <v>3937.5</v>
      </c>
      <c r="H3084" s="3" t="s">
        <v>14</v>
      </c>
    </row>
    <row r="3085" spans="1:8" x14ac:dyDescent="0.3">
      <c r="A3085" t="s">
        <v>1439</v>
      </c>
      <c r="B3085" t="s">
        <v>192</v>
      </c>
      <c r="C3085" t="s">
        <v>193</v>
      </c>
      <c r="D3085">
        <v>2019</v>
      </c>
      <c r="E3085" s="2">
        <v>75</v>
      </c>
      <c r="F3085" s="2">
        <v>5625</v>
      </c>
      <c r="G3085" s="2">
        <v>5906.25</v>
      </c>
      <c r="H3085" s="3" t="s">
        <v>14</v>
      </c>
    </row>
    <row r="3086" spans="1:8" x14ac:dyDescent="0.3">
      <c r="A3086" t="s">
        <v>1439</v>
      </c>
      <c r="B3086" t="s">
        <v>192</v>
      </c>
      <c r="C3086" t="s">
        <v>193</v>
      </c>
      <c r="D3086">
        <v>2020</v>
      </c>
      <c r="E3086" s="2">
        <v>25</v>
      </c>
      <c r="F3086" s="2">
        <v>1875</v>
      </c>
      <c r="G3086" s="2">
        <v>1968.75</v>
      </c>
      <c r="H3086" s="3" t="s">
        <v>14</v>
      </c>
    </row>
    <row r="3087" spans="1:8" x14ac:dyDescent="0.3">
      <c r="A3087" t="s">
        <v>1439</v>
      </c>
      <c r="B3087" t="s">
        <v>192</v>
      </c>
      <c r="C3087" t="s">
        <v>193</v>
      </c>
      <c r="D3087">
        <v>2021</v>
      </c>
      <c r="E3087" s="2">
        <v>75</v>
      </c>
      <c r="F3087" s="2">
        <v>5625</v>
      </c>
      <c r="G3087" s="2">
        <v>5906.25</v>
      </c>
      <c r="H3087" s="3" t="s">
        <v>14</v>
      </c>
    </row>
    <row r="3088" spans="1:8" x14ac:dyDescent="0.3">
      <c r="A3088" t="s">
        <v>1439</v>
      </c>
      <c r="B3088" t="s">
        <v>314</v>
      </c>
      <c r="C3088" t="s">
        <v>315</v>
      </c>
      <c r="D3088">
        <v>2009</v>
      </c>
      <c r="E3088" s="2">
        <v>425</v>
      </c>
      <c r="F3088" s="2">
        <v>19275</v>
      </c>
      <c r="G3088" s="2"/>
    </row>
    <row r="3089" spans="1:7" x14ac:dyDescent="0.3">
      <c r="A3089" t="s">
        <v>1439</v>
      </c>
      <c r="B3089" t="s">
        <v>314</v>
      </c>
      <c r="C3089" t="s">
        <v>315</v>
      </c>
      <c r="D3089">
        <v>2010</v>
      </c>
      <c r="E3089" s="2">
        <v>475</v>
      </c>
      <c r="F3089" s="2">
        <v>23500</v>
      </c>
      <c r="G3089" s="2"/>
    </row>
    <row r="3090" spans="1:7" x14ac:dyDescent="0.3">
      <c r="A3090" t="s">
        <v>1439</v>
      </c>
      <c r="B3090" t="s">
        <v>314</v>
      </c>
      <c r="C3090" t="s">
        <v>315</v>
      </c>
      <c r="D3090">
        <v>2011</v>
      </c>
      <c r="E3090" s="2">
        <v>250</v>
      </c>
      <c r="F3090" s="2">
        <v>18750</v>
      </c>
      <c r="G3090" s="2"/>
    </row>
    <row r="3091" spans="1:7" x14ac:dyDescent="0.3">
      <c r="A3091" t="s">
        <v>1439</v>
      </c>
      <c r="B3091" t="s">
        <v>314</v>
      </c>
      <c r="C3091" t="s">
        <v>475</v>
      </c>
      <c r="D3091">
        <v>2011</v>
      </c>
      <c r="E3091" s="2">
        <v>200</v>
      </c>
      <c r="F3091" s="2">
        <v>15000</v>
      </c>
      <c r="G3091" s="2"/>
    </row>
    <row r="3092" spans="1:7" x14ac:dyDescent="0.3">
      <c r="A3092" t="s">
        <v>1439</v>
      </c>
      <c r="B3092" t="s">
        <v>314</v>
      </c>
      <c r="C3092" t="s">
        <v>315</v>
      </c>
      <c r="D3092">
        <v>2012</v>
      </c>
      <c r="E3092" s="2">
        <v>100</v>
      </c>
      <c r="F3092" s="2">
        <v>7500</v>
      </c>
      <c r="G3092" s="2"/>
    </row>
    <row r="3093" spans="1:7" x14ac:dyDescent="0.3">
      <c r="A3093" t="s">
        <v>1439</v>
      </c>
      <c r="B3093" t="s">
        <v>314</v>
      </c>
      <c r="C3093" t="s">
        <v>475</v>
      </c>
      <c r="D3093">
        <v>2012</v>
      </c>
      <c r="E3093" s="2">
        <v>675</v>
      </c>
      <c r="F3093" s="2">
        <v>50000</v>
      </c>
      <c r="G3093" s="2"/>
    </row>
    <row r="3094" spans="1:7" x14ac:dyDescent="0.3">
      <c r="A3094" t="s">
        <v>1439</v>
      </c>
      <c r="B3094" t="s">
        <v>314</v>
      </c>
      <c r="C3094" t="s">
        <v>315</v>
      </c>
      <c r="D3094">
        <v>2013</v>
      </c>
      <c r="E3094" s="2">
        <v>25</v>
      </c>
      <c r="F3094" s="2">
        <v>1875</v>
      </c>
      <c r="G3094" s="2"/>
    </row>
    <row r="3095" spans="1:7" x14ac:dyDescent="0.3">
      <c r="A3095" t="s">
        <v>1439</v>
      </c>
      <c r="B3095" t="s">
        <v>314</v>
      </c>
      <c r="C3095" t="s">
        <v>475</v>
      </c>
      <c r="D3095">
        <v>2013</v>
      </c>
      <c r="E3095" s="2">
        <v>1064.5</v>
      </c>
      <c r="F3095" s="2">
        <v>79837.5</v>
      </c>
      <c r="G3095" s="2"/>
    </row>
    <row r="3096" spans="1:7" x14ac:dyDescent="0.3">
      <c r="A3096" t="s">
        <v>1439</v>
      </c>
      <c r="B3096" t="s">
        <v>314</v>
      </c>
      <c r="C3096" t="s">
        <v>315</v>
      </c>
      <c r="D3096">
        <v>2014</v>
      </c>
      <c r="E3096" s="2">
        <v>150</v>
      </c>
      <c r="F3096" s="2">
        <v>11250</v>
      </c>
      <c r="G3096" s="2"/>
    </row>
    <row r="3097" spans="1:7" x14ac:dyDescent="0.3">
      <c r="A3097" t="s">
        <v>1439</v>
      </c>
      <c r="B3097" t="s">
        <v>314</v>
      </c>
      <c r="C3097" t="s">
        <v>475</v>
      </c>
      <c r="D3097">
        <v>2014</v>
      </c>
      <c r="E3097" s="2">
        <v>285</v>
      </c>
      <c r="F3097" s="2">
        <v>21375</v>
      </c>
      <c r="G3097" s="2"/>
    </row>
    <row r="3098" spans="1:7" x14ac:dyDescent="0.3">
      <c r="A3098" t="s">
        <v>1439</v>
      </c>
      <c r="B3098" t="s">
        <v>314</v>
      </c>
      <c r="C3098" t="s">
        <v>475</v>
      </c>
      <c r="D3098">
        <v>2015</v>
      </c>
      <c r="E3098" s="2">
        <v>50</v>
      </c>
      <c r="F3098" s="2">
        <v>3750</v>
      </c>
      <c r="G3098" s="2"/>
    </row>
    <row r="3099" spans="1:7" x14ac:dyDescent="0.3">
      <c r="A3099" t="s">
        <v>1439</v>
      </c>
      <c r="B3099" t="s">
        <v>314</v>
      </c>
      <c r="C3099" t="s">
        <v>315</v>
      </c>
      <c r="D3099">
        <v>2016</v>
      </c>
      <c r="E3099" s="2">
        <v>19</v>
      </c>
      <c r="F3099" s="2">
        <v>1425</v>
      </c>
      <c r="G3099" s="2"/>
    </row>
    <row r="3100" spans="1:7" x14ac:dyDescent="0.3">
      <c r="A3100" t="s">
        <v>1439</v>
      </c>
      <c r="B3100" t="s">
        <v>314</v>
      </c>
      <c r="C3100" t="s">
        <v>475</v>
      </c>
      <c r="D3100">
        <v>2017</v>
      </c>
      <c r="E3100" s="2">
        <v>200</v>
      </c>
      <c r="F3100" s="2">
        <v>15000</v>
      </c>
      <c r="G3100" s="2"/>
    </row>
    <row r="3101" spans="1:7" x14ac:dyDescent="0.3">
      <c r="A3101" t="s">
        <v>1439</v>
      </c>
      <c r="B3101" t="s">
        <v>314</v>
      </c>
      <c r="C3101" t="s">
        <v>475</v>
      </c>
      <c r="D3101">
        <v>2018</v>
      </c>
      <c r="E3101" s="2">
        <v>175</v>
      </c>
      <c r="F3101" s="2">
        <v>9625</v>
      </c>
      <c r="G3101" s="2">
        <v>10106.25</v>
      </c>
    </row>
    <row r="3102" spans="1:7" x14ac:dyDescent="0.3">
      <c r="A3102" t="s">
        <v>1439</v>
      </c>
      <c r="B3102" t="s">
        <v>314</v>
      </c>
      <c r="C3102" t="s">
        <v>475</v>
      </c>
      <c r="D3102">
        <v>2019</v>
      </c>
      <c r="E3102" s="2">
        <v>150</v>
      </c>
      <c r="F3102" s="2">
        <v>12750</v>
      </c>
      <c r="G3102" s="2">
        <v>13387.5</v>
      </c>
    </row>
    <row r="3103" spans="1:7" x14ac:dyDescent="0.3">
      <c r="A3103" t="s">
        <v>1439</v>
      </c>
      <c r="B3103" t="s">
        <v>476</v>
      </c>
      <c r="C3103" t="s">
        <v>477</v>
      </c>
      <c r="D3103">
        <v>2018</v>
      </c>
      <c r="E3103" s="2">
        <v>50</v>
      </c>
      <c r="F3103" s="2">
        <v>4250</v>
      </c>
      <c r="G3103" s="2">
        <v>4462.5</v>
      </c>
    </row>
    <row r="3104" spans="1:7" x14ac:dyDescent="0.3">
      <c r="A3104" t="s">
        <v>1439</v>
      </c>
      <c r="B3104" t="s">
        <v>476</v>
      </c>
      <c r="C3104" t="s">
        <v>477</v>
      </c>
      <c r="D3104">
        <v>2019</v>
      </c>
      <c r="E3104" s="2">
        <v>225</v>
      </c>
      <c r="F3104" s="2">
        <v>19125</v>
      </c>
      <c r="G3104" s="2">
        <v>20081.25</v>
      </c>
    </row>
    <row r="3105" spans="1:7" x14ac:dyDescent="0.3">
      <c r="A3105" t="s">
        <v>1439</v>
      </c>
      <c r="B3105" t="s">
        <v>476</v>
      </c>
      <c r="C3105" t="s">
        <v>477</v>
      </c>
      <c r="D3105">
        <v>2020</v>
      </c>
      <c r="E3105" s="2">
        <v>100</v>
      </c>
      <c r="F3105" s="2">
        <v>8500</v>
      </c>
      <c r="G3105" s="2">
        <v>8925</v>
      </c>
    </row>
    <row r="3106" spans="1:7" x14ac:dyDescent="0.3">
      <c r="A3106" t="s">
        <v>1439</v>
      </c>
      <c r="B3106" t="s">
        <v>476</v>
      </c>
      <c r="C3106" t="s">
        <v>478</v>
      </c>
      <c r="D3106">
        <v>2020</v>
      </c>
      <c r="E3106" s="2">
        <v>225</v>
      </c>
      <c r="F3106" s="2">
        <v>19125</v>
      </c>
      <c r="G3106" s="2">
        <v>20081.25</v>
      </c>
    </row>
    <row r="3107" spans="1:7" x14ac:dyDescent="0.3">
      <c r="A3107" t="s">
        <v>1439</v>
      </c>
      <c r="B3107" t="s">
        <v>425</v>
      </c>
      <c r="C3107" t="s">
        <v>426</v>
      </c>
      <c r="D3107">
        <v>2010</v>
      </c>
      <c r="E3107" s="2">
        <v>150</v>
      </c>
      <c r="F3107" s="2">
        <v>9750</v>
      </c>
      <c r="G3107" s="2"/>
    </row>
    <row r="3108" spans="1:7" x14ac:dyDescent="0.3">
      <c r="A3108" t="s">
        <v>1439</v>
      </c>
      <c r="B3108" t="s">
        <v>425</v>
      </c>
      <c r="C3108" t="s">
        <v>426</v>
      </c>
      <c r="D3108">
        <v>2011</v>
      </c>
      <c r="E3108" s="2">
        <v>275</v>
      </c>
      <c r="F3108" s="2">
        <v>17875</v>
      </c>
      <c r="G3108" s="2"/>
    </row>
    <row r="3109" spans="1:7" x14ac:dyDescent="0.3">
      <c r="A3109" t="s">
        <v>1439</v>
      </c>
      <c r="B3109" t="s">
        <v>425</v>
      </c>
      <c r="C3109" t="s">
        <v>426</v>
      </c>
      <c r="D3109">
        <v>2012</v>
      </c>
      <c r="E3109" s="2">
        <v>100</v>
      </c>
      <c r="F3109" s="2">
        <v>6500</v>
      </c>
      <c r="G3109" s="2"/>
    </row>
    <row r="3110" spans="1:7" x14ac:dyDescent="0.3">
      <c r="A3110" t="s">
        <v>1439</v>
      </c>
      <c r="B3110" t="s">
        <v>425</v>
      </c>
      <c r="C3110" t="s">
        <v>426</v>
      </c>
      <c r="D3110">
        <v>2013</v>
      </c>
      <c r="E3110" s="2">
        <v>60</v>
      </c>
      <c r="F3110" s="2">
        <v>3900</v>
      </c>
      <c r="G3110" s="2"/>
    </row>
    <row r="3111" spans="1:7" x14ac:dyDescent="0.3">
      <c r="A3111" t="s">
        <v>1439</v>
      </c>
      <c r="B3111" t="s">
        <v>425</v>
      </c>
      <c r="C3111" t="s">
        <v>426</v>
      </c>
      <c r="D3111">
        <v>2017</v>
      </c>
      <c r="E3111" s="2">
        <v>100</v>
      </c>
      <c r="F3111" s="2">
        <v>6500</v>
      </c>
      <c r="G3111" s="2"/>
    </row>
    <row r="3112" spans="1:7" x14ac:dyDescent="0.3">
      <c r="A3112" t="s">
        <v>1439</v>
      </c>
      <c r="B3112" t="s">
        <v>1455</v>
      </c>
      <c r="D3112">
        <v>2013</v>
      </c>
      <c r="E3112" s="2">
        <v>225</v>
      </c>
      <c r="F3112" s="2">
        <v>1192.5</v>
      </c>
      <c r="G3112" s="2"/>
    </row>
    <row r="3113" spans="1:7" x14ac:dyDescent="0.3">
      <c r="A3113" t="s">
        <v>1439</v>
      </c>
      <c r="B3113" t="s">
        <v>1456</v>
      </c>
      <c r="D3113">
        <v>2009</v>
      </c>
      <c r="E3113" s="2">
        <v>10</v>
      </c>
      <c r="F3113" s="2">
        <v>7740</v>
      </c>
      <c r="G3113" s="2"/>
    </row>
    <row r="3114" spans="1:7" x14ac:dyDescent="0.3">
      <c r="A3114" t="s">
        <v>1439</v>
      </c>
      <c r="B3114" t="s">
        <v>1208</v>
      </c>
      <c r="C3114" t="s">
        <v>1209</v>
      </c>
      <c r="D3114">
        <v>2009</v>
      </c>
      <c r="E3114" s="2">
        <v>25</v>
      </c>
      <c r="F3114" s="2">
        <v>1500</v>
      </c>
      <c r="G3114" s="2"/>
    </row>
    <row r="3115" spans="1:7" x14ac:dyDescent="0.3">
      <c r="A3115" t="s">
        <v>1439</v>
      </c>
      <c r="B3115" t="s">
        <v>1208</v>
      </c>
      <c r="C3115" t="s">
        <v>1209</v>
      </c>
      <c r="D3115">
        <v>2010</v>
      </c>
      <c r="E3115" s="2">
        <v>25</v>
      </c>
      <c r="F3115" s="2">
        <v>2000</v>
      </c>
      <c r="G3115" s="2"/>
    </row>
    <row r="3116" spans="1:7" x14ac:dyDescent="0.3">
      <c r="A3116" t="s">
        <v>1439</v>
      </c>
      <c r="B3116" t="s">
        <v>1208</v>
      </c>
      <c r="C3116" t="s">
        <v>1209</v>
      </c>
      <c r="D3116">
        <v>2012</v>
      </c>
      <c r="E3116" s="2">
        <v>25</v>
      </c>
      <c r="F3116" s="2">
        <v>2500</v>
      </c>
      <c r="G3116" s="2"/>
    </row>
    <row r="3117" spans="1:7" x14ac:dyDescent="0.3">
      <c r="A3117" t="s">
        <v>1439</v>
      </c>
      <c r="B3117" t="s">
        <v>1208</v>
      </c>
      <c r="C3117" t="s">
        <v>1209</v>
      </c>
      <c r="D3117">
        <v>2013</v>
      </c>
      <c r="E3117" s="2">
        <v>25</v>
      </c>
      <c r="F3117" s="2">
        <v>2250</v>
      </c>
      <c r="G3117" s="2"/>
    </row>
    <row r="3118" spans="1:7" x14ac:dyDescent="0.3">
      <c r="A3118" t="s">
        <v>1439</v>
      </c>
      <c r="B3118" t="s">
        <v>1208</v>
      </c>
      <c r="C3118" t="s">
        <v>1209</v>
      </c>
      <c r="D3118">
        <v>2014</v>
      </c>
      <c r="E3118" s="2">
        <v>50</v>
      </c>
      <c r="F3118" s="2">
        <v>4750</v>
      </c>
      <c r="G3118" s="2"/>
    </row>
    <row r="3119" spans="1:7" x14ac:dyDescent="0.3">
      <c r="A3119" t="s">
        <v>1439</v>
      </c>
      <c r="B3119" t="s">
        <v>863</v>
      </c>
      <c r="D3119">
        <v>2015</v>
      </c>
      <c r="E3119" s="2">
        <v>5</v>
      </c>
      <c r="F3119" s="2">
        <v>450</v>
      </c>
      <c r="G3119" s="2"/>
    </row>
    <row r="3120" spans="1:7" x14ac:dyDescent="0.3">
      <c r="A3120" t="s">
        <v>1439</v>
      </c>
      <c r="B3120" t="s">
        <v>46</v>
      </c>
      <c r="C3120" t="s">
        <v>47</v>
      </c>
      <c r="D3120">
        <v>2012</v>
      </c>
      <c r="E3120" s="2">
        <v>10</v>
      </c>
      <c r="F3120" s="2">
        <v>750</v>
      </c>
      <c r="G3120" s="2"/>
    </row>
    <row r="3121" spans="1:8" x14ac:dyDescent="0.3">
      <c r="A3121" t="s">
        <v>1439</v>
      </c>
      <c r="B3121" t="s">
        <v>46</v>
      </c>
      <c r="C3121" t="s">
        <v>47</v>
      </c>
      <c r="D3121">
        <v>2016</v>
      </c>
      <c r="E3121" s="2">
        <v>150</v>
      </c>
      <c r="F3121" s="2">
        <v>9750</v>
      </c>
      <c r="G3121" s="2"/>
    </row>
    <row r="3122" spans="1:8" x14ac:dyDescent="0.3">
      <c r="A3122" t="s">
        <v>1439</v>
      </c>
      <c r="B3122" t="s">
        <v>46</v>
      </c>
      <c r="C3122" t="s">
        <v>47</v>
      </c>
      <c r="D3122">
        <v>2017</v>
      </c>
      <c r="E3122" s="2">
        <v>70</v>
      </c>
      <c r="F3122" s="2">
        <v>5250</v>
      </c>
      <c r="G3122" s="2"/>
    </row>
    <row r="3123" spans="1:8" x14ac:dyDescent="0.3">
      <c r="A3123" t="s">
        <v>1439</v>
      </c>
      <c r="B3123" t="s">
        <v>320</v>
      </c>
      <c r="C3123" t="s">
        <v>321</v>
      </c>
      <c r="D3123">
        <v>2018</v>
      </c>
      <c r="E3123" s="2">
        <v>26</v>
      </c>
      <c r="F3123" s="2">
        <v>3120</v>
      </c>
      <c r="G3123" s="2">
        <v>3276</v>
      </c>
    </row>
    <row r="3124" spans="1:8" x14ac:dyDescent="0.3">
      <c r="A3124" t="s">
        <v>1439</v>
      </c>
      <c r="B3124" t="s">
        <v>320</v>
      </c>
      <c r="C3124" t="s">
        <v>414</v>
      </c>
      <c r="D3124">
        <v>2018</v>
      </c>
      <c r="E3124" s="2">
        <v>1</v>
      </c>
      <c r="F3124" s="2">
        <v>230</v>
      </c>
      <c r="G3124" s="2">
        <v>241.5</v>
      </c>
    </row>
    <row r="3125" spans="1:8" x14ac:dyDescent="0.3">
      <c r="A3125" t="s">
        <v>1439</v>
      </c>
      <c r="B3125" t="s">
        <v>320</v>
      </c>
      <c r="C3125" t="s">
        <v>414</v>
      </c>
      <c r="D3125">
        <v>2019</v>
      </c>
      <c r="E3125" s="2">
        <v>25</v>
      </c>
      <c r="F3125" s="2">
        <v>3000</v>
      </c>
      <c r="G3125" s="2">
        <v>3150</v>
      </c>
    </row>
    <row r="3126" spans="1:8" x14ac:dyDescent="0.3">
      <c r="A3126" t="s">
        <v>1439</v>
      </c>
      <c r="B3126" t="s">
        <v>37</v>
      </c>
      <c r="D3126">
        <v>2018</v>
      </c>
      <c r="E3126" s="2">
        <v>65</v>
      </c>
      <c r="F3126" s="2">
        <v>6050</v>
      </c>
      <c r="G3126" s="2">
        <v>6352.5</v>
      </c>
    </row>
    <row r="3127" spans="1:8" x14ac:dyDescent="0.3">
      <c r="A3127" t="s">
        <v>1439</v>
      </c>
      <c r="B3127" t="s">
        <v>203</v>
      </c>
      <c r="C3127" t="s">
        <v>204</v>
      </c>
      <c r="D3127">
        <v>2017</v>
      </c>
      <c r="E3127" s="2">
        <v>75</v>
      </c>
      <c r="F3127" s="2">
        <v>6375</v>
      </c>
      <c r="G3127" s="2"/>
    </row>
    <row r="3128" spans="1:8" x14ac:dyDescent="0.3">
      <c r="A3128" t="s">
        <v>1439</v>
      </c>
      <c r="B3128" t="s">
        <v>203</v>
      </c>
      <c r="C3128" t="s">
        <v>204</v>
      </c>
      <c r="D3128">
        <v>2019</v>
      </c>
      <c r="E3128" s="2">
        <v>100</v>
      </c>
      <c r="F3128" s="2">
        <v>8500</v>
      </c>
      <c r="G3128" s="2">
        <v>8925</v>
      </c>
    </row>
    <row r="3129" spans="1:8" x14ac:dyDescent="0.3">
      <c r="A3129" t="s">
        <v>1439</v>
      </c>
      <c r="B3129" t="s">
        <v>679</v>
      </c>
      <c r="C3129" t="s">
        <v>680</v>
      </c>
      <c r="D3129">
        <v>2020</v>
      </c>
      <c r="E3129" s="2">
        <v>135</v>
      </c>
      <c r="F3129" s="2">
        <v>11880</v>
      </c>
      <c r="G3129" s="2">
        <v>12474</v>
      </c>
      <c r="H3129" s="3" t="s">
        <v>14</v>
      </c>
    </row>
    <row r="3130" spans="1:8" x14ac:dyDescent="0.3">
      <c r="A3130" t="s">
        <v>1439</v>
      </c>
      <c r="B3130" t="s">
        <v>679</v>
      </c>
      <c r="C3130" t="s">
        <v>680</v>
      </c>
      <c r="D3130">
        <v>2021</v>
      </c>
      <c r="E3130" s="2">
        <v>100</v>
      </c>
      <c r="F3130" s="2">
        <v>8800</v>
      </c>
      <c r="G3130" s="2">
        <v>9240</v>
      </c>
      <c r="H3130" s="3" t="s">
        <v>14</v>
      </c>
    </row>
    <row r="3131" spans="1:8" x14ac:dyDescent="0.3">
      <c r="A3131" t="s">
        <v>1439</v>
      </c>
      <c r="B3131" t="s">
        <v>1457</v>
      </c>
      <c r="C3131" t="s">
        <v>682</v>
      </c>
      <c r="D3131">
        <v>2017</v>
      </c>
      <c r="E3131" s="2">
        <v>30</v>
      </c>
      <c r="F3131" s="2">
        <v>2400</v>
      </c>
      <c r="G3131" s="2"/>
    </row>
    <row r="3132" spans="1:8" x14ac:dyDescent="0.3">
      <c r="A3132" t="s">
        <v>1439</v>
      </c>
      <c r="B3132" t="s">
        <v>12</v>
      </c>
      <c r="C3132" t="s">
        <v>13</v>
      </c>
      <c r="D3132">
        <v>2009</v>
      </c>
      <c r="E3132" s="2">
        <v>100</v>
      </c>
      <c r="F3132" s="2">
        <v>6000</v>
      </c>
      <c r="G3132" s="2"/>
    </row>
    <row r="3133" spans="1:8" x14ac:dyDescent="0.3">
      <c r="A3133" t="s">
        <v>1439</v>
      </c>
      <c r="B3133" t="s">
        <v>12</v>
      </c>
      <c r="C3133" t="s">
        <v>13</v>
      </c>
      <c r="D3133">
        <v>2010</v>
      </c>
      <c r="E3133" s="2">
        <v>150</v>
      </c>
      <c r="F3133" s="2">
        <v>9625</v>
      </c>
      <c r="G3133" s="2"/>
    </row>
    <row r="3134" spans="1:8" x14ac:dyDescent="0.3">
      <c r="A3134" t="s">
        <v>1439</v>
      </c>
      <c r="B3134" t="s">
        <v>12</v>
      </c>
      <c r="C3134" t="s">
        <v>13</v>
      </c>
      <c r="D3134">
        <v>2011</v>
      </c>
      <c r="E3134" s="2">
        <v>150</v>
      </c>
      <c r="F3134" s="2">
        <v>12250</v>
      </c>
      <c r="G3134" s="2"/>
    </row>
    <row r="3135" spans="1:8" x14ac:dyDescent="0.3">
      <c r="A3135" t="s">
        <v>1439</v>
      </c>
      <c r="B3135" t="s">
        <v>12</v>
      </c>
      <c r="C3135" t="s">
        <v>13</v>
      </c>
      <c r="D3135">
        <v>2012</v>
      </c>
      <c r="E3135" s="2">
        <v>100</v>
      </c>
      <c r="F3135" s="2">
        <v>8750</v>
      </c>
      <c r="G3135" s="2"/>
    </row>
    <row r="3136" spans="1:8" x14ac:dyDescent="0.3">
      <c r="A3136" t="s">
        <v>1439</v>
      </c>
      <c r="B3136" t="s">
        <v>12</v>
      </c>
      <c r="C3136" t="s">
        <v>13</v>
      </c>
      <c r="D3136">
        <v>2013</v>
      </c>
      <c r="E3136" s="2">
        <v>75</v>
      </c>
      <c r="F3136" s="2">
        <v>6625</v>
      </c>
      <c r="G3136" s="2"/>
    </row>
    <row r="3137" spans="1:7" x14ac:dyDescent="0.3">
      <c r="A3137" t="s">
        <v>1439</v>
      </c>
      <c r="B3137" t="s">
        <v>12</v>
      </c>
      <c r="C3137" t="s">
        <v>13</v>
      </c>
      <c r="D3137">
        <v>2014</v>
      </c>
      <c r="E3137" s="2">
        <v>135</v>
      </c>
      <c r="F3137" s="2">
        <v>12150</v>
      </c>
      <c r="G3137" s="2"/>
    </row>
    <row r="3138" spans="1:7" x14ac:dyDescent="0.3">
      <c r="A3138" t="s">
        <v>1439</v>
      </c>
      <c r="B3138" t="s">
        <v>12</v>
      </c>
      <c r="C3138" t="s">
        <v>13</v>
      </c>
      <c r="D3138">
        <v>2015</v>
      </c>
      <c r="E3138" s="2">
        <v>50</v>
      </c>
      <c r="F3138" s="2">
        <v>4500</v>
      </c>
      <c r="G3138" s="2"/>
    </row>
    <row r="3139" spans="1:7" x14ac:dyDescent="0.3">
      <c r="A3139" t="s">
        <v>1439</v>
      </c>
      <c r="B3139" t="s">
        <v>12</v>
      </c>
      <c r="C3139" t="s">
        <v>13</v>
      </c>
      <c r="D3139">
        <v>2017</v>
      </c>
      <c r="E3139" s="2">
        <v>100</v>
      </c>
      <c r="F3139" s="2">
        <v>9000</v>
      </c>
      <c r="G3139" s="2"/>
    </row>
    <row r="3140" spans="1:7" x14ac:dyDescent="0.3">
      <c r="A3140" t="s">
        <v>1439</v>
      </c>
      <c r="B3140" t="s">
        <v>12</v>
      </c>
      <c r="C3140" t="s">
        <v>13</v>
      </c>
      <c r="D3140">
        <v>2018</v>
      </c>
      <c r="E3140" s="2">
        <v>360</v>
      </c>
      <c r="F3140" s="2">
        <v>32150</v>
      </c>
      <c r="G3140" s="2">
        <v>33757.5</v>
      </c>
    </row>
    <row r="3141" spans="1:7" x14ac:dyDescent="0.3">
      <c r="A3141" t="s">
        <v>1439</v>
      </c>
      <c r="B3141" t="s">
        <v>12</v>
      </c>
      <c r="C3141" t="s">
        <v>13</v>
      </c>
      <c r="D3141">
        <v>2019</v>
      </c>
      <c r="E3141" s="2">
        <v>325</v>
      </c>
      <c r="F3141" s="2">
        <v>32000</v>
      </c>
      <c r="G3141" s="2">
        <v>33600</v>
      </c>
    </row>
    <row r="3142" spans="1:7" x14ac:dyDescent="0.3">
      <c r="A3142" t="s">
        <v>1458</v>
      </c>
      <c r="B3142" t="s">
        <v>863</v>
      </c>
      <c r="D3142">
        <v>2015</v>
      </c>
      <c r="E3142" s="2">
        <v>20</v>
      </c>
      <c r="F3142" s="2">
        <v>1800</v>
      </c>
      <c r="G3142" s="2"/>
    </row>
    <row r="3143" spans="1:7" x14ac:dyDescent="0.3">
      <c r="A3143" t="s">
        <v>1459</v>
      </c>
      <c r="B3143" t="s">
        <v>696</v>
      </c>
      <c r="C3143" t="s">
        <v>697</v>
      </c>
      <c r="D3143">
        <v>2013</v>
      </c>
      <c r="E3143" s="2">
        <v>50</v>
      </c>
      <c r="F3143" s="2">
        <v>3900</v>
      </c>
      <c r="G3143" s="2"/>
    </row>
    <row r="3144" spans="1:7" x14ac:dyDescent="0.3">
      <c r="A3144" t="s">
        <v>1459</v>
      </c>
      <c r="B3144" t="s">
        <v>696</v>
      </c>
      <c r="C3144" t="s">
        <v>697</v>
      </c>
      <c r="D3144">
        <v>2014</v>
      </c>
      <c r="E3144" s="2">
        <v>25</v>
      </c>
      <c r="F3144" s="2">
        <v>1950</v>
      </c>
      <c r="G3144" s="2"/>
    </row>
    <row r="3145" spans="1:7" x14ac:dyDescent="0.3">
      <c r="A3145" t="s">
        <v>1459</v>
      </c>
      <c r="B3145" t="s">
        <v>696</v>
      </c>
      <c r="C3145" t="s">
        <v>697</v>
      </c>
      <c r="D3145">
        <v>2015</v>
      </c>
      <c r="E3145" s="2">
        <v>50</v>
      </c>
      <c r="F3145" s="2">
        <v>3825</v>
      </c>
      <c r="G3145" s="2"/>
    </row>
    <row r="3146" spans="1:7" x14ac:dyDescent="0.3">
      <c r="A3146" t="s">
        <v>1459</v>
      </c>
      <c r="B3146" t="s">
        <v>696</v>
      </c>
      <c r="C3146" t="s">
        <v>697</v>
      </c>
      <c r="D3146">
        <v>2016</v>
      </c>
      <c r="E3146" s="2">
        <v>50</v>
      </c>
      <c r="F3146" s="2">
        <v>3750</v>
      </c>
      <c r="G3146" s="2"/>
    </row>
    <row r="3147" spans="1:7" x14ac:dyDescent="0.3">
      <c r="A3147" t="s">
        <v>1459</v>
      </c>
      <c r="B3147" t="s">
        <v>269</v>
      </c>
      <c r="C3147" t="s">
        <v>270</v>
      </c>
      <c r="D3147">
        <v>2013</v>
      </c>
      <c r="E3147" s="2">
        <v>25</v>
      </c>
      <c r="F3147" s="2">
        <v>1625</v>
      </c>
      <c r="G3147" s="2"/>
    </row>
    <row r="3148" spans="1:7" x14ac:dyDescent="0.3">
      <c r="A3148" t="s">
        <v>1459</v>
      </c>
      <c r="B3148" t="s">
        <v>269</v>
      </c>
      <c r="C3148" t="s">
        <v>270</v>
      </c>
      <c r="D3148">
        <v>2014</v>
      </c>
      <c r="E3148" s="2">
        <v>25</v>
      </c>
      <c r="F3148" s="2">
        <v>1750</v>
      </c>
      <c r="G3148" s="2"/>
    </row>
    <row r="3149" spans="1:7" x14ac:dyDescent="0.3">
      <c r="A3149" t="s">
        <v>1459</v>
      </c>
      <c r="B3149" t="s">
        <v>269</v>
      </c>
      <c r="C3149" t="s">
        <v>270</v>
      </c>
      <c r="D3149">
        <v>2015</v>
      </c>
      <c r="E3149" s="2">
        <v>25</v>
      </c>
      <c r="F3149" s="2">
        <v>1750</v>
      </c>
      <c r="G3149" s="2"/>
    </row>
    <row r="3150" spans="1:7" x14ac:dyDescent="0.3">
      <c r="A3150" t="s">
        <v>1459</v>
      </c>
      <c r="B3150" t="s">
        <v>21</v>
      </c>
      <c r="C3150" t="s">
        <v>22</v>
      </c>
      <c r="D3150">
        <v>2015</v>
      </c>
      <c r="E3150" s="2">
        <v>5</v>
      </c>
      <c r="F3150" s="2">
        <v>375</v>
      </c>
      <c r="G3150" s="2"/>
    </row>
    <row r="3151" spans="1:7" x14ac:dyDescent="0.3">
      <c r="A3151" t="s">
        <v>1459</v>
      </c>
      <c r="B3151" t="s">
        <v>314</v>
      </c>
      <c r="C3151" t="s">
        <v>315</v>
      </c>
      <c r="D3151">
        <v>2013</v>
      </c>
      <c r="E3151" s="2">
        <v>25</v>
      </c>
      <c r="F3151" s="2">
        <v>1875</v>
      </c>
      <c r="G3151" s="2"/>
    </row>
    <row r="3152" spans="1:7" x14ac:dyDescent="0.3">
      <c r="A3152" t="s">
        <v>1459</v>
      </c>
      <c r="B3152" t="s">
        <v>485</v>
      </c>
      <c r="C3152" t="s">
        <v>486</v>
      </c>
      <c r="D3152">
        <v>2015</v>
      </c>
      <c r="E3152" s="2">
        <v>30</v>
      </c>
      <c r="F3152" s="2">
        <v>2275</v>
      </c>
      <c r="G3152" s="2"/>
    </row>
    <row r="3153" spans="1:7" x14ac:dyDescent="0.3">
      <c r="A3153" t="s">
        <v>1460</v>
      </c>
      <c r="B3153" t="s">
        <v>1461</v>
      </c>
      <c r="D3153">
        <v>2016</v>
      </c>
      <c r="E3153" s="2">
        <v>20</v>
      </c>
      <c r="F3153" s="2">
        <v>2100</v>
      </c>
      <c r="G3153" s="2"/>
    </row>
    <row r="3154" spans="1:7" x14ac:dyDescent="0.3">
      <c r="A3154" t="s">
        <v>1460</v>
      </c>
      <c r="B3154" t="s">
        <v>1461</v>
      </c>
      <c r="D3154">
        <v>2018</v>
      </c>
      <c r="E3154" s="2">
        <v>20</v>
      </c>
      <c r="F3154" s="2">
        <v>2100</v>
      </c>
      <c r="G3154" s="2">
        <v>2205</v>
      </c>
    </row>
    <row r="3155" spans="1:7" x14ac:dyDescent="0.3">
      <c r="A3155" t="s">
        <v>1460</v>
      </c>
      <c r="B3155" t="s">
        <v>1462</v>
      </c>
      <c r="D3155">
        <v>2016</v>
      </c>
      <c r="E3155" s="2">
        <v>20</v>
      </c>
      <c r="F3155" s="2">
        <v>2100</v>
      </c>
      <c r="G3155" s="2"/>
    </row>
    <row r="3156" spans="1:7" x14ac:dyDescent="0.3">
      <c r="A3156" t="s">
        <v>1460</v>
      </c>
      <c r="B3156" t="s">
        <v>26</v>
      </c>
      <c r="C3156" t="s">
        <v>27</v>
      </c>
      <c r="D3156">
        <v>2015</v>
      </c>
      <c r="E3156" s="2">
        <v>25</v>
      </c>
      <c r="F3156" s="2">
        <v>1625</v>
      </c>
      <c r="G3156" s="2"/>
    </row>
    <row r="3157" spans="1:7" x14ac:dyDescent="0.3">
      <c r="A3157" t="s">
        <v>1460</v>
      </c>
      <c r="B3157" t="s">
        <v>809</v>
      </c>
      <c r="C3157" t="s">
        <v>810</v>
      </c>
      <c r="D3157">
        <v>2015</v>
      </c>
      <c r="E3157" s="2">
        <v>170</v>
      </c>
      <c r="F3157" s="2">
        <v>22100</v>
      </c>
      <c r="G3157" s="2"/>
    </row>
    <row r="3158" spans="1:7" x14ac:dyDescent="0.3">
      <c r="A3158" t="s">
        <v>1460</v>
      </c>
      <c r="B3158" t="s">
        <v>809</v>
      </c>
      <c r="C3158" t="s">
        <v>810</v>
      </c>
      <c r="D3158">
        <v>2016</v>
      </c>
      <c r="E3158" s="2">
        <v>325</v>
      </c>
      <c r="F3158" s="2">
        <v>39750</v>
      </c>
      <c r="G3158" s="2"/>
    </row>
    <row r="3159" spans="1:7" x14ac:dyDescent="0.3">
      <c r="A3159" t="s">
        <v>1460</v>
      </c>
      <c r="B3159" t="s">
        <v>809</v>
      </c>
      <c r="C3159" t="s">
        <v>810</v>
      </c>
      <c r="D3159">
        <v>2017</v>
      </c>
      <c r="E3159" s="2">
        <v>250</v>
      </c>
      <c r="F3159" s="2">
        <v>30000</v>
      </c>
      <c r="G3159" s="2"/>
    </row>
    <row r="3160" spans="1:7" x14ac:dyDescent="0.3">
      <c r="A3160" t="s">
        <v>1460</v>
      </c>
      <c r="B3160" t="s">
        <v>32</v>
      </c>
      <c r="D3160">
        <v>2018</v>
      </c>
      <c r="E3160" s="2">
        <v>40</v>
      </c>
      <c r="F3160" s="2">
        <v>3200</v>
      </c>
      <c r="G3160" s="2">
        <v>3360</v>
      </c>
    </row>
    <row r="3161" spans="1:7" x14ac:dyDescent="0.3">
      <c r="A3161" t="s">
        <v>1463</v>
      </c>
      <c r="B3161" t="s">
        <v>166</v>
      </c>
      <c r="C3161" t="s">
        <v>167</v>
      </c>
      <c r="D3161">
        <v>2013</v>
      </c>
      <c r="E3161" s="2">
        <v>250</v>
      </c>
      <c r="F3161" s="2">
        <v>95000</v>
      </c>
      <c r="G3161" s="2"/>
    </row>
    <row r="3162" spans="1:7" x14ac:dyDescent="0.3">
      <c r="A3162" t="s">
        <v>1463</v>
      </c>
      <c r="B3162" t="s">
        <v>1464</v>
      </c>
      <c r="C3162" t="s">
        <v>1465</v>
      </c>
      <c r="D3162">
        <v>2013</v>
      </c>
      <c r="E3162" s="2">
        <v>150</v>
      </c>
      <c r="F3162" s="2">
        <v>33000</v>
      </c>
      <c r="G3162" s="2"/>
    </row>
    <row r="3163" spans="1:7" x14ac:dyDescent="0.3">
      <c r="A3163" t="s">
        <v>1463</v>
      </c>
      <c r="B3163" t="s">
        <v>168</v>
      </c>
      <c r="C3163" t="s">
        <v>169</v>
      </c>
      <c r="D3163">
        <v>2013</v>
      </c>
      <c r="E3163" s="2">
        <v>150</v>
      </c>
      <c r="F3163" s="2">
        <v>30750</v>
      </c>
      <c r="G3163" s="2"/>
    </row>
    <row r="3164" spans="1:7" x14ac:dyDescent="0.3">
      <c r="A3164" t="s">
        <v>1463</v>
      </c>
      <c r="B3164" t="s">
        <v>1466</v>
      </c>
      <c r="C3164" t="s">
        <v>1467</v>
      </c>
      <c r="D3164">
        <v>2012</v>
      </c>
      <c r="E3164" s="2">
        <v>5</v>
      </c>
      <c r="F3164" s="2">
        <v>1150</v>
      </c>
      <c r="G3164" s="2"/>
    </row>
    <row r="3165" spans="1:7" x14ac:dyDescent="0.3">
      <c r="A3165" t="s">
        <v>1463</v>
      </c>
      <c r="B3165" t="s">
        <v>79</v>
      </c>
      <c r="C3165" t="s">
        <v>80</v>
      </c>
      <c r="D3165">
        <v>2012</v>
      </c>
      <c r="E3165" s="2">
        <v>5</v>
      </c>
      <c r="F3165" s="2">
        <v>1150</v>
      </c>
      <c r="G3165" s="2"/>
    </row>
    <row r="3166" spans="1:7" x14ac:dyDescent="0.3">
      <c r="A3166" t="s">
        <v>1463</v>
      </c>
      <c r="B3166" t="s">
        <v>1468</v>
      </c>
      <c r="C3166" t="s">
        <v>1469</v>
      </c>
      <c r="D3166">
        <v>2012</v>
      </c>
      <c r="E3166" s="2">
        <v>25</v>
      </c>
      <c r="F3166" s="2">
        <v>7000</v>
      </c>
      <c r="G3166" s="2"/>
    </row>
    <row r="3167" spans="1:7" x14ac:dyDescent="0.3">
      <c r="A3167" t="s">
        <v>1463</v>
      </c>
      <c r="B3167" t="s">
        <v>1468</v>
      </c>
      <c r="C3167" t="s">
        <v>1469</v>
      </c>
      <c r="D3167">
        <v>2013</v>
      </c>
      <c r="E3167" s="2">
        <v>25</v>
      </c>
      <c r="F3167" s="2">
        <v>7000</v>
      </c>
      <c r="G3167" s="2"/>
    </row>
    <row r="3168" spans="1:7" x14ac:dyDescent="0.3">
      <c r="A3168" t="s">
        <v>1463</v>
      </c>
      <c r="B3168" t="s">
        <v>1470</v>
      </c>
      <c r="C3168" t="s">
        <v>1471</v>
      </c>
      <c r="D3168">
        <v>2012</v>
      </c>
      <c r="E3168" s="2">
        <v>10</v>
      </c>
      <c r="F3168" s="2">
        <v>2800</v>
      </c>
      <c r="G3168" s="2"/>
    </row>
    <row r="3169" spans="1:7" x14ac:dyDescent="0.3">
      <c r="A3169" t="s">
        <v>1463</v>
      </c>
      <c r="B3169" t="s">
        <v>1472</v>
      </c>
      <c r="C3169" t="s">
        <v>394</v>
      </c>
      <c r="D3169">
        <v>2012</v>
      </c>
      <c r="E3169" s="2">
        <v>45</v>
      </c>
      <c r="F3169" s="2">
        <v>10350</v>
      </c>
      <c r="G3169" s="2"/>
    </row>
    <row r="3170" spans="1:7" x14ac:dyDescent="0.3">
      <c r="A3170" t="s">
        <v>1463</v>
      </c>
      <c r="B3170" t="s">
        <v>948</v>
      </c>
      <c r="C3170" t="s">
        <v>949</v>
      </c>
      <c r="D3170">
        <v>2012</v>
      </c>
      <c r="E3170" s="2">
        <v>5</v>
      </c>
      <c r="F3170" s="2">
        <v>1150</v>
      </c>
      <c r="G3170" s="2"/>
    </row>
    <row r="3171" spans="1:7" x14ac:dyDescent="0.3">
      <c r="A3171" t="s">
        <v>1463</v>
      </c>
      <c r="B3171" t="s">
        <v>1473</v>
      </c>
      <c r="C3171" t="s">
        <v>1474</v>
      </c>
      <c r="D3171">
        <v>2012</v>
      </c>
      <c r="E3171" s="2">
        <v>5</v>
      </c>
      <c r="F3171" s="2">
        <v>1150</v>
      </c>
      <c r="G3171" s="2"/>
    </row>
    <row r="3172" spans="1:7" x14ac:dyDescent="0.3">
      <c r="A3172" t="s">
        <v>1463</v>
      </c>
      <c r="B3172" t="s">
        <v>1475</v>
      </c>
      <c r="C3172" t="s">
        <v>1476</v>
      </c>
      <c r="D3172">
        <v>2012</v>
      </c>
      <c r="E3172" s="2">
        <v>5</v>
      </c>
      <c r="F3172" s="2">
        <v>1150</v>
      </c>
      <c r="G3172" s="2"/>
    </row>
    <row r="3173" spans="1:7" x14ac:dyDescent="0.3">
      <c r="A3173" t="s">
        <v>1463</v>
      </c>
      <c r="B3173" t="s">
        <v>1130</v>
      </c>
      <c r="C3173" t="s">
        <v>1477</v>
      </c>
      <c r="D3173">
        <v>2012</v>
      </c>
      <c r="E3173" s="2">
        <v>5</v>
      </c>
      <c r="F3173" s="2">
        <v>1150</v>
      </c>
      <c r="G3173" s="2"/>
    </row>
    <row r="3174" spans="1:7" x14ac:dyDescent="0.3">
      <c r="A3174" t="s">
        <v>1463</v>
      </c>
      <c r="B3174" t="s">
        <v>1478</v>
      </c>
      <c r="C3174" t="s">
        <v>1479</v>
      </c>
      <c r="D3174">
        <v>2012</v>
      </c>
      <c r="E3174" s="2">
        <v>5</v>
      </c>
      <c r="F3174" s="2">
        <v>1150</v>
      </c>
      <c r="G3174" s="2"/>
    </row>
    <row r="3175" spans="1:7" x14ac:dyDescent="0.3">
      <c r="A3175" t="s">
        <v>1463</v>
      </c>
      <c r="B3175" t="s">
        <v>1480</v>
      </c>
      <c r="C3175" t="s">
        <v>1159</v>
      </c>
      <c r="D3175">
        <v>2012</v>
      </c>
      <c r="E3175" s="2">
        <v>5</v>
      </c>
      <c r="F3175" s="2">
        <v>1150</v>
      </c>
      <c r="G3175" s="2"/>
    </row>
    <row r="3176" spans="1:7" x14ac:dyDescent="0.3">
      <c r="A3176" t="s">
        <v>1463</v>
      </c>
      <c r="B3176" t="s">
        <v>280</v>
      </c>
      <c r="C3176" t="s">
        <v>224</v>
      </c>
      <c r="D3176">
        <v>2011</v>
      </c>
      <c r="E3176" s="2">
        <v>15</v>
      </c>
      <c r="F3176" s="2">
        <v>3150</v>
      </c>
      <c r="G3176" s="2"/>
    </row>
    <row r="3177" spans="1:7" x14ac:dyDescent="0.3">
      <c r="A3177" t="s">
        <v>1463</v>
      </c>
      <c r="B3177" t="s">
        <v>280</v>
      </c>
      <c r="C3177" t="s">
        <v>224</v>
      </c>
      <c r="D3177">
        <v>2013</v>
      </c>
      <c r="E3177" s="2">
        <v>1</v>
      </c>
      <c r="F3177" s="2">
        <v>183.75</v>
      </c>
      <c r="G3177" s="2"/>
    </row>
    <row r="3178" spans="1:7" x14ac:dyDescent="0.3">
      <c r="A3178" t="s">
        <v>1463</v>
      </c>
      <c r="B3178" t="s">
        <v>719</v>
      </c>
      <c r="C3178" t="s">
        <v>925</v>
      </c>
      <c r="D3178">
        <v>2013</v>
      </c>
      <c r="E3178" s="2">
        <v>25</v>
      </c>
      <c r="F3178" s="2">
        <v>5500</v>
      </c>
      <c r="G3178" s="2"/>
    </row>
    <row r="3179" spans="1:7" x14ac:dyDescent="0.3">
      <c r="A3179" t="s">
        <v>1463</v>
      </c>
      <c r="B3179" t="s">
        <v>1481</v>
      </c>
      <c r="C3179" t="s">
        <v>1482</v>
      </c>
      <c r="D3179">
        <v>2012</v>
      </c>
      <c r="E3179" s="2">
        <v>10</v>
      </c>
      <c r="F3179" s="2">
        <v>2400</v>
      </c>
      <c r="G3179" s="2"/>
    </row>
    <row r="3180" spans="1:7" x14ac:dyDescent="0.3">
      <c r="A3180" t="s">
        <v>1463</v>
      </c>
      <c r="B3180" t="s">
        <v>1483</v>
      </c>
      <c r="C3180" t="s">
        <v>1484</v>
      </c>
      <c r="D3180">
        <v>2013</v>
      </c>
      <c r="E3180" s="2">
        <v>25</v>
      </c>
      <c r="F3180" s="2">
        <v>7250</v>
      </c>
      <c r="G3180" s="2"/>
    </row>
    <row r="3181" spans="1:7" x14ac:dyDescent="0.3">
      <c r="A3181" t="s">
        <v>1463</v>
      </c>
      <c r="B3181" t="s">
        <v>1485</v>
      </c>
      <c r="C3181" t="s">
        <v>1486</v>
      </c>
      <c r="D3181">
        <v>2012</v>
      </c>
      <c r="E3181" s="2">
        <v>5</v>
      </c>
      <c r="F3181" s="2">
        <v>1150</v>
      </c>
      <c r="G3181" s="2"/>
    </row>
    <row r="3182" spans="1:7" x14ac:dyDescent="0.3">
      <c r="A3182" t="s">
        <v>1463</v>
      </c>
      <c r="B3182" t="s">
        <v>218</v>
      </c>
      <c r="C3182" t="s">
        <v>212</v>
      </c>
      <c r="D3182">
        <v>2015</v>
      </c>
      <c r="E3182" s="2">
        <v>1</v>
      </c>
      <c r="F3182" s="2">
        <v>190</v>
      </c>
      <c r="G3182" s="2"/>
    </row>
    <row r="3183" spans="1:7" x14ac:dyDescent="0.3">
      <c r="A3183" t="s">
        <v>1463</v>
      </c>
      <c r="B3183" t="s">
        <v>219</v>
      </c>
      <c r="C3183" t="s">
        <v>220</v>
      </c>
      <c r="D3183">
        <v>2012</v>
      </c>
      <c r="E3183" s="2">
        <v>50</v>
      </c>
      <c r="F3183" s="2">
        <v>12500</v>
      </c>
      <c r="G3183" s="2"/>
    </row>
    <row r="3184" spans="1:7" x14ac:dyDescent="0.3">
      <c r="A3184" t="s">
        <v>1463</v>
      </c>
      <c r="B3184" t="s">
        <v>219</v>
      </c>
      <c r="C3184" t="s">
        <v>220</v>
      </c>
      <c r="D3184">
        <v>2013</v>
      </c>
      <c r="E3184" s="2">
        <v>40</v>
      </c>
      <c r="F3184" s="2">
        <v>8800</v>
      </c>
      <c r="G3184" s="2"/>
    </row>
    <row r="3185" spans="1:7" x14ac:dyDescent="0.3">
      <c r="A3185" t="s">
        <v>1463</v>
      </c>
      <c r="B3185" t="s">
        <v>219</v>
      </c>
      <c r="C3185" t="s">
        <v>220</v>
      </c>
      <c r="D3185">
        <v>2016</v>
      </c>
      <c r="E3185" s="2">
        <v>5</v>
      </c>
      <c r="F3185" s="2">
        <v>1100</v>
      </c>
      <c r="G3185" s="2"/>
    </row>
    <row r="3186" spans="1:7" x14ac:dyDescent="0.3">
      <c r="A3186" t="s">
        <v>1463</v>
      </c>
      <c r="B3186" t="s">
        <v>1487</v>
      </c>
      <c r="C3186" t="s">
        <v>1488</v>
      </c>
      <c r="D3186">
        <v>2012</v>
      </c>
      <c r="E3186" s="2">
        <v>25</v>
      </c>
      <c r="F3186" s="2">
        <v>6750</v>
      </c>
      <c r="G3186" s="2"/>
    </row>
    <row r="3187" spans="1:7" x14ac:dyDescent="0.3">
      <c r="A3187" t="s">
        <v>1463</v>
      </c>
      <c r="B3187" t="s">
        <v>1489</v>
      </c>
      <c r="C3187" t="s">
        <v>1490</v>
      </c>
      <c r="D3187">
        <v>2013</v>
      </c>
      <c r="E3187" s="2">
        <v>100</v>
      </c>
      <c r="F3187" s="2">
        <v>40000</v>
      </c>
      <c r="G3187" s="2"/>
    </row>
    <row r="3188" spans="1:7" x14ac:dyDescent="0.3">
      <c r="A3188" t="s">
        <v>1463</v>
      </c>
      <c r="B3188" t="s">
        <v>1491</v>
      </c>
      <c r="C3188" t="s">
        <v>1492</v>
      </c>
      <c r="D3188">
        <v>2012</v>
      </c>
      <c r="E3188" s="2">
        <v>10</v>
      </c>
      <c r="F3188" s="2">
        <v>2550</v>
      </c>
      <c r="G3188" s="2"/>
    </row>
    <row r="3189" spans="1:7" x14ac:dyDescent="0.3">
      <c r="A3189" t="s">
        <v>1463</v>
      </c>
      <c r="B3189" t="s">
        <v>1493</v>
      </c>
      <c r="C3189" t="s">
        <v>286</v>
      </c>
      <c r="D3189">
        <v>2013</v>
      </c>
      <c r="E3189" s="2">
        <v>25</v>
      </c>
      <c r="F3189" s="2">
        <v>6750</v>
      </c>
      <c r="G3189" s="2"/>
    </row>
    <row r="3190" spans="1:7" x14ac:dyDescent="0.3">
      <c r="A3190" t="s">
        <v>1463</v>
      </c>
      <c r="B3190" t="s">
        <v>1494</v>
      </c>
      <c r="C3190" t="s">
        <v>1495</v>
      </c>
      <c r="D3190">
        <v>2012</v>
      </c>
      <c r="E3190" s="2">
        <v>10</v>
      </c>
      <c r="F3190" s="2">
        <v>3000</v>
      </c>
      <c r="G3190" s="2"/>
    </row>
    <row r="3191" spans="1:7" x14ac:dyDescent="0.3">
      <c r="A3191" t="s">
        <v>1463</v>
      </c>
      <c r="B3191" t="s">
        <v>1045</v>
      </c>
      <c r="C3191" t="s">
        <v>1046</v>
      </c>
      <c r="D3191">
        <v>2012</v>
      </c>
      <c r="E3191" s="2">
        <v>5</v>
      </c>
      <c r="F3191" s="2">
        <v>1275</v>
      </c>
      <c r="G3191" s="2"/>
    </row>
    <row r="3192" spans="1:7" x14ac:dyDescent="0.3">
      <c r="A3192" t="s">
        <v>1463</v>
      </c>
      <c r="B3192" t="s">
        <v>1251</v>
      </c>
      <c r="C3192" t="s">
        <v>1252</v>
      </c>
      <c r="D3192">
        <v>2012</v>
      </c>
      <c r="E3192" s="2">
        <v>5</v>
      </c>
      <c r="F3192" s="2">
        <v>1150</v>
      </c>
      <c r="G3192" s="2"/>
    </row>
    <row r="3193" spans="1:7" x14ac:dyDescent="0.3">
      <c r="A3193" t="s">
        <v>1463</v>
      </c>
      <c r="B3193" t="s">
        <v>1251</v>
      </c>
      <c r="C3193" t="s">
        <v>1252</v>
      </c>
      <c r="D3193">
        <v>2013</v>
      </c>
      <c r="E3193" s="2">
        <v>100</v>
      </c>
      <c r="F3193" s="2">
        <v>22000</v>
      </c>
      <c r="G3193" s="2"/>
    </row>
    <row r="3194" spans="1:7" x14ac:dyDescent="0.3">
      <c r="A3194" t="s">
        <v>1463</v>
      </c>
      <c r="B3194" t="s">
        <v>1496</v>
      </c>
      <c r="C3194" t="s">
        <v>1137</v>
      </c>
      <c r="D3194">
        <v>2014</v>
      </c>
      <c r="E3194" s="2">
        <v>100</v>
      </c>
      <c r="F3194" s="2">
        <v>104000</v>
      </c>
      <c r="G3194" s="2"/>
    </row>
    <row r="3195" spans="1:7" x14ac:dyDescent="0.3">
      <c r="A3195" t="s">
        <v>1463</v>
      </c>
      <c r="B3195" t="s">
        <v>1497</v>
      </c>
      <c r="C3195" t="s">
        <v>1498</v>
      </c>
      <c r="D3195">
        <v>2012</v>
      </c>
      <c r="E3195" s="2">
        <v>5</v>
      </c>
      <c r="F3195" s="2">
        <v>1150</v>
      </c>
      <c r="G3195" s="2"/>
    </row>
    <row r="3196" spans="1:7" x14ac:dyDescent="0.3">
      <c r="A3196" t="s">
        <v>1463</v>
      </c>
      <c r="B3196" t="s">
        <v>1499</v>
      </c>
      <c r="C3196" t="s">
        <v>1500</v>
      </c>
      <c r="D3196">
        <v>2012</v>
      </c>
      <c r="E3196" s="2">
        <v>5</v>
      </c>
      <c r="F3196" s="2">
        <v>1150</v>
      </c>
      <c r="G3196" s="2"/>
    </row>
    <row r="3197" spans="1:7" x14ac:dyDescent="0.3">
      <c r="A3197" t="s">
        <v>1463</v>
      </c>
      <c r="B3197" t="s">
        <v>287</v>
      </c>
      <c r="C3197" t="s">
        <v>1501</v>
      </c>
      <c r="D3197">
        <v>2011</v>
      </c>
      <c r="E3197" s="2">
        <v>10</v>
      </c>
      <c r="F3197" s="2">
        <v>2300</v>
      </c>
      <c r="G3197" s="2"/>
    </row>
    <row r="3198" spans="1:7" x14ac:dyDescent="0.3">
      <c r="A3198" t="s">
        <v>1463</v>
      </c>
      <c r="B3198" t="s">
        <v>1502</v>
      </c>
      <c r="C3198" t="s">
        <v>1503</v>
      </c>
      <c r="D3198">
        <v>2012</v>
      </c>
      <c r="E3198" s="2">
        <v>5</v>
      </c>
      <c r="F3198" s="2">
        <v>1150</v>
      </c>
      <c r="G3198" s="2"/>
    </row>
    <row r="3199" spans="1:7" x14ac:dyDescent="0.3">
      <c r="A3199" t="s">
        <v>1463</v>
      </c>
      <c r="B3199" t="s">
        <v>1502</v>
      </c>
      <c r="C3199" t="s">
        <v>1503</v>
      </c>
      <c r="D3199">
        <v>2013</v>
      </c>
      <c r="E3199" s="2">
        <v>5</v>
      </c>
      <c r="F3199" s="2">
        <v>1010.65</v>
      </c>
      <c r="G3199" s="2"/>
    </row>
    <row r="3200" spans="1:7" x14ac:dyDescent="0.3">
      <c r="A3200" t="s">
        <v>1463</v>
      </c>
      <c r="B3200" t="s">
        <v>1504</v>
      </c>
      <c r="C3200" t="s">
        <v>1505</v>
      </c>
      <c r="D3200">
        <v>2013</v>
      </c>
      <c r="E3200" s="2">
        <v>70</v>
      </c>
      <c r="F3200" s="2">
        <v>14000</v>
      </c>
      <c r="G3200" s="2"/>
    </row>
    <row r="3201" spans="1:7" x14ac:dyDescent="0.3">
      <c r="A3201" t="s">
        <v>1463</v>
      </c>
      <c r="B3201" t="s">
        <v>90</v>
      </c>
      <c r="C3201" t="s">
        <v>91</v>
      </c>
      <c r="D3201">
        <v>2012</v>
      </c>
      <c r="E3201" s="2">
        <v>25</v>
      </c>
      <c r="F3201" s="2">
        <v>16250</v>
      </c>
      <c r="G3201" s="2"/>
    </row>
    <row r="3202" spans="1:7" x14ac:dyDescent="0.3">
      <c r="A3202" t="s">
        <v>1463</v>
      </c>
      <c r="B3202" t="s">
        <v>90</v>
      </c>
      <c r="C3202" t="s">
        <v>91</v>
      </c>
      <c r="D3202">
        <v>2013</v>
      </c>
      <c r="E3202" s="2">
        <v>25</v>
      </c>
      <c r="F3202" s="2">
        <v>16250</v>
      </c>
      <c r="G3202" s="2"/>
    </row>
    <row r="3203" spans="1:7" x14ac:dyDescent="0.3">
      <c r="A3203" t="s">
        <v>1463</v>
      </c>
      <c r="B3203" t="s">
        <v>1506</v>
      </c>
      <c r="D3203">
        <v>2013</v>
      </c>
      <c r="E3203" s="2">
        <v>25</v>
      </c>
      <c r="F3203" s="2">
        <v>14000</v>
      </c>
      <c r="G3203" s="2"/>
    </row>
    <row r="3204" spans="1:7" x14ac:dyDescent="0.3">
      <c r="A3204" t="s">
        <v>1463</v>
      </c>
      <c r="B3204" t="s">
        <v>1507</v>
      </c>
      <c r="C3204" t="s">
        <v>1508</v>
      </c>
      <c r="D3204">
        <v>2013</v>
      </c>
      <c r="E3204" s="2">
        <v>0.5</v>
      </c>
      <c r="F3204" s="2">
        <v>110.25</v>
      </c>
      <c r="G3204" s="2"/>
    </row>
    <row r="3205" spans="1:7" x14ac:dyDescent="0.3">
      <c r="A3205" t="s">
        <v>1463</v>
      </c>
      <c r="B3205" t="s">
        <v>1509</v>
      </c>
      <c r="C3205" t="s">
        <v>1510</v>
      </c>
      <c r="D3205">
        <v>2013</v>
      </c>
      <c r="E3205" s="2">
        <v>100</v>
      </c>
      <c r="F3205" s="2">
        <v>20000</v>
      </c>
      <c r="G3205" s="2"/>
    </row>
    <row r="3206" spans="1:7" x14ac:dyDescent="0.3">
      <c r="A3206" t="s">
        <v>1463</v>
      </c>
      <c r="B3206" t="s">
        <v>1511</v>
      </c>
      <c r="C3206" t="s">
        <v>1255</v>
      </c>
      <c r="D3206">
        <v>2012</v>
      </c>
      <c r="E3206" s="2">
        <v>5</v>
      </c>
      <c r="F3206" s="2">
        <v>1150</v>
      </c>
      <c r="G3206" s="2"/>
    </row>
    <row r="3207" spans="1:7" x14ac:dyDescent="0.3">
      <c r="A3207" t="s">
        <v>1463</v>
      </c>
      <c r="B3207" t="s">
        <v>1512</v>
      </c>
      <c r="C3207" t="s">
        <v>1513</v>
      </c>
      <c r="D3207">
        <v>2014</v>
      </c>
      <c r="E3207" s="2">
        <v>100</v>
      </c>
      <c r="F3207" s="2">
        <v>75000</v>
      </c>
      <c r="G3207" s="2"/>
    </row>
    <row r="3208" spans="1:7" x14ac:dyDescent="0.3">
      <c r="A3208" t="s">
        <v>1463</v>
      </c>
      <c r="B3208" t="s">
        <v>1514</v>
      </c>
      <c r="C3208" t="s">
        <v>1515</v>
      </c>
      <c r="D3208">
        <v>2012</v>
      </c>
      <c r="E3208" s="2">
        <v>5</v>
      </c>
      <c r="F3208" s="2">
        <v>1150</v>
      </c>
      <c r="G3208" s="2"/>
    </row>
    <row r="3209" spans="1:7" x14ac:dyDescent="0.3">
      <c r="A3209" t="s">
        <v>1463</v>
      </c>
      <c r="B3209" t="s">
        <v>1516</v>
      </c>
      <c r="C3209" t="s">
        <v>1517</v>
      </c>
      <c r="D3209">
        <v>2012</v>
      </c>
      <c r="E3209" s="2">
        <v>5</v>
      </c>
      <c r="F3209" s="2">
        <v>1125</v>
      </c>
      <c r="G3209" s="2"/>
    </row>
    <row r="3210" spans="1:7" x14ac:dyDescent="0.3">
      <c r="A3210" t="s">
        <v>1463</v>
      </c>
      <c r="B3210" t="s">
        <v>1518</v>
      </c>
      <c r="C3210" t="s">
        <v>1519</v>
      </c>
      <c r="D3210">
        <v>2012</v>
      </c>
      <c r="E3210" s="2">
        <v>5</v>
      </c>
      <c r="F3210" s="2">
        <v>1150</v>
      </c>
      <c r="G3210" s="2"/>
    </row>
    <row r="3211" spans="1:7" x14ac:dyDescent="0.3">
      <c r="A3211" t="s">
        <v>1463</v>
      </c>
      <c r="B3211" t="s">
        <v>614</v>
      </c>
      <c r="C3211" t="s">
        <v>141</v>
      </c>
      <c r="D3211">
        <v>2013</v>
      </c>
      <c r="E3211" s="2">
        <v>5</v>
      </c>
      <c r="F3211" s="2">
        <v>918.75</v>
      </c>
      <c r="G3211" s="2"/>
    </row>
    <row r="3212" spans="1:7" x14ac:dyDescent="0.3">
      <c r="A3212" t="s">
        <v>1463</v>
      </c>
      <c r="B3212" t="s">
        <v>1520</v>
      </c>
      <c r="C3212" t="s">
        <v>1521</v>
      </c>
      <c r="D3212">
        <v>2012</v>
      </c>
      <c r="E3212" s="2">
        <v>5</v>
      </c>
      <c r="F3212" s="2">
        <v>1150</v>
      </c>
      <c r="G3212" s="2"/>
    </row>
    <row r="3213" spans="1:7" x14ac:dyDescent="0.3">
      <c r="A3213" t="s">
        <v>1463</v>
      </c>
      <c r="B3213" t="s">
        <v>1522</v>
      </c>
      <c r="C3213" t="s">
        <v>1523</v>
      </c>
      <c r="D3213">
        <v>2012</v>
      </c>
      <c r="E3213" s="2">
        <v>5</v>
      </c>
      <c r="F3213" s="2">
        <v>1150</v>
      </c>
      <c r="G3213" s="2"/>
    </row>
    <row r="3214" spans="1:7" x14ac:dyDescent="0.3">
      <c r="A3214" t="s">
        <v>1463</v>
      </c>
      <c r="B3214" t="s">
        <v>1257</v>
      </c>
      <c r="C3214" t="s">
        <v>638</v>
      </c>
      <c r="D3214">
        <v>2015</v>
      </c>
      <c r="E3214" s="2">
        <v>1</v>
      </c>
      <c r="F3214" s="2">
        <v>190</v>
      </c>
      <c r="G3214" s="2"/>
    </row>
    <row r="3215" spans="1:7" x14ac:dyDescent="0.3">
      <c r="A3215" t="s">
        <v>1463</v>
      </c>
      <c r="B3215" t="s">
        <v>1524</v>
      </c>
      <c r="C3215" t="s">
        <v>1525</v>
      </c>
      <c r="D3215">
        <v>2011</v>
      </c>
      <c r="E3215" s="2">
        <v>20</v>
      </c>
      <c r="F3215" s="2">
        <v>4000</v>
      </c>
      <c r="G3215" s="2"/>
    </row>
    <row r="3216" spans="1:7" x14ac:dyDescent="0.3">
      <c r="A3216" t="s">
        <v>1463</v>
      </c>
      <c r="B3216" t="s">
        <v>1524</v>
      </c>
      <c r="C3216" t="s">
        <v>1525</v>
      </c>
      <c r="D3216">
        <v>2013</v>
      </c>
      <c r="E3216" s="2">
        <v>50</v>
      </c>
      <c r="F3216" s="2">
        <v>10000</v>
      </c>
      <c r="G3216" s="2"/>
    </row>
    <row r="3217" spans="1:7" x14ac:dyDescent="0.3">
      <c r="A3217" t="s">
        <v>1463</v>
      </c>
      <c r="B3217" t="s">
        <v>1055</v>
      </c>
      <c r="C3217" t="s">
        <v>1056</v>
      </c>
      <c r="D3217">
        <v>2013</v>
      </c>
      <c r="E3217" s="2">
        <v>5</v>
      </c>
      <c r="F3217" s="2">
        <v>992.25</v>
      </c>
      <c r="G3217" s="2"/>
    </row>
    <row r="3218" spans="1:7" x14ac:dyDescent="0.3">
      <c r="A3218" t="s">
        <v>1463</v>
      </c>
      <c r="B3218" t="s">
        <v>1526</v>
      </c>
      <c r="C3218" t="s">
        <v>1527</v>
      </c>
      <c r="D3218">
        <v>2012</v>
      </c>
      <c r="E3218" s="2">
        <v>5</v>
      </c>
      <c r="F3218" s="2">
        <v>1150</v>
      </c>
      <c r="G3218" s="2"/>
    </row>
    <row r="3219" spans="1:7" x14ac:dyDescent="0.3">
      <c r="A3219" t="s">
        <v>1463</v>
      </c>
      <c r="B3219" t="s">
        <v>1528</v>
      </c>
      <c r="C3219" t="s">
        <v>1529</v>
      </c>
      <c r="D3219">
        <v>2012</v>
      </c>
      <c r="E3219" s="2">
        <v>5</v>
      </c>
      <c r="F3219" s="2">
        <v>1150</v>
      </c>
      <c r="G3219" s="2"/>
    </row>
    <row r="3220" spans="1:7" x14ac:dyDescent="0.3">
      <c r="A3220" t="s">
        <v>1463</v>
      </c>
      <c r="B3220" t="s">
        <v>1528</v>
      </c>
      <c r="C3220" t="s">
        <v>1529</v>
      </c>
      <c r="D3220">
        <v>2013</v>
      </c>
      <c r="E3220" s="2">
        <v>5</v>
      </c>
      <c r="F3220" s="2">
        <v>992.25</v>
      </c>
      <c r="G3220" s="2"/>
    </row>
    <row r="3221" spans="1:7" x14ac:dyDescent="0.3">
      <c r="A3221" t="s">
        <v>1463</v>
      </c>
      <c r="B3221" t="s">
        <v>363</v>
      </c>
      <c r="C3221" t="s">
        <v>364</v>
      </c>
      <c r="D3221">
        <v>2012</v>
      </c>
      <c r="E3221" s="2">
        <v>25</v>
      </c>
      <c r="F3221" s="2">
        <v>5750</v>
      </c>
      <c r="G3221" s="2"/>
    </row>
    <row r="3222" spans="1:7" x14ac:dyDescent="0.3">
      <c r="A3222" t="s">
        <v>1463</v>
      </c>
      <c r="B3222" t="s">
        <v>1530</v>
      </c>
      <c r="C3222" t="s">
        <v>1531</v>
      </c>
      <c r="D3222">
        <v>2012</v>
      </c>
      <c r="E3222" s="2">
        <v>5</v>
      </c>
      <c r="F3222" s="2">
        <v>1150</v>
      </c>
      <c r="G3222" s="2"/>
    </row>
    <row r="3223" spans="1:7" x14ac:dyDescent="0.3">
      <c r="A3223" t="s">
        <v>1463</v>
      </c>
      <c r="B3223" t="s">
        <v>1532</v>
      </c>
      <c r="C3223" t="s">
        <v>1533</v>
      </c>
      <c r="D3223">
        <v>2013</v>
      </c>
      <c r="E3223" s="2">
        <v>25</v>
      </c>
      <c r="F3223" s="2">
        <v>6500</v>
      </c>
      <c r="G3223" s="2"/>
    </row>
    <row r="3224" spans="1:7" x14ac:dyDescent="0.3">
      <c r="A3224" t="s">
        <v>1463</v>
      </c>
      <c r="B3224" t="s">
        <v>182</v>
      </c>
      <c r="C3224" t="s">
        <v>57</v>
      </c>
      <c r="D3224">
        <v>2012</v>
      </c>
      <c r="E3224" s="2">
        <v>10</v>
      </c>
      <c r="F3224" s="2">
        <v>2300</v>
      </c>
      <c r="G3224" s="2"/>
    </row>
    <row r="3225" spans="1:7" x14ac:dyDescent="0.3">
      <c r="A3225" t="s">
        <v>1463</v>
      </c>
      <c r="B3225" t="s">
        <v>182</v>
      </c>
      <c r="C3225" t="s">
        <v>57</v>
      </c>
      <c r="D3225">
        <v>2013</v>
      </c>
      <c r="E3225" s="2">
        <v>50</v>
      </c>
      <c r="F3225" s="2">
        <v>11500</v>
      </c>
      <c r="G3225" s="2"/>
    </row>
    <row r="3226" spans="1:7" x14ac:dyDescent="0.3">
      <c r="A3226" t="s">
        <v>1463</v>
      </c>
      <c r="B3226" t="s">
        <v>1534</v>
      </c>
      <c r="C3226" t="s">
        <v>96</v>
      </c>
      <c r="D3226">
        <v>2013</v>
      </c>
      <c r="E3226" s="2">
        <v>150</v>
      </c>
      <c r="F3226" s="2">
        <v>25500</v>
      </c>
      <c r="G3226" s="2"/>
    </row>
    <row r="3227" spans="1:7" x14ac:dyDescent="0.3">
      <c r="A3227" t="s">
        <v>1463</v>
      </c>
      <c r="B3227" t="s">
        <v>225</v>
      </c>
      <c r="C3227" t="s">
        <v>226</v>
      </c>
      <c r="D3227">
        <v>2012</v>
      </c>
      <c r="E3227" s="2">
        <v>25</v>
      </c>
      <c r="F3227" s="2">
        <v>5750</v>
      </c>
      <c r="G3227" s="2"/>
    </row>
    <row r="3228" spans="1:7" x14ac:dyDescent="0.3">
      <c r="A3228" t="s">
        <v>1463</v>
      </c>
      <c r="B3228" t="s">
        <v>99</v>
      </c>
      <c r="C3228" t="s">
        <v>100</v>
      </c>
      <c r="D3228">
        <v>2011</v>
      </c>
      <c r="E3228" s="2">
        <v>5</v>
      </c>
      <c r="F3228" s="2">
        <v>1200</v>
      </c>
      <c r="G3228" s="2"/>
    </row>
    <row r="3229" spans="1:7" x14ac:dyDescent="0.3">
      <c r="A3229" t="s">
        <v>1463</v>
      </c>
      <c r="B3229" t="s">
        <v>1535</v>
      </c>
      <c r="C3229" t="s">
        <v>1536</v>
      </c>
      <c r="D3229">
        <v>2012</v>
      </c>
      <c r="E3229" s="2">
        <v>5</v>
      </c>
      <c r="F3229" s="2">
        <v>1150</v>
      </c>
      <c r="G3229" s="2"/>
    </row>
    <row r="3230" spans="1:7" x14ac:dyDescent="0.3">
      <c r="A3230" t="s">
        <v>1463</v>
      </c>
      <c r="B3230" t="s">
        <v>1537</v>
      </c>
      <c r="C3230" t="s">
        <v>369</v>
      </c>
      <c r="D3230">
        <v>2012</v>
      </c>
      <c r="E3230" s="2">
        <v>15</v>
      </c>
      <c r="F3230" s="2">
        <v>3450</v>
      </c>
      <c r="G3230" s="2"/>
    </row>
    <row r="3231" spans="1:7" x14ac:dyDescent="0.3">
      <c r="A3231" t="s">
        <v>1463</v>
      </c>
      <c r="B3231" t="s">
        <v>1538</v>
      </c>
      <c r="C3231" t="s">
        <v>1539</v>
      </c>
      <c r="D3231">
        <v>2012</v>
      </c>
      <c r="E3231" s="2">
        <v>5</v>
      </c>
      <c r="F3231" s="2">
        <v>1150</v>
      </c>
      <c r="G3231" s="2"/>
    </row>
    <row r="3232" spans="1:7" x14ac:dyDescent="0.3">
      <c r="A3232" t="s">
        <v>1463</v>
      </c>
      <c r="B3232" t="s">
        <v>1540</v>
      </c>
      <c r="C3232" t="s">
        <v>1541</v>
      </c>
      <c r="D3232">
        <v>2012</v>
      </c>
      <c r="E3232" s="2">
        <v>5</v>
      </c>
      <c r="F3232" s="2">
        <v>1275</v>
      </c>
      <c r="G3232" s="2"/>
    </row>
    <row r="3233" spans="1:7" x14ac:dyDescent="0.3">
      <c r="A3233" t="s">
        <v>1463</v>
      </c>
      <c r="B3233" t="s">
        <v>1542</v>
      </c>
      <c r="C3233" t="s">
        <v>1543</v>
      </c>
      <c r="D3233">
        <v>2012</v>
      </c>
      <c r="E3233" s="2">
        <v>5</v>
      </c>
      <c r="F3233" s="2">
        <v>1150</v>
      </c>
      <c r="G3233" s="2"/>
    </row>
    <row r="3234" spans="1:7" x14ac:dyDescent="0.3">
      <c r="A3234" t="s">
        <v>1463</v>
      </c>
      <c r="B3234" t="s">
        <v>560</v>
      </c>
      <c r="C3234" t="s">
        <v>561</v>
      </c>
      <c r="D3234">
        <v>2012</v>
      </c>
      <c r="E3234" s="2">
        <v>10</v>
      </c>
      <c r="F3234" s="2">
        <v>2400</v>
      </c>
      <c r="G3234" s="2"/>
    </row>
    <row r="3235" spans="1:7" x14ac:dyDescent="0.3">
      <c r="A3235" t="s">
        <v>1463</v>
      </c>
      <c r="B3235" t="s">
        <v>560</v>
      </c>
      <c r="C3235" t="s">
        <v>561</v>
      </c>
      <c r="D3235">
        <v>2013</v>
      </c>
      <c r="E3235" s="2">
        <v>25</v>
      </c>
      <c r="F3235" s="2">
        <v>5625</v>
      </c>
      <c r="G3235" s="2"/>
    </row>
    <row r="3236" spans="1:7" x14ac:dyDescent="0.3">
      <c r="A3236" t="s">
        <v>1463</v>
      </c>
      <c r="B3236" t="s">
        <v>1544</v>
      </c>
      <c r="C3236" t="s">
        <v>102</v>
      </c>
      <c r="D3236">
        <v>2012</v>
      </c>
      <c r="E3236" s="2">
        <v>250</v>
      </c>
      <c r="F3236" s="2">
        <v>108000</v>
      </c>
      <c r="G3236" s="2"/>
    </row>
    <row r="3237" spans="1:7" x14ac:dyDescent="0.3">
      <c r="A3237" t="s">
        <v>1463</v>
      </c>
      <c r="B3237" t="s">
        <v>1544</v>
      </c>
      <c r="C3237" t="s">
        <v>102</v>
      </c>
      <c r="D3237">
        <v>2013</v>
      </c>
      <c r="E3237" s="2">
        <v>210</v>
      </c>
      <c r="F3237" s="2">
        <v>107500</v>
      </c>
      <c r="G3237" s="2"/>
    </row>
    <row r="3238" spans="1:7" x14ac:dyDescent="0.3">
      <c r="A3238" t="s">
        <v>1463</v>
      </c>
      <c r="B3238" t="s">
        <v>1544</v>
      </c>
      <c r="C3238" t="s">
        <v>102</v>
      </c>
      <c r="D3238">
        <v>2014</v>
      </c>
      <c r="E3238" s="2">
        <v>50</v>
      </c>
      <c r="F3238" s="2">
        <v>21500</v>
      </c>
      <c r="G3238" s="2"/>
    </row>
    <row r="3239" spans="1:7" x14ac:dyDescent="0.3">
      <c r="A3239" t="s">
        <v>1463</v>
      </c>
      <c r="B3239" t="s">
        <v>1545</v>
      </c>
      <c r="C3239" t="s">
        <v>1546</v>
      </c>
      <c r="D3239">
        <v>2012</v>
      </c>
      <c r="E3239" s="2">
        <v>5</v>
      </c>
      <c r="F3239" s="2">
        <v>1150</v>
      </c>
      <c r="G3239" s="2"/>
    </row>
    <row r="3240" spans="1:7" x14ac:dyDescent="0.3">
      <c r="A3240" t="s">
        <v>1463</v>
      </c>
      <c r="B3240" t="s">
        <v>293</v>
      </c>
      <c r="C3240" t="s">
        <v>294</v>
      </c>
      <c r="D3240">
        <v>2013</v>
      </c>
      <c r="E3240" s="2">
        <v>10</v>
      </c>
      <c r="F3240" s="2">
        <v>4900</v>
      </c>
      <c r="G3240" s="2"/>
    </row>
    <row r="3241" spans="1:7" x14ac:dyDescent="0.3">
      <c r="A3241" t="s">
        <v>1463</v>
      </c>
      <c r="B3241" t="s">
        <v>1547</v>
      </c>
      <c r="C3241" t="s">
        <v>1548</v>
      </c>
      <c r="D3241">
        <v>2012</v>
      </c>
      <c r="E3241" s="2">
        <v>25</v>
      </c>
      <c r="F3241" s="2">
        <v>5500</v>
      </c>
      <c r="G3241" s="2"/>
    </row>
    <row r="3242" spans="1:7" x14ac:dyDescent="0.3">
      <c r="A3242" t="s">
        <v>1463</v>
      </c>
      <c r="B3242" t="s">
        <v>1547</v>
      </c>
      <c r="C3242" t="s">
        <v>1548</v>
      </c>
      <c r="D3242">
        <v>2013</v>
      </c>
      <c r="E3242" s="2">
        <v>25</v>
      </c>
      <c r="F3242" s="2">
        <v>5500</v>
      </c>
      <c r="G3242" s="2"/>
    </row>
    <row r="3243" spans="1:7" x14ac:dyDescent="0.3">
      <c r="A3243" t="s">
        <v>1463</v>
      </c>
      <c r="B3243" t="s">
        <v>60</v>
      </c>
      <c r="C3243" t="s">
        <v>186</v>
      </c>
      <c r="D3243">
        <v>2011</v>
      </c>
      <c r="E3243" s="2">
        <v>10</v>
      </c>
      <c r="F3243" s="2">
        <v>2300</v>
      </c>
      <c r="G3243" s="2"/>
    </row>
    <row r="3244" spans="1:7" x14ac:dyDescent="0.3">
      <c r="A3244" t="s">
        <v>1463</v>
      </c>
      <c r="B3244" t="s">
        <v>60</v>
      </c>
      <c r="C3244" t="s">
        <v>186</v>
      </c>
      <c r="D3244">
        <v>2012</v>
      </c>
      <c r="E3244" s="2">
        <v>25</v>
      </c>
      <c r="F3244" s="2">
        <v>5625</v>
      </c>
      <c r="G3244" s="2"/>
    </row>
    <row r="3245" spans="1:7" x14ac:dyDescent="0.3">
      <c r="A3245" t="s">
        <v>1463</v>
      </c>
      <c r="B3245" t="s">
        <v>60</v>
      </c>
      <c r="C3245" t="s">
        <v>61</v>
      </c>
      <c r="D3245">
        <v>2012</v>
      </c>
      <c r="E3245" s="2">
        <v>5</v>
      </c>
      <c r="F3245" s="2">
        <v>1150</v>
      </c>
      <c r="G3245" s="2"/>
    </row>
    <row r="3246" spans="1:7" x14ac:dyDescent="0.3">
      <c r="A3246" t="s">
        <v>1463</v>
      </c>
      <c r="B3246" t="s">
        <v>297</v>
      </c>
      <c r="C3246" t="s">
        <v>298</v>
      </c>
      <c r="D3246">
        <v>2012</v>
      </c>
      <c r="E3246" s="2">
        <v>10</v>
      </c>
      <c r="F3246" s="2">
        <v>1700</v>
      </c>
      <c r="G3246" s="2"/>
    </row>
    <row r="3247" spans="1:7" x14ac:dyDescent="0.3">
      <c r="A3247" t="s">
        <v>1463</v>
      </c>
      <c r="B3247" t="s">
        <v>297</v>
      </c>
      <c r="C3247" t="s">
        <v>298</v>
      </c>
      <c r="D3247">
        <v>2013</v>
      </c>
      <c r="E3247" s="2">
        <v>25</v>
      </c>
      <c r="F3247" s="2">
        <v>4250</v>
      </c>
      <c r="G3247" s="2"/>
    </row>
    <row r="3248" spans="1:7" x14ac:dyDescent="0.3">
      <c r="A3248" t="s">
        <v>1463</v>
      </c>
      <c r="B3248" t="s">
        <v>297</v>
      </c>
      <c r="C3248" t="s">
        <v>298</v>
      </c>
      <c r="D3248">
        <v>2015</v>
      </c>
      <c r="E3248" s="2">
        <v>6</v>
      </c>
      <c r="F3248" s="2">
        <v>1020</v>
      </c>
      <c r="G3248" s="2"/>
    </row>
    <row r="3249" spans="1:7" x14ac:dyDescent="0.3">
      <c r="A3249" t="s">
        <v>1463</v>
      </c>
      <c r="B3249" t="s">
        <v>297</v>
      </c>
      <c r="C3249" t="s">
        <v>298</v>
      </c>
      <c r="D3249">
        <v>2016</v>
      </c>
      <c r="E3249" s="2">
        <v>5</v>
      </c>
      <c r="F3249" s="2">
        <v>850</v>
      </c>
      <c r="G3249" s="2"/>
    </row>
    <row r="3250" spans="1:7" x14ac:dyDescent="0.3">
      <c r="A3250" t="s">
        <v>1463</v>
      </c>
      <c r="B3250" t="s">
        <v>297</v>
      </c>
      <c r="C3250" t="s">
        <v>298</v>
      </c>
      <c r="D3250">
        <v>2017</v>
      </c>
      <c r="E3250" s="2">
        <v>20</v>
      </c>
      <c r="F3250" s="2">
        <v>3400</v>
      </c>
      <c r="G3250" s="2"/>
    </row>
    <row r="3251" spans="1:7" x14ac:dyDescent="0.3">
      <c r="A3251" t="s">
        <v>1463</v>
      </c>
      <c r="B3251" t="s">
        <v>1549</v>
      </c>
      <c r="D3251">
        <v>2012</v>
      </c>
      <c r="E3251" s="2">
        <v>12</v>
      </c>
      <c r="F3251" s="2">
        <v>1920</v>
      </c>
      <c r="G3251" s="2"/>
    </row>
    <row r="3252" spans="1:7" x14ac:dyDescent="0.3">
      <c r="A3252" t="s">
        <v>1463</v>
      </c>
      <c r="B3252" t="s">
        <v>19</v>
      </c>
      <c r="C3252" t="s">
        <v>20</v>
      </c>
      <c r="D3252">
        <v>2012</v>
      </c>
      <c r="E3252" s="2">
        <v>5</v>
      </c>
      <c r="F3252" s="2">
        <v>875</v>
      </c>
      <c r="G3252" s="2"/>
    </row>
    <row r="3253" spans="1:7" x14ac:dyDescent="0.3">
      <c r="A3253" t="s">
        <v>1463</v>
      </c>
      <c r="B3253" t="s">
        <v>19</v>
      </c>
      <c r="C3253" t="s">
        <v>20</v>
      </c>
      <c r="D3253">
        <v>2013</v>
      </c>
      <c r="E3253" s="2">
        <v>10</v>
      </c>
      <c r="F3253" s="2">
        <v>1750</v>
      </c>
      <c r="G3253" s="2"/>
    </row>
    <row r="3254" spans="1:7" x14ac:dyDescent="0.3">
      <c r="A3254" t="s">
        <v>1463</v>
      </c>
      <c r="B3254" t="s">
        <v>19</v>
      </c>
      <c r="C3254" t="s">
        <v>20</v>
      </c>
      <c r="D3254">
        <v>2014</v>
      </c>
      <c r="E3254" s="2">
        <v>25</v>
      </c>
      <c r="F3254" s="2">
        <v>4375</v>
      </c>
      <c r="G3254" s="2"/>
    </row>
    <row r="3255" spans="1:7" x14ac:dyDescent="0.3">
      <c r="A3255" t="s">
        <v>1463</v>
      </c>
      <c r="B3255" t="s">
        <v>19</v>
      </c>
      <c r="C3255" t="s">
        <v>20</v>
      </c>
      <c r="D3255">
        <v>2015</v>
      </c>
      <c r="E3255" s="2">
        <v>5</v>
      </c>
      <c r="F3255" s="2">
        <v>875</v>
      </c>
      <c r="G3255" s="2"/>
    </row>
    <row r="3256" spans="1:7" x14ac:dyDescent="0.3">
      <c r="A3256" t="s">
        <v>1463</v>
      </c>
      <c r="B3256" t="s">
        <v>1550</v>
      </c>
      <c r="C3256" t="s">
        <v>1551</v>
      </c>
      <c r="D3256">
        <v>2013</v>
      </c>
      <c r="E3256" s="2">
        <v>100</v>
      </c>
      <c r="F3256" s="2">
        <v>22000</v>
      </c>
      <c r="G3256" s="2"/>
    </row>
    <row r="3257" spans="1:7" x14ac:dyDescent="0.3">
      <c r="A3257" t="s">
        <v>1463</v>
      </c>
      <c r="B3257" t="s">
        <v>1552</v>
      </c>
      <c r="C3257" t="s">
        <v>1553</v>
      </c>
      <c r="D3257">
        <v>2013</v>
      </c>
      <c r="E3257" s="2">
        <v>50</v>
      </c>
      <c r="F3257" s="2">
        <v>13250</v>
      </c>
      <c r="G3257" s="2"/>
    </row>
    <row r="3258" spans="1:7" x14ac:dyDescent="0.3">
      <c r="A3258" t="s">
        <v>1463</v>
      </c>
      <c r="B3258" t="s">
        <v>555</v>
      </c>
      <c r="C3258" t="s">
        <v>259</v>
      </c>
      <c r="D3258">
        <v>2013</v>
      </c>
      <c r="E3258" s="2">
        <v>0.5</v>
      </c>
      <c r="F3258" s="2">
        <v>110.25</v>
      </c>
      <c r="G3258" s="2"/>
    </row>
    <row r="3259" spans="1:7" x14ac:dyDescent="0.3">
      <c r="A3259" t="s">
        <v>1463</v>
      </c>
      <c r="B3259" t="s">
        <v>1554</v>
      </c>
      <c r="C3259" t="s">
        <v>1555</v>
      </c>
      <c r="D3259">
        <v>2012</v>
      </c>
      <c r="E3259" s="2">
        <v>10</v>
      </c>
      <c r="F3259" s="2">
        <v>2400</v>
      </c>
      <c r="G3259" s="2"/>
    </row>
    <row r="3260" spans="1:7" x14ac:dyDescent="0.3">
      <c r="A3260" t="s">
        <v>1463</v>
      </c>
      <c r="B3260" t="s">
        <v>615</v>
      </c>
      <c r="C3260" t="s">
        <v>616</v>
      </c>
      <c r="D3260">
        <v>2012</v>
      </c>
      <c r="E3260" s="2">
        <v>5</v>
      </c>
      <c r="F3260" s="2">
        <v>1150</v>
      </c>
      <c r="G3260" s="2"/>
    </row>
    <row r="3261" spans="1:7" x14ac:dyDescent="0.3">
      <c r="A3261" t="s">
        <v>1463</v>
      </c>
      <c r="B3261" t="s">
        <v>112</v>
      </c>
      <c r="C3261" t="s">
        <v>113</v>
      </c>
      <c r="D3261">
        <v>2015</v>
      </c>
      <c r="E3261" s="2">
        <v>1</v>
      </c>
      <c r="F3261" s="2">
        <v>240</v>
      </c>
      <c r="G3261" s="2"/>
    </row>
    <row r="3262" spans="1:7" x14ac:dyDescent="0.3">
      <c r="A3262" t="s">
        <v>1463</v>
      </c>
      <c r="B3262" t="s">
        <v>1556</v>
      </c>
      <c r="C3262" t="s">
        <v>1557</v>
      </c>
      <c r="D3262">
        <v>2013</v>
      </c>
      <c r="E3262" s="2">
        <v>100</v>
      </c>
      <c r="F3262" s="2">
        <v>24000</v>
      </c>
      <c r="G3262" s="2"/>
    </row>
    <row r="3263" spans="1:7" x14ac:dyDescent="0.3">
      <c r="A3263" t="s">
        <v>1463</v>
      </c>
      <c r="B3263" t="s">
        <v>1558</v>
      </c>
      <c r="C3263" t="s">
        <v>1559</v>
      </c>
      <c r="D3263">
        <v>2012</v>
      </c>
      <c r="E3263" s="2">
        <v>5</v>
      </c>
      <c r="F3263" s="2">
        <v>1150</v>
      </c>
      <c r="G3263" s="2"/>
    </row>
    <row r="3264" spans="1:7" x14ac:dyDescent="0.3">
      <c r="A3264" t="s">
        <v>1463</v>
      </c>
      <c r="B3264" t="s">
        <v>1560</v>
      </c>
      <c r="C3264" t="s">
        <v>1561</v>
      </c>
      <c r="D3264">
        <v>2013</v>
      </c>
      <c r="E3264" s="2">
        <v>100</v>
      </c>
      <c r="F3264" s="2">
        <v>27000</v>
      </c>
      <c r="G3264" s="2"/>
    </row>
    <row r="3265" spans="1:7" x14ac:dyDescent="0.3">
      <c r="A3265" t="s">
        <v>1463</v>
      </c>
      <c r="B3265" t="s">
        <v>972</v>
      </c>
      <c r="C3265" t="s">
        <v>1562</v>
      </c>
      <c r="D3265">
        <v>2012</v>
      </c>
      <c r="E3265" s="2">
        <v>30</v>
      </c>
      <c r="F3265" s="2">
        <v>6900</v>
      </c>
      <c r="G3265" s="2"/>
    </row>
    <row r="3266" spans="1:7" x14ac:dyDescent="0.3">
      <c r="A3266" t="s">
        <v>1463</v>
      </c>
      <c r="B3266" t="s">
        <v>1563</v>
      </c>
      <c r="C3266" t="s">
        <v>1564</v>
      </c>
      <c r="D3266">
        <v>2012</v>
      </c>
      <c r="E3266" s="2">
        <v>5</v>
      </c>
      <c r="F3266" s="2">
        <v>1275</v>
      </c>
      <c r="G3266" s="2"/>
    </row>
    <row r="3267" spans="1:7" x14ac:dyDescent="0.3">
      <c r="A3267" t="s">
        <v>1463</v>
      </c>
      <c r="B3267" t="s">
        <v>370</v>
      </c>
      <c r="C3267" t="s">
        <v>1565</v>
      </c>
      <c r="D3267">
        <v>2013</v>
      </c>
      <c r="E3267" s="2">
        <v>100</v>
      </c>
      <c r="F3267" s="2">
        <v>22500</v>
      </c>
      <c r="G3267" s="2"/>
    </row>
    <row r="3268" spans="1:7" x14ac:dyDescent="0.3">
      <c r="A3268" t="s">
        <v>1463</v>
      </c>
      <c r="B3268" t="s">
        <v>1566</v>
      </c>
      <c r="C3268" t="s">
        <v>1567</v>
      </c>
      <c r="D3268">
        <v>2013</v>
      </c>
      <c r="E3268" s="2">
        <v>25</v>
      </c>
      <c r="F3268" s="2">
        <v>6500</v>
      </c>
      <c r="G3268" s="2"/>
    </row>
    <row r="3269" spans="1:7" x14ac:dyDescent="0.3">
      <c r="A3269" t="s">
        <v>1463</v>
      </c>
      <c r="B3269" t="s">
        <v>1568</v>
      </c>
      <c r="C3269" t="s">
        <v>1569</v>
      </c>
      <c r="D3269">
        <v>2012</v>
      </c>
      <c r="E3269" s="2">
        <v>5</v>
      </c>
      <c r="F3269" s="2">
        <v>1150</v>
      </c>
      <c r="G3269" s="2"/>
    </row>
    <row r="3270" spans="1:7" x14ac:dyDescent="0.3">
      <c r="A3270" t="s">
        <v>1463</v>
      </c>
      <c r="B3270" t="s">
        <v>1570</v>
      </c>
      <c r="C3270" t="s">
        <v>1571</v>
      </c>
      <c r="D3270">
        <v>2012</v>
      </c>
      <c r="E3270" s="2">
        <v>5</v>
      </c>
      <c r="F3270" s="2">
        <v>1150</v>
      </c>
      <c r="G3270" s="2"/>
    </row>
    <row r="3271" spans="1:7" x14ac:dyDescent="0.3">
      <c r="A3271" t="s">
        <v>1463</v>
      </c>
      <c r="B3271" t="s">
        <v>826</v>
      </c>
      <c r="C3271" t="s">
        <v>229</v>
      </c>
      <c r="D3271">
        <v>2015</v>
      </c>
      <c r="E3271" s="2">
        <v>1</v>
      </c>
      <c r="F3271" s="2">
        <v>180</v>
      </c>
      <c r="G3271" s="2"/>
    </row>
    <row r="3272" spans="1:7" x14ac:dyDescent="0.3">
      <c r="A3272" t="s">
        <v>1463</v>
      </c>
      <c r="B3272" t="s">
        <v>1572</v>
      </c>
      <c r="C3272" t="s">
        <v>1573</v>
      </c>
      <c r="D3272">
        <v>2012</v>
      </c>
      <c r="E3272" s="2">
        <v>125</v>
      </c>
      <c r="F3272" s="2">
        <v>24375</v>
      </c>
      <c r="G3272" s="2"/>
    </row>
    <row r="3273" spans="1:7" x14ac:dyDescent="0.3">
      <c r="A3273" t="s">
        <v>1463</v>
      </c>
      <c r="B3273" t="s">
        <v>1572</v>
      </c>
      <c r="C3273" t="s">
        <v>1573</v>
      </c>
      <c r="D3273">
        <v>2013</v>
      </c>
      <c r="E3273" s="2">
        <v>10</v>
      </c>
      <c r="F3273" s="2">
        <v>1950</v>
      </c>
      <c r="G3273" s="2"/>
    </row>
    <row r="3274" spans="1:7" x14ac:dyDescent="0.3">
      <c r="A3274" t="s">
        <v>1463</v>
      </c>
      <c r="B3274" t="s">
        <v>1574</v>
      </c>
      <c r="C3274" t="s">
        <v>1575</v>
      </c>
      <c r="D3274">
        <v>2012</v>
      </c>
      <c r="E3274" s="2">
        <v>105</v>
      </c>
      <c r="F3274" s="2">
        <v>21000</v>
      </c>
      <c r="G3274" s="2"/>
    </row>
    <row r="3275" spans="1:7" x14ac:dyDescent="0.3">
      <c r="A3275" t="s">
        <v>1463</v>
      </c>
      <c r="B3275" t="s">
        <v>1576</v>
      </c>
      <c r="C3275" t="s">
        <v>1577</v>
      </c>
      <c r="D3275">
        <v>2012</v>
      </c>
      <c r="E3275" s="2">
        <v>175</v>
      </c>
      <c r="F3275" s="2">
        <v>30075</v>
      </c>
      <c r="G3275" s="2"/>
    </row>
    <row r="3276" spans="1:7" x14ac:dyDescent="0.3">
      <c r="A3276" t="s">
        <v>1463</v>
      </c>
      <c r="B3276" t="s">
        <v>1578</v>
      </c>
      <c r="C3276" t="s">
        <v>1579</v>
      </c>
      <c r="D3276">
        <v>2012</v>
      </c>
      <c r="E3276" s="2">
        <v>70</v>
      </c>
      <c r="F3276" s="2">
        <v>13650</v>
      </c>
      <c r="G3276" s="2"/>
    </row>
    <row r="3277" spans="1:7" x14ac:dyDescent="0.3">
      <c r="A3277" t="s">
        <v>1463</v>
      </c>
      <c r="B3277" t="s">
        <v>1578</v>
      </c>
      <c r="C3277" t="s">
        <v>1579</v>
      </c>
      <c r="D3277">
        <v>2013</v>
      </c>
      <c r="E3277" s="2">
        <v>30</v>
      </c>
      <c r="F3277" s="2">
        <v>5850</v>
      </c>
      <c r="G3277" s="2"/>
    </row>
    <row r="3278" spans="1:7" x14ac:dyDescent="0.3">
      <c r="A3278" t="s">
        <v>1463</v>
      </c>
      <c r="B3278" t="s">
        <v>1580</v>
      </c>
      <c r="C3278" t="s">
        <v>1581</v>
      </c>
      <c r="D3278">
        <v>2012</v>
      </c>
      <c r="E3278" s="2">
        <v>160</v>
      </c>
      <c r="F3278" s="2">
        <v>26400</v>
      </c>
      <c r="G3278" s="2"/>
    </row>
    <row r="3279" spans="1:7" x14ac:dyDescent="0.3">
      <c r="A3279" t="s">
        <v>1463</v>
      </c>
      <c r="B3279" t="s">
        <v>1361</v>
      </c>
      <c r="C3279" t="s">
        <v>1362</v>
      </c>
      <c r="D3279">
        <v>2013</v>
      </c>
      <c r="E3279" s="2">
        <v>100</v>
      </c>
      <c r="F3279" s="2">
        <v>24500</v>
      </c>
      <c r="G3279" s="2"/>
    </row>
    <row r="3280" spans="1:7" x14ac:dyDescent="0.3">
      <c r="A3280" t="s">
        <v>1463</v>
      </c>
      <c r="B3280" t="s">
        <v>1582</v>
      </c>
      <c r="C3280" t="s">
        <v>1583</v>
      </c>
      <c r="D3280">
        <v>2012</v>
      </c>
      <c r="E3280" s="2">
        <v>10</v>
      </c>
      <c r="F3280" s="2">
        <v>2800</v>
      </c>
      <c r="G3280" s="2"/>
    </row>
    <row r="3281" spans="1:7" x14ac:dyDescent="0.3">
      <c r="A3281" t="s">
        <v>1463</v>
      </c>
      <c r="B3281" t="s">
        <v>1584</v>
      </c>
      <c r="C3281" t="s">
        <v>1585</v>
      </c>
      <c r="D3281">
        <v>2012</v>
      </c>
      <c r="E3281" s="2">
        <v>5</v>
      </c>
      <c r="F3281" s="2">
        <v>1150</v>
      </c>
      <c r="G3281" s="2"/>
    </row>
    <row r="3282" spans="1:7" x14ac:dyDescent="0.3">
      <c r="A3282" t="s">
        <v>1463</v>
      </c>
      <c r="B3282" t="s">
        <v>135</v>
      </c>
      <c r="C3282" t="s">
        <v>136</v>
      </c>
      <c r="D3282">
        <v>2013</v>
      </c>
      <c r="E3282" s="2">
        <v>5</v>
      </c>
      <c r="F3282" s="2">
        <v>992.25</v>
      </c>
      <c r="G3282" s="2"/>
    </row>
    <row r="3283" spans="1:7" x14ac:dyDescent="0.3">
      <c r="A3283" t="s">
        <v>1463</v>
      </c>
      <c r="B3283" t="s">
        <v>135</v>
      </c>
      <c r="C3283" t="s">
        <v>136</v>
      </c>
      <c r="D3283">
        <v>2015</v>
      </c>
      <c r="E3283" s="2">
        <v>1</v>
      </c>
      <c r="F3283" s="2">
        <v>200</v>
      </c>
      <c r="G3283" s="2"/>
    </row>
    <row r="3284" spans="1:7" x14ac:dyDescent="0.3">
      <c r="A3284" t="s">
        <v>1463</v>
      </c>
      <c r="B3284" t="s">
        <v>402</v>
      </c>
      <c r="C3284" t="s">
        <v>1586</v>
      </c>
      <c r="D3284">
        <v>2013</v>
      </c>
      <c r="E3284" s="2">
        <v>100</v>
      </c>
      <c r="F3284" s="2">
        <v>105000</v>
      </c>
      <c r="G3284" s="2"/>
    </row>
    <row r="3285" spans="1:7" x14ac:dyDescent="0.3">
      <c r="A3285" t="s">
        <v>1463</v>
      </c>
      <c r="B3285" t="s">
        <v>1587</v>
      </c>
      <c r="C3285" t="s">
        <v>1588</v>
      </c>
      <c r="D3285">
        <v>2013</v>
      </c>
      <c r="E3285" s="2">
        <v>25</v>
      </c>
      <c r="F3285" s="2">
        <v>11500</v>
      </c>
      <c r="G3285" s="2"/>
    </row>
    <row r="3286" spans="1:7" x14ac:dyDescent="0.3">
      <c r="A3286" t="s">
        <v>1463</v>
      </c>
      <c r="B3286" t="s">
        <v>1589</v>
      </c>
      <c r="C3286" t="s">
        <v>1590</v>
      </c>
      <c r="D3286">
        <v>2012</v>
      </c>
      <c r="E3286" s="2">
        <v>25</v>
      </c>
      <c r="F3286" s="2">
        <v>9500</v>
      </c>
      <c r="G3286" s="2"/>
    </row>
    <row r="3287" spans="1:7" x14ac:dyDescent="0.3">
      <c r="A3287" t="s">
        <v>1463</v>
      </c>
      <c r="B3287" t="s">
        <v>312</v>
      </c>
      <c r="C3287" t="s">
        <v>313</v>
      </c>
      <c r="D3287">
        <v>2013</v>
      </c>
      <c r="E3287" s="2">
        <v>5</v>
      </c>
      <c r="F3287" s="2">
        <v>992.25</v>
      </c>
      <c r="G3287" s="2"/>
    </row>
    <row r="3288" spans="1:7" x14ac:dyDescent="0.3">
      <c r="A3288" t="s">
        <v>1463</v>
      </c>
      <c r="B3288" t="s">
        <v>1591</v>
      </c>
      <c r="C3288" t="s">
        <v>960</v>
      </c>
      <c r="D3288">
        <v>2012</v>
      </c>
      <c r="E3288" s="2">
        <v>5</v>
      </c>
      <c r="F3288" s="2">
        <v>875</v>
      </c>
      <c r="G3288" s="2"/>
    </row>
    <row r="3289" spans="1:7" x14ac:dyDescent="0.3">
      <c r="A3289" t="s">
        <v>1463</v>
      </c>
      <c r="B3289" t="s">
        <v>1592</v>
      </c>
      <c r="C3289" t="s">
        <v>1593</v>
      </c>
      <c r="D3289">
        <v>2013</v>
      </c>
      <c r="E3289" s="2">
        <v>25</v>
      </c>
      <c r="F3289" s="2">
        <v>11000</v>
      </c>
      <c r="G3289" s="2"/>
    </row>
    <row r="3290" spans="1:7" x14ac:dyDescent="0.3">
      <c r="A3290" t="s">
        <v>1463</v>
      </c>
      <c r="B3290" t="s">
        <v>1594</v>
      </c>
      <c r="C3290" t="s">
        <v>1595</v>
      </c>
      <c r="D3290">
        <v>2013</v>
      </c>
      <c r="E3290" s="2">
        <v>5</v>
      </c>
      <c r="F3290" s="2">
        <v>1010.65</v>
      </c>
      <c r="G3290" s="2"/>
    </row>
    <row r="3291" spans="1:7" x14ac:dyDescent="0.3">
      <c r="A3291" t="s">
        <v>1463</v>
      </c>
      <c r="B3291" t="s">
        <v>1596</v>
      </c>
      <c r="C3291" t="s">
        <v>1597</v>
      </c>
      <c r="D3291">
        <v>2012</v>
      </c>
      <c r="E3291" s="2">
        <v>5</v>
      </c>
      <c r="F3291" s="2">
        <v>1150</v>
      </c>
      <c r="G3291" s="2"/>
    </row>
    <row r="3292" spans="1:7" x14ac:dyDescent="0.3">
      <c r="A3292" t="s">
        <v>1463</v>
      </c>
      <c r="B3292" t="s">
        <v>1598</v>
      </c>
      <c r="C3292" t="s">
        <v>1599</v>
      </c>
      <c r="D3292">
        <v>2012</v>
      </c>
      <c r="E3292" s="2">
        <v>5</v>
      </c>
      <c r="F3292" s="2">
        <v>1150</v>
      </c>
      <c r="G3292" s="2"/>
    </row>
    <row r="3293" spans="1:7" x14ac:dyDescent="0.3">
      <c r="A3293" t="s">
        <v>1463</v>
      </c>
      <c r="B3293" t="s">
        <v>1600</v>
      </c>
      <c r="C3293" t="s">
        <v>1601</v>
      </c>
      <c r="D3293">
        <v>2012</v>
      </c>
      <c r="E3293" s="2">
        <v>5</v>
      </c>
      <c r="F3293" s="2">
        <v>1275</v>
      </c>
      <c r="G3293" s="2"/>
    </row>
    <row r="3294" spans="1:7" x14ac:dyDescent="0.3">
      <c r="A3294" t="s">
        <v>1463</v>
      </c>
      <c r="B3294" t="s">
        <v>1602</v>
      </c>
      <c r="C3294" t="s">
        <v>521</v>
      </c>
      <c r="D3294">
        <v>2013</v>
      </c>
      <c r="E3294" s="2">
        <v>5</v>
      </c>
      <c r="F3294" s="2">
        <v>918.75</v>
      </c>
      <c r="G3294" s="2"/>
    </row>
    <row r="3295" spans="1:7" x14ac:dyDescent="0.3">
      <c r="A3295" t="s">
        <v>1463</v>
      </c>
      <c r="B3295" t="s">
        <v>1603</v>
      </c>
      <c r="C3295" t="s">
        <v>1604</v>
      </c>
      <c r="D3295">
        <v>2012</v>
      </c>
      <c r="E3295" s="2">
        <v>5</v>
      </c>
      <c r="F3295" s="2">
        <v>1275</v>
      </c>
      <c r="G3295" s="2"/>
    </row>
    <row r="3296" spans="1:7" x14ac:dyDescent="0.3">
      <c r="A3296" t="s">
        <v>1463</v>
      </c>
      <c r="B3296" t="s">
        <v>314</v>
      </c>
      <c r="C3296" t="s">
        <v>315</v>
      </c>
      <c r="D3296">
        <v>2017</v>
      </c>
      <c r="E3296" s="2">
        <v>10</v>
      </c>
      <c r="F3296" s="2">
        <v>1300</v>
      </c>
      <c r="G3296" s="2"/>
    </row>
    <row r="3297" spans="1:7" x14ac:dyDescent="0.3">
      <c r="A3297" t="s">
        <v>1463</v>
      </c>
      <c r="B3297" t="s">
        <v>316</v>
      </c>
      <c r="C3297" t="s">
        <v>317</v>
      </c>
      <c r="D3297">
        <v>2013</v>
      </c>
      <c r="E3297" s="2">
        <v>25</v>
      </c>
      <c r="F3297" s="2">
        <v>13500</v>
      </c>
      <c r="G3297" s="2"/>
    </row>
    <row r="3298" spans="1:7" x14ac:dyDescent="0.3">
      <c r="A3298" t="s">
        <v>1463</v>
      </c>
      <c r="B3298" t="s">
        <v>378</v>
      </c>
      <c r="C3298" t="s">
        <v>379</v>
      </c>
      <c r="D3298">
        <v>2013</v>
      </c>
      <c r="E3298" s="2">
        <v>5</v>
      </c>
      <c r="F3298" s="2">
        <v>918.75</v>
      </c>
      <c r="G3298" s="2"/>
    </row>
    <row r="3299" spans="1:7" x14ac:dyDescent="0.3">
      <c r="A3299" t="s">
        <v>1463</v>
      </c>
      <c r="B3299" t="s">
        <v>1605</v>
      </c>
      <c r="C3299" t="s">
        <v>1606</v>
      </c>
      <c r="D3299">
        <v>2012</v>
      </c>
      <c r="E3299" s="2">
        <v>25</v>
      </c>
      <c r="F3299" s="2">
        <v>12875</v>
      </c>
      <c r="G3299" s="2"/>
    </row>
    <row r="3300" spans="1:7" x14ac:dyDescent="0.3">
      <c r="A3300" t="s">
        <v>1463</v>
      </c>
      <c r="B3300" t="s">
        <v>1605</v>
      </c>
      <c r="C3300" t="s">
        <v>1606</v>
      </c>
      <c r="D3300">
        <v>2013</v>
      </c>
      <c r="E3300" s="2">
        <v>40</v>
      </c>
      <c r="F3300" s="2">
        <v>20600</v>
      </c>
      <c r="G3300" s="2"/>
    </row>
    <row r="3301" spans="1:7" x14ac:dyDescent="0.3">
      <c r="A3301" t="s">
        <v>1463</v>
      </c>
      <c r="B3301" t="s">
        <v>1607</v>
      </c>
      <c r="C3301" t="s">
        <v>1608</v>
      </c>
      <c r="D3301">
        <v>2013</v>
      </c>
      <c r="E3301" s="2">
        <v>1</v>
      </c>
      <c r="F3301" s="2">
        <v>220.5</v>
      </c>
      <c r="G3301" s="2"/>
    </row>
    <row r="3302" spans="1:7" x14ac:dyDescent="0.3">
      <c r="A3302" t="s">
        <v>1463</v>
      </c>
      <c r="B3302" t="s">
        <v>196</v>
      </c>
      <c r="C3302" t="s">
        <v>1609</v>
      </c>
      <c r="D3302">
        <v>2012</v>
      </c>
      <c r="E3302" s="2">
        <v>30</v>
      </c>
      <c r="F3302" s="2">
        <v>11400</v>
      </c>
      <c r="G3302" s="2"/>
    </row>
    <row r="3303" spans="1:7" x14ac:dyDescent="0.3">
      <c r="A3303" t="s">
        <v>1463</v>
      </c>
      <c r="B3303" t="s">
        <v>196</v>
      </c>
      <c r="C3303" t="s">
        <v>197</v>
      </c>
      <c r="D3303">
        <v>2012</v>
      </c>
      <c r="E3303" s="2">
        <v>100</v>
      </c>
      <c r="F3303" s="2">
        <v>24000</v>
      </c>
      <c r="G3303" s="2"/>
    </row>
    <row r="3304" spans="1:7" x14ac:dyDescent="0.3">
      <c r="A3304" t="s">
        <v>1463</v>
      </c>
      <c r="B3304" t="s">
        <v>196</v>
      </c>
      <c r="C3304" t="s">
        <v>197</v>
      </c>
      <c r="D3304">
        <v>2013</v>
      </c>
      <c r="E3304" s="2">
        <v>150</v>
      </c>
      <c r="F3304" s="2">
        <v>36000</v>
      </c>
      <c r="G3304" s="2"/>
    </row>
    <row r="3305" spans="1:7" x14ac:dyDescent="0.3">
      <c r="A3305" t="s">
        <v>1463</v>
      </c>
      <c r="B3305" t="s">
        <v>196</v>
      </c>
      <c r="C3305" t="s">
        <v>197</v>
      </c>
      <c r="D3305">
        <v>2014</v>
      </c>
      <c r="E3305" s="2">
        <v>275</v>
      </c>
      <c r="F3305" s="2">
        <v>66000</v>
      </c>
      <c r="G3305" s="2"/>
    </row>
    <row r="3306" spans="1:7" x14ac:dyDescent="0.3">
      <c r="A3306" t="s">
        <v>1463</v>
      </c>
      <c r="B3306" t="s">
        <v>196</v>
      </c>
      <c r="C3306" t="s">
        <v>197</v>
      </c>
      <c r="D3306">
        <v>2017</v>
      </c>
      <c r="E3306" s="2">
        <v>10</v>
      </c>
      <c r="F3306" s="2">
        <v>2400</v>
      </c>
      <c r="G3306" s="2"/>
    </row>
    <row r="3307" spans="1:7" x14ac:dyDescent="0.3">
      <c r="A3307" t="s">
        <v>1463</v>
      </c>
      <c r="B3307" t="s">
        <v>1610</v>
      </c>
      <c r="C3307" t="s">
        <v>1611</v>
      </c>
      <c r="D3307">
        <v>2012</v>
      </c>
      <c r="E3307" s="2">
        <v>5</v>
      </c>
      <c r="F3307" s="2">
        <v>1150</v>
      </c>
      <c r="G3307" s="2"/>
    </row>
    <row r="3308" spans="1:7" x14ac:dyDescent="0.3">
      <c r="A3308" t="s">
        <v>1463</v>
      </c>
      <c r="B3308" t="s">
        <v>1612</v>
      </c>
      <c r="C3308" t="s">
        <v>1613</v>
      </c>
      <c r="D3308">
        <v>2013</v>
      </c>
      <c r="E3308" s="2">
        <v>1</v>
      </c>
      <c r="F3308" s="2">
        <v>238.88</v>
      </c>
      <c r="G3308" s="2"/>
    </row>
    <row r="3309" spans="1:7" x14ac:dyDescent="0.3">
      <c r="A3309" t="s">
        <v>1463</v>
      </c>
      <c r="B3309" t="s">
        <v>1614</v>
      </c>
      <c r="C3309" t="s">
        <v>1615</v>
      </c>
      <c r="D3309">
        <v>2013</v>
      </c>
      <c r="E3309" s="2">
        <v>1</v>
      </c>
      <c r="F3309" s="2">
        <v>294</v>
      </c>
      <c r="G3309" s="2"/>
    </row>
    <row r="3310" spans="1:7" x14ac:dyDescent="0.3">
      <c r="A3310" t="s">
        <v>1463</v>
      </c>
      <c r="B3310" t="s">
        <v>1616</v>
      </c>
      <c r="C3310" t="s">
        <v>1617</v>
      </c>
      <c r="D3310">
        <v>2014</v>
      </c>
      <c r="E3310" s="2">
        <v>50</v>
      </c>
      <c r="F3310" s="2">
        <v>18000</v>
      </c>
      <c r="G3310" s="2"/>
    </row>
    <row r="3311" spans="1:7" x14ac:dyDescent="0.3">
      <c r="A3311" t="s">
        <v>1463</v>
      </c>
      <c r="B3311" t="s">
        <v>1618</v>
      </c>
      <c r="C3311" t="s">
        <v>1619</v>
      </c>
      <c r="D3311">
        <v>2013</v>
      </c>
      <c r="E3311" s="2">
        <v>70</v>
      </c>
      <c r="F3311" s="2">
        <v>14000</v>
      </c>
      <c r="G3311" s="2"/>
    </row>
    <row r="3312" spans="1:7" x14ac:dyDescent="0.3">
      <c r="A3312" t="s">
        <v>1463</v>
      </c>
      <c r="B3312" t="s">
        <v>1620</v>
      </c>
      <c r="C3312" t="s">
        <v>1621</v>
      </c>
      <c r="D3312">
        <v>2013</v>
      </c>
      <c r="E3312" s="2">
        <v>100</v>
      </c>
      <c r="F3312" s="2">
        <v>30000</v>
      </c>
      <c r="G3312" s="2"/>
    </row>
    <row r="3313" spans="1:7" x14ac:dyDescent="0.3">
      <c r="A3313" t="s">
        <v>1463</v>
      </c>
      <c r="B3313" t="s">
        <v>979</v>
      </c>
      <c r="C3313" t="s">
        <v>1622</v>
      </c>
      <c r="D3313">
        <v>2012</v>
      </c>
      <c r="E3313" s="2">
        <v>10</v>
      </c>
      <c r="F3313" s="2">
        <v>2300</v>
      </c>
      <c r="G3313" s="2"/>
    </row>
    <row r="3314" spans="1:7" x14ac:dyDescent="0.3">
      <c r="A3314" t="s">
        <v>1463</v>
      </c>
      <c r="B3314" t="s">
        <v>149</v>
      </c>
      <c r="C3314" t="s">
        <v>150</v>
      </c>
      <c r="D3314">
        <v>2013</v>
      </c>
      <c r="E3314" s="2">
        <v>1</v>
      </c>
      <c r="F3314" s="2">
        <v>238.88</v>
      </c>
      <c r="G3314" s="2"/>
    </row>
    <row r="3315" spans="1:7" x14ac:dyDescent="0.3">
      <c r="A3315" t="s">
        <v>1463</v>
      </c>
      <c r="B3315" t="s">
        <v>1623</v>
      </c>
      <c r="C3315" t="s">
        <v>1624</v>
      </c>
      <c r="D3315">
        <v>2012</v>
      </c>
      <c r="E3315" s="2">
        <v>10</v>
      </c>
      <c r="F3315" s="2">
        <v>6000</v>
      </c>
      <c r="G3315" s="2"/>
    </row>
    <row r="3316" spans="1:7" x14ac:dyDescent="0.3">
      <c r="A3316" t="s">
        <v>1463</v>
      </c>
      <c r="B3316" t="s">
        <v>1623</v>
      </c>
      <c r="C3316" t="s">
        <v>1624</v>
      </c>
      <c r="D3316">
        <v>2013</v>
      </c>
      <c r="E3316" s="2">
        <v>25</v>
      </c>
      <c r="F3316" s="2">
        <v>15000</v>
      </c>
      <c r="G3316" s="2"/>
    </row>
    <row r="3317" spans="1:7" x14ac:dyDescent="0.3">
      <c r="A3317" t="s">
        <v>1463</v>
      </c>
      <c r="B3317" t="s">
        <v>46</v>
      </c>
      <c r="C3317" t="s">
        <v>47</v>
      </c>
      <c r="D3317">
        <v>2012</v>
      </c>
      <c r="E3317" s="2">
        <v>5</v>
      </c>
      <c r="F3317" s="2">
        <v>800</v>
      </c>
      <c r="G3317" s="2"/>
    </row>
    <row r="3318" spans="1:7" x14ac:dyDescent="0.3">
      <c r="A3318" t="s">
        <v>1463</v>
      </c>
      <c r="B3318" t="s">
        <v>1625</v>
      </c>
      <c r="C3318" t="s">
        <v>1311</v>
      </c>
      <c r="D3318">
        <v>2012</v>
      </c>
      <c r="E3318" s="2">
        <v>10</v>
      </c>
      <c r="F3318" s="2">
        <v>3200</v>
      </c>
      <c r="G3318" s="2"/>
    </row>
    <row r="3319" spans="1:7" x14ac:dyDescent="0.3">
      <c r="A3319" t="s">
        <v>1463</v>
      </c>
      <c r="B3319" t="s">
        <v>1394</v>
      </c>
      <c r="C3319" t="s">
        <v>1395</v>
      </c>
      <c r="D3319">
        <v>2015</v>
      </c>
      <c r="E3319" s="2">
        <v>1</v>
      </c>
      <c r="F3319" s="2">
        <v>180</v>
      </c>
      <c r="G3319" s="2"/>
    </row>
    <row r="3320" spans="1:7" x14ac:dyDescent="0.3">
      <c r="A3320" t="s">
        <v>1463</v>
      </c>
      <c r="B3320" t="s">
        <v>386</v>
      </c>
      <c r="C3320" t="s">
        <v>387</v>
      </c>
      <c r="D3320">
        <v>2012</v>
      </c>
      <c r="E3320" s="2">
        <v>25</v>
      </c>
      <c r="F3320" s="2">
        <v>8000</v>
      </c>
      <c r="G3320" s="2"/>
    </row>
    <row r="3321" spans="1:7" x14ac:dyDescent="0.3">
      <c r="A3321" t="s">
        <v>1463</v>
      </c>
      <c r="B3321" t="s">
        <v>386</v>
      </c>
      <c r="C3321" t="s">
        <v>387</v>
      </c>
      <c r="D3321">
        <v>2013</v>
      </c>
      <c r="E3321" s="2">
        <v>25</v>
      </c>
      <c r="F3321" s="2">
        <v>8000</v>
      </c>
      <c r="G3321" s="2"/>
    </row>
    <row r="3322" spans="1:7" x14ac:dyDescent="0.3">
      <c r="A3322" t="s">
        <v>1463</v>
      </c>
      <c r="B3322" t="s">
        <v>1626</v>
      </c>
      <c r="C3322" t="s">
        <v>1627</v>
      </c>
      <c r="D3322">
        <v>2012</v>
      </c>
      <c r="E3322" s="2">
        <v>10</v>
      </c>
      <c r="F3322" s="2">
        <v>3600</v>
      </c>
      <c r="G3322" s="2"/>
    </row>
    <row r="3323" spans="1:7" x14ac:dyDescent="0.3">
      <c r="A3323" t="s">
        <v>1463</v>
      </c>
      <c r="B3323" t="s">
        <v>1628</v>
      </c>
      <c r="C3323" t="s">
        <v>1525</v>
      </c>
      <c r="D3323">
        <v>2013</v>
      </c>
      <c r="E3323" s="2">
        <v>1</v>
      </c>
      <c r="F3323" s="2">
        <v>154.35</v>
      </c>
      <c r="G3323" s="2"/>
    </row>
    <row r="3324" spans="1:7" x14ac:dyDescent="0.3">
      <c r="A3324" t="s">
        <v>1463</v>
      </c>
      <c r="B3324" t="s">
        <v>1629</v>
      </c>
      <c r="C3324" t="s">
        <v>1630</v>
      </c>
      <c r="D3324">
        <v>2012</v>
      </c>
      <c r="E3324" s="2">
        <v>5</v>
      </c>
      <c r="F3324" s="2">
        <v>1150</v>
      </c>
      <c r="G3324" s="2"/>
    </row>
    <row r="3325" spans="1:7" x14ac:dyDescent="0.3">
      <c r="A3325" t="s">
        <v>1463</v>
      </c>
      <c r="B3325" t="s">
        <v>1631</v>
      </c>
      <c r="C3325" t="s">
        <v>1632</v>
      </c>
      <c r="D3325">
        <v>2013</v>
      </c>
      <c r="E3325" s="2">
        <v>1</v>
      </c>
      <c r="F3325" s="2">
        <v>294</v>
      </c>
      <c r="G3325" s="2"/>
    </row>
    <row r="3326" spans="1:7" x14ac:dyDescent="0.3">
      <c r="A3326" t="s">
        <v>1463</v>
      </c>
      <c r="B3326" t="s">
        <v>388</v>
      </c>
      <c r="C3326" t="s">
        <v>1633</v>
      </c>
      <c r="D3326">
        <v>2012</v>
      </c>
      <c r="E3326" s="2">
        <v>5</v>
      </c>
      <c r="F3326" s="2">
        <v>1275</v>
      </c>
      <c r="G3326" s="2"/>
    </row>
    <row r="3327" spans="1:7" x14ac:dyDescent="0.3">
      <c r="A3327" t="s">
        <v>1463</v>
      </c>
      <c r="B3327" t="s">
        <v>1634</v>
      </c>
      <c r="C3327" t="s">
        <v>1635</v>
      </c>
      <c r="D3327">
        <v>2012</v>
      </c>
      <c r="E3327" s="2">
        <v>5</v>
      </c>
      <c r="F3327" s="2">
        <v>1150</v>
      </c>
      <c r="G3327" s="2"/>
    </row>
    <row r="3328" spans="1:7" x14ac:dyDescent="0.3">
      <c r="A3328" t="s">
        <v>1463</v>
      </c>
      <c r="B3328" t="s">
        <v>1636</v>
      </c>
      <c r="C3328" t="s">
        <v>1637</v>
      </c>
      <c r="D3328">
        <v>2012</v>
      </c>
      <c r="E3328" s="2">
        <v>5</v>
      </c>
      <c r="F3328" s="2">
        <v>1150</v>
      </c>
      <c r="G3328" s="2"/>
    </row>
    <row r="3329" spans="1:8" x14ac:dyDescent="0.3">
      <c r="A3329" t="s">
        <v>1463</v>
      </c>
      <c r="B3329" t="s">
        <v>153</v>
      </c>
      <c r="C3329" t="s">
        <v>154</v>
      </c>
      <c r="D3329">
        <v>2012</v>
      </c>
      <c r="E3329" s="2">
        <v>10</v>
      </c>
      <c r="F3329" s="2">
        <v>2500</v>
      </c>
      <c r="G3329" s="2"/>
    </row>
    <row r="3330" spans="1:8" x14ac:dyDescent="0.3">
      <c r="A3330" t="s">
        <v>1463</v>
      </c>
      <c r="B3330" t="s">
        <v>153</v>
      </c>
      <c r="C3330" t="s">
        <v>154</v>
      </c>
      <c r="D3330">
        <v>2013</v>
      </c>
      <c r="E3330" s="2">
        <v>25</v>
      </c>
      <c r="F3330" s="2">
        <v>6250</v>
      </c>
      <c r="G3330" s="2"/>
    </row>
    <row r="3331" spans="1:8" x14ac:dyDescent="0.3">
      <c r="A3331" t="s">
        <v>1463</v>
      </c>
      <c r="B3331" t="s">
        <v>153</v>
      </c>
      <c r="C3331" t="s">
        <v>154</v>
      </c>
      <c r="D3331">
        <v>2017</v>
      </c>
      <c r="E3331" s="2">
        <v>10</v>
      </c>
      <c r="F3331" s="2">
        <v>2700</v>
      </c>
      <c r="G3331" s="2"/>
    </row>
    <row r="3332" spans="1:8" x14ac:dyDescent="0.3">
      <c r="A3332" t="s">
        <v>1463</v>
      </c>
      <c r="B3332" t="s">
        <v>1638</v>
      </c>
      <c r="C3332" t="s">
        <v>1639</v>
      </c>
      <c r="D3332">
        <v>2012</v>
      </c>
      <c r="E3332" s="2">
        <v>10</v>
      </c>
      <c r="F3332" s="2">
        <v>2600</v>
      </c>
      <c r="G3332" s="2"/>
    </row>
    <row r="3333" spans="1:8" x14ac:dyDescent="0.3">
      <c r="A3333" t="s">
        <v>1640</v>
      </c>
      <c r="B3333" t="s">
        <v>184</v>
      </c>
      <c r="C3333" t="s">
        <v>185</v>
      </c>
      <c r="D3333">
        <v>2014</v>
      </c>
      <c r="E3333" s="2">
        <v>50</v>
      </c>
      <c r="F3333" s="2">
        <v>2000</v>
      </c>
      <c r="G3333" s="2"/>
    </row>
    <row r="3334" spans="1:8" x14ac:dyDescent="0.3">
      <c r="A3334" t="s">
        <v>1641</v>
      </c>
      <c r="B3334" t="s">
        <v>624</v>
      </c>
      <c r="C3334" t="s">
        <v>625</v>
      </c>
      <c r="D3334">
        <v>2019</v>
      </c>
      <c r="E3334" s="2">
        <v>50</v>
      </c>
      <c r="F3334" s="2">
        <v>4400</v>
      </c>
      <c r="G3334" s="2">
        <v>4620</v>
      </c>
    </row>
    <row r="3335" spans="1:8" x14ac:dyDescent="0.3">
      <c r="A3335" t="s">
        <v>1641</v>
      </c>
      <c r="B3335" t="s">
        <v>174</v>
      </c>
      <c r="C3335" t="s">
        <v>175</v>
      </c>
      <c r="D3335">
        <v>2019</v>
      </c>
      <c r="E3335" s="2">
        <v>25</v>
      </c>
      <c r="F3335" s="2">
        <v>1875</v>
      </c>
      <c r="G3335" s="2">
        <v>1968.75</v>
      </c>
    </row>
    <row r="3336" spans="1:8" x14ac:dyDescent="0.3">
      <c r="A3336" t="s">
        <v>1642</v>
      </c>
      <c r="B3336" t="s">
        <v>438</v>
      </c>
      <c r="C3336" t="s">
        <v>439</v>
      </c>
      <c r="D3336">
        <v>2018</v>
      </c>
      <c r="E3336" s="2">
        <v>20</v>
      </c>
      <c r="F3336" s="2">
        <v>1300</v>
      </c>
      <c r="G3336" s="2">
        <v>1365</v>
      </c>
    </row>
    <row r="3337" spans="1:8" x14ac:dyDescent="0.3">
      <c r="A3337" t="s">
        <v>1642</v>
      </c>
      <c r="B3337" t="s">
        <v>1643</v>
      </c>
      <c r="D3337">
        <v>2021</v>
      </c>
      <c r="E3337" s="2">
        <v>5</v>
      </c>
      <c r="F3337" s="2">
        <v>360</v>
      </c>
      <c r="G3337" s="2">
        <v>378</v>
      </c>
      <c r="H3337" s="3" t="s">
        <v>18</v>
      </c>
    </row>
    <row r="3338" spans="1:8" x14ac:dyDescent="0.3">
      <c r="A3338" t="s">
        <v>1644</v>
      </c>
      <c r="B3338" t="s">
        <v>1094</v>
      </c>
      <c r="C3338" t="s">
        <v>209</v>
      </c>
      <c r="D3338">
        <v>2017</v>
      </c>
      <c r="E3338" s="2">
        <v>5</v>
      </c>
      <c r="F3338" s="2">
        <v>700</v>
      </c>
      <c r="G3338" s="2"/>
    </row>
    <row r="3339" spans="1:8" x14ac:dyDescent="0.3">
      <c r="A3339" t="s">
        <v>1644</v>
      </c>
      <c r="B3339" t="s">
        <v>395</v>
      </c>
      <c r="D3339">
        <v>2017</v>
      </c>
      <c r="E3339" s="2">
        <v>5</v>
      </c>
      <c r="F3339" s="2">
        <v>1350</v>
      </c>
      <c r="G3339" s="2"/>
    </row>
    <row r="3340" spans="1:8" x14ac:dyDescent="0.3">
      <c r="A3340" t="s">
        <v>1645</v>
      </c>
      <c r="B3340" t="s">
        <v>666</v>
      </c>
      <c r="C3340" t="s">
        <v>667</v>
      </c>
      <c r="D3340">
        <v>2019</v>
      </c>
      <c r="E3340" s="2">
        <v>1</v>
      </c>
      <c r="F3340" s="2">
        <v>27.5</v>
      </c>
      <c r="G3340" s="2">
        <v>27.5</v>
      </c>
    </row>
    <row r="3341" spans="1:8" x14ac:dyDescent="0.3">
      <c r="A3341" t="s">
        <v>1645</v>
      </c>
      <c r="B3341" t="s">
        <v>26</v>
      </c>
      <c r="C3341" t="s">
        <v>27</v>
      </c>
      <c r="D3341">
        <v>2019</v>
      </c>
      <c r="E3341" s="2">
        <v>1</v>
      </c>
      <c r="F3341" s="2">
        <v>32.5</v>
      </c>
      <c r="G3341" s="2">
        <v>32.5</v>
      </c>
    </row>
    <row r="3342" spans="1:8" x14ac:dyDescent="0.3">
      <c r="A3342" t="s">
        <v>1645</v>
      </c>
      <c r="B3342" t="s">
        <v>351</v>
      </c>
      <c r="C3342" t="s">
        <v>352</v>
      </c>
      <c r="D3342">
        <v>2019</v>
      </c>
      <c r="E3342" s="2">
        <v>1</v>
      </c>
      <c r="F3342" s="2">
        <v>45</v>
      </c>
      <c r="G3342" s="2">
        <v>45</v>
      </c>
    </row>
    <row r="3343" spans="1:8" x14ac:dyDescent="0.3">
      <c r="A3343" t="s">
        <v>1646</v>
      </c>
      <c r="B3343" t="s">
        <v>1647</v>
      </c>
      <c r="D3343">
        <v>2015</v>
      </c>
      <c r="E3343" s="2">
        <v>1</v>
      </c>
      <c r="F3343" s="2">
        <v>120</v>
      </c>
      <c r="G3343" s="2"/>
    </row>
    <row r="3344" spans="1:8" x14ac:dyDescent="0.3">
      <c r="A3344" t="s">
        <v>1646</v>
      </c>
      <c r="B3344" t="s">
        <v>1647</v>
      </c>
      <c r="D3344">
        <v>2016</v>
      </c>
      <c r="E3344" s="2">
        <v>1</v>
      </c>
      <c r="F3344" s="2">
        <v>120</v>
      </c>
      <c r="G3344" s="2"/>
    </row>
    <row r="3345" spans="1:8" x14ac:dyDescent="0.3">
      <c r="A3345" t="s">
        <v>1646</v>
      </c>
      <c r="B3345" t="s">
        <v>1648</v>
      </c>
      <c r="C3345" t="s">
        <v>1649</v>
      </c>
      <c r="D3345">
        <v>2015</v>
      </c>
      <c r="E3345" s="2">
        <v>0.25</v>
      </c>
      <c r="F3345" s="2">
        <v>32.5</v>
      </c>
      <c r="G3345" s="2"/>
    </row>
    <row r="3346" spans="1:8" x14ac:dyDescent="0.3">
      <c r="A3346" t="s">
        <v>1646</v>
      </c>
      <c r="B3346" t="s">
        <v>528</v>
      </c>
      <c r="C3346" t="s">
        <v>529</v>
      </c>
      <c r="D3346">
        <v>2015</v>
      </c>
      <c r="E3346" s="2">
        <v>0.5</v>
      </c>
      <c r="F3346" s="2">
        <v>32.5</v>
      </c>
      <c r="G3346" s="2"/>
    </row>
    <row r="3347" spans="1:8" x14ac:dyDescent="0.3">
      <c r="A3347" t="s">
        <v>1646</v>
      </c>
      <c r="B3347" t="s">
        <v>528</v>
      </c>
      <c r="C3347" t="s">
        <v>529</v>
      </c>
      <c r="D3347">
        <v>2016</v>
      </c>
      <c r="E3347" s="2">
        <v>10</v>
      </c>
      <c r="F3347" s="2">
        <v>800</v>
      </c>
      <c r="G3347" s="2"/>
    </row>
    <row r="3348" spans="1:8" x14ac:dyDescent="0.3">
      <c r="A3348" t="s">
        <v>1646</v>
      </c>
      <c r="B3348" t="s">
        <v>809</v>
      </c>
      <c r="C3348" t="s">
        <v>810</v>
      </c>
      <c r="D3348">
        <v>2016</v>
      </c>
      <c r="E3348" s="2">
        <v>27</v>
      </c>
      <c r="F3348" s="2">
        <v>2565</v>
      </c>
      <c r="G3348" s="2"/>
    </row>
    <row r="3349" spans="1:8" x14ac:dyDescent="0.3">
      <c r="A3349" t="s">
        <v>1646</v>
      </c>
      <c r="B3349" t="s">
        <v>41</v>
      </c>
      <c r="C3349" t="s">
        <v>776</v>
      </c>
      <c r="D3349">
        <v>2015</v>
      </c>
      <c r="E3349" s="2">
        <v>25.25</v>
      </c>
      <c r="F3349" s="2">
        <v>1782.5</v>
      </c>
      <c r="G3349" s="2"/>
    </row>
    <row r="3350" spans="1:8" x14ac:dyDescent="0.3">
      <c r="A3350" t="s">
        <v>1646</v>
      </c>
      <c r="B3350" t="s">
        <v>41</v>
      </c>
      <c r="C3350" t="s">
        <v>776</v>
      </c>
      <c r="D3350">
        <v>2016</v>
      </c>
      <c r="E3350" s="2">
        <v>50</v>
      </c>
      <c r="F3350" s="2">
        <v>3500</v>
      </c>
      <c r="G3350" s="2"/>
    </row>
    <row r="3351" spans="1:8" x14ac:dyDescent="0.3">
      <c r="A3351" t="s">
        <v>1646</v>
      </c>
      <c r="B3351" t="s">
        <v>68</v>
      </c>
      <c r="C3351" t="s">
        <v>69</v>
      </c>
      <c r="D3351">
        <v>2015</v>
      </c>
      <c r="E3351" s="2">
        <v>2</v>
      </c>
      <c r="F3351" s="2">
        <v>180</v>
      </c>
      <c r="G3351" s="2"/>
    </row>
    <row r="3352" spans="1:8" x14ac:dyDescent="0.3">
      <c r="A3352" t="s">
        <v>1646</v>
      </c>
      <c r="B3352" t="s">
        <v>192</v>
      </c>
      <c r="C3352" t="s">
        <v>193</v>
      </c>
      <c r="D3352">
        <v>2015</v>
      </c>
      <c r="E3352" s="2">
        <v>2</v>
      </c>
      <c r="F3352" s="2">
        <v>180</v>
      </c>
      <c r="G3352" s="2"/>
    </row>
    <row r="3353" spans="1:8" x14ac:dyDescent="0.3">
      <c r="A3353" t="s">
        <v>1646</v>
      </c>
      <c r="B3353" t="s">
        <v>883</v>
      </c>
      <c r="C3353" t="s">
        <v>780</v>
      </c>
      <c r="D3353">
        <v>2015</v>
      </c>
      <c r="E3353" s="2">
        <v>0.5</v>
      </c>
      <c r="F3353" s="2">
        <v>32.5</v>
      </c>
      <c r="G3353" s="2"/>
    </row>
    <row r="3354" spans="1:8" x14ac:dyDescent="0.3">
      <c r="A3354" t="s">
        <v>1646</v>
      </c>
      <c r="B3354" t="s">
        <v>883</v>
      </c>
      <c r="C3354" t="s">
        <v>780</v>
      </c>
      <c r="D3354">
        <v>2016</v>
      </c>
      <c r="E3354" s="2">
        <v>50</v>
      </c>
      <c r="F3354" s="2">
        <v>4000</v>
      </c>
      <c r="G3354" s="2"/>
    </row>
    <row r="3355" spans="1:8" x14ac:dyDescent="0.3">
      <c r="A3355" t="s">
        <v>1650</v>
      </c>
      <c r="B3355" t="s">
        <v>476</v>
      </c>
      <c r="C3355" t="s">
        <v>478</v>
      </c>
      <c r="D3355">
        <v>2021</v>
      </c>
      <c r="E3355" s="2">
        <v>200</v>
      </c>
      <c r="F3355" s="2">
        <v>7157</v>
      </c>
      <c r="G3355" s="2">
        <v>7514.85</v>
      </c>
      <c r="H3355" s="3" t="s">
        <v>1651</v>
      </c>
    </row>
    <row r="3356" spans="1:8" x14ac:dyDescent="0.3">
      <c r="A3356" t="s">
        <v>1652</v>
      </c>
      <c r="B3356" t="s">
        <v>696</v>
      </c>
      <c r="C3356" t="s">
        <v>697</v>
      </c>
      <c r="D3356">
        <v>2020</v>
      </c>
      <c r="E3356" s="2">
        <v>1</v>
      </c>
      <c r="F3356" s="2">
        <v>90</v>
      </c>
      <c r="G3356" s="2">
        <v>90</v>
      </c>
    </row>
    <row r="3357" spans="1:8" x14ac:dyDescent="0.3">
      <c r="A3357" t="s">
        <v>1652</v>
      </c>
      <c r="B3357" t="s">
        <v>538</v>
      </c>
      <c r="C3357" t="s">
        <v>539</v>
      </c>
      <c r="D3357">
        <v>2020</v>
      </c>
      <c r="E3357" s="2">
        <v>1</v>
      </c>
      <c r="F3357" s="2">
        <v>100</v>
      </c>
      <c r="G3357" s="2">
        <v>100</v>
      </c>
      <c r="H3357" s="3" t="s">
        <v>374</v>
      </c>
    </row>
    <row r="3358" spans="1:8" x14ac:dyDescent="0.3">
      <c r="A3358" t="s">
        <v>1652</v>
      </c>
      <c r="B3358" t="s">
        <v>538</v>
      </c>
      <c r="C3358" t="s">
        <v>539</v>
      </c>
      <c r="D3358">
        <v>2021</v>
      </c>
      <c r="E3358" s="2">
        <v>2</v>
      </c>
      <c r="F3358" s="2">
        <v>200</v>
      </c>
      <c r="G3358" s="2">
        <v>200</v>
      </c>
      <c r="H3358" s="3" t="s">
        <v>374</v>
      </c>
    </row>
    <row r="3359" spans="1:8" x14ac:dyDescent="0.3">
      <c r="A3359" t="s">
        <v>1652</v>
      </c>
      <c r="B3359" t="s">
        <v>1653</v>
      </c>
      <c r="C3359" t="s">
        <v>1654</v>
      </c>
      <c r="D3359">
        <v>2020</v>
      </c>
      <c r="E3359" s="2">
        <v>1</v>
      </c>
      <c r="F3359" s="2">
        <v>90</v>
      </c>
      <c r="G3359" s="2">
        <v>90</v>
      </c>
    </row>
    <row r="3360" spans="1:8" x14ac:dyDescent="0.3">
      <c r="A3360" t="s">
        <v>1652</v>
      </c>
      <c r="B3360" t="s">
        <v>671</v>
      </c>
      <c r="C3360" t="s">
        <v>672</v>
      </c>
      <c r="D3360">
        <v>2020</v>
      </c>
      <c r="E3360" s="2">
        <v>2</v>
      </c>
      <c r="F3360" s="2">
        <v>200</v>
      </c>
      <c r="G3360" s="2">
        <v>200</v>
      </c>
    </row>
    <row r="3361" spans="1:8" x14ac:dyDescent="0.3">
      <c r="A3361" t="s">
        <v>1655</v>
      </c>
      <c r="B3361" t="s">
        <v>51</v>
      </c>
      <c r="C3361" t="s">
        <v>52</v>
      </c>
      <c r="D3361">
        <v>2017</v>
      </c>
      <c r="E3361" s="2">
        <v>1</v>
      </c>
      <c r="F3361" s="2">
        <v>140</v>
      </c>
      <c r="G3361" s="2"/>
    </row>
    <row r="3362" spans="1:8" x14ac:dyDescent="0.3">
      <c r="A3362" t="s">
        <v>1655</v>
      </c>
      <c r="B3362" t="s">
        <v>82</v>
      </c>
      <c r="C3362" t="s">
        <v>83</v>
      </c>
      <c r="D3362">
        <v>2017</v>
      </c>
      <c r="E3362" s="2">
        <v>1</v>
      </c>
      <c r="F3362" s="2">
        <v>300</v>
      </c>
      <c r="G3362" s="2"/>
    </row>
    <row r="3363" spans="1:8" x14ac:dyDescent="0.3">
      <c r="A3363" t="s">
        <v>1655</v>
      </c>
      <c r="B3363" t="s">
        <v>84</v>
      </c>
      <c r="C3363" t="s">
        <v>85</v>
      </c>
      <c r="D3363">
        <v>2017</v>
      </c>
      <c r="E3363" s="2">
        <v>1</v>
      </c>
      <c r="F3363" s="2">
        <v>120</v>
      </c>
      <c r="G3363" s="2"/>
    </row>
    <row r="3364" spans="1:8" x14ac:dyDescent="0.3">
      <c r="A3364" t="s">
        <v>1655</v>
      </c>
      <c r="B3364" t="s">
        <v>558</v>
      </c>
      <c r="C3364" t="s">
        <v>559</v>
      </c>
      <c r="D3364">
        <v>2017</v>
      </c>
      <c r="E3364" s="2">
        <v>1</v>
      </c>
      <c r="F3364" s="2">
        <v>100</v>
      </c>
      <c r="G3364" s="2"/>
    </row>
    <row r="3365" spans="1:8" x14ac:dyDescent="0.3">
      <c r="A3365" t="s">
        <v>1655</v>
      </c>
      <c r="B3365" t="s">
        <v>653</v>
      </c>
      <c r="C3365" t="s">
        <v>654</v>
      </c>
      <c r="D3365">
        <v>2020</v>
      </c>
      <c r="E3365" s="2">
        <v>1</v>
      </c>
      <c r="F3365" s="2">
        <v>95</v>
      </c>
      <c r="G3365" s="2">
        <v>99.75</v>
      </c>
    </row>
    <row r="3366" spans="1:8" x14ac:dyDescent="0.3">
      <c r="A3366" t="s">
        <v>1656</v>
      </c>
      <c r="B3366" t="s">
        <v>24</v>
      </c>
      <c r="C3366" t="s">
        <v>25</v>
      </c>
      <c r="D3366">
        <v>2017</v>
      </c>
      <c r="E3366" s="2">
        <v>25</v>
      </c>
      <c r="F3366" s="2">
        <v>2500</v>
      </c>
      <c r="G3366" s="2"/>
      <c r="H3366" s="3" t="s">
        <v>1657</v>
      </c>
    </row>
    <row r="3367" spans="1:8" x14ac:dyDescent="0.3">
      <c r="A3367" t="s">
        <v>1656</v>
      </c>
      <c r="B3367" t="s">
        <v>24</v>
      </c>
      <c r="C3367" t="s">
        <v>25</v>
      </c>
      <c r="D3367">
        <v>2019</v>
      </c>
      <c r="E3367" s="2">
        <v>25</v>
      </c>
      <c r="F3367" s="2">
        <v>2250</v>
      </c>
      <c r="G3367" s="2">
        <v>2362.5</v>
      </c>
      <c r="H3367" s="3" t="s">
        <v>1657</v>
      </c>
    </row>
    <row r="3368" spans="1:8" x14ac:dyDescent="0.3">
      <c r="A3368" t="s">
        <v>1656</v>
      </c>
      <c r="B3368" t="s">
        <v>24</v>
      </c>
      <c r="C3368" t="s">
        <v>25</v>
      </c>
      <c r="D3368">
        <v>2020</v>
      </c>
      <c r="E3368" s="2">
        <v>25</v>
      </c>
      <c r="F3368" s="2">
        <v>2250</v>
      </c>
      <c r="G3368" s="2">
        <v>2362.5</v>
      </c>
      <c r="H3368" s="3" t="s">
        <v>1657</v>
      </c>
    </row>
    <row r="3369" spans="1:8" x14ac:dyDescent="0.3">
      <c r="A3369" t="s">
        <v>1656</v>
      </c>
      <c r="B3369" t="s">
        <v>24</v>
      </c>
      <c r="C3369" t="s">
        <v>25</v>
      </c>
      <c r="D3369">
        <v>2021</v>
      </c>
      <c r="E3369" s="2">
        <v>25</v>
      </c>
      <c r="F3369" s="2">
        <v>2250</v>
      </c>
      <c r="G3369" s="2">
        <v>2362.5</v>
      </c>
      <c r="H3369" s="3" t="s">
        <v>1657</v>
      </c>
    </row>
    <row r="3370" spans="1:8" x14ac:dyDescent="0.3">
      <c r="A3370" t="s">
        <v>1656</v>
      </c>
      <c r="B3370" t="s">
        <v>110</v>
      </c>
      <c r="C3370" t="s">
        <v>111</v>
      </c>
      <c r="D3370">
        <v>2021</v>
      </c>
      <c r="E3370" s="2">
        <v>25</v>
      </c>
      <c r="F3370" s="2">
        <v>1250</v>
      </c>
      <c r="G3370" s="2">
        <v>1312.5</v>
      </c>
      <c r="H3370" s="3" t="s">
        <v>14</v>
      </c>
    </row>
    <row r="3371" spans="1:8" x14ac:dyDescent="0.3">
      <c r="A3371" t="s">
        <v>1656</v>
      </c>
      <c r="B3371" t="s">
        <v>863</v>
      </c>
      <c r="D3371">
        <v>2020</v>
      </c>
      <c r="E3371" s="2">
        <v>5</v>
      </c>
      <c r="F3371" s="2">
        <v>400</v>
      </c>
      <c r="G3371" s="2">
        <v>420</v>
      </c>
    </row>
    <row r="3372" spans="1:8" x14ac:dyDescent="0.3">
      <c r="A3372" t="s">
        <v>1656</v>
      </c>
      <c r="B3372" t="s">
        <v>240</v>
      </c>
      <c r="D3372">
        <v>2020</v>
      </c>
      <c r="E3372" s="2">
        <v>5</v>
      </c>
      <c r="F3372" s="2">
        <v>425</v>
      </c>
      <c r="G3372" s="2">
        <v>446.25</v>
      </c>
    </row>
    <row r="3373" spans="1:8" x14ac:dyDescent="0.3">
      <c r="A3373" t="s">
        <v>1656</v>
      </c>
      <c r="B3373" t="s">
        <v>46</v>
      </c>
      <c r="C3373" t="s">
        <v>47</v>
      </c>
      <c r="D3373">
        <v>2016</v>
      </c>
      <c r="E3373" s="2">
        <v>25</v>
      </c>
      <c r="F3373" s="2">
        <v>2500</v>
      </c>
      <c r="G3373" s="2"/>
    </row>
    <row r="3374" spans="1:8" x14ac:dyDescent="0.3">
      <c r="A3374" t="s">
        <v>1656</v>
      </c>
      <c r="B3374" t="s">
        <v>46</v>
      </c>
      <c r="C3374" t="s">
        <v>47</v>
      </c>
      <c r="D3374">
        <v>2020</v>
      </c>
      <c r="E3374" s="2">
        <v>1</v>
      </c>
      <c r="F3374" s="2">
        <v>65</v>
      </c>
      <c r="G3374" s="2">
        <v>68.25</v>
      </c>
    </row>
    <row r="3375" spans="1:8" x14ac:dyDescent="0.3">
      <c r="A3375" t="s">
        <v>1656</v>
      </c>
      <c r="B3375" t="s">
        <v>483</v>
      </c>
      <c r="C3375" t="s">
        <v>484</v>
      </c>
      <c r="D3375">
        <v>2021</v>
      </c>
      <c r="E3375" s="2">
        <v>5</v>
      </c>
      <c r="F3375" s="2">
        <v>325</v>
      </c>
      <c r="G3375" s="2">
        <v>341.25</v>
      </c>
      <c r="H3375" s="3" t="s">
        <v>18</v>
      </c>
    </row>
    <row r="3376" spans="1:8" x14ac:dyDescent="0.3">
      <c r="A3376" t="s">
        <v>1658</v>
      </c>
      <c r="B3376" t="s">
        <v>1214</v>
      </c>
      <c r="C3376" t="s">
        <v>1215</v>
      </c>
      <c r="D3376">
        <v>2016</v>
      </c>
      <c r="E3376" s="2">
        <v>50</v>
      </c>
      <c r="F3376" s="2">
        <v>3250</v>
      </c>
      <c r="G3376" s="2"/>
    </row>
    <row r="3377" spans="1:7" x14ac:dyDescent="0.3">
      <c r="A3377" t="s">
        <v>1658</v>
      </c>
      <c r="B3377" t="s">
        <v>417</v>
      </c>
      <c r="C3377" t="s">
        <v>418</v>
      </c>
      <c r="D3377">
        <v>2017</v>
      </c>
      <c r="E3377" s="2">
        <v>50</v>
      </c>
      <c r="F3377" s="2">
        <v>3250</v>
      </c>
      <c r="G3377" s="2"/>
    </row>
    <row r="3378" spans="1:7" x14ac:dyDescent="0.3">
      <c r="A3378" t="s">
        <v>1658</v>
      </c>
      <c r="B3378" t="s">
        <v>26</v>
      </c>
      <c r="C3378" t="s">
        <v>27</v>
      </c>
      <c r="D3378">
        <v>2016</v>
      </c>
      <c r="E3378" s="2">
        <v>285</v>
      </c>
      <c r="F3378" s="2">
        <v>17025</v>
      </c>
      <c r="G3378" s="2"/>
    </row>
    <row r="3379" spans="1:7" x14ac:dyDescent="0.3">
      <c r="A3379" t="s">
        <v>1658</v>
      </c>
      <c r="B3379" t="s">
        <v>1659</v>
      </c>
      <c r="C3379" t="s">
        <v>27</v>
      </c>
      <c r="D3379">
        <v>2016</v>
      </c>
      <c r="E3379" s="2">
        <v>200</v>
      </c>
      <c r="F3379" s="2">
        <v>9000</v>
      </c>
      <c r="G3379" s="2"/>
    </row>
    <row r="3380" spans="1:7" x14ac:dyDescent="0.3">
      <c r="A3380" t="s">
        <v>1658</v>
      </c>
      <c r="B3380" t="s">
        <v>28</v>
      </c>
      <c r="D3380">
        <v>2015</v>
      </c>
      <c r="E3380" s="2">
        <v>10</v>
      </c>
      <c r="F3380" s="2">
        <v>4900</v>
      </c>
      <c r="G3380" s="2"/>
    </row>
    <row r="3381" spans="1:7" x14ac:dyDescent="0.3">
      <c r="A3381" t="s">
        <v>1658</v>
      </c>
      <c r="B3381" t="s">
        <v>28</v>
      </c>
      <c r="D3381">
        <v>2016</v>
      </c>
      <c r="E3381" s="2">
        <v>10</v>
      </c>
      <c r="F3381" s="2">
        <v>4900</v>
      </c>
      <c r="G3381" s="2"/>
    </row>
    <row r="3382" spans="1:7" x14ac:dyDescent="0.3">
      <c r="A3382" t="s">
        <v>1658</v>
      </c>
      <c r="B3382" t="s">
        <v>567</v>
      </c>
      <c r="C3382" t="s">
        <v>698</v>
      </c>
      <c r="D3382">
        <v>2017</v>
      </c>
      <c r="E3382" s="2">
        <v>25</v>
      </c>
      <c r="F3382" s="2">
        <v>1750</v>
      </c>
      <c r="G3382" s="2"/>
    </row>
    <row r="3383" spans="1:7" x14ac:dyDescent="0.3">
      <c r="A3383" t="s">
        <v>1658</v>
      </c>
      <c r="B3383" t="s">
        <v>41</v>
      </c>
      <c r="C3383" t="s">
        <v>42</v>
      </c>
      <c r="D3383">
        <v>2014</v>
      </c>
      <c r="E3383" s="2">
        <v>50</v>
      </c>
      <c r="F3383" s="2">
        <v>3750</v>
      </c>
      <c r="G3383" s="2"/>
    </row>
    <row r="3384" spans="1:7" x14ac:dyDescent="0.3">
      <c r="A3384" t="s">
        <v>1658</v>
      </c>
      <c r="B3384" t="s">
        <v>741</v>
      </c>
      <c r="C3384" t="s">
        <v>742</v>
      </c>
      <c r="D3384">
        <v>2016</v>
      </c>
      <c r="E3384" s="2">
        <v>100</v>
      </c>
      <c r="F3384" s="2">
        <v>6500</v>
      </c>
      <c r="G3384" s="2"/>
    </row>
    <row r="3385" spans="1:7" x14ac:dyDescent="0.3">
      <c r="A3385" t="s">
        <v>1658</v>
      </c>
      <c r="B3385" t="s">
        <v>828</v>
      </c>
      <c r="D3385">
        <v>2016</v>
      </c>
      <c r="E3385" s="2">
        <v>10</v>
      </c>
      <c r="F3385" s="2">
        <v>3200</v>
      </c>
      <c r="G3385" s="2"/>
    </row>
    <row r="3386" spans="1:7" x14ac:dyDescent="0.3">
      <c r="A3386" t="s">
        <v>1658</v>
      </c>
      <c r="B3386" t="s">
        <v>45</v>
      </c>
      <c r="D3386">
        <v>2013</v>
      </c>
      <c r="E3386" s="2">
        <v>5</v>
      </c>
      <c r="F3386" s="2">
        <v>450</v>
      </c>
      <c r="G3386" s="2"/>
    </row>
    <row r="3387" spans="1:7" x14ac:dyDescent="0.3">
      <c r="A3387" t="s">
        <v>1658</v>
      </c>
      <c r="B3387" t="s">
        <v>240</v>
      </c>
      <c r="D3387">
        <v>2013</v>
      </c>
      <c r="E3387" s="2">
        <v>5</v>
      </c>
      <c r="F3387" s="2">
        <v>450</v>
      </c>
      <c r="G3387" s="2"/>
    </row>
    <row r="3388" spans="1:7" x14ac:dyDescent="0.3">
      <c r="A3388" t="s">
        <v>1658</v>
      </c>
      <c r="B3388" t="s">
        <v>240</v>
      </c>
      <c r="D3388">
        <v>2014</v>
      </c>
      <c r="E3388" s="2">
        <v>20</v>
      </c>
      <c r="F3388" s="2">
        <v>2000</v>
      </c>
      <c r="G3388" s="2"/>
    </row>
    <row r="3389" spans="1:7" x14ac:dyDescent="0.3">
      <c r="A3389" t="s">
        <v>1658</v>
      </c>
      <c r="B3389" t="s">
        <v>32</v>
      </c>
      <c r="D3389">
        <v>2013</v>
      </c>
      <c r="E3389" s="2">
        <v>40</v>
      </c>
      <c r="F3389" s="2">
        <v>3520</v>
      </c>
      <c r="G3389" s="2"/>
    </row>
    <row r="3390" spans="1:7" x14ac:dyDescent="0.3">
      <c r="A3390" t="s">
        <v>1658</v>
      </c>
      <c r="B3390" t="s">
        <v>32</v>
      </c>
      <c r="D3390">
        <v>2014</v>
      </c>
      <c r="E3390" s="2">
        <v>40</v>
      </c>
      <c r="F3390" s="2">
        <v>3400</v>
      </c>
      <c r="G3390" s="2"/>
    </row>
    <row r="3391" spans="1:7" x14ac:dyDescent="0.3">
      <c r="A3391" t="s">
        <v>1658</v>
      </c>
      <c r="B3391" t="s">
        <v>32</v>
      </c>
      <c r="D3391">
        <v>2015</v>
      </c>
      <c r="E3391" s="2">
        <v>80</v>
      </c>
      <c r="F3391" s="2">
        <v>6800</v>
      </c>
      <c r="G3391" s="2"/>
    </row>
    <row r="3392" spans="1:7" x14ac:dyDescent="0.3">
      <c r="A3392" t="s">
        <v>1658</v>
      </c>
      <c r="B3392" t="s">
        <v>32</v>
      </c>
      <c r="D3392">
        <v>2016</v>
      </c>
      <c r="E3392" s="2">
        <v>180</v>
      </c>
      <c r="F3392" s="2">
        <v>15300</v>
      </c>
      <c r="G3392" s="2"/>
    </row>
    <row r="3393" spans="1:8" x14ac:dyDescent="0.3">
      <c r="A3393" t="s">
        <v>1658</v>
      </c>
      <c r="B3393" t="s">
        <v>32</v>
      </c>
      <c r="D3393">
        <v>2017</v>
      </c>
      <c r="E3393" s="2">
        <v>40</v>
      </c>
      <c r="F3393" s="2">
        <v>3400</v>
      </c>
      <c r="G3393" s="2"/>
    </row>
    <row r="3394" spans="1:8" x14ac:dyDescent="0.3">
      <c r="A3394" t="s">
        <v>1658</v>
      </c>
      <c r="B3394" t="s">
        <v>864</v>
      </c>
      <c r="D3394">
        <v>2013</v>
      </c>
      <c r="E3394" s="2">
        <v>5</v>
      </c>
      <c r="F3394" s="2">
        <v>450</v>
      </c>
      <c r="G3394" s="2"/>
    </row>
    <row r="3395" spans="1:8" x14ac:dyDescent="0.3">
      <c r="A3395" t="s">
        <v>1660</v>
      </c>
      <c r="B3395" t="s">
        <v>1661</v>
      </c>
      <c r="D3395">
        <v>2020</v>
      </c>
      <c r="E3395" s="2">
        <v>200</v>
      </c>
      <c r="F3395" s="2">
        <v>16800</v>
      </c>
      <c r="G3395" s="2">
        <v>17640</v>
      </c>
    </row>
    <row r="3396" spans="1:8" x14ac:dyDescent="0.3">
      <c r="A3396" t="s">
        <v>1662</v>
      </c>
      <c r="B3396" t="s">
        <v>55</v>
      </c>
      <c r="D3396">
        <v>2019</v>
      </c>
      <c r="E3396" s="2">
        <v>2</v>
      </c>
      <c r="F3396" s="2">
        <v>600</v>
      </c>
      <c r="G3396" s="2">
        <v>630</v>
      </c>
      <c r="H3396" s="3" t="s">
        <v>18</v>
      </c>
    </row>
    <row r="3397" spans="1:8" x14ac:dyDescent="0.3">
      <c r="A3397" t="s">
        <v>1662</v>
      </c>
      <c r="B3397" t="s">
        <v>55</v>
      </c>
      <c r="D3397">
        <v>2020</v>
      </c>
      <c r="E3397" s="2">
        <v>1</v>
      </c>
      <c r="F3397" s="2">
        <v>300</v>
      </c>
      <c r="G3397" s="2">
        <v>315</v>
      </c>
      <c r="H3397" s="3" t="s">
        <v>18</v>
      </c>
    </row>
    <row r="3398" spans="1:8" x14ac:dyDescent="0.3">
      <c r="A3398" t="s">
        <v>1662</v>
      </c>
      <c r="B3398" t="s">
        <v>55</v>
      </c>
      <c r="D3398">
        <v>2021</v>
      </c>
      <c r="E3398" s="2">
        <v>1</v>
      </c>
      <c r="F3398" s="2">
        <v>300</v>
      </c>
      <c r="G3398" s="2">
        <v>315</v>
      </c>
      <c r="H3398" s="3" t="s">
        <v>18</v>
      </c>
    </row>
    <row r="3399" spans="1:8" x14ac:dyDescent="0.3">
      <c r="A3399" t="s">
        <v>1662</v>
      </c>
      <c r="B3399" t="s">
        <v>95</v>
      </c>
      <c r="C3399" t="s">
        <v>96</v>
      </c>
      <c r="D3399">
        <v>2018</v>
      </c>
      <c r="E3399" s="2">
        <v>1</v>
      </c>
      <c r="F3399" s="2">
        <v>220</v>
      </c>
      <c r="G3399" s="2">
        <v>231</v>
      </c>
    </row>
    <row r="3400" spans="1:8" x14ac:dyDescent="0.3">
      <c r="A3400" t="s">
        <v>1662</v>
      </c>
      <c r="B3400" t="s">
        <v>95</v>
      </c>
      <c r="C3400" t="s">
        <v>96</v>
      </c>
      <c r="D3400">
        <v>2019</v>
      </c>
      <c r="E3400" s="2">
        <v>1</v>
      </c>
      <c r="F3400" s="2">
        <v>220</v>
      </c>
      <c r="G3400" s="2">
        <v>231</v>
      </c>
    </row>
    <row r="3401" spans="1:8" x14ac:dyDescent="0.3">
      <c r="A3401" t="s">
        <v>1662</v>
      </c>
      <c r="B3401" t="s">
        <v>265</v>
      </c>
      <c r="C3401" t="s">
        <v>197</v>
      </c>
      <c r="D3401">
        <v>2018</v>
      </c>
      <c r="E3401" s="2">
        <v>1</v>
      </c>
      <c r="F3401" s="2">
        <v>220</v>
      </c>
      <c r="G3401" s="2">
        <v>231</v>
      </c>
    </row>
    <row r="3402" spans="1:8" x14ac:dyDescent="0.3">
      <c r="A3402" t="s">
        <v>1662</v>
      </c>
      <c r="B3402" t="s">
        <v>265</v>
      </c>
      <c r="C3402" t="s">
        <v>197</v>
      </c>
      <c r="D3402">
        <v>2019</v>
      </c>
      <c r="E3402" s="2">
        <v>1</v>
      </c>
      <c r="F3402" s="2">
        <v>170</v>
      </c>
      <c r="G3402" s="2">
        <v>178.5</v>
      </c>
    </row>
    <row r="3403" spans="1:8" x14ac:dyDescent="0.3">
      <c r="A3403" t="s">
        <v>1662</v>
      </c>
      <c r="B3403" t="s">
        <v>265</v>
      </c>
      <c r="C3403" t="s">
        <v>197</v>
      </c>
      <c r="D3403">
        <v>2020</v>
      </c>
      <c r="E3403" s="2">
        <v>1</v>
      </c>
      <c r="F3403" s="2">
        <v>220</v>
      </c>
      <c r="G3403" s="2">
        <v>231</v>
      </c>
    </row>
    <row r="3404" spans="1:8" x14ac:dyDescent="0.3">
      <c r="A3404" t="s">
        <v>1662</v>
      </c>
      <c r="B3404" t="s">
        <v>383</v>
      </c>
      <c r="C3404" t="s">
        <v>384</v>
      </c>
      <c r="D3404">
        <v>2020</v>
      </c>
      <c r="E3404" s="2">
        <v>5</v>
      </c>
      <c r="F3404" s="2">
        <v>1100</v>
      </c>
      <c r="G3404" s="2">
        <v>1155</v>
      </c>
    </row>
    <row r="3405" spans="1:8" x14ac:dyDescent="0.3">
      <c r="A3405" t="s">
        <v>1662</v>
      </c>
      <c r="B3405" t="s">
        <v>74</v>
      </c>
      <c r="C3405" t="s">
        <v>75</v>
      </c>
      <c r="D3405">
        <v>2017</v>
      </c>
      <c r="E3405" s="2">
        <v>1</v>
      </c>
      <c r="F3405" s="2">
        <v>210</v>
      </c>
      <c r="G3405" s="2"/>
    </row>
    <row r="3406" spans="1:8" x14ac:dyDescent="0.3">
      <c r="A3406" t="s">
        <v>1662</v>
      </c>
      <c r="B3406" t="s">
        <v>74</v>
      </c>
      <c r="C3406" t="s">
        <v>75</v>
      </c>
      <c r="D3406">
        <v>2019</v>
      </c>
      <c r="E3406" s="2">
        <v>1</v>
      </c>
      <c r="F3406" s="2">
        <v>210</v>
      </c>
      <c r="G3406" s="2">
        <v>220.5</v>
      </c>
    </row>
    <row r="3407" spans="1:8" x14ac:dyDescent="0.3">
      <c r="A3407" t="s">
        <v>1662</v>
      </c>
      <c r="B3407" t="s">
        <v>159</v>
      </c>
      <c r="C3407" t="s">
        <v>160</v>
      </c>
      <c r="D3407">
        <v>2018</v>
      </c>
      <c r="E3407" s="2">
        <v>1</v>
      </c>
      <c r="F3407" s="2">
        <v>240</v>
      </c>
      <c r="G3407" s="2">
        <v>252</v>
      </c>
    </row>
    <row r="3408" spans="1:8" x14ac:dyDescent="0.3">
      <c r="A3408" t="s">
        <v>1663</v>
      </c>
      <c r="B3408" t="s">
        <v>610</v>
      </c>
      <c r="C3408" t="s">
        <v>611</v>
      </c>
      <c r="D3408">
        <v>2019</v>
      </c>
      <c r="E3408" s="2">
        <v>5</v>
      </c>
      <c r="F3408" s="2">
        <v>375</v>
      </c>
      <c r="G3408" s="2">
        <v>393.75</v>
      </c>
    </row>
    <row r="3409" spans="1:7" x14ac:dyDescent="0.3">
      <c r="A3409" t="s">
        <v>1663</v>
      </c>
      <c r="B3409" t="s">
        <v>34</v>
      </c>
      <c r="D3409">
        <v>2019</v>
      </c>
      <c r="E3409" s="2">
        <v>1</v>
      </c>
      <c r="F3409" s="2">
        <v>95</v>
      </c>
      <c r="G3409" s="2">
        <v>99.75</v>
      </c>
    </row>
    <row r="3410" spans="1:7" x14ac:dyDescent="0.3">
      <c r="A3410" t="s">
        <v>1663</v>
      </c>
      <c r="B3410" t="s">
        <v>34</v>
      </c>
      <c r="D3410">
        <v>2020</v>
      </c>
      <c r="E3410" s="2">
        <v>1</v>
      </c>
      <c r="F3410" s="2">
        <v>110</v>
      </c>
      <c r="G3410" s="2">
        <v>115.5</v>
      </c>
    </row>
    <row r="3411" spans="1:7" x14ac:dyDescent="0.3">
      <c r="A3411" t="s">
        <v>1663</v>
      </c>
      <c r="B3411" t="s">
        <v>453</v>
      </c>
      <c r="D3411">
        <v>2019</v>
      </c>
      <c r="E3411" s="2">
        <v>1</v>
      </c>
      <c r="F3411" s="2">
        <v>70</v>
      </c>
      <c r="G3411" s="2">
        <v>73.5</v>
      </c>
    </row>
    <row r="3412" spans="1:7" x14ac:dyDescent="0.3">
      <c r="A3412" t="s">
        <v>1663</v>
      </c>
      <c r="B3412" t="s">
        <v>461</v>
      </c>
      <c r="D3412">
        <v>2019</v>
      </c>
      <c r="E3412" s="2">
        <v>1</v>
      </c>
      <c r="F3412" s="2">
        <v>70</v>
      </c>
      <c r="G3412" s="2">
        <v>73.5</v>
      </c>
    </row>
    <row r="3413" spans="1:7" x14ac:dyDescent="0.3">
      <c r="A3413" t="s">
        <v>1663</v>
      </c>
      <c r="B3413" t="s">
        <v>35</v>
      </c>
      <c r="D3413">
        <v>2019</v>
      </c>
      <c r="E3413" s="2">
        <v>1</v>
      </c>
      <c r="F3413" s="2">
        <v>85</v>
      </c>
      <c r="G3413" s="2">
        <v>89.25</v>
      </c>
    </row>
    <row r="3414" spans="1:7" x14ac:dyDescent="0.3">
      <c r="A3414" t="s">
        <v>1663</v>
      </c>
      <c r="B3414" t="s">
        <v>642</v>
      </c>
      <c r="D3414">
        <v>2019</v>
      </c>
      <c r="E3414" s="2">
        <v>1</v>
      </c>
      <c r="F3414" s="2">
        <v>100</v>
      </c>
      <c r="G3414" s="2">
        <v>105</v>
      </c>
    </row>
    <row r="3415" spans="1:7" x14ac:dyDescent="0.3">
      <c r="A3415" t="s">
        <v>1663</v>
      </c>
      <c r="B3415" t="s">
        <v>349</v>
      </c>
      <c r="C3415" t="s">
        <v>350</v>
      </c>
      <c r="D3415">
        <v>2019</v>
      </c>
      <c r="E3415" s="2">
        <v>15</v>
      </c>
      <c r="F3415" s="2">
        <v>1425</v>
      </c>
      <c r="G3415" s="2">
        <v>1496.25</v>
      </c>
    </row>
    <row r="3416" spans="1:7" x14ac:dyDescent="0.3">
      <c r="A3416" t="s">
        <v>1663</v>
      </c>
      <c r="B3416" t="s">
        <v>349</v>
      </c>
      <c r="C3416" t="s">
        <v>350</v>
      </c>
      <c r="D3416">
        <v>2020</v>
      </c>
      <c r="E3416" s="2">
        <v>5</v>
      </c>
      <c r="F3416" s="2">
        <v>475</v>
      </c>
      <c r="G3416" s="2">
        <v>498.75</v>
      </c>
    </row>
    <row r="3417" spans="1:7" x14ac:dyDescent="0.3">
      <c r="A3417" t="s">
        <v>1663</v>
      </c>
      <c r="B3417" t="s">
        <v>686</v>
      </c>
      <c r="C3417" t="s">
        <v>866</v>
      </c>
      <c r="D3417">
        <v>2019</v>
      </c>
      <c r="E3417" s="2">
        <v>25</v>
      </c>
      <c r="F3417" s="2">
        <v>1250</v>
      </c>
      <c r="G3417" s="2">
        <v>1312.5</v>
      </c>
    </row>
    <row r="3418" spans="1:7" x14ac:dyDescent="0.3">
      <c r="A3418" t="s">
        <v>1663</v>
      </c>
      <c r="B3418" t="s">
        <v>19</v>
      </c>
      <c r="C3418" t="s">
        <v>20</v>
      </c>
      <c r="D3418">
        <v>2019</v>
      </c>
      <c r="E3418" s="2">
        <v>25</v>
      </c>
      <c r="F3418" s="2">
        <v>2500</v>
      </c>
      <c r="G3418" s="2">
        <v>2625</v>
      </c>
    </row>
    <row r="3419" spans="1:7" x14ac:dyDescent="0.3">
      <c r="A3419" t="s">
        <v>1663</v>
      </c>
      <c r="B3419" t="s">
        <v>19</v>
      </c>
      <c r="C3419" t="s">
        <v>107</v>
      </c>
      <c r="D3419">
        <v>2020</v>
      </c>
      <c r="E3419" s="2">
        <v>15</v>
      </c>
      <c r="F3419" s="2">
        <v>1125</v>
      </c>
      <c r="G3419" s="2">
        <v>1181.25</v>
      </c>
    </row>
    <row r="3420" spans="1:7" x14ac:dyDescent="0.3">
      <c r="A3420" t="s">
        <v>1663</v>
      </c>
      <c r="B3420" t="s">
        <v>543</v>
      </c>
      <c r="C3420" t="s">
        <v>544</v>
      </c>
      <c r="D3420">
        <v>2019</v>
      </c>
      <c r="E3420" s="2">
        <v>5</v>
      </c>
      <c r="F3420" s="2">
        <v>300</v>
      </c>
      <c r="G3420" s="2">
        <v>315</v>
      </c>
    </row>
    <row r="3421" spans="1:7" x14ac:dyDescent="0.3">
      <c r="A3421" t="s">
        <v>1663</v>
      </c>
      <c r="B3421" t="s">
        <v>110</v>
      </c>
      <c r="C3421" t="s">
        <v>111</v>
      </c>
      <c r="D3421">
        <v>2019</v>
      </c>
      <c r="E3421" s="2">
        <v>25</v>
      </c>
      <c r="F3421" s="2">
        <v>1125</v>
      </c>
      <c r="G3421" s="2">
        <v>1181.25</v>
      </c>
    </row>
    <row r="3422" spans="1:7" x14ac:dyDescent="0.3">
      <c r="A3422" t="s">
        <v>1663</v>
      </c>
      <c r="B3422" t="s">
        <v>110</v>
      </c>
      <c r="C3422" t="s">
        <v>111</v>
      </c>
      <c r="D3422">
        <v>2020</v>
      </c>
      <c r="E3422" s="2">
        <v>10</v>
      </c>
      <c r="F3422" s="2">
        <v>480</v>
      </c>
      <c r="G3422" s="2">
        <v>504</v>
      </c>
    </row>
    <row r="3423" spans="1:7" x14ac:dyDescent="0.3">
      <c r="A3423" t="s">
        <v>1663</v>
      </c>
      <c r="B3423" t="s">
        <v>653</v>
      </c>
      <c r="C3423" t="s">
        <v>654</v>
      </c>
      <c r="D3423">
        <v>2019</v>
      </c>
      <c r="E3423" s="2">
        <v>5</v>
      </c>
      <c r="F3423" s="2">
        <v>325</v>
      </c>
      <c r="G3423" s="2">
        <v>341.25</v>
      </c>
    </row>
    <row r="3424" spans="1:7" x14ac:dyDescent="0.3">
      <c r="A3424" t="s">
        <v>1663</v>
      </c>
      <c r="B3424" t="s">
        <v>518</v>
      </c>
      <c r="C3424" t="s">
        <v>519</v>
      </c>
      <c r="D3424">
        <v>2019</v>
      </c>
      <c r="E3424" s="2">
        <v>5</v>
      </c>
      <c r="F3424" s="2">
        <v>350</v>
      </c>
      <c r="G3424" s="2">
        <v>367.5</v>
      </c>
    </row>
    <row r="3425" spans="1:7" x14ac:dyDescent="0.3">
      <c r="A3425" t="s">
        <v>1663</v>
      </c>
      <c r="B3425" t="s">
        <v>438</v>
      </c>
      <c r="C3425" t="s">
        <v>439</v>
      </c>
      <c r="D3425">
        <v>2019</v>
      </c>
      <c r="E3425" s="2">
        <v>5</v>
      </c>
      <c r="F3425" s="2">
        <v>325</v>
      </c>
      <c r="G3425" s="2">
        <v>341.25</v>
      </c>
    </row>
    <row r="3426" spans="1:7" x14ac:dyDescent="0.3">
      <c r="A3426" t="s">
        <v>1663</v>
      </c>
      <c r="B3426" t="s">
        <v>36</v>
      </c>
      <c r="D3426">
        <v>2019</v>
      </c>
      <c r="E3426" s="2">
        <v>1</v>
      </c>
      <c r="F3426" s="2">
        <v>75</v>
      </c>
      <c r="G3426" s="2">
        <v>78.75</v>
      </c>
    </row>
    <row r="3427" spans="1:7" x14ac:dyDescent="0.3">
      <c r="A3427" t="s">
        <v>1663</v>
      </c>
      <c r="B3427" t="s">
        <v>708</v>
      </c>
      <c r="C3427" t="s">
        <v>477</v>
      </c>
      <c r="D3427">
        <v>2019</v>
      </c>
      <c r="E3427" s="2">
        <v>5</v>
      </c>
      <c r="F3427" s="2">
        <v>325</v>
      </c>
      <c r="G3427" s="2">
        <v>341.25</v>
      </c>
    </row>
    <row r="3428" spans="1:7" x14ac:dyDescent="0.3">
      <c r="A3428" t="s">
        <v>1663</v>
      </c>
      <c r="B3428" t="s">
        <v>46</v>
      </c>
      <c r="C3428" t="s">
        <v>47</v>
      </c>
      <c r="D3428">
        <v>2019</v>
      </c>
      <c r="E3428" s="2">
        <v>5</v>
      </c>
      <c r="F3428" s="2">
        <v>240</v>
      </c>
      <c r="G3428" s="2">
        <v>252</v>
      </c>
    </row>
    <row r="3429" spans="1:7" x14ac:dyDescent="0.3">
      <c r="A3429" t="s">
        <v>1663</v>
      </c>
      <c r="B3429" t="s">
        <v>37</v>
      </c>
      <c r="D3429">
        <v>2019</v>
      </c>
      <c r="E3429" s="2">
        <v>1</v>
      </c>
      <c r="F3429" s="2">
        <v>65</v>
      </c>
      <c r="G3429" s="2">
        <v>68.25</v>
      </c>
    </row>
    <row r="3430" spans="1:7" x14ac:dyDescent="0.3">
      <c r="A3430" t="s">
        <v>1663</v>
      </c>
      <c r="B3430" t="s">
        <v>155</v>
      </c>
      <c r="C3430" t="s">
        <v>156</v>
      </c>
      <c r="D3430">
        <v>2019</v>
      </c>
      <c r="E3430" s="2">
        <v>5</v>
      </c>
      <c r="F3430" s="2">
        <v>360</v>
      </c>
      <c r="G3430" s="2">
        <v>378</v>
      </c>
    </row>
    <row r="3431" spans="1:7" x14ac:dyDescent="0.3">
      <c r="A3431" t="s">
        <v>1664</v>
      </c>
      <c r="B3431" t="s">
        <v>174</v>
      </c>
      <c r="C3431" t="s">
        <v>175</v>
      </c>
      <c r="D3431">
        <v>2017</v>
      </c>
      <c r="E3431" s="2">
        <v>75</v>
      </c>
      <c r="F3431" s="2">
        <v>5000</v>
      </c>
      <c r="G3431" s="2"/>
    </row>
    <row r="3432" spans="1:7" x14ac:dyDescent="0.3">
      <c r="A3432" t="s">
        <v>1664</v>
      </c>
      <c r="B3432" t="s">
        <v>635</v>
      </c>
      <c r="C3432" t="s">
        <v>636</v>
      </c>
      <c r="D3432">
        <v>2017</v>
      </c>
      <c r="E3432" s="2">
        <v>100</v>
      </c>
      <c r="F3432" s="2">
        <v>8300</v>
      </c>
      <c r="G3432" s="2"/>
    </row>
    <row r="3433" spans="1:7" x14ac:dyDescent="0.3">
      <c r="A3433" t="s">
        <v>1664</v>
      </c>
      <c r="B3433" t="s">
        <v>184</v>
      </c>
      <c r="C3433" t="s">
        <v>185</v>
      </c>
      <c r="D3433">
        <v>2017</v>
      </c>
      <c r="E3433" s="2">
        <v>50</v>
      </c>
      <c r="F3433" s="2">
        <v>2750</v>
      </c>
      <c r="G3433" s="2"/>
    </row>
    <row r="3434" spans="1:7" x14ac:dyDescent="0.3">
      <c r="A3434" t="s">
        <v>1664</v>
      </c>
      <c r="B3434" t="s">
        <v>19</v>
      </c>
      <c r="C3434" t="s">
        <v>699</v>
      </c>
      <c r="D3434">
        <v>2017</v>
      </c>
      <c r="E3434" s="2">
        <v>75</v>
      </c>
      <c r="F3434" s="2">
        <v>4650</v>
      </c>
      <c r="G3434" s="2"/>
    </row>
    <row r="3435" spans="1:7" x14ac:dyDescent="0.3">
      <c r="A3435" t="s">
        <v>1664</v>
      </c>
      <c r="B3435" t="s">
        <v>995</v>
      </c>
      <c r="C3435" t="s">
        <v>672</v>
      </c>
      <c r="D3435">
        <v>2016</v>
      </c>
      <c r="E3435" s="2">
        <v>25</v>
      </c>
      <c r="F3435" s="2">
        <v>1750</v>
      </c>
      <c r="G3435" s="2"/>
    </row>
    <row r="3436" spans="1:7" x14ac:dyDescent="0.3">
      <c r="A3436" t="s">
        <v>1664</v>
      </c>
      <c r="B3436" t="s">
        <v>995</v>
      </c>
      <c r="C3436" t="s">
        <v>672</v>
      </c>
      <c r="D3436">
        <v>2017</v>
      </c>
      <c r="E3436" s="2">
        <v>25</v>
      </c>
      <c r="F3436" s="2">
        <v>1750</v>
      </c>
      <c r="G3436" s="2"/>
    </row>
    <row r="3437" spans="1:7" x14ac:dyDescent="0.3">
      <c r="A3437" t="s">
        <v>1664</v>
      </c>
      <c r="B3437" t="s">
        <v>573</v>
      </c>
      <c r="C3437" t="s">
        <v>574</v>
      </c>
      <c r="D3437">
        <v>2017</v>
      </c>
      <c r="E3437" s="2">
        <v>25</v>
      </c>
      <c r="F3437" s="2">
        <v>2075</v>
      </c>
      <c r="G3437" s="2"/>
    </row>
    <row r="3438" spans="1:7" x14ac:dyDescent="0.3">
      <c r="A3438" t="s">
        <v>1664</v>
      </c>
      <c r="B3438" t="s">
        <v>334</v>
      </c>
      <c r="C3438" t="s">
        <v>335</v>
      </c>
      <c r="D3438">
        <v>2016</v>
      </c>
      <c r="E3438" s="2">
        <v>25</v>
      </c>
      <c r="F3438" s="2">
        <v>1875</v>
      </c>
      <c r="G3438" s="2"/>
    </row>
    <row r="3439" spans="1:7" x14ac:dyDescent="0.3">
      <c r="A3439" t="s">
        <v>1664</v>
      </c>
      <c r="B3439" t="s">
        <v>334</v>
      </c>
      <c r="C3439" t="s">
        <v>335</v>
      </c>
      <c r="D3439">
        <v>2017</v>
      </c>
      <c r="E3439" s="2">
        <v>75</v>
      </c>
      <c r="F3439" s="2">
        <v>5625</v>
      </c>
      <c r="G3439" s="2"/>
    </row>
    <row r="3440" spans="1:7" x14ac:dyDescent="0.3">
      <c r="A3440" t="s">
        <v>1664</v>
      </c>
      <c r="B3440" t="s">
        <v>314</v>
      </c>
      <c r="C3440" t="s">
        <v>315</v>
      </c>
      <c r="D3440">
        <v>2017</v>
      </c>
      <c r="E3440" s="2">
        <v>300</v>
      </c>
      <c r="F3440" s="2">
        <v>18000</v>
      </c>
      <c r="G3440" s="2"/>
    </row>
    <row r="3441" spans="1:8" x14ac:dyDescent="0.3">
      <c r="A3441" t="s">
        <v>1665</v>
      </c>
      <c r="B3441" t="s">
        <v>269</v>
      </c>
      <c r="C3441" t="s">
        <v>270</v>
      </c>
      <c r="D3441">
        <v>2020</v>
      </c>
      <c r="E3441" s="2">
        <v>10</v>
      </c>
      <c r="F3441" s="2">
        <v>750</v>
      </c>
      <c r="G3441" s="2">
        <v>787.5</v>
      </c>
    </row>
    <row r="3442" spans="1:8" x14ac:dyDescent="0.3">
      <c r="A3442" t="s">
        <v>1665</v>
      </c>
      <c r="B3442" t="s">
        <v>671</v>
      </c>
      <c r="C3442" t="s">
        <v>672</v>
      </c>
      <c r="D3442">
        <v>2020</v>
      </c>
      <c r="E3442" s="2">
        <v>10</v>
      </c>
      <c r="F3442" s="2">
        <v>600</v>
      </c>
      <c r="G3442" s="2">
        <v>630</v>
      </c>
    </row>
    <row r="3443" spans="1:8" x14ac:dyDescent="0.3">
      <c r="A3443" t="s">
        <v>1665</v>
      </c>
      <c r="B3443" t="s">
        <v>820</v>
      </c>
      <c r="C3443" t="s">
        <v>821</v>
      </c>
      <c r="D3443">
        <v>2018</v>
      </c>
      <c r="E3443" s="2">
        <v>5</v>
      </c>
      <c r="F3443" s="2">
        <v>900</v>
      </c>
      <c r="G3443" s="2">
        <v>945</v>
      </c>
    </row>
    <row r="3444" spans="1:8" x14ac:dyDescent="0.3">
      <c r="A3444" t="s">
        <v>1665</v>
      </c>
      <c r="B3444" t="s">
        <v>911</v>
      </c>
      <c r="C3444" t="s">
        <v>912</v>
      </c>
      <c r="D3444">
        <v>2020</v>
      </c>
      <c r="E3444" s="2">
        <v>26</v>
      </c>
      <c r="F3444" s="2">
        <v>2030</v>
      </c>
      <c r="G3444" s="2">
        <v>2131.5</v>
      </c>
      <c r="H3444" s="3" t="s">
        <v>442</v>
      </c>
    </row>
    <row r="3445" spans="1:8" x14ac:dyDescent="0.3">
      <c r="A3445" t="s">
        <v>1665</v>
      </c>
      <c r="B3445" t="s">
        <v>911</v>
      </c>
      <c r="C3445" t="s">
        <v>912</v>
      </c>
      <c r="D3445">
        <v>2021</v>
      </c>
      <c r="E3445" s="2">
        <v>5</v>
      </c>
      <c r="F3445" s="2">
        <v>400</v>
      </c>
      <c r="G3445" s="2">
        <v>420</v>
      </c>
      <c r="H3445" s="3" t="s">
        <v>442</v>
      </c>
    </row>
    <row r="3446" spans="1:8" x14ac:dyDescent="0.3">
      <c r="A3446" t="s">
        <v>1665</v>
      </c>
      <c r="B3446" t="s">
        <v>867</v>
      </c>
      <c r="C3446" t="s">
        <v>868</v>
      </c>
      <c r="D3446">
        <v>2018</v>
      </c>
      <c r="E3446" s="2">
        <v>5</v>
      </c>
      <c r="F3446" s="2">
        <v>500</v>
      </c>
      <c r="G3446" s="2">
        <v>525</v>
      </c>
    </row>
    <row r="3447" spans="1:8" x14ac:dyDescent="0.3">
      <c r="A3447" t="s">
        <v>1665</v>
      </c>
      <c r="B3447" t="s">
        <v>1666</v>
      </c>
      <c r="C3447" t="s">
        <v>1667</v>
      </c>
      <c r="D3447">
        <v>2020</v>
      </c>
      <c r="E3447" s="2">
        <v>5</v>
      </c>
      <c r="F3447" s="2">
        <v>425</v>
      </c>
      <c r="G3447" s="2">
        <v>446.25</v>
      </c>
    </row>
    <row r="3448" spans="1:8" x14ac:dyDescent="0.3">
      <c r="A3448" t="s">
        <v>1668</v>
      </c>
      <c r="B3448" t="s">
        <v>631</v>
      </c>
      <c r="C3448" t="s">
        <v>632</v>
      </c>
      <c r="D3448">
        <v>2020</v>
      </c>
      <c r="E3448" s="2">
        <v>50</v>
      </c>
      <c r="F3448" s="2">
        <v>3250</v>
      </c>
      <c r="G3448" s="2">
        <v>3412.5</v>
      </c>
    </row>
    <row r="3449" spans="1:8" x14ac:dyDescent="0.3">
      <c r="A3449" t="s">
        <v>1668</v>
      </c>
      <c r="B3449" t="s">
        <v>533</v>
      </c>
      <c r="C3449" t="s">
        <v>534</v>
      </c>
      <c r="D3449">
        <v>2020</v>
      </c>
      <c r="E3449" s="2">
        <v>50</v>
      </c>
      <c r="F3449" s="2">
        <v>3250</v>
      </c>
      <c r="G3449" s="2">
        <v>3412.5</v>
      </c>
    </row>
    <row r="3450" spans="1:8" x14ac:dyDescent="0.3">
      <c r="A3450" t="s">
        <v>1668</v>
      </c>
      <c r="B3450" t="s">
        <v>26</v>
      </c>
      <c r="C3450" t="s">
        <v>27</v>
      </c>
      <c r="D3450">
        <v>2019</v>
      </c>
      <c r="E3450" s="2">
        <v>50</v>
      </c>
      <c r="F3450" s="2">
        <v>3250</v>
      </c>
      <c r="G3450" s="2">
        <v>3412.5</v>
      </c>
    </row>
    <row r="3451" spans="1:8" x14ac:dyDescent="0.3">
      <c r="A3451" t="s">
        <v>1668</v>
      </c>
      <c r="B3451" t="s">
        <v>26</v>
      </c>
      <c r="C3451" t="s">
        <v>27</v>
      </c>
      <c r="D3451">
        <v>2020</v>
      </c>
      <c r="E3451" s="2">
        <v>50</v>
      </c>
      <c r="F3451" s="2">
        <v>3250</v>
      </c>
      <c r="G3451" s="2">
        <v>3412.5</v>
      </c>
    </row>
    <row r="3452" spans="1:8" x14ac:dyDescent="0.3">
      <c r="A3452" t="s">
        <v>1668</v>
      </c>
      <c r="B3452" t="s">
        <v>28</v>
      </c>
      <c r="D3452">
        <v>2016</v>
      </c>
      <c r="E3452" s="2">
        <v>5</v>
      </c>
      <c r="F3452" s="2">
        <v>2700</v>
      </c>
      <c r="G3452" s="2"/>
    </row>
    <row r="3453" spans="1:8" x14ac:dyDescent="0.3">
      <c r="A3453" t="s">
        <v>1668</v>
      </c>
      <c r="B3453" t="s">
        <v>28</v>
      </c>
      <c r="D3453">
        <v>2018</v>
      </c>
      <c r="E3453" s="2">
        <v>25</v>
      </c>
      <c r="F3453" s="2">
        <v>8250</v>
      </c>
      <c r="G3453" s="2">
        <v>8662.5</v>
      </c>
    </row>
    <row r="3454" spans="1:8" x14ac:dyDescent="0.3">
      <c r="A3454" t="s">
        <v>1668</v>
      </c>
      <c r="B3454" t="s">
        <v>29</v>
      </c>
      <c r="D3454">
        <v>2015</v>
      </c>
      <c r="E3454" s="2">
        <v>10</v>
      </c>
      <c r="F3454" s="2">
        <v>5400</v>
      </c>
      <c r="G3454" s="2"/>
    </row>
    <row r="3455" spans="1:8" x14ac:dyDescent="0.3">
      <c r="A3455" t="s">
        <v>1668</v>
      </c>
      <c r="B3455" t="s">
        <v>29</v>
      </c>
      <c r="D3455">
        <v>2017</v>
      </c>
      <c r="E3455" s="2">
        <v>5</v>
      </c>
      <c r="F3455" s="2">
        <v>2700</v>
      </c>
      <c r="G3455" s="2"/>
    </row>
    <row r="3456" spans="1:8" x14ac:dyDescent="0.3">
      <c r="A3456" t="s">
        <v>1668</v>
      </c>
      <c r="B3456" t="s">
        <v>242</v>
      </c>
      <c r="D3456">
        <v>2020</v>
      </c>
      <c r="E3456" s="2">
        <v>25</v>
      </c>
      <c r="F3456" s="2">
        <v>9125</v>
      </c>
      <c r="G3456" s="2">
        <v>9581.25</v>
      </c>
      <c r="H3456" s="3" t="s">
        <v>18</v>
      </c>
    </row>
    <row r="3457" spans="1:8" x14ac:dyDescent="0.3">
      <c r="A3457" t="s">
        <v>1668</v>
      </c>
      <c r="B3457" t="s">
        <v>242</v>
      </c>
      <c r="D3457">
        <v>2021</v>
      </c>
      <c r="E3457" s="2">
        <v>25</v>
      </c>
      <c r="F3457" s="2">
        <v>9125</v>
      </c>
      <c r="G3457" s="2">
        <v>9581.25</v>
      </c>
      <c r="H3457" s="3" t="s">
        <v>18</v>
      </c>
    </row>
    <row r="3458" spans="1:8" x14ac:dyDescent="0.3">
      <c r="A3458" t="s">
        <v>1668</v>
      </c>
      <c r="B3458" t="s">
        <v>686</v>
      </c>
      <c r="C3458" t="s">
        <v>687</v>
      </c>
      <c r="D3458">
        <v>2020</v>
      </c>
      <c r="E3458" s="2">
        <v>50</v>
      </c>
      <c r="F3458" s="2">
        <v>3250</v>
      </c>
      <c r="G3458" s="2">
        <v>3412.5</v>
      </c>
    </row>
    <row r="3459" spans="1:8" x14ac:dyDescent="0.3">
      <c r="A3459" t="s">
        <v>1668</v>
      </c>
      <c r="B3459" t="s">
        <v>567</v>
      </c>
      <c r="C3459" t="s">
        <v>698</v>
      </c>
      <c r="D3459">
        <v>2020</v>
      </c>
      <c r="E3459" s="2">
        <v>25</v>
      </c>
      <c r="F3459" s="2">
        <v>1875</v>
      </c>
      <c r="G3459" s="2">
        <v>1968.75</v>
      </c>
    </row>
    <row r="3460" spans="1:8" x14ac:dyDescent="0.3">
      <c r="A3460" t="s">
        <v>1668</v>
      </c>
      <c r="B3460" t="s">
        <v>828</v>
      </c>
      <c r="D3460">
        <v>2016</v>
      </c>
      <c r="E3460" s="2">
        <v>100</v>
      </c>
      <c r="F3460" s="2">
        <v>33000</v>
      </c>
      <c r="G3460" s="2"/>
    </row>
    <row r="3461" spans="1:8" x14ac:dyDescent="0.3">
      <c r="A3461" t="s">
        <v>1668</v>
      </c>
      <c r="B3461" t="s">
        <v>828</v>
      </c>
      <c r="D3461">
        <v>2017</v>
      </c>
      <c r="E3461" s="2">
        <v>190</v>
      </c>
      <c r="F3461" s="2">
        <v>62700</v>
      </c>
      <c r="G3461" s="2"/>
    </row>
    <row r="3462" spans="1:8" x14ac:dyDescent="0.3">
      <c r="A3462" t="s">
        <v>1668</v>
      </c>
      <c r="B3462" t="s">
        <v>1669</v>
      </c>
      <c r="C3462" t="s">
        <v>703</v>
      </c>
      <c r="D3462">
        <v>2019</v>
      </c>
      <c r="E3462" s="2">
        <v>525</v>
      </c>
      <c r="F3462" s="2">
        <v>34125</v>
      </c>
      <c r="G3462" s="2">
        <v>35831.25</v>
      </c>
    </row>
    <row r="3463" spans="1:8" x14ac:dyDescent="0.3">
      <c r="A3463" t="s">
        <v>1668</v>
      </c>
      <c r="B3463" t="s">
        <v>1669</v>
      </c>
      <c r="C3463" t="s">
        <v>703</v>
      </c>
      <c r="D3463">
        <v>2020</v>
      </c>
      <c r="E3463" s="2">
        <v>75</v>
      </c>
      <c r="F3463" s="2">
        <v>4875</v>
      </c>
      <c r="G3463" s="2">
        <v>5118.75</v>
      </c>
    </row>
    <row r="3464" spans="1:8" x14ac:dyDescent="0.3">
      <c r="A3464" t="s">
        <v>1668</v>
      </c>
      <c r="B3464" t="s">
        <v>446</v>
      </c>
      <c r="C3464" t="s">
        <v>447</v>
      </c>
      <c r="D3464">
        <v>2020</v>
      </c>
      <c r="E3464" s="2">
        <v>550</v>
      </c>
      <c r="F3464" s="2">
        <v>35750</v>
      </c>
      <c r="G3464" s="2">
        <v>37537.5</v>
      </c>
      <c r="H3464" s="3" t="s">
        <v>1670</v>
      </c>
    </row>
    <row r="3465" spans="1:8" x14ac:dyDescent="0.3">
      <c r="A3465" t="s">
        <v>1668</v>
      </c>
      <c r="B3465" t="s">
        <v>446</v>
      </c>
      <c r="C3465" t="s">
        <v>447</v>
      </c>
      <c r="D3465">
        <v>2021</v>
      </c>
      <c r="E3465" s="2">
        <v>275</v>
      </c>
      <c r="F3465" s="2">
        <v>17875</v>
      </c>
      <c r="G3465" s="2">
        <v>18768.75</v>
      </c>
      <c r="H3465" s="3" t="s">
        <v>1670</v>
      </c>
    </row>
    <row r="3466" spans="1:8" x14ac:dyDescent="0.3">
      <c r="A3466" t="s">
        <v>1668</v>
      </c>
      <c r="B3466" t="s">
        <v>1671</v>
      </c>
      <c r="C3466" t="s">
        <v>1672</v>
      </c>
      <c r="D3466">
        <v>2018</v>
      </c>
      <c r="E3466" s="2">
        <v>175</v>
      </c>
      <c r="F3466" s="2">
        <v>11600</v>
      </c>
      <c r="G3466" s="2">
        <v>12180</v>
      </c>
    </row>
    <row r="3467" spans="1:8" x14ac:dyDescent="0.3">
      <c r="A3467" t="s">
        <v>1668</v>
      </c>
      <c r="B3467" t="s">
        <v>438</v>
      </c>
      <c r="C3467" t="s">
        <v>439</v>
      </c>
      <c r="D3467">
        <v>2016</v>
      </c>
      <c r="E3467" s="2">
        <v>25</v>
      </c>
      <c r="F3467" s="2">
        <v>1875</v>
      </c>
      <c r="G3467" s="2"/>
      <c r="H3467" s="3" t="s">
        <v>18</v>
      </c>
    </row>
    <row r="3468" spans="1:8" x14ac:dyDescent="0.3">
      <c r="A3468" t="s">
        <v>1668</v>
      </c>
      <c r="B3468" t="s">
        <v>438</v>
      </c>
      <c r="C3468" t="s">
        <v>439</v>
      </c>
      <c r="D3468">
        <v>2017</v>
      </c>
      <c r="E3468" s="2">
        <v>490</v>
      </c>
      <c r="F3468" s="2">
        <v>36750</v>
      </c>
      <c r="G3468" s="2"/>
      <c r="H3468" s="3" t="s">
        <v>18</v>
      </c>
    </row>
    <row r="3469" spans="1:8" x14ac:dyDescent="0.3">
      <c r="A3469" t="s">
        <v>1668</v>
      </c>
      <c r="B3469" t="s">
        <v>438</v>
      </c>
      <c r="C3469" t="s">
        <v>439</v>
      </c>
      <c r="D3469">
        <v>2018</v>
      </c>
      <c r="E3469" s="2">
        <v>50</v>
      </c>
      <c r="F3469" s="2">
        <v>3750</v>
      </c>
      <c r="G3469" s="2">
        <v>3937.5</v>
      </c>
      <c r="H3469" s="3" t="s">
        <v>18</v>
      </c>
    </row>
    <row r="3470" spans="1:8" x14ac:dyDescent="0.3">
      <c r="A3470" t="s">
        <v>1668</v>
      </c>
      <c r="B3470" t="s">
        <v>438</v>
      </c>
      <c r="C3470" t="s">
        <v>439</v>
      </c>
      <c r="D3470">
        <v>2020</v>
      </c>
      <c r="E3470" s="2">
        <v>125</v>
      </c>
      <c r="F3470" s="2">
        <v>9375</v>
      </c>
      <c r="G3470" s="2">
        <v>9843.75</v>
      </c>
      <c r="H3470" s="3" t="s">
        <v>18</v>
      </c>
    </row>
    <row r="3471" spans="1:8" x14ac:dyDescent="0.3">
      <c r="A3471" t="s">
        <v>1668</v>
      </c>
      <c r="B3471" t="s">
        <v>438</v>
      </c>
      <c r="C3471" t="s">
        <v>439</v>
      </c>
      <c r="D3471">
        <v>2021</v>
      </c>
      <c r="E3471" s="2">
        <v>100</v>
      </c>
      <c r="F3471" s="2">
        <v>7500</v>
      </c>
      <c r="G3471" s="2">
        <v>7875</v>
      </c>
      <c r="H3471" s="3" t="s">
        <v>18</v>
      </c>
    </row>
    <row r="3472" spans="1:8" x14ac:dyDescent="0.3">
      <c r="A3472" t="s">
        <v>1668</v>
      </c>
      <c r="B3472" t="s">
        <v>45</v>
      </c>
      <c r="D3472">
        <v>2016</v>
      </c>
      <c r="E3472" s="2">
        <v>5</v>
      </c>
      <c r="F3472" s="2">
        <v>400</v>
      </c>
      <c r="G3472" s="2"/>
      <c r="H3472" s="3" t="s">
        <v>18</v>
      </c>
    </row>
    <row r="3473" spans="1:8" x14ac:dyDescent="0.3">
      <c r="A3473" t="s">
        <v>1668</v>
      </c>
      <c r="B3473" t="s">
        <v>45</v>
      </c>
      <c r="D3473">
        <v>2018</v>
      </c>
      <c r="E3473" s="2">
        <v>5</v>
      </c>
      <c r="F3473" s="2">
        <v>400</v>
      </c>
      <c r="G3473" s="2">
        <v>420</v>
      </c>
      <c r="H3473" s="3" t="s">
        <v>18</v>
      </c>
    </row>
    <row r="3474" spans="1:8" x14ac:dyDescent="0.3">
      <c r="A3474" t="s">
        <v>1668</v>
      </c>
      <c r="B3474" t="s">
        <v>45</v>
      </c>
      <c r="D3474">
        <v>2021</v>
      </c>
      <c r="E3474" s="2">
        <v>10</v>
      </c>
      <c r="F3474" s="2">
        <v>800</v>
      </c>
      <c r="G3474" s="2">
        <v>840</v>
      </c>
      <c r="H3474" s="3" t="s">
        <v>18</v>
      </c>
    </row>
    <row r="3475" spans="1:8" x14ac:dyDescent="0.3">
      <c r="A3475" t="s">
        <v>1668</v>
      </c>
      <c r="B3475" t="s">
        <v>32</v>
      </c>
      <c r="D3475">
        <v>2017</v>
      </c>
      <c r="E3475" s="2">
        <v>20</v>
      </c>
      <c r="F3475" s="2">
        <v>1700</v>
      </c>
      <c r="G3475" s="2"/>
      <c r="H3475" s="3" t="s">
        <v>18</v>
      </c>
    </row>
    <row r="3476" spans="1:8" x14ac:dyDescent="0.3">
      <c r="A3476" t="s">
        <v>1668</v>
      </c>
      <c r="B3476" t="s">
        <v>32</v>
      </c>
      <c r="D3476">
        <v>2019</v>
      </c>
      <c r="E3476" s="2">
        <v>10</v>
      </c>
      <c r="F3476" s="2">
        <v>800</v>
      </c>
      <c r="G3476" s="2">
        <v>840</v>
      </c>
      <c r="H3476" s="3" t="s">
        <v>18</v>
      </c>
    </row>
    <row r="3477" spans="1:8" x14ac:dyDescent="0.3">
      <c r="A3477" t="s">
        <v>1668</v>
      </c>
      <c r="B3477" t="s">
        <v>32</v>
      </c>
      <c r="D3477">
        <v>2021</v>
      </c>
      <c r="E3477" s="2">
        <v>10</v>
      </c>
      <c r="F3477" s="2">
        <v>750</v>
      </c>
      <c r="G3477" s="2">
        <v>787.5</v>
      </c>
      <c r="H3477" s="3" t="s">
        <v>18</v>
      </c>
    </row>
    <row r="3478" spans="1:8" x14ac:dyDescent="0.3">
      <c r="A3478" t="s">
        <v>1668</v>
      </c>
      <c r="B3478" t="s">
        <v>46</v>
      </c>
      <c r="C3478" t="s">
        <v>47</v>
      </c>
      <c r="D3478">
        <v>2015</v>
      </c>
      <c r="E3478" s="2">
        <v>50</v>
      </c>
      <c r="F3478" s="2">
        <v>3250</v>
      </c>
      <c r="G3478" s="2"/>
    </row>
    <row r="3479" spans="1:8" x14ac:dyDescent="0.3">
      <c r="A3479" t="s">
        <v>1668</v>
      </c>
      <c r="B3479" t="s">
        <v>46</v>
      </c>
      <c r="C3479" t="s">
        <v>47</v>
      </c>
      <c r="D3479">
        <v>2016</v>
      </c>
      <c r="E3479" s="2">
        <v>200</v>
      </c>
      <c r="F3479" s="2">
        <v>13000</v>
      </c>
      <c r="G3479" s="2"/>
    </row>
    <row r="3480" spans="1:8" x14ac:dyDescent="0.3">
      <c r="A3480" t="s">
        <v>1668</v>
      </c>
      <c r="B3480" t="s">
        <v>46</v>
      </c>
      <c r="C3480" t="s">
        <v>47</v>
      </c>
      <c r="D3480">
        <v>2018</v>
      </c>
      <c r="E3480" s="2">
        <v>250</v>
      </c>
      <c r="F3480" s="2">
        <v>14450</v>
      </c>
      <c r="G3480" s="2">
        <v>15172.5</v>
      </c>
    </row>
    <row r="3481" spans="1:8" x14ac:dyDescent="0.3">
      <c r="A3481" t="s">
        <v>1673</v>
      </c>
      <c r="B3481" t="s">
        <v>51</v>
      </c>
      <c r="C3481" t="s">
        <v>52</v>
      </c>
      <c r="D3481">
        <v>2018</v>
      </c>
      <c r="E3481" s="2">
        <v>75</v>
      </c>
      <c r="F3481" s="2">
        <v>9750</v>
      </c>
      <c r="G3481" s="2">
        <v>10237.5</v>
      </c>
    </row>
    <row r="3482" spans="1:8" x14ac:dyDescent="0.3">
      <c r="A3482" t="s">
        <v>1673</v>
      </c>
      <c r="B3482" t="s">
        <v>51</v>
      </c>
      <c r="C3482" t="s">
        <v>52</v>
      </c>
      <c r="D3482">
        <v>2019</v>
      </c>
      <c r="E3482" s="2">
        <v>800</v>
      </c>
      <c r="F3482" s="2">
        <v>104000</v>
      </c>
      <c r="G3482" s="2">
        <v>109200</v>
      </c>
    </row>
    <row r="3483" spans="1:8" x14ac:dyDescent="0.3">
      <c r="A3483" t="s">
        <v>1673</v>
      </c>
      <c r="B3483" t="s">
        <v>51</v>
      </c>
      <c r="C3483" t="s">
        <v>52</v>
      </c>
      <c r="D3483">
        <v>2020</v>
      </c>
      <c r="E3483" s="2">
        <v>395</v>
      </c>
      <c r="F3483" s="2">
        <v>51350</v>
      </c>
      <c r="G3483" s="2">
        <v>53917.5</v>
      </c>
    </row>
    <row r="3484" spans="1:8" x14ac:dyDescent="0.3">
      <c r="A3484" t="s">
        <v>1673</v>
      </c>
      <c r="B3484" t="s">
        <v>593</v>
      </c>
      <c r="C3484" t="s">
        <v>594</v>
      </c>
      <c r="D3484">
        <v>2021</v>
      </c>
      <c r="E3484" s="2">
        <v>400</v>
      </c>
      <c r="F3484" s="2">
        <v>52000</v>
      </c>
      <c r="G3484" s="2">
        <v>54600</v>
      </c>
    </row>
    <row r="3485" spans="1:8" x14ac:dyDescent="0.3">
      <c r="A3485" t="s">
        <v>1673</v>
      </c>
      <c r="B3485" t="s">
        <v>99</v>
      </c>
      <c r="C3485" t="s">
        <v>100</v>
      </c>
      <c r="D3485">
        <v>2020</v>
      </c>
      <c r="E3485" s="2">
        <v>1</v>
      </c>
      <c r="F3485" s="2">
        <v>70</v>
      </c>
      <c r="G3485" s="2">
        <v>70</v>
      </c>
    </row>
    <row r="3486" spans="1:8" x14ac:dyDescent="0.3">
      <c r="A3486" t="s">
        <v>1674</v>
      </c>
      <c r="B3486" t="s">
        <v>39</v>
      </c>
      <c r="D3486">
        <v>2016</v>
      </c>
      <c r="E3486" s="2">
        <v>20</v>
      </c>
      <c r="F3486" s="2">
        <v>6600</v>
      </c>
      <c r="G3486" s="2"/>
    </row>
    <row r="3487" spans="1:8" x14ac:dyDescent="0.3">
      <c r="A3487" t="s">
        <v>1674</v>
      </c>
      <c r="B3487" t="s">
        <v>28</v>
      </c>
      <c r="D3487">
        <v>2016</v>
      </c>
      <c r="E3487" s="2">
        <v>5</v>
      </c>
      <c r="F3487" s="2">
        <v>2600</v>
      </c>
      <c r="G3487" s="2"/>
    </row>
    <row r="3488" spans="1:8" x14ac:dyDescent="0.3">
      <c r="A3488" t="s">
        <v>1674</v>
      </c>
      <c r="B3488" t="s">
        <v>29</v>
      </c>
      <c r="D3488">
        <v>2016</v>
      </c>
      <c r="E3488" s="2">
        <v>20</v>
      </c>
      <c r="F3488" s="2">
        <v>10800</v>
      </c>
      <c r="G3488" s="2"/>
    </row>
    <row r="3489" spans="1:7" x14ac:dyDescent="0.3">
      <c r="A3489" t="s">
        <v>1674</v>
      </c>
      <c r="B3489" t="s">
        <v>864</v>
      </c>
      <c r="D3489">
        <v>2017</v>
      </c>
      <c r="E3489" s="2">
        <v>20</v>
      </c>
      <c r="F3489" s="2">
        <v>1800</v>
      </c>
      <c r="G3489" s="2"/>
    </row>
    <row r="3490" spans="1:7" x14ac:dyDescent="0.3">
      <c r="A3490" t="s">
        <v>1675</v>
      </c>
      <c r="B3490" t="s">
        <v>763</v>
      </c>
      <c r="D3490">
        <v>2015</v>
      </c>
      <c r="E3490" s="2">
        <v>138</v>
      </c>
      <c r="F3490" s="2">
        <v>8004</v>
      </c>
      <c r="G3490" s="2"/>
    </row>
    <row r="3491" spans="1:7" x14ac:dyDescent="0.3">
      <c r="A3491" t="s">
        <v>1675</v>
      </c>
      <c r="B3491" t="s">
        <v>1676</v>
      </c>
      <c r="D3491">
        <v>2016</v>
      </c>
      <c r="E3491" s="2">
        <v>75</v>
      </c>
      <c r="F3491" s="2">
        <v>4650</v>
      </c>
      <c r="G3491" s="2"/>
    </row>
    <row r="3492" spans="1:7" x14ac:dyDescent="0.3">
      <c r="A3492" t="s">
        <v>1675</v>
      </c>
      <c r="B3492" t="s">
        <v>1676</v>
      </c>
      <c r="D3492">
        <v>2017</v>
      </c>
      <c r="E3492" s="2">
        <v>40</v>
      </c>
      <c r="F3492" s="2">
        <v>2480</v>
      </c>
      <c r="G3492" s="2"/>
    </row>
    <row r="3493" spans="1:7" x14ac:dyDescent="0.3">
      <c r="A3493" t="s">
        <v>1675</v>
      </c>
      <c r="B3493" t="s">
        <v>417</v>
      </c>
      <c r="C3493" t="s">
        <v>418</v>
      </c>
      <c r="D3493">
        <v>2019</v>
      </c>
      <c r="E3493" s="2">
        <v>50</v>
      </c>
      <c r="F3493" s="2">
        <v>3000</v>
      </c>
      <c r="G3493" s="2">
        <v>3150</v>
      </c>
    </row>
    <row r="3494" spans="1:7" x14ac:dyDescent="0.3">
      <c r="A3494" t="s">
        <v>1675</v>
      </c>
      <c r="B3494" t="s">
        <v>696</v>
      </c>
      <c r="C3494" t="s">
        <v>697</v>
      </c>
      <c r="D3494">
        <v>2016</v>
      </c>
      <c r="E3494" s="2">
        <v>200</v>
      </c>
      <c r="F3494" s="2">
        <v>13600</v>
      </c>
      <c r="G3494" s="2"/>
    </row>
    <row r="3495" spans="1:7" x14ac:dyDescent="0.3">
      <c r="A3495" t="s">
        <v>1675</v>
      </c>
      <c r="B3495" t="s">
        <v>696</v>
      </c>
      <c r="C3495" t="s">
        <v>697</v>
      </c>
      <c r="D3495">
        <v>2017</v>
      </c>
      <c r="E3495" s="2">
        <v>450</v>
      </c>
      <c r="F3495" s="2">
        <v>27900</v>
      </c>
      <c r="G3495" s="2"/>
    </row>
    <row r="3496" spans="1:7" x14ac:dyDescent="0.3">
      <c r="A3496" t="s">
        <v>1675</v>
      </c>
      <c r="B3496" t="s">
        <v>26</v>
      </c>
      <c r="C3496" t="s">
        <v>27</v>
      </c>
      <c r="D3496">
        <v>2015</v>
      </c>
      <c r="E3496" s="2">
        <v>200</v>
      </c>
      <c r="F3496" s="2">
        <v>14000</v>
      </c>
      <c r="G3496" s="2"/>
    </row>
    <row r="3497" spans="1:7" x14ac:dyDescent="0.3">
      <c r="A3497" t="s">
        <v>1675</v>
      </c>
      <c r="B3497" t="s">
        <v>26</v>
      </c>
      <c r="C3497" t="s">
        <v>27</v>
      </c>
      <c r="D3497">
        <v>2016</v>
      </c>
      <c r="E3497" s="2">
        <v>400</v>
      </c>
      <c r="F3497" s="2">
        <v>27400</v>
      </c>
      <c r="G3497" s="2"/>
    </row>
    <row r="3498" spans="1:7" x14ac:dyDescent="0.3">
      <c r="A3498" t="s">
        <v>1675</v>
      </c>
      <c r="B3498" t="s">
        <v>26</v>
      </c>
      <c r="C3498" t="s">
        <v>27</v>
      </c>
      <c r="D3498">
        <v>2018</v>
      </c>
      <c r="E3498" s="2">
        <v>25</v>
      </c>
      <c r="F3498" s="2">
        <v>1625</v>
      </c>
      <c r="G3498" s="2">
        <v>1706.25</v>
      </c>
    </row>
    <row r="3499" spans="1:7" x14ac:dyDescent="0.3">
      <c r="A3499" t="s">
        <v>1675</v>
      </c>
      <c r="B3499" t="s">
        <v>28</v>
      </c>
      <c r="D3499">
        <v>2015</v>
      </c>
      <c r="E3499" s="2">
        <v>10</v>
      </c>
      <c r="F3499" s="2">
        <v>5900</v>
      </c>
      <c r="G3499" s="2"/>
    </row>
    <row r="3500" spans="1:7" x14ac:dyDescent="0.3">
      <c r="A3500" t="s">
        <v>1675</v>
      </c>
      <c r="B3500" t="s">
        <v>28</v>
      </c>
      <c r="D3500">
        <v>2016</v>
      </c>
      <c r="E3500" s="2">
        <v>22</v>
      </c>
      <c r="F3500" s="2">
        <v>12560</v>
      </c>
      <c r="G3500" s="2"/>
    </row>
    <row r="3501" spans="1:7" x14ac:dyDescent="0.3">
      <c r="A3501" t="s">
        <v>1675</v>
      </c>
      <c r="B3501" t="s">
        <v>28</v>
      </c>
      <c r="D3501">
        <v>2018</v>
      </c>
      <c r="E3501" s="2">
        <v>10</v>
      </c>
      <c r="F3501" s="2">
        <v>3500</v>
      </c>
      <c r="G3501" s="2">
        <v>3675</v>
      </c>
    </row>
    <row r="3502" spans="1:7" x14ac:dyDescent="0.3">
      <c r="A3502" t="s">
        <v>1675</v>
      </c>
      <c r="B3502" t="s">
        <v>1671</v>
      </c>
      <c r="C3502" t="s">
        <v>1672</v>
      </c>
      <c r="D3502">
        <v>2018</v>
      </c>
      <c r="E3502" s="2">
        <v>50</v>
      </c>
      <c r="F3502" s="2">
        <v>3250</v>
      </c>
      <c r="G3502" s="2">
        <v>3412.5</v>
      </c>
    </row>
    <row r="3503" spans="1:7" x14ac:dyDescent="0.3">
      <c r="A3503" t="s">
        <v>1675</v>
      </c>
      <c r="B3503" t="s">
        <v>438</v>
      </c>
      <c r="C3503" t="s">
        <v>439</v>
      </c>
      <c r="D3503">
        <v>2016</v>
      </c>
      <c r="E3503" s="2">
        <v>275</v>
      </c>
      <c r="F3503" s="2">
        <v>18250</v>
      </c>
      <c r="G3503" s="2"/>
    </row>
    <row r="3504" spans="1:7" x14ac:dyDescent="0.3">
      <c r="A3504" t="s">
        <v>1675</v>
      </c>
      <c r="B3504" t="s">
        <v>438</v>
      </c>
      <c r="C3504" t="s">
        <v>439</v>
      </c>
      <c r="D3504">
        <v>2017</v>
      </c>
      <c r="E3504" s="2">
        <v>50</v>
      </c>
      <c r="F3504" s="2">
        <v>3100</v>
      </c>
      <c r="G3504" s="2"/>
    </row>
    <row r="3505" spans="1:7" x14ac:dyDescent="0.3">
      <c r="A3505" t="s">
        <v>1675</v>
      </c>
      <c r="B3505" t="s">
        <v>1454</v>
      </c>
      <c r="C3505" t="s">
        <v>1126</v>
      </c>
      <c r="D3505">
        <v>2015</v>
      </c>
      <c r="E3505" s="2">
        <v>25</v>
      </c>
      <c r="F3505" s="2">
        <v>1850</v>
      </c>
      <c r="G3505" s="2"/>
    </row>
    <row r="3506" spans="1:7" x14ac:dyDescent="0.3">
      <c r="A3506" t="s">
        <v>1675</v>
      </c>
      <c r="B3506" t="s">
        <v>1454</v>
      </c>
      <c r="C3506" t="s">
        <v>1126</v>
      </c>
      <c r="D3506">
        <v>2016</v>
      </c>
      <c r="E3506" s="2">
        <v>280</v>
      </c>
      <c r="F3506" s="2">
        <v>20470</v>
      </c>
      <c r="G3506" s="2"/>
    </row>
    <row r="3507" spans="1:7" x14ac:dyDescent="0.3">
      <c r="A3507" t="s">
        <v>1675</v>
      </c>
      <c r="B3507" t="s">
        <v>1339</v>
      </c>
      <c r="C3507" t="s">
        <v>1677</v>
      </c>
      <c r="D3507">
        <v>2017</v>
      </c>
      <c r="E3507" s="2">
        <v>10</v>
      </c>
      <c r="F3507" s="2">
        <v>620</v>
      </c>
      <c r="G3507" s="2"/>
    </row>
    <row r="3508" spans="1:7" x14ac:dyDescent="0.3">
      <c r="A3508" t="s">
        <v>1675</v>
      </c>
      <c r="B3508" t="s">
        <v>45</v>
      </c>
      <c r="D3508">
        <v>2016</v>
      </c>
      <c r="E3508" s="2">
        <v>2</v>
      </c>
      <c r="F3508" s="2">
        <v>210</v>
      </c>
      <c r="G3508" s="2"/>
    </row>
    <row r="3509" spans="1:7" x14ac:dyDescent="0.3">
      <c r="A3509" t="s">
        <v>1675</v>
      </c>
      <c r="B3509" t="s">
        <v>45</v>
      </c>
      <c r="D3509">
        <v>2018</v>
      </c>
      <c r="E3509" s="2">
        <v>60</v>
      </c>
      <c r="F3509" s="2">
        <v>4500</v>
      </c>
      <c r="G3509" s="2">
        <v>4725</v>
      </c>
    </row>
    <row r="3510" spans="1:7" x14ac:dyDescent="0.3">
      <c r="A3510" t="s">
        <v>1675</v>
      </c>
      <c r="B3510" t="s">
        <v>32</v>
      </c>
      <c r="D3510">
        <v>2015</v>
      </c>
      <c r="E3510" s="2">
        <v>20</v>
      </c>
      <c r="F3510" s="2">
        <v>1700</v>
      </c>
      <c r="G3510" s="2"/>
    </row>
    <row r="3511" spans="1:7" x14ac:dyDescent="0.3">
      <c r="A3511" t="s">
        <v>1675</v>
      </c>
      <c r="B3511" t="s">
        <v>32</v>
      </c>
      <c r="D3511">
        <v>2017</v>
      </c>
      <c r="E3511" s="2">
        <v>20</v>
      </c>
      <c r="F3511" s="2">
        <v>1700</v>
      </c>
      <c r="G3511" s="2"/>
    </row>
    <row r="3512" spans="1:7" x14ac:dyDescent="0.3">
      <c r="A3512" t="s">
        <v>1675</v>
      </c>
      <c r="B3512" t="s">
        <v>46</v>
      </c>
      <c r="C3512" t="s">
        <v>47</v>
      </c>
      <c r="D3512">
        <v>2018</v>
      </c>
      <c r="E3512" s="2">
        <v>50</v>
      </c>
      <c r="F3512" s="2">
        <v>2900</v>
      </c>
      <c r="G3512" s="2">
        <v>3045</v>
      </c>
    </row>
    <row r="3513" spans="1:7" x14ac:dyDescent="0.3">
      <c r="A3513" t="s">
        <v>1678</v>
      </c>
      <c r="B3513" t="s">
        <v>438</v>
      </c>
      <c r="C3513" t="s">
        <v>439</v>
      </c>
      <c r="D3513">
        <v>2017</v>
      </c>
      <c r="E3513" s="2">
        <v>25</v>
      </c>
      <c r="F3513" s="2">
        <v>1625</v>
      </c>
      <c r="G3513" s="2"/>
    </row>
    <row r="3514" spans="1:7" x14ac:dyDescent="0.3">
      <c r="A3514" t="s">
        <v>1678</v>
      </c>
      <c r="B3514" t="s">
        <v>863</v>
      </c>
      <c r="D3514">
        <v>2018</v>
      </c>
      <c r="E3514" s="2">
        <v>1</v>
      </c>
      <c r="F3514" s="2">
        <v>80</v>
      </c>
      <c r="G3514" s="2">
        <v>84</v>
      </c>
    </row>
    <row r="3515" spans="1:7" x14ac:dyDescent="0.3">
      <c r="A3515" t="s">
        <v>1678</v>
      </c>
      <c r="B3515" t="s">
        <v>32</v>
      </c>
      <c r="D3515">
        <v>2018</v>
      </c>
      <c r="E3515" s="2">
        <v>1</v>
      </c>
      <c r="F3515" s="2">
        <v>80</v>
      </c>
      <c r="G3515" s="2">
        <v>84</v>
      </c>
    </row>
    <row r="3516" spans="1:7" x14ac:dyDescent="0.3">
      <c r="A3516" t="s">
        <v>1679</v>
      </c>
      <c r="B3516" t="s">
        <v>1680</v>
      </c>
      <c r="C3516" t="s">
        <v>1681</v>
      </c>
      <c r="D3516">
        <v>2020</v>
      </c>
      <c r="E3516" s="2">
        <v>4</v>
      </c>
      <c r="F3516" s="2">
        <v>340</v>
      </c>
      <c r="G3516" s="2">
        <v>357</v>
      </c>
    </row>
    <row r="3517" spans="1:7" x14ac:dyDescent="0.3">
      <c r="A3517" t="s">
        <v>1679</v>
      </c>
      <c r="B3517" t="s">
        <v>314</v>
      </c>
      <c r="C3517" t="s">
        <v>315</v>
      </c>
      <c r="D3517">
        <v>2012</v>
      </c>
      <c r="E3517" s="2">
        <v>25</v>
      </c>
      <c r="F3517" s="2">
        <v>2050</v>
      </c>
      <c r="G3517" s="2"/>
    </row>
    <row r="3518" spans="1:7" x14ac:dyDescent="0.3">
      <c r="A3518" t="s">
        <v>1682</v>
      </c>
      <c r="B3518" t="s">
        <v>696</v>
      </c>
      <c r="C3518" t="s">
        <v>697</v>
      </c>
      <c r="D3518">
        <v>2017</v>
      </c>
      <c r="E3518" s="2">
        <v>55</v>
      </c>
      <c r="F3518" s="2">
        <v>4125</v>
      </c>
      <c r="G3518" s="2"/>
    </row>
    <row r="3519" spans="1:7" x14ac:dyDescent="0.3">
      <c r="A3519" t="s">
        <v>1682</v>
      </c>
      <c r="B3519" t="s">
        <v>26</v>
      </c>
      <c r="C3519" t="s">
        <v>27</v>
      </c>
      <c r="D3519">
        <v>2015</v>
      </c>
      <c r="E3519" s="2">
        <v>100</v>
      </c>
      <c r="F3519" s="2">
        <v>7000</v>
      </c>
      <c r="G3519" s="2"/>
    </row>
    <row r="3520" spans="1:7" x14ac:dyDescent="0.3">
      <c r="A3520" t="s">
        <v>1682</v>
      </c>
      <c r="B3520" t="s">
        <v>26</v>
      </c>
      <c r="C3520" t="s">
        <v>27</v>
      </c>
      <c r="D3520">
        <v>2016</v>
      </c>
      <c r="E3520" s="2">
        <v>239</v>
      </c>
      <c r="F3520" s="2">
        <v>16230</v>
      </c>
      <c r="G3520" s="2"/>
    </row>
    <row r="3521" spans="1:8" x14ac:dyDescent="0.3">
      <c r="A3521" t="s">
        <v>1682</v>
      </c>
      <c r="B3521" t="s">
        <v>26</v>
      </c>
      <c r="C3521" t="s">
        <v>27</v>
      </c>
      <c r="D3521">
        <v>2017</v>
      </c>
      <c r="E3521" s="2">
        <v>200</v>
      </c>
      <c r="F3521" s="2">
        <v>12000</v>
      </c>
      <c r="G3521" s="2"/>
    </row>
    <row r="3522" spans="1:8" x14ac:dyDescent="0.3">
      <c r="A3522" t="s">
        <v>1682</v>
      </c>
      <c r="B3522" t="s">
        <v>19</v>
      </c>
      <c r="C3522" t="s">
        <v>20</v>
      </c>
      <c r="D3522">
        <v>2017</v>
      </c>
      <c r="E3522" s="2">
        <v>105</v>
      </c>
      <c r="F3522" s="2">
        <v>10500</v>
      </c>
      <c r="G3522" s="2"/>
    </row>
    <row r="3523" spans="1:8" x14ac:dyDescent="0.3">
      <c r="A3523" t="s">
        <v>1682</v>
      </c>
      <c r="B3523" t="s">
        <v>702</v>
      </c>
      <c r="C3523" t="s">
        <v>703</v>
      </c>
      <c r="D3523">
        <v>2019</v>
      </c>
      <c r="E3523" s="2">
        <v>25</v>
      </c>
      <c r="F3523" s="2">
        <v>1375</v>
      </c>
      <c r="G3523" s="2">
        <v>1443.75</v>
      </c>
    </row>
    <row r="3524" spans="1:8" x14ac:dyDescent="0.3">
      <c r="A3524" t="s">
        <v>1682</v>
      </c>
      <c r="B3524" t="s">
        <v>334</v>
      </c>
      <c r="C3524" t="s">
        <v>335</v>
      </c>
      <c r="D3524">
        <v>2017</v>
      </c>
      <c r="E3524" s="2">
        <v>25</v>
      </c>
      <c r="F3524" s="2">
        <v>1500</v>
      </c>
      <c r="G3524" s="2"/>
    </row>
    <row r="3525" spans="1:8" x14ac:dyDescent="0.3">
      <c r="A3525" t="s">
        <v>1682</v>
      </c>
      <c r="B3525" t="s">
        <v>45</v>
      </c>
      <c r="D3525">
        <v>2015</v>
      </c>
      <c r="E3525" s="2">
        <v>20</v>
      </c>
      <c r="F3525" s="2">
        <v>2100</v>
      </c>
      <c r="G3525" s="2"/>
    </row>
    <row r="3526" spans="1:8" x14ac:dyDescent="0.3">
      <c r="A3526" t="s">
        <v>1682</v>
      </c>
      <c r="B3526" t="s">
        <v>45</v>
      </c>
      <c r="D3526">
        <v>2016</v>
      </c>
      <c r="E3526" s="2">
        <v>40</v>
      </c>
      <c r="F3526" s="2">
        <v>3700</v>
      </c>
      <c r="G3526" s="2"/>
    </row>
    <row r="3527" spans="1:8" x14ac:dyDescent="0.3">
      <c r="A3527" t="s">
        <v>1682</v>
      </c>
      <c r="B3527" t="s">
        <v>45</v>
      </c>
      <c r="D3527">
        <v>2017</v>
      </c>
      <c r="E3527" s="2">
        <v>40</v>
      </c>
      <c r="F3527" s="2">
        <v>3200</v>
      </c>
      <c r="G3527" s="2"/>
    </row>
    <row r="3528" spans="1:8" x14ac:dyDescent="0.3">
      <c r="A3528" t="s">
        <v>1682</v>
      </c>
      <c r="B3528" t="s">
        <v>32</v>
      </c>
      <c r="D3528">
        <v>2015</v>
      </c>
      <c r="E3528" s="2">
        <v>20</v>
      </c>
      <c r="F3528" s="2">
        <v>1600</v>
      </c>
      <c r="G3528" s="2"/>
    </row>
    <row r="3529" spans="1:8" x14ac:dyDescent="0.3">
      <c r="A3529" t="s">
        <v>1682</v>
      </c>
      <c r="B3529" t="s">
        <v>32</v>
      </c>
      <c r="D3529">
        <v>2016</v>
      </c>
      <c r="E3529" s="2">
        <v>40</v>
      </c>
      <c r="F3529" s="2">
        <v>3400</v>
      </c>
      <c r="G3529" s="2"/>
    </row>
    <row r="3530" spans="1:8" x14ac:dyDescent="0.3">
      <c r="A3530" t="s">
        <v>1682</v>
      </c>
      <c r="B3530" t="s">
        <v>32</v>
      </c>
      <c r="D3530">
        <v>2017</v>
      </c>
      <c r="E3530" s="2">
        <v>20</v>
      </c>
      <c r="F3530" s="2">
        <v>1700</v>
      </c>
      <c r="G3530" s="2"/>
    </row>
    <row r="3531" spans="1:8" x14ac:dyDescent="0.3">
      <c r="A3531" t="s">
        <v>1682</v>
      </c>
      <c r="B3531" t="s">
        <v>32</v>
      </c>
      <c r="D3531">
        <v>2018</v>
      </c>
      <c r="E3531" s="2">
        <v>20</v>
      </c>
      <c r="F3531" s="2">
        <v>1600</v>
      </c>
      <c r="G3531" s="2">
        <v>1680</v>
      </c>
    </row>
    <row r="3532" spans="1:8" x14ac:dyDescent="0.3">
      <c r="A3532" t="s">
        <v>1683</v>
      </c>
      <c r="B3532" t="s">
        <v>504</v>
      </c>
      <c r="C3532" t="s">
        <v>505</v>
      </c>
      <c r="D3532">
        <v>2021</v>
      </c>
      <c r="E3532" s="2">
        <v>15</v>
      </c>
      <c r="F3532" s="2">
        <v>2000</v>
      </c>
      <c r="G3532" s="2">
        <v>2100</v>
      </c>
      <c r="H3532" s="3" t="s">
        <v>14</v>
      </c>
    </row>
    <row r="3533" spans="1:8" x14ac:dyDescent="0.3">
      <c r="A3533" t="s">
        <v>1683</v>
      </c>
      <c r="B3533" t="s">
        <v>34</v>
      </c>
      <c r="D3533">
        <v>2021</v>
      </c>
      <c r="E3533" s="2">
        <v>10</v>
      </c>
      <c r="F3533" s="2">
        <v>900</v>
      </c>
      <c r="G3533" s="2">
        <v>945</v>
      </c>
      <c r="H3533" s="3" t="s">
        <v>18</v>
      </c>
    </row>
    <row r="3534" spans="1:8" x14ac:dyDescent="0.3">
      <c r="A3534" t="s">
        <v>1683</v>
      </c>
      <c r="B3534" t="s">
        <v>602</v>
      </c>
      <c r="C3534" t="s">
        <v>603</v>
      </c>
      <c r="D3534">
        <v>2021</v>
      </c>
      <c r="E3534" s="2">
        <v>25</v>
      </c>
      <c r="F3534" s="2">
        <v>1625</v>
      </c>
      <c r="G3534" s="2">
        <v>1706.25</v>
      </c>
      <c r="H3534" s="3" t="s">
        <v>18</v>
      </c>
    </row>
    <row r="3535" spans="1:8" x14ac:dyDescent="0.3">
      <c r="A3535" t="s">
        <v>1683</v>
      </c>
      <c r="B3535" t="s">
        <v>1184</v>
      </c>
      <c r="D3535">
        <v>2021</v>
      </c>
      <c r="E3535" s="2">
        <v>50</v>
      </c>
      <c r="F3535" s="2">
        <v>5500</v>
      </c>
      <c r="G3535" s="2">
        <v>5775</v>
      </c>
      <c r="H3535" s="3" t="s">
        <v>18</v>
      </c>
    </row>
    <row r="3536" spans="1:8" x14ac:dyDescent="0.3">
      <c r="A3536" t="s">
        <v>1683</v>
      </c>
      <c r="B3536" t="s">
        <v>597</v>
      </c>
      <c r="C3536" t="s">
        <v>598</v>
      </c>
      <c r="D3536">
        <v>2021</v>
      </c>
      <c r="E3536" s="2">
        <v>25</v>
      </c>
      <c r="F3536" s="2">
        <v>3000</v>
      </c>
      <c r="G3536" s="2">
        <v>3150</v>
      </c>
      <c r="H3536" s="3" t="s">
        <v>374</v>
      </c>
    </row>
    <row r="3537" spans="1:8" x14ac:dyDescent="0.3">
      <c r="A3537" t="s">
        <v>1683</v>
      </c>
      <c r="B3537" t="s">
        <v>68</v>
      </c>
      <c r="C3537" t="s">
        <v>69</v>
      </c>
      <c r="D3537">
        <v>2021</v>
      </c>
      <c r="E3537" s="2">
        <v>10</v>
      </c>
      <c r="F3537" s="2">
        <v>650</v>
      </c>
      <c r="G3537" s="2">
        <v>682.5</v>
      </c>
      <c r="H3537" s="3" t="s">
        <v>374</v>
      </c>
    </row>
    <row r="3538" spans="1:8" x14ac:dyDescent="0.3">
      <c r="A3538" t="s">
        <v>1683</v>
      </c>
      <c r="B3538" t="s">
        <v>1104</v>
      </c>
      <c r="C3538" t="s">
        <v>1105</v>
      </c>
      <c r="D3538">
        <v>2021</v>
      </c>
      <c r="E3538" s="2">
        <v>25</v>
      </c>
      <c r="F3538" s="2">
        <v>1875</v>
      </c>
      <c r="G3538" s="2">
        <v>1968.75</v>
      </c>
      <c r="H3538" s="3" t="s">
        <v>374</v>
      </c>
    </row>
    <row r="3539" spans="1:8" x14ac:dyDescent="0.3">
      <c r="A3539" t="s">
        <v>1683</v>
      </c>
      <c r="B3539" t="s">
        <v>1684</v>
      </c>
      <c r="D3539">
        <v>2021</v>
      </c>
      <c r="E3539" s="2">
        <v>50</v>
      </c>
      <c r="F3539" s="2">
        <v>3650</v>
      </c>
      <c r="G3539" s="2">
        <v>3832.5</v>
      </c>
      <c r="H3539" s="3" t="s">
        <v>1685</v>
      </c>
    </row>
    <row r="3540" spans="1:8" x14ac:dyDescent="0.3">
      <c r="A3540" t="s">
        <v>1683</v>
      </c>
      <c r="B3540" t="s">
        <v>653</v>
      </c>
      <c r="C3540" t="s">
        <v>654</v>
      </c>
      <c r="D3540">
        <v>2021</v>
      </c>
      <c r="E3540" s="2">
        <v>10</v>
      </c>
      <c r="F3540" s="2">
        <v>750</v>
      </c>
      <c r="G3540" s="2">
        <v>787.5</v>
      </c>
      <c r="H3540" s="3" t="s">
        <v>18</v>
      </c>
    </row>
    <row r="3541" spans="1:8" x14ac:dyDescent="0.3">
      <c r="A3541" t="s">
        <v>1686</v>
      </c>
      <c r="B3541" t="s">
        <v>1128</v>
      </c>
      <c r="C3541" t="s">
        <v>1129</v>
      </c>
      <c r="D3541">
        <v>2020</v>
      </c>
      <c r="E3541" s="2">
        <v>5</v>
      </c>
      <c r="F3541" s="2">
        <v>750</v>
      </c>
      <c r="G3541" s="2">
        <v>787.5</v>
      </c>
    </row>
    <row r="3542" spans="1:8" x14ac:dyDescent="0.3">
      <c r="A3542" t="s">
        <v>1686</v>
      </c>
      <c r="B3542" t="s">
        <v>581</v>
      </c>
      <c r="C3542" t="s">
        <v>582</v>
      </c>
      <c r="D3542">
        <v>2017</v>
      </c>
      <c r="E3542" s="2">
        <v>5</v>
      </c>
      <c r="F3542" s="2">
        <v>900</v>
      </c>
      <c r="G3542" s="2"/>
    </row>
    <row r="3543" spans="1:8" x14ac:dyDescent="0.3">
      <c r="A3543" t="s">
        <v>1686</v>
      </c>
      <c r="B3543" t="s">
        <v>581</v>
      </c>
      <c r="C3543" t="s">
        <v>582</v>
      </c>
      <c r="D3543">
        <v>2018</v>
      </c>
      <c r="E3543" s="2">
        <v>5</v>
      </c>
      <c r="F3543" s="2">
        <v>900</v>
      </c>
      <c r="G3543" s="2">
        <v>945</v>
      </c>
    </row>
    <row r="3544" spans="1:8" x14ac:dyDescent="0.3">
      <c r="A3544" t="s">
        <v>1686</v>
      </c>
      <c r="B3544" t="s">
        <v>586</v>
      </c>
      <c r="C3544" t="s">
        <v>587</v>
      </c>
      <c r="D3544">
        <v>2020</v>
      </c>
      <c r="E3544" s="2">
        <v>5</v>
      </c>
      <c r="F3544" s="2">
        <v>900</v>
      </c>
      <c r="G3544" s="2">
        <v>945</v>
      </c>
    </row>
    <row r="3545" spans="1:8" x14ac:dyDescent="0.3">
      <c r="A3545" t="s">
        <v>1686</v>
      </c>
      <c r="B3545" t="s">
        <v>665</v>
      </c>
      <c r="D3545">
        <v>2020</v>
      </c>
      <c r="E3545" s="2">
        <v>10</v>
      </c>
      <c r="F3545" s="2">
        <v>1100</v>
      </c>
      <c r="G3545" s="2">
        <v>1155</v>
      </c>
      <c r="H3545" s="3" t="s">
        <v>18</v>
      </c>
    </row>
    <row r="3546" spans="1:8" x14ac:dyDescent="0.3">
      <c r="A3546" t="s">
        <v>1686</v>
      </c>
      <c r="B3546" t="s">
        <v>665</v>
      </c>
      <c r="D3546">
        <v>2021</v>
      </c>
      <c r="E3546" s="2">
        <v>10</v>
      </c>
      <c r="F3546" s="2">
        <v>1100</v>
      </c>
      <c r="G3546" s="2">
        <v>1155</v>
      </c>
      <c r="H3546" s="3" t="s">
        <v>18</v>
      </c>
    </row>
    <row r="3547" spans="1:8" x14ac:dyDescent="0.3">
      <c r="A3547" t="s">
        <v>1686</v>
      </c>
      <c r="B3547" t="s">
        <v>453</v>
      </c>
      <c r="D3547">
        <v>2019</v>
      </c>
      <c r="E3547" s="2">
        <v>20</v>
      </c>
      <c r="F3547" s="2">
        <v>1600</v>
      </c>
      <c r="G3547" s="2">
        <v>1680</v>
      </c>
    </row>
    <row r="3548" spans="1:8" x14ac:dyDescent="0.3">
      <c r="A3548" t="s">
        <v>1686</v>
      </c>
      <c r="B3548" t="s">
        <v>453</v>
      </c>
      <c r="D3548">
        <v>2020</v>
      </c>
      <c r="E3548" s="2">
        <v>10</v>
      </c>
      <c r="F3548" s="2">
        <v>800</v>
      </c>
      <c r="G3548" s="2">
        <v>840</v>
      </c>
    </row>
    <row r="3549" spans="1:8" x14ac:dyDescent="0.3">
      <c r="A3549" t="s">
        <v>1686</v>
      </c>
      <c r="B3549" t="s">
        <v>1178</v>
      </c>
      <c r="C3549" t="s">
        <v>1179</v>
      </c>
      <c r="D3549">
        <v>2017</v>
      </c>
      <c r="E3549" s="2">
        <v>5</v>
      </c>
      <c r="F3549" s="2">
        <v>400</v>
      </c>
      <c r="G3549" s="2"/>
    </row>
    <row r="3550" spans="1:8" x14ac:dyDescent="0.3">
      <c r="A3550" t="s">
        <v>1686</v>
      </c>
      <c r="B3550" t="s">
        <v>1178</v>
      </c>
      <c r="C3550" t="s">
        <v>1179</v>
      </c>
      <c r="D3550">
        <v>2018</v>
      </c>
      <c r="E3550" s="2">
        <v>10</v>
      </c>
      <c r="F3550" s="2">
        <v>800</v>
      </c>
      <c r="G3550" s="2">
        <v>840</v>
      </c>
    </row>
    <row r="3551" spans="1:8" x14ac:dyDescent="0.3">
      <c r="A3551" t="s">
        <v>1686</v>
      </c>
      <c r="B3551" t="s">
        <v>696</v>
      </c>
      <c r="C3551" t="s">
        <v>697</v>
      </c>
      <c r="D3551">
        <v>2014</v>
      </c>
      <c r="E3551" s="2">
        <v>10</v>
      </c>
      <c r="F3551" s="2">
        <v>750</v>
      </c>
      <c r="G3551" s="2"/>
    </row>
    <row r="3552" spans="1:8" x14ac:dyDescent="0.3">
      <c r="A3552" t="s">
        <v>1686</v>
      </c>
      <c r="B3552" t="s">
        <v>1687</v>
      </c>
      <c r="C3552" t="s">
        <v>1688</v>
      </c>
      <c r="D3552">
        <v>2017</v>
      </c>
      <c r="E3552" s="2">
        <v>5</v>
      </c>
      <c r="F3552" s="2">
        <v>525</v>
      </c>
      <c r="G3552" s="2"/>
    </row>
    <row r="3553" spans="1:7" x14ac:dyDescent="0.3">
      <c r="A3553" t="s">
        <v>1686</v>
      </c>
      <c r="B3553" t="s">
        <v>462</v>
      </c>
      <c r="C3553" t="s">
        <v>463</v>
      </c>
      <c r="D3553">
        <v>2017</v>
      </c>
      <c r="E3553" s="2">
        <v>50</v>
      </c>
      <c r="F3553" s="2">
        <v>2500</v>
      </c>
      <c r="G3553" s="2"/>
    </row>
    <row r="3554" spans="1:7" x14ac:dyDescent="0.3">
      <c r="A3554" t="s">
        <v>1686</v>
      </c>
      <c r="B3554" t="s">
        <v>567</v>
      </c>
      <c r="C3554" t="s">
        <v>698</v>
      </c>
      <c r="D3554">
        <v>2017</v>
      </c>
      <c r="E3554" s="2">
        <v>35</v>
      </c>
      <c r="F3554" s="2">
        <v>1995</v>
      </c>
      <c r="G3554" s="2"/>
    </row>
    <row r="3555" spans="1:7" x14ac:dyDescent="0.3">
      <c r="A3555" t="s">
        <v>1686</v>
      </c>
      <c r="B3555" t="s">
        <v>257</v>
      </c>
      <c r="C3555" t="s">
        <v>61</v>
      </c>
      <c r="D3555">
        <v>2020</v>
      </c>
      <c r="E3555" s="2">
        <v>175</v>
      </c>
      <c r="F3555" s="2">
        <v>8750</v>
      </c>
      <c r="G3555" s="2">
        <v>9187.5</v>
      </c>
    </row>
    <row r="3556" spans="1:7" x14ac:dyDescent="0.3">
      <c r="A3556" t="s">
        <v>1686</v>
      </c>
      <c r="B3556" t="s">
        <v>297</v>
      </c>
      <c r="C3556" t="s">
        <v>298</v>
      </c>
      <c r="D3556">
        <v>2016</v>
      </c>
      <c r="E3556" s="2">
        <v>10</v>
      </c>
      <c r="F3556" s="2">
        <v>650</v>
      </c>
      <c r="G3556" s="2"/>
    </row>
    <row r="3557" spans="1:7" x14ac:dyDescent="0.3">
      <c r="A3557" t="s">
        <v>1686</v>
      </c>
      <c r="B3557" t="s">
        <v>19</v>
      </c>
      <c r="C3557" t="s">
        <v>699</v>
      </c>
      <c r="D3557">
        <v>2016</v>
      </c>
      <c r="E3557" s="2">
        <v>45</v>
      </c>
      <c r="F3557" s="2">
        <v>2565</v>
      </c>
      <c r="G3557" s="2"/>
    </row>
    <row r="3558" spans="1:7" x14ac:dyDescent="0.3">
      <c r="A3558" t="s">
        <v>1686</v>
      </c>
      <c r="B3558" t="s">
        <v>269</v>
      </c>
      <c r="C3558" t="s">
        <v>270</v>
      </c>
      <c r="D3558">
        <v>2019</v>
      </c>
      <c r="E3558" s="2">
        <v>10</v>
      </c>
      <c r="F3558" s="2">
        <v>330</v>
      </c>
      <c r="G3558" s="2">
        <v>346.5</v>
      </c>
    </row>
    <row r="3559" spans="1:7" x14ac:dyDescent="0.3">
      <c r="A3559" t="s">
        <v>1686</v>
      </c>
      <c r="B3559" t="s">
        <v>21</v>
      </c>
      <c r="C3559" t="s">
        <v>22</v>
      </c>
      <c r="D3559">
        <v>2016</v>
      </c>
      <c r="E3559" s="2">
        <v>150</v>
      </c>
      <c r="F3559" s="2">
        <v>8500</v>
      </c>
      <c r="G3559" s="2"/>
    </row>
    <row r="3560" spans="1:7" x14ac:dyDescent="0.3">
      <c r="A3560" t="s">
        <v>1686</v>
      </c>
      <c r="B3560" t="s">
        <v>187</v>
      </c>
      <c r="C3560" t="s">
        <v>188</v>
      </c>
      <c r="D3560">
        <v>2020</v>
      </c>
      <c r="E3560" s="2">
        <v>10</v>
      </c>
      <c r="F3560" s="2">
        <v>500</v>
      </c>
      <c r="G3560" s="2">
        <v>525</v>
      </c>
    </row>
    <row r="3561" spans="1:7" x14ac:dyDescent="0.3">
      <c r="A3561" t="s">
        <v>1686</v>
      </c>
      <c r="B3561" t="s">
        <v>68</v>
      </c>
      <c r="C3561" t="s">
        <v>69</v>
      </c>
      <c r="D3561">
        <v>2014</v>
      </c>
      <c r="E3561" s="2">
        <v>10</v>
      </c>
      <c r="F3561" s="2">
        <v>750</v>
      </c>
      <c r="G3561" s="2"/>
    </row>
    <row r="3562" spans="1:7" x14ac:dyDescent="0.3">
      <c r="A3562" t="s">
        <v>1686</v>
      </c>
      <c r="B3562" t="s">
        <v>867</v>
      </c>
      <c r="C3562" t="s">
        <v>868</v>
      </c>
      <c r="D3562">
        <v>2019</v>
      </c>
      <c r="E3562" s="2">
        <v>35</v>
      </c>
      <c r="F3562" s="2">
        <v>2275</v>
      </c>
      <c r="G3562" s="2">
        <v>2388.75</v>
      </c>
    </row>
    <row r="3563" spans="1:7" x14ac:dyDescent="0.3">
      <c r="A3563" t="s">
        <v>1686</v>
      </c>
      <c r="B3563" t="s">
        <v>575</v>
      </c>
      <c r="C3563" t="s">
        <v>673</v>
      </c>
      <c r="D3563">
        <v>2016</v>
      </c>
      <c r="E3563" s="2">
        <v>25</v>
      </c>
      <c r="F3563" s="2">
        <v>1500</v>
      </c>
      <c r="G3563" s="2"/>
    </row>
    <row r="3564" spans="1:7" x14ac:dyDescent="0.3">
      <c r="A3564" t="s">
        <v>1686</v>
      </c>
      <c r="B3564" t="s">
        <v>575</v>
      </c>
      <c r="C3564" t="s">
        <v>673</v>
      </c>
      <c r="D3564">
        <v>2017</v>
      </c>
      <c r="E3564" s="2">
        <v>85</v>
      </c>
      <c r="F3564" s="2">
        <v>5100</v>
      </c>
      <c r="G3564" s="2"/>
    </row>
    <row r="3565" spans="1:7" x14ac:dyDescent="0.3">
      <c r="A3565" t="s">
        <v>1686</v>
      </c>
      <c r="B3565" t="s">
        <v>575</v>
      </c>
      <c r="C3565" t="s">
        <v>673</v>
      </c>
      <c r="D3565">
        <v>2018</v>
      </c>
      <c r="E3565" s="2">
        <v>50</v>
      </c>
      <c r="F3565" s="2">
        <v>3000</v>
      </c>
      <c r="G3565" s="2">
        <v>3150</v>
      </c>
    </row>
    <row r="3566" spans="1:7" x14ac:dyDescent="0.3">
      <c r="A3566" t="s">
        <v>1686</v>
      </c>
      <c r="B3566" t="s">
        <v>575</v>
      </c>
      <c r="C3566" t="s">
        <v>673</v>
      </c>
      <c r="D3566">
        <v>2019</v>
      </c>
      <c r="E3566" s="2">
        <v>25</v>
      </c>
      <c r="F3566" s="2">
        <v>1500</v>
      </c>
      <c r="G3566" s="2">
        <v>1575</v>
      </c>
    </row>
    <row r="3567" spans="1:7" x14ac:dyDescent="0.3">
      <c r="A3567" t="s">
        <v>1686</v>
      </c>
      <c r="B3567" t="s">
        <v>1454</v>
      </c>
      <c r="C3567" t="s">
        <v>1126</v>
      </c>
      <c r="D3567">
        <v>2015</v>
      </c>
      <c r="E3567" s="2">
        <v>10</v>
      </c>
      <c r="F3567" s="2">
        <v>700</v>
      </c>
      <c r="G3567" s="2"/>
    </row>
    <row r="3568" spans="1:7" x14ac:dyDescent="0.3">
      <c r="A3568" t="s">
        <v>1686</v>
      </c>
      <c r="B3568" t="s">
        <v>1454</v>
      </c>
      <c r="C3568" t="s">
        <v>1126</v>
      </c>
      <c r="D3568">
        <v>2016</v>
      </c>
      <c r="E3568" s="2">
        <v>10</v>
      </c>
      <c r="F3568" s="2">
        <v>700</v>
      </c>
      <c r="G3568" s="2"/>
    </row>
    <row r="3569" spans="1:8" x14ac:dyDescent="0.3">
      <c r="A3569" t="s">
        <v>1686</v>
      </c>
      <c r="B3569" t="s">
        <v>314</v>
      </c>
      <c r="C3569" t="s">
        <v>475</v>
      </c>
      <c r="D3569">
        <v>2016</v>
      </c>
      <c r="E3569" s="2">
        <v>110</v>
      </c>
      <c r="F3569" s="2">
        <v>5650</v>
      </c>
      <c r="G3569" s="2"/>
    </row>
    <row r="3570" spans="1:8" x14ac:dyDescent="0.3">
      <c r="A3570" t="s">
        <v>1686</v>
      </c>
      <c r="B3570" t="s">
        <v>46</v>
      </c>
      <c r="C3570" t="s">
        <v>47</v>
      </c>
      <c r="D3570">
        <v>2016</v>
      </c>
      <c r="E3570" s="2">
        <v>75</v>
      </c>
      <c r="F3570" s="2">
        <v>4125</v>
      </c>
      <c r="G3570" s="2"/>
    </row>
    <row r="3571" spans="1:8" x14ac:dyDescent="0.3">
      <c r="A3571" t="s">
        <v>1686</v>
      </c>
      <c r="B3571" t="s">
        <v>46</v>
      </c>
      <c r="C3571" t="s">
        <v>47</v>
      </c>
      <c r="D3571">
        <v>2017</v>
      </c>
      <c r="E3571" s="2">
        <v>60</v>
      </c>
      <c r="F3571" s="2">
        <v>3300</v>
      </c>
      <c r="G3571" s="2"/>
    </row>
    <row r="3572" spans="1:8" x14ac:dyDescent="0.3">
      <c r="A3572" t="s">
        <v>1686</v>
      </c>
      <c r="B3572" t="s">
        <v>46</v>
      </c>
      <c r="C3572" t="s">
        <v>47</v>
      </c>
      <c r="D3572">
        <v>2018</v>
      </c>
      <c r="E3572" s="2">
        <v>10</v>
      </c>
      <c r="F3572" s="2">
        <v>2200</v>
      </c>
      <c r="G3572" s="2">
        <v>2310</v>
      </c>
    </row>
    <row r="3573" spans="1:8" x14ac:dyDescent="0.3">
      <c r="A3573" t="s">
        <v>1686</v>
      </c>
      <c r="B3573" t="s">
        <v>483</v>
      </c>
      <c r="C3573" t="s">
        <v>484</v>
      </c>
      <c r="D3573">
        <v>2019</v>
      </c>
      <c r="E3573" s="2">
        <v>50</v>
      </c>
      <c r="F3573" s="2">
        <v>1900</v>
      </c>
      <c r="G3573" s="2">
        <v>1995</v>
      </c>
    </row>
    <row r="3574" spans="1:8" x14ac:dyDescent="0.3">
      <c r="A3574" t="s">
        <v>1686</v>
      </c>
      <c r="B3574" t="s">
        <v>483</v>
      </c>
      <c r="C3574" t="s">
        <v>484</v>
      </c>
      <c r="D3574">
        <v>2020</v>
      </c>
      <c r="E3574" s="2">
        <v>100</v>
      </c>
      <c r="F3574" s="2">
        <v>3800</v>
      </c>
      <c r="G3574" s="2">
        <v>3990</v>
      </c>
    </row>
    <row r="3575" spans="1:8" x14ac:dyDescent="0.3">
      <c r="A3575" t="s">
        <v>1686</v>
      </c>
      <c r="B3575" t="s">
        <v>37</v>
      </c>
      <c r="D3575">
        <v>2017</v>
      </c>
      <c r="E3575" s="2">
        <v>10</v>
      </c>
      <c r="F3575" s="2">
        <v>800</v>
      </c>
      <c r="G3575" s="2"/>
      <c r="H3575" s="3" t="s">
        <v>18</v>
      </c>
    </row>
    <row r="3576" spans="1:8" x14ac:dyDescent="0.3">
      <c r="A3576" t="s">
        <v>1686</v>
      </c>
      <c r="B3576" t="s">
        <v>37</v>
      </c>
      <c r="D3576">
        <v>2018</v>
      </c>
      <c r="E3576" s="2">
        <v>34</v>
      </c>
      <c r="F3576" s="2">
        <v>2720</v>
      </c>
      <c r="G3576" s="2">
        <v>2856</v>
      </c>
      <c r="H3576" s="3" t="s">
        <v>18</v>
      </c>
    </row>
    <row r="3577" spans="1:8" x14ac:dyDescent="0.3">
      <c r="A3577" t="s">
        <v>1686</v>
      </c>
      <c r="B3577" t="s">
        <v>37</v>
      </c>
      <c r="D3577">
        <v>2019</v>
      </c>
      <c r="E3577" s="2">
        <v>10</v>
      </c>
      <c r="F3577" s="2">
        <v>800</v>
      </c>
      <c r="G3577" s="2">
        <v>840</v>
      </c>
      <c r="H3577" s="3" t="s">
        <v>18</v>
      </c>
    </row>
    <row r="3578" spans="1:8" x14ac:dyDescent="0.3">
      <c r="A3578" t="s">
        <v>1686</v>
      </c>
      <c r="B3578" t="s">
        <v>37</v>
      </c>
      <c r="D3578">
        <v>2020</v>
      </c>
      <c r="E3578" s="2">
        <v>40</v>
      </c>
      <c r="F3578" s="2">
        <v>3200</v>
      </c>
      <c r="G3578" s="2">
        <v>3360</v>
      </c>
      <c r="H3578" s="3" t="s">
        <v>18</v>
      </c>
    </row>
    <row r="3579" spans="1:8" x14ac:dyDescent="0.3">
      <c r="A3579" t="s">
        <v>1686</v>
      </c>
      <c r="B3579" t="s">
        <v>37</v>
      </c>
      <c r="D3579">
        <v>2021</v>
      </c>
      <c r="E3579" s="2">
        <v>20</v>
      </c>
      <c r="F3579" s="2">
        <v>1600</v>
      </c>
      <c r="G3579" s="2">
        <v>1680</v>
      </c>
      <c r="H3579" s="3" t="s">
        <v>18</v>
      </c>
    </row>
    <row r="3580" spans="1:8" x14ac:dyDescent="0.3">
      <c r="A3580" t="s">
        <v>1686</v>
      </c>
      <c r="B3580" t="s">
        <v>267</v>
      </c>
      <c r="C3580" t="s">
        <v>150</v>
      </c>
      <c r="D3580">
        <v>2016</v>
      </c>
      <c r="E3580" s="2">
        <v>5</v>
      </c>
      <c r="F3580" s="2">
        <v>1100</v>
      </c>
      <c r="G3580" s="2"/>
    </row>
    <row r="3581" spans="1:8" x14ac:dyDescent="0.3">
      <c r="A3581" t="s">
        <v>1686</v>
      </c>
      <c r="B3581" t="s">
        <v>267</v>
      </c>
      <c r="C3581" t="s">
        <v>150</v>
      </c>
      <c r="D3581">
        <v>2018</v>
      </c>
      <c r="E3581" s="2">
        <v>26</v>
      </c>
      <c r="F3581" s="2">
        <v>4620</v>
      </c>
      <c r="G3581" s="2">
        <v>4851</v>
      </c>
    </row>
    <row r="3582" spans="1:8" x14ac:dyDescent="0.3">
      <c r="A3582" t="s">
        <v>1686</v>
      </c>
      <c r="B3582" t="s">
        <v>267</v>
      </c>
      <c r="C3582" t="s">
        <v>150</v>
      </c>
      <c r="D3582">
        <v>2019</v>
      </c>
      <c r="E3582" s="2">
        <v>15</v>
      </c>
      <c r="F3582" s="2">
        <v>3300</v>
      </c>
      <c r="G3582" s="2">
        <v>3465</v>
      </c>
    </row>
    <row r="3583" spans="1:8" x14ac:dyDescent="0.3">
      <c r="A3583" t="s">
        <v>1686</v>
      </c>
      <c r="B3583" t="s">
        <v>267</v>
      </c>
      <c r="C3583" t="s">
        <v>150</v>
      </c>
      <c r="D3583">
        <v>2020</v>
      </c>
      <c r="E3583" s="2">
        <v>10</v>
      </c>
      <c r="F3583" s="2">
        <v>2200</v>
      </c>
      <c r="G3583" s="2">
        <v>2310</v>
      </c>
    </row>
    <row r="3584" spans="1:8" x14ac:dyDescent="0.3">
      <c r="A3584" t="s">
        <v>1686</v>
      </c>
      <c r="B3584" t="s">
        <v>323</v>
      </c>
      <c r="C3584" t="s">
        <v>324</v>
      </c>
      <c r="D3584">
        <v>2017</v>
      </c>
      <c r="E3584" s="2">
        <v>5</v>
      </c>
      <c r="F3584" s="2">
        <v>750</v>
      </c>
      <c r="G3584" s="2"/>
    </row>
    <row r="3585" spans="1:7" x14ac:dyDescent="0.3">
      <c r="A3585" t="s">
        <v>1686</v>
      </c>
      <c r="B3585" t="s">
        <v>323</v>
      </c>
      <c r="C3585" t="s">
        <v>324</v>
      </c>
      <c r="D3585">
        <v>2018</v>
      </c>
      <c r="E3585" s="2">
        <v>5</v>
      </c>
      <c r="F3585" s="2">
        <v>750</v>
      </c>
      <c r="G3585" s="2">
        <v>787.5</v>
      </c>
    </row>
    <row r="3586" spans="1:7" x14ac:dyDescent="0.3">
      <c r="A3586" t="s">
        <v>1686</v>
      </c>
      <c r="B3586" t="s">
        <v>1689</v>
      </c>
      <c r="D3586">
        <v>2017</v>
      </c>
      <c r="E3586" s="2">
        <v>10</v>
      </c>
      <c r="F3586" s="2">
        <v>500</v>
      </c>
      <c r="G3586" s="2"/>
    </row>
    <row r="3587" spans="1:7" x14ac:dyDescent="0.3">
      <c r="A3587" t="s">
        <v>1690</v>
      </c>
      <c r="B3587" t="s">
        <v>184</v>
      </c>
      <c r="C3587" t="s">
        <v>185</v>
      </c>
      <c r="D3587">
        <v>2019</v>
      </c>
      <c r="E3587" s="2">
        <v>25</v>
      </c>
      <c r="F3587" s="2">
        <v>1550</v>
      </c>
      <c r="G3587" s="2">
        <v>1627.5</v>
      </c>
    </row>
    <row r="3588" spans="1:7" x14ac:dyDescent="0.3">
      <c r="A3588" t="s">
        <v>1690</v>
      </c>
      <c r="B3588" t="s">
        <v>686</v>
      </c>
      <c r="C3588" t="s">
        <v>866</v>
      </c>
      <c r="D3588">
        <v>2019</v>
      </c>
      <c r="E3588" s="2">
        <v>25</v>
      </c>
      <c r="F3588" s="2">
        <v>1550</v>
      </c>
      <c r="G3588" s="2">
        <v>1627.5</v>
      </c>
    </row>
    <row r="3589" spans="1:7" x14ac:dyDescent="0.3">
      <c r="A3589" t="s">
        <v>1690</v>
      </c>
      <c r="B3589" t="s">
        <v>297</v>
      </c>
      <c r="C3589" t="s">
        <v>298</v>
      </c>
      <c r="D3589">
        <v>2017</v>
      </c>
      <c r="E3589" s="2">
        <v>25</v>
      </c>
      <c r="F3589" s="2">
        <v>1500</v>
      </c>
      <c r="G3589" s="2"/>
    </row>
    <row r="3590" spans="1:7" x14ac:dyDescent="0.3">
      <c r="A3590" t="s">
        <v>1690</v>
      </c>
      <c r="B3590" t="s">
        <v>297</v>
      </c>
      <c r="C3590" t="s">
        <v>298</v>
      </c>
      <c r="D3590">
        <v>2018</v>
      </c>
      <c r="E3590" s="2">
        <v>50</v>
      </c>
      <c r="F3590" s="2">
        <v>3000</v>
      </c>
      <c r="G3590" s="2">
        <v>3150</v>
      </c>
    </row>
    <row r="3591" spans="1:7" x14ac:dyDescent="0.3">
      <c r="A3591" t="s">
        <v>1690</v>
      </c>
      <c r="B3591" t="s">
        <v>297</v>
      </c>
      <c r="C3591" t="s">
        <v>298</v>
      </c>
      <c r="D3591">
        <v>2019</v>
      </c>
      <c r="E3591" s="2">
        <v>25</v>
      </c>
      <c r="F3591" s="2">
        <v>1500</v>
      </c>
      <c r="G3591" s="2"/>
    </row>
    <row r="3592" spans="1:7" x14ac:dyDescent="0.3">
      <c r="A3592" t="s">
        <v>1690</v>
      </c>
      <c r="B3592" t="s">
        <v>19</v>
      </c>
      <c r="C3592" t="s">
        <v>670</v>
      </c>
      <c r="D3592">
        <v>2018</v>
      </c>
      <c r="E3592" s="2">
        <v>50</v>
      </c>
      <c r="F3592" s="2">
        <v>4000</v>
      </c>
      <c r="G3592" s="2">
        <v>4200</v>
      </c>
    </row>
    <row r="3593" spans="1:7" x14ac:dyDescent="0.3">
      <c r="A3593" t="s">
        <v>1690</v>
      </c>
      <c r="B3593" t="s">
        <v>19</v>
      </c>
      <c r="C3593" t="s">
        <v>670</v>
      </c>
      <c r="D3593">
        <v>2019</v>
      </c>
      <c r="E3593" s="2">
        <v>35</v>
      </c>
      <c r="F3593" s="2">
        <v>2825</v>
      </c>
      <c r="G3593" s="2">
        <v>2966.25</v>
      </c>
    </row>
    <row r="3594" spans="1:7" x14ac:dyDescent="0.3">
      <c r="A3594" t="s">
        <v>1690</v>
      </c>
      <c r="B3594" t="s">
        <v>41</v>
      </c>
      <c r="C3594" t="s">
        <v>63</v>
      </c>
      <c r="D3594">
        <v>2017</v>
      </c>
      <c r="E3594" s="2">
        <v>225</v>
      </c>
      <c r="F3594" s="2">
        <v>11250</v>
      </c>
      <c r="G3594" s="2"/>
    </row>
    <row r="3595" spans="1:7" x14ac:dyDescent="0.3">
      <c r="A3595" t="s">
        <v>1690</v>
      </c>
      <c r="B3595" t="s">
        <v>41</v>
      </c>
      <c r="C3595" t="s">
        <v>63</v>
      </c>
      <c r="D3595">
        <v>2018</v>
      </c>
      <c r="E3595" s="2">
        <v>75</v>
      </c>
      <c r="F3595" s="2">
        <v>15000</v>
      </c>
      <c r="G3595" s="2">
        <v>15750</v>
      </c>
    </row>
    <row r="3596" spans="1:7" x14ac:dyDescent="0.3">
      <c r="A3596" t="s">
        <v>1690</v>
      </c>
      <c r="B3596" t="s">
        <v>671</v>
      </c>
      <c r="C3596" t="s">
        <v>672</v>
      </c>
      <c r="D3596">
        <v>2019</v>
      </c>
      <c r="E3596" s="2">
        <v>110</v>
      </c>
      <c r="F3596" s="2">
        <v>4500</v>
      </c>
      <c r="G3596" s="2">
        <v>4725</v>
      </c>
    </row>
    <row r="3597" spans="1:7" x14ac:dyDescent="0.3">
      <c r="A3597" t="s">
        <v>1690</v>
      </c>
      <c r="B3597" t="s">
        <v>404</v>
      </c>
      <c r="C3597" t="s">
        <v>405</v>
      </c>
      <c r="D3597">
        <v>2019</v>
      </c>
      <c r="E3597" s="2">
        <v>25</v>
      </c>
      <c r="F3597" s="2">
        <v>2625</v>
      </c>
      <c r="G3597" s="2">
        <v>2756.25</v>
      </c>
    </row>
    <row r="3598" spans="1:7" x14ac:dyDescent="0.3">
      <c r="A3598" t="s">
        <v>1690</v>
      </c>
      <c r="B3598" t="s">
        <v>36</v>
      </c>
      <c r="D3598">
        <v>2017</v>
      </c>
      <c r="E3598" s="2">
        <v>1</v>
      </c>
      <c r="F3598" s="2">
        <v>120</v>
      </c>
      <c r="G3598" s="2"/>
    </row>
    <row r="3599" spans="1:7" x14ac:dyDescent="0.3">
      <c r="A3599" t="s">
        <v>1690</v>
      </c>
      <c r="B3599" t="s">
        <v>36</v>
      </c>
      <c r="D3599">
        <v>2018</v>
      </c>
      <c r="E3599" s="2">
        <v>5</v>
      </c>
      <c r="F3599" s="2">
        <v>600</v>
      </c>
      <c r="G3599" s="2">
        <v>630</v>
      </c>
    </row>
    <row r="3600" spans="1:7" x14ac:dyDescent="0.3">
      <c r="A3600" t="s">
        <v>1690</v>
      </c>
      <c r="B3600" t="s">
        <v>496</v>
      </c>
      <c r="C3600" t="s">
        <v>497</v>
      </c>
      <c r="D3600">
        <v>2019</v>
      </c>
      <c r="E3600" s="2">
        <v>50</v>
      </c>
      <c r="F3600" s="2">
        <v>6000</v>
      </c>
      <c r="G3600" s="2">
        <v>6300</v>
      </c>
    </row>
    <row r="3601" spans="1:8" x14ac:dyDescent="0.3">
      <c r="A3601" t="s">
        <v>1690</v>
      </c>
      <c r="B3601" t="s">
        <v>1691</v>
      </c>
      <c r="C3601" t="s">
        <v>321</v>
      </c>
      <c r="D3601">
        <v>2017</v>
      </c>
      <c r="E3601" s="2">
        <v>25</v>
      </c>
      <c r="F3601" s="2">
        <v>1875</v>
      </c>
      <c r="G3601" s="2"/>
    </row>
    <row r="3602" spans="1:8" x14ac:dyDescent="0.3">
      <c r="A3602" t="s">
        <v>1692</v>
      </c>
      <c r="B3602" t="s">
        <v>863</v>
      </c>
      <c r="D3602">
        <v>2016</v>
      </c>
      <c r="E3602" s="2">
        <v>40</v>
      </c>
      <c r="F3602" s="2">
        <v>2640</v>
      </c>
      <c r="G3602" s="2"/>
    </row>
    <row r="3603" spans="1:8" x14ac:dyDescent="0.3">
      <c r="A3603" t="s">
        <v>1693</v>
      </c>
      <c r="B3603" t="s">
        <v>1408</v>
      </c>
      <c r="D3603">
        <v>2021</v>
      </c>
      <c r="E3603" s="2">
        <v>10</v>
      </c>
      <c r="F3603" s="2">
        <v>1200</v>
      </c>
      <c r="G3603" s="2">
        <v>1260</v>
      </c>
      <c r="H3603" s="3" t="s">
        <v>147</v>
      </c>
    </row>
    <row r="3604" spans="1:8" x14ac:dyDescent="0.3">
      <c r="A3604" t="s">
        <v>1693</v>
      </c>
      <c r="B3604" t="s">
        <v>1694</v>
      </c>
      <c r="C3604" t="s">
        <v>949</v>
      </c>
      <c r="D3604">
        <v>2017</v>
      </c>
      <c r="E3604" s="2">
        <v>500</v>
      </c>
      <c r="F3604" s="2">
        <v>8000</v>
      </c>
      <c r="G3604" s="2"/>
    </row>
    <row r="3605" spans="1:8" x14ac:dyDescent="0.3">
      <c r="A3605" t="s">
        <v>1693</v>
      </c>
      <c r="B3605" t="s">
        <v>174</v>
      </c>
      <c r="C3605" t="s">
        <v>175</v>
      </c>
      <c r="D3605">
        <v>2017</v>
      </c>
      <c r="E3605" s="2">
        <v>25</v>
      </c>
      <c r="F3605" s="2">
        <v>2250</v>
      </c>
      <c r="G3605" s="2"/>
    </row>
    <row r="3606" spans="1:8" x14ac:dyDescent="0.3">
      <c r="A3606" t="s">
        <v>1693</v>
      </c>
      <c r="B3606" t="s">
        <v>714</v>
      </c>
      <c r="C3606" t="s">
        <v>715</v>
      </c>
      <c r="D3606">
        <v>2017</v>
      </c>
      <c r="E3606" s="2">
        <v>5</v>
      </c>
      <c r="F3606" s="2">
        <v>600</v>
      </c>
      <c r="G3606" s="2"/>
    </row>
    <row r="3607" spans="1:8" x14ac:dyDescent="0.3">
      <c r="A3607" t="s">
        <v>1693</v>
      </c>
      <c r="B3607" t="s">
        <v>84</v>
      </c>
      <c r="C3607" t="s">
        <v>85</v>
      </c>
      <c r="D3607">
        <v>2017</v>
      </c>
      <c r="E3607" s="2">
        <v>85</v>
      </c>
      <c r="F3607" s="2">
        <v>10880</v>
      </c>
      <c r="G3607" s="2"/>
      <c r="H3607" s="3" t="s">
        <v>18</v>
      </c>
    </row>
    <row r="3608" spans="1:8" x14ac:dyDescent="0.3">
      <c r="A3608" t="s">
        <v>1693</v>
      </c>
      <c r="B3608" t="s">
        <v>84</v>
      </c>
      <c r="C3608" t="s">
        <v>85</v>
      </c>
      <c r="D3608">
        <v>2018</v>
      </c>
      <c r="E3608" s="2">
        <v>50</v>
      </c>
      <c r="F3608" s="2">
        <v>6400</v>
      </c>
      <c r="G3608" s="2">
        <v>6720</v>
      </c>
      <c r="H3608" s="3" t="s">
        <v>18</v>
      </c>
    </row>
    <row r="3609" spans="1:8" x14ac:dyDescent="0.3">
      <c r="A3609" t="s">
        <v>1693</v>
      </c>
      <c r="B3609" t="s">
        <v>84</v>
      </c>
      <c r="C3609" t="s">
        <v>85</v>
      </c>
      <c r="D3609">
        <v>2019</v>
      </c>
      <c r="E3609" s="2">
        <v>50</v>
      </c>
      <c r="F3609" s="2">
        <v>6400</v>
      </c>
      <c r="G3609" s="2">
        <v>6720</v>
      </c>
      <c r="H3609" s="3" t="s">
        <v>18</v>
      </c>
    </row>
    <row r="3610" spans="1:8" x14ac:dyDescent="0.3">
      <c r="A3610" t="s">
        <v>1693</v>
      </c>
      <c r="B3610" t="s">
        <v>84</v>
      </c>
      <c r="C3610" t="s">
        <v>85</v>
      </c>
      <c r="D3610">
        <v>2021</v>
      </c>
      <c r="E3610" s="2">
        <v>10</v>
      </c>
      <c r="F3610" s="2">
        <v>1280</v>
      </c>
      <c r="G3610" s="2">
        <v>1344</v>
      </c>
      <c r="H3610" s="3" t="s">
        <v>18</v>
      </c>
    </row>
    <row r="3611" spans="1:8" x14ac:dyDescent="0.3">
      <c r="A3611" t="s">
        <v>1693</v>
      </c>
      <c r="B3611" t="s">
        <v>55</v>
      </c>
      <c r="D3611">
        <v>2021</v>
      </c>
      <c r="E3611" s="2">
        <v>5</v>
      </c>
      <c r="F3611" s="2">
        <v>1250</v>
      </c>
      <c r="G3611" s="2">
        <v>1312.5</v>
      </c>
      <c r="H3611" s="3" t="s">
        <v>18</v>
      </c>
    </row>
    <row r="3612" spans="1:8" x14ac:dyDescent="0.3">
      <c r="A3612" t="s">
        <v>1693</v>
      </c>
      <c r="B3612" t="s">
        <v>86</v>
      </c>
      <c r="C3612" t="s">
        <v>87</v>
      </c>
      <c r="D3612">
        <v>2021</v>
      </c>
      <c r="E3612" s="2">
        <v>10</v>
      </c>
      <c r="F3612" s="2">
        <v>2200</v>
      </c>
      <c r="G3612" s="2">
        <v>2310</v>
      </c>
      <c r="H3612" s="3" t="s">
        <v>18</v>
      </c>
    </row>
    <row r="3613" spans="1:8" x14ac:dyDescent="0.3">
      <c r="A3613" t="s">
        <v>1693</v>
      </c>
      <c r="B3613" t="s">
        <v>610</v>
      </c>
      <c r="C3613" t="s">
        <v>611</v>
      </c>
      <c r="D3613">
        <v>2017</v>
      </c>
      <c r="E3613" s="2">
        <v>25</v>
      </c>
      <c r="F3613" s="2">
        <v>2050</v>
      </c>
      <c r="G3613" s="2"/>
    </row>
    <row r="3614" spans="1:8" x14ac:dyDescent="0.3">
      <c r="A3614" t="s">
        <v>1693</v>
      </c>
      <c r="B3614" t="s">
        <v>610</v>
      </c>
      <c r="C3614" t="s">
        <v>611</v>
      </c>
      <c r="D3614">
        <v>2017</v>
      </c>
      <c r="E3614" s="2">
        <v>25</v>
      </c>
      <c r="F3614" s="2">
        <v>2050</v>
      </c>
      <c r="G3614" s="2"/>
    </row>
    <row r="3615" spans="1:8" x14ac:dyDescent="0.3">
      <c r="A3615" t="s">
        <v>1693</v>
      </c>
      <c r="B3615" t="s">
        <v>610</v>
      </c>
      <c r="C3615" t="s">
        <v>611</v>
      </c>
      <c r="D3615">
        <v>2018</v>
      </c>
      <c r="E3615" s="2">
        <v>25</v>
      </c>
      <c r="F3615" s="2">
        <v>2050</v>
      </c>
      <c r="G3615" s="2">
        <v>2152.5</v>
      </c>
    </row>
    <row r="3616" spans="1:8" x14ac:dyDescent="0.3">
      <c r="A3616" t="s">
        <v>1693</v>
      </c>
      <c r="B3616" t="s">
        <v>219</v>
      </c>
      <c r="C3616" t="s">
        <v>220</v>
      </c>
      <c r="D3616">
        <v>2017</v>
      </c>
      <c r="E3616" s="2">
        <v>35</v>
      </c>
      <c r="F3616" s="2">
        <v>6555</v>
      </c>
      <c r="G3616" s="2"/>
    </row>
    <row r="3617" spans="1:8" x14ac:dyDescent="0.3">
      <c r="A3617" t="s">
        <v>1693</v>
      </c>
      <c r="B3617" t="s">
        <v>558</v>
      </c>
      <c r="C3617" t="s">
        <v>559</v>
      </c>
      <c r="D3617">
        <v>2017</v>
      </c>
      <c r="E3617" s="2">
        <v>5</v>
      </c>
      <c r="F3617" s="2">
        <v>650</v>
      </c>
      <c r="G3617" s="2"/>
    </row>
    <row r="3618" spans="1:8" x14ac:dyDescent="0.3">
      <c r="A3618" t="s">
        <v>1693</v>
      </c>
      <c r="B3618" t="s">
        <v>95</v>
      </c>
      <c r="C3618" t="s">
        <v>96</v>
      </c>
      <c r="D3618">
        <v>2017</v>
      </c>
      <c r="E3618" s="2">
        <v>5</v>
      </c>
      <c r="F3618" s="2">
        <v>700</v>
      </c>
      <c r="G3618" s="2"/>
    </row>
    <row r="3619" spans="1:8" x14ac:dyDescent="0.3">
      <c r="A3619" t="s">
        <v>1693</v>
      </c>
      <c r="B3619" t="s">
        <v>290</v>
      </c>
      <c r="C3619" t="s">
        <v>57</v>
      </c>
      <c r="D3619">
        <v>2017</v>
      </c>
      <c r="E3619" s="2">
        <v>25</v>
      </c>
      <c r="F3619" s="2">
        <v>5000</v>
      </c>
      <c r="G3619" s="2"/>
    </row>
    <row r="3620" spans="1:8" x14ac:dyDescent="0.3">
      <c r="A3620" t="s">
        <v>1693</v>
      </c>
      <c r="B3620" t="s">
        <v>99</v>
      </c>
      <c r="C3620" t="s">
        <v>100</v>
      </c>
      <c r="D3620">
        <v>2017</v>
      </c>
      <c r="E3620" s="2">
        <v>25</v>
      </c>
      <c r="F3620" s="2">
        <v>4250</v>
      </c>
      <c r="G3620" s="2"/>
      <c r="H3620" s="3" t="s">
        <v>18</v>
      </c>
    </row>
    <row r="3621" spans="1:8" x14ac:dyDescent="0.3">
      <c r="A3621" t="s">
        <v>1693</v>
      </c>
      <c r="B3621" t="s">
        <v>99</v>
      </c>
      <c r="C3621" t="s">
        <v>100</v>
      </c>
      <c r="D3621">
        <v>2018</v>
      </c>
      <c r="E3621" s="2">
        <v>25</v>
      </c>
      <c r="F3621" s="2">
        <v>2050</v>
      </c>
      <c r="G3621" s="2">
        <v>2152.5</v>
      </c>
      <c r="H3621" s="3" t="s">
        <v>18</v>
      </c>
    </row>
    <row r="3622" spans="1:8" x14ac:dyDescent="0.3">
      <c r="A3622" t="s">
        <v>1693</v>
      </c>
      <c r="B3622" t="s">
        <v>99</v>
      </c>
      <c r="C3622" t="s">
        <v>100</v>
      </c>
      <c r="D3622">
        <v>2021</v>
      </c>
      <c r="E3622" s="2">
        <v>15</v>
      </c>
      <c r="F3622" s="2">
        <v>2550</v>
      </c>
      <c r="G3622" s="2">
        <v>2677.5</v>
      </c>
      <c r="H3622" s="3" t="s">
        <v>18</v>
      </c>
    </row>
    <row r="3623" spans="1:8" x14ac:dyDescent="0.3">
      <c r="A3623" t="s">
        <v>1693</v>
      </c>
      <c r="B3623" t="s">
        <v>19</v>
      </c>
      <c r="C3623" t="s">
        <v>20</v>
      </c>
      <c r="D3623">
        <v>2017</v>
      </c>
      <c r="E3623" s="2">
        <v>10</v>
      </c>
      <c r="F3623" s="2">
        <v>1200</v>
      </c>
      <c r="G3623" s="2"/>
      <c r="H3623" s="3" t="s">
        <v>18</v>
      </c>
    </row>
    <row r="3624" spans="1:8" x14ac:dyDescent="0.3">
      <c r="A3624" t="s">
        <v>1693</v>
      </c>
      <c r="B3624" t="s">
        <v>19</v>
      </c>
      <c r="C3624" t="s">
        <v>20</v>
      </c>
      <c r="D3624">
        <v>2018</v>
      </c>
      <c r="E3624" s="2">
        <v>35</v>
      </c>
      <c r="F3624" s="2">
        <v>4200</v>
      </c>
      <c r="G3624" s="2">
        <v>4410</v>
      </c>
      <c r="H3624" s="3" t="s">
        <v>18</v>
      </c>
    </row>
    <row r="3625" spans="1:8" x14ac:dyDescent="0.3">
      <c r="A3625" t="s">
        <v>1693</v>
      </c>
      <c r="B3625" t="s">
        <v>19</v>
      </c>
      <c r="C3625" t="s">
        <v>20</v>
      </c>
      <c r="D3625">
        <v>2019</v>
      </c>
      <c r="E3625" s="2">
        <v>25</v>
      </c>
      <c r="F3625" s="2">
        <v>3000</v>
      </c>
      <c r="G3625" s="2">
        <v>3150</v>
      </c>
      <c r="H3625" s="3" t="s">
        <v>18</v>
      </c>
    </row>
    <row r="3626" spans="1:8" x14ac:dyDescent="0.3">
      <c r="A3626" t="s">
        <v>1693</v>
      </c>
      <c r="B3626" t="s">
        <v>19</v>
      </c>
      <c r="C3626" t="s">
        <v>20</v>
      </c>
      <c r="D3626">
        <v>2021</v>
      </c>
      <c r="E3626" s="2">
        <v>15</v>
      </c>
      <c r="F3626" s="2">
        <v>1950</v>
      </c>
      <c r="G3626" s="2">
        <v>2047.5</v>
      </c>
      <c r="H3626" s="3" t="s">
        <v>18</v>
      </c>
    </row>
    <row r="3627" spans="1:8" x14ac:dyDescent="0.3">
      <c r="A3627" t="s">
        <v>1693</v>
      </c>
      <c r="B3627" t="s">
        <v>41</v>
      </c>
      <c r="C3627" t="s">
        <v>42</v>
      </c>
      <c r="D3627">
        <v>2017</v>
      </c>
      <c r="E3627" s="2">
        <v>25</v>
      </c>
      <c r="F3627" s="2">
        <v>2000</v>
      </c>
      <c r="G3627" s="2"/>
    </row>
    <row r="3628" spans="1:8" x14ac:dyDescent="0.3">
      <c r="A3628" t="s">
        <v>1693</v>
      </c>
      <c r="B3628" t="s">
        <v>597</v>
      </c>
      <c r="C3628" t="s">
        <v>598</v>
      </c>
      <c r="D3628">
        <v>2021</v>
      </c>
      <c r="E3628" s="2">
        <v>15</v>
      </c>
      <c r="F3628" s="2">
        <v>2600</v>
      </c>
      <c r="G3628" s="2">
        <v>2730</v>
      </c>
      <c r="H3628" s="3" t="s">
        <v>18</v>
      </c>
    </row>
    <row r="3629" spans="1:8" x14ac:dyDescent="0.3">
      <c r="A3629" t="s">
        <v>1693</v>
      </c>
      <c r="B3629" t="s">
        <v>125</v>
      </c>
      <c r="D3629">
        <v>2021</v>
      </c>
      <c r="E3629" s="2">
        <v>10</v>
      </c>
      <c r="F3629" s="2">
        <v>3000</v>
      </c>
      <c r="G3629" s="2">
        <v>3150</v>
      </c>
      <c r="H3629" s="3" t="s">
        <v>18</v>
      </c>
    </row>
    <row r="3630" spans="1:8" x14ac:dyDescent="0.3">
      <c r="A3630" t="s">
        <v>1693</v>
      </c>
      <c r="B3630" t="s">
        <v>314</v>
      </c>
      <c r="C3630" t="s">
        <v>315</v>
      </c>
      <c r="D3630">
        <v>2017</v>
      </c>
      <c r="E3630" s="2">
        <v>25</v>
      </c>
      <c r="F3630" s="2">
        <v>1925</v>
      </c>
      <c r="G3630" s="2"/>
    </row>
    <row r="3631" spans="1:8" x14ac:dyDescent="0.3">
      <c r="A3631" t="s">
        <v>1693</v>
      </c>
      <c r="B3631" t="s">
        <v>476</v>
      </c>
      <c r="C3631" t="s">
        <v>478</v>
      </c>
      <c r="D3631">
        <v>2021</v>
      </c>
      <c r="E3631" s="2">
        <v>10</v>
      </c>
      <c r="F3631" s="2">
        <v>1200</v>
      </c>
      <c r="G3631" s="2">
        <v>1260</v>
      </c>
      <c r="H3631" s="3" t="s">
        <v>18</v>
      </c>
    </row>
    <row r="3632" spans="1:8" x14ac:dyDescent="0.3">
      <c r="A3632" t="s">
        <v>1693</v>
      </c>
      <c r="B3632" t="s">
        <v>411</v>
      </c>
      <c r="D3632">
        <v>2021</v>
      </c>
      <c r="E3632" s="2">
        <v>5</v>
      </c>
      <c r="F3632" s="2">
        <v>1800</v>
      </c>
      <c r="G3632" s="2">
        <v>1890</v>
      </c>
      <c r="H3632" s="3" t="s">
        <v>18</v>
      </c>
    </row>
    <row r="3633" spans="1:8" x14ac:dyDescent="0.3">
      <c r="A3633" t="s">
        <v>1693</v>
      </c>
      <c r="B3633" t="s">
        <v>1394</v>
      </c>
      <c r="C3633" t="s">
        <v>1395</v>
      </c>
      <c r="D3633">
        <v>2017</v>
      </c>
      <c r="E3633" s="2">
        <v>5</v>
      </c>
      <c r="F3633" s="2">
        <v>700</v>
      </c>
      <c r="G3633" s="2"/>
    </row>
    <row r="3634" spans="1:8" x14ac:dyDescent="0.3">
      <c r="A3634" t="s">
        <v>1693</v>
      </c>
      <c r="B3634" t="s">
        <v>604</v>
      </c>
      <c r="C3634" t="s">
        <v>605</v>
      </c>
      <c r="D3634">
        <v>2021</v>
      </c>
      <c r="E3634" s="2">
        <v>5</v>
      </c>
      <c r="F3634" s="2">
        <v>1000</v>
      </c>
      <c r="G3634" s="2">
        <v>1050</v>
      </c>
      <c r="H3634" s="3" t="s">
        <v>1695</v>
      </c>
    </row>
    <row r="3635" spans="1:8" x14ac:dyDescent="0.3">
      <c r="A3635" t="s">
        <v>1693</v>
      </c>
      <c r="B3635" t="s">
        <v>1371</v>
      </c>
      <c r="C3635" t="s">
        <v>613</v>
      </c>
      <c r="D3635">
        <v>2017</v>
      </c>
      <c r="E3635" s="2">
        <v>25</v>
      </c>
      <c r="F3635" s="2">
        <v>5750</v>
      </c>
      <c r="G3635" s="2"/>
    </row>
    <row r="3636" spans="1:8" x14ac:dyDescent="0.3">
      <c r="A3636" t="s">
        <v>1693</v>
      </c>
      <c r="B3636" t="s">
        <v>1371</v>
      </c>
      <c r="C3636" t="s">
        <v>613</v>
      </c>
      <c r="D3636">
        <v>2018</v>
      </c>
      <c r="E3636" s="2">
        <v>10</v>
      </c>
      <c r="F3636" s="2">
        <v>2300</v>
      </c>
      <c r="G3636" s="2">
        <v>2415</v>
      </c>
    </row>
    <row r="3637" spans="1:8" x14ac:dyDescent="0.3">
      <c r="A3637" t="s">
        <v>1693</v>
      </c>
      <c r="B3637" t="s">
        <v>1371</v>
      </c>
      <c r="C3637" t="s">
        <v>613</v>
      </c>
      <c r="D3637">
        <v>2019</v>
      </c>
      <c r="E3637" s="2">
        <v>25</v>
      </c>
      <c r="F3637" s="2">
        <v>5750</v>
      </c>
      <c r="G3637" s="2">
        <v>6037.5</v>
      </c>
    </row>
    <row r="3638" spans="1:8" x14ac:dyDescent="0.3">
      <c r="A3638" t="s">
        <v>1693</v>
      </c>
      <c r="B3638" t="s">
        <v>203</v>
      </c>
      <c r="C3638" t="s">
        <v>204</v>
      </c>
      <c r="D3638">
        <v>2017</v>
      </c>
      <c r="E3638" s="2">
        <v>25</v>
      </c>
      <c r="F3638" s="2">
        <v>2250</v>
      </c>
      <c r="G3638" s="2"/>
    </row>
    <row r="3639" spans="1:8" x14ac:dyDescent="0.3">
      <c r="A3639" t="s">
        <v>1693</v>
      </c>
      <c r="B3639" t="s">
        <v>203</v>
      </c>
      <c r="C3639" t="s">
        <v>204</v>
      </c>
      <c r="D3639">
        <v>2019</v>
      </c>
      <c r="E3639" s="2">
        <v>10</v>
      </c>
      <c r="F3639" s="2">
        <v>900</v>
      </c>
      <c r="G3639" s="2">
        <v>945</v>
      </c>
    </row>
    <row r="3640" spans="1:8" x14ac:dyDescent="0.3">
      <c r="A3640" t="s">
        <v>1693</v>
      </c>
      <c r="B3640" t="s">
        <v>679</v>
      </c>
      <c r="C3640" t="s">
        <v>680</v>
      </c>
      <c r="D3640">
        <v>2021</v>
      </c>
      <c r="E3640" s="2">
        <v>20</v>
      </c>
      <c r="F3640" s="2">
        <v>1800</v>
      </c>
      <c r="G3640" s="2">
        <v>1890</v>
      </c>
      <c r="H3640" s="3" t="s">
        <v>18</v>
      </c>
    </row>
    <row r="3641" spans="1:8" x14ac:dyDescent="0.3">
      <c r="A3641" t="s">
        <v>1696</v>
      </c>
      <c r="B3641" t="s">
        <v>240</v>
      </c>
      <c r="D3641">
        <v>2021</v>
      </c>
      <c r="E3641" s="2">
        <v>5</v>
      </c>
      <c r="F3641" s="2">
        <v>450</v>
      </c>
      <c r="G3641" s="2">
        <v>472.5</v>
      </c>
    </row>
    <row r="3642" spans="1:8" x14ac:dyDescent="0.3">
      <c r="A3642" t="s">
        <v>1696</v>
      </c>
      <c r="B3642" t="s">
        <v>1643</v>
      </c>
      <c r="D3642">
        <v>2021</v>
      </c>
      <c r="E3642" s="2">
        <v>20</v>
      </c>
      <c r="F3642" s="2">
        <v>1500</v>
      </c>
      <c r="G3642" s="2">
        <v>1575</v>
      </c>
    </row>
    <row r="3643" spans="1:8" x14ac:dyDescent="0.3">
      <c r="A3643" t="s">
        <v>1696</v>
      </c>
      <c r="B3643" t="s">
        <v>483</v>
      </c>
      <c r="C3643" t="s">
        <v>484</v>
      </c>
      <c r="D3643">
        <v>2021</v>
      </c>
      <c r="E3643" s="2">
        <v>25</v>
      </c>
      <c r="F3643" s="2">
        <v>1675</v>
      </c>
      <c r="G3643" s="2">
        <v>1758.75</v>
      </c>
    </row>
    <row r="3644" spans="1:8" x14ac:dyDescent="0.3">
      <c r="A3644" t="s">
        <v>1697</v>
      </c>
      <c r="B3644" t="s">
        <v>731</v>
      </c>
      <c r="C3644" t="s">
        <v>289</v>
      </c>
      <c r="D3644">
        <v>2019</v>
      </c>
      <c r="E3644" s="2">
        <v>50</v>
      </c>
      <c r="F3644" s="2">
        <v>6500</v>
      </c>
      <c r="G3644" s="2">
        <v>6825</v>
      </c>
    </row>
    <row r="3645" spans="1:8" x14ac:dyDescent="0.3">
      <c r="A3645" t="s">
        <v>1697</v>
      </c>
      <c r="B3645" t="s">
        <v>1698</v>
      </c>
      <c r="C3645" t="s">
        <v>1699</v>
      </c>
      <c r="D3645">
        <v>2010</v>
      </c>
      <c r="E3645" s="2">
        <v>50</v>
      </c>
      <c r="F3645" s="2">
        <v>4250</v>
      </c>
      <c r="G3645" s="2"/>
    </row>
    <row r="3646" spans="1:8" x14ac:dyDescent="0.3">
      <c r="A3646" t="s">
        <v>1697</v>
      </c>
      <c r="B3646" t="s">
        <v>1698</v>
      </c>
      <c r="C3646" t="s">
        <v>1699</v>
      </c>
      <c r="D3646">
        <v>2011</v>
      </c>
      <c r="E3646" s="2">
        <v>75</v>
      </c>
      <c r="F3646" s="2">
        <v>6375</v>
      </c>
      <c r="G3646" s="2"/>
    </row>
    <row r="3647" spans="1:8" x14ac:dyDescent="0.3">
      <c r="A3647" t="s">
        <v>1697</v>
      </c>
      <c r="B3647" t="s">
        <v>1698</v>
      </c>
      <c r="C3647" t="s">
        <v>1699</v>
      </c>
      <c r="D3647">
        <v>2012</v>
      </c>
      <c r="E3647" s="2">
        <v>75</v>
      </c>
      <c r="F3647" s="2">
        <v>6375</v>
      </c>
      <c r="G3647" s="2"/>
    </row>
    <row r="3648" spans="1:8" x14ac:dyDescent="0.3">
      <c r="A3648" t="s">
        <v>1697</v>
      </c>
      <c r="B3648" t="s">
        <v>1698</v>
      </c>
      <c r="C3648" t="s">
        <v>1699</v>
      </c>
      <c r="D3648">
        <v>2013</v>
      </c>
      <c r="E3648" s="2">
        <v>75</v>
      </c>
      <c r="F3648" s="2">
        <v>6375</v>
      </c>
      <c r="G3648" s="2"/>
    </row>
    <row r="3649" spans="1:7" x14ac:dyDescent="0.3">
      <c r="A3649" t="s">
        <v>1697</v>
      </c>
      <c r="B3649" t="s">
        <v>1698</v>
      </c>
      <c r="C3649" t="s">
        <v>1699</v>
      </c>
      <c r="D3649">
        <v>2016</v>
      </c>
      <c r="E3649" s="2">
        <v>75</v>
      </c>
      <c r="F3649" s="2">
        <v>6375</v>
      </c>
      <c r="G3649" s="2"/>
    </row>
    <row r="3650" spans="1:7" x14ac:dyDescent="0.3">
      <c r="A3650" t="s">
        <v>1697</v>
      </c>
      <c r="B3650" t="s">
        <v>1698</v>
      </c>
      <c r="C3650" t="s">
        <v>1699</v>
      </c>
      <c r="D3650">
        <v>2019</v>
      </c>
      <c r="E3650" s="2">
        <v>50</v>
      </c>
      <c r="F3650" s="2">
        <v>4250</v>
      </c>
      <c r="G3650" s="2">
        <v>4462.5</v>
      </c>
    </row>
    <row r="3651" spans="1:7" x14ac:dyDescent="0.3">
      <c r="A3651" t="s">
        <v>1697</v>
      </c>
      <c r="B3651" t="s">
        <v>1698</v>
      </c>
      <c r="C3651" t="s">
        <v>1699</v>
      </c>
      <c r="D3651">
        <v>2020</v>
      </c>
      <c r="E3651" s="2">
        <v>50</v>
      </c>
      <c r="F3651" s="2">
        <v>4250</v>
      </c>
      <c r="G3651" s="2">
        <v>4462.5</v>
      </c>
    </row>
    <row r="3652" spans="1:7" x14ac:dyDescent="0.3">
      <c r="A3652" t="s">
        <v>1697</v>
      </c>
      <c r="B3652" t="s">
        <v>542</v>
      </c>
      <c r="C3652" t="s">
        <v>160</v>
      </c>
      <c r="D3652">
        <v>2021</v>
      </c>
      <c r="E3652" s="2">
        <v>50</v>
      </c>
      <c r="F3652" s="2">
        <v>6250</v>
      </c>
      <c r="G3652" s="2">
        <v>6562.5</v>
      </c>
    </row>
    <row r="3653" spans="1:7" x14ac:dyDescent="0.3">
      <c r="A3653" t="s">
        <v>1697</v>
      </c>
      <c r="B3653" t="s">
        <v>64</v>
      </c>
      <c r="C3653" t="s">
        <v>65</v>
      </c>
      <c r="D3653">
        <v>2018</v>
      </c>
      <c r="E3653" s="2">
        <v>125</v>
      </c>
      <c r="F3653" s="2">
        <v>8125</v>
      </c>
      <c r="G3653" s="2">
        <v>8531.25</v>
      </c>
    </row>
    <row r="3654" spans="1:7" x14ac:dyDescent="0.3">
      <c r="A3654" t="s">
        <v>1697</v>
      </c>
      <c r="B3654" t="s">
        <v>995</v>
      </c>
      <c r="C3654" t="s">
        <v>672</v>
      </c>
      <c r="D3654">
        <v>2018</v>
      </c>
      <c r="E3654" s="2">
        <v>75</v>
      </c>
      <c r="F3654" s="2">
        <v>5625</v>
      </c>
      <c r="G3654" s="2">
        <v>5906.25</v>
      </c>
    </row>
    <row r="3655" spans="1:7" x14ac:dyDescent="0.3">
      <c r="A3655" t="s">
        <v>1697</v>
      </c>
      <c r="B3655" t="s">
        <v>995</v>
      </c>
      <c r="C3655" t="s">
        <v>672</v>
      </c>
      <c r="D3655">
        <v>2020</v>
      </c>
      <c r="E3655" s="2">
        <v>50</v>
      </c>
      <c r="F3655" s="2">
        <v>3750</v>
      </c>
      <c r="G3655" s="2">
        <v>3937.5</v>
      </c>
    </row>
    <row r="3656" spans="1:7" x14ac:dyDescent="0.3">
      <c r="A3656" t="s">
        <v>1697</v>
      </c>
      <c r="B3656" t="s">
        <v>839</v>
      </c>
      <c r="C3656" t="s">
        <v>138</v>
      </c>
      <c r="D3656">
        <v>2020</v>
      </c>
      <c r="E3656" s="2">
        <v>50</v>
      </c>
      <c r="F3656" s="2">
        <v>5250</v>
      </c>
      <c r="G3656" s="2">
        <v>5512.5</v>
      </c>
    </row>
    <row r="3657" spans="1:7" x14ac:dyDescent="0.3">
      <c r="A3657" t="s">
        <v>1697</v>
      </c>
      <c r="B3657" t="s">
        <v>265</v>
      </c>
      <c r="C3657" t="s">
        <v>197</v>
      </c>
      <c r="D3657">
        <v>2018</v>
      </c>
      <c r="E3657" s="2">
        <v>25</v>
      </c>
      <c r="F3657" s="2">
        <v>2375</v>
      </c>
      <c r="G3657" s="2">
        <v>2493.75</v>
      </c>
    </row>
    <row r="3658" spans="1:7" x14ac:dyDescent="0.3">
      <c r="A3658" t="s">
        <v>1697</v>
      </c>
      <c r="B3658" t="s">
        <v>265</v>
      </c>
      <c r="C3658" t="s">
        <v>197</v>
      </c>
      <c r="D3658">
        <v>2019</v>
      </c>
      <c r="E3658" s="2">
        <v>50</v>
      </c>
      <c r="F3658" s="2">
        <v>4750</v>
      </c>
      <c r="G3658" s="2">
        <v>4987.5</v>
      </c>
    </row>
    <row r="3659" spans="1:7" x14ac:dyDescent="0.3">
      <c r="A3659" t="s">
        <v>1697</v>
      </c>
      <c r="B3659" t="s">
        <v>383</v>
      </c>
      <c r="C3659" t="s">
        <v>384</v>
      </c>
      <c r="D3659">
        <v>2020</v>
      </c>
      <c r="E3659" s="2">
        <v>100</v>
      </c>
      <c r="F3659" s="2">
        <v>9000</v>
      </c>
      <c r="G3659" s="2">
        <v>9450</v>
      </c>
    </row>
    <row r="3660" spans="1:7" x14ac:dyDescent="0.3">
      <c r="A3660" t="s">
        <v>1697</v>
      </c>
      <c r="B3660" t="s">
        <v>12</v>
      </c>
      <c r="C3660" t="s">
        <v>13</v>
      </c>
      <c r="D3660">
        <v>2021</v>
      </c>
      <c r="E3660" s="2">
        <v>75</v>
      </c>
      <c r="F3660" s="2">
        <v>4725</v>
      </c>
      <c r="G3660" s="2">
        <v>4961.25</v>
      </c>
    </row>
    <row r="3661" spans="1:7" x14ac:dyDescent="0.3">
      <c r="A3661" t="s">
        <v>1700</v>
      </c>
      <c r="B3661" t="s">
        <v>1701</v>
      </c>
      <c r="D3661">
        <v>2018</v>
      </c>
      <c r="E3661" s="2">
        <v>20</v>
      </c>
      <c r="F3661" s="2">
        <v>2400</v>
      </c>
      <c r="G3661" s="2">
        <v>2520</v>
      </c>
    </row>
    <row r="3662" spans="1:7" x14ac:dyDescent="0.3">
      <c r="A3662" t="s">
        <v>1700</v>
      </c>
      <c r="B3662" t="s">
        <v>1701</v>
      </c>
      <c r="D3662">
        <v>2019</v>
      </c>
      <c r="E3662" s="2">
        <v>20</v>
      </c>
      <c r="F3662" s="2">
        <v>1700</v>
      </c>
      <c r="G3662" s="2">
        <v>1785</v>
      </c>
    </row>
    <row r="3663" spans="1:7" x14ac:dyDescent="0.3">
      <c r="A3663" t="s">
        <v>1700</v>
      </c>
      <c r="B3663" t="s">
        <v>24</v>
      </c>
      <c r="C3663" t="s">
        <v>25</v>
      </c>
      <c r="D3663">
        <v>2015</v>
      </c>
      <c r="E3663" s="2">
        <v>25</v>
      </c>
      <c r="F3663" s="2">
        <v>2375</v>
      </c>
      <c r="G3663" s="2"/>
    </row>
    <row r="3664" spans="1:7" x14ac:dyDescent="0.3">
      <c r="A3664" t="s">
        <v>1700</v>
      </c>
      <c r="B3664" t="s">
        <v>24</v>
      </c>
      <c r="C3664" t="s">
        <v>25</v>
      </c>
      <c r="D3664">
        <v>2016</v>
      </c>
      <c r="E3664" s="2">
        <v>25</v>
      </c>
      <c r="F3664" s="2">
        <v>2375</v>
      </c>
      <c r="G3664" s="2"/>
    </row>
    <row r="3665" spans="1:7" x14ac:dyDescent="0.3">
      <c r="A3665" t="s">
        <v>1700</v>
      </c>
      <c r="B3665" t="s">
        <v>24</v>
      </c>
      <c r="C3665" t="s">
        <v>25</v>
      </c>
      <c r="D3665">
        <v>2017</v>
      </c>
      <c r="E3665" s="2">
        <v>25</v>
      </c>
      <c r="F3665" s="2">
        <v>2375</v>
      </c>
      <c r="G3665" s="2"/>
    </row>
    <row r="3666" spans="1:7" x14ac:dyDescent="0.3">
      <c r="A3666" t="s">
        <v>1700</v>
      </c>
      <c r="B3666" t="s">
        <v>26</v>
      </c>
      <c r="C3666" t="s">
        <v>27</v>
      </c>
      <c r="D3666">
        <v>2019</v>
      </c>
      <c r="E3666" s="2">
        <v>50</v>
      </c>
      <c r="F3666" s="2">
        <v>3750</v>
      </c>
      <c r="G3666" s="2">
        <v>3937.5</v>
      </c>
    </row>
    <row r="3667" spans="1:7" x14ac:dyDescent="0.3">
      <c r="A3667" t="s">
        <v>1700</v>
      </c>
      <c r="B3667" t="s">
        <v>39</v>
      </c>
      <c r="D3667">
        <v>2016</v>
      </c>
      <c r="E3667" s="2">
        <v>1</v>
      </c>
      <c r="F3667" s="2">
        <v>330</v>
      </c>
      <c r="G3667" s="2"/>
    </row>
    <row r="3668" spans="1:7" x14ac:dyDescent="0.3">
      <c r="A3668" t="s">
        <v>1700</v>
      </c>
      <c r="B3668" t="s">
        <v>39</v>
      </c>
      <c r="D3668">
        <v>2018</v>
      </c>
      <c r="E3668" s="2">
        <v>10</v>
      </c>
      <c r="F3668" s="2">
        <v>750</v>
      </c>
      <c r="G3668" s="2">
        <v>787.5</v>
      </c>
    </row>
    <row r="3669" spans="1:7" x14ac:dyDescent="0.3">
      <c r="A3669" t="s">
        <v>1700</v>
      </c>
      <c r="B3669" t="s">
        <v>269</v>
      </c>
      <c r="C3669" t="s">
        <v>270</v>
      </c>
      <c r="D3669">
        <v>2019</v>
      </c>
      <c r="E3669" s="2">
        <v>100</v>
      </c>
      <c r="F3669" s="2">
        <v>8000</v>
      </c>
      <c r="G3669" s="2">
        <v>8400</v>
      </c>
    </row>
    <row r="3670" spans="1:7" x14ac:dyDescent="0.3">
      <c r="A3670" t="s">
        <v>1700</v>
      </c>
      <c r="B3670" t="s">
        <v>702</v>
      </c>
      <c r="C3670" t="s">
        <v>703</v>
      </c>
      <c r="D3670">
        <v>2019</v>
      </c>
      <c r="E3670" s="2">
        <v>50</v>
      </c>
      <c r="F3670" s="2">
        <v>3750</v>
      </c>
      <c r="G3670" s="2">
        <v>3937.5</v>
      </c>
    </row>
    <row r="3671" spans="1:7" x14ac:dyDescent="0.3">
      <c r="A3671" t="s">
        <v>1700</v>
      </c>
      <c r="B3671" t="s">
        <v>45</v>
      </c>
      <c r="D3671">
        <v>2015</v>
      </c>
      <c r="E3671" s="2">
        <v>20</v>
      </c>
      <c r="F3671" s="2">
        <v>1800</v>
      </c>
      <c r="G3671" s="2"/>
    </row>
    <row r="3672" spans="1:7" x14ac:dyDescent="0.3">
      <c r="A3672" t="s">
        <v>1700</v>
      </c>
      <c r="B3672" t="s">
        <v>45</v>
      </c>
      <c r="D3672">
        <v>2019</v>
      </c>
      <c r="E3672" s="2">
        <v>20</v>
      </c>
      <c r="F3672" s="2">
        <v>1900</v>
      </c>
      <c r="G3672" s="2">
        <v>1995</v>
      </c>
    </row>
    <row r="3673" spans="1:7" x14ac:dyDescent="0.3">
      <c r="A3673" t="s">
        <v>1700</v>
      </c>
      <c r="B3673" t="s">
        <v>240</v>
      </c>
      <c r="D3673">
        <v>2015</v>
      </c>
      <c r="E3673" s="2">
        <v>20</v>
      </c>
      <c r="F3673" s="2">
        <v>1800</v>
      </c>
      <c r="G3673" s="2"/>
    </row>
    <row r="3674" spans="1:7" x14ac:dyDescent="0.3">
      <c r="A3674" t="s">
        <v>1700</v>
      </c>
      <c r="B3674" t="s">
        <v>240</v>
      </c>
      <c r="D3674">
        <v>2016</v>
      </c>
      <c r="E3674" s="2">
        <v>20</v>
      </c>
      <c r="F3674" s="2">
        <v>1800</v>
      </c>
      <c r="G3674" s="2"/>
    </row>
    <row r="3675" spans="1:7" x14ac:dyDescent="0.3">
      <c r="A3675" t="s">
        <v>1700</v>
      </c>
      <c r="B3675" t="s">
        <v>32</v>
      </c>
      <c r="D3675">
        <v>2017</v>
      </c>
      <c r="E3675" s="2">
        <v>20</v>
      </c>
      <c r="F3675" s="2">
        <v>1800</v>
      </c>
      <c r="G3675" s="2"/>
    </row>
    <row r="3676" spans="1:7" x14ac:dyDescent="0.3">
      <c r="A3676" t="s">
        <v>1700</v>
      </c>
      <c r="B3676" t="s">
        <v>32</v>
      </c>
      <c r="D3676">
        <v>2018</v>
      </c>
      <c r="E3676" s="2">
        <v>40</v>
      </c>
      <c r="F3676" s="2">
        <v>3600</v>
      </c>
      <c r="G3676" s="2">
        <v>3780</v>
      </c>
    </row>
    <row r="3677" spans="1:7" x14ac:dyDescent="0.3">
      <c r="A3677" t="s">
        <v>1700</v>
      </c>
      <c r="B3677" t="s">
        <v>32</v>
      </c>
      <c r="D3677">
        <v>2019</v>
      </c>
      <c r="E3677" s="2">
        <v>40</v>
      </c>
      <c r="F3677" s="2">
        <v>2600</v>
      </c>
      <c r="G3677" s="2">
        <v>2730</v>
      </c>
    </row>
    <row r="3678" spans="1:7" x14ac:dyDescent="0.3">
      <c r="A3678" t="s">
        <v>1702</v>
      </c>
      <c r="B3678" t="s">
        <v>567</v>
      </c>
      <c r="C3678" t="s">
        <v>698</v>
      </c>
      <c r="D3678">
        <v>2020</v>
      </c>
      <c r="E3678" s="2">
        <v>25</v>
      </c>
      <c r="F3678" s="2">
        <v>1450</v>
      </c>
      <c r="G3678" s="2">
        <v>1522.5</v>
      </c>
    </row>
    <row r="3679" spans="1:7" x14ac:dyDescent="0.3">
      <c r="A3679" t="s">
        <v>1703</v>
      </c>
      <c r="B3679" t="s">
        <v>218</v>
      </c>
      <c r="C3679" t="s">
        <v>1704</v>
      </c>
      <c r="D3679">
        <v>2010</v>
      </c>
      <c r="E3679" s="2">
        <v>5</v>
      </c>
      <c r="F3679" s="2">
        <v>3000</v>
      </c>
      <c r="G3679" s="2"/>
    </row>
    <row r="3680" spans="1:7" x14ac:dyDescent="0.3">
      <c r="A3680" t="s">
        <v>1703</v>
      </c>
      <c r="B3680" t="s">
        <v>218</v>
      </c>
      <c r="C3680" t="s">
        <v>212</v>
      </c>
      <c r="D3680">
        <v>2010</v>
      </c>
      <c r="E3680" s="2">
        <v>2</v>
      </c>
      <c r="F3680" s="2">
        <v>750</v>
      </c>
      <c r="G3680" s="2"/>
    </row>
    <row r="3681" spans="1:7" x14ac:dyDescent="0.3">
      <c r="A3681" t="s">
        <v>1703</v>
      </c>
      <c r="B3681" t="s">
        <v>218</v>
      </c>
      <c r="C3681" t="s">
        <v>1704</v>
      </c>
      <c r="D3681">
        <v>2011</v>
      </c>
      <c r="E3681" s="2">
        <v>5</v>
      </c>
      <c r="F3681" s="2">
        <v>3000</v>
      </c>
      <c r="G3681" s="2"/>
    </row>
    <row r="3682" spans="1:7" x14ac:dyDescent="0.3">
      <c r="A3682" t="s">
        <v>1703</v>
      </c>
      <c r="B3682" t="s">
        <v>218</v>
      </c>
      <c r="C3682" t="s">
        <v>1704</v>
      </c>
      <c r="D3682">
        <v>2013</v>
      </c>
      <c r="E3682" s="2">
        <v>5</v>
      </c>
      <c r="F3682" s="2">
        <v>3000</v>
      </c>
      <c r="G3682" s="2"/>
    </row>
    <row r="3683" spans="1:7" x14ac:dyDescent="0.3">
      <c r="A3683" t="s">
        <v>1703</v>
      </c>
      <c r="B3683" t="s">
        <v>1705</v>
      </c>
      <c r="C3683" t="s">
        <v>1706</v>
      </c>
      <c r="D3683">
        <v>2012</v>
      </c>
      <c r="E3683" s="2">
        <v>1</v>
      </c>
      <c r="F3683" s="2">
        <v>400</v>
      </c>
      <c r="G3683" s="2"/>
    </row>
    <row r="3684" spans="1:7" x14ac:dyDescent="0.3">
      <c r="A3684" t="s">
        <v>1703</v>
      </c>
      <c r="B3684" t="s">
        <v>1061</v>
      </c>
      <c r="C3684" t="s">
        <v>1062</v>
      </c>
      <c r="D3684">
        <v>2012</v>
      </c>
      <c r="E3684" s="2">
        <v>1</v>
      </c>
      <c r="F3684" s="2">
        <v>400</v>
      </c>
      <c r="G3684" s="2"/>
    </row>
    <row r="3685" spans="1:7" x14ac:dyDescent="0.3">
      <c r="A3685" t="s">
        <v>1703</v>
      </c>
      <c r="B3685" t="s">
        <v>1707</v>
      </c>
      <c r="C3685" t="s">
        <v>1708</v>
      </c>
      <c r="D3685">
        <v>2011</v>
      </c>
      <c r="E3685" s="2">
        <v>1</v>
      </c>
      <c r="F3685" s="2">
        <v>400</v>
      </c>
      <c r="G3685" s="2"/>
    </row>
    <row r="3686" spans="1:7" x14ac:dyDescent="0.3">
      <c r="A3686" t="s">
        <v>1703</v>
      </c>
      <c r="B3686" t="s">
        <v>1709</v>
      </c>
      <c r="C3686" t="s">
        <v>1710</v>
      </c>
      <c r="D3686">
        <v>2012</v>
      </c>
      <c r="E3686" s="2">
        <v>1</v>
      </c>
      <c r="F3686" s="2">
        <v>400</v>
      </c>
      <c r="G3686" s="2"/>
    </row>
    <row r="3687" spans="1:7" x14ac:dyDescent="0.3">
      <c r="A3687" t="s">
        <v>1703</v>
      </c>
      <c r="B3687" t="s">
        <v>125</v>
      </c>
      <c r="D3687">
        <v>2020</v>
      </c>
      <c r="E3687" s="2">
        <v>10</v>
      </c>
      <c r="F3687" s="2">
        <v>3000</v>
      </c>
      <c r="G3687" s="2">
        <v>3150</v>
      </c>
    </row>
    <row r="3688" spans="1:7" x14ac:dyDescent="0.3">
      <c r="A3688" t="s">
        <v>1703</v>
      </c>
      <c r="B3688" t="s">
        <v>1711</v>
      </c>
      <c r="C3688" t="s">
        <v>1712</v>
      </c>
      <c r="D3688">
        <v>2012</v>
      </c>
      <c r="E3688" s="2">
        <v>1</v>
      </c>
      <c r="F3688" s="2">
        <v>400</v>
      </c>
      <c r="G3688" s="2"/>
    </row>
    <row r="3689" spans="1:7" x14ac:dyDescent="0.3">
      <c r="A3689" t="s">
        <v>1703</v>
      </c>
      <c r="B3689" t="s">
        <v>375</v>
      </c>
      <c r="C3689" t="s">
        <v>262</v>
      </c>
      <c r="D3689">
        <v>2012</v>
      </c>
      <c r="E3689" s="2">
        <v>1</v>
      </c>
      <c r="F3689" s="2">
        <v>400</v>
      </c>
      <c r="G3689" s="2"/>
    </row>
    <row r="3690" spans="1:7" x14ac:dyDescent="0.3">
      <c r="A3690" t="s">
        <v>1703</v>
      </c>
      <c r="B3690" t="s">
        <v>375</v>
      </c>
      <c r="C3690" t="s">
        <v>262</v>
      </c>
      <c r="D3690">
        <v>2013</v>
      </c>
      <c r="E3690" s="2">
        <v>5</v>
      </c>
      <c r="F3690" s="2">
        <v>2000</v>
      </c>
      <c r="G3690" s="2"/>
    </row>
    <row r="3691" spans="1:7" x14ac:dyDescent="0.3">
      <c r="A3691" t="s">
        <v>1703</v>
      </c>
      <c r="B3691" t="s">
        <v>1713</v>
      </c>
      <c r="C3691" t="s">
        <v>1714</v>
      </c>
      <c r="D3691">
        <v>2012</v>
      </c>
      <c r="E3691" s="2">
        <v>2</v>
      </c>
      <c r="F3691" s="2">
        <v>800</v>
      </c>
      <c r="G3691" s="2"/>
    </row>
    <row r="3692" spans="1:7" x14ac:dyDescent="0.3">
      <c r="A3692" t="s">
        <v>1703</v>
      </c>
      <c r="B3692" t="s">
        <v>604</v>
      </c>
      <c r="C3692" t="s">
        <v>605</v>
      </c>
      <c r="D3692">
        <v>2010</v>
      </c>
      <c r="E3692" s="2">
        <v>11</v>
      </c>
      <c r="F3692" s="2">
        <v>3720</v>
      </c>
      <c r="G3692" s="2"/>
    </row>
    <row r="3693" spans="1:7" x14ac:dyDescent="0.3">
      <c r="A3693" t="s">
        <v>1703</v>
      </c>
      <c r="B3693" t="s">
        <v>604</v>
      </c>
      <c r="C3693" t="s">
        <v>605</v>
      </c>
      <c r="D3693">
        <v>2011</v>
      </c>
      <c r="E3693" s="2">
        <v>5</v>
      </c>
      <c r="F3693" s="2">
        <v>1875</v>
      </c>
      <c r="G3693" s="2"/>
    </row>
    <row r="3694" spans="1:7" x14ac:dyDescent="0.3">
      <c r="A3694" t="s">
        <v>1703</v>
      </c>
      <c r="B3694" t="s">
        <v>604</v>
      </c>
      <c r="C3694" t="s">
        <v>605</v>
      </c>
      <c r="D3694">
        <v>2012</v>
      </c>
      <c r="E3694" s="2">
        <v>5</v>
      </c>
      <c r="F3694" s="2">
        <v>2000</v>
      </c>
      <c r="G3694" s="2"/>
    </row>
    <row r="3695" spans="1:7" x14ac:dyDescent="0.3">
      <c r="A3695" t="s">
        <v>1703</v>
      </c>
      <c r="B3695" t="s">
        <v>604</v>
      </c>
      <c r="C3695" t="s">
        <v>605</v>
      </c>
      <c r="D3695">
        <v>2014</v>
      </c>
      <c r="E3695" s="2">
        <v>5</v>
      </c>
      <c r="F3695" s="2">
        <v>1875</v>
      </c>
      <c r="G3695" s="2"/>
    </row>
    <row r="3696" spans="1:7" x14ac:dyDescent="0.3">
      <c r="A3696" t="s">
        <v>1703</v>
      </c>
      <c r="B3696" t="s">
        <v>604</v>
      </c>
      <c r="C3696" t="s">
        <v>605</v>
      </c>
      <c r="D3696">
        <v>2016</v>
      </c>
      <c r="E3696" s="2">
        <v>5</v>
      </c>
      <c r="F3696" s="2">
        <v>1875</v>
      </c>
      <c r="G3696" s="2"/>
    </row>
    <row r="3697" spans="1:7" x14ac:dyDescent="0.3">
      <c r="A3697" t="s">
        <v>1703</v>
      </c>
      <c r="B3697" t="s">
        <v>604</v>
      </c>
      <c r="C3697" t="s">
        <v>605</v>
      </c>
      <c r="D3697">
        <v>2017</v>
      </c>
      <c r="E3697" s="2">
        <v>10</v>
      </c>
      <c r="F3697" s="2">
        <v>3750</v>
      </c>
      <c r="G3697" s="2"/>
    </row>
    <row r="3698" spans="1:7" x14ac:dyDescent="0.3">
      <c r="A3698" t="s">
        <v>1703</v>
      </c>
      <c r="B3698" t="s">
        <v>604</v>
      </c>
      <c r="C3698" t="s">
        <v>605</v>
      </c>
      <c r="D3698">
        <v>2020</v>
      </c>
      <c r="E3698" s="2">
        <v>20</v>
      </c>
      <c r="F3698" s="2">
        <v>7500</v>
      </c>
      <c r="G3698" s="2">
        <v>7875</v>
      </c>
    </row>
    <row r="3699" spans="1:7" x14ac:dyDescent="0.3">
      <c r="A3699" t="s">
        <v>1703</v>
      </c>
      <c r="B3699" t="s">
        <v>1715</v>
      </c>
      <c r="C3699" t="s">
        <v>1716</v>
      </c>
      <c r="D3699">
        <v>2011</v>
      </c>
      <c r="E3699" s="2">
        <v>1</v>
      </c>
      <c r="F3699" s="2">
        <v>400</v>
      </c>
      <c r="G3699" s="2"/>
    </row>
    <row r="3700" spans="1:7" x14ac:dyDescent="0.3">
      <c r="A3700" t="s">
        <v>1703</v>
      </c>
      <c r="B3700" t="s">
        <v>1717</v>
      </c>
      <c r="C3700" t="s">
        <v>1718</v>
      </c>
      <c r="D3700">
        <v>2012</v>
      </c>
      <c r="E3700" s="2">
        <v>0.5</v>
      </c>
      <c r="F3700" s="2">
        <v>300</v>
      </c>
      <c r="G3700" s="2"/>
    </row>
    <row r="3701" spans="1:7" x14ac:dyDescent="0.3">
      <c r="A3701" t="s">
        <v>1703</v>
      </c>
      <c r="B3701" t="s">
        <v>1719</v>
      </c>
      <c r="C3701" t="s">
        <v>1720</v>
      </c>
      <c r="D3701">
        <v>2012</v>
      </c>
      <c r="E3701" s="2">
        <v>1</v>
      </c>
      <c r="F3701" s="2">
        <v>400</v>
      </c>
      <c r="G3701" s="2"/>
    </row>
    <row r="3702" spans="1:7" x14ac:dyDescent="0.3">
      <c r="A3702" t="s">
        <v>1721</v>
      </c>
      <c r="B3702" t="s">
        <v>174</v>
      </c>
      <c r="C3702" t="s">
        <v>175</v>
      </c>
      <c r="D3702">
        <v>2016</v>
      </c>
      <c r="E3702" s="2">
        <v>100</v>
      </c>
      <c r="F3702" s="2">
        <v>6875</v>
      </c>
      <c r="G3702" s="2"/>
    </row>
    <row r="3703" spans="1:7" x14ac:dyDescent="0.3">
      <c r="A3703" t="s">
        <v>1721</v>
      </c>
      <c r="B3703" t="s">
        <v>1722</v>
      </c>
      <c r="C3703" t="s">
        <v>1723</v>
      </c>
      <c r="D3703">
        <v>2010</v>
      </c>
      <c r="E3703" s="2">
        <v>25</v>
      </c>
      <c r="F3703" s="2">
        <v>2225</v>
      </c>
      <c r="G3703" s="2"/>
    </row>
    <row r="3704" spans="1:7" x14ac:dyDescent="0.3">
      <c r="A3704" t="s">
        <v>1721</v>
      </c>
      <c r="B3704" t="s">
        <v>1178</v>
      </c>
      <c r="C3704" t="s">
        <v>1179</v>
      </c>
      <c r="D3704">
        <v>2016</v>
      </c>
      <c r="E3704" s="2">
        <v>50</v>
      </c>
      <c r="F3704" s="2">
        <v>3750</v>
      </c>
      <c r="G3704" s="2"/>
    </row>
    <row r="3705" spans="1:7" x14ac:dyDescent="0.3">
      <c r="A3705" t="s">
        <v>1721</v>
      </c>
      <c r="B3705" t="s">
        <v>635</v>
      </c>
      <c r="C3705" t="s">
        <v>1724</v>
      </c>
      <c r="D3705">
        <v>2012</v>
      </c>
      <c r="E3705" s="2">
        <v>25</v>
      </c>
      <c r="F3705" s="2">
        <v>2000</v>
      </c>
      <c r="G3705" s="2"/>
    </row>
    <row r="3706" spans="1:7" x14ac:dyDescent="0.3">
      <c r="A3706" t="s">
        <v>1721</v>
      </c>
      <c r="B3706" t="s">
        <v>1725</v>
      </c>
      <c r="C3706" t="s">
        <v>644</v>
      </c>
      <c r="D3706">
        <v>2012</v>
      </c>
      <c r="E3706" s="2">
        <v>50</v>
      </c>
      <c r="F3706" s="2">
        <v>4250</v>
      </c>
      <c r="G3706" s="2"/>
    </row>
    <row r="3707" spans="1:7" x14ac:dyDescent="0.3">
      <c r="A3707" t="s">
        <v>1721</v>
      </c>
      <c r="B3707" t="s">
        <v>184</v>
      </c>
      <c r="C3707" t="s">
        <v>185</v>
      </c>
      <c r="D3707">
        <v>2016</v>
      </c>
      <c r="E3707" s="2">
        <v>75</v>
      </c>
      <c r="F3707" s="2">
        <v>4300</v>
      </c>
      <c r="G3707" s="2"/>
    </row>
    <row r="3708" spans="1:7" x14ac:dyDescent="0.3">
      <c r="A3708" t="s">
        <v>1721</v>
      </c>
      <c r="B3708" t="s">
        <v>1726</v>
      </c>
      <c r="C3708" t="s">
        <v>1727</v>
      </c>
      <c r="D3708">
        <v>2009</v>
      </c>
      <c r="E3708" s="2">
        <v>25</v>
      </c>
      <c r="F3708" s="2">
        <v>1850</v>
      </c>
      <c r="G3708" s="2"/>
    </row>
    <row r="3709" spans="1:7" x14ac:dyDescent="0.3">
      <c r="A3709" t="s">
        <v>1721</v>
      </c>
      <c r="B3709" t="s">
        <v>1726</v>
      </c>
      <c r="C3709" t="s">
        <v>1727</v>
      </c>
      <c r="D3709">
        <v>2010</v>
      </c>
      <c r="E3709" s="2">
        <v>75</v>
      </c>
      <c r="F3709" s="2">
        <v>5525</v>
      </c>
      <c r="G3709" s="2"/>
    </row>
    <row r="3710" spans="1:7" x14ac:dyDescent="0.3">
      <c r="A3710" t="s">
        <v>1721</v>
      </c>
      <c r="B3710" t="s">
        <v>1726</v>
      </c>
      <c r="C3710" t="s">
        <v>1727</v>
      </c>
      <c r="D3710">
        <v>2011</v>
      </c>
      <c r="E3710" s="2">
        <v>25</v>
      </c>
      <c r="F3710" s="2">
        <v>1837.5</v>
      </c>
      <c r="G3710" s="2"/>
    </row>
    <row r="3711" spans="1:7" x14ac:dyDescent="0.3">
      <c r="A3711" t="s">
        <v>1721</v>
      </c>
      <c r="B3711" t="s">
        <v>1726</v>
      </c>
      <c r="C3711" t="s">
        <v>1727</v>
      </c>
      <c r="D3711">
        <v>2012</v>
      </c>
      <c r="E3711" s="2">
        <v>25</v>
      </c>
      <c r="F3711" s="2">
        <v>1837.5</v>
      </c>
      <c r="G3711" s="2"/>
    </row>
    <row r="3712" spans="1:7" x14ac:dyDescent="0.3">
      <c r="A3712" t="s">
        <v>1721</v>
      </c>
      <c r="B3712" t="s">
        <v>1728</v>
      </c>
      <c r="C3712" t="s">
        <v>1729</v>
      </c>
      <c r="D3712">
        <v>2010</v>
      </c>
      <c r="E3712" s="2">
        <v>25</v>
      </c>
      <c r="F3712" s="2">
        <v>2225</v>
      </c>
      <c r="G3712" s="2"/>
    </row>
    <row r="3713" spans="1:7" x14ac:dyDescent="0.3">
      <c r="A3713" t="s">
        <v>1721</v>
      </c>
      <c r="B3713" t="s">
        <v>649</v>
      </c>
      <c r="C3713" t="s">
        <v>650</v>
      </c>
      <c r="D3713">
        <v>2015</v>
      </c>
      <c r="E3713" s="2">
        <v>25</v>
      </c>
      <c r="F3713" s="2">
        <v>2375</v>
      </c>
      <c r="G3713" s="2"/>
    </row>
    <row r="3714" spans="1:7" x14ac:dyDescent="0.3">
      <c r="A3714" t="s">
        <v>1721</v>
      </c>
      <c r="B3714" t="s">
        <v>649</v>
      </c>
      <c r="C3714" t="s">
        <v>650</v>
      </c>
      <c r="D3714">
        <v>2016</v>
      </c>
      <c r="E3714" s="2">
        <v>55</v>
      </c>
      <c r="F3714" s="2">
        <v>5225</v>
      </c>
      <c r="G3714" s="2"/>
    </row>
    <row r="3715" spans="1:7" x14ac:dyDescent="0.3">
      <c r="A3715" t="s">
        <v>1721</v>
      </c>
      <c r="B3715" t="s">
        <v>567</v>
      </c>
      <c r="C3715" t="s">
        <v>698</v>
      </c>
      <c r="D3715">
        <v>2016</v>
      </c>
      <c r="E3715" s="2">
        <v>25</v>
      </c>
      <c r="F3715" s="2">
        <v>1550</v>
      </c>
      <c r="G3715" s="2"/>
    </row>
    <row r="3716" spans="1:7" x14ac:dyDescent="0.3">
      <c r="A3716" t="s">
        <v>1721</v>
      </c>
      <c r="B3716" t="s">
        <v>297</v>
      </c>
      <c r="C3716" t="s">
        <v>298</v>
      </c>
      <c r="D3716">
        <v>2016</v>
      </c>
      <c r="E3716" s="2">
        <v>25</v>
      </c>
      <c r="F3716" s="2">
        <v>1750</v>
      </c>
      <c r="G3716" s="2"/>
    </row>
    <row r="3717" spans="1:7" x14ac:dyDescent="0.3">
      <c r="A3717" t="s">
        <v>1721</v>
      </c>
      <c r="B3717" t="s">
        <v>1730</v>
      </c>
      <c r="C3717" t="s">
        <v>1731</v>
      </c>
      <c r="D3717">
        <v>2014</v>
      </c>
      <c r="E3717" s="2">
        <v>25</v>
      </c>
      <c r="F3717" s="2">
        <v>4500</v>
      </c>
      <c r="G3717" s="2"/>
    </row>
    <row r="3718" spans="1:7" x14ac:dyDescent="0.3">
      <c r="A3718" t="s">
        <v>1721</v>
      </c>
      <c r="B3718" t="s">
        <v>19</v>
      </c>
      <c r="C3718" t="s">
        <v>699</v>
      </c>
      <c r="D3718">
        <v>2016</v>
      </c>
      <c r="E3718" s="2">
        <v>50</v>
      </c>
      <c r="F3718" s="2">
        <v>3100</v>
      </c>
      <c r="G3718" s="2"/>
    </row>
    <row r="3719" spans="1:7" x14ac:dyDescent="0.3">
      <c r="A3719" t="s">
        <v>1721</v>
      </c>
      <c r="B3719" t="s">
        <v>995</v>
      </c>
      <c r="C3719" t="s">
        <v>672</v>
      </c>
      <c r="D3719">
        <v>2016</v>
      </c>
      <c r="E3719" s="2">
        <v>25</v>
      </c>
      <c r="F3719" s="2">
        <v>1750</v>
      </c>
      <c r="G3719" s="2"/>
    </row>
    <row r="3720" spans="1:7" x14ac:dyDescent="0.3">
      <c r="A3720" t="s">
        <v>1721</v>
      </c>
      <c r="B3720" t="s">
        <v>573</v>
      </c>
      <c r="C3720" t="s">
        <v>574</v>
      </c>
      <c r="D3720">
        <v>2016</v>
      </c>
      <c r="E3720" s="2">
        <v>36</v>
      </c>
      <c r="F3720" s="2">
        <v>2075</v>
      </c>
      <c r="G3720" s="2"/>
    </row>
    <row r="3721" spans="1:7" x14ac:dyDescent="0.3">
      <c r="A3721" t="s">
        <v>1721</v>
      </c>
      <c r="B3721" t="s">
        <v>1732</v>
      </c>
      <c r="C3721" t="s">
        <v>1733</v>
      </c>
      <c r="D3721">
        <v>2010</v>
      </c>
      <c r="E3721" s="2">
        <v>25</v>
      </c>
      <c r="F3721" s="2">
        <v>2225</v>
      </c>
      <c r="G3721" s="2"/>
    </row>
    <row r="3722" spans="1:7" x14ac:dyDescent="0.3">
      <c r="A3722" t="s">
        <v>1721</v>
      </c>
      <c r="B3722" t="s">
        <v>1734</v>
      </c>
      <c r="C3722" t="s">
        <v>1735</v>
      </c>
      <c r="D3722">
        <v>2010</v>
      </c>
      <c r="E3722" s="2">
        <v>25</v>
      </c>
      <c r="F3722" s="2">
        <v>2225</v>
      </c>
      <c r="G3722" s="2"/>
    </row>
    <row r="3723" spans="1:7" x14ac:dyDescent="0.3">
      <c r="A3723" t="s">
        <v>1721</v>
      </c>
      <c r="B3723" t="s">
        <v>1734</v>
      </c>
      <c r="C3723" t="s">
        <v>1735</v>
      </c>
      <c r="D3723">
        <v>2015</v>
      </c>
      <c r="E3723" s="2">
        <v>25</v>
      </c>
      <c r="F3723" s="2">
        <v>2225</v>
      </c>
      <c r="G3723" s="2"/>
    </row>
    <row r="3724" spans="1:7" x14ac:dyDescent="0.3">
      <c r="A3724" t="s">
        <v>1721</v>
      </c>
      <c r="B3724" t="s">
        <v>334</v>
      </c>
      <c r="C3724" t="s">
        <v>335</v>
      </c>
      <c r="D3724">
        <v>2016</v>
      </c>
      <c r="E3724" s="2">
        <v>50</v>
      </c>
      <c r="F3724" s="2">
        <v>3750</v>
      </c>
      <c r="G3724" s="2"/>
    </row>
    <row r="3725" spans="1:7" x14ac:dyDescent="0.3">
      <c r="A3725" t="s">
        <v>1721</v>
      </c>
      <c r="B3725" t="s">
        <v>314</v>
      </c>
      <c r="C3725" t="s">
        <v>315</v>
      </c>
      <c r="D3725">
        <v>2016</v>
      </c>
      <c r="E3725" s="2">
        <v>150</v>
      </c>
      <c r="F3725" s="2">
        <v>9000</v>
      </c>
      <c r="G3725" s="2"/>
    </row>
    <row r="3726" spans="1:7" x14ac:dyDescent="0.3">
      <c r="A3726" t="s">
        <v>1721</v>
      </c>
      <c r="B3726" t="s">
        <v>620</v>
      </c>
      <c r="C3726" t="s">
        <v>1736</v>
      </c>
      <c r="D3726">
        <v>2010</v>
      </c>
      <c r="E3726" s="2">
        <v>25</v>
      </c>
      <c r="F3726" s="2">
        <v>2225</v>
      </c>
      <c r="G3726" s="2"/>
    </row>
    <row r="3727" spans="1:7" x14ac:dyDescent="0.3">
      <c r="A3727" t="s">
        <v>1721</v>
      </c>
      <c r="B3727" t="s">
        <v>46</v>
      </c>
      <c r="C3727" t="s">
        <v>47</v>
      </c>
      <c r="D3727">
        <v>2015</v>
      </c>
      <c r="E3727" s="2">
        <v>25</v>
      </c>
      <c r="F3727" s="2">
        <v>1850</v>
      </c>
      <c r="G3727" s="2"/>
    </row>
    <row r="3728" spans="1:7" x14ac:dyDescent="0.3">
      <c r="A3728" t="s">
        <v>1721</v>
      </c>
      <c r="B3728" t="s">
        <v>46</v>
      </c>
      <c r="C3728" t="s">
        <v>47</v>
      </c>
      <c r="D3728">
        <v>2016</v>
      </c>
      <c r="E3728" s="2">
        <v>25</v>
      </c>
      <c r="F3728" s="2">
        <v>1850</v>
      </c>
      <c r="G3728" s="2"/>
    </row>
    <row r="3729" spans="1:8" x14ac:dyDescent="0.3">
      <c r="A3729" t="s">
        <v>1721</v>
      </c>
      <c r="B3729" t="s">
        <v>37</v>
      </c>
      <c r="D3729">
        <v>2016</v>
      </c>
      <c r="E3729" s="2">
        <v>2</v>
      </c>
      <c r="F3729" s="2">
        <v>200</v>
      </c>
      <c r="G3729" s="2"/>
    </row>
    <row r="3730" spans="1:8" x14ac:dyDescent="0.3">
      <c r="A3730" t="s">
        <v>1721</v>
      </c>
      <c r="B3730" t="s">
        <v>1737</v>
      </c>
      <c r="C3730" t="s">
        <v>759</v>
      </c>
      <c r="D3730">
        <v>2014</v>
      </c>
      <c r="E3730" s="2">
        <v>25</v>
      </c>
      <c r="F3730" s="2">
        <v>1875</v>
      </c>
      <c r="G3730" s="2"/>
    </row>
    <row r="3731" spans="1:8" x14ac:dyDescent="0.3">
      <c r="A3731" t="s">
        <v>1721</v>
      </c>
      <c r="B3731" t="s">
        <v>1737</v>
      </c>
      <c r="C3731" t="s">
        <v>759</v>
      </c>
      <c r="D3731">
        <v>2015</v>
      </c>
      <c r="E3731" s="2">
        <v>25</v>
      </c>
      <c r="F3731" s="2">
        <v>1875</v>
      </c>
      <c r="G3731" s="2"/>
    </row>
    <row r="3732" spans="1:8" x14ac:dyDescent="0.3">
      <c r="A3732" t="s">
        <v>1738</v>
      </c>
      <c r="B3732" t="s">
        <v>1726</v>
      </c>
      <c r="C3732" t="s">
        <v>1727</v>
      </c>
      <c r="D3732">
        <v>2011</v>
      </c>
      <c r="E3732" s="2">
        <v>25</v>
      </c>
      <c r="F3732" s="2">
        <v>2050</v>
      </c>
      <c r="G3732" s="2"/>
    </row>
    <row r="3733" spans="1:8" x14ac:dyDescent="0.3">
      <c r="A3733" t="s">
        <v>1738</v>
      </c>
      <c r="B3733" t="s">
        <v>1726</v>
      </c>
      <c r="C3733" t="s">
        <v>1727</v>
      </c>
      <c r="D3733">
        <v>2012</v>
      </c>
      <c r="E3733" s="2">
        <v>25</v>
      </c>
      <c r="F3733" s="2">
        <v>2000</v>
      </c>
      <c r="G3733" s="2"/>
    </row>
    <row r="3734" spans="1:8" x14ac:dyDescent="0.3">
      <c r="A3734" t="s">
        <v>1738</v>
      </c>
      <c r="B3734" t="s">
        <v>1739</v>
      </c>
      <c r="D3734">
        <v>2013</v>
      </c>
      <c r="E3734" s="2">
        <v>5</v>
      </c>
      <c r="F3734" s="2">
        <v>900</v>
      </c>
      <c r="G3734" s="2"/>
    </row>
    <row r="3735" spans="1:8" x14ac:dyDescent="0.3">
      <c r="A3735" t="s">
        <v>1738</v>
      </c>
      <c r="B3735" t="s">
        <v>1740</v>
      </c>
      <c r="C3735" t="s">
        <v>1741</v>
      </c>
      <c r="D3735">
        <v>2010</v>
      </c>
      <c r="E3735" s="2">
        <v>26</v>
      </c>
      <c r="F3735" s="2">
        <v>2966.08</v>
      </c>
      <c r="G3735" s="2"/>
    </row>
    <row r="3736" spans="1:8" x14ac:dyDescent="0.3">
      <c r="A3736" t="s">
        <v>1738</v>
      </c>
      <c r="B3736" t="s">
        <v>1740</v>
      </c>
      <c r="C3736" t="s">
        <v>1741</v>
      </c>
      <c r="D3736">
        <v>2013</v>
      </c>
      <c r="E3736" s="2">
        <v>25</v>
      </c>
      <c r="F3736" s="2">
        <v>3625</v>
      </c>
      <c r="G3736" s="2"/>
    </row>
    <row r="3737" spans="1:8" x14ac:dyDescent="0.3">
      <c r="A3737" t="s">
        <v>1742</v>
      </c>
      <c r="B3737" t="s">
        <v>446</v>
      </c>
      <c r="C3737" t="s">
        <v>447</v>
      </c>
      <c r="D3737">
        <v>2020</v>
      </c>
      <c r="E3737" s="2">
        <v>50</v>
      </c>
      <c r="F3737" s="2">
        <v>3500</v>
      </c>
      <c r="G3737" s="2">
        <v>3675</v>
      </c>
    </row>
    <row r="3738" spans="1:8" x14ac:dyDescent="0.3">
      <c r="A3738" t="s">
        <v>1742</v>
      </c>
      <c r="B3738" t="s">
        <v>863</v>
      </c>
      <c r="D3738">
        <v>2020</v>
      </c>
      <c r="E3738" s="2">
        <v>5</v>
      </c>
      <c r="F3738" s="2">
        <v>425</v>
      </c>
      <c r="G3738" s="2">
        <v>446.25</v>
      </c>
    </row>
    <row r="3739" spans="1:8" x14ac:dyDescent="0.3">
      <c r="A3739" t="s">
        <v>1743</v>
      </c>
      <c r="B3739" t="s">
        <v>624</v>
      </c>
      <c r="C3739" t="s">
        <v>625</v>
      </c>
      <c r="D3739">
        <v>2020</v>
      </c>
      <c r="E3739" s="2">
        <v>15</v>
      </c>
      <c r="F3739" s="2">
        <v>1125</v>
      </c>
      <c r="G3739" s="2">
        <v>1181.25</v>
      </c>
    </row>
    <row r="3740" spans="1:8" x14ac:dyDescent="0.3">
      <c r="A3740" t="s">
        <v>1743</v>
      </c>
      <c r="B3740" t="s">
        <v>174</v>
      </c>
      <c r="C3740" t="s">
        <v>175</v>
      </c>
      <c r="D3740">
        <v>2018</v>
      </c>
      <c r="E3740" s="2">
        <v>75</v>
      </c>
      <c r="F3740" s="2">
        <v>4875</v>
      </c>
      <c r="G3740" s="2">
        <v>5118.75</v>
      </c>
    </row>
    <row r="3741" spans="1:8" x14ac:dyDescent="0.3">
      <c r="A3741" t="s">
        <v>1743</v>
      </c>
      <c r="B3741" t="s">
        <v>174</v>
      </c>
      <c r="C3741" t="s">
        <v>175</v>
      </c>
      <c r="D3741">
        <v>2019</v>
      </c>
      <c r="E3741" s="2">
        <v>20</v>
      </c>
      <c r="F3741" s="2">
        <v>1300</v>
      </c>
      <c r="G3741" s="2">
        <v>1365</v>
      </c>
    </row>
    <row r="3742" spans="1:8" x14ac:dyDescent="0.3">
      <c r="A3742" t="s">
        <v>1743</v>
      </c>
      <c r="B3742" t="s">
        <v>532</v>
      </c>
      <c r="C3742" t="s">
        <v>452</v>
      </c>
      <c r="D3742">
        <v>2020</v>
      </c>
      <c r="E3742" s="2">
        <v>60</v>
      </c>
      <c r="F3742" s="2">
        <v>3900</v>
      </c>
      <c r="G3742" s="2">
        <v>4095</v>
      </c>
    </row>
    <row r="3743" spans="1:8" x14ac:dyDescent="0.3">
      <c r="A3743" t="s">
        <v>1743</v>
      </c>
      <c r="B3743" t="s">
        <v>532</v>
      </c>
      <c r="C3743" t="s">
        <v>452</v>
      </c>
      <c r="D3743">
        <v>2021</v>
      </c>
      <c r="E3743" s="2">
        <v>15</v>
      </c>
      <c r="F3743" s="2">
        <v>975</v>
      </c>
      <c r="G3743" s="2">
        <v>1023.75</v>
      </c>
      <c r="H3743" s="3" t="s">
        <v>14</v>
      </c>
    </row>
    <row r="3744" spans="1:8" x14ac:dyDescent="0.3">
      <c r="A3744" t="s">
        <v>1743</v>
      </c>
      <c r="B3744" t="s">
        <v>532</v>
      </c>
      <c r="C3744" t="s">
        <v>452</v>
      </c>
      <c r="D3744">
        <v>2021</v>
      </c>
      <c r="E3744" s="2">
        <v>15</v>
      </c>
      <c r="F3744" s="2">
        <v>975</v>
      </c>
      <c r="G3744" s="2">
        <v>1023.75</v>
      </c>
    </row>
    <row r="3745" spans="1:8" x14ac:dyDescent="0.3">
      <c r="A3745" t="s">
        <v>1743</v>
      </c>
      <c r="B3745" t="s">
        <v>714</v>
      </c>
      <c r="C3745" t="s">
        <v>715</v>
      </c>
      <c r="D3745">
        <v>2017</v>
      </c>
      <c r="E3745" s="2">
        <v>25</v>
      </c>
      <c r="F3745" s="2">
        <v>1300</v>
      </c>
      <c r="G3745" s="2"/>
    </row>
    <row r="3746" spans="1:8" x14ac:dyDescent="0.3">
      <c r="A3746" t="s">
        <v>1743</v>
      </c>
      <c r="B3746" t="s">
        <v>716</v>
      </c>
      <c r="C3746" t="s">
        <v>717</v>
      </c>
      <c r="D3746">
        <v>2020</v>
      </c>
      <c r="E3746" s="2">
        <v>15</v>
      </c>
      <c r="F3746" s="2">
        <v>780</v>
      </c>
      <c r="G3746" s="2">
        <v>819</v>
      </c>
    </row>
    <row r="3747" spans="1:8" x14ac:dyDescent="0.3">
      <c r="A3747" t="s">
        <v>1743</v>
      </c>
      <c r="B3747" t="s">
        <v>631</v>
      </c>
      <c r="C3747" t="s">
        <v>632</v>
      </c>
      <c r="D3747">
        <v>2019</v>
      </c>
      <c r="E3747" s="2">
        <v>5</v>
      </c>
      <c r="F3747" s="2">
        <v>275</v>
      </c>
      <c r="G3747" s="2">
        <v>288.75</v>
      </c>
    </row>
    <row r="3748" spans="1:8" x14ac:dyDescent="0.3">
      <c r="A3748" t="s">
        <v>1743</v>
      </c>
      <c r="B3748" t="s">
        <v>631</v>
      </c>
      <c r="C3748" t="s">
        <v>632</v>
      </c>
      <c r="D3748">
        <v>2020</v>
      </c>
      <c r="E3748" s="2">
        <v>15</v>
      </c>
      <c r="F3748" s="2">
        <v>825</v>
      </c>
      <c r="G3748" s="2">
        <v>866.25</v>
      </c>
    </row>
    <row r="3749" spans="1:8" x14ac:dyDescent="0.3">
      <c r="A3749" t="s">
        <v>1743</v>
      </c>
      <c r="B3749" t="s">
        <v>633</v>
      </c>
      <c r="C3749" t="s">
        <v>634</v>
      </c>
      <c r="D3749">
        <v>2018</v>
      </c>
      <c r="E3749" s="2">
        <v>20</v>
      </c>
      <c r="F3749" s="2">
        <v>1300</v>
      </c>
      <c r="G3749" s="2">
        <v>1365</v>
      </c>
    </row>
    <row r="3750" spans="1:8" x14ac:dyDescent="0.3">
      <c r="A3750" t="s">
        <v>1743</v>
      </c>
      <c r="B3750" t="s">
        <v>633</v>
      </c>
      <c r="C3750" t="s">
        <v>634</v>
      </c>
      <c r="D3750">
        <v>2019</v>
      </c>
      <c r="E3750" s="2">
        <v>10</v>
      </c>
      <c r="F3750" s="2">
        <v>650</v>
      </c>
      <c r="G3750" s="2">
        <v>682.5</v>
      </c>
    </row>
    <row r="3751" spans="1:8" x14ac:dyDescent="0.3">
      <c r="A3751" t="s">
        <v>1743</v>
      </c>
      <c r="B3751" t="s">
        <v>533</v>
      </c>
      <c r="C3751" t="s">
        <v>534</v>
      </c>
      <c r="D3751">
        <v>2021</v>
      </c>
      <c r="E3751" s="2">
        <v>10</v>
      </c>
      <c r="F3751" s="2">
        <v>650</v>
      </c>
      <c r="G3751" s="2">
        <v>682.5</v>
      </c>
      <c r="H3751" s="3" t="s">
        <v>1744</v>
      </c>
    </row>
    <row r="3752" spans="1:8" x14ac:dyDescent="0.3">
      <c r="A3752" t="s">
        <v>1743</v>
      </c>
      <c r="B3752" t="s">
        <v>602</v>
      </c>
      <c r="C3752" t="s">
        <v>603</v>
      </c>
      <c r="D3752">
        <v>2017</v>
      </c>
      <c r="E3752" s="2">
        <v>25</v>
      </c>
      <c r="F3752" s="2">
        <v>1300</v>
      </c>
      <c r="G3752" s="2"/>
    </row>
    <row r="3753" spans="1:8" x14ac:dyDescent="0.3">
      <c r="A3753" t="s">
        <v>1743</v>
      </c>
      <c r="B3753" t="s">
        <v>643</v>
      </c>
      <c r="C3753" t="s">
        <v>644</v>
      </c>
      <c r="D3753">
        <v>2018</v>
      </c>
      <c r="E3753" s="2">
        <v>5</v>
      </c>
      <c r="F3753" s="2">
        <v>325</v>
      </c>
      <c r="G3753" s="2">
        <v>341.25</v>
      </c>
      <c r="H3753" s="3" t="s">
        <v>14</v>
      </c>
    </row>
    <row r="3754" spans="1:8" x14ac:dyDescent="0.3">
      <c r="A3754" t="s">
        <v>1743</v>
      </c>
      <c r="B3754" t="s">
        <v>643</v>
      </c>
      <c r="C3754" t="s">
        <v>644</v>
      </c>
      <c r="D3754">
        <v>2019</v>
      </c>
      <c r="E3754" s="2">
        <v>25</v>
      </c>
      <c r="F3754" s="2">
        <v>1625</v>
      </c>
      <c r="G3754" s="2">
        <v>1706.25</v>
      </c>
      <c r="H3754" s="3" t="s">
        <v>14</v>
      </c>
    </row>
    <row r="3755" spans="1:8" x14ac:dyDescent="0.3">
      <c r="A3755" t="s">
        <v>1743</v>
      </c>
      <c r="B3755" t="s">
        <v>643</v>
      </c>
      <c r="C3755" t="s">
        <v>644</v>
      </c>
      <c r="D3755">
        <v>2020</v>
      </c>
      <c r="E3755" s="2">
        <v>10</v>
      </c>
      <c r="F3755" s="2">
        <v>650</v>
      </c>
      <c r="G3755" s="2">
        <v>682.5</v>
      </c>
      <c r="H3755" s="3" t="s">
        <v>14</v>
      </c>
    </row>
    <row r="3756" spans="1:8" x14ac:dyDescent="0.3">
      <c r="A3756" t="s">
        <v>1743</v>
      </c>
      <c r="B3756" t="s">
        <v>643</v>
      </c>
      <c r="C3756" t="s">
        <v>644</v>
      </c>
      <c r="D3756">
        <v>2021</v>
      </c>
      <c r="E3756" s="2">
        <v>35</v>
      </c>
      <c r="F3756" s="2">
        <v>2380</v>
      </c>
      <c r="G3756" s="2">
        <v>2499</v>
      </c>
      <c r="H3756" s="3" t="s">
        <v>14</v>
      </c>
    </row>
    <row r="3757" spans="1:8" x14ac:dyDescent="0.3">
      <c r="A3757" t="s">
        <v>1743</v>
      </c>
      <c r="B3757" t="s">
        <v>184</v>
      </c>
      <c r="C3757" t="s">
        <v>185</v>
      </c>
      <c r="D3757">
        <v>2018</v>
      </c>
      <c r="E3757" s="2">
        <v>50</v>
      </c>
      <c r="F3757" s="2">
        <v>2900</v>
      </c>
      <c r="G3757" s="2">
        <v>3045</v>
      </c>
    </row>
    <row r="3758" spans="1:8" x14ac:dyDescent="0.3">
      <c r="A3758" t="s">
        <v>1743</v>
      </c>
      <c r="B3758" t="s">
        <v>184</v>
      </c>
      <c r="C3758" t="s">
        <v>185</v>
      </c>
      <c r="D3758">
        <v>2019</v>
      </c>
      <c r="E3758" s="2">
        <v>30</v>
      </c>
      <c r="F3758" s="2">
        <v>1740</v>
      </c>
      <c r="G3758" s="2">
        <v>1827</v>
      </c>
    </row>
    <row r="3759" spans="1:8" x14ac:dyDescent="0.3">
      <c r="A3759" t="s">
        <v>1743</v>
      </c>
      <c r="B3759" t="s">
        <v>184</v>
      </c>
      <c r="C3759" t="s">
        <v>185</v>
      </c>
      <c r="D3759">
        <v>2021</v>
      </c>
      <c r="E3759" s="2">
        <v>30</v>
      </c>
      <c r="F3759" s="2">
        <v>1740</v>
      </c>
      <c r="G3759" s="2">
        <v>1827</v>
      </c>
    </row>
    <row r="3760" spans="1:8" x14ac:dyDescent="0.3">
      <c r="A3760" t="s">
        <v>1743</v>
      </c>
      <c r="B3760" t="s">
        <v>1120</v>
      </c>
      <c r="C3760" t="s">
        <v>1121</v>
      </c>
      <c r="D3760">
        <v>2019</v>
      </c>
      <c r="E3760" s="2">
        <v>5</v>
      </c>
      <c r="F3760" s="2">
        <v>275</v>
      </c>
      <c r="G3760" s="2">
        <v>288.75</v>
      </c>
    </row>
    <row r="3761" spans="1:8" x14ac:dyDescent="0.3">
      <c r="A3761" t="s">
        <v>1743</v>
      </c>
      <c r="B3761" t="s">
        <v>19</v>
      </c>
      <c r="C3761" t="s">
        <v>20</v>
      </c>
      <c r="D3761">
        <v>2018</v>
      </c>
      <c r="E3761" s="2">
        <v>10</v>
      </c>
      <c r="F3761" s="2">
        <v>1000</v>
      </c>
      <c r="G3761" s="2">
        <v>1050</v>
      </c>
      <c r="H3761" s="3" t="s">
        <v>1745</v>
      </c>
    </row>
    <row r="3762" spans="1:8" x14ac:dyDescent="0.3">
      <c r="A3762" t="s">
        <v>1743</v>
      </c>
      <c r="B3762" t="s">
        <v>19</v>
      </c>
      <c r="C3762" t="s">
        <v>20</v>
      </c>
      <c r="D3762">
        <v>2019</v>
      </c>
      <c r="E3762" s="2">
        <v>40</v>
      </c>
      <c r="F3762" s="2">
        <v>4000</v>
      </c>
      <c r="G3762" s="2">
        <v>4200</v>
      </c>
      <c r="H3762" s="3" t="s">
        <v>1745</v>
      </c>
    </row>
    <row r="3763" spans="1:8" x14ac:dyDescent="0.3">
      <c r="A3763" t="s">
        <v>1743</v>
      </c>
      <c r="B3763" t="s">
        <v>19</v>
      </c>
      <c r="C3763" t="s">
        <v>20</v>
      </c>
      <c r="D3763">
        <v>2020</v>
      </c>
      <c r="E3763" s="2">
        <v>40</v>
      </c>
      <c r="F3763" s="2">
        <v>4000</v>
      </c>
      <c r="G3763" s="2">
        <v>4200</v>
      </c>
      <c r="H3763" s="3" t="s">
        <v>1745</v>
      </c>
    </row>
    <row r="3764" spans="1:8" x14ac:dyDescent="0.3">
      <c r="A3764" t="s">
        <v>1743</v>
      </c>
      <c r="B3764" t="s">
        <v>19</v>
      </c>
      <c r="C3764" t="s">
        <v>20</v>
      </c>
      <c r="D3764">
        <v>2021</v>
      </c>
      <c r="E3764" s="2">
        <v>25</v>
      </c>
      <c r="F3764" s="2">
        <v>2500</v>
      </c>
      <c r="G3764" s="2">
        <v>2625</v>
      </c>
      <c r="H3764" s="3" t="s">
        <v>1745</v>
      </c>
    </row>
    <row r="3765" spans="1:8" x14ac:dyDescent="0.3">
      <c r="A3765" t="s">
        <v>1743</v>
      </c>
      <c r="B3765" t="s">
        <v>110</v>
      </c>
      <c r="C3765" t="s">
        <v>111</v>
      </c>
      <c r="D3765">
        <v>2020</v>
      </c>
      <c r="E3765" s="2">
        <v>45</v>
      </c>
      <c r="F3765" s="2">
        <v>2250</v>
      </c>
      <c r="G3765" s="2">
        <v>2362.5</v>
      </c>
    </row>
    <row r="3766" spans="1:8" x14ac:dyDescent="0.3">
      <c r="A3766" t="s">
        <v>1743</v>
      </c>
      <c r="B3766" t="s">
        <v>114</v>
      </c>
      <c r="C3766" t="s">
        <v>115</v>
      </c>
      <c r="D3766">
        <v>2019</v>
      </c>
      <c r="E3766" s="2">
        <v>20</v>
      </c>
      <c r="F3766" s="2">
        <v>1400</v>
      </c>
      <c r="G3766" s="2">
        <v>1470</v>
      </c>
      <c r="H3766" s="3" t="s">
        <v>14</v>
      </c>
    </row>
    <row r="3767" spans="1:8" x14ac:dyDescent="0.3">
      <c r="A3767" t="s">
        <v>1743</v>
      </c>
      <c r="B3767" t="s">
        <v>114</v>
      </c>
      <c r="C3767" t="s">
        <v>115</v>
      </c>
      <c r="D3767">
        <v>2021</v>
      </c>
      <c r="E3767" s="2">
        <v>25</v>
      </c>
      <c r="F3767" s="2">
        <v>1750</v>
      </c>
      <c r="G3767" s="2">
        <v>1837.5</v>
      </c>
      <c r="H3767" s="3" t="s">
        <v>14</v>
      </c>
    </row>
    <row r="3768" spans="1:8" x14ac:dyDescent="0.3">
      <c r="A3768" t="s">
        <v>1743</v>
      </c>
      <c r="B3768" t="s">
        <v>187</v>
      </c>
      <c r="C3768" t="s">
        <v>188</v>
      </c>
      <c r="D3768">
        <v>2019</v>
      </c>
      <c r="E3768" s="2">
        <v>5</v>
      </c>
      <c r="F3768" s="2">
        <v>300</v>
      </c>
      <c r="G3768" s="2">
        <v>315</v>
      </c>
      <c r="H3768" s="3" t="s">
        <v>14</v>
      </c>
    </row>
    <row r="3769" spans="1:8" x14ac:dyDescent="0.3">
      <c r="A3769" t="s">
        <v>1743</v>
      </c>
      <c r="B3769" t="s">
        <v>187</v>
      </c>
      <c r="C3769" t="s">
        <v>188</v>
      </c>
      <c r="D3769">
        <v>2021</v>
      </c>
      <c r="E3769" s="2">
        <v>25</v>
      </c>
      <c r="F3769" s="2">
        <v>1500</v>
      </c>
      <c r="G3769" s="2">
        <v>1575</v>
      </c>
      <c r="H3769" s="3" t="s">
        <v>14</v>
      </c>
    </row>
    <row r="3770" spans="1:8" x14ac:dyDescent="0.3">
      <c r="A3770" t="s">
        <v>1743</v>
      </c>
      <c r="B3770" t="s">
        <v>68</v>
      </c>
      <c r="C3770" t="s">
        <v>69</v>
      </c>
      <c r="D3770">
        <v>2021</v>
      </c>
      <c r="E3770" s="2">
        <v>40</v>
      </c>
      <c r="F3770" s="2">
        <v>3000</v>
      </c>
      <c r="G3770" s="2">
        <v>3150</v>
      </c>
      <c r="H3770" s="3" t="s">
        <v>374</v>
      </c>
    </row>
    <row r="3771" spans="1:8" x14ac:dyDescent="0.3">
      <c r="A3771" t="s">
        <v>1743</v>
      </c>
      <c r="B3771" t="s">
        <v>653</v>
      </c>
      <c r="C3771" t="s">
        <v>654</v>
      </c>
      <c r="D3771">
        <v>2020</v>
      </c>
      <c r="E3771" s="2">
        <v>5</v>
      </c>
      <c r="F3771" s="2">
        <v>350</v>
      </c>
      <c r="G3771" s="2">
        <v>367.5</v>
      </c>
    </row>
    <row r="3772" spans="1:8" x14ac:dyDescent="0.3">
      <c r="A3772" t="s">
        <v>1743</v>
      </c>
      <c r="B3772" t="s">
        <v>575</v>
      </c>
      <c r="C3772" t="s">
        <v>673</v>
      </c>
      <c r="D3772">
        <v>2018</v>
      </c>
      <c r="E3772" s="2">
        <v>75</v>
      </c>
      <c r="F3772" s="2">
        <v>4500</v>
      </c>
      <c r="G3772" s="2">
        <v>4725</v>
      </c>
    </row>
    <row r="3773" spans="1:8" x14ac:dyDescent="0.3">
      <c r="A3773" t="s">
        <v>1743</v>
      </c>
      <c r="B3773" t="s">
        <v>575</v>
      </c>
      <c r="C3773" t="s">
        <v>673</v>
      </c>
      <c r="D3773">
        <v>2020</v>
      </c>
      <c r="E3773" s="2">
        <v>25</v>
      </c>
      <c r="F3773" s="2">
        <v>1500</v>
      </c>
      <c r="G3773" s="2">
        <v>1575</v>
      </c>
    </row>
    <row r="3774" spans="1:8" x14ac:dyDescent="0.3">
      <c r="A3774" t="s">
        <v>1743</v>
      </c>
      <c r="B3774" t="s">
        <v>518</v>
      </c>
      <c r="C3774" t="s">
        <v>519</v>
      </c>
      <c r="D3774">
        <v>2019</v>
      </c>
      <c r="E3774" s="2">
        <v>50</v>
      </c>
      <c r="F3774" s="2">
        <v>3000</v>
      </c>
      <c r="G3774" s="2">
        <v>3150</v>
      </c>
    </row>
    <row r="3775" spans="1:8" x14ac:dyDescent="0.3">
      <c r="A3775" t="s">
        <v>1743</v>
      </c>
      <c r="B3775" t="s">
        <v>438</v>
      </c>
      <c r="C3775" t="s">
        <v>439</v>
      </c>
      <c r="D3775">
        <v>2020</v>
      </c>
      <c r="E3775" s="2">
        <v>10</v>
      </c>
      <c r="F3775" s="2">
        <v>700</v>
      </c>
      <c r="G3775" s="2">
        <v>735</v>
      </c>
    </row>
    <row r="3776" spans="1:8" x14ac:dyDescent="0.3">
      <c r="A3776" t="s">
        <v>1743</v>
      </c>
      <c r="B3776" t="s">
        <v>334</v>
      </c>
      <c r="C3776" t="s">
        <v>335</v>
      </c>
      <c r="D3776">
        <v>2018</v>
      </c>
      <c r="E3776" s="2">
        <v>5</v>
      </c>
      <c r="F3776" s="2">
        <v>300</v>
      </c>
      <c r="G3776" s="2">
        <v>315</v>
      </c>
    </row>
    <row r="3777" spans="1:8" x14ac:dyDescent="0.3">
      <c r="A3777" t="s">
        <v>1743</v>
      </c>
      <c r="B3777" t="s">
        <v>334</v>
      </c>
      <c r="C3777" t="s">
        <v>335</v>
      </c>
      <c r="D3777">
        <v>2019</v>
      </c>
      <c r="E3777" s="2">
        <v>5</v>
      </c>
      <c r="F3777" s="2">
        <v>300</v>
      </c>
      <c r="G3777" s="2">
        <v>315</v>
      </c>
    </row>
    <row r="3778" spans="1:8" x14ac:dyDescent="0.3">
      <c r="A3778" t="s">
        <v>1743</v>
      </c>
      <c r="B3778" t="s">
        <v>334</v>
      </c>
      <c r="C3778" t="s">
        <v>335</v>
      </c>
      <c r="D3778">
        <v>2020</v>
      </c>
      <c r="E3778" s="2">
        <v>10</v>
      </c>
      <c r="F3778" s="2">
        <v>600</v>
      </c>
      <c r="G3778" s="2">
        <v>630</v>
      </c>
    </row>
    <row r="3779" spans="1:8" x14ac:dyDescent="0.3">
      <c r="A3779" t="s">
        <v>1743</v>
      </c>
      <c r="B3779" t="s">
        <v>46</v>
      </c>
      <c r="C3779" t="s">
        <v>47</v>
      </c>
      <c r="D3779">
        <v>2017</v>
      </c>
      <c r="E3779" s="2">
        <v>25</v>
      </c>
      <c r="F3779" s="2">
        <v>1300</v>
      </c>
      <c r="G3779" s="2"/>
    </row>
    <row r="3780" spans="1:8" x14ac:dyDescent="0.3">
      <c r="A3780" t="s">
        <v>1743</v>
      </c>
      <c r="B3780" t="s">
        <v>46</v>
      </c>
      <c r="C3780" t="s">
        <v>47</v>
      </c>
      <c r="D3780">
        <v>2018</v>
      </c>
      <c r="E3780" s="2">
        <v>75</v>
      </c>
      <c r="F3780" s="2">
        <v>3975</v>
      </c>
      <c r="G3780" s="2">
        <v>4173.75</v>
      </c>
    </row>
    <row r="3781" spans="1:8" x14ac:dyDescent="0.3">
      <c r="A3781" t="s">
        <v>1743</v>
      </c>
      <c r="B3781" t="s">
        <v>46</v>
      </c>
      <c r="C3781" t="s">
        <v>47</v>
      </c>
      <c r="D3781">
        <v>2019</v>
      </c>
      <c r="E3781" s="2">
        <v>185</v>
      </c>
      <c r="F3781" s="2">
        <v>9250</v>
      </c>
      <c r="G3781" s="2">
        <v>9712.5</v>
      </c>
    </row>
    <row r="3782" spans="1:8" x14ac:dyDescent="0.3">
      <c r="A3782" t="s">
        <v>1743</v>
      </c>
      <c r="B3782" t="s">
        <v>483</v>
      </c>
      <c r="C3782" t="s">
        <v>484</v>
      </c>
      <c r="D3782">
        <v>2019</v>
      </c>
      <c r="E3782" s="2">
        <v>435</v>
      </c>
      <c r="F3782" s="2">
        <v>21780</v>
      </c>
      <c r="G3782" s="2">
        <v>22869</v>
      </c>
      <c r="H3782" s="3" t="s">
        <v>18</v>
      </c>
    </row>
    <row r="3783" spans="1:8" x14ac:dyDescent="0.3">
      <c r="A3783" t="s">
        <v>1743</v>
      </c>
      <c r="B3783" t="s">
        <v>483</v>
      </c>
      <c r="C3783" t="s">
        <v>484</v>
      </c>
      <c r="D3783">
        <v>2020</v>
      </c>
      <c r="E3783" s="2">
        <v>25</v>
      </c>
      <c r="F3783" s="2">
        <v>12500</v>
      </c>
      <c r="G3783" s="2">
        <v>13125</v>
      </c>
      <c r="H3783" s="3" t="s">
        <v>18</v>
      </c>
    </row>
    <row r="3784" spans="1:8" x14ac:dyDescent="0.3">
      <c r="A3784" t="s">
        <v>1743</v>
      </c>
      <c r="B3784" t="s">
        <v>483</v>
      </c>
      <c r="C3784" t="s">
        <v>484</v>
      </c>
      <c r="D3784">
        <v>2021</v>
      </c>
      <c r="E3784" s="2">
        <v>150</v>
      </c>
      <c r="F3784" s="2">
        <v>7500</v>
      </c>
      <c r="G3784" s="2">
        <v>7875</v>
      </c>
      <c r="H3784" s="3" t="s">
        <v>18</v>
      </c>
    </row>
    <row r="3785" spans="1:8" x14ac:dyDescent="0.3">
      <c r="A3785" t="s">
        <v>1743</v>
      </c>
      <c r="B3785" t="s">
        <v>657</v>
      </c>
      <c r="C3785" t="s">
        <v>658</v>
      </c>
      <c r="D3785">
        <v>2020</v>
      </c>
      <c r="E3785" s="2">
        <v>15</v>
      </c>
      <c r="F3785" s="2">
        <v>1050</v>
      </c>
      <c r="G3785" s="2">
        <v>1102.5</v>
      </c>
    </row>
    <row r="3786" spans="1:8" x14ac:dyDescent="0.3">
      <c r="A3786" t="s">
        <v>1746</v>
      </c>
      <c r="B3786" t="s">
        <v>1747</v>
      </c>
      <c r="D3786">
        <v>2021</v>
      </c>
      <c r="E3786" s="2">
        <v>11</v>
      </c>
      <c r="F3786" s="2">
        <v>1540</v>
      </c>
      <c r="G3786" s="2">
        <v>1540</v>
      </c>
      <c r="H3786" s="3" t="s">
        <v>1748</v>
      </c>
    </row>
    <row r="3787" spans="1:8" x14ac:dyDescent="0.3">
      <c r="A3787" t="s">
        <v>1746</v>
      </c>
      <c r="B3787" t="s">
        <v>589</v>
      </c>
      <c r="C3787" t="s">
        <v>590</v>
      </c>
      <c r="D3787">
        <v>2021</v>
      </c>
      <c r="E3787" s="2">
        <v>3</v>
      </c>
      <c r="F3787" s="2">
        <v>480</v>
      </c>
      <c r="G3787" s="2">
        <v>480</v>
      </c>
      <c r="H3787" s="3" t="s">
        <v>18</v>
      </c>
    </row>
    <row r="3788" spans="1:8" x14ac:dyDescent="0.3">
      <c r="A3788" t="s">
        <v>1746</v>
      </c>
      <c r="B3788" t="s">
        <v>593</v>
      </c>
      <c r="C3788" t="s">
        <v>594</v>
      </c>
      <c r="D3788">
        <v>2021</v>
      </c>
      <c r="E3788" s="2">
        <v>10</v>
      </c>
      <c r="F3788" s="2">
        <v>1800</v>
      </c>
      <c r="G3788" s="2">
        <v>1800</v>
      </c>
      <c r="H3788" s="3" t="s">
        <v>14</v>
      </c>
    </row>
    <row r="3789" spans="1:8" x14ac:dyDescent="0.3">
      <c r="A3789" t="s">
        <v>1746</v>
      </c>
      <c r="B3789" t="s">
        <v>510</v>
      </c>
      <c r="C3789" t="s">
        <v>511</v>
      </c>
      <c r="D3789">
        <v>2021</v>
      </c>
      <c r="E3789" s="2">
        <v>5</v>
      </c>
      <c r="F3789" s="2">
        <v>800</v>
      </c>
      <c r="G3789" s="2">
        <v>800</v>
      </c>
      <c r="H3789" s="3" t="s">
        <v>18</v>
      </c>
    </row>
    <row r="3790" spans="1:8" x14ac:dyDescent="0.3">
      <c r="A3790" t="s">
        <v>1746</v>
      </c>
      <c r="B3790" t="s">
        <v>1412</v>
      </c>
      <c r="D3790">
        <v>2021</v>
      </c>
      <c r="E3790" s="2">
        <v>22</v>
      </c>
      <c r="F3790" s="2">
        <v>2860</v>
      </c>
      <c r="G3790" s="2">
        <v>2860</v>
      </c>
      <c r="H3790" s="3" t="s">
        <v>18</v>
      </c>
    </row>
    <row r="3791" spans="1:8" x14ac:dyDescent="0.3">
      <c r="A3791" t="s">
        <v>1746</v>
      </c>
      <c r="B3791" t="s">
        <v>1413</v>
      </c>
      <c r="D3791">
        <v>2021</v>
      </c>
      <c r="E3791" s="2">
        <v>16</v>
      </c>
      <c r="F3791" s="2">
        <v>2080</v>
      </c>
      <c r="G3791" s="2">
        <v>2080</v>
      </c>
      <c r="H3791" s="3" t="s">
        <v>1749</v>
      </c>
    </row>
    <row r="3792" spans="1:8" x14ac:dyDescent="0.3">
      <c r="A3792" t="s">
        <v>1746</v>
      </c>
      <c r="B3792" t="s">
        <v>105</v>
      </c>
      <c r="C3792" t="s">
        <v>106</v>
      </c>
      <c r="D3792">
        <v>2021</v>
      </c>
      <c r="E3792" s="2">
        <v>3</v>
      </c>
      <c r="F3792" s="2">
        <v>600</v>
      </c>
      <c r="G3792" s="2">
        <v>600</v>
      </c>
      <c r="H3792" s="3" t="s">
        <v>18</v>
      </c>
    </row>
    <row r="3793" spans="1:8" x14ac:dyDescent="0.3">
      <c r="A3793" t="s">
        <v>1746</v>
      </c>
      <c r="B3793" t="s">
        <v>1425</v>
      </c>
      <c r="C3793" t="s">
        <v>212</v>
      </c>
      <c r="D3793">
        <v>2020</v>
      </c>
      <c r="E3793" s="2">
        <v>14</v>
      </c>
      <c r="F3793" s="2">
        <v>2450</v>
      </c>
      <c r="G3793" s="2">
        <v>2450</v>
      </c>
      <c r="H3793" s="3" t="s">
        <v>18</v>
      </c>
    </row>
    <row r="3794" spans="1:8" x14ac:dyDescent="0.3">
      <c r="A3794" t="s">
        <v>1746</v>
      </c>
      <c r="B3794" t="s">
        <v>1425</v>
      </c>
      <c r="C3794" t="s">
        <v>212</v>
      </c>
      <c r="D3794">
        <v>2021</v>
      </c>
      <c r="E3794" s="2">
        <v>56</v>
      </c>
      <c r="F3794" s="2">
        <v>9800</v>
      </c>
      <c r="G3794" s="2">
        <v>9800</v>
      </c>
      <c r="H3794" s="3" t="s">
        <v>18</v>
      </c>
    </row>
    <row r="3795" spans="1:8" x14ac:dyDescent="0.3">
      <c r="A3795" t="s">
        <v>1746</v>
      </c>
      <c r="B3795" t="s">
        <v>1151</v>
      </c>
      <c r="C3795" t="s">
        <v>1152</v>
      </c>
      <c r="D3795">
        <v>2021</v>
      </c>
      <c r="E3795" s="2">
        <v>12</v>
      </c>
      <c r="F3795" s="2">
        <v>2640</v>
      </c>
      <c r="G3795" s="2">
        <v>2640</v>
      </c>
      <c r="H3795" s="3" t="s">
        <v>18</v>
      </c>
    </row>
    <row r="3796" spans="1:8" x14ac:dyDescent="0.3">
      <c r="A3796" t="s">
        <v>1746</v>
      </c>
      <c r="B3796" t="s">
        <v>383</v>
      </c>
      <c r="C3796" t="s">
        <v>385</v>
      </c>
      <c r="D3796">
        <v>2021</v>
      </c>
      <c r="E3796" s="2">
        <v>41</v>
      </c>
      <c r="F3796" s="2">
        <v>6150</v>
      </c>
      <c r="G3796" s="2">
        <v>6150</v>
      </c>
      <c r="H3796" s="3" t="s">
        <v>18</v>
      </c>
    </row>
    <row r="3797" spans="1:8" x14ac:dyDescent="0.3">
      <c r="A3797" t="s">
        <v>1746</v>
      </c>
      <c r="B3797" t="s">
        <v>599</v>
      </c>
      <c r="C3797" t="s">
        <v>413</v>
      </c>
      <c r="D3797">
        <v>2021</v>
      </c>
      <c r="E3797" s="2">
        <v>1</v>
      </c>
      <c r="F3797" s="2">
        <v>230</v>
      </c>
      <c r="G3797" s="2">
        <v>230</v>
      </c>
      <c r="H3797" s="3" t="s">
        <v>18</v>
      </c>
    </row>
    <row r="3798" spans="1:8" x14ac:dyDescent="0.3">
      <c r="A3798" t="s">
        <v>1746</v>
      </c>
      <c r="B3798" t="s">
        <v>600</v>
      </c>
      <c r="C3798" t="s">
        <v>75</v>
      </c>
      <c r="D3798">
        <v>2020</v>
      </c>
      <c r="E3798" s="2">
        <v>10</v>
      </c>
      <c r="F3798" s="2">
        <v>1750</v>
      </c>
      <c r="G3798" s="2">
        <v>1750</v>
      </c>
      <c r="H3798" s="3" t="s">
        <v>18</v>
      </c>
    </row>
    <row r="3799" spans="1:8" x14ac:dyDescent="0.3">
      <c r="A3799" t="s">
        <v>1746</v>
      </c>
      <c r="B3799" t="s">
        <v>600</v>
      </c>
      <c r="C3799" t="s">
        <v>75</v>
      </c>
      <c r="D3799">
        <v>2021</v>
      </c>
      <c r="E3799" s="2">
        <v>27</v>
      </c>
      <c r="F3799" s="2">
        <v>4725</v>
      </c>
      <c r="G3799" s="2">
        <v>4725</v>
      </c>
      <c r="H3799" s="3" t="s">
        <v>18</v>
      </c>
    </row>
    <row r="3800" spans="1:8" x14ac:dyDescent="0.3">
      <c r="A3800" t="s">
        <v>1746</v>
      </c>
      <c r="B3800" t="s">
        <v>151</v>
      </c>
      <c r="C3800" t="s">
        <v>152</v>
      </c>
      <c r="D3800">
        <v>2021</v>
      </c>
      <c r="E3800" s="2">
        <v>5</v>
      </c>
      <c r="F3800" s="2">
        <v>1155</v>
      </c>
      <c r="G3800" s="2">
        <v>1155</v>
      </c>
      <c r="H3800" s="3" t="s">
        <v>18</v>
      </c>
    </row>
    <row r="3801" spans="1:8" x14ac:dyDescent="0.3">
      <c r="A3801" t="s">
        <v>1750</v>
      </c>
      <c r="B3801" t="s">
        <v>1751</v>
      </c>
      <c r="D3801">
        <v>2017</v>
      </c>
      <c r="E3801" s="2">
        <v>25</v>
      </c>
      <c r="F3801" s="2">
        <v>11950</v>
      </c>
      <c r="G3801" s="2"/>
    </row>
    <row r="3802" spans="1:8" x14ac:dyDescent="0.3">
      <c r="A3802" t="s">
        <v>1750</v>
      </c>
      <c r="B3802" t="s">
        <v>1752</v>
      </c>
      <c r="C3802" t="s">
        <v>673</v>
      </c>
      <c r="D3802">
        <v>2017</v>
      </c>
      <c r="E3802" s="2">
        <v>10</v>
      </c>
      <c r="F3802" s="2">
        <v>1500</v>
      </c>
      <c r="G3802" s="2"/>
    </row>
    <row r="3803" spans="1:8" x14ac:dyDescent="0.3">
      <c r="A3803" t="s">
        <v>1753</v>
      </c>
      <c r="B3803" t="s">
        <v>581</v>
      </c>
      <c r="C3803" t="s">
        <v>582</v>
      </c>
      <c r="D3803">
        <v>2014</v>
      </c>
      <c r="E3803" s="2">
        <v>1</v>
      </c>
      <c r="F3803" s="2">
        <v>220</v>
      </c>
      <c r="G3803" s="2"/>
    </row>
    <row r="3804" spans="1:8" x14ac:dyDescent="0.3">
      <c r="A3804" t="s">
        <v>1753</v>
      </c>
      <c r="B3804" t="s">
        <v>219</v>
      </c>
      <c r="C3804" t="s">
        <v>220</v>
      </c>
      <c r="D3804">
        <v>2014</v>
      </c>
      <c r="E3804" s="2">
        <v>1</v>
      </c>
      <c r="F3804" s="2">
        <v>220</v>
      </c>
      <c r="G3804" s="2"/>
    </row>
    <row r="3805" spans="1:8" x14ac:dyDescent="0.3">
      <c r="A3805" t="s">
        <v>1753</v>
      </c>
      <c r="B3805" t="s">
        <v>555</v>
      </c>
      <c r="C3805" t="s">
        <v>259</v>
      </c>
      <c r="D3805">
        <v>2015</v>
      </c>
      <c r="E3805" s="2">
        <v>2</v>
      </c>
      <c r="F3805" s="2">
        <v>520</v>
      </c>
      <c r="G3805" s="2"/>
    </row>
    <row r="3806" spans="1:8" x14ac:dyDescent="0.3">
      <c r="A3806" t="s">
        <v>1753</v>
      </c>
      <c r="B3806" t="s">
        <v>120</v>
      </c>
      <c r="C3806" t="s">
        <v>294</v>
      </c>
      <c r="D3806">
        <v>2015</v>
      </c>
      <c r="E3806" s="2">
        <v>2</v>
      </c>
      <c r="F3806" s="2">
        <v>440</v>
      </c>
      <c r="G3806" s="2"/>
    </row>
    <row r="3807" spans="1:8" x14ac:dyDescent="0.3">
      <c r="A3807" t="s">
        <v>1754</v>
      </c>
      <c r="B3807" t="s">
        <v>532</v>
      </c>
      <c r="C3807" t="s">
        <v>452</v>
      </c>
      <c r="D3807">
        <v>2020</v>
      </c>
      <c r="E3807" s="2">
        <v>50</v>
      </c>
      <c r="F3807" s="2">
        <v>2650</v>
      </c>
      <c r="G3807" s="2">
        <v>2782.5</v>
      </c>
    </row>
    <row r="3808" spans="1:8" x14ac:dyDescent="0.3">
      <c r="A3808" t="s">
        <v>1754</v>
      </c>
      <c r="B3808" t="s">
        <v>1755</v>
      </c>
      <c r="D3808">
        <v>2020</v>
      </c>
      <c r="E3808" s="2">
        <v>25</v>
      </c>
      <c r="F3808" s="2">
        <v>1500</v>
      </c>
      <c r="G3808" s="2">
        <v>1575</v>
      </c>
      <c r="H3808" s="3" t="s">
        <v>1756</v>
      </c>
    </row>
    <row r="3809" spans="1:8" x14ac:dyDescent="0.3">
      <c r="A3809" t="s">
        <v>1754</v>
      </c>
      <c r="B3809" t="s">
        <v>1755</v>
      </c>
      <c r="D3809">
        <v>2021</v>
      </c>
      <c r="E3809" s="2">
        <v>75</v>
      </c>
      <c r="F3809" s="2">
        <v>4500</v>
      </c>
      <c r="G3809" s="2">
        <v>4725</v>
      </c>
      <c r="H3809" s="3" t="s">
        <v>1756</v>
      </c>
    </row>
    <row r="3810" spans="1:8" x14ac:dyDescent="0.3">
      <c r="A3810" t="s">
        <v>1754</v>
      </c>
      <c r="B3810" t="s">
        <v>830</v>
      </c>
      <c r="C3810" t="s">
        <v>831</v>
      </c>
      <c r="D3810">
        <v>2020</v>
      </c>
      <c r="E3810" s="2">
        <v>175</v>
      </c>
      <c r="F3810" s="2">
        <v>8400</v>
      </c>
      <c r="G3810" s="2">
        <v>8820</v>
      </c>
    </row>
    <row r="3811" spans="1:8" x14ac:dyDescent="0.3">
      <c r="A3811" t="s">
        <v>1754</v>
      </c>
      <c r="B3811" t="s">
        <v>716</v>
      </c>
      <c r="C3811" t="s">
        <v>717</v>
      </c>
      <c r="D3811">
        <v>2020</v>
      </c>
      <c r="E3811" s="2">
        <v>50</v>
      </c>
      <c r="F3811" s="2">
        <v>2150</v>
      </c>
      <c r="G3811" s="2">
        <v>2257.5</v>
      </c>
    </row>
    <row r="3812" spans="1:8" x14ac:dyDescent="0.3">
      <c r="A3812" t="s">
        <v>1754</v>
      </c>
      <c r="B3812" t="s">
        <v>581</v>
      </c>
      <c r="C3812" t="s">
        <v>582</v>
      </c>
      <c r="D3812">
        <v>2017</v>
      </c>
      <c r="E3812" s="2">
        <v>15</v>
      </c>
      <c r="F3812" s="2">
        <v>1350</v>
      </c>
      <c r="G3812" s="2"/>
    </row>
    <row r="3813" spans="1:8" x14ac:dyDescent="0.3">
      <c r="A3813" t="s">
        <v>1754</v>
      </c>
      <c r="B3813" t="s">
        <v>627</v>
      </c>
      <c r="C3813" t="s">
        <v>628</v>
      </c>
      <c r="D3813">
        <v>2020</v>
      </c>
      <c r="E3813" s="2">
        <v>50</v>
      </c>
      <c r="F3813" s="2">
        <v>2650</v>
      </c>
      <c r="G3813" s="2">
        <v>2782.5</v>
      </c>
    </row>
    <row r="3814" spans="1:8" x14ac:dyDescent="0.3">
      <c r="A3814" t="s">
        <v>1754</v>
      </c>
      <c r="B3814" t="s">
        <v>696</v>
      </c>
      <c r="C3814" t="s">
        <v>697</v>
      </c>
      <c r="D3814">
        <v>2020</v>
      </c>
      <c r="E3814" s="2">
        <v>100</v>
      </c>
      <c r="F3814" s="2">
        <v>5000</v>
      </c>
      <c r="G3814" s="2">
        <v>5250</v>
      </c>
    </row>
    <row r="3815" spans="1:8" x14ac:dyDescent="0.3">
      <c r="A3815" t="s">
        <v>1754</v>
      </c>
      <c r="B3815" t="s">
        <v>635</v>
      </c>
      <c r="C3815" t="s">
        <v>636</v>
      </c>
      <c r="D3815">
        <v>2018</v>
      </c>
      <c r="E3815" s="2">
        <v>50</v>
      </c>
      <c r="F3815" s="2">
        <v>3500</v>
      </c>
      <c r="G3815" s="2">
        <v>3675</v>
      </c>
      <c r="H3815" s="3" t="s">
        <v>14</v>
      </c>
    </row>
    <row r="3816" spans="1:8" x14ac:dyDescent="0.3">
      <c r="A3816" t="s">
        <v>1754</v>
      </c>
      <c r="B3816" t="s">
        <v>635</v>
      </c>
      <c r="C3816" t="s">
        <v>636</v>
      </c>
      <c r="D3816">
        <v>2020</v>
      </c>
      <c r="E3816" s="2">
        <v>75</v>
      </c>
      <c r="F3816" s="2">
        <v>4500</v>
      </c>
      <c r="G3816" s="2">
        <v>4725</v>
      </c>
      <c r="H3816" s="3" t="s">
        <v>14</v>
      </c>
    </row>
    <row r="3817" spans="1:8" x14ac:dyDescent="0.3">
      <c r="A3817" t="s">
        <v>1754</v>
      </c>
      <c r="B3817" t="s">
        <v>635</v>
      </c>
      <c r="C3817" t="s">
        <v>636</v>
      </c>
      <c r="D3817">
        <v>2021</v>
      </c>
      <c r="E3817" s="2">
        <v>50</v>
      </c>
      <c r="F3817" s="2">
        <v>2750</v>
      </c>
      <c r="G3817" s="2">
        <v>2887.5</v>
      </c>
      <c r="H3817" s="3" t="s">
        <v>14</v>
      </c>
    </row>
    <row r="3818" spans="1:8" x14ac:dyDescent="0.3">
      <c r="A3818" t="s">
        <v>1754</v>
      </c>
      <c r="B3818" t="s">
        <v>251</v>
      </c>
      <c r="C3818" t="s">
        <v>207</v>
      </c>
      <c r="D3818">
        <v>2020</v>
      </c>
      <c r="E3818" s="2">
        <v>1</v>
      </c>
      <c r="F3818" s="2">
        <v>110.95</v>
      </c>
      <c r="G3818" s="2">
        <v>116.4975</v>
      </c>
    </row>
    <row r="3819" spans="1:8" x14ac:dyDescent="0.3">
      <c r="A3819" t="s">
        <v>1754</v>
      </c>
      <c r="B3819" t="s">
        <v>184</v>
      </c>
      <c r="C3819" t="s">
        <v>185</v>
      </c>
      <c r="D3819">
        <v>2012</v>
      </c>
      <c r="E3819" s="2">
        <v>100</v>
      </c>
      <c r="F3819" s="2">
        <v>2900</v>
      </c>
      <c r="G3819" s="2"/>
    </row>
    <row r="3820" spans="1:8" x14ac:dyDescent="0.3">
      <c r="A3820" t="s">
        <v>1754</v>
      </c>
      <c r="B3820" t="s">
        <v>297</v>
      </c>
      <c r="C3820" t="s">
        <v>298</v>
      </c>
      <c r="D3820">
        <v>2017</v>
      </c>
      <c r="E3820" s="2">
        <v>100</v>
      </c>
      <c r="F3820" s="2">
        <v>6000</v>
      </c>
      <c r="G3820" s="2"/>
    </row>
    <row r="3821" spans="1:8" x14ac:dyDescent="0.3">
      <c r="A3821" t="s">
        <v>1754</v>
      </c>
      <c r="B3821" t="s">
        <v>19</v>
      </c>
      <c r="C3821" t="s">
        <v>699</v>
      </c>
      <c r="D3821">
        <v>2017</v>
      </c>
      <c r="E3821" s="2">
        <v>150</v>
      </c>
      <c r="F3821" s="2">
        <v>8250</v>
      </c>
      <c r="G3821" s="2"/>
    </row>
    <row r="3822" spans="1:8" x14ac:dyDescent="0.3">
      <c r="A3822" t="s">
        <v>1754</v>
      </c>
      <c r="B3822" t="s">
        <v>490</v>
      </c>
      <c r="C3822" t="s">
        <v>491</v>
      </c>
      <c r="D3822">
        <v>2016</v>
      </c>
      <c r="E3822" s="2">
        <v>75</v>
      </c>
      <c r="F3822" s="2">
        <v>7770</v>
      </c>
      <c r="G3822" s="2"/>
    </row>
    <row r="3823" spans="1:8" x14ac:dyDescent="0.3">
      <c r="A3823" t="s">
        <v>1754</v>
      </c>
      <c r="B3823" t="s">
        <v>490</v>
      </c>
      <c r="C3823" t="s">
        <v>491</v>
      </c>
      <c r="D3823">
        <v>2017</v>
      </c>
      <c r="E3823" s="2">
        <v>100</v>
      </c>
      <c r="F3823" s="2">
        <v>10500</v>
      </c>
      <c r="G3823" s="2"/>
    </row>
    <row r="3824" spans="1:8" x14ac:dyDescent="0.3">
      <c r="A3824" t="s">
        <v>1754</v>
      </c>
      <c r="B3824" t="s">
        <v>490</v>
      </c>
      <c r="C3824" t="s">
        <v>491</v>
      </c>
      <c r="D3824">
        <v>2020</v>
      </c>
      <c r="E3824" s="2">
        <v>50</v>
      </c>
      <c r="F3824" s="2">
        <v>5000</v>
      </c>
      <c r="G3824" s="2">
        <v>5250</v>
      </c>
    </row>
    <row r="3825" spans="1:7" x14ac:dyDescent="0.3">
      <c r="A3825" t="s">
        <v>1754</v>
      </c>
      <c r="B3825" t="s">
        <v>939</v>
      </c>
      <c r="C3825" t="s">
        <v>940</v>
      </c>
      <c r="D3825">
        <v>2020</v>
      </c>
      <c r="E3825" s="2">
        <v>425</v>
      </c>
      <c r="F3825" s="2">
        <v>20825</v>
      </c>
      <c r="G3825" s="2">
        <v>21866.25</v>
      </c>
    </row>
    <row r="3826" spans="1:7" x14ac:dyDescent="0.3">
      <c r="A3826" t="s">
        <v>1754</v>
      </c>
      <c r="B3826" t="s">
        <v>41</v>
      </c>
      <c r="C3826" t="s">
        <v>63</v>
      </c>
      <c r="D3826">
        <v>2012</v>
      </c>
      <c r="E3826" s="2">
        <v>650</v>
      </c>
      <c r="F3826" s="2">
        <v>34450</v>
      </c>
      <c r="G3826" s="2"/>
    </row>
    <row r="3827" spans="1:7" x14ac:dyDescent="0.3">
      <c r="A3827" t="s">
        <v>1754</v>
      </c>
      <c r="B3827" t="s">
        <v>41</v>
      </c>
      <c r="C3827" t="s">
        <v>63</v>
      </c>
      <c r="D3827">
        <v>2013</v>
      </c>
      <c r="E3827" s="2">
        <v>1500</v>
      </c>
      <c r="F3827" s="2">
        <v>67800</v>
      </c>
      <c r="G3827" s="2"/>
    </row>
    <row r="3828" spans="1:7" x14ac:dyDescent="0.3">
      <c r="A3828" t="s">
        <v>1754</v>
      </c>
      <c r="B3828" t="s">
        <v>41</v>
      </c>
      <c r="C3828" t="s">
        <v>63</v>
      </c>
      <c r="D3828">
        <v>2014</v>
      </c>
      <c r="E3828" s="2">
        <v>350</v>
      </c>
      <c r="F3828" s="2">
        <v>14700</v>
      </c>
      <c r="G3828" s="2"/>
    </row>
    <row r="3829" spans="1:7" x14ac:dyDescent="0.3">
      <c r="A3829" t="s">
        <v>1754</v>
      </c>
      <c r="B3829" t="s">
        <v>41</v>
      </c>
      <c r="C3829" t="s">
        <v>63</v>
      </c>
      <c r="D3829">
        <v>2015</v>
      </c>
      <c r="E3829" s="2">
        <v>200</v>
      </c>
      <c r="F3829" s="2">
        <v>8400</v>
      </c>
      <c r="G3829" s="2"/>
    </row>
    <row r="3830" spans="1:7" x14ac:dyDescent="0.3">
      <c r="A3830" t="s">
        <v>1754</v>
      </c>
      <c r="B3830" t="s">
        <v>41</v>
      </c>
      <c r="C3830" t="s">
        <v>776</v>
      </c>
      <c r="D3830">
        <v>2017</v>
      </c>
      <c r="E3830" s="2">
        <v>50</v>
      </c>
      <c r="F3830" s="2">
        <v>2250</v>
      </c>
      <c r="G3830" s="2"/>
    </row>
    <row r="3831" spans="1:7" x14ac:dyDescent="0.3">
      <c r="A3831" t="s">
        <v>1754</v>
      </c>
      <c r="B3831" t="s">
        <v>41</v>
      </c>
      <c r="C3831" t="s">
        <v>63</v>
      </c>
      <c r="D3831">
        <v>2018</v>
      </c>
      <c r="E3831" s="2">
        <v>200</v>
      </c>
      <c r="F3831" s="2">
        <v>11000</v>
      </c>
      <c r="G3831" s="2">
        <v>11550</v>
      </c>
    </row>
    <row r="3832" spans="1:7" x14ac:dyDescent="0.3">
      <c r="A3832" t="s">
        <v>1754</v>
      </c>
      <c r="B3832" t="s">
        <v>995</v>
      </c>
      <c r="C3832" t="s">
        <v>672</v>
      </c>
      <c r="D3832">
        <v>2019</v>
      </c>
      <c r="E3832" s="2">
        <v>200</v>
      </c>
      <c r="F3832" s="2">
        <v>11000</v>
      </c>
      <c r="G3832" s="2">
        <v>11550</v>
      </c>
    </row>
    <row r="3833" spans="1:7" x14ac:dyDescent="0.3">
      <c r="A3833" t="s">
        <v>1754</v>
      </c>
      <c r="B3833" t="s">
        <v>68</v>
      </c>
      <c r="C3833" t="s">
        <v>69</v>
      </c>
      <c r="D3833">
        <v>2013</v>
      </c>
      <c r="E3833" s="2">
        <v>100</v>
      </c>
      <c r="F3833" s="2">
        <v>5500</v>
      </c>
      <c r="G3833" s="2"/>
    </row>
    <row r="3834" spans="1:7" x14ac:dyDescent="0.3">
      <c r="A3834" t="s">
        <v>1754</v>
      </c>
      <c r="B3834" t="s">
        <v>68</v>
      </c>
      <c r="C3834" t="s">
        <v>69</v>
      </c>
      <c r="D3834">
        <v>2014</v>
      </c>
      <c r="E3834" s="2">
        <v>400</v>
      </c>
      <c r="F3834" s="2">
        <v>14400</v>
      </c>
      <c r="G3834" s="2"/>
    </row>
    <row r="3835" spans="1:7" x14ac:dyDescent="0.3">
      <c r="A3835" t="s">
        <v>1754</v>
      </c>
      <c r="B3835" t="s">
        <v>68</v>
      </c>
      <c r="C3835" t="s">
        <v>69</v>
      </c>
      <c r="D3835">
        <v>2015</v>
      </c>
      <c r="E3835" s="2">
        <v>225</v>
      </c>
      <c r="F3835" s="2">
        <v>12375</v>
      </c>
      <c r="G3835" s="2"/>
    </row>
    <row r="3836" spans="1:7" x14ac:dyDescent="0.3">
      <c r="A3836" t="s">
        <v>1754</v>
      </c>
      <c r="B3836" t="s">
        <v>68</v>
      </c>
      <c r="C3836" t="s">
        <v>69</v>
      </c>
      <c r="D3836">
        <v>2016</v>
      </c>
      <c r="E3836" s="2">
        <v>25</v>
      </c>
      <c r="F3836" s="2">
        <v>1375</v>
      </c>
      <c r="G3836" s="2"/>
    </row>
    <row r="3837" spans="1:7" x14ac:dyDescent="0.3">
      <c r="A3837" t="s">
        <v>1754</v>
      </c>
      <c r="B3837" t="s">
        <v>68</v>
      </c>
      <c r="C3837" t="s">
        <v>69</v>
      </c>
      <c r="D3837">
        <v>2018</v>
      </c>
      <c r="E3837" s="2">
        <v>500</v>
      </c>
      <c r="F3837" s="2">
        <v>24700</v>
      </c>
      <c r="G3837" s="2">
        <v>25935</v>
      </c>
    </row>
    <row r="3838" spans="1:7" x14ac:dyDescent="0.3">
      <c r="A3838" t="s">
        <v>1754</v>
      </c>
      <c r="B3838" t="s">
        <v>68</v>
      </c>
      <c r="C3838" t="s">
        <v>69</v>
      </c>
      <c r="D3838">
        <v>2019</v>
      </c>
      <c r="E3838" s="2">
        <v>200</v>
      </c>
      <c r="F3838" s="2">
        <v>11000</v>
      </c>
      <c r="G3838" s="2">
        <v>11550</v>
      </c>
    </row>
    <row r="3839" spans="1:7" x14ac:dyDescent="0.3">
      <c r="A3839" t="s">
        <v>1754</v>
      </c>
      <c r="B3839" t="s">
        <v>68</v>
      </c>
      <c r="C3839" t="s">
        <v>69</v>
      </c>
      <c r="D3839">
        <v>2020</v>
      </c>
      <c r="E3839" s="2">
        <v>250</v>
      </c>
      <c r="F3839" s="2">
        <v>13750</v>
      </c>
      <c r="G3839" s="2">
        <v>14437.5</v>
      </c>
    </row>
    <row r="3840" spans="1:7" x14ac:dyDescent="0.3">
      <c r="A3840" t="s">
        <v>1754</v>
      </c>
      <c r="B3840" t="s">
        <v>1018</v>
      </c>
      <c r="D3840">
        <v>2011</v>
      </c>
      <c r="E3840" s="2">
        <v>50</v>
      </c>
      <c r="F3840" s="2">
        <v>2250</v>
      </c>
      <c r="G3840" s="2"/>
    </row>
    <row r="3841" spans="1:8" x14ac:dyDescent="0.3">
      <c r="A3841" t="s">
        <v>1754</v>
      </c>
      <c r="B3841" t="s">
        <v>1018</v>
      </c>
      <c r="D3841">
        <v>2012</v>
      </c>
      <c r="E3841" s="2">
        <v>5</v>
      </c>
      <c r="F3841" s="2">
        <v>225</v>
      </c>
      <c r="G3841" s="2"/>
    </row>
    <row r="3842" spans="1:8" x14ac:dyDescent="0.3">
      <c r="A3842" t="s">
        <v>1754</v>
      </c>
      <c r="B3842" t="s">
        <v>575</v>
      </c>
      <c r="C3842" t="s">
        <v>673</v>
      </c>
      <c r="D3842">
        <v>2021</v>
      </c>
      <c r="E3842" s="2">
        <v>50</v>
      </c>
      <c r="F3842" s="2">
        <v>2500</v>
      </c>
      <c r="G3842" s="2">
        <v>2625</v>
      </c>
      <c r="H3842" s="3" t="s">
        <v>1757</v>
      </c>
    </row>
    <row r="3843" spans="1:8" x14ac:dyDescent="0.3">
      <c r="A3843" t="s">
        <v>1754</v>
      </c>
      <c r="B3843" t="s">
        <v>473</v>
      </c>
      <c r="C3843" t="s">
        <v>747</v>
      </c>
      <c r="D3843">
        <v>2011</v>
      </c>
      <c r="E3843" s="2">
        <v>200</v>
      </c>
      <c r="F3843" s="2">
        <v>13100</v>
      </c>
      <c r="G3843" s="2"/>
    </row>
    <row r="3844" spans="1:8" x14ac:dyDescent="0.3">
      <c r="A3844" t="s">
        <v>1754</v>
      </c>
      <c r="B3844" t="s">
        <v>473</v>
      </c>
      <c r="C3844" t="s">
        <v>747</v>
      </c>
      <c r="D3844">
        <v>2013</v>
      </c>
      <c r="E3844" s="2">
        <v>300</v>
      </c>
      <c r="F3844" s="2">
        <v>17100</v>
      </c>
      <c r="G3844" s="2"/>
    </row>
    <row r="3845" spans="1:8" x14ac:dyDescent="0.3">
      <c r="A3845" t="s">
        <v>1754</v>
      </c>
      <c r="B3845" t="s">
        <v>36</v>
      </c>
      <c r="D3845">
        <v>2016</v>
      </c>
      <c r="E3845" s="2">
        <v>10</v>
      </c>
      <c r="F3845" s="2">
        <v>1100</v>
      </c>
      <c r="G3845" s="2"/>
    </row>
    <row r="3846" spans="1:8" x14ac:dyDescent="0.3">
      <c r="A3846" t="s">
        <v>1754</v>
      </c>
      <c r="B3846" t="s">
        <v>36</v>
      </c>
      <c r="D3846">
        <v>2018</v>
      </c>
      <c r="E3846" s="2">
        <v>210</v>
      </c>
      <c r="F3846" s="2">
        <v>13100</v>
      </c>
      <c r="G3846" s="2">
        <v>13755</v>
      </c>
    </row>
    <row r="3847" spans="1:8" x14ac:dyDescent="0.3">
      <c r="A3847" t="s">
        <v>1754</v>
      </c>
      <c r="B3847" t="s">
        <v>36</v>
      </c>
      <c r="D3847">
        <v>2020</v>
      </c>
      <c r="E3847" s="2">
        <v>10</v>
      </c>
      <c r="F3847" s="2">
        <v>1100</v>
      </c>
      <c r="G3847" s="2">
        <v>1155</v>
      </c>
    </row>
    <row r="3848" spans="1:8" x14ac:dyDescent="0.3">
      <c r="A3848" t="s">
        <v>1754</v>
      </c>
      <c r="B3848" t="s">
        <v>314</v>
      </c>
      <c r="C3848" t="s">
        <v>315</v>
      </c>
      <c r="D3848">
        <v>2017</v>
      </c>
      <c r="E3848" s="2">
        <v>25</v>
      </c>
      <c r="F3848" s="2">
        <v>1500</v>
      </c>
      <c r="G3848" s="2"/>
    </row>
    <row r="3849" spans="1:8" x14ac:dyDescent="0.3">
      <c r="A3849" t="s">
        <v>1754</v>
      </c>
      <c r="B3849" t="s">
        <v>314</v>
      </c>
      <c r="C3849" t="s">
        <v>315</v>
      </c>
      <c r="D3849">
        <v>2019</v>
      </c>
      <c r="E3849" s="2">
        <v>25</v>
      </c>
      <c r="F3849" s="2">
        <v>1500</v>
      </c>
      <c r="G3849" s="2">
        <v>1575</v>
      </c>
    </row>
    <row r="3850" spans="1:8" x14ac:dyDescent="0.3">
      <c r="A3850" t="s">
        <v>1754</v>
      </c>
      <c r="B3850" t="s">
        <v>425</v>
      </c>
      <c r="C3850" t="s">
        <v>426</v>
      </c>
      <c r="D3850">
        <v>2012</v>
      </c>
      <c r="E3850" s="2">
        <v>100</v>
      </c>
      <c r="F3850" s="2">
        <v>4200</v>
      </c>
      <c r="G3850" s="2"/>
    </row>
    <row r="3851" spans="1:8" x14ac:dyDescent="0.3">
      <c r="A3851" t="s">
        <v>1754</v>
      </c>
      <c r="B3851" t="s">
        <v>425</v>
      </c>
      <c r="C3851" t="s">
        <v>426</v>
      </c>
      <c r="D3851">
        <v>2013</v>
      </c>
      <c r="E3851" s="2">
        <v>100</v>
      </c>
      <c r="F3851" s="2">
        <v>4200</v>
      </c>
      <c r="G3851" s="2"/>
    </row>
    <row r="3852" spans="1:8" x14ac:dyDescent="0.3">
      <c r="A3852" t="s">
        <v>1754</v>
      </c>
      <c r="B3852" t="s">
        <v>46</v>
      </c>
      <c r="C3852" t="s">
        <v>47</v>
      </c>
      <c r="D3852">
        <v>2013</v>
      </c>
      <c r="E3852" s="2">
        <v>400</v>
      </c>
      <c r="F3852" s="2">
        <v>12000</v>
      </c>
      <c r="G3852" s="2"/>
    </row>
    <row r="3853" spans="1:8" x14ac:dyDescent="0.3">
      <c r="A3853" t="s">
        <v>1754</v>
      </c>
      <c r="B3853" t="s">
        <v>46</v>
      </c>
      <c r="C3853" t="s">
        <v>47</v>
      </c>
      <c r="D3853">
        <v>2014</v>
      </c>
      <c r="E3853" s="2">
        <v>695</v>
      </c>
      <c r="F3853" s="2">
        <v>21850</v>
      </c>
      <c r="G3853" s="2"/>
    </row>
    <row r="3854" spans="1:8" x14ac:dyDescent="0.3">
      <c r="A3854" t="s">
        <v>1754</v>
      </c>
      <c r="B3854" t="s">
        <v>46</v>
      </c>
      <c r="C3854" t="s">
        <v>47</v>
      </c>
      <c r="D3854">
        <v>2015</v>
      </c>
      <c r="E3854" s="2">
        <v>541.5</v>
      </c>
      <c r="F3854" s="2">
        <v>21160</v>
      </c>
      <c r="G3854" s="2"/>
    </row>
    <row r="3855" spans="1:8" x14ac:dyDescent="0.3">
      <c r="A3855" t="s">
        <v>1754</v>
      </c>
      <c r="B3855" t="s">
        <v>46</v>
      </c>
      <c r="C3855" t="s">
        <v>47</v>
      </c>
      <c r="D3855">
        <v>2016</v>
      </c>
      <c r="E3855" s="2">
        <v>900</v>
      </c>
      <c r="F3855" s="2">
        <v>36000</v>
      </c>
      <c r="G3855" s="2"/>
    </row>
    <row r="3856" spans="1:8" x14ac:dyDescent="0.3">
      <c r="A3856" t="s">
        <v>1754</v>
      </c>
      <c r="B3856" t="s">
        <v>46</v>
      </c>
      <c r="C3856" t="s">
        <v>47</v>
      </c>
      <c r="D3856">
        <v>2017</v>
      </c>
      <c r="E3856" s="2">
        <v>700</v>
      </c>
      <c r="F3856" s="2">
        <v>28000</v>
      </c>
      <c r="G3856" s="2"/>
    </row>
    <row r="3857" spans="1:8" x14ac:dyDescent="0.3">
      <c r="A3857" t="s">
        <v>1754</v>
      </c>
      <c r="B3857" t="s">
        <v>46</v>
      </c>
      <c r="C3857" t="s">
        <v>47</v>
      </c>
      <c r="D3857">
        <v>2018</v>
      </c>
      <c r="E3857" s="2">
        <v>500</v>
      </c>
      <c r="F3857" s="2">
        <v>20000</v>
      </c>
      <c r="G3857" s="2">
        <v>21000</v>
      </c>
    </row>
    <row r="3858" spans="1:8" x14ac:dyDescent="0.3">
      <c r="A3858" t="s">
        <v>1754</v>
      </c>
      <c r="B3858" t="s">
        <v>37</v>
      </c>
      <c r="D3858">
        <v>2019</v>
      </c>
      <c r="E3858" s="2">
        <v>25</v>
      </c>
      <c r="F3858" s="2">
        <v>1500</v>
      </c>
      <c r="G3858" s="2">
        <v>1575</v>
      </c>
    </row>
    <row r="3859" spans="1:8" x14ac:dyDescent="0.3">
      <c r="A3859" t="s">
        <v>1754</v>
      </c>
      <c r="B3859" t="s">
        <v>37</v>
      </c>
      <c r="D3859">
        <v>2020</v>
      </c>
      <c r="E3859" s="2">
        <v>30</v>
      </c>
      <c r="F3859" s="2">
        <v>1800</v>
      </c>
      <c r="G3859" s="2">
        <v>1890</v>
      </c>
    </row>
    <row r="3860" spans="1:8" x14ac:dyDescent="0.3">
      <c r="A3860" t="s">
        <v>1754</v>
      </c>
      <c r="B3860" t="s">
        <v>681</v>
      </c>
      <c r="C3860" t="s">
        <v>682</v>
      </c>
      <c r="D3860">
        <v>2020</v>
      </c>
      <c r="E3860" s="2">
        <v>175</v>
      </c>
      <c r="F3860" s="2">
        <v>10500</v>
      </c>
      <c r="G3860" s="2">
        <v>11025</v>
      </c>
    </row>
    <row r="3861" spans="1:8" x14ac:dyDescent="0.3">
      <c r="A3861" t="s">
        <v>1754</v>
      </c>
      <c r="B3861" t="s">
        <v>1758</v>
      </c>
      <c r="C3861" t="s">
        <v>1759</v>
      </c>
      <c r="D3861">
        <v>2019</v>
      </c>
      <c r="E3861" s="2">
        <v>50</v>
      </c>
      <c r="F3861" s="2">
        <v>3000</v>
      </c>
      <c r="G3861" s="2">
        <v>3150</v>
      </c>
    </row>
    <row r="3862" spans="1:8" x14ac:dyDescent="0.3">
      <c r="A3862" t="s">
        <v>1760</v>
      </c>
      <c r="B3862" t="s">
        <v>631</v>
      </c>
      <c r="C3862" t="s">
        <v>632</v>
      </c>
      <c r="D3862">
        <v>2016</v>
      </c>
      <c r="E3862" s="2">
        <v>25</v>
      </c>
      <c r="F3862" s="2">
        <v>2125</v>
      </c>
      <c r="G3862" s="2"/>
    </row>
    <row r="3863" spans="1:8" x14ac:dyDescent="0.3">
      <c r="A3863" t="s">
        <v>1760</v>
      </c>
      <c r="B3863" t="s">
        <v>631</v>
      </c>
      <c r="C3863" t="s">
        <v>632</v>
      </c>
      <c r="D3863">
        <v>2017</v>
      </c>
      <c r="E3863" s="2">
        <v>200</v>
      </c>
      <c r="F3863" s="2">
        <v>17000</v>
      </c>
      <c r="G3863" s="2"/>
    </row>
    <row r="3864" spans="1:8" x14ac:dyDescent="0.3">
      <c r="A3864" t="s">
        <v>1760</v>
      </c>
      <c r="B3864" t="s">
        <v>631</v>
      </c>
      <c r="C3864" t="s">
        <v>632</v>
      </c>
      <c r="D3864">
        <v>2018</v>
      </c>
      <c r="E3864" s="2">
        <v>50</v>
      </c>
      <c r="F3864" s="2">
        <v>4250</v>
      </c>
      <c r="G3864" s="2">
        <v>4462.5</v>
      </c>
    </row>
    <row r="3865" spans="1:8" x14ac:dyDescent="0.3">
      <c r="A3865" t="s">
        <v>1760</v>
      </c>
      <c r="B3865" t="s">
        <v>631</v>
      </c>
      <c r="C3865" t="s">
        <v>632</v>
      </c>
      <c r="D3865">
        <v>2019</v>
      </c>
      <c r="E3865" s="2">
        <v>25</v>
      </c>
      <c r="F3865" s="2">
        <v>2125</v>
      </c>
      <c r="G3865" s="2">
        <v>2231.25</v>
      </c>
    </row>
    <row r="3866" spans="1:8" x14ac:dyDescent="0.3">
      <c r="A3866" t="s">
        <v>1760</v>
      </c>
      <c r="B3866" t="s">
        <v>726</v>
      </c>
      <c r="C3866" t="s">
        <v>727</v>
      </c>
      <c r="D3866">
        <v>2016</v>
      </c>
      <c r="E3866" s="2">
        <v>24</v>
      </c>
      <c r="F3866" s="2">
        <v>2040</v>
      </c>
      <c r="G3866" s="2"/>
    </row>
    <row r="3867" spans="1:8" x14ac:dyDescent="0.3">
      <c r="A3867" t="s">
        <v>1760</v>
      </c>
      <c r="B3867" t="s">
        <v>184</v>
      </c>
      <c r="C3867" t="s">
        <v>185</v>
      </c>
      <c r="D3867">
        <v>2015</v>
      </c>
      <c r="E3867" s="2">
        <v>20</v>
      </c>
      <c r="F3867" s="2">
        <v>1800</v>
      </c>
      <c r="G3867" s="2"/>
    </row>
    <row r="3868" spans="1:8" x14ac:dyDescent="0.3">
      <c r="A3868" t="s">
        <v>1760</v>
      </c>
      <c r="B3868" t="s">
        <v>32</v>
      </c>
      <c r="D3868">
        <v>2019</v>
      </c>
      <c r="E3868" s="2">
        <v>20</v>
      </c>
      <c r="F3868" s="2">
        <v>1500</v>
      </c>
      <c r="G3868" s="2">
        <v>1575</v>
      </c>
    </row>
    <row r="3869" spans="1:8" x14ac:dyDescent="0.3">
      <c r="A3869" t="s">
        <v>1761</v>
      </c>
      <c r="B3869" t="s">
        <v>1762</v>
      </c>
      <c r="C3869" t="s">
        <v>1763</v>
      </c>
      <c r="D3869">
        <v>2016</v>
      </c>
      <c r="E3869" s="2">
        <v>25</v>
      </c>
      <c r="F3869" s="2">
        <v>850</v>
      </c>
      <c r="G3869" s="2"/>
      <c r="H3869" s="3" t="s">
        <v>14</v>
      </c>
    </row>
    <row r="3870" spans="1:8" x14ac:dyDescent="0.3">
      <c r="A3870" t="s">
        <v>1761</v>
      </c>
      <c r="B3870" t="s">
        <v>1762</v>
      </c>
      <c r="C3870" t="s">
        <v>1763</v>
      </c>
      <c r="D3870">
        <v>2019</v>
      </c>
      <c r="E3870" s="2">
        <v>250</v>
      </c>
      <c r="F3870" s="2">
        <v>12500</v>
      </c>
      <c r="G3870" s="2">
        <v>13125</v>
      </c>
      <c r="H3870" s="3" t="s">
        <v>14</v>
      </c>
    </row>
    <row r="3871" spans="1:8" x14ac:dyDescent="0.3">
      <c r="A3871" t="s">
        <v>1761</v>
      </c>
      <c r="B3871" t="s">
        <v>1762</v>
      </c>
      <c r="C3871" t="s">
        <v>1763</v>
      </c>
      <c r="D3871">
        <v>2020</v>
      </c>
      <c r="E3871" s="2">
        <v>500</v>
      </c>
      <c r="F3871" s="2">
        <v>26150</v>
      </c>
      <c r="G3871" s="2">
        <v>27457.5</v>
      </c>
      <c r="H3871" s="3" t="s">
        <v>14</v>
      </c>
    </row>
    <row r="3872" spans="1:8" x14ac:dyDescent="0.3">
      <c r="A3872" t="s">
        <v>1761</v>
      </c>
      <c r="B3872" t="s">
        <v>1762</v>
      </c>
      <c r="C3872" t="s">
        <v>1763</v>
      </c>
      <c r="D3872">
        <v>2021</v>
      </c>
      <c r="E3872" s="2">
        <v>300</v>
      </c>
      <c r="F3872" s="2">
        <v>16500</v>
      </c>
      <c r="G3872" s="2">
        <v>17325</v>
      </c>
      <c r="H3872" s="3" t="s">
        <v>14</v>
      </c>
    </row>
    <row r="3873" spans="1:8" x14ac:dyDescent="0.3">
      <c r="A3873" t="s">
        <v>1761</v>
      </c>
      <c r="B3873" t="s">
        <v>453</v>
      </c>
      <c r="D3873">
        <v>2019</v>
      </c>
      <c r="E3873" s="2">
        <v>5</v>
      </c>
      <c r="F3873" s="2">
        <v>475</v>
      </c>
      <c r="G3873" s="2">
        <v>498.75</v>
      </c>
    </row>
    <row r="3874" spans="1:8" x14ac:dyDescent="0.3">
      <c r="A3874" t="s">
        <v>1761</v>
      </c>
      <c r="B3874" t="s">
        <v>453</v>
      </c>
      <c r="D3874">
        <v>2020</v>
      </c>
      <c r="E3874" s="2">
        <v>5</v>
      </c>
      <c r="F3874" s="2">
        <v>475</v>
      </c>
      <c r="G3874" s="2">
        <v>498.75</v>
      </c>
    </row>
    <row r="3875" spans="1:8" x14ac:dyDescent="0.3">
      <c r="A3875" t="s">
        <v>1761</v>
      </c>
      <c r="B3875" t="s">
        <v>1764</v>
      </c>
      <c r="C3875" t="s">
        <v>1681</v>
      </c>
      <c r="D3875">
        <v>2019</v>
      </c>
      <c r="E3875" s="2">
        <v>200</v>
      </c>
      <c r="F3875" s="2">
        <v>15000</v>
      </c>
      <c r="G3875" s="2">
        <v>15750</v>
      </c>
    </row>
    <row r="3876" spans="1:8" x14ac:dyDescent="0.3">
      <c r="A3876" t="s">
        <v>1761</v>
      </c>
      <c r="B3876" t="s">
        <v>1764</v>
      </c>
      <c r="C3876" t="s">
        <v>1681</v>
      </c>
      <c r="D3876">
        <v>2020</v>
      </c>
      <c r="E3876" s="2">
        <v>295</v>
      </c>
      <c r="F3876" s="2">
        <v>22500</v>
      </c>
      <c r="G3876" s="2">
        <v>23625</v>
      </c>
    </row>
    <row r="3877" spans="1:8" x14ac:dyDescent="0.3">
      <c r="A3877" t="s">
        <v>1761</v>
      </c>
      <c r="B3877" t="s">
        <v>184</v>
      </c>
      <c r="C3877" t="s">
        <v>185</v>
      </c>
      <c r="D3877">
        <v>2014</v>
      </c>
      <c r="E3877" s="2">
        <v>50</v>
      </c>
      <c r="F3877" s="2">
        <v>3000</v>
      </c>
      <c r="G3877" s="2"/>
    </row>
    <row r="3878" spans="1:8" x14ac:dyDescent="0.3">
      <c r="A3878" t="s">
        <v>1761</v>
      </c>
      <c r="B3878" t="s">
        <v>184</v>
      </c>
      <c r="C3878" t="s">
        <v>185</v>
      </c>
      <c r="D3878">
        <v>2015</v>
      </c>
      <c r="E3878" s="2">
        <v>25</v>
      </c>
      <c r="F3878" s="2">
        <v>1500</v>
      </c>
      <c r="G3878" s="2"/>
    </row>
    <row r="3879" spans="1:8" x14ac:dyDescent="0.3">
      <c r="A3879" t="s">
        <v>1761</v>
      </c>
      <c r="B3879" t="s">
        <v>19</v>
      </c>
      <c r="C3879" t="s">
        <v>20</v>
      </c>
      <c r="D3879">
        <v>2016</v>
      </c>
      <c r="E3879" s="2">
        <v>2850</v>
      </c>
      <c r="F3879" s="2">
        <v>205200</v>
      </c>
      <c r="G3879" s="2"/>
      <c r="H3879" s="3" t="s">
        <v>14</v>
      </c>
    </row>
    <row r="3880" spans="1:8" x14ac:dyDescent="0.3">
      <c r="A3880" t="s">
        <v>1761</v>
      </c>
      <c r="B3880" t="s">
        <v>19</v>
      </c>
      <c r="C3880" t="s">
        <v>20</v>
      </c>
      <c r="D3880">
        <v>2017</v>
      </c>
      <c r="E3880" s="2">
        <v>3075</v>
      </c>
      <c r="F3880" s="2">
        <v>240025</v>
      </c>
      <c r="G3880" s="2"/>
      <c r="H3880" s="3" t="s">
        <v>14</v>
      </c>
    </row>
    <row r="3881" spans="1:8" x14ac:dyDescent="0.3">
      <c r="A3881" t="s">
        <v>1761</v>
      </c>
      <c r="B3881" t="s">
        <v>19</v>
      </c>
      <c r="C3881" t="s">
        <v>20</v>
      </c>
      <c r="D3881">
        <v>2018</v>
      </c>
      <c r="E3881" s="2">
        <v>2475</v>
      </c>
      <c r="F3881" s="2">
        <v>234800</v>
      </c>
      <c r="G3881" s="2">
        <v>246540</v>
      </c>
      <c r="H3881" s="3" t="s">
        <v>14</v>
      </c>
    </row>
    <row r="3882" spans="1:8" x14ac:dyDescent="0.3">
      <c r="A3882" t="s">
        <v>1761</v>
      </c>
      <c r="B3882" t="s">
        <v>19</v>
      </c>
      <c r="C3882" t="s">
        <v>20</v>
      </c>
      <c r="D3882">
        <v>2018</v>
      </c>
      <c r="E3882" s="2">
        <v>25</v>
      </c>
      <c r="F3882" s="2">
        <v>2375</v>
      </c>
      <c r="G3882" s="2">
        <v>2493.75</v>
      </c>
    </row>
    <row r="3883" spans="1:8" x14ac:dyDescent="0.3">
      <c r="A3883" t="s">
        <v>1761</v>
      </c>
      <c r="B3883" t="s">
        <v>19</v>
      </c>
      <c r="C3883" t="s">
        <v>20</v>
      </c>
      <c r="D3883">
        <v>2019</v>
      </c>
      <c r="E3883" s="2">
        <v>3150</v>
      </c>
      <c r="F3883" s="2">
        <v>352500</v>
      </c>
      <c r="G3883" s="2">
        <v>370125</v>
      </c>
      <c r="H3883" s="3" t="s">
        <v>14</v>
      </c>
    </row>
    <row r="3884" spans="1:8" x14ac:dyDescent="0.3">
      <c r="A3884" t="s">
        <v>1761</v>
      </c>
      <c r="B3884" t="s">
        <v>19</v>
      </c>
      <c r="C3884" t="s">
        <v>20</v>
      </c>
      <c r="D3884">
        <v>2020</v>
      </c>
      <c r="E3884" s="2">
        <v>1900</v>
      </c>
      <c r="F3884" s="2">
        <v>201800</v>
      </c>
      <c r="G3884" s="2">
        <v>211890</v>
      </c>
    </row>
    <row r="3885" spans="1:8" x14ac:dyDescent="0.3">
      <c r="A3885" t="s">
        <v>1761</v>
      </c>
      <c r="B3885" t="s">
        <v>19</v>
      </c>
      <c r="C3885" t="s">
        <v>20</v>
      </c>
      <c r="D3885">
        <v>2021</v>
      </c>
      <c r="E3885" s="2">
        <v>500</v>
      </c>
      <c r="F3885" s="2">
        <v>45000</v>
      </c>
      <c r="G3885" s="2">
        <v>47250</v>
      </c>
      <c r="H3885" s="3" t="s">
        <v>14</v>
      </c>
    </row>
    <row r="3886" spans="1:8" x14ac:dyDescent="0.3">
      <c r="A3886" t="s">
        <v>1761</v>
      </c>
      <c r="B3886" t="s">
        <v>1765</v>
      </c>
      <c r="C3886" t="s">
        <v>1766</v>
      </c>
      <c r="D3886">
        <v>2020</v>
      </c>
      <c r="E3886" s="2">
        <v>600</v>
      </c>
      <c r="F3886" s="2">
        <v>43200</v>
      </c>
      <c r="G3886" s="2">
        <v>45360</v>
      </c>
    </row>
    <row r="3887" spans="1:8" x14ac:dyDescent="0.3">
      <c r="A3887" t="s">
        <v>1761</v>
      </c>
      <c r="B3887" t="s">
        <v>64</v>
      </c>
      <c r="C3887" t="s">
        <v>65</v>
      </c>
      <c r="D3887">
        <v>2019</v>
      </c>
      <c r="E3887" s="2">
        <v>250</v>
      </c>
      <c r="F3887" s="2">
        <v>17500</v>
      </c>
      <c r="G3887" s="2">
        <v>18375</v>
      </c>
    </row>
    <row r="3888" spans="1:8" x14ac:dyDescent="0.3">
      <c r="A3888" t="s">
        <v>1761</v>
      </c>
      <c r="B3888" t="s">
        <v>64</v>
      </c>
      <c r="C3888" t="s">
        <v>65</v>
      </c>
      <c r="D3888">
        <v>2020</v>
      </c>
      <c r="E3888" s="2">
        <v>700</v>
      </c>
      <c r="F3888" s="2">
        <v>50000</v>
      </c>
      <c r="G3888" s="2">
        <v>52500</v>
      </c>
    </row>
    <row r="3889" spans="1:8" x14ac:dyDescent="0.3">
      <c r="A3889" t="s">
        <v>1761</v>
      </c>
      <c r="B3889" t="s">
        <v>867</v>
      </c>
      <c r="C3889" t="s">
        <v>868</v>
      </c>
      <c r="D3889">
        <v>2018</v>
      </c>
      <c r="E3889" s="2">
        <v>25</v>
      </c>
      <c r="F3889" s="2">
        <v>2625</v>
      </c>
      <c r="G3889" s="2">
        <v>2756.25</v>
      </c>
    </row>
    <row r="3890" spans="1:8" x14ac:dyDescent="0.3">
      <c r="A3890" t="s">
        <v>1761</v>
      </c>
      <c r="B3890" t="s">
        <v>1767</v>
      </c>
      <c r="D3890">
        <v>2019</v>
      </c>
      <c r="E3890" s="2">
        <v>25</v>
      </c>
      <c r="F3890" s="2">
        <v>1125</v>
      </c>
      <c r="G3890" s="2">
        <v>1181.25</v>
      </c>
      <c r="H3890" s="3" t="s">
        <v>1768</v>
      </c>
    </row>
    <row r="3891" spans="1:8" x14ac:dyDescent="0.3">
      <c r="A3891" t="s">
        <v>1761</v>
      </c>
      <c r="B3891" t="s">
        <v>1767</v>
      </c>
      <c r="D3891">
        <v>2020</v>
      </c>
      <c r="E3891" s="2">
        <v>500</v>
      </c>
      <c r="F3891" s="2">
        <v>25000</v>
      </c>
      <c r="G3891" s="2">
        <v>26250</v>
      </c>
      <c r="H3891" s="3" t="s">
        <v>1768</v>
      </c>
    </row>
    <row r="3892" spans="1:8" x14ac:dyDescent="0.3">
      <c r="A3892" t="s">
        <v>1761</v>
      </c>
      <c r="B3892" t="s">
        <v>1767</v>
      </c>
      <c r="D3892">
        <v>2021</v>
      </c>
      <c r="E3892" s="2">
        <v>200</v>
      </c>
      <c r="F3892" s="2">
        <v>10000</v>
      </c>
      <c r="G3892" s="2">
        <v>10500</v>
      </c>
      <c r="H3892" s="3" t="s">
        <v>1768</v>
      </c>
    </row>
    <row r="3893" spans="1:8" x14ac:dyDescent="0.3">
      <c r="A3893" t="s">
        <v>1761</v>
      </c>
      <c r="B3893" t="s">
        <v>913</v>
      </c>
      <c r="C3893" t="s">
        <v>914</v>
      </c>
      <c r="D3893">
        <v>2014</v>
      </c>
      <c r="E3893" s="2">
        <v>10</v>
      </c>
      <c r="F3893" s="2">
        <v>1000</v>
      </c>
      <c r="G3893" s="2"/>
    </row>
    <row r="3894" spans="1:8" x14ac:dyDescent="0.3">
      <c r="A3894" t="s">
        <v>1761</v>
      </c>
      <c r="B3894" t="s">
        <v>913</v>
      </c>
      <c r="C3894" t="s">
        <v>914</v>
      </c>
      <c r="D3894">
        <v>2015</v>
      </c>
      <c r="E3894" s="2">
        <v>20</v>
      </c>
      <c r="F3894" s="2">
        <v>2000</v>
      </c>
      <c r="G3894" s="2"/>
    </row>
    <row r="3895" spans="1:8" x14ac:dyDescent="0.3">
      <c r="A3895" t="s">
        <v>1761</v>
      </c>
      <c r="B3895" t="s">
        <v>913</v>
      </c>
      <c r="C3895" t="s">
        <v>914</v>
      </c>
      <c r="D3895">
        <v>2016</v>
      </c>
      <c r="E3895" s="2">
        <v>25</v>
      </c>
      <c r="F3895" s="2">
        <v>2500</v>
      </c>
      <c r="G3895" s="2"/>
    </row>
    <row r="3896" spans="1:8" x14ac:dyDescent="0.3">
      <c r="A3896" t="s">
        <v>1761</v>
      </c>
      <c r="B3896" t="s">
        <v>913</v>
      </c>
      <c r="C3896" t="s">
        <v>914</v>
      </c>
      <c r="D3896">
        <v>2017</v>
      </c>
      <c r="E3896" s="2">
        <v>25</v>
      </c>
      <c r="F3896" s="2">
        <v>2500</v>
      </c>
      <c r="G3896" s="2"/>
    </row>
    <row r="3897" spans="1:8" x14ac:dyDescent="0.3">
      <c r="A3897" t="s">
        <v>1761</v>
      </c>
      <c r="B3897" t="s">
        <v>913</v>
      </c>
      <c r="C3897" t="s">
        <v>914</v>
      </c>
      <c r="D3897">
        <v>2019</v>
      </c>
      <c r="E3897" s="2">
        <v>50</v>
      </c>
      <c r="F3897" s="2">
        <v>4875</v>
      </c>
      <c r="G3897" s="2">
        <v>5118.75</v>
      </c>
    </row>
    <row r="3898" spans="1:8" x14ac:dyDescent="0.3">
      <c r="A3898" t="s">
        <v>1761</v>
      </c>
      <c r="B3898" t="s">
        <v>913</v>
      </c>
      <c r="C3898" t="s">
        <v>914</v>
      </c>
      <c r="D3898">
        <v>2020</v>
      </c>
      <c r="E3898" s="2">
        <v>100</v>
      </c>
      <c r="F3898" s="2">
        <v>9500</v>
      </c>
      <c r="G3898" s="2">
        <v>9975</v>
      </c>
    </row>
    <row r="3899" spans="1:8" x14ac:dyDescent="0.3">
      <c r="A3899" t="s">
        <v>1761</v>
      </c>
      <c r="B3899" t="s">
        <v>46</v>
      </c>
      <c r="C3899" t="s">
        <v>47</v>
      </c>
      <c r="D3899">
        <v>2018</v>
      </c>
      <c r="E3899" s="2">
        <v>25</v>
      </c>
      <c r="F3899" s="2">
        <v>2375</v>
      </c>
      <c r="G3899" s="2">
        <v>2493.75</v>
      </c>
    </row>
    <row r="3900" spans="1:8" x14ac:dyDescent="0.3">
      <c r="A3900" t="s">
        <v>1761</v>
      </c>
      <c r="B3900" t="s">
        <v>841</v>
      </c>
      <c r="C3900" t="s">
        <v>169</v>
      </c>
      <c r="D3900">
        <v>2019</v>
      </c>
      <c r="E3900" s="2">
        <v>3</v>
      </c>
      <c r="F3900" s="2">
        <v>555</v>
      </c>
      <c r="G3900" s="2">
        <v>582.75</v>
      </c>
    </row>
    <row r="3901" spans="1:8" x14ac:dyDescent="0.3">
      <c r="A3901" t="s">
        <v>1761</v>
      </c>
      <c r="B3901" t="s">
        <v>841</v>
      </c>
      <c r="C3901" t="s">
        <v>169</v>
      </c>
      <c r="D3901">
        <v>2020</v>
      </c>
      <c r="E3901" s="2">
        <v>9</v>
      </c>
      <c r="F3901" s="2">
        <v>1665</v>
      </c>
      <c r="G3901" s="2">
        <v>1748.25</v>
      </c>
    </row>
    <row r="3902" spans="1:8" x14ac:dyDescent="0.3">
      <c r="A3902" t="s">
        <v>1761</v>
      </c>
      <c r="B3902" t="s">
        <v>1769</v>
      </c>
      <c r="C3902" t="s">
        <v>1770</v>
      </c>
      <c r="D3902">
        <v>2019</v>
      </c>
      <c r="E3902" s="2">
        <v>75</v>
      </c>
      <c r="F3902" s="2">
        <v>6375</v>
      </c>
      <c r="G3902" s="2">
        <v>6693.75</v>
      </c>
      <c r="H3902" s="3" t="s">
        <v>14</v>
      </c>
    </row>
    <row r="3903" spans="1:8" x14ac:dyDescent="0.3">
      <c r="A3903" t="s">
        <v>1761</v>
      </c>
      <c r="B3903" t="s">
        <v>1769</v>
      </c>
      <c r="C3903" t="s">
        <v>1770</v>
      </c>
      <c r="D3903">
        <v>2020</v>
      </c>
      <c r="E3903" s="2">
        <v>70</v>
      </c>
      <c r="F3903" s="2">
        <v>5950</v>
      </c>
      <c r="G3903" s="2">
        <v>6247.5</v>
      </c>
      <c r="H3903" s="3" t="s">
        <v>14</v>
      </c>
    </row>
    <row r="3904" spans="1:8" x14ac:dyDescent="0.3">
      <c r="A3904" t="s">
        <v>1761</v>
      </c>
      <c r="B3904" t="s">
        <v>1769</v>
      </c>
      <c r="C3904" t="s">
        <v>1770</v>
      </c>
      <c r="D3904">
        <v>2021</v>
      </c>
      <c r="E3904" s="2">
        <v>70</v>
      </c>
      <c r="F3904" s="2">
        <v>5950</v>
      </c>
      <c r="G3904" s="2">
        <v>6247.5</v>
      </c>
      <c r="H3904" s="3" t="s">
        <v>14</v>
      </c>
    </row>
    <row r="3905" spans="1:7" x14ac:dyDescent="0.3">
      <c r="A3905" t="s">
        <v>1771</v>
      </c>
      <c r="B3905" t="s">
        <v>543</v>
      </c>
      <c r="C3905" t="s">
        <v>544</v>
      </c>
      <c r="D3905">
        <v>2020</v>
      </c>
      <c r="E3905" s="2">
        <v>1</v>
      </c>
      <c r="F3905" s="2">
        <v>80</v>
      </c>
      <c r="G3905" s="2">
        <v>84</v>
      </c>
    </row>
    <row r="3906" spans="1:7" x14ac:dyDescent="0.3">
      <c r="A3906" t="s">
        <v>1772</v>
      </c>
      <c r="B3906" t="s">
        <v>905</v>
      </c>
      <c r="C3906" t="s">
        <v>906</v>
      </c>
      <c r="D3906">
        <v>2016</v>
      </c>
      <c r="E3906" s="2">
        <v>2</v>
      </c>
      <c r="F3906" s="2">
        <v>500</v>
      </c>
      <c r="G3906" s="2"/>
    </row>
    <row r="3907" spans="1:7" x14ac:dyDescent="0.3">
      <c r="A3907" t="s">
        <v>1773</v>
      </c>
      <c r="B3907" t="s">
        <v>1774</v>
      </c>
      <c r="C3907" t="s">
        <v>1775</v>
      </c>
      <c r="D3907">
        <v>2017</v>
      </c>
      <c r="E3907" s="2">
        <v>25</v>
      </c>
      <c r="F3907" s="2">
        <v>13125</v>
      </c>
      <c r="G3907" s="2"/>
    </row>
    <row r="3908" spans="1:7" x14ac:dyDescent="0.3">
      <c r="A3908" t="s">
        <v>1773</v>
      </c>
      <c r="B3908" t="s">
        <v>1776</v>
      </c>
      <c r="C3908" t="s">
        <v>394</v>
      </c>
      <c r="D3908">
        <v>2019</v>
      </c>
      <c r="E3908" s="2">
        <v>15</v>
      </c>
      <c r="F3908" s="2">
        <v>2670</v>
      </c>
      <c r="G3908" s="2">
        <v>2803.5</v>
      </c>
    </row>
    <row r="3909" spans="1:7" x14ac:dyDescent="0.3">
      <c r="A3909" t="s">
        <v>1773</v>
      </c>
      <c r="B3909" t="s">
        <v>626</v>
      </c>
      <c r="C3909" t="s">
        <v>582</v>
      </c>
      <c r="D3909">
        <v>2019</v>
      </c>
      <c r="E3909" s="2">
        <v>25</v>
      </c>
      <c r="F3909" s="2">
        <v>4750</v>
      </c>
      <c r="G3909" s="2">
        <v>4987.5</v>
      </c>
    </row>
    <row r="3910" spans="1:7" x14ac:dyDescent="0.3">
      <c r="A3910" t="s">
        <v>1773</v>
      </c>
      <c r="B3910" t="s">
        <v>1777</v>
      </c>
      <c r="C3910" t="s">
        <v>245</v>
      </c>
      <c r="D3910">
        <v>2019</v>
      </c>
      <c r="E3910" s="2">
        <v>30</v>
      </c>
      <c r="F3910" s="2">
        <v>7050</v>
      </c>
      <c r="G3910" s="2">
        <v>7402.5</v>
      </c>
    </row>
    <row r="3911" spans="1:7" x14ac:dyDescent="0.3">
      <c r="A3911" t="s">
        <v>1773</v>
      </c>
      <c r="B3911" t="s">
        <v>1778</v>
      </c>
      <c r="C3911" t="s">
        <v>1137</v>
      </c>
      <c r="D3911">
        <v>2017</v>
      </c>
      <c r="E3911" s="2">
        <v>10</v>
      </c>
      <c r="F3911" s="2">
        <v>9750</v>
      </c>
      <c r="G3911" s="2"/>
    </row>
    <row r="3912" spans="1:7" x14ac:dyDescent="0.3">
      <c r="A3912" t="s">
        <v>1773</v>
      </c>
      <c r="B3912" t="s">
        <v>1779</v>
      </c>
      <c r="C3912" t="s">
        <v>1780</v>
      </c>
      <c r="D3912">
        <v>2019</v>
      </c>
      <c r="E3912" s="2">
        <v>25</v>
      </c>
      <c r="F3912" s="2">
        <v>4875</v>
      </c>
      <c r="G3912" s="2">
        <v>5118.75</v>
      </c>
    </row>
    <row r="3913" spans="1:7" x14ac:dyDescent="0.3">
      <c r="A3913" t="s">
        <v>1773</v>
      </c>
      <c r="B3913" t="s">
        <v>1781</v>
      </c>
      <c r="C3913" t="s">
        <v>1782</v>
      </c>
      <c r="D3913">
        <v>2019</v>
      </c>
      <c r="E3913" s="2">
        <v>25</v>
      </c>
      <c r="F3913" s="2">
        <v>5125</v>
      </c>
      <c r="G3913" s="2">
        <v>5381.25</v>
      </c>
    </row>
    <row r="3914" spans="1:7" x14ac:dyDescent="0.3">
      <c r="A3914" t="s">
        <v>1773</v>
      </c>
      <c r="B3914" t="s">
        <v>58</v>
      </c>
      <c r="C3914" t="s">
        <v>59</v>
      </c>
      <c r="D3914">
        <v>2019</v>
      </c>
      <c r="E3914" s="2">
        <v>25</v>
      </c>
      <c r="F3914" s="2">
        <v>4750</v>
      </c>
      <c r="G3914" s="2">
        <v>4987.5</v>
      </c>
    </row>
    <row r="3915" spans="1:7" x14ac:dyDescent="0.3">
      <c r="A3915" t="s">
        <v>1773</v>
      </c>
      <c r="B3915" t="s">
        <v>400</v>
      </c>
      <c r="D3915">
        <v>2019</v>
      </c>
      <c r="E3915" s="2">
        <v>30</v>
      </c>
      <c r="F3915" s="2">
        <v>6450</v>
      </c>
      <c r="G3915" s="2">
        <v>6772.5</v>
      </c>
    </row>
    <row r="3916" spans="1:7" x14ac:dyDescent="0.3">
      <c r="A3916" t="s">
        <v>1773</v>
      </c>
      <c r="B3916" t="s">
        <v>411</v>
      </c>
      <c r="D3916">
        <v>2020</v>
      </c>
      <c r="E3916" s="2">
        <v>15</v>
      </c>
      <c r="F3916" s="2">
        <v>14700</v>
      </c>
      <c r="G3916" s="2">
        <v>15435</v>
      </c>
    </row>
    <row r="3917" spans="1:7" x14ac:dyDescent="0.3">
      <c r="A3917" t="s">
        <v>1773</v>
      </c>
      <c r="B3917" t="s">
        <v>600</v>
      </c>
      <c r="C3917" t="s">
        <v>75</v>
      </c>
      <c r="D3917">
        <v>2019</v>
      </c>
      <c r="E3917" s="2">
        <v>25</v>
      </c>
      <c r="F3917" s="2">
        <v>5250</v>
      </c>
      <c r="G3917" s="2">
        <v>5512.5</v>
      </c>
    </row>
    <row r="3918" spans="1:7" x14ac:dyDescent="0.3">
      <c r="A3918" t="s">
        <v>1783</v>
      </c>
      <c r="B3918" t="s">
        <v>696</v>
      </c>
      <c r="C3918" t="s">
        <v>697</v>
      </c>
      <c r="D3918">
        <v>2016</v>
      </c>
      <c r="E3918" s="2">
        <v>25</v>
      </c>
      <c r="F3918" s="2">
        <v>2000</v>
      </c>
      <c r="G3918" s="2"/>
    </row>
    <row r="3919" spans="1:7" x14ac:dyDescent="0.3">
      <c r="A3919" t="s">
        <v>1784</v>
      </c>
      <c r="B3919" t="s">
        <v>328</v>
      </c>
      <c r="C3919" t="s">
        <v>52</v>
      </c>
      <c r="D3919">
        <v>2014</v>
      </c>
      <c r="E3919" s="2">
        <v>10</v>
      </c>
      <c r="F3919" s="2">
        <v>2400</v>
      </c>
      <c r="G3919" s="2"/>
    </row>
    <row r="3920" spans="1:7" x14ac:dyDescent="0.3">
      <c r="A3920" t="s">
        <v>1784</v>
      </c>
      <c r="B3920" t="s">
        <v>1785</v>
      </c>
      <c r="C3920" t="s">
        <v>1786</v>
      </c>
      <c r="D3920">
        <v>2015</v>
      </c>
      <c r="E3920" s="2">
        <v>5</v>
      </c>
      <c r="F3920" s="2">
        <v>3850</v>
      </c>
      <c r="G3920" s="2"/>
    </row>
    <row r="3921" spans="1:7" x14ac:dyDescent="0.3">
      <c r="A3921" t="s">
        <v>1784</v>
      </c>
      <c r="B3921" t="s">
        <v>1785</v>
      </c>
      <c r="C3921" t="s">
        <v>1786</v>
      </c>
      <c r="D3921">
        <v>2016</v>
      </c>
      <c r="E3921" s="2">
        <v>10</v>
      </c>
      <c r="F3921" s="2">
        <v>7700</v>
      </c>
      <c r="G3921" s="2"/>
    </row>
    <row r="3922" spans="1:7" x14ac:dyDescent="0.3">
      <c r="A3922" t="s">
        <v>1784</v>
      </c>
      <c r="B3922" t="s">
        <v>82</v>
      </c>
      <c r="C3922" t="s">
        <v>83</v>
      </c>
      <c r="D3922">
        <v>2013</v>
      </c>
      <c r="E3922" s="2">
        <v>30</v>
      </c>
      <c r="F3922" s="2">
        <v>15900</v>
      </c>
      <c r="G3922" s="2"/>
    </row>
    <row r="3923" spans="1:7" x14ac:dyDescent="0.3">
      <c r="A3923" t="s">
        <v>1784</v>
      </c>
      <c r="B3923" t="s">
        <v>82</v>
      </c>
      <c r="C3923" t="s">
        <v>83</v>
      </c>
      <c r="D3923">
        <v>2014</v>
      </c>
      <c r="E3923" s="2">
        <v>10</v>
      </c>
      <c r="F3923" s="2">
        <v>5300</v>
      </c>
      <c r="G3923" s="2"/>
    </row>
    <row r="3924" spans="1:7" x14ac:dyDescent="0.3">
      <c r="A3924" t="s">
        <v>1784</v>
      </c>
      <c r="B3924" t="s">
        <v>82</v>
      </c>
      <c r="C3924" t="s">
        <v>83</v>
      </c>
      <c r="D3924">
        <v>2015</v>
      </c>
      <c r="E3924" s="2">
        <v>10</v>
      </c>
      <c r="F3924" s="2">
        <v>5300</v>
      </c>
      <c r="G3924" s="2"/>
    </row>
    <row r="3925" spans="1:7" x14ac:dyDescent="0.3">
      <c r="A3925" t="s">
        <v>1784</v>
      </c>
      <c r="B3925" t="s">
        <v>82</v>
      </c>
      <c r="C3925" t="s">
        <v>83</v>
      </c>
      <c r="D3925">
        <v>2016</v>
      </c>
      <c r="E3925" s="2">
        <v>10</v>
      </c>
      <c r="F3925" s="2">
        <v>5300</v>
      </c>
      <c r="G3925" s="2"/>
    </row>
    <row r="3926" spans="1:7" x14ac:dyDescent="0.3">
      <c r="A3926" t="s">
        <v>1784</v>
      </c>
      <c r="B3926" t="s">
        <v>82</v>
      </c>
      <c r="C3926" t="s">
        <v>83</v>
      </c>
      <c r="D3926">
        <v>2017</v>
      </c>
      <c r="E3926" s="2">
        <v>15</v>
      </c>
      <c r="F3926" s="2">
        <v>7950</v>
      </c>
      <c r="G3926" s="2"/>
    </row>
    <row r="3927" spans="1:7" x14ac:dyDescent="0.3">
      <c r="A3927" t="s">
        <v>1784</v>
      </c>
      <c r="B3927" t="s">
        <v>1787</v>
      </c>
      <c r="C3927" t="s">
        <v>1788</v>
      </c>
      <c r="D3927">
        <v>2013</v>
      </c>
      <c r="E3927" s="2">
        <v>20</v>
      </c>
      <c r="F3927" s="2">
        <v>7000</v>
      </c>
      <c r="G3927" s="2"/>
    </row>
    <row r="3928" spans="1:7" x14ac:dyDescent="0.3">
      <c r="A3928" t="s">
        <v>1784</v>
      </c>
      <c r="B3928" t="s">
        <v>84</v>
      </c>
      <c r="C3928" t="s">
        <v>85</v>
      </c>
      <c r="D3928">
        <v>2015</v>
      </c>
      <c r="E3928" s="2">
        <v>25</v>
      </c>
      <c r="F3928" s="2">
        <v>4375</v>
      </c>
      <c r="G3928" s="2"/>
    </row>
    <row r="3929" spans="1:7" x14ac:dyDescent="0.3">
      <c r="A3929" t="s">
        <v>1784</v>
      </c>
      <c r="B3929" t="s">
        <v>581</v>
      </c>
      <c r="C3929" t="s">
        <v>582</v>
      </c>
      <c r="D3929">
        <v>2014</v>
      </c>
      <c r="E3929" s="2">
        <v>220</v>
      </c>
      <c r="F3929" s="2">
        <v>46400</v>
      </c>
      <c r="G3929" s="2"/>
    </row>
    <row r="3930" spans="1:7" x14ac:dyDescent="0.3">
      <c r="A3930" t="s">
        <v>1784</v>
      </c>
      <c r="B3930" t="s">
        <v>55</v>
      </c>
      <c r="D3930">
        <v>2018</v>
      </c>
      <c r="E3930" s="2">
        <v>5</v>
      </c>
      <c r="F3930" s="2">
        <v>1450</v>
      </c>
      <c r="G3930" s="2">
        <v>1522.5</v>
      </c>
    </row>
    <row r="3931" spans="1:7" x14ac:dyDescent="0.3">
      <c r="A3931" t="s">
        <v>1784</v>
      </c>
      <c r="B3931" t="s">
        <v>219</v>
      </c>
      <c r="C3931" t="s">
        <v>220</v>
      </c>
      <c r="D3931">
        <v>2016</v>
      </c>
      <c r="E3931" s="2">
        <v>5</v>
      </c>
      <c r="F3931" s="2">
        <v>1000</v>
      </c>
      <c r="G3931" s="2"/>
    </row>
    <row r="3932" spans="1:7" x14ac:dyDescent="0.3">
      <c r="A3932" t="s">
        <v>1784</v>
      </c>
      <c r="B3932" t="s">
        <v>219</v>
      </c>
      <c r="C3932" t="s">
        <v>220</v>
      </c>
      <c r="D3932">
        <v>2017</v>
      </c>
      <c r="E3932" s="2">
        <v>10</v>
      </c>
      <c r="F3932" s="2">
        <v>2000</v>
      </c>
      <c r="G3932" s="2"/>
    </row>
    <row r="3933" spans="1:7" x14ac:dyDescent="0.3">
      <c r="A3933" t="s">
        <v>1784</v>
      </c>
      <c r="B3933" t="s">
        <v>219</v>
      </c>
      <c r="C3933" t="s">
        <v>220</v>
      </c>
      <c r="D3933">
        <v>2018</v>
      </c>
      <c r="E3933" s="2">
        <v>15</v>
      </c>
      <c r="F3933" s="2">
        <v>3000</v>
      </c>
      <c r="G3933" s="2">
        <v>3150</v>
      </c>
    </row>
    <row r="3934" spans="1:7" x14ac:dyDescent="0.3">
      <c r="A3934" t="s">
        <v>1784</v>
      </c>
      <c r="B3934" t="s">
        <v>219</v>
      </c>
      <c r="C3934" t="s">
        <v>220</v>
      </c>
      <c r="D3934">
        <v>2019</v>
      </c>
      <c r="E3934" s="2">
        <v>3</v>
      </c>
      <c r="F3934" s="2">
        <v>600</v>
      </c>
      <c r="G3934" s="2">
        <v>630</v>
      </c>
    </row>
    <row r="3935" spans="1:7" x14ac:dyDescent="0.3">
      <c r="A3935" t="s">
        <v>1784</v>
      </c>
      <c r="B3935" t="s">
        <v>591</v>
      </c>
      <c r="C3935" t="s">
        <v>592</v>
      </c>
      <c r="D3935">
        <v>2020</v>
      </c>
      <c r="E3935" s="2">
        <v>2</v>
      </c>
      <c r="F3935" s="2">
        <v>400</v>
      </c>
      <c r="G3935" s="2">
        <v>420</v>
      </c>
    </row>
    <row r="3936" spans="1:7" x14ac:dyDescent="0.3">
      <c r="A3936" t="s">
        <v>1784</v>
      </c>
      <c r="B3936" t="s">
        <v>1789</v>
      </c>
      <c r="C3936" t="s">
        <v>1790</v>
      </c>
      <c r="D3936">
        <v>2015</v>
      </c>
      <c r="E3936" s="2">
        <v>15</v>
      </c>
      <c r="F3936" s="2">
        <v>4650</v>
      </c>
      <c r="G3936" s="2"/>
    </row>
    <row r="3937" spans="1:7" x14ac:dyDescent="0.3">
      <c r="A3937" t="s">
        <v>1784</v>
      </c>
      <c r="B3937" t="s">
        <v>395</v>
      </c>
      <c r="D3937">
        <v>2018</v>
      </c>
      <c r="E3937" s="2">
        <v>1</v>
      </c>
      <c r="F3937" s="2">
        <v>260</v>
      </c>
      <c r="G3937" s="2">
        <v>273</v>
      </c>
    </row>
    <row r="3938" spans="1:7" x14ac:dyDescent="0.3">
      <c r="A3938" t="s">
        <v>1784</v>
      </c>
      <c r="B3938" t="s">
        <v>1791</v>
      </c>
      <c r="C3938" t="s">
        <v>1792</v>
      </c>
      <c r="D3938">
        <v>2013</v>
      </c>
      <c r="E3938" s="2">
        <v>10</v>
      </c>
      <c r="F3938" s="2">
        <v>2750</v>
      </c>
      <c r="G3938" s="2"/>
    </row>
    <row r="3939" spans="1:7" x14ac:dyDescent="0.3">
      <c r="A3939" t="s">
        <v>1784</v>
      </c>
      <c r="B3939" t="s">
        <v>90</v>
      </c>
      <c r="C3939" t="s">
        <v>91</v>
      </c>
      <c r="D3939">
        <v>2016</v>
      </c>
      <c r="E3939" s="2">
        <v>10</v>
      </c>
      <c r="F3939" s="2">
        <v>6300</v>
      </c>
      <c r="G3939" s="2"/>
    </row>
    <row r="3940" spans="1:7" x14ac:dyDescent="0.3">
      <c r="A3940" t="s">
        <v>1784</v>
      </c>
      <c r="B3940" t="s">
        <v>359</v>
      </c>
      <c r="C3940" t="s">
        <v>399</v>
      </c>
      <c r="D3940">
        <v>2016</v>
      </c>
      <c r="E3940" s="2">
        <v>1</v>
      </c>
      <c r="F3940" s="2">
        <v>200</v>
      </c>
      <c r="G3940" s="2"/>
    </row>
    <row r="3941" spans="1:7" x14ac:dyDescent="0.3">
      <c r="A3941" t="s">
        <v>1784</v>
      </c>
      <c r="B3941" t="s">
        <v>251</v>
      </c>
      <c r="C3941" t="s">
        <v>207</v>
      </c>
      <c r="D3941">
        <v>2018</v>
      </c>
      <c r="E3941" s="2">
        <v>1</v>
      </c>
      <c r="F3941" s="2">
        <v>180</v>
      </c>
      <c r="G3941" s="2">
        <v>189</v>
      </c>
    </row>
    <row r="3942" spans="1:7" x14ac:dyDescent="0.3">
      <c r="A3942" t="s">
        <v>1784</v>
      </c>
      <c r="B3942" t="s">
        <v>251</v>
      </c>
      <c r="C3942" t="s">
        <v>207</v>
      </c>
      <c r="D3942">
        <v>2019</v>
      </c>
      <c r="E3942" s="2">
        <v>3</v>
      </c>
      <c r="F3942" s="2">
        <v>540</v>
      </c>
      <c r="G3942" s="2">
        <v>567</v>
      </c>
    </row>
    <row r="3943" spans="1:7" x14ac:dyDescent="0.3">
      <c r="A3943" t="s">
        <v>1784</v>
      </c>
      <c r="B3943" t="s">
        <v>612</v>
      </c>
      <c r="C3943" t="s">
        <v>613</v>
      </c>
      <c r="D3943">
        <v>2018</v>
      </c>
      <c r="E3943" s="2">
        <v>5</v>
      </c>
      <c r="F3943" s="2">
        <v>1350</v>
      </c>
      <c r="G3943" s="2">
        <v>1417.5</v>
      </c>
    </row>
    <row r="3944" spans="1:7" x14ac:dyDescent="0.3">
      <c r="A3944" t="s">
        <v>1784</v>
      </c>
      <c r="B3944" t="s">
        <v>1544</v>
      </c>
      <c r="C3944" t="s">
        <v>102</v>
      </c>
      <c r="D3944">
        <v>2015</v>
      </c>
      <c r="E3944" s="2">
        <v>50</v>
      </c>
      <c r="F3944" s="2">
        <v>31000</v>
      </c>
      <c r="G3944" s="2"/>
    </row>
    <row r="3945" spans="1:7" x14ac:dyDescent="0.3">
      <c r="A3945" t="s">
        <v>1784</v>
      </c>
      <c r="B3945" t="s">
        <v>1544</v>
      </c>
      <c r="C3945" t="s">
        <v>102</v>
      </c>
      <c r="D3945">
        <v>2016</v>
      </c>
      <c r="E3945" s="2">
        <v>50</v>
      </c>
      <c r="F3945" s="2">
        <v>31000</v>
      </c>
      <c r="G3945" s="2"/>
    </row>
    <row r="3946" spans="1:7" x14ac:dyDescent="0.3">
      <c r="A3946" t="s">
        <v>1784</v>
      </c>
      <c r="B3946" t="s">
        <v>1544</v>
      </c>
      <c r="C3946" t="s">
        <v>102</v>
      </c>
      <c r="D3946">
        <v>2017</v>
      </c>
      <c r="E3946" s="2">
        <v>25</v>
      </c>
      <c r="F3946" s="2">
        <v>15500</v>
      </c>
      <c r="G3946" s="2"/>
    </row>
    <row r="3947" spans="1:7" x14ac:dyDescent="0.3">
      <c r="A3947" t="s">
        <v>1784</v>
      </c>
      <c r="B3947" t="s">
        <v>514</v>
      </c>
      <c r="C3947" t="s">
        <v>515</v>
      </c>
      <c r="D3947">
        <v>2014</v>
      </c>
      <c r="E3947" s="2">
        <v>35</v>
      </c>
      <c r="F3947" s="2">
        <v>8400</v>
      </c>
      <c r="G3947" s="2"/>
    </row>
    <row r="3948" spans="1:7" x14ac:dyDescent="0.3">
      <c r="A3948" t="s">
        <v>1784</v>
      </c>
      <c r="B3948" t="s">
        <v>514</v>
      </c>
      <c r="C3948" t="s">
        <v>515</v>
      </c>
      <c r="D3948">
        <v>2019</v>
      </c>
      <c r="E3948" s="2">
        <v>14</v>
      </c>
      <c r="F3948" s="2">
        <v>2520</v>
      </c>
      <c r="G3948" s="2">
        <v>2646</v>
      </c>
    </row>
    <row r="3949" spans="1:7" x14ac:dyDescent="0.3">
      <c r="A3949" t="s">
        <v>1784</v>
      </c>
      <c r="B3949" t="s">
        <v>514</v>
      </c>
      <c r="C3949" t="s">
        <v>515</v>
      </c>
      <c r="D3949">
        <v>2020</v>
      </c>
      <c r="E3949" s="2">
        <v>9</v>
      </c>
      <c r="F3949" s="2">
        <v>1620</v>
      </c>
      <c r="G3949" s="2">
        <v>1701</v>
      </c>
    </row>
    <row r="3950" spans="1:7" x14ac:dyDescent="0.3">
      <c r="A3950" t="s">
        <v>1784</v>
      </c>
      <c r="B3950" t="s">
        <v>516</v>
      </c>
      <c r="D3950">
        <v>2018</v>
      </c>
      <c r="E3950" s="2">
        <v>5</v>
      </c>
      <c r="F3950" s="2">
        <v>1300</v>
      </c>
      <c r="G3950" s="2">
        <v>1365</v>
      </c>
    </row>
    <row r="3951" spans="1:7" x14ac:dyDescent="0.3">
      <c r="A3951" t="s">
        <v>1784</v>
      </c>
      <c r="B3951" t="s">
        <v>516</v>
      </c>
      <c r="D3951">
        <v>2019</v>
      </c>
      <c r="E3951" s="2">
        <v>2</v>
      </c>
      <c r="F3951" s="2">
        <v>520</v>
      </c>
      <c r="G3951" s="2">
        <v>546</v>
      </c>
    </row>
    <row r="3952" spans="1:7" x14ac:dyDescent="0.3">
      <c r="A3952" t="s">
        <v>1784</v>
      </c>
      <c r="B3952" t="s">
        <v>516</v>
      </c>
      <c r="D3952">
        <v>2020</v>
      </c>
      <c r="E3952" s="2">
        <v>3</v>
      </c>
      <c r="F3952" s="2">
        <v>780</v>
      </c>
      <c r="G3952" s="2">
        <v>819</v>
      </c>
    </row>
    <row r="3953" spans="1:7" x14ac:dyDescent="0.3">
      <c r="A3953" t="s">
        <v>1784</v>
      </c>
      <c r="B3953" t="s">
        <v>103</v>
      </c>
      <c r="C3953" t="s">
        <v>104</v>
      </c>
      <c r="D3953">
        <v>2016</v>
      </c>
      <c r="E3953" s="2">
        <v>1</v>
      </c>
      <c r="F3953" s="2">
        <v>240</v>
      </c>
      <c r="G3953" s="2"/>
    </row>
    <row r="3954" spans="1:7" x14ac:dyDescent="0.3">
      <c r="A3954" t="s">
        <v>1784</v>
      </c>
      <c r="B3954" t="s">
        <v>1793</v>
      </c>
      <c r="C3954" t="s">
        <v>1794</v>
      </c>
      <c r="D3954">
        <v>2015</v>
      </c>
      <c r="E3954" s="2">
        <v>1</v>
      </c>
      <c r="F3954" s="2">
        <v>300</v>
      </c>
      <c r="G3954" s="2"/>
    </row>
    <row r="3955" spans="1:7" x14ac:dyDescent="0.3">
      <c r="A3955" t="s">
        <v>1784</v>
      </c>
      <c r="B3955" t="s">
        <v>1065</v>
      </c>
      <c r="C3955" t="s">
        <v>1795</v>
      </c>
      <c r="D3955">
        <v>2013</v>
      </c>
      <c r="E3955" s="2">
        <v>5</v>
      </c>
      <c r="F3955" s="2">
        <v>1200</v>
      </c>
      <c r="G3955" s="2"/>
    </row>
    <row r="3956" spans="1:7" x14ac:dyDescent="0.3">
      <c r="A3956" t="s">
        <v>1784</v>
      </c>
      <c r="B3956" t="s">
        <v>1709</v>
      </c>
      <c r="C3956" t="s">
        <v>1710</v>
      </c>
      <c r="D3956">
        <v>2013</v>
      </c>
      <c r="E3956" s="2">
        <v>10</v>
      </c>
      <c r="F3956" s="2">
        <v>2780</v>
      </c>
      <c r="G3956" s="2"/>
    </row>
    <row r="3957" spans="1:7" x14ac:dyDescent="0.3">
      <c r="A3957" t="s">
        <v>1784</v>
      </c>
      <c r="B3957" t="s">
        <v>745</v>
      </c>
      <c r="C3957" t="s">
        <v>1796</v>
      </c>
      <c r="D3957">
        <v>2016</v>
      </c>
      <c r="E3957" s="2">
        <v>1</v>
      </c>
      <c r="F3957" s="2">
        <v>200</v>
      </c>
      <c r="G3957" s="2"/>
    </row>
    <row r="3958" spans="1:7" x14ac:dyDescent="0.3">
      <c r="A3958" t="s">
        <v>1784</v>
      </c>
      <c r="B3958" t="s">
        <v>1797</v>
      </c>
      <c r="C3958" t="s">
        <v>1798</v>
      </c>
      <c r="D3958">
        <v>2014</v>
      </c>
      <c r="E3958" s="2">
        <v>5</v>
      </c>
      <c r="F3958" s="2">
        <v>1400</v>
      </c>
      <c r="G3958" s="2"/>
    </row>
    <row r="3959" spans="1:7" x14ac:dyDescent="0.3">
      <c r="A3959" t="s">
        <v>1784</v>
      </c>
      <c r="B3959" t="s">
        <v>125</v>
      </c>
      <c r="D3959">
        <v>2018</v>
      </c>
      <c r="E3959" s="2">
        <v>5</v>
      </c>
      <c r="F3959" s="2">
        <v>1650</v>
      </c>
      <c r="G3959" s="2">
        <v>1732.5</v>
      </c>
    </row>
    <row r="3960" spans="1:7" x14ac:dyDescent="0.3">
      <c r="A3960" t="s">
        <v>1784</v>
      </c>
      <c r="B3960" t="s">
        <v>1361</v>
      </c>
      <c r="C3960" t="s">
        <v>399</v>
      </c>
      <c r="D3960">
        <v>2016</v>
      </c>
      <c r="E3960" s="2">
        <v>1</v>
      </c>
      <c r="F3960" s="2">
        <v>240</v>
      </c>
      <c r="G3960" s="2"/>
    </row>
    <row r="3961" spans="1:7" x14ac:dyDescent="0.3">
      <c r="A3961" t="s">
        <v>1784</v>
      </c>
      <c r="B3961" t="s">
        <v>1587</v>
      </c>
      <c r="C3961" t="s">
        <v>1588</v>
      </c>
      <c r="D3961">
        <v>2013</v>
      </c>
      <c r="E3961" s="2">
        <v>10</v>
      </c>
      <c r="F3961" s="2">
        <v>4800</v>
      </c>
      <c r="G3961" s="2"/>
    </row>
    <row r="3962" spans="1:7" x14ac:dyDescent="0.3">
      <c r="A3962" t="s">
        <v>1784</v>
      </c>
      <c r="B3962" t="s">
        <v>1363</v>
      </c>
      <c r="C3962" t="s">
        <v>1364</v>
      </c>
      <c r="D3962">
        <v>2015</v>
      </c>
      <c r="E3962" s="2">
        <v>10</v>
      </c>
      <c r="F3962" s="2">
        <v>2300</v>
      </c>
      <c r="G3962" s="2"/>
    </row>
    <row r="3963" spans="1:7" x14ac:dyDescent="0.3">
      <c r="A3963" t="s">
        <v>1784</v>
      </c>
      <c r="B3963" t="s">
        <v>139</v>
      </c>
      <c r="D3963">
        <v>2018</v>
      </c>
      <c r="E3963" s="2">
        <v>5</v>
      </c>
      <c r="F3963" s="2">
        <v>1200</v>
      </c>
      <c r="G3963" s="2">
        <v>1260</v>
      </c>
    </row>
    <row r="3964" spans="1:7" x14ac:dyDescent="0.3">
      <c r="A3964" t="s">
        <v>1784</v>
      </c>
      <c r="B3964" t="s">
        <v>142</v>
      </c>
      <c r="C3964" t="s">
        <v>143</v>
      </c>
      <c r="D3964">
        <v>2017</v>
      </c>
      <c r="E3964" s="2">
        <v>10</v>
      </c>
      <c r="F3964" s="2">
        <v>2400</v>
      </c>
      <c r="G3964" s="2"/>
    </row>
    <row r="3965" spans="1:7" x14ac:dyDescent="0.3">
      <c r="A3965" t="s">
        <v>1784</v>
      </c>
      <c r="B3965" t="s">
        <v>196</v>
      </c>
      <c r="C3965" t="s">
        <v>197</v>
      </c>
      <c r="D3965">
        <v>2012</v>
      </c>
      <c r="E3965" s="2">
        <v>6</v>
      </c>
      <c r="F3965" s="2">
        <v>1650</v>
      </c>
      <c r="G3965" s="2"/>
    </row>
    <row r="3966" spans="1:7" x14ac:dyDescent="0.3">
      <c r="A3966" t="s">
        <v>1784</v>
      </c>
      <c r="B3966" t="s">
        <v>196</v>
      </c>
      <c r="C3966" t="s">
        <v>197</v>
      </c>
      <c r="D3966">
        <v>2013</v>
      </c>
      <c r="E3966" s="2">
        <v>25</v>
      </c>
      <c r="F3966" s="2">
        <v>6875</v>
      </c>
      <c r="G3966" s="2"/>
    </row>
    <row r="3967" spans="1:7" x14ac:dyDescent="0.3">
      <c r="A3967" t="s">
        <v>1784</v>
      </c>
      <c r="B3967" t="s">
        <v>196</v>
      </c>
      <c r="C3967" t="s">
        <v>197</v>
      </c>
      <c r="D3967">
        <v>2015</v>
      </c>
      <c r="E3967" s="2">
        <v>25</v>
      </c>
      <c r="F3967" s="2">
        <v>6875</v>
      </c>
      <c r="G3967" s="2"/>
    </row>
    <row r="3968" spans="1:7" x14ac:dyDescent="0.3">
      <c r="A3968" t="s">
        <v>1784</v>
      </c>
      <c r="B3968" t="s">
        <v>412</v>
      </c>
      <c r="C3968" t="s">
        <v>413</v>
      </c>
      <c r="D3968">
        <v>2016</v>
      </c>
      <c r="E3968" s="2">
        <v>10</v>
      </c>
      <c r="F3968" s="2">
        <v>2200</v>
      </c>
      <c r="G3968" s="2"/>
    </row>
    <row r="3969" spans="1:7" x14ac:dyDescent="0.3">
      <c r="A3969" t="s">
        <v>1784</v>
      </c>
      <c r="B3969" t="s">
        <v>412</v>
      </c>
      <c r="C3969" t="s">
        <v>413</v>
      </c>
      <c r="D3969">
        <v>2017</v>
      </c>
      <c r="E3969" s="2">
        <v>17</v>
      </c>
      <c r="F3969" s="2">
        <v>3696</v>
      </c>
      <c r="G3969" s="2"/>
    </row>
    <row r="3970" spans="1:7" x14ac:dyDescent="0.3">
      <c r="A3970" t="s">
        <v>1784</v>
      </c>
      <c r="B3970" t="s">
        <v>72</v>
      </c>
      <c r="C3970" t="s">
        <v>73</v>
      </c>
      <c r="D3970">
        <v>2013</v>
      </c>
      <c r="E3970" s="2">
        <v>15</v>
      </c>
      <c r="F3970" s="2">
        <v>7500</v>
      </c>
      <c r="G3970" s="2"/>
    </row>
    <row r="3971" spans="1:7" x14ac:dyDescent="0.3">
      <c r="A3971" t="s">
        <v>1784</v>
      </c>
      <c r="B3971" t="s">
        <v>318</v>
      </c>
      <c r="C3971" t="s">
        <v>319</v>
      </c>
      <c r="D3971">
        <v>2018</v>
      </c>
      <c r="E3971" s="2">
        <v>5</v>
      </c>
      <c r="F3971" s="2">
        <v>900</v>
      </c>
      <c r="G3971" s="2">
        <v>945</v>
      </c>
    </row>
    <row r="3972" spans="1:7" x14ac:dyDescent="0.3">
      <c r="A3972" t="s">
        <v>1784</v>
      </c>
      <c r="B3972" t="s">
        <v>318</v>
      </c>
      <c r="C3972" t="s">
        <v>319</v>
      </c>
      <c r="D3972">
        <v>2019</v>
      </c>
      <c r="E3972" s="2">
        <v>10</v>
      </c>
      <c r="F3972" s="2">
        <v>1800</v>
      </c>
      <c r="G3972" s="2">
        <v>1890</v>
      </c>
    </row>
    <row r="3973" spans="1:7" x14ac:dyDescent="0.3">
      <c r="A3973" t="s">
        <v>1784</v>
      </c>
      <c r="B3973" t="s">
        <v>1396</v>
      </c>
      <c r="C3973" t="s">
        <v>613</v>
      </c>
      <c r="D3973">
        <v>2019</v>
      </c>
      <c r="E3973" s="2">
        <v>1</v>
      </c>
      <c r="F3973" s="2">
        <v>270</v>
      </c>
      <c r="G3973" s="2">
        <v>283.5</v>
      </c>
    </row>
    <row r="3974" spans="1:7" x14ac:dyDescent="0.3">
      <c r="A3974" t="s">
        <v>1784</v>
      </c>
      <c r="B3974" t="s">
        <v>1396</v>
      </c>
      <c r="C3974" t="s">
        <v>613</v>
      </c>
      <c r="D3974">
        <v>2020</v>
      </c>
      <c r="E3974" s="2">
        <v>2</v>
      </c>
      <c r="F3974" s="2">
        <v>540</v>
      </c>
      <c r="G3974" s="2">
        <v>567</v>
      </c>
    </row>
    <row r="3975" spans="1:7" x14ac:dyDescent="0.3">
      <c r="A3975" t="s">
        <v>1784</v>
      </c>
      <c r="B3975" t="s">
        <v>159</v>
      </c>
      <c r="C3975" t="s">
        <v>160</v>
      </c>
      <c r="D3975">
        <v>2018</v>
      </c>
      <c r="E3975" s="2">
        <v>5</v>
      </c>
      <c r="F3975" s="2">
        <v>1200</v>
      </c>
      <c r="G3975" s="2">
        <v>1260</v>
      </c>
    </row>
    <row r="3976" spans="1:7" x14ac:dyDescent="0.3">
      <c r="A3976" t="s">
        <v>1799</v>
      </c>
      <c r="B3976" t="s">
        <v>1800</v>
      </c>
      <c r="C3976" t="s">
        <v>1796</v>
      </c>
      <c r="D3976">
        <v>2016</v>
      </c>
      <c r="E3976" s="2">
        <v>38</v>
      </c>
      <c r="F3976" s="2">
        <v>4560</v>
      </c>
      <c r="G3976" s="2"/>
    </row>
    <row r="3977" spans="1:7" x14ac:dyDescent="0.3">
      <c r="A3977" t="s">
        <v>1799</v>
      </c>
      <c r="B3977" t="s">
        <v>624</v>
      </c>
      <c r="C3977" t="s">
        <v>625</v>
      </c>
      <c r="D3977">
        <v>2014</v>
      </c>
      <c r="E3977" s="2">
        <v>25</v>
      </c>
      <c r="F3977" s="2">
        <v>2375</v>
      </c>
      <c r="G3977" s="2"/>
    </row>
    <row r="3978" spans="1:7" x14ac:dyDescent="0.3">
      <c r="A3978" t="s">
        <v>1799</v>
      </c>
      <c r="B3978" t="s">
        <v>624</v>
      </c>
      <c r="C3978" t="s">
        <v>625</v>
      </c>
      <c r="D3978">
        <v>2015</v>
      </c>
      <c r="E3978" s="2">
        <v>100</v>
      </c>
      <c r="F3978" s="2">
        <v>9500</v>
      </c>
      <c r="G3978" s="2"/>
    </row>
    <row r="3979" spans="1:7" x14ac:dyDescent="0.3">
      <c r="A3979" t="s">
        <v>1799</v>
      </c>
      <c r="B3979" t="s">
        <v>624</v>
      </c>
      <c r="C3979" t="s">
        <v>625</v>
      </c>
      <c r="D3979">
        <v>2017</v>
      </c>
      <c r="E3979" s="2">
        <v>45</v>
      </c>
      <c r="F3979" s="2">
        <v>4275</v>
      </c>
      <c r="G3979" s="2"/>
    </row>
    <row r="3980" spans="1:7" x14ac:dyDescent="0.3">
      <c r="A3980" t="s">
        <v>1799</v>
      </c>
      <c r="B3980" t="s">
        <v>624</v>
      </c>
      <c r="C3980" t="s">
        <v>625</v>
      </c>
      <c r="D3980">
        <v>2018</v>
      </c>
      <c r="E3980" s="2">
        <v>50</v>
      </c>
      <c r="F3980" s="2">
        <v>4750</v>
      </c>
      <c r="G3980" s="2">
        <v>4987.5</v>
      </c>
    </row>
    <row r="3981" spans="1:7" x14ac:dyDescent="0.3">
      <c r="A3981" t="s">
        <v>1799</v>
      </c>
      <c r="B3981" t="s">
        <v>624</v>
      </c>
      <c r="C3981" t="s">
        <v>625</v>
      </c>
      <c r="D3981">
        <v>2019</v>
      </c>
      <c r="E3981" s="2">
        <v>50</v>
      </c>
      <c r="F3981" s="2">
        <v>4750</v>
      </c>
      <c r="G3981" s="2">
        <v>4987.5</v>
      </c>
    </row>
    <row r="3982" spans="1:7" x14ac:dyDescent="0.3">
      <c r="A3982" t="s">
        <v>1799</v>
      </c>
      <c r="B3982" t="s">
        <v>624</v>
      </c>
      <c r="C3982" t="s">
        <v>625</v>
      </c>
      <c r="D3982">
        <v>2020</v>
      </c>
      <c r="E3982" s="2">
        <v>50</v>
      </c>
      <c r="F3982" s="2">
        <v>4750</v>
      </c>
      <c r="G3982" s="2">
        <v>4987.5</v>
      </c>
    </row>
    <row r="3983" spans="1:7" x14ac:dyDescent="0.3">
      <c r="A3983" t="s">
        <v>1799</v>
      </c>
      <c r="B3983" t="s">
        <v>714</v>
      </c>
      <c r="C3983" t="s">
        <v>715</v>
      </c>
      <c r="D3983">
        <v>2017</v>
      </c>
      <c r="E3983" s="2">
        <v>25</v>
      </c>
      <c r="F3983" s="2">
        <v>2000</v>
      </c>
      <c r="G3983" s="2"/>
    </row>
    <row r="3984" spans="1:7" x14ac:dyDescent="0.3">
      <c r="A3984" t="s">
        <v>1799</v>
      </c>
      <c r="B3984" t="s">
        <v>714</v>
      </c>
      <c r="C3984" t="s">
        <v>715</v>
      </c>
      <c r="D3984">
        <v>2018</v>
      </c>
      <c r="E3984" s="2">
        <v>50</v>
      </c>
      <c r="F3984" s="2">
        <v>4000</v>
      </c>
      <c r="G3984" s="2">
        <v>4200</v>
      </c>
    </row>
    <row r="3985" spans="1:8" x14ac:dyDescent="0.3">
      <c r="A3985" t="s">
        <v>1799</v>
      </c>
      <c r="B3985" t="s">
        <v>716</v>
      </c>
      <c r="C3985" t="s">
        <v>717</v>
      </c>
      <c r="D3985">
        <v>2019</v>
      </c>
      <c r="E3985" s="2">
        <v>25</v>
      </c>
      <c r="F3985" s="2">
        <v>2000</v>
      </c>
      <c r="G3985" s="2">
        <v>2100</v>
      </c>
    </row>
    <row r="3986" spans="1:8" x14ac:dyDescent="0.3">
      <c r="A3986" t="s">
        <v>1799</v>
      </c>
      <c r="B3986" t="s">
        <v>716</v>
      </c>
      <c r="C3986" t="s">
        <v>717</v>
      </c>
      <c r="D3986">
        <v>2020</v>
      </c>
      <c r="E3986" s="2">
        <v>50</v>
      </c>
      <c r="F3986" s="2">
        <v>4000</v>
      </c>
      <c r="G3986" s="2">
        <v>4200</v>
      </c>
    </row>
    <row r="3987" spans="1:8" x14ac:dyDescent="0.3">
      <c r="A3987" t="s">
        <v>1799</v>
      </c>
      <c r="B3987" t="s">
        <v>719</v>
      </c>
      <c r="C3987" t="s">
        <v>925</v>
      </c>
      <c r="D3987">
        <v>2018</v>
      </c>
      <c r="E3987" s="2">
        <v>25</v>
      </c>
      <c r="F3987" s="2">
        <v>3000</v>
      </c>
      <c r="G3987" s="2">
        <v>3150</v>
      </c>
    </row>
    <row r="3988" spans="1:8" x14ac:dyDescent="0.3">
      <c r="A3988" t="s">
        <v>1799</v>
      </c>
      <c r="B3988" t="s">
        <v>719</v>
      </c>
      <c r="C3988" t="s">
        <v>925</v>
      </c>
      <c r="D3988">
        <v>2019</v>
      </c>
      <c r="E3988" s="2">
        <v>25</v>
      </c>
      <c r="F3988" s="2">
        <v>3000</v>
      </c>
      <c r="G3988" s="2">
        <v>3150</v>
      </c>
    </row>
    <row r="3989" spans="1:8" x14ac:dyDescent="0.3">
      <c r="A3989" t="s">
        <v>1799</v>
      </c>
      <c r="B3989" t="s">
        <v>721</v>
      </c>
      <c r="C3989" t="s">
        <v>722</v>
      </c>
      <c r="D3989">
        <v>2017</v>
      </c>
      <c r="E3989" s="2">
        <v>25</v>
      </c>
      <c r="F3989" s="2">
        <v>1875</v>
      </c>
      <c r="G3989" s="2"/>
    </row>
    <row r="3990" spans="1:8" x14ac:dyDescent="0.3">
      <c r="A3990" t="s">
        <v>1799</v>
      </c>
      <c r="B3990" t="s">
        <v>721</v>
      </c>
      <c r="C3990" t="s">
        <v>722</v>
      </c>
      <c r="D3990">
        <v>2019</v>
      </c>
      <c r="E3990" s="2">
        <v>75</v>
      </c>
      <c r="F3990" s="2">
        <v>5625</v>
      </c>
      <c r="G3990" s="2">
        <v>5906.25</v>
      </c>
    </row>
    <row r="3991" spans="1:8" x14ac:dyDescent="0.3">
      <c r="A3991" t="s">
        <v>1799</v>
      </c>
      <c r="B3991" t="s">
        <v>1801</v>
      </c>
      <c r="D3991">
        <v>2017</v>
      </c>
      <c r="E3991" s="2">
        <v>10</v>
      </c>
      <c r="F3991" s="2">
        <v>750</v>
      </c>
      <c r="G3991" s="2"/>
    </row>
    <row r="3992" spans="1:8" x14ac:dyDescent="0.3">
      <c r="A3992" t="s">
        <v>1799</v>
      </c>
      <c r="B3992" t="s">
        <v>631</v>
      </c>
      <c r="C3992" t="s">
        <v>632</v>
      </c>
      <c r="D3992">
        <v>2017</v>
      </c>
      <c r="E3992" s="2">
        <v>5</v>
      </c>
      <c r="F3992" s="2">
        <v>1875</v>
      </c>
      <c r="G3992" s="2"/>
    </row>
    <row r="3993" spans="1:8" x14ac:dyDescent="0.3">
      <c r="A3993" t="s">
        <v>1799</v>
      </c>
      <c r="B3993" t="s">
        <v>533</v>
      </c>
      <c r="C3993" t="s">
        <v>534</v>
      </c>
      <c r="D3993">
        <v>2020</v>
      </c>
      <c r="E3993" s="2">
        <v>50</v>
      </c>
      <c r="F3993" s="2">
        <v>3750</v>
      </c>
      <c r="G3993" s="2">
        <v>3937.5</v>
      </c>
    </row>
    <row r="3994" spans="1:8" x14ac:dyDescent="0.3">
      <c r="A3994" t="s">
        <v>1799</v>
      </c>
      <c r="B3994" t="s">
        <v>635</v>
      </c>
      <c r="C3994" t="s">
        <v>636</v>
      </c>
      <c r="D3994">
        <v>2017</v>
      </c>
      <c r="E3994" s="2">
        <v>125</v>
      </c>
      <c r="F3994" s="2">
        <v>10625</v>
      </c>
      <c r="G3994" s="2"/>
      <c r="H3994" s="3" t="s">
        <v>18</v>
      </c>
    </row>
    <row r="3995" spans="1:8" x14ac:dyDescent="0.3">
      <c r="A3995" t="s">
        <v>1799</v>
      </c>
      <c r="B3995" t="s">
        <v>635</v>
      </c>
      <c r="C3995" t="s">
        <v>636</v>
      </c>
      <c r="D3995">
        <v>2018</v>
      </c>
      <c r="E3995" s="2">
        <v>25</v>
      </c>
      <c r="F3995" s="2">
        <v>2125</v>
      </c>
      <c r="G3995" s="2">
        <v>2231.25</v>
      </c>
      <c r="H3995" s="3" t="s">
        <v>18</v>
      </c>
    </row>
    <row r="3996" spans="1:8" x14ac:dyDescent="0.3">
      <c r="A3996" t="s">
        <v>1799</v>
      </c>
      <c r="B3996" t="s">
        <v>635</v>
      </c>
      <c r="C3996" t="s">
        <v>636</v>
      </c>
      <c r="D3996">
        <v>2021</v>
      </c>
      <c r="E3996" s="2">
        <v>50</v>
      </c>
      <c r="F3996" s="2">
        <v>3400</v>
      </c>
      <c r="G3996" s="2">
        <v>3570</v>
      </c>
      <c r="H3996" s="3" t="s">
        <v>18</v>
      </c>
    </row>
    <row r="3997" spans="1:8" x14ac:dyDescent="0.3">
      <c r="A3997" t="s">
        <v>1799</v>
      </c>
      <c r="B3997" t="s">
        <v>728</v>
      </c>
      <c r="D3997">
        <v>2017</v>
      </c>
      <c r="E3997" s="2">
        <v>30</v>
      </c>
      <c r="F3997" s="2">
        <v>2250</v>
      </c>
      <c r="G3997" s="2"/>
    </row>
    <row r="3998" spans="1:8" x14ac:dyDescent="0.3">
      <c r="A3998" t="s">
        <v>1799</v>
      </c>
      <c r="B3998" t="s">
        <v>441</v>
      </c>
      <c r="C3998" t="s">
        <v>93</v>
      </c>
      <c r="D3998">
        <v>2015</v>
      </c>
      <c r="E3998" s="2">
        <v>60</v>
      </c>
      <c r="F3998" s="2">
        <v>11450</v>
      </c>
      <c r="G3998" s="2"/>
    </row>
    <row r="3999" spans="1:8" x14ac:dyDescent="0.3">
      <c r="A3999" t="s">
        <v>1799</v>
      </c>
      <c r="B3999" t="s">
        <v>441</v>
      </c>
      <c r="C3999" t="s">
        <v>93</v>
      </c>
      <c r="D3999">
        <v>2016</v>
      </c>
      <c r="E3999" s="2">
        <v>75</v>
      </c>
      <c r="F3999" s="2">
        <v>13875</v>
      </c>
      <c r="G3999" s="2"/>
    </row>
    <row r="4000" spans="1:8" x14ac:dyDescent="0.3">
      <c r="A4000" t="s">
        <v>1799</v>
      </c>
      <c r="B4000" t="s">
        <v>441</v>
      </c>
      <c r="C4000" t="s">
        <v>93</v>
      </c>
      <c r="D4000">
        <v>2017</v>
      </c>
      <c r="E4000" s="2">
        <v>50</v>
      </c>
      <c r="F4000" s="2">
        <v>9250</v>
      </c>
      <c r="G4000" s="2"/>
    </row>
    <row r="4001" spans="1:8" x14ac:dyDescent="0.3">
      <c r="A4001" t="s">
        <v>1799</v>
      </c>
      <c r="B4001" t="s">
        <v>441</v>
      </c>
      <c r="C4001" t="s">
        <v>93</v>
      </c>
      <c r="D4001">
        <v>2018</v>
      </c>
      <c r="E4001" s="2">
        <v>50</v>
      </c>
      <c r="F4001" s="2">
        <v>9250</v>
      </c>
      <c r="G4001" s="2">
        <v>9712.5</v>
      </c>
    </row>
    <row r="4002" spans="1:8" x14ac:dyDescent="0.3">
      <c r="A4002" t="s">
        <v>1799</v>
      </c>
      <c r="B4002" t="s">
        <v>441</v>
      </c>
      <c r="C4002" t="s">
        <v>93</v>
      </c>
      <c r="D4002">
        <v>2019</v>
      </c>
      <c r="E4002" s="2">
        <v>25</v>
      </c>
      <c r="F4002" s="2">
        <v>4500</v>
      </c>
      <c r="G4002" s="2">
        <v>4725</v>
      </c>
    </row>
    <row r="4003" spans="1:8" x14ac:dyDescent="0.3">
      <c r="A4003" t="s">
        <v>1799</v>
      </c>
      <c r="B4003" t="s">
        <v>206</v>
      </c>
      <c r="C4003" t="s">
        <v>207</v>
      </c>
      <c r="D4003">
        <v>2017</v>
      </c>
      <c r="E4003" s="2">
        <v>50</v>
      </c>
      <c r="F4003" s="2">
        <v>7500</v>
      </c>
      <c r="G4003" s="2"/>
    </row>
    <row r="4004" spans="1:8" x14ac:dyDescent="0.3">
      <c r="A4004" t="s">
        <v>1799</v>
      </c>
      <c r="B4004" t="s">
        <v>206</v>
      </c>
      <c r="C4004" t="s">
        <v>207</v>
      </c>
      <c r="D4004">
        <v>2018</v>
      </c>
      <c r="E4004" s="2">
        <v>35</v>
      </c>
      <c r="F4004" s="2">
        <v>5250</v>
      </c>
      <c r="G4004" s="2">
        <v>5512.5</v>
      </c>
    </row>
    <row r="4005" spans="1:8" x14ac:dyDescent="0.3">
      <c r="A4005" t="s">
        <v>1799</v>
      </c>
      <c r="B4005" t="s">
        <v>206</v>
      </c>
      <c r="C4005" t="s">
        <v>207</v>
      </c>
      <c r="D4005">
        <v>2019</v>
      </c>
      <c r="E4005" s="2">
        <v>300</v>
      </c>
      <c r="F4005" s="2">
        <v>36750</v>
      </c>
      <c r="G4005" s="2">
        <v>38587.5</v>
      </c>
    </row>
    <row r="4006" spans="1:8" x14ac:dyDescent="0.3">
      <c r="A4006" t="s">
        <v>1799</v>
      </c>
      <c r="B4006" t="s">
        <v>536</v>
      </c>
      <c r="C4006" t="s">
        <v>537</v>
      </c>
      <c r="D4006">
        <v>2019</v>
      </c>
      <c r="E4006" s="2">
        <v>25</v>
      </c>
      <c r="F4006" s="2">
        <v>3000</v>
      </c>
      <c r="G4006" s="2">
        <v>3150</v>
      </c>
    </row>
    <row r="4007" spans="1:8" x14ac:dyDescent="0.3">
      <c r="A4007" t="s">
        <v>1799</v>
      </c>
      <c r="B4007" t="s">
        <v>536</v>
      </c>
      <c r="C4007" t="s">
        <v>537</v>
      </c>
      <c r="D4007">
        <v>2020</v>
      </c>
      <c r="E4007" s="2">
        <v>50</v>
      </c>
      <c r="F4007" s="2">
        <v>6000</v>
      </c>
      <c r="G4007" s="2">
        <v>6300</v>
      </c>
    </row>
    <row r="4008" spans="1:8" x14ac:dyDescent="0.3">
      <c r="A4008" t="s">
        <v>1799</v>
      </c>
      <c r="B4008" t="s">
        <v>602</v>
      </c>
      <c r="C4008" t="s">
        <v>603</v>
      </c>
      <c r="D4008">
        <v>2016</v>
      </c>
      <c r="E4008" s="2">
        <v>25</v>
      </c>
      <c r="F4008" s="2">
        <v>1875</v>
      </c>
      <c r="G4008" s="2"/>
      <c r="H4008" s="3" t="s">
        <v>18</v>
      </c>
    </row>
    <row r="4009" spans="1:8" x14ac:dyDescent="0.3">
      <c r="A4009" t="s">
        <v>1799</v>
      </c>
      <c r="B4009" t="s">
        <v>602</v>
      </c>
      <c r="C4009" t="s">
        <v>603</v>
      </c>
      <c r="D4009">
        <v>2017</v>
      </c>
      <c r="E4009" s="2">
        <v>125</v>
      </c>
      <c r="F4009" s="2">
        <v>9375</v>
      </c>
      <c r="G4009" s="2"/>
      <c r="H4009" s="3" t="s">
        <v>18</v>
      </c>
    </row>
    <row r="4010" spans="1:8" x14ac:dyDescent="0.3">
      <c r="A4010" t="s">
        <v>1799</v>
      </c>
      <c r="B4010" t="s">
        <v>602</v>
      </c>
      <c r="C4010" t="s">
        <v>603</v>
      </c>
      <c r="D4010">
        <v>2018</v>
      </c>
      <c r="E4010" s="2">
        <v>25</v>
      </c>
      <c r="F4010" s="2">
        <v>1875</v>
      </c>
      <c r="G4010" s="2">
        <v>1968.75</v>
      </c>
      <c r="H4010" s="3" t="s">
        <v>18</v>
      </c>
    </row>
    <row r="4011" spans="1:8" x14ac:dyDescent="0.3">
      <c r="A4011" t="s">
        <v>1799</v>
      </c>
      <c r="B4011" t="s">
        <v>602</v>
      </c>
      <c r="C4011" t="s">
        <v>603</v>
      </c>
      <c r="D4011">
        <v>2019</v>
      </c>
      <c r="E4011" s="2">
        <v>125</v>
      </c>
      <c r="F4011" s="2">
        <v>8125</v>
      </c>
      <c r="G4011" s="2">
        <v>8531.25</v>
      </c>
      <c r="H4011" s="3" t="s">
        <v>18</v>
      </c>
    </row>
    <row r="4012" spans="1:8" x14ac:dyDescent="0.3">
      <c r="A4012" t="s">
        <v>1799</v>
      </c>
      <c r="B4012" t="s">
        <v>602</v>
      </c>
      <c r="C4012" t="s">
        <v>603</v>
      </c>
      <c r="D4012">
        <v>2020</v>
      </c>
      <c r="E4012" s="2">
        <v>175</v>
      </c>
      <c r="F4012" s="2">
        <v>10625</v>
      </c>
      <c r="G4012" s="2">
        <v>11156.25</v>
      </c>
      <c r="H4012" s="3" t="s">
        <v>18</v>
      </c>
    </row>
    <row r="4013" spans="1:8" x14ac:dyDescent="0.3">
      <c r="A4013" t="s">
        <v>1799</v>
      </c>
      <c r="B4013" t="s">
        <v>602</v>
      </c>
      <c r="C4013" t="s">
        <v>603</v>
      </c>
      <c r="D4013">
        <v>2021</v>
      </c>
      <c r="E4013" s="2">
        <v>50</v>
      </c>
      <c r="F4013" s="2">
        <v>3250</v>
      </c>
      <c r="G4013" s="2">
        <v>3412.5</v>
      </c>
      <c r="H4013" s="3" t="s">
        <v>18</v>
      </c>
    </row>
    <row r="4014" spans="1:8" x14ac:dyDescent="0.3">
      <c r="A4014" t="s">
        <v>1799</v>
      </c>
      <c r="B4014" t="s">
        <v>398</v>
      </c>
      <c r="C4014" t="s">
        <v>399</v>
      </c>
      <c r="D4014">
        <v>2016</v>
      </c>
      <c r="E4014" s="2">
        <v>59</v>
      </c>
      <c r="F4014" s="2">
        <v>8850</v>
      </c>
      <c r="G4014" s="2"/>
    </row>
    <row r="4015" spans="1:8" x14ac:dyDescent="0.3">
      <c r="A4015" t="s">
        <v>1799</v>
      </c>
      <c r="B4015" t="s">
        <v>398</v>
      </c>
      <c r="C4015" t="s">
        <v>399</v>
      </c>
      <c r="D4015">
        <v>2017</v>
      </c>
      <c r="E4015" s="2">
        <v>90</v>
      </c>
      <c r="F4015" s="2">
        <v>13500</v>
      </c>
      <c r="G4015" s="2"/>
    </row>
    <row r="4016" spans="1:8" x14ac:dyDescent="0.3">
      <c r="A4016" t="s">
        <v>1799</v>
      </c>
      <c r="B4016" t="s">
        <v>942</v>
      </c>
      <c r="C4016" t="s">
        <v>943</v>
      </c>
      <c r="D4016">
        <v>2016</v>
      </c>
      <c r="E4016" s="2">
        <v>25</v>
      </c>
      <c r="F4016" s="2">
        <v>1800</v>
      </c>
      <c r="G4016" s="2"/>
    </row>
    <row r="4017" spans="1:8" x14ac:dyDescent="0.3">
      <c r="A4017" t="s">
        <v>1799</v>
      </c>
      <c r="B4017" t="s">
        <v>942</v>
      </c>
      <c r="C4017" t="s">
        <v>943</v>
      </c>
      <c r="D4017">
        <v>2017</v>
      </c>
      <c r="E4017" s="2">
        <v>25</v>
      </c>
      <c r="F4017" s="2">
        <v>1800</v>
      </c>
      <c r="G4017" s="2"/>
    </row>
    <row r="4018" spans="1:8" x14ac:dyDescent="0.3">
      <c r="A4018" t="s">
        <v>1799</v>
      </c>
      <c r="B4018" t="s">
        <v>184</v>
      </c>
      <c r="C4018" t="s">
        <v>185</v>
      </c>
      <c r="D4018">
        <v>2014</v>
      </c>
      <c r="E4018" s="2">
        <v>25</v>
      </c>
      <c r="F4018" s="2">
        <v>1625</v>
      </c>
      <c r="G4018" s="2"/>
    </row>
    <row r="4019" spans="1:8" x14ac:dyDescent="0.3">
      <c r="A4019" t="s">
        <v>1799</v>
      </c>
      <c r="B4019" t="s">
        <v>184</v>
      </c>
      <c r="C4019" t="s">
        <v>185</v>
      </c>
      <c r="D4019">
        <v>2015</v>
      </c>
      <c r="E4019" s="2">
        <v>50</v>
      </c>
      <c r="F4019" s="2">
        <v>3250</v>
      </c>
      <c r="G4019" s="2"/>
    </row>
    <row r="4020" spans="1:8" x14ac:dyDescent="0.3">
      <c r="A4020" t="s">
        <v>1799</v>
      </c>
      <c r="B4020" t="s">
        <v>184</v>
      </c>
      <c r="C4020" t="s">
        <v>185</v>
      </c>
      <c r="D4020">
        <v>2016</v>
      </c>
      <c r="E4020" s="2">
        <v>50</v>
      </c>
      <c r="F4020" s="2">
        <v>3250</v>
      </c>
      <c r="G4020" s="2"/>
    </row>
    <row r="4021" spans="1:8" x14ac:dyDescent="0.3">
      <c r="A4021" t="s">
        <v>1799</v>
      </c>
      <c r="B4021" t="s">
        <v>184</v>
      </c>
      <c r="C4021" t="s">
        <v>185</v>
      </c>
      <c r="D4021">
        <v>2017</v>
      </c>
      <c r="E4021" s="2">
        <v>100</v>
      </c>
      <c r="F4021" s="2">
        <v>6500</v>
      </c>
      <c r="G4021" s="2"/>
    </row>
    <row r="4022" spans="1:8" x14ac:dyDescent="0.3">
      <c r="A4022" t="s">
        <v>1799</v>
      </c>
      <c r="B4022" t="s">
        <v>649</v>
      </c>
      <c r="C4022" t="s">
        <v>650</v>
      </c>
      <c r="D4022">
        <v>2016</v>
      </c>
      <c r="E4022" s="2">
        <v>25</v>
      </c>
      <c r="F4022" s="2">
        <v>2075</v>
      </c>
      <c r="G4022" s="2"/>
      <c r="H4022" s="3" t="s">
        <v>18</v>
      </c>
    </row>
    <row r="4023" spans="1:8" x14ac:dyDescent="0.3">
      <c r="A4023" t="s">
        <v>1799</v>
      </c>
      <c r="B4023" t="s">
        <v>649</v>
      </c>
      <c r="C4023" t="s">
        <v>650</v>
      </c>
      <c r="D4023">
        <v>2017</v>
      </c>
      <c r="E4023" s="2">
        <v>50</v>
      </c>
      <c r="F4023" s="2">
        <v>4150</v>
      </c>
      <c r="G4023" s="2"/>
      <c r="H4023" s="3" t="s">
        <v>18</v>
      </c>
    </row>
    <row r="4024" spans="1:8" x14ac:dyDescent="0.3">
      <c r="A4024" t="s">
        <v>1799</v>
      </c>
      <c r="B4024" t="s">
        <v>649</v>
      </c>
      <c r="C4024" t="s">
        <v>650</v>
      </c>
      <c r="D4024">
        <v>2020</v>
      </c>
      <c r="E4024" s="2">
        <v>10</v>
      </c>
      <c r="F4024" s="2">
        <v>830</v>
      </c>
      <c r="G4024" s="2">
        <v>871.5</v>
      </c>
      <c r="H4024" s="3" t="s">
        <v>18</v>
      </c>
    </row>
    <row r="4025" spans="1:8" x14ac:dyDescent="0.3">
      <c r="A4025" t="s">
        <v>1799</v>
      </c>
      <c r="B4025" t="s">
        <v>649</v>
      </c>
      <c r="C4025" t="s">
        <v>650</v>
      </c>
      <c r="D4025">
        <v>2021</v>
      </c>
      <c r="E4025" s="2">
        <v>5</v>
      </c>
      <c r="F4025" s="2">
        <v>415</v>
      </c>
      <c r="G4025" s="2">
        <v>435.75</v>
      </c>
      <c r="H4025" s="3" t="s">
        <v>18</v>
      </c>
    </row>
    <row r="4026" spans="1:8" x14ac:dyDescent="0.3">
      <c r="A4026" t="s">
        <v>1799</v>
      </c>
      <c r="B4026" t="s">
        <v>297</v>
      </c>
      <c r="C4026" t="s">
        <v>298</v>
      </c>
      <c r="D4026">
        <v>2014</v>
      </c>
      <c r="E4026" s="2">
        <v>25</v>
      </c>
      <c r="F4026" s="2">
        <v>1750</v>
      </c>
      <c r="G4026" s="2"/>
    </row>
    <row r="4027" spans="1:8" x14ac:dyDescent="0.3">
      <c r="A4027" t="s">
        <v>1799</v>
      </c>
      <c r="B4027" t="s">
        <v>297</v>
      </c>
      <c r="C4027" t="s">
        <v>298</v>
      </c>
      <c r="D4027">
        <v>2015</v>
      </c>
      <c r="E4027" s="2">
        <v>50</v>
      </c>
      <c r="F4027" s="2">
        <v>3500</v>
      </c>
      <c r="G4027" s="2"/>
    </row>
    <row r="4028" spans="1:8" x14ac:dyDescent="0.3">
      <c r="A4028" t="s">
        <v>1799</v>
      </c>
      <c r="B4028" t="s">
        <v>297</v>
      </c>
      <c r="C4028" t="s">
        <v>298</v>
      </c>
      <c r="D4028">
        <v>2017</v>
      </c>
      <c r="E4028" s="2">
        <v>50</v>
      </c>
      <c r="F4028" s="2">
        <v>3500</v>
      </c>
      <c r="G4028" s="2"/>
    </row>
    <row r="4029" spans="1:8" x14ac:dyDescent="0.3">
      <c r="A4029" t="s">
        <v>1799</v>
      </c>
      <c r="B4029" t="s">
        <v>19</v>
      </c>
      <c r="C4029" t="s">
        <v>20</v>
      </c>
      <c r="D4029">
        <v>2014</v>
      </c>
      <c r="E4029" s="2">
        <v>135</v>
      </c>
      <c r="F4029" s="2">
        <v>12825</v>
      </c>
      <c r="G4029" s="2"/>
    </row>
    <row r="4030" spans="1:8" x14ac:dyDescent="0.3">
      <c r="A4030" t="s">
        <v>1799</v>
      </c>
      <c r="B4030" t="s">
        <v>19</v>
      </c>
      <c r="C4030" t="s">
        <v>20</v>
      </c>
      <c r="D4030">
        <v>2015</v>
      </c>
      <c r="E4030" s="2">
        <v>100</v>
      </c>
      <c r="F4030" s="2">
        <v>9500</v>
      </c>
      <c r="G4030" s="2"/>
    </row>
    <row r="4031" spans="1:8" x14ac:dyDescent="0.3">
      <c r="A4031" t="s">
        <v>1799</v>
      </c>
      <c r="B4031" t="s">
        <v>41</v>
      </c>
      <c r="C4031" t="s">
        <v>42</v>
      </c>
      <c r="D4031">
        <v>2014</v>
      </c>
      <c r="E4031" s="2">
        <v>25</v>
      </c>
      <c r="F4031" s="2">
        <v>1375</v>
      </c>
      <c r="G4031" s="2"/>
    </row>
    <row r="4032" spans="1:8" x14ac:dyDescent="0.3">
      <c r="A4032" t="s">
        <v>1799</v>
      </c>
      <c r="B4032" t="s">
        <v>543</v>
      </c>
      <c r="C4032" t="s">
        <v>544</v>
      </c>
      <c r="D4032">
        <v>2020</v>
      </c>
      <c r="E4032" s="2">
        <v>10</v>
      </c>
      <c r="F4032" s="2">
        <v>800</v>
      </c>
      <c r="G4032" s="2">
        <v>840</v>
      </c>
    </row>
    <row r="4033" spans="1:7" x14ac:dyDescent="0.3">
      <c r="A4033" t="s">
        <v>1799</v>
      </c>
      <c r="B4033" t="s">
        <v>114</v>
      </c>
      <c r="C4033" t="s">
        <v>115</v>
      </c>
      <c r="D4033">
        <v>2016</v>
      </c>
      <c r="E4033" s="2">
        <v>25</v>
      </c>
      <c r="F4033" s="2">
        <v>2125</v>
      </c>
      <c r="G4033" s="2"/>
    </row>
    <row r="4034" spans="1:7" x14ac:dyDescent="0.3">
      <c r="A4034" t="s">
        <v>1799</v>
      </c>
      <c r="B4034" t="s">
        <v>114</v>
      </c>
      <c r="C4034" t="s">
        <v>115</v>
      </c>
      <c r="D4034">
        <v>2017</v>
      </c>
      <c r="E4034" s="2">
        <v>25</v>
      </c>
      <c r="F4034" s="2">
        <v>2125</v>
      </c>
      <c r="G4034" s="2"/>
    </row>
    <row r="4035" spans="1:7" x14ac:dyDescent="0.3">
      <c r="A4035" t="s">
        <v>1799</v>
      </c>
      <c r="B4035" t="s">
        <v>114</v>
      </c>
      <c r="C4035" t="s">
        <v>115</v>
      </c>
      <c r="D4035">
        <v>2018</v>
      </c>
      <c r="E4035" s="2">
        <v>25</v>
      </c>
      <c r="F4035" s="2">
        <v>2125</v>
      </c>
      <c r="G4035" s="2">
        <v>2231.25</v>
      </c>
    </row>
    <row r="4036" spans="1:7" x14ac:dyDescent="0.3">
      <c r="A4036" t="s">
        <v>1799</v>
      </c>
      <c r="B4036" t="s">
        <v>114</v>
      </c>
      <c r="C4036" t="s">
        <v>115</v>
      </c>
      <c r="D4036">
        <v>2019</v>
      </c>
      <c r="E4036" s="2">
        <v>25</v>
      </c>
      <c r="F4036" s="2">
        <v>2125</v>
      </c>
      <c r="G4036" s="2">
        <v>2231.25</v>
      </c>
    </row>
    <row r="4037" spans="1:7" x14ac:dyDescent="0.3">
      <c r="A4037" t="s">
        <v>1799</v>
      </c>
      <c r="B4037" t="s">
        <v>1802</v>
      </c>
      <c r="D4037">
        <v>2020</v>
      </c>
      <c r="E4037" s="2">
        <v>96</v>
      </c>
      <c r="F4037" s="2">
        <v>10310</v>
      </c>
      <c r="G4037" s="2">
        <v>10825.5</v>
      </c>
    </row>
    <row r="4038" spans="1:7" x14ac:dyDescent="0.3">
      <c r="A4038" t="s">
        <v>1799</v>
      </c>
      <c r="B4038" t="s">
        <v>187</v>
      </c>
      <c r="C4038" t="s">
        <v>188</v>
      </c>
      <c r="D4038">
        <v>2018</v>
      </c>
      <c r="E4038" s="2">
        <v>25</v>
      </c>
      <c r="F4038" s="2">
        <v>2000</v>
      </c>
      <c r="G4038" s="2">
        <v>2100</v>
      </c>
    </row>
    <row r="4039" spans="1:7" x14ac:dyDescent="0.3">
      <c r="A4039" t="s">
        <v>1799</v>
      </c>
      <c r="B4039" t="s">
        <v>1803</v>
      </c>
      <c r="C4039" t="s">
        <v>121</v>
      </c>
      <c r="D4039">
        <v>2016</v>
      </c>
      <c r="E4039" s="2">
        <v>25</v>
      </c>
      <c r="F4039" s="2">
        <v>3000</v>
      </c>
      <c r="G4039" s="2"/>
    </row>
    <row r="4040" spans="1:7" x14ac:dyDescent="0.3">
      <c r="A4040" t="s">
        <v>1799</v>
      </c>
      <c r="B4040" t="s">
        <v>1803</v>
      </c>
      <c r="C4040" t="s">
        <v>121</v>
      </c>
      <c r="D4040">
        <v>2017</v>
      </c>
      <c r="E4040" s="2">
        <v>25</v>
      </c>
      <c r="F4040" s="2">
        <v>3000</v>
      </c>
      <c r="G4040" s="2"/>
    </row>
    <row r="4041" spans="1:7" x14ac:dyDescent="0.3">
      <c r="A4041" t="s">
        <v>1799</v>
      </c>
      <c r="B4041" t="s">
        <v>1803</v>
      </c>
      <c r="C4041" t="s">
        <v>121</v>
      </c>
      <c r="D4041">
        <v>2018</v>
      </c>
      <c r="E4041" s="2">
        <v>16</v>
      </c>
      <c r="F4041" s="2">
        <v>1920</v>
      </c>
      <c r="G4041" s="2">
        <v>2016</v>
      </c>
    </row>
    <row r="4042" spans="1:7" x14ac:dyDescent="0.3">
      <c r="A4042" t="s">
        <v>1799</v>
      </c>
      <c r="B4042" t="s">
        <v>1803</v>
      </c>
      <c r="C4042" t="s">
        <v>121</v>
      </c>
      <c r="D4042">
        <v>2019</v>
      </c>
      <c r="E4042" s="2">
        <v>25</v>
      </c>
      <c r="F4042" s="2">
        <v>3000</v>
      </c>
      <c r="G4042" s="2">
        <v>3150</v>
      </c>
    </row>
    <row r="4043" spans="1:7" x14ac:dyDescent="0.3">
      <c r="A4043" t="s">
        <v>1799</v>
      </c>
      <c r="B4043" t="s">
        <v>911</v>
      </c>
      <c r="C4043" t="s">
        <v>912</v>
      </c>
      <c r="D4043">
        <v>2020</v>
      </c>
      <c r="E4043" s="2">
        <v>50</v>
      </c>
      <c r="F4043" s="2">
        <v>4000</v>
      </c>
      <c r="G4043" s="2">
        <v>4200</v>
      </c>
    </row>
    <row r="4044" spans="1:7" x14ac:dyDescent="0.3">
      <c r="A4044" t="s">
        <v>1799</v>
      </c>
      <c r="B4044" t="s">
        <v>68</v>
      </c>
      <c r="C4044" t="s">
        <v>69</v>
      </c>
      <c r="D4044">
        <v>2014</v>
      </c>
      <c r="E4044" s="2">
        <v>67.2</v>
      </c>
      <c r="F4044" s="2">
        <v>4032</v>
      </c>
      <c r="G4044" s="2"/>
    </row>
    <row r="4045" spans="1:7" x14ac:dyDescent="0.3">
      <c r="A4045" t="s">
        <v>1799</v>
      </c>
      <c r="B4045" t="s">
        <v>68</v>
      </c>
      <c r="C4045" t="s">
        <v>69</v>
      </c>
      <c r="D4045">
        <v>2015</v>
      </c>
      <c r="E4045" s="2">
        <v>75</v>
      </c>
      <c r="F4045" s="2">
        <v>4500</v>
      </c>
      <c r="G4045" s="2"/>
    </row>
    <row r="4046" spans="1:7" x14ac:dyDescent="0.3">
      <c r="A4046" t="s">
        <v>1799</v>
      </c>
      <c r="B4046" t="s">
        <v>68</v>
      </c>
      <c r="C4046" t="s">
        <v>69</v>
      </c>
      <c r="D4046">
        <v>2016</v>
      </c>
      <c r="E4046" s="2">
        <v>100</v>
      </c>
      <c r="F4046" s="2">
        <v>6000</v>
      </c>
      <c r="G4046" s="2"/>
    </row>
    <row r="4047" spans="1:7" x14ac:dyDescent="0.3">
      <c r="A4047" t="s">
        <v>1799</v>
      </c>
      <c r="B4047" t="s">
        <v>68</v>
      </c>
      <c r="C4047" t="s">
        <v>69</v>
      </c>
      <c r="D4047">
        <v>2017</v>
      </c>
      <c r="E4047" s="2">
        <v>50</v>
      </c>
      <c r="F4047" s="2">
        <v>3000</v>
      </c>
      <c r="G4047" s="2"/>
    </row>
    <row r="4048" spans="1:7" x14ac:dyDescent="0.3">
      <c r="A4048" t="s">
        <v>1799</v>
      </c>
      <c r="B4048" t="s">
        <v>68</v>
      </c>
      <c r="C4048" t="s">
        <v>69</v>
      </c>
      <c r="D4048">
        <v>2018</v>
      </c>
      <c r="E4048" s="2">
        <v>50</v>
      </c>
      <c r="F4048" s="2">
        <v>3000</v>
      </c>
      <c r="G4048" s="2">
        <v>3150</v>
      </c>
    </row>
    <row r="4049" spans="1:8" x14ac:dyDescent="0.3">
      <c r="A4049" t="s">
        <v>1799</v>
      </c>
      <c r="B4049" t="s">
        <v>1104</v>
      </c>
      <c r="C4049" t="s">
        <v>1105</v>
      </c>
      <c r="D4049">
        <v>2020</v>
      </c>
      <c r="E4049" s="2">
        <v>100</v>
      </c>
      <c r="F4049" s="2">
        <v>7500</v>
      </c>
      <c r="G4049" s="2">
        <v>7875</v>
      </c>
      <c r="H4049" s="3" t="s">
        <v>374</v>
      </c>
    </row>
    <row r="4050" spans="1:8" x14ac:dyDescent="0.3">
      <c r="A4050" t="s">
        <v>1799</v>
      </c>
      <c r="B4050" t="s">
        <v>1104</v>
      </c>
      <c r="C4050" t="s">
        <v>1105</v>
      </c>
      <c r="D4050">
        <v>2021</v>
      </c>
      <c r="E4050" s="2">
        <v>50</v>
      </c>
      <c r="F4050" s="2">
        <v>3750</v>
      </c>
      <c r="G4050" s="2">
        <v>3937.5</v>
      </c>
      <c r="H4050" s="3" t="s">
        <v>374</v>
      </c>
    </row>
    <row r="4051" spans="1:8" x14ac:dyDescent="0.3">
      <c r="A4051" t="s">
        <v>1799</v>
      </c>
      <c r="B4051" t="s">
        <v>653</v>
      </c>
      <c r="C4051" t="s">
        <v>654</v>
      </c>
      <c r="D4051">
        <v>2016</v>
      </c>
      <c r="E4051" s="2">
        <v>20</v>
      </c>
      <c r="F4051" s="2">
        <v>1460</v>
      </c>
      <c r="G4051" s="2"/>
    </row>
    <row r="4052" spans="1:8" x14ac:dyDescent="0.3">
      <c r="A4052" t="s">
        <v>1799</v>
      </c>
      <c r="B4052" t="s">
        <v>653</v>
      </c>
      <c r="C4052" t="s">
        <v>654</v>
      </c>
      <c r="D4052">
        <v>2018</v>
      </c>
      <c r="E4052" s="2">
        <v>25</v>
      </c>
      <c r="F4052" s="2">
        <v>1875</v>
      </c>
      <c r="G4052" s="2">
        <v>1968.75</v>
      </c>
    </row>
    <row r="4053" spans="1:8" x14ac:dyDescent="0.3">
      <c r="A4053" t="s">
        <v>1799</v>
      </c>
      <c r="B4053" t="s">
        <v>653</v>
      </c>
      <c r="C4053" t="s">
        <v>654</v>
      </c>
      <c r="D4053">
        <v>2019</v>
      </c>
      <c r="E4053" s="2">
        <v>50</v>
      </c>
      <c r="F4053" s="2">
        <v>3750</v>
      </c>
      <c r="G4053" s="2">
        <v>3937.5</v>
      </c>
    </row>
    <row r="4054" spans="1:8" x14ac:dyDescent="0.3">
      <c r="A4054" t="s">
        <v>1799</v>
      </c>
      <c r="B4054" t="s">
        <v>653</v>
      </c>
      <c r="C4054" t="s">
        <v>654</v>
      </c>
      <c r="D4054">
        <v>2020</v>
      </c>
      <c r="E4054" s="2">
        <v>75</v>
      </c>
      <c r="F4054" s="2">
        <v>5425</v>
      </c>
      <c r="G4054" s="2">
        <v>5696.25</v>
      </c>
    </row>
    <row r="4055" spans="1:8" x14ac:dyDescent="0.3">
      <c r="A4055" t="s">
        <v>1799</v>
      </c>
      <c r="B4055" t="s">
        <v>575</v>
      </c>
      <c r="C4055" t="s">
        <v>673</v>
      </c>
      <c r="D4055">
        <v>2014</v>
      </c>
      <c r="E4055" s="2">
        <v>50</v>
      </c>
      <c r="F4055" s="2">
        <v>3500</v>
      </c>
      <c r="G4055" s="2"/>
    </row>
    <row r="4056" spans="1:8" x14ac:dyDescent="0.3">
      <c r="A4056" t="s">
        <v>1799</v>
      </c>
      <c r="B4056" t="s">
        <v>575</v>
      </c>
      <c r="C4056" t="s">
        <v>673</v>
      </c>
      <c r="D4056">
        <v>2015</v>
      </c>
      <c r="E4056" s="2">
        <v>75</v>
      </c>
      <c r="F4056" s="2">
        <v>5250</v>
      </c>
      <c r="G4056" s="2"/>
    </row>
    <row r="4057" spans="1:8" x14ac:dyDescent="0.3">
      <c r="A4057" t="s">
        <v>1799</v>
      </c>
      <c r="B4057" t="s">
        <v>575</v>
      </c>
      <c r="C4057" t="s">
        <v>673</v>
      </c>
      <c r="D4057">
        <v>2016</v>
      </c>
      <c r="E4057" s="2">
        <v>75</v>
      </c>
      <c r="F4057" s="2">
        <v>5250</v>
      </c>
      <c r="G4057" s="2"/>
    </row>
    <row r="4058" spans="1:8" x14ac:dyDescent="0.3">
      <c r="A4058" t="s">
        <v>1799</v>
      </c>
      <c r="B4058" t="s">
        <v>575</v>
      </c>
      <c r="C4058" t="s">
        <v>673</v>
      </c>
      <c r="D4058">
        <v>2017</v>
      </c>
      <c r="E4058" s="2">
        <v>50</v>
      </c>
      <c r="F4058" s="2">
        <v>3500</v>
      </c>
      <c r="G4058" s="2"/>
    </row>
    <row r="4059" spans="1:8" x14ac:dyDescent="0.3">
      <c r="A4059" t="s">
        <v>1799</v>
      </c>
      <c r="B4059" t="s">
        <v>575</v>
      </c>
      <c r="C4059" t="s">
        <v>673</v>
      </c>
      <c r="D4059">
        <v>2018</v>
      </c>
      <c r="E4059" s="2">
        <v>25</v>
      </c>
      <c r="F4059" s="2">
        <v>1750</v>
      </c>
      <c r="G4059" s="2">
        <v>1837.5</v>
      </c>
    </row>
    <row r="4060" spans="1:8" x14ac:dyDescent="0.3">
      <c r="A4060" t="s">
        <v>1799</v>
      </c>
      <c r="B4060" t="s">
        <v>30</v>
      </c>
      <c r="C4060" t="s">
        <v>31</v>
      </c>
      <c r="D4060">
        <v>2016</v>
      </c>
      <c r="E4060" s="2">
        <v>5</v>
      </c>
      <c r="F4060" s="2">
        <v>450</v>
      </c>
      <c r="G4060" s="2"/>
    </row>
    <row r="4061" spans="1:8" x14ac:dyDescent="0.3">
      <c r="A4061" t="s">
        <v>1799</v>
      </c>
      <c r="B4061" t="s">
        <v>30</v>
      </c>
      <c r="C4061" t="s">
        <v>31</v>
      </c>
      <c r="D4061">
        <v>2020</v>
      </c>
      <c r="E4061" s="2">
        <v>5</v>
      </c>
      <c r="F4061" s="2">
        <v>350</v>
      </c>
      <c r="G4061" s="2">
        <v>367.5</v>
      </c>
    </row>
    <row r="4062" spans="1:8" x14ac:dyDescent="0.3">
      <c r="A4062" t="s">
        <v>1799</v>
      </c>
      <c r="B4062" t="s">
        <v>334</v>
      </c>
      <c r="C4062" t="s">
        <v>335</v>
      </c>
      <c r="D4062">
        <v>2014</v>
      </c>
      <c r="E4062" s="2">
        <v>25</v>
      </c>
      <c r="F4062" s="2">
        <v>2125</v>
      </c>
      <c r="G4062" s="2"/>
    </row>
    <row r="4063" spans="1:8" x14ac:dyDescent="0.3">
      <c r="A4063" t="s">
        <v>1799</v>
      </c>
      <c r="B4063" t="s">
        <v>334</v>
      </c>
      <c r="C4063" t="s">
        <v>335</v>
      </c>
      <c r="D4063">
        <v>2015</v>
      </c>
      <c r="E4063" s="2">
        <v>25</v>
      </c>
      <c r="F4063" s="2">
        <v>2125</v>
      </c>
      <c r="G4063" s="2"/>
    </row>
    <row r="4064" spans="1:8" x14ac:dyDescent="0.3">
      <c r="A4064" t="s">
        <v>1799</v>
      </c>
      <c r="B4064" t="s">
        <v>196</v>
      </c>
      <c r="C4064" t="s">
        <v>197</v>
      </c>
      <c r="D4064">
        <v>2018</v>
      </c>
      <c r="E4064" s="2">
        <v>10</v>
      </c>
      <c r="F4064" s="2">
        <v>1200</v>
      </c>
      <c r="G4064" s="2">
        <v>1260</v>
      </c>
    </row>
    <row r="4065" spans="1:8" x14ac:dyDescent="0.3">
      <c r="A4065" t="s">
        <v>1799</v>
      </c>
      <c r="B4065" t="s">
        <v>46</v>
      </c>
      <c r="C4065" t="s">
        <v>47</v>
      </c>
      <c r="D4065">
        <v>2014</v>
      </c>
      <c r="E4065" s="2">
        <v>25</v>
      </c>
      <c r="F4065" s="2">
        <v>1625</v>
      </c>
      <c r="G4065" s="2"/>
    </row>
    <row r="4066" spans="1:8" x14ac:dyDescent="0.3">
      <c r="A4066" t="s">
        <v>1799</v>
      </c>
      <c r="B4066" t="s">
        <v>76</v>
      </c>
      <c r="C4066" t="s">
        <v>77</v>
      </c>
      <c r="D4066">
        <v>2019</v>
      </c>
      <c r="E4066" s="2">
        <v>15</v>
      </c>
      <c r="F4066" s="2">
        <v>1125</v>
      </c>
      <c r="G4066" s="2">
        <v>1181.25</v>
      </c>
      <c r="H4066" s="3" t="s">
        <v>374</v>
      </c>
    </row>
    <row r="4067" spans="1:8" x14ac:dyDescent="0.3">
      <c r="A4067" t="s">
        <v>1799</v>
      </c>
      <c r="B4067" t="s">
        <v>76</v>
      </c>
      <c r="C4067" t="s">
        <v>77</v>
      </c>
      <c r="D4067">
        <v>2021</v>
      </c>
      <c r="E4067" s="2">
        <v>25</v>
      </c>
      <c r="F4067" s="2">
        <v>1875</v>
      </c>
      <c r="G4067" s="2">
        <v>1968.75</v>
      </c>
      <c r="H4067" s="3" t="s">
        <v>374</v>
      </c>
    </row>
    <row r="4068" spans="1:8" x14ac:dyDescent="0.3">
      <c r="A4068" t="s">
        <v>1799</v>
      </c>
      <c r="B4068" t="s">
        <v>203</v>
      </c>
      <c r="C4068" t="s">
        <v>204</v>
      </c>
      <c r="D4068">
        <v>2015</v>
      </c>
      <c r="E4068" s="2">
        <v>10</v>
      </c>
      <c r="F4068" s="2">
        <v>880</v>
      </c>
      <c r="G4068" s="2"/>
    </row>
    <row r="4069" spans="1:8" x14ac:dyDescent="0.3">
      <c r="A4069" t="s">
        <v>1799</v>
      </c>
      <c r="B4069" t="s">
        <v>203</v>
      </c>
      <c r="C4069" t="s">
        <v>204</v>
      </c>
      <c r="D4069">
        <v>2016</v>
      </c>
      <c r="E4069" s="2">
        <v>25</v>
      </c>
      <c r="F4069" s="2">
        <v>2200</v>
      </c>
      <c r="G4069" s="2"/>
    </row>
    <row r="4070" spans="1:8" x14ac:dyDescent="0.3">
      <c r="A4070" t="s">
        <v>1799</v>
      </c>
      <c r="B4070" t="s">
        <v>203</v>
      </c>
      <c r="C4070" t="s">
        <v>204</v>
      </c>
      <c r="D4070">
        <v>2017</v>
      </c>
      <c r="E4070" s="2">
        <v>105</v>
      </c>
      <c r="F4070" s="2">
        <v>9240</v>
      </c>
      <c r="G4070" s="2"/>
    </row>
    <row r="4071" spans="1:8" x14ac:dyDescent="0.3">
      <c r="A4071" t="s">
        <v>1799</v>
      </c>
      <c r="B4071" t="s">
        <v>203</v>
      </c>
      <c r="C4071" t="s">
        <v>204</v>
      </c>
      <c r="D4071">
        <v>2018</v>
      </c>
      <c r="E4071" s="2">
        <v>50</v>
      </c>
      <c r="F4071" s="2">
        <v>4400</v>
      </c>
      <c r="G4071" s="2">
        <v>4620</v>
      </c>
    </row>
    <row r="4072" spans="1:8" x14ac:dyDescent="0.3">
      <c r="A4072" t="s">
        <v>1799</v>
      </c>
      <c r="B4072" t="s">
        <v>679</v>
      </c>
      <c r="C4072" t="s">
        <v>680</v>
      </c>
      <c r="D4072">
        <v>2020</v>
      </c>
      <c r="E4072" s="2">
        <v>25</v>
      </c>
      <c r="F4072" s="2">
        <v>2200</v>
      </c>
      <c r="G4072" s="2">
        <v>2310</v>
      </c>
      <c r="H4072" s="3" t="s">
        <v>18</v>
      </c>
    </row>
    <row r="4073" spans="1:8" x14ac:dyDescent="0.3">
      <c r="A4073" t="s">
        <v>1799</v>
      </c>
      <c r="B4073" t="s">
        <v>679</v>
      </c>
      <c r="C4073" t="s">
        <v>680</v>
      </c>
      <c r="D4073">
        <v>2021</v>
      </c>
      <c r="E4073" s="2">
        <v>25</v>
      </c>
      <c r="F4073" s="2">
        <v>2200</v>
      </c>
      <c r="G4073" s="2">
        <v>2310</v>
      </c>
      <c r="H4073" s="3" t="s">
        <v>18</v>
      </c>
    </row>
    <row r="4074" spans="1:8" x14ac:dyDescent="0.3">
      <c r="A4074" t="s">
        <v>1799</v>
      </c>
      <c r="B4074" t="s">
        <v>1804</v>
      </c>
      <c r="C4074" t="s">
        <v>1805</v>
      </c>
      <c r="D4074">
        <v>2016</v>
      </c>
      <c r="E4074" s="2">
        <v>24</v>
      </c>
      <c r="F4074" s="2">
        <v>2640</v>
      </c>
      <c r="G4074" s="2"/>
    </row>
    <row r="4075" spans="1:8" x14ac:dyDescent="0.3">
      <c r="A4075" t="s">
        <v>1806</v>
      </c>
      <c r="B4075" t="s">
        <v>110</v>
      </c>
      <c r="C4075" t="s">
        <v>111</v>
      </c>
      <c r="D4075">
        <v>2021</v>
      </c>
      <c r="E4075" s="2">
        <v>5</v>
      </c>
      <c r="F4075" s="2">
        <v>275</v>
      </c>
      <c r="G4075" s="2">
        <v>288.75</v>
      </c>
    </row>
    <row r="4076" spans="1:8" x14ac:dyDescent="0.3">
      <c r="A4076" t="s">
        <v>1807</v>
      </c>
      <c r="B4076" t="s">
        <v>26</v>
      </c>
      <c r="C4076" t="s">
        <v>27</v>
      </c>
      <c r="D4076">
        <v>2017</v>
      </c>
      <c r="E4076" s="2">
        <v>50</v>
      </c>
      <c r="F4076" s="2">
        <v>2750</v>
      </c>
      <c r="G4076" s="2"/>
    </row>
    <row r="4077" spans="1:8" x14ac:dyDescent="0.3">
      <c r="A4077" t="s">
        <v>1808</v>
      </c>
      <c r="B4077" t="s">
        <v>696</v>
      </c>
      <c r="C4077" t="s">
        <v>697</v>
      </c>
      <c r="D4077">
        <v>2016</v>
      </c>
      <c r="E4077" s="2">
        <v>114</v>
      </c>
      <c r="F4077" s="2">
        <v>6270</v>
      </c>
      <c r="G4077" s="2"/>
    </row>
    <row r="4078" spans="1:8" x14ac:dyDescent="0.3">
      <c r="A4078" t="s">
        <v>1808</v>
      </c>
      <c r="B4078" t="s">
        <v>696</v>
      </c>
      <c r="C4078" t="s">
        <v>697</v>
      </c>
      <c r="D4078">
        <v>2017</v>
      </c>
      <c r="E4078" s="2">
        <v>50</v>
      </c>
      <c r="F4078" s="2">
        <v>2750</v>
      </c>
      <c r="G4078" s="2"/>
    </row>
    <row r="4079" spans="1:8" x14ac:dyDescent="0.3">
      <c r="A4079" t="s">
        <v>1808</v>
      </c>
      <c r="B4079" t="s">
        <v>639</v>
      </c>
      <c r="C4079" t="s">
        <v>640</v>
      </c>
      <c r="D4079">
        <v>2016</v>
      </c>
      <c r="E4079" s="2">
        <v>25</v>
      </c>
      <c r="F4079" s="2">
        <v>2050</v>
      </c>
      <c r="G4079" s="2"/>
    </row>
    <row r="4080" spans="1:8" x14ac:dyDescent="0.3">
      <c r="A4080" t="s">
        <v>1808</v>
      </c>
      <c r="B4080" t="s">
        <v>639</v>
      </c>
      <c r="C4080" t="s">
        <v>640</v>
      </c>
      <c r="D4080">
        <v>2017</v>
      </c>
      <c r="E4080" s="2">
        <v>50</v>
      </c>
      <c r="F4080" s="2">
        <v>4100</v>
      </c>
      <c r="G4080" s="2"/>
    </row>
    <row r="4081" spans="1:7" x14ac:dyDescent="0.3">
      <c r="A4081" t="s">
        <v>1808</v>
      </c>
      <c r="B4081" t="s">
        <v>777</v>
      </c>
      <c r="C4081" t="s">
        <v>63</v>
      </c>
      <c r="D4081">
        <v>2016</v>
      </c>
      <c r="E4081" s="2">
        <v>300</v>
      </c>
      <c r="F4081" s="2">
        <v>12000</v>
      </c>
      <c r="G4081" s="2"/>
    </row>
    <row r="4082" spans="1:7" x14ac:dyDescent="0.3">
      <c r="A4082" t="s">
        <v>1808</v>
      </c>
      <c r="B4082" t="s">
        <v>1446</v>
      </c>
      <c r="C4082" t="s">
        <v>814</v>
      </c>
      <c r="D4082">
        <v>2016</v>
      </c>
      <c r="E4082" s="2">
        <v>100</v>
      </c>
      <c r="F4082" s="2">
        <v>5500</v>
      </c>
      <c r="G4082" s="2"/>
    </row>
    <row r="4083" spans="1:7" x14ac:dyDescent="0.3">
      <c r="A4083" t="s">
        <v>1808</v>
      </c>
      <c r="B4083" t="s">
        <v>1446</v>
      </c>
      <c r="C4083" t="s">
        <v>814</v>
      </c>
      <c r="D4083">
        <v>2017</v>
      </c>
      <c r="E4083" s="2">
        <v>200</v>
      </c>
      <c r="F4083" s="2">
        <v>11000</v>
      </c>
      <c r="G4083" s="2"/>
    </row>
    <row r="4084" spans="1:7" x14ac:dyDescent="0.3">
      <c r="A4084" t="s">
        <v>1809</v>
      </c>
      <c r="B4084" t="s">
        <v>514</v>
      </c>
      <c r="C4084" t="s">
        <v>515</v>
      </c>
      <c r="D4084">
        <v>2020</v>
      </c>
      <c r="E4084" s="2">
        <v>1</v>
      </c>
      <c r="F4084" s="2">
        <v>200</v>
      </c>
      <c r="G4084" s="2">
        <v>210</v>
      </c>
    </row>
    <row r="4085" spans="1:7" x14ac:dyDescent="0.3">
      <c r="A4085" t="s">
        <v>1809</v>
      </c>
      <c r="B4085" t="s">
        <v>383</v>
      </c>
      <c r="C4085" t="s">
        <v>384</v>
      </c>
      <c r="D4085">
        <v>2020</v>
      </c>
      <c r="E4085" s="2">
        <v>1</v>
      </c>
      <c r="F4085" s="2">
        <v>180</v>
      </c>
      <c r="G4085" s="2">
        <v>189</v>
      </c>
    </row>
    <row r="4086" spans="1:7" x14ac:dyDescent="0.3">
      <c r="A4086" t="s">
        <v>1809</v>
      </c>
      <c r="B4086" t="s">
        <v>1167</v>
      </c>
      <c r="C4086" t="s">
        <v>102</v>
      </c>
      <c r="D4086">
        <v>2020</v>
      </c>
      <c r="E4086" s="2">
        <v>1</v>
      </c>
      <c r="F4086" s="2">
        <v>200</v>
      </c>
      <c r="G4086" s="2">
        <v>210</v>
      </c>
    </row>
    <row r="4087" spans="1:7" x14ac:dyDescent="0.3">
      <c r="A4087" t="s">
        <v>1809</v>
      </c>
      <c r="B4087" t="s">
        <v>841</v>
      </c>
      <c r="C4087" t="s">
        <v>169</v>
      </c>
      <c r="D4087">
        <v>2020</v>
      </c>
      <c r="E4087" s="2">
        <v>1</v>
      </c>
      <c r="F4087" s="2">
        <v>190</v>
      </c>
      <c r="G4087" s="2">
        <v>199.5</v>
      </c>
    </row>
    <row r="4088" spans="1:7" x14ac:dyDescent="0.3">
      <c r="A4088" t="s">
        <v>1810</v>
      </c>
      <c r="B4088" t="s">
        <v>1811</v>
      </c>
      <c r="D4088">
        <v>2016</v>
      </c>
      <c r="E4088" s="2">
        <v>400</v>
      </c>
      <c r="F4088" s="2">
        <v>4800</v>
      </c>
      <c r="G4088" s="2"/>
    </row>
    <row r="4089" spans="1:7" x14ac:dyDescent="0.3">
      <c r="A4089" t="s">
        <v>1810</v>
      </c>
      <c r="B4089" t="s">
        <v>1676</v>
      </c>
      <c r="D4089">
        <v>2016</v>
      </c>
      <c r="E4089" s="2">
        <v>25</v>
      </c>
      <c r="F4089" s="2">
        <v>1875</v>
      </c>
      <c r="G4089" s="2"/>
    </row>
    <row r="4090" spans="1:7" x14ac:dyDescent="0.3">
      <c r="A4090" t="s">
        <v>1810</v>
      </c>
      <c r="B4090" t="s">
        <v>1214</v>
      </c>
      <c r="C4090" t="s">
        <v>1215</v>
      </c>
      <c r="D4090">
        <v>2015</v>
      </c>
      <c r="E4090" s="2">
        <v>75</v>
      </c>
      <c r="F4090" s="2">
        <v>6375</v>
      </c>
      <c r="G4090" s="2"/>
    </row>
    <row r="4091" spans="1:7" x14ac:dyDescent="0.3">
      <c r="A4091" t="s">
        <v>1810</v>
      </c>
      <c r="B4091" t="s">
        <v>1214</v>
      </c>
      <c r="C4091" t="s">
        <v>1215</v>
      </c>
      <c r="D4091">
        <v>2016</v>
      </c>
      <c r="E4091" s="2">
        <v>150</v>
      </c>
      <c r="F4091" s="2">
        <v>12750</v>
      </c>
      <c r="G4091" s="2"/>
    </row>
    <row r="4092" spans="1:7" x14ac:dyDescent="0.3">
      <c r="A4092" t="s">
        <v>1810</v>
      </c>
      <c r="B4092" t="s">
        <v>631</v>
      </c>
      <c r="C4092" t="s">
        <v>632</v>
      </c>
      <c r="D4092">
        <v>2017</v>
      </c>
      <c r="E4092" s="2">
        <v>50</v>
      </c>
      <c r="F4092" s="2">
        <v>4500</v>
      </c>
      <c r="G4092" s="2"/>
    </row>
    <row r="4093" spans="1:7" x14ac:dyDescent="0.3">
      <c r="A4093" t="s">
        <v>1810</v>
      </c>
      <c r="B4093" t="s">
        <v>696</v>
      </c>
      <c r="C4093" t="s">
        <v>697</v>
      </c>
      <c r="D4093">
        <v>2016</v>
      </c>
      <c r="E4093" s="2">
        <v>25</v>
      </c>
      <c r="F4093" s="2">
        <v>2250</v>
      </c>
      <c r="G4093" s="2"/>
    </row>
    <row r="4094" spans="1:7" x14ac:dyDescent="0.3">
      <c r="A4094" t="s">
        <v>1810</v>
      </c>
      <c r="B4094" t="s">
        <v>1812</v>
      </c>
      <c r="D4094">
        <v>2016</v>
      </c>
      <c r="E4094" s="2">
        <v>100</v>
      </c>
      <c r="F4094" s="2">
        <v>8000</v>
      </c>
      <c r="G4094" s="2"/>
    </row>
    <row r="4095" spans="1:7" x14ac:dyDescent="0.3">
      <c r="A4095" t="s">
        <v>1810</v>
      </c>
      <c r="B4095" t="s">
        <v>28</v>
      </c>
      <c r="D4095">
        <v>2015</v>
      </c>
      <c r="E4095" s="2">
        <v>20</v>
      </c>
      <c r="F4095" s="2">
        <v>10000</v>
      </c>
      <c r="G4095" s="2"/>
    </row>
    <row r="4096" spans="1:7" x14ac:dyDescent="0.3">
      <c r="A4096" t="s">
        <v>1810</v>
      </c>
      <c r="B4096" t="s">
        <v>28</v>
      </c>
      <c r="D4096">
        <v>2016</v>
      </c>
      <c r="E4096" s="2">
        <v>40</v>
      </c>
      <c r="F4096" s="2">
        <v>20000</v>
      </c>
      <c r="G4096" s="2"/>
    </row>
    <row r="4097" spans="1:7" x14ac:dyDescent="0.3">
      <c r="A4097" t="s">
        <v>1810</v>
      </c>
      <c r="B4097" t="s">
        <v>1813</v>
      </c>
      <c r="D4097">
        <v>2016</v>
      </c>
      <c r="E4097" s="2">
        <v>100</v>
      </c>
      <c r="F4097" s="2">
        <v>35000</v>
      </c>
      <c r="G4097" s="2"/>
    </row>
    <row r="4098" spans="1:7" x14ac:dyDescent="0.3">
      <c r="A4098" t="s">
        <v>1810</v>
      </c>
      <c r="B4098" t="s">
        <v>1814</v>
      </c>
      <c r="D4098">
        <v>2016</v>
      </c>
      <c r="E4098" s="2">
        <v>400</v>
      </c>
      <c r="F4098" s="2">
        <v>4800</v>
      </c>
      <c r="G4098" s="2"/>
    </row>
    <row r="4099" spans="1:7" x14ac:dyDescent="0.3">
      <c r="A4099" t="s">
        <v>1810</v>
      </c>
      <c r="B4099" t="s">
        <v>19</v>
      </c>
      <c r="C4099" t="s">
        <v>699</v>
      </c>
      <c r="D4099">
        <v>2016</v>
      </c>
      <c r="E4099" s="2">
        <v>25</v>
      </c>
      <c r="F4099" s="2">
        <v>2375</v>
      </c>
      <c r="G4099" s="2"/>
    </row>
    <row r="4100" spans="1:7" x14ac:dyDescent="0.3">
      <c r="A4100" t="s">
        <v>1810</v>
      </c>
      <c r="B4100" t="s">
        <v>269</v>
      </c>
      <c r="C4100" t="s">
        <v>270</v>
      </c>
      <c r="D4100">
        <v>2014</v>
      </c>
      <c r="E4100" s="2">
        <v>25</v>
      </c>
      <c r="F4100" s="2">
        <v>2375</v>
      </c>
      <c r="G4100" s="2"/>
    </row>
    <row r="4101" spans="1:7" x14ac:dyDescent="0.3">
      <c r="A4101" t="s">
        <v>1810</v>
      </c>
      <c r="B4101" t="s">
        <v>41</v>
      </c>
      <c r="C4101" t="s">
        <v>42</v>
      </c>
      <c r="D4101">
        <v>2014</v>
      </c>
      <c r="E4101" s="2">
        <v>25</v>
      </c>
      <c r="F4101" s="2">
        <v>1875</v>
      </c>
      <c r="G4101" s="2"/>
    </row>
    <row r="4102" spans="1:7" x14ac:dyDescent="0.3">
      <c r="A4102" t="s">
        <v>1810</v>
      </c>
      <c r="B4102" t="s">
        <v>41</v>
      </c>
      <c r="C4102" t="s">
        <v>42</v>
      </c>
      <c r="D4102">
        <v>2015</v>
      </c>
      <c r="E4102" s="2">
        <v>25</v>
      </c>
      <c r="F4102" s="2">
        <v>1875</v>
      </c>
      <c r="G4102" s="2"/>
    </row>
    <row r="4103" spans="1:7" x14ac:dyDescent="0.3">
      <c r="A4103" t="s">
        <v>1810</v>
      </c>
      <c r="B4103" t="s">
        <v>741</v>
      </c>
      <c r="C4103" t="s">
        <v>742</v>
      </c>
      <c r="D4103">
        <v>2015</v>
      </c>
      <c r="E4103" s="2">
        <v>50</v>
      </c>
      <c r="F4103" s="2">
        <v>4250</v>
      </c>
      <c r="G4103" s="2"/>
    </row>
    <row r="4104" spans="1:7" x14ac:dyDescent="0.3">
      <c r="A4104" t="s">
        <v>1810</v>
      </c>
      <c r="B4104" t="s">
        <v>741</v>
      </c>
      <c r="C4104" t="s">
        <v>742</v>
      </c>
      <c r="D4104">
        <v>2016</v>
      </c>
      <c r="E4104" s="2">
        <v>75</v>
      </c>
      <c r="F4104" s="2">
        <v>6375</v>
      </c>
      <c r="G4104" s="2"/>
    </row>
    <row r="4105" spans="1:7" x14ac:dyDescent="0.3">
      <c r="A4105" t="s">
        <v>1810</v>
      </c>
      <c r="B4105" t="s">
        <v>1815</v>
      </c>
      <c r="C4105" t="s">
        <v>1223</v>
      </c>
      <c r="D4105">
        <v>2016</v>
      </c>
      <c r="E4105" s="2">
        <v>125</v>
      </c>
      <c r="F4105" s="2">
        <v>11875</v>
      </c>
      <c r="G4105" s="2"/>
    </row>
    <row r="4106" spans="1:7" x14ac:dyDescent="0.3">
      <c r="A4106" t="s">
        <v>1810</v>
      </c>
      <c r="B4106" t="s">
        <v>438</v>
      </c>
      <c r="C4106" t="s">
        <v>439</v>
      </c>
      <c r="D4106">
        <v>2016</v>
      </c>
      <c r="E4106" s="2">
        <v>75</v>
      </c>
      <c r="F4106" s="2">
        <v>6750</v>
      </c>
      <c r="G4106" s="2"/>
    </row>
    <row r="4107" spans="1:7" x14ac:dyDescent="0.3">
      <c r="A4107" t="s">
        <v>1810</v>
      </c>
      <c r="B4107" t="s">
        <v>1452</v>
      </c>
      <c r="C4107" t="s">
        <v>1453</v>
      </c>
      <c r="D4107">
        <v>2016</v>
      </c>
      <c r="E4107" s="2">
        <v>75</v>
      </c>
      <c r="F4107" s="2">
        <v>7500</v>
      </c>
      <c r="G4107" s="2"/>
    </row>
    <row r="4108" spans="1:7" x14ac:dyDescent="0.3">
      <c r="A4108" t="s">
        <v>1810</v>
      </c>
      <c r="B4108" t="s">
        <v>1816</v>
      </c>
      <c r="C4108" t="s">
        <v>1817</v>
      </c>
      <c r="D4108">
        <v>2016</v>
      </c>
      <c r="E4108" s="2">
        <v>50</v>
      </c>
      <c r="F4108" s="2">
        <v>4250</v>
      </c>
      <c r="G4108" s="2"/>
    </row>
    <row r="4109" spans="1:7" x14ac:dyDescent="0.3">
      <c r="A4109" t="s">
        <v>1810</v>
      </c>
      <c r="B4109" t="s">
        <v>45</v>
      </c>
      <c r="D4109">
        <v>2015</v>
      </c>
      <c r="E4109" s="2">
        <v>20</v>
      </c>
      <c r="F4109" s="2">
        <v>2000</v>
      </c>
      <c r="G4109" s="2"/>
    </row>
    <row r="4110" spans="1:7" x14ac:dyDescent="0.3">
      <c r="A4110" t="s">
        <v>1810</v>
      </c>
      <c r="B4110" t="s">
        <v>45</v>
      </c>
      <c r="D4110">
        <v>2016</v>
      </c>
      <c r="E4110" s="2">
        <v>120</v>
      </c>
      <c r="F4110" s="2">
        <v>12000</v>
      </c>
      <c r="G4110" s="2"/>
    </row>
    <row r="4111" spans="1:7" x14ac:dyDescent="0.3">
      <c r="A4111" t="s">
        <v>1810</v>
      </c>
      <c r="B4111" t="s">
        <v>45</v>
      </c>
      <c r="D4111">
        <v>2017</v>
      </c>
      <c r="E4111" s="2">
        <v>40</v>
      </c>
      <c r="F4111" s="2">
        <v>4000</v>
      </c>
      <c r="G4111" s="2"/>
    </row>
    <row r="4112" spans="1:7" x14ac:dyDescent="0.3">
      <c r="A4112" t="s">
        <v>1810</v>
      </c>
      <c r="B4112" t="s">
        <v>240</v>
      </c>
      <c r="D4112">
        <v>2015</v>
      </c>
      <c r="E4112" s="2">
        <v>20</v>
      </c>
      <c r="F4112" s="2">
        <v>1800</v>
      </c>
      <c r="G4112" s="2"/>
    </row>
    <row r="4113" spans="1:8" x14ac:dyDescent="0.3">
      <c r="A4113" t="s">
        <v>1810</v>
      </c>
      <c r="B4113" t="s">
        <v>32</v>
      </c>
      <c r="D4113">
        <v>2014</v>
      </c>
      <c r="E4113" s="2">
        <v>20</v>
      </c>
      <c r="F4113" s="2">
        <v>1800</v>
      </c>
      <c r="G4113" s="2"/>
    </row>
    <row r="4114" spans="1:8" x14ac:dyDescent="0.3">
      <c r="A4114" t="s">
        <v>1810</v>
      </c>
      <c r="B4114" t="s">
        <v>32</v>
      </c>
      <c r="D4114">
        <v>2015</v>
      </c>
      <c r="E4114" s="2">
        <v>40</v>
      </c>
      <c r="F4114" s="2">
        <v>3600</v>
      </c>
      <c r="G4114" s="2"/>
    </row>
    <row r="4115" spans="1:8" x14ac:dyDescent="0.3">
      <c r="A4115" t="s">
        <v>1810</v>
      </c>
      <c r="B4115" t="s">
        <v>32</v>
      </c>
      <c r="D4115">
        <v>2016</v>
      </c>
      <c r="E4115" s="2">
        <v>80</v>
      </c>
      <c r="F4115" s="2">
        <v>7200</v>
      </c>
      <c r="G4115" s="2"/>
    </row>
    <row r="4116" spans="1:8" x14ac:dyDescent="0.3">
      <c r="A4116" t="s">
        <v>1818</v>
      </c>
      <c r="B4116" t="s">
        <v>349</v>
      </c>
      <c r="C4116" t="s">
        <v>350</v>
      </c>
      <c r="D4116">
        <v>2015</v>
      </c>
      <c r="E4116" s="2">
        <v>50</v>
      </c>
      <c r="F4116" s="2">
        <v>4750</v>
      </c>
      <c r="G4116" s="2"/>
    </row>
    <row r="4117" spans="1:8" x14ac:dyDescent="0.3">
      <c r="A4117" t="s">
        <v>1818</v>
      </c>
      <c r="B4117" t="s">
        <v>349</v>
      </c>
      <c r="C4117" t="s">
        <v>350</v>
      </c>
      <c r="D4117">
        <v>2017</v>
      </c>
      <c r="E4117" s="2">
        <v>25</v>
      </c>
      <c r="F4117" s="2">
        <v>1875</v>
      </c>
      <c r="G4117" s="2"/>
    </row>
    <row r="4118" spans="1:8" x14ac:dyDescent="0.3">
      <c r="A4118" t="s">
        <v>1819</v>
      </c>
      <c r="B4118" t="s">
        <v>453</v>
      </c>
      <c r="D4118">
        <v>2019</v>
      </c>
      <c r="E4118" s="2">
        <v>1</v>
      </c>
      <c r="F4118" s="2">
        <v>78</v>
      </c>
      <c r="G4118" s="2">
        <v>81.900000000000006</v>
      </c>
      <c r="H4118" s="3" t="s">
        <v>18</v>
      </c>
    </row>
    <row r="4119" spans="1:8" x14ac:dyDescent="0.3">
      <c r="A4119" t="s">
        <v>1819</v>
      </c>
      <c r="B4119" t="s">
        <v>453</v>
      </c>
      <c r="D4119">
        <v>2021</v>
      </c>
      <c r="E4119" s="2">
        <v>1</v>
      </c>
      <c r="F4119" s="2">
        <v>78</v>
      </c>
      <c r="G4119" s="2">
        <v>81.900000000000006</v>
      </c>
      <c r="H4119" s="3" t="s">
        <v>18</v>
      </c>
    </row>
    <row r="4120" spans="1:8" x14ac:dyDescent="0.3">
      <c r="A4120" t="s">
        <v>1819</v>
      </c>
      <c r="B4120" t="s">
        <v>458</v>
      </c>
      <c r="D4120">
        <v>2015</v>
      </c>
      <c r="E4120" s="2">
        <v>5</v>
      </c>
      <c r="F4120" s="2">
        <v>475</v>
      </c>
      <c r="G4120" s="2"/>
    </row>
    <row r="4121" spans="1:8" x14ac:dyDescent="0.3">
      <c r="A4121" t="s">
        <v>1819</v>
      </c>
      <c r="B4121" t="s">
        <v>458</v>
      </c>
      <c r="D4121">
        <v>2016</v>
      </c>
      <c r="E4121" s="2">
        <v>5</v>
      </c>
      <c r="F4121" s="2">
        <v>475</v>
      </c>
      <c r="G4121" s="2"/>
    </row>
    <row r="4122" spans="1:8" x14ac:dyDescent="0.3">
      <c r="A4122" t="s">
        <v>1819</v>
      </c>
      <c r="B4122" t="s">
        <v>641</v>
      </c>
      <c r="C4122" t="s">
        <v>289</v>
      </c>
      <c r="D4122">
        <v>2020</v>
      </c>
      <c r="E4122" s="2">
        <v>25</v>
      </c>
      <c r="F4122" s="2">
        <v>1400</v>
      </c>
      <c r="G4122" s="2">
        <v>1400</v>
      </c>
    </row>
    <row r="4123" spans="1:8" x14ac:dyDescent="0.3">
      <c r="A4123" t="s">
        <v>1819</v>
      </c>
      <c r="B4123" t="s">
        <v>649</v>
      </c>
      <c r="C4123" t="s">
        <v>650</v>
      </c>
      <c r="D4123">
        <v>2017</v>
      </c>
      <c r="E4123" s="2">
        <v>590</v>
      </c>
      <c r="F4123" s="2">
        <v>810552</v>
      </c>
      <c r="G4123" s="2"/>
      <c r="H4123" s="3" t="s">
        <v>14</v>
      </c>
    </row>
    <row r="4124" spans="1:8" x14ac:dyDescent="0.3">
      <c r="A4124" t="s">
        <v>1819</v>
      </c>
      <c r="B4124" t="s">
        <v>649</v>
      </c>
      <c r="C4124" t="s">
        <v>650</v>
      </c>
      <c r="D4124">
        <v>2018</v>
      </c>
      <c r="E4124" s="2">
        <v>300</v>
      </c>
      <c r="F4124" s="2">
        <v>23400</v>
      </c>
      <c r="G4124" s="2">
        <v>24570</v>
      </c>
      <c r="H4124" s="3" t="s">
        <v>14</v>
      </c>
    </row>
    <row r="4125" spans="1:8" x14ac:dyDescent="0.3">
      <c r="A4125" t="s">
        <v>1819</v>
      </c>
      <c r="B4125" t="s">
        <v>649</v>
      </c>
      <c r="C4125" t="s">
        <v>650</v>
      </c>
      <c r="D4125">
        <v>2019</v>
      </c>
      <c r="E4125" s="2">
        <v>475</v>
      </c>
      <c r="F4125" s="2">
        <v>36700</v>
      </c>
      <c r="G4125" s="2">
        <v>38535</v>
      </c>
      <c r="H4125" s="3" t="s">
        <v>14</v>
      </c>
    </row>
    <row r="4126" spans="1:8" x14ac:dyDescent="0.3">
      <c r="A4126" t="s">
        <v>1819</v>
      </c>
      <c r="B4126" t="s">
        <v>649</v>
      </c>
      <c r="C4126" t="s">
        <v>650</v>
      </c>
      <c r="D4126">
        <v>2020</v>
      </c>
      <c r="E4126" s="2">
        <v>200</v>
      </c>
      <c r="F4126" s="2">
        <v>15400</v>
      </c>
      <c r="G4126" s="2">
        <v>16170</v>
      </c>
      <c r="H4126" s="3" t="s">
        <v>14</v>
      </c>
    </row>
    <row r="4127" spans="1:8" x14ac:dyDescent="0.3">
      <c r="A4127" t="s">
        <v>1819</v>
      </c>
      <c r="B4127" t="s">
        <v>649</v>
      </c>
      <c r="C4127" t="s">
        <v>650</v>
      </c>
      <c r="D4127">
        <v>2021</v>
      </c>
      <c r="E4127" s="2">
        <v>125</v>
      </c>
      <c r="F4127" s="2">
        <v>9625</v>
      </c>
      <c r="G4127" s="2">
        <v>10106.25</v>
      </c>
      <c r="H4127" s="3" t="s">
        <v>14</v>
      </c>
    </row>
    <row r="4128" spans="1:8" x14ac:dyDescent="0.3">
      <c r="A4128" t="s">
        <v>1819</v>
      </c>
      <c r="B4128" t="s">
        <v>543</v>
      </c>
      <c r="C4128" t="s">
        <v>544</v>
      </c>
      <c r="D4128">
        <v>2019</v>
      </c>
      <c r="E4128" s="2">
        <v>5</v>
      </c>
      <c r="F4128" s="2">
        <v>390</v>
      </c>
      <c r="G4128" s="2">
        <v>409.5</v>
      </c>
    </row>
    <row r="4129" spans="1:8" x14ac:dyDescent="0.3">
      <c r="A4129" t="s">
        <v>1819</v>
      </c>
      <c r="B4129" t="s">
        <v>21</v>
      </c>
      <c r="C4129" t="s">
        <v>22</v>
      </c>
      <c r="D4129">
        <v>2017</v>
      </c>
      <c r="E4129" s="2">
        <v>5</v>
      </c>
      <c r="F4129" s="2">
        <v>340</v>
      </c>
      <c r="G4129" s="2"/>
    </row>
    <row r="4130" spans="1:8" x14ac:dyDescent="0.3">
      <c r="A4130" t="s">
        <v>1819</v>
      </c>
      <c r="B4130" t="s">
        <v>995</v>
      </c>
      <c r="C4130" t="s">
        <v>672</v>
      </c>
      <c r="D4130">
        <v>2017</v>
      </c>
      <c r="E4130" s="2">
        <v>19.8</v>
      </c>
      <c r="F4130" s="2">
        <v>1346.4</v>
      </c>
      <c r="G4130" s="2"/>
    </row>
    <row r="4131" spans="1:8" x14ac:dyDescent="0.3">
      <c r="A4131" t="s">
        <v>1819</v>
      </c>
      <c r="B4131" t="s">
        <v>36</v>
      </c>
      <c r="D4131">
        <v>2017</v>
      </c>
      <c r="E4131" s="2">
        <v>10</v>
      </c>
      <c r="F4131" s="2">
        <v>850</v>
      </c>
      <c r="G4131" s="2"/>
    </row>
    <row r="4132" spans="1:8" x14ac:dyDescent="0.3">
      <c r="A4132" t="s">
        <v>1819</v>
      </c>
      <c r="B4132" t="s">
        <v>915</v>
      </c>
      <c r="C4132" t="s">
        <v>916</v>
      </c>
      <c r="D4132">
        <v>2015</v>
      </c>
      <c r="E4132" s="2">
        <v>25</v>
      </c>
      <c r="F4132" s="2">
        <v>2050</v>
      </c>
      <c r="G4132" s="2"/>
    </row>
    <row r="4133" spans="1:8" x14ac:dyDescent="0.3">
      <c r="A4133" t="s">
        <v>1819</v>
      </c>
      <c r="B4133" t="s">
        <v>915</v>
      </c>
      <c r="C4133" t="s">
        <v>916</v>
      </c>
      <c r="D4133">
        <v>2018</v>
      </c>
      <c r="E4133" s="2">
        <v>15</v>
      </c>
      <c r="F4133" s="2">
        <v>1230</v>
      </c>
      <c r="G4133" s="2">
        <v>1291.5</v>
      </c>
    </row>
    <row r="4134" spans="1:8" x14ac:dyDescent="0.3">
      <c r="A4134" t="s">
        <v>1819</v>
      </c>
      <c r="B4134" t="s">
        <v>915</v>
      </c>
      <c r="C4134" t="s">
        <v>916</v>
      </c>
      <c r="D4134">
        <v>2019</v>
      </c>
      <c r="E4134" s="2">
        <v>25</v>
      </c>
      <c r="F4134" s="2">
        <v>2050</v>
      </c>
      <c r="G4134" s="2">
        <v>2152.5</v>
      </c>
    </row>
    <row r="4135" spans="1:8" x14ac:dyDescent="0.3">
      <c r="A4135" t="s">
        <v>1819</v>
      </c>
      <c r="B4135" t="s">
        <v>1820</v>
      </c>
      <c r="C4135" t="s">
        <v>1026</v>
      </c>
      <c r="D4135">
        <v>2015</v>
      </c>
      <c r="E4135" s="2">
        <v>25</v>
      </c>
      <c r="F4135" s="2">
        <v>2200</v>
      </c>
      <c r="G4135" s="2"/>
    </row>
    <row r="4136" spans="1:8" x14ac:dyDescent="0.3">
      <c r="A4136" t="s">
        <v>1819</v>
      </c>
      <c r="B4136" t="s">
        <v>1820</v>
      </c>
      <c r="C4136" t="s">
        <v>1026</v>
      </c>
      <c r="D4136">
        <v>2017</v>
      </c>
      <c r="E4136" s="2">
        <v>25</v>
      </c>
      <c r="F4136" s="2">
        <v>2200</v>
      </c>
      <c r="G4136" s="2"/>
    </row>
    <row r="4137" spans="1:8" x14ac:dyDescent="0.3">
      <c r="A4137" t="s">
        <v>1819</v>
      </c>
      <c r="B4137" t="s">
        <v>1820</v>
      </c>
      <c r="C4137" t="s">
        <v>1026</v>
      </c>
      <c r="D4137">
        <v>2018</v>
      </c>
      <c r="E4137" s="2">
        <v>25</v>
      </c>
      <c r="F4137" s="2">
        <v>2200</v>
      </c>
      <c r="G4137" s="2">
        <v>2310</v>
      </c>
    </row>
    <row r="4138" spans="1:8" x14ac:dyDescent="0.3">
      <c r="A4138" t="s">
        <v>1819</v>
      </c>
      <c r="B4138" t="s">
        <v>1820</v>
      </c>
      <c r="C4138" t="s">
        <v>1026</v>
      </c>
      <c r="D4138">
        <v>2019</v>
      </c>
      <c r="E4138" s="2">
        <v>25</v>
      </c>
      <c r="F4138" s="2">
        <v>2175</v>
      </c>
      <c r="G4138" s="2">
        <v>2283.75</v>
      </c>
    </row>
    <row r="4139" spans="1:8" x14ac:dyDescent="0.3">
      <c r="A4139" t="s">
        <v>1819</v>
      </c>
      <c r="B4139" t="s">
        <v>1821</v>
      </c>
      <c r="D4139">
        <v>2016</v>
      </c>
      <c r="E4139" s="2">
        <v>10</v>
      </c>
      <c r="F4139" s="2">
        <v>850</v>
      </c>
      <c r="G4139" s="2"/>
      <c r="H4139" s="3" t="s">
        <v>18</v>
      </c>
    </row>
    <row r="4140" spans="1:8" x14ac:dyDescent="0.3">
      <c r="A4140" t="s">
        <v>1819</v>
      </c>
      <c r="B4140" t="s">
        <v>1821</v>
      </c>
      <c r="D4140">
        <v>2017</v>
      </c>
      <c r="E4140" s="2">
        <v>20</v>
      </c>
      <c r="F4140" s="2">
        <v>1900</v>
      </c>
      <c r="G4140" s="2"/>
      <c r="H4140" s="3" t="s">
        <v>18</v>
      </c>
    </row>
    <row r="4141" spans="1:8" x14ac:dyDescent="0.3">
      <c r="A4141" t="s">
        <v>1819</v>
      </c>
      <c r="B4141" t="s">
        <v>1821</v>
      </c>
      <c r="D4141">
        <v>2018</v>
      </c>
      <c r="E4141" s="2">
        <v>20</v>
      </c>
      <c r="F4141" s="2">
        <v>1900</v>
      </c>
      <c r="G4141" s="2">
        <v>1995</v>
      </c>
      <c r="H4141" s="3" t="s">
        <v>18</v>
      </c>
    </row>
    <row r="4142" spans="1:8" x14ac:dyDescent="0.3">
      <c r="A4142" t="s">
        <v>1819</v>
      </c>
      <c r="B4142" t="s">
        <v>1821</v>
      </c>
      <c r="D4142">
        <v>2019</v>
      </c>
      <c r="E4142" s="2">
        <v>40</v>
      </c>
      <c r="F4142" s="2">
        <v>3950</v>
      </c>
      <c r="G4142" s="2">
        <v>4147.5</v>
      </c>
      <c r="H4142" s="3" t="s">
        <v>18</v>
      </c>
    </row>
    <row r="4143" spans="1:8" x14ac:dyDescent="0.3">
      <c r="A4143" t="s">
        <v>1819</v>
      </c>
      <c r="B4143" t="s">
        <v>1821</v>
      </c>
      <c r="D4143">
        <v>2020</v>
      </c>
      <c r="E4143" s="2">
        <v>20</v>
      </c>
      <c r="F4143" s="2">
        <v>1500</v>
      </c>
      <c r="G4143" s="2">
        <v>1575</v>
      </c>
      <c r="H4143" s="3" t="s">
        <v>18</v>
      </c>
    </row>
    <row r="4144" spans="1:8" x14ac:dyDescent="0.3">
      <c r="A4144" t="s">
        <v>1819</v>
      </c>
      <c r="B4144" t="s">
        <v>1821</v>
      </c>
      <c r="D4144">
        <v>2021</v>
      </c>
      <c r="E4144" s="2">
        <v>12</v>
      </c>
      <c r="F4144" s="2">
        <v>900</v>
      </c>
      <c r="G4144" s="2">
        <v>945</v>
      </c>
      <c r="H4144" s="3" t="s">
        <v>18</v>
      </c>
    </row>
    <row r="4145" spans="1:8" x14ac:dyDescent="0.3">
      <c r="A4145" t="s">
        <v>1822</v>
      </c>
      <c r="B4145" t="s">
        <v>1823</v>
      </c>
      <c r="D4145">
        <v>2020</v>
      </c>
      <c r="E4145" s="2">
        <v>1</v>
      </c>
      <c r="F4145" s="2">
        <v>100</v>
      </c>
      <c r="G4145" s="2">
        <v>100</v>
      </c>
    </row>
    <row r="4146" spans="1:8" x14ac:dyDescent="0.3">
      <c r="A4146" t="s">
        <v>1822</v>
      </c>
      <c r="B4146" t="s">
        <v>34</v>
      </c>
      <c r="D4146">
        <v>2020</v>
      </c>
      <c r="E4146" s="2">
        <v>55</v>
      </c>
      <c r="F4146" s="2">
        <v>4150</v>
      </c>
      <c r="G4146" s="2">
        <v>4150</v>
      </c>
    </row>
    <row r="4147" spans="1:8" x14ac:dyDescent="0.3">
      <c r="A4147" t="s">
        <v>1822</v>
      </c>
      <c r="B4147" t="s">
        <v>453</v>
      </c>
      <c r="D4147">
        <v>2020</v>
      </c>
      <c r="E4147" s="2">
        <v>25</v>
      </c>
      <c r="F4147" s="2">
        <v>1905</v>
      </c>
      <c r="G4147" s="2">
        <v>2000.25</v>
      </c>
    </row>
    <row r="4148" spans="1:8" x14ac:dyDescent="0.3">
      <c r="A4148" t="s">
        <v>1822</v>
      </c>
      <c r="B4148" t="s">
        <v>1824</v>
      </c>
      <c r="D4148">
        <v>2021</v>
      </c>
      <c r="E4148" s="2">
        <v>75</v>
      </c>
      <c r="F4148" s="2">
        <v>3750</v>
      </c>
      <c r="G4148" s="2">
        <v>3750</v>
      </c>
      <c r="H4148" s="3" t="s">
        <v>1825</v>
      </c>
    </row>
    <row r="4149" spans="1:8" x14ac:dyDescent="0.3">
      <c r="A4149" t="s">
        <v>1822</v>
      </c>
      <c r="B4149" t="s">
        <v>548</v>
      </c>
      <c r="D4149">
        <v>2020</v>
      </c>
      <c r="E4149" s="2">
        <v>100</v>
      </c>
      <c r="F4149" s="2">
        <v>5500</v>
      </c>
      <c r="G4149" s="2">
        <v>5500</v>
      </c>
    </row>
    <row r="4150" spans="1:8" x14ac:dyDescent="0.3">
      <c r="A4150" t="s">
        <v>1822</v>
      </c>
      <c r="B4150" t="s">
        <v>1648</v>
      </c>
      <c r="C4150" t="s">
        <v>1826</v>
      </c>
      <c r="D4150">
        <v>2019</v>
      </c>
      <c r="E4150" s="2">
        <v>150</v>
      </c>
      <c r="F4150" s="2">
        <v>7440</v>
      </c>
      <c r="G4150" s="2">
        <v>7812</v>
      </c>
    </row>
    <row r="4151" spans="1:8" x14ac:dyDescent="0.3">
      <c r="A4151" t="s">
        <v>1822</v>
      </c>
      <c r="B4151" t="s">
        <v>35</v>
      </c>
      <c r="D4151">
        <v>2021</v>
      </c>
      <c r="E4151" s="2">
        <v>1</v>
      </c>
      <c r="F4151" s="2">
        <v>85</v>
      </c>
      <c r="G4151" s="2">
        <v>85</v>
      </c>
    </row>
    <row r="4152" spans="1:8" x14ac:dyDescent="0.3">
      <c r="A4152" t="s">
        <v>1822</v>
      </c>
      <c r="B4152" t="s">
        <v>467</v>
      </c>
      <c r="C4152" t="s">
        <v>468</v>
      </c>
      <c r="D4152">
        <v>2019</v>
      </c>
      <c r="E4152" s="2">
        <v>25</v>
      </c>
      <c r="F4152" s="2">
        <v>1000</v>
      </c>
      <c r="G4152" s="2">
        <v>1050</v>
      </c>
    </row>
    <row r="4153" spans="1:8" x14ac:dyDescent="0.3">
      <c r="A4153" t="s">
        <v>1822</v>
      </c>
      <c r="B4153" t="s">
        <v>467</v>
      </c>
      <c r="C4153" t="s">
        <v>468</v>
      </c>
      <c r="D4153">
        <v>2020</v>
      </c>
      <c r="E4153" s="2">
        <v>85</v>
      </c>
      <c r="F4153" s="2">
        <v>3300</v>
      </c>
      <c r="G4153" s="2">
        <v>3300</v>
      </c>
    </row>
    <row r="4154" spans="1:8" x14ac:dyDescent="0.3">
      <c r="A4154" t="s">
        <v>1822</v>
      </c>
      <c r="B4154" t="s">
        <v>467</v>
      </c>
      <c r="C4154" t="s">
        <v>468</v>
      </c>
      <c r="D4154">
        <v>2021</v>
      </c>
      <c r="E4154" s="2">
        <v>50</v>
      </c>
      <c r="F4154" s="2">
        <v>2500</v>
      </c>
      <c r="G4154" s="2">
        <v>2500</v>
      </c>
    </row>
    <row r="4155" spans="1:8" x14ac:dyDescent="0.3">
      <c r="A4155" t="s">
        <v>1822</v>
      </c>
      <c r="B4155" t="s">
        <v>671</v>
      </c>
      <c r="C4155" t="s">
        <v>672</v>
      </c>
      <c r="D4155">
        <v>2020</v>
      </c>
      <c r="E4155" s="2">
        <v>25</v>
      </c>
      <c r="F4155" s="2">
        <v>1000</v>
      </c>
      <c r="G4155" s="2">
        <v>1000</v>
      </c>
      <c r="H4155" s="3" t="s">
        <v>374</v>
      </c>
    </row>
    <row r="4156" spans="1:8" x14ac:dyDescent="0.3">
      <c r="A4156" t="s">
        <v>1822</v>
      </c>
      <c r="B4156" t="s">
        <v>671</v>
      </c>
      <c r="C4156" t="s">
        <v>672</v>
      </c>
      <c r="D4156">
        <v>2021</v>
      </c>
      <c r="E4156" s="2">
        <v>75</v>
      </c>
      <c r="F4156" s="2">
        <v>3000</v>
      </c>
      <c r="G4156" s="2">
        <v>3000</v>
      </c>
      <c r="H4156" s="3" t="s">
        <v>374</v>
      </c>
    </row>
    <row r="4157" spans="1:8" x14ac:dyDescent="0.3">
      <c r="A4157" t="s">
        <v>1822</v>
      </c>
      <c r="B4157" t="s">
        <v>1827</v>
      </c>
      <c r="D4157">
        <v>2021</v>
      </c>
      <c r="E4157" s="2">
        <v>25</v>
      </c>
      <c r="F4157" s="2">
        <v>1250</v>
      </c>
      <c r="G4157" s="2">
        <v>1250</v>
      </c>
      <c r="H4157" s="3" t="s">
        <v>1828</v>
      </c>
    </row>
    <row r="4158" spans="1:8" x14ac:dyDescent="0.3">
      <c r="A4158" t="s">
        <v>1822</v>
      </c>
      <c r="B4158" t="s">
        <v>110</v>
      </c>
      <c r="C4158" t="s">
        <v>111</v>
      </c>
      <c r="D4158">
        <v>2021</v>
      </c>
      <c r="E4158" s="2">
        <v>25</v>
      </c>
      <c r="F4158" s="2">
        <v>1250</v>
      </c>
      <c r="G4158" s="2">
        <v>1250</v>
      </c>
      <c r="H4158" s="3" t="s">
        <v>1829</v>
      </c>
    </row>
    <row r="4159" spans="1:8" x14ac:dyDescent="0.3">
      <c r="A4159" t="s">
        <v>1822</v>
      </c>
      <c r="B4159" t="s">
        <v>909</v>
      </c>
      <c r="C4159" t="s">
        <v>910</v>
      </c>
      <c r="D4159">
        <v>2019</v>
      </c>
      <c r="E4159" s="2">
        <v>50</v>
      </c>
      <c r="F4159" s="2">
        <v>2380</v>
      </c>
      <c r="G4159" s="2">
        <v>2499</v>
      </c>
    </row>
    <row r="4160" spans="1:8" x14ac:dyDescent="0.3">
      <c r="A4160" t="s">
        <v>1822</v>
      </c>
      <c r="B4160" t="s">
        <v>599</v>
      </c>
      <c r="C4160" t="s">
        <v>413</v>
      </c>
      <c r="D4160">
        <v>2020</v>
      </c>
      <c r="E4160" s="2">
        <v>25</v>
      </c>
      <c r="F4160" s="2">
        <v>1400</v>
      </c>
      <c r="G4160" s="2">
        <v>1400</v>
      </c>
    </row>
    <row r="4161" spans="1:8" x14ac:dyDescent="0.3">
      <c r="A4161" t="s">
        <v>1822</v>
      </c>
      <c r="B4161" t="s">
        <v>37</v>
      </c>
      <c r="D4161">
        <v>2020</v>
      </c>
      <c r="E4161" s="2">
        <v>31</v>
      </c>
      <c r="F4161" s="2">
        <v>2010</v>
      </c>
      <c r="G4161" s="2">
        <v>2010</v>
      </c>
      <c r="H4161" s="3" t="s">
        <v>18</v>
      </c>
    </row>
    <row r="4162" spans="1:8" x14ac:dyDescent="0.3">
      <c r="A4162" t="s">
        <v>1822</v>
      </c>
      <c r="B4162" t="s">
        <v>37</v>
      </c>
      <c r="D4162">
        <v>2021</v>
      </c>
      <c r="E4162" s="2">
        <v>1</v>
      </c>
      <c r="F4162" s="2">
        <v>70</v>
      </c>
      <c r="G4162" s="2">
        <v>70</v>
      </c>
      <c r="H4162" s="3" t="s">
        <v>18</v>
      </c>
    </row>
    <row r="4163" spans="1:8" x14ac:dyDescent="0.3">
      <c r="A4163" t="s">
        <v>1830</v>
      </c>
      <c r="B4163" t="s">
        <v>461</v>
      </c>
      <c r="D4163">
        <v>2018</v>
      </c>
      <c r="E4163" s="2">
        <v>1</v>
      </c>
      <c r="F4163" s="2">
        <v>150</v>
      </c>
      <c r="G4163" s="2">
        <v>157.5</v>
      </c>
    </row>
    <row r="4164" spans="1:8" x14ac:dyDescent="0.3">
      <c r="A4164" t="s">
        <v>1831</v>
      </c>
      <c r="B4164" t="s">
        <v>26</v>
      </c>
      <c r="C4164" t="s">
        <v>27</v>
      </c>
      <c r="D4164">
        <v>2017</v>
      </c>
      <c r="E4164" s="2">
        <v>25</v>
      </c>
      <c r="F4164" s="2">
        <v>1750</v>
      </c>
      <c r="G4164" s="2"/>
    </row>
    <row r="4165" spans="1:8" x14ac:dyDescent="0.3">
      <c r="A4165" t="s">
        <v>1832</v>
      </c>
      <c r="B4165" t="s">
        <v>24</v>
      </c>
      <c r="C4165" t="s">
        <v>25</v>
      </c>
      <c r="D4165">
        <v>2015</v>
      </c>
      <c r="E4165" s="2">
        <v>50</v>
      </c>
      <c r="F4165" s="2">
        <v>4750</v>
      </c>
      <c r="G4165" s="2"/>
    </row>
    <row r="4166" spans="1:8" x14ac:dyDescent="0.3">
      <c r="A4166" t="s">
        <v>1832</v>
      </c>
      <c r="B4166" t="s">
        <v>39</v>
      </c>
      <c r="D4166">
        <v>2014</v>
      </c>
      <c r="E4166" s="2">
        <v>20</v>
      </c>
      <c r="F4166" s="2">
        <v>6200</v>
      </c>
      <c r="G4166" s="2"/>
    </row>
    <row r="4167" spans="1:8" x14ac:dyDescent="0.3">
      <c r="A4167" t="s">
        <v>1832</v>
      </c>
      <c r="B4167" t="s">
        <v>39</v>
      </c>
      <c r="D4167">
        <v>2015</v>
      </c>
      <c r="E4167" s="2">
        <v>113</v>
      </c>
      <c r="F4167" s="2">
        <v>35030</v>
      </c>
      <c r="G4167" s="2"/>
    </row>
    <row r="4168" spans="1:8" x14ac:dyDescent="0.3">
      <c r="A4168" t="s">
        <v>1832</v>
      </c>
      <c r="B4168" t="s">
        <v>39</v>
      </c>
      <c r="D4168">
        <v>2018</v>
      </c>
      <c r="E4168" s="2">
        <v>100</v>
      </c>
      <c r="F4168" s="2">
        <v>29500</v>
      </c>
      <c r="G4168" s="2">
        <v>30975</v>
      </c>
    </row>
    <row r="4169" spans="1:8" x14ac:dyDescent="0.3">
      <c r="A4169" t="s">
        <v>1832</v>
      </c>
      <c r="B4169" t="s">
        <v>29</v>
      </c>
      <c r="D4169">
        <v>2018</v>
      </c>
      <c r="E4169" s="2">
        <v>41</v>
      </c>
      <c r="F4169" s="2">
        <v>16810</v>
      </c>
      <c r="G4169" s="2">
        <v>17650.5</v>
      </c>
    </row>
    <row r="4170" spans="1:8" x14ac:dyDescent="0.3">
      <c r="A4170" t="s">
        <v>1832</v>
      </c>
      <c r="B4170" t="s">
        <v>761</v>
      </c>
      <c r="D4170">
        <v>2014</v>
      </c>
      <c r="E4170" s="2">
        <v>9</v>
      </c>
      <c r="F4170" s="2">
        <v>4410</v>
      </c>
      <c r="G4170" s="2"/>
    </row>
    <row r="4171" spans="1:8" x14ac:dyDescent="0.3">
      <c r="A4171" t="s">
        <v>1832</v>
      </c>
      <c r="B4171" t="s">
        <v>761</v>
      </c>
      <c r="D4171">
        <v>2015</v>
      </c>
      <c r="E4171" s="2">
        <v>172</v>
      </c>
      <c r="F4171" s="2">
        <v>83680</v>
      </c>
      <c r="G4171" s="2"/>
    </row>
    <row r="4172" spans="1:8" x14ac:dyDescent="0.3">
      <c r="A4172" t="s">
        <v>1832</v>
      </c>
      <c r="B4172" t="s">
        <v>761</v>
      </c>
      <c r="D4172">
        <v>2016</v>
      </c>
      <c r="E4172" s="2">
        <v>80</v>
      </c>
      <c r="F4172" s="2">
        <v>38400</v>
      </c>
      <c r="G4172" s="2"/>
    </row>
    <row r="4173" spans="1:8" x14ac:dyDescent="0.3">
      <c r="A4173" t="s">
        <v>1832</v>
      </c>
      <c r="B4173" t="s">
        <v>761</v>
      </c>
      <c r="D4173">
        <v>2017</v>
      </c>
      <c r="E4173" s="2">
        <v>50</v>
      </c>
      <c r="F4173" s="2">
        <v>21250</v>
      </c>
      <c r="G4173" s="2"/>
    </row>
    <row r="4174" spans="1:8" x14ac:dyDescent="0.3">
      <c r="A4174" t="s">
        <v>1832</v>
      </c>
      <c r="B4174" t="s">
        <v>761</v>
      </c>
      <c r="D4174">
        <v>2018</v>
      </c>
      <c r="E4174" s="2">
        <v>39</v>
      </c>
      <c r="F4174" s="2">
        <v>15990</v>
      </c>
      <c r="G4174" s="2">
        <v>16789.5</v>
      </c>
    </row>
    <row r="4175" spans="1:8" x14ac:dyDescent="0.3">
      <c r="A4175" t="s">
        <v>1832</v>
      </c>
      <c r="B4175" t="s">
        <v>41</v>
      </c>
      <c r="C4175" t="s">
        <v>63</v>
      </c>
      <c r="D4175">
        <v>2015</v>
      </c>
      <c r="E4175" s="2">
        <v>100</v>
      </c>
      <c r="F4175" s="2">
        <v>6000</v>
      </c>
      <c r="G4175" s="2"/>
    </row>
    <row r="4176" spans="1:8" x14ac:dyDescent="0.3">
      <c r="A4176" t="s">
        <v>1832</v>
      </c>
      <c r="B4176" t="s">
        <v>41</v>
      </c>
      <c r="C4176" t="s">
        <v>42</v>
      </c>
      <c r="D4176">
        <v>2016</v>
      </c>
      <c r="E4176" s="2">
        <v>125</v>
      </c>
      <c r="F4176" s="2">
        <v>7250</v>
      </c>
      <c r="G4176" s="2"/>
    </row>
    <row r="4177" spans="1:7" x14ac:dyDescent="0.3">
      <c r="A4177" t="s">
        <v>1832</v>
      </c>
      <c r="B4177" t="s">
        <v>41</v>
      </c>
      <c r="C4177" t="s">
        <v>63</v>
      </c>
      <c r="D4177">
        <v>2016</v>
      </c>
      <c r="E4177" s="2">
        <v>100</v>
      </c>
      <c r="F4177" s="2">
        <v>5850</v>
      </c>
      <c r="G4177" s="2"/>
    </row>
    <row r="4178" spans="1:7" x14ac:dyDescent="0.3">
      <c r="A4178" t="s">
        <v>1832</v>
      </c>
      <c r="B4178" t="s">
        <v>110</v>
      </c>
      <c r="C4178" t="s">
        <v>111</v>
      </c>
      <c r="D4178">
        <v>2018</v>
      </c>
      <c r="E4178" s="2">
        <v>200</v>
      </c>
      <c r="F4178" s="2">
        <v>11000</v>
      </c>
      <c r="G4178" s="2">
        <v>11550</v>
      </c>
    </row>
    <row r="4179" spans="1:7" x14ac:dyDescent="0.3">
      <c r="A4179" t="s">
        <v>1832</v>
      </c>
      <c r="B4179" t="s">
        <v>828</v>
      </c>
      <c r="D4179">
        <v>2016</v>
      </c>
      <c r="E4179" s="2">
        <v>80</v>
      </c>
      <c r="F4179" s="2">
        <v>28000</v>
      </c>
      <c r="G4179" s="2"/>
    </row>
    <row r="4180" spans="1:7" x14ac:dyDescent="0.3">
      <c r="A4180" t="s">
        <v>1832</v>
      </c>
      <c r="B4180" t="s">
        <v>828</v>
      </c>
      <c r="D4180">
        <v>2017</v>
      </c>
      <c r="E4180" s="2">
        <v>185</v>
      </c>
      <c r="F4180" s="2">
        <v>55500</v>
      </c>
      <c r="G4180" s="2"/>
    </row>
    <row r="4181" spans="1:7" x14ac:dyDescent="0.3">
      <c r="A4181" t="s">
        <v>1832</v>
      </c>
      <c r="B4181" t="s">
        <v>828</v>
      </c>
      <c r="D4181">
        <v>2018</v>
      </c>
      <c r="E4181" s="2">
        <v>25</v>
      </c>
      <c r="F4181" s="2">
        <v>8500</v>
      </c>
      <c r="G4181" s="2">
        <v>8925</v>
      </c>
    </row>
    <row r="4182" spans="1:7" x14ac:dyDescent="0.3">
      <c r="A4182" t="s">
        <v>1832</v>
      </c>
      <c r="B4182" t="s">
        <v>438</v>
      </c>
      <c r="C4182" t="s">
        <v>439</v>
      </c>
      <c r="D4182">
        <v>2017</v>
      </c>
      <c r="E4182" s="2">
        <v>150</v>
      </c>
      <c r="F4182" s="2">
        <v>9750</v>
      </c>
      <c r="G4182" s="2"/>
    </row>
    <row r="4183" spans="1:7" x14ac:dyDescent="0.3">
      <c r="A4183" t="s">
        <v>1832</v>
      </c>
      <c r="B4183" t="s">
        <v>45</v>
      </c>
      <c r="D4183">
        <v>2015</v>
      </c>
      <c r="E4183" s="2">
        <v>1100</v>
      </c>
      <c r="F4183" s="2">
        <v>99000</v>
      </c>
      <c r="G4183" s="2"/>
    </row>
    <row r="4184" spans="1:7" x14ac:dyDescent="0.3">
      <c r="A4184" t="s">
        <v>1832</v>
      </c>
      <c r="B4184" t="s">
        <v>863</v>
      </c>
      <c r="D4184">
        <v>2014</v>
      </c>
      <c r="E4184" s="2">
        <v>60</v>
      </c>
      <c r="F4184" s="2">
        <v>5400</v>
      </c>
      <c r="G4184" s="2"/>
    </row>
    <row r="4185" spans="1:7" x14ac:dyDescent="0.3">
      <c r="A4185" t="s">
        <v>1832</v>
      </c>
      <c r="B4185" t="s">
        <v>863</v>
      </c>
      <c r="D4185">
        <v>2015</v>
      </c>
      <c r="E4185" s="2">
        <v>580</v>
      </c>
      <c r="F4185" s="2">
        <v>52200</v>
      </c>
      <c r="G4185" s="2"/>
    </row>
    <row r="4186" spans="1:7" x14ac:dyDescent="0.3">
      <c r="A4186" t="s">
        <v>1832</v>
      </c>
      <c r="B4186" t="s">
        <v>863</v>
      </c>
      <c r="D4186">
        <v>2016</v>
      </c>
      <c r="E4186" s="2">
        <v>600</v>
      </c>
      <c r="F4186" s="2">
        <v>40800</v>
      </c>
      <c r="G4186" s="2"/>
    </row>
    <row r="4187" spans="1:7" x14ac:dyDescent="0.3">
      <c r="A4187" t="s">
        <v>1832</v>
      </c>
      <c r="B4187" t="s">
        <v>863</v>
      </c>
      <c r="D4187">
        <v>2017</v>
      </c>
      <c r="E4187" s="2">
        <v>740</v>
      </c>
      <c r="F4187" s="2">
        <v>48700</v>
      </c>
      <c r="G4187" s="2"/>
    </row>
    <row r="4188" spans="1:7" x14ac:dyDescent="0.3">
      <c r="A4188" t="s">
        <v>1832</v>
      </c>
      <c r="B4188" t="s">
        <v>863</v>
      </c>
      <c r="D4188">
        <v>2020</v>
      </c>
      <c r="E4188" s="2">
        <v>300</v>
      </c>
      <c r="F4188" s="2">
        <v>16500</v>
      </c>
      <c r="G4188" s="2">
        <v>17325</v>
      </c>
    </row>
    <row r="4189" spans="1:7" x14ac:dyDescent="0.3">
      <c r="A4189" t="s">
        <v>1832</v>
      </c>
      <c r="B4189" t="s">
        <v>240</v>
      </c>
      <c r="D4189">
        <v>2017</v>
      </c>
      <c r="E4189" s="2">
        <v>60</v>
      </c>
      <c r="F4189" s="2">
        <v>3900</v>
      </c>
      <c r="G4189" s="2"/>
    </row>
    <row r="4190" spans="1:7" x14ac:dyDescent="0.3">
      <c r="A4190" t="s">
        <v>1832</v>
      </c>
      <c r="B4190" t="s">
        <v>32</v>
      </c>
      <c r="D4190">
        <v>2015</v>
      </c>
      <c r="E4190" s="2">
        <v>480</v>
      </c>
      <c r="F4190" s="2">
        <v>42240</v>
      </c>
      <c r="G4190" s="2"/>
    </row>
    <row r="4191" spans="1:7" x14ac:dyDescent="0.3">
      <c r="A4191" t="s">
        <v>1832</v>
      </c>
      <c r="B4191" t="s">
        <v>32</v>
      </c>
      <c r="D4191">
        <v>2017</v>
      </c>
      <c r="E4191" s="2">
        <v>20</v>
      </c>
      <c r="F4191" s="2">
        <v>1360</v>
      </c>
      <c r="G4191" s="2"/>
    </row>
    <row r="4192" spans="1:7" x14ac:dyDescent="0.3">
      <c r="A4192" t="s">
        <v>1832</v>
      </c>
      <c r="B4192" t="s">
        <v>32</v>
      </c>
      <c r="D4192">
        <v>2018</v>
      </c>
      <c r="E4192" s="2">
        <v>60</v>
      </c>
      <c r="F4192" s="2">
        <v>4080</v>
      </c>
      <c r="G4192" s="2">
        <v>4284</v>
      </c>
    </row>
    <row r="4193" spans="1:7" x14ac:dyDescent="0.3">
      <c r="A4193" t="s">
        <v>1832</v>
      </c>
      <c r="B4193" t="s">
        <v>32</v>
      </c>
      <c r="D4193">
        <v>2020</v>
      </c>
      <c r="E4193" s="2">
        <v>100</v>
      </c>
      <c r="F4193" s="2">
        <v>5500</v>
      </c>
      <c r="G4193" s="2">
        <v>5775</v>
      </c>
    </row>
    <row r="4194" spans="1:7" x14ac:dyDescent="0.3">
      <c r="A4194" t="s">
        <v>1832</v>
      </c>
      <c r="B4194" t="s">
        <v>46</v>
      </c>
      <c r="C4194" t="s">
        <v>47</v>
      </c>
      <c r="D4194">
        <v>2012</v>
      </c>
      <c r="E4194" s="2">
        <v>150</v>
      </c>
      <c r="F4194" s="2">
        <v>12000</v>
      </c>
      <c r="G4194" s="2"/>
    </row>
    <row r="4195" spans="1:7" x14ac:dyDescent="0.3">
      <c r="A4195" t="s">
        <v>1832</v>
      </c>
      <c r="B4195" t="s">
        <v>46</v>
      </c>
      <c r="C4195" t="s">
        <v>47</v>
      </c>
      <c r="D4195">
        <v>2015</v>
      </c>
      <c r="E4195" s="2">
        <v>25</v>
      </c>
      <c r="F4195" s="2">
        <v>2000</v>
      </c>
      <c r="G4195" s="2"/>
    </row>
    <row r="4196" spans="1:7" x14ac:dyDescent="0.3">
      <c r="A4196" t="s">
        <v>1833</v>
      </c>
      <c r="B4196" t="s">
        <v>417</v>
      </c>
      <c r="C4196" t="s">
        <v>418</v>
      </c>
      <c r="D4196">
        <v>2009</v>
      </c>
      <c r="E4196" s="2">
        <v>200</v>
      </c>
      <c r="F4196" s="2">
        <v>8480</v>
      </c>
      <c r="G4196" s="2"/>
    </row>
    <row r="4197" spans="1:7" x14ac:dyDescent="0.3">
      <c r="A4197" t="s">
        <v>1833</v>
      </c>
      <c r="B4197" t="s">
        <v>417</v>
      </c>
      <c r="C4197" t="s">
        <v>418</v>
      </c>
      <c r="D4197">
        <v>2010</v>
      </c>
      <c r="E4197" s="2">
        <v>100</v>
      </c>
      <c r="F4197" s="2">
        <v>4416</v>
      </c>
      <c r="G4197" s="2"/>
    </row>
    <row r="4198" spans="1:7" x14ac:dyDescent="0.3">
      <c r="A4198" t="s">
        <v>1833</v>
      </c>
      <c r="B4198" t="s">
        <v>417</v>
      </c>
      <c r="C4198" t="s">
        <v>418</v>
      </c>
      <c r="D4198">
        <v>2011</v>
      </c>
      <c r="E4198" s="2">
        <v>450</v>
      </c>
      <c r="F4198" s="2">
        <v>28350</v>
      </c>
      <c r="G4198" s="2"/>
    </row>
    <row r="4199" spans="1:7" x14ac:dyDescent="0.3">
      <c r="A4199" t="s">
        <v>1833</v>
      </c>
      <c r="B4199" t="s">
        <v>417</v>
      </c>
      <c r="C4199" t="s">
        <v>418</v>
      </c>
      <c r="D4199">
        <v>2012</v>
      </c>
      <c r="E4199" s="2">
        <v>400</v>
      </c>
      <c r="F4199" s="2">
        <v>25800</v>
      </c>
      <c r="G4199" s="2"/>
    </row>
    <row r="4200" spans="1:7" x14ac:dyDescent="0.3">
      <c r="A4200" t="s">
        <v>1833</v>
      </c>
      <c r="B4200" t="s">
        <v>417</v>
      </c>
      <c r="C4200" t="s">
        <v>418</v>
      </c>
      <c r="D4200">
        <v>2013</v>
      </c>
      <c r="E4200" s="2">
        <v>200</v>
      </c>
      <c r="F4200" s="2">
        <v>12600</v>
      </c>
      <c r="G4200" s="2"/>
    </row>
    <row r="4201" spans="1:7" x14ac:dyDescent="0.3">
      <c r="A4201" t="s">
        <v>1833</v>
      </c>
      <c r="B4201" t="s">
        <v>417</v>
      </c>
      <c r="C4201" t="s">
        <v>418</v>
      </c>
      <c r="D4201">
        <v>2014</v>
      </c>
      <c r="E4201" s="2">
        <v>450</v>
      </c>
      <c r="F4201" s="2">
        <v>31050</v>
      </c>
      <c r="G4201" s="2"/>
    </row>
    <row r="4202" spans="1:7" x14ac:dyDescent="0.3">
      <c r="A4202" t="s">
        <v>1833</v>
      </c>
      <c r="B4202" t="s">
        <v>417</v>
      </c>
      <c r="C4202" t="s">
        <v>418</v>
      </c>
      <c r="D4202">
        <v>2015</v>
      </c>
      <c r="E4202" s="2">
        <v>150</v>
      </c>
      <c r="F4202" s="2">
        <v>10350</v>
      </c>
      <c r="G4202" s="2"/>
    </row>
    <row r="4203" spans="1:7" x14ac:dyDescent="0.3">
      <c r="A4203" t="s">
        <v>1833</v>
      </c>
      <c r="B4203" t="s">
        <v>417</v>
      </c>
      <c r="C4203" t="s">
        <v>418</v>
      </c>
      <c r="D4203">
        <v>2019</v>
      </c>
      <c r="E4203" s="2">
        <v>25</v>
      </c>
      <c r="F4203" s="2">
        <v>1375</v>
      </c>
      <c r="G4203" s="2">
        <v>1443.75</v>
      </c>
    </row>
    <row r="4204" spans="1:7" x14ac:dyDescent="0.3">
      <c r="A4204" t="s">
        <v>1833</v>
      </c>
      <c r="B4204" t="s">
        <v>1834</v>
      </c>
      <c r="C4204" t="s">
        <v>1835</v>
      </c>
      <c r="D4204">
        <v>2011</v>
      </c>
      <c r="E4204" s="2">
        <v>75</v>
      </c>
      <c r="F4204" s="2">
        <v>5850</v>
      </c>
      <c r="G4204" s="2"/>
    </row>
    <row r="4205" spans="1:7" x14ac:dyDescent="0.3">
      <c r="A4205" t="s">
        <v>1833</v>
      </c>
      <c r="B4205" t="s">
        <v>26</v>
      </c>
      <c r="C4205" t="s">
        <v>27</v>
      </c>
      <c r="D4205">
        <v>2012</v>
      </c>
      <c r="E4205" s="2">
        <v>350</v>
      </c>
      <c r="F4205" s="2">
        <v>19300</v>
      </c>
      <c r="G4205" s="2"/>
    </row>
    <row r="4206" spans="1:7" x14ac:dyDescent="0.3">
      <c r="A4206" t="s">
        <v>1833</v>
      </c>
      <c r="B4206" t="s">
        <v>26</v>
      </c>
      <c r="C4206" t="s">
        <v>27</v>
      </c>
      <c r="D4206">
        <v>2013</v>
      </c>
      <c r="E4206" s="2">
        <v>150</v>
      </c>
      <c r="F4206" s="2">
        <v>8700</v>
      </c>
      <c r="G4206" s="2"/>
    </row>
    <row r="4207" spans="1:7" x14ac:dyDescent="0.3">
      <c r="A4207" t="s">
        <v>1833</v>
      </c>
      <c r="B4207" t="s">
        <v>26</v>
      </c>
      <c r="C4207" t="s">
        <v>27</v>
      </c>
      <c r="D4207">
        <v>2014</v>
      </c>
      <c r="E4207" s="2">
        <v>100</v>
      </c>
      <c r="F4207" s="2">
        <v>6000</v>
      </c>
      <c r="G4207" s="2"/>
    </row>
    <row r="4208" spans="1:7" x14ac:dyDescent="0.3">
      <c r="A4208" t="s">
        <v>1833</v>
      </c>
      <c r="B4208" t="s">
        <v>647</v>
      </c>
      <c r="C4208" t="s">
        <v>1836</v>
      </c>
      <c r="D4208">
        <v>2016</v>
      </c>
      <c r="E4208" s="2">
        <v>25</v>
      </c>
      <c r="F4208" s="2">
        <v>1950</v>
      </c>
      <c r="G4208" s="2"/>
    </row>
    <row r="4209" spans="1:8" x14ac:dyDescent="0.3">
      <c r="A4209" t="s">
        <v>1833</v>
      </c>
      <c r="B4209" t="s">
        <v>567</v>
      </c>
      <c r="C4209" t="s">
        <v>698</v>
      </c>
      <c r="D4209">
        <v>2020</v>
      </c>
      <c r="E4209" s="2">
        <v>10</v>
      </c>
      <c r="F4209" s="2">
        <v>750</v>
      </c>
      <c r="G4209" s="2">
        <v>787.5</v>
      </c>
    </row>
    <row r="4210" spans="1:8" x14ac:dyDescent="0.3">
      <c r="A4210" t="s">
        <v>1833</v>
      </c>
      <c r="B4210" t="s">
        <v>68</v>
      </c>
      <c r="C4210" t="s">
        <v>69</v>
      </c>
      <c r="D4210">
        <v>2013</v>
      </c>
      <c r="E4210" s="2">
        <v>50</v>
      </c>
      <c r="F4210" s="2">
        <v>3750</v>
      </c>
      <c r="G4210" s="2"/>
    </row>
    <row r="4211" spans="1:8" x14ac:dyDescent="0.3">
      <c r="A4211" t="s">
        <v>1833</v>
      </c>
      <c r="B4211" t="s">
        <v>45</v>
      </c>
      <c r="D4211">
        <v>2016</v>
      </c>
      <c r="E4211" s="2">
        <v>25</v>
      </c>
      <c r="F4211" s="2">
        <v>1950</v>
      </c>
      <c r="G4211" s="2"/>
    </row>
    <row r="4212" spans="1:8" x14ac:dyDescent="0.3">
      <c r="A4212" t="s">
        <v>1833</v>
      </c>
      <c r="B4212" t="s">
        <v>45</v>
      </c>
      <c r="D4212">
        <v>2019</v>
      </c>
      <c r="E4212" s="2">
        <v>20</v>
      </c>
      <c r="F4212" s="2">
        <v>1560</v>
      </c>
      <c r="G4212" s="2">
        <v>1638</v>
      </c>
    </row>
    <row r="4213" spans="1:8" x14ac:dyDescent="0.3">
      <c r="A4213" t="s">
        <v>1833</v>
      </c>
      <c r="B4213" t="s">
        <v>45</v>
      </c>
      <c r="D4213">
        <v>2020</v>
      </c>
      <c r="E4213" s="2">
        <v>50</v>
      </c>
      <c r="F4213" s="2">
        <v>3900</v>
      </c>
      <c r="G4213" s="2">
        <v>4095</v>
      </c>
    </row>
    <row r="4214" spans="1:8" x14ac:dyDescent="0.3">
      <c r="A4214" t="s">
        <v>1833</v>
      </c>
      <c r="B4214" t="s">
        <v>240</v>
      </c>
      <c r="D4214">
        <v>2011</v>
      </c>
      <c r="E4214" s="2">
        <v>40</v>
      </c>
      <c r="F4214" s="2">
        <v>3200</v>
      </c>
      <c r="G4214" s="2"/>
    </row>
    <row r="4215" spans="1:8" x14ac:dyDescent="0.3">
      <c r="A4215" t="s">
        <v>1833</v>
      </c>
      <c r="B4215" t="s">
        <v>32</v>
      </c>
      <c r="D4215">
        <v>2011</v>
      </c>
      <c r="E4215" s="2">
        <v>40</v>
      </c>
      <c r="F4215" s="2">
        <v>3200</v>
      </c>
      <c r="G4215" s="2"/>
    </row>
    <row r="4216" spans="1:8" x14ac:dyDescent="0.3">
      <c r="A4216" t="s">
        <v>1833</v>
      </c>
      <c r="B4216" t="s">
        <v>864</v>
      </c>
      <c r="D4216">
        <v>2017</v>
      </c>
      <c r="E4216" s="2">
        <v>10</v>
      </c>
      <c r="F4216" s="2">
        <v>800</v>
      </c>
      <c r="G4216" s="2"/>
    </row>
    <row r="4217" spans="1:8" x14ac:dyDescent="0.3">
      <c r="A4217" t="s">
        <v>1833</v>
      </c>
      <c r="B4217" t="s">
        <v>46</v>
      </c>
      <c r="C4217" t="s">
        <v>47</v>
      </c>
      <c r="D4217">
        <v>2016</v>
      </c>
      <c r="E4217" s="2">
        <v>25</v>
      </c>
      <c r="F4217" s="2">
        <v>1950</v>
      </c>
      <c r="G4217" s="2"/>
    </row>
    <row r="4218" spans="1:8" x14ac:dyDescent="0.3">
      <c r="A4218" t="s">
        <v>1833</v>
      </c>
      <c r="B4218" t="s">
        <v>46</v>
      </c>
      <c r="C4218" t="s">
        <v>47</v>
      </c>
      <c r="D4218">
        <v>2017</v>
      </c>
      <c r="E4218" s="2">
        <v>25</v>
      </c>
      <c r="F4218" s="2">
        <v>1750</v>
      </c>
      <c r="G4218" s="2"/>
    </row>
    <row r="4219" spans="1:8" x14ac:dyDescent="0.3">
      <c r="A4219" t="s">
        <v>1833</v>
      </c>
      <c r="B4219" t="s">
        <v>46</v>
      </c>
      <c r="C4219" t="s">
        <v>47</v>
      </c>
      <c r="D4219">
        <v>2018</v>
      </c>
      <c r="E4219" s="2">
        <v>25</v>
      </c>
      <c r="F4219" s="2">
        <v>1750</v>
      </c>
      <c r="G4219" s="2">
        <v>1837.5</v>
      </c>
    </row>
    <row r="4220" spans="1:8" x14ac:dyDescent="0.3">
      <c r="A4220" t="s">
        <v>1837</v>
      </c>
      <c r="B4220" t="s">
        <v>1354</v>
      </c>
      <c r="D4220">
        <v>2018</v>
      </c>
      <c r="E4220" s="2">
        <v>20</v>
      </c>
      <c r="F4220" s="2">
        <v>5600</v>
      </c>
      <c r="G4220" s="2"/>
    </row>
    <row r="4221" spans="1:8" x14ac:dyDescent="0.3">
      <c r="A4221" t="s">
        <v>1837</v>
      </c>
      <c r="B4221" t="s">
        <v>32</v>
      </c>
      <c r="D4221">
        <v>2018</v>
      </c>
      <c r="E4221" s="2">
        <v>2</v>
      </c>
      <c r="F4221" s="2">
        <v>1600</v>
      </c>
      <c r="G4221" s="2"/>
    </row>
    <row r="4222" spans="1:8" x14ac:dyDescent="0.3">
      <c r="A4222" t="s">
        <v>1838</v>
      </c>
      <c r="B4222" t="s">
        <v>631</v>
      </c>
      <c r="C4222" t="s">
        <v>632</v>
      </c>
      <c r="D4222">
        <v>2017</v>
      </c>
      <c r="E4222" s="2">
        <v>75</v>
      </c>
      <c r="F4222" s="2">
        <v>7150</v>
      </c>
      <c r="G4222" s="2"/>
    </row>
    <row r="4223" spans="1:8" x14ac:dyDescent="0.3">
      <c r="A4223" t="s">
        <v>1838</v>
      </c>
      <c r="B4223" t="s">
        <v>24</v>
      </c>
      <c r="C4223" t="s">
        <v>25</v>
      </c>
      <c r="D4223">
        <v>2017</v>
      </c>
      <c r="E4223" s="2">
        <v>50</v>
      </c>
      <c r="F4223" s="2">
        <v>3750</v>
      </c>
      <c r="G4223" s="2"/>
    </row>
    <row r="4224" spans="1:8" x14ac:dyDescent="0.3">
      <c r="A4224" t="s">
        <v>1838</v>
      </c>
      <c r="B4224" t="s">
        <v>26</v>
      </c>
      <c r="C4224" t="s">
        <v>27</v>
      </c>
      <c r="D4224">
        <v>2021</v>
      </c>
      <c r="E4224" s="2">
        <v>50</v>
      </c>
      <c r="F4224" s="2">
        <v>2650</v>
      </c>
      <c r="G4224" s="2">
        <v>2782.5</v>
      </c>
      <c r="H4224" s="3" t="s">
        <v>1839</v>
      </c>
    </row>
    <row r="4225" spans="1:8" x14ac:dyDescent="0.3">
      <c r="A4225" t="s">
        <v>1838</v>
      </c>
      <c r="B4225" t="s">
        <v>26</v>
      </c>
      <c r="C4225" t="s">
        <v>27</v>
      </c>
      <c r="D4225">
        <v>2021</v>
      </c>
      <c r="E4225" s="2">
        <v>150</v>
      </c>
      <c r="F4225" s="2">
        <v>7950</v>
      </c>
      <c r="G4225" s="2">
        <v>8347.5</v>
      </c>
      <c r="H4225" s="3" t="s">
        <v>1840</v>
      </c>
    </row>
    <row r="4226" spans="1:8" x14ac:dyDescent="0.3">
      <c r="A4226" t="s">
        <v>1838</v>
      </c>
      <c r="B4226" t="s">
        <v>736</v>
      </c>
      <c r="C4226" t="s">
        <v>737</v>
      </c>
      <c r="D4226">
        <v>2021</v>
      </c>
      <c r="E4226" s="2">
        <v>1000</v>
      </c>
      <c r="F4226" s="2">
        <v>53000</v>
      </c>
      <c r="G4226" s="2">
        <v>55650</v>
      </c>
      <c r="H4226" s="3" t="s">
        <v>18</v>
      </c>
    </row>
    <row r="4227" spans="1:8" x14ac:dyDescent="0.3">
      <c r="A4227" t="s">
        <v>1838</v>
      </c>
      <c r="B4227" t="s">
        <v>1221</v>
      </c>
      <c r="D4227">
        <v>2013</v>
      </c>
      <c r="E4227" s="2">
        <v>20</v>
      </c>
      <c r="F4227" s="2">
        <v>6400</v>
      </c>
      <c r="G4227" s="2"/>
    </row>
    <row r="4228" spans="1:8" x14ac:dyDescent="0.3">
      <c r="A4228" t="s">
        <v>1838</v>
      </c>
      <c r="B4228" t="s">
        <v>1841</v>
      </c>
      <c r="C4228" t="s">
        <v>27</v>
      </c>
      <c r="D4228">
        <v>2016</v>
      </c>
      <c r="E4228" s="2">
        <v>50</v>
      </c>
      <c r="F4228" s="2">
        <v>4250</v>
      </c>
      <c r="G4228" s="2"/>
    </row>
    <row r="4229" spans="1:8" x14ac:dyDescent="0.3">
      <c r="A4229" t="s">
        <v>1838</v>
      </c>
      <c r="B4229" t="s">
        <v>1841</v>
      </c>
      <c r="C4229" t="s">
        <v>27</v>
      </c>
      <c r="D4229">
        <v>2017</v>
      </c>
      <c r="E4229" s="2">
        <v>500</v>
      </c>
      <c r="F4229" s="2">
        <v>40250</v>
      </c>
      <c r="G4229" s="2"/>
    </row>
    <row r="4230" spans="1:8" x14ac:dyDescent="0.3">
      <c r="A4230" t="s">
        <v>1838</v>
      </c>
      <c r="B4230" t="s">
        <v>1841</v>
      </c>
      <c r="C4230" t="s">
        <v>27</v>
      </c>
      <c r="D4230">
        <v>2018</v>
      </c>
      <c r="E4230" s="2">
        <v>1310</v>
      </c>
      <c r="F4230" s="2">
        <v>75878</v>
      </c>
      <c r="G4230" s="2">
        <v>79671.899999999994</v>
      </c>
    </row>
    <row r="4231" spans="1:8" x14ac:dyDescent="0.3">
      <c r="A4231" t="s">
        <v>1838</v>
      </c>
      <c r="B4231" t="s">
        <v>1841</v>
      </c>
      <c r="C4231" t="s">
        <v>27</v>
      </c>
      <c r="D4231">
        <v>2019</v>
      </c>
      <c r="E4231" s="2">
        <v>600</v>
      </c>
      <c r="F4231" s="2">
        <v>31800</v>
      </c>
      <c r="G4231" s="2">
        <v>33390</v>
      </c>
    </row>
    <row r="4232" spans="1:8" x14ac:dyDescent="0.3">
      <c r="A4232" t="s">
        <v>1838</v>
      </c>
      <c r="B4232" t="s">
        <v>184</v>
      </c>
      <c r="C4232" t="s">
        <v>185</v>
      </c>
      <c r="D4232">
        <v>2019</v>
      </c>
      <c r="E4232" s="2">
        <v>100</v>
      </c>
      <c r="F4232" s="2">
        <v>6500</v>
      </c>
      <c r="G4232" s="2">
        <v>6825</v>
      </c>
    </row>
    <row r="4233" spans="1:8" x14ac:dyDescent="0.3">
      <c r="A4233" t="s">
        <v>1838</v>
      </c>
      <c r="B4233" t="s">
        <v>686</v>
      </c>
      <c r="C4233" t="s">
        <v>687</v>
      </c>
      <c r="D4233">
        <v>2020</v>
      </c>
      <c r="E4233" s="2">
        <v>550</v>
      </c>
      <c r="F4233" s="2">
        <v>35750</v>
      </c>
      <c r="G4233" s="2">
        <v>37537.5</v>
      </c>
      <c r="H4233" s="3" t="s">
        <v>1842</v>
      </c>
    </row>
    <row r="4234" spans="1:8" x14ac:dyDescent="0.3">
      <c r="A4234" t="s">
        <v>1838</v>
      </c>
      <c r="B4234" t="s">
        <v>686</v>
      </c>
      <c r="C4234" t="s">
        <v>687</v>
      </c>
      <c r="D4234">
        <v>2021</v>
      </c>
      <c r="E4234" s="2">
        <v>200</v>
      </c>
      <c r="F4234" s="2">
        <v>13000</v>
      </c>
      <c r="G4234" s="2">
        <v>13650</v>
      </c>
      <c r="H4234" s="3" t="s">
        <v>1842</v>
      </c>
    </row>
    <row r="4235" spans="1:8" x14ac:dyDescent="0.3">
      <c r="A4235" t="s">
        <v>1838</v>
      </c>
      <c r="B4235" t="s">
        <v>741</v>
      </c>
      <c r="C4235" t="s">
        <v>742</v>
      </c>
      <c r="D4235">
        <v>2015</v>
      </c>
      <c r="E4235" s="2">
        <v>75</v>
      </c>
      <c r="F4235" s="2">
        <v>6375</v>
      </c>
      <c r="G4235" s="2"/>
    </row>
    <row r="4236" spans="1:8" x14ac:dyDescent="0.3">
      <c r="A4236" t="s">
        <v>1838</v>
      </c>
      <c r="B4236" t="s">
        <v>741</v>
      </c>
      <c r="C4236" t="s">
        <v>742</v>
      </c>
      <c r="D4236">
        <v>2016</v>
      </c>
      <c r="E4236" s="2">
        <v>125</v>
      </c>
      <c r="F4236" s="2">
        <v>10625</v>
      </c>
      <c r="G4236" s="2"/>
    </row>
    <row r="4237" spans="1:8" x14ac:dyDescent="0.3">
      <c r="A4237" t="s">
        <v>1838</v>
      </c>
      <c r="B4237" t="s">
        <v>446</v>
      </c>
      <c r="C4237" t="s">
        <v>447</v>
      </c>
      <c r="D4237">
        <v>2020</v>
      </c>
      <c r="E4237" s="2">
        <v>350</v>
      </c>
      <c r="F4237" s="2">
        <v>18550</v>
      </c>
      <c r="G4237" s="2">
        <v>19477.5</v>
      </c>
    </row>
    <row r="4238" spans="1:8" x14ac:dyDescent="0.3">
      <c r="A4238" t="s">
        <v>1838</v>
      </c>
      <c r="B4238" t="s">
        <v>446</v>
      </c>
      <c r="C4238" t="s">
        <v>447</v>
      </c>
      <c r="D4238">
        <v>2021</v>
      </c>
      <c r="E4238" s="2">
        <v>150</v>
      </c>
      <c r="F4238" s="2">
        <v>7950</v>
      </c>
      <c r="G4238" s="2">
        <v>8347.5</v>
      </c>
    </row>
    <row r="4239" spans="1:8" x14ac:dyDescent="0.3">
      <c r="A4239" t="s">
        <v>1838</v>
      </c>
      <c r="B4239" t="s">
        <v>30</v>
      </c>
      <c r="C4239" t="s">
        <v>31</v>
      </c>
      <c r="D4239">
        <v>2020</v>
      </c>
      <c r="E4239" s="2">
        <v>100</v>
      </c>
      <c r="F4239" s="2">
        <v>5300</v>
      </c>
      <c r="G4239" s="2">
        <v>5565</v>
      </c>
    </row>
    <row r="4240" spans="1:8" x14ac:dyDescent="0.3">
      <c r="A4240" t="s">
        <v>1838</v>
      </c>
      <c r="B4240" t="s">
        <v>334</v>
      </c>
      <c r="C4240" t="s">
        <v>335</v>
      </c>
      <c r="D4240">
        <v>2018</v>
      </c>
      <c r="E4240" s="2">
        <v>25</v>
      </c>
      <c r="F4240" s="2">
        <v>1875</v>
      </c>
      <c r="G4240" s="2">
        <v>1968.75</v>
      </c>
    </row>
    <row r="4241" spans="1:7" x14ac:dyDescent="0.3">
      <c r="A4241" t="s">
        <v>1838</v>
      </c>
      <c r="B4241" t="s">
        <v>45</v>
      </c>
      <c r="D4241">
        <v>2015</v>
      </c>
      <c r="E4241" s="2">
        <v>20</v>
      </c>
      <c r="F4241" s="2">
        <v>1800</v>
      </c>
      <c r="G4241" s="2"/>
    </row>
    <row r="4242" spans="1:7" x14ac:dyDescent="0.3">
      <c r="A4242" t="s">
        <v>1838</v>
      </c>
      <c r="B4242" t="s">
        <v>45</v>
      </c>
      <c r="D4242">
        <v>2017</v>
      </c>
      <c r="E4242" s="2">
        <v>20</v>
      </c>
      <c r="F4242" s="2">
        <v>1800</v>
      </c>
      <c r="G4242" s="2"/>
    </row>
    <row r="4243" spans="1:7" x14ac:dyDescent="0.3">
      <c r="A4243" t="s">
        <v>1838</v>
      </c>
      <c r="B4243" t="s">
        <v>764</v>
      </c>
      <c r="D4243">
        <v>2013</v>
      </c>
      <c r="E4243" s="2">
        <v>20</v>
      </c>
      <c r="F4243" s="2">
        <v>1740</v>
      </c>
      <c r="G4243" s="2"/>
    </row>
    <row r="4244" spans="1:7" x14ac:dyDescent="0.3">
      <c r="A4244" t="s">
        <v>1838</v>
      </c>
      <c r="B4244" t="s">
        <v>240</v>
      </c>
      <c r="D4244">
        <v>2013</v>
      </c>
      <c r="E4244" s="2">
        <v>20</v>
      </c>
      <c r="F4244" s="2">
        <v>1700</v>
      </c>
      <c r="G4244" s="2"/>
    </row>
    <row r="4245" spans="1:7" x14ac:dyDescent="0.3">
      <c r="A4245" t="s">
        <v>1838</v>
      </c>
      <c r="B4245" t="s">
        <v>240</v>
      </c>
      <c r="D4245">
        <v>2015</v>
      </c>
      <c r="E4245" s="2">
        <v>20</v>
      </c>
      <c r="F4245" s="2">
        <v>1760</v>
      </c>
      <c r="G4245" s="2"/>
    </row>
    <row r="4246" spans="1:7" x14ac:dyDescent="0.3">
      <c r="A4246" t="s">
        <v>1838</v>
      </c>
      <c r="B4246" t="s">
        <v>240</v>
      </c>
      <c r="D4246">
        <v>2016</v>
      </c>
      <c r="E4246" s="2">
        <v>25</v>
      </c>
      <c r="F4246" s="2">
        <v>1760</v>
      </c>
      <c r="G4246" s="2"/>
    </row>
    <row r="4247" spans="1:7" x14ac:dyDescent="0.3">
      <c r="A4247" t="s">
        <v>1838</v>
      </c>
      <c r="B4247" t="s">
        <v>32</v>
      </c>
      <c r="D4247">
        <v>2013</v>
      </c>
      <c r="E4247" s="2">
        <v>40</v>
      </c>
      <c r="F4247" s="2">
        <v>3400</v>
      </c>
      <c r="G4247" s="2"/>
    </row>
    <row r="4248" spans="1:7" x14ac:dyDescent="0.3">
      <c r="A4248" t="s">
        <v>1838</v>
      </c>
      <c r="B4248" t="s">
        <v>32</v>
      </c>
      <c r="D4248">
        <v>2014</v>
      </c>
      <c r="E4248" s="2">
        <v>40</v>
      </c>
      <c r="F4248" s="2">
        <v>3500</v>
      </c>
      <c r="G4248" s="2"/>
    </row>
    <row r="4249" spans="1:7" x14ac:dyDescent="0.3">
      <c r="A4249" t="s">
        <v>1838</v>
      </c>
      <c r="B4249" t="s">
        <v>32</v>
      </c>
      <c r="D4249">
        <v>2015</v>
      </c>
      <c r="E4249" s="2">
        <v>20</v>
      </c>
      <c r="F4249" s="2">
        <v>1760</v>
      </c>
      <c r="G4249" s="2"/>
    </row>
    <row r="4250" spans="1:7" x14ac:dyDescent="0.3">
      <c r="A4250" t="s">
        <v>1838</v>
      </c>
      <c r="B4250" t="s">
        <v>32</v>
      </c>
      <c r="D4250">
        <v>2016</v>
      </c>
      <c r="E4250" s="2">
        <v>40</v>
      </c>
      <c r="F4250" s="2">
        <v>3520</v>
      </c>
      <c r="G4250" s="2"/>
    </row>
    <row r="4251" spans="1:7" x14ac:dyDescent="0.3">
      <c r="A4251" t="s">
        <v>1838</v>
      </c>
      <c r="B4251" t="s">
        <v>32</v>
      </c>
      <c r="D4251">
        <v>2017</v>
      </c>
      <c r="E4251" s="2">
        <v>100</v>
      </c>
      <c r="F4251" s="2">
        <v>7420</v>
      </c>
      <c r="G4251" s="2"/>
    </row>
    <row r="4252" spans="1:7" x14ac:dyDescent="0.3">
      <c r="A4252" t="s">
        <v>1838</v>
      </c>
      <c r="B4252" t="s">
        <v>46</v>
      </c>
      <c r="C4252" t="s">
        <v>47</v>
      </c>
      <c r="D4252">
        <v>2013</v>
      </c>
      <c r="E4252" s="2">
        <v>5</v>
      </c>
      <c r="F4252" s="2">
        <v>425</v>
      </c>
      <c r="G4252" s="2"/>
    </row>
    <row r="4253" spans="1:7" x14ac:dyDescent="0.3">
      <c r="A4253" t="s">
        <v>1838</v>
      </c>
      <c r="B4253" t="s">
        <v>46</v>
      </c>
      <c r="C4253" t="s">
        <v>47</v>
      </c>
      <c r="D4253">
        <v>2014</v>
      </c>
      <c r="E4253" s="2">
        <v>25</v>
      </c>
      <c r="F4253" s="2">
        <v>2125</v>
      </c>
      <c r="G4253" s="2"/>
    </row>
    <row r="4254" spans="1:7" x14ac:dyDescent="0.3">
      <c r="A4254" t="s">
        <v>1838</v>
      </c>
      <c r="B4254" t="s">
        <v>46</v>
      </c>
      <c r="C4254" t="s">
        <v>47</v>
      </c>
      <c r="D4254">
        <v>2016</v>
      </c>
      <c r="E4254" s="2">
        <v>5</v>
      </c>
      <c r="F4254" s="2">
        <v>425</v>
      </c>
      <c r="G4254" s="2"/>
    </row>
    <row r="4255" spans="1:7" x14ac:dyDescent="0.3">
      <c r="A4255" t="s">
        <v>1838</v>
      </c>
      <c r="B4255" t="s">
        <v>46</v>
      </c>
      <c r="C4255" t="s">
        <v>47</v>
      </c>
      <c r="D4255">
        <v>2017</v>
      </c>
      <c r="E4255" s="2">
        <v>25</v>
      </c>
      <c r="F4255" s="2">
        <v>2125</v>
      </c>
      <c r="G4255" s="2"/>
    </row>
    <row r="4256" spans="1:7" x14ac:dyDescent="0.3">
      <c r="A4256" t="s">
        <v>1838</v>
      </c>
      <c r="B4256" t="s">
        <v>483</v>
      </c>
      <c r="C4256" t="s">
        <v>484</v>
      </c>
      <c r="D4256">
        <v>2020</v>
      </c>
      <c r="E4256" s="2">
        <v>100</v>
      </c>
      <c r="F4256" s="2">
        <v>5300</v>
      </c>
      <c r="G4256" s="2">
        <v>5565</v>
      </c>
    </row>
    <row r="4257" spans="1:7" x14ac:dyDescent="0.3">
      <c r="A4257" t="s">
        <v>1838</v>
      </c>
      <c r="B4257" t="s">
        <v>483</v>
      </c>
      <c r="C4257" t="s">
        <v>484</v>
      </c>
      <c r="D4257">
        <v>2021</v>
      </c>
      <c r="E4257" s="2">
        <v>50</v>
      </c>
      <c r="F4257" s="2">
        <v>2650</v>
      </c>
      <c r="G4257" s="2">
        <v>2782.5</v>
      </c>
    </row>
    <row r="4258" spans="1:7" x14ac:dyDescent="0.3">
      <c r="A4258" t="s">
        <v>1843</v>
      </c>
      <c r="B4258" t="s">
        <v>263</v>
      </c>
      <c r="C4258" t="s">
        <v>264</v>
      </c>
      <c r="D4258">
        <v>2019</v>
      </c>
      <c r="E4258" s="2">
        <v>7</v>
      </c>
      <c r="F4258" s="2">
        <v>1400</v>
      </c>
      <c r="G4258" s="2">
        <v>1470</v>
      </c>
    </row>
    <row r="4259" spans="1:7" x14ac:dyDescent="0.3">
      <c r="A4259" t="s">
        <v>1844</v>
      </c>
      <c r="B4259" t="s">
        <v>1019</v>
      </c>
      <c r="C4259" t="s">
        <v>1020</v>
      </c>
      <c r="D4259">
        <v>2015</v>
      </c>
      <c r="E4259" s="2">
        <v>23</v>
      </c>
      <c r="F4259" s="2">
        <v>2500</v>
      </c>
      <c r="G4259" s="2"/>
    </row>
    <row r="4260" spans="1:7" x14ac:dyDescent="0.3">
      <c r="A4260" t="s">
        <v>1845</v>
      </c>
      <c r="B4260" t="s">
        <v>334</v>
      </c>
      <c r="C4260" t="s">
        <v>335</v>
      </c>
      <c r="D4260">
        <v>2015</v>
      </c>
      <c r="E4260" s="2">
        <v>50</v>
      </c>
      <c r="F4260" s="2">
        <v>4000</v>
      </c>
      <c r="G4260" s="2"/>
    </row>
    <row r="4261" spans="1:7" x14ac:dyDescent="0.3">
      <c r="A4261" t="s">
        <v>1846</v>
      </c>
      <c r="B4261" t="s">
        <v>626</v>
      </c>
      <c r="C4261" t="s">
        <v>582</v>
      </c>
      <c r="D4261">
        <v>2020</v>
      </c>
      <c r="E4261" s="2">
        <v>4</v>
      </c>
      <c r="F4261" s="2">
        <v>590</v>
      </c>
      <c r="G4261" s="2">
        <v>619.5</v>
      </c>
    </row>
    <row r="4262" spans="1:7" x14ac:dyDescent="0.3">
      <c r="A4262" t="s">
        <v>1846</v>
      </c>
      <c r="B4262" t="s">
        <v>19</v>
      </c>
      <c r="C4262" t="s">
        <v>670</v>
      </c>
      <c r="D4262">
        <v>2021</v>
      </c>
      <c r="E4262" s="2">
        <v>2</v>
      </c>
      <c r="F4262" s="2">
        <v>220</v>
      </c>
      <c r="G4262" s="2">
        <v>231</v>
      </c>
    </row>
    <row r="4263" spans="1:7" x14ac:dyDescent="0.3">
      <c r="A4263" t="s">
        <v>1846</v>
      </c>
      <c r="B4263" t="s">
        <v>269</v>
      </c>
      <c r="C4263" t="s">
        <v>270</v>
      </c>
      <c r="D4263">
        <v>2020</v>
      </c>
      <c r="E4263" s="2">
        <v>1</v>
      </c>
      <c r="F4263" s="2">
        <v>120</v>
      </c>
      <c r="G4263" s="2">
        <v>126</v>
      </c>
    </row>
    <row r="4264" spans="1:7" x14ac:dyDescent="0.3">
      <c r="A4264" t="s">
        <v>1846</v>
      </c>
      <c r="B4264" t="s">
        <v>543</v>
      </c>
      <c r="C4264" t="s">
        <v>544</v>
      </c>
      <c r="D4264">
        <v>2020</v>
      </c>
      <c r="E4264" s="2">
        <v>2</v>
      </c>
      <c r="F4264" s="2">
        <v>260</v>
      </c>
      <c r="G4264" s="2">
        <v>273</v>
      </c>
    </row>
    <row r="4265" spans="1:7" x14ac:dyDescent="0.3">
      <c r="A4265" t="s">
        <v>1846</v>
      </c>
      <c r="B4265" t="s">
        <v>839</v>
      </c>
      <c r="C4265" t="s">
        <v>138</v>
      </c>
      <c r="D4265">
        <v>2020</v>
      </c>
      <c r="E4265" s="2">
        <v>1</v>
      </c>
      <c r="F4265" s="2">
        <v>170</v>
      </c>
      <c r="G4265" s="2">
        <v>178.5</v>
      </c>
    </row>
    <row r="4266" spans="1:7" x14ac:dyDescent="0.3">
      <c r="A4266" t="s">
        <v>1846</v>
      </c>
      <c r="B4266" t="s">
        <v>383</v>
      </c>
      <c r="C4266" t="s">
        <v>385</v>
      </c>
      <c r="D4266">
        <v>2020</v>
      </c>
      <c r="E4266" s="2">
        <v>1</v>
      </c>
      <c r="F4266" s="2">
        <v>180</v>
      </c>
      <c r="G4266" s="2">
        <v>189</v>
      </c>
    </row>
    <row r="4267" spans="1:7" x14ac:dyDescent="0.3">
      <c r="A4267" t="s">
        <v>1846</v>
      </c>
      <c r="B4267" t="s">
        <v>383</v>
      </c>
      <c r="C4267" t="s">
        <v>384</v>
      </c>
      <c r="D4267">
        <v>2020</v>
      </c>
      <c r="E4267" s="2">
        <v>4</v>
      </c>
      <c r="F4267" s="2">
        <v>630</v>
      </c>
      <c r="G4267" s="2">
        <v>661.5</v>
      </c>
    </row>
    <row r="4268" spans="1:7" x14ac:dyDescent="0.3">
      <c r="A4268" t="s">
        <v>1847</v>
      </c>
      <c r="B4268" t="s">
        <v>51</v>
      </c>
      <c r="C4268" t="s">
        <v>52</v>
      </c>
      <c r="D4268">
        <v>2018</v>
      </c>
      <c r="E4268" s="2">
        <v>5</v>
      </c>
      <c r="F4268" s="2">
        <v>1000</v>
      </c>
      <c r="G4268" s="2">
        <v>1050</v>
      </c>
    </row>
    <row r="4269" spans="1:7" x14ac:dyDescent="0.3">
      <c r="A4269" t="s">
        <v>1847</v>
      </c>
      <c r="B4269" t="s">
        <v>79</v>
      </c>
      <c r="C4269" t="s">
        <v>80</v>
      </c>
      <c r="D4269">
        <v>2018</v>
      </c>
      <c r="E4269" s="2">
        <v>10</v>
      </c>
      <c r="F4269" s="2">
        <v>1800</v>
      </c>
      <c r="G4269" s="2">
        <v>1890</v>
      </c>
    </row>
    <row r="4270" spans="1:7" x14ac:dyDescent="0.3">
      <c r="A4270" t="s">
        <v>1847</v>
      </c>
      <c r="B4270" t="s">
        <v>82</v>
      </c>
      <c r="C4270" t="s">
        <v>83</v>
      </c>
      <c r="D4270">
        <v>2017</v>
      </c>
      <c r="E4270" s="2">
        <v>5</v>
      </c>
      <c r="F4270" s="2">
        <v>2500</v>
      </c>
      <c r="G4270" s="2"/>
    </row>
    <row r="4271" spans="1:7" x14ac:dyDescent="0.3">
      <c r="A4271" t="s">
        <v>1847</v>
      </c>
      <c r="B4271" t="s">
        <v>1789</v>
      </c>
      <c r="C4271" t="s">
        <v>1790</v>
      </c>
      <c r="D4271">
        <v>2018</v>
      </c>
      <c r="E4271" s="2">
        <v>10</v>
      </c>
      <c r="F4271" s="2">
        <v>1800</v>
      </c>
      <c r="G4271" s="2">
        <v>1890</v>
      </c>
    </row>
    <row r="4272" spans="1:7" x14ac:dyDescent="0.3">
      <c r="A4272" t="s">
        <v>1847</v>
      </c>
      <c r="B4272" t="s">
        <v>553</v>
      </c>
      <c r="C4272" t="s">
        <v>292</v>
      </c>
      <c r="D4272">
        <v>2017</v>
      </c>
      <c r="E4272" s="2">
        <v>15</v>
      </c>
      <c r="F4272" s="2">
        <v>1500</v>
      </c>
      <c r="G4272" s="2"/>
    </row>
    <row r="4273" spans="1:8" x14ac:dyDescent="0.3">
      <c r="A4273" t="s">
        <v>1847</v>
      </c>
      <c r="B4273" t="s">
        <v>553</v>
      </c>
      <c r="C4273" t="s">
        <v>292</v>
      </c>
      <c r="D4273">
        <v>2018</v>
      </c>
      <c r="E4273" s="2">
        <v>5</v>
      </c>
      <c r="F4273" s="2">
        <v>750</v>
      </c>
      <c r="G4273" s="2">
        <v>787.5</v>
      </c>
    </row>
    <row r="4274" spans="1:8" x14ac:dyDescent="0.3">
      <c r="A4274" t="s">
        <v>1847</v>
      </c>
      <c r="B4274" t="s">
        <v>206</v>
      </c>
      <c r="C4274" t="s">
        <v>207</v>
      </c>
      <c r="D4274">
        <v>2018</v>
      </c>
      <c r="E4274" s="2">
        <v>15</v>
      </c>
      <c r="F4274" s="2">
        <v>2625</v>
      </c>
      <c r="G4274" s="2">
        <v>2756.25</v>
      </c>
    </row>
    <row r="4275" spans="1:8" x14ac:dyDescent="0.3">
      <c r="A4275" t="s">
        <v>1847</v>
      </c>
      <c r="B4275" t="s">
        <v>1432</v>
      </c>
      <c r="C4275" t="s">
        <v>209</v>
      </c>
      <c r="D4275">
        <v>2018</v>
      </c>
      <c r="E4275" s="2">
        <v>5</v>
      </c>
      <c r="F4275" s="2">
        <v>800</v>
      </c>
      <c r="G4275" s="2">
        <v>840</v>
      </c>
    </row>
    <row r="4276" spans="1:8" x14ac:dyDescent="0.3">
      <c r="A4276" t="s">
        <v>1847</v>
      </c>
      <c r="B4276" t="s">
        <v>99</v>
      </c>
      <c r="C4276" t="s">
        <v>100</v>
      </c>
      <c r="D4276">
        <v>2018</v>
      </c>
      <c r="E4276" s="2">
        <v>5</v>
      </c>
      <c r="F4276" s="2">
        <v>1000</v>
      </c>
      <c r="G4276" s="2">
        <v>1050</v>
      </c>
    </row>
    <row r="4277" spans="1:8" x14ac:dyDescent="0.3">
      <c r="A4277" t="s">
        <v>1847</v>
      </c>
      <c r="B4277" t="s">
        <v>554</v>
      </c>
      <c r="C4277" t="s">
        <v>249</v>
      </c>
      <c r="D4277">
        <v>2018</v>
      </c>
      <c r="E4277" s="2">
        <v>5</v>
      </c>
      <c r="F4277" s="2">
        <v>900</v>
      </c>
      <c r="G4277" s="2">
        <v>945</v>
      </c>
    </row>
    <row r="4278" spans="1:8" x14ac:dyDescent="0.3">
      <c r="A4278" t="s">
        <v>1847</v>
      </c>
      <c r="B4278" t="s">
        <v>404</v>
      </c>
      <c r="C4278" t="s">
        <v>405</v>
      </c>
      <c r="D4278">
        <v>2017</v>
      </c>
      <c r="E4278" s="2">
        <v>1</v>
      </c>
      <c r="F4278" s="2">
        <v>110</v>
      </c>
      <c r="G4278" s="2"/>
    </row>
    <row r="4279" spans="1:8" x14ac:dyDescent="0.3">
      <c r="A4279" t="s">
        <v>1847</v>
      </c>
      <c r="B4279" t="s">
        <v>196</v>
      </c>
      <c r="C4279" t="s">
        <v>197</v>
      </c>
      <c r="D4279">
        <v>2018</v>
      </c>
      <c r="E4279" s="2">
        <v>15</v>
      </c>
      <c r="F4279" s="2">
        <v>2550</v>
      </c>
      <c r="G4279" s="2">
        <v>2677.5</v>
      </c>
    </row>
    <row r="4280" spans="1:8" x14ac:dyDescent="0.3">
      <c r="A4280" t="s">
        <v>1847</v>
      </c>
      <c r="B4280" t="s">
        <v>70</v>
      </c>
      <c r="C4280" t="s">
        <v>71</v>
      </c>
      <c r="D4280">
        <v>2018</v>
      </c>
      <c r="E4280" s="2">
        <v>15</v>
      </c>
      <c r="F4280" s="2">
        <v>2400</v>
      </c>
      <c r="G4280" s="2">
        <v>2520</v>
      </c>
    </row>
    <row r="4281" spans="1:8" x14ac:dyDescent="0.3">
      <c r="A4281" t="s">
        <v>1847</v>
      </c>
      <c r="B4281" t="s">
        <v>318</v>
      </c>
      <c r="C4281" t="s">
        <v>319</v>
      </c>
      <c r="D4281">
        <v>2018</v>
      </c>
      <c r="E4281" s="2">
        <v>5</v>
      </c>
      <c r="F4281" s="2">
        <v>900</v>
      </c>
      <c r="G4281" s="2">
        <v>945</v>
      </c>
    </row>
    <row r="4282" spans="1:8" x14ac:dyDescent="0.3">
      <c r="A4282" t="s">
        <v>1847</v>
      </c>
      <c r="B4282" t="s">
        <v>46</v>
      </c>
      <c r="C4282" t="s">
        <v>47</v>
      </c>
      <c r="D4282">
        <v>2018</v>
      </c>
      <c r="E4282" s="2">
        <v>5</v>
      </c>
      <c r="F4282" s="2">
        <v>550</v>
      </c>
      <c r="G4282" s="2">
        <v>577.5</v>
      </c>
    </row>
    <row r="4283" spans="1:8" x14ac:dyDescent="0.3">
      <c r="A4283" t="s">
        <v>1847</v>
      </c>
      <c r="B4283" t="s">
        <v>203</v>
      </c>
      <c r="C4283" t="s">
        <v>204</v>
      </c>
      <c r="D4283">
        <v>2017</v>
      </c>
      <c r="E4283" s="2">
        <v>15</v>
      </c>
      <c r="F4283" s="2">
        <v>1425</v>
      </c>
      <c r="G4283" s="2"/>
    </row>
    <row r="4284" spans="1:8" x14ac:dyDescent="0.3">
      <c r="A4284" t="s">
        <v>1847</v>
      </c>
      <c r="B4284" t="s">
        <v>203</v>
      </c>
      <c r="C4284" t="s">
        <v>204</v>
      </c>
      <c r="D4284">
        <v>2018</v>
      </c>
      <c r="E4284" s="2">
        <v>10</v>
      </c>
      <c r="F4284" s="2">
        <v>1075</v>
      </c>
      <c r="G4284" s="2">
        <v>1128.75</v>
      </c>
    </row>
    <row r="4285" spans="1:8" x14ac:dyDescent="0.3">
      <c r="A4285" t="s">
        <v>1847</v>
      </c>
      <c r="B4285" t="s">
        <v>1737</v>
      </c>
      <c r="C4285" t="s">
        <v>759</v>
      </c>
      <c r="D4285">
        <v>2018</v>
      </c>
      <c r="E4285" s="2">
        <v>5</v>
      </c>
      <c r="F4285" s="2">
        <v>750</v>
      </c>
      <c r="G4285" s="2">
        <v>787.5</v>
      </c>
    </row>
    <row r="4286" spans="1:8" x14ac:dyDescent="0.3">
      <c r="A4286" t="s">
        <v>1848</v>
      </c>
      <c r="B4286" t="s">
        <v>1128</v>
      </c>
      <c r="C4286" t="s">
        <v>1129</v>
      </c>
      <c r="D4286">
        <v>2020</v>
      </c>
      <c r="E4286" s="2">
        <v>2</v>
      </c>
      <c r="F4286" s="2">
        <v>160</v>
      </c>
      <c r="G4286" s="2">
        <v>168</v>
      </c>
      <c r="H4286" s="3" t="s">
        <v>442</v>
      </c>
    </row>
    <row r="4287" spans="1:8" x14ac:dyDescent="0.3">
      <c r="A4287" t="s">
        <v>1848</v>
      </c>
      <c r="B4287" t="s">
        <v>1128</v>
      </c>
      <c r="C4287" t="s">
        <v>1129</v>
      </c>
      <c r="D4287">
        <v>2021</v>
      </c>
      <c r="E4287" s="2">
        <v>6</v>
      </c>
      <c r="F4287" s="2">
        <v>480</v>
      </c>
      <c r="G4287" s="2">
        <v>480</v>
      </c>
      <c r="H4287" s="3" t="s">
        <v>442</v>
      </c>
    </row>
    <row r="4288" spans="1:8" x14ac:dyDescent="0.3">
      <c r="A4288" t="s">
        <v>1848</v>
      </c>
      <c r="B4288" t="s">
        <v>532</v>
      </c>
      <c r="C4288" t="s">
        <v>452</v>
      </c>
      <c r="D4288">
        <v>2020</v>
      </c>
      <c r="E4288" s="2">
        <v>2</v>
      </c>
      <c r="F4288" s="2">
        <v>150</v>
      </c>
      <c r="G4288" s="2">
        <v>157.5</v>
      </c>
    </row>
    <row r="4289" spans="1:8" x14ac:dyDescent="0.3">
      <c r="A4289" t="s">
        <v>1848</v>
      </c>
      <c r="B4289" t="s">
        <v>626</v>
      </c>
      <c r="C4289" t="s">
        <v>582</v>
      </c>
      <c r="D4289">
        <v>2020</v>
      </c>
      <c r="E4289" s="2">
        <v>2</v>
      </c>
      <c r="F4289" s="2">
        <v>160</v>
      </c>
      <c r="G4289" s="2">
        <v>168</v>
      </c>
    </row>
    <row r="4290" spans="1:8" x14ac:dyDescent="0.3">
      <c r="A4290" t="s">
        <v>1848</v>
      </c>
      <c r="B4290" t="s">
        <v>696</v>
      </c>
      <c r="C4290" t="s">
        <v>697</v>
      </c>
      <c r="D4290">
        <v>2020</v>
      </c>
      <c r="E4290" s="2">
        <v>2</v>
      </c>
      <c r="F4290" s="2">
        <v>160</v>
      </c>
      <c r="G4290" s="2">
        <v>168</v>
      </c>
    </row>
    <row r="4291" spans="1:8" x14ac:dyDescent="0.3">
      <c r="A4291" t="s">
        <v>1848</v>
      </c>
      <c r="B4291" t="s">
        <v>635</v>
      </c>
      <c r="C4291" t="s">
        <v>636</v>
      </c>
      <c r="D4291">
        <v>2020</v>
      </c>
      <c r="E4291" s="2">
        <v>2</v>
      </c>
      <c r="F4291" s="2">
        <v>160</v>
      </c>
      <c r="G4291" s="2">
        <v>168</v>
      </c>
    </row>
    <row r="4292" spans="1:8" x14ac:dyDescent="0.3">
      <c r="A4292" t="s">
        <v>1848</v>
      </c>
      <c r="B4292" t="s">
        <v>536</v>
      </c>
      <c r="C4292" t="s">
        <v>537</v>
      </c>
      <c r="D4292">
        <v>2020</v>
      </c>
      <c r="E4292" s="2">
        <v>2</v>
      </c>
      <c r="F4292" s="2">
        <v>160</v>
      </c>
      <c r="G4292" s="2">
        <v>168</v>
      </c>
    </row>
    <row r="4293" spans="1:8" x14ac:dyDescent="0.3">
      <c r="A4293" t="s">
        <v>1848</v>
      </c>
      <c r="B4293" t="s">
        <v>1433</v>
      </c>
      <c r="C4293" t="s">
        <v>1434</v>
      </c>
      <c r="D4293">
        <v>2020</v>
      </c>
      <c r="E4293" s="2">
        <v>2</v>
      </c>
      <c r="F4293" s="2">
        <v>160</v>
      </c>
      <c r="G4293" s="2">
        <v>168</v>
      </c>
    </row>
    <row r="4294" spans="1:8" x14ac:dyDescent="0.3">
      <c r="A4294" t="s">
        <v>1848</v>
      </c>
      <c r="B4294" t="s">
        <v>58</v>
      </c>
      <c r="C4294" t="s">
        <v>59</v>
      </c>
      <c r="D4294">
        <v>2020</v>
      </c>
      <c r="E4294" s="2">
        <v>15</v>
      </c>
      <c r="F4294" s="2">
        <v>1050</v>
      </c>
      <c r="G4294" s="2">
        <v>1102.5</v>
      </c>
    </row>
    <row r="4295" spans="1:8" x14ac:dyDescent="0.3">
      <c r="A4295" t="s">
        <v>1848</v>
      </c>
      <c r="B4295" t="s">
        <v>1687</v>
      </c>
      <c r="C4295" t="s">
        <v>1688</v>
      </c>
      <c r="D4295">
        <v>2020</v>
      </c>
      <c r="E4295" s="2">
        <v>1</v>
      </c>
      <c r="F4295" s="2">
        <v>70</v>
      </c>
      <c r="G4295" s="2">
        <v>73.5</v>
      </c>
    </row>
    <row r="4296" spans="1:8" x14ac:dyDescent="0.3">
      <c r="A4296" t="s">
        <v>1848</v>
      </c>
      <c r="B4296" t="s">
        <v>643</v>
      </c>
      <c r="C4296" t="s">
        <v>644</v>
      </c>
      <c r="D4296">
        <v>2020</v>
      </c>
      <c r="E4296" s="2">
        <v>2</v>
      </c>
      <c r="F4296" s="2">
        <v>180</v>
      </c>
      <c r="G4296" s="2">
        <v>189</v>
      </c>
    </row>
    <row r="4297" spans="1:8" x14ac:dyDescent="0.3">
      <c r="A4297" t="s">
        <v>1848</v>
      </c>
      <c r="B4297" t="s">
        <v>1849</v>
      </c>
      <c r="D4297">
        <v>2020</v>
      </c>
      <c r="E4297" s="2">
        <v>16</v>
      </c>
      <c r="F4297" s="2">
        <v>1185</v>
      </c>
      <c r="G4297" s="2">
        <v>1244.25</v>
      </c>
      <c r="H4297" s="3" t="s">
        <v>1850</v>
      </c>
    </row>
    <row r="4298" spans="1:8" x14ac:dyDescent="0.3">
      <c r="A4298" t="s">
        <v>1848</v>
      </c>
      <c r="B4298" t="s">
        <v>1849</v>
      </c>
      <c r="D4298">
        <v>2021</v>
      </c>
      <c r="E4298" s="2">
        <v>1</v>
      </c>
      <c r="F4298" s="2">
        <v>90</v>
      </c>
      <c r="G4298" s="2">
        <v>90</v>
      </c>
      <c r="H4298" s="3" t="s">
        <v>1850</v>
      </c>
    </row>
    <row r="4299" spans="1:8" x14ac:dyDescent="0.3">
      <c r="A4299" t="s">
        <v>1848</v>
      </c>
      <c r="B4299" t="s">
        <v>187</v>
      </c>
      <c r="C4299" t="s">
        <v>188</v>
      </c>
      <c r="D4299">
        <v>2021</v>
      </c>
      <c r="E4299" s="2">
        <v>4</v>
      </c>
      <c r="F4299" s="2">
        <v>320</v>
      </c>
      <c r="G4299" s="2">
        <v>320</v>
      </c>
      <c r="H4299" s="3" t="s">
        <v>18</v>
      </c>
    </row>
    <row r="4300" spans="1:8" x14ac:dyDescent="0.3">
      <c r="A4300" t="s">
        <v>1848</v>
      </c>
      <c r="B4300" t="s">
        <v>1666</v>
      </c>
      <c r="C4300" t="s">
        <v>1667</v>
      </c>
      <c r="D4300">
        <v>2020</v>
      </c>
      <c r="E4300" s="2">
        <v>16</v>
      </c>
      <c r="F4300" s="2">
        <v>1285</v>
      </c>
      <c r="G4300" s="2">
        <v>1349.25</v>
      </c>
    </row>
    <row r="4301" spans="1:8" x14ac:dyDescent="0.3">
      <c r="A4301" t="s">
        <v>1848</v>
      </c>
      <c r="B4301" t="s">
        <v>383</v>
      </c>
      <c r="C4301" t="s">
        <v>384</v>
      </c>
      <c r="D4301">
        <v>2020</v>
      </c>
      <c r="E4301" s="2">
        <v>2</v>
      </c>
      <c r="F4301" s="2">
        <v>360</v>
      </c>
      <c r="G4301" s="2">
        <v>378</v>
      </c>
    </row>
    <row r="4302" spans="1:8" x14ac:dyDescent="0.3">
      <c r="A4302" t="s">
        <v>1848</v>
      </c>
      <c r="B4302" t="s">
        <v>383</v>
      </c>
      <c r="C4302" t="s">
        <v>385</v>
      </c>
      <c r="D4302">
        <v>2021</v>
      </c>
      <c r="E4302" s="2">
        <v>1</v>
      </c>
      <c r="F4302" s="2">
        <v>180</v>
      </c>
      <c r="G4302" s="2">
        <v>180</v>
      </c>
      <c r="H4302" s="3" t="s">
        <v>18</v>
      </c>
    </row>
    <row r="4303" spans="1:8" x14ac:dyDescent="0.3">
      <c r="A4303" t="s">
        <v>1848</v>
      </c>
      <c r="B4303" t="s">
        <v>483</v>
      </c>
      <c r="C4303" t="s">
        <v>484</v>
      </c>
      <c r="D4303">
        <v>2020</v>
      </c>
      <c r="E4303" s="2">
        <v>5</v>
      </c>
      <c r="F4303" s="2">
        <v>325</v>
      </c>
      <c r="G4303" s="2">
        <v>341.25</v>
      </c>
      <c r="H4303" s="3" t="s">
        <v>18</v>
      </c>
    </row>
    <row r="4304" spans="1:8" x14ac:dyDescent="0.3">
      <c r="A4304" t="s">
        <v>1848</v>
      </c>
      <c r="B4304" t="s">
        <v>483</v>
      </c>
      <c r="C4304" t="s">
        <v>484</v>
      </c>
      <c r="D4304">
        <v>2021</v>
      </c>
      <c r="E4304" s="2">
        <v>5</v>
      </c>
      <c r="F4304" s="2">
        <v>325</v>
      </c>
      <c r="G4304" s="2">
        <v>325</v>
      </c>
      <c r="H4304" s="3" t="s">
        <v>18</v>
      </c>
    </row>
    <row r="4305" spans="1:8" x14ac:dyDescent="0.3">
      <c r="A4305" t="s">
        <v>1848</v>
      </c>
      <c r="B4305" t="s">
        <v>754</v>
      </c>
      <c r="C4305" t="s">
        <v>755</v>
      </c>
      <c r="D4305">
        <v>2020</v>
      </c>
      <c r="E4305" s="2">
        <v>10</v>
      </c>
      <c r="F4305" s="2">
        <v>800</v>
      </c>
      <c r="G4305" s="2">
        <v>840</v>
      </c>
      <c r="H4305" s="3" t="s">
        <v>18</v>
      </c>
    </row>
    <row r="4306" spans="1:8" x14ac:dyDescent="0.3">
      <c r="A4306" t="s">
        <v>1848</v>
      </c>
      <c r="B4306" t="s">
        <v>754</v>
      </c>
      <c r="C4306" t="s">
        <v>755</v>
      </c>
      <c r="D4306">
        <v>2021</v>
      </c>
      <c r="E4306" s="2">
        <v>3</v>
      </c>
      <c r="F4306" s="2">
        <v>240</v>
      </c>
      <c r="G4306" s="2">
        <v>240</v>
      </c>
      <c r="H4306" s="3" t="s">
        <v>18</v>
      </c>
    </row>
    <row r="4307" spans="1:8" x14ac:dyDescent="0.3">
      <c r="A4307" t="s">
        <v>1848</v>
      </c>
      <c r="B4307" t="s">
        <v>155</v>
      </c>
      <c r="C4307" t="s">
        <v>156</v>
      </c>
      <c r="D4307">
        <v>2020</v>
      </c>
      <c r="E4307" s="2">
        <v>2</v>
      </c>
      <c r="F4307" s="2">
        <v>170</v>
      </c>
      <c r="G4307" s="2">
        <v>178.5</v>
      </c>
    </row>
    <row r="4308" spans="1:8" x14ac:dyDescent="0.3">
      <c r="A4308" t="s">
        <v>1851</v>
      </c>
      <c r="B4308" t="s">
        <v>196</v>
      </c>
      <c r="C4308" t="s">
        <v>197</v>
      </c>
      <c r="D4308">
        <v>2015</v>
      </c>
      <c r="E4308" s="2">
        <v>5</v>
      </c>
      <c r="F4308" s="2">
        <v>1100</v>
      </c>
      <c r="G4308" s="2"/>
    </row>
    <row r="4309" spans="1:8" x14ac:dyDescent="0.3">
      <c r="A4309" t="s">
        <v>1851</v>
      </c>
      <c r="B4309" t="s">
        <v>72</v>
      </c>
      <c r="C4309" t="s">
        <v>73</v>
      </c>
      <c r="D4309">
        <v>2015</v>
      </c>
      <c r="E4309" s="2">
        <v>5</v>
      </c>
      <c r="F4309" s="2">
        <v>1225</v>
      </c>
      <c r="G4309" s="2"/>
    </row>
    <row r="4310" spans="1:8" x14ac:dyDescent="0.3">
      <c r="A4310" t="s">
        <v>1851</v>
      </c>
      <c r="B4310" t="s">
        <v>320</v>
      </c>
      <c r="C4310" t="s">
        <v>321</v>
      </c>
      <c r="D4310">
        <v>2015</v>
      </c>
      <c r="E4310" s="2">
        <v>5</v>
      </c>
      <c r="F4310" s="2">
        <v>900</v>
      </c>
      <c r="G4310" s="2"/>
    </row>
    <row r="4311" spans="1:8" x14ac:dyDescent="0.3">
      <c r="A4311" t="s">
        <v>1852</v>
      </c>
      <c r="B4311" t="s">
        <v>624</v>
      </c>
      <c r="C4311" t="s">
        <v>625</v>
      </c>
      <c r="D4311">
        <v>2020</v>
      </c>
      <c r="E4311" s="2">
        <v>10</v>
      </c>
      <c r="F4311" s="2">
        <v>700</v>
      </c>
      <c r="G4311" s="2">
        <v>735</v>
      </c>
      <c r="H4311" s="3" t="s">
        <v>14</v>
      </c>
    </row>
    <row r="4312" spans="1:8" x14ac:dyDescent="0.3">
      <c r="A4312" t="s">
        <v>1852</v>
      </c>
      <c r="B4312" t="s">
        <v>624</v>
      </c>
      <c r="C4312" t="s">
        <v>625</v>
      </c>
      <c r="D4312">
        <v>2021</v>
      </c>
      <c r="E4312" s="2">
        <v>25</v>
      </c>
      <c r="F4312" s="2">
        <v>1750</v>
      </c>
      <c r="G4312" s="2">
        <v>1837.5</v>
      </c>
      <c r="H4312" s="3" t="s">
        <v>14</v>
      </c>
    </row>
    <row r="4313" spans="1:8" x14ac:dyDescent="0.3">
      <c r="A4313" t="s">
        <v>1852</v>
      </c>
      <c r="B4313" t="s">
        <v>532</v>
      </c>
      <c r="C4313" t="s">
        <v>452</v>
      </c>
      <c r="D4313">
        <v>2021</v>
      </c>
      <c r="E4313" s="2">
        <v>25</v>
      </c>
      <c r="F4313" s="2">
        <v>1700</v>
      </c>
      <c r="G4313" s="2">
        <v>1785</v>
      </c>
      <c r="H4313" s="3" t="s">
        <v>14</v>
      </c>
    </row>
    <row r="4314" spans="1:8" x14ac:dyDescent="0.3">
      <c r="A4314" t="s">
        <v>1852</v>
      </c>
      <c r="B4314" t="s">
        <v>627</v>
      </c>
      <c r="C4314" t="s">
        <v>628</v>
      </c>
      <c r="D4314">
        <v>2020</v>
      </c>
      <c r="E4314" s="2">
        <v>10</v>
      </c>
      <c r="F4314" s="2">
        <v>600</v>
      </c>
      <c r="G4314" s="2">
        <v>630</v>
      </c>
    </row>
    <row r="4315" spans="1:8" x14ac:dyDescent="0.3">
      <c r="A4315" t="s">
        <v>1852</v>
      </c>
      <c r="B4315" t="s">
        <v>629</v>
      </c>
      <c r="C4315" t="s">
        <v>630</v>
      </c>
      <c r="D4315">
        <v>2020</v>
      </c>
      <c r="E4315" s="2">
        <v>5</v>
      </c>
      <c r="F4315" s="2">
        <v>375</v>
      </c>
      <c r="G4315" s="2">
        <v>393.75</v>
      </c>
    </row>
    <row r="4316" spans="1:8" x14ac:dyDescent="0.3">
      <c r="A4316" t="s">
        <v>1852</v>
      </c>
      <c r="B4316" t="s">
        <v>635</v>
      </c>
      <c r="C4316" t="s">
        <v>636</v>
      </c>
      <c r="D4316">
        <v>2020</v>
      </c>
      <c r="E4316" s="2">
        <v>10</v>
      </c>
      <c r="F4316" s="2">
        <v>600</v>
      </c>
      <c r="G4316" s="2">
        <v>630</v>
      </c>
    </row>
    <row r="4317" spans="1:8" x14ac:dyDescent="0.3">
      <c r="A4317" t="s">
        <v>1852</v>
      </c>
      <c r="B4317" t="s">
        <v>536</v>
      </c>
      <c r="C4317" t="s">
        <v>537</v>
      </c>
      <c r="D4317">
        <v>2020</v>
      </c>
      <c r="E4317" s="2">
        <v>5</v>
      </c>
      <c r="F4317" s="2">
        <v>600</v>
      </c>
      <c r="G4317" s="2">
        <v>630</v>
      </c>
    </row>
    <row r="4318" spans="1:8" x14ac:dyDescent="0.3">
      <c r="A4318" t="s">
        <v>1852</v>
      </c>
      <c r="B4318" t="s">
        <v>643</v>
      </c>
      <c r="C4318" t="s">
        <v>644</v>
      </c>
      <c r="D4318">
        <v>2020</v>
      </c>
      <c r="E4318" s="2">
        <v>25</v>
      </c>
      <c r="F4318" s="2">
        <v>1500</v>
      </c>
      <c r="G4318" s="2">
        <v>1575</v>
      </c>
    </row>
    <row r="4319" spans="1:8" x14ac:dyDescent="0.3">
      <c r="A4319" t="s">
        <v>1852</v>
      </c>
      <c r="B4319" t="s">
        <v>1853</v>
      </c>
      <c r="C4319" t="s">
        <v>1854</v>
      </c>
      <c r="D4319">
        <v>2020</v>
      </c>
      <c r="E4319" s="2">
        <v>10</v>
      </c>
      <c r="F4319" s="2">
        <v>600</v>
      </c>
      <c r="G4319" s="2">
        <v>630</v>
      </c>
      <c r="H4319" s="3" t="s">
        <v>18</v>
      </c>
    </row>
    <row r="4320" spans="1:8" x14ac:dyDescent="0.3">
      <c r="A4320" t="s">
        <v>1852</v>
      </c>
      <c r="B4320" t="s">
        <v>1853</v>
      </c>
      <c r="C4320" t="s">
        <v>1854</v>
      </c>
      <c r="D4320">
        <v>2021</v>
      </c>
      <c r="E4320" s="2">
        <v>25</v>
      </c>
      <c r="F4320" s="2">
        <v>1500</v>
      </c>
      <c r="G4320" s="2">
        <v>1575</v>
      </c>
      <c r="H4320" s="3" t="s">
        <v>18</v>
      </c>
    </row>
    <row r="4321" spans="1:8" x14ac:dyDescent="0.3">
      <c r="A4321" t="s">
        <v>1852</v>
      </c>
      <c r="B4321" t="s">
        <v>686</v>
      </c>
      <c r="C4321" t="s">
        <v>687</v>
      </c>
      <c r="D4321">
        <v>2020</v>
      </c>
      <c r="E4321" s="2">
        <v>25</v>
      </c>
      <c r="F4321" s="2">
        <v>1125</v>
      </c>
      <c r="G4321" s="2">
        <v>1181.25</v>
      </c>
    </row>
    <row r="4322" spans="1:8" x14ac:dyDescent="0.3">
      <c r="A4322" t="s">
        <v>1852</v>
      </c>
      <c r="B4322" t="s">
        <v>649</v>
      </c>
      <c r="C4322" t="s">
        <v>650</v>
      </c>
      <c r="D4322">
        <v>2020</v>
      </c>
      <c r="E4322" s="2">
        <v>10</v>
      </c>
      <c r="F4322" s="2">
        <v>700</v>
      </c>
      <c r="G4322" s="2">
        <v>735</v>
      </c>
    </row>
    <row r="4323" spans="1:8" x14ac:dyDescent="0.3">
      <c r="A4323" t="s">
        <v>1852</v>
      </c>
      <c r="B4323" t="s">
        <v>1122</v>
      </c>
      <c r="C4323" t="s">
        <v>1123</v>
      </c>
      <c r="D4323">
        <v>2020</v>
      </c>
      <c r="E4323" s="2">
        <v>5</v>
      </c>
      <c r="F4323" s="2">
        <v>300</v>
      </c>
      <c r="G4323" s="2">
        <v>315</v>
      </c>
    </row>
    <row r="4324" spans="1:8" x14ac:dyDescent="0.3">
      <c r="A4324" t="s">
        <v>1852</v>
      </c>
      <c r="B4324" t="s">
        <v>269</v>
      </c>
      <c r="C4324" t="s">
        <v>270</v>
      </c>
      <c r="D4324">
        <v>2020</v>
      </c>
      <c r="E4324" s="2">
        <v>10</v>
      </c>
      <c r="F4324" s="2">
        <v>600</v>
      </c>
      <c r="G4324" s="2">
        <v>630</v>
      </c>
    </row>
    <row r="4325" spans="1:8" x14ac:dyDescent="0.3">
      <c r="A4325" t="s">
        <v>1852</v>
      </c>
      <c r="B4325" t="s">
        <v>187</v>
      </c>
      <c r="C4325" t="s">
        <v>188</v>
      </c>
      <c r="D4325">
        <v>2020</v>
      </c>
      <c r="E4325" s="2">
        <v>10</v>
      </c>
      <c r="F4325" s="2">
        <v>600</v>
      </c>
      <c r="G4325" s="2">
        <v>630</v>
      </c>
      <c r="H4325" s="3" t="s">
        <v>18</v>
      </c>
    </row>
    <row r="4326" spans="1:8" x14ac:dyDescent="0.3">
      <c r="A4326" t="s">
        <v>1852</v>
      </c>
      <c r="B4326" t="s">
        <v>187</v>
      </c>
      <c r="C4326" t="s">
        <v>188</v>
      </c>
      <c r="D4326">
        <v>2021</v>
      </c>
      <c r="E4326" s="2">
        <v>25</v>
      </c>
      <c r="F4326" s="2">
        <v>1500</v>
      </c>
      <c r="G4326" s="2">
        <v>1575</v>
      </c>
      <c r="H4326" s="3" t="s">
        <v>18</v>
      </c>
    </row>
    <row r="4327" spans="1:8" x14ac:dyDescent="0.3">
      <c r="A4327" t="s">
        <v>1852</v>
      </c>
      <c r="B4327" t="s">
        <v>573</v>
      </c>
      <c r="C4327" t="s">
        <v>574</v>
      </c>
      <c r="D4327">
        <v>2021</v>
      </c>
      <c r="E4327" s="2">
        <v>25</v>
      </c>
      <c r="F4327" s="2">
        <v>1750</v>
      </c>
      <c r="G4327" s="2">
        <v>1837.5</v>
      </c>
      <c r="H4327" s="3" t="s">
        <v>14</v>
      </c>
    </row>
    <row r="4328" spans="1:8" x14ac:dyDescent="0.3">
      <c r="A4328" t="s">
        <v>1852</v>
      </c>
      <c r="B4328" t="s">
        <v>653</v>
      </c>
      <c r="C4328" t="s">
        <v>654</v>
      </c>
      <c r="D4328">
        <v>2020</v>
      </c>
      <c r="E4328" s="2">
        <v>1</v>
      </c>
      <c r="F4328" s="2">
        <v>65</v>
      </c>
      <c r="G4328" s="2">
        <v>68.25</v>
      </c>
    </row>
    <row r="4329" spans="1:8" x14ac:dyDescent="0.3">
      <c r="A4329" t="s">
        <v>1852</v>
      </c>
      <c r="B4329" t="s">
        <v>76</v>
      </c>
      <c r="C4329" t="s">
        <v>77</v>
      </c>
      <c r="D4329">
        <v>2020</v>
      </c>
      <c r="E4329" s="2">
        <v>10</v>
      </c>
      <c r="F4329" s="2">
        <v>600</v>
      </c>
      <c r="G4329" s="2">
        <v>630</v>
      </c>
    </row>
    <row r="4330" spans="1:8" x14ac:dyDescent="0.3">
      <c r="A4330" t="s">
        <v>1852</v>
      </c>
      <c r="B4330" t="s">
        <v>677</v>
      </c>
      <c r="C4330" t="s">
        <v>678</v>
      </c>
      <c r="D4330">
        <v>2020</v>
      </c>
      <c r="E4330" s="2">
        <v>1</v>
      </c>
      <c r="F4330" s="2">
        <v>110</v>
      </c>
      <c r="G4330" s="2">
        <v>115.5</v>
      </c>
    </row>
    <row r="4331" spans="1:8" x14ac:dyDescent="0.3">
      <c r="A4331" t="s">
        <v>1852</v>
      </c>
      <c r="B4331" t="s">
        <v>679</v>
      </c>
      <c r="C4331" t="s">
        <v>680</v>
      </c>
      <c r="D4331">
        <v>2020</v>
      </c>
      <c r="E4331" s="2">
        <v>10</v>
      </c>
      <c r="F4331" s="2">
        <v>700</v>
      </c>
      <c r="G4331" s="2">
        <v>735</v>
      </c>
    </row>
    <row r="4332" spans="1:8" x14ac:dyDescent="0.3">
      <c r="A4332" t="s">
        <v>1855</v>
      </c>
      <c r="B4332" t="s">
        <v>174</v>
      </c>
      <c r="C4332" t="s">
        <v>175</v>
      </c>
      <c r="D4332">
        <v>2016</v>
      </c>
      <c r="E4332" s="2">
        <v>25</v>
      </c>
      <c r="F4332" s="2">
        <v>1700</v>
      </c>
      <c r="G4332" s="2"/>
    </row>
    <row r="4333" spans="1:8" x14ac:dyDescent="0.3">
      <c r="A4333" t="s">
        <v>1855</v>
      </c>
      <c r="B4333" t="s">
        <v>721</v>
      </c>
      <c r="C4333" t="s">
        <v>722</v>
      </c>
      <c r="D4333">
        <v>2016</v>
      </c>
      <c r="E4333" s="2">
        <v>25</v>
      </c>
      <c r="F4333" s="2">
        <v>1750</v>
      </c>
      <c r="G4333" s="2"/>
    </row>
    <row r="4334" spans="1:8" x14ac:dyDescent="0.3">
      <c r="A4334" t="s">
        <v>1855</v>
      </c>
      <c r="B4334" t="s">
        <v>1856</v>
      </c>
      <c r="D4334">
        <v>2016</v>
      </c>
      <c r="E4334" s="2">
        <v>23</v>
      </c>
      <c r="F4334" s="2">
        <v>1334</v>
      </c>
      <c r="G4334" s="2"/>
    </row>
    <row r="4335" spans="1:8" x14ac:dyDescent="0.3">
      <c r="A4335" t="s">
        <v>1855</v>
      </c>
      <c r="B4335" t="s">
        <v>602</v>
      </c>
      <c r="C4335" t="s">
        <v>603</v>
      </c>
      <c r="D4335">
        <v>2016</v>
      </c>
      <c r="E4335" s="2">
        <v>15</v>
      </c>
      <c r="F4335" s="2">
        <v>1200</v>
      </c>
      <c r="G4335" s="2"/>
    </row>
    <row r="4336" spans="1:8" x14ac:dyDescent="0.3">
      <c r="A4336" t="s">
        <v>1855</v>
      </c>
      <c r="B4336" t="s">
        <v>1857</v>
      </c>
      <c r="C4336" t="s">
        <v>1858</v>
      </c>
      <c r="D4336">
        <v>2012</v>
      </c>
      <c r="E4336" s="2">
        <v>20</v>
      </c>
      <c r="F4336" s="2">
        <v>1300</v>
      </c>
      <c r="G4336" s="2"/>
    </row>
    <row r="4337" spans="1:7" x14ac:dyDescent="0.3">
      <c r="A4337" t="s">
        <v>1855</v>
      </c>
      <c r="B4337" t="s">
        <v>465</v>
      </c>
      <c r="C4337" t="s">
        <v>466</v>
      </c>
      <c r="D4337">
        <v>2011</v>
      </c>
      <c r="E4337" s="2">
        <v>75</v>
      </c>
      <c r="F4337" s="2">
        <v>4575</v>
      </c>
      <c r="G4337" s="2"/>
    </row>
    <row r="4338" spans="1:7" x14ac:dyDescent="0.3">
      <c r="A4338" t="s">
        <v>1855</v>
      </c>
      <c r="B4338" t="s">
        <v>465</v>
      </c>
      <c r="C4338" t="s">
        <v>466</v>
      </c>
      <c r="D4338">
        <v>2012</v>
      </c>
      <c r="E4338" s="2">
        <v>50</v>
      </c>
      <c r="F4338" s="2">
        <v>3450</v>
      </c>
      <c r="G4338" s="2"/>
    </row>
    <row r="4339" spans="1:7" x14ac:dyDescent="0.3">
      <c r="A4339" t="s">
        <v>1855</v>
      </c>
      <c r="B4339" t="s">
        <v>41</v>
      </c>
      <c r="C4339" t="s">
        <v>42</v>
      </c>
      <c r="D4339">
        <v>2011</v>
      </c>
      <c r="E4339" s="2">
        <v>25</v>
      </c>
      <c r="F4339" s="2">
        <v>1500</v>
      </c>
      <c r="G4339" s="2"/>
    </row>
    <row r="4340" spans="1:7" x14ac:dyDescent="0.3">
      <c r="A4340" t="s">
        <v>1855</v>
      </c>
      <c r="B4340" t="s">
        <v>575</v>
      </c>
      <c r="C4340" t="s">
        <v>673</v>
      </c>
      <c r="D4340">
        <v>2016</v>
      </c>
      <c r="E4340" s="2">
        <v>15</v>
      </c>
      <c r="F4340" s="2">
        <v>975</v>
      </c>
      <c r="G4340" s="2"/>
    </row>
    <row r="4341" spans="1:7" x14ac:dyDescent="0.3">
      <c r="A4341" t="s">
        <v>1855</v>
      </c>
      <c r="B4341" t="s">
        <v>46</v>
      </c>
      <c r="C4341" t="s">
        <v>47</v>
      </c>
      <c r="D4341">
        <v>2011</v>
      </c>
      <c r="E4341" s="2">
        <v>25</v>
      </c>
      <c r="F4341" s="2">
        <v>1200</v>
      </c>
      <c r="G4341" s="2"/>
    </row>
    <row r="4342" spans="1:7" x14ac:dyDescent="0.3">
      <c r="A4342" t="s">
        <v>1855</v>
      </c>
      <c r="B4342" t="s">
        <v>46</v>
      </c>
      <c r="C4342" t="s">
        <v>47</v>
      </c>
      <c r="D4342">
        <v>2012</v>
      </c>
      <c r="E4342" s="2">
        <v>50</v>
      </c>
      <c r="F4342" s="2">
        <v>3000</v>
      </c>
      <c r="G4342" s="2"/>
    </row>
    <row r="4343" spans="1:7" x14ac:dyDescent="0.3">
      <c r="A4343" t="s">
        <v>1859</v>
      </c>
      <c r="B4343" t="s">
        <v>483</v>
      </c>
      <c r="C4343" t="s">
        <v>484</v>
      </c>
      <c r="D4343">
        <v>2019</v>
      </c>
      <c r="E4343" s="2">
        <v>7</v>
      </c>
      <c r="F4343" s="2">
        <v>560</v>
      </c>
      <c r="G4343" s="2">
        <v>588</v>
      </c>
    </row>
    <row r="4344" spans="1:7" x14ac:dyDescent="0.3">
      <c r="A4344" t="s">
        <v>1860</v>
      </c>
      <c r="B4344" t="s">
        <v>39</v>
      </c>
      <c r="D4344">
        <v>2018</v>
      </c>
      <c r="E4344" s="2">
        <v>2</v>
      </c>
      <c r="F4344" s="2">
        <v>600</v>
      </c>
      <c r="G4344" s="2">
        <v>630</v>
      </c>
    </row>
    <row r="4345" spans="1:7" x14ac:dyDescent="0.3">
      <c r="A4345" t="s">
        <v>1860</v>
      </c>
      <c r="B4345" t="s">
        <v>39</v>
      </c>
      <c r="D4345">
        <v>2020</v>
      </c>
      <c r="E4345" s="2">
        <v>40</v>
      </c>
      <c r="F4345" s="2">
        <v>9100</v>
      </c>
      <c r="G4345" s="2">
        <v>9555</v>
      </c>
    </row>
    <row r="4346" spans="1:7" x14ac:dyDescent="0.3">
      <c r="A4346" t="s">
        <v>1860</v>
      </c>
      <c r="B4346" t="s">
        <v>1861</v>
      </c>
      <c r="D4346">
        <v>2018</v>
      </c>
      <c r="E4346" s="2">
        <v>19</v>
      </c>
      <c r="F4346" s="2">
        <v>4370</v>
      </c>
      <c r="G4346" s="2">
        <v>4588.5</v>
      </c>
    </row>
    <row r="4347" spans="1:7" x14ac:dyDescent="0.3">
      <c r="A4347" t="s">
        <v>1862</v>
      </c>
      <c r="B4347" t="s">
        <v>174</v>
      </c>
      <c r="C4347" t="s">
        <v>175</v>
      </c>
      <c r="D4347">
        <v>2018</v>
      </c>
      <c r="E4347" s="2">
        <v>25</v>
      </c>
      <c r="F4347" s="2">
        <v>2125</v>
      </c>
      <c r="G4347" s="2">
        <v>2231.25</v>
      </c>
    </row>
    <row r="4348" spans="1:7" x14ac:dyDescent="0.3">
      <c r="A4348" t="s">
        <v>1862</v>
      </c>
      <c r="B4348" t="s">
        <v>1863</v>
      </c>
      <c r="D4348">
        <v>2010</v>
      </c>
      <c r="E4348" s="2">
        <v>200</v>
      </c>
      <c r="F4348" s="2">
        <v>8800</v>
      </c>
      <c r="G4348" s="2"/>
    </row>
    <row r="4349" spans="1:7" x14ac:dyDescent="0.3">
      <c r="A4349" t="s">
        <v>1862</v>
      </c>
      <c r="B4349" t="s">
        <v>41</v>
      </c>
      <c r="C4349" t="s">
        <v>42</v>
      </c>
      <c r="D4349">
        <v>2012</v>
      </c>
      <c r="E4349" s="2">
        <v>200</v>
      </c>
      <c r="F4349" s="2">
        <v>10800</v>
      </c>
      <c r="G4349" s="2"/>
    </row>
    <row r="4350" spans="1:7" x14ac:dyDescent="0.3">
      <c r="A4350" t="s">
        <v>1862</v>
      </c>
      <c r="B4350" t="s">
        <v>41</v>
      </c>
      <c r="C4350" t="s">
        <v>44</v>
      </c>
      <c r="D4350">
        <v>2016</v>
      </c>
      <c r="E4350" s="2">
        <v>150</v>
      </c>
      <c r="F4350" s="2">
        <v>12000</v>
      </c>
      <c r="G4350" s="2"/>
    </row>
    <row r="4351" spans="1:7" x14ac:dyDescent="0.3">
      <c r="A4351" t="s">
        <v>1862</v>
      </c>
      <c r="B4351" t="s">
        <v>41</v>
      </c>
      <c r="C4351" t="s">
        <v>44</v>
      </c>
      <c r="D4351">
        <v>2017</v>
      </c>
      <c r="E4351" s="2">
        <v>450</v>
      </c>
      <c r="F4351" s="2">
        <v>31500</v>
      </c>
      <c r="G4351" s="2"/>
    </row>
    <row r="4352" spans="1:7" x14ac:dyDescent="0.3">
      <c r="A4352" t="s">
        <v>1862</v>
      </c>
      <c r="B4352" t="s">
        <v>43</v>
      </c>
      <c r="C4352" t="s">
        <v>44</v>
      </c>
      <c r="D4352">
        <v>2009</v>
      </c>
      <c r="E4352" s="2">
        <v>100</v>
      </c>
      <c r="F4352" s="2">
        <v>6300</v>
      </c>
      <c r="G4352" s="2"/>
    </row>
    <row r="4353" spans="1:7" x14ac:dyDescent="0.3">
      <c r="A4353" t="s">
        <v>1862</v>
      </c>
      <c r="B4353" t="s">
        <v>43</v>
      </c>
      <c r="C4353" t="s">
        <v>44</v>
      </c>
      <c r="D4353">
        <v>2010</v>
      </c>
      <c r="E4353" s="2">
        <v>500</v>
      </c>
      <c r="F4353" s="2">
        <v>32250</v>
      </c>
      <c r="G4353" s="2"/>
    </row>
    <row r="4354" spans="1:7" x14ac:dyDescent="0.3">
      <c r="A4354" t="s">
        <v>1862</v>
      </c>
      <c r="B4354" t="s">
        <v>43</v>
      </c>
      <c r="C4354" t="s">
        <v>44</v>
      </c>
      <c r="D4354">
        <v>2013</v>
      </c>
      <c r="E4354" s="2">
        <v>320</v>
      </c>
      <c r="F4354" s="2">
        <v>22400</v>
      </c>
      <c r="G4354" s="2"/>
    </row>
    <row r="4355" spans="1:7" x14ac:dyDescent="0.3">
      <c r="A4355" t="s">
        <v>1864</v>
      </c>
      <c r="B4355" t="s">
        <v>45</v>
      </c>
      <c r="D4355">
        <v>2019</v>
      </c>
      <c r="E4355" s="2">
        <v>20</v>
      </c>
      <c r="F4355" s="2">
        <v>2000</v>
      </c>
      <c r="G4355" s="2">
        <v>2100</v>
      </c>
    </row>
    <row r="4356" spans="1:7" x14ac:dyDescent="0.3">
      <c r="A4356" t="s">
        <v>1864</v>
      </c>
      <c r="B4356" t="s">
        <v>863</v>
      </c>
      <c r="D4356">
        <v>2019</v>
      </c>
      <c r="E4356" s="2">
        <v>20</v>
      </c>
      <c r="F4356" s="2">
        <v>1800</v>
      </c>
      <c r="G4356" s="2">
        <v>1890</v>
      </c>
    </row>
    <row r="4357" spans="1:7" x14ac:dyDescent="0.3">
      <c r="A4357" t="s">
        <v>1864</v>
      </c>
      <c r="B4357" t="s">
        <v>240</v>
      </c>
      <c r="D4357">
        <v>2019</v>
      </c>
      <c r="E4357" s="2">
        <v>20</v>
      </c>
      <c r="F4357" s="2">
        <v>1800</v>
      </c>
      <c r="G4357" s="2">
        <v>1890</v>
      </c>
    </row>
    <row r="4358" spans="1:7" x14ac:dyDescent="0.3">
      <c r="A4358" t="s">
        <v>1864</v>
      </c>
      <c r="B4358" t="s">
        <v>32</v>
      </c>
      <c r="D4358">
        <v>2018</v>
      </c>
      <c r="E4358" s="2">
        <v>40</v>
      </c>
      <c r="F4358" s="2">
        <v>3400</v>
      </c>
      <c r="G4358" s="2">
        <v>3570</v>
      </c>
    </row>
    <row r="4359" spans="1:7" x14ac:dyDescent="0.3">
      <c r="A4359" t="s">
        <v>1864</v>
      </c>
      <c r="B4359" t="s">
        <v>32</v>
      </c>
      <c r="D4359">
        <v>2021</v>
      </c>
      <c r="E4359" s="2">
        <v>10</v>
      </c>
      <c r="F4359" s="2">
        <v>850</v>
      </c>
      <c r="G4359" s="2">
        <v>892.5</v>
      </c>
    </row>
    <row r="4360" spans="1:7" x14ac:dyDescent="0.3">
      <c r="A4360" t="s">
        <v>1865</v>
      </c>
      <c r="B4360" t="s">
        <v>16</v>
      </c>
      <c r="C4360" t="s">
        <v>17</v>
      </c>
      <c r="D4360">
        <v>2019</v>
      </c>
      <c r="E4360" s="2">
        <v>10</v>
      </c>
      <c r="F4360" s="2">
        <v>750</v>
      </c>
      <c r="G4360" s="2">
        <v>787.5</v>
      </c>
    </row>
    <row r="4361" spans="1:7" x14ac:dyDescent="0.3">
      <c r="A4361" t="s">
        <v>1865</v>
      </c>
      <c r="B4361" t="s">
        <v>662</v>
      </c>
      <c r="C4361" t="s">
        <v>525</v>
      </c>
      <c r="D4361">
        <v>2019</v>
      </c>
      <c r="E4361" s="2">
        <v>10</v>
      </c>
      <c r="F4361" s="2">
        <v>750</v>
      </c>
      <c r="G4361" s="2">
        <v>787.5</v>
      </c>
    </row>
    <row r="4362" spans="1:7" x14ac:dyDescent="0.3">
      <c r="A4362" t="s">
        <v>1865</v>
      </c>
      <c r="B4362" t="s">
        <v>34</v>
      </c>
      <c r="D4362">
        <v>2020</v>
      </c>
      <c r="E4362" s="2">
        <v>15</v>
      </c>
      <c r="F4362" s="2">
        <v>1425</v>
      </c>
      <c r="G4362" s="2">
        <v>1496.25</v>
      </c>
    </row>
    <row r="4363" spans="1:7" x14ac:dyDescent="0.3">
      <c r="A4363" t="s">
        <v>1865</v>
      </c>
      <c r="B4363" t="s">
        <v>453</v>
      </c>
      <c r="D4363">
        <v>2019</v>
      </c>
      <c r="E4363" s="2">
        <v>2</v>
      </c>
      <c r="F4363" s="2">
        <v>164</v>
      </c>
      <c r="G4363" s="2">
        <v>172.2</v>
      </c>
    </row>
    <row r="4364" spans="1:7" x14ac:dyDescent="0.3">
      <c r="A4364" t="s">
        <v>1865</v>
      </c>
      <c r="B4364" t="s">
        <v>453</v>
      </c>
      <c r="D4364">
        <v>2021</v>
      </c>
      <c r="E4364" s="2">
        <v>2</v>
      </c>
      <c r="F4364" s="2">
        <v>172</v>
      </c>
      <c r="G4364" s="2">
        <v>172</v>
      </c>
    </row>
    <row r="4365" spans="1:7" x14ac:dyDescent="0.3">
      <c r="A4365" t="s">
        <v>1865</v>
      </c>
      <c r="B4365" t="s">
        <v>696</v>
      </c>
      <c r="C4365" t="s">
        <v>697</v>
      </c>
      <c r="D4365">
        <v>2019</v>
      </c>
      <c r="E4365" s="2">
        <v>20</v>
      </c>
      <c r="F4365" s="2">
        <v>1540</v>
      </c>
      <c r="G4365" s="2">
        <v>1617</v>
      </c>
    </row>
    <row r="4366" spans="1:7" x14ac:dyDescent="0.3">
      <c r="A4366" t="s">
        <v>1865</v>
      </c>
      <c r="B4366" t="s">
        <v>696</v>
      </c>
      <c r="C4366" t="s">
        <v>697</v>
      </c>
      <c r="D4366">
        <v>2020</v>
      </c>
      <c r="E4366" s="2">
        <v>10</v>
      </c>
      <c r="F4366" s="2">
        <v>770</v>
      </c>
      <c r="G4366" s="2">
        <v>808.5</v>
      </c>
    </row>
    <row r="4367" spans="1:7" x14ac:dyDescent="0.3">
      <c r="A4367" t="s">
        <v>1865</v>
      </c>
      <c r="B4367" t="s">
        <v>461</v>
      </c>
      <c r="D4367">
        <v>2019</v>
      </c>
      <c r="E4367" s="2">
        <v>1</v>
      </c>
      <c r="F4367" s="2">
        <v>80</v>
      </c>
      <c r="G4367" s="2">
        <v>84</v>
      </c>
    </row>
    <row r="4368" spans="1:7" x14ac:dyDescent="0.3">
      <c r="A4368" t="s">
        <v>1865</v>
      </c>
      <c r="B4368" t="s">
        <v>461</v>
      </c>
      <c r="D4368">
        <v>2020</v>
      </c>
      <c r="E4368" s="2">
        <v>1</v>
      </c>
      <c r="F4368" s="2">
        <v>80</v>
      </c>
      <c r="G4368" s="2">
        <v>84</v>
      </c>
    </row>
    <row r="4369" spans="1:7" x14ac:dyDescent="0.3">
      <c r="A4369" t="s">
        <v>1865</v>
      </c>
      <c r="B4369" t="s">
        <v>35</v>
      </c>
      <c r="D4369">
        <v>2019</v>
      </c>
      <c r="E4369" s="2">
        <v>1</v>
      </c>
      <c r="F4369" s="2">
        <v>90</v>
      </c>
      <c r="G4369" s="2">
        <v>94.5</v>
      </c>
    </row>
    <row r="4370" spans="1:7" x14ac:dyDescent="0.3">
      <c r="A4370" t="s">
        <v>1865</v>
      </c>
      <c r="B4370" t="s">
        <v>35</v>
      </c>
      <c r="D4370">
        <v>2020</v>
      </c>
      <c r="E4370" s="2">
        <v>5</v>
      </c>
      <c r="F4370" s="2">
        <v>450</v>
      </c>
      <c r="G4370" s="2">
        <v>472.5</v>
      </c>
    </row>
    <row r="4371" spans="1:7" x14ac:dyDescent="0.3">
      <c r="A4371" t="s">
        <v>1865</v>
      </c>
      <c r="B4371" t="s">
        <v>642</v>
      </c>
      <c r="D4371">
        <v>2020</v>
      </c>
      <c r="E4371" s="2">
        <v>1</v>
      </c>
      <c r="F4371" s="2">
        <v>120</v>
      </c>
      <c r="G4371" s="2">
        <v>126</v>
      </c>
    </row>
    <row r="4372" spans="1:7" x14ac:dyDescent="0.3">
      <c r="A4372" t="s">
        <v>1865</v>
      </c>
      <c r="B4372" t="s">
        <v>642</v>
      </c>
      <c r="D4372">
        <v>2021</v>
      </c>
      <c r="E4372" s="2">
        <v>2</v>
      </c>
      <c r="F4372" s="2">
        <v>252</v>
      </c>
      <c r="G4372" s="2">
        <v>252</v>
      </c>
    </row>
    <row r="4373" spans="1:7" x14ac:dyDescent="0.3">
      <c r="A4373" t="s">
        <v>1865</v>
      </c>
      <c r="B4373" t="s">
        <v>349</v>
      </c>
      <c r="C4373" t="s">
        <v>350</v>
      </c>
      <c r="D4373">
        <v>2019</v>
      </c>
      <c r="E4373" s="2">
        <v>10</v>
      </c>
      <c r="F4373" s="2">
        <v>750</v>
      </c>
      <c r="G4373" s="2">
        <v>787.5</v>
      </c>
    </row>
    <row r="4374" spans="1:7" x14ac:dyDescent="0.3">
      <c r="A4374" t="s">
        <v>1865</v>
      </c>
      <c r="B4374" t="s">
        <v>349</v>
      </c>
      <c r="C4374" t="s">
        <v>350</v>
      </c>
      <c r="D4374">
        <v>2020</v>
      </c>
      <c r="E4374" s="2">
        <v>20</v>
      </c>
      <c r="F4374" s="2">
        <v>1500</v>
      </c>
      <c r="G4374" s="2">
        <v>1575</v>
      </c>
    </row>
    <row r="4375" spans="1:7" x14ac:dyDescent="0.3">
      <c r="A4375" t="s">
        <v>1865</v>
      </c>
      <c r="B4375" t="s">
        <v>1853</v>
      </c>
      <c r="C4375" t="s">
        <v>1854</v>
      </c>
      <c r="D4375">
        <v>2020</v>
      </c>
      <c r="E4375" s="2">
        <v>25</v>
      </c>
      <c r="F4375" s="2">
        <v>1875</v>
      </c>
      <c r="G4375" s="2">
        <v>1968.75</v>
      </c>
    </row>
    <row r="4376" spans="1:7" x14ac:dyDescent="0.3">
      <c r="A4376" t="s">
        <v>1865</v>
      </c>
      <c r="B4376" t="s">
        <v>184</v>
      </c>
      <c r="C4376" t="s">
        <v>185</v>
      </c>
      <c r="D4376">
        <v>2019</v>
      </c>
      <c r="E4376" s="2">
        <v>10</v>
      </c>
      <c r="F4376" s="2">
        <v>700</v>
      </c>
      <c r="G4376" s="2">
        <v>735</v>
      </c>
    </row>
    <row r="4377" spans="1:7" x14ac:dyDescent="0.3">
      <c r="A4377" t="s">
        <v>1865</v>
      </c>
      <c r="B4377" t="s">
        <v>686</v>
      </c>
      <c r="C4377" t="s">
        <v>687</v>
      </c>
      <c r="D4377">
        <v>2020</v>
      </c>
      <c r="E4377" s="2">
        <v>35</v>
      </c>
      <c r="F4377" s="2">
        <v>2450</v>
      </c>
      <c r="G4377" s="2">
        <v>2572.5</v>
      </c>
    </row>
    <row r="4378" spans="1:7" x14ac:dyDescent="0.3">
      <c r="A4378" t="s">
        <v>1865</v>
      </c>
      <c r="B4378" t="s">
        <v>19</v>
      </c>
      <c r="C4378" t="s">
        <v>107</v>
      </c>
      <c r="D4378">
        <v>2020</v>
      </c>
      <c r="E4378" s="2">
        <v>25</v>
      </c>
      <c r="F4378" s="2">
        <v>1925</v>
      </c>
      <c r="G4378" s="2">
        <v>2021.25</v>
      </c>
    </row>
    <row r="4379" spans="1:7" x14ac:dyDescent="0.3">
      <c r="A4379" t="s">
        <v>1865</v>
      </c>
      <c r="B4379" t="s">
        <v>269</v>
      </c>
      <c r="C4379" t="s">
        <v>270</v>
      </c>
      <c r="D4379">
        <v>2019</v>
      </c>
      <c r="E4379" s="2">
        <v>50</v>
      </c>
      <c r="F4379" s="2">
        <v>3850</v>
      </c>
      <c r="G4379" s="2">
        <v>4042.5</v>
      </c>
    </row>
    <row r="4380" spans="1:7" x14ac:dyDescent="0.3">
      <c r="A4380" t="s">
        <v>1865</v>
      </c>
      <c r="B4380" t="s">
        <v>269</v>
      </c>
      <c r="C4380" t="s">
        <v>270</v>
      </c>
      <c r="D4380">
        <v>2020</v>
      </c>
      <c r="E4380" s="2">
        <v>50</v>
      </c>
      <c r="F4380" s="2">
        <v>3850</v>
      </c>
      <c r="G4380" s="2">
        <v>4042.5</v>
      </c>
    </row>
    <row r="4381" spans="1:7" x14ac:dyDescent="0.3">
      <c r="A4381" t="s">
        <v>1865</v>
      </c>
      <c r="B4381" t="s">
        <v>671</v>
      </c>
      <c r="C4381" t="s">
        <v>672</v>
      </c>
      <c r="D4381">
        <v>2020</v>
      </c>
      <c r="E4381" s="2">
        <v>125</v>
      </c>
      <c r="F4381" s="2">
        <v>9375</v>
      </c>
      <c r="G4381" s="2">
        <v>9843.75</v>
      </c>
    </row>
    <row r="4382" spans="1:7" x14ac:dyDescent="0.3">
      <c r="A4382" t="s">
        <v>1865</v>
      </c>
      <c r="B4382" t="s">
        <v>543</v>
      </c>
      <c r="C4382" t="s">
        <v>544</v>
      </c>
      <c r="D4382">
        <v>2019</v>
      </c>
      <c r="E4382" s="2">
        <v>10</v>
      </c>
      <c r="F4382" s="2">
        <v>850</v>
      </c>
      <c r="G4382" s="2">
        <v>892.5</v>
      </c>
    </row>
    <row r="4383" spans="1:7" x14ac:dyDescent="0.3">
      <c r="A4383" t="s">
        <v>1865</v>
      </c>
      <c r="B4383" t="s">
        <v>543</v>
      </c>
      <c r="C4383" t="s">
        <v>544</v>
      </c>
      <c r="D4383">
        <v>2020</v>
      </c>
      <c r="E4383" s="2">
        <v>10</v>
      </c>
      <c r="F4383" s="2">
        <v>750</v>
      </c>
      <c r="G4383" s="2">
        <v>787.5</v>
      </c>
    </row>
    <row r="4384" spans="1:7" x14ac:dyDescent="0.3">
      <c r="A4384" t="s">
        <v>1865</v>
      </c>
      <c r="B4384" t="s">
        <v>21</v>
      </c>
      <c r="C4384" t="s">
        <v>22</v>
      </c>
      <c r="D4384">
        <v>2019</v>
      </c>
      <c r="E4384" s="2">
        <v>25</v>
      </c>
      <c r="F4384" s="2">
        <v>1925</v>
      </c>
      <c r="G4384" s="2">
        <v>2021.25</v>
      </c>
    </row>
    <row r="4385" spans="1:7" x14ac:dyDescent="0.3">
      <c r="A4385" t="s">
        <v>1865</v>
      </c>
      <c r="B4385" t="s">
        <v>110</v>
      </c>
      <c r="C4385" t="s">
        <v>111</v>
      </c>
      <c r="D4385">
        <v>2019</v>
      </c>
      <c r="E4385" s="2">
        <v>75</v>
      </c>
      <c r="F4385" s="2">
        <v>5375</v>
      </c>
      <c r="G4385" s="2">
        <v>5643.75</v>
      </c>
    </row>
    <row r="4386" spans="1:7" x14ac:dyDescent="0.3">
      <c r="A4386" t="s">
        <v>1865</v>
      </c>
      <c r="B4386" t="s">
        <v>404</v>
      </c>
      <c r="C4386" t="s">
        <v>405</v>
      </c>
      <c r="D4386">
        <v>2019</v>
      </c>
      <c r="E4386" s="2">
        <v>10</v>
      </c>
      <c r="F4386" s="2">
        <v>800</v>
      </c>
      <c r="G4386" s="2">
        <v>840</v>
      </c>
    </row>
    <row r="4387" spans="1:7" x14ac:dyDescent="0.3">
      <c r="A4387" t="s">
        <v>1865</v>
      </c>
      <c r="B4387" t="s">
        <v>404</v>
      </c>
      <c r="C4387" t="s">
        <v>405</v>
      </c>
      <c r="D4387">
        <v>2020</v>
      </c>
      <c r="E4387" s="2">
        <v>10</v>
      </c>
      <c r="F4387" s="2">
        <v>800</v>
      </c>
      <c r="G4387" s="2">
        <v>840</v>
      </c>
    </row>
    <row r="4388" spans="1:7" x14ac:dyDescent="0.3">
      <c r="A4388" t="s">
        <v>1865</v>
      </c>
      <c r="B4388" t="s">
        <v>1666</v>
      </c>
      <c r="C4388" t="s">
        <v>1667</v>
      </c>
      <c r="D4388">
        <v>2020</v>
      </c>
      <c r="E4388" s="2">
        <v>10</v>
      </c>
      <c r="F4388" s="2">
        <v>800</v>
      </c>
      <c r="G4388" s="2">
        <v>840</v>
      </c>
    </row>
    <row r="4389" spans="1:7" x14ac:dyDescent="0.3">
      <c r="A4389" t="s">
        <v>1865</v>
      </c>
      <c r="B4389" t="s">
        <v>36</v>
      </c>
      <c r="D4389">
        <v>2019</v>
      </c>
      <c r="E4389" s="2">
        <v>1</v>
      </c>
      <c r="F4389" s="2">
        <v>90</v>
      </c>
      <c r="G4389" s="2">
        <v>94.5</v>
      </c>
    </row>
    <row r="4390" spans="1:7" x14ac:dyDescent="0.3">
      <c r="A4390" t="s">
        <v>1865</v>
      </c>
      <c r="B4390" t="s">
        <v>36</v>
      </c>
      <c r="D4390">
        <v>2020</v>
      </c>
      <c r="E4390" s="2">
        <v>4</v>
      </c>
      <c r="F4390" s="2">
        <v>360</v>
      </c>
      <c r="G4390" s="2">
        <v>378</v>
      </c>
    </row>
    <row r="4391" spans="1:7" x14ac:dyDescent="0.3">
      <c r="A4391" t="s">
        <v>1865</v>
      </c>
      <c r="B4391" t="s">
        <v>674</v>
      </c>
      <c r="C4391" t="s">
        <v>675</v>
      </c>
      <c r="D4391">
        <v>2020</v>
      </c>
      <c r="E4391" s="2">
        <v>50</v>
      </c>
      <c r="F4391" s="2">
        <v>3500</v>
      </c>
      <c r="G4391" s="2">
        <v>3675</v>
      </c>
    </row>
    <row r="4392" spans="1:7" x14ac:dyDescent="0.3">
      <c r="A4392" t="s">
        <v>1865</v>
      </c>
      <c r="B4392" t="s">
        <v>479</v>
      </c>
      <c r="C4392" t="s">
        <v>480</v>
      </c>
      <c r="D4392">
        <v>2019</v>
      </c>
      <c r="E4392" s="2">
        <v>50</v>
      </c>
      <c r="F4392" s="2">
        <v>3500</v>
      </c>
      <c r="G4392" s="2">
        <v>3675</v>
      </c>
    </row>
    <row r="4393" spans="1:7" x14ac:dyDescent="0.3">
      <c r="A4393" t="s">
        <v>1865</v>
      </c>
      <c r="B4393" t="s">
        <v>479</v>
      </c>
      <c r="C4393" t="s">
        <v>480</v>
      </c>
      <c r="D4393">
        <v>2020</v>
      </c>
      <c r="E4393" s="2">
        <v>11</v>
      </c>
      <c r="F4393" s="2">
        <v>770</v>
      </c>
      <c r="G4393" s="2">
        <v>808.5</v>
      </c>
    </row>
    <row r="4394" spans="1:7" x14ac:dyDescent="0.3">
      <c r="A4394" t="s">
        <v>1865</v>
      </c>
      <c r="B4394" t="s">
        <v>483</v>
      </c>
      <c r="C4394" t="s">
        <v>484</v>
      </c>
      <c r="D4394">
        <v>2019</v>
      </c>
      <c r="E4394" s="2">
        <v>10</v>
      </c>
      <c r="F4394" s="2">
        <v>640</v>
      </c>
      <c r="G4394" s="2">
        <v>672</v>
      </c>
    </row>
    <row r="4395" spans="1:7" x14ac:dyDescent="0.3">
      <c r="A4395" t="s">
        <v>1865</v>
      </c>
      <c r="B4395" t="s">
        <v>483</v>
      </c>
      <c r="C4395" t="s">
        <v>484</v>
      </c>
      <c r="D4395">
        <v>2020</v>
      </c>
      <c r="E4395" s="2">
        <v>35</v>
      </c>
      <c r="F4395" s="2">
        <v>2240</v>
      </c>
      <c r="G4395" s="2">
        <v>2352</v>
      </c>
    </row>
    <row r="4396" spans="1:7" x14ac:dyDescent="0.3">
      <c r="A4396" t="s">
        <v>1865</v>
      </c>
      <c r="B4396" t="s">
        <v>37</v>
      </c>
      <c r="D4396">
        <v>2019</v>
      </c>
      <c r="E4396" s="2">
        <v>10</v>
      </c>
      <c r="F4396" s="2">
        <v>700</v>
      </c>
      <c r="G4396" s="2">
        <v>735</v>
      </c>
    </row>
    <row r="4397" spans="1:7" x14ac:dyDescent="0.3">
      <c r="A4397" t="s">
        <v>1865</v>
      </c>
      <c r="B4397" t="s">
        <v>37</v>
      </c>
      <c r="D4397">
        <v>2020</v>
      </c>
      <c r="E4397" s="2">
        <v>10</v>
      </c>
      <c r="F4397" s="2">
        <v>700</v>
      </c>
      <c r="G4397" s="2">
        <v>735</v>
      </c>
    </row>
    <row r="4398" spans="1:7" x14ac:dyDescent="0.3">
      <c r="A4398" t="s">
        <v>1866</v>
      </c>
      <c r="B4398" t="s">
        <v>1701</v>
      </c>
      <c r="D4398">
        <v>2013</v>
      </c>
      <c r="E4398" s="2">
        <v>20</v>
      </c>
      <c r="F4398" s="2">
        <v>2400</v>
      </c>
      <c r="G4398" s="2"/>
    </row>
    <row r="4399" spans="1:7" x14ac:dyDescent="0.3">
      <c r="A4399" t="s">
        <v>1866</v>
      </c>
      <c r="B4399" t="s">
        <v>1701</v>
      </c>
      <c r="D4399">
        <v>2014</v>
      </c>
      <c r="E4399" s="2">
        <v>80</v>
      </c>
      <c r="F4399" s="2">
        <v>9600</v>
      </c>
      <c r="G4399" s="2"/>
    </row>
    <row r="4400" spans="1:7" x14ac:dyDescent="0.3">
      <c r="A4400" t="s">
        <v>1866</v>
      </c>
      <c r="B4400" t="s">
        <v>1461</v>
      </c>
      <c r="D4400">
        <v>2013</v>
      </c>
      <c r="E4400" s="2">
        <v>60</v>
      </c>
      <c r="F4400" s="2">
        <v>7200</v>
      </c>
      <c r="G4400" s="2"/>
    </row>
    <row r="4401" spans="1:7" x14ac:dyDescent="0.3">
      <c r="A4401" t="s">
        <v>1866</v>
      </c>
      <c r="B4401" t="s">
        <v>1461</v>
      </c>
      <c r="D4401">
        <v>2014</v>
      </c>
      <c r="E4401" s="2">
        <v>160</v>
      </c>
      <c r="F4401" s="2">
        <v>19200</v>
      </c>
      <c r="G4401" s="2"/>
    </row>
    <row r="4402" spans="1:7" x14ac:dyDescent="0.3">
      <c r="A4402" t="s">
        <v>1866</v>
      </c>
      <c r="B4402" t="s">
        <v>1461</v>
      </c>
      <c r="D4402">
        <v>2015</v>
      </c>
      <c r="E4402" s="2">
        <v>60</v>
      </c>
      <c r="F4402" s="2">
        <v>7200</v>
      </c>
      <c r="G4402" s="2"/>
    </row>
    <row r="4403" spans="1:7" x14ac:dyDescent="0.3">
      <c r="A4403" t="s">
        <v>1866</v>
      </c>
      <c r="B4403" t="s">
        <v>1461</v>
      </c>
      <c r="D4403">
        <v>2016</v>
      </c>
      <c r="E4403" s="2">
        <v>60</v>
      </c>
      <c r="F4403" s="2">
        <v>7200</v>
      </c>
      <c r="G4403" s="2"/>
    </row>
    <row r="4404" spans="1:7" x14ac:dyDescent="0.3">
      <c r="A4404" t="s">
        <v>1866</v>
      </c>
      <c r="B4404" t="s">
        <v>1461</v>
      </c>
      <c r="D4404">
        <v>2017</v>
      </c>
      <c r="E4404" s="2">
        <v>80</v>
      </c>
      <c r="F4404" s="2">
        <v>9600</v>
      </c>
      <c r="G4404" s="2"/>
    </row>
    <row r="4405" spans="1:7" x14ac:dyDescent="0.3">
      <c r="A4405" t="s">
        <v>1866</v>
      </c>
      <c r="B4405" t="s">
        <v>1461</v>
      </c>
      <c r="D4405">
        <v>2018</v>
      </c>
      <c r="E4405" s="2">
        <v>40</v>
      </c>
      <c r="F4405" s="2">
        <v>4800</v>
      </c>
      <c r="G4405" s="2">
        <v>5040</v>
      </c>
    </row>
    <row r="4406" spans="1:7" x14ac:dyDescent="0.3">
      <c r="A4406" t="s">
        <v>1866</v>
      </c>
      <c r="B4406" t="s">
        <v>1461</v>
      </c>
      <c r="D4406">
        <v>2019</v>
      </c>
      <c r="E4406" s="2">
        <v>60</v>
      </c>
      <c r="F4406" s="2">
        <v>5800</v>
      </c>
      <c r="G4406" s="2">
        <v>6090</v>
      </c>
    </row>
    <row r="4407" spans="1:7" x14ac:dyDescent="0.3">
      <c r="A4407" t="s">
        <v>1866</v>
      </c>
      <c r="B4407" t="s">
        <v>1354</v>
      </c>
      <c r="D4407">
        <v>2019</v>
      </c>
      <c r="E4407" s="2">
        <v>20</v>
      </c>
      <c r="F4407" s="2">
        <v>2400</v>
      </c>
      <c r="G4407" s="2">
        <v>2520</v>
      </c>
    </row>
    <row r="4408" spans="1:7" x14ac:dyDescent="0.3">
      <c r="A4408" t="s">
        <v>1866</v>
      </c>
      <c r="B4408" t="s">
        <v>297</v>
      </c>
      <c r="C4408" t="s">
        <v>298</v>
      </c>
      <c r="D4408">
        <v>2016</v>
      </c>
      <c r="E4408" s="2">
        <v>1</v>
      </c>
      <c r="F4408" s="2">
        <v>90</v>
      </c>
      <c r="G4408" s="2"/>
    </row>
    <row r="4409" spans="1:7" x14ac:dyDescent="0.3">
      <c r="A4409" t="s">
        <v>1866</v>
      </c>
      <c r="B4409" t="s">
        <v>19</v>
      </c>
      <c r="C4409" t="s">
        <v>20</v>
      </c>
      <c r="D4409">
        <v>2016</v>
      </c>
      <c r="E4409" s="2">
        <v>1</v>
      </c>
      <c r="F4409" s="2">
        <v>90</v>
      </c>
      <c r="G4409" s="2"/>
    </row>
    <row r="4410" spans="1:7" x14ac:dyDescent="0.3">
      <c r="A4410" t="s">
        <v>1866</v>
      </c>
      <c r="B4410" t="s">
        <v>41</v>
      </c>
      <c r="C4410" t="s">
        <v>63</v>
      </c>
      <c r="D4410">
        <v>2012</v>
      </c>
      <c r="E4410" s="2">
        <v>50</v>
      </c>
      <c r="F4410" s="2">
        <v>3500</v>
      </c>
      <c r="G4410" s="2"/>
    </row>
    <row r="4411" spans="1:7" x14ac:dyDescent="0.3">
      <c r="A4411" t="s">
        <v>1866</v>
      </c>
      <c r="B4411" t="s">
        <v>41</v>
      </c>
      <c r="C4411" t="s">
        <v>776</v>
      </c>
      <c r="D4411">
        <v>2014</v>
      </c>
      <c r="E4411" s="2">
        <v>25</v>
      </c>
      <c r="F4411" s="2">
        <v>1750</v>
      </c>
      <c r="G4411" s="2"/>
    </row>
    <row r="4412" spans="1:7" x14ac:dyDescent="0.3">
      <c r="A4412" t="s">
        <v>1866</v>
      </c>
      <c r="B4412" t="s">
        <v>41</v>
      </c>
      <c r="C4412" t="s">
        <v>63</v>
      </c>
      <c r="D4412">
        <v>2015</v>
      </c>
      <c r="E4412" s="2">
        <v>25</v>
      </c>
      <c r="F4412" s="2">
        <v>1750</v>
      </c>
      <c r="G4412" s="2"/>
    </row>
    <row r="4413" spans="1:7" x14ac:dyDescent="0.3">
      <c r="A4413" t="s">
        <v>1866</v>
      </c>
      <c r="B4413" t="s">
        <v>41</v>
      </c>
      <c r="C4413" t="s">
        <v>44</v>
      </c>
      <c r="D4413">
        <v>2017</v>
      </c>
      <c r="E4413" s="2">
        <v>375</v>
      </c>
      <c r="F4413" s="2">
        <v>27375</v>
      </c>
      <c r="G4413" s="2"/>
    </row>
    <row r="4414" spans="1:7" x14ac:dyDescent="0.3">
      <c r="A4414" t="s">
        <v>1866</v>
      </c>
      <c r="B4414" t="s">
        <v>32</v>
      </c>
      <c r="D4414">
        <v>2012</v>
      </c>
      <c r="E4414" s="2">
        <v>90</v>
      </c>
      <c r="F4414" s="2">
        <v>8100</v>
      </c>
      <c r="G4414" s="2"/>
    </row>
    <row r="4415" spans="1:7" x14ac:dyDescent="0.3">
      <c r="A4415" t="s">
        <v>1866</v>
      </c>
      <c r="B4415" t="s">
        <v>32</v>
      </c>
      <c r="D4415">
        <v>2013</v>
      </c>
      <c r="E4415" s="2">
        <v>60</v>
      </c>
      <c r="F4415" s="2">
        <v>5400</v>
      </c>
      <c r="G4415" s="2"/>
    </row>
    <row r="4416" spans="1:7" x14ac:dyDescent="0.3">
      <c r="A4416" t="s">
        <v>1866</v>
      </c>
      <c r="B4416" t="s">
        <v>32</v>
      </c>
      <c r="D4416">
        <v>2017</v>
      </c>
      <c r="E4416" s="2">
        <v>20</v>
      </c>
      <c r="F4416" s="2">
        <v>1100</v>
      </c>
      <c r="G4416" s="2"/>
    </row>
    <row r="4417" spans="1:7" x14ac:dyDescent="0.3">
      <c r="A4417" t="s">
        <v>1866</v>
      </c>
      <c r="B4417" t="s">
        <v>32</v>
      </c>
      <c r="D4417">
        <v>2019</v>
      </c>
      <c r="E4417" s="2">
        <v>180</v>
      </c>
      <c r="F4417" s="2">
        <v>10395</v>
      </c>
      <c r="G4417" s="2">
        <v>10914.75</v>
      </c>
    </row>
    <row r="4418" spans="1:7" x14ac:dyDescent="0.3">
      <c r="A4418" t="s">
        <v>1866</v>
      </c>
      <c r="B4418" t="s">
        <v>32</v>
      </c>
      <c r="D4418">
        <v>2020</v>
      </c>
      <c r="E4418" s="2">
        <v>20</v>
      </c>
      <c r="F4418" s="2">
        <v>1100</v>
      </c>
      <c r="G4418" s="2">
        <v>1155</v>
      </c>
    </row>
    <row r="4419" spans="1:7" x14ac:dyDescent="0.3">
      <c r="A4419" t="s">
        <v>1867</v>
      </c>
      <c r="B4419" t="s">
        <v>1461</v>
      </c>
      <c r="D4419">
        <v>2019</v>
      </c>
      <c r="E4419" s="2">
        <v>20</v>
      </c>
      <c r="F4419" s="2">
        <v>1660</v>
      </c>
      <c r="G4419" s="2">
        <v>1743</v>
      </c>
    </row>
    <row r="4420" spans="1:7" x14ac:dyDescent="0.3">
      <c r="A4420" t="s">
        <v>1867</v>
      </c>
      <c r="B4420" t="s">
        <v>864</v>
      </c>
      <c r="D4420">
        <v>2017</v>
      </c>
      <c r="E4420" s="2">
        <v>20</v>
      </c>
      <c r="F4420" s="2">
        <v>1800</v>
      </c>
      <c r="G4420" s="2"/>
    </row>
    <row r="4421" spans="1:7" x14ac:dyDescent="0.3">
      <c r="A4421" t="s">
        <v>1867</v>
      </c>
      <c r="B4421" t="s">
        <v>46</v>
      </c>
      <c r="C4421" t="s">
        <v>47</v>
      </c>
      <c r="D4421">
        <v>2014</v>
      </c>
      <c r="E4421" s="2">
        <v>25</v>
      </c>
      <c r="F4421" s="2">
        <v>2000</v>
      </c>
      <c r="G4421" s="2"/>
    </row>
    <row r="4422" spans="1:7" x14ac:dyDescent="0.3">
      <c r="A4422" t="s">
        <v>1868</v>
      </c>
      <c r="B4422" t="s">
        <v>46</v>
      </c>
      <c r="C4422" t="s">
        <v>47</v>
      </c>
      <c r="D4422">
        <v>2015</v>
      </c>
      <c r="E4422" s="2">
        <v>20</v>
      </c>
      <c r="F4422" s="2">
        <v>1600</v>
      </c>
      <c r="G4422" s="2"/>
    </row>
    <row r="4423" spans="1:7" x14ac:dyDescent="0.3">
      <c r="A4423" t="s">
        <v>1868</v>
      </c>
      <c r="B4423" t="s">
        <v>46</v>
      </c>
      <c r="C4423" t="s">
        <v>47</v>
      </c>
      <c r="D4423">
        <v>2016</v>
      </c>
      <c r="E4423" s="2">
        <v>10</v>
      </c>
      <c r="F4423" s="2">
        <v>800</v>
      </c>
      <c r="G4423" s="2"/>
    </row>
    <row r="4424" spans="1:7" x14ac:dyDescent="0.3">
      <c r="A4424" t="s">
        <v>1869</v>
      </c>
      <c r="B4424" t="s">
        <v>591</v>
      </c>
      <c r="C4424" t="s">
        <v>592</v>
      </c>
      <c r="D4424">
        <v>2020</v>
      </c>
      <c r="E4424" s="2">
        <v>10</v>
      </c>
      <c r="F4424" s="2">
        <v>2950</v>
      </c>
      <c r="G4424" s="2">
        <v>3097.5</v>
      </c>
    </row>
    <row r="4425" spans="1:7" x14ac:dyDescent="0.3">
      <c r="A4425" t="s">
        <v>1869</v>
      </c>
      <c r="B4425" t="s">
        <v>792</v>
      </c>
      <c r="C4425" t="s">
        <v>793</v>
      </c>
      <c r="D4425">
        <v>2018</v>
      </c>
      <c r="E4425" s="2">
        <v>10</v>
      </c>
      <c r="F4425" s="2">
        <v>2200</v>
      </c>
      <c r="G4425" s="2">
        <v>2310</v>
      </c>
    </row>
    <row r="4426" spans="1:7" x14ac:dyDescent="0.3">
      <c r="A4426" t="s">
        <v>1869</v>
      </c>
      <c r="B4426" t="s">
        <v>196</v>
      </c>
      <c r="C4426" t="s">
        <v>197</v>
      </c>
      <c r="D4426">
        <v>2018</v>
      </c>
      <c r="E4426" s="2">
        <v>10</v>
      </c>
      <c r="F4426" s="2">
        <v>1800</v>
      </c>
      <c r="G4426" s="2">
        <v>1890</v>
      </c>
    </row>
    <row r="4427" spans="1:7" x14ac:dyDescent="0.3">
      <c r="A4427" t="s">
        <v>1869</v>
      </c>
      <c r="B4427" t="s">
        <v>318</v>
      </c>
      <c r="C4427" t="s">
        <v>319</v>
      </c>
      <c r="D4427">
        <v>2018</v>
      </c>
      <c r="E4427" s="2">
        <v>20</v>
      </c>
      <c r="F4427" s="2">
        <v>3400</v>
      </c>
      <c r="G4427" s="2">
        <v>3570</v>
      </c>
    </row>
    <row r="4428" spans="1:7" x14ac:dyDescent="0.3">
      <c r="A4428" t="s">
        <v>1869</v>
      </c>
      <c r="B4428" t="s">
        <v>318</v>
      </c>
      <c r="C4428" t="s">
        <v>319</v>
      </c>
      <c r="D4428">
        <v>2020</v>
      </c>
      <c r="E4428" s="2">
        <v>50</v>
      </c>
      <c r="F4428" s="2">
        <v>9500</v>
      </c>
      <c r="G4428" s="2">
        <v>9975</v>
      </c>
    </row>
    <row r="4429" spans="1:7" x14ac:dyDescent="0.3">
      <c r="A4429" t="s">
        <v>1870</v>
      </c>
      <c r="B4429" t="s">
        <v>189</v>
      </c>
      <c r="D4429">
        <v>2019</v>
      </c>
      <c r="E4429" s="2">
        <v>1</v>
      </c>
      <c r="F4429" s="2">
        <v>500</v>
      </c>
      <c r="G4429" s="2">
        <v>525</v>
      </c>
    </row>
    <row r="4430" spans="1:7" x14ac:dyDescent="0.3">
      <c r="A4430" t="s">
        <v>1870</v>
      </c>
      <c r="B4430" t="s">
        <v>265</v>
      </c>
      <c r="C4430" t="s">
        <v>197</v>
      </c>
      <c r="D4430">
        <v>2019</v>
      </c>
      <c r="E4430" s="2">
        <v>5</v>
      </c>
      <c r="F4430" s="2">
        <v>900</v>
      </c>
      <c r="G4430" s="2">
        <v>945</v>
      </c>
    </row>
    <row r="4431" spans="1:7" x14ac:dyDescent="0.3">
      <c r="A4431" t="s">
        <v>1871</v>
      </c>
      <c r="B4431" t="s">
        <v>610</v>
      </c>
      <c r="C4431" t="s">
        <v>611</v>
      </c>
      <c r="D4431">
        <v>2015</v>
      </c>
      <c r="E4431" s="2">
        <v>5</v>
      </c>
      <c r="F4431" s="2">
        <v>375</v>
      </c>
      <c r="G4431" s="2"/>
    </row>
    <row r="4432" spans="1:7" x14ac:dyDescent="0.3">
      <c r="A4432" t="s">
        <v>1871</v>
      </c>
      <c r="B4432" t="s">
        <v>34</v>
      </c>
      <c r="D4432">
        <v>2017</v>
      </c>
      <c r="E4432" s="2">
        <v>5</v>
      </c>
      <c r="F4432" s="2">
        <v>600</v>
      </c>
      <c r="G4432" s="2"/>
    </row>
    <row r="4433" spans="1:7" x14ac:dyDescent="0.3">
      <c r="A4433" t="s">
        <v>1871</v>
      </c>
      <c r="B4433" t="s">
        <v>34</v>
      </c>
      <c r="D4433">
        <v>2018</v>
      </c>
      <c r="E4433" s="2">
        <v>5</v>
      </c>
      <c r="F4433" s="2">
        <v>600</v>
      </c>
      <c r="G4433" s="2">
        <v>630</v>
      </c>
    </row>
    <row r="4434" spans="1:7" x14ac:dyDescent="0.3">
      <c r="A4434" t="s">
        <v>1871</v>
      </c>
      <c r="B4434" t="s">
        <v>34</v>
      </c>
      <c r="D4434">
        <v>2018</v>
      </c>
      <c r="E4434" s="2">
        <v>10</v>
      </c>
      <c r="F4434" s="2">
        <v>1200</v>
      </c>
      <c r="G4434" s="2">
        <v>1260</v>
      </c>
    </row>
    <row r="4435" spans="1:7" x14ac:dyDescent="0.3">
      <c r="A4435" t="s">
        <v>1871</v>
      </c>
      <c r="B4435" t="s">
        <v>34</v>
      </c>
      <c r="D4435">
        <v>2019</v>
      </c>
      <c r="E4435" s="2">
        <v>5</v>
      </c>
      <c r="F4435" s="2">
        <v>600</v>
      </c>
      <c r="G4435" s="2">
        <v>630</v>
      </c>
    </row>
    <row r="4436" spans="1:7" x14ac:dyDescent="0.3">
      <c r="A4436" t="s">
        <v>1871</v>
      </c>
      <c r="B4436" t="s">
        <v>34</v>
      </c>
      <c r="D4436">
        <v>2020</v>
      </c>
      <c r="E4436" s="2">
        <v>5</v>
      </c>
      <c r="F4436" s="2">
        <v>600</v>
      </c>
      <c r="G4436" s="2">
        <v>630</v>
      </c>
    </row>
    <row r="4437" spans="1:7" x14ac:dyDescent="0.3">
      <c r="A4437" t="s">
        <v>1871</v>
      </c>
      <c r="B4437" t="s">
        <v>453</v>
      </c>
      <c r="D4437">
        <v>2019</v>
      </c>
      <c r="E4437" s="2">
        <v>5</v>
      </c>
      <c r="F4437" s="2">
        <v>450</v>
      </c>
      <c r="G4437" s="2">
        <v>472.5</v>
      </c>
    </row>
    <row r="4438" spans="1:7" x14ac:dyDescent="0.3">
      <c r="A4438" t="s">
        <v>1871</v>
      </c>
      <c r="B4438" t="s">
        <v>458</v>
      </c>
      <c r="D4438">
        <v>2015</v>
      </c>
      <c r="E4438" s="2">
        <v>9</v>
      </c>
      <c r="F4438" s="2">
        <v>630</v>
      </c>
      <c r="G4438" s="2"/>
    </row>
    <row r="4439" spans="1:7" x14ac:dyDescent="0.3">
      <c r="A4439" t="s">
        <v>1871</v>
      </c>
      <c r="B4439" t="s">
        <v>524</v>
      </c>
      <c r="C4439" t="s">
        <v>525</v>
      </c>
      <c r="D4439">
        <v>2018</v>
      </c>
      <c r="E4439" s="2">
        <v>25</v>
      </c>
      <c r="F4439" s="2">
        <v>1625</v>
      </c>
      <c r="G4439" s="2">
        <v>1706.25</v>
      </c>
    </row>
    <row r="4440" spans="1:7" x14ac:dyDescent="0.3">
      <c r="A4440" t="s">
        <v>1871</v>
      </c>
      <c r="B4440" t="s">
        <v>461</v>
      </c>
      <c r="D4440">
        <v>2017</v>
      </c>
      <c r="E4440" s="2">
        <v>5</v>
      </c>
      <c r="F4440" s="2">
        <v>525</v>
      </c>
      <c r="G4440" s="2"/>
    </row>
    <row r="4441" spans="1:7" x14ac:dyDescent="0.3">
      <c r="A4441" t="s">
        <v>1871</v>
      </c>
      <c r="B4441" t="s">
        <v>461</v>
      </c>
      <c r="D4441">
        <v>2018</v>
      </c>
      <c r="E4441" s="2">
        <v>5</v>
      </c>
      <c r="F4441" s="2">
        <v>525</v>
      </c>
      <c r="G4441" s="2">
        <v>551.25</v>
      </c>
    </row>
    <row r="4442" spans="1:7" x14ac:dyDescent="0.3">
      <c r="A4442" t="s">
        <v>1871</v>
      </c>
      <c r="B4442" t="s">
        <v>35</v>
      </c>
      <c r="D4442">
        <v>2019</v>
      </c>
      <c r="E4442" s="2">
        <v>5</v>
      </c>
      <c r="F4442" s="2">
        <v>427.5</v>
      </c>
      <c r="G4442" s="2">
        <v>448.875</v>
      </c>
    </row>
    <row r="4443" spans="1:7" x14ac:dyDescent="0.3">
      <c r="A4443" t="s">
        <v>1871</v>
      </c>
      <c r="B4443" t="s">
        <v>184</v>
      </c>
      <c r="C4443" t="s">
        <v>185</v>
      </c>
      <c r="D4443">
        <v>2016</v>
      </c>
      <c r="E4443" s="2">
        <v>30</v>
      </c>
      <c r="F4443" s="2">
        <v>1740</v>
      </c>
      <c r="G4443" s="2"/>
    </row>
    <row r="4444" spans="1:7" x14ac:dyDescent="0.3">
      <c r="A4444" t="s">
        <v>1871</v>
      </c>
      <c r="B4444" t="s">
        <v>184</v>
      </c>
      <c r="C4444" t="s">
        <v>185</v>
      </c>
      <c r="D4444">
        <v>2019</v>
      </c>
      <c r="E4444" s="2">
        <v>25</v>
      </c>
      <c r="F4444" s="2">
        <v>1625</v>
      </c>
      <c r="G4444" s="2">
        <v>1706.25</v>
      </c>
    </row>
    <row r="4445" spans="1:7" x14ac:dyDescent="0.3">
      <c r="A4445" t="s">
        <v>1871</v>
      </c>
      <c r="B4445" t="s">
        <v>567</v>
      </c>
      <c r="C4445" t="s">
        <v>698</v>
      </c>
      <c r="D4445">
        <v>2020</v>
      </c>
      <c r="E4445" s="2">
        <v>25</v>
      </c>
      <c r="F4445" s="2">
        <v>1875</v>
      </c>
      <c r="G4445" s="2">
        <v>1968.75</v>
      </c>
    </row>
    <row r="4446" spans="1:7" x14ac:dyDescent="0.3">
      <c r="A4446" t="s">
        <v>1871</v>
      </c>
      <c r="B4446" t="s">
        <v>297</v>
      </c>
      <c r="C4446" t="s">
        <v>298</v>
      </c>
      <c r="D4446">
        <v>2016</v>
      </c>
      <c r="E4446" s="2">
        <v>50</v>
      </c>
      <c r="F4446" s="2">
        <v>3000</v>
      </c>
      <c r="G4446" s="2"/>
    </row>
    <row r="4447" spans="1:7" x14ac:dyDescent="0.3">
      <c r="A4447" t="s">
        <v>1871</v>
      </c>
      <c r="B4447" t="s">
        <v>297</v>
      </c>
      <c r="C4447" t="s">
        <v>298</v>
      </c>
      <c r="D4447">
        <v>2017</v>
      </c>
      <c r="E4447" s="2">
        <v>75</v>
      </c>
      <c r="F4447" s="2">
        <v>4500</v>
      </c>
      <c r="G4447" s="2"/>
    </row>
    <row r="4448" spans="1:7" x14ac:dyDescent="0.3">
      <c r="A4448" t="s">
        <v>1871</v>
      </c>
      <c r="B4448" t="s">
        <v>297</v>
      </c>
      <c r="C4448" t="s">
        <v>298</v>
      </c>
      <c r="D4448">
        <v>2019</v>
      </c>
      <c r="E4448" s="2">
        <v>25</v>
      </c>
      <c r="F4448" s="2">
        <v>1500</v>
      </c>
      <c r="G4448" s="2">
        <v>1575</v>
      </c>
    </row>
    <row r="4449" spans="1:8" x14ac:dyDescent="0.3">
      <c r="A4449" t="s">
        <v>1871</v>
      </c>
      <c r="B4449" t="s">
        <v>297</v>
      </c>
      <c r="C4449" t="s">
        <v>298</v>
      </c>
      <c r="D4449">
        <v>2020</v>
      </c>
      <c r="E4449" s="2">
        <v>25</v>
      </c>
      <c r="F4449" s="2">
        <v>1500</v>
      </c>
      <c r="G4449" s="2">
        <v>1575</v>
      </c>
    </row>
    <row r="4450" spans="1:8" x14ac:dyDescent="0.3">
      <c r="A4450" t="s">
        <v>1871</v>
      </c>
      <c r="B4450" t="s">
        <v>668</v>
      </c>
      <c r="C4450" t="s">
        <v>669</v>
      </c>
      <c r="D4450">
        <v>2021</v>
      </c>
      <c r="E4450" s="2">
        <v>25</v>
      </c>
      <c r="F4450" s="2">
        <v>1500</v>
      </c>
      <c r="G4450" s="2">
        <v>1575</v>
      </c>
      <c r="H4450" s="3" t="s">
        <v>18</v>
      </c>
    </row>
    <row r="4451" spans="1:8" x14ac:dyDescent="0.3">
      <c r="A4451" t="s">
        <v>1871</v>
      </c>
      <c r="B4451" t="s">
        <v>19</v>
      </c>
      <c r="C4451" t="s">
        <v>699</v>
      </c>
      <c r="D4451">
        <v>2016</v>
      </c>
      <c r="E4451" s="2">
        <v>75</v>
      </c>
      <c r="F4451" s="2">
        <v>4500</v>
      </c>
      <c r="G4451" s="2"/>
    </row>
    <row r="4452" spans="1:8" x14ac:dyDescent="0.3">
      <c r="A4452" t="s">
        <v>1871</v>
      </c>
      <c r="B4452" t="s">
        <v>19</v>
      </c>
      <c r="C4452" t="s">
        <v>107</v>
      </c>
      <c r="D4452">
        <v>2018</v>
      </c>
      <c r="E4452" s="2">
        <v>25</v>
      </c>
      <c r="F4452" s="2">
        <v>1675</v>
      </c>
      <c r="G4452" s="2">
        <v>1758.75</v>
      </c>
      <c r="H4452" s="3" t="s">
        <v>18</v>
      </c>
    </row>
    <row r="4453" spans="1:8" x14ac:dyDescent="0.3">
      <c r="A4453" t="s">
        <v>1871</v>
      </c>
      <c r="B4453" t="s">
        <v>19</v>
      </c>
      <c r="C4453" t="s">
        <v>107</v>
      </c>
      <c r="D4453">
        <v>2019</v>
      </c>
      <c r="E4453" s="2">
        <v>50</v>
      </c>
      <c r="F4453" s="2">
        <v>3750</v>
      </c>
      <c r="G4453" s="2">
        <v>3937.5</v>
      </c>
      <c r="H4453" s="3" t="s">
        <v>18</v>
      </c>
    </row>
    <row r="4454" spans="1:8" x14ac:dyDescent="0.3">
      <c r="A4454" t="s">
        <v>1871</v>
      </c>
      <c r="B4454" t="s">
        <v>19</v>
      </c>
      <c r="C4454" t="s">
        <v>107</v>
      </c>
      <c r="D4454">
        <v>2020</v>
      </c>
      <c r="E4454" s="2">
        <v>25</v>
      </c>
      <c r="F4454" s="2">
        <v>1875</v>
      </c>
      <c r="G4454" s="2">
        <v>1968.75</v>
      </c>
      <c r="H4454" s="3" t="s">
        <v>18</v>
      </c>
    </row>
    <row r="4455" spans="1:8" x14ac:dyDescent="0.3">
      <c r="A4455" t="s">
        <v>1871</v>
      </c>
      <c r="B4455" t="s">
        <v>19</v>
      </c>
      <c r="C4455" t="s">
        <v>107</v>
      </c>
      <c r="D4455">
        <v>2021</v>
      </c>
      <c r="E4455" s="2">
        <v>25</v>
      </c>
      <c r="F4455" s="2">
        <v>1875</v>
      </c>
      <c r="G4455" s="2">
        <v>1968.75</v>
      </c>
      <c r="H4455" s="3" t="s">
        <v>18</v>
      </c>
    </row>
    <row r="4456" spans="1:8" x14ac:dyDescent="0.3">
      <c r="A4456" t="s">
        <v>1871</v>
      </c>
      <c r="B4456" t="s">
        <v>269</v>
      </c>
      <c r="C4456" t="s">
        <v>270</v>
      </c>
      <c r="D4456">
        <v>2016</v>
      </c>
      <c r="E4456" s="2">
        <v>50</v>
      </c>
      <c r="F4456" s="2">
        <v>3250</v>
      </c>
      <c r="G4456" s="2"/>
    </row>
    <row r="4457" spans="1:8" x14ac:dyDescent="0.3">
      <c r="A4457" t="s">
        <v>1871</v>
      </c>
      <c r="B4457" t="s">
        <v>269</v>
      </c>
      <c r="C4457" t="s">
        <v>270</v>
      </c>
      <c r="D4457">
        <v>2017</v>
      </c>
      <c r="E4457" s="2">
        <v>50</v>
      </c>
      <c r="F4457" s="2">
        <v>3300</v>
      </c>
      <c r="G4457" s="2"/>
    </row>
    <row r="4458" spans="1:8" x14ac:dyDescent="0.3">
      <c r="A4458" t="s">
        <v>1871</v>
      </c>
      <c r="B4458" t="s">
        <v>269</v>
      </c>
      <c r="C4458" t="s">
        <v>270</v>
      </c>
      <c r="D4458">
        <v>2018</v>
      </c>
      <c r="E4458" s="2">
        <v>25</v>
      </c>
      <c r="F4458" s="2">
        <v>1675</v>
      </c>
      <c r="G4458" s="2">
        <v>1758.75</v>
      </c>
    </row>
    <row r="4459" spans="1:8" x14ac:dyDescent="0.3">
      <c r="A4459" t="s">
        <v>1871</v>
      </c>
      <c r="B4459" t="s">
        <v>809</v>
      </c>
      <c r="C4459" t="s">
        <v>810</v>
      </c>
      <c r="D4459">
        <v>2018</v>
      </c>
      <c r="E4459" s="2">
        <v>15</v>
      </c>
      <c r="F4459" s="2">
        <v>1125</v>
      </c>
      <c r="G4459" s="2">
        <v>1181.25</v>
      </c>
    </row>
    <row r="4460" spans="1:8" x14ac:dyDescent="0.3">
      <c r="A4460" t="s">
        <v>1871</v>
      </c>
      <c r="B4460" t="s">
        <v>809</v>
      </c>
      <c r="C4460" t="s">
        <v>810</v>
      </c>
      <c r="D4460">
        <v>2019</v>
      </c>
      <c r="E4460" s="2">
        <v>25</v>
      </c>
      <c r="F4460" s="2">
        <v>1875</v>
      </c>
      <c r="G4460" s="2">
        <v>1968.75</v>
      </c>
    </row>
    <row r="4461" spans="1:8" x14ac:dyDescent="0.3">
      <c r="A4461" t="s">
        <v>1871</v>
      </c>
      <c r="B4461" t="s">
        <v>62</v>
      </c>
      <c r="C4461" t="s">
        <v>63</v>
      </c>
      <c r="D4461">
        <v>2016</v>
      </c>
      <c r="E4461" s="2">
        <v>600</v>
      </c>
      <c r="F4461" s="2">
        <v>25350</v>
      </c>
      <c r="G4461" s="2"/>
    </row>
    <row r="4462" spans="1:8" x14ac:dyDescent="0.3">
      <c r="A4462" t="s">
        <v>1871</v>
      </c>
      <c r="B4462" t="s">
        <v>62</v>
      </c>
      <c r="C4462" t="s">
        <v>63</v>
      </c>
      <c r="D4462">
        <v>2017</v>
      </c>
      <c r="E4462" s="2">
        <v>25</v>
      </c>
      <c r="F4462" s="2">
        <v>11250</v>
      </c>
      <c r="G4462" s="2"/>
    </row>
    <row r="4463" spans="1:8" x14ac:dyDescent="0.3">
      <c r="A4463" t="s">
        <v>1871</v>
      </c>
      <c r="B4463" t="s">
        <v>62</v>
      </c>
      <c r="C4463" t="s">
        <v>63</v>
      </c>
      <c r="D4463">
        <v>2018</v>
      </c>
      <c r="E4463" s="2">
        <v>50</v>
      </c>
      <c r="F4463" s="2">
        <v>2250</v>
      </c>
      <c r="G4463" s="2">
        <v>2362.5</v>
      </c>
    </row>
    <row r="4464" spans="1:8" x14ac:dyDescent="0.3">
      <c r="A4464" t="s">
        <v>1871</v>
      </c>
      <c r="B4464" t="s">
        <v>64</v>
      </c>
      <c r="C4464" t="s">
        <v>65</v>
      </c>
      <c r="D4464">
        <v>2015</v>
      </c>
      <c r="E4464" s="2">
        <v>55</v>
      </c>
      <c r="F4464" s="2">
        <v>3300</v>
      </c>
      <c r="G4464" s="2"/>
    </row>
    <row r="4465" spans="1:8" x14ac:dyDescent="0.3">
      <c r="A4465" t="s">
        <v>1871</v>
      </c>
      <c r="B4465" t="s">
        <v>64</v>
      </c>
      <c r="C4465" t="s">
        <v>65</v>
      </c>
      <c r="D4465">
        <v>2016</v>
      </c>
      <c r="E4465" s="2">
        <v>70.2</v>
      </c>
      <c r="F4465" s="2">
        <v>4071.6</v>
      </c>
      <c r="G4465" s="2"/>
    </row>
    <row r="4466" spans="1:8" x14ac:dyDescent="0.3">
      <c r="A4466" t="s">
        <v>1871</v>
      </c>
      <c r="B4466" t="s">
        <v>995</v>
      </c>
      <c r="C4466" t="s">
        <v>672</v>
      </c>
      <c r="D4466">
        <v>2018</v>
      </c>
      <c r="E4466" s="2">
        <v>100</v>
      </c>
      <c r="F4466" s="2">
        <v>4500</v>
      </c>
      <c r="G4466" s="2">
        <v>4725</v>
      </c>
    </row>
    <row r="4467" spans="1:8" x14ac:dyDescent="0.3">
      <c r="A4467" t="s">
        <v>1871</v>
      </c>
      <c r="B4467" t="s">
        <v>995</v>
      </c>
      <c r="C4467" t="s">
        <v>672</v>
      </c>
      <c r="D4467">
        <v>2019</v>
      </c>
      <c r="E4467" s="2">
        <v>300</v>
      </c>
      <c r="F4467" s="2">
        <v>13500</v>
      </c>
      <c r="G4467" s="2">
        <v>14175</v>
      </c>
    </row>
    <row r="4468" spans="1:8" x14ac:dyDescent="0.3">
      <c r="A4468" t="s">
        <v>1871</v>
      </c>
      <c r="B4468" t="s">
        <v>110</v>
      </c>
      <c r="C4468" t="s">
        <v>111</v>
      </c>
      <c r="D4468">
        <v>2017</v>
      </c>
      <c r="E4468" s="2">
        <v>300</v>
      </c>
      <c r="F4468" s="2">
        <v>13500</v>
      </c>
      <c r="G4468" s="2"/>
      <c r="H4468" s="3" t="s">
        <v>14</v>
      </c>
    </row>
    <row r="4469" spans="1:8" x14ac:dyDescent="0.3">
      <c r="A4469" t="s">
        <v>1871</v>
      </c>
      <c r="B4469" t="s">
        <v>110</v>
      </c>
      <c r="C4469" t="s">
        <v>111</v>
      </c>
      <c r="D4469">
        <v>2018</v>
      </c>
      <c r="E4469" s="2">
        <v>400</v>
      </c>
      <c r="F4469" s="2">
        <v>18000</v>
      </c>
      <c r="G4469" s="2">
        <v>18900</v>
      </c>
      <c r="H4469" s="3" t="s">
        <v>14</v>
      </c>
    </row>
    <row r="4470" spans="1:8" x14ac:dyDescent="0.3">
      <c r="A4470" t="s">
        <v>1871</v>
      </c>
      <c r="B4470" t="s">
        <v>110</v>
      </c>
      <c r="C4470" t="s">
        <v>111</v>
      </c>
      <c r="D4470">
        <v>2019</v>
      </c>
      <c r="E4470" s="2">
        <v>400</v>
      </c>
      <c r="F4470" s="2">
        <v>18000</v>
      </c>
      <c r="G4470" s="2">
        <v>18900</v>
      </c>
      <c r="H4470" s="3" t="s">
        <v>14</v>
      </c>
    </row>
    <row r="4471" spans="1:8" x14ac:dyDescent="0.3">
      <c r="A4471" t="s">
        <v>1871</v>
      </c>
      <c r="B4471" t="s">
        <v>110</v>
      </c>
      <c r="C4471" t="s">
        <v>111</v>
      </c>
      <c r="D4471">
        <v>2020</v>
      </c>
      <c r="E4471" s="2">
        <v>100</v>
      </c>
      <c r="F4471" s="2">
        <v>4500</v>
      </c>
      <c r="G4471" s="2">
        <v>4725</v>
      </c>
      <c r="H4471" s="3" t="s">
        <v>14</v>
      </c>
    </row>
    <row r="4472" spans="1:8" x14ac:dyDescent="0.3">
      <c r="A4472" t="s">
        <v>1871</v>
      </c>
      <c r="B4472" t="s">
        <v>110</v>
      </c>
      <c r="C4472" t="s">
        <v>111</v>
      </c>
      <c r="D4472">
        <v>2021</v>
      </c>
      <c r="E4472" s="2">
        <v>150</v>
      </c>
      <c r="F4472" s="2">
        <v>6750</v>
      </c>
      <c r="G4472" s="2">
        <v>7087.5</v>
      </c>
      <c r="H4472" s="3" t="s">
        <v>14</v>
      </c>
    </row>
    <row r="4473" spans="1:8" x14ac:dyDescent="0.3">
      <c r="A4473" t="s">
        <v>1871</v>
      </c>
      <c r="B4473" t="s">
        <v>68</v>
      </c>
      <c r="C4473" t="s">
        <v>69</v>
      </c>
      <c r="D4473">
        <v>2019</v>
      </c>
      <c r="E4473" s="2">
        <v>25</v>
      </c>
      <c r="F4473" s="2">
        <v>1875</v>
      </c>
      <c r="G4473" s="2">
        <v>1968.75</v>
      </c>
    </row>
    <row r="4474" spans="1:8" x14ac:dyDescent="0.3">
      <c r="A4474" t="s">
        <v>1871</v>
      </c>
      <c r="B4474" t="s">
        <v>473</v>
      </c>
      <c r="C4474" t="s">
        <v>747</v>
      </c>
      <c r="D4474">
        <v>2016</v>
      </c>
      <c r="E4474" s="2">
        <v>50</v>
      </c>
      <c r="F4474" s="2">
        <v>3250</v>
      </c>
      <c r="G4474" s="2"/>
    </row>
    <row r="4475" spans="1:8" x14ac:dyDescent="0.3">
      <c r="A4475" t="s">
        <v>1871</v>
      </c>
      <c r="B4475" t="s">
        <v>473</v>
      </c>
      <c r="C4475" t="s">
        <v>747</v>
      </c>
      <c r="D4475">
        <v>2017</v>
      </c>
      <c r="E4475" s="2">
        <v>25</v>
      </c>
      <c r="F4475" s="2">
        <v>1625</v>
      </c>
      <c r="G4475" s="2"/>
    </row>
    <row r="4476" spans="1:8" x14ac:dyDescent="0.3">
      <c r="A4476" t="s">
        <v>1871</v>
      </c>
      <c r="B4476" t="s">
        <v>473</v>
      </c>
      <c r="C4476" t="s">
        <v>747</v>
      </c>
      <c r="D4476">
        <v>2018</v>
      </c>
      <c r="E4476" s="2">
        <v>25</v>
      </c>
      <c r="F4476" s="2">
        <v>1700</v>
      </c>
      <c r="G4476" s="2">
        <v>1785</v>
      </c>
    </row>
    <row r="4477" spans="1:8" x14ac:dyDescent="0.3">
      <c r="A4477" t="s">
        <v>1871</v>
      </c>
      <c r="B4477" t="s">
        <v>438</v>
      </c>
      <c r="C4477" t="s">
        <v>439</v>
      </c>
      <c r="D4477">
        <v>2019</v>
      </c>
      <c r="E4477" s="2">
        <v>25</v>
      </c>
      <c r="F4477" s="2">
        <v>1700</v>
      </c>
      <c r="G4477" s="2">
        <v>1785</v>
      </c>
    </row>
    <row r="4478" spans="1:8" x14ac:dyDescent="0.3">
      <c r="A4478" t="s">
        <v>1871</v>
      </c>
      <c r="B4478" t="s">
        <v>36</v>
      </c>
      <c r="D4478">
        <v>2019</v>
      </c>
      <c r="E4478" s="2">
        <v>5</v>
      </c>
      <c r="F4478" s="2">
        <v>475</v>
      </c>
      <c r="G4478" s="2">
        <v>498.75</v>
      </c>
    </row>
    <row r="4479" spans="1:8" x14ac:dyDescent="0.3">
      <c r="A4479" t="s">
        <v>1871</v>
      </c>
      <c r="B4479" t="s">
        <v>46</v>
      </c>
      <c r="C4479" t="s">
        <v>47</v>
      </c>
      <c r="D4479">
        <v>2016</v>
      </c>
      <c r="E4479" s="2">
        <v>25</v>
      </c>
      <c r="F4479" s="2">
        <v>1250</v>
      </c>
      <c r="G4479" s="2"/>
    </row>
    <row r="4480" spans="1:8" x14ac:dyDescent="0.3">
      <c r="A4480" t="s">
        <v>1871</v>
      </c>
      <c r="B4480" t="s">
        <v>483</v>
      </c>
      <c r="C4480" t="s">
        <v>484</v>
      </c>
      <c r="D4480">
        <v>2019</v>
      </c>
      <c r="E4480" s="2">
        <v>25</v>
      </c>
      <c r="F4480" s="2">
        <v>1625</v>
      </c>
      <c r="G4480" s="2">
        <v>1706.25</v>
      </c>
    </row>
    <row r="4481" spans="1:8" x14ac:dyDescent="0.3">
      <c r="A4481" t="s">
        <v>1871</v>
      </c>
      <c r="B4481" t="s">
        <v>1821</v>
      </c>
      <c r="D4481">
        <v>2016</v>
      </c>
      <c r="E4481" s="2">
        <v>59.5</v>
      </c>
      <c r="F4481" s="2">
        <v>4600</v>
      </c>
      <c r="G4481" s="2"/>
      <c r="H4481" s="3" t="s">
        <v>18</v>
      </c>
    </row>
    <row r="4482" spans="1:8" x14ac:dyDescent="0.3">
      <c r="A4482" t="s">
        <v>1871</v>
      </c>
      <c r="B4482" t="s">
        <v>1821</v>
      </c>
      <c r="D4482">
        <v>2017</v>
      </c>
      <c r="E4482" s="2">
        <v>43</v>
      </c>
      <c r="F4482" s="2">
        <v>3096</v>
      </c>
      <c r="G4482" s="2"/>
      <c r="H4482" s="3" t="s">
        <v>18</v>
      </c>
    </row>
    <row r="4483" spans="1:8" x14ac:dyDescent="0.3">
      <c r="A4483" t="s">
        <v>1871</v>
      </c>
      <c r="B4483" t="s">
        <v>1821</v>
      </c>
      <c r="D4483">
        <v>2018</v>
      </c>
      <c r="E4483" s="2">
        <v>80</v>
      </c>
      <c r="F4483" s="2">
        <v>5760</v>
      </c>
      <c r="G4483" s="2">
        <v>6048</v>
      </c>
      <c r="H4483" s="3" t="s">
        <v>18</v>
      </c>
    </row>
    <row r="4484" spans="1:8" x14ac:dyDescent="0.3">
      <c r="A4484" t="s">
        <v>1871</v>
      </c>
      <c r="B4484" t="s">
        <v>1821</v>
      </c>
      <c r="D4484">
        <v>2019</v>
      </c>
      <c r="E4484" s="2">
        <v>100</v>
      </c>
      <c r="F4484" s="2">
        <v>7160</v>
      </c>
      <c r="G4484" s="2">
        <v>7518</v>
      </c>
      <c r="H4484" s="3" t="s">
        <v>18</v>
      </c>
    </row>
    <row r="4485" spans="1:8" x14ac:dyDescent="0.3">
      <c r="A4485" t="s">
        <v>1871</v>
      </c>
      <c r="B4485" t="s">
        <v>1821</v>
      </c>
      <c r="D4485">
        <v>2020</v>
      </c>
      <c r="E4485" s="2">
        <v>20</v>
      </c>
      <c r="F4485" s="2">
        <v>1400</v>
      </c>
      <c r="G4485" s="2">
        <v>1470</v>
      </c>
      <c r="H4485" s="3" t="s">
        <v>18</v>
      </c>
    </row>
    <row r="4486" spans="1:8" x14ac:dyDescent="0.3">
      <c r="A4486" t="s">
        <v>1871</v>
      </c>
      <c r="B4486" t="s">
        <v>1821</v>
      </c>
      <c r="D4486">
        <v>2021</v>
      </c>
      <c r="E4486" s="2">
        <v>20</v>
      </c>
      <c r="F4486" s="2">
        <v>1400</v>
      </c>
      <c r="G4486" s="2">
        <v>1470</v>
      </c>
      <c r="H4486" s="3" t="s">
        <v>18</v>
      </c>
    </row>
    <row r="4487" spans="1:8" x14ac:dyDescent="0.3">
      <c r="A4487" t="s">
        <v>1871</v>
      </c>
      <c r="B4487" t="s">
        <v>12</v>
      </c>
      <c r="C4487" t="s">
        <v>13</v>
      </c>
      <c r="D4487">
        <v>2016</v>
      </c>
      <c r="E4487" s="2">
        <v>185</v>
      </c>
      <c r="F4487" s="2">
        <v>10200</v>
      </c>
      <c r="G4487" s="2"/>
      <c r="H4487" s="3" t="s">
        <v>14</v>
      </c>
    </row>
    <row r="4488" spans="1:8" x14ac:dyDescent="0.3">
      <c r="A4488" t="s">
        <v>1871</v>
      </c>
      <c r="B4488" t="s">
        <v>12</v>
      </c>
      <c r="C4488" t="s">
        <v>13</v>
      </c>
      <c r="D4488">
        <v>2017</v>
      </c>
      <c r="E4488" s="2">
        <v>106</v>
      </c>
      <c r="F4488" s="2">
        <v>7434</v>
      </c>
      <c r="G4488" s="2"/>
      <c r="H4488" s="3" t="s">
        <v>14</v>
      </c>
    </row>
    <row r="4489" spans="1:8" x14ac:dyDescent="0.3">
      <c r="A4489" t="s">
        <v>1871</v>
      </c>
      <c r="B4489" t="s">
        <v>12</v>
      </c>
      <c r="C4489" t="s">
        <v>13</v>
      </c>
      <c r="D4489">
        <v>2018</v>
      </c>
      <c r="E4489" s="2">
        <v>125</v>
      </c>
      <c r="F4489" s="2">
        <v>9000</v>
      </c>
      <c r="G4489" s="2">
        <v>9450</v>
      </c>
      <c r="H4489" s="3" t="s">
        <v>14</v>
      </c>
    </row>
    <row r="4490" spans="1:8" x14ac:dyDescent="0.3">
      <c r="A4490" t="s">
        <v>1871</v>
      </c>
      <c r="B4490" t="s">
        <v>12</v>
      </c>
      <c r="C4490" t="s">
        <v>13</v>
      </c>
      <c r="D4490">
        <v>2019</v>
      </c>
      <c r="E4490" s="2">
        <v>150</v>
      </c>
      <c r="F4490" s="2">
        <v>10800</v>
      </c>
      <c r="G4490" s="2">
        <v>11340</v>
      </c>
      <c r="H4490" s="3" t="s">
        <v>14</v>
      </c>
    </row>
    <row r="4491" spans="1:8" x14ac:dyDescent="0.3">
      <c r="A4491" t="s">
        <v>1871</v>
      </c>
      <c r="B4491" t="s">
        <v>12</v>
      </c>
      <c r="C4491" t="s">
        <v>13</v>
      </c>
      <c r="D4491">
        <v>2020</v>
      </c>
      <c r="E4491" s="2">
        <v>50</v>
      </c>
      <c r="F4491" s="2">
        <v>3600</v>
      </c>
      <c r="G4491" s="2">
        <v>3780</v>
      </c>
      <c r="H4491" s="3" t="s">
        <v>14</v>
      </c>
    </row>
    <row r="4492" spans="1:8" x14ac:dyDescent="0.3">
      <c r="A4492" t="s">
        <v>1871</v>
      </c>
      <c r="B4492" t="s">
        <v>12</v>
      </c>
      <c r="C4492" t="s">
        <v>13</v>
      </c>
      <c r="D4492">
        <v>2021</v>
      </c>
      <c r="E4492" s="2">
        <v>25</v>
      </c>
      <c r="F4492" s="2">
        <v>1800</v>
      </c>
      <c r="G4492" s="2">
        <v>1890</v>
      </c>
      <c r="H4492" s="3" t="s">
        <v>14</v>
      </c>
    </row>
    <row r="4493" spans="1:8" x14ac:dyDescent="0.3">
      <c r="A4493" t="s">
        <v>1872</v>
      </c>
      <c r="B4493" t="s">
        <v>55</v>
      </c>
      <c r="D4493">
        <v>2019</v>
      </c>
      <c r="E4493" s="2">
        <v>5</v>
      </c>
      <c r="F4493" s="2">
        <v>1325</v>
      </c>
      <c r="G4493" s="2">
        <v>1391.25</v>
      </c>
    </row>
    <row r="4494" spans="1:8" x14ac:dyDescent="0.3">
      <c r="A4494" t="s">
        <v>1872</v>
      </c>
      <c r="B4494" t="s">
        <v>55</v>
      </c>
      <c r="D4494">
        <v>2020</v>
      </c>
      <c r="E4494" s="2">
        <v>10</v>
      </c>
      <c r="F4494" s="2">
        <v>2650</v>
      </c>
      <c r="G4494" s="2">
        <v>2782.5</v>
      </c>
    </row>
    <row r="4495" spans="1:8" x14ac:dyDescent="0.3">
      <c r="A4495" t="s">
        <v>1872</v>
      </c>
      <c r="B4495" t="s">
        <v>719</v>
      </c>
      <c r="C4495" t="s">
        <v>925</v>
      </c>
      <c r="D4495">
        <v>2019</v>
      </c>
      <c r="E4495" s="2">
        <v>25</v>
      </c>
      <c r="F4495" s="2">
        <v>3750</v>
      </c>
      <c r="G4495" s="2">
        <v>3937.5</v>
      </c>
    </row>
    <row r="4496" spans="1:8" x14ac:dyDescent="0.3">
      <c r="A4496" t="s">
        <v>1872</v>
      </c>
      <c r="B4496" t="s">
        <v>395</v>
      </c>
      <c r="D4496">
        <v>2019</v>
      </c>
      <c r="E4496" s="2">
        <v>5</v>
      </c>
      <c r="F4496" s="2">
        <v>1250</v>
      </c>
      <c r="G4496" s="2">
        <v>1312.5</v>
      </c>
    </row>
    <row r="4497" spans="1:8" x14ac:dyDescent="0.3">
      <c r="A4497" t="s">
        <v>1872</v>
      </c>
      <c r="B4497" t="s">
        <v>101</v>
      </c>
      <c r="C4497" t="s">
        <v>102</v>
      </c>
      <c r="D4497">
        <v>2019</v>
      </c>
      <c r="E4497" s="2">
        <v>10</v>
      </c>
      <c r="F4497" s="2">
        <v>2000</v>
      </c>
      <c r="G4497" s="2">
        <v>2100</v>
      </c>
    </row>
    <row r="4498" spans="1:8" x14ac:dyDescent="0.3">
      <c r="A4498" t="s">
        <v>1872</v>
      </c>
      <c r="B4498" t="s">
        <v>127</v>
      </c>
      <c r="D4498">
        <v>2019</v>
      </c>
      <c r="E4498" s="2">
        <v>10</v>
      </c>
      <c r="F4498" s="2">
        <v>2250</v>
      </c>
      <c r="G4498" s="2">
        <v>2362.5</v>
      </c>
    </row>
    <row r="4499" spans="1:8" x14ac:dyDescent="0.3">
      <c r="A4499" t="s">
        <v>1872</v>
      </c>
      <c r="B4499" t="s">
        <v>127</v>
      </c>
      <c r="D4499">
        <v>2020</v>
      </c>
      <c r="E4499" s="2">
        <v>5</v>
      </c>
      <c r="F4499" s="2">
        <v>1125</v>
      </c>
      <c r="G4499" s="2">
        <v>1181.25</v>
      </c>
    </row>
    <row r="4500" spans="1:8" x14ac:dyDescent="0.3">
      <c r="A4500" t="s">
        <v>1872</v>
      </c>
      <c r="B4500" t="s">
        <v>1404</v>
      </c>
      <c r="D4500">
        <v>2020</v>
      </c>
      <c r="E4500" s="2">
        <v>10</v>
      </c>
      <c r="F4500" s="2">
        <v>2500</v>
      </c>
      <c r="G4500" s="2">
        <v>2625</v>
      </c>
    </row>
    <row r="4501" spans="1:8" x14ac:dyDescent="0.3">
      <c r="A4501" t="s">
        <v>1872</v>
      </c>
      <c r="B4501" t="s">
        <v>307</v>
      </c>
      <c r="C4501" t="s">
        <v>132</v>
      </c>
      <c r="D4501">
        <v>2019</v>
      </c>
      <c r="E4501" s="2">
        <v>10</v>
      </c>
      <c r="F4501" s="2">
        <v>1750</v>
      </c>
      <c r="G4501" s="2">
        <v>1837.5</v>
      </c>
    </row>
    <row r="4502" spans="1:8" x14ac:dyDescent="0.3">
      <c r="A4502" t="s">
        <v>1873</v>
      </c>
      <c r="B4502" t="s">
        <v>823</v>
      </c>
      <c r="C4502" t="s">
        <v>52</v>
      </c>
      <c r="D4502">
        <v>2016</v>
      </c>
      <c r="E4502" s="2">
        <v>5</v>
      </c>
      <c r="F4502" s="2">
        <v>900</v>
      </c>
      <c r="G4502" s="2"/>
    </row>
    <row r="4503" spans="1:8" x14ac:dyDescent="0.3">
      <c r="A4503" t="s">
        <v>1873</v>
      </c>
      <c r="B4503" t="s">
        <v>1874</v>
      </c>
      <c r="C4503" t="s">
        <v>1875</v>
      </c>
      <c r="D4503">
        <v>2012</v>
      </c>
      <c r="E4503" s="2">
        <v>25</v>
      </c>
      <c r="F4503" s="2">
        <v>2875</v>
      </c>
      <c r="G4503" s="2"/>
    </row>
    <row r="4504" spans="1:8" x14ac:dyDescent="0.3">
      <c r="A4504" t="s">
        <v>1873</v>
      </c>
      <c r="B4504" t="s">
        <v>1876</v>
      </c>
      <c r="C4504" t="s">
        <v>1877</v>
      </c>
      <c r="D4504">
        <v>2010</v>
      </c>
      <c r="E4504" s="2">
        <v>25</v>
      </c>
      <c r="F4504" s="2">
        <v>3875</v>
      </c>
      <c r="G4504" s="2"/>
    </row>
    <row r="4505" spans="1:8" x14ac:dyDescent="0.3">
      <c r="A4505" t="s">
        <v>1873</v>
      </c>
      <c r="B4505" t="s">
        <v>82</v>
      </c>
      <c r="C4505" t="s">
        <v>83</v>
      </c>
      <c r="D4505">
        <v>2016</v>
      </c>
      <c r="E4505" s="2">
        <v>5</v>
      </c>
      <c r="F4505" s="2">
        <v>2575</v>
      </c>
      <c r="G4505" s="2"/>
    </row>
    <row r="4506" spans="1:8" x14ac:dyDescent="0.3">
      <c r="A4506" t="s">
        <v>1873</v>
      </c>
      <c r="B4506" t="s">
        <v>586</v>
      </c>
      <c r="C4506" t="s">
        <v>587</v>
      </c>
      <c r="D4506">
        <v>2021</v>
      </c>
      <c r="E4506" s="2">
        <v>5</v>
      </c>
      <c r="F4506" s="2">
        <v>1000</v>
      </c>
      <c r="G4506" s="2">
        <v>1050</v>
      </c>
      <c r="H4506" s="3" t="s">
        <v>18</v>
      </c>
    </row>
    <row r="4507" spans="1:8" x14ac:dyDescent="0.3">
      <c r="A4507" t="s">
        <v>1873</v>
      </c>
      <c r="B4507" t="s">
        <v>218</v>
      </c>
      <c r="C4507" t="s">
        <v>212</v>
      </c>
      <c r="D4507">
        <v>2011</v>
      </c>
      <c r="E4507" s="2">
        <v>25</v>
      </c>
      <c r="F4507" s="2">
        <v>4140</v>
      </c>
      <c r="G4507" s="2"/>
    </row>
    <row r="4508" spans="1:8" x14ac:dyDescent="0.3">
      <c r="A4508" t="s">
        <v>1873</v>
      </c>
      <c r="B4508" t="s">
        <v>218</v>
      </c>
      <c r="C4508" t="s">
        <v>212</v>
      </c>
      <c r="D4508">
        <v>2013</v>
      </c>
      <c r="E4508" s="2">
        <v>20</v>
      </c>
      <c r="F4508" s="2">
        <v>3300</v>
      </c>
      <c r="G4508" s="2"/>
    </row>
    <row r="4509" spans="1:8" x14ac:dyDescent="0.3">
      <c r="A4509" t="s">
        <v>1873</v>
      </c>
      <c r="B4509" t="s">
        <v>1878</v>
      </c>
      <c r="C4509" t="s">
        <v>1879</v>
      </c>
      <c r="D4509">
        <v>2010</v>
      </c>
      <c r="E4509" s="2">
        <v>50</v>
      </c>
      <c r="F4509" s="2">
        <v>10850</v>
      </c>
      <c r="G4509" s="2"/>
    </row>
    <row r="4510" spans="1:8" x14ac:dyDescent="0.3">
      <c r="A4510" t="s">
        <v>1873</v>
      </c>
      <c r="B4510" t="s">
        <v>1418</v>
      </c>
      <c r="C4510" t="s">
        <v>224</v>
      </c>
      <c r="D4510">
        <v>2019</v>
      </c>
      <c r="E4510" s="2">
        <v>7</v>
      </c>
      <c r="F4510" s="2">
        <v>1040</v>
      </c>
      <c r="G4510" s="2">
        <v>1092</v>
      </c>
    </row>
    <row r="4511" spans="1:8" x14ac:dyDescent="0.3">
      <c r="A4511" t="s">
        <v>1873</v>
      </c>
      <c r="B4511" t="s">
        <v>99</v>
      </c>
      <c r="C4511" t="s">
        <v>100</v>
      </c>
      <c r="D4511">
        <v>2009</v>
      </c>
      <c r="E4511" s="2">
        <v>25</v>
      </c>
      <c r="F4511" s="2">
        <v>4150</v>
      </c>
      <c r="G4511" s="2"/>
    </row>
    <row r="4512" spans="1:8" x14ac:dyDescent="0.3">
      <c r="A4512" t="s">
        <v>1873</v>
      </c>
      <c r="B4512" t="s">
        <v>99</v>
      </c>
      <c r="C4512" t="s">
        <v>100</v>
      </c>
      <c r="D4512">
        <v>2010</v>
      </c>
      <c r="E4512" s="2">
        <v>50</v>
      </c>
      <c r="F4512" s="2">
        <v>7350</v>
      </c>
      <c r="G4512" s="2"/>
    </row>
    <row r="4513" spans="1:8" x14ac:dyDescent="0.3">
      <c r="A4513" t="s">
        <v>1873</v>
      </c>
      <c r="B4513" t="s">
        <v>99</v>
      </c>
      <c r="C4513" t="s">
        <v>100</v>
      </c>
      <c r="D4513">
        <v>2012</v>
      </c>
      <c r="E4513" s="2">
        <v>100</v>
      </c>
      <c r="F4513" s="2">
        <v>15000</v>
      </c>
      <c r="G4513" s="2"/>
    </row>
    <row r="4514" spans="1:8" x14ac:dyDescent="0.3">
      <c r="A4514" t="s">
        <v>1873</v>
      </c>
      <c r="B4514" t="s">
        <v>99</v>
      </c>
      <c r="C4514" t="s">
        <v>100</v>
      </c>
      <c r="D4514">
        <v>2013</v>
      </c>
      <c r="E4514" s="2">
        <v>80</v>
      </c>
      <c r="F4514" s="2">
        <v>12000</v>
      </c>
      <c r="G4514" s="2"/>
    </row>
    <row r="4515" spans="1:8" x14ac:dyDescent="0.3">
      <c r="A4515" t="s">
        <v>1873</v>
      </c>
      <c r="B4515" t="s">
        <v>579</v>
      </c>
      <c r="C4515" t="s">
        <v>54</v>
      </c>
      <c r="D4515">
        <v>2016</v>
      </c>
      <c r="E4515" s="2">
        <v>10</v>
      </c>
      <c r="F4515" s="2">
        <v>1700</v>
      </c>
      <c r="G4515" s="2"/>
    </row>
    <row r="4516" spans="1:8" x14ac:dyDescent="0.3">
      <c r="A4516" t="s">
        <v>1873</v>
      </c>
      <c r="B4516" t="s">
        <v>579</v>
      </c>
      <c r="C4516" t="s">
        <v>54</v>
      </c>
      <c r="D4516">
        <v>2017</v>
      </c>
      <c r="E4516" s="2">
        <v>20</v>
      </c>
      <c r="F4516" s="2">
        <v>3400</v>
      </c>
      <c r="G4516" s="2"/>
    </row>
    <row r="4517" spans="1:8" x14ac:dyDescent="0.3">
      <c r="A4517" t="s">
        <v>1873</v>
      </c>
      <c r="B4517" t="s">
        <v>579</v>
      </c>
      <c r="C4517" t="s">
        <v>54</v>
      </c>
      <c r="D4517">
        <v>2018</v>
      </c>
      <c r="E4517" s="2">
        <v>10</v>
      </c>
      <c r="F4517" s="2">
        <v>1700</v>
      </c>
      <c r="G4517" s="2">
        <v>1785</v>
      </c>
    </row>
    <row r="4518" spans="1:8" x14ac:dyDescent="0.3">
      <c r="A4518" t="s">
        <v>1873</v>
      </c>
      <c r="B4518" t="s">
        <v>579</v>
      </c>
      <c r="C4518" t="s">
        <v>54</v>
      </c>
      <c r="D4518">
        <v>2019</v>
      </c>
      <c r="E4518" s="2">
        <v>15</v>
      </c>
      <c r="F4518" s="2">
        <v>2550</v>
      </c>
      <c r="G4518" s="2">
        <v>2677.5</v>
      </c>
    </row>
    <row r="4519" spans="1:8" x14ac:dyDescent="0.3">
      <c r="A4519" t="s">
        <v>1873</v>
      </c>
      <c r="B4519" t="s">
        <v>66</v>
      </c>
      <c r="C4519" t="s">
        <v>67</v>
      </c>
      <c r="D4519">
        <v>2020</v>
      </c>
      <c r="E4519" s="2">
        <v>15</v>
      </c>
      <c r="F4519" s="2">
        <v>2550</v>
      </c>
      <c r="G4519" s="2">
        <v>2677.5</v>
      </c>
      <c r="H4519" s="3" t="s">
        <v>18</v>
      </c>
    </row>
    <row r="4520" spans="1:8" x14ac:dyDescent="0.3">
      <c r="A4520" t="s">
        <v>1873</v>
      </c>
      <c r="B4520" t="s">
        <v>66</v>
      </c>
      <c r="C4520" t="s">
        <v>67</v>
      </c>
      <c r="D4520">
        <v>2021</v>
      </c>
      <c r="E4520" s="2">
        <v>5</v>
      </c>
      <c r="F4520" s="2">
        <v>850</v>
      </c>
      <c r="G4520" s="2">
        <v>892.5</v>
      </c>
      <c r="H4520" s="3" t="s">
        <v>18</v>
      </c>
    </row>
    <row r="4521" spans="1:8" x14ac:dyDescent="0.3">
      <c r="A4521" t="s">
        <v>1873</v>
      </c>
      <c r="B4521" t="s">
        <v>820</v>
      </c>
      <c r="C4521" t="s">
        <v>821</v>
      </c>
      <c r="D4521">
        <v>2016</v>
      </c>
      <c r="E4521" s="2">
        <v>25</v>
      </c>
      <c r="F4521" s="2">
        <v>4750</v>
      </c>
      <c r="G4521" s="2"/>
      <c r="H4521" s="3" t="s">
        <v>18</v>
      </c>
    </row>
    <row r="4522" spans="1:8" x14ac:dyDescent="0.3">
      <c r="A4522" t="s">
        <v>1873</v>
      </c>
      <c r="B4522" t="s">
        <v>820</v>
      </c>
      <c r="C4522" t="s">
        <v>821</v>
      </c>
      <c r="D4522">
        <v>2017</v>
      </c>
      <c r="E4522" s="2">
        <v>75</v>
      </c>
      <c r="F4522" s="2">
        <v>14250</v>
      </c>
      <c r="G4522" s="2"/>
      <c r="H4522" s="3" t="s">
        <v>18</v>
      </c>
    </row>
    <row r="4523" spans="1:8" x14ac:dyDescent="0.3">
      <c r="A4523" t="s">
        <v>1873</v>
      </c>
      <c r="B4523" t="s">
        <v>820</v>
      </c>
      <c r="C4523" t="s">
        <v>821</v>
      </c>
      <c r="D4523">
        <v>2018</v>
      </c>
      <c r="E4523" s="2">
        <v>10</v>
      </c>
      <c r="F4523" s="2">
        <v>1900</v>
      </c>
      <c r="G4523" s="2">
        <v>1995</v>
      </c>
      <c r="H4523" s="3" t="s">
        <v>18</v>
      </c>
    </row>
    <row r="4524" spans="1:8" x14ac:dyDescent="0.3">
      <c r="A4524" t="s">
        <v>1873</v>
      </c>
      <c r="B4524" t="s">
        <v>820</v>
      </c>
      <c r="C4524" t="s">
        <v>821</v>
      </c>
      <c r="D4524">
        <v>2019</v>
      </c>
      <c r="E4524" s="2">
        <v>25</v>
      </c>
      <c r="F4524" s="2">
        <v>4750</v>
      </c>
      <c r="G4524" s="2">
        <v>4987.5</v>
      </c>
      <c r="H4524" s="3" t="s">
        <v>18</v>
      </c>
    </row>
    <row r="4525" spans="1:8" x14ac:dyDescent="0.3">
      <c r="A4525" t="s">
        <v>1873</v>
      </c>
      <c r="B4525" t="s">
        <v>820</v>
      </c>
      <c r="C4525" t="s">
        <v>821</v>
      </c>
      <c r="D4525">
        <v>2020</v>
      </c>
      <c r="E4525" s="2">
        <v>10</v>
      </c>
      <c r="F4525" s="2">
        <v>1900</v>
      </c>
      <c r="G4525" s="2">
        <v>1995</v>
      </c>
      <c r="H4525" s="3" t="s">
        <v>18</v>
      </c>
    </row>
    <row r="4526" spans="1:8" x14ac:dyDescent="0.3">
      <c r="A4526" t="s">
        <v>1873</v>
      </c>
      <c r="B4526" t="s">
        <v>820</v>
      </c>
      <c r="C4526" t="s">
        <v>821</v>
      </c>
      <c r="D4526">
        <v>2021</v>
      </c>
      <c r="E4526" s="2">
        <v>10</v>
      </c>
      <c r="F4526" s="2">
        <v>1900</v>
      </c>
      <c r="G4526" s="2">
        <v>1995</v>
      </c>
      <c r="H4526" s="3" t="s">
        <v>18</v>
      </c>
    </row>
    <row r="4527" spans="1:8" x14ac:dyDescent="0.3">
      <c r="A4527" t="s">
        <v>1873</v>
      </c>
      <c r="B4527" t="s">
        <v>135</v>
      </c>
      <c r="C4527" t="s">
        <v>136</v>
      </c>
      <c r="D4527">
        <v>2017</v>
      </c>
      <c r="E4527" s="2">
        <v>10</v>
      </c>
      <c r="F4527" s="2">
        <v>1900</v>
      </c>
      <c r="G4527" s="2"/>
    </row>
    <row r="4528" spans="1:8" x14ac:dyDescent="0.3">
      <c r="A4528" t="s">
        <v>1873</v>
      </c>
      <c r="B4528" t="s">
        <v>135</v>
      </c>
      <c r="C4528" t="s">
        <v>136</v>
      </c>
      <c r="D4528">
        <v>2018</v>
      </c>
      <c r="E4528" s="2">
        <v>10</v>
      </c>
      <c r="F4528" s="2">
        <v>1900</v>
      </c>
      <c r="G4528" s="2">
        <v>1995</v>
      </c>
    </row>
    <row r="4529" spans="1:8" x14ac:dyDescent="0.3">
      <c r="A4529" t="s">
        <v>1873</v>
      </c>
      <c r="B4529" t="s">
        <v>839</v>
      </c>
      <c r="C4529" t="s">
        <v>138</v>
      </c>
      <c r="D4529">
        <v>2012</v>
      </c>
      <c r="E4529" s="2">
        <v>75</v>
      </c>
      <c r="F4529" s="2">
        <v>12750</v>
      </c>
      <c r="G4529" s="2"/>
    </row>
    <row r="4530" spans="1:8" x14ac:dyDescent="0.3">
      <c r="A4530" t="s">
        <v>1873</v>
      </c>
      <c r="B4530" t="s">
        <v>839</v>
      </c>
      <c r="C4530" t="s">
        <v>138</v>
      </c>
      <c r="D4530">
        <v>2013</v>
      </c>
      <c r="E4530" s="2">
        <v>50</v>
      </c>
      <c r="F4530" s="2">
        <v>8400</v>
      </c>
      <c r="G4530" s="2"/>
    </row>
    <row r="4531" spans="1:8" x14ac:dyDescent="0.3">
      <c r="A4531" t="s">
        <v>1873</v>
      </c>
      <c r="B4531" t="s">
        <v>839</v>
      </c>
      <c r="C4531" t="s">
        <v>138</v>
      </c>
      <c r="D4531">
        <v>2016</v>
      </c>
      <c r="E4531" s="2">
        <v>5</v>
      </c>
      <c r="F4531" s="2">
        <v>840</v>
      </c>
      <c r="G4531" s="2"/>
    </row>
    <row r="4532" spans="1:8" x14ac:dyDescent="0.3">
      <c r="A4532" t="s">
        <v>1873</v>
      </c>
      <c r="B4532" t="s">
        <v>839</v>
      </c>
      <c r="C4532" t="s">
        <v>138</v>
      </c>
      <c r="D4532">
        <v>2017</v>
      </c>
      <c r="E4532" s="2">
        <v>15</v>
      </c>
      <c r="F4532" s="2">
        <v>2520</v>
      </c>
      <c r="G4532" s="2"/>
    </row>
    <row r="4533" spans="1:8" x14ac:dyDescent="0.3">
      <c r="A4533" t="s">
        <v>1873</v>
      </c>
      <c r="B4533" t="s">
        <v>839</v>
      </c>
      <c r="C4533" t="s">
        <v>138</v>
      </c>
      <c r="D4533">
        <v>2018</v>
      </c>
      <c r="E4533" s="2">
        <v>35</v>
      </c>
      <c r="F4533" s="2">
        <v>5880</v>
      </c>
      <c r="G4533" s="2">
        <v>6174</v>
      </c>
    </row>
    <row r="4534" spans="1:8" x14ac:dyDescent="0.3">
      <c r="A4534" t="s">
        <v>1873</v>
      </c>
      <c r="B4534" t="s">
        <v>839</v>
      </c>
      <c r="C4534" t="s">
        <v>138</v>
      </c>
      <c r="D4534">
        <v>2019</v>
      </c>
      <c r="E4534" s="2">
        <v>15</v>
      </c>
      <c r="F4534" s="2">
        <v>2520</v>
      </c>
      <c r="G4534" s="2">
        <v>2646</v>
      </c>
    </row>
    <row r="4535" spans="1:8" x14ac:dyDescent="0.3">
      <c r="A4535" t="s">
        <v>1873</v>
      </c>
      <c r="B4535" t="s">
        <v>839</v>
      </c>
      <c r="C4535" t="s">
        <v>138</v>
      </c>
      <c r="D4535">
        <v>2020</v>
      </c>
      <c r="E4535" s="2">
        <v>15</v>
      </c>
      <c r="F4535" s="2">
        <v>2520</v>
      </c>
      <c r="G4535" s="2">
        <v>2646</v>
      </c>
    </row>
    <row r="4536" spans="1:8" x14ac:dyDescent="0.3">
      <c r="A4536" t="s">
        <v>1873</v>
      </c>
      <c r="B4536" t="s">
        <v>196</v>
      </c>
      <c r="C4536" t="s">
        <v>197</v>
      </c>
      <c r="D4536">
        <v>2017</v>
      </c>
      <c r="E4536" s="2">
        <v>20</v>
      </c>
      <c r="F4536" s="2">
        <v>4000</v>
      </c>
      <c r="G4536" s="2"/>
    </row>
    <row r="4537" spans="1:8" x14ac:dyDescent="0.3">
      <c r="A4537" t="s">
        <v>1873</v>
      </c>
      <c r="B4537" t="s">
        <v>196</v>
      </c>
      <c r="C4537" t="s">
        <v>197</v>
      </c>
      <c r="D4537">
        <v>2018</v>
      </c>
      <c r="E4537" s="2">
        <v>30</v>
      </c>
      <c r="F4537" s="2">
        <v>6000</v>
      </c>
      <c r="G4537" s="2">
        <v>6300</v>
      </c>
    </row>
    <row r="4538" spans="1:8" x14ac:dyDescent="0.3">
      <c r="A4538" t="s">
        <v>1873</v>
      </c>
      <c r="B4538" t="s">
        <v>196</v>
      </c>
      <c r="C4538" t="s">
        <v>197</v>
      </c>
      <c r="D4538">
        <v>2019</v>
      </c>
      <c r="E4538" s="2">
        <v>15</v>
      </c>
      <c r="F4538" s="2">
        <v>3000</v>
      </c>
      <c r="G4538" s="2">
        <v>3150</v>
      </c>
    </row>
    <row r="4539" spans="1:8" x14ac:dyDescent="0.3">
      <c r="A4539" t="s">
        <v>1873</v>
      </c>
      <c r="B4539" t="s">
        <v>383</v>
      </c>
      <c r="C4539" t="s">
        <v>384</v>
      </c>
      <c r="D4539">
        <v>2020</v>
      </c>
      <c r="E4539" s="2">
        <v>10</v>
      </c>
      <c r="F4539" s="2">
        <v>2000</v>
      </c>
      <c r="G4539" s="2">
        <v>2100</v>
      </c>
      <c r="H4539" s="3" t="s">
        <v>18</v>
      </c>
    </row>
    <row r="4540" spans="1:8" x14ac:dyDescent="0.3">
      <c r="A4540" t="s">
        <v>1873</v>
      </c>
      <c r="B4540" t="s">
        <v>383</v>
      </c>
      <c r="C4540" t="s">
        <v>384</v>
      </c>
      <c r="D4540">
        <v>2021</v>
      </c>
      <c r="E4540" s="2">
        <v>5</v>
      </c>
      <c r="F4540" s="2">
        <v>1000</v>
      </c>
      <c r="G4540" s="2">
        <v>1050</v>
      </c>
      <c r="H4540" s="3" t="s">
        <v>18</v>
      </c>
    </row>
    <row r="4541" spans="1:8" x14ac:dyDescent="0.3">
      <c r="A4541" t="s">
        <v>1873</v>
      </c>
      <c r="B4541" t="s">
        <v>383</v>
      </c>
      <c r="C4541" t="s">
        <v>385</v>
      </c>
      <c r="D4541">
        <v>2021</v>
      </c>
      <c r="E4541" s="2">
        <v>10</v>
      </c>
      <c r="F4541" s="2">
        <v>2000</v>
      </c>
      <c r="G4541" s="2">
        <v>2100</v>
      </c>
      <c r="H4541" s="3" t="s">
        <v>18</v>
      </c>
    </row>
    <row r="4542" spans="1:8" x14ac:dyDescent="0.3">
      <c r="A4542" t="s">
        <v>1873</v>
      </c>
      <c r="B4542" t="s">
        <v>320</v>
      </c>
      <c r="C4542" t="s">
        <v>414</v>
      </c>
      <c r="D4542">
        <v>2012</v>
      </c>
      <c r="E4542" s="2">
        <v>50</v>
      </c>
      <c r="F4542" s="2">
        <v>8600</v>
      </c>
      <c r="G4542" s="2"/>
    </row>
    <row r="4543" spans="1:8" x14ac:dyDescent="0.3">
      <c r="A4543" t="s">
        <v>1873</v>
      </c>
      <c r="B4543" t="s">
        <v>320</v>
      </c>
      <c r="C4543" t="s">
        <v>414</v>
      </c>
      <c r="D4543">
        <v>2013</v>
      </c>
      <c r="E4543" s="2">
        <v>100</v>
      </c>
      <c r="F4543" s="2">
        <v>17200</v>
      </c>
      <c r="G4543" s="2"/>
    </row>
    <row r="4544" spans="1:8" x14ac:dyDescent="0.3">
      <c r="A4544" t="s">
        <v>1873</v>
      </c>
      <c r="B4544" t="s">
        <v>151</v>
      </c>
      <c r="C4544" t="s">
        <v>152</v>
      </c>
      <c r="D4544">
        <v>2020</v>
      </c>
      <c r="E4544" s="2">
        <v>5</v>
      </c>
      <c r="F4544" s="2">
        <v>1150</v>
      </c>
      <c r="G4544" s="2">
        <v>1207.5</v>
      </c>
      <c r="H4544" s="3" t="s">
        <v>18</v>
      </c>
    </row>
    <row r="4545" spans="1:8" x14ac:dyDescent="0.3">
      <c r="A4545" t="s">
        <v>1873</v>
      </c>
      <c r="B4545" t="s">
        <v>151</v>
      </c>
      <c r="C4545" t="s">
        <v>152</v>
      </c>
      <c r="D4545">
        <v>2021</v>
      </c>
      <c r="E4545" s="2">
        <v>25</v>
      </c>
      <c r="F4545" s="2">
        <v>5750</v>
      </c>
      <c r="G4545" s="2">
        <v>6037.5</v>
      </c>
      <c r="H4545" s="3" t="s">
        <v>18</v>
      </c>
    </row>
    <row r="4546" spans="1:8" x14ac:dyDescent="0.3">
      <c r="A4546" t="s">
        <v>1873</v>
      </c>
      <c r="B4546" t="s">
        <v>1314</v>
      </c>
      <c r="C4546" t="s">
        <v>389</v>
      </c>
      <c r="D4546">
        <v>2010</v>
      </c>
      <c r="E4546" s="2">
        <v>25</v>
      </c>
      <c r="F4546" s="2">
        <v>5050</v>
      </c>
      <c r="G4546" s="2"/>
    </row>
    <row r="4547" spans="1:8" x14ac:dyDescent="0.3">
      <c r="A4547" t="s">
        <v>1873</v>
      </c>
      <c r="B4547" t="s">
        <v>203</v>
      </c>
      <c r="C4547" t="s">
        <v>204</v>
      </c>
      <c r="D4547">
        <v>2019</v>
      </c>
      <c r="E4547" s="2">
        <v>7</v>
      </c>
      <c r="F4547" s="2">
        <v>780</v>
      </c>
      <c r="G4547" s="2">
        <v>819</v>
      </c>
    </row>
    <row r="4548" spans="1:8" x14ac:dyDescent="0.3">
      <c r="A4548" t="s">
        <v>1873</v>
      </c>
      <c r="B4548" t="s">
        <v>153</v>
      </c>
      <c r="C4548" t="s">
        <v>154</v>
      </c>
      <c r="D4548">
        <v>2017</v>
      </c>
      <c r="E4548" s="2">
        <v>10</v>
      </c>
      <c r="F4548" s="2">
        <v>2400</v>
      </c>
      <c r="G4548" s="2"/>
      <c r="H4548" s="3" t="s">
        <v>18</v>
      </c>
    </row>
    <row r="4549" spans="1:8" x14ac:dyDescent="0.3">
      <c r="A4549" t="s">
        <v>1873</v>
      </c>
      <c r="B4549" t="s">
        <v>153</v>
      </c>
      <c r="C4549" t="s">
        <v>154</v>
      </c>
      <c r="D4549">
        <v>2018</v>
      </c>
      <c r="E4549" s="2">
        <v>5</v>
      </c>
      <c r="F4549" s="2">
        <v>1200</v>
      </c>
      <c r="G4549" s="2">
        <v>1260</v>
      </c>
      <c r="H4549" s="3" t="s">
        <v>18</v>
      </c>
    </row>
    <row r="4550" spans="1:8" x14ac:dyDescent="0.3">
      <c r="A4550" t="s">
        <v>1873</v>
      </c>
      <c r="B4550" t="s">
        <v>153</v>
      </c>
      <c r="C4550" t="s">
        <v>154</v>
      </c>
      <c r="D4550">
        <v>2019</v>
      </c>
      <c r="E4550" s="2">
        <v>12</v>
      </c>
      <c r="F4550" s="2">
        <v>2240</v>
      </c>
      <c r="G4550" s="2">
        <v>2352</v>
      </c>
      <c r="H4550" s="3" t="s">
        <v>18</v>
      </c>
    </row>
    <row r="4551" spans="1:8" x14ac:dyDescent="0.3">
      <c r="A4551" t="s">
        <v>1873</v>
      </c>
      <c r="B4551" t="s">
        <v>153</v>
      </c>
      <c r="C4551" t="s">
        <v>154</v>
      </c>
      <c r="D4551">
        <v>2020</v>
      </c>
      <c r="E4551" s="2">
        <v>13</v>
      </c>
      <c r="F4551" s="2">
        <v>3120</v>
      </c>
      <c r="G4551" s="2">
        <v>3276</v>
      </c>
      <c r="H4551" s="3" t="s">
        <v>18</v>
      </c>
    </row>
    <row r="4552" spans="1:8" x14ac:dyDescent="0.3">
      <c r="A4552" t="s">
        <v>1873</v>
      </c>
      <c r="B4552" t="s">
        <v>153</v>
      </c>
      <c r="C4552" t="s">
        <v>154</v>
      </c>
      <c r="D4552">
        <v>2021</v>
      </c>
      <c r="E4552" s="2">
        <v>5</v>
      </c>
      <c r="F4552" s="2">
        <v>1200</v>
      </c>
      <c r="G4552" s="2">
        <v>1260</v>
      </c>
      <c r="H4552" s="3" t="s">
        <v>18</v>
      </c>
    </row>
    <row r="4553" spans="1:8" x14ac:dyDescent="0.3">
      <c r="A4553" t="s">
        <v>1873</v>
      </c>
      <c r="B4553" t="s">
        <v>163</v>
      </c>
      <c r="C4553" t="s">
        <v>164</v>
      </c>
      <c r="D4553">
        <v>2009</v>
      </c>
      <c r="E4553" s="2">
        <v>150</v>
      </c>
      <c r="F4553" s="2">
        <v>13787.5</v>
      </c>
      <c r="G4553" s="2"/>
      <c r="H4553" s="3" t="s">
        <v>18</v>
      </c>
    </row>
    <row r="4554" spans="1:8" x14ac:dyDescent="0.3">
      <c r="A4554" t="s">
        <v>1873</v>
      </c>
      <c r="B4554" t="s">
        <v>163</v>
      </c>
      <c r="C4554" t="s">
        <v>164</v>
      </c>
      <c r="D4554">
        <v>2011</v>
      </c>
      <c r="E4554" s="2">
        <v>150</v>
      </c>
      <c r="F4554" s="2">
        <v>16500</v>
      </c>
      <c r="G4554" s="2"/>
      <c r="H4554" s="3" t="s">
        <v>18</v>
      </c>
    </row>
    <row r="4555" spans="1:8" x14ac:dyDescent="0.3">
      <c r="A4555" t="s">
        <v>1873</v>
      </c>
      <c r="B4555" t="s">
        <v>163</v>
      </c>
      <c r="C4555" t="s">
        <v>164</v>
      </c>
      <c r="D4555">
        <v>2014</v>
      </c>
      <c r="E4555" s="2">
        <v>50</v>
      </c>
      <c r="F4555" s="2">
        <v>6000</v>
      </c>
      <c r="G4555" s="2"/>
      <c r="H4555" s="3" t="s">
        <v>18</v>
      </c>
    </row>
    <row r="4556" spans="1:8" x14ac:dyDescent="0.3">
      <c r="A4556" t="s">
        <v>1873</v>
      </c>
      <c r="B4556" t="s">
        <v>163</v>
      </c>
      <c r="C4556" t="s">
        <v>164</v>
      </c>
      <c r="D4556">
        <v>2016</v>
      </c>
      <c r="E4556" s="2">
        <v>100</v>
      </c>
      <c r="F4556" s="2">
        <v>12000</v>
      </c>
      <c r="G4556" s="2"/>
      <c r="H4556" s="3" t="s">
        <v>18</v>
      </c>
    </row>
    <row r="4557" spans="1:8" x14ac:dyDescent="0.3">
      <c r="A4557" t="s">
        <v>1873</v>
      </c>
      <c r="B4557" t="s">
        <v>163</v>
      </c>
      <c r="C4557" t="s">
        <v>164</v>
      </c>
      <c r="D4557">
        <v>2017</v>
      </c>
      <c r="E4557" s="2">
        <v>100</v>
      </c>
      <c r="F4557" s="2">
        <v>12000</v>
      </c>
      <c r="G4557" s="2"/>
      <c r="H4557" s="3" t="s">
        <v>18</v>
      </c>
    </row>
    <row r="4558" spans="1:8" x14ac:dyDescent="0.3">
      <c r="A4558" t="s">
        <v>1873</v>
      </c>
      <c r="B4558" t="s">
        <v>163</v>
      </c>
      <c r="C4558" t="s">
        <v>164</v>
      </c>
      <c r="D4558">
        <v>2018</v>
      </c>
      <c r="E4558" s="2">
        <v>25</v>
      </c>
      <c r="F4558" s="2">
        <v>3000</v>
      </c>
      <c r="G4558" s="2">
        <v>3150</v>
      </c>
      <c r="H4558" s="3" t="s">
        <v>18</v>
      </c>
    </row>
    <row r="4559" spans="1:8" x14ac:dyDescent="0.3">
      <c r="A4559" t="s">
        <v>1873</v>
      </c>
      <c r="B4559" t="s">
        <v>163</v>
      </c>
      <c r="C4559" t="s">
        <v>164</v>
      </c>
      <c r="D4559">
        <v>2019</v>
      </c>
      <c r="E4559" s="2">
        <v>10</v>
      </c>
      <c r="F4559" s="2">
        <v>1200</v>
      </c>
      <c r="G4559" s="2">
        <v>1260</v>
      </c>
      <c r="H4559" s="3" t="s">
        <v>18</v>
      </c>
    </row>
    <row r="4560" spans="1:8" x14ac:dyDescent="0.3">
      <c r="A4560" t="s">
        <v>1873</v>
      </c>
      <c r="B4560" t="s">
        <v>163</v>
      </c>
      <c r="C4560" t="s">
        <v>164</v>
      </c>
      <c r="D4560">
        <v>2020</v>
      </c>
      <c r="E4560" s="2">
        <v>20</v>
      </c>
      <c r="F4560" s="2">
        <v>2400</v>
      </c>
      <c r="G4560" s="2">
        <v>2520</v>
      </c>
      <c r="H4560" s="3" t="s">
        <v>18</v>
      </c>
    </row>
    <row r="4561" spans="1:8" x14ac:dyDescent="0.3">
      <c r="A4561" t="s">
        <v>1873</v>
      </c>
      <c r="B4561" t="s">
        <v>163</v>
      </c>
      <c r="C4561" t="s">
        <v>164</v>
      </c>
      <c r="D4561">
        <v>2021</v>
      </c>
      <c r="E4561" s="2">
        <v>20</v>
      </c>
      <c r="F4561" s="2">
        <v>2400</v>
      </c>
      <c r="G4561" s="2">
        <v>2520</v>
      </c>
      <c r="H4561" s="3" t="s">
        <v>18</v>
      </c>
    </row>
    <row r="4562" spans="1:8" x14ac:dyDescent="0.3">
      <c r="A4562" t="s">
        <v>1873</v>
      </c>
      <c r="B4562" t="s">
        <v>1155</v>
      </c>
      <c r="C4562" t="s">
        <v>1156</v>
      </c>
      <c r="D4562">
        <v>2019</v>
      </c>
      <c r="E4562" s="2">
        <v>31</v>
      </c>
      <c r="F4562" s="2">
        <v>3360</v>
      </c>
      <c r="G4562" s="2">
        <v>3528</v>
      </c>
    </row>
    <row r="4563" spans="1:8" x14ac:dyDescent="0.3">
      <c r="A4563" t="s">
        <v>1880</v>
      </c>
      <c r="B4563" t="s">
        <v>671</v>
      </c>
      <c r="C4563" t="s">
        <v>672</v>
      </c>
      <c r="D4563">
        <v>2021</v>
      </c>
      <c r="E4563" s="2">
        <v>25</v>
      </c>
      <c r="F4563" s="2">
        <v>1150</v>
      </c>
      <c r="G4563" s="2">
        <v>1207.5</v>
      </c>
      <c r="H4563" s="3" t="s">
        <v>14</v>
      </c>
    </row>
    <row r="4564" spans="1:8" x14ac:dyDescent="0.3">
      <c r="A4564" t="s">
        <v>1881</v>
      </c>
      <c r="B4564" t="s">
        <v>84</v>
      </c>
      <c r="C4564" t="s">
        <v>85</v>
      </c>
      <c r="D4564">
        <v>2014</v>
      </c>
      <c r="E4564" s="2">
        <v>300</v>
      </c>
      <c r="F4564" s="2">
        <v>39000</v>
      </c>
      <c r="G4564" s="2"/>
    </row>
    <row r="4565" spans="1:8" x14ac:dyDescent="0.3">
      <c r="A4565" t="s">
        <v>1881</v>
      </c>
      <c r="B4565" t="s">
        <v>84</v>
      </c>
      <c r="C4565" t="s">
        <v>85</v>
      </c>
      <c r="D4565">
        <v>2015</v>
      </c>
      <c r="E4565" s="2">
        <v>200</v>
      </c>
      <c r="F4565" s="2">
        <v>26000</v>
      </c>
      <c r="G4565" s="2"/>
    </row>
    <row r="4566" spans="1:8" x14ac:dyDescent="0.3">
      <c r="A4566" t="s">
        <v>1881</v>
      </c>
      <c r="B4566" t="s">
        <v>84</v>
      </c>
      <c r="C4566" t="s">
        <v>85</v>
      </c>
      <c r="D4566">
        <v>2020</v>
      </c>
      <c r="E4566" s="2">
        <v>300</v>
      </c>
      <c r="F4566" s="2">
        <v>38400</v>
      </c>
      <c r="G4566" s="2">
        <v>40320</v>
      </c>
    </row>
    <row r="4567" spans="1:8" x14ac:dyDescent="0.3">
      <c r="A4567" t="s">
        <v>1881</v>
      </c>
      <c r="B4567" t="s">
        <v>719</v>
      </c>
      <c r="C4567" t="s">
        <v>925</v>
      </c>
      <c r="D4567">
        <v>2014</v>
      </c>
      <c r="E4567" s="2">
        <v>300</v>
      </c>
      <c r="F4567" s="2">
        <v>39000</v>
      </c>
      <c r="G4567" s="2"/>
    </row>
    <row r="4568" spans="1:8" x14ac:dyDescent="0.3">
      <c r="A4568" t="s">
        <v>1881</v>
      </c>
      <c r="B4568" t="s">
        <v>719</v>
      </c>
      <c r="C4568" t="s">
        <v>925</v>
      </c>
      <c r="D4568">
        <v>2015</v>
      </c>
      <c r="E4568" s="2">
        <v>200</v>
      </c>
      <c r="F4568" s="2">
        <v>26000</v>
      </c>
      <c r="G4568" s="2"/>
    </row>
    <row r="4569" spans="1:8" x14ac:dyDescent="0.3">
      <c r="A4569" t="s">
        <v>1881</v>
      </c>
      <c r="B4569" t="s">
        <v>589</v>
      </c>
      <c r="C4569" t="s">
        <v>590</v>
      </c>
      <c r="D4569">
        <v>2020</v>
      </c>
      <c r="E4569" s="2">
        <v>300</v>
      </c>
      <c r="F4569" s="2">
        <v>38400</v>
      </c>
      <c r="G4569" s="2">
        <v>40320</v>
      </c>
    </row>
    <row r="4570" spans="1:8" x14ac:dyDescent="0.3">
      <c r="A4570" t="s">
        <v>1882</v>
      </c>
      <c r="B4570" t="s">
        <v>24</v>
      </c>
      <c r="C4570" t="s">
        <v>25</v>
      </c>
      <c r="D4570">
        <v>2012</v>
      </c>
      <c r="E4570" s="2">
        <v>1</v>
      </c>
      <c r="F4570" s="2">
        <v>90</v>
      </c>
      <c r="G4570" s="2"/>
    </row>
    <row r="4571" spans="1:8" x14ac:dyDescent="0.3">
      <c r="A4571" t="s">
        <v>1882</v>
      </c>
      <c r="B4571" t="s">
        <v>24</v>
      </c>
      <c r="C4571" t="s">
        <v>25</v>
      </c>
      <c r="D4571">
        <v>2013</v>
      </c>
      <c r="E4571" s="2">
        <v>2</v>
      </c>
      <c r="F4571" s="2">
        <v>190</v>
      </c>
      <c r="G4571" s="2"/>
    </row>
    <row r="4572" spans="1:8" x14ac:dyDescent="0.3">
      <c r="A4572" t="s">
        <v>1883</v>
      </c>
      <c r="B4572" t="s">
        <v>1801</v>
      </c>
      <c r="D4572">
        <v>2017</v>
      </c>
      <c r="E4572" s="2">
        <v>13</v>
      </c>
      <c r="F4572" s="2">
        <v>1300</v>
      </c>
      <c r="G4572" s="2"/>
    </row>
    <row r="4573" spans="1:8" x14ac:dyDescent="0.3">
      <c r="A4573" t="s">
        <v>1883</v>
      </c>
      <c r="B4573" t="s">
        <v>1801</v>
      </c>
      <c r="D4573">
        <v>2020</v>
      </c>
      <c r="E4573" s="2">
        <v>20</v>
      </c>
      <c r="F4573" s="2">
        <v>1560</v>
      </c>
      <c r="G4573" s="2">
        <v>1638</v>
      </c>
    </row>
    <row r="4574" spans="1:8" x14ac:dyDescent="0.3">
      <c r="A4574" t="s">
        <v>1883</v>
      </c>
      <c r="B4574" t="s">
        <v>631</v>
      </c>
      <c r="C4574" t="s">
        <v>632</v>
      </c>
      <c r="D4574">
        <v>2020</v>
      </c>
      <c r="E4574" s="2">
        <v>100</v>
      </c>
      <c r="F4574" s="2">
        <v>5000</v>
      </c>
      <c r="G4574" s="2">
        <v>5250</v>
      </c>
    </row>
    <row r="4575" spans="1:8" x14ac:dyDescent="0.3">
      <c r="A4575" t="s">
        <v>1883</v>
      </c>
      <c r="B4575" t="s">
        <v>1441</v>
      </c>
      <c r="C4575" t="s">
        <v>1442</v>
      </c>
      <c r="D4575">
        <v>2019</v>
      </c>
      <c r="E4575" s="2">
        <v>100</v>
      </c>
      <c r="F4575" s="2">
        <v>6500</v>
      </c>
      <c r="G4575" s="2">
        <v>6825</v>
      </c>
    </row>
    <row r="4576" spans="1:8" x14ac:dyDescent="0.3">
      <c r="A4576" t="s">
        <v>1883</v>
      </c>
      <c r="B4576" t="s">
        <v>1701</v>
      </c>
      <c r="D4576">
        <v>2020</v>
      </c>
      <c r="E4576" s="2">
        <v>25</v>
      </c>
      <c r="F4576" s="2">
        <v>2625</v>
      </c>
      <c r="G4576" s="2">
        <v>2756.25</v>
      </c>
    </row>
    <row r="4577" spans="1:8" x14ac:dyDescent="0.3">
      <c r="A4577" t="s">
        <v>1883</v>
      </c>
      <c r="B4577" t="s">
        <v>1461</v>
      </c>
      <c r="D4577">
        <v>2020</v>
      </c>
      <c r="E4577" s="2">
        <v>85</v>
      </c>
      <c r="F4577" s="2">
        <v>8925</v>
      </c>
      <c r="G4577" s="2">
        <v>9371.25</v>
      </c>
    </row>
    <row r="4578" spans="1:8" x14ac:dyDescent="0.3">
      <c r="A4578" t="s">
        <v>1883</v>
      </c>
      <c r="B4578" t="s">
        <v>1462</v>
      </c>
      <c r="D4578">
        <v>2020</v>
      </c>
      <c r="E4578" s="2">
        <v>20</v>
      </c>
      <c r="F4578" s="2">
        <v>2200</v>
      </c>
      <c r="G4578" s="2">
        <v>2310</v>
      </c>
    </row>
    <row r="4579" spans="1:8" x14ac:dyDescent="0.3">
      <c r="A4579" t="s">
        <v>1883</v>
      </c>
      <c r="B4579" t="s">
        <v>666</v>
      </c>
      <c r="C4579" t="s">
        <v>667</v>
      </c>
      <c r="D4579">
        <v>2019</v>
      </c>
      <c r="E4579" s="2">
        <v>200</v>
      </c>
      <c r="F4579" s="2">
        <v>10000</v>
      </c>
      <c r="G4579" s="2">
        <v>10500</v>
      </c>
    </row>
    <row r="4580" spans="1:8" x14ac:dyDescent="0.3">
      <c r="A4580" t="s">
        <v>1883</v>
      </c>
      <c r="B4580" t="s">
        <v>666</v>
      </c>
      <c r="C4580" t="s">
        <v>667</v>
      </c>
      <c r="D4580">
        <v>2020</v>
      </c>
      <c r="E4580" s="2">
        <v>850</v>
      </c>
      <c r="F4580" s="2">
        <v>42500</v>
      </c>
      <c r="G4580" s="2">
        <v>44625</v>
      </c>
    </row>
    <row r="4581" spans="1:8" x14ac:dyDescent="0.3">
      <c r="A4581" t="s">
        <v>1883</v>
      </c>
      <c r="B4581" t="s">
        <v>26</v>
      </c>
      <c r="C4581" t="s">
        <v>27</v>
      </c>
      <c r="D4581">
        <v>2018</v>
      </c>
      <c r="E4581" s="2">
        <v>10</v>
      </c>
      <c r="F4581" s="2">
        <v>450</v>
      </c>
      <c r="G4581" s="2">
        <v>472.5</v>
      </c>
      <c r="H4581" s="3" t="s">
        <v>1884</v>
      </c>
    </row>
    <row r="4582" spans="1:8" x14ac:dyDescent="0.3">
      <c r="A4582" t="s">
        <v>1883</v>
      </c>
      <c r="B4582" t="s">
        <v>26</v>
      </c>
      <c r="C4582" t="s">
        <v>27</v>
      </c>
      <c r="D4582">
        <v>2019</v>
      </c>
      <c r="E4582" s="2">
        <v>1200</v>
      </c>
      <c r="F4582" s="2">
        <v>60000</v>
      </c>
      <c r="G4582" s="2">
        <v>63000</v>
      </c>
      <c r="H4582" s="3" t="s">
        <v>1884</v>
      </c>
    </row>
    <row r="4583" spans="1:8" x14ac:dyDescent="0.3">
      <c r="A4583" t="s">
        <v>1883</v>
      </c>
      <c r="B4583" t="s">
        <v>26</v>
      </c>
      <c r="C4583" t="s">
        <v>27</v>
      </c>
      <c r="D4583">
        <v>2020</v>
      </c>
      <c r="E4583" s="2">
        <v>1700</v>
      </c>
      <c r="F4583" s="2">
        <v>75000</v>
      </c>
      <c r="G4583" s="2">
        <v>78750</v>
      </c>
      <c r="H4583" s="3" t="s">
        <v>1884</v>
      </c>
    </row>
    <row r="4584" spans="1:8" x14ac:dyDescent="0.3">
      <c r="A4584" t="s">
        <v>1883</v>
      </c>
      <c r="B4584" t="s">
        <v>26</v>
      </c>
      <c r="C4584" t="s">
        <v>27</v>
      </c>
      <c r="D4584">
        <v>2021</v>
      </c>
      <c r="E4584" s="2">
        <v>600</v>
      </c>
      <c r="F4584" s="2">
        <v>30000</v>
      </c>
      <c r="G4584" s="2">
        <v>31500</v>
      </c>
      <c r="H4584" s="3" t="s">
        <v>1884</v>
      </c>
    </row>
    <row r="4585" spans="1:8" x14ac:dyDescent="0.3">
      <c r="A4585" t="s">
        <v>1883</v>
      </c>
      <c r="B4585" t="s">
        <v>39</v>
      </c>
      <c r="D4585">
        <v>2021</v>
      </c>
      <c r="E4585" s="2">
        <v>100</v>
      </c>
      <c r="F4585" s="2">
        <v>30000</v>
      </c>
      <c r="G4585" s="2">
        <v>31500</v>
      </c>
      <c r="H4585" s="3" t="s">
        <v>18</v>
      </c>
    </row>
    <row r="4586" spans="1:8" x14ac:dyDescent="0.3">
      <c r="A4586" t="s">
        <v>1883</v>
      </c>
      <c r="B4586" t="s">
        <v>1861</v>
      </c>
      <c r="D4586">
        <v>2019</v>
      </c>
      <c r="E4586" s="2">
        <v>98</v>
      </c>
      <c r="F4586" s="2">
        <v>23520</v>
      </c>
      <c r="G4586" s="2">
        <v>24696</v>
      </c>
    </row>
    <row r="4587" spans="1:8" x14ac:dyDescent="0.3">
      <c r="A4587" t="s">
        <v>1883</v>
      </c>
      <c r="B4587" t="s">
        <v>1861</v>
      </c>
      <c r="D4587">
        <v>2020</v>
      </c>
      <c r="E4587" s="2">
        <v>40</v>
      </c>
      <c r="F4587" s="2">
        <v>11200</v>
      </c>
      <c r="G4587" s="2">
        <v>11760</v>
      </c>
    </row>
    <row r="4588" spans="1:8" x14ac:dyDescent="0.3">
      <c r="A4588" t="s">
        <v>1883</v>
      </c>
      <c r="B4588" t="s">
        <v>29</v>
      </c>
      <c r="D4588">
        <v>2018</v>
      </c>
      <c r="E4588" s="2">
        <v>25</v>
      </c>
      <c r="F4588" s="2">
        <v>7500</v>
      </c>
      <c r="G4588" s="2">
        <v>7875</v>
      </c>
    </row>
    <row r="4589" spans="1:8" x14ac:dyDescent="0.3">
      <c r="A4589" t="s">
        <v>1883</v>
      </c>
      <c r="B4589" t="s">
        <v>761</v>
      </c>
      <c r="D4589">
        <v>2018</v>
      </c>
      <c r="E4589" s="2">
        <v>25</v>
      </c>
      <c r="F4589" s="2">
        <v>7500</v>
      </c>
      <c r="G4589" s="2">
        <v>7875</v>
      </c>
    </row>
    <row r="4590" spans="1:8" x14ac:dyDescent="0.3">
      <c r="A4590" t="s">
        <v>1883</v>
      </c>
      <c r="B4590" t="s">
        <v>242</v>
      </c>
      <c r="D4590">
        <v>2019</v>
      </c>
      <c r="E4590" s="2">
        <v>25</v>
      </c>
      <c r="F4590" s="2">
        <v>9500</v>
      </c>
      <c r="G4590" s="2">
        <v>9975</v>
      </c>
    </row>
    <row r="4591" spans="1:8" x14ac:dyDescent="0.3">
      <c r="A4591" t="s">
        <v>1883</v>
      </c>
      <c r="B4591" t="s">
        <v>242</v>
      </c>
      <c r="D4591">
        <v>2020</v>
      </c>
      <c r="E4591" s="2">
        <v>450</v>
      </c>
      <c r="F4591" s="2">
        <v>171000</v>
      </c>
      <c r="G4591" s="2">
        <v>179550</v>
      </c>
    </row>
    <row r="4592" spans="1:8" x14ac:dyDescent="0.3">
      <c r="A4592" t="s">
        <v>1883</v>
      </c>
      <c r="B4592" t="s">
        <v>19</v>
      </c>
      <c r="C4592" t="s">
        <v>20</v>
      </c>
      <c r="D4592">
        <v>2015</v>
      </c>
      <c r="E4592" s="2">
        <v>250</v>
      </c>
      <c r="F4592" s="2">
        <v>24350</v>
      </c>
      <c r="G4592" s="2"/>
    </row>
    <row r="4593" spans="1:8" x14ac:dyDescent="0.3">
      <c r="A4593" t="s">
        <v>1883</v>
      </c>
      <c r="B4593" t="s">
        <v>41</v>
      </c>
      <c r="C4593" t="s">
        <v>42</v>
      </c>
      <c r="D4593">
        <v>2012</v>
      </c>
      <c r="E4593" s="2">
        <v>450</v>
      </c>
      <c r="F4593" s="2">
        <v>19350</v>
      </c>
      <c r="G4593" s="2"/>
    </row>
    <row r="4594" spans="1:8" x14ac:dyDescent="0.3">
      <c r="A4594" t="s">
        <v>1883</v>
      </c>
      <c r="B4594" t="s">
        <v>41</v>
      </c>
      <c r="C4594" t="s">
        <v>42</v>
      </c>
      <c r="D4594">
        <v>2013</v>
      </c>
      <c r="E4594" s="2">
        <v>100</v>
      </c>
      <c r="F4594" s="2">
        <v>4600</v>
      </c>
      <c r="G4594" s="2"/>
    </row>
    <row r="4595" spans="1:8" x14ac:dyDescent="0.3">
      <c r="A4595" t="s">
        <v>1883</v>
      </c>
      <c r="B4595" t="s">
        <v>467</v>
      </c>
      <c r="C4595" t="s">
        <v>468</v>
      </c>
      <c r="D4595">
        <v>2018</v>
      </c>
      <c r="E4595" s="2">
        <v>75</v>
      </c>
      <c r="F4595" s="2">
        <v>4350</v>
      </c>
      <c r="G4595" s="2">
        <v>4567.5</v>
      </c>
    </row>
    <row r="4596" spans="1:8" x14ac:dyDescent="0.3">
      <c r="A4596" t="s">
        <v>1883</v>
      </c>
      <c r="B4596" t="s">
        <v>467</v>
      </c>
      <c r="C4596" t="s">
        <v>468</v>
      </c>
      <c r="D4596">
        <v>2019</v>
      </c>
      <c r="E4596" s="2">
        <v>200</v>
      </c>
      <c r="F4596" s="2">
        <v>12500</v>
      </c>
      <c r="G4596" s="2">
        <v>13125</v>
      </c>
    </row>
    <row r="4597" spans="1:8" x14ac:dyDescent="0.3">
      <c r="A4597" t="s">
        <v>1883</v>
      </c>
      <c r="B4597" t="s">
        <v>1885</v>
      </c>
      <c r="C4597" t="s">
        <v>742</v>
      </c>
      <c r="D4597">
        <v>2012</v>
      </c>
      <c r="E4597" s="2">
        <v>401</v>
      </c>
      <c r="F4597" s="2">
        <v>30075</v>
      </c>
      <c r="G4597" s="2"/>
    </row>
    <row r="4598" spans="1:8" x14ac:dyDescent="0.3">
      <c r="A4598" t="s">
        <v>1883</v>
      </c>
      <c r="B4598" t="s">
        <v>1885</v>
      </c>
      <c r="C4598" t="s">
        <v>742</v>
      </c>
      <c r="D4598">
        <v>2013</v>
      </c>
      <c r="E4598" s="2">
        <v>995</v>
      </c>
      <c r="F4598" s="2">
        <v>74625</v>
      </c>
      <c r="G4598" s="2"/>
    </row>
    <row r="4599" spans="1:8" x14ac:dyDescent="0.3">
      <c r="A4599" t="s">
        <v>1883</v>
      </c>
      <c r="B4599" t="s">
        <v>1885</v>
      </c>
      <c r="C4599" t="s">
        <v>742</v>
      </c>
      <c r="D4599">
        <v>2014</v>
      </c>
      <c r="E4599" s="2">
        <v>1050</v>
      </c>
      <c r="F4599" s="2">
        <v>84000</v>
      </c>
      <c r="G4599" s="2"/>
    </row>
    <row r="4600" spans="1:8" x14ac:dyDescent="0.3">
      <c r="A4600" t="s">
        <v>1883</v>
      </c>
      <c r="B4600" t="s">
        <v>1885</v>
      </c>
      <c r="C4600" t="s">
        <v>742</v>
      </c>
      <c r="D4600">
        <v>2015</v>
      </c>
      <c r="E4600" s="2">
        <v>250</v>
      </c>
      <c r="F4600" s="2">
        <v>21000</v>
      </c>
      <c r="G4600" s="2"/>
    </row>
    <row r="4601" spans="1:8" x14ac:dyDescent="0.3">
      <c r="A4601" t="s">
        <v>1883</v>
      </c>
      <c r="B4601" t="s">
        <v>446</v>
      </c>
      <c r="C4601" t="s">
        <v>447</v>
      </c>
      <c r="D4601">
        <v>2019</v>
      </c>
      <c r="E4601" s="2">
        <v>600</v>
      </c>
      <c r="F4601" s="2">
        <v>30000</v>
      </c>
      <c r="G4601" s="2">
        <v>31500</v>
      </c>
      <c r="H4601" s="3" t="s">
        <v>1336</v>
      </c>
    </row>
    <row r="4602" spans="1:8" x14ac:dyDescent="0.3">
      <c r="A4602" t="s">
        <v>1883</v>
      </c>
      <c r="B4602" t="s">
        <v>446</v>
      </c>
      <c r="C4602" t="s">
        <v>447</v>
      </c>
      <c r="D4602">
        <v>2020</v>
      </c>
      <c r="E4602" s="2">
        <v>2000</v>
      </c>
      <c r="F4602" s="2">
        <v>100000</v>
      </c>
      <c r="G4602" s="2">
        <v>105000</v>
      </c>
      <c r="H4602" s="3" t="s">
        <v>1336</v>
      </c>
    </row>
    <row r="4603" spans="1:8" x14ac:dyDescent="0.3">
      <c r="A4603" t="s">
        <v>1883</v>
      </c>
      <c r="B4603" t="s">
        <v>446</v>
      </c>
      <c r="C4603" t="s">
        <v>447</v>
      </c>
      <c r="D4603">
        <v>2021</v>
      </c>
      <c r="E4603" s="2">
        <v>650</v>
      </c>
      <c r="F4603" s="2">
        <v>33250</v>
      </c>
      <c r="G4603" s="2">
        <v>34912.5</v>
      </c>
      <c r="H4603" s="3" t="s">
        <v>1336</v>
      </c>
    </row>
    <row r="4604" spans="1:8" x14ac:dyDescent="0.3">
      <c r="A4604" t="s">
        <v>1883</v>
      </c>
      <c r="B4604" t="s">
        <v>702</v>
      </c>
      <c r="C4604" t="s">
        <v>703</v>
      </c>
      <c r="D4604">
        <v>2019</v>
      </c>
      <c r="E4604" s="2">
        <v>1200</v>
      </c>
      <c r="F4604" s="2">
        <v>59000</v>
      </c>
      <c r="G4604" s="2">
        <v>61950</v>
      </c>
    </row>
    <row r="4605" spans="1:8" x14ac:dyDescent="0.3">
      <c r="A4605" t="s">
        <v>1883</v>
      </c>
      <c r="B4605" t="s">
        <v>702</v>
      </c>
      <c r="C4605" t="s">
        <v>703</v>
      </c>
      <c r="D4605">
        <v>2020</v>
      </c>
      <c r="E4605" s="2">
        <v>700</v>
      </c>
      <c r="F4605" s="2">
        <v>35000</v>
      </c>
      <c r="G4605" s="2">
        <v>36750</v>
      </c>
    </row>
    <row r="4606" spans="1:8" x14ac:dyDescent="0.3">
      <c r="A4606" t="s">
        <v>1883</v>
      </c>
      <c r="B4606" t="s">
        <v>1671</v>
      </c>
      <c r="C4606" t="s">
        <v>1672</v>
      </c>
      <c r="D4606">
        <v>2017</v>
      </c>
      <c r="E4606" s="2">
        <v>240</v>
      </c>
      <c r="F4606" s="2">
        <v>11040</v>
      </c>
      <c r="G4606" s="2"/>
    </row>
    <row r="4607" spans="1:8" x14ac:dyDescent="0.3">
      <c r="A4607" t="s">
        <v>1883</v>
      </c>
      <c r="B4607" t="s">
        <v>1671</v>
      </c>
      <c r="C4607" t="s">
        <v>1672</v>
      </c>
      <c r="D4607">
        <v>2018</v>
      </c>
      <c r="E4607" s="2">
        <v>710</v>
      </c>
      <c r="F4607" s="2">
        <v>33540</v>
      </c>
      <c r="G4607" s="2">
        <v>35217</v>
      </c>
    </row>
    <row r="4608" spans="1:8" x14ac:dyDescent="0.3">
      <c r="A4608" t="s">
        <v>1883</v>
      </c>
      <c r="B4608" t="s">
        <v>1886</v>
      </c>
      <c r="D4608">
        <v>2020</v>
      </c>
      <c r="E4608" s="2">
        <v>7400</v>
      </c>
      <c r="F4608" s="2">
        <v>370000</v>
      </c>
      <c r="G4608" s="2">
        <v>388500</v>
      </c>
    </row>
    <row r="4609" spans="1:8" x14ac:dyDescent="0.3">
      <c r="A4609" t="s">
        <v>1883</v>
      </c>
      <c r="B4609" t="s">
        <v>1106</v>
      </c>
      <c r="C4609" t="s">
        <v>1095</v>
      </c>
      <c r="D4609">
        <v>2020</v>
      </c>
      <c r="E4609" s="2">
        <v>200</v>
      </c>
      <c r="F4609" s="2">
        <v>10000</v>
      </c>
      <c r="G4609" s="2">
        <v>10500</v>
      </c>
    </row>
    <row r="4610" spans="1:8" x14ac:dyDescent="0.3">
      <c r="A4610" t="s">
        <v>1883</v>
      </c>
      <c r="B4610" t="s">
        <v>1454</v>
      </c>
      <c r="C4610" t="s">
        <v>1126</v>
      </c>
      <c r="D4610">
        <v>2016</v>
      </c>
      <c r="E4610" s="2">
        <v>25</v>
      </c>
      <c r="F4610" s="2">
        <v>1625</v>
      </c>
      <c r="G4610" s="2"/>
    </row>
    <row r="4611" spans="1:8" x14ac:dyDescent="0.3">
      <c r="A4611" t="s">
        <v>1883</v>
      </c>
      <c r="B4611" t="s">
        <v>1887</v>
      </c>
      <c r="D4611">
        <v>2021</v>
      </c>
      <c r="E4611" s="2">
        <v>600</v>
      </c>
      <c r="F4611" s="2">
        <v>30000</v>
      </c>
      <c r="G4611" s="2">
        <v>31500</v>
      </c>
      <c r="H4611" s="3" t="s">
        <v>1888</v>
      </c>
    </row>
    <row r="4612" spans="1:8" x14ac:dyDescent="0.3">
      <c r="A4612" t="s">
        <v>1883</v>
      </c>
      <c r="B4612" t="s">
        <v>1887</v>
      </c>
      <c r="D4612">
        <v>2021</v>
      </c>
      <c r="E4612" s="2">
        <v>100</v>
      </c>
      <c r="F4612" s="2">
        <v>5000</v>
      </c>
      <c r="G4612" s="2">
        <v>5250</v>
      </c>
      <c r="H4612" s="3" t="s">
        <v>1889</v>
      </c>
    </row>
    <row r="4613" spans="1:8" x14ac:dyDescent="0.3">
      <c r="A4613" t="s">
        <v>1883</v>
      </c>
      <c r="B4613" t="s">
        <v>1887</v>
      </c>
      <c r="D4613">
        <v>2021</v>
      </c>
      <c r="E4613" s="2">
        <v>500</v>
      </c>
      <c r="F4613" s="2">
        <v>25000</v>
      </c>
      <c r="G4613" s="2">
        <v>26250</v>
      </c>
      <c r="H4613" s="3" t="s">
        <v>1890</v>
      </c>
    </row>
    <row r="4614" spans="1:8" x14ac:dyDescent="0.3">
      <c r="A4614" t="s">
        <v>1883</v>
      </c>
      <c r="B4614" t="s">
        <v>1887</v>
      </c>
      <c r="D4614">
        <v>2021</v>
      </c>
      <c r="E4614" s="2">
        <v>1000</v>
      </c>
      <c r="F4614" s="2">
        <v>50000</v>
      </c>
      <c r="G4614" s="2">
        <v>52500</v>
      </c>
      <c r="H4614" s="3" t="s">
        <v>1891</v>
      </c>
    </row>
    <row r="4615" spans="1:8" x14ac:dyDescent="0.3">
      <c r="A4615" t="s">
        <v>1883</v>
      </c>
      <c r="B4615" t="s">
        <v>1887</v>
      </c>
      <c r="D4615">
        <v>2021</v>
      </c>
      <c r="E4615" s="2">
        <v>1200</v>
      </c>
      <c r="F4615" s="2">
        <v>60000</v>
      </c>
      <c r="G4615" s="2">
        <v>63000</v>
      </c>
      <c r="H4615" s="3" t="s">
        <v>1892</v>
      </c>
    </row>
    <row r="4616" spans="1:8" x14ac:dyDescent="0.3">
      <c r="A4616" t="s">
        <v>1883</v>
      </c>
      <c r="B4616" t="s">
        <v>45</v>
      </c>
      <c r="D4616">
        <v>2015</v>
      </c>
      <c r="E4616" s="2">
        <v>20</v>
      </c>
      <c r="F4616" s="2">
        <v>1800</v>
      </c>
      <c r="G4616" s="2"/>
      <c r="H4616" s="3" t="s">
        <v>18</v>
      </c>
    </row>
    <row r="4617" spans="1:8" x14ac:dyDescent="0.3">
      <c r="A4617" t="s">
        <v>1883</v>
      </c>
      <c r="B4617" t="s">
        <v>45</v>
      </c>
      <c r="D4617">
        <v>2017</v>
      </c>
      <c r="E4617" s="2">
        <v>100</v>
      </c>
      <c r="F4617" s="2">
        <v>6500</v>
      </c>
      <c r="G4617" s="2"/>
      <c r="H4617" s="3" t="s">
        <v>18</v>
      </c>
    </row>
    <row r="4618" spans="1:8" x14ac:dyDescent="0.3">
      <c r="A4618" t="s">
        <v>1883</v>
      </c>
      <c r="B4618" t="s">
        <v>45</v>
      </c>
      <c r="D4618">
        <v>2020</v>
      </c>
      <c r="E4618" s="2">
        <v>240</v>
      </c>
      <c r="F4618" s="2">
        <v>20400</v>
      </c>
      <c r="G4618" s="2">
        <v>21420</v>
      </c>
      <c r="H4618" s="3" t="s">
        <v>18</v>
      </c>
    </row>
    <row r="4619" spans="1:8" x14ac:dyDescent="0.3">
      <c r="A4619" t="s">
        <v>1883</v>
      </c>
      <c r="B4619" t="s">
        <v>45</v>
      </c>
      <c r="D4619">
        <v>2021</v>
      </c>
      <c r="E4619" s="2">
        <v>40</v>
      </c>
      <c r="F4619" s="2">
        <v>3400</v>
      </c>
      <c r="G4619" s="2">
        <v>3570</v>
      </c>
      <c r="H4619" s="3" t="s">
        <v>18</v>
      </c>
    </row>
    <row r="4620" spans="1:8" x14ac:dyDescent="0.3">
      <c r="A4620" t="s">
        <v>1883</v>
      </c>
      <c r="B4620" t="s">
        <v>863</v>
      </c>
      <c r="D4620">
        <v>2020</v>
      </c>
      <c r="E4620" s="2">
        <v>20</v>
      </c>
      <c r="F4620" s="2">
        <v>1600</v>
      </c>
      <c r="G4620" s="2">
        <v>1680</v>
      </c>
    </row>
    <row r="4621" spans="1:8" x14ac:dyDescent="0.3">
      <c r="A4621" t="s">
        <v>1883</v>
      </c>
      <c r="B4621" t="s">
        <v>240</v>
      </c>
      <c r="D4621">
        <v>2015</v>
      </c>
      <c r="E4621" s="2">
        <v>40</v>
      </c>
      <c r="F4621" s="2">
        <v>3600</v>
      </c>
      <c r="G4621" s="2"/>
    </row>
    <row r="4622" spans="1:8" x14ac:dyDescent="0.3">
      <c r="A4622" t="s">
        <v>1883</v>
      </c>
      <c r="B4622" t="s">
        <v>32</v>
      </c>
      <c r="D4622">
        <v>2015</v>
      </c>
      <c r="E4622" s="2">
        <v>120</v>
      </c>
      <c r="F4622" s="2">
        <v>8160</v>
      </c>
      <c r="G4622" s="2"/>
      <c r="H4622" s="3" t="s">
        <v>18</v>
      </c>
    </row>
    <row r="4623" spans="1:8" x14ac:dyDescent="0.3">
      <c r="A4623" t="s">
        <v>1883</v>
      </c>
      <c r="B4623" t="s">
        <v>32</v>
      </c>
      <c r="D4623">
        <v>2018</v>
      </c>
      <c r="E4623" s="2">
        <v>20</v>
      </c>
      <c r="F4623" s="2">
        <v>1300</v>
      </c>
      <c r="G4623" s="2">
        <v>1365</v>
      </c>
      <c r="H4623" s="3" t="s">
        <v>18</v>
      </c>
    </row>
    <row r="4624" spans="1:8" x14ac:dyDescent="0.3">
      <c r="A4624" t="s">
        <v>1883</v>
      </c>
      <c r="B4624" t="s">
        <v>32</v>
      </c>
      <c r="D4624">
        <v>2021</v>
      </c>
      <c r="E4624" s="2">
        <v>100</v>
      </c>
      <c r="F4624" s="2">
        <v>7500</v>
      </c>
      <c r="G4624" s="2">
        <v>7875</v>
      </c>
      <c r="H4624" s="3" t="s">
        <v>18</v>
      </c>
    </row>
    <row r="4625" spans="1:8" x14ac:dyDescent="0.3">
      <c r="A4625" t="s">
        <v>1883</v>
      </c>
      <c r="B4625" t="s">
        <v>46</v>
      </c>
      <c r="C4625" t="s">
        <v>47</v>
      </c>
      <c r="D4625">
        <v>2013</v>
      </c>
      <c r="E4625" s="2">
        <v>50</v>
      </c>
      <c r="F4625" s="2">
        <v>3000</v>
      </c>
      <c r="G4625" s="2"/>
    </row>
    <row r="4626" spans="1:8" x14ac:dyDescent="0.3">
      <c r="A4626" t="s">
        <v>1883</v>
      </c>
      <c r="B4626" t="s">
        <v>46</v>
      </c>
      <c r="C4626" t="s">
        <v>47</v>
      </c>
      <c r="D4626">
        <v>2014</v>
      </c>
      <c r="E4626" s="2">
        <v>300</v>
      </c>
      <c r="F4626" s="2">
        <v>24000</v>
      </c>
      <c r="G4626" s="2"/>
    </row>
    <row r="4627" spans="1:8" x14ac:dyDescent="0.3">
      <c r="A4627" t="s">
        <v>1883</v>
      </c>
      <c r="B4627" t="s">
        <v>46</v>
      </c>
      <c r="C4627" t="s">
        <v>47</v>
      </c>
      <c r="D4627">
        <v>2015</v>
      </c>
      <c r="E4627" s="2">
        <v>400</v>
      </c>
      <c r="F4627" s="2">
        <v>32850</v>
      </c>
      <c r="G4627" s="2"/>
    </row>
    <row r="4628" spans="1:8" x14ac:dyDescent="0.3">
      <c r="A4628" t="s">
        <v>1893</v>
      </c>
      <c r="B4628" t="s">
        <v>532</v>
      </c>
      <c r="C4628" t="s">
        <v>452</v>
      </c>
      <c r="D4628">
        <v>2021</v>
      </c>
      <c r="E4628" s="2">
        <v>5</v>
      </c>
      <c r="F4628" s="2">
        <v>340</v>
      </c>
      <c r="G4628" s="2">
        <v>357</v>
      </c>
      <c r="H4628" s="3" t="s">
        <v>14</v>
      </c>
    </row>
    <row r="4629" spans="1:8" x14ac:dyDescent="0.3">
      <c r="A4629" t="s">
        <v>1893</v>
      </c>
      <c r="B4629" t="s">
        <v>665</v>
      </c>
      <c r="D4629">
        <v>2021</v>
      </c>
      <c r="E4629" s="2">
        <v>1</v>
      </c>
      <c r="F4629" s="2">
        <v>110</v>
      </c>
      <c r="G4629" s="2">
        <v>115.5</v>
      </c>
      <c r="H4629" s="3" t="s">
        <v>18</v>
      </c>
    </row>
    <row r="4630" spans="1:8" x14ac:dyDescent="0.3">
      <c r="A4630" t="s">
        <v>1893</v>
      </c>
      <c r="B4630" t="s">
        <v>453</v>
      </c>
      <c r="D4630">
        <v>2021</v>
      </c>
      <c r="E4630" s="2">
        <v>1</v>
      </c>
      <c r="F4630" s="2">
        <v>100</v>
      </c>
      <c r="G4630" s="2">
        <v>105</v>
      </c>
      <c r="H4630" s="3" t="s">
        <v>18</v>
      </c>
    </row>
    <row r="4631" spans="1:8" x14ac:dyDescent="0.3">
      <c r="A4631" t="s">
        <v>1893</v>
      </c>
      <c r="B4631" t="s">
        <v>1117</v>
      </c>
      <c r="C4631" t="s">
        <v>1118</v>
      </c>
      <c r="D4631">
        <v>2021</v>
      </c>
      <c r="E4631" s="2">
        <v>5</v>
      </c>
      <c r="F4631" s="2">
        <v>390</v>
      </c>
      <c r="G4631" s="2">
        <v>409.5</v>
      </c>
      <c r="H4631" s="3" t="s">
        <v>18</v>
      </c>
    </row>
    <row r="4632" spans="1:8" x14ac:dyDescent="0.3">
      <c r="A4632" t="s">
        <v>1893</v>
      </c>
      <c r="B4632" t="s">
        <v>602</v>
      </c>
      <c r="C4632" t="s">
        <v>603</v>
      </c>
      <c r="D4632">
        <v>2021</v>
      </c>
      <c r="E4632" s="2">
        <v>5</v>
      </c>
      <c r="F4632" s="2">
        <v>340</v>
      </c>
      <c r="G4632" s="2">
        <v>357</v>
      </c>
      <c r="H4632" s="3" t="s">
        <v>14</v>
      </c>
    </row>
    <row r="4633" spans="1:8" x14ac:dyDescent="0.3">
      <c r="A4633" t="s">
        <v>1893</v>
      </c>
      <c r="B4633" t="s">
        <v>348</v>
      </c>
      <c r="C4633" t="s">
        <v>347</v>
      </c>
      <c r="D4633">
        <v>2021</v>
      </c>
      <c r="E4633" s="2">
        <v>5</v>
      </c>
      <c r="F4633" s="2">
        <v>375</v>
      </c>
      <c r="G4633" s="2">
        <v>393.75</v>
      </c>
      <c r="H4633" s="3" t="s">
        <v>18</v>
      </c>
    </row>
    <row r="4634" spans="1:8" x14ac:dyDescent="0.3">
      <c r="A4634" t="s">
        <v>1893</v>
      </c>
      <c r="B4634" t="s">
        <v>642</v>
      </c>
      <c r="D4634">
        <v>2021</v>
      </c>
      <c r="E4634" s="2">
        <v>1</v>
      </c>
      <c r="F4634" s="2">
        <v>120</v>
      </c>
      <c r="G4634" s="2">
        <v>126</v>
      </c>
      <c r="H4634" s="3" t="s">
        <v>18</v>
      </c>
    </row>
    <row r="4635" spans="1:8" x14ac:dyDescent="0.3">
      <c r="A4635" t="s">
        <v>1893</v>
      </c>
      <c r="B4635" t="s">
        <v>671</v>
      </c>
      <c r="C4635" t="s">
        <v>672</v>
      </c>
      <c r="D4635">
        <v>2021</v>
      </c>
      <c r="E4635" s="2">
        <v>5</v>
      </c>
      <c r="F4635" s="2">
        <v>200</v>
      </c>
      <c r="G4635" s="2">
        <v>210</v>
      </c>
      <c r="H4635" s="3" t="s">
        <v>14</v>
      </c>
    </row>
    <row r="4636" spans="1:8" x14ac:dyDescent="0.3">
      <c r="A4636" t="s">
        <v>1893</v>
      </c>
      <c r="B4636" t="s">
        <v>653</v>
      </c>
      <c r="C4636" t="s">
        <v>654</v>
      </c>
      <c r="D4636">
        <v>2021</v>
      </c>
      <c r="E4636" s="2">
        <v>5</v>
      </c>
      <c r="F4636" s="2">
        <v>340</v>
      </c>
      <c r="G4636" s="2">
        <v>357</v>
      </c>
      <c r="H4636" s="3" t="s">
        <v>14</v>
      </c>
    </row>
    <row r="4637" spans="1:8" x14ac:dyDescent="0.3">
      <c r="A4637" t="s">
        <v>1893</v>
      </c>
      <c r="B4637" t="s">
        <v>36</v>
      </c>
      <c r="D4637">
        <v>2021</v>
      </c>
      <c r="E4637" s="2">
        <v>1</v>
      </c>
      <c r="F4637" s="2">
        <v>100</v>
      </c>
      <c r="G4637" s="2">
        <v>105</v>
      </c>
      <c r="H4637" s="3" t="s">
        <v>18</v>
      </c>
    </row>
    <row r="4638" spans="1:8" x14ac:dyDescent="0.3">
      <c r="A4638" t="s">
        <v>1893</v>
      </c>
      <c r="B4638" t="s">
        <v>1021</v>
      </c>
      <c r="C4638" t="s">
        <v>1022</v>
      </c>
      <c r="D4638">
        <v>2021</v>
      </c>
      <c r="E4638" s="2">
        <v>5</v>
      </c>
      <c r="F4638" s="2">
        <v>400</v>
      </c>
      <c r="G4638" s="2">
        <v>420</v>
      </c>
      <c r="H4638" s="3" t="s">
        <v>374</v>
      </c>
    </row>
    <row r="4639" spans="1:8" x14ac:dyDescent="0.3">
      <c r="A4639" t="s">
        <v>1893</v>
      </c>
      <c r="B4639" t="s">
        <v>754</v>
      </c>
      <c r="C4639" t="s">
        <v>755</v>
      </c>
      <c r="D4639">
        <v>2021</v>
      </c>
      <c r="E4639" s="2">
        <v>5</v>
      </c>
      <c r="F4639" s="2">
        <v>375</v>
      </c>
      <c r="G4639" s="2">
        <v>393.75</v>
      </c>
      <c r="H4639" s="3" t="s">
        <v>18</v>
      </c>
    </row>
    <row r="4640" spans="1:8" x14ac:dyDescent="0.3">
      <c r="A4640" t="s">
        <v>1893</v>
      </c>
      <c r="B4640" t="s">
        <v>676</v>
      </c>
      <c r="D4640">
        <v>2021</v>
      </c>
      <c r="E4640" s="2">
        <v>1</v>
      </c>
      <c r="F4640" s="2">
        <v>90</v>
      </c>
      <c r="G4640" s="2">
        <v>94.5</v>
      </c>
      <c r="H4640" s="3" t="s">
        <v>18</v>
      </c>
    </row>
    <row r="4641" spans="1:8" x14ac:dyDescent="0.3">
      <c r="A4641" t="s">
        <v>1893</v>
      </c>
      <c r="B4641" t="s">
        <v>37</v>
      </c>
      <c r="D4641">
        <v>2021</v>
      </c>
      <c r="E4641" s="2">
        <v>1</v>
      </c>
      <c r="F4641" s="2">
        <v>85</v>
      </c>
      <c r="G4641" s="2">
        <v>89.25</v>
      </c>
      <c r="H4641" s="3" t="s">
        <v>18</v>
      </c>
    </row>
    <row r="4642" spans="1:8" x14ac:dyDescent="0.3">
      <c r="A4642" t="s">
        <v>1894</v>
      </c>
      <c r="B4642" t="s">
        <v>62</v>
      </c>
      <c r="C4642" t="s">
        <v>63</v>
      </c>
      <c r="D4642">
        <v>2019</v>
      </c>
      <c r="E4642" s="2">
        <v>25</v>
      </c>
      <c r="F4642" s="2">
        <v>1875</v>
      </c>
      <c r="G4642" s="2">
        <v>1968.75</v>
      </c>
    </row>
    <row r="4643" spans="1:8" x14ac:dyDescent="0.3">
      <c r="A4643" t="s">
        <v>1894</v>
      </c>
      <c r="B4643" t="s">
        <v>32</v>
      </c>
      <c r="D4643">
        <v>2019</v>
      </c>
      <c r="E4643" s="2">
        <v>20</v>
      </c>
      <c r="F4643" s="2">
        <v>1500</v>
      </c>
      <c r="G4643" s="2">
        <v>1575</v>
      </c>
    </row>
    <row r="4644" spans="1:8" x14ac:dyDescent="0.3">
      <c r="A4644" t="s">
        <v>1895</v>
      </c>
      <c r="B4644" t="s">
        <v>532</v>
      </c>
      <c r="C4644" t="s">
        <v>452</v>
      </c>
      <c r="D4644">
        <v>2020</v>
      </c>
      <c r="E4644" s="2">
        <v>25</v>
      </c>
      <c r="F4644" s="2">
        <v>1500</v>
      </c>
      <c r="G4644" s="2">
        <v>1575</v>
      </c>
    </row>
    <row r="4645" spans="1:8" x14ac:dyDescent="0.3">
      <c r="A4645" t="s">
        <v>1895</v>
      </c>
      <c r="B4645" t="s">
        <v>631</v>
      </c>
      <c r="C4645" t="s">
        <v>1896</v>
      </c>
      <c r="D4645">
        <v>2013</v>
      </c>
      <c r="E4645" s="2">
        <v>50</v>
      </c>
      <c r="F4645" s="2">
        <v>3150</v>
      </c>
      <c r="G4645" s="2"/>
    </row>
    <row r="4646" spans="1:8" x14ac:dyDescent="0.3">
      <c r="A4646" t="s">
        <v>1895</v>
      </c>
      <c r="B4646" t="s">
        <v>631</v>
      </c>
      <c r="C4646" t="s">
        <v>1896</v>
      </c>
      <c r="D4646">
        <v>2014</v>
      </c>
      <c r="E4646" s="2">
        <v>125</v>
      </c>
      <c r="F4646" s="2">
        <v>7875</v>
      </c>
      <c r="G4646" s="2"/>
    </row>
    <row r="4647" spans="1:8" x14ac:dyDescent="0.3">
      <c r="A4647" t="s">
        <v>1895</v>
      </c>
      <c r="B4647" t="s">
        <v>631</v>
      </c>
      <c r="C4647" t="s">
        <v>1896</v>
      </c>
      <c r="D4647">
        <v>2015</v>
      </c>
      <c r="E4647" s="2">
        <v>150</v>
      </c>
      <c r="F4647" s="2">
        <v>9450</v>
      </c>
      <c r="G4647" s="2"/>
    </row>
    <row r="4648" spans="1:8" x14ac:dyDescent="0.3">
      <c r="A4648" t="s">
        <v>1895</v>
      </c>
      <c r="B4648" t="s">
        <v>631</v>
      </c>
      <c r="C4648" t="s">
        <v>1896</v>
      </c>
      <c r="D4648">
        <v>2016</v>
      </c>
      <c r="E4648" s="2">
        <v>100</v>
      </c>
      <c r="F4648" s="2">
        <v>6200</v>
      </c>
      <c r="G4648" s="2"/>
    </row>
    <row r="4649" spans="1:8" x14ac:dyDescent="0.3">
      <c r="A4649" t="s">
        <v>1895</v>
      </c>
      <c r="B4649" t="s">
        <v>631</v>
      </c>
      <c r="C4649" t="s">
        <v>1896</v>
      </c>
      <c r="D4649">
        <v>2017</v>
      </c>
      <c r="E4649" s="2">
        <v>325</v>
      </c>
      <c r="F4649" s="2">
        <v>20150</v>
      </c>
      <c r="G4649" s="2"/>
    </row>
    <row r="4650" spans="1:8" x14ac:dyDescent="0.3">
      <c r="A4650" t="s">
        <v>1895</v>
      </c>
      <c r="B4650" t="s">
        <v>631</v>
      </c>
      <c r="C4650" t="s">
        <v>1896</v>
      </c>
      <c r="D4650">
        <v>2018</v>
      </c>
      <c r="E4650" s="2">
        <v>100</v>
      </c>
      <c r="F4650" s="2">
        <v>6200</v>
      </c>
      <c r="G4650" s="2">
        <v>6510</v>
      </c>
    </row>
    <row r="4651" spans="1:8" x14ac:dyDescent="0.3">
      <c r="A4651" t="s">
        <v>1895</v>
      </c>
      <c r="B4651" t="s">
        <v>631</v>
      </c>
      <c r="C4651" t="s">
        <v>1896</v>
      </c>
      <c r="D4651">
        <v>2019</v>
      </c>
      <c r="E4651" s="2">
        <v>100</v>
      </c>
      <c r="F4651" s="2">
        <v>6200</v>
      </c>
      <c r="G4651" s="2">
        <v>6510</v>
      </c>
    </row>
    <row r="4652" spans="1:8" x14ac:dyDescent="0.3">
      <c r="A4652" t="s">
        <v>1895</v>
      </c>
      <c r="B4652" t="s">
        <v>631</v>
      </c>
      <c r="C4652" t="s">
        <v>1896</v>
      </c>
      <c r="D4652">
        <v>2020</v>
      </c>
      <c r="E4652" s="2">
        <v>50</v>
      </c>
      <c r="F4652" s="2">
        <v>3100</v>
      </c>
      <c r="G4652" s="2">
        <v>3255</v>
      </c>
    </row>
    <row r="4653" spans="1:8" x14ac:dyDescent="0.3">
      <c r="A4653" t="s">
        <v>1895</v>
      </c>
      <c r="B4653" t="s">
        <v>461</v>
      </c>
      <c r="D4653">
        <v>2019</v>
      </c>
      <c r="E4653" s="2">
        <v>5</v>
      </c>
      <c r="F4653" s="2">
        <v>425</v>
      </c>
      <c r="G4653" s="2">
        <v>446.25</v>
      </c>
    </row>
    <row r="4654" spans="1:8" x14ac:dyDescent="0.3">
      <c r="A4654" t="s">
        <v>1895</v>
      </c>
      <c r="B4654" t="s">
        <v>1383</v>
      </c>
      <c r="C4654" t="s">
        <v>1384</v>
      </c>
      <c r="D4654">
        <v>2013</v>
      </c>
      <c r="E4654" s="2">
        <v>50</v>
      </c>
      <c r="F4654" s="2">
        <v>3150</v>
      </c>
      <c r="G4654" s="2"/>
    </row>
    <row r="4655" spans="1:8" x14ac:dyDescent="0.3">
      <c r="A4655" t="s">
        <v>1895</v>
      </c>
      <c r="B4655" t="s">
        <v>1383</v>
      </c>
      <c r="C4655" t="s">
        <v>1384</v>
      </c>
      <c r="D4655">
        <v>2014</v>
      </c>
      <c r="E4655" s="2">
        <v>75</v>
      </c>
      <c r="F4655" s="2">
        <v>4725</v>
      </c>
      <c r="G4655" s="2"/>
    </row>
    <row r="4656" spans="1:8" x14ac:dyDescent="0.3">
      <c r="A4656" t="s">
        <v>1895</v>
      </c>
      <c r="B4656" t="s">
        <v>1383</v>
      </c>
      <c r="C4656" t="s">
        <v>1384</v>
      </c>
      <c r="D4656">
        <v>2016</v>
      </c>
      <c r="E4656" s="2">
        <v>25</v>
      </c>
      <c r="F4656" s="2">
        <v>1575</v>
      </c>
      <c r="G4656" s="2"/>
    </row>
    <row r="4657" spans="1:8" x14ac:dyDescent="0.3">
      <c r="A4657" t="s">
        <v>1895</v>
      </c>
      <c r="B4657" t="s">
        <v>1383</v>
      </c>
      <c r="C4657" t="s">
        <v>1384</v>
      </c>
      <c r="D4657">
        <v>2017</v>
      </c>
      <c r="E4657" s="2">
        <v>25</v>
      </c>
      <c r="F4657" s="2">
        <v>1575</v>
      </c>
      <c r="G4657" s="2"/>
    </row>
    <row r="4658" spans="1:8" x14ac:dyDescent="0.3">
      <c r="A4658" t="s">
        <v>1895</v>
      </c>
      <c r="B4658" t="s">
        <v>1383</v>
      </c>
      <c r="C4658" t="s">
        <v>1384</v>
      </c>
      <c r="D4658">
        <v>2018</v>
      </c>
      <c r="E4658" s="2">
        <v>25</v>
      </c>
      <c r="F4658" s="2">
        <v>1575</v>
      </c>
      <c r="G4658" s="2">
        <v>1653.75</v>
      </c>
    </row>
    <row r="4659" spans="1:8" x14ac:dyDescent="0.3">
      <c r="A4659" t="s">
        <v>1895</v>
      </c>
      <c r="B4659" t="s">
        <v>1383</v>
      </c>
      <c r="C4659" t="s">
        <v>1384</v>
      </c>
      <c r="D4659">
        <v>2019</v>
      </c>
      <c r="E4659" s="2">
        <v>25</v>
      </c>
      <c r="F4659" s="2">
        <v>1575</v>
      </c>
      <c r="G4659" s="2">
        <v>1653.75</v>
      </c>
    </row>
    <row r="4660" spans="1:8" x14ac:dyDescent="0.3">
      <c r="A4660" t="s">
        <v>1895</v>
      </c>
      <c r="B4660" t="s">
        <v>1383</v>
      </c>
      <c r="C4660" t="s">
        <v>1384</v>
      </c>
      <c r="D4660">
        <v>2020</v>
      </c>
      <c r="E4660" s="2">
        <v>10</v>
      </c>
      <c r="F4660" s="2">
        <v>630</v>
      </c>
      <c r="G4660" s="2">
        <v>661.5</v>
      </c>
    </row>
    <row r="4661" spans="1:8" x14ac:dyDescent="0.3">
      <c r="A4661" t="s">
        <v>1895</v>
      </c>
      <c r="B4661" t="s">
        <v>1897</v>
      </c>
      <c r="D4661">
        <v>2011</v>
      </c>
      <c r="E4661" s="2">
        <v>100</v>
      </c>
      <c r="F4661" s="2">
        <v>5700</v>
      </c>
      <c r="G4661" s="2"/>
    </row>
    <row r="4662" spans="1:8" x14ac:dyDescent="0.3">
      <c r="A4662" t="s">
        <v>1895</v>
      </c>
      <c r="B4662" t="s">
        <v>1897</v>
      </c>
      <c r="D4662">
        <v>2012</v>
      </c>
      <c r="E4662" s="2">
        <v>88</v>
      </c>
      <c r="F4662" s="2">
        <v>4966</v>
      </c>
      <c r="G4662" s="2"/>
    </row>
    <row r="4663" spans="1:8" x14ac:dyDescent="0.3">
      <c r="A4663" t="s">
        <v>1895</v>
      </c>
      <c r="B4663" t="s">
        <v>184</v>
      </c>
      <c r="C4663" t="s">
        <v>185</v>
      </c>
      <c r="D4663">
        <v>2011</v>
      </c>
      <c r="E4663" s="2">
        <v>25</v>
      </c>
      <c r="F4663" s="2">
        <v>1200</v>
      </c>
      <c r="G4663" s="2"/>
    </row>
    <row r="4664" spans="1:8" x14ac:dyDescent="0.3">
      <c r="A4664" t="s">
        <v>1895</v>
      </c>
      <c r="B4664" t="s">
        <v>184</v>
      </c>
      <c r="C4664" t="s">
        <v>185</v>
      </c>
      <c r="D4664">
        <v>2012</v>
      </c>
      <c r="E4664" s="2">
        <v>50</v>
      </c>
      <c r="F4664" s="2">
        <v>2400</v>
      </c>
      <c r="G4664" s="2"/>
    </row>
    <row r="4665" spans="1:8" x14ac:dyDescent="0.3">
      <c r="A4665" t="s">
        <v>1895</v>
      </c>
      <c r="B4665" t="s">
        <v>184</v>
      </c>
      <c r="C4665" t="s">
        <v>185</v>
      </c>
      <c r="D4665">
        <v>2013</v>
      </c>
      <c r="E4665" s="2">
        <v>25</v>
      </c>
      <c r="F4665" s="2">
        <v>1250</v>
      </c>
      <c r="G4665" s="2"/>
    </row>
    <row r="4666" spans="1:8" x14ac:dyDescent="0.3">
      <c r="A4666" t="s">
        <v>1895</v>
      </c>
      <c r="B4666" t="s">
        <v>184</v>
      </c>
      <c r="C4666" t="s">
        <v>185</v>
      </c>
      <c r="D4666">
        <v>2014</v>
      </c>
      <c r="E4666" s="2">
        <v>50</v>
      </c>
      <c r="F4666" s="2">
        <v>2500</v>
      </c>
      <c r="G4666" s="2"/>
    </row>
    <row r="4667" spans="1:8" x14ac:dyDescent="0.3">
      <c r="A4667" t="s">
        <v>1895</v>
      </c>
      <c r="B4667" t="s">
        <v>184</v>
      </c>
      <c r="C4667" t="s">
        <v>185</v>
      </c>
      <c r="D4667">
        <v>2015</v>
      </c>
      <c r="E4667" s="2">
        <v>25</v>
      </c>
      <c r="F4667" s="2">
        <v>1250</v>
      </c>
      <c r="G4667" s="2"/>
    </row>
    <row r="4668" spans="1:8" x14ac:dyDescent="0.3">
      <c r="A4668" t="s">
        <v>1895</v>
      </c>
      <c r="B4668" t="s">
        <v>686</v>
      </c>
      <c r="C4668" t="s">
        <v>687</v>
      </c>
      <c r="D4668">
        <v>2021</v>
      </c>
      <c r="E4668" s="2">
        <v>25</v>
      </c>
      <c r="F4668" s="2">
        <v>1250</v>
      </c>
      <c r="G4668" s="2">
        <v>1312.5</v>
      </c>
      <c r="H4668" s="3" t="s">
        <v>18</v>
      </c>
    </row>
    <row r="4669" spans="1:8" x14ac:dyDescent="0.3">
      <c r="A4669" t="s">
        <v>1895</v>
      </c>
      <c r="B4669" t="s">
        <v>567</v>
      </c>
      <c r="C4669" t="s">
        <v>698</v>
      </c>
      <c r="D4669">
        <v>2011</v>
      </c>
      <c r="E4669" s="2">
        <v>400</v>
      </c>
      <c r="F4669" s="2">
        <v>22400</v>
      </c>
      <c r="G4669" s="2"/>
    </row>
    <row r="4670" spans="1:8" x14ac:dyDescent="0.3">
      <c r="A4670" t="s">
        <v>1895</v>
      </c>
      <c r="B4670" t="s">
        <v>567</v>
      </c>
      <c r="C4670" t="s">
        <v>698</v>
      </c>
      <c r="D4670">
        <v>2012</v>
      </c>
      <c r="E4670" s="2">
        <v>425</v>
      </c>
      <c r="F4670" s="2">
        <v>23800</v>
      </c>
      <c r="G4670" s="2"/>
    </row>
    <row r="4671" spans="1:8" x14ac:dyDescent="0.3">
      <c r="A4671" t="s">
        <v>1895</v>
      </c>
      <c r="B4671" t="s">
        <v>567</v>
      </c>
      <c r="C4671" t="s">
        <v>698</v>
      </c>
      <c r="D4671">
        <v>2013</v>
      </c>
      <c r="E4671" s="2">
        <v>300</v>
      </c>
      <c r="F4671" s="2">
        <v>16800</v>
      </c>
      <c r="G4671" s="2"/>
    </row>
    <row r="4672" spans="1:8" x14ac:dyDescent="0.3">
      <c r="A4672" t="s">
        <v>1895</v>
      </c>
      <c r="B4672" t="s">
        <v>567</v>
      </c>
      <c r="C4672" t="s">
        <v>698</v>
      </c>
      <c r="D4672">
        <v>2014</v>
      </c>
      <c r="E4672" s="2">
        <v>75</v>
      </c>
      <c r="F4672" s="2">
        <v>4200</v>
      </c>
      <c r="G4672" s="2"/>
    </row>
    <row r="4673" spans="1:8" x14ac:dyDescent="0.3">
      <c r="A4673" t="s">
        <v>1895</v>
      </c>
      <c r="B4673" t="s">
        <v>567</v>
      </c>
      <c r="C4673" t="s">
        <v>698</v>
      </c>
      <c r="D4673">
        <v>2015</v>
      </c>
      <c r="E4673" s="2">
        <v>150</v>
      </c>
      <c r="F4673" s="2">
        <v>8400</v>
      </c>
      <c r="G4673" s="2"/>
    </row>
    <row r="4674" spans="1:8" x14ac:dyDescent="0.3">
      <c r="A4674" t="s">
        <v>1895</v>
      </c>
      <c r="B4674" t="s">
        <v>567</v>
      </c>
      <c r="C4674" t="s">
        <v>698</v>
      </c>
      <c r="D4674">
        <v>2017</v>
      </c>
      <c r="E4674" s="2">
        <v>25</v>
      </c>
      <c r="F4674" s="2">
        <v>1400</v>
      </c>
      <c r="G4674" s="2"/>
    </row>
    <row r="4675" spans="1:8" x14ac:dyDescent="0.3">
      <c r="A4675" t="s">
        <v>1895</v>
      </c>
      <c r="B4675" t="s">
        <v>567</v>
      </c>
      <c r="C4675" t="s">
        <v>698</v>
      </c>
      <c r="D4675">
        <v>2018</v>
      </c>
      <c r="E4675" s="2">
        <v>25</v>
      </c>
      <c r="F4675" s="2">
        <v>1400</v>
      </c>
      <c r="G4675" s="2">
        <v>1470</v>
      </c>
    </row>
    <row r="4676" spans="1:8" x14ac:dyDescent="0.3">
      <c r="A4676" t="s">
        <v>1895</v>
      </c>
      <c r="B4676" t="s">
        <v>567</v>
      </c>
      <c r="C4676" t="s">
        <v>698</v>
      </c>
      <c r="D4676">
        <v>2020</v>
      </c>
      <c r="E4676" s="2">
        <v>25</v>
      </c>
      <c r="F4676" s="2">
        <v>1400</v>
      </c>
      <c r="G4676" s="2">
        <v>1470</v>
      </c>
    </row>
    <row r="4677" spans="1:8" x14ac:dyDescent="0.3">
      <c r="A4677" t="s">
        <v>1895</v>
      </c>
      <c r="B4677" t="s">
        <v>297</v>
      </c>
      <c r="C4677" t="s">
        <v>298</v>
      </c>
      <c r="D4677">
        <v>2011</v>
      </c>
      <c r="E4677" s="2">
        <v>25</v>
      </c>
      <c r="F4677" s="2">
        <v>1575</v>
      </c>
      <c r="G4677" s="2"/>
    </row>
    <row r="4678" spans="1:8" x14ac:dyDescent="0.3">
      <c r="A4678" t="s">
        <v>1895</v>
      </c>
      <c r="B4678" t="s">
        <v>297</v>
      </c>
      <c r="C4678" t="s">
        <v>298</v>
      </c>
      <c r="D4678">
        <v>2012</v>
      </c>
      <c r="E4678" s="2">
        <v>25</v>
      </c>
      <c r="F4678" s="2">
        <v>1575</v>
      </c>
      <c r="G4678" s="2"/>
    </row>
    <row r="4679" spans="1:8" x14ac:dyDescent="0.3">
      <c r="A4679" t="s">
        <v>1895</v>
      </c>
      <c r="B4679" t="s">
        <v>297</v>
      </c>
      <c r="C4679" t="s">
        <v>298</v>
      </c>
      <c r="D4679">
        <v>2019</v>
      </c>
      <c r="E4679" s="2">
        <v>25</v>
      </c>
      <c r="F4679" s="2">
        <v>1625</v>
      </c>
      <c r="G4679" s="2">
        <v>1706.25</v>
      </c>
    </row>
    <row r="4680" spans="1:8" x14ac:dyDescent="0.3">
      <c r="A4680" t="s">
        <v>1895</v>
      </c>
      <c r="B4680" t="s">
        <v>528</v>
      </c>
      <c r="C4680" t="s">
        <v>529</v>
      </c>
      <c r="D4680">
        <v>2012</v>
      </c>
      <c r="E4680" s="2">
        <v>25</v>
      </c>
      <c r="F4680" s="2">
        <v>1850</v>
      </c>
      <c r="G4680" s="2"/>
    </row>
    <row r="4681" spans="1:8" x14ac:dyDescent="0.3">
      <c r="A4681" t="s">
        <v>1895</v>
      </c>
      <c r="B4681" t="s">
        <v>41</v>
      </c>
      <c r="C4681" t="s">
        <v>42</v>
      </c>
      <c r="D4681">
        <v>2011</v>
      </c>
      <c r="E4681" s="2">
        <v>175</v>
      </c>
      <c r="F4681" s="2">
        <v>7500</v>
      </c>
      <c r="G4681" s="2"/>
    </row>
    <row r="4682" spans="1:8" x14ac:dyDescent="0.3">
      <c r="A4682" t="s">
        <v>1895</v>
      </c>
      <c r="B4682" t="s">
        <v>41</v>
      </c>
      <c r="C4682" t="s">
        <v>42</v>
      </c>
      <c r="D4682">
        <v>2012</v>
      </c>
      <c r="E4682" s="2">
        <v>150</v>
      </c>
      <c r="F4682" s="2">
        <v>7500</v>
      </c>
      <c r="G4682" s="2"/>
    </row>
    <row r="4683" spans="1:8" x14ac:dyDescent="0.3">
      <c r="A4683" t="s">
        <v>1895</v>
      </c>
      <c r="B4683" t="s">
        <v>41</v>
      </c>
      <c r="C4683" t="s">
        <v>42</v>
      </c>
      <c r="D4683">
        <v>2013</v>
      </c>
      <c r="E4683" s="2">
        <v>100</v>
      </c>
      <c r="F4683" s="2">
        <v>5300</v>
      </c>
      <c r="G4683" s="2"/>
    </row>
    <row r="4684" spans="1:8" x14ac:dyDescent="0.3">
      <c r="A4684" t="s">
        <v>1895</v>
      </c>
      <c r="B4684" t="s">
        <v>41</v>
      </c>
      <c r="C4684" t="s">
        <v>42</v>
      </c>
      <c r="D4684">
        <v>2014</v>
      </c>
      <c r="E4684" s="2">
        <v>150</v>
      </c>
      <c r="F4684" s="2">
        <v>7950</v>
      </c>
      <c r="G4684" s="2"/>
    </row>
    <row r="4685" spans="1:8" x14ac:dyDescent="0.3">
      <c r="A4685" t="s">
        <v>1895</v>
      </c>
      <c r="B4685" t="s">
        <v>41</v>
      </c>
      <c r="C4685" t="s">
        <v>42</v>
      </c>
      <c r="D4685">
        <v>2015</v>
      </c>
      <c r="E4685" s="2">
        <v>100</v>
      </c>
      <c r="F4685" s="2">
        <v>5300</v>
      </c>
      <c r="G4685" s="2"/>
    </row>
    <row r="4686" spans="1:8" x14ac:dyDescent="0.3">
      <c r="A4686" t="s">
        <v>1895</v>
      </c>
      <c r="B4686" t="s">
        <v>41</v>
      </c>
      <c r="C4686" t="s">
        <v>42</v>
      </c>
      <c r="D4686">
        <v>2016</v>
      </c>
      <c r="E4686" s="2">
        <v>25</v>
      </c>
      <c r="F4686" s="2">
        <v>1325</v>
      </c>
      <c r="G4686" s="2"/>
    </row>
    <row r="4687" spans="1:8" x14ac:dyDescent="0.3">
      <c r="A4687" t="s">
        <v>1895</v>
      </c>
      <c r="B4687" t="s">
        <v>467</v>
      </c>
      <c r="C4687" t="s">
        <v>468</v>
      </c>
      <c r="D4687">
        <v>2019</v>
      </c>
      <c r="E4687" s="2">
        <v>150</v>
      </c>
      <c r="F4687" s="2">
        <v>7950</v>
      </c>
      <c r="G4687" s="2">
        <v>8347.5</v>
      </c>
      <c r="H4687" s="3" t="s">
        <v>14</v>
      </c>
    </row>
    <row r="4688" spans="1:8" x14ac:dyDescent="0.3">
      <c r="A4688" t="s">
        <v>1895</v>
      </c>
      <c r="B4688" t="s">
        <v>467</v>
      </c>
      <c r="C4688" t="s">
        <v>468</v>
      </c>
      <c r="D4688">
        <v>2020</v>
      </c>
      <c r="E4688" s="2">
        <v>150</v>
      </c>
      <c r="F4688" s="2">
        <v>7950</v>
      </c>
      <c r="G4688" s="2">
        <v>8347.5</v>
      </c>
      <c r="H4688" s="3" t="s">
        <v>14</v>
      </c>
    </row>
    <row r="4689" spans="1:8" x14ac:dyDescent="0.3">
      <c r="A4689" t="s">
        <v>1895</v>
      </c>
      <c r="B4689" t="s">
        <v>467</v>
      </c>
      <c r="C4689" t="s">
        <v>468</v>
      </c>
      <c r="D4689">
        <v>2021</v>
      </c>
      <c r="E4689" s="2">
        <v>25</v>
      </c>
      <c r="F4689" s="2">
        <v>1325</v>
      </c>
      <c r="G4689" s="2">
        <v>1391.25</v>
      </c>
      <c r="H4689" s="3" t="s">
        <v>14</v>
      </c>
    </row>
    <row r="4690" spans="1:8" x14ac:dyDescent="0.3">
      <c r="A4690" t="s">
        <v>1895</v>
      </c>
      <c r="B4690" t="s">
        <v>575</v>
      </c>
      <c r="C4690" t="s">
        <v>673</v>
      </c>
      <c r="D4690">
        <v>2015</v>
      </c>
      <c r="E4690" s="2">
        <v>25</v>
      </c>
      <c r="F4690" s="2">
        <v>1700</v>
      </c>
      <c r="G4690" s="2"/>
    </row>
    <row r="4691" spans="1:8" x14ac:dyDescent="0.3">
      <c r="A4691" t="s">
        <v>1895</v>
      </c>
      <c r="B4691" t="s">
        <v>36</v>
      </c>
      <c r="D4691">
        <v>2018</v>
      </c>
      <c r="E4691" s="2">
        <v>13</v>
      </c>
      <c r="F4691" s="2">
        <v>1860</v>
      </c>
      <c r="G4691" s="2">
        <v>1953</v>
      </c>
    </row>
    <row r="4692" spans="1:8" x14ac:dyDescent="0.3">
      <c r="A4692" t="s">
        <v>1895</v>
      </c>
      <c r="B4692" t="s">
        <v>314</v>
      </c>
      <c r="C4692" t="s">
        <v>315</v>
      </c>
      <c r="D4692">
        <v>2011</v>
      </c>
      <c r="E4692" s="2">
        <v>25</v>
      </c>
      <c r="F4692" s="2">
        <v>1625</v>
      </c>
      <c r="G4692" s="2"/>
    </row>
    <row r="4693" spans="1:8" x14ac:dyDescent="0.3">
      <c r="A4693" t="s">
        <v>1895</v>
      </c>
      <c r="B4693" t="s">
        <v>314</v>
      </c>
      <c r="C4693" t="s">
        <v>315</v>
      </c>
      <c r="D4693">
        <v>2012</v>
      </c>
      <c r="E4693" s="2">
        <v>25</v>
      </c>
      <c r="F4693" s="2">
        <v>1625</v>
      </c>
      <c r="G4693" s="2"/>
    </row>
    <row r="4694" spans="1:8" x14ac:dyDescent="0.3">
      <c r="A4694" t="s">
        <v>1895</v>
      </c>
      <c r="B4694" t="s">
        <v>314</v>
      </c>
      <c r="C4694" t="s">
        <v>315</v>
      </c>
      <c r="D4694">
        <v>2014</v>
      </c>
      <c r="E4694" s="2">
        <v>25</v>
      </c>
      <c r="F4694" s="2">
        <v>1625</v>
      </c>
      <c r="G4694" s="2"/>
    </row>
    <row r="4695" spans="1:8" x14ac:dyDescent="0.3">
      <c r="A4695" t="s">
        <v>1895</v>
      </c>
      <c r="B4695" t="s">
        <v>314</v>
      </c>
      <c r="C4695" t="s">
        <v>315</v>
      </c>
      <c r="D4695">
        <v>2016</v>
      </c>
      <c r="E4695" s="2">
        <v>25</v>
      </c>
      <c r="F4695" s="2">
        <v>1625</v>
      </c>
      <c r="G4695" s="2"/>
    </row>
    <row r="4696" spans="1:8" x14ac:dyDescent="0.3">
      <c r="A4696" t="s">
        <v>1895</v>
      </c>
      <c r="B4696" t="s">
        <v>314</v>
      </c>
      <c r="C4696" t="s">
        <v>315</v>
      </c>
      <c r="D4696">
        <v>2017</v>
      </c>
      <c r="E4696" s="2">
        <v>25</v>
      </c>
      <c r="F4696" s="2">
        <v>1625</v>
      </c>
      <c r="G4696" s="2"/>
    </row>
    <row r="4697" spans="1:8" x14ac:dyDescent="0.3">
      <c r="A4697" t="s">
        <v>1895</v>
      </c>
      <c r="B4697" t="s">
        <v>46</v>
      </c>
      <c r="C4697" t="s">
        <v>47</v>
      </c>
      <c r="D4697">
        <v>2011</v>
      </c>
      <c r="E4697" s="2">
        <v>25</v>
      </c>
      <c r="F4697" s="2">
        <v>1375</v>
      </c>
      <c r="G4697" s="2"/>
    </row>
    <row r="4698" spans="1:8" x14ac:dyDescent="0.3">
      <c r="A4698" t="s">
        <v>1895</v>
      </c>
      <c r="B4698" t="s">
        <v>46</v>
      </c>
      <c r="C4698" t="s">
        <v>47</v>
      </c>
      <c r="D4698">
        <v>2012</v>
      </c>
      <c r="E4698" s="2">
        <v>25</v>
      </c>
      <c r="F4698" s="2">
        <v>1375</v>
      </c>
      <c r="G4698" s="2"/>
    </row>
    <row r="4699" spans="1:8" x14ac:dyDescent="0.3">
      <c r="A4699" t="s">
        <v>1895</v>
      </c>
      <c r="B4699" t="s">
        <v>46</v>
      </c>
      <c r="C4699" t="s">
        <v>47</v>
      </c>
      <c r="D4699">
        <v>2014</v>
      </c>
      <c r="E4699" s="2">
        <v>50</v>
      </c>
      <c r="F4699" s="2">
        <v>2750</v>
      </c>
      <c r="G4699" s="2"/>
    </row>
    <row r="4700" spans="1:8" x14ac:dyDescent="0.3">
      <c r="A4700" t="s">
        <v>1895</v>
      </c>
      <c r="B4700" t="s">
        <v>883</v>
      </c>
      <c r="C4700" t="s">
        <v>780</v>
      </c>
      <c r="D4700">
        <v>2012</v>
      </c>
      <c r="E4700" s="2">
        <v>50</v>
      </c>
      <c r="F4700" s="2">
        <v>3450</v>
      </c>
      <c r="G4700" s="2"/>
    </row>
    <row r="4701" spans="1:8" x14ac:dyDescent="0.3">
      <c r="A4701" t="s">
        <v>1895</v>
      </c>
      <c r="B4701" t="s">
        <v>883</v>
      </c>
      <c r="C4701" t="s">
        <v>780</v>
      </c>
      <c r="D4701">
        <v>2014</v>
      </c>
      <c r="E4701" s="2">
        <v>50</v>
      </c>
      <c r="F4701" s="2">
        <v>3450</v>
      </c>
      <c r="G4701" s="2"/>
    </row>
    <row r="4702" spans="1:8" x14ac:dyDescent="0.3">
      <c r="A4702" t="s">
        <v>1895</v>
      </c>
      <c r="B4702" t="s">
        <v>37</v>
      </c>
      <c r="D4702">
        <v>2019</v>
      </c>
      <c r="E4702" s="2">
        <v>15</v>
      </c>
      <c r="F4702" s="2">
        <v>1050</v>
      </c>
      <c r="G4702" s="2">
        <v>1102.5</v>
      </c>
    </row>
    <row r="4703" spans="1:8" x14ac:dyDescent="0.3">
      <c r="A4703" t="s">
        <v>1895</v>
      </c>
      <c r="B4703" t="s">
        <v>37</v>
      </c>
      <c r="D4703">
        <v>2020</v>
      </c>
      <c r="E4703" s="2">
        <v>10</v>
      </c>
      <c r="F4703" s="2">
        <v>700</v>
      </c>
      <c r="G4703" s="2">
        <v>735</v>
      </c>
    </row>
    <row r="4704" spans="1:8" x14ac:dyDescent="0.3">
      <c r="A4704" t="s">
        <v>1898</v>
      </c>
      <c r="B4704" t="s">
        <v>1899</v>
      </c>
      <c r="C4704" t="s">
        <v>592</v>
      </c>
      <c r="D4704">
        <v>2018</v>
      </c>
      <c r="E4704" s="2">
        <v>10</v>
      </c>
      <c r="F4704" s="2">
        <v>2200</v>
      </c>
      <c r="G4704" s="2">
        <v>2310</v>
      </c>
    </row>
    <row r="4705" spans="1:7" x14ac:dyDescent="0.3">
      <c r="A4705" t="s">
        <v>1898</v>
      </c>
      <c r="B4705" t="s">
        <v>1900</v>
      </c>
      <c r="D4705">
        <v>2017</v>
      </c>
      <c r="E4705" s="2">
        <v>10</v>
      </c>
      <c r="F4705" s="2">
        <v>1400</v>
      </c>
      <c r="G4705" s="2"/>
    </row>
    <row r="4706" spans="1:7" x14ac:dyDescent="0.3">
      <c r="A4706" t="s">
        <v>1898</v>
      </c>
      <c r="B4706" t="s">
        <v>398</v>
      </c>
      <c r="C4706" t="s">
        <v>399</v>
      </c>
      <c r="D4706">
        <v>2016</v>
      </c>
      <c r="E4706" s="2">
        <v>10</v>
      </c>
      <c r="F4706" s="2">
        <v>1350</v>
      </c>
      <c r="G4706" s="2"/>
    </row>
    <row r="4707" spans="1:7" x14ac:dyDescent="0.3">
      <c r="A4707" t="s">
        <v>1898</v>
      </c>
      <c r="B4707" t="s">
        <v>103</v>
      </c>
      <c r="C4707" t="s">
        <v>104</v>
      </c>
      <c r="D4707">
        <v>2016</v>
      </c>
      <c r="E4707" s="2">
        <v>30</v>
      </c>
      <c r="F4707" s="2">
        <v>6950</v>
      </c>
      <c r="G4707" s="2"/>
    </row>
    <row r="4708" spans="1:7" x14ac:dyDescent="0.3">
      <c r="A4708" t="s">
        <v>1898</v>
      </c>
      <c r="B4708" t="s">
        <v>103</v>
      </c>
      <c r="C4708" t="s">
        <v>104</v>
      </c>
      <c r="D4708">
        <v>2018</v>
      </c>
      <c r="E4708" s="2">
        <v>5</v>
      </c>
      <c r="F4708" s="2">
        <v>1200</v>
      </c>
      <c r="G4708" s="2">
        <v>1260</v>
      </c>
    </row>
    <row r="4709" spans="1:7" x14ac:dyDescent="0.3">
      <c r="A4709" t="s">
        <v>1898</v>
      </c>
      <c r="B4709" t="s">
        <v>103</v>
      </c>
      <c r="C4709" t="s">
        <v>104</v>
      </c>
      <c r="D4709">
        <v>2019</v>
      </c>
      <c r="E4709" s="2">
        <v>10</v>
      </c>
      <c r="F4709" s="2">
        <v>2400</v>
      </c>
      <c r="G4709" s="2">
        <v>2520</v>
      </c>
    </row>
    <row r="4710" spans="1:7" x14ac:dyDescent="0.3">
      <c r="A4710" t="s">
        <v>1898</v>
      </c>
      <c r="B4710" t="s">
        <v>297</v>
      </c>
      <c r="C4710" t="s">
        <v>298</v>
      </c>
      <c r="D4710">
        <v>2018</v>
      </c>
      <c r="E4710" s="2">
        <v>10</v>
      </c>
      <c r="F4710" s="2">
        <v>1000</v>
      </c>
      <c r="G4710" s="2">
        <v>1050</v>
      </c>
    </row>
    <row r="4711" spans="1:7" x14ac:dyDescent="0.3">
      <c r="A4711" t="s">
        <v>1898</v>
      </c>
      <c r="B4711" t="s">
        <v>108</v>
      </c>
      <c r="C4711" t="s">
        <v>109</v>
      </c>
      <c r="D4711">
        <v>2018</v>
      </c>
      <c r="E4711" s="2">
        <v>5</v>
      </c>
      <c r="F4711" s="2">
        <v>1200</v>
      </c>
      <c r="G4711" s="2">
        <v>1260</v>
      </c>
    </row>
    <row r="4712" spans="1:7" x14ac:dyDescent="0.3">
      <c r="A4712" t="s">
        <v>1898</v>
      </c>
      <c r="B4712" t="s">
        <v>64</v>
      </c>
      <c r="C4712" t="s">
        <v>65</v>
      </c>
      <c r="D4712">
        <v>2016</v>
      </c>
      <c r="E4712" s="2">
        <v>5</v>
      </c>
      <c r="F4712" s="2">
        <v>700</v>
      </c>
      <c r="G4712" s="2"/>
    </row>
    <row r="4713" spans="1:7" x14ac:dyDescent="0.3">
      <c r="A4713" t="s">
        <v>1898</v>
      </c>
      <c r="B4713" t="s">
        <v>64</v>
      </c>
      <c r="C4713" t="s">
        <v>65</v>
      </c>
      <c r="D4713">
        <v>2017</v>
      </c>
      <c r="E4713" s="2">
        <v>10</v>
      </c>
      <c r="F4713" s="2">
        <v>1400</v>
      </c>
      <c r="G4713" s="2"/>
    </row>
    <row r="4714" spans="1:7" x14ac:dyDescent="0.3">
      <c r="A4714" t="s">
        <v>1898</v>
      </c>
      <c r="B4714" t="s">
        <v>120</v>
      </c>
      <c r="C4714" t="s">
        <v>121</v>
      </c>
      <c r="D4714">
        <v>2016</v>
      </c>
      <c r="E4714" s="2">
        <v>15</v>
      </c>
      <c r="F4714" s="2">
        <v>3100</v>
      </c>
      <c r="G4714" s="2"/>
    </row>
    <row r="4715" spans="1:7" x14ac:dyDescent="0.3">
      <c r="A4715" t="s">
        <v>1898</v>
      </c>
      <c r="B4715" t="s">
        <v>120</v>
      </c>
      <c r="C4715" t="s">
        <v>121</v>
      </c>
      <c r="D4715">
        <v>2017</v>
      </c>
      <c r="E4715" s="2">
        <v>25</v>
      </c>
      <c r="F4715" s="2">
        <v>5500</v>
      </c>
      <c r="G4715" s="2"/>
    </row>
    <row r="4716" spans="1:7" x14ac:dyDescent="0.3">
      <c r="A4716" t="s">
        <v>1898</v>
      </c>
      <c r="B4716" t="s">
        <v>575</v>
      </c>
      <c r="C4716" t="s">
        <v>673</v>
      </c>
      <c r="D4716">
        <v>2017</v>
      </c>
      <c r="E4716" s="2">
        <v>5</v>
      </c>
      <c r="F4716" s="2">
        <v>800</v>
      </c>
      <c r="G4716" s="2"/>
    </row>
    <row r="4717" spans="1:7" x14ac:dyDescent="0.3">
      <c r="A4717" t="s">
        <v>1898</v>
      </c>
      <c r="B4717" t="s">
        <v>518</v>
      </c>
      <c r="C4717" t="s">
        <v>519</v>
      </c>
      <c r="D4717">
        <v>2018</v>
      </c>
      <c r="E4717" s="2">
        <v>5</v>
      </c>
      <c r="F4717" s="2">
        <v>800</v>
      </c>
      <c r="G4717" s="2">
        <v>840</v>
      </c>
    </row>
    <row r="4718" spans="1:7" x14ac:dyDescent="0.3">
      <c r="A4718" t="s">
        <v>1898</v>
      </c>
      <c r="B4718" t="s">
        <v>318</v>
      </c>
      <c r="C4718" t="s">
        <v>319</v>
      </c>
      <c r="D4718">
        <v>2016</v>
      </c>
      <c r="E4718" s="2">
        <v>5</v>
      </c>
      <c r="F4718" s="2">
        <v>1100</v>
      </c>
      <c r="G4718" s="2"/>
    </row>
    <row r="4719" spans="1:7" x14ac:dyDescent="0.3">
      <c r="A4719" t="s">
        <v>1898</v>
      </c>
      <c r="B4719" t="s">
        <v>318</v>
      </c>
      <c r="C4719" t="s">
        <v>319</v>
      </c>
      <c r="D4719">
        <v>2017</v>
      </c>
      <c r="E4719" s="2">
        <v>10</v>
      </c>
      <c r="F4719" s="2">
        <v>2200</v>
      </c>
      <c r="G4719" s="2"/>
    </row>
    <row r="4720" spans="1:7" x14ac:dyDescent="0.3">
      <c r="A4720" t="s">
        <v>1898</v>
      </c>
      <c r="B4720" t="s">
        <v>74</v>
      </c>
      <c r="C4720" t="s">
        <v>75</v>
      </c>
      <c r="D4720">
        <v>2018</v>
      </c>
      <c r="E4720" s="2">
        <v>20</v>
      </c>
      <c r="F4720" s="2">
        <v>3650</v>
      </c>
      <c r="G4720" s="2">
        <v>3832.5</v>
      </c>
    </row>
    <row r="4721" spans="1:8" x14ac:dyDescent="0.3">
      <c r="A4721" t="s">
        <v>1898</v>
      </c>
      <c r="B4721" t="s">
        <v>46</v>
      </c>
      <c r="C4721" t="s">
        <v>47</v>
      </c>
      <c r="D4721">
        <v>2016</v>
      </c>
      <c r="E4721" s="2">
        <v>15</v>
      </c>
      <c r="F4721" s="2">
        <v>1650</v>
      </c>
      <c r="G4721" s="2"/>
    </row>
    <row r="4722" spans="1:8" x14ac:dyDescent="0.3">
      <c r="A4722" t="s">
        <v>1898</v>
      </c>
      <c r="B4722" t="s">
        <v>46</v>
      </c>
      <c r="C4722" t="s">
        <v>47</v>
      </c>
      <c r="D4722">
        <v>2017</v>
      </c>
      <c r="E4722" s="2">
        <v>25</v>
      </c>
      <c r="F4722" s="2">
        <v>2750</v>
      </c>
      <c r="G4722" s="2"/>
    </row>
    <row r="4723" spans="1:8" x14ac:dyDescent="0.3">
      <c r="A4723" t="s">
        <v>1898</v>
      </c>
      <c r="B4723" t="s">
        <v>238</v>
      </c>
      <c r="C4723" t="s">
        <v>222</v>
      </c>
      <c r="D4723">
        <v>2016</v>
      </c>
      <c r="E4723" s="2">
        <v>5</v>
      </c>
      <c r="F4723" s="2">
        <v>1100</v>
      </c>
      <c r="G4723" s="2"/>
    </row>
    <row r="4724" spans="1:8" x14ac:dyDescent="0.3">
      <c r="A4724" t="s">
        <v>1898</v>
      </c>
      <c r="B4724" t="s">
        <v>238</v>
      </c>
      <c r="C4724" t="s">
        <v>222</v>
      </c>
      <c r="D4724">
        <v>2017</v>
      </c>
      <c r="E4724" s="2">
        <v>5</v>
      </c>
      <c r="F4724" s="2">
        <v>1100</v>
      </c>
      <c r="G4724" s="2"/>
    </row>
    <row r="4725" spans="1:8" x14ac:dyDescent="0.3">
      <c r="A4725" t="s">
        <v>1898</v>
      </c>
      <c r="B4725" t="s">
        <v>238</v>
      </c>
      <c r="C4725" t="s">
        <v>222</v>
      </c>
      <c r="D4725">
        <v>2018</v>
      </c>
      <c r="E4725" s="2">
        <v>5</v>
      </c>
      <c r="F4725" s="2">
        <v>1100</v>
      </c>
      <c r="G4725" s="2">
        <v>1155</v>
      </c>
    </row>
    <row r="4726" spans="1:8" x14ac:dyDescent="0.3">
      <c r="A4726" t="s">
        <v>1901</v>
      </c>
      <c r="B4726" t="s">
        <v>1093</v>
      </c>
      <c r="C4726" t="s">
        <v>169</v>
      </c>
      <c r="D4726">
        <v>2017</v>
      </c>
      <c r="E4726" s="2">
        <v>5</v>
      </c>
      <c r="F4726" s="2">
        <v>1250</v>
      </c>
      <c r="G4726" s="2"/>
    </row>
    <row r="4727" spans="1:8" x14ac:dyDescent="0.3">
      <c r="A4727" t="s">
        <v>1901</v>
      </c>
      <c r="B4727" t="s">
        <v>1093</v>
      </c>
      <c r="C4727" t="s">
        <v>169</v>
      </c>
      <c r="D4727">
        <v>2018</v>
      </c>
      <c r="E4727" s="2">
        <v>5</v>
      </c>
      <c r="F4727" s="2">
        <v>1250</v>
      </c>
      <c r="G4727" s="2">
        <v>1312.5</v>
      </c>
    </row>
    <row r="4728" spans="1:8" x14ac:dyDescent="0.3">
      <c r="A4728" t="s">
        <v>1901</v>
      </c>
      <c r="B4728" t="s">
        <v>1902</v>
      </c>
      <c r="D4728">
        <v>2017</v>
      </c>
      <c r="E4728" s="2">
        <v>10</v>
      </c>
      <c r="F4728" s="2">
        <v>2000</v>
      </c>
      <c r="G4728" s="2"/>
    </row>
    <row r="4729" spans="1:8" x14ac:dyDescent="0.3">
      <c r="A4729" t="s">
        <v>1901</v>
      </c>
      <c r="B4729" t="s">
        <v>84</v>
      </c>
      <c r="C4729" t="s">
        <v>85</v>
      </c>
      <c r="D4729">
        <v>2017</v>
      </c>
      <c r="E4729" s="2">
        <v>5</v>
      </c>
      <c r="F4729" s="2">
        <v>1000</v>
      </c>
      <c r="G4729" s="2"/>
      <c r="H4729" s="3" t="s">
        <v>18</v>
      </c>
    </row>
    <row r="4730" spans="1:8" x14ac:dyDescent="0.3">
      <c r="A4730" t="s">
        <v>1901</v>
      </c>
      <c r="B4730" t="s">
        <v>84</v>
      </c>
      <c r="C4730" t="s">
        <v>85</v>
      </c>
      <c r="D4730">
        <v>2018</v>
      </c>
      <c r="E4730" s="2">
        <v>5</v>
      </c>
      <c r="F4730" s="2">
        <v>1000</v>
      </c>
      <c r="G4730" s="2">
        <v>1050</v>
      </c>
      <c r="H4730" s="3" t="s">
        <v>18</v>
      </c>
    </row>
    <row r="4731" spans="1:8" x14ac:dyDescent="0.3">
      <c r="A4731" t="s">
        <v>1901</v>
      </c>
      <c r="B4731" t="s">
        <v>84</v>
      </c>
      <c r="C4731" t="s">
        <v>85</v>
      </c>
      <c r="D4731">
        <v>2019</v>
      </c>
      <c r="E4731" s="2">
        <v>4</v>
      </c>
      <c r="F4731" s="2">
        <v>800</v>
      </c>
      <c r="G4731" s="2">
        <v>840</v>
      </c>
      <c r="H4731" s="3" t="s">
        <v>18</v>
      </c>
    </row>
    <row r="4732" spans="1:8" x14ac:dyDescent="0.3">
      <c r="A4732" t="s">
        <v>1901</v>
      </c>
      <c r="B4732" t="s">
        <v>84</v>
      </c>
      <c r="C4732" t="s">
        <v>85</v>
      </c>
      <c r="D4732">
        <v>2020</v>
      </c>
      <c r="E4732" s="2">
        <v>6</v>
      </c>
      <c r="F4732" s="2">
        <v>1200</v>
      </c>
      <c r="G4732" s="2">
        <v>1260</v>
      </c>
      <c r="H4732" s="3" t="s">
        <v>18</v>
      </c>
    </row>
    <row r="4733" spans="1:8" x14ac:dyDescent="0.3">
      <c r="A4733" t="s">
        <v>1901</v>
      </c>
      <c r="B4733" t="s">
        <v>84</v>
      </c>
      <c r="C4733" t="s">
        <v>85</v>
      </c>
      <c r="D4733">
        <v>2021</v>
      </c>
      <c r="E4733" s="2">
        <v>1</v>
      </c>
      <c r="F4733" s="2">
        <v>200</v>
      </c>
      <c r="G4733" s="2">
        <v>210</v>
      </c>
      <c r="H4733" s="3" t="s">
        <v>18</v>
      </c>
    </row>
    <row r="4734" spans="1:8" x14ac:dyDescent="0.3">
      <c r="A4734" t="s">
        <v>1901</v>
      </c>
      <c r="B4734" t="s">
        <v>34</v>
      </c>
      <c r="D4734">
        <v>2017</v>
      </c>
      <c r="E4734" s="2">
        <v>10</v>
      </c>
      <c r="F4734" s="2">
        <v>1400</v>
      </c>
      <c r="G4734" s="2"/>
    </row>
    <row r="4735" spans="1:8" x14ac:dyDescent="0.3">
      <c r="A4735" t="s">
        <v>1901</v>
      </c>
      <c r="B4735" t="s">
        <v>453</v>
      </c>
      <c r="D4735">
        <v>2017</v>
      </c>
      <c r="E4735" s="2">
        <v>10</v>
      </c>
      <c r="F4735" s="2">
        <v>1500</v>
      </c>
      <c r="G4735" s="2"/>
    </row>
    <row r="4736" spans="1:8" x14ac:dyDescent="0.3">
      <c r="A4736" t="s">
        <v>1901</v>
      </c>
      <c r="B4736" t="s">
        <v>506</v>
      </c>
      <c r="C4736" t="s">
        <v>507</v>
      </c>
      <c r="D4736">
        <v>2019</v>
      </c>
      <c r="E4736" s="2">
        <v>2</v>
      </c>
      <c r="F4736" s="2">
        <v>360</v>
      </c>
      <c r="G4736" s="2">
        <v>378</v>
      </c>
      <c r="H4736" s="3" t="s">
        <v>374</v>
      </c>
    </row>
    <row r="4737" spans="1:8" x14ac:dyDescent="0.3">
      <c r="A4737" t="s">
        <v>1901</v>
      </c>
      <c r="B4737" t="s">
        <v>506</v>
      </c>
      <c r="C4737" t="s">
        <v>507</v>
      </c>
      <c r="D4737">
        <v>2020</v>
      </c>
      <c r="E4737" s="2">
        <v>6</v>
      </c>
      <c r="F4737" s="2">
        <v>1080</v>
      </c>
      <c r="G4737" s="2">
        <v>1134</v>
      </c>
      <c r="H4737" s="3" t="s">
        <v>374</v>
      </c>
    </row>
    <row r="4738" spans="1:8" x14ac:dyDescent="0.3">
      <c r="A4738" t="s">
        <v>1901</v>
      </c>
      <c r="B4738" t="s">
        <v>506</v>
      </c>
      <c r="C4738" t="s">
        <v>507</v>
      </c>
      <c r="D4738">
        <v>2021</v>
      </c>
      <c r="E4738" s="2">
        <v>2</v>
      </c>
      <c r="F4738" s="2">
        <v>360</v>
      </c>
      <c r="G4738" s="2">
        <v>378</v>
      </c>
      <c r="H4738" s="3" t="s">
        <v>374</v>
      </c>
    </row>
    <row r="4739" spans="1:8" x14ac:dyDescent="0.3">
      <c r="A4739" t="s">
        <v>1901</v>
      </c>
      <c r="B4739" t="s">
        <v>942</v>
      </c>
      <c r="C4739" t="s">
        <v>943</v>
      </c>
      <c r="D4739">
        <v>2015</v>
      </c>
      <c r="E4739" s="2">
        <v>3</v>
      </c>
      <c r="F4739" s="2">
        <v>360</v>
      </c>
      <c r="G4739" s="2"/>
    </row>
    <row r="4740" spans="1:8" x14ac:dyDescent="0.3">
      <c r="A4740" t="s">
        <v>1901</v>
      </c>
      <c r="B4740" t="s">
        <v>942</v>
      </c>
      <c r="C4740" t="s">
        <v>943</v>
      </c>
      <c r="D4740">
        <v>2017</v>
      </c>
      <c r="E4740" s="2">
        <v>5</v>
      </c>
      <c r="F4740" s="2">
        <v>600</v>
      </c>
      <c r="G4740" s="2"/>
    </row>
    <row r="4741" spans="1:8" x14ac:dyDescent="0.3">
      <c r="A4741" t="s">
        <v>1901</v>
      </c>
      <c r="B4741" t="s">
        <v>1903</v>
      </c>
      <c r="D4741">
        <v>2016</v>
      </c>
      <c r="E4741" s="2">
        <v>5</v>
      </c>
      <c r="F4741" s="2">
        <v>650</v>
      </c>
      <c r="G4741" s="2"/>
    </row>
    <row r="4742" spans="1:8" x14ac:dyDescent="0.3">
      <c r="A4742" t="s">
        <v>1901</v>
      </c>
      <c r="B4742" t="s">
        <v>19</v>
      </c>
      <c r="C4742" t="s">
        <v>20</v>
      </c>
      <c r="D4742">
        <v>2015</v>
      </c>
      <c r="E4742" s="2">
        <v>4</v>
      </c>
      <c r="F4742" s="2">
        <v>600</v>
      </c>
      <c r="G4742" s="2"/>
      <c r="H4742" s="3" t="s">
        <v>18</v>
      </c>
    </row>
    <row r="4743" spans="1:8" x14ac:dyDescent="0.3">
      <c r="A4743" t="s">
        <v>1901</v>
      </c>
      <c r="B4743" t="s">
        <v>19</v>
      </c>
      <c r="C4743" t="s">
        <v>20</v>
      </c>
      <c r="D4743">
        <v>2016</v>
      </c>
      <c r="E4743" s="2">
        <v>10</v>
      </c>
      <c r="F4743" s="2">
        <v>1500</v>
      </c>
      <c r="G4743" s="2"/>
      <c r="H4743" s="3" t="s">
        <v>18</v>
      </c>
    </row>
    <row r="4744" spans="1:8" x14ac:dyDescent="0.3">
      <c r="A4744" t="s">
        <v>1901</v>
      </c>
      <c r="B4744" t="s">
        <v>19</v>
      </c>
      <c r="C4744" t="s">
        <v>20</v>
      </c>
      <c r="D4744">
        <v>2018</v>
      </c>
      <c r="E4744" s="2">
        <v>5</v>
      </c>
      <c r="F4744" s="2">
        <v>750</v>
      </c>
      <c r="G4744" s="2">
        <v>787.5</v>
      </c>
      <c r="H4744" s="3" t="s">
        <v>18</v>
      </c>
    </row>
    <row r="4745" spans="1:8" x14ac:dyDescent="0.3">
      <c r="A4745" t="s">
        <v>1901</v>
      </c>
      <c r="B4745" t="s">
        <v>19</v>
      </c>
      <c r="C4745" t="s">
        <v>20</v>
      </c>
      <c r="D4745">
        <v>2019</v>
      </c>
      <c r="E4745" s="2">
        <v>5</v>
      </c>
      <c r="F4745" s="2">
        <v>750</v>
      </c>
      <c r="G4745" s="2">
        <v>787.5</v>
      </c>
      <c r="H4745" s="3" t="s">
        <v>18</v>
      </c>
    </row>
    <row r="4746" spans="1:8" x14ac:dyDescent="0.3">
      <c r="A4746" t="s">
        <v>1901</v>
      </c>
      <c r="B4746" t="s">
        <v>19</v>
      </c>
      <c r="C4746" t="s">
        <v>20</v>
      </c>
      <c r="D4746">
        <v>2020</v>
      </c>
      <c r="E4746" s="2">
        <v>15</v>
      </c>
      <c r="F4746" s="2">
        <v>2250</v>
      </c>
      <c r="G4746" s="2">
        <v>2362.5</v>
      </c>
      <c r="H4746" s="3" t="s">
        <v>18</v>
      </c>
    </row>
    <row r="4747" spans="1:8" x14ac:dyDescent="0.3">
      <c r="A4747" t="s">
        <v>1901</v>
      </c>
      <c r="B4747" t="s">
        <v>19</v>
      </c>
      <c r="C4747" t="s">
        <v>20</v>
      </c>
      <c r="D4747">
        <v>2021</v>
      </c>
      <c r="E4747" s="2">
        <v>9</v>
      </c>
      <c r="F4747" s="2">
        <v>1350</v>
      </c>
      <c r="G4747" s="2">
        <v>1417.5</v>
      </c>
      <c r="H4747" s="3" t="s">
        <v>18</v>
      </c>
    </row>
    <row r="4748" spans="1:8" x14ac:dyDescent="0.3">
      <c r="A4748" t="s">
        <v>1901</v>
      </c>
      <c r="B4748" t="s">
        <v>114</v>
      </c>
      <c r="C4748" t="s">
        <v>115</v>
      </c>
      <c r="D4748">
        <v>2020</v>
      </c>
      <c r="E4748" s="2">
        <v>5</v>
      </c>
      <c r="F4748" s="2">
        <v>425</v>
      </c>
      <c r="G4748" s="2">
        <v>446.25</v>
      </c>
      <c r="H4748" s="3" t="s">
        <v>18</v>
      </c>
    </row>
    <row r="4749" spans="1:8" x14ac:dyDescent="0.3">
      <c r="A4749" t="s">
        <v>1901</v>
      </c>
      <c r="B4749" t="s">
        <v>114</v>
      </c>
      <c r="C4749" t="s">
        <v>115</v>
      </c>
      <c r="D4749">
        <v>2021</v>
      </c>
      <c r="E4749" s="2">
        <v>5</v>
      </c>
      <c r="F4749" s="2">
        <v>425</v>
      </c>
      <c r="G4749" s="2">
        <v>446.25</v>
      </c>
      <c r="H4749" s="3" t="s">
        <v>18</v>
      </c>
    </row>
    <row r="4750" spans="1:8" x14ac:dyDescent="0.3">
      <c r="A4750" t="s">
        <v>1901</v>
      </c>
      <c r="B4750" t="s">
        <v>117</v>
      </c>
      <c r="C4750" t="s">
        <v>118</v>
      </c>
      <c r="D4750">
        <v>2019</v>
      </c>
      <c r="E4750" s="2">
        <v>2</v>
      </c>
      <c r="F4750" s="2">
        <v>420</v>
      </c>
      <c r="G4750" s="2">
        <v>441</v>
      </c>
    </row>
    <row r="4751" spans="1:8" x14ac:dyDescent="0.3">
      <c r="A4751" t="s">
        <v>1901</v>
      </c>
      <c r="B4751" t="s">
        <v>187</v>
      </c>
      <c r="C4751" t="s">
        <v>188</v>
      </c>
      <c r="D4751">
        <v>2017</v>
      </c>
      <c r="E4751" s="2">
        <v>5</v>
      </c>
      <c r="F4751" s="2">
        <v>650</v>
      </c>
      <c r="G4751" s="2"/>
    </row>
    <row r="4752" spans="1:8" x14ac:dyDescent="0.3">
      <c r="A4752" t="s">
        <v>1901</v>
      </c>
      <c r="B4752" t="s">
        <v>68</v>
      </c>
      <c r="C4752" t="s">
        <v>69</v>
      </c>
      <c r="D4752">
        <v>2020</v>
      </c>
      <c r="E4752" s="2">
        <v>3</v>
      </c>
      <c r="F4752" s="2">
        <v>225</v>
      </c>
      <c r="G4752" s="2">
        <v>236.25</v>
      </c>
      <c r="H4752" s="3" t="s">
        <v>374</v>
      </c>
    </row>
    <row r="4753" spans="1:8" x14ac:dyDescent="0.3">
      <c r="A4753" t="s">
        <v>1901</v>
      </c>
      <c r="B4753" t="s">
        <v>68</v>
      </c>
      <c r="C4753" t="s">
        <v>69</v>
      </c>
      <c r="D4753">
        <v>2021</v>
      </c>
      <c r="E4753" s="2">
        <v>1</v>
      </c>
      <c r="F4753" s="2">
        <v>75</v>
      </c>
      <c r="G4753" s="2">
        <v>78.75</v>
      </c>
      <c r="H4753" s="3" t="s">
        <v>374</v>
      </c>
    </row>
    <row r="4754" spans="1:8" x14ac:dyDescent="0.3">
      <c r="A4754" t="s">
        <v>1901</v>
      </c>
      <c r="B4754" t="s">
        <v>1666</v>
      </c>
      <c r="C4754" t="s">
        <v>1667</v>
      </c>
      <c r="D4754">
        <v>2020</v>
      </c>
      <c r="E4754" s="2">
        <v>6</v>
      </c>
      <c r="F4754" s="2">
        <v>510</v>
      </c>
      <c r="G4754" s="2">
        <v>535.5</v>
      </c>
      <c r="H4754" s="3" t="s">
        <v>14</v>
      </c>
    </row>
    <row r="4755" spans="1:8" x14ac:dyDescent="0.3">
      <c r="A4755" t="s">
        <v>1901</v>
      </c>
      <c r="B4755" t="s">
        <v>1666</v>
      </c>
      <c r="C4755" t="s">
        <v>1667</v>
      </c>
      <c r="D4755">
        <v>2021</v>
      </c>
      <c r="E4755" s="2">
        <v>5</v>
      </c>
      <c r="F4755" s="2">
        <v>425</v>
      </c>
      <c r="G4755" s="2">
        <v>446.25</v>
      </c>
      <c r="H4755" s="3" t="s">
        <v>14</v>
      </c>
    </row>
    <row r="4756" spans="1:8" x14ac:dyDescent="0.3">
      <c r="A4756" t="s">
        <v>1901</v>
      </c>
      <c r="B4756" t="s">
        <v>473</v>
      </c>
      <c r="C4756" t="s">
        <v>747</v>
      </c>
      <c r="D4756">
        <v>2015</v>
      </c>
      <c r="E4756" s="2">
        <v>4</v>
      </c>
      <c r="F4756" s="2">
        <v>400</v>
      </c>
      <c r="G4756" s="2"/>
    </row>
    <row r="4757" spans="1:8" x14ac:dyDescent="0.3">
      <c r="A4757" t="s">
        <v>1901</v>
      </c>
      <c r="B4757" t="s">
        <v>1452</v>
      </c>
      <c r="C4757" t="s">
        <v>1453</v>
      </c>
      <c r="D4757">
        <v>2017</v>
      </c>
      <c r="E4757" s="2">
        <v>5</v>
      </c>
      <c r="F4757" s="2">
        <v>500</v>
      </c>
      <c r="G4757" s="2"/>
    </row>
    <row r="4758" spans="1:8" x14ac:dyDescent="0.3">
      <c r="A4758" t="s">
        <v>1901</v>
      </c>
      <c r="B4758" t="s">
        <v>36</v>
      </c>
      <c r="D4758">
        <v>2017</v>
      </c>
      <c r="E4758" s="2">
        <v>10</v>
      </c>
      <c r="F4758" s="2">
        <v>1500</v>
      </c>
      <c r="G4758" s="2"/>
    </row>
    <row r="4759" spans="1:8" x14ac:dyDescent="0.3">
      <c r="A4759" t="s">
        <v>1901</v>
      </c>
      <c r="B4759" t="s">
        <v>314</v>
      </c>
      <c r="C4759" t="s">
        <v>315</v>
      </c>
      <c r="D4759">
        <v>2017</v>
      </c>
      <c r="E4759" s="2">
        <v>5</v>
      </c>
      <c r="F4759" s="2">
        <v>650</v>
      </c>
      <c r="G4759" s="2"/>
    </row>
    <row r="4760" spans="1:8" x14ac:dyDescent="0.3">
      <c r="A4760" t="s">
        <v>1901</v>
      </c>
      <c r="B4760" t="s">
        <v>674</v>
      </c>
      <c r="C4760" t="s">
        <v>675</v>
      </c>
      <c r="D4760">
        <v>2020</v>
      </c>
      <c r="E4760" s="2">
        <v>2</v>
      </c>
      <c r="F4760" s="2">
        <v>260</v>
      </c>
      <c r="G4760" s="2">
        <v>273</v>
      </c>
    </row>
    <row r="4761" spans="1:8" x14ac:dyDescent="0.3">
      <c r="A4761" t="s">
        <v>1901</v>
      </c>
      <c r="B4761" t="s">
        <v>1167</v>
      </c>
      <c r="C4761" t="s">
        <v>102</v>
      </c>
      <c r="D4761">
        <v>2020</v>
      </c>
      <c r="E4761" s="2">
        <v>9</v>
      </c>
      <c r="F4761" s="2">
        <v>1710</v>
      </c>
      <c r="G4761" s="2">
        <v>1795.5</v>
      </c>
      <c r="H4761" s="3" t="s">
        <v>442</v>
      </c>
    </row>
    <row r="4762" spans="1:8" x14ac:dyDescent="0.3">
      <c r="A4762" t="s">
        <v>1901</v>
      </c>
      <c r="B4762" t="s">
        <v>1167</v>
      </c>
      <c r="C4762" t="s">
        <v>102</v>
      </c>
      <c r="D4762">
        <v>2021</v>
      </c>
      <c r="E4762" s="2">
        <v>5</v>
      </c>
      <c r="F4762" s="2">
        <v>950</v>
      </c>
      <c r="G4762" s="2">
        <v>997.5</v>
      </c>
      <c r="H4762" s="3" t="s">
        <v>442</v>
      </c>
    </row>
    <row r="4763" spans="1:8" x14ac:dyDescent="0.3">
      <c r="A4763" t="s">
        <v>1901</v>
      </c>
      <c r="B4763" t="s">
        <v>70</v>
      </c>
      <c r="C4763" t="s">
        <v>71</v>
      </c>
      <c r="D4763">
        <v>2018</v>
      </c>
      <c r="E4763" s="2">
        <v>5</v>
      </c>
      <c r="F4763" s="2">
        <v>1500</v>
      </c>
      <c r="G4763" s="2">
        <v>1575</v>
      </c>
    </row>
    <row r="4764" spans="1:8" x14ac:dyDescent="0.3">
      <c r="A4764" t="s">
        <v>1901</v>
      </c>
      <c r="B4764" t="s">
        <v>72</v>
      </c>
      <c r="C4764" t="s">
        <v>319</v>
      </c>
      <c r="D4764">
        <v>2018</v>
      </c>
      <c r="E4764" s="2">
        <v>5</v>
      </c>
      <c r="F4764" s="2">
        <v>1500</v>
      </c>
      <c r="G4764" s="2">
        <v>1575</v>
      </c>
    </row>
    <row r="4765" spans="1:8" x14ac:dyDescent="0.3">
      <c r="A4765" t="s">
        <v>1901</v>
      </c>
      <c r="B4765" t="s">
        <v>72</v>
      </c>
      <c r="C4765" t="s">
        <v>319</v>
      </c>
      <c r="D4765">
        <v>2019</v>
      </c>
      <c r="E4765" s="2">
        <v>10</v>
      </c>
      <c r="F4765" s="2">
        <v>3000</v>
      </c>
      <c r="G4765" s="2">
        <v>3150</v>
      </c>
    </row>
    <row r="4766" spans="1:8" x14ac:dyDescent="0.3">
      <c r="A4766" t="s">
        <v>1901</v>
      </c>
      <c r="B4766" t="s">
        <v>72</v>
      </c>
      <c r="C4766" t="s">
        <v>319</v>
      </c>
      <c r="D4766">
        <v>2020</v>
      </c>
      <c r="E4766" s="2">
        <v>2</v>
      </c>
      <c r="F4766" s="2">
        <v>600</v>
      </c>
      <c r="G4766" s="2">
        <v>630</v>
      </c>
    </row>
    <row r="4767" spans="1:8" x14ac:dyDescent="0.3">
      <c r="A4767" t="s">
        <v>1901</v>
      </c>
      <c r="B4767" t="s">
        <v>1904</v>
      </c>
      <c r="D4767">
        <v>2017</v>
      </c>
      <c r="E4767" s="2">
        <v>5</v>
      </c>
      <c r="F4767" s="2">
        <v>3000</v>
      </c>
      <c r="G4767" s="2"/>
    </row>
    <row r="4768" spans="1:8" x14ac:dyDescent="0.3">
      <c r="A4768" t="s">
        <v>1901</v>
      </c>
      <c r="B4768" t="s">
        <v>483</v>
      </c>
      <c r="C4768" t="s">
        <v>484</v>
      </c>
      <c r="D4768">
        <v>2020</v>
      </c>
      <c r="E4768" s="2">
        <v>4</v>
      </c>
      <c r="F4768" s="2">
        <v>260</v>
      </c>
      <c r="G4768" s="2">
        <v>273</v>
      </c>
    </row>
    <row r="4769" spans="1:8" x14ac:dyDescent="0.3">
      <c r="A4769" t="s">
        <v>1901</v>
      </c>
      <c r="B4769" t="s">
        <v>841</v>
      </c>
      <c r="C4769" t="s">
        <v>169</v>
      </c>
      <c r="D4769">
        <v>2019</v>
      </c>
      <c r="E4769" s="2">
        <v>2</v>
      </c>
      <c r="F4769" s="2">
        <v>500</v>
      </c>
      <c r="G4769" s="2">
        <v>525</v>
      </c>
      <c r="H4769" s="3" t="s">
        <v>374</v>
      </c>
    </row>
    <row r="4770" spans="1:8" x14ac:dyDescent="0.3">
      <c r="A4770" t="s">
        <v>1901</v>
      </c>
      <c r="B4770" t="s">
        <v>841</v>
      </c>
      <c r="C4770" t="s">
        <v>169</v>
      </c>
      <c r="D4770">
        <v>2020</v>
      </c>
      <c r="E4770" s="2">
        <v>2</v>
      </c>
      <c r="F4770" s="2">
        <v>360</v>
      </c>
      <c r="G4770" s="2">
        <v>378</v>
      </c>
      <c r="H4770" s="3" t="s">
        <v>374</v>
      </c>
    </row>
    <row r="4771" spans="1:8" x14ac:dyDescent="0.3">
      <c r="A4771" t="s">
        <v>1901</v>
      </c>
      <c r="B4771" t="s">
        <v>841</v>
      </c>
      <c r="C4771" t="s">
        <v>169</v>
      </c>
      <c r="D4771">
        <v>2021</v>
      </c>
      <c r="E4771" s="2">
        <v>2</v>
      </c>
      <c r="F4771" s="2">
        <v>360</v>
      </c>
      <c r="G4771" s="2">
        <v>378</v>
      </c>
      <c r="H4771" s="3" t="s">
        <v>374</v>
      </c>
    </row>
    <row r="4772" spans="1:8" x14ac:dyDescent="0.3">
      <c r="A4772" t="s">
        <v>1901</v>
      </c>
      <c r="B4772" t="s">
        <v>37</v>
      </c>
      <c r="D4772">
        <v>2017</v>
      </c>
      <c r="E4772" s="2">
        <v>10</v>
      </c>
      <c r="F4772" s="2">
        <v>1400</v>
      </c>
      <c r="G4772" s="2"/>
    </row>
    <row r="4773" spans="1:8" x14ac:dyDescent="0.3">
      <c r="A4773" t="s">
        <v>1901</v>
      </c>
      <c r="B4773" t="s">
        <v>76</v>
      </c>
      <c r="C4773" t="s">
        <v>77</v>
      </c>
      <c r="D4773">
        <v>2020</v>
      </c>
      <c r="E4773" s="2">
        <v>3</v>
      </c>
      <c r="F4773" s="2">
        <v>285</v>
      </c>
      <c r="G4773" s="2">
        <v>299.25</v>
      </c>
      <c r="H4773" s="3" t="s">
        <v>374</v>
      </c>
    </row>
    <row r="4774" spans="1:8" x14ac:dyDescent="0.3">
      <c r="A4774" t="s">
        <v>1901</v>
      </c>
      <c r="B4774" t="s">
        <v>76</v>
      </c>
      <c r="C4774" t="s">
        <v>77</v>
      </c>
      <c r="D4774">
        <v>2021</v>
      </c>
      <c r="E4774" s="2">
        <v>4</v>
      </c>
      <c r="F4774" s="2">
        <v>380</v>
      </c>
      <c r="G4774" s="2">
        <v>399</v>
      </c>
      <c r="H4774" s="3" t="s">
        <v>374</v>
      </c>
    </row>
    <row r="4775" spans="1:8" x14ac:dyDescent="0.3">
      <c r="A4775" t="s">
        <v>1901</v>
      </c>
      <c r="B4775" t="s">
        <v>679</v>
      </c>
      <c r="C4775" t="s">
        <v>680</v>
      </c>
      <c r="D4775">
        <v>2020</v>
      </c>
      <c r="E4775" s="2">
        <v>4</v>
      </c>
      <c r="F4775" s="2">
        <v>340</v>
      </c>
      <c r="G4775" s="2">
        <v>357</v>
      </c>
      <c r="H4775" s="3" t="s">
        <v>18</v>
      </c>
    </row>
    <row r="4776" spans="1:8" x14ac:dyDescent="0.3">
      <c r="A4776" t="s">
        <v>1901</v>
      </c>
      <c r="B4776" t="s">
        <v>679</v>
      </c>
      <c r="C4776" t="s">
        <v>680</v>
      </c>
      <c r="D4776">
        <v>2021</v>
      </c>
      <c r="E4776" s="2">
        <v>4</v>
      </c>
      <c r="F4776" s="2">
        <v>340</v>
      </c>
      <c r="G4776" s="2">
        <v>357</v>
      </c>
      <c r="H4776" s="3" t="s">
        <v>18</v>
      </c>
    </row>
    <row r="4777" spans="1:8" x14ac:dyDescent="0.3">
      <c r="A4777" t="s">
        <v>1901</v>
      </c>
      <c r="B4777" t="s">
        <v>163</v>
      </c>
      <c r="C4777" t="s">
        <v>164</v>
      </c>
      <c r="D4777">
        <v>2021</v>
      </c>
      <c r="E4777" s="2">
        <v>4</v>
      </c>
      <c r="F4777" s="2">
        <v>800</v>
      </c>
      <c r="G4777" s="2">
        <v>840</v>
      </c>
      <c r="H4777" s="3" t="s">
        <v>18</v>
      </c>
    </row>
    <row r="4778" spans="1:8" x14ac:dyDescent="0.3">
      <c r="A4778" t="s">
        <v>1901</v>
      </c>
      <c r="B4778" t="s">
        <v>1155</v>
      </c>
      <c r="C4778" t="s">
        <v>1156</v>
      </c>
      <c r="D4778">
        <v>2020</v>
      </c>
      <c r="E4778" s="2">
        <v>8</v>
      </c>
      <c r="F4778" s="2">
        <v>1600</v>
      </c>
      <c r="G4778" s="2">
        <v>1680</v>
      </c>
    </row>
    <row r="4779" spans="1:8" x14ac:dyDescent="0.3">
      <c r="A4779" t="s">
        <v>1905</v>
      </c>
      <c r="B4779" t="s">
        <v>55</v>
      </c>
      <c r="D4779">
        <v>2021</v>
      </c>
      <c r="E4779" s="2">
        <v>10</v>
      </c>
      <c r="F4779" s="2">
        <v>2800</v>
      </c>
      <c r="G4779" s="2">
        <v>2940</v>
      </c>
      <c r="H4779" s="3" t="s">
        <v>18</v>
      </c>
    </row>
    <row r="4780" spans="1:8" x14ac:dyDescent="0.3">
      <c r="A4780" t="s">
        <v>1905</v>
      </c>
      <c r="B4780" t="s">
        <v>117</v>
      </c>
      <c r="C4780" t="s">
        <v>118</v>
      </c>
      <c r="D4780">
        <v>2019</v>
      </c>
      <c r="E4780" s="2">
        <v>5</v>
      </c>
      <c r="F4780" s="2">
        <v>1100</v>
      </c>
      <c r="G4780" s="2">
        <v>1155</v>
      </c>
    </row>
    <row r="4781" spans="1:8" x14ac:dyDescent="0.3">
      <c r="A4781" t="s">
        <v>1905</v>
      </c>
      <c r="B4781" t="s">
        <v>307</v>
      </c>
      <c r="C4781" t="s">
        <v>132</v>
      </c>
      <c r="D4781">
        <v>2018</v>
      </c>
      <c r="E4781" s="2">
        <v>25</v>
      </c>
      <c r="F4781" s="2">
        <v>4500</v>
      </c>
      <c r="G4781" s="2">
        <v>4725</v>
      </c>
    </row>
    <row r="4782" spans="1:8" x14ac:dyDescent="0.3">
      <c r="A4782" t="s">
        <v>1905</v>
      </c>
      <c r="B4782" t="s">
        <v>1396</v>
      </c>
      <c r="C4782" t="s">
        <v>613</v>
      </c>
      <c r="D4782">
        <v>2020</v>
      </c>
      <c r="E4782" s="2">
        <v>10</v>
      </c>
      <c r="F4782" s="2">
        <v>2600</v>
      </c>
      <c r="G4782" s="2">
        <v>2730</v>
      </c>
      <c r="H4782" s="3" t="s">
        <v>18</v>
      </c>
    </row>
    <row r="4783" spans="1:8" x14ac:dyDescent="0.3">
      <c r="A4783" t="s">
        <v>1905</v>
      </c>
      <c r="B4783" t="s">
        <v>1396</v>
      </c>
      <c r="C4783" t="s">
        <v>613</v>
      </c>
      <c r="D4783">
        <v>2021</v>
      </c>
      <c r="E4783" s="2">
        <v>10</v>
      </c>
      <c r="F4783" s="2">
        <v>2600</v>
      </c>
      <c r="G4783" s="2">
        <v>2730</v>
      </c>
      <c r="H4783" s="3" t="s">
        <v>18</v>
      </c>
    </row>
    <row r="4784" spans="1:8" x14ac:dyDescent="0.3">
      <c r="A4784" t="s">
        <v>1906</v>
      </c>
      <c r="B4784" t="s">
        <v>453</v>
      </c>
      <c r="D4784">
        <v>2017</v>
      </c>
      <c r="E4784" s="2">
        <v>10</v>
      </c>
      <c r="F4784" s="2">
        <v>950</v>
      </c>
      <c r="G4784" s="2"/>
    </row>
    <row r="4785" spans="1:8" x14ac:dyDescent="0.3">
      <c r="A4785" t="s">
        <v>1906</v>
      </c>
      <c r="B4785" t="s">
        <v>453</v>
      </c>
      <c r="D4785">
        <v>2019</v>
      </c>
      <c r="E4785" s="2">
        <v>10</v>
      </c>
      <c r="F4785" s="2">
        <v>950</v>
      </c>
      <c r="G4785" s="2">
        <v>997.5</v>
      </c>
    </row>
    <row r="4786" spans="1:8" x14ac:dyDescent="0.3">
      <c r="A4786" t="s">
        <v>1906</v>
      </c>
      <c r="B4786" t="s">
        <v>453</v>
      </c>
      <c r="D4786">
        <v>2020</v>
      </c>
      <c r="E4786" s="2">
        <v>10</v>
      </c>
      <c r="F4786" s="2">
        <v>950</v>
      </c>
      <c r="G4786" s="2">
        <v>997.5</v>
      </c>
    </row>
    <row r="4787" spans="1:8" x14ac:dyDescent="0.3">
      <c r="A4787" t="s">
        <v>1906</v>
      </c>
      <c r="B4787" t="s">
        <v>461</v>
      </c>
      <c r="D4787">
        <v>2017</v>
      </c>
      <c r="E4787" s="2">
        <v>10</v>
      </c>
      <c r="F4787" s="2">
        <v>1100</v>
      </c>
      <c r="G4787" s="2"/>
    </row>
    <row r="4788" spans="1:8" x14ac:dyDescent="0.3">
      <c r="A4788" t="s">
        <v>1906</v>
      </c>
      <c r="B4788" t="s">
        <v>35</v>
      </c>
      <c r="D4788">
        <v>2021</v>
      </c>
      <c r="E4788" s="2">
        <v>20</v>
      </c>
      <c r="F4788" s="2">
        <v>1860</v>
      </c>
      <c r="G4788" s="2">
        <v>1953</v>
      </c>
      <c r="H4788" s="3" t="s">
        <v>18</v>
      </c>
    </row>
    <row r="4789" spans="1:8" x14ac:dyDescent="0.3">
      <c r="A4789" t="s">
        <v>1906</v>
      </c>
      <c r="B4789" t="s">
        <v>1687</v>
      </c>
      <c r="C4789" t="s">
        <v>1688</v>
      </c>
      <c r="D4789">
        <v>2014</v>
      </c>
      <c r="E4789" s="2">
        <v>75</v>
      </c>
      <c r="F4789" s="2">
        <v>7875</v>
      </c>
      <c r="G4789" s="2"/>
      <c r="H4789" s="3" t="s">
        <v>18</v>
      </c>
    </row>
    <row r="4790" spans="1:8" x14ac:dyDescent="0.3">
      <c r="A4790" t="s">
        <v>1906</v>
      </c>
      <c r="B4790" t="s">
        <v>1687</v>
      </c>
      <c r="C4790" t="s">
        <v>1688</v>
      </c>
      <c r="D4790">
        <v>2015</v>
      </c>
      <c r="E4790" s="2">
        <v>175</v>
      </c>
      <c r="F4790" s="2">
        <v>18375</v>
      </c>
      <c r="G4790" s="2"/>
      <c r="H4790" s="3" t="s">
        <v>18</v>
      </c>
    </row>
    <row r="4791" spans="1:8" x14ac:dyDescent="0.3">
      <c r="A4791" t="s">
        <v>1906</v>
      </c>
      <c r="B4791" t="s">
        <v>1687</v>
      </c>
      <c r="C4791" t="s">
        <v>1688</v>
      </c>
      <c r="D4791">
        <v>2016</v>
      </c>
      <c r="E4791" s="2">
        <v>225</v>
      </c>
      <c r="F4791" s="2">
        <v>23625</v>
      </c>
      <c r="G4791" s="2"/>
      <c r="H4791" s="3" t="s">
        <v>18</v>
      </c>
    </row>
    <row r="4792" spans="1:8" x14ac:dyDescent="0.3">
      <c r="A4792" t="s">
        <v>1906</v>
      </c>
      <c r="B4792" t="s">
        <v>1687</v>
      </c>
      <c r="C4792" t="s">
        <v>1688</v>
      </c>
      <c r="D4792">
        <v>2017</v>
      </c>
      <c r="E4792" s="2">
        <v>195</v>
      </c>
      <c r="F4792" s="2">
        <v>20475</v>
      </c>
      <c r="G4792" s="2"/>
      <c r="H4792" s="3" t="s">
        <v>18</v>
      </c>
    </row>
    <row r="4793" spans="1:8" x14ac:dyDescent="0.3">
      <c r="A4793" t="s">
        <v>1906</v>
      </c>
      <c r="B4793" t="s">
        <v>1687</v>
      </c>
      <c r="C4793" t="s">
        <v>1688</v>
      </c>
      <c r="D4793">
        <v>2018</v>
      </c>
      <c r="E4793" s="2">
        <v>200</v>
      </c>
      <c r="F4793" s="2">
        <v>30500</v>
      </c>
      <c r="G4793" s="2">
        <v>32025</v>
      </c>
      <c r="H4793" s="3" t="s">
        <v>18</v>
      </c>
    </row>
    <row r="4794" spans="1:8" x14ac:dyDescent="0.3">
      <c r="A4794" t="s">
        <v>1906</v>
      </c>
      <c r="B4794" t="s">
        <v>1687</v>
      </c>
      <c r="C4794" t="s">
        <v>1688</v>
      </c>
      <c r="D4794">
        <v>2019</v>
      </c>
      <c r="E4794" s="2">
        <v>300</v>
      </c>
      <c r="F4794" s="2">
        <v>31500</v>
      </c>
      <c r="G4794" s="2">
        <v>33075</v>
      </c>
      <c r="H4794" s="3" t="s">
        <v>18</v>
      </c>
    </row>
    <row r="4795" spans="1:8" x14ac:dyDescent="0.3">
      <c r="A4795" t="s">
        <v>1906</v>
      </c>
      <c r="B4795" t="s">
        <v>1687</v>
      </c>
      <c r="C4795" t="s">
        <v>1688</v>
      </c>
      <c r="D4795">
        <v>2020</v>
      </c>
      <c r="E4795" s="2">
        <v>125</v>
      </c>
      <c r="F4795" s="2">
        <v>13125</v>
      </c>
      <c r="G4795" s="2">
        <v>13781.25</v>
      </c>
      <c r="H4795" s="3" t="s">
        <v>18</v>
      </c>
    </row>
    <row r="4796" spans="1:8" x14ac:dyDescent="0.3">
      <c r="A4796" t="s">
        <v>1906</v>
      </c>
      <c r="B4796" t="s">
        <v>1687</v>
      </c>
      <c r="C4796" t="s">
        <v>1688</v>
      </c>
      <c r="D4796">
        <v>2021</v>
      </c>
      <c r="E4796" s="2">
        <v>75</v>
      </c>
      <c r="F4796" s="2">
        <v>7875</v>
      </c>
      <c r="G4796" s="2">
        <v>8268.75</v>
      </c>
      <c r="H4796" s="3" t="s">
        <v>18</v>
      </c>
    </row>
    <row r="4797" spans="1:8" x14ac:dyDescent="0.3">
      <c r="A4797" t="s">
        <v>1906</v>
      </c>
      <c r="B4797" t="s">
        <v>184</v>
      </c>
      <c r="C4797" t="s">
        <v>185</v>
      </c>
      <c r="D4797">
        <v>2012</v>
      </c>
      <c r="E4797" s="2">
        <v>25</v>
      </c>
      <c r="F4797" s="2">
        <v>1750</v>
      </c>
      <c r="G4797" s="2"/>
    </row>
    <row r="4798" spans="1:8" x14ac:dyDescent="0.3">
      <c r="A4798" t="s">
        <v>1906</v>
      </c>
      <c r="B4798" t="s">
        <v>184</v>
      </c>
      <c r="C4798" t="s">
        <v>185</v>
      </c>
      <c r="D4798">
        <v>2013</v>
      </c>
      <c r="E4798" s="2">
        <v>25</v>
      </c>
      <c r="F4798" s="2">
        <v>1750</v>
      </c>
      <c r="G4798" s="2"/>
    </row>
    <row r="4799" spans="1:8" x14ac:dyDescent="0.3">
      <c r="A4799" t="s">
        <v>1906</v>
      </c>
      <c r="B4799" t="s">
        <v>184</v>
      </c>
      <c r="C4799" t="s">
        <v>185</v>
      </c>
      <c r="D4799">
        <v>2014</v>
      </c>
      <c r="E4799" s="2">
        <v>50</v>
      </c>
      <c r="F4799" s="2">
        <v>3500</v>
      </c>
      <c r="G4799" s="2"/>
    </row>
    <row r="4800" spans="1:8" x14ac:dyDescent="0.3">
      <c r="A4800" t="s">
        <v>1906</v>
      </c>
      <c r="B4800" t="s">
        <v>184</v>
      </c>
      <c r="C4800" t="s">
        <v>185</v>
      </c>
      <c r="D4800">
        <v>2015</v>
      </c>
      <c r="E4800" s="2">
        <v>25</v>
      </c>
      <c r="F4800" s="2">
        <v>1750</v>
      </c>
      <c r="G4800" s="2"/>
    </row>
    <row r="4801" spans="1:7" x14ac:dyDescent="0.3">
      <c r="A4801" t="s">
        <v>1906</v>
      </c>
      <c r="B4801" t="s">
        <v>184</v>
      </c>
      <c r="C4801" t="s">
        <v>185</v>
      </c>
      <c r="D4801">
        <v>2016</v>
      </c>
      <c r="E4801" s="2">
        <v>25</v>
      </c>
      <c r="F4801" s="2">
        <v>1750</v>
      </c>
      <c r="G4801" s="2"/>
    </row>
    <row r="4802" spans="1:7" x14ac:dyDescent="0.3">
      <c r="A4802" t="s">
        <v>1906</v>
      </c>
      <c r="B4802" t="s">
        <v>269</v>
      </c>
      <c r="C4802" t="s">
        <v>270</v>
      </c>
      <c r="D4802">
        <v>2011</v>
      </c>
      <c r="E4802" s="2">
        <v>50</v>
      </c>
      <c r="F4802" s="2">
        <v>3700</v>
      </c>
      <c r="G4802" s="2"/>
    </row>
    <row r="4803" spans="1:7" x14ac:dyDescent="0.3">
      <c r="A4803" t="s">
        <v>1906</v>
      </c>
      <c r="B4803" t="s">
        <v>269</v>
      </c>
      <c r="C4803" t="s">
        <v>270</v>
      </c>
      <c r="D4803">
        <v>2012</v>
      </c>
      <c r="E4803" s="2">
        <v>125</v>
      </c>
      <c r="F4803" s="2">
        <v>9400</v>
      </c>
      <c r="G4803" s="2"/>
    </row>
    <row r="4804" spans="1:7" x14ac:dyDescent="0.3">
      <c r="A4804" t="s">
        <v>1906</v>
      </c>
      <c r="B4804" t="s">
        <v>269</v>
      </c>
      <c r="C4804" t="s">
        <v>270</v>
      </c>
      <c r="D4804">
        <v>2013</v>
      </c>
      <c r="E4804" s="2">
        <v>25</v>
      </c>
      <c r="F4804" s="2">
        <v>2000</v>
      </c>
      <c r="G4804" s="2"/>
    </row>
    <row r="4805" spans="1:7" x14ac:dyDescent="0.3">
      <c r="A4805" t="s">
        <v>1906</v>
      </c>
      <c r="B4805" t="s">
        <v>269</v>
      </c>
      <c r="C4805" t="s">
        <v>270</v>
      </c>
      <c r="D4805">
        <v>2017</v>
      </c>
      <c r="E4805" s="2">
        <v>175</v>
      </c>
      <c r="F4805" s="2">
        <v>11375</v>
      </c>
      <c r="G4805" s="2"/>
    </row>
    <row r="4806" spans="1:7" x14ac:dyDescent="0.3">
      <c r="A4806" t="s">
        <v>1906</v>
      </c>
      <c r="B4806" t="s">
        <v>269</v>
      </c>
      <c r="C4806" t="s">
        <v>270</v>
      </c>
      <c r="D4806">
        <v>2018</v>
      </c>
      <c r="E4806" s="2">
        <v>125</v>
      </c>
      <c r="F4806" s="2">
        <v>8375</v>
      </c>
      <c r="G4806" s="2">
        <v>8793.75</v>
      </c>
    </row>
    <row r="4807" spans="1:7" x14ac:dyDescent="0.3">
      <c r="A4807" t="s">
        <v>1906</v>
      </c>
      <c r="B4807" t="s">
        <v>269</v>
      </c>
      <c r="C4807" t="s">
        <v>270</v>
      </c>
      <c r="D4807">
        <v>2019</v>
      </c>
      <c r="E4807" s="2">
        <v>25</v>
      </c>
      <c r="F4807" s="2">
        <v>1625</v>
      </c>
      <c r="G4807" s="2">
        <v>1706.25</v>
      </c>
    </row>
    <row r="4808" spans="1:7" x14ac:dyDescent="0.3">
      <c r="A4808" t="s">
        <v>1906</v>
      </c>
      <c r="B4808" t="s">
        <v>41</v>
      </c>
      <c r="C4808" t="s">
        <v>530</v>
      </c>
      <c r="D4808">
        <v>2011</v>
      </c>
      <c r="E4808" s="2">
        <v>75</v>
      </c>
      <c r="F4808" s="2">
        <v>4875</v>
      </c>
      <c r="G4808" s="2"/>
    </row>
    <row r="4809" spans="1:7" x14ac:dyDescent="0.3">
      <c r="A4809" t="s">
        <v>1906</v>
      </c>
      <c r="B4809" t="s">
        <v>41</v>
      </c>
      <c r="C4809" t="s">
        <v>42</v>
      </c>
      <c r="D4809">
        <v>2011</v>
      </c>
      <c r="E4809" s="2">
        <v>50</v>
      </c>
      <c r="F4809" s="2">
        <v>2000</v>
      </c>
      <c r="G4809" s="2"/>
    </row>
    <row r="4810" spans="1:7" x14ac:dyDescent="0.3">
      <c r="A4810" t="s">
        <v>1906</v>
      </c>
      <c r="B4810" t="s">
        <v>41</v>
      </c>
      <c r="C4810" t="s">
        <v>908</v>
      </c>
      <c r="D4810">
        <v>2011</v>
      </c>
      <c r="E4810" s="2">
        <v>50</v>
      </c>
      <c r="F4810" s="2">
        <v>3750</v>
      </c>
      <c r="G4810" s="2"/>
    </row>
    <row r="4811" spans="1:7" x14ac:dyDescent="0.3">
      <c r="A4811" t="s">
        <v>1906</v>
      </c>
      <c r="B4811" t="s">
        <v>41</v>
      </c>
      <c r="C4811" t="s">
        <v>530</v>
      </c>
      <c r="D4811">
        <v>2012</v>
      </c>
      <c r="E4811" s="2">
        <v>50</v>
      </c>
      <c r="F4811" s="2">
        <v>4125</v>
      </c>
      <c r="G4811" s="2"/>
    </row>
    <row r="4812" spans="1:7" x14ac:dyDescent="0.3">
      <c r="A4812" t="s">
        <v>1906</v>
      </c>
      <c r="B4812" t="s">
        <v>41</v>
      </c>
      <c r="C4812" t="s">
        <v>908</v>
      </c>
      <c r="D4812">
        <v>2012</v>
      </c>
      <c r="E4812" s="2">
        <v>50</v>
      </c>
      <c r="F4812" s="2">
        <v>3750</v>
      </c>
      <c r="G4812" s="2"/>
    </row>
    <row r="4813" spans="1:7" x14ac:dyDescent="0.3">
      <c r="A4813" t="s">
        <v>1906</v>
      </c>
      <c r="B4813" t="s">
        <v>41</v>
      </c>
      <c r="C4813" t="s">
        <v>776</v>
      </c>
      <c r="D4813">
        <v>2013</v>
      </c>
      <c r="E4813" s="2">
        <v>50</v>
      </c>
      <c r="F4813" s="2">
        <v>3600</v>
      </c>
      <c r="G4813" s="2"/>
    </row>
    <row r="4814" spans="1:7" x14ac:dyDescent="0.3">
      <c r="A4814" t="s">
        <v>1906</v>
      </c>
      <c r="B4814" t="s">
        <v>41</v>
      </c>
      <c r="C4814" t="s">
        <v>776</v>
      </c>
      <c r="D4814">
        <v>2014</v>
      </c>
      <c r="E4814" s="2">
        <v>25</v>
      </c>
      <c r="F4814" s="2">
        <v>1800</v>
      </c>
      <c r="G4814" s="2"/>
    </row>
    <row r="4815" spans="1:7" x14ac:dyDescent="0.3">
      <c r="A4815" t="s">
        <v>1906</v>
      </c>
      <c r="B4815" t="s">
        <v>64</v>
      </c>
      <c r="C4815" t="s">
        <v>65</v>
      </c>
      <c r="D4815">
        <v>2012</v>
      </c>
      <c r="E4815" s="2">
        <v>150</v>
      </c>
      <c r="F4815" s="2">
        <v>13200</v>
      </c>
      <c r="G4815" s="2"/>
    </row>
    <row r="4816" spans="1:7" x14ac:dyDescent="0.3">
      <c r="A4816" t="s">
        <v>1906</v>
      </c>
      <c r="B4816" t="s">
        <v>64</v>
      </c>
      <c r="C4816" t="s">
        <v>65</v>
      </c>
      <c r="D4816">
        <v>2013</v>
      </c>
      <c r="E4816" s="2">
        <v>50</v>
      </c>
      <c r="F4816" s="2">
        <v>4150</v>
      </c>
      <c r="G4816" s="2"/>
    </row>
    <row r="4817" spans="1:8" x14ac:dyDescent="0.3">
      <c r="A4817" t="s">
        <v>1906</v>
      </c>
      <c r="B4817" t="s">
        <v>64</v>
      </c>
      <c r="C4817" t="s">
        <v>65</v>
      </c>
      <c r="D4817">
        <v>2014</v>
      </c>
      <c r="E4817" s="2">
        <v>50</v>
      </c>
      <c r="F4817" s="2">
        <v>4150</v>
      </c>
      <c r="G4817" s="2"/>
    </row>
    <row r="4818" spans="1:8" x14ac:dyDescent="0.3">
      <c r="A4818" t="s">
        <v>1906</v>
      </c>
      <c r="B4818" t="s">
        <v>21</v>
      </c>
      <c r="C4818" t="s">
        <v>22</v>
      </c>
      <c r="D4818">
        <v>2014</v>
      </c>
      <c r="E4818" s="2">
        <v>25</v>
      </c>
      <c r="F4818" s="2">
        <v>1800</v>
      </c>
      <c r="G4818" s="2"/>
    </row>
    <row r="4819" spans="1:8" x14ac:dyDescent="0.3">
      <c r="A4819" t="s">
        <v>1906</v>
      </c>
      <c r="B4819" t="s">
        <v>21</v>
      </c>
      <c r="C4819" t="s">
        <v>22</v>
      </c>
      <c r="D4819">
        <v>2018</v>
      </c>
      <c r="E4819" s="2">
        <v>100</v>
      </c>
      <c r="F4819" s="2">
        <v>7000</v>
      </c>
      <c r="G4819" s="2">
        <v>7350</v>
      </c>
    </row>
    <row r="4820" spans="1:8" x14ac:dyDescent="0.3">
      <c r="A4820" t="s">
        <v>1906</v>
      </c>
      <c r="B4820" t="s">
        <v>21</v>
      </c>
      <c r="C4820" t="s">
        <v>22</v>
      </c>
      <c r="D4820">
        <v>2019</v>
      </c>
      <c r="E4820" s="2">
        <v>75</v>
      </c>
      <c r="F4820" s="2">
        <v>5250</v>
      </c>
      <c r="G4820" s="2">
        <v>5512.5</v>
      </c>
    </row>
    <row r="4821" spans="1:8" x14ac:dyDescent="0.3">
      <c r="A4821" t="s">
        <v>1906</v>
      </c>
      <c r="B4821" t="s">
        <v>995</v>
      </c>
      <c r="C4821" t="s">
        <v>672</v>
      </c>
      <c r="D4821">
        <v>2018</v>
      </c>
      <c r="E4821" s="2">
        <v>25</v>
      </c>
      <c r="F4821" s="2">
        <v>1800</v>
      </c>
      <c r="G4821" s="2">
        <v>1890</v>
      </c>
    </row>
    <row r="4822" spans="1:8" x14ac:dyDescent="0.3">
      <c r="A4822" t="s">
        <v>1906</v>
      </c>
      <c r="B4822" t="s">
        <v>995</v>
      </c>
      <c r="C4822" t="s">
        <v>672</v>
      </c>
      <c r="D4822">
        <v>2019</v>
      </c>
      <c r="E4822" s="2">
        <v>50</v>
      </c>
      <c r="F4822" s="2">
        <v>3600</v>
      </c>
      <c r="G4822" s="2">
        <v>3780</v>
      </c>
    </row>
    <row r="4823" spans="1:8" x14ac:dyDescent="0.3">
      <c r="A4823" t="s">
        <v>1906</v>
      </c>
      <c r="B4823" t="s">
        <v>114</v>
      </c>
      <c r="C4823" t="s">
        <v>115</v>
      </c>
      <c r="D4823">
        <v>2018</v>
      </c>
      <c r="E4823" s="2">
        <v>25</v>
      </c>
      <c r="F4823" s="2">
        <v>2125</v>
      </c>
      <c r="G4823" s="2">
        <v>2231.25</v>
      </c>
    </row>
    <row r="4824" spans="1:8" x14ac:dyDescent="0.3">
      <c r="A4824" t="s">
        <v>1906</v>
      </c>
      <c r="B4824" t="s">
        <v>575</v>
      </c>
      <c r="C4824" t="s">
        <v>673</v>
      </c>
      <c r="D4824">
        <v>2015</v>
      </c>
      <c r="E4824" s="2">
        <v>25</v>
      </c>
      <c r="F4824" s="2">
        <v>2125</v>
      </c>
      <c r="G4824" s="2"/>
    </row>
    <row r="4825" spans="1:8" x14ac:dyDescent="0.3">
      <c r="A4825" t="s">
        <v>1906</v>
      </c>
      <c r="B4825" t="s">
        <v>473</v>
      </c>
      <c r="C4825" t="s">
        <v>747</v>
      </c>
      <c r="D4825">
        <v>2012</v>
      </c>
      <c r="E4825" s="2">
        <v>25</v>
      </c>
      <c r="F4825" s="2">
        <v>1925</v>
      </c>
      <c r="G4825" s="2"/>
    </row>
    <row r="4826" spans="1:8" x14ac:dyDescent="0.3">
      <c r="A4826" t="s">
        <v>1906</v>
      </c>
      <c r="B4826" t="s">
        <v>473</v>
      </c>
      <c r="C4826" t="s">
        <v>747</v>
      </c>
      <c r="D4826">
        <v>2013</v>
      </c>
      <c r="E4826" s="2">
        <v>25</v>
      </c>
      <c r="F4826" s="2">
        <v>1925</v>
      </c>
      <c r="G4826" s="2"/>
    </row>
    <row r="4827" spans="1:8" x14ac:dyDescent="0.3">
      <c r="A4827" t="s">
        <v>1906</v>
      </c>
      <c r="B4827" t="s">
        <v>473</v>
      </c>
      <c r="C4827" t="s">
        <v>747</v>
      </c>
      <c r="D4827">
        <v>2014</v>
      </c>
      <c r="E4827" s="2">
        <v>25</v>
      </c>
      <c r="F4827" s="2">
        <v>1925</v>
      </c>
      <c r="G4827" s="2"/>
    </row>
    <row r="4828" spans="1:8" x14ac:dyDescent="0.3">
      <c r="A4828" t="s">
        <v>1906</v>
      </c>
      <c r="B4828" t="s">
        <v>1452</v>
      </c>
      <c r="C4828" t="s">
        <v>1453</v>
      </c>
      <c r="D4828">
        <v>2011</v>
      </c>
      <c r="E4828" s="2">
        <v>143</v>
      </c>
      <c r="F4828" s="2">
        <v>11011</v>
      </c>
      <c r="G4828" s="2"/>
    </row>
    <row r="4829" spans="1:8" x14ac:dyDescent="0.3">
      <c r="A4829" t="s">
        <v>1906</v>
      </c>
      <c r="B4829" t="s">
        <v>1452</v>
      </c>
      <c r="C4829" t="s">
        <v>1453</v>
      </c>
      <c r="D4829">
        <v>2012</v>
      </c>
      <c r="E4829" s="2">
        <v>100</v>
      </c>
      <c r="F4829" s="2">
        <v>7700</v>
      </c>
      <c r="G4829" s="2"/>
    </row>
    <row r="4830" spans="1:8" x14ac:dyDescent="0.3">
      <c r="A4830" t="s">
        <v>1906</v>
      </c>
      <c r="B4830" t="s">
        <v>36</v>
      </c>
      <c r="D4830">
        <v>2017</v>
      </c>
      <c r="E4830" s="2">
        <v>10</v>
      </c>
      <c r="F4830" s="2">
        <v>1200</v>
      </c>
      <c r="G4830" s="2"/>
      <c r="H4830" s="3" t="s">
        <v>18</v>
      </c>
    </row>
    <row r="4831" spans="1:8" x14ac:dyDescent="0.3">
      <c r="A4831" t="s">
        <v>1906</v>
      </c>
      <c r="B4831" t="s">
        <v>36</v>
      </c>
      <c r="D4831">
        <v>2018</v>
      </c>
      <c r="E4831" s="2">
        <v>10</v>
      </c>
      <c r="F4831" s="2">
        <v>1200</v>
      </c>
      <c r="G4831" s="2">
        <v>1260</v>
      </c>
      <c r="H4831" s="3" t="s">
        <v>18</v>
      </c>
    </row>
    <row r="4832" spans="1:8" x14ac:dyDescent="0.3">
      <c r="A4832" t="s">
        <v>1906</v>
      </c>
      <c r="B4832" t="s">
        <v>36</v>
      </c>
      <c r="D4832">
        <v>2019</v>
      </c>
      <c r="E4832" s="2">
        <v>20</v>
      </c>
      <c r="F4832" s="2">
        <v>2400</v>
      </c>
      <c r="G4832" s="2">
        <v>2520</v>
      </c>
      <c r="H4832" s="3" t="s">
        <v>18</v>
      </c>
    </row>
    <row r="4833" spans="1:8" x14ac:dyDescent="0.3">
      <c r="A4833" t="s">
        <v>1906</v>
      </c>
      <c r="B4833" t="s">
        <v>36</v>
      </c>
      <c r="D4833">
        <v>2020</v>
      </c>
      <c r="E4833" s="2">
        <v>10</v>
      </c>
      <c r="F4833" s="2">
        <v>1200</v>
      </c>
      <c r="G4833" s="2">
        <v>1260</v>
      </c>
      <c r="H4833" s="3" t="s">
        <v>18</v>
      </c>
    </row>
    <row r="4834" spans="1:8" x14ac:dyDescent="0.3">
      <c r="A4834" t="s">
        <v>1906</v>
      </c>
      <c r="B4834" t="s">
        <v>36</v>
      </c>
      <c r="D4834">
        <v>2021</v>
      </c>
      <c r="E4834" s="2">
        <v>10</v>
      </c>
      <c r="F4834" s="2">
        <v>1200</v>
      </c>
      <c r="G4834" s="2">
        <v>1260</v>
      </c>
      <c r="H4834" s="3" t="s">
        <v>18</v>
      </c>
    </row>
    <row r="4835" spans="1:8" x14ac:dyDescent="0.3">
      <c r="A4835" t="s">
        <v>1906</v>
      </c>
      <c r="B4835" t="s">
        <v>192</v>
      </c>
      <c r="C4835" t="s">
        <v>193</v>
      </c>
      <c r="D4835">
        <v>2017</v>
      </c>
      <c r="E4835" s="2">
        <v>25</v>
      </c>
      <c r="F4835" s="2">
        <v>1625</v>
      </c>
      <c r="G4835" s="2"/>
    </row>
    <row r="4836" spans="1:8" x14ac:dyDescent="0.3">
      <c r="A4836" t="s">
        <v>1906</v>
      </c>
      <c r="B4836" t="s">
        <v>314</v>
      </c>
      <c r="C4836" t="s">
        <v>315</v>
      </c>
      <c r="D4836">
        <v>2011</v>
      </c>
      <c r="E4836" s="2">
        <v>75</v>
      </c>
      <c r="F4836" s="2">
        <v>5250</v>
      </c>
      <c r="G4836" s="2"/>
    </row>
    <row r="4837" spans="1:8" x14ac:dyDescent="0.3">
      <c r="A4837" t="s">
        <v>1906</v>
      </c>
      <c r="B4837" t="s">
        <v>314</v>
      </c>
      <c r="C4837" t="s">
        <v>315</v>
      </c>
      <c r="D4837">
        <v>2012</v>
      </c>
      <c r="E4837" s="2">
        <v>75</v>
      </c>
      <c r="F4837" s="2">
        <v>5625</v>
      </c>
      <c r="G4837" s="2"/>
    </row>
    <row r="4838" spans="1:8" x14ac:dyDescent="0.3">
      <c r="A4838" t="s">
        <v>1906</v>
      </c>
      <c r="B4838" t="s">
        <v>314</v>
      </c>
      <c r="C4838" t="s">
        <v>315</v>
      </c>
      <c r="D4838">
        <v>2013</v>
      </c>
      <c r="E4838" s="2">
        <v>75</v>
      </c>
      <c r="F4838" s="2">
        <v>5625</v>
      </c>
      <c r="G4838" s="2"/>
    </row>
    <row r="4839" spans="1:8" x14ac:dyDescent="0.3">
      <c r="A4839" t="s">
        <v>1906</v>
      </c>
      <c r="B4839" t="s">
        <v>314</v>
      </c>
      <c r="C4839" t="s">
        <v>315</v>
      </c>
      <c r="D4839">
        <v>2014</v>
      </c>
      <c r="E4839" s="2">
        <v>75</v>
      </c>
      <c r="F4839" s="2">
        <v>5625</v>
      </c>
      <c r="G4839" s="2"/>
    </row>
    <row r="4840" spans="1:8" x14ac:dyDescent="0.3">
      <c r="A4840" t="s">
        <v>1906</v>
      </c>
      <c r="B4840" t="s">
        <v>314</v>
      </c>
      <c r="C4840" t="s">
        <v>315</v>
      </c>
      <c r="D4840">
        <v>2015</v>
      </c>
      <c r="E4840" s="2">
        <v>50</v>
      </c>
      <c r="F4840" s="2">
        <v>3750</v>
      </c>
      <c r="G4840" s="2"/>
    </row>
    <row r="4841" spans="1:8" x14ac:dyDescent="0.3">
      <c r="A4841" t="s">
        <v>1906</v>
      </c>
      <c r="B4841" t="s">
        <v>314</v>
      </c>
      <c r="C4841" t="s">
        <v>315</v>
      </c>
      <c r="D4841">
        <v>2016</v>
      </c>
      <c r="E4841" s="2">
        <v>25</v>
      </c>
      <c r="F4841" s="2">
        <v>1875</v>
      </c>
      <c r="G4841" s="2"/>
    </row>
    <row r="4842" spans="1:8" x14ac:dyDescent="0.3">
      <c r="A4842" t="s">
        <v>1906</v>
      </c>
      <c r="B4842" t="s">
        <v>46</v>
      </c>
      <c r="C4842" t="s">
        <v>1907</v>
      </c>
      <c r="D4842">
        <v>2011</v>
      </c>
      <c r="E4842" s="2">
        <v>25</v>
      </c>
      <c r="F4842" s="2">
        <v>1375</v>
      </c>
      <c r="G4842" s="2"/>
    </row>
    <row r="4843" spans="1:8" x14ac:dyDescent="0.3">
      <c r="A4843" t="s">
        <v>1906</v>
      </c>
      <c r="B4843" t="s">
        <v>46</v>
      </c>
      <c r="C4843" t="s">
        <v>47</v>
      </c>
      <c r="D4843">
        <v>2011</v>
      </c>
      <c r="E4843" s="2">
        <v>25</v>
      </c>
      <c r="F4843" s="2">
        <v>1625</v>
      </c>
      <c r="G4843" s="2"/>
    </row>
    <row r="4844" spans="1:8" x14ac:dyDescent="0.3">
      <c r="A4844" t="s">
        <v>1906</v>
      </c>
      <c r="B4844" t="s">
        <v>46</v>
      </c>
      <c r="C4844" t="s">
        <v>47</v>
      </c>
      <c r="D4844">
        <v>2012</v>
      </c>
      <c r="E4844" s="2">
        <v>75</v>
      </c>
      <c r="F4844" s="2">
        <v>4875</v>
      </c>
      <c r="G4844" s="2"/>
    </row>
    <row r="4845" spans="1:8" x14ac:dyDescent="0.3">
      <c r="A4845" t="s">
        <v>1906</v>
      </c>
      <c r="B4845" t="s">
        <v>46</v>
      </c>
      <c r="C4845" t="s">
        <v>47</v>
      </c>
      <c r="D4845">
        <v>2013</v>
      </c>
      <c r="E4845" s="2">
        <v>170</v>
      </c>
      <c r="F4845" s="2">
        <v>11050</v>
      </c>
      <c r="G4845" s="2"/>
    </row>
    <row r="4846" spans="1:8" x14ac:dyDescent="0.3">
      <c r="A4846" t="s">
        <v>1906</v>
      </c>
      <c r="B4846" t="s">
        <v>46</v>
      </c>
      <c r="C4846" t="s">
        <v>47</v>
      </c>
      <c r="D4846">
        <v>2014</v>
      </c>
      <c r="E4846" s="2">
        <v>150</v>
      </c>
      <c r="F4846" s="2">
        <v>9750</v>
      </c>
      <c r="G4846" s="2"/>
    </row>
    <row r="4847" spans="1:8" x14ac:dyDescent="0.3">
      <c r="A4847" t="s">
        <v>1906</v>
      </c>
      <c r="B4847" t="s">
        <v>46</v>
      </c>
      <c r="C4847" t="s">
        <v>47</v>
      </c>
      <c r="D4847">
        <v>2015</v>
      </c>
      <c r="E4847" s="2">
        <v>200</v>
      </c>
      <c r="F4847" s="2">
        <v>13250</v>
      </c>
      <c r="G4847" s="2"/>
    </row>
    <row r="4848" spans="1:8" x14ac:dyDescent="0.3">
      <c r="A4848" t="s">
        <v>1906</v>
      </c>
      <c r="B4848" t="s">
        <v>46</v>
      </c>
      <c r="C4848" t="s">
        <v>47</v>
      </c>
      <c r="D4848">
        <v>2016</v>
      </c>
      <c r="E4848" s="2">
        <v>150</v>
      </c>
      <c r="F4848" s="2">
        <v>9750</v>
      </c>
      <c r="G4848" s="2"/>
    </row>
    <row r="4849" spans="1:8" x14ac:dyDescent="0.3">
      <c r="A4849" t="s">
        <v>1906</v>
      </c>
      <c r="B4849" t="s">
        <v>46</v>
      </c>
      <c r="C4849" t="s">
        <v>47</v>
      </c>
      <c r="D4849">
        <v>2017</v>
      </c>
      <c r="E4849" s="2">
        <v>125</v>
      </c>
      <c r="F4849" s="2">
        <v>8125</v>
      </c>
      <c r="G4849" s="2"/>
    </row>
    <row r="4850" spans="1:8" x14ac:dyDescent="0.3">
      <c r="A4850" t="s">
        <v>1906</v>
      </c>
      <c r="B4850" t="s">
        <v>46</v>
      </c>
      <c r="C4850" t="s">
        <v>47</v>
      </c>
      <c r="D4850">
        <v>2018</v>
      </c>
      <c r="E4850" s="2">
        <v>75</v>
      </c>
      <c r="F4850" s="2">
        <v>4875</v>
      </c>
      <c r="G4850" s="2">
        <v>5118.75</v>
      </c>
    </row>
    <row r="4851" spans="1:8" x14ac:dyDescent="0.3">
      <c r="A4851" t="s">
        <v>1906</v>
      </c>
      <c r="B4851" t="s">
        <v>46</v>
      </c>
      <c r="C4851" t="s">
        <v>47</v>
      </c>
      <c r="D4851">
        <v>2019</v>
      </c>
      <c r="E4851" s="2">
        <v>50</v>
      </c>
      <c r="F4851" s="2">
        <v>3250</v>
      </c>
      <c r="G4851" s="2">
        <v>3412.5</v>
      </c>
    </row>
    <row r="4852" spans="1:8" x14ac:dyDescent="0.3">
      <c r="A4852" t="s">
        <v>1906</v>
      </c>
      <c r="B4852" t="s">
        <v>483</v>
      </c>
      <c r="C4852" t="s">
        <v>484</v>
      </c>
      <c r="D4852">
        <v>2019</v>
      </c>
      <c r="E4852" s="2">
        <v>100</v>
      </c>
      <c r="F4852" s="2">
        <v>6500</v>
      </c>
      <c r="G4852" s="2">
        <v>6825</v>
      </c>
      <c r="H4852" s="3" t="s">
        <v>14</v>
      </c>
    </row>
    <row r="4853" spans="1:8" x14ac:dyDescent="0.3">
      <c r="A4853" t="s">
        <v>1906</v>
      </c>
      <c r="B4853" t="s">
        <v>483</v>
      </c>
      <c r="C4853" t="s">
        <v>484</v>
      </c>
      <c r="D4853">
        <v>2020</v>
      </c>
      <c r="E4853" s="2">
        <v>100</v>
      </c>
      <c r="F4853" s="2">
        <v>6500</v>
      </c>
      <c r="G4853" s="2">
        <v>6825</v>
      </c>
      <c r="H4853" s="3" t="s">
        <v>14</v>
      </c>
    </row>
    <row r="4854" spans="1:8" x14ac:dyDescent="0.3">
      <c r="A4854" t="s">
        <v>1906</v>
      </c>
      <c r="B4854" t="s">
        <v>483</v>
      </c>
      <c r="C4854" t="s">
        <v>484</v>
      </c>
      <c r="D4854">
        <v>2021</v>
      </c>
      <c r="E4854" s="2">
        <v>50</v>
      </c>
      <c r="F4854" s="2">
        <v>3250</v>
      </c>
      <c r="G4854" s="2">
        <v>3412.5</v>
      </c>
      <c r="H4854" s="3" t="s">
        <v>14</v>
      </c>
    </row>
    <row r="4855" spans="1:8" x14ac:dyDescent="0.3">
      <c r="A4855" t="s">
        <v>1906</v>
      </c>
      <c r="B4855" t="s">
        <v>485</v>
      </c>
      <c r="C4855" t="s">
        <v>486</v>
      </c>
      <c r="D4855">
        <v>2014</v>
      </c>
      <c r="E4855" s="2">
        <v>200</v>
      </c>
      <c r="F4855" s="2">
        <v>15000</v>
      </c>
      <c r="G4855" s="2"/>
    </row>
    <row r="4856" spans="1:8" x14ac:dyDescent="0.3">
      <c r="A4856" t="s">
        <v>1906</v>
      </c>
      <c r="B4856" t="s">
        <v>485</v>
      </c>
      <c r="C4856" t="s">
        <v>486</v>
      </c>
      <c r="D4856">
        <v>2015</v>
      </c>
      <c r="E4856" s="2">
        <v>25</v>
      </c>
      <c r="F4856" s="2">
        <v>1875</v>
      </c>
      <c r="G4856" s="2"/>
    </row>
    <row r="4857" spans="1:8" x14ac:dyDescent="0.3">
      <c r="A4857" t="s">
        <v>1906</v>
      </c>
      <c r="B4857" t="s">
        <v>485</v>
      </c>
      <c r="C4857" t="s">
        <v>486</v>
      </c>
      <c r="D4857">
        <v>2016</v>
      </c>
      <c r="E4857" s="2">
        <v>25</v>
      </c>
      <c r="F4857" s="2">
        <v>1875</v>
      </c>
      <c r="G4857" s="2"/>
    </row>
    <row r="4858" spans="1:8" x14ac:dyDescent="0.3">
      <c r="A4858" t="s">
        <v>1906</v>
      </c>
      <c r="B4858" t="s">
        <v>485</v>
      </c>
      <c r="C4858" t="s">
        <v>486</v>
      </c>
      <c r="D4858">
        <v>2018</v>
      </c>
      <c r="E4858" s="2">
        <v>25</v>
      </c>
      <c r="F4858" s="2">
        <v>1875</v>
      </c>
      <c r="G4858" s="2">
        <v>1968.75</v>
      </c>
    </row>
    <row r="4859" spans="1:8" x14ac:dyDescent="0.3">
      <c r="A4859" t="s">
        <v>1906</v>
      </c>
      <c r="B4859" t="s">
        <v>485</v>
      </c>
      <c r="C4859" t="s">
        <v>486</v>
      </c>
      <c r="D4859">
        <v>2019</v>
      </c>
      <c r="E4859" s="2">
        <v>25</v>
      </c>
      <c r="F4859" s="2">
        <v>1875</v>
      </c>
      <c r="G4859" s="2">
        <v>1968.75</v>
      </c>
    </row>
    <row r="4860" spans="1:8" x14ac:dyDescent="0.3">
      <c r="A4860" t="s">
        <v>1906</v>
      </c>
      <c r="B4860" t="s">
        <v>485</v>
      </c>
      <c r="C4860" t="s">
        <v>486</v>
      </c>
      <c r="D4860">
        <v>2020</v>
      </c>
      <c r="E4860" s="2">
        <v>25</v>
      </c>
      <c r="F4860" s="2">
        <v>1875</v>
      </c>
      <c r="G4860" s="2">
        <v>1968.75</v>
      </c>
    </row>
    <row r="4861" spans="1:8" x14ac:dyDescent="0.3">
      <c r="A4861" t="s">
        <v>1906</v>
      </c>
      <c r="B4861" t="s">
        <v>1908</v>
      </c>
      <c r="C4861" t="s">
        <v>1909</v>
      </c>
      <c r="D4861">
        <v>2012</v>
      </c>
      <c r="E4861" s="2">
        <v>25</v>
      </c>
      <c r="F4861" s="2">
        <v>1750</v>
      </c>
      <c r="G4861" s="2"/>
    </row>
    <row r="4862" spans="1:8" x14ac:dyDescent="0.3">
      <c r="A4862" t="s">
        <v>1906</v>
      </c>
      <c r="B4862" t="s">
        <v>37</v>
      </c>
      <c r="D4862">
        <v>2017</v>
      </c>
      <c r="E4862" s="2">
        <v>10</v>
      </c>
      <c r="F4862" s="2">
        <v>700</v>
      </c>
      <c r="G4862" s="2"/>
      <c r="H4862" s="3" t="s">
        <v>18</v>
      </c>
    </row>
    <row r="4863" spans="1:8" x14ac:dyDescent="0.3">
      <c r="A4863" t="s">
        <v>1906</v>
      </c>
      <c r="B4863" t="s">
        <v>37</v>
      </c>
      <c r="D4863">
        <v>2018</v>
      </c>
      <c r="E4863" s="2">
        <v>30</v>
      </c>
      <c r="F4863" s="2">
        <v>2100</v>
      </c>
      <c r="G4863" s="2">
        <v>2205</v>
      </c>
      <c r="H4863" s="3" t="s">
        <v>18</v>
      </c>
    </row>
    <row r="4864" spans="1:8" x14ac:dyDescent="0.3">
      <c r="A4864" t="s">
        <v>1906</v>
      </c>
      <c r="B4864" t="s">
        <v>37</v>
      </c>
      <c r="D4864">
        <v>2019</v>
      </c>
      <c r="E4864" s="2">
        <v>92.25</v>
      </c>
      <c r="F4864" s="2">
        <v>6457.5</v>
      </c>
      <c r="G4864" s="2">
        <v>6780.375</v>
      </c>
      <c r="H4864" s="3" t="s">
        <v>18</v>
      </c>
    </row>
    <row r="4865" spans="1:8" x14ac:dyDescent="0.3">
      <c r="A4865" t="s">
        <v>1906</v>
      </c>
      <c r="B4865" t="s">
        <v>37</v>
      </c>
      <c r="D4865">
        <v>2020</v>
      </c>
      <c r="E4865" s="2">
        <v>100</v>
      </c>
      <c r="F4865" s="2">
        <v>7000</v>
      </c>
      <c r="G4865" s="2">
        <v>7350</v>
      </c>
      <c r="H4865" s="3" t="s">
        <v>18</v>
      </c>
    </row>
    <row r="4866" spans="1:8" x14ac:dyDescent="0.3">
      <c r="A4866" t="s">
        <v>1906</v>
      </c>
      <c r="B4866" t="s">
        <v>37</v>
      </c>
      <c r="D4866">
        <v>2021</v>
      </c>
      <c r="E4866" s="2">
        <v>70</v>
      </c>
      <c r="F4866" s="2">
        <v>4900</v>
      </c>
      <c r="G4866" s="2">
        <v>5145</v>
      </c>
      <c r="H4866" s="3" t="s">
        <v>18</v>
      </c>
    </row>
    <row r="4867" spans="1:8" x14ac:dyDescent="0.3">
      <c r="A4867" t="s">
        <v>1906</v>
      </c>
      <c r="B4867" t="s">
        <v>12</v>
      </c>
      <c r="C4867" t="s">
        <v>13</v>
      </c>
      <c r="D4867">
        <v>2012</v>
      </c>
      <c r="E4867" s="2">
        <v>50</v>
      </c>
      <c r="F4867" s="2">
        <v>4250</v>
      </c>
      <c r="G4867" s="2"/>
    </row>
    <row r="4868" spans="1:8" x14ac:dyDescent="0.3">
      <c r="A4868" t="s">
        <v>1906</v>
      </c>
      <c r="B4868" t="s">
        <v>12</v>
      </c>
      <c r="C4868" t="s">
        <v>13</v>
      </c>
      <c r="D4868">
        <v>2013</v>
      </c>
      <c r="E4868" s="2">
        <v>25</v>
      </c>
      <c r="F4868" s="2">
        <v>2125</v>
      </c>
      <c r="G4868" s="2"/>
    </row>
    <row r="4869" spans="1:8" x14ac:dyDescent="0.3">
      <c r="A4869" t="s">
        <v>1906</v>
      </c>
      <c r="B4869" t="s">
        <v>12</v>
      </c>
      <c r="C4869" t="s">
        <v>13</v>
      </c>
      <c r="D4869">
        <v>2014</v>
      </c>
      <c r="E4869" s="2">
        <v>25</v>
      </c>
      <c r="F4869" s="2">
        <v>2125</v>
      </c>
      <c r="G4869" s="2"/>
    </row>
    <row r="4870" spans="1:8" x14ac:dyDescent="0.3">
      <c r="A4870" t="s">
        <v>1906</v>
      </c>
      <c r="B4870" t="s">
        <v>12</v>
      </c>
      <c r="C4870" t="s">
        <v>13</v>
      </c>
      <c r="D4870">
        <v>2019</v>
      </c>
      <c r="E4870" s="2">
        <v>50</v>
      </c>
      <c r="F4870" s="2">
        <v>4400</v>
      </c>
      <c r="G4870" s="2">
        <v>4620</v>
      </c>
    </row>
    <row r="4871" spans="1:8" x14ac:dyDescent="0.3">
      <c r="A4871" t="s">
        <v>1910</v>
      </c>
      <c r="B4871" t="s">
        <v>453</v>
      </c>
      <c r="D4871">
        <v>2017</v>
      </c>
      <c r="E4871" s="2">
        <v>1</v>
      </c>
      <c r="F4871" s="2">
        <v>120</v>
      </c>
      <c r="G4871" s="2"/>
    </row>
    <row r="4872" spans="1:8" x14ac:dyDescent="0.3">
      <c r="A4872" t="s">
        <v>1911</v>
      </c>
      <c r="B4872" t="s">
        <v>16</v>
      </c>
      <c r="C4872" t="s">
        <v>17</v>
      </c>
      <c r="D4872">
        <v>2016</v>
      </c>
      <c r="E4872" s="2">
        <v>5</v>
      </c>
      <c r="F4872" s="2">
        <v>550</v>
      </c>
      <c r="G4872" s="2"/>
    </row>
    <row r="4873" spans="1:8" x14ac:dyDescent="0.3">
      <c r="A4873" t="s">
        <v>1911</v>
      </c>
      <c r="B4873" t="s">
        <v>269</v>
      </c>
      <c r="C4873" t="s">
        <v>270</v>
      </c>
      <c r="D4873">
        <v>2016</v>
      </c>
      <c r="E4873" s="2">
        <v>5</v>
      </c>
      <c r="F4873" s="2">
        <v>550</v>
      </c>
      <c r="G4873" s="2"/>
    </row>
    <row r="4874" spans="1:8" x14ac:dyDescent="0.3">
      <c r="A4874" t="s">
        <v>1911</v>
      </c>
      <c r="B4874" t="s">
        <v>471</v>
      </c>
      <c r="C4874" t="s">
        <v>1912</v>
      </c>
      <c r="D4874">
        <v>2015</v>
      </c>
      <c r="E4874" s="2">
        <v>15</v>
      </c>
      <c r="F4874" s="2">
        <v>1650</v>
      </c>
      <c r="G4874" s="2"/>
    </row>
    <row r="4875" spans="1:8" x14ac:dyDescent="0.3">
      <c r="A4875" t="s">
        <v>1911</v>
      </c>
      <c r="B4875" t="s">
        <v>471</v>
      </c>
      <c r="C4875" t="s">
        <v>778</v>
      </c>
      <c r="D4875">
        <v>2015</v>
      </c>
      <c r="E4875" s="2">
        <v>10</v>
      </c>
      <c r="F4875" s="2">
        <v>1100</v>
      </c>
      <c r="G4875" s="2"/>
    </row>
    <row r="4876" spans="1:8" x14ac:dyDescent="0.3">
      <c r="A4876" t="s">
        <v>1911</v>
      </c>
      <c r="B4876" t="s">
        <v>471</v>
      </c>
      <c r="C4876" t="s">
        <v>1912</v>
      </c>
      <c r="D4876">
        <v>2016</v>
      </c>
      <c r="E4876" s="2">
        <v>20</v>
      </c>
      <c r="F4876" s="2">
        <v>2200</v>
      </c>
      <c r="G4876" s="2"/>
    </row>
    <row r="4877" spans="1:8" x14ac:dyDescent="0.3">
      <c r="A4877" t="s">
        <v>1911</v>
      </c>
      <c r="B4877" t="s">
        <v>471</v>
      </c>
      <c r="C4877" t="s">
        <v>1912</v>
      </c>
      <c r="D4877">
        <v>2017</v>
      </c>
      <c r="E4877" s="2">
        <v>25</v>
      </c>
      <c r="F4877" s="2">
        <v>2750</v>
      </c>
      <c r="G4877" s="2"/>
    </row>
    <row r="4878" spans="1:8" x14ac:dyDescent="0.3">
      <c r="A4878" t="s">
        <v>1911</v>
      </c>
      <c r="B4878" t="s">
        <v>471</v>
      </c>
      <c r="C4878" t="s">
        <v>1912</v>
      </c>
      <c r="D4878">
        <v>2018</v>
      </c>
      <c r="E4878" s="2">
        <v>5</v>
      </c>
      <c r="F4878" s="2">
        <v>550</v>
      </c>
      <c r="G4878" s="2">
        <v>577.5</v>
      </c>
    </row>
    <row r="4879" spans="1:8" x14ac:dyDescent="0.3">
      <c r="A4879" t="s">
        <v>1911</v>
      </c>
      <c r="B4879" t="s">
        <v>471</v>
      </c>
      <c r="C4879" t="s">
        <v>1912</v>
      </c>
      <c r="D4879">
        <v>2019</v>
      </c>
      <c r="E4879" s="2">
        <v>10</v>
      </c>
      <c r="F4879" s="2">
        <v>1100</v>
      </c>
      <c r="G4879" s="2">
        <v>1155</v>
      </c>
    </row>
    <row r="4880" spans="1:8" x14ac:dyDescent="0.3">
      <c r="A4880" t="s">
        <v>1911</v>
      </c>
      <c r="B4880" t="s">
        <v>1208</v>
      </c>
      <c r="C4880" t="s">
        <v>1209</v>
      </c>
      <c r="D4880">
        <v>2015</v>
      </c>
      <c r="E4880" s="2">
        <v>40</v>
      </c>
      <c r="F4880" s="2">
        <v>4400</v>
      </c>
      <c r="G4880" s="2"/>
    </row>
    <row r="4881" spans="1:7" x14ac:dyDescent="0.3">
      <c r="A4881" t="s">
        <v>1911</v>
      </c>
      <c r="B4881" t="s">
        <v>1208</v>
      </c>
      <c r="C4881" t="s">
        <v>1209</v>
      </c>
      <c r="D4881">
        <v>2016</v>
      </c>
      <c r="E4881" s="2">
        <v>15</v>
      </c>
      <c r="F4881" s="2">
        <v>1650</v>
      </c>
      <c r="G4881" s="2"/>
    </row>
    <row r="4882" spans="1:7" x14ac:dyDescent="0.3">
      <c r="A4882" t="s">
        <v>1911</v>
      </c>
      <c r="B4882" t="s">
        <v>1208</v>
      </c>
      <c r="C4882" t="s">
        <v>1209</v>
      </c>
      <c r="D4882">
        <v>2017</v>
      </c>
      <c r="E4882" s="2">
        <v>20</v>
      </c>
      <c r="F4882" s="2">
        <v>2200</v>
      </c>
      <c r="G4882" s="2"/>
    </row>
    <row r="4883" spans="1:7" x14ac:dyDescent="0.3">
      <c r="A4883" t="s">
        <v>1911</v>
      </c>
      <c r="B4883" t="s">
        <v>1208</v>
      </c>
      <c r="C4883" t="s">
        <v>1209</v>
      </c>
      <c r="D4883">
        <v>2018</v>
      </c>
      <c r="E4883" s="2">
        <v>5</v>
      </c>
      <c r="F4883" s="2">
        <v>550</v>
      </c>
      <c r="G4883" s="2">
        <v>577.5</v>
      </c>
    </row>
    <row r="4884" spans="1:7" x14ac:dyDescent="0.3">
      <c r="A4884" t="s">
        <v>1911</v>
      </c>
      <c r="B4884" t="s">
        <v>1208</v>
      </c>
      <c r="C4884" t="s">
        <v>1209</v>
      </c>
      <c r="D4884">
        <v>2019</v>
      </c>
      <c r="E4884" s="2">
        <v>10</v>
      </c>
      <c r="F4884" s="2">
        <v>1100</v>
      </c>
      <c r="G4884" s="2">
        <v>1155</v>
      </c>
    </row>
    <row r="4885" spans="1:7" x14ac:dyDescent="0.3">
      <c r="A4885" t="s">
        <v>1911</v>
      </c>
      <c r="B4885" t="s">
        <v>883</v>
      </c>
      <c r="C4885" t="s">
        <v>780</v>
      </c>
      <c r="D4885">
        <v>2015</v>
      </c>
      <c r="E4885" s="2">
        <v>35</v>
      </c>
      <c r="F4885" s="2">
        <v>3850</v>
      </c>
      <c r="G4885" s="2"/>
    </row>
    <row r="4886" spans="1:7" x14ac:dyDescent="0.3">
      <c r="A4886" t="s">
        <v>1911</v>
      </c>
      <c r="B4886" t="s">
        <v>883</v>
      </c>
      <c r="C4886" t="s">
        <v>780</v>
      </c>
      <c r="D4886">
        <v>2016</v>
      </c>
      <c r="E4886" s="2">
        <v>15</v>
      </c>
      <c r="F4886" s="2">
        <v>1650</v>
      </c>
      <c r="G4886" s="2"/>
    </row>
    <row r="4887" spans="1:7" x14ac:dyDescent="0.3">
      <c r="A4887" t="s">
        <v>1911</v>
      </c>
      <c r="B4887" t="s">
        <v>883</v>
      </c>
      <c r="C4887" t="s">
        <v>780</v>
      </c>
      <c r="D4887">
        <v>2017</v>
      </c>
      <c r="E4887" s="2">
        <v>20</v>
      </c>
      <c r="F4887" s="2">
        <v>2200</v>
      </c>
      <c r="G4887" s="2"/>
    </row>
    <row r="4888" spans="1:7" x14ac:dyDescent="0.3">
      <c r="A4888" t="s">
        <v>1911</v>
      </c>
      <c r="B4888" t="s">
        <v>883</v>
      </c>
      <c r="C4888" t="s">
        <v>780</v>
      </c>
      <c r="D4888">
        <v>2018</v>
      </c>
      <c r="E4888" s="2">
        <v>5</v>
      </c>
      <c r="F4888" s="2">
        <v>550</v>
      </c>
      <c r="G4888" s="2">
        <v>577.5</v>
      </c>
    </row>
    <row r="4889" spans="1:7" x14ac:dyDescent="0.3">
      <c r="A4889" t="s">
        <v>1911</v>
      </c>
      <c r="B4889" t="s">
        <v>883</v>
      </c>
      <c r="C4889" t="s">
        <v>780</v>
      </c>
      <c r="D4889">
        <v>2019</v>
      </c>
      <c r="E4889" s="2">
        <v>5</v>
      </c>
      <c r="F4889" s="2">
        <v>550</v>
      </c>
      <c r="G4889" s="2">
        <v>577.5</v>
      </c>
    </row>
    <row r="4890" spans="1:7" x14ac:dyDescent="0.3">
      <c r="A4890" t="s">
        <v>1911</v>
      </c>
      <c r="B4890" t="s">
        <v>12</v>
      </c>
      <c r="C4890" t="s">
        <v>13</v>
      </c>
      <c r="D4890">
        <v>2015</v>
      </c>
      <c r="E4890" s="2">
        <v>35</v>
      </c>
      <c r="F4890" s="2">
        <v>3850</v>
      </c>
      <c r="G4890" s="2"/>
    </row>
    <row r="4891" spans="1:7" x14ac:dyDescent="0.3">
      <c r="A4891" t="s">
        <v>1911</v>
      </c>
      <c r="B4891" t="s">
        <v>12</v>
      </c>
      <c r="C4891" t="s">
        <v>13</v>
      </c>
      <c r="D4891">
        <v>2016</v>
      </c>
      <c r="E4891" s="2">
        <v>20</v>
      </c>
      <c r="F4891" s="2">
        <v>2200</v>
      </c>
      <c r="G4891" s="2"/>
    </row>
    <row r="4892" spans="1:7" x14ac:dyDescent="0.3">
      <c r="A4892" t="s">
        <v>1911</v>
      </c>
      <c r="B4892" t="s">
        <v>12</v>
      </c>
      <c r="C4892" t="s">
        <v>13</v>
      </c>
      <c r="D4892">
        <v>2017</v>
      </c>
      <c r="E4892" s="2">
        <v>20</v>
      </c>
      <c r="F4892" s="2">
        <v>2200</v>
      </c>
      <c r="G4892" s="2"/>
    </row>
    <row r="4893" spans="1:7" x14ac:dyDescent="0.3">
      <c r="A4893" t="s">
        <v>1913</v>
      </c>
      <c r="B4893" t="s">
        <v>359</v>
      </c>
      <c r="C4893" t="s">
        <v>1914</v>
      </c>
      <c r="D4893">
        <v>2011</v>
      </c>
      <c r="E4893" s="2">
        <v>10</v>
      </c>
      <c r="F4893" s="2">
        <v>1900</v>
      </c>
      <c r="G4893" s="2"/>
    </row>
    <row r="4894" spans="1:7" x14ac:dyDescent="0.3">
      <c r="A4894" t="s">
        <v>1913</v>
      </c>
      <c r="B4894" t="s">
        <v>1915</v>
      </c>
      <c r="C4894" t="s">
        <v>1916</v>
      </c>
      <c r="D4894">
        <v>2011</v>
      </c>
      <c r="E4894" s="2">
        <v>10</v>
      </c>
      <c r="F4894" s="2">
        <v>1700</v>
      </c>
      <c r="G4894" s="2"/>
    </row>
    <row r="4895" spans="1:7" x14ac:dyDescent="0.3">
      <c r="A4895" t="s">
        <v>1913</v>
      </c>
      <c r="B4895" t="s">
        <v>1917</v>
      </c>
      <c r="C4895" t="s">
        <v>1918</v>
      </c>
      <c r="D4895">
        <v>2011</v>
      </c>
      <c r="E4895" s="2">
        <v>10</v>
      </c>
      <c r="F4895" s="2">
        <v>3200</v>
      </c>
      <c r="G4895" s="2"/>
    </row>
    <row r="4896" spans="1:7" x14ac:dyDescent="0.3">
      <c r="A4896" t="s">
        <v>1913</v>
      </c>
      <c r="B4896" t="s">
        <v>1452</v>
      </c>
      <c r="C4896" t="s">
        <v>1453</v>
      </c>
      <c r="D4896">
        <v>2012</v>
      </c>
      <c r="E4896" s="2">
        <v>425</v>
      </c>
      <c r="F4896" s="2">
        <v>25500</v>
      </c>
      <c r="G4896" s="2"/>
    </row>
    <row r="4897" spans="1:8" x14ac:dyDescent="0.3">
      <c r="A4897" t="s">
        <v>1919</v>
      </c>
      <c r="B4897" t="s">
        <v>265</v>
      </c>
      <c r="C4897" t="s">
        <v>197</v>
      </c>
      <c r="D4897">
        <v>2019</v>
      </c>
      <c r="E4897" s="2">
        <v>50</v>
      </c>
      <c r="F4897" s="2">
        <v>8375</v>
      </c>
      <c r="G4897" s="2">
        <v>8793.75</v>
      </c>
    </row>
    <row r="4898" spans="1:8" x14ac:dyDescent="0.3">
      <c r="A4898" t="s">
        <v>1920</v>
      </c>
      <c r="B4898" t="s">
        <v>1921</v>
      </c>
      <c r="D4898">
        <v>2009</v>
      </c>
      <c r="E4898" s="2">
        <v>100</v>
      </c>
      <c r="F4898" s="2">
        <v>3850</v>
      </c>
      <c r="G4898" s="2"/>
    </row>
    <row r="4899" spans="1:8" x14ac:dyDescent="0.3">
      <c r="A4899" t="s">
        <v>1920</v>
      </c>
      <c r="B4899" t="s">
        <v>1921</v>
      </c>
      <c r="D4899">
        <v>2009</v>
      </c>
      <c r="E4899" s="2">
        <v>100</v>
      </c>
      <c r="F4899" s="2">
        <v>3671</v>
      </c>
      <c r="G4899" s="2"/>
    </row>
    <row r="4900" spans="1:8" x14ac:dyDescent="0.3">
      <c r="A4900" t="s">
        <v>1920</v>
      </c>
      <c r="B4900" t="s">
        <v>1452</v>
      </c>
      <c r="C4900" t="s">
        <v>1453</v>
      </c>
      <c r="D4900">
        <v>2009</v>
      </c>
      <c r="E4900" s="2">
        <v>50</v>
      </c>
      <c r="F4900" s="2">
        <v>2750</v>
      </c>
      <c r="G4900" s="2"/>
    </row>
    <row r="4901" spans="1:8" x14ac:dyDescent="0.3">
      <c r="A4901" t="s">
        <v>1920</v>
      </c>
      <c r="B4901" t="s">
        <v>1452</v>
      </c>
      <c r="C4901" t="s">
        <v>1453</v>
      </c>
      <c r="D4901">
        <v>2010</v>
      </c>
      <c r="E4901" s="2">
        <v>650</v>
      </c>
      <c r="F4901" s="2">
        <v>35750</v>
      </c>
      <c r="G4901" s="2"/>
    </row>
    <row r="4902" spans="1:8" x14ac:dyDescent="0.3">
      <c r="A4902" t="s">
        <v>1920</v>
      </c>
      <c r="B4902" t="s">
        <v>1452</v>
      </c>
      <c r="C4902" t="s">
        <v>1453</v>
      </c>
      <c r="D4902">
        <v>2011</v>
      </c>
      <c r="E4902" s="2">
        <v>525</v>
      </c>
      <c r="F4902" s="2">
        <v>28875</v>
      </c>
      <c r="G4902" s="2"/>
    </row>
    <row r="4903" spans="1:8" x14ac:dyDescent="0.3">
      <c r="A4903" t="s">
        <v>1920</v>
      </c>
      <c r="B4903" t="s">
        <v>1452</v>
      </c>
      <c r="C4903" t="s">
        <v>1453</v>
      </c>
      <c r="D4903">
        <v>2012</v>
      </c>
      <c r="E4903" s="2">
        <v>425</v>
      </c>
      <c r="F4903" s="2">
        <v>25500</v>
      </c>
      <c r="G4903" s="2"/>
    </row>
    <row r="4904" spans="1:8" x14ac:dyDescent="0.3">
      <c r="A4904" t="s">
        <v>1920</v>
      </c>
      <c r="B4904" t="s">
        <v>1452</v>
      </c>
      <c r="C4904" t="s">
        <v>1453</v>
      </c>
      <c r="D4904">
        <v>2013</v>
      </c>
      <c r="E4904" s="2">
        <v>300</v>
      </c>
      <c r="F4904" s="2">
        <v>18000</v>
      </c>
      <c r="G4904" s="2"/>
    </row>
    <row r="4905" spans="1:8" x14ac:dyDescent="0.3">
      <c r="A4905" t="s">
        <v>1920</v>
      </c>
      <c r="B4905" t="s">
        <v>1922</v>
      </c>
      <c r="C4905" t="s">
        <v>1923</v>
      </c>
      <c r="D4905">
        <v>2010</v>
      </c>
      <c r="E4905" s="2">
        <v>50</v>
      </c>
      <c r="F4905" s="2">
        <v>4784</v>
      </c>
      <c r="G4905" s="2"/>
    </row>
    <row r="4906" spans="1:8" x14ac:dyDescent="0.3">
      <c r="A4906" t="s">
        <v>1920</v>
      </c>
      <c r="B4906" t="s">
        <v>1922</v>
      </c>
      <c r="C4906" t="s">
        <v>1923</v>
      </c>
      <c r="D4906">
        <v>2015</v>
      </c>
      <c r="E4906" s="2">
        <v>25</v>
      </c>
      <c r="F4906" s="2">
        <v>2375</v>
      </c>
      <c r="G4906" s="2"/>
    </row>
    <row r="4907" spans="1:8" x14ac:dyDescent="0.3">
      <c r="A4907" t="s">
        <v>1920</v>
      </c>
      <c r="B4907" t="s">
        <v>1924</v>
      </c>
      <c r="C4907" t="s">
        <v>1925</v>
      </c>
      <c r="D4907">
        <v>2020</v>
      </c>
      <c r="E4907" s="2">
        <v>25</v>
      </c>
      <c r="F4907" s="2">
        <v>2375</v>
      </c>
      <c r="G4907" s="2">
        <v>2493.75</v>
      </c>
    </row>
    <row r="4908" spans="1:8" x14ac:dyDescent="0.3">
      <c r="A4908" t="s">
        <v>1926</v>
      </c>
      <c r="B4908" t="s">
        <v>16</v>
      </c>
      <c r="C4908" t="s">
        <v>17</v>
      </c>
      <c r="D4908">
        <v>2020</v>
      </c>
      <c r="E4908" s="2">
        <v>25</v>
      </c>
      <c r="F4908" s="2">
        <v>2250</v>
      </c>
      <c r="G4908" s="2">
        <v>2362.5</v>
      </c>
      <c r="H4908" s="3" t="s">
        <v>14</v>
      </c>
    </row>
    <row r="4909" spans="1:8" x14ac:dyDescent="0.3">
      <c r="A4909" t="s">
        <v>1926</v>
      </c>
      <c r="B4909" t="s">
        <v>16</v>
      </c>
      <c r="C4909" t="s">
        <v>17</v>
      </c>
      <c r="D4909">
        <v>2021</v>
      </c>
      <c r="E4909" s="2">
        <v>50</v>
      </c>
      <c r="F4909" s="2">
        <v>4500</v>
      </c>
      <c r="G4909" s="2">
        <v>4725</v>
      </c>
      <c r="H4909" s="3" t="s">
        <v>14</v>
      </c>
    </row>
    <row r="4910" spans="1:8" x14ac:dyDescent="0.3">
      <c r="A4910" t="s">
        <v>1926</v>
      </c>
      <c r="B4910" t="s">
        <v>1332</v>
      </c>
      <c r="C4910" t="s">
        <v>1333</v>
      </c>
      <c r="D4910">
        <v>2020</v>
      </c>
      <c r="E4910" s="2">
        <v>25</v>
      </c>
      <c r="F4910" s="2">
        <v>1375</v>
      </c>
      <c r="G4910" s="2">
        <v>1443.75</v>
      </c>
      <c r="H4910" s="3" t="s">
        <v>688</v>
      </c>
    </row>
    <row r="4911" spans="1:8" x14ac:dyDescent="0.3">
      <c r="A4911" t="s">
        <v>1926</v>
      </c>
      <c r="B4911" t="s">
        <v>1332</v>
      </c>
      <c r="C4911" t="s">
        <v>1333</v>
      </c>
      <c r="D4911">
        <v>2021</v>
      </c>
      <c r="E4911" s="2">
        <v>25</v>
      </c>
      <c r="F4911" s="2">
        <v>1375</v>
      </c>
      <c r="G4911" s="2">
        <v>1443.75</v>
      </c>
      <c r="H4911" s="3" t="s">
        <v>688</v>
      </c>
    </row>
    <row r="4912" spans="1:8" x14ac:dyDescent="0.3">
      <c r="A4912" t="s">
        <v>1926</v>
      </c>
      <c r="B4912" t="s">
        <v>665</v>
      </c>
      <c r="D4912">
        <v>2020</v>
      </c>
      <c r="E4912" s="2">
        <v>1</v>
      </c>
      <c r="F4912" s="2">
        <v>105</v>
      </c>
      <c r="G4912" s="2">
        <v>110.25</v>
      </c>
    </row>
    <row r="4913" spans="1:8" x14ac:dyDescent="0.3">
      <c r="A4913" t="s">
        <v>1926</v>
      </c>
      <c r="B4913" t="s">
        <v>35</v>
      </c>
      <c r="D4913">
        <v>2020</v>
      </c>
      <c r="E4913" s="2">
        <v>1</v>
      </c>
      <c r="F4913" s="2">
        <v>57.2</v>
      </c>
      <c r="G4913" s="2">
        <v>60.06</v>
      </c>
      <c r="H4913" s="3" t="s">
        <v>18</v>
      </c>
    </row>
    <row r="4914" spans="1:8" x14ac:dyDescent="0.3">
      <c r="A4914" t="s">
        <v>1926</v>
      </c>
      <c r="B4914" t="s">
        <v>35</v>
      </c>
      <c r="D4914">
        <v>2021</v>
      </c>
      <c r="E4914" s="2">
        <v>2</v>
      </c>
      <c r="F4914" s="2">
        <v>160</v>
      </c>
      <c r="G4914" s="2">
        <v>168</v>
      </c>
      <c r="H4914" s="3" t="s">
        <v>18</v>
      </c>
    </row>
    <row r="4915" spans="1:8" x14ac:dyDescent="0.3">
      <c r="A4915" t="s">
        <v>1926</v>
      </c>
      <c r="B4915" t="s">
        <v>642</v>
      </c>
      <c r="D4915">
        <v>2020</v>
      </c>
      <c r="E4915" s="2">
        <v>1</v>
      </c>
      <c r="F4915" s="2">
        <v>100</v>
      </c>
      <c r="G4915" s="2">
        <v>105</v>
      </c>
      <c r="H4915" s="3" t="s">
        <v>18</v>
      </c>
    </row>
    <row r="4916" spans="1:8" x14ac:dyDescent="0.3">
      <c r="A4916" t="s">
        <v>1926</v>
      </c>
      <c r="B4916" t="s">
        <v>642</v>
      </c>
      <c r="D4916">
        <v>2021</v>
      </c>
      <c r="E4916" s="2">
        <v>1</v>
      </c>
      <c r="F4916" s="2">
        <v>100</v>
      </c>
      <c r="G4916" s="2">
        <v>105</v>
      </c>
      <c r="H4916" s="3" t="s">
        <v>18</v>
      </c>
    </row>
    <row r="4917" spans="1:8" x14ac:dyDescent="0.3">
      <c r="A4917" t="s">
        <v>1926</v>
      </c>
      <c r="B4917" t="s">
        <v>686</v>
      </c>
      <c r="C4917" t="s">
        <v>687</v>
      </c>
      <c r="D4917">
        <v>2020</v>
      </c>
      <c r="E4917" s="2">
        <v>25</v>
      </c>
      <c r="F4917" s="2">
        <v>1250</v>
      </c>
      <c r="G4917" s="2">
        <v>1312.5</v>
      </c>
    </row>
    <row r="4918" spans="1:8" x14ac:dyDescent="0.3">
      <c r="A4918" t="s">
        <v>1926</v>
      </c>
      <c r="B4918" t="s">
        <v>543</v>
      </c>
      <c r="C4918" t="s">
        <v>544</v>
      </c>
      <c r="D4918">
        <v>2021</v>
      </c>
      <c r="E4918" s="2">
        <v>5</v>
      </c>
      <c r="F4918" s="2">
        <v>350</v>
      </c>
      <c r="G4918" s="2">
        <v>367.5</v>
      </c>
      <c r="H4918" s="3" t="s">
        <v>18</v>
      </c>
    </row>
    <row r="4919" spans="1:8" x14ac:dyDescent="0.3">
      <c r="A4919" t="s">
        <v>1926</v>
      </c>
      <c r="B4919" t="s">
        <v>36</v>
      </c>
      <c r="D4919">
        <v>2020</v>
      </c>
      <c r="E4919" s="2">
        <v>5</v>
      </c>
      <c r="F4919" s="2">
        <v>365</v>
      </c>
      <c r="G4919" s="2">
        <v>383.25</v>
      </c>
      <c r="H4919" s="3" t="s">
        <v>18</v>
      </c>
    </row>
    <row r="4920" spans="1:8" x14ac:dyDescent="0.3">
      <c r="A4920" t="s">
        <v>1926</v>
      </c>
      <c r="B4920" t="s">
        <v>36</v>
      </c>
      <c r="D4920">
        <v>2021</v>
      </c>
      <c r="E4920" s="2">
        <v>5</v>
      </c>
      <c r="F4920" s="2">
        <v>365</v>
      </c>
      <c r="G4920" s="2">
        <v>383.25</v>
      </c>
      <c r="H4920" s="3" t="s">
        <v>18</v>
      </c>
    </row>
    <row r="4921" spans="1:8" x14ac:dyDescent="0.3">
      <c r="A4921" t="s">
        <v>1926</v>
      </c>
      <c r="B4921" t="s">
        <v>483</v>
      </c>
      <c r="C4921" t="s">
        <v>484</v>
      </c>
      <c r="D4921">
        <v>2021</v>
      </c>
      <c r="E4921" s="2">
        <v>25</v>
      </c>
      <c r="F4921" s="2">
        <v>1375</v>
      </c>
      <c r="G4921" s="2">
        <v>1443.75</v>
      </c>
      <c r="H4921" s="3" t="s">
        <v>18</v>
      </c>
    </row>
    <row r="4922" spans="1:8" x14ac:dyDescent="0.3">
      <c r="A4922" t="s">
        <v>1926</v>
      </c>
      <c r="B4922" t="s">
        <v>37</v>
      </c>
      <c r="D4922">
        <v>2020</v>
      </c>
      <c r="E4922" s="2">
        <v>5</v>
      </c>
      <c r="F4922" s="2">
        <v>325</v>
      </c>
      <c r="G4922" s="2">
        <v>341.25</v>
      </c>
      <c r="H4922" s="3" t="s">
        <v>18</v>
      </c>
    </row>
    <row r="4923" spans="1:8" x14ac:dyDescent="0.3">
      <c r="A4923" t="s">
        <v>1926</v>
      </c>
      <c r="B4923" t="s">
        <v>37</v>
      </c>
      <c r="D4923">
        <v>2021</v>
      </c>
      <c r="E4923" s="2">
        <v>25</v>
      </c>
      <c r="F4923" s="2">
        <v>1625</v>
      </c>
      <c r="G4923" s="2">
        <v>1706.25</v>
      </c>
      <c r="H4923" s="3" t="s">
        <v>18</v>
      </c>
    </row>
    <row r="4924" spans="1:8" x14ac:dyDescent="0.3">
      <c r="A4924" t="s">
        <v>1927</v>
      </c>
      <c r="B4924" t="s">
        <v>714</v>
      </c>
      <c r="C4924" t="s">
        <v>715</v>
      </c>
      <c r="D4924">
        <v>2017</v>
      </c>
      <c r="E4924" s="2">
        <v>1</v>
      </c>
      <c r="F4924" s="2">
        <v>130</v>
      </c>
      <c r="G4924" s="2"/>
    </row>
    <row r="4925" spans="1:8" x14ac:dyDescent="0.3">
      <c r="A4925" t="s">
        <v>1927</v>
      </c>
      <c r="B4925" t="s">
        <v>55</v>
      </c>
      <c r="D4925">
        <v>2018</v>
      </c>
      <c r="E4925" s="2">
        <v>25</v>
      </c>
      <c r="F4925" s="2">
        <v>7375</v>
      </c>
      <c r="G4925" s="2">
        <v>7743.75</v>
      </c>
    </row>
    <row r="4926" spans="1:8" x14ac:dyDescent="0.3">
      <c r="A4926" t="s">
        <v>1927</v>
      </c>
      <c r="B4926" t="s">
        <v>88</v>
      </c>
      <c r="C4926" t="s">
        <v>89</v>
      </c>
      <c r="D4926">
        <v>2019</v>
      </c>
      <c r="E4926" s="2">
        <v>10</v>
      </c>
      <c r="F4926" s="2">
        <v>2300</v>
      </c>
      <c r="G4926" s="2">
        <v>2415</v>
      </c>
    </row>
    <row r="4927" spans="1:8" x14ac:dyDescent="0.3">
      <c r="A4927" t="s">
        <v>1927</v>
      </c>
      <c r="B4927" t="s">
        <v>631</v>
      </c>
      <c r="C4927" t="s">
        <v>632</v>
      </c>
      <c r="D4927">
        <v>2017</v>
      </c>
      <c r="E4927" s="2">
        <v>1</v>
      </c>
      <c r="F4927" s="2">
        <v>140</v>
      </c>
      <c r="G4927" s="2"/>
    </row>
    <row r="4928" spans="1:8" x14ac:dyDescent="0.3">
      <c r="A4928" t="s">
        <v>1927</v>
      </c>
      <c r="B4928" t="s">
        <v>633</v>
      </c>
      <c r="C4928" t="s">
        <v>634</v>
      </c>
      <c r="D4928">
        <v>2017</v>
      </c>
      <c r="E4928" s="2">
        <v>1</v>
      </c>
      <c r="F4928" s="2">
        <v>140</v>
      </c>
      <c r="G4928" s="2"/>
    </row>
    <row r="4929" spans="1:7" x14ac:dyDescent="0.3">
      <c r="A4929" t="s">
        <v>1927</v>
      </c>
      <c r="B4929" t="s">
        <v>1324</v>
      </c>
      <c r="C4929" t="s">
        <v>789</v>
      </c>
      <c r="D4929">
        <v>2017</v>
      </c>
      <c r="E4929" s="2">
        <v>6</v>
      </c>
      <c r="F4929" s="2">
        <v>960</v>
      </c>
      <c r="G4929" s="2"/>
    </row>
    <row r="4930" spans="1:7" x14ac:dyDescent="0.3">
      <c r="A4930" t="s">
        <v>1927</v>
      </c>
      <c r="B4930" t="s">
        <v>92</v>
      </c>
      <c r="C4930" t="s">
        <v>93</v>
      </c>
      <c r="D4930">
        <v>2017</v>
      </c>
      <c r="E4930" s="2">
        <v>1</v>
      </c>
      <c r="F4930" s="2">
        <v>180</v>
      </c>
      <c r="G4930" s="2"/>
    </row>
    <row r="4931" spans="1:7" x14ac:dyDescent="0.3">
      <c r="A4931" t="s">
        <v>1927</v>
      </c>
      <c r="B4931" t="s">
        <v>1928</v>
      </c>
      <c r="C4931" t="s">
        <v>89</v>
      </c>
      <c r="D4931">
        <v>2017</v>
      </c>
      <c r="E4931" s="2">
        <v>6</v>
      </c>
      <c r="F4931" s="2">
        <v>1380</v>
      </c>
      <c r="G4931" s="2"/>
    </row>
    <row r="4932" spans="1:7" x14ac:dyDescent="0.3">
      <c r="A4932" t="s">
        <v>1927</v>
      </c>
      <c r="B4932" t="s">
        <v>1928</v>
      </c>
      <c r="C4932" t="s">
        <v>89</v>
      </c>
      <c r="D4932">
        <v>2018</v>
      </c>
      <c r="E4932" s="2">
        <v>10</v>
      </c>
      <c r="F4932" s="2">
        <v>2300</v>
      </c>
      <c r="G4932" s="2">
        <v>2415</v>
      </c>
    </row>
    <row r="4933" spans="1:7" x14ac:dyDescent="0.3">
      <c r="A4933" t="s">
        <v>1927</v>
      </c>
      <c r="B4933" t="s">
        <v>1929</v>
      </c>
      <c r="C4933" t="s">
        <v>113</v>
      </c>
      <c r="D4933">
        <v>2019</v>
      </c>
      <c r="E4933" s="2">
        <v>5</v>
      </c>
      <c r="F4933" s="2">
        <v>825</v>
      </c>
      <c r="G4933" s="2">
        <v>866.25</v>
      </c>
    </row>
    <row r="4934" spans="1:7" x14ac:dyDescent="0.3">
      <c r="A4934" t="s">
        <v>1927</v>
      </c>
      <c r="B4934" t="s">
        <v>1802</v>
      </c>
      <c r="D4934">
        <v>2020</v>
      </c>
      <c r="E4934" s="2">
        <v>1</v>
      </c>
      <c r="F4934" s="2">
        <v>165</v>
      </c>
      <c r="G4934" s="2">
        <v>173.25</v>
      </c>
    </row>
    <row r="4935" spans="1:7" x14ac:dyDescent="0.3">
      <c r="A4935" t="s">
        <v>1927</v>
      </c>
      <c r="B4935" t="s">
        <v>187</v>
      </c>
      <c r="C4935" t="s">
        <v>188</v>
      </c>
      <c r="D4935">
        <v>2017</v>
      </c>
      <c r="E4935" s="2">
        <v>1</v>
      </c>
      <c r="F4935" s="2">
        <v>110</v>
      </c>
      <c r="G4935" s="2"/>
    </row>
    <row r="4936" spans="1:7" x14ac:dyDescent="0.3">
      <c r="A4936" t="s">
        <v>1927</v>
      </c>
      <c r="B4936" t="s">
        <v>126</v>
      </c>
      <c r="D4936">
        <v>2019</v>
      </c>
      <c r="E4936" s="2">
        <v>3</v>
      </c>
      <c r="F4936" s="2">
        <v>675</v>
      </c>
      <c r="G4936" s="2">
        <v>708.75</v>
      </c>
    </row>
    <row r="4937" spans="1:7" x14ac:dyDescent="0.3">
      <c r="A4937" t="s">
        <v>1927</v>
      </c>
      <c r="B4937" t="s">
        <v>127</v>
      </c>
      <c r="D4937">
        <v>2019</v>
      </c>
      <c r="E4937" s="2">
        <v>5</v>
      </c>
      <c r="F4937" s="2">
        <v>1125</v>
      </c>
      <c r="G4937" s="2">
        <v>1181.25</v>
      </c>
    </row>
    <row r="4938" spans="1:7" x14ac:dyDescent="0.3">
      <c r="A4938" t="s">
        <v>1927</v>
      </c>
      <c r="B4938" t="s">
        <v>128</v>
      </c>
      <c r="D4938">
        <v>2019</v>
      </c>
      <c r="E4938" s="2">
        <v>3</v>
      </c>
      <c r="F4938" s="2">
        <v>675</v>
      </c>
      <c r="G4938" s="2">
        <v>708.75</v>
      </c>
    </row>
    <row r="4939" spans="1:7" x14ac:dyDescent="0.3">
      <c r="A4939" t="s">
        <v>1927</v>
      </c>
      <c r="B4939" t="s">
        <v>72</v>
      </c>
      <c r="C4939" t="s">
        <v>73</v>
      </c>
      <c r="D4939">
        <v>2018</v>
      </c>
      <c r="E4939" s="2">
        <v>10</v>
      </c>
      <c r="F4939" s="2">
        <v>2600</v>
      </c>
      <c r="G4939" s="2">
        <v>2730</v>
      </c>
    </row>
    <row r="4940" spans="1:7" x14ac:dyDescent="0.3">
      <c r="A4940" t="s">
        <v>1927</v>
      </c>
      <c r="B4940" t="s">
        <v>46</v>
      </c>
      <c r="C4940" t="s">
        <v>47</v>
      </c>
      <c r="D4940">
        <v>2018</v>
      </c>
      <c r="E4940" s="2">
        <v>5</v>
      </c>
      <c r="F4940" s="2">
        <v>650</v>
      </c>
      <c r="G4940" s="2">
        <v>682.5</v>
      </c>
    </row>
    <row r="4941" spans="1:7" x14ac:dyDescent="0.3">
      <c r="A4941" t="s">
        <v>1927</v>
      </c>
      <c r="B4941" t="s">
        <v>841</v>
      </c>
      <c r="C4941" t="s">
        <v>169</v>
      </c>
      <c r="D4941">
        <v>2020</v>
      </c>
      <c r="E4941" s="2">
        <v>25</v>
      </c>
      <c r="F4941" s="2">
        <v>3375</v>
      </c>
      <c r="G4941" s="2">
        <v>3543.75</v>
      </c>
    </row>
    <row r="4942" spans="1:7" x14ac:dyDescent="0.3">
      <c r="A4942" t="s">
        <v>1927</v>
      </c>
      <c r="B4942" t="s">
        <v>203</v>
      </c>
      <c r="C4942" t="s">
        <v>204</v>
      </c>
      <c r="D4942">
        <v>2017</v>
      </c>
      <c r="E4942" s="2">
        <v>1</v>
      </c>
      <c r="F4942" s="2">
        <v>140</v>
      </c>
      <c r="G4942" s="2"/>
    </row>
    <row r="4943" spans="1:7" x14ac:dyDescent="0.3">
      <c r="A4943" t="s">
        <v>1927</v>
      </c>
      <c r="B4943" t="s">
        <v>157</v>
      </c>
      <c r="C4943" t="s">
        <v>158</v>
      </c>
      <c r="D4943">
        <v>2018</v>
      </c>
      <c r="E4943" s="2">
        <v>5</v>
      </c>
      <c r="F4943" s="2">
        <v>3150</v>
      </c>
      <c r="G4943" s="2">
        <v>3307.5</v>
      </c>
    </row>
    <row r="4944" spans="1:7" x14ac:dyDescent="0.3">
      <c r="A4944" t="s">
        <v>1927</v>
      </c>
      <c r="B4944" t="s">
        <v>161</v>
      </c>
      <c r="C4944" t="s">
        <v>162</v>
      </c>
      <c r="D4944">
        <v>2018</v>
      </c>
      <c r="E4944" s="2">
        <v>25</v>
      </c>
      <c r="F4944" s="2">
        <v>14250</v>
      </c>
      <c r="G4944" s="2">
        <v>14962.5</v>
      </c>
    </row>
    <row r="4945" spans="1:7" x14ac:dyDescent="0.3">
      <c r="A4945" t="s">
        <v>1930</v>
      </c>
      <c r="B4945" t="s">
        <v>117</v>
      </c>
      <c r="C4945" t="s">
        <v>118</v>
      </c>
      <c r="D4945">
        <v>2018</v>
      </c>
      <c r="E4945" s="2">
        <v>25</v>
      </c>
      <c r="F4945" s="2">
        <v>5500</v>
      </c>
      <c r="G4945" s="2">
        <v>5775</v>
      </c>
    </row>
    <row r="4946" spans="1:7" x14ac:dyDescent="0.3">
      <c r="A4946" t="s">
        <v>1930</v>
      </c>
      <c r="B4946" t="s">
        <v>196</v>
      </c>
      <c r="C4946" t="s">
        <v>197</v>
      </c>
      <c r="D4946">
        <v>2013</v>
      </c>
      <c r="E4946" s="2">
        <v>21</v>
      </c>
      <c r="F4946" s="2">
        <v>5250</v>
      </c>
      <c r="G4946" s="2"/>
    </row>
    <row r="4947" spans="1:7" x14ac:dyDescent="0.3">
      <c r="A4947" t="s">
        <v>1930</v>
      </c>
      <c r="B4947" t="s">
        <v>196</v>
      </c>
      <c r="C4947" t="s">
        <v>197</v>
      </c>
      <c r="D4947">
        <v>2014</v>
      </c>
      <c r="E4947" s="2">
        <v>5</v>
      </c>
      <c r="F4947" s="2">
        <v>1250</v>
      </c>
      <c r="G4947" s="2"/>
    </row>
    <row r="4948" spans="1:7" x14ac:dyDescent="0.3">
      <c r="A4948" t="s">
        <v>1930</v>
      </c>
      <c r="B4948" t="s">
        <v>196</v>
      </c>
      <c r="C4948" t="s">
        <v>197</v>
      </c>
      <c r="D4948">
        <v>2015</v>
      </c>
      <c r="E4948" s="2">
        <v>5</v>
      </c>
      <c r="F4948" s="2">
        <v>1200</v>
      </c>
      <c r="G4948" s="2"/>
    </row>
    <row r="4949" spans="1:7" x14ac:dyDescent="0.3">
      <c r="A4949" t="s">
        <v>1930</v>
      </c>
      <c r="B4949" t="s">
        <v>196</v>
      </c>
      <c r="C4949" t="s">
        <v>197</v>
      </c>
      <c r="D4949">
        <v>2016</v>
      </c>
      <c r="E4949" s="2">
        <v>15</v>
      </c>
      <c r="F4949" s="2">
        <v>3600</v>
      </c>
      <c r="G4949" s="2"/>
    </row>
    <row r="4950" spans="1:7" x14ac:dyDescent="0.3">
      <c r="A4950" t="s">
        <v>1930</v>
      </c>
      <c r="B4950" t="s">
        <v>196</v>
      </c>
      <c r="C4950" t="s">
        <v>197</v>
      </c>
      <c r="D4950">
        <v>2018</v>
      </c>
      <c r="E4950" s="2">
        <v>50</v>
      </c>
      <c r="F4950" s="2">
        <v>9000</v>
      </c>
      <c r="G4950" s="2">
        <v>9450</v>
      </c>
    </row>
    <row r="4951" spans="1:7" x14ac:dyDescent="0.3">
      <c r="A4951" t="s">
        <v>1930</v>
      </c>
      <c r="B4951" t="s">
        <v>318</v>
      </c>
      <c r="C4951" t="s">
        <v>319</v>
      </c>
      <c r="D4951">
        <v>2013</v>
      </c>
      <c r="E4951" s="2">
        <v>15</v>
      </c>
      <c r="F4951" s="2">
        <v>3150</v>
      </c>
      <c r="G4951" s="2"/>
    </row>
    <row r="4952" spans="1:7" x14ac:dyDescent="0.3">
      <c r="A4952" t="s">
        <v>1930</v>
      </c>
      <c r="B4952" t="s">
        <v>318</v>
      </c>
      <c r="C4952" t="s">
        <v>319</v>
      </c>
      <c r="D4952">
        <v>2014</v>
      </c>
      <c r="E4952" s="2">
        <v>5</v>
      </c>
      <c r="F4952" s="2">
        <v>1050</v>
      </c>
      <c r="G4952" s="2"/>
    </row>
    <row r="4953" spans="1:7" x14ac:dyDescent="0.3">
      <c r="A4953" t="s">
        <v>1930</v>
      </c>
      <c r="B4953" t="s">
        <v>318</v>
      </c>
      <c r="C4953" t="s">
        <v>319</v>
      </c>
      <c r="D4953">
        <v>2015</v>
      </c>
      <c r="E4953" s="2">
        <v>5</v>
      </c>
      <c r="F4953" s="2">
        <v>1050</v>
      </c>
      <c r="G4953" s="2"/>
    </row>
    <row r="4954" spans="1:7" x14ac:dyDescent="0.3">
      <c r="A4954" t="s">
        <v>1930</v>
      </c>
      <c r="B4954" t="s">
        <v>318</v>
      </c>
      <c r="C4954" t="s">
        <v>319</v>
      </c>
      <c r="D4954">
        <v>2016</v>
      </c>
      <c r="E4954" s="2">
        <v>5</v>
      </c>
      <c r="F4954" s="2">
        <v>1050</v>
      </c>
      <c r="G4954" s="2"/>
    </row>
    <row r="4955" spans="1:7" x14ac:dyDescent="0.3">
      <c r="A4955" t="s">
        <v>1930</v>
      </c>
      <c r="B4955" t="s">
        <v>318</v>
      </c>
      <c r="C4955" t="s">
        <v>319</v>
      </c>
      <c r="D4955">
        <v>2017</v>
      </c>
      <c r="E4955" s="2">
        <v>5</v>
      </c>
      <c r="F4955" s="2">
        <v>1050</v>
      </c>
      <c r="G4955" s="2"/>
    </row>
    <row r="4956" spans="1:7" x14ac:dyDescent="0.3">
      <c r="A4956" t="s">
        <v>1930</v>
      </c>
      <c r="B4956" t="s">
        <v>318</v>
      </c>
      <c r="C4956" t="s">
        <v>319</v>
      </c>
      <c r="D4956">
        <v>2018</v>
      </c>
      <c r="E4956" s="2">
        <v>100</v>
      </c>
      <c r="F4956" s="2">
        <v>17000</v>
      </c>
      <c r="G4956" s="2">
        <v>17850</v>
      </c>
    </row>
    <row r="4957" spans="1:7" x14ac:dyDescent="0.3">
      <c r="A4957" t="s">
        <v>1930</v>
      </c>
      <c r="B4957" t="s">
        <v>318</v>
      </c>
      <c r="C4957" t="s">
        <v>319</v>
      </c>
      <c r="D4957">
        <v>2019</v>
      </c>
      <c r="E4957" s="2">
        <v>25</v>
      </c>
      <c r="F4957" s="2">
        <v>4250</v>
      </c>
      <c r="G4957" s="2">
        <v>4462.5</v>
      </c>
    </row>
    <row r="4958" spans="1:7" x14ac:dyDescent="0.3">
      <c r="A4958" t="s">
        <v>1931</v>
      </c>
      <c r="B4958" t="s">
        <v>82</v>
      </c>
      <c r="C4958" t="s">
        <v>83</v>
      </c>
      <c r="D4958">
        <v>2019</v>
      </c>
      <c r="E4958" s="2">
        <v>20</v>
      </c>
      <c r="F4958" s="2">
        <v>5700</v>
      </c>
      <c r="G4958" s="2">
        <v>5985</v>
      </c>
    </row>
    <row r="4959" spans="1:7" x14ac:dyDescent="0.3">
      <c r="A4959" t="s">
        <v>1931</v>
      </c>
      <c r="B4959" t="s">
        <v>600</v>
      </c>
      <c r="C4959" t="s">
        <v>75</v>
      </c>
      <c r="D4959">
        <v>2020</v>
      </c>
      <c r="E4959" s="2">
        <v>25</v>
      </c>
      <c r="F4959" s="2">
        <v>4575</v>
      </c>
      <c r="G4959" s="2">
        <v>4803.75</v>
      </c>
    </row>
    <row r="4960" spans="1:7" x14ac:dyDescent="0.3">
      <c r="A4960" t="s">
        <v>1932</v>
      </c>
      <c r="B4960" t="s">
        <v>280</v>
      </c>
      <c r="C4960" t="s">
        <v>224</v>
      </c>
      <c r="D4960">
        <v>2016</v>
      </c>
      <c r="E4960" s="2">
        <v>5</v>
      </c>
      <c r="F4960" s="2">
        <v>900</v>
      </c>
      <c r="G4960" s="2"/>
    </row>
    <row r="4961" spans="1:7" x14ac:dyDescent="0.3">
      <c r="A4961" t="s">
        <v>1932</v>
      </c>
      <c r="B4961" t="s">
        <v>55</v>
      </c>
      <c r="D4961">
        <v>2018</v>
      </c>
      <c r="E4961" s="2">
        <v>2</v>
      </c>
      <c r="F4961" s="2">
        <v>360</v>
      </c>
      <c r="G4961" s="2">
        <v>378</v>
      </c>
    </row>
    <row r="4962" spans="1:7" x14ac:dyDescent="0.3">
      <c r="A4962" t="s">
        <v>1932</v>
      </c>
      <c r="B4962" t="s">
        <v>55</v>
      </c>
      <c r="D4962">
        <v>2019</v>
      </c>
      <c r="E4962" s="2">
        <v>5</v>
      </c>
      <c r="F4962" s="2">
        <v>900</v>
      </c>
      <c r="G4962" s="2">
        <v>945</v>
      </c>
    </row>
    <row r="4963" spans="1:7" x14ac:dyDescent="0.3">
      <c r="A4963" t="s">
        <v>1932</v>
      </c>
      <c r="B4963" t="s">
        <v>400</v>
      </c>
      <c r="D4963">
        <v>2019</v>
      </c>
      <c r="E4963" s="2">
        <v>8</v>
      </c>
      <c r="F4963" s="2">
        <v>1760</v>
      </c>
      <c r="G4963" s="2">
        <v>1848</v>
      </c>
    </row>
    <row r="4964" spans="1:7" x14ac:dyDescent="0.3">
      <c r="A4964" t="s">
        <v>1932</v>
      </c>
      <c r="B4964" t="s">
        <v>400</v>
      </c>
      <c r="D4964">
        <v>2020</v>
      </c>
      <c r="E4964" s="2">
        <v>2</v>
      </c>
      <c r="F4964" s="2">
        <v>440</v>
      </c>
      <c r="G4964" s="2">
        <v>462</v>
      </c>
    </row>
    <row r="4965" spans="1:7" x14ac:dyDescent="0.3">
      <c r="A4965" t="s">
        <v>1932</v>
      </c>
      <c r="B4965" t="s">
        <v>99</v>
      </c>
      <c r="C4965" t="s">
        <v>100</v>
      </c>
      <c r="D4965">
        <v>2017</v>
      </c>
      <c r="E4965" s="2">
        <v>5</v>
      </c>
      <c r="F4965" s="2">
        <v>1100</v>
      </c>
      <c r="G4965" s="2"/>
    </row>
    <row r="4966" spans="1:7" x14ac:dyDescent="0.3">
      <c r="A4966" t="s">
        <v>1932</v>
      </c>
      <c r="B4966" t="s">
        <v>99</v>
      </c>
      <c r="C4966" t="s">
        <v>100</v>
      </c>
      <c r="D4966">
        <v>2019</v>
      </c>
      <c r="E4966" s="2">
        <v>5</v>
      </c>
      <c r="F4966" s="2">
        <v>950</v>
      </c>
      <c r="G4966" s="2">
        <v>997.5</v>
      </c>
    </row>
    <row r="4967" spans="1:7" x14ac:dyDescent="0.3">
      <c r="A4967" t="s">
        <v>1932</v>
      </c>
      <c r="B4967" t="s">
        <v>99</v>
      </c>
      <c r="C4967" t="s">
        <v>100</v>
      </c>
      <c r="D4967">
        <v>2020</v>
      </c>
      <c r="E4967" s="2">
        <v>2</v>
      </c>
      <c r="F4967" s="2">
        <v>380</v>
      </c>
      <c r="G4967" s="2">
        <v>399</v>
      </c>
    </row>
    <row r="4968" spans="1:7" x14ac:dyDescent="0.3">
      <c r="A4968" t="s">
        <v>1932</v>
      </c>
      <c r="B4968" t="s">
        <v>105</v>
      </c>
      <c r="C4968" t="s">
        <v>106</v>
      </c>
      <c r="D4968">
        <v>2019</v>
      </c>
      <c r="E4968" s="2">
        <v>1</v>
      </c>
      <c r="F4968" s="2">
        <v>220</v>
      </c>
      <c r="G4968" s="2">
        <v>231</v>
      </c>
    </row>
    <row r="4969" spans="1:7" x14ac:dyDescent="0.3">
      <c r="A4969" t="s">
        <v>1932</v>
      </c>
      <c r="B4969" t="s">
        <v>120</v>
      </c>
      <c r="C4969" t="s">
        <v>121</v>
      </c>
      <c r="D4969">
        <v>2013</v>
      </c>
      <c r="E4969" s="2">
        <v>21</v>
      </c>
      <c r="F4969" s="2">
        <v>5250</v>
      </c>
      <c r="G4969" s="2"/>
    </row>
    <row r="4970" spans="1:7" x14ac:dyDescent="0.3">
      <c r="A4970" t="s">
        <v>1932</v>
      </c>
      <c r="B4970" t="s">
        <v>120</v>
      </c>
      <c r="C4970" t="s">
        <v>121</v>
      </c>
      <c r="D4970">
        <v>2014</v>
      </c>
      <c r="E4970" s="2">
        <v>5</v>
      </c>
      <c r="F4970" s="2">
        <v>1250</v>
      </c>
      <c r="G4970" s="2"/>
    </row>
    <row r="4971" spans="1:7" x14ac:dyDescent="0.3">
      <c r="A4971" t="s">
        <v>1932</v>
      </c>
      <c r="B4971" t="s">
        <v>120</v>
      </c>
      <c r="C4971" t="s">
        <v>121</v>
      </c>
      <c r="D4971">
        <v>2015</v>
      </c>
      <c r="E4971" s="2">
        <v>5</v>
      </c>
      <c r="F4971" s="2">
        <v>1200</v>
      </c>
      <c r="G4971" s="2"/>
    </row>
    <row r="4972" spans="1:7" x14ac:dyDescent="0.3">
      <c r="A4972" t="s">
        <v>1932</v>
      </c>
      <c r="B4972" t="s">
        <v>120</v>
      </c>
      <c r="C4972" t="s">
        <v>121</v>
      </c>
      <c r="D4972">
        <v>2016</v>
      </c>
      <c r="E4972" s="2">
        <v>15</v>
      </c>
      <c r="F4972" s="2">
        <v>3600</v>
      </c>
      <c r="G4972" s="2"/>
    </row>
    <row r="4973" spans="1:7" x14ac:dyDescent="0.3">
      <c r="A4973" t="s">
        <v>1932</v>
      </c>
      <c r="B4973" t="s">
        <v>1797</v>
      </c>
      <c r="C4973" t="s">
        <v>1798</v>
      </c>
      <c r="D4973">
        <v>2014</v>
      </c>
      <c r="E4973" s="2">
        <v>10</v>
      </c>
      <c r="F4973" s="2">
        <v>2400</v>
      </c>
      <c r="G4973" s="2"/>
    </row>
    <row r="4974" spans="1:7" x14ac:dyDescent="0.3">
      <c r="A4974" t="s">
        <v>1932</v>
      </c>
      <c r="B4974" t="s">
        <v>196</v>
      </c>
      <c r="C4974" t="s">
        <v>197</v>
      </c>
      <c r="D4974">
        <v>2013</v>
      </c>
      <c r="E4974" s="2">
        <v>15</v>
      </c>
      <c r="F4974" s="2">
        <v>3150</v>
      </c>
      <c r="G4974" s="2"/>
    </row>
    <row r="4975" spans="1:7" x14ac:dyDescent="0.3">
      <c r="A4975" t="s">
        <v>1932</v>
      </c>
      <c r="B4975" t="s">
        <v>196</v>
      </c>
      <c r="C4975" t="s">
        <v>197</v>
      </c>
      <c r="D4975">
        <v>2014</v>
      </c>
      <c r="E4975" s="2">
        <v>5</v>
      </c>
      <c r="F4975" s="2">
        <v>1050</v>
      </c>
      <c r="G4975" s="2"/>
    </row>
    <row r="4976" spans="1:7" x14ac:dyDescent="0.3">
      <c r="A4976" t="s">
        <v>1932</v>
      </c>
      <c r="B4976" t="s">
        <v>196</v>
      </c>
      <c r="C4976" t="s">
        <v>197</v>
      </c>
      <c r="D4976">
        <v>2015</v>
      </c>
      <c r="E4976" s="2">
        <v>5</v>
      </c>
      <c r="F4976" s="2">
        <v>1050</v>
      </c>
      <c r="G4976" s="2"/>
    </row>
    <row r="4977" spans="1:8" x14ac:dyDescent="0.3">
      <c r="A4977" t="s">
        <v>1932</v>
      </c>
      <c r="B4977" t="s">
        <v>196</v>
      </c>
      <c r="C4977" t="s">
        <v>197</v>
      </c>
      <c r="D4977">
        <v>2016</v>
      </c>
      <c r="E4977" s="2">
        <v>5</v>
      </c>
      <c r="F4977" s="2">
        <v>1050</v>
      </c>
      <c r="G4977" s="2"/>
    </row>
    <row r="4978" spans="1:8" x14ac:dyDescent="0.3">
      <c r="A4978" t="s">
        <v>1932</v>
      </c>
      <c r="B4978" t="s">
        <v>196</v>
      </c>
      <c r="C4978" t="s">
        <v>197</v>
      </c>
      <c r="D4978">
        <v>2017</v>
      </c>
      <c r="E4978" s="2">
        <v>5</v>
      </c>
      <c r="F4978" s="2">
        <v>1050</v>
      </c>
      <c r="G4978" s="2"/>
    </row>
    <row r="4979" spans="1:8" x14ac:dyDescent="0.3">
      <c r="A4979" t="s">
        <v>1932</v>
      </c>
      <c r="B4979" t="s">
        <v>196</v>
      </c>
      <c r="C4979" t="s">
        <v>197</v>
      </c>
      <c r="D4979">
        <v>2018</v>
      </c>
      <c r="E4979" s="2">
        <v>2</v>
      </c>
      <c r="F4979" s="2">
        <v>420</v>
      </c>
      <c r="G4979" s="2">
        <v>441</v>
      </c>
    </row>
    <row r="4980" spans="1:8" x14ac:dyDescent="0.3">
      <c r="A4980" t="s">
        <v>1932</v>
      </c>
      <c r="B4980" t="s">
        <v>196</v>
      </c>
      <c r="C4980" t="s">
        <v>197</v>
      </c>
      <c r="D4980">
        <v>2019</v>
      </c>
      <c r="E4980" s="2">
        <v>12</v>
      </c>
      <c r="F4980" s="2">
        <v>2520</v>
      </c>
      <c r="G4980" s="2">
        <v>2646</v>
      </c>
    </row>
    <row r="4981" spans="1:8" x14ac:dyDescent="0.3">
      <c r="A4981" t="s">
        <v>1932</v>
      </c>
      <c r="B4981" t="s">
        <v>599</v>
      </c>
      <c r="C4981" t="s">
        <v>413</v>
      </c>
      <c r="D4981">
        <v>2020</v>
      </c>
      <c r="E4981" s="2">
        <v>10</v>
      </c>
      <c r="F4981" s="2">
        <v>2350</v>
      </c>
      <c r="G4981" s="2">
        <v>2467.5</v>
      </c>
    </row>
    <row r="4982" spans="1:8" x14ac:dyDescent="0.3">
      <c r="A4982" t="s">
        <v>1932</v>
      </c>
      <c r="B4982" t="s">
        <v>72</v>
      </c>
      <c r="C4982" t="s">
        <v>319</v>
      </c>
      <c r="D4982">
        <v>2019</v>
      </c>
      <c r="E4982" s="2">
        <v>10</v>
      </c>
      <c r="F4982" s="2">
        <v>1500</v>
      </c>
      <c r="G4982" s="2">
        <v>1575</v>
      </c>
      <c r="H4982" s="3" t="s">
        <v>18</v>
      </c>
    </row>
    <row r="4983" spans="1:8" x14ac:dyDescent="0.3">
      <c r="A4983" t="s">
        <v>1932</v>
      </c>
      <c r="B4983" t="s">
        <v>72</v>
      </c>
      <c r="C4983" t="s">
        <v>319</v>
      </c>
      <c r="D4983">
        <v>2020</v>
      </c>
      <c r="E4983" s="2">
        <v>16</v>
      </c>
      <c r="F4983" s="2">
        <v>2400</v>
      </c>
      <c r="G4983" s="2">
        <v>2520</v>
      </c>
      <c r="H4983" s="3" t="s">
        <v>18</v>
      </c>
    </row>
    <row r="4984" spans="1:8" x14ac:dyDescent="0.3">
      <c r="A4984" t="s">
        <v>1932</v>
      </c>
      <c r="B4984" t="s">
        <v>72</v>
      </c>
      <c r="C4984" t="s">
        <v>319</v>
      </c>
      <c r="D4984">
        <v>2021</v>
      </c>
      <c r="E4984" s="2">
        <v>10</v>
      </c>
      <c r="F4984" s="2">
        <v>1500</v>
      </c>
      <c r="G4984" s="2">
        <v>1575</v>
      </c>
      <c r="H4984" s="3" t="s">
        <v>18</v>
      </c>
    </row>
    <row r="4985" spans="1:8" x14ac:dyDescent="0.3">
      <c r="A4985" t="s">
        <v>1933</v>
      </c>
      <c r="B4985" t="s">
        <v>51</v>
      </c>
      <c r="C4985" t="s">
        <v>52</v>
      </c>
      <c r="D4985">
        <v>2019</v>
      </c>
      <c r="E4985" s="2">
        <v>60</v>
      </c>
      <c r="F4985" s="2">
        <v>11760</v>
      </c>
      <c r="G4985" s="2">
        <v>11760</v>
      </c>
    </row>
    <row r="4986" spans="1:8" x14ac:dyDescent="0.3">
      <c r="A4986" t="s">
        <v>1933</v>
      </c>
      <c r="B4986" t="s">
        <v>503</v>
      </c>
      <c r="D4986">
        <v>2019</v>
      </c>
      <c r="E4986" s="2">
        <v>10</v>
      </c>
      <c r="F4986" s="2">
        <v>1750</v>
      </c>
      <c r="G4986" s="2">
        <v>1750</v>
      </c>
    </row>
    <row r="4987" spans="1:8" x14ac:dyDescent="0.3">
      <c r="A4987" t="s">
        <v>1933</v>
      </c>
      <c r="B4987" t="s">
        <v>84</v>
      </c>
      <c r="C4987" t="s">
        <v>85</v>
      </c>
      <c r="D4987">
        <v>2019</v>
      </c>
      <c r="E4987" s="2">
        <v>15</v>
      </c>
      <c r="F4987" s="2">
        <v>2400</v>
      </c>
      <c r="G4987" s="2">
        <v>2400</v>
      </c>
    </row>
    <row r="4988" spans="1:8" x14ac:dyDescent="0.3">
      <c r="A4988" t="s">
        <v>1933</v>
      </c>
      <c r="B4988" t="s">
        <v>626</v>
      </c>
      <c r="C4988" t="s">
        <v>582</v>
      </c>
      <c r="D4988">
        <v>2019</v>
      </c>
      <c r="E4988" s="2">
        <v>10</v>
      </c>
      <c r="F4988" s="2">
        <v>1800</v>
      </c>
      <c r="G4988" s="2">
        <v>1800</v>
      </c>
    </row>
    <row r="4989" spans="1:8" x14ac:dyDescent="0.3">
      <c r="A4989" t="s">
        <v>1933</v>
      </c>
      <c r="B4989" t="s">
        <v>55</v>
      </c>
      <c r="D4989">
        <v>2019</v>
      </c>
      <c r="E4989" s="2">
        <v>71</v>
      </c>
      <c r="F4989" s="2">
        <v>20075</v>
      </c>
      <c r="G4989" s="2">
        <v>20075</v>
      </c>
    </row>
    <row r="4990" spans="1:8" x14ac:dyDescent="0.3">
      <c r="A4990" t="s">
        <v>1933</v>
      </c>
      <c r="B4990" t="s">
        <v>551</v>
      </c>
      <c r="D4990">
        <v>2019</v>
      </c>
      <c r="E4990" s="2">
        <v>5</v>
      </c>
      <c r="F4990" s="2">
        <v>750</v>
      </c>
      <c r="G4990" s="2">
        <v>750</v>
      </c>
    </row>
    <row r="4991" spans="1:8" x14ac:dyDescent="0.3">
      <c r="A4991" t="s">
        <v>1933</v>
      </c>
      <c r="B4991" t="s">
        <v>719</v>
      </c>
      <c r="C4991" t="s">
        <v>925</v>
      </c>
      <c r="D4991">
        <v>2019</v>
      </c>
      <c r="E4991" s="2">
        <v>32</v>
      </c>
      <c r="F4991" s="2">
        <v>5360</v>
      </c>
      <c r="G4991" s="2">
        <v>5360</v>
      </c>
    </row>
    <row r="4992" spans="1:8" x14ac:dyDescent="0.3">
      <c r="A4992" t="s">
        <v>1933</v>
      </c>
      <c r="B4992" t="s">
        <v>248</v>
      </c>
      <c r="C4992" t="s">
        <v>249</v>
      </c>
      <c r="D4992">
        <v>2019</v>
      </c>
      <c r="E4992" s="2">
        <v>5</v>
      </c>
      <c r="F4992" s="2">
        <v>1100</v>
      </c>
      <c r="G4992" s="2">
        <v>1100</v>
      </c>
    </row>
    <row r="4993" spans="1:8" x14ac:dyDescent="0.3">
      <c r="A4993" t="s">
        <v>1933</v>
      </c>
      <c r="B4993" t="s">
        <v>1934</v>
      </c>
      <c r="C4993" t="s">
        <v>638</v>
      </c>
      <c r="D4993">
        <v>2019</v>
      </c>
      <c r="E4993" s="2">
        <v>8</v>
      </c>
      <c r="F4993" s="2">
        <v>1680</v>
      </c>
      <c r="G4993" s="2">
        <v>1680</v>
      </c>
    </row>
    <row r="4994" spans="1:8" x14ac:dyDescent="0.3">
      <c r="A4994" t="s">
        <v>1933</v>
      </c>
      <c r="B4994" t="s">
        <v>510</v>
      </c>
      <c r="C4994" t="s">
        <v>511</v>
      </c>
      <c r="D4994">
        <v>2019</v>
      </c>
      <c r="E4994" s="2">
        <v>30</v>
      </c>
      <c r="F4994" s="2">
        <v>5040</v>
      </c>
      <c r="G4994" s="2">
        <v>5040</v>
      </c>
      <c r="H4994" s="3" t="s">
        <v>18</v>
      </c>
    </row>
    <row r="4995" spans="1:8" x14ac:dyDescent="0.3">
      <c r="A4995" t="s">
        <v>1933</v>
      </c>
      <c r="B4995" t="s">
        <v>510</v>
      </c>
      <c r="C4995" t="s">
        <v>511</v>
      </c>
      <c r="D4995">
        <v>2021</v>
      </c>
      <c r="E4995" s="2">
        <v>5</v>
      </c>
      <c r="F4995" s="2">
        <v>800</v>
      </c>
      <c r="G4995" s="2">
        <v>800</v>
      </c>
      <c r="H4995" s="3" t="s">
        <v>18</v>
      </c>
    </row>
    <row r="4996" spans="1:8" x14ac:dyDescent="0.3">
      <c r="A4996" t="s">
        <v>1933</v>
      </c>
      <c r="B4996" t="s">
        <v>1935</v>
      </c>
      <c r="C4996" t="s">
        <v>254</v>
      </c>
      <c r="D4996">
        <v>2019</v>
      </c>
      <c r="E4996" s="2">
        <v>35</v>
      </c>
      <c r="F4996" s="2">
        <v>7810</v>
      </c>
      <c r="G4996" s="2">
        <v>8085</v>
      </c>
    </row>
    <row r="4997" spans="1:8" x14ac:dyDescent="0.3">
      <c r="A4997" t="s">
        <v>1933</v>
      </c>
      <c r="B4997" t="s">
        <v>365</v>
      </c>
      <c r="C4997" t="s">
        <v>96</v>
      </c>
      <c r="D4997">
        <v>2020</v>
      </c>
      <c r="E4997" s="2">
        <v>2</v>
      </c>
      <c r="F4997" s="2">
        <v>360</v>
      </c>
      <c r="G4997" s="2">
        <v>360</v>
      </c>
    </row>
    <row r="4998" spans="1:8" x14ac:dyDescent="0.3">
      <c r="A4998" t="s">
        <v>1933</v>
      </c>
      <c r="B4998" t="s">
        <v>58</v>
      </c>
      <c r="C4998" t="s">
        <v>59</v>
      </c>
      <c r="D4998">
        <v>2020</v>
      </c>
      <c r="E4998" s="2">
        <v>15</v>
      </c>
      <c r="F4998" s="2">
        <v>2080</v>
      </c>
      <c r="G4998" s="2">
        <v>2080</v>
      </c>
      <c r="H4998" s="3" t="s">
        <v>1153</v>
      </c>
    </row>
    <row r="4999" spans="1:8" x14ac:dyDescent="0.3">
      <c r="A4999" t="s">
        <v>1933</v>
      </c>
      <c r="B4999" t="s">
        <v>58</v>
      </c>
      <c r="C4999" t="s">
        <v>59</v>
      </c>
      <c r="D4999">
        <v>2021</v>
      </c>
      <c r="E4999" s="2">
        <v>5</v>
      </c>
      <c r="F4999" s="2">
        <v>700</v>
      </c>
      <c r="G4999" s="2">
        <v>700</v>
      </c>
      <c r="H4999" s="3" t="s">
        <v>1153</v>
      </c>
    </row>
    <row r="5000" spans="1:8" x14ac:dyDescent="0.3">
      <c r="A5000" t="s">
        <v>1933</v>
      </c>
      <c r="B5000" t="s">
        <v>99</v>
      </c>
      <c r="C5000" t="s">
        <v>100</v>
      </c>
      <c r="D5000">
        <v>2021</v>
      </c>
      <c r="E5000" s="2">
        <v>5</v>
      </c>
      <c r="F5000" s="2">
        <v>900</v>
      </c>
      <c r="G5000" s="2">
        <v>900</v>
      </c>
      <c r="H5000" s="3" t="s">
        <v>14</v>
      </c>
    </row>
    <row r="5001" spans="1:8" x14ac:dyDescent="0.3">
      <c r="A5001" t="s">
        <v>1933</v>
      </c>
      <c r="B5001" t="s">
        <v>1936</v>
      </c>
      <c r="C5001" t="s">
        <v>80</v>
      </c>
      <c r="D5001">
        <v>2019</v>
      </c>
      <c r="E5001" s="2">
        <v>10</v>
      </c>
      <c r="F5001" s="2">
        <v>1600</v>
      </c>
      <c r="G5001" s="2">
        <v>1600</v>
      </c>
    </row>
    <row r="5002" spans="1:8" x14ac:dyDescent="0.3">
      <c r="A5002" t="s">
        <v>1933</v>
      </c>
      <c r="B5002" t="s">
        <v>542</v>
      </c>
      <c r="C5002" t="s">
        <v>160</v>
      </c>
      <c r="D5002">
        <v>2019</v>
      </c>
      <c r="E5002" s="2">
        <v>77</v>
      </c>
      <c r="F5002" s="2">
        <v>19384</v>
      </c>
      <c r="G5002" s="2">
        <v>19384</v>
      </c>
    </row>
    <row r="5003" spans="1:8" x14ac:dyDescent="0.3">
      <c r="A5003" t="s">
        <v>1933</v>
      </c>
      <c r="B5003" t="s">
        <v>542</v>
      </c>
      <c r="C5003" t="s">
        <v>160</v>
      </c>
      <c r="D5003">
        <v>2020</v>
      </c>
      <c r="E5003" s="2">
        <v>25</v>
      </c>
      <c r="F5003" s="2">
        <v>4500</v>
      </c>
      <c r="G5003" s="2">
        <v>4500</v>
      </c>
    </row>
    <row r="5004" spans="1:8" x14ac:dyDescent="0.3">
      <c r="A5004" t="s">
        <v>1933</v>
      </c>
      <c r="B5004" t="s">
        <v>260</v>
      </c>
      <c r="C5004" t="s">
        <v>109</v>
      </c>
      <c r="D5004">
        <v>2019</v>
      </c>
      <c r="E5004" s="2">
        <v>10</v>
      </c>
      <c r="F5004" s="2">
        <v>2200</v>
      </c>
      <c r="G5004" s="2">
        <v>2200</v>
      </c>
    </row>
    <row r="5005" spans="1:8" x14ac:dyDescent="0.3">
      <c r="A5005" t="s">
        <v>1933</v>
      </c>
      <c r="B5005" t="s">
        <v>117</v>
      </c>
      <c r="C5005" t="s">
        <v>118</v>
      </c>
      <c r="D5005">
        <v>2019</v>
      </c>
      <c r="E5005" s="2">
        <v>45</v>
      </c>
      <c r="F5005" s="2">
        <v>8210</v>
      </c>
      <c r="G5005" s="2">
        <v>8210</v>
      </c>
    </row>
    <row r="5006" spans="1:8" x14ac:dyDescent="0.3">
      <c r="A5006" t="s">
        <v>1933</v>
      </c>
      <c r="B5006" t="s">
        <v>117</v>
      </c>
      <c r="C5006" t="s">
        <v>118</v>
      </c>
      <c r="D5006">
        <v>2020</v>
      </c>
      <c r="E5006" s="2">
        <v>10</v>
      </c>
      <c r="F5006" s="2">
        <v>1600</v>
      </c>
      <c r="G5006" s="2">
        <v>1600</v>
      </c>
    </row>
    <row r="5007" spans="1:8" x14ac:dyDescent="0.3">
      <c r="A5007" t="s">
        <v>1933</v>
      </c>
      <c r="B5007" t="s">
        <v>120</v>
      </c>
      <c r="C5007" t="s">
        <v>121</v>
      </c>
      <c r="D5007">
        <v>2019</v>
      </c>
      <c r="E5007" s="2">
        <v>2</v>
      </c>
      <c r="F5007" s="2">
        <v>350</v>
      </c>
      <c r="G5007" s="2">
        <v>350</v>
      </c>
    </row>
    <row r="5008" spans="1:8" x14ac:dyDescent="0.3">
      <c r="A5008" t="s">
        <v>1933</v>
      </c>
      <c r="B5008" t="s">
        <v>1151</v>
      </c>
      <c r="C5008" t="s">
        <v>1152</v>
      </c>
      <c r="D5008">
        <v>2019</v>
      </c>
      <c r="E5008" s="2">
        <v>10</v>
      </c>
      <c r="F5008" s="2">
        <v>2358</v>
      </c>
      <c r="G5008" s="2">
        <v>2358</v>
      </c>
    </row>
    <row r="5009" spans="1:8" x14ac:dyDescent="0.3">
      <c r="A5009" t="s">
        <v>1933</v>
      </c>
      <c r="B5009" t="s">
        <v>189</v>
      </c>
      <c r="D5009">
        <v>2019</v>
      </c>
      <c r="E5009" s="2">
        <v>35</v>
      </c>
      <c r="F5009" s="2">
        <v>9300</v>
      </c>
      <c r="G5009" s="2">
        <v>9300</v>
      </c>
    </row>
    <row r="5010" spans="1:8" x14ac:dyDescent="0.3">
      <c r="A5010" t="s">
        <v>1933</v>
      </c>
      <c r="B5010" t="s">
        <v>1003</v>
      </c>
      <c r="C5010" t="s">
        <v>292</v>
      </c>
      <c r="D5010">
        <v>2019</v>
      </c>
      <c r="E5010" s="2">
        <v>1</v>
      </c>
      <c r="F5010" s="2">
        <v>170</v>
      </c>
      <c r="G5010" s="2">
        <v>170</v>
      </c>
    </row>
    <row r="5011" spans="1:8" x14ac:dyDescent="0.3">
      <c r="A5011" t="s">
        <v>1933</v>
      </c>
      <c r="B5011" t="s">
        <v>817</v>
      </c>
      <c r="D5011">
        <v>2019</v>
      </c>
      <c r="E5011" s="2">
        <v>20</v>
      </c>
      <c r="F5011" s="2">
        <v>5600</v>
      </c>
      <c r="G5011" s="2">
        <v>5600</v>
      </c>
    </row>
    <row r="5012" spans="1:8" x14ac:dyDescent="0.3">
      <c r="A5012" t="s">
        <v>1933</v>
      </c>
      <c r="B5012" t="s">
        <v>196</v>
      </c>
      <c r="C5012" t="s">
        <v>197</v>
      </c>
      <c r="D5012">
        <v>2018</v>
      </c>
      <c r="E5012" s="2">
        <v>15</v>
      </c>
      <c r="F5012" s="2">
        <v>2700</v>
      </c>
      <c r="G5012" s="2">
        <v>2835</v>
      </c>
    </row>
    <row r="5013" spans="1:8" x14ac:dyDescent="0.3">
      <c r="A5013" t="s">
        <v>1933</v>
      </c>
      <c r="B5013" t="s">
        <v>196</v>
      </c>
      <c r="C5013" t="s">
        <v>197</v>
      </c>
      <c r="D5013">
        <v>2019</v>
      </c>
      <c r="E5013" s="2">
        <v>275</v>
      </c>
      <c r="F5013" s="2">
        <v>37800</v>
      </c>
      <c r="G5013" s="2">
        <v>37800</v>
      </c>
    </row>
    <row r="5014" spans="1:8" x14ac:dyDescent="0.3">
      <c r="A5014" t="s">
        <v>1933</v>
      </c>
      <c r="B5014" t="s">
        <v>383</v>
      </c>
      <c r="C5014" t="s">
        <v>384</v>
      </c>
      <c r="D5014">
        <v>2019</v>
      </c>
      <c r="E5014" s="2">
        <v>50</v>
      </c>
      <c r="F5014" s="2">
        <v>6750</v>
      </c>
      <c r="G5014" s="2">
        <v>6750</v>
      </c>
    </row>
    <row r="5015" spans="1:8" x14ac:dyDescent="0.3">
      <c r="A5015" t="s">
        <v>1933</v>
      </c>
      <c r="B5015" t="s">
        <v>70</v>
      </c>
      <c r="C5015" t="s">
        <v>71</v>
      </c>
      <c r="D5015">
        <v>2019</v>
      </c>
      <c r="E5015" s="2">
        <v>80</v>
      </c>
      <c r="F5015" s="2">
        <v>10775</v>
      </c>
      <c r="G5015" s="2">
        <v>10775</v>
      </c>
    </row>
    <row r="5016" spans="1:8" x14ac:dyDescent="0.3">
      <c r="A5016" t="s">
        <v>1933</v>
      </c>
      <c r="B5016" t="s">
        <v>72</v>
      </c>
      <c r="C5016" t="s">
        <v>73</v>
      </c>
      <c r="D5016">
        <v>2019</v>
      </c>
      <c r="E5016" s="2">
        <v>15</v>
      </c>
      <c r="F5016" s="2">
        <v>2250</v>
      </c>
      <c r="G5016" s="2">
        <v>2250</v>
      </c>
    </row>
    <row r="5017" spans="1:8" x14ac:dyDescent="0.3">
      <c r="A5017" t="s">
        <v>1933</v>
      </c>
      <c r="B5017" t="s">
        <v>318</v>
      </c>
      <c r="C5017" t="s">
        <v>319</v>
      </c>
      <c r="D5017">
        <v>2019</v>
      </c>
      <c r="E5017" s="2">
        <v>10</v>
      </c>
      <c r="F5017" s="2">
        <v>1650</v>
      </c>
      <c r="G5017" s="2">
        <v>1650</v>
      </c>
    </row>
    <row r="5018" spans="1:8" x14ac:dyDescent="0.3">
      <c r="A5018" t="s">
        <v>1933</v>
      </c>
      <c r="B5018" t="s">
        <v>600</v>
      </c>
      <c r="C5018" t="s">
        <v>75</v>
      </c>
      <c r="D5018">
        <v>2019</v>
      </c>
      <c r="E5018" s="2">
        <v>17</v>
      </c>
      <c r="F5018" s="2">
        <v>2600</v>
      </c>
      <c r="G5018" s="2">
        <v>2600</v>
      </c>
      <c r="H5018" s="3" t="s">
        <v>14</v>
      </c>
    </row>
    <row r="5019" spans="1:8" x14ac:dyDescent="0.3">
      <c r="A5019" t="s">
        <v>1933</v>
      </c>
      <c r="B5019" t="s">
        <v>600</v>
      </c>
      <c r="C5019" t="s">
        <v>75</v>
      </c>
      <c r="D5019">
        <v>2020</v>
      </c>
      <c r="E5019" s="2">
        <v>20</v>
      </c>
      <c r="F5019" s="2">
        <v>3000</v>
      </c>
      <c r="G5019" s="2">
        <v>3000</v>
      </c>
      <c r="H5019" s="3" t="s">
        <v>14</v>
      </c>
    </row>
    <row r="5020" spans="1:8" x14ac:dyDescent="0.3">
      <c r="A5020" t="s">
        <v>1933</v>
      </c>
      <c r="B5020" t="s">
        <v>600</v>
      </c>
      <c r="C5020" t="s">
        <v>75</v>
      </c>
      <c r="D5020">
        <v>2021</v>
      </c>
      <c r="E5020" s="2">
        <v>1</v>
      </c>
      <c r="F5020" s="2">
        <v>150</v>
      </c>
      <c r="G5020" s="2">
        <v>150</v>
      </c>
      <c r="H5020" s="3" t="s">
        <v>14</v>
      </c>
    </row>
    <row r="5021" spans="1:8" x14ac:dyDescent="0.3">
      <c r="A5021" t="s">
        <v>1933</v>
      </c>
      <c r="B5021" t="s">
        <v>1396</v>
      </c>
      <c r="C5021" t="s">
        <v>613</v>
      </c>
      <c r="D5021">
        <v>2019</v>
      </c>
      <c r="E5021" s="2">
        <v>5</v>
      </c>
      <c r="F5021" s="2">
        <v>1250</v>
      </c>
      <c r="G5021" s="2">
        <v>1250</v>
      </c>
    </row>
    <row r="5022" spans="1:8" x14ac:dyDescent="0.3">
      <c r="A5022" t="s">
        <v>1933</v>
      </c>
      <c r="B5022" t="s">
        <v>677</v>
      </c>
      <c r="C5022" t="s">
        <v>678</v>
      </c>
      <c r="D5022">
        <v>2019</v>
      </c>
      <c r="E5022" s="2">
        <v>25</v>
      </c>
      <c r="F5022" s="2">
        <v>4000</v>
      </c>
      <c r="G5022" s="2">
        <v>4000</v>
      </c>
    </row>
    <row r="5023" spans="1:8" x14ac:dyDescent="0.3">
      <c r="A5023" t="s">
        <v>1937</v>
      </c>
      <c r="B5023" t="s">
        <v>1938</v>
      </c>
      <c r="D5023">
        <v>2021</v>
      </c>
      <c r="E5023" s="2">
        <v>1000</v>
      </c>
      <c r="F5023" s="2">
        <v>28500</v>
      </c>
      <c r="G5023" s="2">
        <v>29925</v>
      </c>
      <c r="H5023" s="3" t="s">
        <v>1939</v>
      </c>
    </row>
    <row r="5024" spans="1:8" x14ac:dyDescent="0.3">
      <c r="A5024" t="s">
        <v>1937</v>
      </c>
      <c r="B5024" t="s">
        <v>19</v>
      </c>
      <c r="C5024" t="s">
        <v>20</v>
      </c>
      <c r="D5024">
        <v>2020</v>
      </c>
      <c r="E5024" s="2">
        <v>1500</v>
      </c>
      <c r="F5024" s="2">
        <v>78000</v>
      </c>
      <c r="G5024" s="2">
        <v>81900</v>
      </c>
    </row>
    <row r="5025" spans="1:8" x14ac:dyDescent="0.3">
      <c r="A5025" t="s">
        <v>1937</v>
      </c>
      <c r="B5025" t="s">
        <v>1886</v>
      </c>
      <c r="D5025">
        <v>2020</v>
      </c>
      <c r="E5025" s="2">
        <v>1500</v>
      </c>
      <c r="F5025" s="2">
        <v>33000</v>
      </c>
      <c r="G5025" s="2">
        <v>34650</v>
      </c>
    </row>
    <row r="5026" spans="1:8" x14ac:dyDescent="0.3">
      <c r="A5026" t="s">
        <v>1937</v>
      </c>
      <c r="B5026" t="s">
        <v>1940</v>
      </c>
      <c r="D5026">
        <v>2021</v>
      </c>
      <c r="E5026" s="2">
        <v>700</v>
      </c>
      <c r="F5026" s="2">
        <v>20300</v>
      </c>
      <c r="G5026" s="2">
        <v>21315</v>
      </c>
      <c r="H5026" s="3" t="s">
        <v>18</v>
      </c>
    </row>
    <row r="5027" spans="1:8" x14ac:dyDescent="0.3">
      <c r="A5027" t="s">
        <v>1941</v>
      </c>
      <c r="B5027" t="s">
        <v>1942</v>
      </c>
      <c r="C5027" t="s">
        <v>559</v>
      </c>
      <c r="D5027">
        <v>2016</v>
      </c>
      <c r="E5027" s="2">
        <v>1</v>
      </c>
      <c r="F5027" s="2">
        <v>200</v>
      </c>
      <c r="G5027" s="2"/>
    </row>
    <row r="5028" spans="1:8" x14ac:dyDescent="0.3">
      <c r="A5028" t="s">
        <v>1941</v>
      </c>
      <c r="B5028" t="s">
        <v>1943</v>
      </c>
      <c r="C5028" t="s">
        <v>397</v>
      </c>
      <c r="D5028">
        <v>2016</v>
      </c>
      <c r="E5028" s="2">
        <v>1</v>
      </c>
      <c r="F5028" s="2">
        <v>200</v>
      </c>
      <c r="G5028" s="2"/>
    </row>
    <row r="5029" spans="1:8" x14ac:dyDescent="0.3">
      <c r="A5029" t="s">
        <v>1941</v>
      </c>
      <c r="B5029" t="s">
        <v>288</v>
      </c>
      <c r="C5029" t="s">
        <v>289</v>
      </c>
      <c r="D5029">
        <v>2016</v>
      </c>
      <c r="E5029" s="2">
        <v>1</v>
      </c>
      <c r="F5029" s="2">
        <v>220</v>
      </c>
      <c r="G5029" s="2"/>
    </row>
    <row r="5030" spans="1:8" x14ac:dyDescent="0.3">
      <c r="A5030" t="s">
        <v>1941</v>
      </c>
      <c r="B5030" t="s">
        <v>620</v>
      </c>
      <c r="C5030" t="s">
        <v>621</v>
      </c>
      <c r="D5030">
        <v>2016</v>
      </c>
      <c r="E5030" s="2">
        <v>1</v>
      </c>
      <c r="F5030" s="2">
        <v>200</v>
      </c>
      <c r="G5030" s="2"/>
    </row>
    <row r="5031" spans="1:8" x14ac:dyDescent="0.3">
      <c r="A5031" t="s">
        <v>1944</v>
      </c>
      <c r="B5031" t="s">
        <v>269</v>
      </c>
      <c r="C5031" t="s">
        <v>270</v>
      </c>
      <c r="D5031">
        <v>2021</v>
      </c>
      <c r="E5031" s="2">
        <v>25</v>
      </c>
      <c r="F5031" s="2">
        <v>1875</v>
      </c>
      <c r="G5031" s="2">
        <v>1875</v>
      </c>
      <c r="H5031" s="3" t="s">
        <v>18</v>
      </c>
    </row>
    <row r="5032" spans="1:8" x14ac:dyDescent="0.3">
      <c r="A5032" t="s">
        <v>1944</v>
      </c>
      <c r="B5032" t="s">
        <v>64</v>
      </c>
      <c r="C5032" t="s">
        <v>65</v>
      </c>
      <c r="D5032">
        <v>2021</v>
      </c>
      <c r="E5032" s="2">
        <v>25</v>
      </c>
      <c r="F5032" s="2">
        <v>1250</v>
      </c>
      <c r="G5032" s="2">
        <v>1250</v>
      </c>
      <c r="H5032" s="3" t="s">
        <v>14</v>
      </c>
    </row>
    <row r="5033" spans="1:8" x14ac:dyDescent="0.3">
      <c r="A5033" t="s">
        <v>1944</v>
      </c>
      <c r="B5033" t="s">
        <v>438</v>
      </c>
      <c r="C5033" t="s">
        <v>439</v>
      </c>
      <c r="D5033">
        <v>2021</v>
      </c>
      <c r="E5033" s="2">
        <v>25</v>
      </c>
      <c r="F5033" s="2">
        <v>1875</v>
      </c>
      <c r="G5033" s="2">
        <v>1875</v>
      </c>
      <c r="H5033" s="3" t="s">
        <v>14</v>
      </c>
    </row>
    <row r="5034" spans="1:8" x14ac:dyDescent="0.3">
      <c r="A5034" t="s">
        <v>1945</v>
      </c>
      <c r="B5034" t="s">
        <v>51</v>
      </c>
      <c r="C5034" t="s">
        <v>52</v>
      </c>
      <c r="D5034">
        <v>2018</v>
      </c>
      <c r="E5034" s="2">
        <v>2</v>
      </c>
      <c r="F5034" s="2">
        <v>520</v>
      </c>
      <c r="G5034" s="2">
        <v>546</v>
      </c>
    </row>
    <row r="5035" spans="1:8" x14ac:dyDescent="0.3">
      <c r="A5035" t="s">
        <v>1945</v>
      </c>
      <c r="B5035" t="s">
        <v>623</v>
      </c>
      <c r="C5035" t="s">
        <v>324</v>
      </c>
      <c r="D5035">
        <v>2019</v>
      </c>
      <c r="E5035" s="2">
        <v>5</v>
      </c>
      <c r="F5035" s="2">
        <v>900</v>
      </c>
      <c r="G5035" s="2">
        <v>945</v>
      </c>
      <c r="H5035" s="3" t="s">
        <v>18</v>
      </c>
    </row>
    <row r="5036" spans="1:8" x14ac:dyDescent="0.3">
      <c r="A5036" t="s">
        <v>1945</v>
      </c>
      <c r="B5036" t="s">
        <v>623</v>
      </c>
      <c r="C5036" t="s">
        <v>324</v>
      </c>
      <c r="D5036">
        <v>2021</v>
      </c>
      <c r="E5036" s="2">
        <v>2</v>
      </c>
      <c r="F5036" s="2">
        <v>180</v>
      </c>
      <c r="G5036" s="2">
        <v>189</v>
      </c>
      <c r="H5036" s="3" t="s">
        <v>18</v>
      </c>
    </row>
    <row r="5037" spans="1:8" x14ac:dyDescent="0.3">
      <c r="A5037" t="s">
        <v>1945</v>
      </c>
      <c r="B5037" t="s">
        <v>79</v>
      </c>
      <c r="C5037" t="s">
        <v>80</v>
      </c>
      <c r="D5037">
        <v>2018</v>
      </c>
      <c r="E5037" s="2">
        <v>2</v>
      </c>
      <c r="F5037" s="2">
        <v>400</v>
      </c>
      <c r="G5037" s="2">
        <v>420</v>
      </c>
    </row>
    <row r="5038" spans="1:8" x14ac:dyDescent="0.3">
      <c r="A5038" t="s">
        <v>1945</v>
      </c>
      <c r="B5038" t="s">
        <v>393</v>
      </c>
      <c r="C5038" t="s">
        <v>394</v>
      </c>
      <c r="D5038">
        <v>2018</v>
      </c>
      <c r="E5038" s="2">
        <v>2</v>
      </c>
      <c r="F5038" s="2">
        <v>400</v>
      </c>
      <c r="G5038" s="2">
        <v>420</v>
      </c>
    </row>
    <row r="5039" spans="1:8" x14ac:dyDescent="0.3">
      <c r="A5039" t="s">
        <v>1945</v>
      </c>
      <c r="B5039" t="s">
        <v>82</v>
      </c>
      <c r="C5039" t="s">
        <v>83</v>
      </c>
      <c r="D5039">
        <v>2019</v>
      </c>
      <c r="E5039" s="2">
        <v>13</v>
      </c>
      <c r="F5039" s="2">
        <v>2500</v>
      </c>
      <c r="G5039" s="2">
        <v>2625</v>
      </c>
    </row>
    <row r="5040" spans="1:8" x14ac:dyDescent="0.3">
      <c r="A5040" t="s">
        <v>1945</v>
      </c>
      <c r="B5040" t="s">
        <v>82</v>
      </c>
      <c r="C5040" t="s">
        <v>83</v>
      </c>
      <c r="D5040">
        <v>2020</v>
      </c>
      <c r="E5040" s="2">
        <v>2</v>
      </c>
      <c r="F5040" s="2">
        <v>380</v>
      </c>
      <c r="G5040" s="2">
        <v>399</v>
      </c>
    </row>
    <row r="5041" spans="1:8" x14ac:dyDescent="0.3">
      <c r="A5041" t="s">
        <v>1945</v>
      </c>
      <c r="B5041" t="s">
        <v>55</v>
      </c>
      <c r="D5041">
        <v>2019</v>
      </c>
      <c r="E5041" s="2">
        <v>3</v>
      </c>
      <c r="F5041" s="2">
        <v>600</v>
      </c>
      <c r="G5041" s="2">
        <v>630</v>
      </c>
      <c r="H5041" s="3" t="s">
        <v>374</v>
      </c>
    </row>
    <row r="5042" spans="1:8" x14ac:dyDescent="0.3">
      <c r="A5042" t="s">
        <v>1945</v>
      </c>
      <c r="B5042" t="s">
        <v>55</v>
      </c>
      <c r="D5042">
        <v>2020</v>
      </c>
      <c r="E5042" s="2">
        <v>2</v>
      </c>
      <c r="F5042" s="2">
        <v>360</v>
      </c>
      <c r="G5042" s="2">
        <v>378</v>
      </c>
      <c r="H5042" s="3" t="s">
        <v>374</v>
      </c>
    </row>
    <row r="5043" spans="1:8" x14ac:dyDescent="0.3">
      <c r="A5043" t="s">
        <v>1945</v>
      </c>
      <c r="B5043" t="s">
        <v>55</v>
      </c>
      <c r="D5043">
        <v>2021</v>
      </c>
      <c r="E5043" s="2">
        <v>2</v>
      </c>
      <c r="F5043" s="2">
        <v>360</v>
      </c>
      <c r="G5043" s="2">
        <v>378</v>
      </c>
      <c r="H5043" s="3" t="s">
        <v>374</v>
      </c>
    </row>
    <row r="5044" spans="1:8" x14ac:dyDescent="0.3">
      <c r="A5044" t="s">
        <v>1945</v>
      </c>
      <c r="B5044" t="s">
        <v>557</v>
      </c>
      <c r="C5044" t="s">
        <v>212</v>
      </c>
      <c r="D5044">
        <v>2018</v>
      </c>
      <c r="E5044" s="2">
        <v>2</v>
      </c>
      <c r="F5044" s="2">
        <v>420</v>
      </c>
      <c r="G5044" s="2">
        <v>441</v>
      </c>
    </row>
    <row r="5045" spans="1:8" x14ac:dyDescent="0.3">
      <c r="A5045" t="s">
        <v>1945</v>
      </c>
      <c r="B5045" t="s">
        <v>819</v>
      </c>
      <c r="C5045" t="s">
        <v>220</v>
      </c>
      <c r="D5045">
        <v>2019</v>
      </c>
      <c r="E5045" s="2">
        <v>1</v>
      </c>
      <c r="F5045" s="2">
        <v>200</v>
      </c>
      <c r="G5045" s="2">
        <v>210</v>
      </c>
    </row>
    <row r="5046" spans="1:8" x14ac:dyDescent="0.3">
      <c r="A5046" t="s">
        <v>1945</v>
      </c>
      <c r="B5046" t="s">
        <v>1946</v>
      </c>
      <c r="C5046" t="s">
        <v>1947</v>
      </c>
      <c r="D5046">
        <v>2018</v>
      </c>
      <c r="E5046" s="2">
        <v>3</v>
      </c>
      <c r="F5046" s="2">
        <v>720</v>
      </c>
      <c r="G5046" s="2">
        <v>756</v>
      </c>
    </row>
    <row r="5047" spans="1:8" x14ac:dyDescent="0.3">
      <c r="A5047" t="s">
        <v>1945</v>
      </c>
      <c r="B5047" t="s">
        <v>591</v>
      </c>
      <c r="C5047" t="s">
        <v>592</v>
      </c>
      <c r="D5047">
        <v>2019</v>
      </c>
      <c r="E5047" s="2">
        <v>10</v>
      </c>
      <c r="F5047" s="2">
        <v>1900</v>
      </c>
      <c r="G5047" s="2">
        <v>1995</v>
      </c>
    </row>
    <row r="5048" spans="1:8" x14ac:dyDescent="0.3">
      <c r="A5048" t="s">
        <v>1945</v>
      </c>
      <c r="B5048" t="s">
        <v>591</v>
      </c>
      <c r="C5048" t="s">
        <v>592</v>
      </c>
      <c r="D5048">
        <v>2020</v>
      </c>
      <c r="E5048" s="2">
        <v>4</v>
      </c>
      <c r="F5048" s="2">
        <v>740</v>
      </c>
      <c r="G5048" s="2">
        <v>777</v>
      </c>
    </row>
    <row r="5049" spans="1:8" x14ac:dyDescent="0.3">
      <c r="A5049" t="s">
        <v>1945</v>
      </c>
      <c r="B5049" t="s">
        <v>723</v>
      </c>
      <c r="C5049" t="s">
        <v>724</v>
      </c>
      <c r="D5049">
        <v>2019</v>
      </c>
      <c r="E5049" s="2">
        <v>1</v>
      </c>
      <c r="F5049" s="2">
        <v>200</v>
      </c>
      <c r="G5049" s="2">
        <v>210</v>
      </c>
    </row>
    <row r="5050" spans="1:8" x14ac:dyDescent="0.3">
      <c r="A5050" t="s">
        <v>1945</v>
      </c>
      <c r="B5050" t="s">
        <v>723</v>
      </c>
      <c r="C5050" t="s">
        <v>724</v>
      </c>
      <c r="D5050">
        <v>2020</v>
      </c>
      <c r="E5050" s="2">
        <v>2</v>
      </c>
      <c r="F5050" s="2">
        <v>360</v>
      </c>
      <c r="G5050" s="2">
        <v>378</v>
      </c>
    </row>
    <row r="5051" spans="1:8" x14ac:dyDescent="0.3">
      <c r="A5051" t="s">
        <v>1945</v>
      </c>
      <c r="B5051" t="s">
        <v>395</v>
      </c>
      <c r="D5051">
        <v>2018</v>
      </c>
      <c r="E5051" s="2">
        <v>2</v>
      </c>
      <c r="F5051" s="2">
        <v>540</v>
      </c>
      <c r="G5051" s="2">
        <v>567</v>
      </c>
    </row>
    <row r="5052" spans="1:8" x14ac:dyDescent="0.3">
      <c r="A5052" t="s">
        <v>1945</v>
      </c>
      <c r="B5052" t="s">
        <v>788</v>
      </c>
      <c r="C5052" t="s">
        <v>789</v>
      </c>
      <c r="D5052">
        <v>2021</v>
      </c>
      <c r="E5052" s="2">
        <v>2</v>
      </c>
      <c r="F5052" s="2">
        <v>360</v>
      </c>
      <c r="G5052" s="2">
        <v>378</v>
      </c>
      <c r="H5052" s="3" t="s">
        <v>18</v>
      </c>
    </row>
    <row r="5053" spans="1:8" x14ac:dyDescent="0.3">
      <c r="A5053" t="s">
        <v>1945</v>
      </c>
      <c r="B5053" t="s">
        <v>251</v>
      </c>
      <c r="C5053" t="s">
        <v>207</v>
      </c>
      <c r="D5053">
        <v>2019</v>
      </c>
      <c r="E5053" s="2">
        <v>5</v>
      </c>
      <c r="F5053" s="2">
        <v>900</v>
      </c>
      <c r="G5053" s="2">
        <v>945</v>
      </c>
    </row>
    <row r="5054" spans="1:8" x14ac:dyDescent="0.3">
      <c r="A5054" t="s">
        <v>1945</v>
      </c>
      <c r="B5054" t="s">
        <v>1324</v>
      </c>
      <c r="C5054" t="s">
        <v>789</v>
      </c>
      <c r="D5054">
        <v>2018</v>
      </c>
      <c r="E5054" s="2">
        <v>2</v>
      </c>
      <c r="F5054" s="2">
        <v>400</v>
      </c>
      <c r="G5054" s="2">
        <v>420</v>
      </c>
    </row>
    <row r="5055" spans="1:8" x14ac:dyDescent="0.3">
      <c r="A5055" t="s">
        <v>1945</v>
      </c>
      <c r="B5055" t="s">
        <v>612</v>
      </c>
      <c r="C5055" t="s">
        <v>613</v>
      </c>
      <c r="D5055">
        <v>2018</v>
      </c>
      <c r="E5055" s="2">
        <v>2</v>
      </c>
      <c r="F5055" s="2">
        <v>560</v>
      </c>
      <c r="G5055" s="2">
        <v>588</v>
      </c>
    </row>
    <row r="5056" spans="1:8" x14ac:dyDescent="0.3">
      <c r="A5056" t="s">
        <v>1945</v>
      </c>
      <c r="B5056" t="s">
        <v>538</v>
      </c>
      <c r="C5056" t="s">
        <v>539</v>
      </c>
      <c r="D5056">
        <v>2018</v>
      </c>
      <c r="E5056" s="2">
        <v>2</v>
      </c>
      <c r="F5056" s="2">
        <v>440</v>
      </c>
      <c r="G5056" s="2">
        <v>462</v>
      </c>
    </row>
    <row r="5057" spans="1:8" x14ac:dyDescent="0.3">
      <c r="A5057" t="s">
        <v>1945</v>
      </c>
      <c r="B5057" t="s">
        <v>1432</v>
      </c>
      <c r="C5057" t="s">
        <v>209</v>
      </c>
      <c r="D5057">
        <v>2018</v>
      </c>
      <c r="E5057" s="2">
        <v>2</v>
      </c>
      <c r="F5057" s="2">
        <v>360</v>
      </c>
      <c r="G5057" s="2">
        <v>378</v>
      </c>
    </row>
    <row r="5058" spans="1:8" x14ac:dyDescent="0.3">
      <c r="A5058" t="s">
        <v>1945</v>
      </c>
      <c r="B5058" t="s">
        <v>253</v>
      </c>
      <c r="C5058" t="s">
        <v>254</v>
      </c>
      <c r="D5058">
        <v>2019</v>
      </c>
      <c r="E5058" s="2">
        <v>1</v>
      </c>
      <c r="F5058" s="2">
        <v>200</v>
      </c>
      <c r="G5058" s="2">
        <v>210</v>
      </c>
      <c r="H5058" s="3" t="s">
        <v>1948</v>
      </c>
    </row>
    <row r="5059" spans="1:8" x14ac:dyDescent="0.3">
      <c r="A5059" t="s">
        <v>1945</v>
      </c>
      <c r="B5059" t="s">
        <v>253</v>
      </c>
      <c r="C5059" t="s">
        <v>254</v>
      </c>
      <c r="D5059">
        <v>2020</v>
      </c>
      <c r="E5059" s="2">
        <v>4</v>
      </c>
      <c r="F5059" s="2">
        <v>800</v>
      </c>
      <c r="G5059" s="2">
        <v>840</v>
      </c>
      <c r="H5059" s="3" t="s">
        <v>1948</v>
      </c>
    </row>
    <row r="5060" spans="1:8" x14ac:dyDescent="0.3">
      <c r="A5060" t="s">
        <v>1945</v>
      </c>
      <c r="B5060" t="s">
        <v>253</v>
      </c>
      <c r="C5060" t="s">
        <v>254</v>
      </c>
      <c r="D5060">
        <v>2021</v>
      </c>
      <c r="E5060" s="2">
        <v>2</v>
      </c>
      <c r="F5060" s="2">
        <v>350</v>
      </c>
      <c r="G5060" s="2">
        <v>367.5</v>
      </c>
      <c r="H5060" s="3" t="s">
        <v>1948</v>
      </c>
    </row>
    <row r="5061" spans="1:8" x14ac:dyDescent="0.3">
      <c r="A5061" t="s">
        <v>1945</v>
      </c>
      <c r="B5061" t="s">
        <v>95</v>
      </c>
      <c r="C5061" t="s">
        <v>96</v>
      </c>
      <c r="D5061">
        <v>2018</v>
      </c>
      <c r="E5061" s="2">
        <v>2</v>
      </c>
      <c r="F5061" s="2">
        <v>440</v>
      </c>
      <c r="G5061" s="2">
        <v>462</v>
      </c>
    </row>
    <row r="5062" spans="1:8" x14ac:dyDescent="0.3">
      <c r="A5062" t="s">
        <v>1945</v>
      </c>
      <c r="B5062" t="s">
        <v>1949</v>
      </c>
      <c r="D5062">
        <v>2021</v>
      </c>
      <c r="E5062" s="2">
        <v>2</v>
      </c>
      <c r="F5062" s="2">
        <v>360</v>
      </c>
      <c r="G5062" s="2">
        <v>378</v>
      </c>
      <c r="H5062" s="3" t="s">
        <v>769</v>
      </c>
    </row>
    <row r="5063" spans="1:8" x14ac:dyDescent="0.3">
      <c r="A5063" t="s">
        <v>1945</v>
      </c>
      <c r="B5063" t="s">
        <v>60</v>
      </c>
      <c r="C5063" t="s">
        <v>61</v>
      </c>
      <c r="D5063">
        <v>2018</v>
      </c>
      <c r="E5063" s="2">
        <v>2</v>
      </c>
      <c r="F5063" s="2">
        <v>360</v>
      </c>
      <c r="G5063" s="2">
        <v>378</v>
      </c>
    </row>
    <row r="5064" spans="1:8" x14ac:dyDescent="0.3">
      <c r="A5064" t="s">
        <v>1945</v>
      </c>
      <c r="B5064" t="s">
        <v>516</v>
      </c>
      <c r="D5064">
        <v>2019</v>
      </c>
      <c r="E5064" s="2">
        <v>5</v>
      </c>
      <c r="F5064" s="2">
        <v>1125</v>
      </c>
      <c r="G5064" s="2">
        <v>1181.25</v>
      </c>
    </row>
    <row r="5065" spans="1:8" x14ac:dyDescent="0.3">
      <c r="A5065" t="s">
        <v>1945</v>
      </c>
      <c r="B5065" t="s">
        <v>1936</v>
      </c>
      <c r="C5065" t="s">
        <v>80</v>
      </c>
      <c r="D5065">
        <v>2019</v>
      </c>
      <c r="E5065" s="2">
        <v>5</v>
      </c>
      <c r="F5065" s="2">
        <v>900</v>
      </c>
      <c r="G5065" s="2">
        <v>945</v>
      </c>
      <c r="H5065" s="3" t="s">
        <v>18</v>
      </c>
    </row>
    <row r="5066" spans="1:8" x14ac:dyDescent="0.3">
      <c r="A5066" t="s">
        <v>1945</v>
      </c>
      <c r="B5066" t="s">
        <v>1936</v>
      </c>
      <c r="C5066" t="s">
        <v>80</v>
      </c>
      <c r="D5066">
        <v>2020</v>
      </c>
      <c r="E5066" s="2">
        <v>2</v>
      </c>
      <c r="F5066" s="2">
        <v>360</v>
      </c>
      <c r="G5066" s="2">
        <v>378</v>
      </c>
      <c r="H5066" s="3" t="s">
        <v>18</v>
      </c>
    </row>
    <row r="5067" spans="1:8" x14ac:dyDescent="0.3">
      <c r="A5067" t="s">
        <v>1945</v>
      </c>
      <c r="B5067" t="s">
        <v>1936</v>
      </c>
      <c r="C5067" t="s">
        <v>80</v>
      </c>
      <c r="D5067">
        <v>2021</v>
      </c>
      <c r="E5067" s="2">
        <v>2</v>
      </c>
      <c r="F5067" s="2">
        <v>360</v>
      </c>
      <c r="G5067" s="2">
        <v>378</v>
      </c>
      <c r="H5067" s="3" t="s">
        <v>18</v>
      </c>
    </row>
    <row r="5068" spans="1:8" x14ac:dyDescent="0.3">
      <c r="A5068" t="s">
        <v>1945</v>
      </c>
      <c r="B5068" t="s">
        <v>258</v>
      </c>
      <c r="C5068" t="s">
        <v>259</v>
      </c>
      <c r="D5068">
        <v>2018</v>
      </c>
      <c r="E5068" s="2">
        <v>2</v>
      </c>
      <c r="F5068" s="2">
        <v>480</v>
      </c>
      <c r="G5068" s="2">
        <v>504</v>
      </c>
    </row>
    <row r="5069" spans="1:8" x14ac:dyDescent="0.3">
      <c r="A5069" t="s">
        <v>1945</v>
      </c>
      <c r="B5069" t="s">
        <v>258</v>
      </c>
      <c r="C5069" t="s">
        <v>259</v>
      </c>
      <c r="D5069">
        <v>2019</v>
      </c>
      <c r="E5069" s="2">
        <v>6</v>
      </c>
      <c r="F5069" s="2">
        <v>1125</v>
      </c>
      <c r="G5069" s="2">
        <v>1181.25</v>
      </c>
    </row>
    <row r="5070" spans="1:8" x14ac:dyDescent="0.3">
      <c r="A5070" t="s">
        <v>1945</v>
      </c>
      <c r="B5070" t="s">
        <v>792</v>
      </c>
      <c r="C5070" t="s">
        <v>793</v>
      </c>
      <c r="D5070">
        <v>2018</v>
      </c>
      <c r="E5070" s="2">
        <v>2</v>
      </c>
      <c r="F5070" s="2">
        <v>450</v>
      </c>
      <c r="G5070" s="2">
        <v>472.5</v>
      </c>
    </row>
    <row r="5071" spans="1:8" x14ac:dyDescent="0.3">
      <c r="A5071" t="s">
        <v>1945</v>
      </c>
      <c r="B5071" t="s">
        <v>1950</v>
      </c>
      <c r="C5071" t="s">
        <v>1156</v>
      </c>
      <c r="D5071">
        <v>2018</v>
      </c>
      <c r="E5071" s="2">
        <v>2</v>
      </c>
      <c r="F5071" s="2">
        <v>480</v>
      </c>
      <c r="G5071" s="2">
        <v>504</v>
      </c>
    </row>
    <row r="5072" spans="1:8" x14ac:dyDescent="0.3">
      <c r="A5072" t="s">
        <v>1945</v>
      </c>
      <c r="B5072" t="s">
        <v>933</v>
      </c>
      <c r="C5072" t="s">
        <v>934</v>
      </c>
      <c r="D5072">
        <v>2018</v>
      </c>
      <c r="E5072" s="2">
        <v>2</v>
      </c>
      <c r="F5072" s="2">
        <v>360</v>
      </c>
      <c r="G5072" s="2">
        <v>378</v>
      </c>
    </row>
    <row r="5073" spans="1:8" x14ac:dyDescent="0.3">
      <c r="A5073" t="s">
        <v>1945</v>
      </c>
      <c r="B5073" t="s">
        <v>307</v>
      </c>
      <c r="C5073" t="s">
        <v>132</v>
      </c>
      <c r="D5073">
        <v>2018</v>
      </c>
      <c r="E5073" s="2">
        <v>2</v>
      </c>
      <c r="F5073" s="2">
        <v>520</v>
      </c>
      <c r="G5073" s="2">
        <v>546</v>
      </c>
    </row>
    <row r="5074" spans="1:8" x14ac:dyDescent="0.3">
      <c r="A5074" t="s">
        <v>1945</v>
      </c>
      <c r="B5074" t="s">
        <v>402</v>
      </c>
      <c r="C5074" t="s">
        <v>403</v>
      </c>
      <c r="D5074">
        <v>2019</v>
      </c>
      <c r="E5074" s="2">
        <v>5</v>
      </c>
      <c r="F5074" s="2">
        <v>1100</v>
      </c>
      <c r="G5074" s="2">
        <v>1155</v>
      </c>
    </row>
    <row r="5075" spans="1:8" x14ac:dyDescent="0.3">
      <c r="A5075" t="s">
        <v>1945</v>
      </c>
      <c r="B5075" t="s">
        <v>142</v>
      </c>
      <c r="C5075" t="s">
        <v>143</v>
      </c>
      <c r="D5075">
        <v>2018</v>
      </c>
      <c r="E5075" s="2">
        <v>5</v>
      </c>
      <c r="F5075" s="2">
        <v>1200</v>
      </c>
      <c r="G5075" s="2">
        <v>1260</v>
      </c>
    </row>
    <row r="5076" spans="1:8" x14ac:dyDescent="0.3">
      <c r="A5076" t="s">
        <v>1945</v>
      </c>
      <c r="B5076" t="s">
        <v>263</v>
      </c>
      <c r="C5076" t="s">
        <v>264</v>
      </c>
      <c r="D5076">
        <v>2019</v>
      </c>
      <c r="E5076" s="2">
        <v>11</v>
      </c>
      <c r="F5076" s="2">
        <v>1980</v>
      </c>
      <c r="G5076" s="2">
        <v>2079</v>
      </c>
    </row>
    <row r="5077" spans="1:8" x14ac:dyDescent="0.3">
      <c r="A5077" t="s">
        <v>1945</v>
      </c>
      <c r="B5077" t="s">
        <v>263</v>
      </c>
      <c r="C5077" t="s">
        <v>264</v>
      </c>
      <c r="D5077">
        <v>2020</v>
      </c>
      <c r="E5077" s="2">
        <v>2</v>
      </c>
      <c r="F5077" s="2">
        <v>360</v>
      </c>
      <c r="G5077" s="2">
        <v>378</v>
      </c>
    </row>
    <row r="5078" spans="1:8" x14ac:dyDescent="0.3">
      <c r="A5078" t="s">
        <v>1945</v>
      </c>
      <c r="B5078" t="s">
        <v>266</v>
      </c>
      <c r="C5078" t="s">
        <v>143</v>
      </c>
      <c r="D5078">
        <v>2019</v>
      </c>
      <c r="E5078" s="2">
        <v>3</v>
      </c>
      <c r="F5078" s="2">
        <v>600</v>
      </c>
      <c r="G5078" s="2">
        <v>630</v>
      </c>
    </row>
    <row r="5079" spans="1:8" x14ac:dyDescent="0.3">
      <c r="A5079" t="s">
        <v>1945</v>
      </c>
      <c r="B5079" t="s">
        <v>266</v>
      </c>
      <c r="C5079" t="s">
        <v>143</v>
      </c>
      <c r="D5079">
        <v>2020</v>
      </c>
      <c r="E5079" s="2">
        <v>7</v>
      </c>
      <c r="F5079" s="2">
        <v>1360</v>
      </c>
      <c r="G5079" s="2">
        <v>1428</v>
      </c>
    </row>
    <row r="5080" spans="1:8" x14ac:dyDescent="0.3">
      <c r="A5080" t="s">
        <v>1945</v>
      </c>
      <c r="B5080" t="s">
        <v>584</v>
      </c>
      <c r="C5080" t="s">
        <v>413</v>
      </c>
      <c r="D5080">
        <v>2018</v>
      </c>
      <c r="E5080" s="2">
        <v>2</v>
      </c>
      <c r="F5080" s="2">
        <v>480</v>
      </c>
      <c r="G5080" s="2">
        <v>504</v>
      </c>
    </row>
    <row r="5081" spans="1:8" x14ac:dyDescent="0.3">
      <c r="A5081" t="s">
        <v>1945</v>
      </c>
      <c r="B5081" t="s">
        <v>72</v>
      </c>
      <c r="C5081" t="s">
        <v>319</v>
      </c>
      <c r="D5081">
        <v>2018</v>
      </c>
      <c r="E5081" s="2">
        <v>5</v>
      </c>
      <c r="F5081" s="2">
        <v>1100</v>
      </c>
      <c r="G5081" s="2">
        <v>1155</v>
      </c>
      <c r="H5081" s="3" t="s">
        <v>18</v>
      </c>
    </row>
    <row r="5082" spans="1:8" x14ac:dyDescent="0.3">
      <c r="A5082" t="s">
        <v>1945</v>
      </c>
      <c r="B5082" t="s">
        <v>72</v>
      </c>
      <c r="C5082" t="s">
        <v>319</v>
      </c>
      <c r="D5082">
        <v>2019</v>
      </c>
      <c r="E5082" s="2">
        <v>5</v>
      </c>
      <c r="F5082" s="2">
        <v>950</v>
      </c>
      <c r="G5082" s="2">
        <v>997.5</v>
      </c>
      <c r="H5082" s="3" t="s">
        <v>18</v>
      </c>
    </row>
    <row r="5083" spans="1:8" x14ac:dyDescent="0.3">
      <c r="A5083" t="s">
        <v>1945</v>
      </c>
      <c r="B5083" t="s">
        <v>72</v>
      </c>
      <c r="C5083" t="s">
        <v>319</v>
      </c>
      <c r="D5083">
        <v>2020</v>
      </c>
      <c r="E5083" s="2">
        <v>2</v>
      </c>
      <c r="F5083" s="2">
        <v>380</v>
      </c>
      <c r="G5083" s="2">
        <v>399</v>
      </c>
      <c r="H5083" s="3" t="s">
        <v>18</v>
      </c>
    </row>
    <row r="5084" spans="1:8" x14ac:dyDescent="0.3">
      <c r="A5084" t="s">
        <v>1945</v>
      </c>
      <c r="B5084" t="s">
        <v>72</v>
      </c>
      <c r="C5084" t="s">
        <v>319</v>
      </c>
      <c r="D5084">
        <v>2021</v>
      </c>
      <c r="E5084" s="2">
        <v>2</v>
      </c>
      <c r="F5084" s="2">
        <v>378</v>
      </c>
      <c r="G5084" s="2">
        <v>378</v>
      </c>
      <c r="H5084" s="3" t="s">
        <v>18</v>
      </c>
    </row>
    <row r="5085" spans="1:8" x14ac:dyDescent="0.3">
      <c r="A5085" t="s">
        <v>1945</v>
      </c>
      <c r="B5085" t="s">
        <v>323</v>
      </c>
      <c r="C5085" t="s">
        <v>324</v>
      </c>
      <c r="D5085">
        <v>2018</v>
      </c>
      <c r="E5085" s="2">
        <v>2</v>
      </c>
      <c r="F5085" s="2">
        <v>360</v>
      </c>
      <c r="G5085" s="2">
        <v>378</v>
      </c>
    </row>
    <row r="5086" spans="1:8" x14ac:dyDescent="0.3">
      <c r="A5086" t="s">
        <v>1945</v>
      </c>
      <c r="B5086" t="s">
        <v>1951</v>
      </c>
      <c r="C5086" t="s">
        <v>1759</v>
      </c>
      <c r="D5086">
        <v>2019</v>
      </c>
      <c r="E5086" s="2">
        <v>5</v>
      </c>
      <c r="F5086" s="2">
        <v>800</v>
      </c>
      <c r="G5086" s="2">
        <v>840</v>
      </c>
    </row>
    <row r="5087" spans="1:8" x14ac:dyDescent="0.3">
      <c r="A5087" t="s">
        <v>1952</v>
      </c>
      <c r="B5087" t="s">
        <v>34</v>
      </c>
      <c r="D5087">
        <v>2020</v>
      </c>
      <c r="E5087" s="2">
        <v>1</v>
      </c>
      <c r="F5087" s="2">
        <v>80</v>
      </c>
      <c r="G5087" s="2">
        <v>84</v>
      </c>
    </row>
    <row r="5088" spans="1:8" x14ac:dyDescent="0.3">
      <c r="A5088" t="s">
        <v>1952</v>
      </c>
      <c r="B5088" t="s">
        <v>642</v>
      </c>
      <c r="D5088">
        <v>2020</v>
      </c>
      <c r="E5088" s="2">
        <v>1</v>
      </c>
      <c r="F5088" s="2">
        <v>115</v>
      </c>
      <c r="G5088" s="2">
        <v>120.75</v>
      </c>
    </row>
    <row r="5089" spans="1:8" x14ac:dyDescent="0.3">
      <c r="A5089" t="s">
        <v>1952</v>
      </c>
      <c r="B5089" t="s">
        <v>37</v>
      </c>
      <c r="D5089">
        <v>2020</v>
      </c>
      <c r="E5089" s="2">
        <v>1</v>
      </c>
      <c r="F5089" s="2">
        <v>70</v>
      </c>
      <c r="G5089" s="2">
        <v>73.5</v>
      </c>
    </row>
    <row r="5090" spans="1:8" x14ac:dyDescent="0.3">
      <c r="A5090" t="s">
        <v>1953</v>
      </c>
      <c r="B5090" t="s">
        <v>624</v>
      </c>
      <c r="C5090" t="s">
        <v>625</v>
      </c>
      <c r="D5090">
        <v>2021</v>
      </c>
      <c r="E5090" s="2">
        <v>25</v>
      </c>
      <c r="F5090" s="2">
        <v>2125</v>
      </c>
      <c r="G5090" s="2">
        <v>2231.25</v>
      </c>
      <c r="H5090" s="3" t="s">
        <v>14</v>
      </c>
    </row>
    <row r="5091" spans="1:8" x14ac:dyDescent="0.3">
      <c r="A5091" t="s">
        <v>1953</v>
      </c>
      <c r="B5091" t="s">
        <v>705</v>
      </c>
      <c r="C5091" t="s">
        <v>89</v>
      </c>
      <c r="D5091">
        <v>2019</v>
      </c>
      <c r="E5091" s="2">
        <v>100</v>
      </c>
      <c r="F5091" s="2">
        <v>8700</v>
      </c>
      <c r="G5091" s="2">
        <v>9135</v>
      </c>
    </row>
    <row r="5092" spans="1:8" x14ac:dyDescent="0.3">
      <c r="A5092" t="s">
        <v>1953</v>
      </c>
      <c r="B5092" t="s">
        <v>635</v>
      </c>
      <c r="C5092" t="s">
        <v>636</v>
      </c>
      <c r="D5092">
        <v>2018</v>
      </c>
      <c r="E5092" s="2">
        <v>100</v>
      </c>
      <c r="F5092" s="2">
        <v>7500</v>
      </c>
      <c r="G5092" s="2">
        <v>7875</v>
      </c>
    </row>
    <row r="5093" spans="1:8" x14ac:dyDescent="0.3">
      <c r="A5093" t="s">
        <v>1953</v>
      </c>
      <c r="B5093" t="s">
        <v>135</v>
      </c>
      <c r="C5093" t="s">
        <v>331</v>
      </c>
      <c r="D5093">
        <v>2018</v>
      </c>
      <c r="E5093" s="2">
        <v>1</v>
      </c>
      <c r="F5093" s="2">
        <v>200</v>
      </c>
      <c r="G5093" s="2">
        <v>210</v>
      </c>
    </row>
    <row r="5094" spans="1:8" x14ac:dyDescent="0.3">
      <c r="A5094" t="s">
        <v>1953</v>
      </c>
      <c r="B5094" t="s">
        <v>1002</v>
      </c>
      <c r="C5094" t="s">
        <v>138</v>
      </c>
      <c r="D5094">
        <v>2019</v>
      </c>
      <c r="E5094" s="2">
        <v>100</v>
      </c>
      <c r="F5094" s="2">
        <v>8200</v>
      </c>
      <c r="G5094" s="2">
        <v>8610</v>
      </c>
    </row>
    <row r="5095" spans="1:8" x14ac:dyDescent="0.3">
      <c r="A5095" t="s">
        <v>1953</v>
      </c>
      <c r="B5095" t="s">
        <v>653</v>
      </c>
      <c r="C5095" t="s">
        <v>654</v>
      </c>
      <c r="D5095">
        <v>2018</v>
      </c>
      <c r="E5095" s="2">
        <v>50</v>
      </c>
      <c r="F5095" s="2">
        <v>3600</v>
      </c>
      <c r="G5095" s="2">
        <v>3780</v>
      </c>
    </row>
    <row r="5096" spans="1:8" x14ac:dyDescent="0.3">
      <c r="A5096" t="s">
        <v>1953</v>
      </c>
      <c r="B5096" t="s">
        <v>653</v>
      </c>
      <c r="C5096" t="s">
        <v>654</v>
      </c>
      <c r="D5096">
        <v>2019</v>
      </c>
      <c r="E5096" s="2">
        <v>100</v>
      </c>
      <c r="F5096" s="2">
        <v>7200</v>
      </c>
      <c r="G5096" s="2">
        <v>7560</v>
      </c>
    </row>
    <row r="5097" spans="1:8" x14ac:dyDescent="0.3">
      <c r="A5097" t="s">
        <v>1954</v>
      </c>
      <c r="B5097" t="s">
        <v>45</v>
      </c>
      <c r="D5097">
        <v>2021</v>
      </c>
      <c r="E5097" s="2">
        <v>100</v>
      </c>
      <c r="F5097" s="2">
        <v>6500</v>
      </c>
      <c r="G5097" s="2">
        <v>6500</v>
      </c>
      <c r="H5097" s="3" t="s">
        <v>18</v>
      </c>
    </row>
    <row r="5098" spans="1:8" x14ac:dyDescent="0.3">
      <c r="A5098" t="s">
        <v>1954</v>
      </c>
      <c r="B5098" t="s">
        <v>483</v>
      </c>
      <c r="C5098" t="s">
        <v>484</v>
      </c>
      <c r="D5098">
        <v>2021</v>
      </c>
      <c r="E5098" s="2">
        <v>125</v>
      </c>
      <c r="F5098" s="2">
        <v>8125</v>
      </c>
      <c r="G5098" s="2">
        <v>8125</v>
      </c>
      <c r="H5098" s="3" t="s">
        <v>18</v>
      </c>
    </row>
    <row r="5099" spans="1:8" x14ac:dyDescent="0.3">
      <c r="A5099" t="s">
        <v>1955</v>
      </c>
      <c r="B5099" t="s">
        <v>719</v>
      </c>
      <c r="C5099" t="s">
        <v>925</v>
      </c>
      <c r="D5099">
        <v>2013</v>
      </c>
      <c r="E5099" s="2">
        <v>5</v>
      </c>
      <c r="F5099" s="2">
        <v>1200</v>
      </c>
      <c r="G5099" s="2"/>
    </row>
    <row r="5100" spans="1:8" x14ac:dyDescent="0.3">
      <c r="A5100" t="s">
        <v>1956</v>
      </c>
      <c r="B5100" t="s">
        <v>1461</v>
      </c>
      <c r="D5100">
        <v>2021</v>
      </c>
      <c r="E5100" s="2">
        <v>50</v>
      </c>
      <c r="F5100" s="2">
        <v>6000</v>
      </c>
      <c r="G5100" s="2">
        <v>6300</v>
      </c>
      <c r="H5100" s="3" t="s">
        <v>18</v>
      </c>
    </row>
    <row r="5101" spans="1:8" x14ac:dyDescent="0.3">
      <c r="A5101" t="s">
        <v>1957</v>
      </c>
      <c r="B5101" t="s">
        <v>528</v>
      </c>
      <c r="C5101" t="s">
        <v>529</v>
      </c>
      <c r="D5101">
        <v>2011</v>
      </c>
      <c r="E5101" s="2">
        <v>75</v>
      </c>
      <c r="F5101" s="2">
        <v>5625</v>
      </c>
      <c r="G5101" s="2"/>
    </row>
    <row r="5102" spans="1:8" x14ac:dyDescent="0.3">
      <c r="A5102" t="s">
        <v>1958</v>
      </c>
      <c r="B5102" t="s">
        <v>843</v>
      </c>
      <c r="C5102" t="s">
        <v>844</v>
      </c>
      <c r="D5102">
        <v>2015</v>
      </c>
      <c r="E5102" s="2">
        <v>10</v>
      </c>
      <c r="F5102" s="2">
        <v>2900</v>
      </c>
      <c r="G5102" s="2"/>
    </row>
    <row r="5103" spans="1:8" x14ac:dyDescent="0.3">
      <c r="A5103" t="s">
        <v>1958</v>
      </c>
      <c r="B5103" t="s">
        <v>393</v>
      </c>
      <c r="C5103" t="s">
        <v>394</v>
      </c>
      <c r="D5103">
        <v>2015</v>
      </c>
      <c r="E5103" s="2">
        <v>10</v>
      </c>
      <c r="F5103" s="2">
        <v>2300</v>
      </c>
      <c r="G5103" s="2"/>
    </row>
    <row r="5104" spans="1:8" x14ac:dyDescent="0.3">
      <c r="A5104" t="s">
        <v>1958</v>
      </c>
      <c r="B5104" t="s">
        <v>393</v>
      </c>
      <c r="C5104" t="s">
        <v>394</v>
      </c>
      <c r="D5104">
        <v>2017</v>
      </c>
      <c r="E5104" s="2">
        <v>1</v>
      </c>
      <c r="F5104" s="2">
        <v>115</v>
      </c>
      <c r="G5104" s="2"/>
    </row>
    <row r="5105" spans="1:7" x14ac:dyDescent="0.3">
      <c r="A5105" t="s">
        <v>1958</v>
      </c>
      <c r="B5105" t="s">
        <v>84</v>
      </c>
      <c r="C5105" t="s">
        <v>85</v>
      </c>
      <c r="D5105">
        <v>2015</v>
      </c>
      <c r="E5105" s="2">
        <v>3</v>
      </c>
      <c r="F5105" s="2">
        <v>840</v>
      </c>
      <c r="G5105" s="2"/>
    </row>
    <row r="5106" spans="1:7" x14ac:dyDescent="0.3">
      <c r="A5106" t="s">
        <v>1958</v>
      </c>
      <c r="B5106" t="s">
        <v>84</v>
      </c>
      <c r="C5106" t="s">
        <v>85</v>
      </c>
      <c r="D5106">
        <v>2016</v>
      </c>
      <c r="E5106" s="2">
        <v>6</v>
      </c>
      <c r="F5106" s="2">
        <v>1680</v>
      </c>
      <c r="G5106" s="2"/>
    </row>
    <row r="5107" spans="1:7" x14ac:dyDescent="0.3">
      <c r="A5107" t="s">
        <v>1958</v>
      </c>
      <c r="B5107" t="s">
        <v>84</v>
      </c>
      <c r="C5107" t="s">
        <v>85</v>
      </c>
      <c r="D5107">
        <v>2017</v>
      </c>
      <c r="E5107" s="2">
        <v>1</v>
      </c>
      <c r="F5107" s="2">
        <v>140</v>
      </c>
      <c r="G5107" s="2"/>
    </row>
    <row r="5108" spans="1:7" x14ac:dyDescent="0.3">
      <c r="A5108" t="s">
        <v>1958</v>
      </c>
      <c r="B5108" t="s">
        <v>581</v>
      </c>
      <c r="C5108" t="s">
        <v>582</v>
      </c>
      <c r="D5108">
        <v>2015</v>
      </c>
      <c r="E5108" s="2">
        <v>22</v>
      </c>
      <c r="F5108" s="2">
        <v>5940</v>
      </c>
      <c r="G5108" s="2"/>
    </row>
    <row r="5109" spans="1:7" x14ac:dyDescent="0.3">
      <c r="A5109" t="s">
        <v>1958</v>
      </c>
      <c r="B5109" t="s">
        <v>581</v>
      </c>
      <c r="C5109" t="s">
        <v>582</v>
      </c>
      <c r="D5109">
        <v>2016</v>
      </c>
      <c r="E5109" s="2">
        <v>10</v>
      </c>
      <c r="F5109" s="2">
        <v>2700</v>
      </c>
      <c r="G5109" s="2"/>
    </row>
    <row r="5110" spans="1:7" x14ac:dyDescent="0.3">
      <c r="A5110" t="s">
        <v>1958</v>
      </c>
      <c r="B5110" t="s">
        <v>1959</v>
      </c>
      <c r="C5110" t="s">
        <v>1960</v>
      </c>
      <c r="D5110">
        <v>2016</v>
      </c>
      <c r="E5110" s="2">
        <v>10</v>
      </c>
      <c r="F5110" s="2">
        <v>3000</v>
      </c>
      <c r="G5110" s="2"/>
    </row>
    <row r="5111" spans="1:7" x14ac:dyDescent="0.3">
      <c r="A5111" t="s">
        <v>1958</v>
      </c>
      <c r="B5111" t="s">
        <v>1961</v>
      </c>
      <c r="C5111" t="s">
        <v>1962</v>
      </c>
      <c r="D5111">
        <v>2016</v>
      </c>
      <c r="E5111" s="2">
        <v>10</v>
      </c>
      <c r="F5111" s="2">
        <v>2900</v>
      </c>
      <c r="G5111" s="2"/>
    </row>
    <row r="5112" spans="1:7" x14ac:dyDescent="0.3">
      <c r="A5112" t="s">
        <v>1958</v>
      </c>
      <c r="B5112" t="s">
        <v>248</v>
      </c>
      <c r="C5112" t="s">
        <v>249</v>
      </c>
      <c r="D5112">
        <v>2019</v>
      </c>
      <c r="E5112" s="2">
        <v>25</v>
      </c>
      <c r="F5112" s="2">
        <v>6000</v>
      </c>
      <c r="G5112" s="2">
        <v>6300</v>
      </c>
    </row>
    <row r="5113" spans="1:7" x14ac:dyDescent="0.3">
      <c r="A5113" t="s">
        <v>1958</v>
      </c>
      <c r="B5113" t="s">
        <v>538</v>
      </c>
      <c r="C5113" t="s">
        <v>539</v>
      </c>
      <c r="D5113">
        <v>2017</v>
      </c>
      <c r="E5113" s="2">
        <v>2</v>
      </c>
      <c r="F5113" s="2">
        <v>292.5</v>
      </c>
      <c r="G5113" s="2"/>
    </row>
    <row r="5114" spans="1:7" x14ac:dyDescent="0.3">
      <c r="A5114" t="s">
        <v>1958</v>
      </c>
      <c r="B5114" t="s">
        <v>252</v>
      </c>
      <c r="C5114" t="s">
        <v>191</v>
      </c>
      <c r="D5114">
        <v>2019</v>
      </c>
      <c r="E5114" s="2">
        <v>15</v>
      </c>
      <c r="F5114" s="2">
        <v>3300</v>
      </c>
      <c r="G5114" s="2">
        <v>3465</v>
      </c>
    </row>
    <row r="5115" spans="1:7" x14ac:dyDescent="0.3">
      <c r="A5115" t="s">
        <v>1958</v>
      </c>
      <c r="B5115" t="s">
        <v>1963</v>
      </c>
      <c r="C5115" t="s">
        <v>638</v>
      </c>
      <c r="D5115">
        <v>2016</v>
      </c>
      <c r="E5115" s="2">
        <v>10</v>
      </c>
      <c r="F5115" s="2">
        <v>2100</v>
      </c>
      <c r="G5115" s="2"/>
    </row>
    <row r="5116" spans="1:7" x14ac:dyDescent="0.3">
      <c r="A5116" t="s">
        <v>1958</v>
      </c>
      <c r="B5116" t="s">
        <v>99</v>
      </c>
      <c r="C5116" t="s">
        <v>100</v>
      </c>
      <c r="D5116">
        <v>2019</v>
      </c>
      <c r="E5116" s="2">
        <v>12</v>
      </c>
      <c r="F5116" s="2">
        <v>2220</v>
      </c>
      <c r="G5116" s="2">
        <v>2331</v>
      </c>
    </row>
    <row r="5117" spans="1:7" x14ac:dyDescent="0.3">
      <c r="A5117" t="s">
        <v>1958</v>
      </c>
      <c r="B5117" t="s">
        <v>60</v>
      </c>
      <c r="C5117" t="s">
        <v>61</v>
      </c>
      <c r="D5117">
        <v>2015</v>
      </c>
      <c r="E5117" s="2">
        <v>10</v>
      </c>
      <c r="F5117" s="2">
        <v>2600</v>
      </c>
      <c r="G5117" s="2"/>
    </row>
    <row r="5118" spans="1:7" x14ac:dyDescent="0.3">
      <c r="A5118" t="s">
        <v>1958</v>
      </c>
      <c r="B5118" t="s">
        <v>60</v>
      </c>
      <c r="C5118" t="s">
        <v>61</v>
      </c>
      <c r="D5118">
        <v>2016</v>
      </c>
      <c r="E5118" s="2">
        <v>10.5</v>
      </c>
      <c r="F5118" s="2">
        <v>2625</v>
      </c>
      <c r="G5118" s="2"/>
    </row>
    <row r="5119" spans="1:7" x14ac:dyDescent="0.3">
      <c r="A5119" t="s">
        <v>1958</v>
      </c>
      <c r="B5119" t="s">
        <v>554</v>
      </c>
      <c r="C5119" t="s">
        <v>249</v>
      </c>
      <c r="D5119">
        <v>2018</v>
      </c>
      <c r="E5119" s="2">
        <v>10</v>
      </c>
      <c r="F5119" s="2">
        <v>2500</v>
      </c>
      <c r="G5119" s="2">
        <v>2625</v>
      </c>
    </row>
    <row r="5120" spans="1:7" x14ac:dyDescent="0.3">
      <c r="A5120" t="s">
        <v>1958</v>
      </c>
      <c r="B5120" t="s">
        <v>117</v>
      </c>
      <c r="C5120" t="s">
        <v>118</v>
      </c>
      <c r="D5120">
        <v>2018</v>
      </c>
      <c r="E5120" s="2">
        <v>6</v>
      </c>
      <c r="F5120" s="2">
        <v>1260</v>
      </c>
      <c r="G5120" s="2">
        <v>1323</v>
      </c>
    </row>
    <row r="5121" spans="1:7" x14ac:dyDescent="0.3">
      <c r="A5121" t="s">
        <v>1958</v>
      </c>
      <c r="B5121" t="s">
        <v>117</v>
      </c>
      <c r="C5121" t="s">
        <v>118</v>
      </c>
      <c r="D5121">
        <v>2019</v>
      </c>
      <c r="E5121" s="2">
        <v>6</v>
      </c>
      <c r="F5121" s="2">
        <v>1290</v>
      </c>
      <c r="G5121" s="2">
        <v>1354.5</v>
      </c>
    </row>
    <row r="5122" spans="1:7" x14ac:dyDescent="0.3">
      <c r="A5122" t="s">
        <v>1958</v>
      </c>
      <c r="B5122" t="s">
        <v>120</v>
      </c>
      <c r="C5122" t="s">
        <v>121</v>
      </c>
      <c r="D5122">
        <v>2016</v>
      </c>
      <c r="E5122" s="2">
        <v>20</v>
      </c>
      <c r="F5122" s="2">
        <v>4600</v>
      </c>
      <c r="G5122" s="2"/>
    </row>
    <row r="5123" spans="1:7" x14ac:dyDescent="0.3">
      <c r="A5123" t="s">
        <v>1958</v>
      </c>
      <c r="B5123" t="s">
        <v>120</v>
      </c>
      <c r="C5123" t="s">
        <v>121</v>
      </c>
      <c r="D5123">
        <v>2017</v>
      </c>
      <c r="E5123" s="2">
        <v>9</v>
      </c>
      <c r="F5123" s="2">
        <v>1935</v>
      </c>
      <c r="G5123" s="2"/>
    </row>
    <row r="5124" spans="1:7" x14ac:dyDescent="0.3">
      <c r="A5124" t="s">
        <v>1958</v>
      </c>
      <c r="B5124" t="s">
        <v>135</v>
      </c>
      <c r="C5124" t="s">
        <v>136</v>
      </c>
      <c r="D5124">
        <v>2015</v>
      </c>
      <c r="E5124" s="2">
        <v>2</v>
      </c>
      <c r="F5124" s="2">
        <v>540</v>
      </c>
      <c r="G5124" s="2"/>
    </row>
    <row r="5125" spans="1:7" x14ac:dyDescent="0.3">
      <c r="A5125" t="s">
        <v>1958</v>
      </c>
      <c r="B5125" t="s">
        <v>135</v>
      </c>
      <c r="C5125" t="s">
        <v>136</v>
      </c>
      <c r="D5125">
        <v>2016</v>
      </c>
      <c r="E5125" s="2">
        <v>5.5</v>
      </c>
      <c r="F5125" s="2">
        <v>375</v>
      </c>
      <c r="G5125" s="2"/>
    </row>
    <row r="5126" spans="1:7" x14ac:dyDescent="0.3">
      <c r="A5126" t="s">
        <v>1958</v>
      </c>
      <c r="B5126" t="s">
        <v>135</v>
      </c>
      <c r="C5126" t="s">
        <v>331</v>
      </c>
      <c r="D5126">
        <v>2017</v>
      </c>
      <c r="E5126" s="2">
        <v>1</v>
      </c>
      <c r="F5126" s="2">
        <v>200</v>
      </c>
      <c r="G5126" s="2"/>
    </row>
    <row r="5127" spans="1:7" x14ac:dyDescent="0.3">
      <c r="A5127" t="s">
        <v>1958</v>
      </c>
      <c r="B5127" t="s">
        <v>135</v>
      </c>
      <c r="C5127" t="s">
        <v>136</v>
      </c>
      <c r="D5127">
        <v>2018</v>
      </c>
      <c r="E5127" s="2">
        <v>1</v>
      </c>
      <c r="F5127" s="2">
        <v>190</v>
      </c>
      <c r="G5127" s="2">
        <v>199.5</v>
      </c>
    </row>
    <row r="5128" spans="1:7" x14ac:dyDescent="0.3">
      <c r="A5128" t="s">
        <v>1958</v>
      </c>
      <c r="B5128" t="s">
        <v>599</v>
      </c>
      <c r="C5128" t="s">
        <v>413</v>
      </c>
      <c r="D5128">
        <v>2018</v>
      </c>
      <c r="E5128" s="2">
        <v>7</v>
      </c>
      <c r="F5128" s="2">
        <v>1540</v>
      </c>
      <c r="G5128" s="2">
        <v>1617</v>
      </c>
    </row>
    <row r="5129" spans="1:7" x14ac:dyDescent="0.3">
      <c r="A5129" t="s">
        <v>1958</v>
      </c>
      <c r="B5129" t="s">
        <v>599</v>
      </c>
      <c r="C5129" t="s">
        <v>413</v>
      </c>
      <c r="D5129">
        <v>2019</v>
      </c>
      <c r="E5129" s="2">
        <v>25</v>
      </c>
      <c r="F5129" s="2">
        <v>5500</v>
      </c>
      <c r="G5129" s="2">
        <v>5775</v>
      </c>
    </row>
    <row r="5130" spans="1:7" x14ac:dyDescent="0.3">
      <c r="A5130" t="s">
        <v>1958</v>
      </c>
      <c r="B5130" t="s">
        <v>72</v>
      </c>
      <c r="C5130" t="s">
        <v>319</v>
      </c>
      <c r="D5130">
        <v>2016</v>
      </c>
      <c r="E5130" s="2">
        <v>43</v>
      </c>
      <c r="F5130" s="2">
        <v>8385</v>
      </c>
      <c r="G5130" s="2"/>
    </row>
    <row r="5131" spans="1:7" x14ac:dyDescent="0.3">
      <c r="A5131" t="s">
        <v>1958</v>
      </c>
      <c r="B5131" t="s">
        <v>72</v>
      </c>
      <c r="C5131" t="s">
        <v>319</v>
      </c>
      <c r="D5131">
        <v>2017</v>
      </c>
      <c r="E5131" s="2">
        <v>14</v>
      </c>
      <c r="F5131" s="2">
        <v>2430</v>
      </c>
      <c r="G5131" s="2"/>
    </row>
    <row r="5132" spans="1:7" x14ac:dyDescent="0.3">
      <c r="A5132" t="s">
        <v>1958</v>
      </c>
      <c r="B5132" t="s">
        <v>72</v>
      </c>
      <c r="C5132" t="s">
        <v>319</v>
      </c>
      <c r="D5132">
        <v>2018</v>
      </c>
      <c r="E5132" s="2">
        <v>5</v>
      </c>
      <c r="F5132" s="2">
        <v>900</v>
      </c>
      <c r="G5132" s="2">
        <v>945</v>
      </c>
    </row>
    <row r="5133" spans="1:7" x14ac:dyDescent="0.3">
      <c r="A5133" t="s">
        <v>1958</v>
      </c>
      <c r="B5133" t="s">
        <v>72</v>
      </c>
      <c r="C5133" t="s">
        <v>319</v>
      </c>
      <c r="D5133">
        <v>2019</v>
      </c>
      <c r="E5133" s="2">
        <v>25</v>
      </c>
      <c r="F5133" s="2">
        <v>4500</v>
      </c>
      <c r="G5133" s="2">
        <v>4725</v>
      </c>
    </row>
    <row r="5134" spans="1:7" x14ac:dyDescent="0.3">
      <c r="A5134" t="s">
        <v>1958</v>
      </c>
      <c r="B5134" t="s">
        <v>203</v>
      </c>
      <c r="C5134" t="s">
        <v>204</v>
      </c>
      <c r="D5134">
        <v>2015</v>
      </c>
      <c r="E5134" s="2">
        <v>5</v>
      </c>
      <c r="F5134" s="2">
        <v>1000</v>
      </c>
      <c r="G5134" s="2"/>
    </row>
    <row r="5135" spans="1:7" x14ac:dyDescent="0.3">
      <c r="A5135" t="s">
        <v>1964</v>
      </c>
      <c r="B5135" t="s">
        <v>99</v>
      </c>
      <c r="C5135" t="s">
        <v>100</v>
      </c>
      <c r="D5135">
        <v>2018</v>
      </c>
      <c r="E5135" s="2">
        <v>25</v>
      </c>
      <c r="F5135" s="2">
        <v>5500</v>
      </c>
      <c r="G5135" s="2">
        <v>5775</v>
      </c>
    </row>
    <row r="5136" spans="1:7" x14ac:dyDescent="0.3">
      <c r="A5136" t="s">
        <v>1964</v>
      </c>
      <c r="B5136" t="s">
        <v>1015</v>
      </c>
      <c r="C5136" t="s">
        <v>1965</v>
      </c>
      <c r="D5136">
        <v>2016</v>
      </c>
      <c r="E5136" s="2">
        <v>50</v>
      </c>
      <c r="F5136" s="2">
        <v>4750</v>
      </c>
      <c r="G5136" s="2"/>
    </row>
    <row r="5137" spans="1:7" x14ac:dyDescent="0.3">
      <c r="A5137" t="s">
        <v>1964</v>
      </c>
      <c r="B5137" t="s">
        <v>64</v>
      </c>
      <c r="C5137" t="s">
        <v>65</v>
      </c>
      <c r="D5137">
        <v>2019</v>
      </c>
      <c r="E5137" s="2">
        <v>25</v>
      </c>
      <c r="F5137" s="2">
        <v>2500</v>
      </c>
      <c r="G5137" s="2">
        <v>2625</v>
      </c>
    </row>
    <row r="5138" spans="1:7" x14ac:dyDescent="0.3">
      <c r="A5138" t="s">
        <v>1964</v>
      </c>
      <c r="B5138" t="s">
        <v>600</v>
      </c>
      <c r="C5138" t="s">
        <v>75</v>
      </c>
      <c r="D5138">
        <v>2019</v>
      </c>
      <c r="E5138" s="2">
        <v>20</v>
      </c>
      <c r="F5138" s="2">
        <v>3900</v>
      </c>
      <c r="G5138" s="2">
        <v>4095</v>
      </c>
    </row>
    <row r="5139" spans="1:7" x14ac:dyDescent="0.3">
      <c r="A5139" t="s">
        <v>1964</v>
      </c>
      <c r="B5139" t="s">
        <v>600</v>
      </c>
      <c r="C5139" t="s">
        <v>75</v>
      </c>
      <c r="D5139">
        <v>2020</v>
      </c>
      <c r="E5139" s="2">
        <v>25</v>
      </c>
      <c r="F5139" s="2">
        <v>4750</v>
      </c>
      <c r="G5139" s="2">
        <v>4987.5</v>
      </c>
    </row>
    <row r="5140" spans="1:7" x14ac:dyDescent="0.3">
      <c r="A5140" t="s">
        <v>1966</v>
      </c>
      <c r="B5140" t="s">
        <v>41</v>
      </c>
      <c r="C5140" t="s">
        <v>42</v>
      </c>
      <c r="D5140">
        <v>2011</v>
      </c>
      <c r="E5140" s="2">
        <v>25</v>
      </c>
      <c r="F5140" s="2">
        <v>1250</v>
      </c>
      <c r="G5140" s="2"/>
    </row>
    <row r="5141" spans="1:7" x14ac:dyDescent="0.3">
      <c r="A5141" t="s">
        <v>1966</v>
      </c>
      <c r="B5141" t="s">
        <v>1967</v>
      </c>
      <c r="D5141">
        <v>2013</v>
      </c>
      <c r="E5141" s="2">
        <v>10</v>
      </c>
      <c r="F5141" s="2">
        <v>3300</v>
      </c>
      <c r="G5141" s="2"/>
    </row>
    <row r="5142" spans="1:7" x14ac:dyDescent="0.3">
      <c r="A5142" t="s">
        <v>1966</v>
      </c>
      <c r="B5142" t="s">
        <v>863</v>
      </c>
      <c r="D5142">
        <v>2013</v>
      </c>
      <c r="E5142" s="2">
        <v>40</v>
      </c>
      <c r="F5142" s="2">
        <v>3200</v>
      </c>
      <c r="G5142" s="2"/>
    </row>
    <row r="5143" spans="1:7" x14ac:dyDescent="0.3">
      <c r="A5143" t="s">
        <v>1966</v>
      </c>
      <c r="B5143" t="s">
        <v>863</v>
      </c>
      <c r="D5143">
        <v>2015</v>
      </c>
      <c r="E5143" s="2">
        <v>82</v>
      </c>
      <c r="F5143" s="2">
        <v>7380</v>
      </c>
      <c r="G5143" s="2"/>
    </row>
    <row r="5144" spans="1:7" x14ac:dyDescent="0.3">
      <c r="A5144" t="s">
        <v>1968</v>
      </c>
      <c r="B5144" t="s">
        <v>702</v>
      </c>
      <c r="C5144" t="s">
        <v>703</v>
      </c>
      <c r="D5144">
        <v>2019</v>
      </c>
      <c r="E5144" s="2">
        <v>25</v>
      </c>
      <c r="F5144" s="2">
        <v>1550</v>
      </c>
      <c r="G5144" s="2">
        <v>1627.5</v>
      </c>
    </row>
    <row r="5145" spans="1:7" x14ac:dyDescent="0.3">
      <c r="A5145" t="s">
        <v>1969</v>
      </c>
      <c r="B5145" t="s">
        <v>1970</v>
      </c>
      <c r="C5145" t="s">
        <v>1971</v>
      </c>
      <c r="D5145">
        <v>2010</v>
      </c>
      <c r="E5145" s="2">
        <v>10</v>
      </c>
      <c r="F5145" s="2">
        <v>1766.4</v>
      </c>
      <c r="G5145" s="2"/>
    </row>
    <row r="5146" spans="1:7" x14ac:dyDescent="0.3">
      <c r="A5146" t="s">
        <v>1972</v>
      </c>
      <c r="B5146" t="s">
        <v>1973</v>
      </c>
      <c r="C5146" t="s">
        <v>1974</v>
      </c>
      <c r="D5146">
        <v>2013</v>
      </c>
      <c r="E5146" s="2">
        <v>1</v>
      </c>
      <c r="F5146" s="2">
        <v>970</v>
      </c>
      <c r="G5146" s="2"/>
    </row>
    <row r="5147" spans="1:7" x14ac:dyDescent="0.3">
      <c r="A5147" t="s">
        <v>1972</v>
      </c>
      <c r="B5147" t="s">
        <v>1973</v>
      </c>
      <c r="C5147" t="s">
        <v>1974</v>
      </c>
      <c r="D5147">
        <v>2014</v>
      </c>
      <c r="E5147" s="2">
        <v>5</v>
      </c>
      <c r="F5147" s="2">
        <v>4750</v>
      </c>
      <c r="G5147" s="2"/>
    </row>
    <row r="5148" spans="1:7" x14ac:dyDescent="0.3">
      <c r="A5148" t="s">
        <v>1972</v>
      </c>
      <c r="B5148" t="s">
        <v>1975</v>
      </c>
      <c r="C5148" t="s">
        <v>989</v>
      </c>
      <c r="D5148">
        <v>2013</v>
      </c>
      <c r="E5148" s="2">
        <v>5</v>
      </c>
      <c r="F5148" s="2">
        <v>950</v>
      </c>
      <c r="G5148" s="2"/>
    </row>
    <row r="5149" spans="1:7" x14ac:dyDescent="0.3">
      <c r="A5149" t="s">
        <v>1972</v>
      </c>
      <c r="B5149" t="s">
        <v>84</v>
      </c>
      <c r="C5149" t="s">
        <v>85</v>
      </c>
      <c r="D5149">
        <v>2013</v>
      </c>
      <c r="E5149" s="2">
        <v>15</v>
      </c>
      <c r="F5149" s="2">
        <v>2625</v>
      </c>
      <c r="G5149" s="2"/>
    </row>
    <row r="5150" spans="1:7" x14ac:dyDescent="0.3">
      <c r="A5150" t="s">
        <v>1972</v>
      </c>
      <c r="B5150" t="s">
        <v>84</v>
      </c>
      <c r="C5150" t="s">
        <v>85</v>
      </c>
      <c r="D5150">
        <v>2014</v>
      </c>
      <c r="E5150" s="2">
        <v>10</v>
      </c>
      <c r="F5150" s="2">
        <v>1750</v>
      </c>
      <c r="G5150" s="2"/>
    </row>
    <row r="5151" spans="1:7" x14ac:dyDescent="0.3">
      <c r="A5151" t="s">
        <v>1972</v>
      </c>
      <c r="B5151" t="s">
        <v>395</v>
      </c>
      <c r="D5151">
        <v>2018</v>
      </c>
      <c r="E5151" s="2">
        <v>25</v>
      </c>
      <c r="F5151" s="2">
        <v>500</v>
      </c>
      <c r="G5151" s="2">
        <v>525</v>
      </c>
    </row>
    <row r="5152" spans="1:7" x14ac:dyDescent="0.3">
      <c r="A5152" t="s">
        <v>1972</v>
      </c>
      <c r="B5152" t="s">
        <v>293</v>
      </c>
      <c r="C5152" t="s">
        <v>294</v>
      </c>
      <c r="D5152">
        <v>2013</v>
      </c>
      <c r="E5152" s="2">
        <v>5</v>
      </c>
      <c r="F5152" s="2">
        <v>2250</v>
      </c>
      <c r="G5152" s="2"/>
    </row>
    <row r="5153" spans="1:7" x14ac:dyDescent="0.3">
      <c r="A5153" t="s">
        <v>1972</v>
      </c>
      <c r="B5153" t="s">
        <v>1976</v>
      </c>
      <c r="C5153" t="s">
        <v>1977</v>
      </c>
      <c r="D5153">
        <v>2017</v>
      </c>
      <c r="E5153" s="2">
        <v>25</v>
      </c>
      <c r="F5153" s="2">
        <v>8375</v>
      </c>
      <c r="G5153" s="2"/>
    </row>
    <row r="5154" spans="1:7" x14ac:dyDescent="0.3">
      <c r="A5154" t="s">
        <v>1972</v>
      </c>
      <c r="B5154" t="s">
        <v>1976</v>
      </c>
      <c r="C5154" t="s">
        <v>1977</v>
      </c>
      <c r="D5154">
        <v>2019</v>
      </c>
      <c r="E5154" s="2">
        <v>25</v>
      </c>
      <c r="F5154" s="2">
        <v>8375</v>
      </c>
      <c r="G5154" s="2">
        <v>8793.75</v>
      </c>
    </row>
    <row r="5155" spans="1:7" x14ac:dyDescent="0.3">
      <c r="A5155" t="s">
        <v>1972</v>
      </c>
      <c r="B5155" t="s">
        <v>1360</v>
      </c>
      <c r="D5155">
        <v>2019</v>
      </c>
      <c r="E5155" s="2">
        <v>10</v>
      </c>
      <c r="F5155" s="2">
        <v>2300</v>
      </c>
      <c r="G5155" s="2">
        <v>2415</v>
      </c>
    </row>
    <row r="5156" spans="1:7" x14ac:dyDescent="0.3">
      <c r="A5156" t="s">
        <v>1972</v>
      </c>
      <c r="B5156" t="s">
        <v>299</v>
      </c>
      <c r="C5156" t="s">
        <v>300</v>
      </c>
      <c r="D5156">
        <v>2015</v>
      </c>
      <c r="E5156" s="2">
        <v>1</v>
      </c>
      <c r="F5156" s="2">
        <v>290</v>
      </c>
      <c r="G5156" s="2"/>
    </row>
    <row r="5157" spans="1:7" x14ac:dyDescent="0.3">
      <c r="A5157" t="s">
        <v>1972</v>
      </c>
      <c r="B5157" t="s">
        <v>1978</v>
      </c>
      <c r="C5157" t="s">
        <v>1977</v>
      </c>
      <c r="D5157">
        <v>2020</v>
      </c>
      <c r="E5157" s="2">
        <v>25</v>
      </c>
      <c r="F5157" s="2">
        <v>8375</v>
      </c>
      <c r="G5157" s="2">
        <v>8793.75</v>
      </c>
    </row>
    <row r="5158" spans="1:7" x14ac:dyDescent="0.3">
      <c r="A5158" t="s">
        <v>1972</v>
      </c>
      <c r="B5158" t="s">
        <v>120</v>
      </c>
      <c r="C5158" t="s">
        <v>121</v>
      </c>
      <c r="D5158">
        <v>2013</v>
      </c>
      <c r="E5158" s="2">
        <v>5</v>
      </c>
      <c r="F5158" s="2">
        <v>950</v>
      </c>
      <c r="G5158" s="2"/>
    </row>
    <row r="5159" spans="1:7" x14ac:dyDescent="0.3">
      <c r="A5159" t="s">
        <v>1972</v>
      </c>
      <c r="B5159" t="s">
        <v>1979</v>
      </c>
      <c r="C5159" t="s">
        <v>1980</v>
      </c>
      <c r="D5159">
        <v>2014</v>
      </c>
      <c r="E5159" s="2">
        <v>25</v>
      </c>
      <c r="F5159" s="2">
        <v>5000</v>
      </c>
      <c r="G5159" s="2"/>
    </row>
    <row r="5160" spans="1:7" x14ac:dyDescent="0.3">
      <c r="A5160" t="s">
        <v>1972</v>
      </c>
      <c r="B5160" t="s">
        <v>125</v>
      </c>
      <c r="D5160">
        <v>2019</v>
      </c>
      <c r="E5160" s="2">
        <v>4</v>
      </c>
      <c r="F5160" s="2">
        <v>1200</v>
      </c>
      <c r="G5160" s="2">
        <v>1260</v>
      </c>
    </row>
    <row r="5161" spans="1:7" x14ac:dyDescent="0.3">
      <c r="A5161" t="s">
        <v>1972</v>
      </c>
      <c r="B5161" t="s">
        <v>402</v>
      </c>
      <c r="C5161" t="s">
        <v>1586</v>
      </c>
      <c r="D5161">
        <v>2013</v>
      </c>
      <c r="E5161" s="2">
        <v>1</v>
      </c>
      <c r="F5161" s="2">
        <v>1200</v>
      </c>
      <c r="G5161" s="2"/>
    </row>
    <row r="5162" spans="1:7" x14ac:dyDescent="0.3">
      <c r="A5162" t="s">
        <v>1972</v>
      </c>
      <c r="B5162" t="s">
        <v>402</v>
      </c>
      <c r="C5162" t="s">
        <v>1586</v>
      </c>
      <c r="D5162">
        <v>2014</v>
      </c>
      <c r="E5162" s="2">
        <v>10</v>
      </c>
      <c r="F5162" s="2">
        <v>11750</v>
      </c>
      <c r="G5162" s="2"/>
    </row>
    <row r="5163" spans="1:7" x14ac:dyDescent="0.3">
      <c r="A5163" t="s">
        <v>1972</v>
      </c>
      <c r="B5163" t="s">
        <v>402</v>
      </c>
      <c r="C5163" t="s">
        <v>1586</v>
      </c>
      <c r="D5163">
        <v>2015</v>
      </c>
      <c r="E5163" s="2">
        <v>5</v>
      </c>
      <c r="F5163" s="2">
        <v>5500</v>
      </c>
      <c r="G5163" s="2"/>
    </row>
    <row r="5164" spans="1:7" x14ac:dyDescent="0.3">
      <c r="A5164" t="s">
        <v>1972</v>
      </c>
      <c r="B5164" t="s">
        <v>402</v>
      </c>
      <c r="C5164" t="s">
        <v>1586</v>
      </c>
      <c r="D5164">
        <v>2016</v>
      </c>
      <c r="E5164" s="2">
        <v>5</v>
      </c>
      <c r="F5164" s="2">
        <v>5500</v>
      </c>
      <c r="G5164" s="2"/>
    </row>
    <row r="5165" spans="1:7" x14ac:dyDescent="0.3">
      <c r="A5165" t="s">
        <v>1972</v>
      </c>
      <c r="B5165" t="s">
        <v>189</v>
      </c>
      <c r="D5165">
        <v>2019</v>
      </c>
      <c r="E5165" s="2">
        <v>5</v>
      </c>
      <c r="F5165" s="2">
        <v>2500</v>
      </c>
      <c r="G5165" s="2">
        <v>2625</v>
      </c>
    </row>
    <row r="5166" spans="1:7" x14ac:dyDescent="0.3">
      <c r="A5166" t="s">
        <v>1972</v>
      </c>
      <c r="B5166" t="s">
        <v>1587</v>
      </c>
      <c r="C5166" t="s">
        <v>1588</v>
      </c>
      <c r="D5166">
        <v>2013</v>
      </c>
      <c r="E5166" s="2">
        <v>5</v>
      </c>
      <c r="F5166" s="2">
        <v>2250</v>
      </c>
      <c r="G5166" s="2"/>
    </row>
    <row r="5167" spans="1:7" x14ac:dyDescent="0.3">
      <c r="A5167" t="s">
        <v>1972</v>
      </c>
      <c r="B5167" t="s">
        <v>1981</v>
      </c>
      <c r="D5167">
        <v>2019</v>
      </c>
      <c r="E5167" s="2">
        <v>30</v>
      </c>
      <c r="F5167" s="2">
        <v>8700</v>
      </c>
      <c r="G5167" s="2">
        <v>9135</v>
      </c>
    </row>
    <row r="5168" spans="1:7" x14ac:dyDescent="0.3">
      <c r="A5168" t="s">
        <v>1972</v>
      </c>
      <c r="B5168" t="s">
        <v>674</v>
      </c>
      <c r="C5168" t="s">
        <v>675</v>
      </c>
      <c r="D5168">
        <v>2020</v>
      </c>
      <c r="E5168" s="2">
        <v>100</v>
      </c>
      <c r="F5168" s="2">
        <v>8500</v>
      </c>
      <c r="G5168" s="2">
        <v>8925</v>
      </c>
    </row>
    <row r="5169" spans="1:8" x14ac:dyDescent="0.3">
      <c r="A5169" t="s">
        <v>1972</v>
      </c>
      <c r="B5169" t="s">
        <v>1982</v>
      </c>
      <c r="D5169">
        <v>2020</v>
      </c>
      <c r="E5169" s="2">
        <v>25</v>
      </c>
      <c r="F5169" s="2">
        <v>2250</v>
      </c>
      <c r="G5169" s="2">
        <v>2362.5</v>
      </c>
      <c r="H5169" s="3" t="s">
        <v>1983</v>
      </c>
    </row>
    <row r="5170" spans="1:8" x14ac:dyDescent="0.3">
      <c r="A5170" t="s">
        <v>1972</v>
      </c>
      <c r="B5170" t="s">
        <v>1982</v>
      </c>
      <c r="D5170">
        <v>2021</v>
      </c>
      <c r="E5170" s="2">
        <v>10</v>
      </c>
      <c r="F5170" s="2">
        <v>800</v>
      </c>
      <c r="G5170" s="2">
        <v>840</v>
      </c>
      <c r="H5170" s="3" t="s">
        <v>1983</v>
      </c>
    </row>
    <row r="5171" spans="1:8" x14ac:dyDescent="0.3">
      <c r="A5171" t="s">
        <v>1972</v>
      </c>
      <c r="B5171" t="s">
        <v>496</v>
      </c>
      <c r="C5171" t="s">
        <v>497</v>
      </c>
      <c r="D5171">
        <v>2020</v>
      </c>
      <c r="E5171" s="2">
        <v>50</v>
      </c>
      <c r="F5171" s="2">
        <v>4500</v>
      </c>
      <c r="G5171" s="2">
        <v>4725</v>
      </c>
    </row>
    <row r="5172" spans="1:8" x14ac:dyDescent="0.3">
      <c r="A5172" t="s">
        <v>1972</v>
      </c>
      <c r="B5172" t="s">
        <v>1605</v>
      </c>
      <c r="C5172" t="s">
        <v>1606</v>
      </c>
      <c r="D5172">
        <v>2016</v>
      </c>
      <c r="E5172" s="2">
        <v>10</v>
      </c>
      <c r="F5172" s="2">
        <v>4800</v>
      </c>
      <c r="G5172" s="2"/>
    </row>
    <row r="5173" spans="1:8" x14ac:dyDescent="0.3">
      <c r="A5173" t="s">
        <v>1972</v>
      </c>
      <c r="B5173" t="s">
        <v>196</v>
      </c>
      <c r="C5173" t="s">
        <v>197</v>
      </c>
      <c r="D5173">
        <v>2013</v>
      </c>
      <c r="E5173" s="2">
        <v>25</v>
      </c>
      <c r="F5173" s="2">
        <v>4375</v>
      </c>
      <c r="G5173" s="2"/>
    </row>
    <row r="5174" spans="1:8" x14ac:dyDescent="0.3">
      <c r="A5174" t="s">
        <v>1972</v>
      </c>
      <c r="B5174" t="s">
        <v>196</v>
      </c>
      <c r="C5174" t="s">
        <v>197</v>
      </c>
      <c r="D5174">
        <v>2014</v>
      </c>
      <c r="E5174" s="2">
        <v>35</v>
      </c>
      <c r="F5174" s="2">
        <v>6125</v>
      </c>
      <c r="G5174" s="2"/>
    </row>
    <row r="5175" spans="1:8" x14ac:dyDescent="0.3">
      <c r="A5175" t="s">
        <v>1972</v>
      </c>
      <c r="B5175" t="s">
        <v>196</v>
      </c>
      <c r="C5175" t="s">
        <v>197</v>
      </c>
      <c r="D5175">
        <v>2015</v>
      </c>
      <c r="E5175" s="2">
        <v>25</v>
      </c>
      <c r="F5175" s="2">
        <v>4375</v>
      </c>
      <c r="G5175" s="2"/>
    </row>
    <row r="5176" spans="1:8" x14ac:dyDescent="0.3">
      <c r="A5176" t="s">
        <v>1972</v>
      </c>
      <c r="B5176" t="s">
        <v>196</v>
      </c>
      <c r="C5176" t="s">
        <v>197</v>
      </c>
      <c r="D5176">
        <v>2016</v>
      </c>
      <c r="E5176" s="2">
        <v>25</v>
      </c>
      <c r="F5176" s="2">
        <v>4375</v>
      </c>
      <c r="G5176" s="2"/>
    </row>
    <row r="5177" spans="1:8" x14ac:dyDescent="0.3">
      <c r="A5177" t="s">
        <v>1972</v>
      </c>
      <c r="B5177" t="s">
        <v>196</v>
      </c>
      <c r="C5177" t="s">
        <v>197</v>
      </c>
      <c r="D5177">
        <v>2019</v>
      </c>
      <c r="E5177" s="2">
        <v>5</v>
      </c>
      <c r="F5177" s="2">
        <v>875</v>
      </c>
      <c r="G5177" s="2">
        <v>918.75</v>
      </c>
    </row>
    <row r="5178" spans="1:8" x14ac:dyDescent="0.3">
      <c r="A5178" t="s">
        <v>1972</v>
      </c>
      <c r="B5178" t="s">
        <v>72</v>
      </c>
      <c r="C5178" t="s">
        <v>73</v>
      </c>
      <c r="D5178">
        <v>2013</v>
      </c>
      <c r="E5178" s="2">
        <v>15</v>
      </c>
      <c r="F5178" s="2">
        <v>4750</v>
      </c>
      <c r="G5178" s="2"/>
    </row>
    <row r="5179" spans="1:8" x14ac:dyDescent="0.3">
      <c r="A5179" t="s">
        <v>1972</v>
      </c>
      <c r="B5179" t="s">
        <v>72</v>
      </c>
      <c r="C5179" t="s">
        <v>319</v>
      </c>
      <c r="D5179">
        <v>2014</v>
      </c>
      <c r="E5179" s="2">
        <v>80</v>
      </c>
      <c r="F5179" s="2">
        <v>18400</v>
      </c>
      <c r="G5179" s="2"/>
    </row>
    <row r="5180" spans="1:8" x14ac:dyDescent="0.3">
      <c r="A5180" t="s">
        <v>1972</v>
      </c>
      <c r="B5180" t="s">
        <v>72</v>
      </c>
      <c r="C5180" t="s">
        <v>319</v>
      </c>
      <c r="D5180">
        <v>2015</v>
      </c>
      <c r="E5180" s="2">
        <v>75</v>
      </c>
      <c r="F5180" s="2">
        <v>16750</v>
      </c>
      <c r="G5180" s="2"/>
    </row>
    <row r="5181" spans="1:8" x14ac:dyDescent="0.3">
      <c r="A5181" t="s">
        <v>1972</v>
      </c>
      <c r="B5181" t="s">
        <v>72</v>
      </c>
      <c r="C5181" t="s">
        <v>319</v>
      </c>
      <c r="D5181">
        <v>2016</v>
      </c>
      <c r="E5181" s="2">
        <v>75</v>
      </c>
      <c r="F5181" s="2">
        <v>16500</v>
      </c>
      <c r="G5181" s="2"/>
    </row>
    <row r="5182" spans="1:8" x14ac:dyDescent="0.3">
      <c r="A5182" t="s">
        <v>1972</v>
      </c>
      <c r="B5182" t="s">
        <v>72</v>
      </c>
      <c r="C5182" t="s">
        <v>319</v>
      </c>
      <c r="D5182">
        <v>2017</v>
      </c>
      <c r="E5182" s="2">
        <v>96</v>
      </c>
      <c r="F5182" s="2">
        <v>15510</v>
      </c>
      <c r="G5182" s="2"/>
    </row>
    <row r="5183" spans="1:8" x14ac:dyDescent="0.3">
      <c r="A5183" t="s">
        <v>1972</v>
      </c>
      <c r="B5183" t="s">
        <v>72</v>
      </c>
      <c r="C5183" t="s">
        <v>319</v>
      </c>
      <c r="D5183">
        <v>2018</v>
      </c>
      <c r="E5183" s="2">
        <v>75</v>
      </c>
      <c r="F5183" s="2">
        <v>16500</v>
      </c>
      <c r="G5183" s="2">
        <v>17325</v>
      </c>
    </row>
    <row r="5184" spans="1:8" x14ac:dyDescent="0.3">
      <c r="A5184" t="s">
        <v>1972</v>
      </c>
      <c r="B5184" t="s">
        <v>72</v>
      </c>
      <c r="C5184" t="s">
        <v>319</v>
      </c>
      <c r="D5184">
        <v>2019</v>
      </c>
      <c r="E5184" s="2">
        <v>50</v>
      </c>
      <c r="F5184" s="2">
        <v>11000</v>
      </c>
      <c r="G5184" s="2">
        <v>11550</v>
      </c>
    </row>
    <row r="5185" spans="1:7" x14ac:dyDescent="0.3">
      <c r="A5185" t="s">
        <v>1972</v>
      </c>
      <c r="B5185" t="s">
        <v>72</v>
      </c>
      <c r="C5185" t="s">
        <v>319</v>
      </c>
      <c r="D5185">
        <v>2020</v>
      </c>
      <c r="E5185" s="2">
        <v>50</v>
      </c>
      <c r="F5185" s="2">
        <v>11000</v>
      </c>
      <c r="G5185" s="2">
        <v>11550</v>
      </c>
    </row>
    <row r="5186" spans="1:7" x14ac:dyDescent="0.3">
      <c r="A5186" t="s">
        <v>1972</v>
      </c>
      <c r="B5186" t="s">
        <v>320</v>
      </c>
      <c r="C5186" t="s">
        <v>321</v>
      </c>
      <c r="D5186">
        <v>2015</v>
      </c>
      <c r="E5186" s="2">
        <v>1</v>
      </c>
      <c r="F5186" s="2">
        <v>200</v>
      </c>
      <c r="G5186" s="2"/>
    </row>
    <row r="5187" spans="1:7" x14ac:dyDescent="0.3">
      <c r="A5187" t="s">
        <v>1972</v>
      </c>
      <c r="B5187" t="s">
        <v>153</v>
      </c>
      <c r="C5187" t="s">
        <v>154</v>
      </c>
      <c r="D5187">
        <v>2014</v>
      </c>
      <c r="E5187" s="2">
        <v>5</v>
      </c>
      <c r="F5187" s="2">
        <v>1000</v>
      </c>
      <c r="G5187" s="2"/>
    </row>
    <row r="5188" spans="1:7" x14ac:dyDescent="0.3">
      <c r="A5188" t="s">
        <v>1972</v>
      </c>
      <c r="B5188" t="s">
        <v>157</v>
      </c>
      <c r="C5188" t="s">
        <v>158</v>
      </c>
      <c r="D5188">
        <v>2019</v>
      </c>
      <c r="E5188" s="2">
        <v>5</v>
      </c>
      <c r="F5188" s="2">
        <v>2750</v>
      </c>
      <c r="G5188" s="2">
        <v>2887.5</v>
      </c>
    </row>
    <row r="5189" spans="1:7" x14ac:dyDescent="0.3">
      <c r="A5189" t="s">
        <v>1984</v>
      </c>
      <c r="B5189" t="s">
        <v>1985</v>
      </c>
      <c r="C5189" t="s">
        <v>1239</v>
      </c>
      <c r="D5189">
        <v>2012</v>
      </c>
      <c r="E5189" s="2">
        <v>200</v>
      </c>
      <c r="F5189" s="2">
        <v>19084</v>
      </c>
      <c r="G5189" s="2"/>
    </row>
    <row r="5190" spans="1:7" x14ac:dyDescent="0.3">
      <c r="A5190" t="s">
        <v>1984</v>
      </c>
      <c r="B5190" t="s">
        <v>1985</v>
      </c>
      <c r="C5190" t="s">
        <v>1239</v>
      </c>
      <c r="D5190">
        <v>2015</v>
      </c>
      <c r="E5190" s="2">
        <v>25</v>
      </c>
      <c r="F5190" s="2">
        <v>2750</v>
      </c>
      <c r="G5190" s="2"/>
    </row>
    <row r="5191" spans="1:7" x14ac:dyDescent="0.3">
      <c r="A5191" t="s">
        <v>1984</v>
      </c>
      <c r="B5191" t="s">
        <v>84</v>
      </c>
      <c r="C5191" t="s">
        <v>85</v>
      </c>
      <c r="D5191">
        <v>2012</v>
      </c>
      <c r="E5191" s="2">
        <v>15</v>
      </c>
      <c r="F5191" s="2">
        <v>2850</v>
      </c>
      <c r="G5191" s="2"/>
    </row>
    <row r="5192" spans="1:7" x14ac:dyDescent="0.3">
      <c r="A5192" t="s">
        <v>1984</v>
      </c>
      <c r="B5192" t="s">
        <v>1986</v>
      </c>
      <c r="C5192" t="s">
        <v>1987</v>
      </c>
      <c r="D5192">
        <v>2011</v>
      </c>
      <c r="E5192" s="2">
        <v>1</v>
      </c>
      <c r="F5192" s="2">
        <v>200</v>
      </c>
      <c r="G5192" s="2"/>
    </row>
    <row r="5193" spans="1:7" x14ac:dyDescent="0.3">
      <c r="A5193" t="s">
        <v>1984</v>
      </c>
      <c r="B5193" t="s">
        <v>1986</v>
      </c>
      <c r="C5193" t="s">
        <v>1987</v>
      </c>
      <c r="D5193">
        <v>2012</v>
      </c>
      <c r="E5193" s="2">
        <v>10</v>
      </c>
      <c r="F5193" s="2">
        <v>2000</v>
      </c>
      <c r="G5193" s="2"/>
    </row>
    <row r="5194" spans="1:7" x14ac:dyDescent="0.3">
      <c r="A5194" t="s">
        <v>1984</v>
      </c>
      <c r="B5194" t="s">
        <v>1988</v>
      </c>
      <c r="C5194" t="s">
        <v>1989</v>
      </c>
      <c r="D5194">
        <v>2011</v>
      </c>
      <c r="E5194" s="2">
        <v>25</v>
      </c>
      <c r="F5194" s="2">
        <v>1575</v>
      </c>
      <c r="G5194" s="2"/>
    </row>
    <row r="5195" spans="1:7" x14ac:dyDescent="0.3">
      <c r="A5195" t="s">
        <v>1984</v>
      </c>
      <c r="B5195" t="s">
        <v>1990</v>
      </c>
      <c r="C5195" t="s">
        <v>1991</v>
      </c>
      <c r="D5195">
        <v>2011</v>
      </c>
      <c r="E5195" s="2">
        <v>25</v>
      </c>
      <c r="F5195" s="2">
        <v>1525</v>
      </c>
      <c r="G5195" s="2"/>
    </row>
    <row r="5196" spans="1:7" x14ac:dyDescent="0.3">
      <c r="A5196" t="s">
        <v>1984</v>
      </c>
      <c r="B5196" t="s">
        <v>1992</v>
      </c>
      <c r="C5196" t="s">
        <v>1270</v>
      </c>
      <c r="D5196">
        <v>2012</v>
      </c>
      <c r="E5196" s="2">
        <v>10</v>
      </c>
      <c r="F5196" s="2">
        <v>2000</v>
      </c>
      <c r="G5196" s="2"/>
    </row>
    <row r="5197" spans="1:7" x14ac:dyDescent="0.3">
      <c r="A5197" t="s">
        <v>1984</v>
      </c>
      <c r="B5197" t="s">
        <v>1993</v>
      </c>
      <c r="C5197" t="s">
        <v>1782</v>
      </c>
      <c r="D5197">
        <v>2012</v>
      </c>
      <c r="E5197" s="2">
        <v>100</v>
      </c>
      <c r="F5197" s="2">
        <v>12863</v>
      </c>
      <c r="G5197" s="2"/>
    </row>
    <row r="5198" spans="1:7" x14ac:dyDescent="0.3">
      <c r="A5198" t="s">
        <v>1984</v>
      </c>
      <c r="B5198" t="s">
        <v>1994</v>
      </c>
      <c r="C5198" t="s">
        <v>1995</v>
      </c>
      <c r="D5198">
        <v>2012</v>
      </c>
      <c r="E5198" s="2">
        <v>15</v>
      </c>
      <c r="F5198" s="2">
        <v>3300</v>
      </c>
      <c r="G5198" s="2"/>
    </row>
    <row r="5199" spans="1:7" x14ac:dyDescent="0.3">
      <c r="A5199" t="s">
        <v>1984</v>
      </c>
      <c r="B5199" t="s">
        <v>1996</v>
      </c>
      <c r="C5199" t="s">
        <v>1997</v>
      </c>
      <c r="D5199">
        <v>2012</v>
      </c>
      <c r="E5199" s="2">
        <v>10</v>
      </c>
      <c r="F5199" s="2">
        <v>2200</v>
      </c>
      <c r="G5199" s="2"/>
    </row>
    <row r="5200" spans="1:7" x14ac:dyDescent="0.3">
      <c r="A5200" t="s">
        <v>1984</v>
      </c>
      <c r="B5200" t="s">
        <v>1511</v>
      </c>
      <c r="C5200" t="s">
        <v>1255</v>
      </c>
      <c r="D5200">
        <v>2011</v>
      </c>
      <c r="E5200" s="2">
        <v>14</v>
      </c>
      <c r="F5200" s="2">
        <v>3360</v>
      </c>
      <c r="G5200" s="2"/>
    </row>
    <row r="5201" spans="1:7" x14ac:dyDescent="0.3">
      <c r="A5201" t="s">
        <v>1984</v>
      </c>
      <c r="B5201" t="s">
        <v>1511</v>
      </c>
      <c r="C5201" t="s">
        <v>1255</v>
      </c>
      <c r="D5201">
        <v>2012</v>
      </c>
      <c r="E5201" s="2">
        <v>5</v>
      </c>
      <c r="F5201" s="2">
        <v>1200</v>
      </c>
      <c r="G5201" s="2"/>
    </row>
    <row r="5202" spans="1:7" x14ac:dyDescent="0.3">
      <c r="A5202" t="s">
        <v>1984</v>
      </c>
      <c r="B5202" t="s">
        <v>1511</v>
      </c>
      <c r="C5202" t="s">
        <v>1255</v>
      </c>
      <c r="D5202">
        <v>2013</v>
      </c>
      <c r="E5202" s="2">
        <v>25</v>
      </c>
      <c r="F5202" s="2">
        <v>6000</v>
      </c>
      <c r="G5202" s="2"/>
    </row>
    <row r="5203" spans="1:7" x14ac:dyDescent="0.3">
      <c r="A5203" t="s">
        <v>1984</v>
      </c>
      <c r="B5203" t="s">
        <v>1963</v>
      </c>
      <c r="C5203" t="s">
        <v>638</v>
      </c>
      <c r="D5203">
        <v>2012</v>
      </c>
      <c r="E5203" s="2">
        <v>100</v>
      </c>
      <c r="F5203" s="2">
        <v>11025</v>
      </c>
      <c r="G5203" s="2"/>
    </row>
    <row r="5204" spans="1:7" x14ac:dyDescent="0.3">
      <c r="A5204" t="s">
        <v>1984</v>
      </c>
      <c r="B5204" t="s">
        <v>184</v>
      </c>
      <c r="C5204" t="s">
        <v>185</v>
      </c>
      <c r="D5204">
        <v>2011</v>
      </c>
      <c r="E5204" s="2">
        <v>25</v>
      </c>
      <c r="F5204" s="2">
        <v>1425</v>
      </c>
      <c r="G5204" s="2"/>
    </row>
    <row r="5205" spans="1:7" x14ac:dyDescent="0.3">
      <c r="A5205" t="s">
        <v>1984</v>
      </c>
      <c r="B5205" t="s">
        <v>847</v>
      </c>
      <c r="C5205" t="s">
        <v>1998</v>
      </c>
      <c r="D5205">
        <v>2012</v>
      </c>
      <c r="E5205" s="2">
        <v>100</v>
      </c>
      <c r="F5205" s="2">
        <v>13965</v>
      </c>
      <c r="G5205" s="2"/>
    </row>
    <row r="5206" spans="1:7" x14ac:dyDescent="0.3">
      <c r="A5206" t="s">
        <v>1984</v>
      </c>
      <c r="B5206" t="s">
        <v>560</v>
      </c>
      <c r="C5206" t="s">
        <v>561</v>
      </c>
      <c r="D5206">
        <v>2012</v>
      </c>
      <c r="E5206" s="2">
        <v>100</v>
      </c>
      <c r="F5206" s="2">
        <v>11760</v>
      </c>
      <c r="G5206" s="2"/>
    </row>
    <row r="5207" spans="1:7" x14ac:dyDescent="0.3">
      <c r="A5207" t="s">
        <v>1984</v>
      </c>
      <c r="B5207" t="s">
        <v>1999</v>
      </c>
      <c r="C5207" t="s">
        <v>2000</v>
      </c>
      <c r="D5207">
        <v>2012</v>
      </c>
      <c r="E5207" s="2">
        <v>15</v>
      </c>
      <c r="F5207" s="2">
        <v>975</v>
      </c>
      <c r="G5207" s="2"/>
    </row>
    <row r="5208" spans="1:7" x14ac:dyDescent="0.3">
      <c r="A5208" t="s">
        <v>1984</v>
      </c>
      <c r="B5208" t="s">
        <v>114</v>
      </c>
      <c r="C5208" t="s">
        <v>115</v>
      </c>
      <c r="D5208">
        <v>2011</v>
      </c>
      <c r="E5208" s="2">
        <v>30</v>
      </c>
      <c r="F5208" s="2">
        <v>2010</v>
      </c>
      <c r="G5208" s="2"/>
    </row>
    <row r="5209" spans="1:7" x14ac:dyDescent="0.3">
      <c r="A5209" t="s">
        <v>1984</v>
      </c>
      <c r="B5209" t="s">
        <v>114</v>
      </c>
      <c r="C5209" t="s">
        <v>115</v>
      </c>
      <c r="D5209">
        <v>2012</v>
      </c>
      <c r="E5209" s="2">
        <v>10</v>
      </c>
      <c r="F5209" s="2">
        <v>670</v>
      </c>
      <c r="G5209" s="2"/>
    </row>
    <row r="5210" spans="1:7" x14ac:dyDescent="0.3">
      <c r="A5210" t="s">
        <v>1984</v>
      </c>
      <c r="B5210" t="s">
        <v>114</v>
      </c>
      <c r="C5210" t="s">
        <v>115</v>
      </c>
      <c r="D5210">
        <v>2013</v>
      </c>
      <c r="E5210" s="2">
        <v>10</v>
      </c>
      <c r="F5210" s="2">
        <v>670</v>
      </c>
      <c r="G5210" s="2"/>
    </row>
    <row r="5211" spans="1:7" x14ac:dyDescent="0.3">
      <c r="A5211" t="s">
        <v>1984</v>
      </c>
      <c r="B5211" t="s">
        <v>120</v>
      </c>
      <c r="C5211" t="s">
        <v>2001</v>
      </c>
      <c r="D5211">
        <v>2011</v>
      </c>
      <c r="E5211" s="2">
        <v>6</v>
      </c>
      <c r="F5211" s="2">
        <v>2820</v>
      </c>
      <c r="G5211" s="2"/>
    </row>
    <row r="5212" spans="1:7" x14ac:dyDescent="0.3">
      <c r="A5212" t="s">
        <v>1984</v>
      </c>
      <c r="B5212" t="s">
        <v>120</v>
      </c>
      <c r="C5212" t="s">
        <v>2002</v>
      </c>
      <c r="D5212">
        <v>2011</v>
      </c>
      <c r="E5212" s="2">
        <v>20</v>
      </c>
      <c r="F5212" s="2">
        <v>4800</v>
      </c>
      <c r="G5212" s="2"/>
    </row>
    <row r="5213" spans="1:7" x14ac:dyDescent="0.3">
      <c r="A5213" t="s">
        <v>1984</v>
      </c>
      <c r="B5213" t="s">
        <v>120</v>
      </c>
      <c r="C5213" t="s">
        <v>2001</v>
      </c>
      <c r="D5213">
        <v>2012</v>
      </c>
      <c r="E5213" s="2">
        <v>11</v>
      </c>
      <c r="F5213" s="2">
        <v>4700</v>
      </c>
      <c r="G5213" s="2"/>
    </row>
    <row r="5214" spans="1:7" x14ac:dyDescent="0.3">
      <c r="A5214" t="s">
        <v>1984</v>
      </c>
      <c r="B5214" t="s">
        <v>120</v>
      </c>
      <c r="C5214" t="s">
        <v>2002</v>
      </c>
      <c r="D5214">
        <v>2012</v>
      </c>
      <c r="E5214" s="2">
        <v>25</v>
      </c>
      <c r="F5214" s="2">
        <v>6000</v>
      </c>
      <c r="G5214" s="2"/>
    </row>
    <row r="5215" spans="1:7" x14ac:dyDescent="0.3">
      <c r="A5215" t="s">
        <v>1984</v>
      </c>
      <c r="B5215" t="s">
        <v>120</v>
      </c>
      <c r="C5215" t="s">
        <v>2002</v>
      </c>
      <c r="D5215">
        <v>2013</v>
      </c>
      <c r="E5215" s="2">
        <v>5</v>
      </c>
      <c r="F5215" s="2">
        <v>1200</v>
      </c>
      <c r="G5215" s="2"/>
    </row>
    <row r="5216" spans="1:7" x14ac:dyDescent="0.3">
      <c r="A5216" t="s">
        <v>1984</v>
      </c>
      <c r="B5216" t="s">
        <v>1917</v>
      </c>
      <c r="C5216" t="s">
        <v>2003</v>
      </c>
      <c r="D5216">
        <v>2011</v>
      </c>
      <c r="E5216" s="2">
        <v>5</v>
      </c>
      <c r="F5216" s="2">
        <v>1350</v>
      </c>
      <c r="G5216" s="2"/>
    </row>
    <row r="5217" spans="1:8" x14ac:dyDescent="0.3">
      <c r="A5217" t="s">
        <v>1984</v>
      </c>
      <c r="B5217" t="s">
        <v>1917</v>
      </c>
      <c r="C5217" t="s">
        <v>2003</v>
      </c>
      <c r="D5217">
        <v>2012</v>
      </c>
      <c r="E5217" s="2">
        <v>10</v>
      </c>
      <c r="F5217" s="2">
        <v>2700</v>
      </c>
      <c r="G5217" s="2"/>
    </row>
    <row r="5218" spans="1:8" x14ac:dyDescent="0.3">
      <c r="A5218" t="s">
        <v>1984</v>
      </c>
      <c r="B5218" t="s">
        <v>2004</v>
      </c>
      <c r="C5218" t="s">
        <v>2005</v>
      </c>
      <c r="D5218">
        <v>2011</v>
      </c>
      <c r="E5218" s="2">
        <v>1</v>
      </c>
      <c r="F5218" s="2">
        <v>220</v>
      </c>
      <c r="G5218" s="2"/>
    </row>
    <row r="5219" spans="1:8" x14ac:dyDescent="0.3">
      <c r="A5219" t="s">
        <v>1984</v>
      </c>
      <c r="B5219" t="s">
        <v>2004</v>
      </c>
      <c r="C5219" t="s">
        <v>2005</v>
      </c>
      <c r="D5219">
        <v>2012</v>
      </c>
      <c r="E5219" s="2">
        <v>11</v>
      </c>
      <c r="F5219" s="2">
        <v>2200</v>
      </c>
      <c r="G5219" s="2"/>
    </row>
    <row r="5220" spans="1:8" x14ac:dyDescent="0.3">
      <c r="A5220" t="s">
        <v>1984</v>
      </c>
      <c r="B5220" t="s">
        <v>68</v>
      </c>
      <c r="C5220" t="s">
        <v>69</v>
      </c>
      <c r="D5220">
        <v>2011</v>
      </c>
      <c r="E5220" s="2">
        <v>30</v>
      </c>
      <c r="F5220" s="2">
        <v>2160</v>
      </c>
      <c r="G5220" s="2"/>
    </row>
    <row r="5221" spans="1:8" x14ac:dyDescent="0.3">
      <c r="A5221" t="s">
        <v>1984</v>
      </c>
      <c r="B5221" t="s">
        <v>2006</v>
      </c>
      <c r="C5221" t="s">
        <v>1368</v>
      </c>
      <c r="D5221">
        <v>2012</v>
      </c>
      <c r="E5221" s="2">
        <v>100</v>
      </c>
      <c r="F5221" s="2">
        <v>14406</v>
      </c>
      <c r="G5221" s="2"/>
    </row>
    <row r="5222" spans="1:8" x14ac:dyDescent="0.3">
      <c r="A5222" t="s">
        <v>1984</v>
      </c>
      <c r="B5222" t="s">
        <v>381</v>
      </c>
      <c r="C5222" t="s">
        <v>382</v>
      </c>
      <c r="D5222">
        <v>2011</v>
      </c>
      <c r="E5222" s="2">
        <v>1</v>
      </c>
      <c r="F5222" s="2">
        <v>340</v>
      </c>
      <c r="G5222" s="2"/>
    </row>
    <row r="5223" spans="1:8" x14ac:dyDescent="0.3">
      <c r="A5223" t="s">
        <v>2007</v>
      </c>
      <c r="B5223" t="s">
        <v>1461</v>
      </c>
      <c r="D5223">
        <v>2018</v>
      </c>
      <c r="E5223" s="2">
        <v>20</v>
      </c>
      <c r="F5223" s="2">
        <v>1600</v>
      </c>
      <c r="G5223" s="2">
        <v>1680</v>
      </c>
    </row>
    <row r="5224" spans="1:8" x14ac:dyDescent="0.3">
      <c r="A5224" t="s">
        <v>2007</v>
      </c>
      <c r="B5224" t="s">
        <v>1462</v>
      </c>
      <c r="D5224">
        <v>2019</v>
      </c>
      <c r="E5224" s="2">
        <v>1</v>
      </c>
      <c r="F5224" s="2">
        <v>85</v>
      </c>
      <c r="G5224" s="2">
        <v>89.25</v>
      </c>
    </row>
    <row r="5225" spans="1:8" x14ac:dyDescent="0.3">
      <c r="A5225" t="s">
        <v>2007</v>
      </c>
      <c r="B5225" t="s">
        <v>24</v>
      </c>
      <c r="C5225" t="s">
        <v>25</v>
      </c>
      <c r="D5225">
        <v>2017</v>
      </c>
      <c r="E5225" s="2">
        <v>5</v>
      </c>
      <c r="F5225" s="2">
        <v>475</v>
      </c>
      <c r="G5225" s="2"/>
    </row>
    <row r="5226" spans="1:8" x14ac:dyDescent="0.3">
      <c r="A5226" t="s">
        <v>2007</v>
      </c>
      <c r="B5226" t="s">
        <v>24</v>
      </c>
      <c r="C5226" t="s">
        <v>25</v>
      </c>
      <c r="D5226">
        <v>2018</v>
      </c>
      <c r="E5226" s="2">
        <v>40</v>
      </c>
      <c r="F5226" s="2">
        <v>3800</v>
      </c>
      <c r="G5226" s="2">
        <v>3990</v>
      </c>
    </row>
    <row r="5227" spans="1:8" x14ac:dyDescent="0.3">
      <c r="A5227" t="s">
        <v>2007</v>
      </c>
      <c r="B5227" t="s">
        <v>29</v>
      </c>
      <c r="D5227">
        <v>2017</v>
      </c>
      <c r="E5227" s="2">
        <v>1</v>
      </c>
      <c r="F5227" s="2">
        <v>520</v>
      </c>
      <c r="G5227" s="2"/>
    </row>
    <row r="5228" spans="1:8" x14ac:dyDescent="0.3">
      <c r="A5228" t="s">
        <v>2007</v>
      </c>
      <c r="B5228" t="s">
        <v>45</v>
      </c>
      <c r="D5228">
        <v>2017</v>
      </c>
      <c r="E5228" s="2">
        <v>20</v>
      </c>
      <c r="F5228" s="2">
        <v>1800</v>
      </c>
      <c r="G5228" s="2"/>
    </row>
    <row r="5229" spans="1:8" x14ac:dyDescent="0.3">
      <c r="A5229" t="s">
        <v>2007</v>
      </c>
      <c r="B5229" t="s">
        <v>863</v>
      </c>
      <c r="D5229">
        <v>2019</v>
      </c>
      <c r="E5229" s="2">
        <v>1</v>
      </c>
      <c r="F5229" s="2">
        <v>80</v>
      </c>
      <c r="G5229" s="2">
        <v>84</v>
      </c>
    </row>
    <row r="5230" spans="1:8" x14ac:dyDescent="0.3">
      <c r="A5230" t="s">
        <v>2007</v>
      </c>
      <c r="B5230" t="s">
        <v>32</v>
      </c>
      <c r="D5230">
        <v>2018</v>
      </c>
      <c r="E5230" s="2">
        <v>20</v>
      </c>
      <c r="F5230" s="2">
        <v>1300</v>
      </c>
      <c r="G5230" s="2">
        <v>1365</v>
      </c>
    </row>
    <row r="5231" spans="1:8" x14ac:dyDescent="0.3">
      <c r="A5231" t="s">
        <v>2007</v>
      </c>
      <c r="B5231" t="s">
        <v>46</v>
      </c>
      <c r="C5231" t="s">
        <v>47</v>
      </c>
      <c r="D5231">
        <v>2017</v>
      </c>
      <c r="E5231" s="2">
        <v>1</v>
      </c>
      <c r="F5231" s="2">
        <v>75</v>
      </c>
      <c r="G5231" s="2"/>
    </row>
    <row r="5232" spans="1:8" x14ac:dyDescent="0.3">
      <c r="A5232" t="s">
        <v>2008</v>
      </c>
      <c r="B5232" t="s">
        <v>467</v>
      </c>
      <c r="C5232" t="s">
        <v>468</v>
      </c>
      <c r="D5232">
        <v>2021</v>
      </c>
      <c r="E5232" s="2">
        <v>5</v>
      </c>
      <c r="F5232" s="2">
        <v>325</v>
      </c>
      <c r="G5232" s="2">
        <v>341.25</v>
      </c>
      <c r="H5232" s="3" t="s">
        <v>14</v>
      </c>
    </row>
    <row r="5233" spans="1:7" x14ac:dyDescent="0.3">
      <c r="A5233" t="s">
        <v>2009</v>
      </c>
      <c r="B5233" t="s">
        <v>276</v>
      </c>
      <c r="C5233" t="s">
        <v>277</v>
      </c>
      <c r="D5233">
        <v>2020</v>
      </c>
      <c r="E5233" s="2">
        <v>5</v>
      </c>
      <c r="F5233" s="2">
        <v>1200</v>
      </c>
      <c r="G5233" s="2">
        <v>1260</v>
      </c>
    </row>
    <row r="5234" spans="1:7" x14ac:dyDescent="0.3">
      <c r="A5234" t="s">
        <v>2009</v>
      </c>
      <c r="B5234" t="s">
        <v>626</v>
      </c>
      <c r="C5234" t="s">
        <v>582</v>
      </c>
      <c r="D5234">
        <v>2020</v>
      </c>
      <c r="E5234" s="2">
        <v>5</v>
      </c>
      <c r="F5234" s="2">
        <v>825</v>
      </c>
      <c r="G5234" s="2">
        <v>866.25</v>
      </c>
    </row>
    <row r="5235" spans="1:7" x14ac:dyDescent="0.3">
      <c r="A5235" t="s">
        <v>2010</v>
      </c>
      <c r="B5235" t="s">
        <v>1231</v>
      </c>
      <c r="C5235" t="s">
        <v>1232</v>
      </c>
      <c r="D5235">
        <v>2018</v>
      </c>
      <c r="E5235" s="2">
        <v>25</v>
      </c>
      <c r="F5235" s="2">
        <v>2000</v>
      </c>
      <c r="G5235" s="2">
        <v>2100</v>
      </c>
    </row>
    <row r="5236" spans="1:7" x14ac:dyDescent="0.3">
      <c r="A5236" t="s">
        <v>2010</v>
      </c>
      <c r="B5236" t="s">
        <v>41</v>
      </c>
      <c r="C5236" t="s">
        <v>63</v>
      </c>
      <c r="D5236">
        <v>2017</v>
      </c>
      <c r="E5236" s="2">
        <v>25</v>
      </c>
      <c r="F5236" s="2">
        <v>1625</v>
      </c>
      <c r="G5236" s="2"/>
    </row>
    <row r="5237" spans="1:7" x14ac:dyDescent="0.3">
      <c r="A5237" t="s">
        <v>2010</v>
      </c>
      <c r="B5237" t="s">
        <v>32</v>
      </c>
      <c r="D5237">
        <v>2017</v>
      </c>
      <c r="E5237" s="2">
        <v>20</v>
      </c>
      <c r="F5237" s="2">
        <v>1700</v>
      </c>
      <c r="G5237" s="2"/>
    </row>
    <row r="5238" spans="1:7" x14ac:dyDescent="0.3">
      <c r="A5238" t="s">
        <v>2010</v>
      </c>
      <c r="B5238" t="s">
        <v>32</v>
      </c>
      <c r="D5238">
        <v>2018</v>
      </c>
      <c r="E5238" s="2">
        <v>20</v>
      </c>
      <c r="F5238" s="2">
        <v>1700</v>
      </c>
      <c r="G5238" s="2">
        <v>1785</v>
      </c>
    </row>
    <row r="5239" spans="1:7" x14ac:dyDescent="0.3">
      <c r="A5239" t="s">
        <v>2011</v>
      </c>
      <c r="B5239" t="s">
        <v>1231</v>
      </c>
      <c r="C5239" t="s">
        <v>1232</v>
      </c>
      <c r="D5239">
        <v>2018</v>
      </c>
      <c r="E5239" s="2">
        <v>25</v>
      </c>
      <c r="F5239" s="2">
        <v>2000</v>
      </c>
      <c r="G5239" s="2">
        <v>2100</v>
      </c>
    </row>
    <row r="5240" spans="1:7" x14ac:dyDescent="0.3">
      <c r="A5240" t="s">
        <v>2011</v>
      </c>
      <c r="B5240" t="s">
        <v>696</v>
      </c>
      <c r="C5240" t="s">
        <v>697</v>
      </c>
      <c r="D5240">
        <v>2015</v>
      </c>
      <c r="E5240" s="2">
        <v>1</v>
      </c>
      <c r="F5240" s="2">
        <v>75</v>
      </c>
      <c r="G5240" s="2"/>
    </row>
    <row r="5241" spans="1:7" x14ac:dyDescent="0.3">
      <c r="A5241" t="s">
        <v>2011</v>
      </c>
      <c r="B5241" t="s">
        <v>28</v>
      </c>
      <c r="D5241">
        <v>2015</v>
      </c>
      <c r="E5241" s="2">
        <v>1</v>
      </c>
      <c r="F5241" s="2">
        <v>500</v>
      </c>
      <c r="G5241" s="2"/>
    </row>
    <row r="5242" spans="1:7" x14ac:dyDescent="0.3">
      <c r="A5242" t="s">
        <v>2011</v>
      </c>
      <c r="B5242" t="s">
        <v>995</v>
      </c>
      <c r="C5242" t="s">
        <v>672</v>
      </c>
      <c r="D5242">
        <v>2019</v>
      </c>
      <c r="E5242" s="2">
        <v>5</v>
      </c>
      <c r="F5242" s="2">
        <v>375</v>
      </c>
      <c r="G5242" s="2">
        <v>393.75</v>
      </c>
    </row>
    <row r="5243" spans="1:7" x14ac:dyDescent="0.3">
      <c r="A5243" t="s">
        <v>2011</v>
      </c>
      <c r="B5243" t="s">
        <v>741</v>
      </c>
      <c r="C5243" t="s">
        <v>742</v>
      </c>
      <c r="D5243">
        <v>2016</v>
      </c>
      <c r="E5243" s="2">
        <v>5</v>
      </c>
      <c r="F5243" s="2">
        <v>375</v>
      </c>
      <c r="G5243" s="2"/>
    </row>
    <row r="5244" spans="1:7" x14ac:dyDescent="0.3">
      <c r="A5244" t="s">
        <v>2011</v>
      </c>
      <c r="B5244" t="s">
        <v>863</v>
      </c>
      <c r="D5244">
        <v>2018</v>
      </c>
      <c r="E5244" s="2">
        <v>2</v>
      </c>
      <c r="F5244" s="2">
        <v>160</v>
      </c>
      <c r="G5244" s="2">
        <v>168</v>
      </c>
    </row>
    <row r="5245" spans="1:7" x14ac:dyDescent="0.3">
      <c r="A5245" t="s">
        <v>2011</v>
      </c>
      <c r="B5245" t="s">
        <v>32</v>
      </c>
      <c r="D5245">
        <v>2018</v>
      </c>
      <c r="E5245" s="2">
        <v>40</v>
      </c>
      <c r="F5245" s="2">
        <v>3100</v>
      </c>
      <c r="G5245" s="2">
        <v>3255</v>
      </c>
    </row>
    <row r="5246" spans="1:7" x14ac:dyDescent="0.3">
      <c r="A5246" t="s">
        <v>2011</v>
      </c>
      <c r="B5246" t="s">
        <v>46</v>
      </c>
      <c r="C5246" t="s">
        <v>47</v>
      </c>
      <c r="D5246">
        <v>2016</v>
      </c>
      <c r="E5246" s="2">
        <v>125</v>
      </c>
      <c r="F5246" s="2">
        <v>7275</v>
      </c>
      <c r="G5246" s="2"/>
    </row>
    <row r="5247" spans="1:7" x14ac:dyDescent="0.3">
      <c r="A5247" t="s">
        <v>2011</v>
      </c>
      <c r="B5247" t="s">
        <v>46</v>
      </c>
      <c r="C5247" t="s">
        <v>47</v>
      </c>
      <c r="D5247">
        <v>2017</v>
      </c>
      <c r="E5247" s="2">
        <v>50</v>
      </c>
      <c r="F5247" s="2">
        <v>2900</v>
      </c>
      <c r="G5247" s="2"/>
    </row>
    <row r="5248" spans="1:7" x14ac:dyDescent="0.3">
      <c r="A5248" t="s">
        <v>2012</v>
      </c>
      <c r="B5248" t="s">
        <v>624</v>
      </c>
      <c r="C5248" t="s">
        <v>625</v>
      </c>
      <c r="D5248">
        <v>2011</v>
      </c>
      <c r="E5248" s="2">
        <v>50</v>
      </c>
      <c r="F5248" s="2">
        <v>4750</v>
      </c>
      <c r="G5248" s="2"/>
    </row>
    <row r="5249" spans="1:7" x14ac:dyDescent="0.3">
      <c r="A5249" t="s">
        <v>2012</v>
      </c>
      <c r="B5249" t="s">
        <v>624</v>
      </c>
      <c r="C5249" t="s">
        <v>625</v>
      </c>
      <c r="D5249">
        <v>2012</v>
      </c>
      <c r="E5249" s="2">
        <v>75</v>
      </c>
      <c r="F5249" s="2">
        <v>7125</v>
      </c>
      <c r="G5249" s="2"/>
    </row>
    <row r="5250" spans="1:7" x14ac:dyDescent="0.3">
      <c r="A5250" t="s">
        <v>2012</v>
      </c>
      <c r="B5250" t="s">
        <v>624</v>
      </c>
      <c r="C5250" t="s">
        <v>625</v>
      </c>
      <c r="D5250">
        <v>2013</v>
      </c>
      <c r="E5250" s="2">
        <v>150</v>
      </c>
      <c r="F5250" s="2">
        <v>14250</v>
      </c>
      <c r="G5250" s="2"/>
    </row>
    <row r="5251" spans="1:7" x14ac:dyDescent="0.3">
      <c r="A5251" t="s">
        <v>2012</v>
      </c>
      <c r="B5251" t="s">
        <v>184</v>
      </c>
      <c r="C5251" t="s">
        <v>185</v>
      </c>
      <c r="D5251">
        <v>2010</v>
      </c>
      <c r="E5251" s="2">
        <v>50</v>
      </c>
      <c r="F5251" s="2">
        <v>2500</v>
      </c>
      <c r="G5251" s="2"/>
    </row>
    <row r="5252" spans="1:7" x14ac:dyDescent="0.3">
      <c r="A5252" t="s">
        <v>2012</v>
      </c>
      <c r="B5252" t="s">
        <v>184</v>
      </c>
      <c r="C5252" t="s">
        <v>185</v>
      </c>
      <c r="D5252">
        <v>2011</v>
      </c>
      <c r="E5252" s="2">
        <v>25</v>
      </c>
      <c r="F5252" s="2">
        <v>1250</v>
      </c>
      <c r="G5252" s="2"/>
    </row>
    <row r="5253" spans="1:7" x14ac:dyDescent="0.3">
      <c r="A5253" t="s">
        <v>2012</v>
      </c>
      <c r="B5253" t="s">
        <v>19</v>
      </c>
      <c r="C5253" t="s">
        <v>20</v>
      </c>
      <c r="D5253">
        <v>2010</v>
      </c>
      <c r="E5253" s="2">
        <v>25</v>
      </c>
      <c r="F5253" s="2">
        <v>2300</v>
      </c>
      <c r="G5253" s="2"/>
    </row>
    <row r="5254" spans="1:7" x14ac:dyDescent="0.3">
      <c r="A5254" t="s">
        <v>2012</v>
      </c>
      <c r="B5254" t="s">
        <v>19</v>
      </c>
      <c r="C5254" t="s">
        <v>20</v>
      </c>
      <c r="D5254">
        <v>2013</v>
      </c>
      <c r="E5254" s="2">
        <v>95</v>
      </c>
      <c r="F5254" s="2">
        <v>8740</v>
      </c>
      <c r="G5254" s="2"/>
    </row>
    <row r="5255" spans="1:7" x14ac:dyDescent="0.3">
      <c r="A5255" t="s">
        <v>2012</v>
      </c>
      <c r="B5255" t="s">
        <v>21</v>
      </c>
      <c r="C5255" t="s">
        <v>22</v>
      </c>
      <c r="D5255">
        <v>2009</v>
      </c>
      <c r="E5255" s="2">
        <v>25</v>
      </c>
      <c r="F5255" s="2">
        <v>1250</v>
      </c>
      <c r="G5255" s="2"/>
    </row>
    <row r="5256" spans="1:7" x14ac:dyDescent="0.3">
      <c r="A5256" t="s">
        <v>2012</v>
      </c>
      <c r="B5256" t="s">
        <v>2013</v>
      </c>
      <c r="C5256" t="s">
        <v>2014</v>
      </c>
      <c r="D5256">
        <v>2009</v>
      </c>
      <c r="E5256" s="2">
        <v>25</v>
      </c>
      <c r="F5256" s="2">
        <v>2100</v>
      </c>
      <c r="G5256" s="2"/>
    </row>
    <row r="5257" spans="1:7" x14ac:dyDescent="0.3">
      <c r="A5257" t="s">
        <v>2012</v>
      </c>
      <c r="B5257" t="s">
        <v>2015</v>
      </c>
      <c r="C5257" t="s">
        <v>2016</v>
      </c>
      <c r="D5257">
        <v>2009</v>
      </c>
      <c r="E5257" s="2">
        <v>25</v>
      </c>
      <c r="F5257" s="2">
        <v>2350</v>
      </c>
      <c r="G5257" s="2"/>
    </row>
    <row r="5258" spans="1:7" x14ac:dyDescent="0.3">
      <c r="A5258" t="s">
        <v>2012</v>
      </c>
      <c r="B5258" t="s">
        <v>575</v>
      </c>
      <c r="C5258" t="s">
        <v>673</v>
      </c>
      <c r="D5258">
        <v>2009</v>
      </c>
      <c r="E5258" s="2">
        <v>25</v>
      </c>
      <c r="F5258" s="2">
        <v>1875</v>
      </c>
      <c r="G5258" s="2"/>
    </row>
    <row r="5259" spans="1:7" x14ac:dyDescent="0.3">
      <c r="A5259" t="s">
        <v>2012</v>
      </c>
      <c r="B5259" t="s">
        <v>575</v>
      </c>
      <c r="C5259" t="s">
        <v>2017</v>
      </c>
      <c r="D5259">
        <v>2011</v>
      </c>
      <c r="E5259" s="2">
        <v>25</v>
      </c>
      <c r="F5259" s="2">
        <v>1875</v>
      </c>
      <c r="G5259" s="2"/>
    </row>
    <row r="5260" spans="1:7" x14ac:dyDescent="0.3">
      <c r="A5260" t="s">
        <v>2012</v>
      </c>
      <c r="B5260" t="s">
        <v>2018</v>
      </c>
      <c r="C5260" t="s">
        <v>2019</v>
      </c>
      <c r="D5260">
        <v>2009</v>
      </c>
      <c r="E5260" s="2">
        <v>25</v>
      </c>
      <c r="F5260" s="2">
        <v>3125</v>
      </c>
      <c r="G5260" s="2"/>
    </row>
    <row r="5261" spans="1:7" x14ac:dyDescent="0.3">
      <c r="A5261" t="s">
        <v>2012</v>
      </c>
      <c r="B5261" t="s">
        <v>46</v>
      </c>
      <c r="C5261" t="s">
        <v>47</v>
      </c>
      <c r="D5261">
        <v>2015</v>
      </c>
      <c r="E5261" s="2">
        <v>25</v>
      </c>
      <c r="F5261" s="2">
        <v>1500</v>
      </c>
      <c r="G5261" s="2"/>
    </row>
    <row r="5262" spans="1:7" x14ac:dyDescent="0.3">
      <c r="A5262" t="s">
        <v>2020</v>
      </c>
      <c r="B5262" t="s">
        <v>276</v>
      </c>
      <c r="C5262" t="s">
        <v>277</v>
      </c>
      <c r="D5262">
        <v>2019</v>
      </c>
      <c r="E5262" s="2">
        <v>25</v>
      </c>
      <c r="F5262" s="2">
        <v>2200</v>
      </c>
      <c r="G5262" s="2">
        <v>2310</v>
      </c>
    </row>
    <row r="5263" spans="1:7" x14ac:dyDescent="0.3">
      <c r="A5263" t="s">
        <v>2020</v>
      </c>
      <c r="B5263" t="s">
        <v>624</v>
      </c>
      <c r="C5263" t="s">
        <v>625</v>
      </c>
      <c r="D5263">
        <v>2017</v>
      </c>
      <c r="E5263" s="2">
        <v>50</v>
      </c>
      <c r="F5263" s="2">
        <v>3500</v>
      </c>
      <c r="G5263" s="2"/>
    </row>
    <row r="5264" spans="1:7" x14ac:dyDescent="0.3">
      <c r="A5264" t="s">
        <v>2020</v>
      </c>
      <c r="B5264" t="s">
        <v>624</v>
      </c>
      <c r="C5264" t="s">
        <v>625</v>
      </c>
      <c r="D5264">
        <v>2019</v>
      </c>
      <c r="E5264" s="2">
        <v>25</v>
      </c>
      <c r="F5264" s="2">
        <v>1750</v>
      </c>
      <c r="G5264" s="2">
        <v>1837.5</v>
      </c>
    </row>
    <row r="5265" spans="1:8" x14ac:dyDescent="0.3">
      <c r="A5265" t="s">
        <v>2020</v>
      </c>
      <c r="B5265" t="s">
        <v>174</v>
      </c>
      <c r="C5265" t="s">
        <v>175</v>
      </c>
      <c r="D5265">
        <v>2017</v>
      </c>
      <c r="E5265" s="2">
        <v>50</v>
      </c>
      <c r="F5265" s="2">
        <v>3400</v>
      </c>
      <c r="G5265" s="2"/>
    </row>
    <row r="5266" spans="1:8" x14ac:dyDescent="0.3">
      <c r="A5266" t="s">
        <v>2020</v>
      </c>
      <c r="B5266" t="s">
        <v>716</v>
      </c>
      <c r="C5266" t="s">
        <v>717</v>
      </c>
      <c r="D5266">
        <v>2019</v>
      </c>
      <c r="E5266" s="2">
        <v>50</v>
      </c>
      <c r="F5266" s="2">
        <v>4000</v>
      </c>
      <c r="G5266" s="2">
        <v>4200</v>
      </c>
    </row>
    <row r="5267" spans="1:8" x14ac:dyDescent="0.3">
      <c r="A5267" t="s">
        <v>2020</v>
      </c>
      <c r="B5267" t="s">
        <v>627</v>
      </c>
      <c r="C5267" t="s">
        <v>628</v>
      </c>
      <c r="D5267">
        <v>2019</v>
      </c>
      <c r="E5267" s="2">
        <v>25</v>
      </c>
      <c r="F5267" s="2">
        <v>2000</v>
      </c>
      <c r="G5267" s="2">
        <v>2100</v>
      </c>
    </row>
    <row r="5268" spans="1:8" x14ac:dyDescent="0.3">
      <c r="A5268" t="s">
        <v>2020</v>
      </c>
      <c r="B5268" t="s">
        <v>589</v>
      </c>
      <c r="C5268" t="s">
        <v>590</v>
      </c>
      <c r="D5268">
        <v>2020</v>
      </c>
      <c r="E5268" s="2">
        <v>5</v>
      </c>
      <c r="F5268" s="2">
        <v>800</v>
      </c>
      <c r="G5268" s="2">
        <v>800</v>
      </c>
    </row>
    <row r="5269" spans="1:8" x14ac:dyDescent="0.3">
      <c r="A5269" t="s">
        <v>2020</v>
      </c>
      <c r="B5269" t="s">
        <v>721</v>
      </c>
      <c r="C5269" t="s">
        <v>722</v>
      </c>
      <c r="D5269">
        <v>2018</v>
      </c>
      <c r="E5269" s="2">
        <v>25</v>
      </c>
      <c r="F5269" s="2">
        <v>1625</v>
      </c>
      <c r="G5269" s="2">
        <v>1706.25</v>
      </c>
    </row>
    <row r="5270" spans="1:8" x14ac:dyDescent="0.3">
      <c r="A5270" t="s">
        <v>2020</v>
      </c>
      <c r="B5270" t="s">
        <v>504</v>
      </c>
      <c r="C5270" t="s">
        <v>505</v>
      </c>
      <c r="D5270">
        <v>2019</v>
      </c>
      <c r="E5270" s="2">
        <v>50</v>
      </c>
      <c r="F5270" s="2">
        <v>4250</v>
      </c>
      <c r="G5270" s="2">
        <v>4462.5</v>
      </c>
    </row>
    <row r="5271" spans="1:8" x14ac:dyDescent="0.3">
      <c r="A5271" t="s">
        <v>2020</v>
      </c>
      <c r="B5271" t="s">
        <v>504</v>
      </c>
      <c r="C5271" t="s">
        <v>505</v>
      </c>
      <c r="D5271">
        <v>2020</v>
      </c>
      <c r="E5271" s="2">
        <v>25</v>
      </c>
      <c r="F5271" s="2">
        <v>2125</v>
      </c>
      <c r="G5271" s="2">
        <v>2231.25</v>
      </c>
    </row>
    <row r="5272" spans="1:8" x14ac:dyDescent="0.3">
      <c r="A5272" t="s">
        <v>2020</v>
      </c>
      <c r="B5272" t="s">
        <v>1178</v>
      </c>
      <c r="C5272" t="s">
        <v>1179</v>
      </c>
      <c r="D5272">
        <v>2017</v>
      </c>
      <c r="E5272" s="2">
        <v>25</v>
      </c>
      <c r="F5272" s="2">
        <v>1900</v>
      </c>
      <c r="G5272" s="2"/>
    </row>
    <row r="5273" spans="1:8" x14ac:dyDescent="0.3">
      <c r="A5273" t="s">
        <v>2020</v>
      </c>
      <c r="B5273" t="s">
        <v>1178</v>
      </c>
      <c r="C5273" t="s">
        <v>1179</v>
      </c>
      <c r="D5273">
        <v>2018</v>
      </c>
      <c r="E5273" s="2">
        <v>25</v>
      </c>
      <c r="F5273" s="2">
        <v>1900</v>
      </c>
      <c r="G5273" s="2">
        <v>1995</v>
      </c>
    </row>
    <row r="5274" spans="1:8" x14ac:dyDescent="0.3">
      <c r="A5274" t="s">
        <v>2020</v>
      </c>
      <c r="B5274" t="s">
        <v>1178</v>
      </c>
      <c r="C5274" t="s">
        <v>1179</v>
      </c>
      <c r="D5274">
        <v>2019</v>
      </c>
      <c r="E5274" s="2">
        <v>50</v>
      </c>
      <c r="F5274" s="2">
        <v>3800</v>
      </c>
      <c r="G5274" s="2">
        <v>3990</v>
      </c>
    </row>
    <row r="5275" spans="1:8" x14ac:dyDescent="0.3">
      <c r="A5275" t="s">
        <v>2020</v>
      </c>
      <c r="B5275" t="s">
        <v>1117</v>
      </c>
      <c r="C5275" t="s">
        <v>1118</v>
      </c>
      <c r="D5275">
        <v>2021</v>
      </c>
      <c r="E5275" s="2">
        <v>10</v>
      </c>
      <c r="F5275" s="2">
        <v>760</v>
      </c>
      <c r="G5275" s="2">
        <v>798</v>
      </c>
      <c r="H5275" s="3" t="s">
        <v>14</v>
      </c>
    </row>
    <row r="5276" spans="1:8" x14ac:dyDescent="0.3">
      <c r="A5276" t="s">
        <v>2020</v>
      </c>
      <c r="B5276" t="s">
        <v>635</v>
      </c>
      <c r="C5276" t="s">
        <v>636</v>
      </c>
      <c r="D5276">
        <v>2018</v>
      </c>
      <c r="E5276" s="2">
        <v>50</v>
      </c>
      <c r="F5276" s="2">
        <v>4100</v>
      </c>
      <c r="G5276" s="2">
        <v>4305</v>
      </c>
    </row>
    <row r="5277" spans="1:8" x14ac:dyDescent="0.3">
      <c r="A5277" t="s">
        <v>2020</v>
      </c>
      <c r="B5277" t="s">
        <v>251</v>
      </c>
      <c r="C5277" t="s">
        <v>207</v>
      </c>
      <c r="D5277">
        <v>2019</v>
      </c>
      <c r="E5277" s="2">
        <v>25</v>
      </c>
      <c r="F5277" s="2">
        <v>2000</v>
      </c>
      <c r="G5277" s="2">
        <v>2100</v>
      </c>
    </row>
    <row r="5278" spans="1:8" x14ac:dyDescent="0.3">
      <c r="A5278" t="s">
        <v>2020</v>
      </c>
      <c r="B5278" t="s">
        <v>536</v>
      </c>
      <c r="C5278" t="s">
        <v>537</v>
      </c>
      <c r="D5278">
        <v>2020</v>
      </c>
      <c r="E5278" s="2">
        <v>50</v>
      </c>
      <c r="F5278" s="2">
        <v>4000</v>
      </c>
      <c r="G5278" s="2">
        <v>4200</v>
      </c>
    </row>
    <row r="5279" spans="1:8" x14ac:dyDescent="0.3">
      <c r="A5279" t="s">
        <v>2020</v>
      </c>
      <c r="B5279" t="s">
        <v>454</v>
      </c>
      <c r="C5279" t="s">
        <v>455</v>
      </c>
      <c r="D5279">
        <v>2019</v>
      </c>
      <c r="E5279" s="2">
        <v>25</v>
      </c>
      <c r="F5279" s="2">
        <v>2000</v>
      </c>
      <c r="G5279" s="2">
        <v>2100</v>
      </c>
    </row>
    <row r="5280" spans="1:8" x14ac:dyDescent="0.3">
      <c r="A5280" t="s">
        <v>2020</v>
      </c>
      <c r="B5280" t="s">
        <v>602</v>
      </c>
      <c r="C5280" t="s">
        <v>603</v>
      </c>
      <c r="D5280">
        <v>2016</v>
      </c>
      <c r="E5280" s="2">
        <v>50</v>
      </c>
      <c r="F5280" s="2">
        <v>3750</v>
      </c>
      <c r="G5280" s="2"/>
    </row>
    <row r="5281" spans="1:7" x14ac:dyDescent="0.3">
      <c r="A5281" t="s">
        <v>2020</v>
      </c>
      <c r="B5281" t="s">
        <v>346</v>
      </c>
      <c r="C5281" t="s">
        <v>347</v>
      </c>
      <c r="D5281">
        <v>2014</v>
      </c>
      <c r="E5281" s="2">
        <v>225</v>
      </c>
      <c r="F5281" s="2">
        <v>20250</v>
      </c>
      <c r="G5281" s="2"/>
    </row>
    <row r="5282" spans="1:7" x14ac:dyDescent="0.3">
      <c r="A5282" t="s">
        <v>2020</v>
      </c>
      <c r="B5282" t="s">
        <v>346</v>
      </c>
      <c r="C5282" t="s">
        <v>347</v>
      </c>
      <c r="D5282">
        <v>2017</v>
      </c>
      <c r="E5282" s="2">
        <v>50</v>
      </c>
      <c r="F5282" s="2">
        <v>4500</v>
      </c>
      <c r="G5282" s="2"/>
    </row>
    <row r="5283" spans="1:7" x14ac:dyDescent="0.3">
      <c r="A5283" t="s">
        <v>2020</v>
      </c>
      <c r="B5283" t="s">
        <v>346</v>
      </c>
      <c r="C5283" t="s">
        <v>347</v>
      </c>
      <c r="D5283">
        <v>2018</v>
      </c>
      <c r="E5283" s="2">
        <v>60</v>
      </c>
      <c r="F5283" s="2">
        <v>5400</v>
      </c>
      <c r="G5283" s="2">
        <v>5670</v>
      </c>
    </row>
    <row r="5284" spans="1:7" x14ac:dyDescent="0.3">
      <c r="A5284" t="s">
        <v>2020</v>
      </c>
      <c r="B5284" t="s">
        <v>346</v>
      </c>
      <c r="C5284" t="s">
        <v>347</v>
      </c>
      <c r="D5284">
        <v>2019</v>
      </c>
      <c r="E5284" s="2">
        <v>50</v>
      </c>
      <c r="F5284" s="2">
        <v>4500</v>
      </c>
      <c r="G5284" s="2">
        <v>4725</v>
      </c>
    </row>
    <row r="5285" spans="1:7" x14ac:dyDescent="0.3">
      <c r="A5285" t="s">
        <v>2020</v>
      </c>
      <c r="B5285" t="s">
        <v>56</v>
      </c>
      <c r="C5285" t="s">
        <v>57</v>
      </c>
      <c r="D5285">
        <v>2019</v>
      </c>
      <c r="E5285" s="2">
        <v>13</v>
      </c>
      <c r="F5285" s="2">
        <v>1040</v>
      </c>
      <c r="G5285" s="2">
        <v>1092</v>
      </c>
    </row>
    <row r="5286" spans="1:7" x14ac:dyDescent="0.3">
      <c r="A5286" t="s">
        <v>2020</v>
      </c>
      <c r="B5286" t="s">
        <v>2021</v>
      </c>
      <c r="C5286" t="s">
        <v>1340</v>
      </c>
      <c r="D5286">
        <v>2014</v>
      </c>
      <c r="E5286" s="2">
        <v>50</v>
      </c>
      <c r="F5286" s="2">
        <v>5250</v>
      </c>
      <c r="G5286" s="2"/>
    </row>
    <row r="5287" spans="1:7" x14ac:dyDescent="0.3">
      <c r="A5287" t="s">
        <v>2020</v>
      </c>
      <c r="B5287" t="s">
        <v>2021</v>
      </c>
      <c r="C5287" t="s">
        <v>1340</v>
      </c>
      <c r="D5287">
        <v>2015</v>
      </c>
      <c r="E5287" s="2">
        <v>50</v>
      </c>
      <c r="F5287" s="2">
        <v>5250</v>
      </c>
      <c r="G5287" s="2"/>
    </row>
    <row r="5288" spans="1:7" x14ac:dyDescent="0.3">
      <c r="A5288" t="s">
        <v>2020</v>
      </c>
      <c r="B5288" t="s">
        <v>942</v>
      </c>
      <c r="C5288" t="s">
        <v>943</v>
      </c>
      <c r="D5288">
        <v>2018</v>
      </c>
      <c r="E5288" s="2">
        <v>25</v>
      </c>
      <c r="F5288" s="2">
        <v>1375</v>
      </c>
      <c r="G5288" s="2">
        <v>1443.75</v>
      </c>
    </row>
    <row r="5289" spans="1:7" x14ac:dyDescent="0.3">
      <c r="A5289" t="s">
        <v>2020</v>
      </c>
      <c r="B5289" t="s">
        <v>942</v>
      </c>
      <c r="C5289" t="s">
        <v>943</v>
      </c>
      <c r="D5289">
        <v>2019</v>
      </c>
      <c r="E5289" s="2">
        <v>25</v>
      </c>
      <c r="F5289" s="2">
        <v>1375</v>
      </c>
      <c r="G5289" s="2">
        <v>1443.75</v>
      </c>
    </row>
    <row r="5290" spans="1:7" x14ac:dyDescent="0.3">
      <c r="A5290" t="s">
        <v>2020</v>
      </c>
      <c r="B5290" t="s">
        <v>643</v>
      </c>
      <c r="C5290" t="s">
        <v>644</v>
      </c>
      <c r="D5290">
        <v>2017</v>
      </c>
      <c r="E5290" s="2">
        <v>25</v>
      </c>
      <c r="F5290" s="2">
        <v>2125</v>
      </c>
      <c r="G5290" s="2"/>
    </row>
    <row r="5291" spans="1:7" x14ac:dyDescent="0.3">
      <c r="A5291" t="s">
        <v>2020</v>
      </c>
      <c r="B5291" t="s">
        <v>643</v>
      </c>
      <c r="C5291" t="s">
        <v>644</v>
      </c>
      <c r="D5291">
        <v>2019</v>
      </c>
      <c r="E5291" s="2">
        <v>100</v>
      </c>
      <c r="F5291" s="2">
        <v>9975</v>
      </c>
      <c r="G5291" s="2">
        <v>10473.75</v>
      </c>
    </row>
    <row r="5292" spans="1:7" x14ac:dyDescent="0.3">
      <c r="A5292" t="s">
        <v>2020</v>
      </c>
      <c r="B5292" t="s">
        <v>643</v>
      </c>
      <c r="C5292" t="s">
        <v>644</v>
      </c>
      <c r="D5292">
        <v>2020</v>
      </c>
      <c r="E5292" s="2">
        <v>25</v>
      </c>
      <c r="F5292" s="2">
        <v>2375</v>
      </c>
      <c r="G5292" s="2">
        <v>2493.75</v>
      </c>
    </row>
    <row r="5293" spans="1:7" x14ac:dyDescent="0.3">
      <c r="A5293" t="s">
        <v>2020</v>
      </c>
      <c r="B5293" t="s">
        <v>349</v>
      </c>
      <c r="C5293" t="s">
        <v>350</v>
      </c>
      <c r="D5293">
        <v>2018</v>
      </c>
      <c r="E5293" s="2">
        <v>25</v>
      </c>
      <c r="F5293" s="2">
        <v>1750</v>
      </c>
      <c r="G5293" s="2">
        <v>1837.5</v>
      </c>
    </row>
    <row r="5294" spans="1:7" x14ac:dyDescent="0.3">
      <c r="A5294" t="s">
        <v>2020</v>
      </c>
      <c r="B5294" t="s">
        <v>349</v>
      </c>
      <c r="C5294" t="s">
        <v>350</v>
      </c>
      <c r="D5294">
        <v>2019</v>
      </c>
      <c r="E5294" s="2">
        <v>25</v>
      </c>
      <c r="F5294" s="2">
        <v>1750</v>
      </c>
      <c r="G5294" s="2">
        <v>1837.5</v>
      </c>
    </row>
    <row r="5295" spans="1:7" x14ac:dyDescent="0.3">
      <c r="A5295" t="s">
        <v>2020</v>
      </c>
      <c r="B5295" t="s">
        <v>2022</v>
      </c>
      <c r="C5295" t="s">
        <v>515</v>
      </c>
      <c r="D5295">
        <v>2019</v>
      </c>
      <c r="E5295" s="2">
        <v>75</v>
      </c>
      <c r="F5295" s="2">
        <v>6750</v>
      </c>
      <c r="G5295" s="2">
        <v>7087.5</v>
      </c>
    </row>
    <row r="5296" spans="1:7" x14ac:dyDescent="0.3">
      <c r="A5296" t="s">
        <v>2020</v>
      </c>
      <c r="B5296" t="s">
        <v>297</v>
      </c>
      <c r="C5296" t="s">
        <v>298</v>
      </c>
      <c r="D5296">
        <v>2018</v>
      </c>
      <c r="E5296" s="2">
        <v>25</v>
      </c>
      <c r="F5296" s="2">
        <v>1625</v>
      </c>
      <c r="G5296" s="2">
        <v>1706.25</v>
      </c>
    </row>
    <row r="5297" spans="1:8" x14ac:dyDescent="0.3">
      <c r="A5297" t="s">
        <v>2020</v>
      </c>
      <c r="B5297" t="s">
        <v>542</v>
      </c>
      <c r="C5297" t="s">
        <v>160</v>
      </c>
      <c r="D5297">
        <v>2019</v>
      </c>
      <c r="E5297" s="2">
        <v>100</v>
      </c>
      <c r="F5297" s="2">
        <v>7500</v>
      </c>
      <c r="G5297" s="2">
        <v>7875</v>
      </c>
    </row>
    <row r="5298" spans="1:8" x14ac:dyDescent="0.3">
      <c r="A5298" t="s">
        <v>2020</v>
      </c>
      <c r="B5298" t="s">
        <v>542</v>
      </c>
      <c r="C5298" t="s">
        <v>160</v>
      </c>
      <c r="D5298">
        <v>2020</v>
      </c>
      <c r="E5298" s="2">
        <v>25</v>
      </c>
      <c r="F5298" s="2">
        <v>1875</v>
      </c>
      <c r="G5298" s="2">
        <v>1968.75</v>
      </c>
    </row>
    <row r="5299" spans="1:8" x14ac:dyDescent="0.3">
      <c r="A5299" t="s">
        <v>2020</v>
      </c>
      <c r="B5299" t="s">
        <v>64</v>
      </c>
      <c r="C5299" t="s">
        <v>65</v>
      </c>
      <c r="D5299">
        <v>2019</v>
      </c>
      <c r="E5299" s="2">
        <v>50</v>
      </c>
      <c r="F5299" s="2">
        <v>4000</v>
      </c>
      <c r="G5299" s="2">
        <v>4200</v>
      </c>
    </row>
    <row r="5300" spans="1:8" x14ac:dyDescent="0.3">
      <c r="A5300" t="s">
        <v>2020</v>
      </c>
      <c r="B5300" t="s">
        <v>110</v>
      </c>
      <c r="C5300" t="s">
        <v>111</v>
      </c>
      <c r="D5300">
        <v>2017</v>
      </c>
      <c r="E5300" s="2">
        <v>75</v>
      </c>
      <c r="F5300" s="2">
        <v>3150</v>
      </c>
      <c r="G5300" s="2"/>
    </row>
    <row r="5301" spans="1:8" x14ac:dyDescent="0.3">
      <c r="A5301" t="s">
        <v>2020</v>
      </c>
      <c r="B5301" t="s">
        <v>110</v>
      </c>
      <c r="C5301" t="s">
        <v>111</v>
      </c>
      <c r="D5301">
        <v>2018</v>
      </c>
      <c r="E5301" s="2">
        <v>75</v>
      </c>
      <c r="F5301" s="2">
        <v>3150</v>
      </c>
      <c r="G5301" s="2">
        <v>3307.5</v>
      </c>
    </row>
    <row r="5302" spans="1:8" x14ac:dyDescent="0.3">
      <c r="A5302" t="s">
        <v>2020</v>
      </c>
      <c r="B5302" t="s">
        <v>110</v>
      </c>
      <c r="C5302" t="s">
        <v>111</v>
      </c>
      <c r="D5302">
        <v>2019</v>
      </c>
      <c r="E5302" s="2">
        <v>200</v>
      </c>
      <c r="F5302" s="2">
        <v>15000</v>
      </c>
      <c r="G5302" s="2">
        <v>15750</v>
      </c>
    </row>
    <row r="5303" spans="1:8" x14ac:dyDescent="0.3">
      <c r="A5303" t="s">
        <v>2020</v>
      </c>
      <c r="B5303" t="s">
        <v>114</v>
      </c>
      <c r="C5303" t="s">
        <v>115</v>
      </c>
      <c r="D5303">
        <v>2018</v>
      </c>
      <c r="E5303" s="2">
        <v>25</v>
      </c>
      <c r="F5303" s="2">
        <v>2000</v>
      </c>
      <c r="G5303" s="2">
        <v>2100</v>
      </c>
    </row>
    <row r="5304" spans="1:8" x14ac:dyDescent="0.3">
      <c r="A5304" t="s">
        <v>2020</v>
      </c>
      <c r="B5304" t="s">
        <v>114</v>
      </c>
      <c r="C5304" t="s">
        <v>115</v>
      </c>
      <c r="D5304">
        <v>2019</v>
      </c>
      <c r="E5304" s="2">
        <v>25</v>
      </c>
      <c r="F5304" s="2">
        <v>2000</v>
      </c>
      <c r="G5304" s="2">
        <v>2100</v>
      </c>
    </row>
    <row r="5305" spans="1:8" x14ac:dyDescent="0.3">
      <c r="A5305" t="s">
        <v>2020</v>
      </c>
      <c r="B5305" t="s">
        <v>187</v>
      </c>
      <c r="C5305" t="s">
        <v>188</v>
      </c>
      <c r="D5305">
        <v>2017</v>
      </c>
      <c r="E5305" s="2">
        <v>50</v>
      </c>
      <c r="F5305" s="2">
        <v>3750</v>
      </c>
      <c r="G5305" s="2"/>
    </row>
    <row r="5306" spans="1:8" x14ac:dyDescent="0.3">
      <c r="A5306" t="s">
        <v>2020</v>
      </c>
      <c r="B5306" t="s">
        <v>187</v>
      </c>
      <c r="C5306" t="s">
        <v>188</v>
      </c>
      <c r="D5306">
        <v>2018</v>
      </c>
      <c r="E5306" s="2">
        <v>70</v>
      </c>
      <c r="F5306" s="2">
        <v>5250</v>
      </c>
      <c r="G5306" s="2">
        <v>5512.5</v>
      </c>
    </row>
    <row r="5307" spans="1:8" x14ac:dyDescent="0.3">
      <c r="A5307" t="s">
        <v>2020</v>
      </c>
      <c r="B5307" t="s">
        <v>187</v>
      </c>
      <c r="C5307" t="s">
        <v>188</v>
      </c>
      <c r="D5307">
        <v>2019</v>
      </c>
      <c r="E5307" s="2">
        <v>50</v>
      </c>
      <c r="F5307" s="2">
        <v>3750</v>
      </c>
      <c r="G5307" s="2">
        <v>3937.5</v>
      </c>
    </row>
    <row r="5308" spans="1:8" x14ac:dyDescent="0.3">
      <c r="A5308" t="s">
        <v>2020</v>
      </c>
      <c r="B5308" t="s">
        <v>120</v>
      </c>
      <c r="C5308" t="s">
        <v>121</v>
      </c>
      <c r="D5308">
        <v>2019</v>
      </c>
      <c r="E5308" s="2">
        <v>50</v>
      </c>
      <c r="F5308" s="2">
        <v>6500</v>
      </c>
      <c r="G5308" s="2">
        <v>6825</v>
      </c>
    </row>
    <row r="5309" spans="1:8" x14ac:dyDescent="0.3">
      <c r="A5309" t="s">
        <v>2020</v>
      </c>
      <c r="B5309" t="s">
        <v>1446</v>
      </c>
      <c r="C5309" t="s">
        <v>814</v>
      </c>
      <c r="D5309">
        <v>2018</v>
      </c>
      <c r="E5309" s="2">
        <v>5</v>
      </c>
      <c r="F5309" s="2">
        <v>375</v>
      </c>
      <c r="G5309" s="2">
        <v>393.75</v>
      </c>
    </row>
    <row r="5310" spans="1:8" x14ac:dyDescent="0.3">
      <c r="A5310" t="s">
        <v>2020</v>
      </c>
      <c r="B5310" t="s">
        <v>813</v>
      </c>
      <c r="C5310" t="s">
        <v>814</v>
      </c>
      <c r="D5310">
        <v>2021</v>
      </c>
      <c r="E5310" s="2">
        <v>25</v>
      </c>
      <c r="F5310" s="2">
        <v>1875</v>
      </c>
      <c r="G5310" s="2">
        <v>1968.75</v>
      </c>
      <c r="H5310" s="3" t="s">
        <v>14</v>
      </c>
    </row>
    <row r="5311" spans="1:8" x14ac:dyDescent="0.3">
      <c r="A5311" t="s">
        <v>2020</v>
      </c>
      <c r="B5311" t="s">
        <v>653</v>
      </c>
      <c r="C5311" t="s">
        <v>2023</v>
      </c>
      <c r="D5311">
        <v>2016</v>
      </c>
      <c r="E5311" s="2">
        <v>5</v>
      </c>
      <c r="F5311" s="2">
        <v>350</v>
      </c>
      <c r="G5311" s="2"/>
    </row>
    <row r="5312" spans="1:8" x14ac:dyDescent="0.3">
      <c r="A5312" t="s">
        <v>2020</v>
      </c>
      <c r="B5312" t="s">
        <v>653</v>
      </c>
      <c r="C5312" t="s">
        <v>2023</v>
      </c>
      <c r="D5312">
        <v>2017</v>
      </c>
      <c r="E5312" s="2">
        <v>125</v>
      </c>
      <c r="F5312" s="2">
        <v>8750</v>
      </c>
      <c r="G5312" s="2"/>
    </row>
    <row r="5313" spans="1:7" x14ac:dyDescent="0.3">
      <c r="A5313" t="s">
        <v>2020</v>
      </c>
      <c r="B5313" t="s">
        <v>653</v>
      </c>
      <c r="C5313" t="s">
        <v>2023</v>
      </c>
      <c r="D5313">
        <v>2018</v>
      </c>
      <c r="E5313" s="2">
        <v>75</v>
      </c>
      <c r="F5313" s="2">
        <v>5250</v>
      </c>
      <c r="G5313" s="2">
        <v>5512.5</v>
      </c>
    </row>
    <row r="5314" spans="1:7" x14ac:dyDescent="0.3">
      <c r="A5314" t="s">
        <v>2020</v>
      </c>
      <c r="B5314" t="s">
        <v>653</v>
      </c>
      <c r="C5314" t="s">
        <v>2023</v>
      </c>
      <c r="D5314">
        <v>2019</v>
      </c>
      <c r="E5314" s="2">
        <v>100</v>
      </c>
      <c r="F5314" s="2">
        <v>8750</v>
      </c>
      <c r="G5314" s="2">
        <v>9187.5</v>
      </c>
    </row>
    <row r="5315" spans="1:7" x14ac:dyDescent="0.3">
      <c r="A5315" t="s">
        <v>2020</v>
      </c>
      <c r="B5315" t="s">
        <v>653</v>
      </c>
      <c r="C5315" t="s">
        <v>2023</v>
      </c>
      <c r="D5315">
        <v>2020</v>
      </c>
      <c r="E5315" s="2">
        <v>25</v>
      </c>
      <c r="F5315" s="2">
        <v>1750</v>
      </c>
      <c r="G5315" s="2">
        <v>1837.5</v>
      </c>
    </row>
    <row r="5316" spans="1:7" x14ac:dyDescent="0.3">
      <c r="A5316" t="s">
        <v>2020</v>
      </c>
      <c r="B5316" t="s">
        <v>192</v>
      </c>
      <c r="C5316" t="s">
        <v>193</v>
      </c>
      <c r="D5316">
        <v>2019</v>
      </c>
      <c r="E5316" s="2">
        <v>58</v>
      </c>
      <c r="F5316" s="2">
        <v>4524</v>
      </c>
      <c r="G5316" s="2">
        <v>4750.2</v>
      </c>
    </row>
    <row r="5317" spans="1:7" x14ac:dyDescent="0.3">
      <c r="A5317" t="s">
        <v>2020</v>
      </c>
      <c r="B5317" t="s">
        <v>496</v>
      </c>
      <c r="C5317" t="s">
        <v>497</v>
      </c>
      <c r="D5317">
        <v>2019</v>
      </c>
      <c r="E5317" s="2">
        <v>25</v>
      </c>
      <c r="F5317" s="2">
        <v>1375</v>
      </c>
      <c r="G5317" s="2">
        <v>1443.75</v>
      </c>
    </row>
    <row r="5318" spans="1:7" x14ac:dyDescent="0.3">
      <c r="A5318" t="s">
        <v>2020</v>
      </c>
      <c r="B5318" t="s">
        <v>1208</v>
      </c>
      <c r="C5318" t="s">
        <v>1209</v>
      </c>
      <c r="D5318">
        <v>2018</v>
      </c>
      <c r="E5318" s="2">
        <v>50</v>
      </c>
      <c r="F5318" s="2">
        <v>3500</v>
      </c>
      <c r="G5318" s="2">
        <v>3675</v>
      </c>
    </row>
    <row r="5319" spans="1:7" x14ac:dyDescent="0.3">
      <c r="A5319" t="s">
        <v>2020</v>
      </c>
      <c r="B5319" t="s">
        <v>1208</v>
      </c>
      <c r="C5319" t="s">
        <v>1209</v>
      </c>
      <c r="D5319">
        <v>2019</v>
      </c>
      <c r="E5319" s="2">
        <v>25</v>
      </c>
      <c r="F5319" s="2">
        <v>2125</v>
      </c>
      <c r="G5319" s="2">
        <v>2231.25</v>
      </c>
    </row>
    <row r="5320" spans="1:7" x14ac:dyDescent="0.3">
      <c r="A5320" t="s">
        <v>2020</v>
      </c>
      <c r="B5320" t="s">
        <v>70</v>
      </c>
      <c r="C5320" t="s">
        <v>71</v>
      </c>
      <c r="D5320">
        <v>2019</v>
      </c>
      <c r="E5320" s="2">
        <v>150</v>
      </c>
      <c r="F5320" s="2">
        <v>9500</v>
      </c>
      <c r="G5320" s="2">
        <v>9975</v>
      </c>
    </row>
    <row r="5321" spans="1:7" x14ac:dyDescent="0.3">
      <c r="A5321" t="s">
        <v>2020</v>
      </c>
      <c r="B5321" t="s">
        <v>46</v>
      </c>
      <c r="C5321" t="s">
        <v>47</v>
      </c>
      <c r="D5321">
        <v>2017</v>
      </c>
      <c r="E5321" s="2">
        <v>75</v>
      </c>
      <c r="F5321" s="2">
        <v>5625</v>
      </c>
      <c r="G5321" s="2"/>
    </row>
    <row r="5322" spans="1:7" x14ac:dyDescent="0.3">
      <c r="A5322" t="s">
        <v>2020</v>
      </c>
      <c r="B5322" t="s">
        <v>46</v>
      </c>
      <c r="C5322" t="s">
        <v>47</v>
      </c>
      <c r="D5322">
        <v>2018</v>
      </c>
      <c r="E5322" s="2">
        <v>100</v>
      </c>
      <c r="F5322" s="2">
        <v>7500</v>
      </c>
      <c r="G5322" s="2">
        <v>7875</v>
      </c>
    </row>
    <row r="5323" spans="1:7" x14ac:dyDescent="0.3">
      <c r="A5323" t="s">
        <v>2020</v>
      </c>
      <c r="B5323" t="s">
        <v>46</v>
      </c>
      <c r="C5323" t="s">
        <v>47</v>
      </c>
      <c r="D5323">
        <v>2019</v>
      </c>
      <c r="E5323" s="2">
        <v>125</v>
      </c>
      <c r="F5323" s="2">
        <v>9375</v>
      </c>
      <c r="G5323" s="2">
        <v>9843.75</v>
      </c>
    </row>
    <row r="5324" spans="1:7" x14ac:dyDescent="0.3">
      <c r="A5324" t="s">
        <v>2020</v>
      </c>
      <c r="B5324" t="s">
        <v>483</v>
      </c>
      <c r="C5324" t="s">
        <v>484</v>
      </c>
      <c r="D5324">
        <v>2019</v>
      </c>
      <c r="E5324" s="2">
        <v>100</v>
      </c>
      <c r="F5324" s="2">
        <v>7500</v>
      </c>
      <c r="G5324" s="2">
        <v>7875</v>
      </c>
    </row>
    <row r="5325" spans="1:7" x14ac:dyDescent="0.3">
      <c r="A5325" t="s">
        <v>2020</v>
      </c>
      <c r="B5325" t="s">
        <v>483</v>
      </c>
      <c r="C5325" t="s">
        <v>484</v>
      </c>
      <c r="D5325">
        <v>2020</v>
      </c>
      <c r="E5325" s="2">
        <v>25</v>
      </c>
      <c r="F5325" s="2">
        <v>1875</v>
      </c>
      <c r="G5325" s="2">
        <v>1968.75</v>
      </c>
    </row>
    <row r="5326" spans="1:7" x14ac:dyDescent="0.3">
      <c r="A5326" t="s">
        <v>2020</v>
      </c>
      <c r="B5326" t="s">
        <v>657</v>
      </c>
      <c r="C5326" t="s">
        <v>658</v>
      </c>
      <c r="D5326">
        <v>2017</v>
      </c>
      <c r="E5326" s="2">
        <v>75</v>
      </c>
      <c r="F5326" s="2">
        <v>6150</v>
      </c>
      <c r="G5326" s="2"/>
    </row>
    <row r="5327" spans="1:7" x14ac:dyDescent="0.3">
      <c r="A5327" t="s">
        <v>2020</v>
      </c>
      <c r="B5327" t="s">
        <v>657</v>
      </c>
      <c r="C5327" t="s">
        <v>658</v>
      </c>
      <c r="D5327">
        <v>2019</v>
      </c>
      <c r="E5327" s="2">
        <v>50</v>
      </c>
      <c r="F5327" s="2">
        <v>4250</v>
      </c>
      <c r="G5327" s="2">
        <v>4462.5</v>
      </c>
    </row>
    <row r="5328" spans="1:7" x14ac:dyDescent="0.3">
      <c r="A5328" t="s">
        <v>2020</v>
      </c>
      <c r="B5328" t="s">
        <v>657</v>
      </c>
      <c r="C5328" t="s">
        <v>658</v>
      </c>
      <c r="D5328">
        <v>2020</v>
      </c>
      <c r="E5328" s="2">
        <v>25</v>
      </c>
      <c r="F5328" s="2">
        <v>2375</v>
      </c>
      <c r="G5328" s="2">
        <v>2493.75</v>
      </c>
    </row>
    <row r="5329" spans="1:8" x14ac:dyDescent="0.3">
      <c r="A5329" t="s">
        <v>2020</v>
      </c>
      <c r="B5329" t="s">
        <v>498</v>
      </c>
      <c r="C5329" t="s">
        <v>499</v>
      </c>
      <c r="D5329">
        <v>2017</v>
      </c>
      <c r="E5329" s="2">
        <v>125</v>
      </c>
      <c r="F5329" s="2">
        <v>11250</v>
      </c>
      <c r="G5329" s="2"/>
    </row>
    <row r="5330" spans="1:8" x14ac:dyDescent="0.3">
      <c r="A5330" t="s">
        <v>2020</v>
      </c>
      <c r="B5330" t="s">
        <v>498</v>
      </c>
      <c r="C5330" t="s">
        <v>499</v>
      </c>
      <c r="D5330">
        <v>2018</v>
      </c>
      <c r="E5330" s="2">
        <v>50</v>
      </c>
      <c r="F5330" s="2">
        <v>4500</v>
      </c>
      <c r="G5330" s="2">
        <v>4725</v>
      </c>
    </row>
    <row r="5331" spans="1:8" x14ac:dyDescent="0.3">
      <c r="A5331" t="s">
        <v>2020</v>
      </c>
      <c r="B5331" t="s">
        <v>498</v>
      </c>
      <c r="C5331" t="s">
        <v>499</v>
      </c>
      <c r="D5331">
        <v>2019</v>
      </c>
      <c r="E5331" s="2">
        <v>150</v>
      </c>
      <c r="F5331" s="2">
        <v>13250</v>
      </c>
      <c r="G5331" s="2">
        <v>13912.5</v>
      </c>
    </row>
    <row r="5332" spans="1:8" x14ac:dyDescent="0.3">
      <c r="A5332" t="s">
        <v>2020</v>
      </c>
      <c r="B5332" t="s">
        <v>498</v>
      </c>
      <c r="C5332" t="s">
        <v>499</v>
      </c>
      <c r="D5332">
        <v>2020</v>
      </c>
      <c r="E5332" s="2">
        <v>35</v>
      </c>
      <c r="F5332" s="2">
        <v>2975</v>
      </c>
      <c r="G5332" s="2">
        <v>3123.75</v>
      </c>
    </row>
    <row r="5333" spans="1:8" x14ac:dyDescent="0.3">
      <c r="A5333" t="s">
        <v>2020</v>
      </c>
      <c r="B5333" t="s">
        <v>203</v>
      </c>
      <c r="C5333" t="s">
        <v>204</v>
      </c>
      <c r="D5333">
        <v>2018</v>
      </c>
      <c r="E5333" s="2">
        <v>75</v>
      </c>
      <c r="F5333" s="2">
        <v>6375</v>
      </c>
      <c r="G5333" s="2">
        <v>6693.75</v>
      </c>
    </row>
    <row r="5334" spans="1:8" x14ac:dyDescent="0.3">
      <c r="A5334" t="s">
        <v>2020</v>
      </c>
      <c r="B5334" t="s">
        <v>203</v>
      </c>
      <c r="C5334" t="s">
        <v>204</v>
      </c>
      <c r="D5334">
        <v>2019</v>
      </c>
      <c r="E5334" s="2">
        <v>75</v>
      </c>
      <c r="F5334" s="2">
        <v>6125</v>
      </c>
      <c r="G5334" s="2">
        <v>6431.25</v>
      </c>
    </row>
    <row r="5335" spans="1:8" x14ac:dyDescent="0.3">
      <c r="A5335" t="s">
        <v>2020</v>
      </c>
      <c r="B5335" t="s">
        <v>679</v>
      </c>
      <c r="C5335" t="s">
        <v>680</v>
      </c>
      <c r="D5335">
        <v>2020</v>
      </c>
      <c r="E5335" s="2">
        <v>25</v>
      </c>
      <c r="F5335" s="2">
        <v>2125</v>
      </c>
      <c r="G5335" s="2">
        <v>2231.25</v>
      </c>
      <c r="H5335" s="3" t="s">
        <v>2024</v>
      </c>
    </row>
    <row r="5336" spans="1:8" x14ac:dyDescent="0.3">
      <c r="A5336" t="s">
        <v>2020</v>
      </c>
      <c r="B5336" t="s">
        <v>679</v>
      </c>
      <c r="C5336" t="s">
        <v>680</v>
      </c>
      <c r="D5336">
        <v>2021</v>
      </c>
      <c r="E5336" s="2">
        <v>25</v>
      </c>
      <c r="F5336" s="2">
        <v>2125</v>
      </c>
      <c r="G5336" s="2">
        <v>2231.25</v>
      </c>
      <c r="H5336" s="3" t="s">
        <v>2024</v>
      </c>
    </row>
    <row r="5337" spans="1:8" x14ac:dyDescent="0.3">
      <c r="A5337" t="s">
        <v>2020</v>
      </c>
      <c r="B5337" t="s">
        <v>1737</v>
      </c>
      <c r="C5337" t="s">
        <v>759</v>
      </c>
      <c r="D5337">
        <v>2016</v>
      </c>
      <c r="E5337" s="2">
        <v>5</v>
      </c>
      <c r="F5337" s="2">
        <v>375</v>
      </c>
      <c r="G5337" s="2"/>
    </row>
    <row r="5338" spans="1:8" x14ac:dyDescent="0.3">
      <c r="A5338" t="s">
        <v>2020</v>
      </c>
      <c r="B5338" t="s">
        <v>1737</v>
      </c>
      <c r="C5338" t="s">
        <v>759</v>
      </c>
      <c r="D5338">
        <v>2019</v>
      </c>
      <c r="E5338" s="2">
        <v>25</v>
      </c>
      <c r="F5338" s="2">
        <v>2125</v>
      </c>
      <c r="G5338" s="2">
        <v>2231.25</v>
      </c>
    </row>
    <row r="5339" spans="1:8" x14ac:dyDescent="0.3">
      <c r="A5339" t="s">
        <v>2025</v>
      </c>
      <c r="B5339" t="s">
        <v>1853</v>
      </c>
      <c r="C5339" t="s">
        <v>1854</v>
      </c>
      <c r="D5339">
        <v>2021</v>
      </c>
      <c r="E5339" s="2">
        <v>4</v>
      </c>
      <c r="F5339" s="2">
        <v>300</v>
      </c>
      <c r="G5339" s="2">
        <v>315</v>
      </c>
      <c r="H5339" s="3" t="s">
        <v>18</v>
      </c>
    </row>
    <row r="5340" spans="1:8" x14ac:dyDescent="0.3">
      <c r="A5340" t="s">
        <v>2025</v>
      </c>
      <c r="B5340" t="s">
        <v>1653</v>
      </c>
      <c r="C5340" t="s">
        <v>1654</v>
      </c>
      <c r="D5340">
        <v>2021</v>
      </c>
      <c r="E5340" s="2">
        <v>6</v>
      </c>
      <c r="F5340" s="2">
        <v>476</v>
      </c>
      <c r="G5340" s="2">
        <v>499.8</v>
      </c>
      <c r="H5340" s="3" t="s">
        <v>18</v>
      </c>
    </row>
    <row r="5341" spans="1:8" x14ac:dyDescent="0.3">
      <c r="A5341" t="s">
        <v>2025</v>
      </c>
      <c r="B5341" t="s">
        <v>518</v>
      </c>
      <c r="C5341" t="s">
        <v>519</v>
      </c>
      <c r="D5341">
        <v>2021</v>
      </c>
      <c r="E5341" s="2">
        <v>1</v>
      </c>
      <c r="F5341" s="2">
        <v>75</v>
      </c>
      <c r="G5341" s="2">
        <v>78.75</v>
      </c>
      <c r="H5341" s="3" t="s">
        <v>18</v>
      </c>
    </row>
    <row r="5342" spans="1:8" x14ac:dyDescent="0.3">
      <c r="A5342" t="s">
        <v>2025</v>
      </c>
      <c r="B5342" t="s">
        <v>679</v>
      </c>
      <c r="C5342" t="s">
        <v>680</v>
      </c>
      <c r="D5342">
        <v>2021</v>
      </c>
      <c r="E5342" s="2">
        <v>3</v>
      </c>
      <c r="F5342" s="2">
        <v>240</v>
      </c>
      <c r="G5342" s="2">
        <v>252</v>
      </c>
      <c r="H5342" s="3" t="s">
        <v>18</v>
      </c>
    </row>
    <row r="5343" spans="1:8" x14ac:dyDescent="0.3">
      <c r="A5343" t="s">
        <v>2026</v>
      </c>
      <c r="B5343" t="s">
        <v>2027</v>
      </c>
      <c r="C5343" t="s">
        <v>222</v>
      </c>
      <c r="D5343">
        <v>2019</v>
      </c>
      <c r="E5343" s="2">
        <v>1</v>
      </c>
      <c r="F5343" s="2">
        <v>220</v>
      </c>
      <c r="G5343" s="2">
        <v>231</v>
      </c>
    </row>
    <row r="5344" spans="1:8" x14ac:dyDescent="0.3">
      <c r="A5344" t="s">
        <v>2026</v>
      </c>
      <c r="B5344" t="s">
        <v>180</v>
      </c>
      <c r="C5344" t="s">
        <v>181</v>
      </c>
      <c r="D5344">
        <v>2019</v>
      </c>
      <c r="E5344" s="2">
        <v>1</v>
      </c>
      <c r="F5344" s="2">
        <v>170</v>
      </c>
      <c r="G5344" s="2">
        <v>178.5</v>
      </c>
    </row>
    <row r="5345" spans="1:7" x14ac:dyDescent="0.3">
      <c r="A5345" t="s">
        <v>2026</v>
      </c>
      <c r="B5345" t="s">
        <v>2028</v>
      </c>
      <c r="C5345" t="s">
        <v>57</v>
      </c>
      <c r="D5345">
        <v>2019</v>
      </c>
      <c r="E5345" s="2">
        <v>1</v>
      </c>
      <c r="F5345" s="2">
        <v>200</v>
      </c>
      <c r="G5345" s="2">
        <v>210</v>
      </c>
    </row>
    <row r="5346" spans="1:7" x14ac:dyDescent="0.3">
      <c r="A5346" t="s">
        <v>2026</v>
      </c>
      <c r="B5346" t="s">
        <v>103</v>
      </c>
      <c r="C5346" t="s">
        <v>104</v>
      </c>
      <c r="D5346">
        <v>2019</v>
      </c>
      <c r="E5346" s="2">
        <v>1</v>
      </c>
      <c r="F5346" s="2">
        <v>240</v>
      </c>
      <c r="G5346" s="2">
        <v>252</v>
      </c>
    </row>
    <row r="5347" spans="1:7" x14ac:dyDescent="0.3">
      <c r="A5347" t="s">
        <v>2026</v>
      </c>
      <c r="B5347" t="s">
        <v>1367</v>
      </c>
      <c r="C5347" t="s">
        <v>1368</v>
      </c>
      <c r="D5347">
        <v>2019</v>
      </c>
      <c r="E5347" s="2">
        <v>1</v>
      </c>
      <c r="F5347" s="2">
        <v>200</v>
      </c>
      <c r="G5347" s="2">
        <v>210</v>
      </c>
    </row>
    <row r="5348" spans="1:7" x14ac:dyDescent="0.3">
      <c r="A5348" t="s">
        <v>2026</v>
      </c>
      <c r="B5348" t="s">
        <v>935</v>
      </c>
      <c r="C5348" t="s">
        <v>613</v>
      </c>
      <c r="D5348">
        <v>2019</v>
      </c>
      <c r="E5348" s="2">
        <v>1</v>
      </c>
      <c r="F5348" s="2">
        <v>280</v>
      </c>
      <c r="G5348" s="2">
        <v>294</v>
      </c>
    </row>
    <row r="5349" spans="1:7" x14ac:dyDescent="0.3">
      <c r="A5349" t="s">
        <v>2026</v>
      </c>
      <c r="B5349" t="s">
        <v>163</v>
      </c>
      <c r="C5349" t="s">
        <v>2029</v>
      </c>
      <c r="D5349">
        <v>2019</v>
      </c>
      <c r="E5349" s="2">
        <v>1</v>
      </c>
      <c r="F5349" s="2">
        <v>180</v>
      </c>
      <c r="G5349" s="2">
        <v>189</v>
      </c>
    </row>
    <row r="5350" spans="1:7" x14ac:dyDescent="0.3">
      <c r="A5350" t="s">
        <v>2030</v>
      </c>
      <c r="B5350" t="s">
        <v>174</v>
      </c>
      <c r="C5350" t="s">
        <v>175</v>
      </c>
      <c r="D5350">
        <v>2016</v>
      </c>
      <c r="E5350" s="2">
        <v>25</v>
      </c>
      <c r="F5350" s="2">
        <v>1875</v>
      </c>
      <c r="G5350" s="2"/>
    </row>
    <row r="5351" spans="1:7" x14ac:dyDescent="0.3">
      <c r="A5351" t="s">
        <v>2030</v>
      </c>
      <c r="B5351" t="s">
        <v>2031</v>
      </c>
      <c r="C5351" t="s">
        <v>2032</v>
      </c>
      <c r="D5351">
        <v>2009</v>
      </c>
      <c r="E5351" s="2">
        <v>10</v>
      </c>
      <c r="F5351" s="2">
        <v>450</v>
      </c>
      <c r="G5351" s="2"/>
    </row>
    <row r="5352" spans="1:7" x14ac:dyDescent="0.3">
      <c r="A5352" t="s">
        <v>2030</v>
      </c>
      <c r="B5352" t="s">
        <v>557</v>
      </c>
      <c r="C5352" t="s">
        <v>212</v>
      </c>
      <c r="D5352">
        <v>2018</v>
      </c>
      <c r="E5352" s="2">
        <v>5</v>
      </c>
      <c r="F5352" s="2">
        <v>700</v>
      </c>
      <c r="G5352" s="2">
        <v>735</v>
      </c>
    </row>
    <row r="5353" spans="1:7" x14ac:dyDescent="0.3">
      <c r="A5353" t="s">
        <v>2030</v>
      </c>
      <c r="B5353" t="s">
        <v>696</v>
      </c>
      <c r="C5353" t="s">
        <v>697</v>
      </c>
      <c r="D5353">
        <v>2009</v>
      </c>
      <c r="E5353" s="2">
        <v>10</v>
      </c>
      <c r="F5353" s="2">
        <v>600</v>
      </c>
      <c r="G5353" s="2"/>
    </row>
    <row r="5354" spans="1:7" x14ac:dyDescent="0.3">
      <c r="A5354" t="s">
        <v>2030</v>
      </c>
      <c r="B5354" t="s">
        <v>696</v>
      </c>
      <c r="C5354" t="s">
        <v>697</v>
      </c>
      <c r="D5354">
        <v>2010</v>
      </c>
      <c r="E5354" s="2">
        <v>11</v>
      </c>
      <c r="F5354" s="2">
        <v>660</v>
      </c>
      <c r="G5354" s="2"/>
    </row>
    <row r="5355" spans="1:7" x14ac:dyDescent="0.3">
      <c r="A5355" t="s">
        <v>2030</v>
      </c>
      <c r="B5355" t="s">
        <v>1334</v>
      </c>
      <c r="C5355" t="s">
        <v>1335</v>
      </c>
      <c r="D5355">
        <v>2009</v>
      </c>
      <c r="E5355" s="2">
        <v>10</v>
      </c>
      <c r="F5355" s="2">
        <v>550</v>
      </c>
      <c r="G5355" s="2"/>
    </row>
    <row r="5356" spans="1:7" x14ac:dyDescent="0.3">
      <c r="A5356" t="s">
        <v>2030</v>
      </c>
      <c r="B5356" t="s">
        <v>1013</v>
      </c>
      <c r="C5356" t="s">
        <v>1014</v>
      </c>
      <c r="D5356">
        <v>2018</v>
      </c>
      <c r="E5356" s="2">
        <v>5</v>
      </c>
      <c r="F5356" s="2">
        <v>375</v>
      </c>
      <c r="G5356" s="2">
        <v>393.75</v>
      </c>
    </row>
    <row r="5357" spans="1:7" x14ac:dyDescent="0.3">
      <c r="A5357" t="s">
        <v>2030</v>
      </c>
      <c r="B5357" t="s">
        <v>288</v>
      </c>
      <c r="C5357" t="s">
        <v>289</v>
      </c>
      <c r="D5357">
        <v>2018</v>
      </c>
      <c r="E5357" s="2">
        <v>5</v>
      </c>
      <c r="F5357" s="2">
        <v>700</v>
      </c>
      <c r="G5357" s="2">
        <v>735</v>
      </c>
    </row>
    <row r="5358" spans="1:7" x14ac:dyDescent="0.3">
      <c r="A5358" t="s">
        <v>2030</v>
      </c>
      <c r="B5358" t="s">
        <v>734</v>
      </c>
      <c r="C5358" t="s">
        <v>735</v>
      </c>
      <c r="D5358">
        <v>2009</v>
      </c>
      <c r="E5358" s="2">
        <v>10</v>
      </c>
      <c r="F5358" s="2">
        <v>650</v>
      </c>
      <c r="G5358" s="2"/>
    </row>
    <row r="5359" spans="1:7" x14ac:dyDescent="0.3">
      <c r="A5359" t="s">
        <v>2030</v>
      </c>
      <c r="B5359" t="s">
        <v>461</v>
      </c>
      <c r="D5359">
        <v>2017</v>
      </c>
      <c r="E5359" s="2">
        <v>7</v>
      </c>
      <c r="F5359" s="2">
        <v>770</v>
      </c>
      <c r="G5359" s="2"/>
    </row>
    <row r="5360" spans="1:7" x14ac:dyDescent="0.3">
      <c r="A5360" t="s">
        <v>2030</v>
      </c>
      <c r="B5360" t="s">
        <v>643</v>
      </c>
      <c r="C5360" t="s">
        <v>644</v>
      </c>
      <c r="D5360">
        <v>2016</v>
      </c>
      <c r="E5360" s="2">
        <v>25</v>
      </c>
      <c r="F5360" s="2">
        <v>2125</v>
      </c>
      <c r="G5360" s="2"/>
    </row>
    <row r="5361" spans="1:7" x14ac:dyDescent="0.3">
      <c r="A5361" t="s">
        <v>2030</v>
      </c>
      <c r="B5361" t="s">
        <v>184</v>
      </c>
      <c r="C5361" t="s">
        <v>185</v>
      </c>
      <c r="D5361">
        <v>2010</v>
      </c>
      <c r="E5361" s="2">
        <v>24</v>
      </c>
      <c r="F5361" s="2">
        <v>1200</v>
      </c>
      <c r="G5361" s="2"/>
    </row>
    <row r="5362" spans="1:7" x14ac:dyDescent="0.3">
      <c r="A5362" t="s">
        <v>2030</v>
      </c>
      <c r="B5362" t="s">
        <v>184</v>
      </c>
      <c r="C5362" t="s">
        <v>185</v>
      </c>
      <c r="D5362">
        <v>2016</v>
      </c>
      <c r="E5362" s="2">
        <v>25</v>
      </c>
      <c r="F5362" s="2">
        <v>1500</v>
      </c>
      <c r="G5362" s="2"/>
    </row>
    <row r="5363" spans="1:7" x14ac:dyDescent="0.3">
      <c r="A5363" t="s">
        <v>2030</v>
      </c>
      <c r="B5363" t="s">
        <v>184</v>
      </c>
      <c r="C5363" t="s">
        <v>185</v>
      </c>
      <c r="D5363">
        <v>2018</v>
      </c>
      <c r="E5363" s="2">
        <v>50</v>
      </c>
      <c r="F5363" s="2">
        <v>3000</v>
      </c>
      <c r="G5363" s="2">
        <v>3150</v>
      </c>
    </row>
    <row r="5364" spans="1:7" x14ac:dyDescent="0.3">
      <c r="A5364" t="s">
        <v>2030</v>
      </c>
      <c r="B5364" t="s">
        <v>528</v>
      </c>
      <c r="C5364" t="s">
        <v>529</v>
      </c>
      <c r="D5364">
        <v>2019</v>
      </c>
      <c r="E5364" s="2">
        <v>11</v>
      </c>
      <c r="F5364" s="2">
        <v>935</v>
      </c>
      <c r="G5364" s="2">
        <v>981.75</v>
      </c>
    </row>
    <row r="5365" spans="1:7" x14ac:dyDescent="0.3">
      <c r="A5365" t="s">
        <v>2030</v>
      </c>
      <c r="B5365" t="s">
        <v>19</v>
      </c>
      <c r="C5365" t="s">
        <v>20</v>
      </c>
      <c r="D5365">
        <v>2009</v>
      </c>
      <c r="E5365" s="2">
        <v>10</v>
      </c>
      <c r="F5365" s="2">
        <v>650</v>
      </c>
      <c r="G5365" s="2"/>
    </row>
    <row r="5366" spans="1:7" x14ac:dyDescent="0.3">
      <c r="A5366" t="s">
        <v>2030</v>
      </c>
      <c r="B5366" t="s">
        <v>19</v>
      </c>
      <c r="C5366" t="s">
        <v>20</v>
      </c>
      <c r="D5366">
        <v>2010</v>
      </c>
      <c r="E5366" s="2">
        <v>9</v>
      </c>
      <c r="F5366" s="2">
        <v>585</v>
      </c>
      <c r="G5366" s="2"/>
    </row>
    <row r="5367" spans="1:7" x14ac:dyDescent="0.3">
      <c r="A5367" t="s">
        <v>2030</v>
      </c>
      <c r="B5367" t="s">
        <v>19</v>
      </c>
      <c r="C5367" t="s">
        <v>20</v>
      </c>
      <c r="D5367">
        <v>2018</v>
      </c>
      <c r="E5367" s="2">
        <v>100</v>
      </c>
      <c r="F5367" s="2">
        <v>7000</v>
      </c>
      <c r="G5367" s="2">
        <v>7350</v>
      </c>
    </row>
    <row r="5368" spans="1:7" x14ac:dyDescent="0.3">
      <c r="A5368" t="s">
        <v>2030</v>
      </c>
      <c r="B5368" t="s">
        <v>19</v>
      </c>
      <c r="C5368" t="s">
        <v>20</v>
      </c>
      <c r="D5368">
        <v>2019</v>
      </c>
      <c r="E5368" s="2">
        <v>50</v>
      </c>
      <c r="F5368" s="2">
        <v>3125</v>
      </c>
      <c r="G5368" s="2">
        <v>3281.25</v>
      </c>
    </row>
    <row r="5369" spans="1:7" x14ac:dyDescent="0.3">
      <c r="A5369" t="s">
        <v>2030</v>
      </c>
      <c r="B5369" t="s">
        <v>64</v>
      </c>
      <c r="C5369" t="s">
        <v>65</v>
      </c>
      <c r="D5369">
        <v>2009</v>
      </c>
      <c r="E5369" s="2">
        <v>10</v>
      </c>
      <c r="F5369" s="2">
        <v>450</v>
      </c>
      <c r="G5369" s="2"/>
    </row>
    <row r="5370" spans="1:7" x14ac:dyDescent="0.3">
      <c r="A5370" t="s">
        <v>2030</v>
      </c>
      <c r="B5370" t="s">
        <v>64</v>
      </c>
      <c r="C5370" t="s">
        <v>65</v>
      </c>
      <c r="D5370">
        <v>2010</v>
      </c>
      <c r="E5370" s="2">
        <v>25</v>
      </c>
      <c r="F5370" s="2">
        <v>1150</v>
      </c>
      <c r="G5370" s="2"/>
    </row>
    <row r="5371" spans="1:7" x14ac:dyDescent="0.3">
      <c r="A5371" t="s">
        <v>2030</v>
      </c>
      <c r="B5371" t="s">
        <v>64</v>
      </c>
      <c r="C5371" t="s">
        <v>65</v>
      </c>
      <c r="D5371">
        <v>2016</v>
      </c>
      <c r="E5371" s="2">
        <v>25</v>
      </c>
      <c r="F5371" s="2">
        <v>2000</v>
      </c>
      <c r="G5371" s="2"/>
    </row>
    <row r="5372" spans="1:7" x14ac:dyDescent="0.3">
      <c r="A5372" t="s">
        <v>2030</v>
      </c>
      <c r="B5372" t="s">
        <v>64</v>
      </c>
      <c r="C5372" t="s">
        <v>65</v>
      </c>
      <c r="D5372">
        <v>2019</v>
      </c>
      <c r="E5372" s="2">
        <v>10</v>
      </c>
      <c r="F5372" s="2">
        <v>800</v>
      </c>
      <c r="G5372" s="2">
        <v>840</v>
      </c>
    </row>
    <row r="5373" spans="1:7" x14ac:dyDescent="0.3">
      <c r="A5373" t="s">
        <v>2030</v>
      </c>
      <c r="B5373" t="s">
        <v>64</v>
      </c>
      <c r="C5373" t="s">
        <v>65</v>
      </c>
      <c r="D5373">
        <v>2020</v>
      </c>
      <c r="E5373" s="2">
        <v>193</v>
      </c>
      <c r="F5373" s="2">
        <v>15054</v>
      </c>
      <c r="G5373" s="2">
        <v>15806.7</v>
      </c>
    </row>
    <row r="5374" spans="1:7" x14ac:dyDescent="0.3">
      <c r="A5374" t="s">
        <v>2030</v>
      </c>
      <c r="B5374" t="s">
        <v>21</v>
      </c>
      <c r="C5374" t="s">
        <v>22</v>
      </c>
      <c r="D5374">
        <v>2010</v>
      </c>
      <c r="E5374" s="2">
        <v>91</v>
      </c>
      <c r="F5374" s="2">
        <v>4386</v>
      </c>
      <c r="G5374" s="2"/>
    </row>
    <row r="5375" spans="1:7" x14ac:dyDescent="0.3">
      <c r="A5375" t="s">
        <v>2030</v>
      </c>
      <c r="B5375" t="s">
        <v>21</v>
      </c>
      <c r="C5375" t="s">
        <v>22</v>
      </c>
      <c r="D5375">
        <v>2018</v>
      </c>
      <c r="E5375" s="2">
        <v>100</v>
      </c>
      <c r="F5375" s="2">
        <v>7500</v>
      </c>
      <c r="G5375" s="2">
        <v>7875</v>
      </c>
    </row>
    <row r="5376" spans="1:7" x14ac:dyDescent="0.3">
      <c r="A5376" t="s">
        <v>2030</v>
      </c>
      <c r="B5376" t="s">
        <v>21</v>
      </c>
      <c r="C5376" t="s">
        <v>22</v>
      </c>
      <c r="D5376">
        <v>2019</v>
      </c>
      <c r="E5376" s="2">
        <v>75</v>
      </c>
      <c r="F5376" s="2">
        <v>5625</v>
      </c>
      <c r="G5376" s="2">
        <v>5906.25</v>
      </c>
    </row>
    <row r="5377" spans="1:7" x14ac:dyDescent="0.3">
      <c r="A5377" t="s">
        <v>2030</v>
      </c>
      <c r="B5377" t="s">
        <v>110</v>
      </c>
      <c r="C5377" t="s">
        <v>111</v>
      </c>
      <c r="D5377">
        <v>2017</v>
      </c>
      <c r="E5377" s="2">
        <v>50</v>
      </c>
      <c r="F5377" s="2">
        <v>2750</v>
      </c>
      <c r="G5377" s="2"/>
    </row>
    <row r="5378" spans="1:7" x14ac:dyDescent="0.3">
      <c r="A5378" t="s">
        <v>2030</v>
      </c>
      <c r="B5378" t="s">
        <v>110</v>
      </c>
      <c r="C5378" t="s">
        <v>111</v>
      </c>
      <c r="D5378">
        <v>2018</v>
      </c>
      <c r="E5378" s="2">
        <v>25</v>
      </c>
      <c r="F5378" s="2">
        <v>1375</v>
      </c>
      <c r="G5378" s="2">
        <v>1443.75</v>
      </c>
    </row>
    <row r="5379" spans="1:7" x14ac:dyDescent="0.3">
      <c r="A5379" t="s">
        <v>2030</v>
      </c>
      <c r="B5379" t="s">
        <v>777</v>
      </c>
      <c r="C5379" t="s">
        <v>63</v>
      </c>
      <c r="D5379">
        <v>2016</v>
      </c>
      <c r="E5379" s="2">
        <v>25</v>
      </c>
      <c r="F5379" s="2">
        <v>1450</v>
      </c>
      <c r="G5379" s="2"/>
    </row>
    <row r="5380" spans="1:7" x14ac:dyDescent="0.3">
      <c r="A5380" t="s">
        <v>2030</v>
      </c>
      <c r="B5380" t="s">
        <v>777</v>
      </c>
      <c r="C5380" t="s">
        <v>63</v>
      </c>
      <c r="D5380">
        <v>2020</v>
      </c>
      <c r="E5380" s="2">
        <v>300</v>
      </c>
      <c r="F5380" s="2">
        <v>23400</v>
      </c>
      <c r="G5380" s="2">
        <v>24570</v>
      </c>
    </row>
    <row r="5381" spans="1:7" x14ac:dyDescent="0.3">
      <c r="A5381" t="s">
        <v>2030</v>
      </c>
      <c r="B5381" t="s">
        <v>573</v>
      </c>
      <c r="C5381" t="s">
        <v>574</v>
      </c>
      <c r="D5381">
        <v>2016</v>
      </c>
      <c r="E5381" s="2">
        <v>25</v>
      </c>
      <c r="F5381" s="2">
        <v>2125</v>
      </c>
      <c r="G5381" s="2"/>
    </row>
    <row r="5382" spans="1:7" x14ac:dyDescent="0.3">
      <c r="A5382" t="s">
        <v>2030</v>
      </c>
      <c r="B5382" t="s">
        <v>404</v>
      </c>
      <c r="C5382" t="s">
        <v>405</v>
      </c>
      <c r="D5382">
        <v>2018</v>
      </c>
      <c r="E5382" s="2">
        <v>5</v>
      </c>
      <c r="F5382" s="2">
        <v>500</v>
      </c>
      <c r="G5382" s="2">
        <v>525</v>
      </c>
    </row>
    <row r="5383" spans="1:7" x14ac:dyDescent="0.3">
      <c r="A5383" t="s">
        <v>2030</v>
      </c>
      <c r="B5383" t="s">
        <v>1104</v>
      </c>
      <c r="C5383" t="s">
        <v>1105</v>
      </c>
      <c r="D5383">
        <v>2020</v>
      </c>
      <c r="E5383" s="2">
        <v>50</v>
      </c>
      <c r="F5383" s="2">
        <v>5500</v>
      </c>
      <c r="G5383" s="2">
        <v>5775</v>
      </c>
    </row>
    <row r="5384" spans="1:7" x14ac:dyDescent="0.3">
      <c r="A5384" t="s">
        <v>2030</v>
      </c>
      <c r="B5384" t="s">
        <v>473</v>
      </c>
      <c r="C5384" t="s">
        <v>2033</v>
      </c>
      <c r="D5384">
        <v>2010</v>
      </c>
      <c r="E5384" s="2">
        <v>18</v>
      </c>
      <c r="F5384" s="2">
        <v>1080</v>
      </c>
      <c r="G5384" s="2"/>
    </row>
    <row r="5385" spans="1:7" x14ac:dyDescent="0.3">
      <c r="A5385" t="s">
        <v>2030</v>
      </c>
      <c r="B5385" t="s">
        <v>473</v>
      </c>
      <c r="C5385" t="s">
        <v>747</v>
      </c>
      <c r="D5385">
        <v>2018</v>
      </c>
      <c r="E5385" s="2">
        <v>50</v>
      </c>
      <c r="F5385" s="2">
        <v>2900</v>
      </c>
      <c r="G5385" s="2">
        <v>3045</v>
      </c>
    </row>
    <row r="5386" spans="1:7" x14ac:dyDescent="0.3">
      <c r="A5386" t="s">
        <v>2030</v>
      </c>
      <c r="B5386" t="s">
        <v>438</v>
      </c>
      <c r="C5386" t="s">
        <v>439</v>
      </c>
      <c r="D5386">
        <v>2017</v>
      </c>
      <c r="E5386" s="2">
        <v>125</v>
      </c>
      <c r="F5386" s="2">
        <v>7250</v>
      </c>
      <c r="G5386" s="2"/>
    </row>
    <row r="5387" spans="1:7" x14ac:dyDescent="0.3">
      <c r="A5387" t="s">
        <v>2030</v>
      </c>
      <c r="B5387" t="s">
        <v>438</v>
      </c>
      <c r="C5387" t="s">
        <v>439</v>
      </c>
      <c r="D5387">
        <v>2018</v>
      </c>
      <c r="E5387" s="2">
        <v>75</v>
      </c>
      <c r="F5387" s="2">
        <v>4350</v>
      </c>
      <c r="G5387" s="2">
        <v>4567.5</v>
      </c>
    </row>
    <row r="5388" spans="1:7" x14ac:dyDescent="0.3">
      <c r="A5388" t="s">
        <v>2030</v>
      </c>
      <c r="B5388" t="s">
        <v>438</v>
      </c>
      <c r="C5388" t="s">
        <v>439</v>
      </c>
      <c r="D5388">
        <v>2019</v>
      </c>
      <c r="E5388" s="2">
        <v>50</v>
      </c>
      <c r="F5388" s="2">
        <v>3500</v>
      </c>
      <c r="G5388" s="2">
        <v>3675</v>
      </c>
    </row>
    <row r="5389" spans="1:7" x14ac:dyDescent="0.3">
      <c r="A5389" t="s">
        <v>2030</v>
      </c>
      <c r="B5389" t="s">
        <v>438</v>
      </c>
      <c r="C5389" t="s">
        <v>439</v>
      </c>
      <c r="D5389">
        <v>2020</v>
      </c>
      <c r="E5389" s="2">
        <v>25</v>
      </c>
      <c r="F5389" s="2">
        <v>1750</v>
      </c>
      <c r="G5389" s="2">
        <v>1837.5</v>
      </c>
    </row>
    <row r="5390" spans="1:7" x14ac:dyDescent="0.3">
      <c r="A5390" t="s">
        <v>2030</v>
      </c>
      <c r="B5390" t="s">
        <v>1450</v>
      </c>
      <c r="C5390" t="s">
        <v>1451</v>
      </c>
      <c r="D5390">
        <v>2010</v>
      </c>
      <c r="E5390" s="2">
        <v>25</v>
      </c>
      <c r="F5390" s="2">
        <v>1625</v>
      </c>
      <c r="G5390" s="2"/>
    </row>
    <row r="5391" spans="1:7" x14ac:dyDescent="0.3">
      <c r="A5391" t="s">
        <v>2030</v>
      </c>
      <c r="B5391" t="s">
        <v>314</v>
      </c>
      <c r="C5391" t="s">
        <v>315</v>
      </c>
      <c r="D5391">
        <v>2010</v>
      </c>
      <c r="E5391" s="2">
        <v>15</v>
      </c>
      <c r="F5391" s="2">
        <v>870</v>
      </c>
      <c r="G5391" s="2"/>
    </row>
    <row r="5392" spans="1:7" x14ac:dyDescent="0.3">
      <c r="A5392" t="s">
        <v>2030</v>
      </c>
      <c r="B5392" t="s">
        <v>314</v>
      </c>
      <c r="C5392" t="s">
        <v>475</v>
      </c>
      <c r="D5392">
        <v>2016</v>
      </c>
      <c r="E5392" s="2">
        <v>25</v>
      </c>
      <c r="F5392" s="2">
        <v>1750</v>
      </c>
      <c r="G5392" s="2"/>
    </row>
    <row r="5393" spans="1:8" x14ac:dyDescent="0.3">
      <c r="A5393" t="s">
        <v>2030</v>
      </c>
      <c r="B5393" t="s">
        <v>708</v>
      </c>
      <c r="C5393" t="s">
        <v>477</v>
      </c>
      <c r="D5393">
        <v>2018</v>
      </c>
      <c r="E5393" s="2">
        <v>25</v>
      </c>
      <c r="F5393" s="2">
        <v>1750</v>
      </c>
      <c r="G5393" s="2">
        <v>1837.5</v>
      </c>
    </row>
    <row r="5394" spans="1:8" x14ac:dyDescent="0.3">
      <c r="A5394" t="s">
        <v>2030</v>
      </c>
      <c r="B5394" t="s">
        <v>750</v>
      </c>
      <c r="C5394" t="s">
        <v>751</v>
      </c>
      <c r="D5394">
        <v>2017</v>
      </c>
      <c r="E5394" s="2">
        <v>25</v>
      </c>
      <c r="F5394" s="2">
        <v>1875</v>
      </c>
      <c r="G5394" s="2"/>
    </row>
    <row r="5395" spans="1:8" x14ac:dyDescent="0.3">
      <c r="A5395" t="s">
        <v>2030</v>
      </c>
      <c r="B5395" t="s">
        <v>656</v>
      </c>
      <c r="C5395" t="s">
        <v>71</v>
      </c>
      <c r="D5395">
        <v>2018</v>
      </c>
      <c r="E5395" s="2">
        <v>5</v>
      </c>
      <c r="F5395" s="2">
        <v>600</v>
      </c>
      <c r="G5395" s="2">
        <v>630</v>
      </c>
    </row>
    <row r="5396" spans="1:8" x14ac:dyDescent="0.3">
      <c r="A5396" t="s">
        <v>2030</v>
      </c>
      <c r="B5396" t="s">
        <v>656</v>
      </c>
      <c r="C5396" t="s">
        <v>71</v>
      </c>
      <c r="D5396">
        <v>2019</v>
      </c>
      <c r="E5396" s="2">
        <v>10</v>
      </c>
      <c r="F5396" s="2">
        <v>1200</v>
      </c>
      <c r="G5396" s="2">
        <v>1260</v>
      </c>
    </row>
    <row r="5397" spans="1:8" x14ac:dyDescent="0.3">
      <c r="A5397" t="s">
        <v>2030</v>
      </c>
      <c r="B5397" t="s">
        <v>1109</v>
      </c>
      <c r="C5397" t="s">
        <v>1026</v>
      </c>
      <c r="D5397">
        <v>2018</v>
      </c>
      <c r="E5397" s="2">
        <v>5</v>
      </c>
      <c r="F5397" s="2">
        <v>500</v>
      </c>
      <c r="G5397" s="2">
        <v>525</v>
      </c>
    </row>
    <row r="5398" spans="1:8" x14ac:dyDescent="0.3">
      <c r="A5398" t="s">
        <v>2030</v>
      </c>
      <c r="B5398" t="s">
        <v>1109</v>
      </c>
      <c r="C5398" t="s">
        <v>1026</v>
      </c>
      <c r="D5398">
        <v>2019</v>
      </c>
      <c r="E5398" s="2">
        <v>10</v>
      </c>
      <c r="F5398" s="2">
        <v>1000</v>
      </c>
      <c r="G5398" s="2">
        <v>1050</v>
      </c>
    </row>
    <row r="5399" spans="1:8" x14ac:dyDescent="0.3">
      <c r="A5399" t="s">
        <v>2030</v>
      </c>
      <c r="B5399" t="s">
        <v>46</v>
      </c>
      <c r="C5399" t="s">
        <v>47</v>
      </c>
      <c r="D5399">
        <v>2017</v>
      </c>
      <c r="E5399" s="2">
        <v>100</v>
      </c>
      <c r="F5399" s="2">
        <v>7900</v>
      </c>
      <c r="G5399" s="2"/>
    </row>
    <row r="5400" spans="1:8" x14ac:dyDescent="0.3">
      <c r="A5400" t="s">
        <v>2030</v>
      </c>
      <c r="B5400" t="s">
        <v>46</v>
      </c>
      <c r="C5400" t="s">
        <v>47</v>
      </c>
      <c r="D5400">
        <v>2018</v>
      </c>
      <c r="E5400" s="2">
        <v>25</v>
      </c>
      <c r="F5400" s="2">
        <v>2000</v>
      </c>
      <c r="G5400" s="2">
        <v>2100</v>
      </c>
    </row>
    <row r="5401" spans="1:8" x14ac:dyDescent="0.3">
      <c r="A5401" t="s">
        <v>2030</v>
      </c>
      <c r="B5401" t="s">
        <v>657</v>
      </c>
      <c r="C5401" t="s">
        <v>658</v>
      </c>
      <c r="D5401">
        <v>2018</v>
      </c>
      <c r="E5401" s="2">
        <v>5</v>
      </c>
      <c r="F5401" s="2">
        <v>440</v>
      </c>
      <c r="G5401" s="2">
        <v>462</v>
      </c>
    </row>
    <row r="5402" spans="1:8" x14ac:dyDescent="0.3">
      <c r="A5402" t="s">
        <v>2030</v>
      </c>
      <c r="B5402" t="s">
        <v>37</v>
      </c>
      <c r="D5402">
        <v>2019</v>
      </c>
      <c r="E5402" s="2">
        <v>2</v>
      </c>
      <c r="F5402" s="2">
        <v>140</v>
      </c>
      <c r="G5402" s="2">
        <v>147</v>
      </c>
    </row>
    <row r="5403" spans="1:8" x14ac:dyDescent="0.3">
      <c r="A5403" t="s">
        <v>2030</v>
      </c>
      <c r="B5403" t="s">
        <v>498</v>
      </c>
      <c r="C5403" t="s">
        <v>499</v>
      </c>
      <c r="D5403">
        <v>2018</v>
      </c>
      <c r="E5403" s="2">
        <v>5</v>
      </c>
      <c r="F5403" s="2">
        <v>500</v>
      </c>
      <c r="G5403" s="2">
        <v>525</v>
      </c>
    </row>
    <row r="5404" spans="1:8" x14ac:dyDescent="0.3">
      <c r="A5404" t="s">
        <v>2030</v>
      </c>
      <c r="B5404" t="s">
        <v>498</v>
      </c>
      <c r="C5404" t="s">
        <v>499</v>
      </c>
      <c r="D5404">
        <v>2019</v>
      </c>
      <c r="E5404" s="2">
        <v>10</v>
      </c>
      <c r="F5404" s="2">
        <v>1000</v>
      </c>
      <c r="G5404" s="2">
        <v>1050</v>
      </c>
    </row>
    <row r="5405" spans="1:8" x14ac:dyDescent="0.3">
      <c r="A5405" t="s">
        <v>2030</v>
      </c>
      <c r="B5405" t="s">
        <v>1737</v>
      </c>
      <c r="C5405" t="s">
        <v>759</v>
      </c>
      <c r="D5405">
        <v>2017</v>
      </c>
      <c r="E5405" s="2">
        <v>25</v>
      </c>
      <c r="F5405" s="2">
        <v>2250</v>
      </c>
      <c r="G5405" s="2"/>
    </row>
    <row r="5406" spans="1:8" x14ac:dyDescent="0.3">
      <c r="A5406" t="s">
        <v>2034</v>
      </c>
      <c r="B5406" t="s">
        <v>2035</v>
      </c>
      <c r="C5406" t="s">
        <v>2036</v>
      </c>
      <c r="D5406">
        <v>2021</v>
      </c>
      <c r="E5406" s="2">
        <v>10</v>
      </c>
      <c r="F5406" s="2">
        <v>800</v>
      </c>
      <c r="G5406" s="2">
        <v>840</v>
      </c>
      <c r="H5406" s="3" t="s">
        <v>374</v>
      </c>
    </row>
    <row r="5407" spans="1:8" x14ac:dyDescent="0.3">
      <c r="A5407" t="s">
        <v>2034</v>
      </c>
      <c r="B5407" t="s">
        <v>151</v>
      </c>
      <c r="C5407" t="s">
        <v>152</v>
      </c>
      <c r="D5407">
        <v>2021</v>
      </c>
      <c r="E5407" s="2">
        <v>10</v>
      </c>
      <c r="F5407" s="2">
        <v>800</v>
      </c>
      <c r="G5407" s="2">
        <v>840</v>
      </c>
      <c r="H5407" s="3" t="s">
        <v>2037</v>
      </c>
    </row>
    <row r="5408" spans="1:8" x14ac:dyDescent="0.3">
      <c r="A5408" t="s">
        <v>2034</v>
      </c>
      <c r="B5408" t="s">
        <v>1737</v>
      </c>
      <c r="C5408" t="s">
        <v>759</v>
      </c>
      <c r="D5408">
        <v>2021</v>
      </c>
      <c r="E5408" s="2">
        <v>50</v>
      </c>
      <c r="F5408" s="2">
        <v>2500</v>
      </c>
      <c r="G5408" s="2">
        <v>2625</v>
      </c>
      <c r="H5408" s="3" t="s">
        <v>18</v>
      </c>
    </row>
    <row r="5409" spans="1:7" x14ac:dyDescent="0.3">
      <c r="A5409" t="s">
        <v>2038</v>
      </c>
      <c r="B5409" t="s">
        <v>671</v>
      </c>
      <c r="C5409" t="s">
        <v>672</v>
      </c>
      <c r="D5409">
        <v>2020</v>
      </c>
      <c r="E5409" s="2">
        <v>5</v>
      </c>
      <c r="F5409" s="2">
        <v>400</v>
      </c>
      <c r="G5409" s="2">
        <v>420</v>
      </c>
    </row>
    <row r="5410" spans="1:7" x14ac:dyDescent="0.3">
      <c r="A5410" t="s">
        <v>2038</v>
      </c>
      <c r="B5410" t="s">
        <v>674</v>
      </c>
      <c r="C5410" t="s">
        <v>675</v>
      </c>
      <c r="D5410">
        <v>2020</v>
      </c>
      <c r="E5410" s="2">
        <v>5</v>
      </c>
      <c r="F5410" s="2">
        <v>350</v>
      </c>
      <c r="G5410" s="2">
        <v>367.5</v>
      </c>
    </row>
    <row r="5411" spans="1:7" x14ac:dyDescent="0.3">
      <c r="A5411" t="s">
        <v>2039</v>
      </c>
      <c r="B5411" t="s">
        <v>665</v>
      </c>
      <c r="D5411">
        <v>2020</v>
      </c>
      <c r="E5411" s="2">
        <v>1</v>
      </c>
      <c r="F5411" s="2">
        <v>125</v>
      </c>
      <c r="G5411" s="2">
        <v>131.25</v>
      </c>
    </row>
    <row r="5412" spans="1:7" x14ac:dyDescent="0.3">
      <c r="A5412" t="s">
        <v>2039</v>
      </c>
      <c r="B5412" t="s">
        <v>34</v>
      </c>
      <c r="D5412">
        <v>2020</v>
      </c>
      <c r="E5412" s="2">
        <v>1</v>
      </c>
      <c r="F5412" s="2">
        <v>100</v>
      </c>
      <c r="G5412" s="2">
        <v>105</v>
      </c>
    </row>
    <row r="5413" spans="1:7" x14ac:dyDescent="0.3">
      <c r="A5413" t="s">
        <v>2039</v>
      </c>
      <c r="B5413" t="s">
        <v>453</v>
      </c>
      <c r="D5413">
        <v>2020</v>
      </c>
      <c r="E5413" s="2">
        <v>1</v>
      </c>
      <c r="F5413" s="2">
        <v>90</v>
      </c>
      <c r="G5413" s="2">
        <v>94.5</v>
      </c>
    </row>
    <row r="5414" spans="1:7" x14ac:dyDescent="0.3">
      <c r="A5414" t="s">
        <v>2039</v>
      </c>
      <c r="B5414" t="s">
        <v>461</v>
      </c>
      <c r="D5414">
        <v>2020</v>
      </c>
      <c r="E5414" s="2">
        <v>1</v>
      </c>
      <c r="F5414" s="2">
        <v>100</v>
      </c>
      <c r="G5414" s="2">
        <v>105</v>
      </c>
    </row>
    <row r="5415" spans="1:7" x14ac:dyDescent="0.3">
      <c r="A5415" t="s">
        <v>2039</v>
      </c>
      <c r="B5415" t="s">
        <v>36</v>
      </c>
      <c r="D5415">
        <v>2020</v>
      </c>
      <c r="E5415" s="2">
        <v>1</v>
      </c>
      <c r="F5415" s="2">
        <v>95</v>
      </c>
      <c r="G5415" s="2">
        <v>99.75</v>
      </c>
    </row>
    <row r="5416" spans="1:7" x14ac:dyDescent="0.3">
      <c r="A5416" t="s">
        <v>2039</v>
      </c>
      <c r="B5416" t="s">
        <v>599</v>
      </c>
      <c r="C5416" t="s">
        <v>413</v>
      </c>
      <c r="D5416">
        <v>2019</v>
      </c>
      <c r="E5416" s="2">
        <v>10</v>
      </c>
      <c r="F5416" s="2">
        <v>2400</v>
      </c>
      <c r="G5416" s="2">
        <v>2520</v>
      </c>
    </row>
    <row r="5417" spans="1:7" x14ac:dyDescent="0.3">
      <c r="A5417" t="s">
        <v>2039</v>
      </c>
      <c r="B5417" t="s">
        <v>584</v>
      </c>
      <c r="C5417" t="s">
        <v>413</v>
      </c>
      <c r="D5417">
        <v>2018</v>
      </c>
      <c r="E5417" s="2">
        <v>5</v>
      </c>
      <c r="F5417" s="2">
        <v>1200</v>
      </c>
      <c r="G5417" s="2">
        <v>1260</v>
      </c>
    </row>
    <row r="5418" spans="1:7" x14ac:dyDescent="0.3">
      <c r="A5418" t="s">
        <v>2039</v>
      </c>
      <c r="B5418" t="s">
        <v>318</v>
      </c>
      <c r="C5418" t="s">
        <v>319</v>
      </c>
      <c r="D5418">
        <v>2019</v>
      </c>
      <c r="E5418" s="2">
        <v>15</v>
      </c>
      <c r="F5418" s="2">
        <v>2700</v>
      </c>
      <c r="G5418" s="2">
        <v>2835</v>
      </c>
    </row>
    <row r="5419" spans="1:7" x14ac:dyDescent="0.3">
      <c r="A5419" t="s">
        <v>2039</v>
      </c>
      <c r="B5419" t="s">
        <v>320</v>
      </c>
      <c r="C5419" t="s">
        <v>414</v>
      </c>
      <c r="D5419">
        <v>2018</v>
      </c>
      <c r="E5419" s="2">
        <v>5</v>
      </c>
      <c r="F5419" s="2">
        <v>1200</v>
      </c>
      <c r="G5419" s="2">
        <v>1260</v>
      </c>
    </row>
    <row r="5420" spans="1:7" x14ac:dyDescent="0.3">
      <c r="A5420" t="s">
        <v>2039</v>
      </c>
      <c r="B5420" t="s">
        <v>37</v>
      </c>
      <c r="D5420">
        <v>2020</v>
      </c>
      <c r="E5420" s="2">
        <v>1</v>
      </c>
      <c r="F5420" s="2">
        <v>80</v>
      </c>
      <c r="G5420" s="2">
        <v>84</v>
      </c>
    </row>
    <row r="5421" spans="1:7" x14ac:dyDescent="0.3">
      <c r="A5421" t="s">
        <v>2040</v>
      </c>
      <c r="B5421" t="s">
        <v>153</v>
      </c>
      <c r="C5421" t="s">
        <v>154</v>
      </c>
      <c r="D5421">
        <v>2019</v>
      </c>
      <c r="E5421" s="2">
        <v>6</v>
      </c>
      <c r="F5421" s="2">
        <v>1380</v>
      </c>
      <c r="G5421" s="2">
        <v>1449</v>
      </c>
    </row>
    <row r="5422" spans="1:7" x14ac:dyDescent="0.3">
      <c r="A5422" t="s">
        <v>2040</v>
      </c>
      <c r="B5422" t="s">
        <v>153</v>
      </c>
      <c r="C5422" t="s">
        <v>154</v>
      </c>
      <c r="D5422">
        <v>2020</v>
      </c>
      <c r="E5422" s="2">
        <v>10</v>
      </c>
      <c r="F5422" s="2">
        <v>2300</v>
      </c>
      <c r="G5422" s="2">
        <v>2415</v>
      </c>
    </row>
    <row r="5423" spans="1:7" x14ac:dyDescent="0.3">
      <c r="A5423" t="s">
        <v>2041</v>
      </c>
      <c r="B5423" t="s">
        <v>41</v>
      </c>
      <c r="C5423" t="s">
        <v>42</v>
      </c>
      <c r="D5423">
        <v>2012</v>
      </c>
      <c r="E5423" s="2">
        <v>750</v>
      </c>
      <c r="F5423" s="2">
        <v>47400</v>
      </c>
      <c r="G5423" s="2"/>
    </row>
    <row r="5424" spans="1:7" x14ac:dyDescent="0.3">
      <c r="A5424" t="s">
        <v>2041</v>
      </c>
      <c r="B5424" t="s">
        <v>45</v>
      </c>
      <c r="D5424">
        <v>2013</v>
      </c>
      <c r="E5424" s="2">
        <v>20</v>
      </c>
      <c r="F5424" s="2">
        <v>1760</v>
      </c>
      <c r="G5424" s="2"/>
    </row>
    <row r="5425" spans="1:7" x14ac:dyDescent="0.3">
      <c r="A5425" t="s">
        <v>2041</v>
      </c>
      <c r="B5425" t="s">
        <v>45</v>
      </c>
      <c r="D5425">
        <v>2014</v>
      </c>
      <c r="E5425" s="2">
        <v>48.868000000000002</v>
      </c>
      <c r="F5425" s="2">
        <v>4495.8599999999997</v>
      </c>
      <c r="G5425" s="2"/>
    </row>
    <row r="5426" spans="1:7" x14ac:dyDescent="0.3">
      <c r="A5426" t="s">
        <v>2041</v>
      </c>
      <c r="B5426" t="s">
        <v>863</v>
      </c>
      <c r="D5426">
        <v>2012</v>
      </c>
      <c r="E5426" s="2">
        <v>20</v>
      </c>
      <c r="F5426" s="2">
        <v>1800</v>
      </c>
      <c r="G5426" s="2"/>
    </row>
    <row r="5427" spans="1:7" x14ac:dyDescent="0.3">
      <c r="A5427" t="s">
        <v>2041</v>
      </c>
      <c r="B5427" t="s">
        <v>863</v>
      </c>
      <c r="D5427">
        <v>2014</v>
      </c>
      <c r="E5427" s="2">
        <v>20</v>
      </c>
      <c r="F5427" s="2">
        <v>1920</v>
      </c>
      <c r="G5427" s="2"/>
    </row>
    <row r="5428" spans="1:7" x14ac:dyDescent="0.3">
      <c r="A5428" t="s">
        <v>2041</v>
      </c>
      <c r="B5428" t="s">
        <v>863</v>
      </c>
      <c r="D5428">
        <v>2015</v>
      </c>
      <c r="E5428" s="2">
        <v>60</v>
      </c>
      <c r="F5428" s="2">
        <v>5760</v>
      </c>
      <c r="G5428" s="2"/>
    </row>
    <row r="5429" spans="1:7" x14ac:dyDescent="0.3">
      <c r="A5429" t="s">
        <v>2041</v>
      </c>
      <c r="B5429" t="s">
        <v>863</v>
      </c>
      <c r="D5429">
        <v>2018</v>
      </c>
      <c r="E5429" s="2">
        <v>20</v>
      </c>
      <c r="F5429" s="2">
        <v>2000</v>
      </c>
      <c r="G5429" s="2">
        <v>2100</v>
      </c>
    </row>
    <row r="5430" spans="1:7" x14ac:dyDescent="0.3">
      <c r="A5430" t="s">
        <v>2041</v>
      </c>
      <c r="B5430" t="s">
        <v>240</v>
      </c>
      <c r="D5430">
        <v>2013</v>
      </c>
      <c r="E5430" s="2">
        <v>20</v>
      </c>
      <c r="F5430" s="2">
        <v>1760</v>
      </c>
      <c r="G5430" s="2"/>
    </row>
    <row r="5431" spans="1:7" x14ac:dyDescent="0.3">
      <c r="A5431" t="s">
        <v>2041</v>
      </c>
      <c r="B5431" t="s">
        <v>240</v>
      </c>
      <c r="D5431">
        <v>2014</v>
      </c>
      <c r="E5431" s="2">
        <v>40</v>
      </c>
      <c r="F5431" s="2">
        <v>3680</v>
      </c>
      <c r="G5431" s="2"/>
    </row>
    <row r="5432" spans="1:7" x14ac:dyDescent="0.3">
      <c r="A5432" t="s">
        <v>2041</v>
      </c>
      <c r="B5432" t="s">
        <v>32</v>
      </c>
      <c r="D5432">
        <v>2013</v>
      </c>
      <c r="E5432" s="2">
        <v>60</v>
      </c>
      <c r="F5432" s="2">
        <v>5280</v>
      </c>
      <c r="G5432" s="2"/>
    </row>
    <row r="5433" spans="1:7" x14ac:dyDescent="0.3">
      <c r="A5433" t="s">
        <v>2041</v>
      </c>
      <c r="B5433" t="s">
        <v>32</v>
      </c>
      <c r="D5433">
        <v>2014</v>
      </c>
      <c r="E5433" s="2">
        <v>60</v>
      </c>
      <c r="F5433" s="2">
        <v>5520</v>
      </c>
      <c r="G5433" s="2"/>
    </row>
    <row r="5434" spans="1:7" x14ac:dyDescent="0.3">
      <c r="A5434" t="s">
        <v>2041</v>
      </c>
      <c r="B5434" t="s">
        <v>32</v>
      </c>
      <c r="D5434">
        <v>2015</v>
      </c>
      <c r="E5434" s="2">
        <v>60</v>
      </c>
      <c r="F5434" s="2">
        <v>5520</v>
      </c>
      <c r="G5434" s="2"/>
    </row>
    <row r="5435" spans="1:7" x14ac:dyDescent="0.3">
      <c r="A5435" t="s">
        <v>2041</v>
      </c>
      <c r="B5435" t="s">
        <v>46</v>
      </c>
      <c r="C5435" t="s">
        <v>47</v>
      </c>
      <c r="D5435">
        <v>2012</v>
      </c>
      <c r="E5435" s="2">
        <v>750</v>
      </c>
      <c r="F5435" s="2">
        <v>49600</v>
      </c>
      <c r="G5435" s="2"/>
    </row>
    <row r="5436" spans="1:7" x14ac:dyDescent="0.3">
      <c r="A5436" t="s">
        <v>2041</v>
      </c>
      <c r="B5436" t="s">
        <v>46</v>
      </c>
      <c r="C5436" t="s">
        <v>47</v>
      </c>
      <c r="D5436">
        <v>2013</v>
      </c>
      <c r="E5436" s="2">
        <v>360</v>
      </c>
      <c r="F5436" s="2">
        <v>24660</v>
      </c>
      <c r="G5436" s="2"/>
    </row>
    <row r="5437" spans="1:7" x14ac:dyDescent="0.3">
      <c r="A5437" t="s">
        <v>2041</v>
      </c>
      <c r="B5437" t="s">
        <v>46</v>
      </c>
      <c r="C5437" t="s">
        <v>47</v>
      </c>
      <c r="D5437">
        <v>2014</v>
      </c>
      <c r="E5437" s="2">
        <v>100</v>
      </c>
      <c r="F5437" s="2">
        <v>7700</v>
      </c>
      <c r="G5437" s="2"/>
    </row>
    <row r="5438" spans="1:7" x14ac:dyDescent="0.3">
      <c r="A5438" t="s">
        <v>2041</v>
      </c>
      <c r="B5438" t="s">
        <v>46</v>
      </c>
      <c r="C5438" t="s">
        <v>47</v>
      </c>
      <c r="D5438">
        <v>2015</v>
      </c>
      <c r="E5438" s="2">
        <v>50</v>
      </c>
      <c r="F5438" s="2">
        <v>3850</v>
      </c>
      <c r="G5438" s="2"/>
    </row>
    <row r="5439" spans="1:7" x14ac:dyDescent="0.3">
      <c r="A5439" t="s">
        <v>2041</v>
      </c>
      <c r="B5439" t="s">
        <v>46</v>
      </c>
      <c r="C5439" t="s">
        <v>47</v>
      </c>
      <c r="D5439">
        <v>2016</v>
      </c>
      <c r="E5439" s="2">
        <v>150</v>
      </c>
      <c r="F5439" s="2">
        <v>11850</v>
      </c>
      <c r="G5439" s="2"/>
    </row>
    <row r="5440" spans="1:7" x14ac:dyDescent="0.3">
      <c r="A5440" t="s">
        <v>2042</v>
      </c>
      <c r="B5440" t="s">
        <v>28</v>
      </c>
      <c r="D5440">
        <v>2015</v>
      </c>
      <c r="E5440" s="2">
        <v>22</v>
      </c>
      <c r="F5440" s="2">
        <v>10450</v>
      </c>
      <c r="G5440" s="2"/>
    </row>
    <row r="5441" spans="1:7" x14ac:dyDescent="0.3">
      <c r="A5441" t="s">
        <v>2043</v>
      </c>
      <c r="B5441" t="s">
        <v>721</v>
      </c>
      <c r="C5441" t="s">
        <v>722</v>
      </c>
      <c r="D5441">
        <v>2017</v>
      </c>
      <c r="E5441" s="2">
        <v>25</v>
      </c>
      <c r="F5441" s="2">
        <v>2000</v>
      </c>
      <c r="G5441" s="2"/>
    </row>
    <row r="5442" spans="1:7" x14ac:dyDescent="0.3">
      <c r="A5442" t="s">
        <v>2043</v>
      </c>
      <c r="B5442" t="s">
        <v>1214</v>
      </c>
      <c r="C5442" t="s">
        <v>1215</v>
      </c>
      <c r="D5442">
        <v>2017</v>
      </c>
      <c r="E5442" s="2">
        <v>125</v>
      </c>
      <c r="F5442" s="2">
        <v>9375</v>
      </c>
      <c r="G5442" s="2"/>
    </row>
    <row r="5443" spans="1:7" x14ac:dyDescent="0.3">
      <c r="A5443" t="s">
        <v>2043</v>
      </c>
      <c r="B5443" t="s">
        <v>417</v>
      </c>
      <c r="C5443" t="s">
        <v>418</v>
      </c>
      <c r="D5443">
        <v>2016</v>
      </c>
      <c r="E5443" s="2">
        <v>800</v>
      </c>
      <c r="F5443" s="2">
        <v>48000</v>
      </c>
      <c r="G5443" s="2"/>
    </row>
    <row r="5444" spans="1:7" x14ac:dyDescent="0.3">
      <c r="A5444" t="s">
        <v>2043</v>
      </c>
      <c r="B5444" t="s">
        <v>417</v>
      </c>
      <c r="C5444" t="s">
        <v>418</v>
      </c>
      <c r="D5444">
        <v>2017</v>
      </c>
      <c r="E5444" s="2">
        <v>450</v>
      </c>
      <c r="F5444" s="2">
        <v>27000</v>
      </c>
      <c r="G5444" s="2"/>
    </row>
    <row r="5445" spans="1:7" x14ac:dyDescent="0.3">
      <c r="A5445" t="s">
        <v>2043</v>
      </c>
      <c r="B5445" t="s">
        <v>1142</v>
      </c>
      <c r="C5445" t="s">
        <v>315</v>
      </c>
      <c r="D5445">
        <v>2016</v>
      </c>
      <c r="E5445" s="2">
        <v>100</v>
      </c>
      <c r="F5445" s="2">
        <v>6000</v>
      </c>
      <c r="G5445" s="2"/>
    </row>
    <row r="5446" spans="1:7" x14ac:dyDescent="0.3">
      <c r="A5446" t="s">
        <v>2043</v>
      </c>
      <c r="B5446" t="s">
        <v>2044</v>
      </c>
      <c r="C5446" t="s">
        <v>2045</v>
      </c>
      <c r="D5446">
        <v>2010</v>
      </c>
      <c r="E5446" s="2">
        <v>10</v>
      </c>
      <c r="F5446" s="2">
        <v>800</v>
      </c>
      <c r="G5446" s="2"/>
    </row>
    <row r="5447" spans="1:7" x14ac:dyDescent="0.3">
      <c r="A5447" t="s">
        <v>2043</v>
      </c>
      <c r="B5447" t="s">
        <v>2046</v>
      </c>
      <c r="D5447">
        <v>2016</v>
      </c>
      <c r="E5447" s="2">
        <v>40</v>
      </c>
      <c r="F5447" s="2">
        <v>12000</v>
      </c>
      <c r="G5447" s="2"/>
    </row>
    <row r="5448" spans="1:7" x14ac:dyDescent="0.3">
      <c r="A5448" t="s">
        <v>2043</v>
      </c>
      <c r="B5448" t="s">
        <v>297</v>
      </c>
      <c r="C5448" t="s">
        <v>298</v>
      </c>
      <c r="D5448">
        <v>2017</v>
      </c>
      <c r="E5448" s="2">
        <v>5</v>
      </c>
      <c r="F5448" s="2">
        <v>3500</v>
      </c>
      <c r="G5448" s="2"/>
    </row>
    <row r="5449" spans="1:7" x14ac:dyDescent="0.3">
      <c r="A5449" t="s">
        <v>2043</v>
      </c>
      <c r="B5449" t="s">
        <v>297</v>
      </c>
      <c r="C5449" t="s">
        <v>298</v>
      </c>
      <c r="D5449">
        <v>2018</v>
      </c>
      <c r="E5449" s="2">
        <v>25</v>
      </c>
      <c r="F5449" s="2">
        <v>1750</v>
      </c>
      <c r="G5449" s="2">
        <v>1837.5</v>
      </c>
    </row>
    <row r="5450" spans="1:7" x14ac:dyDescent="0.3">
      <c r="A5450" t="s">
        <v>2043</v>
      </c>
      <c r="B5450" t="s">
        <v>19</v>
      </c>
      <c r="C5450" t="s">
        <v>20</v>
      </c>
      <c r="D5450">
        <v>2010</v>
      </c>
      <c r="E5450" s="2">
        <v>10</v>
      </c>
      <c r="F5450" s="2">
        <v>1050</v>
      </c>
      <c r="G5450" s="2"/>
    </row>
    <row r="5451" spans="1:7" x14ac:dyDescent="0.3">
      <c r="A5451" t="s">
        <v>2043</v>
      </c>
      <c r="B5451" t="s">
        <v>21</v>
      </c>
      <c r="C5451" t="s">
        <v>22</v>
      </c>
      <c r="D5451">
        <v>2015</v>
      </c>
      <c r="E5451" s="2">
        <v>100</v>
      </c>
      <c r="F5451" s="2">
        <v>4500</v>
      </c>
      <c r="G5451" s="2"/>
    </row>
    <row r="5452" spans="1:7" x14ac:dyDescent="0.3">
      <c r="A5452" t="s">
        <v>2043</v>
      </c>
      <c r="B5452" t="s">
        <v>21</v>
      </c>
      <c r="C5452" t="s">
        <v>22</v>
      </c>
      <c r="D5452">
        <v>2016</v>
      </c>
      <c r="E5452" s="2">
        <v>200</v>
      </c>
      <c r="F5452" s="2">
        <v>9000</v>
      </c>
      <c r="G5452" s="2"/>
    </row>
    <row r="5453" spans="1:7" x14ac:dyDescent="0.3">
      <c r="A5453" t="s">
        <v>2043</v>
      </c>
      <c r="B5453" t="s">
        <v>828</v>
      </c>
      <c r="D5453">
        <v>2016</v>
      </c>
      <c r="E5453" s="2">
        <v>60</v>
      </c>
      <c r="F5453" s="2">
        <v>18000</v>
      </c>
      <c r="G5453" s="2"/>
    </row>
    <row r="5454" spans="1:7" x14ac:dyDescent="0.3">
      <c r="A5454" t="s">
        <v>2043</v>
      </c>
      <c r="B5454" t="s">
        <v>828</v>
      </c>
      <c r="D5454">
        <v>2017</v>
      </c>
      <c r="E5454" s="2">
        <v>245</v>
      </c>
      <c r="F5454" s="2">
        <v>71500</v>
      </c>
      <c r="G5454" s="2"/>
    </row>
    <row r="5455" spans="1:7" x14ac:dyDescent="0.3">
      <c r="A5455" t="s">
        <v>2043</v>
      </c>
      <c r="B5455" t="s">
        <v>2047</v>
      </c>
      <c r="D5455">
        <v>2016</v>
      </c>
      <c r="E5455" s="2">
        <v>5</v>
      </c>
      <c r="F5455" s="2">
        <v>450</v>
      </c>
      <c r="G5455" s="2"/>
    </row>
    <row r="5456" spans="1:7" x14ac:dyDescent="0.3">
      <c r="A5456" t="s">
        <v>2043</v>
      </c>
      <c r="B5456" t="s">
        <v>32</v>
      </c>
      <c r="D5456">
        <v>2016</v>
      </c>
      <c r="E5456" s="2">
        <v>60</v>
      </c>
      <c r="F5456" s="2">
        <v>5400</v>
      </c>
      <c r="G5456" s="2"/>
    </row>
    <row r="5457" spans="1:8" x14ac:dyDescent="0.3">
      <c r="A5457" t="s">
        <v>2043</v>
      </c>
      <c r="B5457" t="s">
        <v>864</v>
      </c>
      <c r="D5457">
        <v>2017</v>
      </c>
      <c r="E5457" s="2">
        <v>20</v>
      </c>
      <c r="F5457" s="2">
        <v>1700</v>
      </c>
      <c r="G5457" s="2"/>
    </row>
    <row r="5458" spans="1:8" x14ac:dyDescent="0.3">
      <c r="A5458" t="s">
        <v>2048</v>
      </c>
      <c r="B5458" t="s">
        <v>642</v>
      </c>
      <c r="D5458">
        <v>2021</v>
      </c>
      <c r="E5458" s="2">
        <v>1</v>
      </c>
      <c r="F5458" s="2">
        <v>110</v>
      </c>
      <c r="G5458" s="2">
        <v>115.5</v>
      </c>
      <c r="H5458" s="3" t="s">
        <v>18</v>
      </c>
    </row>
    <row r="5459" spans="1:8" x14ac:dyDescent="0.3">
      <c r="A5459" t="s">
        <v>2048</v>
      </c>
      <c r="B5459" t="s">
        <v>19</v>
      </c>
      <c r="C5459" t="s">
        <v>699</v>
      </c>
      <c r="D5459">
        <v>2019</v>
      </c>
      <c r="E5459" s="2">
        <v>35</v>
      </c>
      <c r="F5459" s="2">
        <v>2250</v>
      </c>
      <c r="G5459" s="2">
        <v>2362.5</v>
      </c>
    </row>
    <row r="5460" spans="1:8" x14ac:dyDescent="0.3">
      <c r="A5460" t="s">
        <v>2048</v>
      </c>
      <c r="B5460" t="s">
        <v>19</v>
      </c>
      <c r="C5460" t="s">
        <v>20</v>
      </c>
      <c r="D5460">
        <v>2021</v>
      </c>
      <c r="E5460" s="2">
        <v>20</v>
      </c>
      <c r="F5460" s="2">
        <v>1300</v>
      </c>
      <c r="G5460" s="2">
        <v>1365</v>
      </c>
      <c r="H5460" s="3" t="s">
        <v>2049</v>
      </c>
    </row>
    <row r="5461" spans="1:8" x14ac:dyDescent="0.3">
      <c r="A5461" t="s">
        <v>2048</v>
      </c>
      <c r="B5461" t="s">
        <v>939</v>
      </c>
      <c r="C5461" t="s">
        <v>940</v>
      </c>
      <c r="D5461">
        <v>2019</v>
      </c>
      <c r="E5461" s="2">
        <v>95</v>
      </c>
      <c r="F5461" s="2">
        <v>6565</v>
      </c>
      <c r="G5461" s="2">
        <v>6893.25</v>
      </c>
    </row>
    <row r="5462" spans="1:8" x14ac:dyDescent="0.3">
      <c r="A5462" t="s">
        <v>2048</v>
      </c>
      <c r="B5462" t="s">
        <v>939</v>
      </c>
      <c r="C5462" t="s">
        <v>940</v>
      </c>
      <c r="D5462">
        <v>2020</v>
      </c>
      <c r="E5462" s="2">
        <v>20</v>
      </c>
      <c r="F5462" s="2">
        <v>1340</v>
      </c>
      <c r="G5462" s="2">
        <v>1407</v>
      </c>
    </row>
    <row r="5463" spans="1:8" x14ac:dyDescent="0.3">
      <c r="A5463" t="s">
        <v>2048</v>
      </c>
      <c r="B5463" t="s">
        <v>110</v>
      </c>
      <c r="C5463" t="s">
        <v>111</v>
      </c>
      <c r="D5463">
        <v>2019</v>
      </c>
      <c r="E5463" s="2">
        <v>80</v>
      </c>
      <c r="F5463" s="2">
        <v>4800</v>
      </c>
      <c r="G5463" s="2">
        <v>5040</v>
      </c>
    </row>
    <row r="5464" spans="1:8" x14ac:dyDescent="0.3">
      <c r="A5464" t="s">
        <v>2048</v>
      </c>
      <c r="B5464" t="s">
        <v>2050</v>
      </c>
      <c r="C5464" t="s">
        <v>2051</v>
      </c>
      <c r="D5464">
        <v>2019</v>
      </c>
      <c r="E5464" s="2">
        <v>15</v>
      </c>
      <c r="F5464" s="2">
        <v>950</v>
      </c>
      <c r="G5464" s="2">
        <v>997.5</v>
      </c>
    </row>
    <row r="5465" spans="1:8" x14ac:dyDescent="0.3">
      <c r="A5465" t="s">
        <v>2048</v>
      </c>
      <c r="B5465" t="s">
        <v>496</v>
      </c>
      <c r="C5465" t="s">
        <v>497</v>
      </c>
      <c r="D5465">
        <v>2019</v>
      </c>
      <c r="E5465" s="2">
        <v>25</v>
      </c>
      <c r="F5465" s="2">
        <v>1500</v>
      </c>
      <c r="G5465" s="2">
        <v>1575</v>
      </c>
    </row>
    <row r="5466" spans="1:8" x14ac:dyDescent="0.3">
      <c r="A5466" t="s">
        <v>2048</v>
      </c>
      <c r="B5466" t="s">
        <v>37</v>
      </c>
      <c r="D5466">
        <v>2019</v>
      </c>
      <c r="E5466" s="2">
        <v>5</v>
      </c>
      <c r="F5466" s="2">
        <v>365</v>
      </c>
      <c r="G5466" s="2">
        <v>383.25</v>
      </c>
    </row>
    <row r="5467" spans="1:8" x14ac:dyDescent="0.3">
      <c r="A5467" t="s">
        <v>2052</v>
      </c>
      <c r="B5467" t="s">
        <v>2053</v>
      </c>
      <c r="C5467" t="s">
        <v>394</v>
      </c>
      <c r="D5467">
        <v>2019</v>
      </c>
      <c r="E5467" s="2">
        <v>5</v>
      </c>
      <c r="F5467" s="2">
        <v>800</v>
      </c>
      <c r="G5467" s="2">
        <v>840</v>
      </c>
    </row>
    <row r="5468" spans="1:8" x14ac:dyDescent="0.3">
      <c r="A5468" t="s">
        <v>2052</v>
      </c>
      <c r="B5468" t="s">
        <v>99</v>
      </c>
      <c r="C5468" t="s">
        <v>100</v>
      </c>
      <c r="D5468">
        <v>2019</v>
      </c>
      <c r="E5468" s="2">
        <v>1</v>
      </c>
      <c r="F5468" s="2">
        <v>130</v>
      </c>
      <c r="G5468" s="2">
        <v>136.5</v>
      </c>
    </row>
    <row r="5469" spans="1:8" x14ac:dyDescent="0.3">
      <c r="A5469" t="s">
        <v>2052</v>
      </c>
      <c r="B5469" t="s">
        <v>19</v>
      </c>
      <c r="C5469" t="s">
        <v>670</v>
      </c>
      <c r="D5469">
        <v>2019</v>
      </c>
      <c r="E5469" s="2">
        <v>25</v>
      </c>
      <c r="F5469" s="2">
        <v>2000</v>
      </c>
      <c r="G5469" s="2">
        <v>2100</v>
      </c>
    </row>
    <row r="5470" spans="1:8" x14ac:dyDescent="0.3">
      <c r="A5470" t="s">
        <v>2052</v>
      </c>
      <c r="B5470" t="s">
        <v>543</v>
      </c>
      <c r="C5470" t="s">
        <v>544</v>
      </c>
      <c r="D5470">
        <v>2019</v>
      </c>
      <c r="E5470" s="2">
        <v>5</v>
      </c>
      <c r="F5470" s="2">
        <v>350</v>
      </c>
      <c r="G5470" s="2">
        <v>367.5</v>
      </c>
    </row>
    <row r="5471" spans="1:8" x14ac:dyDescent="0.3">
      <c r="A5471" t="s">
        <v>2054</v>
      </c>
      <c r="B5471" t="s">
        <v>29</v>
      </c>
      <c r="D5471">
        <v>2016</v>
      </c>
      <c r="E5471" s="2">
        <v>8</v>
      </c>
      <c r="F5471" s="2">
        <v>4400</v>
      </c>
      <c r="G5471" s="2"/>
    </row>
    <row r="5472" spans="1:8" x14ac:dyDescent="0.3">
      <c r="A5472" t="s">
        <v>2054</v>
      </c>
      <c r="B5472" t="s">
        <v>761</v>
      </c>
      <c r="D5472">
        <v>2016</v>
      </c>
      <c r="E5472" s="2">
        <v>2</v>
      </c>
      <c r="F5472" s="2">
        <v>1000</v>
      </c>
      <c r="G5472" s="2"/>
    </row>
    <row r="5473" spans="1:8" x14ac:dyDescent="0.3">
      <c r="A5473" t="s">
        <v>2054</v>
      </c>
      <c r="B5473" t="s">
        <v>761</v>
      </c>
      <c r="D5473">
        <v>2020</v>
      </c>
      <c r="E5473" s="2">
        <v>50</v>
      </c>
      <c r="F5473" s="2">
        <v>15000</v>
      </c>
      <c r="G5473" s="2">
        <v>15000</v>
      </c>
    </row>
    <row r="5474" spans="1:8" x14ac:dyDescent="0.3">
      <c r="A5474" t="s">
        <v>2054</v>
      </c>
      <c r="B5474" t="s">
        <v>32</v>
      </c>
      <c r="D5474">
        <v>2018</v>
      </c>
      <c r="E5474" s="2">
        <v>42</v>
      </c>
      <c r="F5474" s="2">
        <v>2940</v>
      </c>
      <c r="G5474" s="2">
        <v>3087</v>
      </c>
    </row>
    <row r="5475" spans="1:8" x14ac:dyDescent="0.3">
      <c r="A5475" t="s">
        <v>2055</v>
      </c>
      <c r="B5475" t="s">
        <v>1409</v>
      </c>
      <c r="C5475" t="s">
        <v>1406</v>
      </c>
      <c r="D5475">
        <v>2019</v>
      </c>
      <c r="E5475" s="2">
        <v>10</v>
      </c>
      <c r="F5475" s="2">
        <v>3800</v>
      </c>
      <c r="G5475" s="2">
        <v>3990</v>
      </c>
    </row>
    <row r="5476" spans="1:8" x14ac:dyDescent="0.3">
      <c r="A5476" t="s">
        <v>2055</v>
      </c>
      <c r="B5476" t="s">
        <v>1410</v>
      </c>
      <c r="C5476" t="s">
        <v>1411</v>
      </c>
      <c r="D5476">
        <v>2019</v>
      </c>
      <c r="E5476" s="2">
        <v>4</v>
      </c>
      <c r="F5476" s="2">
        <v>760</v>
      </c>
      <c r="G5476" s="2">
        <v>798</v>
      </c>
    </row>
    <row r="5477" spans="1:8" x14ac:dyDescent="0.3">
      <c r="A5477" t="s">
        <v>2055</v>
      </c>
      <c r="B5477" t="s">
        <v>95</v>
      </c>
      <c r="C5477" t="s">
        <v>96</v>
      </c>
      <c r="D5477">
        <v>2018</v>
      </c>
      <c r="E5477" s="2">
        <v>5</v>
      </c>
      <c r="F5477" s="2">
        <v>900</v>
      </c>
      <c r="G5477" s="2">
        <v>945</v>
      </c>
    </row>
    <row r="5478" spans="1:8" x14ac:dyDescent="0.3">
      <c r="A5478" t="s">
        <v>2055</v>
      </c>
      <c r="B5478" t="s">
        <v>95</v>
      </c>
      <c r="C5478" t="s">
        <v>96</v>
      </c>
      <c r="D5478">
        <v>2019</v>
      </c>
      <c r="E5478" s="2">
        <v>5</v>
      </c>
      <c r="F5478" s="2">
        <v>900</v>
      </c>
      <c r="G5478" s="2">
        <v>945</v>
      </c>
    </row>
    <row r="5479" spans="1:8" x14ac:dyDescent="0.3">
      <c r="A5479" t="s">
        <v>2055</v>
      </c>
      <c r="B5479" t="s">
        <v>2056</v>
      </c>
      <c r="C5479" t="s">
        <v>1588</v>
      </c>
      <c r="D5479">
        <v>2019</v>
      </c>
      <c r="E5479" s="2">
        <v>10</v>
      </c>
      <c r="F5479" s="2">
        <v>3400</v>
      </c>
      <c r="G5479" s="2">
        <v>3570</v>
      </c>
    </row>
    <row r="5480" spans="1:8" x14ac:dyDescent="0.3">
      <c r="A5480" t="s">
        <v>2055</v>
      </c>
      <c r="B5480" t="s">
        <v>1004</v>
      </c>
      <c r="C5480" t="s">
        <v>197</v>
      </c>
      <c r="D5480">
        <v>2019</v>
      </c>
      <c r="E5480" s="2">
        <v>10</v>
      </c>
      <c r="F5480" s="2">
        <v>1900</v>
      </c>
      <c r="G5480" s="2">
        <v>1995</v>
      </c>
    </row>
    <row r="5481" spans="1:8" x14ac:dyDescent="0.3">
      <c r="A5481" t="s">
        <v>2055</v>
      </c>
      <c r="B5481" t="s">
        <v>72</v>
      </c>
      <c r="C5481" t="s">
        <v>319</v>
      </c>
      <c r="D5481">
        <v>2021</v>
      </c>
      <c r="E5481" s="2">
        <v>5</v>
      </c>
      <c r="F5481" s="2">
        <v>950</v>
      </c>
      <c r="G5481" s="2">
        <v>997.5</v>
      </c>
      <c r="H5481" s="3" t="s">
        <v>18</v>
      </c>
    </row>
    <row r="5482" spans="1:8" x14ac:dyDescent="0.3">
      <c r="A5482" t="s">
        <v>2057</v>
      </c>
      <c r="B5482" t="s">
        <v>1128</v>
      </c>
      <c r="C5482" t="s">
        <v>1129</v>
      </c>
      <c r="D5482">
        <v>2021</v>
      </c>
      <c r="E5482" s="2">
        <v>10</v>
      </c>
      <c r="F5482" s="2">
        <v>750</v>
      </c>
      <c r="G5482" s="2">
        <v>787.5</v>
      </c>
      <c r="H5482" s="3" t="s">
        <v>374</v>
      </c>
    </row>
    <row r="5483" spans="1:8" x14ac:dyDescent="0.3">
      <c r="A5483" t="s">
        <v>2057</v>
      </c>
      <c r="B5483" t="s">
        <v>624</v>
      </c>
      <c r="C5483" t="s">
        <v>625</v>
      </c>
      <c r="D5483">
        <v>2021</v>
      </c>
      <c r="E5483" s="2">
        <v>5</v>
      </c>
      <c r="F5483" s="2">
        <v>350</v>
      </c>
      <c r="G5483" s="2">
        <v>367.5</v>
      </c>
      <c r="H5483" s="3" t="s">
        <v>374</v>
      </c>
    </row>
    <row r="5484" spans="1:8" x14ac:dyDescent="0.3">
      <c r="A5484" t="s">
        <v>2057</v>
      </c>
      <c r="B5484" t="s">
        <v>719</v>
      </c>
      <c r="C5484" t="s">
        <v>925</v>
      </c>
      <c r="D5484">
        <v>2019</v>
      </c>
      <c r="E5484" s="2">
        <v>5</v>
      </c>
      <c r="F5484" s="2">
        <v>450</v>
      </c>
      <c r="G5484" s="2">
        <v>472.5</v>
      </c>
    </row>
    <row r="5485" spans="1:8" x14ac:dyDescent="0.3">
      <c r="A5485" t="s">
        <v>2057</v>
      </c>
      <c r="B5485" t="s">
        <v>629</v>
      </c>
      <c r="C5485" t="s">
        <v>630</v>
      </c>
      <c r="D5485">
        <v>2019</v>
      </c>
      <c r="E5485" s="2">
        <v>18</v>
      </c>
      <c r="F5485" s="2">
        <v>1260</v>
      </c>
      <c r="G5485" s="2">
        <v>1323</v>
      </c>
    </row>
    <row r="5486" spans="1:8" x14ac:dyDescent="0.3">
      <c r="A5486" t="s">
        <v>2057</v>
      </c>
      <c r="B5486" t="s">
        <v>2058</v>
      </c>
      <c r="C5486" t="s">
        <v>27</v>
      </c>
      <c r="D5486">
        <v>2021</v>
      </c>
      <c r="E5486" s="2">
        <v>5</v>
      </c>
      <c r="F5486" s="2">
        <v>325</v>
      </c>
      <c r="G5486" s="2">
        <v>341.25</v>
      </c>
      <c r="H5486" s="3" t="s">
        <v>2059</v>
      </c>
    </row>
    <row r="5487" spans="1:8" x14ac:dyDescent="0.3">
      <c r="A5487" t="s">
        <v>2057</v>
      </c>
      <c r="B5487" t="s">
        <v>533</v>
      </c>
      <c r="C5487" t="s">
        <v>534</v>
      </c>
      <c r="D5487">
        <v>2021</v>
      </c>
      <c r="E5487" s="2">
        <v>5</v>
      </c>
      <c r="F5487" s="2">
        <v>400</v>
      </c>
      <c r="G5487" s="2">
        <v>420</v>
      </c>
      <c r="H5487" s="3" t="s">
        <v>18</v>
      </c>
    </row>
    <row r="5488" spans="1:8" x14ac:dyDescent="0.3">
      <c r="A5488" t="s">
        <v>2057</v>
      </c>
      <c r="B5488" t="s">
        <v>536</v>
      </c>
      <c r="C5488" t="s">
        <v>537</v>
      </c>
      <c r="D5488">
        <v>2021</v>
      </c>
      <c r="E5488" s="2">
        <v>15</v>
      </c>
      <c r="F5488" s="2">
        <v>1125</v>
      </c>
      <c r="G5488" s="2">
        <v>1181.25</v>
      </c>
      <c r="H5488" s="3" t="s">
        <v>374</v>
      </c>
    </row>
    <row r="5489" spans="1:8" x14ac:dyDescent="0.3">
      <c r="A5489" t="s">
        <v>2057</v>
      </c>
      <c r="B5489" t="s">
        <v>549</v>
      </c>
      <c r="D5489">
        <v>2021</v>
      </c>
      <c r="E5489" s="2">
        <v>5</v>
      </c>
      <c r="F5489" s="2">
        <v>375</v>
      </c>
      <c r="G5489" s="2">
        <v>393.75</v>
      </c>
      <c r="H5489" s="3" t="s">
        <v>2060</v>
      </c>
    </row>
    <row r="5490" spans="1:8" x14ac:dyDescent="0.3">
      <c r="A5490" t="s">
        <v>2057</v>
      </c>
      <c r="B5490" t="s">
        <v>26</v>
      </c>
      <c r="C5490" t="s">
        <v>27</v>
      </c>
      <c r="D5490">
        <v>2020</v>
      </c>
      <c r="E5490" s="2">
        <v>5</v>
      </c>
      <c r="F5490" s="2">
        <v>325</v>
      </c>
      <c r="G5490" s="2">
        <v>341.25</v>
      </c>
    </row>
    <row r="5491" spans="1:8" x14ac:dyDescent="0.3">
      <c r="A5491" t="s">
        <v>2057</v>
      </c>
      <c r="B5491" t="s">
        <v>643</v>
      </c>
      <c r="C5491" t="s">
        <v>644</v>
      </c>
      <c r="D5491">
        <v>2021</v>
      </c>
      <c r="E5491" s="2">
        <v>5</v>
      </c>
      <c r="F5491" s="2">
        <v>350</v>
      </c>
      <c r="G5491" s="2">
        <v>367.5</v>
      </c>
      <c r="H5491" s="3" t="s">
        <v>14</v>
      </c>
    </row>
    <row r="5492" spans="1:8" x14ac:dyDescent="0.3">
      <c r="A5492" t="s">
        <v>2057</v>
      </c>
      <c r="B5492" t="s">
        <v>1853</v>
      </c>
      <c r="C5492" t="s">
        <v>1854</v>
      </c>
      <c r="D5492">
        <v>2021</v>
      </c>
      <c r="E5492" s="2">
        <v>5</v>
      </c>
      <c r="F5492" s="2">
        <v>350</v>
      </c>
      <c r="G5492" s="2">
        <v>367.5</v>
      </c>
      <c r="H5492" s="3" t="s">
        <v>1336</v>
      </c>
    </row>
    <row r="5493" spans="1:8" x14ac:dyDescent="0.3">
      <c r="A5493" t="s">
        <v>2057</v>
      </c>
      <c r="B5493" t="s">
        <v>257</v>
      </c>
      <c r="C5493" t="s">
        <v>61</v>
      </c>
      <c r="D5493">
        <v>2021</v>
      </c>
      <c r="E5493" s="2">
        <v>10</v>
      </c>
      <c r="F5493" s="2">
        <v>750</v>
      </c>
      <c r="G5493" s="2">
        <v>787.5</v>
      </c>
      <c r="H5493" s="3" t="s">
        <v>374</v>
      </c>
    </row>
    <row r="5494" spans="1:8" x14ac:dyDescent="0.3">
      <c r="A5494" t="s">
        <v>2057</v>
      </c>
      <c r="B5494" t="s">
        <v>19</v>
      </c>
      <c r="C5494" t="s">
        <v>20</v>
      </c>
      <c r="D5494">
        <v>2020</v>
      </c>
      <c r="E5494" s="2">
        <v>15</v>
      </c>
      <c r="F5494" s="2">
        <v>1055</v>
      </c>
      <c r="G5494" s="2">
        <v>1107.75</v>
      </c>
      <c r="H5494" s="3" t="s">
        <v>374</v>
      </c>
    </row>
    <row r="5495" spans="1:8" x14ac:dyDescent="0.3">
      <c r="A5495" t="s">
        <v>2057</v>
      </c>
      <c r="B5495" t="s">
        <v>19</v>
      </c>
      <c r="C5495" t="s">
        <v>20</v>
      </c>
      <c r="D5495">
        <v>2021</v>
      </c>
      <c r="E5495" s="2">
        <v>20</v>
      </c>
      <c r="F5495" s="2">
        <v>1360</v>
      </c>
      <c r="G5495" s="2">
        <v>1428</v>
      </c>
      <c r="H5495" s="3" t="s">
        <v>374</v>
      </c>
    </row>
    <row r="5496" spans="1:8" x14ac:dyDescent="0.3">
      <c r="A5496" t="s">
        <v>2057</v>
      </c>
      <c r="B5496" t="s">
        <v>671</v>
      </c>
      <c r="C5496" t="s">
        <v>672</v>
      </c>
      <c r="D5496">
        <v>2020</v>
      </c>
      <c r="E5496" s="2">
        <v>60</v>
      </c>
      <c r="F5496" s="2">
        <v>3175</v>
      </c>
      <c r="G5496" s="2">
        <v>3333.75</v>
      </c>
    </row>
    <row r="5497" spans="1:8" x14ac:dyDescent="0.3">
      <c r="A5497" t="s">
        <v>2057</v>
      </c>
      <c r="B5497" t="s">
        <v>2061</v>
      </c>
      <c r="D5497">
        <v>2021</v>
      </c>
      <c r="E5497" s="2">
        <v>15</v>
      </c>
      <c r="F5497" s="2">
        <v>1125</v>
      </c>
      <c r="G5497" s="2">
        <v>1181.25</v>
      </c>
      <c r="H5497" s="3" t="s">
        <v>2062</v>
      </c>
    </row>
    <row r="5498" spans="1:8" x14ac:dyDescent="0.3">
      <c r="A5498" t="s">
        <v>2057</v>
      </c>
      <c r="B5498" t="s">
        <v>114</v>
      </c>
      <c r="C5498" t="s">
        <v>115</v>
      </c>
      <c r="D5498">
        <v>2021</v>
      </c>
      <c r="E5498" s="2">
        <v>10</v>
      </c>
      <c r="F5498" s="2">
        <v>750</v>
      </c>
      <c r="G5498" s="2">
        <v>787.5</v>
      </c>
      <c r="H5498" s="3" t="s">
        <v>14</v>
      </c>
    </row>
    <row r="5499" spans="1:8" x14ac:dyDescent="0.3">
      <c r="A5499" t="s">
        <v>2057</v>
      </c>
      <c r="B5499" t="s">
        <v>1802</v>
      </c>
      <c r="D5499">
        <v>2020</v>
      </c>
      <c r="E5499" s="2">
        <v>1</v>
      </c>
      <c r="F5499" s="2">
        <v>80</v>
      </c>
      <c r="G5499" s="2">
        <v>84</v>
      </c>
    </row>
    <row r="5500" spans="1:8" x14ac:dyDescent="0.3">
      <c r="A5500" t="s">
        <v>2057</v>
      </c>
      <c r="B5500" t="s">
        <v>187</v>
      </c>
      <c r="C5500" t="s">
        <v>188</v>
      </c>
      <c r="D5500">
        <v>2020</v>
      </c>
      <c r="E5500" s="2">
        <v>5</v>
      </c>
      <c r="F5500" s="2">
        <v>350</v>
      </c>
      <c r="G5500" s="2">
        <v>367.5</v>
      </c>
    </row>
    <row r="5501" spans="1:8" x14ac:dyDescent="0.3">
      <c r="A5501" t="s">
        <v>2057</v>
      </c>
      <c r="B5501" t="s">
        <v>373</v>
      </c>
      <c r="C5501" t="s">
        <v>331</v>
      </c>
      <c r="D5501">
        <v>2021</v>
      </c>
      <c r="E5501" s="2">
        <v>5</v>
      </c>
      <c r="F5501" s="2">
        <v>375</v>
      </c>
      <c r="G5501" s="2">
        <v>393.75</v>
      </c>
      <c r="H5501" s="3" t="s">
        <v>18</v>
      </c>
    </row>
    <row r="5502" spans="1:8" x14ac:dyDescent="0.3">
      <c r="A5502" t="s">
        <v>2057</v>
      </c>
      <c r="B5502" t="s">
        <v>653</v>
      </c>
      <c r="C5502" t="s">
        <v>654</v>
      </c>
      <c r="D5502">
        <v>2021</v>
      </c>
      <c r="E5502" s="2">
        <v>10</v>
      </c>
      <c r="F5502" s="2">
        <v>750</v>
      </c>
      <c r="G5502" s="2">
        <v>787.5</v>
      </c>
      <c r="H5502" s="3" t="s">
        <v>18</v>
      </c>
    </row>
    <row r="5503" spans="1:8" x14ac:dyDescent="0.3">
      <c r="A5503" t="s">
        <v>2057</v>
      </c>
      <c r="B5503" t="s">
        <v>192</v>
      </c>
      <c r="C5503" t="s">
        <v>193</v>
      </c>
      <c r="D5503">
        <v>2020</v>
      </c>
      <c r="E5503" s="2">
        <v>10</v>
      </c>
      <c r="F5503" s="2">
        <v>650</v>
      </c>
      <c r="G5503" s="2">
        <v>682.5</v>
      </c>
    </row>
    <row r="5504" spans="1:8" x14ac:dyDescent="0.3">
      <c r="A5504" t="s">
        <v>2057</v>
      </c>
      <c r="B5504" t="s">
        <v>674</v>
      </c>
      <c r="C5504" t="s">
        <v>675</v>
      </c>
      <c r="D5504">
        <v>2021</v>
      </c>
      <c r="E5504" s="2">
        <v>10</v>
      </c>
      <c r="F5504" s="2">
        <v>650</v>
      </c>
      <c r="G5504" s="2">
        <v>682.5</v>
      </c>
      <c r="H5504" s="3" t="s">
        <v>18</v>
      </c>
    </row>
    <row r="5505" spans="1:8" x14ac:dyDescent="0.3">
      <c r="A5505" t="s">
        <v>2057</v>
      </c>
      <c r="B5505" t="s">
        <v>318</v>
      </c>
      <c r="C5505" t="s">
        <v>319</v>
      </c>
      <c r="D5505">
        <v>2019</v>
      </c>
      <c r="E5505" s="2">
        <v>5</v>
      </c>
      <c r="F5505" s="2">
        <v>850</v>
      </c>
      <c r="G5505" s="2">
        <v>892.5</v>
      </c>
      <c r="H5505" s="3" t="s">
        <v>18</v>
      </c>
    </row>
    <row r="5506" spans="1:8" x14ac:dyDescent="0.3">
      <c r="A5506" t="s">
        <v>2057</v>
      </c>
      <c r="B5506" t="s">
        <v>318</v>
      </c>
      <c r="C5506" t="s">
        <v>319</v>
      </c>
      <c r="D5506">
        <v>2020</v>
      </c>
      <c r="E5506" s="2">
        <v>5</v>
      </c>
      <c r="F5506" s="2">
        <v>850</v>
      </c>
      <c r="G5506" s="2">
        <v>892.5</v>
      </c>
      <c r="H5506" s="3" t="s">
        <v>18</v>
      </c>
    </row>
    <row r="5507" spans="1:8" x14ac:dyDescent="0.3">
      <c r="A5507" t="s">
        <v>2057</v>
      </c>
      <c r="B5507" t="s">
        <v>318</v>
      </c>
      <c r="C5507" t="s">
        <v>319</v>
      </c>
      <c r="D5507">
        <v>2021</v>
      </c>
      <c r="E5507" s="2">
        <v>10</v>
      </c>
      <c r="F5507" s="2">
        <v>1700</v>
      </c>
      <c r="G5507" s="2">
        <v>1785</v>
      </c>
      <c r="H5507" s="3" t="s">
        <v>18</v>
      </c>
    </row>
    <row r="5508" spans="1:8" x14ac:dyDescent="0.3">
      <c r="A5508" t="s">
        <v>2057</v>
      </c>
      <c r="B5508" t="s">
        <v>76</v>
      </c>
      <c r="C5508" t="s">
        <v>77</v>
      </c>
      <c r="D5508">
        <v>2019</v>
      </c>
      <c r="E5508" s="2">
        <v>5</v>
      </c>
      <c r="F5508" s="2">
        <v>450</v>
      </c>
      <c r="G5508" s="2">
        <v>472.5</v>
      </c>
      <c r="H5508" s="3" t="s">
        <v>18</v>
      </c>
    </row>
    <row r="5509" spans="1:8" x14ac:dyDescent="0.3">
      <c r="A5509" t="s">
        <v>2057</v>
      </c>
      <c r="B5509" t="s">
        <v>76</v>
      </c>
      <c r="C5509" t="s">
        <v>77</v>
      </c>
      <c r="D5509">
        <v>2020</v>
      </c>
      <c r="E5509" s="2">
        <v>5</v>
      </c>
      <c r="F5509" s="2">
        <v>450</v>
      </c>
      <c r="G5509" s="2">
        <v>472.5</v>
      </c>
      <c r="H5509" s="3" t="s">
        <v>18</v>
      </c>
    </row>
    <row r="5510" spans="1:8" x14ac:dyDescent="0.3">
      <c r="A5510" t="s">
        <v>2057</v>
      </c>
      <c r="B5510" t="s">
        <v>76</v>
      </c>
      <c r="C5510" t="s">
        <v>77</v>
      </c>
      <c r="D5510">
        <v>2021</v>
      </c>
      <c r="E5510" s="2">
        <v>5</v>
      </c>
      <c r="F5510" s="2">
        <v>450</v>
      </c>
      <c r="G5510" s="2">
        <v>472.5</v>
      </c>
      <c r="H5510" s="3" t="s">
        <v>18</v>
      </c>
    </row>
    <row r="5511" spans="1:8" x14ac:dyDescent="0.3">
      <c r="A5511" t="s">
        <v>2063</v>
      </c>
      <c r="B5511" t="s">
        <v>1461</v>
      </c>
      <c r="D5511">
        <v>2017</v>
      </c>
      <c r="E5511" s="2">
        <v>20</v>
      </c>
      <c r="F5511" s="2">
        <v>2400</v>
      </c>
      <c r="G5511" s="2"/>
    </row>
    <row r="5512" spans="1:8" x14ac:dyDescent="0.3">
      <c r="A5512" t="s">
        <v>2063</v>
      </c>
      <c r="B5512" t="s">
        <v>1461</v>
      </c>
      <c r="D5512">
        <v>2019</v>
      </c>
      <c r="E5512" s="2">
        <v>20</v>
      </c>
      <c r="F5512" s="2">
        <v>1660</v>
      </c>
      <c r="G5512" s="2">
        <v>1743</v>
      </c>
    </row>
    <row r="5513" spans="1:8" x14ac:dyDescent="0.3">
      <c r="A5513" t="s">
        <v>2063</v>
      </c>
      <c r="B5513" t="s">
        <v>269</v>
      </c>
      <c r="C5513" t="s">
        <v>270</v>
      </c>
      <c r="D5513">
        <v>2017</v>
      </c>
      <c r="E5513" s="2">
        <v>10</v>
      </c>
      <c r="F5513" s="2">
        <v>950</v>
      </c>
      <c r="G5513" s="2"/>
    </row>
    <row r="5514" spans="1:8" x14ac:dyDescent="0.3">
      <c r="A5514" t="s">
        <v>2063</v>
      </c>
      <c r="B5514" t="s">
        <v>269</v>
      </c>
      <c r="C5514" t="s">
        <v>270</v>
      </c>
      <c r="D5514">
        <v>2018</v>
      </c>
      <c r="E5514" s="2">
        <v>75</v>
      </c>
      <c r="F5514" s="2">
        <v>7125</v>
      </c>
      <c r="G5514" s="2">
        <v>7481.25</v>
      </c>
    </row>
    <row r="5515" spans="1:8" x14ac:dyDescent="0.3">
      <c r="A5515" t="s">
        <v>2064</v>
      </c>
      <c r="B5515" t="s">
        <v>2065</v>
      </c>
      <c r="D5515">
        <v>2014</v>
      </c>
      <c r="E5515" s="2">
        <v>100</v>
      </c>
      <c r="F5515" s="2">
        <v>1000</v>
      </c>
      <c r="G5515" s="2"/>
    </row>
    <row r="5516" spans="1:8" x14ac:dyDescent="0.3">
      <c r="A5516" t="s">
        <v>2066</v>
      </c>
      <c r="B5516" t="s">
        <v>16</v>
      </c>
      <c r="C5516" t="s">
        <v>17</v>
      </c>
      <c r="D5516">
        <v>2020</v>
      </c>
      <c r="E5516" s="2">
        <v>5</v>
      </c>
      <c r="F5516" s="2">
        <v>600</v>
      </c>
      <c r="G5516" s="2">
        <v>600</v>
      </c>
      <c r="H5516" s="3" t="s">
        <v>14</v>
      </c>
    </row>
    <row r="5517" spans="1:8" x14ac:dyDescent="0.3">
      <c r="A5517" t="s">
        <v>2066</v>
      </c>
      <c r="B5517" t="s">
        <v>16</v>
      </c>
      <c r="C5517" t="s">
        <v>17</v>
      </c>
      <c r="D5517">
        <v>2021</v>
      </c>
      <c r="E5517" s="2">
        <v>10</v>
      </c>
      <c r="F5517" s="2">
        <v>1200</v>
      </c>
      <c r="G5517" s="2">
        <v>1200</v>
      </c>
      <c r="H5517" s="3" t="s">
        <v>14</v>
      </c>
    </row>
    <row r="5518" spans="1:8" x14ac:dyDescent="0.3">
      <c r="A5518" t="s">
        <v>2066</v>
      </c>
      <c r="B5518" t="s">
        <v>538</v>
      </c>
      <c r="C5518" t="s">
        <v>539</v>
      </c>
      <c r="D5518">
        <v>2020</v>
      </c>
      <c r="E5518" s="2">
        <v>5</v>
      </c>
      <c r="F5518" s="2">
        <v>800</v>
      </c>
      <c r="G5518" s="2">
        <v>800</v>
      </c>
      <c r="H5518" s="3" t="s">
        <v>18</v>
      </c>
    </row>
    <row r="5519" spans="1:8" x14ac:dyDescent="0.3">
      <c r="A5519" t="s">
        <v>2066</v>
      </c>
      <c r="B5519" t="s">
        <v>538</v>
      </c>
      <c r="C5519" t="s">
        <v>539</v>
      </c>
      <c r="D5519">
        <v>2021</v>
      </c>
      <c r="E5519" s="2">
        <v>5</v>
      </c>
      <c r="F5519" s="2">
        <v>800</v>
      </c>
      <c r="G5519" s="2">
        <v>800</v>
      </c>
      <c r="H5519" s="3" t="s">
        <v>18</v>
      </c>
    </row>
    <row r="5520" spans="1:8" x14ac:dyDescent="0.3">
      <c r="A5520" t="s">
        <v>2066</v>
      </c>
      <c r="B5520" t="s">
        <v>99</v>
      </c>
      <c r="C5520" t="s">
        <v>100</v>
      </c>
      <c r="D5520">
        <v>2020</v>
      </c>
      <c r="E5520" s="2">
        <v>5</v>
      </c>
      <c r="F5520" s="2">
        <v>1125</v>
      </c>
      <c r="G5520" s="2">
        <v>1125</v>
      </c>
      <c r="H5520" s="3" t="s">
        <v>18</v>
      </c>
    </row>
    <row r="5521" spans="1:8" x14ac:dyDescent="0.3">
      <c r="A5521" t="s">
        <v>2066</v>
      </c>
      <c r="B5521" t="s">
        <v>99</v>
      </c>
      <c r="C5521" t="s">
        <v>100</v>
      </c>
      <c r="D5521">
        <v>2021</v>
      </c>
      <c r="E5521" s="2">
        <v>10</v>
      </c>
      <c r="F5521" s="2">
        <v>2250</v>
      </c>
      <c r="G5521" s="2">
        <v>2250</v>
      </c>
      <c r="H5521" s="3" t="s">
        <v>18</v>
      </c>
    </row>
    <row r="5522" spans="1:8" x14ac:dyDescent="0.3">
      <c r="A5522" t="s">
        <v>2066</v>
      </c>
      <c r="B5522" t="s">
        <v>597</v>
      </c>
      <c r="C5522" t="s">
        <v>598</v>
      </c>
      <c r="D5522">
        <v>2020</v>
      </c>
      <c r="E5522" s="2">
        <v>5</v>
      </c>
      <c r="F5522" s="2">
        <v>850</v>
      </c>
      <c r="G5522" s="2">
        <v>850</v>
      </c>
      <c r="H5522" s="3" t="s">
        <v>18</v>
      </c>
    </row>
    <row r="5523" spans="1:8" x14ac:dyDescent="0.3">
      <c r="A5523" t="s">
        <v>2066</v>
      </c>
      <c r="B5523" t="s">
        <v>597</v>
      </c>
      <c r="C5523" t="s">
        <v>598</v>
      </c>
      <c r="D5523">
        <v>2021</v>
      </c>
      <c r="E5523" s="2">
        <v>10</v>
      </c>
      <c r="F5523" s="2">
        <v>1700</v>
      </c>
      <c r="G5523" s="2">
        <v>1700</v>
      </c>
      <c r="H5523" s="3" t="s">
        <v>18</v>
      </c>
    </row>
    <row r="5524" spans="1:8" x14ac:dyDescent="0.3">
      <c r="A5524" t="s">
        <v>2066</v>
      </c>
      <c r="B5524" t="s">
        <v>1136</v>
      </c>
      <c r="C5524" t="s">
        <v>1137</v>
      </c>
      <c r="D5524">
        <v>2020</v>
      </c>
      <c r="E5524" s="2">
        <v>5</v>
      </c>
      <c r="F5524" s="2">
        <v>4125</v>
      </c>
      <c r="G5524" s="2">
        <v>4125</v>
      </c>
    </row>
    <row r="5525" spans="1:8" x14ac:dyDescent="0.3">
      <c r="A5525" t="s">
        <v>2066</v>
      </c>
      <c r="B5525" t="s">
        <v>709</v>
      </c>
      <c r="C5525" t="s">
        <v>710</v>
      </c>
      <c r="D5525">
        <v>2021</v>
      </c>
      <c r="E5525" s="2">
        <v>5</v>
      </c>
      <c r="F5525" s="2">
        <v>1000</v>
      </c>
      <c r="G5525" s="2">
        <v>1000</v>
      </c>
      <c r="H5525" s="3" t="s">
        <v>18</v>
      </c>
    </row>
    <row r="5526" spans="1:8" x14ac:dyDescent="0.3">
      <c r="A5526" t="s">
        <v>2066</v>
      </c>
      <c r="B5526" t="s">
        <v>151</v>
      </c>
      <c r="C5526" t="s">
        <v>152</v>
      </c>
      <c r="D5526">
        <v>2020</v>
      </c>
      <c r="E5526" s="2">
        <v>5</v>
      </c>
      <c r="F5526" s="2">
        <v>1050</v>
      </c>
      <c r="G5526" s="2">
        <v>1050</v>
      </c>
    </row>
    <row r="5527" spans="1:8" x14ac:dyDescent="0.3">
      <c r="A5527" t="s">
        <v>2066</v>
      </c>
      <c r="B5527" t="s">
        <v>522</v>
      </c>
      <c r="D5527">
        <v>2020</v>
      </c>
      <c r="E5527" s="2">
        <v>5</v>
      </c>
      <c r="F5527" s="2">
        <v>1300</v>
      </c>
      <c r="G5527" s="2">
        <v>1300</v>
      </c>
    </row>
    <row r="5528" spans="1:8" x14ac:dyDescent="0.3">
      <c r="A5528" t="s">
        <v>2067</v>
      </c>
      <c r="B5528" t="s">
        <v>766</v>
      </c>
      <c r="D5528">
        <v>2021</v>
      </c>
      <c r="E5528" s="2">
        <v>25</v>
      </c>
      <c r="F5528" s="2">
        <v>750</v>
      </c>
      <c r="G5528" s="2">
        <v>787.5</v>
      </c>
      <c r="H5528" s="3" t="s">
        <v>2068</v>
      </c>
    </row>
    <row r="5529" spans="1:8" x14ac:dyDescent="0.3">
      <c r="A5529" t="s">
        <v>2069</v>
      </c>
      <c r="B5529" t="s">
        <v>51</v>
      </c>
      <c r="C5529" t="s">
        <v>52</v>
      </c>
      <c r="D5529">
        <v>2016</v>
      </c>
      <c r="E5529" s="2">
        <v>175</v>
      </c>
      <c r="F5529" s="2">
        <v>31500</v>
      </c>
      <c r="G5529" s="2"/>
      <c r="H5529" s="3" t="s">
        <v>18</v>
      </c>
    </row>
    <row r="5530" spans="1:8" x14ac:dyDescent="0.3">
      <c r="A5530" t="s">
        <v>2069</v>
      </c>
      <c r="B5530" t="s">
        <v>51</v>
      </c>
      <c r="C5530" t="s">
        <v>52</v>
      </c>
      <c r="D5530">
        <v>2017</v>
      </c>
      <c r="E5530" s="2">
        <v>225</v>
      </c>
      <c r="F5530" s="2">
        <v>40500</v>
      </c>
      <c r="G5530" s="2"/>
      <c r="H5530" s="3" t="s">
        <v>18</v>
      </c>
    </row>
    <row r="5531" spans="1:8" x14ac:dyDescent="0.3">
      <c r="A5531" t="s">
        <v>2069</v>
      </c>
      <c r="B5531" t="s">
        <v>51</v>
      </c>
      <c r="C5531" t="s">
        <v>52</v>
      </c>
      <c r="D5531">
        <v>2018</v>
      </c>
      <c r="E5531" s="2">
        <v>275</v>
      </c>
      <c r="F5531" s="2">
        <v>49500</v>
      </c>
      <c r="G5531" s="2">
        <v>51975</v>
      </c>
      <c r="H5531" s="3" t="s">
        <v>18</v>
      </c>
    </row>
    <row r="5532" spans="1:8" x14ac:dyDescent="0.3">
      <c r="A5532" t="s">
        <v>2069</v>
      </c>
      <c r="B5532" t="s">
        <v>51</v>
      </c>
      <c r="C5532" t="s">
        <v>52</v>
      </c>
      <c r="D5532">
        <v>2019</v>
      </c>
      <c r="E5532" s="2">
        <v>185</v>
      </c>
      <c r="F5532" s="2">
        <v>33300</v>
      </c>
      <c r="G5532" s="2">
        <v>34965</v>
      </c>
      <c r="H5532" s="3" t="s">
        <v>18</v>
      </c>
    </row>
    <row r="5533" spans="1:8" x14ac:dyDescent="0.3">
      <c r="A5533" t="s">
        <v>2069</v>
      </c>
      <c r="B5533" t="s">
        <v>51</v>
      </c>
      <c r="C5533" t="s">
        <v>52</v>
      </c>
      <c r="D5533">
        <v>2020</v>
      </c>
      <c r="E5533" s="2">
        <v>65</v>
      </c>
      <c r="F5533" s="2">
        <v>11700</v>
      </c>
      <c r="G5533" s="2">
        <v>12285</v>
      </c>
      <c r="H5533" s="3" t="s">
        <v>18</v>
      </c>
    </row>
    <row r="5534" spans="1:8" x14ac:dyDescent="0.3">
      <c r="A5534" t="s">
        <v>2069</v>
      </c>
      <c r="B5534" t="s">
        <v>51</v>
      </c>
      <c r="C5534" t="s">
        <v>52</v>
      </c>
      <c r="D5534">
        <v>2021</v>
      </c>
      <c r="E5534" s="2">
        <v>100</v>
      </c>
      <c r="F5534" s="2">
        <v>18000</v>
      </c>
      <c r="G5534" s="2">
        <v>18900</v>
      </c>
      <c r="H5534" s="3" t="s">
        <v>18</v>
      </c>
    </row>
    <row r="5535" spans="1:8" x14ac:dyDescent="0.3">
      <c r="A5535" t="s">
        <v>2069</v>
      </c>
      <c r="B5535" t="s">
        <v>718</v>
      </c>
      <c r="C5535" t="s">
        <v>582</v>
      </c>
      <c r="D5535">
        <v>2019</v>
      </c>
      <c r="E5535" s="2">
        <v>5</v>
      </c>
      <c r="F5535" s="2">
        <v>875</v>
      </c>
      <c r="G5535" s="2">
        <v>918.75</v>
      </c>
    </row>
    <row r="5536" spans="1:8" x14ac:dyDescent="0.3">
      <c r="A5536" t="s">
        <v>2069</v>
      </c>
      <c r="B5536" t="s">
        <v>2070</v>
      </c>
      <c r="C5536" t="s">
        <v>2071</v>
      </c>
      <c r="D5536">
        <v>2021</v>
      </c>
      <c r="E5536" s="2">
        <v>25</v>
      </c>
      <c r="F5536" s="2">
        <v>2750</v>
      </c>
      <c r="G5536" s="2">
        <v>2887.5</v>
      </c>
      <c r="H5536" s="3" t="s">
        <v>18</v>
      </c>
    </row>
    <row r="5537" spans="1:8" x14ac:dyDescent="0.3">
      <c r="A5537" t="s">
        <v>2069</v>
      </c>
      <c r="B5537" t="s">
        <v>593</v>
      </c>
      <c r="C5537" t="s">
        <v>594</v>
      </c>
      <c r="D5537">
        <v>2021</v>
      </c>
      <c r="E5537" s="2">
        <v>50</v>
      </c>
      <c r="F5537" s="2">
        <v>9000</v>
      </c>
      <c r="G5537" s="2">
        <v>9450</v>
      </c>
      <c r="H5537" s="3" t="s">
        <v>14</v>
      </c>
    </row>
    <row r="5538" spans="1:8" x14ac:dyDescent="0.3">
      <c r="A5538" t="s">
        <v>2069</v>
      </c>
      <c r="B5538" t="s">
        <v>516</v>
      </c>
      <c r="D5538">
        <v>2021</v>
      </c>
      <c r="E5538" s="2">
        <v>25</v>
      </c>
      <c r="F5538" s="2">
        <v>6250</v>
      </c>
      <c r="G5538" s="2">
        <v>6562.5</v>
      </c>
      <c r="H5538" s="3" t="s">
        <v>18</v>
      </c>
    </row>
    <row r="5539" spans="1:8" x14ac:dyDescent="0.3">
      <c r="A5539" t="s">
        <v>2069</v>
      </c>
      <c r="B5539" t="s">
        <v>41</v>
      </c>
      <c r="C5539" t="s">
        <v>63</v>
      </c>
      <c r="D5539">
        <v>2019</v>
      </c>
      <c r="E5539" s="2">
        <v>25</v>
      </c>
      <c r="F5539" s="2">
        <v>1250</v>
      </c>
      <c r="G5539" s="2">
        <v>1312.5</v>
      </c>
    </row>
    <row r="5540" spans="1:8" x14ac:dyDescent="0.3">
      <c r="A5540" t="s">
        <v>2069</v>
      </c>
      <c r="B5540" t="s">
        <v>135</v>
      </c>
      <c r="C5540" t="s">
        <v>331</v>
      </c>
      <c r="D5540">
        <v>2018</v>
      </c>
      <c r="E5540" s="2">
        <v>75</v>
      </c>
      <c r="F5540" s="2">
        <v>9000</v>
      </c>
      <c r="G5540" s="2">
        <v>9450</v>
      </c>
    </row>
    <row r="5541" spans="1:8" x14ac:dyDescent="0.3">
      <c r="A5541" t="s">
        <v>2069</v>
      </c>
      <c r="B5541" t="s">
        <v>135</v>
      </c>
      <c r="C5541" t="s">
        <v>331</v>
      </c>
      <c r="D5541">
        <v>2019</v>
      </c>
      <c r="E5541" s="2">
        <v>350</v>
      </c>
      <c r="F5541" s="2">
        <v>41600</v>
      </c>
      <c r="G5541" s="2">
        <v>43680</v>
      </c>
    </row>
    <row r="5542" spans="1:8" x14ac:dyDescent="0.3">
      <c r="A5542" t="s">
        <v>2069</v>
      </c>
      <c r="B5542" t="s">
        <v>2072</v>
      </c>
      <c r="C5542" t="s">
        <v>136</v>
      </c>
      <c r="D5542">
        <v>2016</v>
      </c>
      <c r="E5542" s="2">
        <v>25</v>
      </c>
      <c r="F5542" s="2">
        <v>3000</v>
      </c>
      <c r="G5542" s="2"/>
    </row>
    <row r="5543" spans="1:8" x14ac:dyDescent="0.3">
      <c r="A5543" t="s">
        <v>2069</v>
      </c>
      <c r="B5543" t="s">
        <v>2072</v>
      </c>
      <c r="C5543" t="s">
        <v>136</v>
      </c>
      <c r="D5543">
        <v>2017</v>
      </c>
      <c r="E5543" s="2">
        <v>120</v>
      </c>
      <c r="F5543" s="2">
        <v>14400</v>
      </c>
      <c r="G5543" s="2"/>
    </row>
    <row r="5544" spans="1:8" x14ac:dyDescent="0.3">
      <c r="A5544" t="s">
        <v>2069</v>
      </c>
      <c r="B5544" t="s">
        <v>2072</v>
      </c>
      <c r="C5544" t="s">
        <v>136</v>
      </c>
      <c r="D5544">
        <v>2018</v>
      </c>
      <c r="E5544" s="2">
        <v>175</v>
      </c>
      <c r="F5544" s="2">
        <v>21000</v>
      </c>
      <c r="G5544" s="2">
        <v>22050</v>
      </c>
    </row>
    <row r="5545" spans="1:8" x14ac:dyDescent="0.3">
      <c r="A5545" t="s">
        <v>2069</v>
      </c>
      <c r="B5545" t="s">
        <v>839</v>
      </c>
      <c r="C5545" t="s">
        <v>138</v>
      </c>
      <c r="D5545">
        <v>2016</v>
      </c>
      <c r="E5545" s="2">
        <v>150</v>
      </c>
      <c r="F5545" s="2">
        <v>25500</v>
      </c>
      <c r="G5545" s="2"/>
    </row>
    <row r="5546" spans="1:8" x14ac:dyDescent="0.3">
      <c r="A5546" t="s">
        <v>2069</v>
      </c>
      <c r="B5546" t="s">
        <v>839</v>
      </c>
      <c r="C5546" t="s">
        <v>138</v>
      </c>
      <c r="D5546">
        <v>2017</v>
      </c>
      <c r="E5546" s="2">
        <v>210</v>
      </c>
      <c r="F5546" s="2">
        <v>32180</v>
      </c>
      <c r="G5546" s="2"/>
    </row>
    <row r="5547" spans="1:8" x14ac:dyDescent="0.3">
      <c r="A5547" t="s">
        <v>2069</v>
      </c>
      <c r="B5547" t="s">
        <v>839</v>
      </c>
      <c r="C5547" t="s">
        <v>138</v>
      </c>
      <c r="D5547">
        <v>2019</v>
      </c>
      <c r="E5547" s="2">
        <v>50</v>
      </c>
      <c r="F5547" s="2">
        <v>6900</v>
      </c>
      <c r="G5547" s="2">
        <v>7245</v>
      </c>
    </row>
    <row r="5548" spans="1:8" x14ac:dyDescent="0.3">
      <c r="A5548" t="s">
        <v>2069</v>
      </c>
      <c r="B5548" t="s">
        <v>839</v>
      </c>
      <c r="C5548" t="s">
        <v>138</v>
      </c>
      <c r="D5548">
        <v>2020</v>
      </c>
      <c r="E5548" s="2">
        <v>25</v>
      </c>
      <c r="F5548" s="2">
        <v>3450</v>
      </c>
      <c r="G5548" s="2">
        <v>3622.5</v>
      </c>
    </row>
    <row r="5549" spans="1:8" x14ac:dyDescent="0.3">
      <c r="A5549" t="s">
        <v>2069</v>
      </c>
      <c r="B5549" t="s">
        <v>332</v>
      </c>
      <c r="C5549" t="s">
        <v>333</v>
      </c>
      <c r="D5549">
        <v>2017</v>
      </c>
      <c r="E5549" s="2">
        <v>100</v>
      </c>
      <c r="F5549" s="2">
        <v>8200</v>
      </c>
      <c r="G5549" s="2"/>
    </row>
    <row r="5550" spans="1:8" x14ac:dyDescent="0.3">
      <c r="A5550" t="s">
        <v>2069</v>
      </c>
      <c r="B5550" t="s">
        <v>332</v>
      </c>
      <c r="C5550" t="s">
        <v>333</v>
      </c>
      <c r="D5550">
        <v>2020</v>
      </c>
      <c r="E5550" s="2">
        <v>50</v>
      </c>
      <c r="F5550" s="2">
        <v>4100</v>
      </c>
      <c r="G5550" s="2">
        <v>4305</v>
      </c>
    </row>
    <row r="5551" spans="1:8" x14ac:dyDescent="0.3">
      <c r="A5551" t="s">
        <v>2069</v>
      </c>
      <c r="B5551" t="s">
        <v>196</v>
      </c>
      <c r="C5551" t="s">
        <v>197</v>
      </c>
      <c r="D5551">
        <v>2017</v>
      </c>
      <c r="E5551" s="2">
        <v>100</v>
      </c>
      <c r="F5551" s="2">
        <v>12500</v>
      </c>
      <c r="G5551" s="2"/>
    </row>
    <row r="5552" spans="1:8" x14ac:dyDescent="0.3">
      <c r="A5552" t="s">
        <v>2069</v>
      </c>
      <c r="B5552" t="s">
        <v>196</v>
      </c>
      <c r="C5552" t="s">
        <v>197</v>
      </c>
      <c r="D5552">
        <v>2018</v>
      </c>
      <c r="E5552" s="2">
        <v>250</v>
      </c>
      <c r="F5552" s="2">
        <v>31250</v>
      </c>
      <c r="G5552" s="2">
        <v>32812.5</v>
      </c>
    </row>
    <row r="5553" spans="1:8" x14ac:dyDescent="0.3">
      <c r="A5553" t="s">
        <v>2069</v>
      </c>
      <c r="B5553" t="s">
        <v>196</v>
      </c>
      <c r="C5553" t="s">
        <v>197</v>
      </c>
      <c r="D5553">
        <v>2019</v>
      </c>
      <c r="E5553" s="2">
        <v>350</v>
      </c>
      <c r="F5553" s="2">
        <v>42700</v>
      </c>
      <c r="G5553" s="2">
        <v>44835</v>
      </c>
    </row>
    <row r="5554" spans="1:8" x14ac:dyDescent="0.3">
      <c r="A5554" t="s">
        <v>2069</v>
      </c>
      <c r="B5554" t="s">
        <v>383</v>
      </c>
      <c r="C5554" t="s">
        <v>384</v>
      </c>
      <c r="D5554">
        <v>2019</v>
      </c>
      <c r="E5554" s="2">
        <v>50</v>
      </c>
      <c r="F5554" s="2">
        <v>6100</v>
      </c>
      <c r="G5554" s="2">
        <v>6405</v>
      </c>
    </row>
    <row r="5555" spans="1:8" x14ac:dyDescent="0.3">
      <c r="A5555" t="s">
        <v>2069</v>
      </c>
      <c r="B5555" t="s">
        <v>383</v>
      </c>
      <c r="C5555" t="s">
        <v>384</v>
      </c>
      <c r="D5555">
        <v>2020</v>
      </c>
      <c r="E5555" s="2">
        <v>125</v>
      </c>
      <c r="F5555" s="2">
        <v>15250</v>
      </c>
      <c r="G5555" s="2">
        <v>16012.5</v>
      </c>
    </row>
    <row r="5556" spans="1:8" x14ac:dyDescent="0.3">
      <c r="A5556" t="s">
        <v>2069</v>
      </c>
      <c r="B5556" t="s">
        <v>383</v>
      </c>
      <c r="C5556" t="s">
        <v>385</v>
      </c>
      <c r="D5556">
        <v>2021</v>
      </c>
      <c r="E5556" s="2">
        <v>100</v>
      </c>
      <c r="F5556" s="2">
        <v>12200</v>
      </c>
      <c r="G5556" s="2">
        <v>12810</v>
      </c>
      <c r="H5556" s="3" t="s">
        <v>14</v>
      </c>
    </row>
    <row r="5557" spans="1:8" x14ac:dyDescent="0.3">
      <c r="A5557" t="s">
        <v>2069</v>
      </c>
      <c r="B5557" t="s">
        <v>320</v>
      </c>
      <c r="C5557" t="s">
        <v>414</v>
      </c>
      <c r="D5557">
        <v>2017</v>
      </c>
      <c r="E5557" s="2">
        <v>25</v>
      </c>
      <c r="F5557" s="2">
        <v>5000</v>
      </c>
      <c r="G5557" s="2"/>
    </row>
    <row r="5558" spans="1:8" x14ac:dyDescent="0.3">
      <c r="A5558" t="s">
        <v>2069</v>
      </c>
      <c r="B5558" t="s">
        <v>320</v>
      </c>
      <c r="C5558" t="s">
        <v>414</v>
      </c>
      <c r="D5558">
        <v>2018</v>
      </c>
      <c r="E5558" s="2">
        <v>75</v>
      </c>
      <c r="F5558" s="2">
        <v>15000</v>
      </c>
      <c r="G5558" s="2">
        <v>15750</v>
      </c>
    </row>
    <row r="5559" spans="1:8" x14ac:dyDescent="0.3">
      <c r="A5559" t="s">
        <v>2069</v>
      </c>
      <c r="B5559" t="s">
        <v>320</v>
      </c>
      <c r="C5559" t="s">
        <v>414</v>
      </c>
      <c r="D5559">
        <v>2019</v>
      </c>
      <c r="E5559" s="2">
        <v>25</v>
      </c>
      <c r="F5559" s="2">
        <v>5000</v>
      </c>
      <c r="G5559" s="2">
        <v>5250</v>
      </c>
    </row>
    <row r="5560" spans="1:8" x14ac:dyDescent="0.3">
      <c r="A5560" t="s">
        <v>2069</v>
      </c>
      <c r="B5560" t="s">
        <v>320</v>
      </c>
      <c r="C5560" t="s">
        <v>414</v>
      </c>
      <c r="D5560">
        <v>2020</v>
      </c>
      <c r="E5560" s="2">
        <v>5</v>
      </c>
      <c r="F5560" s="2">
        <v>1000</v>
      </c>
      <c r="G5560" s="2">
        <v>1050</v>
      </c>
    </row>
    <row r="5561" spans="1:8" x14ac:dyDescent="0.3">
      <c r="A5561" t="s">
        <v>2069</v>
      </c>
      <c r="B5561" t="s">
        <v>151</v>
      </c>
      <c r="C5561" t="s">
        <v>152</v>
      </c>
      <c r="D5561">
        <v>2020</v>
      </c>
      <c r="E5561" s="2">
        <v>25</v>
      </c>
      <c r="F5561" s="2">
        <v>5000</v>
      </c>
      <c r="G5561" s="2">
        <v>5250</v>
      </c>
    </row>
    <row r="5562" spans="1:8" x14ac:dyDescent="0.3">
      <c r="A5562" t="s">
        <v>2073</v>
      </c>
      <c r="B5562" t="s">
        <v>34</v>
      </c>
      <c r="D5562">
        <v>2021</v>
      </c>
      <c r="E5562" s="2">
        <v>1</v>
      </c>
      <c r="F5562" s="2">
        <v>80</v>
      </c>
      <c r="G5562" s="2">
        <v>80</v>
      </c>
      <c r="H5562" s="3" t="s">
        <v>18</v>
      </c>
    </row>
    <row r="5563" spans="1:8" x14ac:dyDescent="0.3">
      <c r="A5563" t="s">
        <v>2073</v>
      </c>
      <c r="B5563" t="s">
        <v>35</v>
      </c>
      <c r="D5563">
        <v>2021</v>
      </c>
      <c r="E5563" s="2">
        <v>1</v>
      </c>
      <c r="F5563" s="2">
        <v>80</v>
      </c>
      <c r="G5563" s="2">
        <v>80</v>
      </c>
      <c r="H5563" s="3" t="s">
        <v>18</v>
      </c>
    </row>
    <row r="5564" spans="1:8" x14ac:dyDescent="0.3">
      <c r="A5564" t="s">
        <v>2074</v>
      </c>
      <c r="B5564" t="s">
        <v>633</v>
      </c>
      <c r="C5564" t="s">
        <v>634</v>
      </c>
      <c r="D5564">
        <v>2017</v>
      </c>
      <c r="E5564" s="2">
        <v>1</v>
      </c>
      <c r="F5564" s="2">
        <v>90</v>
      </c>
      <c r="G5564" s="2"/>
    </row>
    <row r="5565" spans="1:8" x14ac:dyDescent="0.3">
      <c r="A5565" t="s">
        <v>2074</v>
      </c>
      <c r="B5565" t="s">
        <v>567</v>
      </c>
      <c r="C5565" t="s">
        <v>698</v>
      </c>
      <c r="D5565">
        <v>2017</v>
      </c>
      <c r="E5565" s="2">
        <v>1</v>
      </c>
      <c r="F5565" s="2">
        <v>75</v>
      </c>
      <c r="G5565" s="2"/>
    </row>
    <row r="5566" spans="1:8" x14ac:dyDescent="0.3">
      <c r="A5566" t="s">
        <v>2074</v>
      </c>
      <c r="B5566" t="s">
        <v>187</v>
      </c>
      <c r="C5566" t="s">
        <v>188</v>
      </c>
      <c r="D5566">
        <v>2017</v>
      </c>
      <c r="E5566" s="2">
        <v>2</v>
      </c>
      <c r="F5566" s="2">
        <v>160</v>
      </c>
      <c r="G5566" s="2"/>
    </row>
    <row r="5567" spans="1:8" x14ac:dyDescent="0.3">
      <c r="A5567" t="s">
        <v>2074</v>
      </c>
      <c r="B5567" t="s">
        <v>46</v>
      </c>
      <c r="C5567" t="s">
        <v>47</v>
      </c>
      <c r="D5567">
        <v>2017</v>
      </c>
      <c r="E5567" s="2">
        <v>2</v>
      </c>
      <c r="F5567" s="2">
        <v>130</v>
      </c>
      <c r="G5567" s="2"/>
    </row>
    <row r="5568" spans="1:8" x14ac:dyDescent="0.3">
      <c r="A5568" t="s">
        <v>2075</v>
      </c>
      <c r="B5568" t="s">
        <v>1334</v>
      </c>
      <c r="C5568" t="s">
        <v>1335</v>
      </c>
      <c r="D5568">
        <v>2020</v>
      </c>
      <c r="E5568" s="2">
        <v>3</v>
      </c>
      <c r="F5568" s="2">
        <v>175</v>
      </c>
      <c r="G5568" s="2">
        <v>183.75</v>
      </c>
    </row>
    <row r="5569" spans="1:8" x14ac:dyDescent="0.3">
      <c r="A5569" t="s">
        <v>2075</v>
      </c>
      <c r="B5569" t="s">
        <v>2076</v>
      </c>
      <c r="D5569">
        <v>2020</v>
      </c>
      <c r="E5569" s="2">
        <v>205</v>
      </c>
      <c r="F5569" s="2">
        <v>11975</v>
      </c>
      <c r="G5569" s="2">
        <v>12573.75</v>
      </c>
      <c r="H5569" s="3" t="s">
        <v>2077</v>
      </c>
    </row>
    <row r="5570" spans="1:8" x14ac:dyDescent="0.3">
      <c r="A5570" t="s">
        <v>2075</v>
      </c>
      <c r="B5570" t="s">
        <v>2076</v>
      </c>
      <c r="D5570">
        <v>2021</v>
      </c>
      <c r="E5570" s="2">
        <v>125</v>
      </c>
      <c r="F5570" s="2">
        <v>7250</v>
      </c>
      <c r="G5570" s="2">
        <v>7612.5</v>
      </c>
      <c r="H5570" s="3" t="s">
        <v>2077</v>
      </c>
    </row>
    <row r="5571" spans="1:8" x14ac:dyDescent="0.3">
      <c r="A5571" t="s">
        <v>2075</v>
      </c>
      <c r="B5571" t="s">
        <v>1339</v>
      </c>
      <c r="C5571" t="s">
        <v>1340</v>
      </c>
      <c r="D5571">
        <v>2020</v>
      </c>
      <c r="E5571" s="2">
        <v>35</v>
      </c>
      <c r="F5571" s="2">
        <v>2800</v>
      </c>
      <c r="G5571" s="2">
        <v>2940</v>
      </c>
    </row>
    <row r="5572" spans="1:8" x14ac:dyDescent="0.3">
      <c r="A5572" t="s">
        <v>2078</v>
      </c>
      <c r="B5572" t="s">
        <v>627</v>
      </c>
      <c r="C5572" t="s">
        <v>628</v>
      </c>
      <c r="D5572">
        <v>2020</v>
      </c>
      <c r="E5572" s="2">
        <v>3</v>
      </c>
      <c r="F5572" s="2">
        <v>240</v>
      </c>
      <c r="G5572" s="2">
        <v>252</v>
      </c>
    </row>
    <row r="5573" spans="1:8" x14ac:dyDescent="0.3">
      <c r="A5573" t="s">
        <v>2078</v>
      </c>
      <c r="B5573" t="s">
        <v>596</v>
      </c>
      <c r="D5573">
        <v>2020</v>
      </c>
      <c r="E5573" s="2">
        <v>3</v>
      </c>
      <c r="F5573" s="2">
        <v>405</v>
      </c>
      <c r="G5573" s="2">
        <v>425.25</v>
      </c>
    </row>
    <row r="5574" spans="1:8" x14ac:dyDescent="0.3">
      <c r="A5574" t="s">
        <v>2078</v>
      </c>
      <c r="B5574" t="s">
        <v>516</v>
      </c>
      <c r="D5574">
        <v>2020</v>
      </c>
      <c r="E5574" s="2">
        <v>3</v>
      </c>
      <c r="F5574" s="2">
        <v>610.71428571428601</v>
      </c>
      <c r="G5574" s="2">
        <v>641.25</v>
      </c>
    </row>
    <row r="5575" spans="1:8" x14ac:dyDescent="0.3">
      <c r="A5575" t="s">
        <v>2078</v>
      </c>
      <c r="B5575" t="s">
        <v>679</v>
      </c>
      <c r="C5575" t="s">
        <v>680</v>
      </c>
      <c r="D5575">
        <v>2020</v>
      </c>
      <c r="E5575" s="2">
        <v>3</v>
      </c>
      <c r="F5575" s="2">
        <v>270</v>
      </c>
      <c r="G5575" s="2">
        <v>283.5</v>
      </c>
    </row>
    <row r="5576" spans="1:8" x14ac:dyDescent="0.3">
      <c r="A5576" t="s">
        <v>2079</v>
      </c>
      <c r="B5576" t="s">
        <v>1472</v>
      </c>
      <c r="C5576" t="s">
        <v>394</v>
      </c>
      <c r="D5576">
        <v>2012</v>
      </c>
      <c r="E5576" s="2">
        <v>5</v>
      </c>
      <c r="F5576" s="2">
        <v>800</v>
      </c>
      <c r="G5576" s="2"/>
    </row>
    <row r="5577" spans="1:8" x14ac:dyDescent="0.3">
      <c r="A5577" t="s">
        <v>2079</v>
      </c>
      <c r="B5577" t="s">
        <v>280</v>
      </c>
      <c r="C5577" t="s">
        <v>2080</v>
      </c>
      <c r="D5577">
        <v>2012</v>
      </c>
      <c r="E5577" s="2">
        <v>25</v>
      </c>
      <c r="F5577" s="2">
        <v>5750</v>
      </c>
      <c r="G5577" s="2"/>
    </row>
    <row r="5578" spans="1:8" x14ac:dyDescent="0.3">
      <c r="A5578" t="s">
        <v>2079</v>
      </c>
      <c r="B5578" t="s">
        <v>219</v>
      </c>
      <c r="C5578" t="s">
        <v>220</v>
      </c>
      <c r="D5578">
        <v>2012</v>
      </c>
      <c r="E5578" s="2">
        <v>25</v>
      </c>
      <c r="F5578" s="2">
        <v>6000</v>
      </c>
      <c r="G5578" s="2"/>
    </row>
    <row r="5579" spans="1:8" x14ac:dyDescent="0.3">
      <c r="A5579" t="s">
        <v>2079</v>
      </c>
      <c r="B5579" t="s">
        <v>2081</v>
      </c>
      <c r="C5579" t="s">
        <v>2082</v>
      </c>
      <c r="D5579">
        <v>2012</v>
      </c>
      <c r="E5579" s="2">
        <v>10</v>
      </c>
      <c r="F5579" s="2">
        <v>1800</v>
      </c>
      <c r="G5579" s="2"/>
    </row>
    <row r="5580" spans="1:8" x14ac:dyDescent="0.3">
      <c r="A5580" t="s">
        <v>2079</v>
      </c>
      <c r="B5580" t="s">
        <v>560</v>
      </c>
      <c r="C5580" t="s">
        <v>561</v>
      </c>
      <c r="D5580">
        <v>2012</v>
      </c>
      <c r="E5580" s="2">
        <v>25</v>
      </c>
      <c r="F5580" s="2">
        <v>6000</v>
      </c>
      <c r="G5580" s="2"/>
    </row>
    <row r="5581" spans="1:8" x14ac:dyDescent="0.3">
      <c r="A5581" t="s">
        <v>2079</v>
      </c>
      <c r="B5581" t="s">
        <v>2083</v>
      </c>
      <c r="C5581" t="s">
        <v>123</v>
      </c>
      <c r="D5581">
        <v>2012</v>
      </c>
      <c r="E5581" s="2">
        <v>15</v>
      </c>
      <c r="F5581" s="2">
        <v>3375</v>
      </c>
      <c r="G5581" s="2"/>
    </row>
    <row r="5582" spans="1:8" x14ac:dyDescent="0.3">
      <c r="A5582" t="s">
        <v>2079</v>
      </c>
      <c r="B5582" t="s">
        <v>135</v>
      </c>
      <c r="C5582" t="s">
        <v>136</v>
      </c>
      <c r="D5582">
        <v>2012</v>
      </c>
      <c r="E5582" s="2">
        <v>5</v>
      </c>
      <c r="F5582" s="2">
        <v>900</v>
      </c>
      <c r="G5582" s="2"/>
    </row>
    <row r="5583" spans="1:8" x14ac:dyDescent="0.3">
      <c r="A5583" t="s">
        <v>2079</v>
      </c>
      <c r="B5583" t="s">
        <v>137</v>
      </c>
      <c r="C5583" t="s">
        <v>138</v>
      </c>
      <c r="D5583">
        <v>2011</v>
      </c>
      <c r="E5583" s="2">
        <v>35</v>
      </c>
      <c r="F5583" s="2">
        <v>6350</v>
      </c>
      <c r="G5583" s="2"/>
    </row>
    <row r="5584" spans="1:8" x14ac:dyDescent="0.3">
      <c r="A5584" t="s">
        <v>2079</v>
      </c>
      <c r="B5584" t="s">
        <v>137</v>
      </c>
      <c r="C5584" t="s">
        <v>138</v>
      </c>
      <c r="D5584">
        <v>2012</v>
      </c>
      <c r="E5584" s="2">
        <v>65</v>
      </c>
      <c r="F5584" s="2">
        <v>11700</v>
      </c>
      <c r="G5584" s="2"/>
    </row>
    <row r="5585" spans="1:7" x14ac:dyDescent="0.3">
      <c r="A5585" t="s">
        <v>2079</v>
      </c>
      <c r="B5585" t="s">
        <v>137</v>
      </c>
      <c r="C5585" t="s">
        <v>138</v>
      </c>
      <c r="D5585">
        <v>2013</v>
      </c>
      <c r="E5585" s="2">
        <v>45</v>
      </c>
      <c r="F5585" s="2">
        <v>8100</v>
      </c>
      <c r="G5585" s="2"/>
    </row>
    <row r="5586" spans="1:7" x14ac:dyDescent="0.3">
      <c r="A5586" t="s">
        <v>2079</v>
      </c>
      <c r="B5586" t="s">
        <v>1308</v>
      </c>
      <c r="C5586" t="s">
        <v>1309</v>
      </c>
      <c r="D5586">
        <v>2012</v>
      </c>
      <c r="E5586" s="2">
        <v>25</v>
      </c>
      <c r="F5586" s="2">
        <v>4500</v>
      </c>
      <c r="G5586" s="2"/>
    </row>
    <row r="5587" spans="1:7" x14ac:dyDescent="0.3">
      <c r="A5587" t="s">
        <v>2079</v>
      </c>
      <c r="B5587" t="s">
        <v>857</v>
      </c>
      <c r="C5587" t="s">
        <v>858</v>
      </c>
      <c r="D5587">
        <v>2012</v>
      </c>
      <c r="E5587" s="2">
        <v>5</v>
      </c>
      <c r="F5587" s="2">
        <v>1450</v>
      </c>
      <c r="G5587" s="2"/>
    </row>
    <row r="5588" spans="1:7" x14ac:dyDescent="0.3">
      <c r="A5588" t="s">
        <v>2079</v>
      </c>
      <c r="B5588" t="s">
        <v>2084</v>
      </c>
      <c r="C5588" t="s">
        <v>2085</v>
      </c>
      <c r="D5588">
        <v>2012</v>
      </c>
      <c r="E5588" s="2">
        <v>10</v>
      </c>
      <c r="F5588" s="2">
        <v>3200</v>
      </c>
      <c r="G5588" s="2"/>
    </row>
    <row r="5589" spans="1:7" x14ac:dyDescent="0.3">
      <c r="A5589" t="s">
        <v>2079</v>
      </c>
      <c r="B5589" t="s">
        <v>2086</v>
      </c>
      <c r="C5589" t="s">
        <v>2087</v>
      </c>
      <c r="D5589">
        <v>2012</v>
      </c>
      <c r="E5589" s="2">
        <v>5</v>
      </c>
      <c r="F5589" s="2">
        <v>1600</v>
      </c>
      <c r="G5589" s="2"/>
    </row>
    <row r="5590" spans="1:7" x14ac:dyDescent="0.3">
      <c r="A5590" t="s">
        <v>2088</v>
      </c>
      <c r="B5590" t="s">
        <v>26</v>
      </c>
      <c r="C5590" t="s">
        <v>27</v>
      </c>
      <c r="D5590">
        <v>2015</v>
      </c>
      <c r="E5590" s="2">
        <v>3</v>
      </c>
      <c r="F5590" s="2">
        <v>240</v>
      </c>
      <c r="G5590" s="2"/>
    </row>
    <row r="5591" spans="1:7" x14ac:dyDescent="0.3">
      <c r="A5591" t="s">
        <v>2088</v>
      </c>
      <c r="B5591" t="s">
        <v>39</v>
      </c>
      <c r="D5591">
        <v>2017</v>
      </c>
      <c r="E5591" s="2">
        <v>5</v>
      </c>
      <c r="F5591" s="2">
        <v>1650</v>
      </c>
      <c r="G5591" s="2"/>
    </row>
    <row r="5592" spans="1:7" x14ac:dyDescent="0.3">
      <c r="A5592" t="s">
        <v>2088</v>
      </c>
      <c r="B5592" t="s">
        <v>28</v>
      </c>
      <c r="D5592">
        <v>2015</v>
      </c>
      <c r="E5592" s="2">
        <v>5</v>
      </c>
      <c r="F5592" s="2">
        <v>2500</v>
      </c>
      <c r="G5592" s="2"/>
    </row>
    <row r="5593" spans="1:7" x14ac:dyDescent="0.3">
      <c r="A5593" t="s">
        <v>2088</v>
      </c>
      <c r="B5593" t="s">
        <v>28</v>
      </c>
      <c r="D5593">
        <v>2016</v>
      </c>
      <c r="E5593" s="2">
        <v>27</v>
      </c>
      <c r="F5593" s="2">
        <v>14140</v>
      </c>
      <c r="G5593" s="2"/>
    </row>
    <row r="5594" spans="1:7" x14ac:dyDescent="0.3">
      <c r="A5594" t="s">
        <v>2088</v>
      </c>
      <c r="B5594" t="s">
        <v>29</v>
      </c>
      <c r="D5594">
        <v>2016</v>
      </c>
      <c r="E5594" s="2">
        <v>106</v>
      </c>
      <c r="F5594" s="2">
        <v>57240</v>
      </c>
      <c r="G5594" s="2"/>
    </row>
    <row r="5595" spans="1:7" x14ac:dyDescent="0.3">
      <c r="A5595" t="s">
        <v>2088</v>
      </c>
      <c r="B5595" t="s">
        <v>29</v>
      </c>
      <c r="D5595">
        <v>2017</v>
      </c>
      <c r="E5595" s="2">
        <v>15</v>
      </c>
      <c r="F5595" s="2">
        <v>8100</v>
      </c>
      <c r="G5595" s="2"/>
    </row>
    <row r="5596" spans="1:7" x14ac:dyDescent="0.3">
      <c r="A5596" t="s">
        <v>2088</v>
      </c>
      <c r="B5596" t="s">
        <v>2089</v>
      </c>
      <c r="D5596">
        <v>2015</v>
      </c>
      <c r="E5596" s="2">
        <v>27</v>
      </c>
      <c r="F5596" s="2">
        <v>14580</v>
      </c>
      <c r="G5596" s="2"/>
    </row>
    <row r="5597" spans="1:7" x14ac:dyDescent="0.3">
      <c r="A5597" t="s">
        <v>2088</v>
      </c>
      <c r="B5597" t="s">
        <v>2089</v>
      </c>
      <c r="D5597">
        <v>2016</v>
      </c>
      <c r="E5597" s="2">
        <v>4</v>
      </c>
      <c r="F5597" s="2">
        <v>2160</v>
      </c>
      <c r="G5597" s="2"/>
    </row>
    <row r="5598" spans="1:7" x14ac:dyDescent="0.3">
      <c r="A5598" t="s">
        <v>2088</v>
      </c>
      <c r="B5598" t="s">
        <v>240</v>
      </c>
      <c r="D5598">
        <v>2017</v>
      </c>
      <c r="E5598" s="2">
        <v>20</v>
      </c>
      <c r="F5598" s="2">
        <v>1800</v>
      </c>
      <c r="G5598" s="2"/>
    </row>
    <row r="5599" spans="1:7" x14ac:dyDescent="0.3">
      <c r="A5599" t="s">
        <v>2088</v>
      </c>
      <c r="B5599" t="s">
        <v>32</v>
      </c>
      <c r="D5599">
        <v>2015</v>
      </c>
      <c r="E5599" s="2">
        <v>40</v>
      </c>
      <c r="F5599" s="2">
        <v>3400</v>
      </c>
      <c r="G5599" s="2"/>
    </row>
    <row r="5600" spans="1:7" x14ac:dyDescent="0.3">
      <c r="A5600" t="s">
        <v>2088</v>
      </c>
      <c r="B5600" t="s">
        <v>32</v>
      </c>
      <c r="D5600">
        <v>2017</v>
      </c>
      <c r="E5600" s="2">
        <v>20</v>
      </c>
      <c r="F5600" s="2">
        <v>1700</v>
      </c>
      <c r="G5600" s="2"/>
    </row>
    <row r="5601" spans="1:8" x14ac:dyDescent="0.3">
      <c r="A5601" t="s">
        <v>2090</v>
      </c>
      <c r="B5601" t="s">
        <v>532</v>
      </c>
      <c r="C5601" t="s">
        <v>452</v>
      </c>
      <c r="D5601">
        <v>2021</v>
      </c>
      <c r="E5601" s="2">
        <v>5</v>
      </c>
      <c r="F5601" s="2">
        <v>375</v>
      </c>
      <c r="G5601" s="2">
        <v>393.75</v>
      </c>
      <c r="H5601" s="3" t="s">
        <v>14</v>
      </c>
    </row>
    <row r="5602" spans="1:8" x14ac:dyDescent="0.3">
      <c r="A5602" t="s">
        <v>2090</v>
      </c>
      <c r="B5602" t="s">
        <v>665</v>
      </c>
      <c r="D5602">
        <v>2020</v>
      </c>
      <c r="E5602" s="2">
        <v>1</v>
      </c>
      <c r="F5602" s="2">
        <v>105</v>
      </c>
      <c r="G5602" s="2">
        <v>110.25</v>
      </c>
    </row>
    <row r="5603" spans="1:8" x14ac:dyDescent="0.3">
      <c r="A5603" t="s">
        <v>2090</v>
      </c>
      <c r="B5603" t="s">
        <v>696</v>
      </c>
      <c r="C5603" t="s">
        <v>697</v>
      </c>
      <c r="D5603">
        <v>2020</v>
      </c>
      <c r="E5603" s="2">
        <v>10</v>
      </c>
      <c r="F5603" s="2">
        <v>750</v>
      </c>
      <c r="G5603" s="2">
        <v>787.5</v>
      </c>
    </row>
    <row r="5604" spans="1:8" x14ac:dyDescent="0.3">
      <c r="A5604" t="s">
        <v>2090</v>
      </c>
      <c r="B5604" t="s">
        <v>35</v>
      </c>
      <c r="D5604">
        <v>2020</v>
      </c>
      <c r="E5604" s="2">
        <v>1</v>
      </c>
      <c r="F5604" s="2">
        <v>90</v>
      </c>
      <c r="G5604" s="2">
        <v>94.5</v>
      </c>
    </row>
    <row r="5605" spans="1:8" x14ac:dyDescent="0.3">
      <c r="A5605" t="s">
        <v>2090</v>
      </c>
      <c r="B5605" t="s">
        <v>19</v>
      </c>
      <c r="C5605" t="s">
        <v>20</v>
      </c>
      <c r="D5605">
        <v>2021</v>
      </c>
      <c r="E5605" s="2">
        <v>6</v>
      </c>
      <c r="F5605" s="2">
        <v>480</v>
      </c>
      <c r="G5605" s="2">
        <v>504</v>
      </c>
      <c r="H5605" s="3" t="s">
        <v>14</v>
      </c>
    </row>
    <row r="5606" spans="1:8" x14ac:dyDescent="0.3">
      <c r="A5606" t="s">
        <v>2090</v>
      </c>
      <c r="B5606" t="s">
        <v>671</v>
      </c>
      <c r="C5606" t="s">
        <v>672</v>
      </c>
      <c r="D5606">
        <v>2020</v>
      </c>
      <c r="E5606" s="2">
        <v>1</v>
      </c>
      <c r="F5606" s="2">
        <v>50</v>
      </c>
      <c r="G5606" s="2">
        <v>52.5</v>
      </c>
      <c r="H5606" s="3" t="s">
        <v>14</v>
      </c>
    </row>
    <row r="5607" spans="1:8" x14ac:dyDescent="0.3">
      <c r="A5607" t="s">
        <v>2090</v>
      </c>
      <c r="B5607" t="s">
        <v>671</v>
      </c>
      <c r="C5607" t="s">
        <v>672</v>
      </c>
      <c r="D5607">
        <v>2021</v>
      </c>
      <c r="E5607" s="2">
        <v>25</v>
      </c>
      <c r="F5607" s="2">
        <v>1200</v>
      </c>
      <c r="G5607" s="2">
        <v>1260</v>
      </c>
      <c r="H5607" s="3" t="s">
        <v>14</v>
      </c>
    </row>
    <row r="5608" spans="1:8" x14ac:dyDescent="0.3">
      <c r="A5608" t="s">
        <v>2090</v>
      </c>
      <c r="B5608" t="s">
        <v>110</v>
      </c>
      <c r="C5608" t="s">
        <v>111</v>
      </c>
      <c r="D5608">
        <v>2020</v>
      </c>
      <c r="E5608" s="2">
        <v>1</v>
      </c>
      <c r="F5608" s="2">
        <v>45</v>
      </c>
      <c r="G5608" s="2">
        <v>47.25</v>
      </c>
    </row>
    <row r="5609" spans="1:8" x14ac:dyDescent="0.3">
      <c r="A5609" t="s">
        <v>2090</v>
      </c>
      <c r="B5609" t="s">
        <v>813</v>
      </c>
      <c r="C5609" t="s">
        <v>814</v>
      </c>
      <c r="D5609">
        <v>2021</v>
      </c>
      <c r="E5609" s="2">
        <v>6</v>
      </c>
      <c r="F5609" s="2">
        <v>480</v>
      </c>
      <c r="G5609" s="2">
        <v>504</v>
      </c>
      <c r="H5609" s="3" t="s">
        <v>18</v>
      </c>
    </row>
    <row r="5610" spans="1:8" x14ac:dyDescent="0.3">
      <c r="A5610" t="s">
        <v>2090</v>
      </c>
      <c r="B5610" t="s">
        <v>36</v>
      </c>
      <c r="D5610">
        <v>2020</v>
      </c>
      <c r="E5610" s="2">
        <v>1</v>
      </c>
      <c r="F5610" s="2">
        <v>85</v>
      </c>
      <c r="G5610" s="2">
        <v>89.25</v>
      </c>
    </row>
    <row r="5611" spans="1:8" x14ac:dyDescent="0.3">
      <c r="A5611" t="s">
        <v>2090</v>
      </c>
      <c r="B5611" t="s">
        <v>674</v>
      </c>
      <c r="C5611" t="s">
        <v>675</v>
      </c>
      <c r="D5611">
        <v>2020</v>
      </c>
      <c r="E5611" s="2">
        <v>10</v>
      </c>
      <c r="F5611" s="2">
        <v>750</v>
      </c>
      <c r="G5611" s="2">
        <v>787.5</v>
      </c>
      <c r="H5611" s="3" t="s">
        <v>14</v>
      </c>
    </row>
    <row r="5612" spans="1:8" x14ac:dyDescent="0.3">
      <c r="A5612" t="s">
        <v>2090</v>
      </c>
      <c r="B5612" t="s">
        <v>674</v>
      </c>
      <c r="C5612" t="s">
        <v>675</v>
      </c>
      <c r="D5612">
        <v>2021</v>
      </c>
      <c r="E5612" s="2">
        <v>5</v>
      </c>
      <c r="F5612" s="2">
        <v>375</v>
      </c>
      <c r="G5612" s="2">
        <v>393.75</v>
      </c>
      <c r="H5612" s="3" t="s">
        <v>14</v>
      </c>
    </row>
    <row r="5613" spans="1:8" x14ac:dyDescent="0.3">
      <c r="A5613" t="s">
        <v>2090</v>
      </c>
      <c r="B5613" t="s">
        <v>496</v>
      </c>
      <c r="C5613" t="s">
        <v>497</v>
      </c>
      <c r="D5613">
        <v>2021</v>
      </c>
      <c r="E5613" s="2">
        <v>1</v>
      </c>
      <c r="F5613" s="2">
        <v>75</v>
      </c>
      <c r="G5613" s="2">
        <v>78.75</v>
      </c>
      <c r="H5613" s="3" t="s">
        <v>374</v>
      </c>
    </row>
    <row r="5614" spans="1:8" x14ac:dyDescent="0.3">
      <c r="A5614" t="s">
        <v>2090</v>
      </c>
      <c r="B5614" t="s">
        <v>46</v>
      </c>
      <c r="D5614">
        <v>2021</v>
      </c>
      <c r="E5614" s="2">
        <v>5</v>
      </c>
      <c r="F5614" s="2">
        <v>325</v>
      </c>
      <c r="G5614" s="2">
        <v>341.25</v>
      </c>
      <c r="H5614" s="3" t="s">
        <v>2091</v>
      </c>
    </row>
    <row r="5615" spans="1:8" x14ac:dyDescent="0.3">
      <c r="A5615" t="s">
        <v>2092</v>
      </c>
      <c r="B5615" t="s">
        <v>41</v>
      </c>
      <c r="C5615" t="s">
        <v>42</v>
      </c>
      <c r="D5615">
        <v>2011</v>
      </c>
      <c r="E5615" s="2">
        <v>25</v>
      </c>
      <c r="F5615" s="2">
        <v>1875</v>
      </c>
      <c r="G5615" s="2"/>
    </row>
    <row r="5616" spans="1:8" x14ac:dyDescent="0.3">
      <c r="A5616" t="s">
        <v>2092</v>
      </c>
      <c r="B5616" t="s">
        <v>41</v>
      </c>
      <c r="C5616" t="s">
        <v>908</v>
      </c>
      <c r="D5616">
        <v>2011</v>
      </c>
      <c r="E5616" s="2">
        <v>25</v>
      </c>
      <c r="F5616" s="2">
        <v>2250</v>
      </c>
      <c r="G5616" s="2"/>
    </row>
    <row r="5617" spans="1:7" x14ac:dyDescent="0.3">
      <c r="A5617" t="s">
        <v>2092</v>
      </c>
      <c r="B5617" t="s">
        <v>41</v>
      </c>
      <c r="C5617" t="s">
        <v>42</v>
      </c>
      <c r="D5617">
        <v>2013</v>
      </c>
      <c r="E5617" s="2">
        <v>449</v>
      </c>
      <c r="F5617" s="2">
        <v>25450</v>
      </c>
      <c r="G5617" s="2"/>
    </row>
    <row r="5618" spans="1:7" x14ac:dyDescent="0.3">
      <c r="A5618" t="s">
        <v>2092</v>
      </c>
      <c r="B5618" t="s">
        <v>41</v>
      </c>
      <c r="C5618" t="s">
        <v>42</v>
      </c>
      <c r="D5618">
        <v>2014</v>
      </c>
      <c r="E5618" s="2">
        <v>150</v>
      </c>
      <c r="F5618" s="2">
        <v>9000</v>
      </c>
      <c r="G5618" s="2"/>
    </row>
    <row r="5619" spans="1:7" x14ac:dyDescent="0.3">
      <c r="A5619" t="s">
        <v>2092</v>
      </c>
      <c r="B5619" t="s">
        <v>41</v>
      </c>
      <c r="C5619" t="s">
        <v>63</v>
      </c>
      <c r="D5619">
        <v>2014</v>
      </c>
      <c r="E5619" s="2">
        <v>200</v>
      </c>
      <c r="F5619" s="2">
        <v>13000</v>
      </c>
      <c r="G5619" s="2"/>
    </row>
    <row r="5620" spans="1:7" x14ac:dyDescent="0.3">
      <c r="A5620" t="s">
        <v>2092</v>
      </c>
      <c r="B5620" t="s">
        <v>41</v>
      </c>
      <c r="C5620" t="s">
        <v>42</v>
      </c>
      <c r="D5620">
        <v>2015</v>
      </c>
      <c r="E5620" s="2">
        <v>200</v>
      </c>
      <c r="F5620" s="2">
        <v>13000</v>
      </c>
      <c r="G5620" s="2"/>
    </row>
    <row r="5621" spans="1:7" x14ac:dyDescent="0.3">
      <c r="A5621" t="s">
        <v>2092</v>
      </c>
      <c r="B5621" t="s">
        <v>45</v>
      </c>
      <c r="D5621">
        <v>2013</v>
      </c>
      <c r="E5621" s="2">
        <v>10</v>
      </c>
      <c r="F5621" s="2">
        <v>900</v>
      </c>
      <c r="G5621" s="2"/>
    </row>
    <row r="5622" spans="1:7" x14ac:dyDescent="0.3">
      <c r="A5622" t="s">
        <v>2092</v>
      </c>
      <c r="B5622" t="s">
        <v>45</v>
      </c>
      <c r="D5622">
        <v>2014</v>
      </c>
      <c r="E5622" s="2">
        <v>20</v>
      </c>
      <c r="F5622" s="2">
        <v>1800</v>
      </c>
      <c r="G5622" s="2"/>
    </row>
    <row r="5623" spans="1:7" x14ac:dyDescent="0.3">
      <c r="A5623" t="s">
        <v>2092</v>
      </c>
      <c r="B5623" t="s">
        <v>240</v>
      </c>
      <c r="D5623">
        <v>2015</v>
      </c>
      <c r="E5623" s="2">
        <v>1</v>
      </c>
      <c r="F5623" s="2">
        <v>120</v>
      </c>
      <c r="G5623" s="2"/>
    </row>
    <row r="5624" spans="1:7" x14ac:dyDescent="0.3">
      <c r="A5624" t="s">
        <v>2092</v>
      </c>
      <c r="B5624" t="s">
        <v>240</v>
      </c>
      <c r="D5624">
        <v>2018</v>
      </c>
      <c r="E5624" s="2">
        <v>21</v>
      </c>
      <c r="F5624" s="2">
        <v>1827</v>
      </c>
      <c r="G5624" s="2">
        <v>1918.35</v>
      </c>
    </row>
    <row r="5625" spans="1:7" x14ac:dyDescent="0.3">
      <c r="A5625" t="s">
        <v>2092</v>
      </c>
      <c r="B5625" t="s">
        <v>32</v>
      </c>
      <c r="D5625">
        <v>2013</v>
      </c>
      <c r="E5625" s="2">
        <v>79</v>
      </c>
      <c r="F5625" s="2">
        <v>7110</v>
      </c>
      <c r="G5625" s="2"/>
    </row>
    <row r="5626" spans="1:7" x14ac:dyDescent="0.3">
      <c r="A5626" t="s">
        <v>2092</v>
      </c>
      <c r="B5626" t="s">
        <v>32</v>
      </c>
      <c r="D5626">
        <v>2018</v>
      </c>
      <c r="E5626" s="2">
        <v>7</v>
      </c>
      <c r="F5626" s="2">
        <v>490</v>
      </c>
      <c r="G5626" s="2">
        <v>514.5</v>
      </c>
    </row>
    <row r="5627" spans="1:7" x14ac:dyDescent="0.3">
      <c r="A5627" t="s">
        <v>2093</v>
      </c>
      <c r="B5627" t="s">
        <v>16</v>
      </c>
      <c r="C5627" t="s">
        <v>17</v>
      </c>
      <c r="D5627">
        <v>2020</v>
      </c>
      <c r="E5627" s="2">
        <v>25</v>
      </c>
      <c r="F5627" s="2">
        <v>1875</v>
      </c>
      <c r="G5627" s="2">
        <v>1968.75</v>
      </c>
    </row>
    <row r="5628" spans="1:7" x14ac:dyDescent="0.3">
      <c r="A5628" t="s">
        <v>2093</v>
      </c>
      <c r="B5628" t="s">
        <v>269</v>
      </c>
      <c r="C5628" t="s">
        <v>270</v>
      </c>
      <c r="D5628">
        <v>2019</v>
      </c>
      <c r="E5628" s="2">
        <v>50</v>
      </c>
      <c r="F5628" s="2">
        <v>3250</v>
      </c>
      <c r="G5628" s="2">
        <v>3412.5</v>
      </c>
    </row>
    <row r="5629" spans="1:7" x14ac:dyDescent="0.3">
      <c r="A5629" t="s">
        <v>2093</v>
      </c>
      <c r="B5629" t="s">
        <v>12</v>
      </c>
      <c r="C5629" t="s">
        <v>13</v>
      </c>
      <c r="D5629">
        <v>2019</v>
      </c>
      <c r="E5629" s="2">
        <v>50</v>
      </c>
      <c r="F5629" s="2">
        <v>3250</v>
      </c>
      <c r="G5629" s="2">
        <v>3412.5</v>
      </c>
    </row>
    <row r="5630" spans="1:7" x14ac:dyDescent="0.3">
      <c r="A5630" t="s">
        <v>2094</v>
      </c>
      <c r="B5630" t="s">
        <v>586</v>
      </c>
      <c r="C5630" t="s">
        <v>587</v>
      </c>
      <c r="D5630">
        <v>2020</v>
      </c>
      <c r="E5630" s="2">
        <v>2</v>
      </c>
      <c r="F5630" s="2">
        <v>300</v>
      </c>
      <c r="G5630" s="2">
        <v>315</v>
      </c>
    </row>
    <row r="5631" spans="1:7" x14ac:dyDescent="0.3">
      <c r="A5631" t="s">
        <v>2094</v>
      </c>
      <c r="B5631" t="s">
        <v>656</v>
      </c>
      <c r="C5631" t="s">
        <v>71</v>
      </c>
      <c r="D5631">
        <v>2020</v>
      </c>
      <c r="E5631" s="2">
        <v>40</v>
      </c>
      <c r="F5631" s="2">
        <v>6000</v>
      </c>
      <c r="G5631" s="2">
        <v>6300</v>
      </c>
    </row>
    <row r="5632" spans="1:7" x14ac:dyDescent="0.3">
      <c r="A5632" t="s">
        <v>2094</v>
      </c>
      <c r="B5632" t="s">
        <v>841</v>
      </c>
      <c r="C5632" t="s">
        <v>169</v>
      </c>
      <c r="D5632">
        <v>2020</v>
      </c>
      <c r="E5632" s="2">
        <v>40</v>
      </c>
      <c r="F5632" s="2">
        <v>6000</v>
      </c>
      <c r="G5632" s="2">
        <v>6300</v>
      </c>
    </row>
    <row r="5633" spans="1:8" x14ac:dyDescent="0.3">
      <c r="A5633" t="s">
        <v>2095</v>
      </c>
      <c r="B5633" t="s">
        <v>665</v>
      </c>
      <c r="D5633">
        <v>2019</v>
      </c>
      <c r="E5633" s="2">
        <v>150</v>
      </c>
      <c r="F5633" s="2">
        <v>1500</v>
      </c>
      <c r="G5633" s="2">
        <v>1575</v>
      </c>
    </row>
    <row r="5634" spans="1:8" x14ac:dyDescent="0.3">
      <c r="A5634" t="s">
        <v>2095</v>
      </c>
      <c r="B5634" t="s">
        <v>665</v>
      </c>
      <c r="D5634">
        <v>2020</v>
      </c>
      <c r="E5634" s="2">
        <v>50</v>
      </c>
      <c r="F5634" s="2">
        <v>4800</v>
      </c>
      <c r="G5634" s="2">
        <v>5040</v>
      </c>
    </row>
    <row r="5635" spans="1:8" x14ac:dyDescent="0.3">
      <c r="A5635" t="s">
        <v>2095</v>
      </c>
      <c r="B5635" t="s">
        <v>26</v>
      </c>
      <c r="C5635" t="s">
        <v>27</v>
      </c>
      <c r="D5635">
        <v>2019</v>
      </c>
      <c r="E5635" s="2">
        <v>300</v>
      </c>
      <c r="F5635" s="2">
        <v>12600</v>
      </c>
      <c r="G5635" s="2">
        <v>13230</v>
      </c>
    </row>
    <row r="5636" spans="1:8" x14ac:dyDescent="0.3">
      <c r="A5636" t="s">
        <v>2095</v>
      </c>
      <c r="B5636" t="s">
        <v>29</v>
      </c>
      <c r="D5636">
        <v>2016</v>
      </c>
      <c r="E5636" s="2">
        <v>1</v>
      </c>
      <c r="F5636" s="2">
        <v>490</v>
      </c>
      <c r="G5636" s="2"/>
    </row>
    <row r="5637" spans="1:8" x14ac:dyDescent="0.3">
      <c r="A5637" t="s">
        <v>2095</v>
      </c>
      <c r="B5637" t="s">
        <v>761</v>
      </c>
      <c r="D5637">
        <v>2016</v>
      </c>
      <c r="E5637" s="2">
        <v>16</v>
      </c>
      <c r="F5637" s="2">
        <v>6940</v>
      </c>
      <c r="G5637" s="2"/>
    </row>
    <row r="5638" spans="1:8" x14ac:dyDescent="0.3">
      <c r="A5638" t="s">
        <v>2095</v>
      </c>
      <c r="B5638" t="s">
        <v>761</v>
      </c>
      <c r="D5638">
        <v>2018</v>
      </c>
      <c r="E5638" s="2">
        <v>1</v>
      </c>
      <c r="F5638" s="2">
        <v>300</v>
      </c>
      <c r="G5638" s="2">
        <v>315</v>
      </c>
    </row>
    <row r="5639" spans="1:8" x14ac:dyDescent="0.3">
      <c r="A5639" t="s">
        <v>2095</v>
      </c>
      <c r="B5639" t="s">
        <v>761</v>
      </c>
      <c r="D5639">
        <v>2019</v>
      </c>
      <c r="E5639" s="2">
        <v>1</v>
      </c>
      <c r="F5639" s="2">
        <v>265</v>
      </c>
      <c r="G5639" s="2">
        <v>278.25</v>
      </c>
    </row>
    <row r="5640" spans="1:8" x14ac:dyDescent="0.3">
      <c r="A5640" t="s">
        <v>2095</v>
      </c>
      <c r="B5640" t="s">
        <v>242</v>
      </c>
      <c r="D5640">
        <v>2021</v>
      </c>
      <c r="E5640" s="2">
        <v>200</v>
      </c>
      <c r="F5640" s="2">
        <v>91250</v>
      </c>
      <c r="G5640" s="2">
        <v>95812.5</v>
      </c>
      <c r="H5640" s="3" t="s">
        <v>18</v>
      </c>
    </row>
    <row r="5641" spans="1:8" x14ac:dyDescent="0.3">
      <c r="A5641" t="s">
        <v>2095</v>
      </c>
      <c r="B5641" t="s">
        <v>41</v>
      </c>
      <c r="C5641" t="s">
        <v>42</v>
      </c>
      <c r="D5641">
        <v>2015</v>
      </c>
      <c r="E5641" s="2">
        <v>250</v>
      </c>
      <c r="F5641" s="2">
        <v>16250</v>
      </c>
      <c r="G5641" s="2"/>
    </row>
    <row r="5642" spans="1:8" x14ac:dyDescent="0.3">
      <c r="A5642" t="s">
        <v>2095</v>
      </c>
      <c r="B5642" t="s">
        <v>41</v>
      </c>
      <c r="C5642" t="s">
        <v>63</v>
      </c>
      <c r="D5642">
        <v>2015</v>
      </c>
      <c r="E5642" s="2">
        <v>275</v>
      </c>
      <c r="F5642" s="2">
        <v>17875</v>
      </c>
      <c r="G5642" s="2"/>
    </row>
    <row r="5643" spans="1:8" x14ac:dyDescent="0.3">
      <c r="A5643" t="s">
        <v>2095</v>
      </c>
      <c r="B5643" t="s">
        <v>41</v>
      </c>
      <c r="C5643" t="s">
        <v>42</v>
      </c>
      <c r="D5643">
        <v>2016</v>
      </c>
      <c r="E5643" s="2">
        <v>50</v>
      </c>
      <c r="F5643" s="2">
        <v>3250</v>
      </c>
      <c r="G5643" s="2"/>
    </row>
    <row r="5644" spans="1:8" x14ac:dyDescent="0.3">
      <c r="A5644" t="s">
        <v>2095</v>
      </c>
      <c r="B5644" t="s">
        <v>41</v>
      </c>
      <c r="C5644" t="s">
        <v>42</v>
      </c>
      <c r="D5644">
        <v>2020</v>
      </c>
      <c r="E5644" s="2">
        <v>155</v>
      </c>
      <c r="F5644" s="2">
        <v>56575</v>
      </c>
      <c r="G5644" s="2">
        <v>59403.75</v>
      </c>
    </row>
    <row r="5645" spans="1:8" x14ac:dyDescent="0.3">
      <c r="A5645" t="s">
        <v>2095</v>
      </c>
      <c r="B5645" t="s">
        <v>446</v>
      </c>
      <c r="C5645" t="s">
        <v>447</v>
      </c>
      <c r="D5645">
        <v>2020</v>
      </c>
      <c r="E5645" s="2">
        <v>50</v>
      </c>
      <c r="F5645" s="2">
        <v>2000</v>
      </c>
      <c r="G5645" s="2">
        <v>2100</v>
      </c>
    </row>
    <row r="5646" spans="1:8" x14ac:dyDescent="0.3">
      <c r="A5646" t="s">
        <v>2095</v>
      </c>
      <c r="B5646" t="s">
        <v>702</v>
      </c>
      <c r="C5646" t="s">
        <v>703</v>
      </c>
      <c r="D5646">
        <v>2019</v>
      </c>
      <c r="E5646" s="2">
        <v>25</v>
      </c>
      <c r="F5646" s="2">
        <v>1050</v>
      </c>
      <c r="G5646" s="2">
        <v>1102.5</v>
      </c>
    </row>
    <row r="5647" spans="1:8" x14ac:dyDescent="0.3">
      <c r="A5647" t="s">
        <v>2095</v>
      </c>
      <c r="B5647" t="s">
        <v>1671</v>
      </c>
      <c r="C5647" t="s">
        <v>1672</v>
      </c>
      <c r="D5647">
        <v>2017</v>
      </c>
      <c r="E5647" s="2">
        <v>25</v>
      </c>
      <c r="F5647" s="2">
        <v>1150</v>
      </c>
      <c r="G5647" s="2"/>
    </row>
    <row r="5648" spans="1:8" x14ac:dyDescent="0.3">
      <c r="A5648" t="s">
        <v>2095</v>
      </c>
      <c r="B5648" t="s">
        <v>1671</v>
      </c>
      <c r="C5648" t="s">
        <v>1672</v>
      </c>
      <c r="D5648">
        <v>2018</v>
      </c>
      <c r="E5648" s="2">
        <v>50</v>
      </c>
      <c r="F5648" s="2">
        <v>3000</v>
      </c>
      <c r="G5648" s="2">
        <v>3150</v>
      </c>
    </row>
    <row r="5649" spans="1:8" x14ac:dyDescent="0.3">
      <c r="A5649" t="s">
        <v>2095</v>
      </c>
      <c r="B5649" t="s">
        <v>473</v>
      </c>
      <c r="C5649" t="s">
        <v>747</v>
      </c>
      <c r="D5649">
        <v>2017</v>
      </c>
      <c r="E5649" s="2">
        <v>25</v>
      </c>
      <c r="F5649" s="2">
        <v>1450</v>
      </c>
      <c r="G5649" s="2"/>
    </row>
    <row r="5650" spans="1:8" x14ac:dyDescent="0.3">
      <c r="A5650" t="s">
        <v>2095</v>
      </c>
      <c r="B5650" t="s">
        <v>438</v>
      </c>
      <c r="C5650" t="s">
        <v>439</v>
      </c>
      <c r="D5650">
        <v>2018</v>
      </c>
      <c r="E5650" s="2">
        <v>100</v>
      </c>
      <c r="F5650" s="2">
        <v>6500</v>
      </c>
      <c r="G5650" s="2">
        <v>6825</v>
      </c>
    </row>
    <row r="5651" spans="1:8" x14ac:dyDescent="0.3">
      <c r="A5651" t="s">
        <v>2095</v>
      </c>
      <c r="B5651" t="s">
        <v>45</v>
      </c>
      <c r="D5651">
        <v>2021</v>
      </c>
      <c r="E5651" s="2">
        <v>60</v>
      </c>
      <c r="F5651" s="2">
        <v>5100</v>
      </c>
      <c r="G5651" s="2">
        <v>5355</v>
      </c>
      <c r="H5651" s="3" t="s">
        <v>18</v>
      </c>
    </row>
    <row r="5652" spans="1:8" x14ac:dyDescent="0.3">
      <c r="A5652" t="s">
        <v>2095</v>
      </c>
      <c r="B5652" t="s">
        <v>32</v>
      </c>
      <c r="D5652">
        <v>2015</v>
      </c>
      <c r="E5652" s="2">
        <v>220</v>
      </c>
      <c r="F5652" s="2">
        <v>13200</v>
      </c>
      <c r="G5652" s="2"/>
      <c r="H5652" s="3" t="s">
        <v>18</v>
      </c>
    </row>
    <row r="5653" spans="1:8" x14ac:dyDescent="0.3">
      <c r="A5653" t="s">
        <v>2095</v>
      </c>
      <c r="B5653" t="s">
        <v>32</v>
      </c>
      <c r="D5653">
        <v>2020</v>
      </c>
      <c r="E5653" s="2">
        <v>500</v>
      </c>
      <c r="F5653" s="2">
        <v>29000</v>
      </c>
      <c r="G5653" s="2">
        <v>30450</v>
      </c>
      <c r="H5653" s="3" t="s">
        <v>18</v>
      </c>
    </row>
    <row r="5654" spans="1:8" x14ac:dyDescent="0.3">
      <c r="A5654" t="s">
        <v>2095</v>
      </c>
      <c r="B5654" t="s">
        <v>32</v>
      </c>
      <c r="D5654">
        <v>2021</v>
      </c>
      <c r="E5654" s="2">
        <v>300</v>
      </c>
      <c r="F5654" s="2">
        <v>19360</v>
      </c>
      <c r="G5654" s="2">
        <v>20328</v>
      </c>
      <c r="H5654" s="3" t="s">
        <v>18</v>
      </c>
    </row>
    <row r="5655" spans="1:8" x14ac:dyDescent="0.3">
      <c r="A5655" t="s">
        <v>2095</v>
      </c>
      <c r="B5655" t="s">
        <v>46</v>
      </c>
      <c r="C5655" t="s">
        <v>2096</v>
      </c>
      <c r="D5655">
        <v>2015</v>
      </c>
      <c r="E5655" s="2">
        <v>500</v>
      </c>
      <c r="F5655" s="2">
        <v>32500</v>
      </c>
      <c r="G5655" s="2"/>
    </row>
    <row r="5656" spans="1:8" x14ac:dyDescent="0.3">
      <c r="A5656" t="s">
        <v>2095</v>
      </c>
      <c r="B5656" t="s">
        <v>46</v>
      </c>
      <c r="C5656" t="s">
        <v>2096</v>
      </c>
      <c r="D5656">
        <v>2016</v>
      </c>
      <c r="E5656" s="2">
        <v>200</v>
      </c>
      <c r="F5656" s="2">
        <v>13000</v>
      </c>
      <c r="G5656" s="2"/>
    </row>
    <row r="5657" spans="1:8" x14ac:dyDescent="0.3">
      <c r="A5657" t="s">
        <v>2095</v>
      </c>
      <c r="B5657" t="s">
        <v>48</v>
      </c>
      <c r="C5657" t="s">
        <v>47</v>
      </c>
      <c r="D5657">
        <v>2016</v>
      </c>
      <c r="E5657" s="2">
        <v>100</v>
      </c>
      <c r="F5657" s="2">
        <v>6500</v>
      </c>
      <c r="G5657" s="2"/>
    </row>
    <row r="5658" spans="1:8" x14ac:dyDescent="0.3">
      <c r="A5658" t="s">
        <v>2097</v>
      </c>
      <c r="B5658" t="s">
        <v>1800</v>
      </c>
      <c r="C5658" t="s">
        <v>1796</v>
      </c>
      <c r="D5658">
        <v>2016</v>
      </c>
      <c r="E5658" s="2">
        <v>5</v>
      </c>
      <c r="F5658" s="2">
        <v>700</v>
      </c>
      <c r="G5658" s="2"/>
    </row>
    <row r="5659" spans="1:8" x14ac:dyDescent="0.3">
      <c r="A5659" t="s">
        <v>2097</v>
      </c>
      <c r="B5659" t="s">
        <v>1128</v>
      </c>
      <c r="C5659" t="s">
        <v>1129</v>
      </c>
      <c r="D5659">
        <v>2020</v>
      </c>
      <c r="E5659" s="2">
        <v>5</v>
      </c>
      <c r="F5659" s="2">
        <v>500</v>
      </c>
      <c r="G5659" s="2">
        <v>525</v>
      </c>
    </row>
    <row r="5660" spans="1:8" x14ac:dyDescent="0.3">
      <c r="A5660" t="s">
        <v>2097</v>
      </c>
      <c r="B5660" t="s">
        <v>624</v>
      </c>
      <c r="C5660" t="s">
        <v>625</v>
      </c>
      <c r="D5660">
        <v>2017</v>
      </c>
      <c r="E5660" s="2">
        <v>20</v>
      </c>
      <c r="F5660" s="2">
        <v>1440</v>
      </c>
      <c r="G5660" s="2"/>
      <c r="H5660" s="3" t="s">
        <v>18</v>
      </c>
    </row>
    <row r="5661" spans="1:8" x14ac:dyDescent="0.3">
      <c r="A5661" t="s">
        <v>2097</v>
      </c>
      <c r="B5661" t="s">
        <v>624</v>
      </c>
      <c r="C5661" t="s">
        <v>625</v>
      </c>
      <c r="D5661">
        <v>2020</v>
      </c>
      <c r="E5661" s="2">
        <v>25</v>
      </c>
      <c r="F5661" s="2">
        <v>1800</v>
      </c>
      <c r="G5661" s="2">
        <v>1890</v>
      </c>
      <c r="H5661" s="3" t="s">
        <v>18</v>
      </c>
    </row>
    <row r="5662" spans="1:8" x14ac:dyDescent="0.3">
      <c r="A5662" t="s">
        <v>2097</v>
      </c>
      <c r="B5662" t="s">
        <v>624</v>
      </c>
      <c r="C5662" t="s">
        <v>625</v>
      </c>
      <c r="D5662">
        <v>2021</v>
      </c>
      <c r="E5662" s="2">
        <v>25</v>
      </c>
      <c r="F5662" s="2">
        <v>1800</v>
      </c>
      <c r="G5662" s="2">
        <v>1890</v>
      </c>
      <c r="H5662" s="3" t="s">
        <v>18</v>
      </c>
    </row>
    <row r="5663" spans="1:8" x14ac:dyDescent="0.3">
      <c r="A5663" t="s">
        <v>2097</v>
      </c>
      <c r="B5663" t="s">
        <v>716</v>
      </c>
      <c r="C5663" t="s">
        <v>717</v>
      </c>
      <c r="D5663">
        <v>2019</v>
      </c>
      <c r="E5663" s="2">
        <v>25</v>
      </c>
      <c r="F5663" s="2">
        <v>2000</v>
      </c>
      <c r="G5663" s="2">
        <v>2100</v>
      </c>
    </row>
    <row r="5664" spans="1:8" x14ac:dyDescent="0.3">
      <c r="A5664" t="s">
        <v>2097</v>
      </c>
      <c r="B5664" t="s">
        <v>354</v>
      </c>
      <c r="C5664" t="s">
        <v>355</v>
      </c>
      <c r="D5664">
        <v>2020</v>
      </c>
      <c r="E5664" s="2">
        <v>25</v>
      </c>
      <c r="F5664" s="2">
        <v>1750</v>
      </c>
      <c r="G5664" s="2">
        <v>1837.5</v>
      </c>
    </row>
    <row r="5665" spans="1:8" x14ac:dyDescent="0.3">
      <c r="A5665" t="s">
        <v>2097</v>
      </c>
      <c r="B5665" t="s">
        <v>723</v>
      </c>
      <c r="C5665" t="s">
        <v>724</v>
      </c>
      <c r="D5665">
        <v>2019</v>
      </c>
      <c r="E5665" s="2">
        <v>50</v>
      </c>
      <c r="F5665" s="2">
        <v>4750</v>
      </c>
      <c r="G5665" s="2">
        <v>4987.5</v>
      </c>
    </row>
    <row r="5666" spans="1:8" x14ac:dyDescent="0.3">
      <c r="A5666" t="s">
        <v>2097</v>
      </c>
      <c r="B5666" t="s">
        <v>453</v>
      </c>
      <c r="D5666">
        <v>2020</v>
      </c>
      <c r="E5666" s="2">
        <v>1</v>
      </c>
      <c r="F5666" s="2">
        <v>95</v>
      </c>
      <c r="G5666" s="2">
        <v>99.75</v>
      </c>
    </row>
    <row r="5667" spans="1:8" x14ac:dyDescent="0.3">
      <c r="A5667" t="s">
        <v>2097</v>
      </c>
      <c r="B5667" t="s">
        <v>1178</v>
      </c>
      <c r="C5667" t="s">
        <v>1179</v>
      </c>
      <c r="D5667">
        <v>2017</v>
      </c>
      <c r="E5667" s="2">
        <v>65</v>
      </c>
      <c r="F5667" s="2">
        <v>4940</v>
      </c>
      <c r="G5667" s="2"/>
    </row>
    <row r="5668" spans="1:8" x14ac:dyDescent="0.3">
      <c r="A5668" t="s">
        <v>2097</v>
      </c>
      <c r="B5668" t="s">
        <v>633</v>
      </c>
      <c r="C5668" t="s">
        <v>634</v>
      </c>
      <c r="D5668">
        <v>2019</v>
      </c>
      <c r="E5668" s="2">
        <v>20</v>
      </c>
      <c r="F5668" s="2">
        <v>1600</v>
      </c>
      <c r="G5668" s="2">
        <v>1680</v>
      </c>
    </row>
    <row r="5669" spans="1:8" x14ac:dyDescent="0.3">
      <c r="A5669" t="s">
        <v>2097</v>
      </c>
      <c r="B5669" t="s">
        <v>533</v>
      </c>
      <c r="C5669" t="s">
        <v>534</v>
      </c>
      <c r="D5669">
        <v>2019</v>
      </c>
      <c r="E5669" s="2">
        <v>40</v>
      </c>
      <c r="F5669" s="2">
        <v>3200</v>
      </c>
      <c r="G5669" s="2"/>
    </row>
    <row r="5670" spans="1:8" x14ac:dyDescent="0.3">
      <c r="A5670" t="s">
        <v>2097</v>
      </c>
      <c r="B5670" t="s">
        <v>533</v>
      </c>
      <c r="C5670" t="s">
        <v>534</v>
      </c>
      <c r="D5670">
        <v>2020</v>
      </c>
      <c r="E5670" s="2">
        <v>25</v>
      </c>
      <c r="F5670" s="2">
        <v>2000</v>
      </c>
      <c r="G5670" s="2">
        <v>2100</v>
      </c>
    </row>
    <row r="5671" spans="1:8" x14ac:dyDescent="0.3">
      <c r="A5671" t="s">
        <v>2097</v>
      </c>
      <c r="B5671" t="s">
        <v>635</v>
      </c>
      <c r="C5671" t="s">
        <v>636</v>
      </c>
      <c r="D5671">
        <v>2018</v>
      </c>
      <c r="E5671" s="2">
        <v>25</v>
      </c>
      <c r="F5671" s="2">
        <v>1500</v>
      </c>
      <c r="G5671" s="2">
        <v>1575</v>
      </c>
    </row>
    <row r="5672" spans="1:8" x14ac:dyDescent="0.3">
      <c r="A5672" t="s">
        <v>2097</v>
      </c>
      <c r="B5672" t="s">
        <v>635</v>
      </c>
      <c r="C5672" t="s">
        <v>636</v>
      </c>
      <c r="D5672">
        <v>2019</v>
      </c>
      <c r="E5672" s="2">
        <v>50</v>
      </c>
      <c r="F5672" s="2">
        <v>3000</v>
      </c>
      <c r="G5672" s="2">
        <v>3150</v>
      </c>
    </row>
    <row r="5673" spans="1:8" x14ac:dyDescent="0.3">
      <c r="A5673" t="s">
        <v>2097</v>
      </c>
      <c r="B5673" t="s">
        <v>92</v>
      </c>
      <c r="C5673" t="s">
        <v>93</v>
      </c>
      <c r="D5673">
        <v>2018</v>
      </c>
      <c r="E5673" s="2">
        <v>25</v>
      </c>
      <c r="F5673" s="2">
        <v>3250</v>
      </c>
      <c r="G5673" s="2">
        <v>3412.5</v>
      </c>
    </row>
    <row r="5674" spans="1:8" x14ac:dyDescent="0.3">
      <c r="A5674" t="s">
        <v>2097</v>
      </c>
      <c r="B5674" t="s">
        <v>92</v>
      </c>
      <c r="C5674" t="s">
        <v>93</v>
      </c>
      <c r="D5674">
        <v>2019</v>
      </c>
      <c r="E5674" s="2">
        <v>25</v>
      </c>
      <c r="F5674" s="2">
        <v>3250</v>
      </c>
      <c r="G5674" s="2">
        <v>3412.5</v>
      </c>
    </row>
    <row r="5675" spans="1:8" x14ac:dyDescent="0.3">
      <c r="A5675" t="s">
        <v>2097</v>
      </c>
      <c r="B5675" t="s">
        <v>35</v>
      </c>
      <c r="D5675">
        <v>2020</v>
      </c>
      <c r="E5675" s="2">
        <v>1</v>
      </c>
      <c r="F5675" s="2">
        <v>90</v>
      </c>
      <c r="G5675" s="2">
        <v>94.5</v>
      </c>
      <c r="H5675" s="3" t="s">
        <v>18</v>
      </c>
    </row>
    <row r="5676" spans="1:8" x14ac:dyDescent="0.3">
      <c r="A5676" t="s">
        <v>2097</v>
      </c>
      <c r="B5676" t="s">
        <v>35</v>
      </c>
      <c r="D5676">
        <v>2021</v>
      </c>
      <c r="E5676" s="2">
        <v>2</v>
      </c>
      <c r="F5676" s="2">
        <v>180</v>
      </c>
      <c r="G5676" s="2">
        <v>189</v>
      </c>
      <c r="H5676" s="3" t="s">
        <v>18</v>
      </c>
    </row>
    <row r="5677" spans="1:8" x14ac:dyDescent="0.3">
      <c r="A5677" t="s">
        <v>2097</v>
      </c>
      <c r="B5677" t="s">
        <v>642</v>
      </c>
      <c r="D5677">
        <v>2020</v>
      </c>
      <c r="E5677" s="2">
        <v>1</v>
      </c>
      <c r="F5677" s="2">
        <v>130</v>
      </c>
      <c r="G5677" s="2">
        <v>136.5</v>
      </c>
      <c r="H5677" s="3" t="s">
        <v>18</v>
      </c>
    </row>
    <row r="5678" spans="1:8" x14ac:dyDescent="0.3">
      <c r="A5678" t="s">
        <v>2097</v>
      </c>
      <c r="B5678" t="s">
        <v>642</v>
      </c>
      <c r="D5678">
        <v>2021</v>
      </c>
      <c r="E5678" s="2">
        <v>1</v>
      </c>
      <c r="F5678" s="2">
        <v>135</v>
      </c>
      <c r="G5678" s="2">
        <v>141.75</v>
      </c>
      <c r="H5678" s="3" t="s">
        <v>18</v>
      </c>
    </row>
    <row r="5679" spans="1:8" x14ac:dyDescent="0.3">
      <c r="A5679" t="s">
        <v>2097</v>
      </c>
      <c r="B5679" t="s">
        <v>643</v>
      </c>
      <c r="C5679" t="s">
        <v>644</v>
      </c>
      <c r="D5679">
        <v>2020</v>
      </c>
      <c r="E5679" s="2">
        <v>75</v>
      </c>
      <c r="F5679" s="2">
        <v>4650</v>
      </c>
      <c r="G5679" s="2">
        <v>4882.5</v>
      </c>
    </row>
    <row r="5680" spans="1:8" x14ac:dyDescent="0.3">
      <c r="A5680" t="s">
        <v>2097</v>
      </c>
      <c r="B5680" t="s">
        <v>2098</v>
      </c>
      <c r="C5680" t="s">
        <v>2099</v>
      </c>
      <c r="D5680">
        <v>2018</v>
      </c>
      <c r="E5680" s="2">
        <v>30</v>
      </c>
      <c r="F5680" s="2">
        <v>3750</v>
      </c>
      <c r="G5680" s="2">
        <v>3937.5</v>
      </c>
    </row>
    <row r="5681" spans="1:8" x14ac:dyDescent="0.3">
      <c r="A5681" t="s">
        <v>2097</v>
      </c>
      <c r="B5681" t="s">
        <v>19</v>
      </c>
      <c r="C5681" t="s">
        <v>699</v>
      </c>
      <c r="D5681">
        <v>2017</v>
      </c>
      <c r="E5681" s="2">
        <v>25</v>
      </c>
      <c r="F5681" s="2">
        <v>1875</v>
      </c>
      <c r="G5681" s="2"/>
    </row>
    <row r="5682" spans="1:8" x14ac:dyDescent="0.3">
      <c r="A5682" t="s">
        <v>2097</v>
      </c>
      <c r="B5682" t="s">
        <v>19</v>
      </c>
      <c r="C5682" t="s">
        <v>699</v>
      </c>
      <c r="D5682">
        <v>2018</v>
      </c>
      <c r="E5682" s="2">
        <v>75</v>
      </c>
      <c r="F5682" s="2">
        <v>5625</v>
      </c>
      <c r="G5682" s="2">
        <v>5906.25</v>
      </c>
    </row>
    <row r="5683" spans="1:8" x14ac:dyDescent="0.3">
      <c r="A5683" t="s">
        <v>2097</v>
      </c>
      <c r="B5683" t="s">
        <v>19</v>
      </c>
      <c r="C5683" t="s">
        <v>699</v>
      </c>
      <c r="D5683">
        <v>2019</v>
      </c>
      <c r="E5683" s="2">
        <v>75</v>
      </c>
      <c r="F5683" s="2">
        <v>5625</v>
      </c>
      <c r="G5683" s="2">
        <v>5906.25</v>
      </c>
    </row>
    <row r="5684" spans="1:8" x14ac:dyDescent="0.3">
      <c r="A5684" t="s">
        <v>2097</v>
      </c>
      <c r="B5684" t="s">
        <v>939</v>
      </c>
      <c r="C5684" t="s">
        <v>940</v>
      </c>
      <c r="D5684">
        <v>2019</v>
      </c>
      <c r="E5684" s="2">
        <v>150</v>
      </c>
      <c r="F5684" s="2">
        <v>11250</v>
      </c>
      <c r="G5684" s="2">
        <v>11812.5</v>
      </c>
    </row>
    <row r="5685" spans="1:8" x14ac:dyDescent="0.3">
      <c r="A5685" t="s">
        <v>2097</v>
      </c>
      <c r="B5685" t="s">
        <v>41</v>
      </c>
      <c r="C5685" t="s">
        <v>42</v>
      </c>
      <c r="D5685">
        <v>2017</v>
      </c>
      <c r="E5685" s="2">
        <v>25</v>
      </c>
      <c r="F5685" s="2">
        <v>1900</v>
      </c>
      <c r="G5685" s="2"/>
    </row>
    <row r="5686" spans="1:8" x14ac:dyDescent="0.3">
      <c r="A5686" t="s">
        <v>2097</v>
      </c>
      <c r="B5686" t="s">
        <v>110</v>
      </c>
      <c r="C5686" t="s">
        <v>111</v>
      </c>
      <c r="D5686">
        <v>2018</v>
      </c>
      <c r="E5686" s="2">
        <v>25</v>
      </c>
      <c r="F5686" s="2">
        <v>1625</v>
      </c>
      <c r="G5686" s="2">
        <v>1706.25</v>
      </c>
    </row>
    <row r="5687" spans="1:8" x14ac:dyDescent="0.3">
      <c r="A5687" t="s">
        <v>2097</v>
      </c>
      <c r="B5687" t="s">
        <v>110</v>
      </c>
      <c r="C5687" t="s">
        <v>111</v>
      </c>
      <c r="D5687">
        <v>2019</v>
      </c>
      <c r="E5687" s="2">
        <v>75</v>
      </c>
      <c r="F5687" s="2">
        <v>4725</v>
      </c>
      <c r="G5687" s="2">
        <v>4961.25</v>
      </c>
    </row>
    <row r="5688" spans="1:8" x14ac:dyDescent="0.3">
      <c r="A5688" t="s">
        <v>2097</v>
      </c>
      <c r="B5688" t="s">
        <v>2100</v>
      </c>
      <c r="C5688" t="s">
        <v>2101</v>
      </c>
      <c r="D5688">
        <v>2020</v>
      </c>
      <c r="E5688" s="2">
        <v>50</v>
      </c>
      <c r="F5688" s="2">
        <v>5000</v>
      </c>
      <c r="G5688" s="2">
        <v>5250</v>
      </c>
    </row>
    <row r="5689" spans="1:8" x14ac:dyDescent="0.3">
      <c r="A5689" t="s">
        <v>2097</v>
      </c>
      <c r="B5689" t="s">
        <v>2102</v>
      </c>
      <c r="C5689" t="s">
        <v>2103</v>
      </c>
      <c r="D5689">
        <v>2018</v>
      </c>
      <c r="E5689" s="2">
        <v>40</v>
      </c>
      <c r="F5689" s="2">
        <v>3200</v>
      </c>
      <c r="G5689" s="2">
        <v>3360</v>
      </c>
    </row>
    <row r="5690" spans="1:8" x14ac:dyDescent="0.3">
      <c r="A5690" t="s">
        <v>2097</v>
      </c>
      <c r="B5690" t="s">
        <v>2104</v>
      </c>
      <c r="C5690" t="s">
        <v>2105</v>
      </c>
      <c r="D5690">
        <v>2018</v>
      </c>
      <c r="E5690" s="2">
        <v>100</v>
      </c>
      <c r="F5690" s="2">
        <v>9000</v>
      </c>
      <c r="G5690" s="2">
        <v>9450</v>
      </c>
    </row>
    <row r="5691" spans="1:8" x14ac:dyDescent="0.3">
      <c r="A5691" t="s">
        <v>2097</v>
      </c>
      <c r="B5691" t="s">
        <v>2104</v>
      </c>
      <c r="C5691" t="s">
        <v>2105</v>
      </c>
      <c r="D5691">
        <v>2019</v>
      </c>
      <c r="E5691" s="2">
        <v>50</v>
      </c>
      <c r="F5691" s="2">
        <v>4500</v>
      </c>
      <c r="G5691" s="2">
        <v>4725</v>
      </c>
    </row>
    <row r="5692" spans="1:8" x14ac:dyDescent="0.3">
      <c r="A5692" t="s">
        <v>2097</v>
      </c>
      <c r="B5692" t="s">
        <v>2104</v>
      </c>
      <c r="C5692" t="s">
        <v>2105</v>
      </c>
      <c r="D5692">
        <v>2020</v>
      </c>
      <c r="E5692" s="2">
        <v>50</v>
      </c>
      <c r="F5692" s="2">
        <v>4500</v>
      </c>
      <c r="G5692" s="2">
        <v>4725</v>
      </c>
    </row>
    <row r="5693" spans="1:8" x14ac:dyDescent="0.3">
      <c r="A5693" t="s">
        <v>2097</v>
      </c>
      <c r="B5693" t="s">
        <v>2106</v>
      </c>
      <c r="C5693" t="s">
        <v>2107</v>
      </c>
      <c r="D5693">
        <v>2018</v>
      </c>
      <c r="E5693" s="2">
        <v>25</v>
      </c>
      <c r="F5693" s="2">
        <v>1950</v>
      </c>
      <c r="G5693" s="2">
        <v>2047.5</v>
      </c>
    </row>
    <row r="5694" spans="1:8" x14ac:dyDescent="0.3">
      <c r="A5694" t="s">
        <v>2097</v>
      </c>
      <c r="B5694" t="s">
        <v>334</v>
      </c>
      <c r="C5694" t="s">
        <v>335</v>
      </c>
      <c r="D5694">
        <v>2017</v>
      </c>
      <c r="E5694" s="2">
        <v>75</v>
      </c>
      <c r="F5694" s="2">
        <v>4875</v>
      </c>
      <c r="G5694" s="2"/>
      <c r="H5694" s="3" t="s">
        <v>18</v>
      </c>
    </row>
    <row r="5695" spans="1:8" x14ac:dyDescent="0.3">
      <c r="A5695" t="s">
        <v>2097</v>
      </c>
      <c r="B5695" t="s">
        <v>334</v>
      </c>
      <c r="C5695" t="s">
        <v>335</v>
      </c>
      <c r="D5695">
        <v>2019</v>
      </c>
      <c r="E5695" s="2">
        <v>50</v>
      </c>
      <c r="F5695" s="2">
        <v>3250</v>
      </c>
      <c r="G5695" s="2">
        <v>3412.5</v>
      </c>
      <c r="H5695" s="3" t="s">
        <v>18</v>
      </c>
    </row>
    <row r="5696" spans="1:8" x14ac:dyDescent="0.3">
      <c r="A5696" t="s">
        <v>2097</v>
      </c>
      <c r="B5696" t="s">
        <v>334</v>
      </c>
      <c r="C5696" t="s">
        <v>335</v>
      </c>
      <c r="D5696">
        <v>2020</v>
      </c>
      <c r="E5696" s="2">
        <v>50</v>
      </c>
      <c r="F5696" s="2">
        <v>3250</v>
      </c>
      <c r="G5696" s="2">
        <v>3412.5</v>
      </c>
      <c r="H5696" s="3" t="s">
        <v>18</v>
      </c>
    </row>
    <row r="5697" spans="1:8" x14ac:dyDescent="0.3">
      <c r="A5697" t="s">
        <v>2097</v>
      </c>
      <c r="B5697" t="s">
        <v>334</v>
      </c>
      <c r="C5697" t="s">
        <v>335</v>
      </c>
      <c r="D5697">
        <v>2021</v>
      </c>
      <c r="E5697" s="2">
        <v>25</v>
      </c>
      <c r="F5697" s="2">
        <v>1625</v>
      </c>
      <c r="G5697" s="2">
        <v>1706.25</v>
      </c>
      <c r="H5697" s="3" t="s">
        <v>18</v>
      </c>
    </row>
    <row r="5698" spans="1:8" x14ac:dyDescent="0.3">
      <c r="A5698" t="s">
        <v>2097</v>
      </c>
      <c r="B5698" t="s">
        <v>192</v>
      </c>
      <c r="C5698" t="s">
        <v>193</v>
      </c>
      <c r="D5698">
        <v>2020</v>
      </c>
      <c r="E5698" s="2">
        <v>25</v>
      </c>
      <c r="F5698" s="2">
        <v>1625</v>
      </c>
      <c r="G5698" s="2">
        <v>1706.25</v>
      </c>
    </row>
    <row r="5699" spans="1:8" x14ac:dyDescent="0.3">
      <c r="A5699" t="s">
        <v>2097</v>
      </c>
      <c r="B5699" t="s">
        <v>599</v>
      </c>
      <c r="C5699" t="s">
        <v>413</v>
      </c>
      <c r="D5699">
        <v>2020</v>
      </c>
      <c r="E5699" s="2">
        <v>25</v>
      </c>
      <c r="F5699" s="2">
        <v>1875</v>
      </c>
      <c r="G5699" s="2">
        <v>1968.75</v>
      </c>
    </row>
    <row r="5700" spans="1:8" x14ac:dyDescent="0.3">
      <c r="A5700" t="s">
        <v>2097</v>
      </c>
      <c r="B5700" t="s">
        <v>752</v>
      </c>
      <c r="C5700" t="s">
        <v>753</v>
      </c>
      <c r="D5700">
        <v>2017</v>
      </c>
      <c r="E5700" s="2">
        <v>25</v>
      </c>
      <c r="F5700" s="2">
        <v>2250</v>
      </c>
      <c r="G5700" s="2"/>
    </row>
    <row r="5701" spans="1:8" x14ac:dyDescent="0.3">
      <c r="A5701" t="s">
        <v>2097</v>
      </c>
      <c r="B5701" t="s">
        <v>754</v>
      </c>
      <c r="C5701" t="s">
        <v>755</v>
      </c>
      <c r="D5701">
        <v>2017</v>
      </c>
      <c r="E5701" s="2">
        <v>50</v>
      </c>
      <c r="F5701" s="2">
        <v>4500</v>
      </c>
      <c r="G5701" s="2"/>
    </row>
    <row r="5702" spans="1:8" x14ac:dyDescent="0.3">
      <c r="A5702" t="s">
        <v>2097</v>
      </c>
      <c r="B5702" t="s">
        <v>754</v>
      </c>
      <c r="C5702" t="s">
        <v>755</v>
      </c>
      <c r="D5702">
        <v>2019</v>
      </c>
      <c r="E5702" s="2">
        <v>25</v>
      </c>
      <c r="F5702" s="2">
        <v>2250</v>
      </c>
      <c r="G5702" s="2">
        <v>2362.5</v>
      </c>
    </row>
    <row r="5703" spans="1:8" x14ac:dyDescent="0.3">
      <c r="A5703" t="s">
        <v>2097</v>
      </c>
      <c r="B5703" t="s">
        <v>754</v>
      </c>
      <c r="C5703" t="s">
        <v>755</v>
      </c>
      <c r="D5703">
        <v>2020</v>
      </c>
      <c r="E5703" s="2">
        <v>50</v>
      </c>
      <c r="F5703" s="2">
        <v>4500</v>
      </c>
      <c r="G5703" s="2">
        <v>4725</v>
      </c>
    </row>
    <row r="5704" spans="1:8" x14ac:dyDescent="0.3">
      <c r="A5704" t="s">
        <v>2097</v>
      </c>
      <c r="B5704" t="s">
        <v>1405</v>
      </c>
      <c r="C5704" t="s">
        <v>1406</v>
      </c>
      <c r="D5704">
        <v>2019</v>
      </c>
      <c r="E5704" s="2">
        <v>50</v>
      </c>
      <c r="F5704" s="2">
        <v>6000</v>
      </c>
      <c r="G5704" s="2">
        <v>6300</v>
      </c>
    </row>
    <row r="5705" spans="1:8" x14ac:dyDescent="0.3">
      <c r="A5705" t="s">
        <v>2097</v>
      </c>
      <c r="B5705" t="s">
        <v>76</v>
      </c>
      <c r="C5705" t="s">
        <v>77</v>
      </c>
      <c r="D5705">
        <v>2020</v>
      </c>
      <c r="E5705" s="2">
        <v>25</v>
      </c>
      <c r="F5705" s="2">
        <v>2125</v>
      </c>
      <c r="G5705" s="2">
        <v>2231.25</v>
      </c>
    </row>
    <row r="5706" spans="1:8" x14ac:dyDescent="0.3">
      <c r="A5706" t="s">
        <v>2097</v>
      </c>
      <c r="B5706" t="s">
        <v>2108</v>
      </c>
      <c r="C5706" t="s">
        <v>2109</v>
      </c>
      <c r="D5706">
        <v>2020</v>
      </c>
      <c r="E5706" s="2">
        <v>50</v>
      </c>
      <c r="F5706" s="2">
        <v>5000</v>
      </c>
      <c r="G5706" s="2">
        <v>5250</v>
      </c>
    </row>
    <row r="5707" spans="1:8" x14ac:dyDescent="0.3">
      <c r="A5707" t="s">
        <v>2097</v>
      </c>
      <c r="B5707" t="s">
        <v>2110</v>
      </c>
      <c r="C5707" t="s">
        <v>2111</v>
      </c>
      <c r="D5707">
        <v>2020</v>
      </c>
      <c r="E5707" s="2">
        <v>50</v>
      </c>
      <c r="F5707" s="2">
        <v>4750</v>
      </c>
      <c r="G5707" s="2">
        <v>4987.5</v>
      </c>
    </row>
    <row r="5708" spans="1:8" x14ac:dyDescent="0.3">
      <c r="A5708" t="s">
        <v>2097</v>
      </c>
      <c r="B5708" t="s">
        <v>679</v>
      </c>
      <c r="C5708" t="s">
        <v>680</v>
      </c>
      <c r="D5708">
        <v>2020</v>
      </c>
      <c r="E5708" s="2">
        <v>50</v>
      </c>
      <c r="F5708" s="2">
        <v>4500</v>
      </c>
      <c r="G5708" s="2">
        <v>4725</v>
      </c>
    </row>
    <row r="5709" spans="1:8" x14ac:dyDescent="0.3">
      <c r="A5709" t="s">
        <v>2097</v>
      </c>
      <c r="B5709" t="s">
        <v>155</v>
      </c>
      <c r="C5709" t="s">
        <v>156</v>
      </c>
      <c r="D5709">
        <v>2017</v>
      </c>
      <c r="E5709" s="2">
        <v>100</v>
      </c>
      <c r="F5709" s="2">
        <v>6200</v>
      </c>
      <c r="G5709" s="2"/>
    </row>
    <row r="5710" spans="1:8" x14ac:dyDescent="0.3">
      <c r="A5710" t="s">
        <v>2097</v>
      </c>
      <c r="B5710" t="s">
        <v>155</v>
      </c>
      <c r="C5710" t="s">
        <v>156</v>
      </c>
      <c r="D5710">
        <v>2020</v>
      </c>
      <c r="E5710" s="2">
        <v>150</v>
      </c>
      <c r="F5710" s="2">
        <v>9300</v>
      </c>
      <c r="G5710" s="2">
        <v>9765</v>
      </c>
    </row>
    <row r="5711" spans="1:8" x14ac:dyDescent="0.3">
      <c r="A5711" t="s">
        <v>2112</v>
      </c>
      <c r="B5711" t="s">
        <v>696</v>
      </c>
      <c r="C5711" t="s">
        <v>697</v>
      </c>
      <c r="D5711">
        <v>2017</v>
      </c>
      <c r="E5711" s="2">
        <v>200</v>
      </c>
      <c r="F5711" s="2">
        <v>13000</v>
      </c>
      <c r="G5711" s="2"/>
    </row>
    <row r="5712" spans="1:8" x14ac:dyDescent="0.3">
      <c r="A5712" t="s">
        <v>2112</v>
      </c>
      <c r="B5712" t="s">
        <v>696</v>
      </c>
      <c r="C5712" t="s">
        <v>697</v>
      </c>
      <c r="D5712">
        <v>2018</v>
      </c>
      <c r="E5712" s="2">
        <v>200</v>
      </c>
      <c r="F5712" s="2">
        <v>14000</v>
      </c>
      <c r="G5712" s="2">
        <v>14000</v>
      </c>
    </row>
    <row r="5713" spans="1:7" x14ac:dyDescent="0.3">
      <c r="A5713" t="s">
        <v>2112</v>
      </c>
      <c r="B5713" t="s">
        <v>24</v>
      </c>
      <c r="C5713" t="s">
        <v>25</v>
      </c>
      <c r="D5713">
        <v>2017</v>
      </c>
      <c r="E5713" s="2">
        <v>50</v>
      </c>
      <c r="F5713" s="2">
        <v>3250</v>
      </c>
      <c r="G5713" s="2"/>
    </row>
    <row r="5714" spans="1:7" x14ac:dyDescent="0.3">
      <c r="A5714" t="s">
        <v>2112</v>
      </c>
      <c r="B5714" t="s">
        <v>32</v>
      </c>
      <c r="D5714">
        <v>2017</v>
      </c>
      <c r="E5714" s="2">
        <v>200</v>
      </c>
      <c r="F5714" s="2">
        <v>16000</v>
      </c>
      <c r="G5714" s="2"/>
    </row>
    <row r="5715" spans="1:7" x14ac:dyDescent="0.3">
      <c r="A5715" t="s">
        <v>2113</v>
      </c>
      <c r="B5715" t="s">
        <v>823</v>
      </c>
      <c r="C5715" t="s">
        <v>52</v>
      </c>
      <c r="D5715">
        <v>2016</v>
      </c>
      <c r="E5715" s="2">
        <v>8</v>
      </c>
      <c r="F5715" s="2">
        <v>1560</v>
      </c>
      <c r="G5715" s="2"/>
    </row>
    <row r="5716" spans="1:7" x14ac:dyDescent="0.3">
      <c r="A5716" t="s">
        <v>2113</v>
      </c>
      <c r="B5716" t="s">
        <v>276</v>
      </c>
      <c r="C5716" t="s">
        <v>277</v>
      </c>
      <c r="D5716">
        <v>2016</v>
      </c>
      <c r="E5716" s="2">
        <v>2</v>
      </c>
      <c r="F5716" s="2">
        <v>580</v>
      </c>
      <c r="G5716" s="2"/>
    </row>
    <row r="5717" spans="1:7" x14ac:dyDescent="0.3">
      <c r="A5717" t="s">
        <v>2113</v>
      </c>
      <c r="B5717" t="s">
        <v>346</v>
      </c>
      <c r="C5717" t="s">
        <v>347</v>
      </c>
      <c r="D5717">
        <v>2015</v>
      </c>
      <c r="E5717" s="2">
        <v>2</v>
      </c>
      <c r="F5717" s="2">
        <v>350</v>
      </c>
      <c r="G5717" s="2"/>
    </row>
    <row r="5718" spans="1:7" x14ac:dyDescent="0.3">
      <c r="A5718" t="s">
        <v>2113</v>
      </c>
      <c r="B5718" t="s">
        <v>291</v>
      </c>
      <c r="C5718" t="s">
        <v>292</v>
      </c>
      <c r="D5718">
        <v>2016</v>
      </c>
      <c r="E5718" s="2">
        <v>1</v>
      </c>
      <c r="F5718" s="2">
        <v>160</v>
      </c>
      <c r="G5718" s="2"/>
    </row>
    <row r="5719" spans="1:7" x14ac:dyDescent="0.3">
      <c r="A5719" t="s">
        <v>2113</v>
      </c>
      <c r="B5719" t="s">
        <v>2114</v>
      </c>
      <c r="C5719" t="s">
        <v>2115</v>
      </c>
      <c r="D5719">
        <v>2017</v>
      </c>
      <c r="E5719" s="2">
        <v>1</v>
      </c>
      <c r="F5719" s="2">
        <v>140</v>
      </c>
      <c r="G5719" s="2"/>
    </row>
    <row r="5720" spans="1:7" x14ac:dyDescent="0.3">
      <c r="A5720" t="s">
        <v>2113</v>
      </c>
      <c r="B5720" t="s">
        <v>349</v>
      </c>
      <c r="C5720" t="s">
        <v>350</v>
      </c>
      <c r="D5720">
        <v>2016</v>
      </c>
      <c r="E5720" s="2">
        <v>2</v>
      </c>
      <c r="F5720" s="2">
        <v>300</v>
      </c>
      <c r="G5720" s="2"/>
    </row>
    <row r="5721" spans="1:7" x14ac:dyDescent="0.3">
      <c r="A5721" t="s">
        <v>2113</v>
      </c>
      <c r="B5721" t="s">
        <v>99</v>
      </c>
      <c r="C5721" t="s">
        <v>100</v>
      </c>
      <c r="D5721">
        <v>2015</v>
      </c>
      <c r="E5721" s="2">
        <v>5</v>
      </c>
      <c r="F5721" s="2">
        <v>1050</v>
      </c>
      <c r="G5721" s="2"/>
    </row>
    <row r="5722" spans="1:7" x14ac:dyDescent="0.3">
      <c r="A5722" t="s">
        <v>2113</v>
      </c>
      <c r="B5722" t="s">
        <v>297</v>
      </c>
      <c r="C5722" t="s">
        <v>298</v>
      </c>
      <c r="D5722">
        <v>2015</v>
      </c>
      <c r="E5722" s="2">
        <v>1</v>
      </c>
      <c r="F5722" s="2">
        <v>200</v>
      </c>
      <c r="G5722" s="2"/>
    </row>
    <row r="5723" spans="1:7" x14ac:dyDescent="0.3">
      <c r="A5723" t="s">
        <v>2113</v>
      </c>
      <c r="B5723" t="s">
        <v>19</v>
      </c>
      <c r="C5723" t="s">
        <v>20</v>
      </c>
      <c r="D5723">
        <v>2015</v>
      </c>
      <c r="E5723" s="2">
        <v>1</v>
      </c>
      <c r="F5723" s="2">
        <v>210</v>
      </c>
      <c r="G5723" s="2"/>
    </row>
    <row r="5724" spans="1:7" x14ac:dyDescent="0.3">
      <c r="A5724" t="s">
        <v>2113</v>
      </c>
      <c r="B5724" t="s">
        <v>809</v>
      </c>
      <c r="C5724" t="s">
        <v>810</v>
      </c>
      <c r="D5724">
        <v>2016</v>
      </c>
      <c r="E5724" s="2">
        <v>1</v>
      </c>
      <c r="F5724" s="2">
        <v>150</v>
      </c>
      <c r="G5724" s="2"/>
    </row>
    <row r="5725" spans="1:7" x14ac:dyDescent="0.3">
      <c r="A5725" t="s">
        <v>2113</v>
      </c>
      <c r="B5725" t="s">
        <v>543</v>
      </c>
      <c r="C5725" t="s">
        <v>544</v>
      </c>
      <c r="D5725">
        <v>2016</v>
      </c>
      <c r="E5725" s="2">
        <v>2</v>
      </c>
      <c r="F5725" s="2">
        <v>420</v>
      </c>
      <c r="G5725" s="2"/>
    </row>
    <row r="5726" spans="1:7" x14ac:dyDescent="0.3">
      <c r="A5726" t="s">
        <v>2113</v>
      </c>
      <c r="B5726" t="s">
        <v>867</v>
      </c>
      <c r="C5726" t="s">
        <v>868</v>
      </c>
      <c r="D5726">
        <v>2015</v>
      </c>
      <c r="E5726" s="2">
        <v>6</v>
      </c>
      <c r="F5726" s="2">
        <v>1800</v>
      </c>
      <c r="G5726" s="2"/>
    </row>
    <row r="5727" spans="1:7" x14ac:dyDescent="0.3">
      <c r="A5727" t="s">
        <v>2113</v>
      </c>
      <c r="B5727" t="s">
        <v>867</v>
      </c>
      <c r="C5727" t="s">
        <v>868</v>
      </c>
      <c r="D5727">
        <v>2016</v>
      </c>
      <c r="E5727" s="2">
        <v>5</v>
      </c>
      <c r="F5727" s="2">
        <v>1500</v>
      </c>
      <c r="G5727" s="2"/>
    </row>
    <row r="5728" spans="1:7" x14ac:dyDescent="0.3">
      <c r="A5728" t="s">
        <v>2113</v>
      </c>
      <c r="B5728" t="s">
        <v>137</v>
      </c>
      <c r="C5728" t="s">
        <v>138</v>
      </c>
      <c r="D5728">
        <v>2016</v>
      </c>
      <c r="E5728" s="2">
        <v>3</v>
      </c>
      <c r="F5728" s="2">
        <v>690</v>
      </c>
      <c r="G5728" s="2"/>
    </row>
    <row r="5729" spans="1:7" x14ac:dyDescent="0.3">
      <c r="A5729" t="s">
        <v>2113</v>
      </c>
      <c r="B5729" t="s">
        <v>314</v>
      </c>
      <c r="C5729" t="s">
        <v>315</v>
      </c>
      <c r="D5729">
        <v>2015</v>
      </c>
      <c r="E5729" s="2">
        <v>1</v>
      </c>
      <c r="F5729" s="2">
        <v>175</v>
      </c>
      <c r="G5729" s="2"/>
    </row>
    <row r="5730" spans="1:7" x14ac:dyDescent="0.3">
      <c r="A5730" t="s">
        <v>2113</v>
      </c>
      <c r="B5730" t="s">
        <v>750</v>
      </c>
      <c r="C5730" t="s">
        <v>751</v>
      </c>
      <c r="D5730">
        <v>2015</v>
      </c>
      <c r="E5730" s="2">
        <v>1</v>
      </c>
      <c r="F5730" s="2">
        <v>220</v>
      </c>
      <c r="G5730" s="2"/>
    </row>
    <row r="5731" spans="1:7" x14ac:dyDescent="0.3">
      <c r="A5731" t="s">
        <v>2113</v>
      </c>
      <c r="B5731" t="s">
        <v>196</v>
      </c>
      <c r="C5731" t="s">
        <v>197</v>
      </c>
      <c r="D5731">
        <v>2015</v>
      </c>
      <c r="E5731" s="2">
        <v>20</v>
      </c>
      <c r="F5731" s="2">
        <v>4400</v>
      </c>
      <c r="G5731" s="2"/>
    </row>
    <row r="5732" spans="1:7" x14ac:dyDescent="0.3">
      <c r="A5732" t="s">
        <v>2113</v>
      </c>
      <c r="B5732" t="s">
        <v>196</v>
      </c>
      <c r="C5732" t="s">
        <v>197</v>
      </c>
      <c r="D5732">
        <v>2016</v>
      </c>
      <c r="E5732" s="2">
        <v>34.5</v>
      </c>
      <c r="F5732" s="2">
        <v>7440</v>
      </c>
      <c r="G5732" s="2"/>
    </row>
    <row r="5733" spans="1:7" x14ac:dyDescent="0.3">
      <c r="A5733" t="s">
        <v>2113</v>
      </c>
      <c r="B5733" t="s">
        <v>196</v>
      </c>
      <c r="C5733" t="s">
        <v>197</v>
      </c>
      <c r="D5733">
        <v>2017</v>
      </c>
      <c r="E5733" s="2">
        <v>5</v>
      </c>
      <c r="F5733" s="2">
        <v>700</v>
      </c>
      <c r="G5733" s="2"/>
    </row>
    <row r="5734" spans="1:7" x14ac:dyDescent="0.3">
      <c r="A5734" t="s">
        <v>2113</v>
      </c>
      <c r="B5734" t="s">
        <v>196</v>
      </c>
      <c r="C5734" t="s">
        <v>197</v>
      </c>
      <c r="D5734">
        <v>2018</v>
      </c>
      <c r="E5734" s="2">
        <v>2</v>
      </c>
      <c r="F5734" s="2">
        <v>360</v>
      </c>
      <c r="G5734" s="2">
        <v>360</v>
      </c>
    </row>
    <row r="5735" spans="1:7" x14ac:dyDescent="0.3">
      <c r="A5735" t="s">
        <v>2113</v>
      </c>
      <c r="B5735" t="s">
        <v>2116</v>
      </c>
      <c r="C5735" t="s">
        <v>197</v>
      </c>
      <c r="D5735">
        <v>2016</v>
      </c>
      <c r="E5735" s="2">
        <v>15</v>
      </c>
      <c r="F5735" s="2">
        <v>2700</v>
      </c>
      <c r="G5735" s="2"/>
    </row>
    <row r="5736" spans="1:7" x14ac:dyDescent="0.3">
      <c r="A5736" t="s">
        <v>2113</v>
      </c>
      <c r="B5736" t="s">
        <v>203</v>
      </c>
      <c r="C5736" t="s">
        <v>204</v>
      </c>
      <c r="D5736">
        <v>2016</v>
      </c>
      <c r="E5736" s="2">
        <v>1</v>
      </c>
      <c r="F5736" s="2">
        <v>180</v>
      </c>
      <c r="G5736" s="2"/>
    </row>
    <row r="5737" spans="1:7" x14ac:dyDescent="0.3">
      <c r="A5737" t="s">
        <v>2117</v>
      </c>
      <c r="B5737" t="s">
        <v>627</v>
      </c>
      <c r="C5737" t="s">
        <v>628</v>
      </c>
      <c r="D5737">
        <v>2020</v>
      </c>
      <c r="E5737" s="2">
        <v>3</v>
      </c>
      <c r="F5737" s="2">
        <v>240</v>
      </c>
      <c r="G5737" s="2">
        <v>252</v>
      </c>
    </row>
    <row r="5738" spans="1:7" x14ac:dyDescent="0.3">
      <c r="A5738" t="s">
        <v>2117</v>
      </c>
      <c r="B5738" t="s">
        <v>538</v>
      </c>
      <c r="C5738" t="s">
        <v>539</v>
      </c>
      <c r="D5738">
        <v>2020</v>
      </c>
      <c r="E5738" s="2">
        <v>1</v>
      </c>
      <c r="F5738" s="2">
        <v>170</v>
      </c>
      <c r="G5738" s="2">
        <v>178.5</v>
      </c>
    </row>
    <row r="5739" spans="1:7" x14ac:dyDescent="0.3">
      <c r="A5739" t="s">
        <v>2117</v>
      </c>
      <c r="B5739" t="s">
        <v>596</v>
      </c>
      <c r="D5739">
        <v>2020</v>
      </c>
      <c r="E5739" s="2">
        <v>2</v>
      </c>
      <c r="F5739" s="2">
        <v>270</v>
      </c>
      <c r="G5739" s="2">
        <v>283.5</v>
      </c>
    </row>
    <row r="5740" spans="1:7" x14ac:dyDescent="0.3">
      <c r="A5740" t="s">
        <v>2117</v>
      </c>
      <c r="B5740" t="s">
        <v>516</v>
      </c>
      <c r="D5740">
        <v>2020</v>
      </c>
      <c r="E5740" s="2">
        <v>3</v>
      </c>
      <c r="F5740" s="2">
        <v>585</v>
      </c>
      <c r="G5740" s="2">
        <v>614.25</v>
      </c>
    </row>
    <row r="5741" spans="1:7" x14ac:dyDescent="0.3">
      <c r="A5741" t="s">
        <v>2117</v>
      </c>
      <c r="B5741" t="s">
        <v>653</v>
      </c>
      <c r="C5741" t="s">
        <v>654</v>
      </c>
      <c r="D5741">
        <v>2020</v>
      </c>
      <c r="E5741" s="2">
        <v>1</v>
      </c>
      <c r="F5741" s="2">
        <v>130</v>
      </c>
      <c r="G5741" s="2">
        <v>136.5</v>
      </c>
    </row>
    <row r="5742" spans="1:7" x14ac:dyDescent="0.3">
      <c r="A5742" t="s">
        <v>2117</v>
      </c>
      <c r="B5742" t="s">
        <v>483</v>
      </c>
      <c r="C5742" t="s">
        <v>484</v>
      </c>
      <c r="D5742">
        <v>2020</v>
      </c>
      <c r="E5742" s="2">
        <v>1</v>
      </c>
      <c r="F5742" s="2">
        <v>110</v>
      </c>
      <c r="G5742" s="2">
        <v>115.5</v>
      </c>
    </row>
    <row r="5743" spans="1:7" x14ac:dyDescent="0.3">
      <c r="A5743" t="s">
        <v>2117</v>
      </c>
      <c r="B5743" t="s">
        <v>679</v>
      </c>
      <c r="C5743" t="s">
        <v>680</v>
      </c>
      <c r="D5743">
        <v>2020</v>
      </c>
      <c r="E5743" s="2">
        <v>2</v>
      </c>
      <c r="F5743" s="2">
        <v>180</v>
      </c>
      <c r="G5743" s="2">
        <v>189</v>
      </c>
    </row>
    <row r="5744" spans="1:7" x14ac:dyDescent="0.3">
      <c r="A5744" t="s">
        <v>2118</v>
      </c>
      <c r="B5744" t="s">
        <v>86</v>
      </c>
      <c r="C5744" t="s">
        <v>87</v>
      </c>
      <c r="D5744">
        <v>2020</v>
      </c>
      <c r="E5744" s="2">
        <v>50</v>
      </c>
      <c r="F5744" s="2">
        <v>6250</v>
      </c>
      <c r="G5744" s="2">
        <v>6562.5</v>
      </c>
    </row>
    <row r="5745" spans="1:8" x14ac:dyDescent="0.3">
      <c r="A5745" t="s">
        <v>2118</v>
      </c>
      <c r="B5745" t="s">
        <v>1801</v>
      </c>
      <c r="D5745">
        <v>2016</v>
      </c>
      <c r="E5745" s="2">
        <v>2</v>
      </c>
      <c r="F5745" s="2">
        <v>200</v>
      </c>
      <c r="G5745" s="2"/>
    </row>
    <row r="5746" spans="1:8" x14ac:dyDescent="0.3">
      <c r="A5746" t="s">
        <v>2118</v>
      </c>
      <c r="B5746" t="s">
        <v>251</v>
      </c>
      <c r="C5746" t="s">
        <v>207</v>
      </c>
      <c r="D5746">
        <v>2020</v>
      </c>
      <c r="E5746" s="2">
        <v>1</v>
      </c>
      <c r="F5746" s="2">
        <v>180</v>
      </c>
      <c r="G5746" s="2">
        <v>189</v>
      </c>
    </row>
    <row r="5747" spans="1:8" x14ac:dyDescent="0.3">
      <c r="A5747" t="s">
        <v>2118</v>
      </c>
      <c r="B5747" t="s">
        <v>131</v>
      </c>
      <c r="C5747" t="s">
        <v>132</v>
      </c>
      <c r="D5747">
        <v>2019</v>
      </c>
      <c r="E5747" s="2">
        <v>50</v>
      </c>
      <c r="F5747" s="2">
        <v>6250</v>
      </c>
      <c r="G5747" s="2">
        <v>6562.5</v>
      </c>
    </row>
    <row r="5748" spans="1:8" x14ac:dyDescent="0.3">
      <c r="A5748" t="s">
        <v>2118</v>
      </c>
      <c r="B5748" t="s">
        <v>131</v>
      </c>
      <c r="C5748" t="s">
        <v>132</v>
      </c>
      <c r="D5748">
        <v>2020</v>
      </c>
      <c r="E5748" s="2">
        <v>50</v>
      </c>
      <c r="F5748" s="2">
        <v>6000</v>
      </c>
      <c r="G5748" s="2">
        <v>6300</v>
      </c>
    </row>
    <row r="5749" spans="1:8" x14ac:dyDescent="0.3">
      <c r="A5749" t="s">
        <v>2118</v>
      </c>
      <c r="B5749" t="s">
        <v>2119</v>
      </c>
      <c r="C5749" t="s">
        <v>141</v>
      </c>
      <c r="D5749">
        <v>2019</v>
      </c>
      <c r="E5749" s="2">
        <v>10</v>
      </c>
      <c r="F5749" s="2">
        <v>750</v>
      </c>
      <c r="G5749" s="2">
        <v>787.5</v>
      </c>
    </row>
    <row r="5750" spans="1:8" x14ac:dyDescent="0.3">
      <c r="A5750" t="s">
        <v>2120</v>
      </c>
      <c r="B5750" t="s">
        <v>391</v>
      </c>
      <c r="C5750" t="s">
        <v>1095</v>
      </c>
      <c r="D5750">
        <v>2016</v>
      </c>
      <c r="E5750" s="2">
        <v>1</v>
      </c>
      <c r="F5750" s="2">
        <v>160</v>
      </c>
      <c r="G5750" s="2"/>
    </row>
    <row r="5751" spans="1:8" x14ac:dyDescent="0.3">
      <c r="A5751" t="s">
        <v>2120</v>
      </c>
      <c r="B5751" t="s">
        <v>391</v>
      </c>
      <c r="C5751" t="s">
        <v>1095</v>
      </c>
      <c r="D5751">
        <v>2017</v>
      </c>
      <c r="E5751" s="2">
        <v>1</v>
      </c>
      <c r="F5751" s="2">
        <v>180</v>
      </c>
      <c r="G5751" s="2"/>
    </row>
    <row r="5752" spans="1:8" x14ac:dyDescent="0.3">
      <c r="A5752" t="s">
        <v>2120</v>
      </c>
      <c r="B5752" t="s">
        <v>719</v>
      </c>
      <c r="C5752" t="s">
        <v>925</v>
      </c>
      <c r="D5752">
        <v>2017</v>
      </c>
      <c r="E5752" s="2">
        <v>1</v>
      </c>
      <c r="F5752" s="2">
        <v>180</v>
      </c>
      <c r="G5752" s="2"/>
    </row>
    <row r="5753" spans="1:8" x14ac:dyDescent="0.3">
      <c r="A5753" t="s">
        <v>2120</v>
      </c>
      <c r="B5753" t="s">
        <v>288</v>
      </c>
      <c r="C5753" t="s">
        <v>289</v>
      </c>
      <c r="D5753">
        <v>2016</v>
      </c>
      <c r="E5753" s="2">
        <v>1</v>
      </c>
      <c r="F5753" s="2">
        <v>160</v>
      </c>
      <c r="G5753" s="2"/>
    </row>
    <row r="5754" spans="1:8" x14ac:dyDescent="0.3">
      <c r="A5754" t="s">
        <v>2120</v>
      </c>
      <c r="B5754" t="s">
        <v>288</v>
      </c>
      <c r="C5754" t="s">
        <v>289</v>
      </c>
      <c r="D5754">
        <v>2017</v>
      </c>
      <c r="E5754" s="2">
        <v>2</v>
      </c>
      <c r="F5754" s="2">
        <v>320</v>
      </c>
      <c r="G5754" s="2"/>
    </row>
    <row r="5755" spans="1:8" x14ac:dyDescent="0.3">
      <c r="A5755" t="s">
        <v>2120</v>
      </c>
      <c r="B5755" t="s">
        <v>288</v>
      </c>
      <c r="C5755" t="s">
        <v>289</v>
      </c>
      <c r="D5755">
        <v>2018</v>
      </c>
      <c r="E5755" s="2">
        <v>5</v>
      </c>
      <c r="F5755" s="2">
        <v>800</v>
      </c>
      <c r="G5755" s="2">
        <v>840</v>
      </c>
    </row>
    <row r="5756" spans="1:8" x14ac:dyDescent="0.3">
      <c r="A5756" t="s">
        <v>2120</v>
      </c>
      <c r="B5756" t="s">
        <v>542</v>
      </c>
      <c r="C5756" t="s">
        <v>160</v>
      </c>
      <c r="D5756">
        <v>2016</v>
      </c>
      <c r="E5756" s="2">
        <v>5</v>
      </c>
      <c r="F5756" s="2">
        <v>1175</v>
      </c>
      <c r="G5756" s="2"/>
      <c r="H5756" s="3" t="s">
        <v>18</v>
      </c>
    </row>
    <row r="5757" spans="1:8" x14ac:dyDescent="0.3">
      <c r="A5757" t="s">
        <v>2120</v>
      </c>
      <c r="B5757" t="s">
        <v>542</v>
      </c>
      <c r="C5757" t="s">
        <v>160</v>
      </c>
      <c r="D5757">
        <v>2017</v>
      </c>
      <c r="E5757" s="2">
        <v>26</v>
      </c>
      <c r="F5757" s="2">
        <v>6110</v>
      </c>
      <c r="G5757" s="2"/>
      <c r="H5757" s="3" t="s">
        <v>18</v>
      </c>
    </row>
    <row r="5758" spans="1:8" x14ac:dyDescent="0.3">
      <c r="A5758" t="s">
        <v>2120</v>
      </c>
      <c r="B5758" t="s">
        <v>542</v>
      </c>
      <c r="C5758" t="s">
        <v>160</v>
      </c>
      <c r="D5758">
        <v>2018</v>
      </c>
      <c r="E5758" s="2">
        <v>20</v>
      </c>
      <c r="F5758" s="2">
        <v>4700</v>
      </c>
      <c r="G5758" s="2">
        <v>4935</v>
      </c>
      <c r="H5758" s="3" t="s">
        <v>18</v>
      </c>
    </row>
    <row r="5759" spans="1:8" x14ac:dyDescent="0.3">
      <c r="A5759" t="s">
        <v>2120</v>
      </c>
      <c r="B5759" t="s">
        <v>542</v>
      </c>
      <c r="C5759" t="s">
        <v>160</v>
      </c>
      <c r="D5759">
        <v>2019</v>
      </c>
      <c r="E5759" s="2">
        <v>35</v>
      </c>
      <c r="F5759" s="2">
        <v>8225</v>
      </c>
      <c r="G5759" s="2">
        <v>8636.25</v>
      </c>
      <c r="H5759" s="3" t="s">
        <v>18</v>
      </c>
    </row>
    <row r="5760" spans="1:8" x14ac:dyDescent="0.3">
      <c r="A5760" t="s">
        <v>2120</v>
      </c>
      <c r="B5760" t="s">
        <v>542</v>
      </c>
      <c r="C5760" t="s">
        <v>160</v>
      </c>
      <c r="D5760">
        <v>2021</v>
      </c>
      <c r="E5760" s="2">
        <v>10</v>
      </c>
      <c r="F5760" s="2">
        <v>2350</v>
      </c>
      <c r="G5760" s="2">
        <v>2467.5</v>
      </c>
      <c r="H5760" s="3" t="s">
        <v>18</v>
      </c>
    </row>
    <row r="5761" spans="1:8" x14ac:dyDescent="0.3">
      <c r="A5761" t="s">
        <v>2120</v>
      </c>
      <c r="B5761" t="s">
        <v>307</v>
      </c>
      <c r="C5761" t="s">
        <v>132</v>
      </c>
      <c r="D5761">
        <v>2017</v>
      </c>
      <c r="E5761" s="2">
        <v>1</v>
      </c>
      <c r="F5761" s="2">
        <v>230</v>
      </c>
      <c r="G5761" s="2"/>
    </row>
    <row r="5762" spans="1:8" x14ac:dyDescent="0.3">
      <c r="A5762" t="s">
        <v>2120</v>
      </c>
      <c r="B5762" t="s">
        <v>137</v>
      </c>
      <c r="C5762" t="s">
        <v>138</v>
      </c>
      <c r="D5762">
        <v>2018</v>
      </c>
      <c r="E5762" s="2">
        <v>5</v>
      </c>
      <c r="F5762" s="2">
        <v>950</v>
      </c>
      <c r="G5762" s="2">
        <v>997.5</v>
      </c>
    </row>
    <row r="5763" spans="1:8" x14ac:dyDescent="0.3">
      <c r="A5763" t="s">
        <v>2120</v>
      </c>
      <c r="B5763" t="s">
        <v>600</v>
      </c>
      <c r="C5763" t="s">
        <v>75</v>
      </c>
      <c r="D5763">
        <v>2016</v>
      </c>
      <c r="E5763" s="2">
        <v>25</v>
      </c>
      <c r="F5763" s="2">
        <v>4750</v>
      </c>
      <c r="G5763" s="2"/>
    </row>
    <row r="5764" spans="1:8" x14ac:dyDescent="0.3">
      <c r="A5764" t="s">
        <v>2120</v>
      </c>
      <c r="B5764" t="s">
        <v>600</v>
      </c>
      <c r="C5764" t="s">
        <v>75</v>
      </c>
      <c r="D5764">
        <v>2018</v>
      </c>
      <c r="E5764" s="2">
        <v>5</v>
      </c>
      <c r="F5764" s="2">
        <v>950</v>
      </c>
      <c r="G5764" s="2">
        <v>997.5</v>
      </c>
    </row>
    <row r="5765" spans="1:8" x14ac:dyDescent="0.3">
      <c r="A5765" t="s">
        <v>2120</v>
      </c>
      <c r="B5765" t="s">
        <v>600</v>
      </c>
      <c r="C5765" t="s">
        <v>75</v>
      </c>
      <c r="D5765">
        <v>2019</v>
      </c>
      <c r="E5765" s="2">
        <v>5</v>
      </c>
      <c r="F5765" s="2">
        <v>950</v>
      </c>
      <c r="G5765" s="2">
        <v>997.5</v>
      </c>
    </row>
    <row r="5766" spans="1:8" x14ac:dyDescent="0.3">
      <c r="A5766" t="s">
        <v>2120</v>
      </c>
      <c r="B5766" t="s">
        <v>600</v>
      </c>
      <c r="C5766" t="s">
        <v>75</v>
      </c>
      <c r="D5766">
        <v>2020</v>
      </c>
      <c r="E5766" s="2">
        <v>20</v>
      </c>
      <c r="F5766" s="2">
        <v>3800</v>
      </c>
      <c r="G5766" s="2">
        <v>3990</v>
      </c>
    </row>
    <row r="5767" spans="1:8" x14ac:dyDescent="0.3">
      <c r="A5767" t="s">
        <v>2120</v>
      </c>
      <c r="B5767" t="s">
        <v>320</v>
      </c>
      <c r="C5767" t="s">
        <v>414</v>
      </c>
      <c r="D5767">
        <v>2016</v>
      </c>
      <c r="E5767" s="2">
        <v>6</v>
      </c>
      <c r="F5767" s="2">
        <v>1440</v>
      </c>
      <c r="G5767" s="2"/>
    </row>
    <row r="5768" spans="1:8" x14ac:dyDescent="0.3">
      <c r="A5768" t="s">
        <v>2120</v>
      </c>
      <c r="B5768" t="s">
        <v>320</v>
      </c>
      <c r="C5768" t="s">
        <v>414</v>
      </c>
      <c r="D5768">
        <v>2017</v>
      </c>
      <c r="E5768" s="2">
        <v>17</v>
      </c>
      <c r="F5768" s="2">
        <v>4080</v>
      </c>
      <c r="G5768" s="2"/>
    </row>
    <row r="5769" spans="1:8" x14ac:dyDescent="0.3">
      <c r="A5769" t="s">
        <v>2120</v>
      </c>
      <c r="B5769" t="s">
        <v>320</v>
      </c>
      <c r="C5769" t="s">
        <v>414</v>
      </c>
      <c r="D5769">
        <v>2018</v>
      </c>
      <c r="E5769" s="2">
        <v>25</v>
      </c>
      <c r="F5769" s="2">
        <v>6000</v>
      </c>
      <c r="G5769" s="2">
        <v>6300</v>
      </c>
    </row>
    <row r="5770" spans="1:8" x14ac:dyDescent="0.3">
      <c r="A5770" t="s">
        <v>2120</v>
      </c>
      <c r="B5770" t="s">
        <v>320</v>
      </c>
      <c r="C5770" t="s">
        <v>414</v>
      </c>
      <c r="D5770">
        <v>2019</v>
      </c>
      <c r="E5770" s="2">
        <v>10</v>
      </c>
      <c r="F5770" s="2">
        <v>2400</v>
      </c>
      <c r="G5770" s="2">
        <v>2520</v>
      </c>
    </row>
    <row r="5771" spans="1:8" x14ac:dyDescent="0.3">
      <c r="A5771" t="s">
        <v>2120</v>
      </c>
      <c r="B5771" t="s">
        <v>320</v>
      </c>
      <c r="C5771" t="s">
        <v>414</v>
      </c>
      <c r="D5771">
        <v>2020</v>
      </c>
      <c r="E5771" s="2">
        <v>20</v>
      </c>
      <c r="F5771" s="2">
        <v>4800</v>
      </c>
      <c r="G5771" s="2">
        <v>5040</v>
      </c>
    </row>
    <row r="5772" spans="1:8" x14ac:dyDescent="0.3">
      <c r="A5772" t="s">
        <v>2120</v>
      </c>
      <c r="B5772" t="s">
        <v>151</v>
      </c>
      <c r="C5772" t="s">
        <v>152</v>
      </c>
      <c r="D5772">
        <v>2021</v>
      </c>
      <c r="E5772" s="2">
        <v>30</v>
      </c>
      <c r="F5772" s="2">
        <v>7200</v>
      </c>
      <c r="G5772" s="2">
        <v>7560</v>
      </c>
      <c r="H5772" s="3" t="s">
        <v>18</v>
      </c>
    </row>
    <row r="5773" spans="1:8" x14ac:dyDescent="0.3">
      <c r="A5773" t="s">
        <v>2120</v>
      </c>
      <c r="B5773" t="s">
        <v>1396</v>
      </c>
      <c r="C5773" t="s">
        <v>613</v>
      </c>
      <c r="D5773">
        <v>2016</v>
      </c>
      <c r="E5773" s="2">
        <v>2</v>
      </c>
      <c r="F5773" s="2">
        <v>560</v>
      </c>
      <c r="G5773" s="2"/>
    </row>
    <row r="5774" spans="1:8" x14ac:dyDescent="0.3">
      <c r="A5774" t="s">
        <v>2120</v>
      </c>
      <c r="B5774" t="s">
        <v>1396</v>
      </c>
      <c r="C5774" t="s">
        <v>613</v>
      </c>
      <c r="D5774">
        <v>2018</v>
      </c>
      <c r="E5774" s="2">
        <v>5</v>
      </c>
      <c r="F5774" s="2">
        <v>1400</v>
      </c>
      <c r="G5774" s="2">
        <v>1470</v>
      </c>
    </row>
    <row r="5775" spans="1:8" x14ac:dyDescent="0.3">
      <c r="A5775" t="s">
        <v>2120</v>
      </c>
      <c r="B5775" t="s">
        <v>1396</v>
      </c>
      <c r="C5775" t="s">
        <v>613</v>
      </c>
      <c r="D5775">
        <v>2019</v>
      </c>
      <c r="E5775" s="2">
        <v>5</v>
      </c>
      <c r="F5775" s="2">
        <v>1400</v>
      </c>
      <c r="G5775" s="2">
        <v>1470</v>
      </c>
    </row>
    <row r="5776" spans="1:8" x14ac:dyDescent="0.3">
      <c r="A5776" t="s">
        <v>2120</v>
      </c>
      <c r="B5776" t="s">
        <v>1396</v>
      </c>
      <c r="C5776" t="s">
        <v>613</v>
      </c>
      <c r="D5776">
        <v>2020</v>
      </c>
      <c r="E5776" s="2">
        <v>5</v>
      </c>
      <c r="F5776" s="2">
        <v>1400</v>
      </c>
      <c r="G5776" s="2">
        <v>1470</v>
      </c>
    </row>
    <row r="5777" spans="1:7" x14ac:dyDescent="0.3">
      <c r="A5777" t="s">
        <v>2121</v>
      </c>
      <c r="B5777" t="s">
        <v>84</v>
      </c>
      <c r="C5777" t="s">
        <v>85</v>
      </c>
      <c r="D5777">
        <v>2016</v>
      </c>
      <c r="E5777" s="2">
        <v>0.5</v>
      </c>
      <c r="F5777" s="2">
        <v>80</v>
      </c>
      <c r="G5777" s="2"/>
    </row>
    <row r="5778" spans="1:7" x14ac:dyDescent="0.3">
      <c r="A5778" t="s">
        <v>2121</v>
      </c>
      <c r="B5778" t="s">
        <v>2122</v>
      </c>
      <c r="C5778" t="s">
        <v>181</v>
      </c>
      <c r="D5778">
        <v>2016</v>
      </c>
      <c r="E5778" s="2">
        <v>0.5</v>
      </c>
      <c r="F5778" s="2">
        <v>90</v>
      </c>
      <c r="G5778" s="2"/>
    </row>
    <row r="5779" spans="1:7" x14ac:dyDescent="0.3">
      <c r="A5779" t="s">
        <v>2121</v>
      </c>
      <c r="B5779" t="s">
        <v>398</v>
      </c>
      <c r="C5779" t="s">
        <v>399</v>
      </c>
      <c r="D5779">
        <v>2016</v>
      </c>
      <c r="E5779" s="2">
        <v>0.5</v>
      </c>
      <c r="F5779" s="2">
        <v>90</v>
      </c>
      <c r="G5779" s="2"/>
    </row>
    <row r="5780" spans="1:7" x14ac:dyDescent="0.3">
      <c r="A5780" t="s">
        <v>2121</v>
      </c>
      <c r="B5780" t="s">
        <v>142</v>
      </c>
      <c r="C5780" t="s">
        <v>143</v>
      </c>
      <c r="D5780">
        <v>2016</v>
      </c>
      <c r="E5780" s="2">
        <v>0.5</v>
      </c>
      <c r="F5780" s="2">
        <v>100</v>
      </c>
      <c r="G5780" s="2"/>
    </row>
    <row r="5781" spans="1:7" x14ac:dyDescent="0.3">
      <c r="A5781" t="s">
        <v>2121</v>
      </c>
      <c r="B5781" t="s">
        <v>318</v>
      </c>
      <c r="C5781" t="s">
        <v>319</v>
      </c>
      <c r="D5781">
        <v>2016</v>
      </c>
      <c r="E5781" s="2">
        <v>0.5</v>
      </c>
      <c r="F5781" s="2">
        <v>100</v>
      </c>
      <c r="G5781" s="2"/>
    </row>
    <row r="5782" spans="1:7" x14ac:dyDescent="0.3">
      <c r="A5782" t="s">
        <v>2123</v>
      </c>
      <c r="B5782" t="s">
        <v>53</v>
      </c>
      <c r="C5782" t="s">
        <v>54</v>
      </c>
      <c r="D5782">
        <v>2016</v>
      </c>
      <c r="E5782" s="2">
        <v>25</v>
      </c>
      <c r="F5782" s="2">
        <v>6000</v>
      </c>
      <c r="G5782" s="2"/>
    </row>
    <row r="5783" spans="1:7" x14ac:dyDescent="0.3">
      <c r="A5783" t="s">
        <v>2123</v>
      </c>
      <c r="B5783" t="s">
        <v>82</v>
      </c>
      <c r="C5783" t="s">
        <v>83</v>
      </c>
      <c r="D5783">
        <v>2014</v>
      </c>
      <c r="E5783" s="2">
        <v>30</v>
      </c>
      <c r="F5783" s="2">
        <v>16350</v>
      </c>
      <c r="G5783" s="2"/>
    </row>
    <row r="5784" spans="1:7" x14ac:dyDescent="0.3">
      <c r="A5784" t="s">
        <v>2123</v>
      </c>
      <c r="B5784" t="s">
        <v>82</v>
      </c>
      <c r="C5784" t="s">
        <v>83</v>
      </c>
      <c r="D5784">
        <v>2015</v>
      </c>
      <c r="E5784" s="2">
        <v>15</v>
      </c>
      <c r="F5784" s="2">
        <v>7725</v>
      </c>
      <c r="G5784" s="2"/>
    </row>
    <row r="5785" spans="1:7" x14ac:dyDescent="0.3">
      <c r="A5785" t="s">
        <v>2123</v>
      </c>
      <c r="B5785" t="s">
        <v>82</v>
      </c>
      <c r="C5785" t="s">
        <v>83</v>
      </c>
      <c r="D5785">
        <v>2016</v>
      </c>
      <c r="E5785" s="2">
        <v>95</v>
      </c>
      <c r="F5785" s="2">
        <v>48925</v>
      </c>
      <c r="G5785" s="2"/>
    </row>
    <row r="5786" spans="1:7" x14ac:dyDescent="0.3">
      <c r="A5786" t="s">
        <v>2123</v>
      </c>
      <c r="B5786" t="s">
        <v>82</v>
      </c>
      <c r="C5786" t="s">
        <v>83</v>
      </c>
      <c r="D5786">
        <v>2017</v>
      </c>
      <c r="E5786" s="2">
        <v>5</v>
      </c>
      <c r="F5786" s="2">
        <v>2575</v>
      </c>
      <c r="G5786" s="2"/>
    </row>
    <row r="5787" spans="1:7" x14ac:dyDescent="0.3">
      <c r="A5787" t="s">
        <v>2123</v>
      </c>
      <c r="B5787" t="s">
        <v>82</v>
      </c>
      <c r="C5787" t="s">
        <v>83</v>
      </c>
      <c r="D5787">
        <v>2019</v>
      </c>
      <c r="E5787" s="2">
        <v>5</v>
      </c>
      <c r="F5787" s="2">
        <v>1575</v>
      </c>
      <c r="G5787" s="2">
        <v>1653.75</v>
      </c>
    </row>
    <row r="5788" spans="1:7" x14ac:dyDescent="0.3">
      <c r="A5788" t="s">
        <v>2123</v>
      </c>
      <c r="B5788" t="s">
        <v>55</v>
      </c>
      <c r="D5788">
        <v>2019</v>
      </c>
      <c r="E5788" s="2">
        <v>25</v>
      </c>
      <c r="F5788" s="2">
        <v>6875</v>
      </c>
      <c r="G5788" s="2">
        <v>7218.75</v>
      </c>
    </row>
    <row r="5789" spans="1:7" x14ac:dyDescent="0.3">
      <c r="A5789" t="s">
        <v>2123</v>
      </c>
      <c r="B5789" t="s">
        <v>219</v>
      </c>
      <c r="C5789" t="s">
        <v>220</v>
      </c>
      <c r="D5789">
        <v>2015</v>
      </c>
      <c r="E5789" s="2">
        <v>20</v>
      </c>
      <c r="F5789" s="2">
        <v>4000</v>
      </c>
      <c r="G5789" s="2"/>
    </row>
    <row r="5790" spans="1:7" x14ac:dyDescent="0.3">
      <c r="A5790" t="s">
        <v>2123</v>
      </c>
      <c r="B5790" t="s">
        <v>219</v>
      </c>
      <c r="C5790" t="s">
        <v>220</v>
      </c>
      <c r="D5790">
        <v>2016</v>
      </c>
      <c r="E5790" s="2">
        <v>5</v>
      </c>
      <c r="F5790" s="2">
        <v>1000</v>
      </c>
      <c r="G5790" s="2"/>
    </row>
    <row r="5791" spans="1:7" x14ac:dyDescent="0.3">
      <c r="A5791" t="s">
        <v>2123</v>
      </c>
      <c r="B5791" t="s">
        <v>395</v>
      </c>
      <c r="D5791">
        <v>2017</v>
      </c>
      <c r="E5791" s="2">
        <v>3</v>
      </c>
      <c r="F5791" s="2">
        <v>780</v>
      </c>
      <c r="G5791" s="2"/>
    </row>
    <row r="5792" spans="1:7" x14ac:dyDescent="0.3">
      <c r="A5792" t="s">
        <v>2123</v>
      </c>
      <c r="B5792" t="s">
        <v>395</v>
      </c>
      <c r="D5792">
        <v>2018</v>
      </c>
      <c r="E5792" s="2">
        <v>5</v>
      </c>
      <c r="F5792" s="2">
        <v>1300</v>
      </c>
      <c r="G5792" s="2">
        <v>1365</v>
      </c>
    </row>
    <row r="5793" spans="1:8" x14ac:dyDescent="0.3">
      <c r="A5793" t="s">
        <v>2123</v>
      </c>
      <c r="B5793" t="s">
        <v>2124</v>
      </c>
      <c r="C5793" t="s">
        <v>2125</v>
      </c>
      <c r="D5793">
        <v>2018</v>
      </c>
      <c r="E5793" s="2">
        <v>25</v>
      </c>
      <c r="F5793" s="2">
        <v>7250</v>
      </c>
      <c r="G5793" s="2">
        <v>7612.5</v>
      </c>
    </row>
    <row r="5794" spans="1:8" x14ac:dyDescent="0.3">
      <c r="A5794" t="s">
        <v>2123</v>
      </c>
      <c r="B5794" t="s">
        <v>1963</v>
      </c>
      <c r="C5794" t="s">
        <v>2126</v>
      </c>
      <c r="D5794">
        <v>2015</v>
      </c>
      <c r="E5794" s="2">
        <v>10</v>
      </c>
      <c r="F5794" s="2">
        <v>2100</v>
      </c>
      <c r="G5794" s="2"/>
    </row>
    <row r="5795" spans="1:8" x14ac:dyDescent="0.3">
      <c r="A5795" t="s">
        <v>2123</v>
      </c>
      <c r="B5795" t="s">
        <v>288</v>
      </c>
      <c r="C5795" t="s">
        <v>289</v>
      </c>
      <c r="D5795">
        <v>2018</v>
      </c>
      <c r="E5795" s="2">
        <v>25</v>
      </c>
      <c r="F5795" s="2">
        <v>4500</v>
      </c>
      <c r="G5795" s="2">
        <v>4725</v>
      </c>
    </row>
    <row r="5796" spans="1:8" x14ac:dyDescent="0.3">
      <c r="A5796" t="s">
        <v>2123</v>
      </c>
      <c r="B5796" t="s">
        <v>60</v>
      </c>
      <c r="C5796" t="s">
        <v>61</v>
      </c>
      <c r="D5796">
        <v>2016</v>
      </c>
      <c r="E5796" s="2">
        <v>15</v>
      </c>
      <c r="F5796" s="2">
        <v>3150</v>
      </c>
      <c r="G5796" s="2"/>
    </row>
    <row r="5797" spans="1:8" x14ac:dyDescent="0.3">
      <c r="A5797" t="s">
        <v>2123</v>
      </c>
      <c r="B5797" t="s">
        <v>931</v>
      </c>
      <c r="C5797" t="s">
        <v>160</v>
      </c>
      <c r="D5797">
        <v>2018</v>
      </c>
      <c r="E5797" s="2">
        <v>25</v>
      </c>
      <c r="F5797" s="2">
        <v>5625</v>
      </c>
      <c r="G5797" s="2">
        <v>5906.25</v>
      </c>
    </row>
    <row r="5798" spans="1:8" x14ac:dyDescent="0.3">
      <c r="A5798" t="s">
        <v>2123</v>
      </c>
      <c r="B5798" t="s">
        <v>931</v>
      </c>
      <c r="C5798" t="s">
        <v>160</v>
      </c>
      <c r="D5798">
        <v>2019</v>
      </c>
      <c r="E5798" s="2">
        <v>25</v>
      </c>
      <c r="F5798" s="2">
        <v>5625</v>
      </c>
      <c r="G5798" s="2">
        <v>5906.25</v>
      </c>
    </row>
    <row r="5799" spans="1:8" x14ac:dyDescent="0.3">
      <c r="A5799" t="s">
        <v>2123</v>
      </c>
      <c r="B5799" t="s">
        <v>260</v>
      </c>
      <c r="C5799" t="s">
        <v>109</v>
      </c>
      <c r="D5799">
        <v>2016</v>
      </c>
      <c r="E5799" s="2">
        <v>25</v>
      </c>
      <c r="F5799" s="2">
        <v>6500</v>
      </c>
      <c r="G5799" s="2"/>
      <c r="H5799" s="3" t="s">
        <v>18</v>
      </c>
    </row>
    <row r="5800" spans="1:8" x14ac:dyDescent="0.3">
      <c r="A5800" t="s">
        <v>2123</v>
      </c>
      <c r="B5800" t="s">
        <v>260</v>
      </c>
      <c r="C5800" t="s">
        <v>109</v>
      </c>
      <c r="D5800">
        <v>2017</v>
      </c>
      <c r="E5800" s="2">
        <v>25</v>
      </c>
      <c r="F5800" s="2">
        <v>6500</v>
      </c>
      <c r="G5800" s="2"/>
      <c r="H5800" s="3" t="s">
        <v>18</v>
      </c>
    </row>
    <row r="5801" spans="1:8" x14ac:dyDescent="0.3">
      <c r="A5801" t="s">
        <v>2123</v>
      </c>
      <c r="B5801" t="s">
        <v>260</v>
      </c>
      <c r="C5801" t="s">
        <v>109</v>
      </c>
      <c r="D5801">
        <v>2018</v>
      </c>
      <c r="E5801" s="2">
        <v>160</v>
      </c>
      <c r="F5801" s="2">
        <v>34850</v>
      </c>
      <c r="G5801" s="2">
        <v>36592.5</v>
      </c>
      <c r="H5801" s="3" t="s">
        <v>18</v>
      </c>
    </row>
    <row r="5802" spans="1:8" x14ac:dyDescent="0.3">
      <c r="A5802" t="s">
        <v>2123</v>
      </c>
      <c r="B5802" t="s">
        <v>260</v>
      </c>
      <c r="C5802" t="s">
        <v>109</v>
      </c>
      <c r="D5802">
        <v>2020</v>
      </c>
      <c r="E5802" s="2">
        <v>75</v>
      </c>
      <c r="F5802" s="2">
        <v>19500</v>
      </c>
      <c r="G5802" s="2">
        <v>20475</v>
      </c>
      <c r="H5802" s="3" t="s">
        <v>18</v>
      </c>
    </row>
    <row r="5803" spans="1:8" x14ac:dyDescent="0.3">
      <c r="A5803" t="s">
        <v>2123</v>
      </c>
      <c r="B5803" t="s">
        <v>260</v>
      </c>
      <c r="C5803" t="s">
        <v>109</v>
      </c>
      <c r="D5803">
        <v>2021</v>
      </c>
      <c r="E5803" s="2">
        <v>60</v>
      </c>
      <c r="F5803" s="2">
        <v>15600</v>
      </c>
      <c r="G5803" s="2">
        <v>16380</v>
      </c>
      <c r="H5803" s="3" t="s">
        <v>18</v>
      </c>
    </row>
    <row r="5804" spans="1:8" x14ac:dyDescent="0.3">
      <c r="A5804" t="s">
        <v>2123</v>
      </c>
      <c r="B5804" t="s">
        <v>120</v>
      </c>
      <c r="C5804" t="s">
        <v>121</v>
      </c>
      <c r="D5804">
        <v>2016</v>
      </c>
      <c r="E5804" s="2">
        <v>10</v>
      </c>
      <c r="F5804" s="2">
        <v>2200</v>
      </c>
      <c r="G5804" s="2"/>
    </row>
    <row r="5805" spans="1:8" x14ac:dyDescent="0.3">
      <c r="A5805" t="s">
        <v>2123</v>
      </c>
      <c r="B5805" t="s">
        <v>120</v>
      </c>
      <c r="C5805" t="s">
        <v>121</v>
      </c>
      <c r="D5805">
        <v>2017</v>
      </c>
      <c r="E5805" s="2">
        <v>25</v>
      </c>
      <c r="F5805" s="2">
        <v>5500</v>
      </c>
      <c r="G5805" s="2"/>
    </row>
    <row r="5806" spans="1:8" x14ac:dyDescent="0.3">
      <c r="A5806" t="s">
        <v>2123</v>
      </c>
      <c r="B5806" t="s">
        <v>120</v>
      </c>
      <c r="C5806" t="s">
        <v>121</v>
      </c>
      <c r="D5806">
        <v>2018</v>
      </c>
      <c r="E5806" s="2">
        <v>35</v>
      </c>
      <c r="F5806" s="2">
        <v>7800</v>
      </c>
      <c r="G5806" s="2">
        <v>8190</v>
      </c>
    </row>
    <row r="5807" spans="1:8" x14ac:dyDescent="0.3">
      <c r="A5807" t="s">
        <v>2123</v>
      </c>
      <c r="B5807" t="s">
        <v>130</v>
      </c>
      <c r="C5807" t="s">
        <v>106</v>
      </c>
      <c r="D5807">
        <v>2017</v>
      </c>
      <c r="E5807" s="2">
        <v>15</v>
      </c>
      <c r="F5807" s="2">
        <v>3300</v>
      </c>
      <c r="G5807" s="2"/>
    </row>
    <row r="5808" spans="1:8" x14ac:dyDescent="0.3">
      <c r="A5808" t="s">
        <v>2123</v>
      </c>
      <c r="B5808" t="s">
        <v>2127</v>
      </c>
      <c r="C5808" t="s">
        <v>229</v>
      </c>
      <c r="D5808">
        <v>2016</v>
      </c>
      <c r="E5808" s="2">
        <v>20</v>
      </c>
      <c r="F5808" s="2">
        <v>4400</v>
      </c>
      <c r="G5808" s="2"/>
      <c r="H5808" s="3" t="s">
        <v>18</v>
      </c>
    </row>
    <row r="5809" spans="1:8" x14ac:dyDescent="0.3">
      <c r="A5809" t="s">
        <v>2123</v>
      </c>
      <c r="B5809" t="s">
        <v>2127</v>
      </c>
      <c r="C5809" t="s">
        <v>229</v>
      </c>
      <c r="D5809">
        <v>2019</v>
      </c>
      <c r="E5809" s="2">
        <v>2</v>
      </c>
      <c r="F5809" s="2">
        <v>440</v>
      </c>
      <c r="G5809" s="2">
        <v>462</v>
      </c>
      <c r="H5809" s="3" t="s">
        <v>18</v>
      </c>
    </row>
    <row r="5810" spans="1:8" x14ac:dyDescent="0.3">
      <c r="A5810" t="s">
        <v>2123</v>
      </c>
      <c r="B5810" t="s">
        <v>2127</v>
      </c>
      <c r="C5810" t="s">
        <v>229</v>
      </c>
      <c r="D5810">
        <v>2021</v>
      </c>
      <c r="E5810" s="2">
        <v>25</v>
      </c>
      <c r="F5810" s="2">
        <v>5250</v>
      </c>
      <c r="G5810" s="2">
        <v>5512.5</v>
      </c>
      <c r="H5810" s="3" t="s">
        <v>18</v>
      </c>
    </row>
    <row r="5811" spans="1:8" x14ac:dyDescent="0.3">
      <c r="A5811" t="s">
        <v>2123</v>
      </c>
      <c r="B5811" t="s">
        <v>133</v>
      </c>
      <c r="C5811" t="s">
        <v>134</v>
      </c>
      <c r="D5811">
        <v>2020</v>
      </c>
      <c r="E5811" s="2">
        <v>20</v>
      </c>
      <c r="F5811" s="2">
        <v>6900</v>
      </c>
      <c r="G5811" s="2">
        <v>7245</v>
      </c>
      <c r="H5811" s="3" t="s">
        <v>18</v>
      </c>
    </row>
    <row r="5812" spans="1:8" x14ac:dyDescent="0.3">
      <c r="A5812" t="s">
        <v>2123</v>
      </c>
      <c r="B5812" t="s">
        <v>133</v>
      </c>
      <c r="C5812" t="s">
        <v>134</v>
      </c>
      <c r="D5812">
        <v>2021</v>
      </c>
      <c r="E5812" s="2">
        <v>45</v>
      </c>
      <c r="F5812" s="2">
        <v>15525</v>
      </c>
      <c r="G5812" s="2">
        <v>16301.25</v>
      </c>
      <c r="H5812" s="3" t="s">
        <v>18</v>
      </c>
    </row>
    <row r="5813" spans="1:8" x14ac:dyDescent="0.3">
      <c r="A5813" t="s">
        <v>2123</v>
      </c>
      <c r="B5813" t="s">
        <v>2128</v>
      </c>
      <c r="D5813">
        <v>2017</v>
      </c>
      <c r="E5813" s="2">
        <v>25</v>
      </c>
      <c r="F5813" s="2">
        <v>7000</v>
      </c>
      <c r="G5813" s="2"/>
    </row>
    <row r="5814" spans="1:8" x14ac:dyDescent="0.3">
      <c r="A5814" t="s">
        <v>2123</v>
      </c>
      <c r="B5814" t="s">
        <v>137</v>
      </c>
      <c r="C5814" t="s">
        <v>138</v>
      </c>
      <c r="D5814">
        <v>2014</v>
      </c>
      <c r="E5814" s="2">
        <v>30</v>
      </c>
      <c r="F5814" s="2">
        <v>6600</v>
      </c>
      <c r="G5814" s="2"/>
    </row>
    <row r="5815" spans="1:8" x14ac:dyDescent="0.3">
      <c r="A5815" t="s">
        <v>2123</v>
      </c>
      <c r="B5815" t="s">
        <v>139</v>
      </c>
      <c r="D5815">
        <v>2018</v>
      </c>
      <c r="E5815" s="2">
        <v>25</v>
      </c>
      <c r="F5815" s="2">
        <v>5750</v>
      </c>
      <c r="G5815" s="2">
        <v>6037.5</v>
      </c>
    </row>
    <row r="5816" spans="1:8" x14ac:dyDescent="0.3">
      <c r="A5816" t="s">
        <v>2123</v>
      </c>
      <c r="B5816" t="s">
        <v>142</v>
      </c>
      <c r="C5816" t="s">
        <v>143</v>
      </c>
      <c r="D5816">
        <v>2014</v>
      </c>
      <c r="E5816" s="2">
        <v>15</v>
      </c>
      <c r="F5816" s="2">
        <v>3600</v>
      </c>
      <c r="G5816" s="2"/>
    </row>
    <row r="5817" spans="1:8" x14ac:dyDescent="0.3">
      <c r="A5817" t="s">
        <v>2123</v>
      </c>
      <c r="B5817" t="s">
        <v>144</v>
      </c>
      <c r="C5817" t="s">
        <v>145</v>
      </c>
      <c r="D5817">
        <v>2017</v>
      </c>
      <c r="E5817" s="2">
        <v>15</v>
      </c>
      <c r="F5817" s="2">
        <v>3750</v>
      </c>
      <c r="G5817" s="2"/>
    </row>
    <row r="5818" spans="1:8" x14ac:dyDescent="0.3">
      <c r="A5818" t="s">
        <v>2123</v>
      </c>
      <c r="B5818" t="s">
        <v>375</v>
      </c>
      <c r="C5818" t="s">
        <v>262</v>
      </c>
      <c r="D5818">
        <v>2016</v>
      </c>
      <c r="E5818" s="2">
        <v>30</v>
      </c>
      <c r="F5818" s="2">
        <v>6450</v>
      </c>
      <c r="G5818" s="2"/>
    </row>
    <row r="5819" spans="1:8" x14ac:dyDescent="0.3">
      <c r="A5819" t="s">
        <v>2123</v>
      </c>
      <c r="B5819" t="s">
        <v>375</v>
      </c>
      <c r="C5819" t="s">
        <v>262</v>
      </c>
      <c r="D5819">
        <v>2017</v>
      </c>
      <c r="E5819" s="2">
        <v>15</v>
      </c>
      <c r="F5819" s="2">
        <v>3225</v>
      </c>
      <c r="G5819" s="2"/>
    </row>
    <row r="5820" spans="1:8" x14ac:dyDescent="0.3">
      <c r="A5820" t="s">
        <v>2123</v>
      </c>
      <c r="B5820" t="s">
        <v>620</v>
      </c>
      <c r="C5820" t="s">
        <v>621</v>
      </c>
      <c r="D5820">
        <v>2016</v>
      </c>
      <c r="E5820" s="2">
        <v>5</v>
      </c>
      <c r="F5820" s="2">
        <v>1000</v>
      </c>
      <c r="G5820" s="2"/>
    </row>
    <row r="5821" spans="1:8" x14ac:dyDescent="0.3">
      <c r="A5821" t="s">
        <v>2123</v>
      </c>
      <c r="B5821" t="s">
        <v>196</v>
      </c>
      <c r="C5821" t="s">
        <v>197</v>
      </c>
      <c r="D5821">
        <v>2013</v>
      </c>
      <c r="E5821" s="2">
        <v>25</v>
      </c>
      <c r="F5821" s="2">
        <v>5500</v>
      </c>
      <c r="G5821" s="2"/>
    </row>
    <row r="5822" spans="1:8" x14ac:dyDescent="0.3">
      <c r="A5822" t="s">
        <v>2123</v>
      </c>
      <c r="B5822" t="s">
        <v>196</v>
      </c>
      <c r="C5822" t="s">
        <v>197</v>
      </c>
      <c r="D5822">
        <v>2014</v>
      </c>
      <c r="E5822" s="2">
        <v>50</v>
      </c>
      <c r="F5822" s="2">
        <v>11250</v>
      </c>
      <c r="G5822" s="2"/>
    </row>
    <row r="5823" spans="1:8" x14ac:dyDescent="0.3">
      <c r="A5823" t="s">
        <v>2123</v>
      </c>
      <c r="B5823" t="s">
        <v>196</v>
      </c>
      <c r="C5823" t="s">
        <v>197</v>
      </c>
      <c r="D5823">
        <v>2015</v>
      </c>
      <c r="E5823" s="2">
        <v>50</v>
      </c>
      <c r="F5823" s="2">
        <v>11000</v>
      </c>
      <c r="G5823" s="2"/>
    </row>
    <row r="5824" spans="1:8" x14ac:dyDescent="0.3">
      <c r="A5824" t="s">
        <v>2123</v>
      </c>
      <c r="B5824" t="s">
        <v>196</v>
      </c>
      <c r="C5824" t="s">
        <v>197</v>
      </c>
      <c r="D5824">
        <v>2018</v>
      </c>
      <c r="E5824" s="2">
        <v>25</v>
      </c>
      <c r="F5824" s="2">
        <v>4500</v>
      </c>
      <c r="G5824" s="2">
        <v>4725</v>
      </c>
    </row>
    <row r="5825" spans="1:8" x14ac:dyDescent="0.3">
      <c r="A5825" t="s">
        <v>2123</v>
      </c>
      <c r="B5825" t="s">
        <v>410</v>
      </c>
      <c r="C5825" t="s">
        <v>134</v>
      </c>
      <c r="D5825">
        <v>2019</v>
      </c>
      <c r="E5825" s="2">
        <v>15</v>
      </c>
      <c r="F5825" s="2">
        <v>5175</v>
      </c>
      <c r="G5825" s="2">
        <v>5433.75</v>
      </c>
    </row>
    <row r="5826" spans="1:8" x14ac:dyDescent="0.3">
      <c r="A5826" t="s">
        <v>2123</v>
      </c>
      <c r="B5826" t="s">
        <v>386</v>
      </c>
      <c r="C5826" t="s">
        <v>387</v>
      </c>
      <c r="D5826">
        <v>2013</v>
      </c>
      <c r="E5826" s="2">
        <v>50</v>
      </c>
      <c r="F5826" s="2">
        <v>12500</v>
      </c>
      <c r="G5826" s="2"/>
    </row>
    <row r="5827" spans="1:8" x14ac:dyDescent="0.3">
      <c r="A5827" t="s">
        <v>2123</v>
      </c>
      <c r="B5827" t="s">
        <v>386</v>
      </c>
      <c r="C5827" t="s">
        <v>387</v>
      </c>
      <c r="D5827">
        <v>2015</v>
      </c>
      <c r="E5827" s="2">
        <v>25</v>
      </c>
      <c r="F5827" s="2">
        <v>6250</v>
      </c>
      <c r="G5827" s="2"/>
    </row>
    <row r="5828" spans="1:8" x14ac:dyDescent="0.3">
      <c r="A5828" t="s">
        <v>2123</v>
      </c>
      <c r="B5828" t="s">
        <v>386</v>
      </c>
      <c r="C5828" t="s">
        <v>387</v>
      </c>
      <c r="D5828">
        <v>2016</v>
      </c>
      <c r="E5828" s="2">
        <v>19</v>
      </c>
      <c r="F5828" s="2">
        <v>4625</v>
      </c>
      <c r="G5828" s="2"/>
    </row>
    <row r="5829" spans="1:8" x14ac:dyDescent="0.3">
      <c r="A5829" t="s">
        <v>2123</v>
      </c>
      <c r="B5829" t="s">
        <v>236</v>
      </c>
      <c r="C5829" t="s">
        <v>237</v>
      </c>
      <c r="D5829">
        <v>2014</v>
      </c>
      <c r="E5829" s="2">
        <v>60</v>
      </c>
      <c r="F5829" s="2">
        <v>13950</v>
      </c>
      <c r="G5829" s="2"/>
    </row>
    <row r="5830" spans="1:8" x14ac:dyDescent="0.3">
      <c r="A5830" t="s">
        <v>2129</v>
      </c>
      <c r="B5830" t="s">
        <v>597</v>
      </c>
      <c r="C5830" t="s">
        <v>598</v>
      </c>
      <c r="D5830">
        <v>2020</v>
      </c>
      <c r="E5830" s="2">
        <v>1</v>
      </c>
      <c r="F5830" s="2">
        <v>170</v>
      </c>
      <c r="G5830" s="2">
        <v>178.5</v>
      </c>
    </row>
    <row r="5831" spans="1:8" x14ac:dyDescent="0.3">
      <c r="A5831" t="s">
        <v>2130</v>
      </c>
      <c r="B5831" t="s">
        <v>252</v>
      </c>
      <c r="C5831" t="s">
        <v>191</v>
      </c>
      <c r="D5831">
        <v>2018</v>
      </c>
      <c r="E5831" s="2">
        <v>5</v>
      </c>
      <c r="F5831" s="2">
        <v>1050</v>
      </c>
      <c r="G5831" s="2">
        <v>1102.5</v>
      </c>
      <c r="H5831" s="3" t="s">
        <v>18</v>
      </c>
    </row>
    <row r="5832" spans="1:8" x14ac:dyDescent="0.3">
      <c r="A5832" t="s">
        <v>2130</v>
      </c>
      <c r="B5832" t="s">
        <v>252</v>
      </c>
      <c r="C5832" t="s">
        <v>191</v>
      </c>
      <c r="D5832">
        <v>2019</v>
      </c>
      <c r="E5832" s="2">
        <v>200</v>
      </c>
      <c r="F5832" s="2">
        <v>42000</v>
      </c>
      <c r="G5832" s="2">
        <v>44100</v>
      </c>
      <c r="H5832" s="3" t="s">
        <v>18</v>
      </c>
    </row>
    <row r="5833" spans="1:8" x14ac:dyDescent="0.3">
      <c r="A5833" t="s">
        <v>2130</v>
      </c>
      <c r="B5833" t="s">
        <v>252</v>
      </c>
      <c r="C5833" t="s">
        <v>191</v>
      </c>
      <c r="D5833">
        <v>2020</v>
      </c>
      <c r="E5833" s="2">
        <v>75</v>
      </c>
      <c r="F5833" s="2">
        <v>15750</v>
      </c>
      <c r="G5833" s="2">
        <v>16537.5</v>
      </c>
      <c r="H5833" s="3" t="s">
        <v>18</v>
      </c>
    </row>
    <row r="5834" spans="1:8" x14ac:dyDescent="0.3">
      <c r="A5834" t="s">
        <v>2130</v>
      </c>
      <c r="B5834" t="s">
        <v>252</v>
      </c>
      <c r="C5834" t="s">
        <v>191</v>
      </c>
      <c r="D5834">
        <v>2021</v>
      </c>
      <c r="E5834" s="2">
        <v>30</v>
      </c>
      <c r="F5834" s="2">
        <v>6300</v>
      </c>
      <c r="G5834" s="2">
        <v>6615</v>
      </c>
      <c r="H5834" s="3" t="s">
        <v>18</v>
      </c>
    </row>
    <row r="5835" spans="1:8" x14ac:dyDescent="0.3">
      <c r="A5835" t="s">
        <v>2130</v>
      </c>
      <c r="B5835" t="s">
        <v>124</v>
      </c>
      <c r="D5835">
        <v>2019</v>
      </c>
      <c r="E5835" s="2">
        <v>10</v>
      </c>
      <c r="F5835" s="2">
        <v>2100</v>
      </c>
      <c r="G5835" s="2">
        <v>2205</v>
      </c>
    </row>
    <row r="5836" spans="1:8" x14ac:dyDescent="0.3">
      <c r="A5836" t="s">
        <v>2130</v>
      </c>
      <c r="B5836" t="s">
        <v>124</v>
      </c>
      <c r="D5836">
        <v>2020</v>
      </c>
      <c r="E5836" s="2">
        <v>15</v>
      </c>
      <c r="F5836" s="2">
        <v>3150</v>
      </c>
      <c r="G5836" s="2">
        <v>3307.5</v>
      </c>
    </row>
    <row r="5837" spans="1:8" x14ac:dyDescent="0.3">
      <c r="A5837" t="s">
        <v>2131</v>
      </c>
      <c r="B5837" t="s">
        <v>823</v>
      </c>
      <c r="C5837" t="s">
        <v>52</v>
      </c>
      <c r="D5837">
        <v>2014</v>
      </c>
      <c r="E5837" s="2">
        <v>50</v>
      </c>
      <c r="F5837" s="2">
        <v>10500</v>
      </c>
      <c r="G5837" s="2"/>
    </row>
    <row r="5838" spans="1:8" x14ac:dyDescent="0.3">
      <c r="A5838" t="s">
        <v>2131</v>
      </c>
      <c r="B5838" t="s">
        <v>276</v>
      </c>
      <c r="C5838" t="s">
        <v>277</v>
      </c>
      <c r="D5838">
        <v>2018</v>
      </c>
      <c r="E5838" s="2">
        <v>5</v>
      </c>
      <c r="F5838" s="2">
        <v>1350</v>
      </c>
      <c r="G5838" s="2">
        <v>1417.5</v>
      </c>
    </row>
    <row r="5839" spans="1:8" x14ac:dyDescent="0.3">
      <c r="A5839" t="s">
        <v>2131</v>
      </c>
      <c r="B5839" t="s">
        <v>276</v>
      </c>
      <c r="C5839" t="s">
        <v>277</v>
      </c>
      <c r="D5839">
        <v>2020</v>
      </c>
      <c r="E5839" s="2">
        <v>5</v>
      </c>
      <c r="F5839" s="2">
        <v>1350</v>
      </c>
      <c r="G5839" s="2">
        <v>1417.5</v>
      </c>
    </row>
    <row r="5840" spans="1:8" x14ac:dyDescent="0.3">
      <c r="A5840" t="s">
        <v>2131</v>
      </c>
      <c r="B5840" t="s">
        <v>830</v>
      </c>
      <c r="C5840" t="s">
        <v>831</v>
      </c>
      <c r="D5840">
        <v>2020</v>
      </c>
      <c r="E5840" s="2">
        <v>5</v>
      </c>
      <c r="F5840" s="2">
        <v>625</v>
      </c>
      <c r="G5840" s="2">
        <v>656.25</v>
      </c>
    </row>
    <row r="5841" spans="1:7" x14ac:dyDescent="0.3">
      <c r="A5841" t="s">
        <v>2131</v>
      </c>
      <c r="B5841" t="s">
        <v>340</v>
      </c>
      <c r="C5841" t="s">
        <v>341</v>
      </c>
      <c r="D5841">
        <v>2010</v>
      </c>
      <c r="E5841" s="2">
        <v>20</v>
      </c>
      <c r="F5841" s="2">
        <v>4738</v>
      </c>
      <c r="G5841" s="2"/>
    </row>
    <row r="5842" spans="1:7" x14ac:dyDescent="0.3">
      <c r="A5842" t="s">
        <v>2131</v>
      </c>
      <c r="B5842" t="s">
        <v>218</v>
      </c>
      <c r="C5842" t="s">
        <v>212</v>
      </c>
      <c r="D5842">
        <v>2010</v>
      </c>
      <c r="E5842" s="2">
        <v>20</v>
      </c>
      <c r="F5842" s="2">
        <v>4416</v>
      </c>
      <c r="G5842" s="2"/>
    </row>
    <row r="5843" spans="1:7" x14ac:dyDescent="0.3">
      <c r="A5843" t="s">
        <v>2131</v>
      </c>
      <c r="B5843" t="s">
        <v>218</v>
      </c>
      <c r="C5843" t="s">
        <v>212</v>
      </c>
      <c r="D5843">
        <v>2011</v>
      </c>
      <c r="E5843" s="2">
        <v>50</v>
      </c>
      <c r="F5843" s="2">
        <v>11040</v>
      </c>
      <c r="G5843" s="2"/>
    </row>
    <row r="5844" spans="1:7" x14ac:dyDescent="0.3">
      <c r="A5844" t="s">
        <v>2131</v>
      </c>
      <c r="B5844" t="s">
        <v>218</v>
      </c>
      <c r="C5844" t="s">
        <v>212</v>
      </c>
      <c r="D5844">
        <v>2014</v>
      </c>
      <c r="E5844" s="2">
        <v>30</v>
      </c>
      <c r="F5844" s="2">
        <v>6600</v>
      </c>
      <c r="G5844" s="2"/>
    </row>
    <row r="5845" spans="1:7" x14ac:dyDescent="0.3">
      <c r="A5845" t="s">
        <v>2131</v>
      </c>
      <c r="B5845" t="s">
        <v>219</v>
      </c>
      <c r="C5845" t="s">
        <v>220</v>
      </c>
      <c r="D5845">
        <v>2011</v>
      </c>
      <c r="E5845" s="2">
        <v>20</v>
      </c>
      <c r="F5845" s="2">
        <v>4400</v>
      </c>
      <c r="G5845" s="2"/>
    </row>
    <row r="5846" spans="1:7" x14ac:dyDescent="0.3">
      <c r="A5846" t="s">
        <v>2131</v>
      </c>
      <c r="B5846" t="s">
        <v>2132</v>
      </c>
      <c r="C5846" t="s">
        <v>284</v>
      </c>
      <c r="D5846">
        <v>2009</v>
      </c>
      <c r="E5846" s="2">
        <v>10</v>
      </c>
      <c r="F5846" s="2">
        <v>1330</v>
      </c>
      <c r="G5846" s="2"/>
    </row>
    <row r="5847" spans="1:7" x14ac:dyDescent="0.3">
      <c r="A5847" t="s">
        <v>2131</v>
      </c>
      <c r="B5847" t="s">
        <v>2132</v>
      </c>
      <c r="C5847" t="s">
        <v>284</v>
      </c>
      <c r="D5847">
        <v>2013</v>
      </c>
      <c r="E5847" s="2">
        <v>25</v>
      </c>
      <c r="F5847" s="2">
        <v>4750</v>
      </c>
      <c r="G5847" s="2"/>
    </row>
    <row r="5848" spans="1:7" x14ac:dyDescent="0.3">
      <c r="A5848" t="s">
        <v>2131</v>
      </c>
      <c r="B5848" t="s">
        <v>1049</v>
      </c>
      <c r="C5848" t="s">
        <v>1050</v>
      </c>
      <c r="D5848">
        <v>2009</v>
      </c>
      <c r="E5848" s="2">
        <v>10</v>
      </c>
      <c r="F5848" s="2">
        <v>1100</v>
      </c>
      <c r="G5848" s="2"/>
    </row>
    <row r="5849" spans="1:7" x14ac:dyDescent="0.3">
      <c r="A5849" t="s">
        <v>2131</v>
      </c>
      <c r="B5849" t="s">
        <v>1049</v>
      </c>
      <c r="C5849" t="s">
        <v>1050</v>
      </c>
      <c r="D5849">
        <v>2010</v>
      </c>
      <c r="E5849" s="2">
        <v>10</v>
      </c>
      <c r="F5849" s="2">
        <v>1100</v>
      </c>
      <c r="G5849" s="2"/>
    </row>
    <row r="5850" spans="1:7" x14ac:dyDescent="0.3">
      <c r="A5850" t="s">
        <v>2131</v>
      </c>
      <c r="B5850" t="s">
        <v>1410</v>
      </c>
      <c r="C5850" t="s">
        <v>1411</v>
      </c>
      <c r="D5850">
        <v>2020</v>
      </c>
      <c r="E5850" s="2">
        <v>10</v>
      </c>
      <c r="F5850" s="2">
        <v>2050</v>
      </c>
      <c r="G5850" s="2">
        <v>2152.5</v>
      </c>
    </row>
    <row r="5851" spans="1:7" x14ac:dyDescent="0.3">
      <c r="A5851" t="s">
        <v>2131</v>
      </c>
      <c r="B5851" t="s">
        <v>2133</v>
      </c>
      <c r="C5851" t="s">
        <v>2134</v>
      </c>
      <c r="D5851">
        <v>2009</v>
      </c>
      <c r="E5851" s="2">
        <v>10</v>
      </c>
      <c r="F5851" s="2">
        <v>1080</v>
      </c>
      <c r="G5851" s="2"/>
    </row>
    <row r="5852" spans="1:7" x14ac:dyDescent="0.3">
      <c r="A5852" t="s">
        <v>2131</v>
      </c>
      <c r="B5852" t="s">
        <v>2135</v>
      </c>
      <c r="C5852" t="s">
        <v>2136</v>
      </c>
      <c r="D5852">
        <v>2009</v>
      </c>
      <c r="E5852" s="2">
        <v>10</v>
      </c>
      <c r="F5852" s="2">
        <v>1760</v>
      </c>
      <c r="G5852" s="2"/>
    </row>
    <row r="5853" spans="1:7" x14ac:dyDescent="0.3">
      <c r="A5853" t="s">
        <v>2131</v>
      </c>
      <c r="B5853" t="s">
        <v>614</v>
      </c>
      <c r="C5853" t="s">
        <v>141</v>
      </c>
      <c r="D5853">
        <v>2012</v>
      </c>
      <c r="E5853" s="2">
        <v>50</v>
      </c>
      <c r="F5853" s="2">
        <v>4000</v>
      </c>
      <c r="G5853" s="2"/>
    </row>
    <row r="5854" spans="1:7" x14ac:dyDescent="0.3">
      <c r="A5854" t="s">
        <v>2131</v>
      </c>
      <c r="B5854" t="s">
        <v>2137</v>
      </c>
      <c r="C5854" t="s">
        <v>2138</v>
      </c>
      <c r="D5854">
        <v>2009</v>
      </c>
      <c r="E5854" s="2">
        <v>10</v>
      </c>
      <c r="F5854" s="2">
        <v>1030</v>
      </c>
      <c r="G5854" s="2"/>
    </row>
    <row r="5855" spans="1:7" x14ac:dyDescent="0.3">
      <c r="A5855" t="s">
        <v>2131</v>
      </c>
      <c r="B5855" t="s">
        <v>2139</v>
      </c>
      <c r="C5855" t="s">
        <v>2140</v>
      </c>
      <c r="D5855">
        <v>2009</v>
      </c>
      <c r="E5855" s="2">
        <v>10</v>
      </c>
      <c r="F5855" s="2">
        <v>1060</v>
      </c>
      <c r="G5855" s="2"/>
    </row>
    <row r="5856" spans="1:7" x14ac:dyDescent="0.3">
      <c r="A5856" t="s">
        <v>2131</v>
      </c>
      <c r="B5856" t="s">
        <v>643</v>
      </c>
      <c r="C5856" t="s">
        <v>644</v>
      </c>
      <c r="D5856">
        <v>2020</v>
      </c>
      <c r="E5856" s="2">
        <v>5</v>
      </c>
      <c r="F5856" s="2">
        <v>625</v>
      </c>
      <c r="G5856" s="2">
        <v>656.25</v>
      </c>
    </row>
    <row r="5857" spans="1:7" x14ac:dyDescent="0.3">
      <c r="A5857" t="s">
        <v>2131</v>
      </c>
      <c r="B5857" t="s">
        <v>2141</v>
      </c>
      <c r="C5857" t="s">
        <v>2142</v>
      </c>
      <c r="D5857">
        <v>2012</v>
      </c>
      <c r="E5857" s="2">
        <v>10</v>
      </c>
      <c r="F5857" s="2">
        <v>2350</v>
      </c>
      <c r="G5857" s="2"/>
    </row>
    <row r="5858" spans="1:7" x14ac:dyDescent="0.3">
      <c r="A5858" t="s">
        <v>2131</v>
      </c>
      <c r="B5858" t="s">
        <v>560</v>
      </c>
      <c r="C5858" t="s">
        <v>561</v>
      </c>
      <c r="D5858">
        <v>2016</v>
      </c>
      <c r="E5858" s="2">
        <v>24</v>
      </c>
      <c r="F5858" s="2">
        <v>4200</v>
      </c>
      <c r="G5858" s="2"/>
    </row>
    <row r="5859" spans="1:7" x14ac:dyDescent="0.3">
      <c r="A5859" t="s">
        <v>2131</v>
      </c>
      <c r="B5859" t="s">
        <v>2143</v>
      </c>
      <c r="C5859" t="s">
        <v>2144</v>
      </c>
      <c r="D5859">
        <v>2012</v>
      </c>
      <c r="E5859" s="2">
        <v>10</v>
      </c>
      <c r="F5859" s="2">
        <v>2400</v>
      </c>
      <c r="G5859" s="2"/>
    </row>
    <row r="5860" spans="1:7" x14ac:dyDescent="0.3">
      <c r="A5860" t="s">
        <v>2131</v>
      </c>
      <c r="B5860" t="s">
        <v>2145</v>
      </c>
      <c r="C5860" t="s">
        <v>2146</v>
      </c>
      <c r="D5860">
        <v>2009</v>
      </c>
      <c r="E5860" s="2">
        <v>5</v>
      </c>
      <c r="F5860" s="2">
        <v>1780</v>
      </c>
      <c r="G5860" s="2"/>
    </row>
    <row r="5861" spans="1:7" x14ac:dyDescent="0.3">
      <c r="A5861" t="s">
        <v>2131</v>
      </c>
      <c r="B5861" t="s">
        <v>103</v>
      </c>
      <c r="C5861" t="s">
        <v>104</v>
      </c>
      <c r="D5861">
        <v>2010</v>
      </c>
      <c r="E5861" s="2">
        <v>10</v>
      </c>
      <c r="F5861" s="2">
        <v>2400</v>
      </c>
      <c r="G5861" s="2"/>
    </row>
    <row r="5862" spans="1:7" x14ac:dyDescent="0.3">
      <c r="A5862" t="s">
        <v>2131</v>
      </c>
      <c r="B5862" t="s">
        <v>103</v>
      </c>
      <c r="C5862" t="s">
        <v>104</v>
      </c>
      <c r="D5862">
        <v>2014</v>
      </c>
      <c r="E5862" s="2">
        <v>25</v>
      </c>
      <c r="F5862" s="2">
        <v>6000</v>
      </c>
      <c r="G5862" s="2"/>
    </row>
    <row r="5863" spans="1:7" x14ac:dyDescent="0.3">
      <c r="A5863" t="s">
        <v>2131</v>
      </c>
      <c r="B5863" t="s">
        <v>103</v>
      </c>
      <c r="C5863" t="s">
        <v>104</v>
      </c>
      <c r="D5863">
        <v>2017</v>
      </c>
      <c r="E5863" s="2">
        <v>25</v>
      </c>
      <c r="F5863" s="2">
        <v>6000</v>
      </c>
      <c r="G5863" s="2"/>
    </row>
    <row r="5864" spans="1:7" x14ac:dyDescent="0.3">
      <c r="A5864" t="s">
        <v>2131</v>
      </c>
      <c r="B5864" t="s">
        <v>114</v>
      </c>
      <c r="C5864" t="s">
        <v>115</v>
      </c>
      <c r="D5864">
        <v>2020</v>
      </c>
      <c r="E5864" s="2">
        <v>5</v>
      </c>
      <c r="F5864" s="2">
        <v>550</v>
      </c>
      <c r="G5864" s="2">
        <v>577.5</v>
      </c>
    </row>
    <row r="5865" spans="1:7" x14ac:dyDescent="0.3">
      <c r="A5865" t="s">
        <v>2131</v>
      </c>
      <c r="B5865" t="s">
        <v>2147</v>
      </c>
      <c r="C5865" t="s">
        <v>2148</v>
      </c>
      <c r="D5865">
        <v>2011</v>
      </c>
      <c r="E5865" s="2">
        <v>10</v>
      </c>
      <c r="F5865" s="2">
        <v>2800</v>
      </c>
      <c r="G5865" s="2"/>
    </row>
    <row r="5866" spans="1:7" x14ac:dyDescent="0.3">
      <c r="A5866" t="s">
        <v>2131</v>
      </c>
      <c r="B5866" t="s">
        <v>2147</v>
      </c>
      <c r="C5866" t="s">
        <v>2148</v>
      </c>
      <c r="D5866">
        <v>2012</v>
      </c>
      <c r="E5866" s="2">
        <v>10</v>
      </c>
      <c r="F5866" s="2">
        <v>2800</v>
      </c>
      <c r="G5866" s="2"/>
    </row>
    <row r="5867" spans="1:7" x14ac:dyDescent="0.3">
      <c r="A5867" t="s">
        <v>2131</v>
      </c>
      <c r="B5867" t="s">
        <v>2149</v>
      </c>
      <c r="C5867" t="s">
        <v>2150</v>
      </c>
      <c r="D5867">
        <v>2009</v>
      </c>
      <c r="E5867" s="2">
        <v>5</v>
      </c>
      <c r="F5867" s="2">
        <v>1200</v>
      </c>
      <c r="G5867" s="2"/>
    </row>
    <row r="5868" spans="1:7" x14ac:dyDescent="0.3">
      <c r="A5868" t="s">
        <v>2131</v>
      </c>
      <c r="B5868" t="s">
        <v>2149</v>
      </c>
      <c r="C5868" t="s">
        <v>2150</v>
      </c>
      <c r="D5868">
        <v>2010</v>
      </c>
      <c r="E5868" s="2">
        <v>10</v>
      </c>
      <c r="F5868" s="2">
        <v>2208</v>
      </c>
      <c r="G5868" s="2"/>
    </row>
    <row r="5869" spans="1:7" x14ac:dyDescent="0.3">
      <c r="A5869" t="s">
        <v>2131</v>
      </c>
      <c r="B5869" t="s">
        <v>402</v>
      </c>
      <c r="C5869" t="s">
        <v>403</v>
      </c>
      <c r="D5869">
        <v>2013</v>
      </c>
      <c r="E5869" s="2">
        <v>10</v>
      </c>
      <c r="F5869" s="2">
        <v>5200</v>
      </c>
      <c r="G5869" s="2"/>
    </row>
    <row r="5870" spans="1:7" x14ac:dyDescent="0.3">
      <c r="A5870" t="s">
        <v>2131</v>
      </c>
      <c r="B5870" t="s">
        <v>402</v>
      </c>
      <c r="C5870" t="s">
        <v>403</v>
      </c>
      <c r="D5870">
        <v>2014</v>
      </c>
      <c r="E5870" s="2">
        <v>10</v>
      </c>
      <c r="F5870" s="2">
        <v>5200</v>
      </c>
      <c r="G5870" s="2"/>
    </row>
    <row r="5871" spans="1:7" x14ac:dyDescent="0.3">
      <c r="A5871" t="s">
        <v>2131</v>
      </c>
      <c r="B5871" t="s">
        <v>402</v>
      </c>
      <c r="C5871" t="s">
        <v>403</v>
      </c>
      <c r="D5871">
        <v>2017</v>
      </c>
      <c r="E5871" s="2">
        <v>10</v>
      </c>
      <c r="F5871" s="2">
        <v>5200</v>
      </c>
      <c r="G5871" s="2"/>
    </row>
    <row r="5872" spans="1:7" x14ac:dyDescent="0.3">
      <c r="A5872" t="s">
        <v>2131</v>
      </c>
      <c r="B5872" t="s">
        <v>1711</v>
      </c>
      <c r="C5872" t="s">
        <v>1712</v>
      </c>
      <c r="D5872">
        <v>2012</v>
      </c>
      <c r="E5872" s="2">
        <v>10</v>
      </c>
      <c r="F5872" s="2">
        <v>2250</v>
      </c>
      <c r="G5872" s="2"/>
    </row>
    <row r="5873" spans="1:8" x14ac:dyDescent="0.3">
      <c r="A5873" t="s">
        <v>2131</v>
      </c>
      <c r="B5873" t="s">
        <v>653</v>
      </c>
      <c r="C5873" t="s">
        <v>654</v>
      </c>
      <c r="D5873">
        <v>2020</v>
      </c>
      <c r="E5873" s="2">
        <v>5</v>
      </c>
      <c r="F5873" s="2">
        <v>600</v>
      </c>
      <c r="G5873" s="2">
        <v>630</v>
      </c>
    </row>
    <row r="5874" spans="1:8" x14ac:dyDescent="0.3">
      <c r="A5874" t="s">
        <v>2131</v>
      </c>
      <c r="B5874" t="s">
        <v>312</v>
      </c>
      <c r="C5874" t="s">
        <v>313</v>
      </c>
      <c r="D5874">
        <v>2012</v>
      </c>
      <c r="E5874" s="2">
        <v>100</v>
      </c>
      <c r="F5874" s="2">
        <v>8000</v>
      </c>
      <c r="G5874" s="2"/>
    </row>
    <row r="5875" spans="1:8" x14ac:dyDescent="0.3">
      <c r="A5875" t="s">
        <v>2131</v>
      </c>
      <c r="B5875" t="s">
        <v>2151</v>
      </c>
      <c r="C5875" t="s">
        <v>2152</v>
      </c>
      <c r="D5875">
        <v>2009</v>
      </c>
      <c r="E5875" s="2">
        <v>10</v>
      </c>
      <c r="F5875" s="2">
        <v>1870</v>
      </c>
      <c r="G5875" s="2"/>
    </row>
    <row r="5876" spans="1:8" x14ac:dyDescent="0.3">
      <c r="A5876" t="s">
        <v>2131</v>
      </c>
      <c r="B5876" t="s">
        <v>263</v>
      </c>
      <c r="C5876" t="s">
        <v>264</v>
      </c>
      <c r="D5876">
        <v>2019</v>
      </c>
      <c r="E5876" s="2">
        <v>25</v>
      </c>
      <c r="F5876" s="2">
        <v>5675</v>
      </c>
      <c r="G5876" s="2">
        <v>5958.75</v>
      </c>
      <c r="H5876" s="3" t="s">
        <v>374</v>
      </c>
    </row>
    <row r="5877" spans="1:8" x14ac:dyDescent="0.3">
      <c r="A5877" t="s">
        <v>2131</v>
      </c>
      <c r="B5877" t="s">
        <v>263</v>
      </c>
      <c r="C5877" t="s">
        <v>264</v>
      </c>
      <c r="D5877">
        <v>2021</v>
      </c>
      <c r="E5877" s="2">
        <v>25</v>
      </c>
      <c r="F5877" s="2">
        <v>5675</v>
      </c>
      <c r="G5877" s="2">
        <v>5958.75</v>
      </c>
      <c r="H5877" s="3" t="s">
        <v>374</v>
      </c>
    </row>
    <row r="5878" spans="1:8" x14ac:dyDescent="0.3">
      <c r="A5878" t="s">
        <v>2131</v>
      </c>
      <c r="B5878" t="s">
        <v>72</v>
      </c>
      <c r="C5878" t="s">
        <v>73</v>
      </c>
      <c r="D5878">
        <v>2013</v>
      </c>
      <c r="E5878" s="2">
        <v>50</v>
      </c>
      <c r="F5878" s="2">
        <v>14750</v>
      </c>
      <c r="G5878" s="2"/>
    </row>
    <row r="5879" spans="1:8" x14ac:dyDescent="0.3">
      <c r="A5879" t="s">
        <v>2131</v>
      </c>
      <c r="B5879" t="s">
        <v>72</v>
      </c>
      <c r="C5879" t="s">
        <v>73</v>
      </c>
      <c r="D5879">
        <v>2014</v>
      </c>
      <c r="E5879" s="2">
        <v>50</v>
      </c>
      <c r="F5879" s="2">
        <v>14750</v>
      </c>
      <c r="G5879" s="2"/>
    </row>
    <row r="5880" spans="1:8" x14ac:dyDescent="0.3">
      <c r="A5880" t="s">
        <v>2131</v>
      </c>
      <c r="B5880" t="s">
        <v>200</v>
      </c>
      <c r="C5880" t="s">
        <v>2153</v>
      </c>
      <c r="D5880">
        <v>2009</v>
      </c>
      <c r="E5880" s="2">
        <v>10</v>
      </c>
      <c r="F5880" s="2">
        <v>1720</v>
      </c>
      <c r="G5880" s="2"/>
    </row>
    <row r="5881" spans="1:8" x14ac:dyDescent="0.3">
      <c r="A5881" t="s">
        <v>2131</v>
      </c>
      <c r="B5881" t="s">
        <v>200</v>
      </c>
      <c r="C5881" t="s">
        <v>2153</v>
      </c>
      <c r="D5881">
        <v>2013</v>
      </c>
      <c r="E5881" s="2">
        <v>25</v>
      </c>
      <c r="F5881" s="2">
        <v>4300</v>
      </c>
      <c r="G5881" s="2"/>
    </row>
    <row r="5882" spans="1:8" x14ac:dyDescent="0.3">
      <c r="A5882" t="s">
        <v>2131</v>
      </c>
      <c r="B5882" t="s">
        <v>200</v>
      </c>
      <c r="C5882" t="s">
        <v>2153</v>
      </c>
      <c r="D5882">
        <v>2015</v>
      </c>
      <c r="E5882" s="2">
        <v>25</v>
      </c>
      <c r="F5882" s="2">
        <v>5000</v>
      </c>
      <c r="G5882" s="2"/>
    </row>
    <row r="5883" spans="1:8" x14ac:dyDescent="0.3">
      <c r="A5883" t="s">
        <v>2131</v>
      </c>
      <c r="B5883" t="s">
        <v>2154</v>
      </c>
      <c r="C5883" t="s">
        <v>2155</v>
      </c>
      <c r="D5883">
        <v>2012</v>
      </c>
      <c r="E5883" s="2">
        <v>10</v>
      </c>
      <c r="F5883" s="2">
        <v>2750</v>
      </c>
      <c r="G5883" s="2"/>
    </row>
    <row r="5884" spans="1:8" x14ac:dyDescent="0.3">
      <c r="A5884" t="s">
        <v>2131</v>
      </c>
      <c r="B5884" t="s">
        <v>483</v>
      </c>
      <c r="C5884" t="s">
        <v>484</v>
      </c>
      <c r="D5884">
        <v>2020</v>
      </c>
      <c r="E5884" s="2">
        <v>2</v>
      </c>
      <c r="F5884" s="2">
        <v>250</v>
      </c>
      <c r="G5884" s="2">
        <v>262.5</v>
      </c>
    </row>
    <row r="5885" spans="1:8" x14ac:dyDescent="0.3">
      <c r="A5885" t="s">
        <v>2131</v>
      </c>
      <c r="B5885" t="s">
        <v>76</v>
      </c>
      <c r="C5885" t="s">
        <v>77</v>
      </c>
      <c r="D5885">
        <v>2020</v>
      </c>
      <c r="E5885" s="2">
        <v>5</v>
      </c>
      <c r="F5885" s="2">
        <v>625</v>
      </c>
      <c r="G5885" s="2">
        <v>656.25</v>
      </c>
    </row>
    <row r="5886" spans="1:8" x14ac:dyDescent="0.3">
      <c r="A5886" t="s">
        <v>2131</v>
      </c>
      <c r="B5886" t="s">
        <v>677</v>
      </c>
      <c r="C5886" t="s">
        <v>678</v>
      </c>
      <c r="D5886">
        <v>2020</v>
      </c>
      <c r="E5886" s="2">
        <v>5</v>
      </c>
      <c r="F5886" s="2">
        <v>400</v>
      </c>
      <c r="G5886" s="2">
        <v>420</v>
      </c>
    </row>
    <row r="5887" spans="1:8" x14ac:dyDescent="0.3">
      <c r="A5887" t="s">
        <v>2131</v>
      </c>
      <c r="B5887" t="s">
        <v>679</v>
      </c>
      <c r="C5887" t="s">
        <v>680</v>
      </c>
      <c r="D5887">
        <v>2020</v>
      </c>
      <c r="E5887" s="2">
        <v>5</v>
      </c>
      <c r="F5887" s="2">
        <v>625</v>
      </c>
      <c r="G5887" s="2">
        <v>656.25</v>
      </c>
    </row>
    <row r="5888" spans="1:8" x14ac:dyDescent="0.3">
      <c r="A5888" t="s">
        <v>2131</v>
      </c>
      <c r="B5888" t="s">
        <v>2156</v>
      </c>
      <c r="C5888" t="s">
        <v>515</v>
      </c>
      <c r="D5888">
        <v>2015</v>
      </c>
      <c r="E5888" s="2">
        <v>25</v>
      </c>
      <c r="F5888" s="2">
        <v>4500</v>
      </c>
      <c r="G5888" s="2"/>
    </row>
    <row r="5889" spans="1:8" x14ac:dyDescent="0.3">
      <c r="A5889" t="s">
        <v>2131</v>
      </c>
      <c r="B5889" t="s">
        <v>2156</v>
      </c>
      <c r="C5889" t="s">
        <v>515</v>
      </c>
      <c r="D5889">
        <v>2018</v>
      </c>
      <c r="E5889" s="2">
        <v>25</v>
      </c>
      <c r="F5889" s="2">
        <v>4500</v>
      </c>
      <c r="G5889" s="2">
        <v>4725</v>
      </c>
    </row>
    <row r="5890" spans="1:8" x14ac:dyDescent="0.3">
      <c r="A5890" t="s">
        <v>2131</v>
      </c>
      <c r="B5890" t="s">
        <v>155</v>
      </c>
      <c r="C5890" t="s">
        <v>156</v>
      </c>
      <c r="D5890">
        <v>2020</v>
      </c>
      <c r="E5890" s="2">
        <v>5</v>
      </c>
      <c r="F5890" s="2">
        <v>550</v>
      </c>
      <c r="G5890" s="2">
        <v>577.5</v>
      </c>
    </row>
    <row r="5891" spans="1:8" x14ac:dyDescent="0.3">
      <c r="A5891" t="s">
        <v>2131</v>
      </c>
      <c r="B5891" t="s">
        <v>2157</v>
      </c>
      <c r="C5891" t="s">
        <v>2158</v>
      </c>
      <c r="D5891">
        <v>2010</v>
      </c>
      <c r="E5891" s="2">
        <v>10</v>
      </c>
      <c r="F5891" s="2">
        <v>1780</v>
      </c>
      <c r="G5891" s="2"/>
    </row>
    <row r="5892" spans="1:8" x14ac:dyDescent="0.3">
      <c r="A5892" t="s">
        <v>2159</v>
      </c>
      <c r="B5892" t="s">
        <v>671</v>
      </c>
      <c r="C5892" t="s">
        <v>672</v>
      </c>
      <c r="D5892">
        <v>2021</v>
      </c>
      <c r="E5892" s="2">
        <v>50</v>
      </c>
      <c r="F5892" s="2">
        <v>2000</v>
      </c>
      <c r="G5892" s="2">
        <v>2000</v>
      </c>
      <c r="H5892" s="3" t="s">
        <v>14</v>
      </c>
    </row>
    <row r="5893" spans="1:8" x14ac:dyDescent="0.3">
      <c r="A5893" t="s">
        <v>2160</v>
      </c>
      <c r="B5893" t="s">
        <v>26</v>
      </c>
      <c r="C5893" t="s">
        <v>27</v>
      </c>
      <c r="D5893">
        <v>2015</v>
      </c>
      <c r="E5893" s="2">
        <v>50</v>
      </c>
      <c r="F5893" s="2">
        <v>4000</v>
      </c>
      <c r="G5893" s="2"/>
    </row>
    <row r="5894" spans="1:8" x14ac:dyDescent="0.3">
      <c r="A5894" t="s">
        <v>2160</v>
      </c>
      <c r="B5894" t="s">
        <v>741</v>
      </c>
      <c r="C5894" t="s">
        <v>742</v>
      </c>
      <c r="D5894">
        <v>2015</v>
      </c>
      <c r="E5894" s="2">
        <v>25</v>
      </c>
      <c r="F5894" s="2">
        <v>2000</v>
      </c>
      <c r="G5894" s="2"/>
    </row>
    <row r="5895" spans="1:8" x14ac:dyDescent="0.3">
      <c r="A5895" t="s">
        <v>2160</v>
      </c>
      <c r="B5895" t="s">
        <v>334</v>
      </c>
      <c r="C5895" t="s">
        <v>335</v>
      </c>
      <c r="D5895">
        <v>2015</v>
      </c>
      <c r="E5895" s="2">
        <v>25</v>
      </c>
      <c r="F5895" s="2">
        <v>2000</v>
      </c>
      <c r="G5895" s="2"/>
    </row>
    <row r="5896" spans="1:8" x14ac:dyDescent="0.3">
      <c r="A5896" t="s">
        <v>2160</v>
      </c>
      <c r="B5896" t="s">
        <v>864</v>
      </c>
      <c r="D5896">
        <v>2015</v>
      </c>
      <c r="E5896" s="2">
        <v>5</v>
      </c>
      <c r="F5896" s="2">
        <v>550</v>
      </c>
      <c r="G5896" s="2"/>
    </row>
    <row r="5897" spans="1:8" x14ac:dyDescent="0.3">
      <c r="A5897" t="s">
        <v>2161</v>
      </c>
      <c r="B5897" t="s">
        <v>55</v>
      </c>
      <c r="D5897">
        <v>2021</v>
      </c>
      <c r="E5897" s="2">
        <v>2</v>
      </c>
      <c r="F5897" s="2">
        <v>560</v>
      </c>
      <c r="G5897" s="2">
        <v>588</v>
      </c>
      <c r="H5897" s="3" t="s">
        <v>18</v>
      </c>
    </row>
    <row r="5898" spans="1:8" x14ac:dyDescent="0.3">
      <c r="A5898" t="s">
        <v>2161</v>
      </c>
      <c r="B5898" t="s">
        <v>127</v>
      </c>
      <c r="D5898">
        <v>2019</v>
      </c>
      <c r="E5898" s="2">
        <v>3</v>
      </c>
      <c r="F5898" s="2">
        <v>775</v>
      </c>
      <c r="G5898" s="2">
        <v>813.75</v>
      </c>
    </row>
    <row r="5899" spans="1:8" x14ac:dyDescent="0.3">
      <c r="A5899" t="s">
        <v>2162</v>
      </c>
      <c r="B5899" t="s">
        <v>163</v>
      </c>
      <c r="C5899" t="s">
        <v>164</v>
      </c>
      <c r="D5899">
        <v>2013</v>
      </c>
      <c r="E5899" s="2">
        <v>100</v>
      </c>
      <c r="F5899" s="2">
        <v>13900</v>
      </c>
      <c r="G5899" s="2"/>
    </row>
    <row r="5900" spans="1:8" x14ac:dyDescent="0.3">
      <c r="A5900" t="s">
        <v>2162</v>
      </c>
      <c r="B5900" t="s">
        <v>163</v>
      </c>
      <c r="C5900" t="s">
        <v>164</v>
      </c>
      <c r="D5900">
        <v>2014</v>
      </c>
      <c r="E5900" s="2">
        <v>75</v>
      </c>
      <c r="F5900" s="2">
        <v>10350</v>
      </c>
      <c r="G5900" s="2"/>
    </row>
    <row r="5901" spans="1:8" x14ac:dyDescent="0.3">
      <c r="A5901" t="s">
        <v>2162</v>
      </c>
      <c r="B5901" t="s">
        <v>163</v>
      </c>
      <c r="C5901" t="s">
        <v>164</v>
      </c>
      <c r="D5901">
        <v>2015</v>
      </c>
      <c r="E5901" s="2">
        <v>100</v>
      </c>
      <c r="F5901" s="2">
        <v>13800</v>
      </c>
      <c r="G5901" s="2"/>
    </row>
    <row r="5902" spans="1:8" x14ac:dyDescent="0.3">
      <c r="A5902" t="s">
        <v>2163</v>
      </c>
      <c r="B5902" t="s">
        <v>888</v>
      </c>
      <c r="C5902" t="s">
        <v>85</v>
      </c>
      <c r="D5902">
        <v>2012</v>
      </c>
      <c r="E5902" s="2">
        <v>5</v>
      </c>
      <c r="F5902" s="2">
        <v>1400</v>
      </c>
      <c r="G5902" s="2"/>
    </row>
    <row r="5903" spans="1:8" x14ac:dyDescent="0.3">
      <c r="A5903" t="s">
        <v>2163</v>
      </c>
      <c r="B5903" t="s">
        <v>99</v>
      </c>
      <c r="C5903" t="s">
        <v>100</v>
      </c>
      <c r="D5903">
        <v>2012</v>
      </c>
      <c r="E5903" s="2">
        <v>2</v>
      </c>
      <c r="F5903" s="2">
        <v>560</v>
      </c>
      <c r="G5903" s="2"/>
    </row>
    <row r="5904" spans="1:8" x14ac:dyDescent="0.3">
      <c r="A5904" t="s">
        <v>2163</v>
      </c>
      <c r="B5904" t="s">
        <v>2164</v>
      </c>
      <c r="C5904" t="s">
        <v>2165</v>
      </c>
      <c r="D5904">
        <v>2021</v>
      </c>
      <c r="E5904" s="2">
        <v>2</v>
      </c>
      <c r="F5904" s="2">
        <v>480</v>
      </c>
      <c r="G5904" s="2">
        <v>504</v>
      </c>
      <c r="H5904" s="3" t="s">
        <v>374</v>
      </c>
    </row>
    <row r="5905" spans="1:7" x14ac:dyDescent="0.3">
      <c r="A5905" t="s">
        <v>2163</v>
      </c>
      <c r="B5905" t="s">
        <v>135</v>
      </c>
      <c r="C5905" t="s">
        <v>136</v>
      </c>
      <c r="D5905">
        <v>2012</v>
      </c>
      <c r="E5905" s="2">
        <v>2</v>
      </c>
      <c r="F5905" s="2">
        <v>560</v>
      </c>
      <c r="G5905" s="2"/>
    </row>
    <row r="5906" spans="1:7" x14ac:dyDescent="0.3">
      <c r="A5906" t="s">
        <v>2163</v>
      </c>
      <c r="B5906" t="s">
        <v>234</v>
      </c>
      <c r="C5906" t="s">
        <v>235</v>
      </c>
      <c r="D5906">
        <v>2012</v>
      </c>
      <c r="E5906" s="2">
        <v>2</v>
      </c>
      <c r="F5906" s="2">
        <v>660</v>
      </c>
      <c r="G5906" s="2"/>
    </row>
    <row r="5907" spans="1:7" x14ac:dyDescent="0.3">
      <c r="A5907" t="s">
        <v>2166</v>
      </c>
      <c r="B5907" t="s">
        <v>285</v>
      </c>
      <c r="D5907">
        <v>2014</v>
      </c>
      <c r="E5907" s="2">
        <v>10</v>
      </c>
      <c r="F5907" s="2">
        <v>2200</v>
      </c>
      <c r="G5907" s="2"/>
    </row>
    <row r="5908" spans="1:7" x14ac:dyDescent="0.3">
      <c r="A5908" t="s">
        <v>2167</v>
      </c>
      <c r="B5908" t="s">
        <v>2168</v>
      </c>
      <c r="C5908" t="s">
        <v>1788</v>
      </c>
      <c r="D5908">
        <v>2013</v>
      </c>
      <c r="E5908" s="2">
        <v>5</v>
      </c>
      <c r="F5908" s="2">
        <v>1750</v>
      </c>
      <c r="G5908" s="2"/>
    </row>
    <row r="5909" spans="1:7" x14ac:dyDescent="0.3">
      <c r="A5909" t="s">
        <v>2167</v>
      </c>
      <c r="B5909" t="s">
        <v>120</v>
      </c>
      <c r="C5909" t="s">
        <v>121</v>
      </c>
      <c r="D5909">
        <v>2017</v>
      </c>
      <c r="E5909" s="2">
        <v>2</v>
      </c>
      <c r="F5909" s="2">
        <v>450</v>
      </c>
      <c r="G5909" s="2"/>
    </row>
    <row r="5910" spans="1:7" x14ac:dyDescent="0.3">
      <c r="A5910" t="s">
        <v>2167</v>
      </c>
      <c r="B5910" t="s">
        <v>72</v>
      </c>
      <c r="C5910" t="s">
        <v>73</v>
      </c>
      <c r="D5910">
        <v>2013</v>
      </c>
      <c r="E5910" s="2">
        <v>25</v>
      </c>
      <c r="F5910" s="2">
        <v>7125</v>
      </c>
      <c r="G5910" s="2"/>
    </row>
    <row r="5911" spans="1:7" x14ac:dyDescent="0.3">
      <c r="A5911" t="s">
        <v>2167</v>
      </c>
      <c r="B5911" t="s">
        <v>72</v>
      </c>
      <c r="C5911" t="s">
        <v>73</v>
      </c>
      <c r="D5911">
        <v>2014</v>
      </c>
      <c r="E5911" s="2">
        <v>25</v>
      </c>
      <c r="F5911" s="2">
        <v>7125</v>
      </c>
      <c r="G5911" s="2"/>
    </row>
    <row r="5912" spans="1:7" x14ac:dyDescent="0.3">
      <c r="A5912" t="s">
        <v>2167</v>
      </c>
      <c r="B5912" t="s">
        <v>45</v>
      </c>
      <c r="D5912">
        <v>2015</v>
      </c>
      <c r="E5912" s="2">
        <v>20</v>
      </c>
      <c r="F5912" s="2">
        <v>1800</v>
      </c>
      <c r="G5912" s="2"/>
    </row>
    <row r="5913" spans="1:7" x14ac:dyDescent="0.3">
      <c r="A5913" t="s">
        <v>2169</v>
      </c>
      <c r="B5913" t="s">
        <v>99</v>
      </c>
      <c r="C5913" t="s">
        <v>100</v>
      </c>
      <c r="D5913">
        <v>2016</v>
      </c>
      <c r="E5913" s="2">
        <v>1</v>
      </c>
      <c r="F5913" s="2">
        <v>300</v>
      </c>
      <c r="G5913" s="2"/>
    </row>
    <row r="5914" spans="1:7" x14ac:dyDescent="0.3">
      <c r="A5914" t="s">
        <v>2170</v>
      </c>
      <c r="B5914" t="s">
        <v>184</v>
      </c>
      <c r="C5914" t="s">
        <v>185</v>
      </c>
      <c r="D5914">
        <v>2016</v>
      </c>
      <c r="E5914" s="2">
        <v>2</v>
      </c>
      <c r="F5914" s="2">
        <v>190</v>
      </c>
      <c r="G5914" s="2"/>
    </row>
    <row r="5915" spans="1:7" x14ac:dyDescent="0.3">
      <c r="A5915" t="s">
        <v>2170</v>
      </c>
      <c r="B5915" t="s">
        <v>21</v>
      </c>
      <c r="C5915" t="s">
        <v>22</v>
      </c>
      <c r="D5915">
        <v>2016</v>
      </c>
      <c r="E5915" s="2">
        <v>1</v>
      </c>
      <c r="F5915" s="2">
        <v>105</v>
      </c>
      <c r="G5915" s="2"/>
    </row>
    <row r="5916" spans="1:7" x14ac:dyDescent="0.3">
      <c r="A5916" t="s">
        <v>2170</v>
      </c>
      <c r="B5916" t="s">
        <v>68</v>
      </c>
      <c r="C5916" t="s">
        <v>69</v>
      </c>
      <c r="D5916">
        <v>2016</v>
      </c>
      <c r="E5916" s="2">
        <v>2</v>
      </c>
      <c r="F5916" s="2">
        <v>240</v>
      </c>
      <c r="G5916" s="2"/>
    </row>
    <row r="5917" spans="1:7" x14ac:dyDescent="0.3">
      <c r="A5917" t="s">
        <v>2170</v>
      </c>
      <c r="B5917" t="s">
        <v>314</v>
      </c>
      <c r="C5917" t="s">
        <v>475</v>
      </c>
      <c r="D5917">
        <v>2016</v>
      </c>
      <c r="E5917" s="2">
        <v>1</v>
      </c>
      <c r="F5917" s="2">
        <v>120</v>
      </c>
      <c r="G5917" s="2"/>
    </row>
    <row r="5918" spans="1:7" x14ac:dyDescent="0.3">
      <c r="A5918" t="s">
        <v>2171</v>
      </c>
      <c r="B5918" t="s">
        <v>610</v>
      </c>
      <c r="C5918" t="s">
        <v>611</v>
      </c>
      <c r="D5918">
        <v>2015</v>
      </c>
      <c r="E5918" s="2">
        <v>1</v>
      </c>
      <c r="F5918" s="2">
        <v>140</v>
      </c>
      <c r="G5918" s="2"/>
    </row>
    <row r="5919" spans="1:7" x14ac:dyDescent="0.3">
      <c r="A5919" t="s">
        <v>2171</v>
      </c>
      <c r="B5919" t="s">
        <v>631</v>
      </c>
      <c r="C5919" t="s">
        <v>632</v>
      </c>
      <c r="D5919">
        <v>2015</v>
      </c>
      <c r="E5919" s="2">
        <v>1</v>
      </c>
      <c r="F5919" s="2">
        <v>140</v>
      </c>
      <c r="G5919" s="2"/>
    </row>
    <row r="5920" spans="1:7" x14ac:dyDescent="0.3">
      <c r="A5920" t="s">
        <v>2171</v>
      </c>
      <c r="B5920" t="s">
        <v>346</v>
      </c>
      <c r="C5920" t="s">
        <v>347</v>
      </c>
      <c r="D5920">
        <v>2015</v>
      </c>
      <c r="E5920" s="2">
        <v>1</v>
      </c>
      <c r="F5920" s="2">
        <v>150</v>
      </c>
      <c r="G5920" s="2"/>
    </row>
    <row r="5921" spans="1:7" x14ac:dyDescent="0.3">
      <c r="A5921" t="s">
        <v>2171</v>
      </c>
      <c r="B5921" t="s">
        <v>290</v>
      </c>
      <c r="C5921" t="s">
        <v>57</v>
      </c>
      <c r="D5921">
        <v>2015</v>
      </c>
      <c r="E5921" s="2">
        <v>1</v>
      </c>
      <c r="F5921" s="2">
        <v>180</v>
      </c>
      <c r="G5921" s="2"/>
    </row>
    <row r="5922" spans="1:7" x14ac:dyDescent="0.3">
      <c r="A5922" t="s">
        <v>2171</v>
      </c>
      <c r="B5922" t="s">
        <v>942</v>
      </c>
      <c r="C5922" t="s">
        <v>943</v>
      </c>
      <c r="D5922">
        <v>2015</v>
      </c>
      <c r="E5922" s="2">
        <v>1</v>
      </c>
      <c r="F5922" s="2">
        <v>120</v>
      </c>
      <c r="G5922" s="2"/>
    </row>
    <row r="5923" spans="1:7" x14ac:dyDescent="0.3">
      <c r="A5923" t="s">
        <v>2171</v>
      </c>
      <c r="B5923" t="s">
        <v>19</v>
      </c>
      <c r="C5923" t="s">
        <v>20</v>
      </c>
      <c r="D5923">
        <v>2015</v>
      </c>
      <c r="E5923" s="2">
        <v>1</v>
      </c>
      <c r="F5923" s="2">
        <v>150</v>
      </c>
      <c r="G5923" s="2"/>
    </row>
    <row r="5924" spans="1:7" x14ac:dyDescent="0.3">
      <c r="A5924" t="s">
        <v>2171</v>
      </c>
      <c r="B5924" t="s">
        <v>473</v>
      </c>
      <c r="C5924" t="s">
        <v>747</v>
      </c>
      <c r="D5924">
        <v>2015</v>
      </c>
      <c r="E5924" s="2">
        <v>1</v>
      </c>
      <c r="F5924" s="2">
        <v>100</v>
      </c>
      <c r="G5924" s="2"/>
    </row>
    <row r="5925" spans="1:7" x14ac:dyDescent="0.3">
      <c r="A5925" t="s">
        <v>2171</v>
      </c>
      <c r="B5925" t="s">
        <v>314</v>
      </c>
      <c r="C5925" t="s">
        <v>315</v>
      </c>
      <c r="D5925">
        <v>2015</v>
      </c>
      <c r="E5925" s="2">
        <v>1</v>
      </c>
      <c r="F5925" s="2">
        <v>180</v>
      </c>
      <c r="G5925" s="2"/>
    </row>
    <row r="5926" spans="1:7" x14ac:dyDescent="0.3">
      <c r="A5926" t="s">
        <v>2171</v>
      </c>
      <c r="B5926" t="s">
        <v>750</v>
      </c>
      <c r="C5926" t="s">
        <v>751</v>
      </c>
      <c r="D5926">
        <v>2015</v>
      </c>
      <c r="E5926" s="2">
        <v>1</v>
      </c>
      <c r="F5926" s="2">
        <v>180</v>
      </c>
      <c r="G5926" s="2"/>
    </row>
    <row r="5927" spans="1:7" x14ac:dyDescent="0.3">
      <c r="A5927" t="s">
        <v>2172</v>
      </c>
      <c r="B5927" t="s">
        <v>103</v>
      </c>
      <c r="C5927" t="s">
        <v>104</v>
      </c>
      <c r="D5927">
        <v>2017</v>
      </c>
      <c r="E5927" s="2">
        <v>2</v>
      </c>
      <c r="F5927" s="2">
        <v>560</v>
      </c>
      <c r="G5927" s="2"/>
    </row>
    <row r="5928" spans="1:7" x14ac:dyDescent="0.3">
      <c r="A5928" t="s">
        <v>2173</v>
      </c>
      <c r="B5928" t="s">
        <v>586</v>
      </c>
      <c r="C5928" t="s">
        <v>587</v>
      </c>
      <c r="D5928">
        <v>2020</v>
      </c>
      <c r="E5928" s="2">
        <v>5</v>
      </c>
      <c r="F5928" s="2">
        <v>1000</v>
      </c>
      <c r="G5928" s="2">
        <v>1000</v>
      </c>
    </row>
    <row r="5929" spans="1:7" x14ac:dyDescent="0.3">
      <c r="A5929" t="s">
        <v>2173</v>
      </c>
      <c r="B5929" t="s">
        <v>589</v>
      </c>
      <c r="C5929" t="s">
        <v>590</v>
      </c>
      <c r="D5929">
        <v>2020</v>
      </c>
      <c r="E5929" s="2">
        <v>5</v>
      </c>
      <c r="F5929" s="2">
        <v>800</v>
      </c>
      <c r="G5929" s="2">
        <v>800</v>
      </c>
    </row>
    <row r="5930" spans="1:7" x14ac:dyDescent="0.3">
      <c r="A5930" t="s">
        <v>2173</v>
      </c>
      <c r="B5930" t="s">
        <v>1410</v>
      </c>
      <c r="C5930" t="s">
        <v>1411</v>
      </c>
      <c r="D5930">
        <v>2020</v>
      </c>
      <c r="E5930" s="2">
        <v>5</v>
      </c>
      <c r="F5930" s="2">
        <v>900</v>
      </c>
      <c r="G5930" s="2">
        <v>900</v>
      </c>
    </row>
    <row r="5931" spans="1:7" x14ac:dyDescent="0.3">
      <c r="A5931" t="s">
        <v>2173</v>
      </c>
      <c r="B5931" t="s">
        <v>263</v>
      </c>
      <c r="C5931" t="s">
        <v>264</v>
      </c>
      <c r="D5931">
        <v>2020</v>
      </c>
      <c r="E5931" s="2">
        <v>5</v>
      </c>
      <c r="F5931" s="2">
        <v>1150</v>
      </c>
      <c r="G5931" s="2">
        <v>1150</v>
      </c>
    </row>
    <row r="5932" spans="1:7" x14ac:dyDescent="0.3">
      <c r="A5932" t="s">
        <v>2173</v>
      </c>
      <c r="B5932" t="s">
        <v>383</v>
      </c>
      <c r="C5932" t="s">
        <v>384</v>
      </c>
      <c r="D5932">
        <v>2020</v>
      </c>
      <c r="E5932" s="2">
        <v>10</v>
      </c>
      <c r="F5932" s="2">
        <v>1800</v>
      </c>
      <c r="G5932" s="2">
        <v>1800</v>
      </c>
    </row>
    <row r="5933" spans="1:7" x14ac:dyDescent="0.3">
      <c r="A5933" t="s">
        <v>2174</v>
      </c>
      <c r="B5933" t="s">
        <v>58</v>
      </c>
      <c r="C5933" t="s">
        <v>59</v>
      </c>
      <c r="D5933">
        <v>2020</v>
      </c>
      <c r="E5933" s="2">
        <v>7</v>
      </c>
      <c r="F5933" s="2">
        <v>980</v>
      </c>
      <c r="G5933" s="2">
        <v>980</v>
      </c>
    </row>
    <row r="5934" spans="1:7" x14ac:dyDescent="0.3">
      <c r="A5934" t="s">
        <v>2174</v>
      </c>
      <c r="B5934" t="s">
        <v>1425</v>
      </c>
      <c r="C5934" t="s">
        <v>212</v>
      </c>
      <c r="D5934">
        <v>2020</v>
      </c>
      <c r="E5934" s="2">
        <v>5</v>
      </c>
      <c r="F5934" s="2">
        <v>900</v>
      </c>
      <c r="G5934" s="2">
        <v>900</v>
      </c>
    </row>
    <row r="5935" spans="1:7" x14ac:dyDescent="0.3">
      <c r="A5935" t="s">
        <v>2174</v>
      </c>
      <c r="B5935" t="s">
        <v>1138</v>
      </c>
      <c r="D5935">
        <v>2020</v>
      </c>
      <c r="E5935" s="2">
        <v>4</v>
      </c>
      <c r="F5935" s="2">
        <v>1050</v>
      </c>
      <c r="G5935" s="2">
        <v>1050</v>
      </c>
    </row>
    <row r="5936" spans="1:7" x14ac:dyDescent="0.3">
      <c r="A5936" t="s">
        <v>2174</v>
      </c>
      <c r="B5936" t="s">
        <v>599</v>
      </c>
      <c r="C5936" t="s">
        <v>413</v>
      </c>
      <c r="D5936">
        <v>2020</v>
      </c>
      <c r="E5936" s="2">
        <v>10</v>
      </c>
      <c r="F5936" s="2">
        <v>2185</v>
      </c>
      <c r="G5936" s="2">
        <v>2185</v>
      </c>
    </row>
    <row r="5937" spans="1:8" x14ac:dyDescent="0.3">
      <c r="A5937" t="s">
        <v>2174</v>
      </c>
      <c r="B5937" t="s">
        <v>600</v>
      </c>
      <c r="C5937" t="s">
        <v>75</v>
      </c>
      <c r="D5937">
        <v>2020</v>
      </c>
      <c r="E5937" s="2">
        <v>7</v>
      </c>
      <c r="F5937" s="2">
        <v>1120</v>
      </c>
      <c r="G5937" s="2">
        <v>1120</v>
      </c>
    </row>
    <row r="5938" spans="1:8" x14ac:dyDescent="0.3">
      <c r="A5938" t="s">
        <v>2174</v>
      </c>
      <c r="B5938" t="s">
        <v>841</v>
      </c>
      <c r="C5938" t="s">
        <v>169</v>
      </c>
      <c r="D5938">
        <v>2020</v>
      </c>
      <c r="E5938" s="2">
        <v>5</v>
      </c>
      <c r="F5938" s="2">
        <v>825</v>
      </c>
      <c r="G5938" s="2">
        <v>825</v>
      </c>
    </row>
    <row r="5939" spans="1:8" x14ac:dyDescent="0.3">
      <c r="A5939" t="s">
        <v>2175</v>
      </c>
      <c r="B5939" t="s">
        <v>240</v>
      </c>
      <c r="D5939">
        <v>2015</v>
      </c>
      <c r="E5939" s="2">
        <v>50</v>
      </c>
      <c r="F5939" s="2">
        <v>3500</v>
      </c>
      <c r="G5939" s="2"/>
    </row>
    <row r="5940" spans="1:8" x14ac:dyDescent="0.3">
      <c r="A5940" t="s">
        <v>2176</v>
      </c>
      <c r="B5940" t="s">
        <v>1408</v>
      </c>
      <c r="D5940">
        <v>2021</v>
      </c>
      <c r="E5940" s="2">
        <v>2</v>
      </c>
      <c r="F5940" s="2">
        <v>500</v>
      </c>
      <c r="G5940" s="2">
        <v>500</v>
      </c>
      <c r="H5940" s="3" t="s">
        <v>606</v>
      </c>
    </row>
    <row r="5941" spans="1:8" x14ac:dyDescent="0.3">
      <c r="A5941" t="s">
        <v>2176</v>
      </c>
      <c r="B5941" t="s">
        <v>276</v>
      </c>
      <c r="C5941" t="s">
        <v>277</v>
      </c>
      <c r="D5941">
        <v>2020</v>
      </c>
      <c r="E5941" s="2">
        <v>1</v>
      </c>
      <c r="F5941" s="2">
        <v>250</v>
      </c>
      <c r="G5941" s="2">
        <v>250</v>
      </c>
    </row>
    <row r="5942" spans="1:8" x14ac:dyDescent="0.3">
      <c r="A5942" t="s">
        <v>2176</v>
      </c>
      <c r="B5942" t="s">
        <v>586</v>
      </c>
      <c r="C5942" t="s">
        <v>587</v>
      </c>
      <c r="D5942">
        <v>2020</v>
      </c>
      <c r="E5942" s="2">
        <v>1</v>
      </c>
      <c r="F5942" s="2">
        <v>220</v>
      </c>
      <c r="G5942" s="2">
        <v>220</v>
      </c>
    </row>
    <row r="5943" spans="1:8" x14ac:dyDescent="0.3">
      <c r="A5943" t="s">
        <v>2176</v>
      </c>
      <c r="B5943" t="s">
        <v>2177</v>
      </c>
      <c r="D5943">
        <v>2021</v>
      </c>
      <c r="E5943" s="2">
        <v>2</v>
      </c>
      <c r="F5943" s="2">
        <v>320</v>
      </c>
      <c r="G5943" s="2">
        <v>320</v>
      </c>
      <c r="H5943" s="3" t="s">
        <v>2178</v>
      </c>
    </row>
    <row r="5944" spans="1:8" x14ac:dyDescent="0.3">
      <c r="A5944" t="s">
        <v>2176</v>
      </c>
      <c r="B5944" t="s">
        <v>55</v>
      </c>
      <c r="D5944">
        <v>2020</v>
      </c>
      <c r="E5944" s="2">
        <v>4</v>
      </c>
      <c r="F5944" s="2">
        <v>1160</v>
      </c>
      <c r="G5944" s="2">
        <v>1160</v>
      </c>
      <c r="H5944" s="3" t="s">
        <v>18</v>
      </c>
    </row>
    <row r="5945" spans="1:8" x14ac:dyDescent="0.3">
      <c r="A5945" t="s">
        <v>2176</v>
      </c>
      <c r="B5945" t="s">
        <v>55</v>
      </c>
      <c r="D5945">
        <v>2021</v>
      </c>
      <c r="E5945" s="2">
        <v>1</v>
      </c>
      <c r="F5945" s="2">
        <v>290</v>
      </c>
      <c r="G5945" s="2">
        <v>290</v>
      </c>
      <c r="H5945" s="3" t="s">
        <v>18</v>
      </c>
    </row>
    <row r="5946" spans="1:8" x14ac:dyDescent="0.3">
      <c r="A5946" t="s">
        <v>2176</v>
      </c>
      <c r="B5946" t="s">
        <v>2179</v>
      </c>
      <c r="D5946">
        <v>2021</v>
      </c>
      <c r="E5946" s="2">
        <v>2</v>
      </c>
      <c r="F5946" s="2">
        <v>250</v>
      </c>
      <c r="G5946" s="2">
        <v>250</v>
      </c>
      <c r="H5946" s="3" t="s">
        <v>2180</v>
      </c>
    </row>
    <row r="5947" spans="1:8" x14ac:dyDescent="0.3">
      <c r="A5947" t="s">
        <v>2176</v>
      </c>
      <c r="B5947" t="s">
        <v>248</v>
      </c>
      <c r="C5947" t="s">
        <v>249</v>
      </c>
      <c r="D5947">
        <v>2020</v>
      </c>
      <c r="E5947" s="2">
        <v>10</v>
      </c>
      <c r="F5947" s="2">
        <v>2200</v>
      </c>
      <c r="G5947" s="2">
        <v>2200</v>
      </c>
    </row>
    <row r="5948" spans="1:8" x14ac:dyDescent="0.3">
      <c r="A5948" t="s">
        <v>2176</v>
      </c>
      <c r="B5948" t="s">
        <v>1410</v>
      </c>
      <c r="C5948" t="s">
        <v>1411</v>
      </c>
      <c r="D5948">
        <v>2020</v>
      </c>
      <c r="E5948" s="2">
        <v>5</v>
      </c>
      <c r="F5948" s="2">
        <v>1000</v>
      </c>
      <c r="G5948" s="2">
        <v>1000</v>
      </c>
    </row>
    <row r="5949" spans="1:8" x14ac:dyDescent="0.3">
      <c r="A5949" t="s">
        <v>2176</v>
      </c>
      <c r="B5949" t="s">
        <v>1412</v>
      </c>
      <c r="D5949">
        <v>2020</v>
      </c>
      <c r="E5949" s="2">
        <v>2</v>
      </c>
      <c r="F5949" s="2">
        <v>500</v>
      </c>
      <c r="G5949" s="2">
        <v>500</v>
      </c>
      <c r="H5949" s="3" t="s">
        <v>374</v>
      </c>
    </row>
    <row r="5950" spans="1:8" x14ac:dyDescent="0.3">
      <c r="A5950" t="s">
        <v>2176</v>
      </c>
      <c r="B5950" t="s">
        <v>1412</v>
      </c>
      <c r="D5950">
        <v>2021</v>
      </c>
      <c r="E5950" s="2">
        <v>11</v>
      </c>
      <c r="F5950" s="2">
        <v>2750</v>
      </c>
      <c r="G5950" s="2">
        <v>2750</v>
      </c>
      <c r="H5950" s="3" t="s">
        <v>374</v>
      </c>
    </row>
    <row r="5951" spans="1:8" x14ac:dyDescent="0.3">
      <c r="A5951" t="s">
        <v>2176</v>
      </c>
      <c r="B5951" t="s">
        <v>1413</v>
      </c>
      <c r="D5951">
        <v>2020</v>
      </c>
      <c r="E5951" s="2">
        <v>1</v>
      </c>
      <c r="F5951" s="2">
        <v>160</v>
      </c>
      <c r="G5951" s="2">
        <v>160</v>
      </c>
    </row>
    <row r="5952" spans="1:8" x14ac:dyDescent="0.3">
      <c r="A5952" t="s">
        <v>2176</v>
      </c>
      <c r="B5952" t="s">
        <v>1419</v>
      </c>
      <c r="C5952" t="s">
        <v>1420</v>
      </c>
      <c r="D5952">
        <v>2020</v>
      </c>
      <c r="E5952" s="2">
        <v>5</v>
      </c>
      <c r="F5952" s="2">
        <v>900</v>
      </c>
      <c r="G5952" s="2">
        <v>900</v>
      </c>
    </row>
    <row r="5953" spans="1:8" x14ac:dyDescent="0.3">
      <c r="A5953" t="s">
        <v>2176</v>
      </c>
      <c r="B5953" t="s">
        <v>99</v>
      </c>
      <c r="C5953" t="s">
        <v>100</v>
      </c>
      <c r="D5953">
        <v>2019</v>
      </c>
      <c r="E5953" s="2">
        <v>4</v>
      </c>
      <c r="F5953" s="2">
        <v>880</v>
      </c>
      <c r="G5953" s="2"/>
      <c r="H5953" s="3" t="s">
        <v>18</v>
      </c>
    </row>
    <row r="5954" spans="1:8" x14ac:dyDescent="0.3">
      <c r="A5954" t="s">
        <v>2176</v>
      </c>
      <c r="B5954" t="s">
        <v>99</v>
      </c>
      <c r="C5954" t="s">
        <v>100</v>
      </c>
      <c r="D5954">
        <v>2020</v>
      </c>
      <c r="E5954" s="2">
        <v>1</v>
      </c>
      <c r="F5954" s="2">
        <v>220</v>
      </c>
      <c r="G5954" s="2">
        <v>220</v>
      </c>
      <c r="H5954" s="3" t="s">
        <v>18</v>
      </c>
    </row>
    <row r="5955" spans="1:8" x14ac:dyDescent="0.3">
      <c r="A5955" t="s">
        <v>2176</v>
      </c>
      <c r="B5955" t="s">
        <v>99</v>
      </c>
      <c r="C5955" t="s">
        <v>100</v>
      </c>
      <c r="D5955">
        <v>2021</v>
      </c>
      <c r="E5955" s="2">
        <v>5</v>
      </c>
      <c r="F5955" s="2">
        <v>1100</v>
      </c>
      <c r="G5955" s="2">
        <v>1100</v>
      </c>
      <c r="H5955" s="3" t="s">
        <v>18</v>
      </c>
    </row>
    <row r="5956" spans="1:8" x14ac:dyDescent="0.3">
      <c r="A5956" t="s">
        <v>2176</v>
      </c>
      <c r="B5956" t="s">
        <v>514</v>
      </c>
      <c r="C5956" t="s">
        <v>515</v>
      </c>
      <c r="D5956">
        <v>2021</v>
      </c>
      <c r="E5956" s="2">
        <v>1</v>
      </c>
      <c r="F5956" s="2">
        <v>200</v>
      </c>
      <c r="G5956" s="2">
        <v>200</v>
      </c>
      <c r="H5956" s="3" t="s">
        <v>18</v>
      </c>
    </row>
    <row r="5957" spans="1:8" x14ac:dyDescent="0.3">
      <c r="A5957" t="s">
        <v>2176</v>
      </c>
      <c r="B5957" t="s">
        <v>1423</v>
      </c>
      <c r="C5957" t="s">
        <v>1424</v>
      </c>
      <c r="D5957">
        <v>2021</v>
      </c>
      <c r="E5957" s="2">
        <v>7</v>
      </c>
      <c r="F5957" s="2">
        <v>1260</v>
      </c>
      <c r="G5957" s="2">
        <v>1260</v>
      </c>
      <c r="H5957" s="3" t="s">
        <v>18</v>
      </c>
    </row>
    <row r="5958" spans="1:8" x14ac:dyDescent="0.3">
      <c r="A5958" t="s">
        <v>2176</v>
      </c>
      <c r="B5958" t="s">
        <v>258</v>
      </c>
      <c r="C5958" t="s">
        <v>259</v>
      </c>
      <c r="D5958">
        <v>2021</v>
      </c>
      <c r="E5958" s="2">
        <v>3</v>
      </c>
      <c r="F5958" s="2">
        <v>720</v>
      </c>
      <c r="G5958" s="2">
        <v>720</v>
      </c>
      <c r="H5958" s="3" t="s">
        <v>18</v>
      </c>
    </row>
    <row r="5959" spans="1:8" x14ac:dyDescent="0.3">
      <c r="A5959" t="s">
        <v>2176</v>
      </c>
      <c r="B5959" t="s">
        <v>792</v>
      </c>
      <c r="C5959" t="s">
        <v>793</v>
      </c>
      <c r="D5959">
        <v>2020</v>
      </c>
      <c r="E5959" s="2">
        <v>3</v>
      </c>
      <c r="F5959" s="2">
        <v>690</v>
      </c>
      <c r="G5959" s="2">
        <v>690</v>
      </c>
    </row>
    <row r="5960" spans="1:8" x14ac:dyDescent="0.3">
      <c r="A5960" t="s">
        <v>2176</v>
      </c>
      <c r="B5960" t="s">
        <v>119</v>
      </c>
      <c r="D5960">
        <v>2021</v>
      </c>
      <c r="E5960" s="2">
        <v>1</v>
      </c>
      <c r="F5960" s="2">
        <v>200</v>
      </c>
      <c r="G5960" s="2">
        <v>200</v>
      </c>
      <c r="H5960" s="3" t="s">
        <v>18</v>
      </c>
    </row>
    <row r="5961" spans="1:8" x14ac:dyDescent="0.3">
      <c r="A5961" t="s">
        <v>2176</v>
      </c>
      <c r="B5961" t="s">
        <v>517</v>
      </c>
      <c r="C5961" t="s">
        <v>145</v>
      </c>
      <c r="D5961">
        <v>2020</v>
      </c>
      <c r="E5961" s="2">
        <v>1</v>
      </c>
      <c r="F5961" s="2">
        <v>230</v>
      </c>
      <c r="G5961" s="2">
        <v>230</v>
      </c>
    </row>
    <row r="5962" spans="1:8" x14ac:dyDescent="0.3">
      <c r="A5962" t="s">
        <v>2176</v>
      </c>
      <c r="B5962" t="s">
        <v>189</v>
      </c>
      <c r="D5962">
        <v>2020</v>
      </c>
      <c r="E5962" s="2">
        <v>1</v>
      </c>
      <c r="F5962" s="2">
        <v>550</v>
      </c>
      <c r="G5962" s="2">
        <v>550</v>
      </c>
    </row>
    <row r="5963" spans="1:8" x14ac:dyDescent="0.3">
      <c r="A5963" t="s">
        <v>2176</v>
      </c>
      <c r="B5963" t="s">
        <v>263</v>
      </c>
      <c r="C5963" t="s">
        <v>264</v>
      </c>
      <c r="D5963">
        <v>2020</v>
      </c>
      <c r="E5963" s="2">
        <v>2</v>
      </c>
      <c r="F5963" s="2">
        <v>480</v>
      </c>
      <c r="G5963" s="2">
        <v>480</v>
      </c>
    </row>
    <row r="5964" spans="1:8" x14ac:dyDescent="0.3">
      <c r="A5964" t="s">
        <v>2176</v>
      </c>
      <c r="B5964" t="s">
        <v>383</v>
      </c>
      <c r="C5964" t="s">
        <v>384</v>
      </c>
      <c r="D5964">
        <v>2019</v>
      </c>
      <c r="E5964" s="2">
        <v>5</v>
      </c>
      <c r="F5964" s="2">
        <v>800</v>
      </c>
      <c r="G5964" s="2">
        <v>800</v>
      </c>
    </row>
    <row r="5965" spans="1:8" x14ac:dyDescent="0.3">
      <c r="A5965" t="s">
        <v>2176</v>
      </c>
      <c r="B5965" t="s">
        <v>383</v>
      </c>
      <c r="C5965" t="s">
        <v>385</v>
      </c>
      <c r="D5965">
        <v>2020</v>
      </c>
      <c r="E5965" s="2">
        <v>17</v>
      </c>
      <c r="F5965" s="2">
        <v>2720</v>
      </c>
      <c r="G5965" s="2">
        <v>2720</v>
      </c>
      <c r="H5965" s="3" t="s">
        <v>18</v>
      </c>
    </row>
    <row r="5966" spans="1:8" x14ac:dyDescent="0.3">
      <c r="A5966" t="s">
        <v>2176</v>
      </c>
      <c r="B5966" t="s">
        <v>383</v>
      </c>
      <c r="C5966" t="s">
        <v>384</v>
      </c>
      <c r="D5966">
        <v>2020</v>
      </c>
      <c r="E5966" s="2">
        <v>20</v>
      </c>
      <c r="F5966" s="2">
        <v>3200</v>
      </c>
      <c r="G5966" s="2">
        <v>3200</v>
      </c>
    </row>
    <row r="5967" spans="1:8" x14ac:dyDescent="0.3">
      <c r="A5967" t="s">
        <v>2176</v>
      </c>
      <c r="B5967" t="s">
        <v>383</v>
      </c>
      <c r="C5967" t="s">
        <v>385</v>
      </c>
      <c r="D5967">
        <v>2021</v>
      </c>
      <c r="E5967" s="2">
        <v>29</v>
      </c>
      <c r="F5967" s="2">
        <v>4640</v>
      </c>
      <c r="G5967" s="2">
        <v>4640</v>
      </c>
      <c r="H5967" s="3" t="s">
        <v>18</v>
      </c>
    </row>
    <row r="5968" spans="1:8" x14ac:dyDescent="0.3">
      <c r="A5968" t="s">
        <v>2176</v>
      </c>
      <c r="B5968" t="s">
        <v>656</v>
      </c>
      <c r="C5968" t="s">
        <v>71</v>
      </c>
      <c r="D5968">
        <v>2020</v>
      </c>
      <c r="E5968" s="2">
        <v>1</v>
      </c>
      <c r="F5968" s="2">
        <v>160</v>
      </c>
      <c r="G5968" s="2">
        <v>160</v>
      </c>
    </row>
    <row r="5969" spans="1:8" x14ac:dyDescent="0.3">
      <c r="A5969" t="s">
        <v>2176</v>
      </c>
      <c r="B5969" t="s">
        <v>72</v>
      </c>
      <c r="C5969" t="s">
        <v>73</v>
      </c>
      <c r="D5969">
        <v>2019</v>
      </c>
      <c r="E5969" s="2">
        <v>10</v>
      </c>
      <c r="F5969" s="2">
        <v>1800</v>
      </c>
      <c r="G5969" s="2">
        <v>1800</v>
      </c>
      <c r="H5969" s="3" t="s">
        <v>374</v>
      </c>
    </row>
    <row r="5970" spans="1:8" x14ac:dyDescent="0.3">
      <c r="A5970" t="s">
        <v>2176</v>
      </c>
      <c r="B5970" t="s">
        <v>72</v>
      </c>
      <c r="C5970" t="s">
        <v>73</v>
      </c>
      <c r="D5970">
        <v>2020</v>
      </c>
      <c r="E5970" s="2">
        <v>24</v>
      </c>
      <c r="F5970" s="2">
        <v>4320</v>
      </c>
      <c r="G5970" s="2">
        <v>4320</v>
      </c>
      <c r="H5970" s="3" t="s">
        <v>374</v>
      </c>
    </row>
    <row r="5971" spans="1:8" x14ac:dyDescent="0.3">
      <c r="A5971" t="s">
        <v>2176</v>
      </c>
      <c r="B5971" t="s">
        <v>72</v>
      </c>
      <c r="C5971" t="s">
        <v>73</v>
      </c>
      <c r="D5971">
        <v>2021</v>
      </c>
      <c r="E5971" s="2">
        <v>17</v>
      </c>
      <c r="F5971" s="2">
        <v>3060</v>
      </c>
      <c r="G5971" s="2">
        <v>3060</v>
      </c>
      <c r="H5971" s="3" t="s">
        <v>374</v>
      </c>
    </row>
    <row r="5972" spans="1:8" x14ac:dyDescent="0.3">
      <c r="A5972" t="s">
        <v>2176</v>
      </c>
      <c r="B5972" t="s">
        <v>1405</v>
      </c>
      <c r="C5972" t="s">
        <v>1406</v>
      </c>
      <c r="D5972">
        <v>2021</v>
      </c>
      <c r="E5972" s="2">
        <v>2</v>
      </c>
      <c r="F5972" s="2">
        <v>440</v>
      </c>
      <c r="G5972" s="2">
        <v>440</v>
      </c>
      <c r="H5972" s="3" t="s">
        <v>374</v>
      </c>
    </row>
    <row r="5973" spans="1:8" x14ac:dyDescent="0.3">
      <c r="A5973" t="s">
        <v>2176</v>
      </c>
      <c r="B5973" t="s">
        <v>151</v>
      </c>
      <c r="C5973" t="s">
        <v>152</v>
      </c>
      <c r="D5973">
        <v>2021</v>
      </c>
      <c r="E5973" s="2">
        <v>5</v>
      </c>
      <c r="F5973" s="2">
        <v>1100</v>
      </c>
      <c r="G5973" s="2">
        <v>1100</v>
      </c>
      <c r="H5973" s="3" t="s">
        <v>18</v>
      </c>
    </row>
    <row r="5974" spans="1:8" x14ac:dyDescent="0.3">
      <c r="A5974" t="s">
        <v>2176</v>
      </c>
      <c r="B5974" t="s">
        <v>679</v>
      </c>
      <c r="C5974" t="s">
        <v>680</v>
      </c>
      <c r="D5974">
        <v>2021</v>
      </c>
      <c r="E5974" s="2">
        <v>2</v>
      </c>
      <c r="F5974" s="2">
        <v>240</v>
      </c>
      <c r="G5974" s="2">
        <v>240</v>
      </c>
      <c r="H5974" s="3" t="s">
        <v>18</v>
      </c>
    </row>
    <row r="5975" spans="1:8" x14ac:dyDescent="0.3">
      <c r="A5975" t="s">
        <v>2176</v>
      </c>
      <c r="B5975" t="s">
        <v>153</v>
      </c>
      <c r="C5975" t="s">
        <v>154</v>
      </c>
      <c r="D5975">
        <v>2021</v>
      </c>
      <c r="E5975" s="2">
        <v>2</v>
      </c>
      <c r="F5975" s="2">
        <v>440</v>
      </c>
      <c r="G5975" s="2">
        <v>440</v>
      </c>
      <c r="H5975" s="3" t="s">
        <v>18</v>
      </c>
    </row>
    <row r="5976" spans="1:8" x14ac:dyDescent="0.3">
      <c r="A5976" t="s">
        <v>2176</v>
      </c>
      <c r="B5976" t="s">
        <v>161</v>
      </c>
      <c r="C5976" t="s">
        <v>162</v>
      </c>
      <c r="D5976">
        <v>2021</v>
      </c>
      <c r="E5976" s="2">
        <v>1</v>
      </c>
      <c r="F5976" s="2">
        <v>480</v>
      </c>
      <c r="G5976" s="2">
        <v>480</v>
      </c>
      <c r="H5976" s="3" t="s">
        <v>18</v>
      </c>
    </row>
    <row r="5977" spans="1:8" x14ac:dyDescent="0.3">
      <c r="A5977" t="s">
        <v>2181</v>
      </c>
      <c r="B5977" t="s">
        <v>84</v>
      </c>
      <c r="C5977" t="s">
        <v>85</v>
      </c>
      <c r="D5977">
        <v>2021</v>
      </c>
      <c r="E5977" s="2">
        <v>2</v>
      </c>
      <c r="F5977" s="2">
        <v>148</v>
      </c>
      <c r="G5977" s="2">
        <v>148</v>
      </c>
      <c r="H5977" s="3" t="s">
        <v>18</v>
      </c>
    </row>
    <row r="5978" spans="1:8" x14ac:dyDescent="0.3">
      <c r="A5978" t="s">
        <v>2181</v>
      </c>
      <c r="B5978" t="s">
        <v>586</v>
      </c>
      <c r="C5978" t="s">
        <v>587</v>
      </c>
      <c r="D5978">
        <v>2021</v>
      </c>
      <c r="E5978" s="2">
        <v>2</v>
      </c>
      <c r="F5978" s="2">
        <v>148</v>
      </c>
      <c r="G5978" s="2">
        <v>148</v>
      </c>
      <c r="H5978" s="3" t="s">
        <v>14</v>
      </c>
    </row>
    <row r="5979" spans="1:8" x14ac:dyDescent="0.3">
      <c r="A5979" t="s">
        <v>2181</v>
      </c>
      <c r="B5979" t="s">
        <v>55</v>
      </c>
      <c r="D5979">
        <v>2020</v>
      </c>
      <c r="E5979" s="2">
        <v>2</v>
      </c>
      <c r="F5979" s="2">
        <v>58.8</v>
      </c>
      <c r="G5979" s="2">
        <v>58.8</v>
      </c>
    </row>
    <row r="5980" spans="1:8" x14ac:dyDescent="0.3">
      <c r="A5980" t="s">
        <v>2181</v>
      </c>
      <c r="B5980" t="s">
        <v>250</v>
      </c>
      <c r="C5980" t="s">
        <v>222</v>
      </c>
      <c r="D5980">
        <v>2020</v>
      </c>
      <c r="E5980" s="2">
        <v>2</v>
      </c>
      <c r="F5980" s="2">
        <v>58.8</v>
      </c>
      <c r="G5980" s="2">
        <v>58.8</v>
      </c>
    </row>
    <row r="5981" spans="1:8" x14ac:dyDescent="0.3">
      <c r="A5981" t="s">
        <v>2181</v>
      </c>
      <c r="B5981" t="s">
        <v>251</v>
      </c>
      <c r="C5981" t="s">
        <v>207</v>
      </c>
      <c r="D5981">
        <v>2020</v>
      </c>
      <c r="E5981" s="2">
        <v>2</v>
      </c>
      <c r="F5981" s="2">
        <v>58.8</v>
      </c>
      <c r="G5981" s="2">
        <v>58.8</v>
      </c>
    </row>
    <row r="5982" spans="1:8" x14ac:dyDescent="0.3">
      <c r="A5982" t="s">
        <v>2181</v>
      </c>
      <c r="B5982" t="s">
        <v>2182</v>
      </c>
      <c r="D5982">
        <v>2020</v>
      </c>
      <c r="E5982" s="2">
        <v>2</v>
      </c>
      <c r="F5982" s="2">
        <v>58.8</v>
      </c>
      <c r="G5982" s="2">
        <v>58.8</v>
      </c>
    </row>
    <row r="5983" spans="1:8" x14ac:dyDescent="0.3">
      <c r="A5983" t="s">
        <v>2181</v>
      </c>
      <c r="B5983" t="s">
        <v>1419</v>
      </c>
      <c r="C5983" t="s">
        <v>1420</v>
      </c>
      <c r="D5983">
        <v>2021</v>
      </c>
      <c r="E5983" s="2">
        <v>2</v>
      </c>
      <c r="F5983" s="2">
        <v>148</v>
      </c>
      <c r="G5983" s="2">
        <v>148</v>
      </c>
      <c r="H5983" s="3" t="s">
        <v>14</v>
      </c>
    </row>
    <row r="5984" spans="1:8" x14ac:dyDescent="0.3">
      <c r="A5984" t="s">
        <v>2181</v>
      </c>
      <c r="B5984" t="s">
        <v>99</v>
      </c>
      <c r="C5984" t="s">
        <v>100</v>
      </c>
      <c r="D5984">
        <v>2021</v>
      </c>
      <c r="E5984" s="2">
        <v>2</v>
      </c>
      <c r="F5984" s="2">
        <v>140</v>
      </c>
      <c r="G5984" s="2">
        <v>140</v>
      </c>
      <c r="H5984" s="3" t="s">
        <v>374</v>
      </c>
    </row>
    <row r="5985" spans="1:8" x14ac:dyDescent="0.3">
      <c r="A5985" t="s">
        <v>2181</v>
      </c>
      <c r="B5985" t="s">
        <v>542</v>
      </c>
      <c r="C5985" t="s">
        <v>160</v>
      </c>
      <c r="D5985">
        <v>2020</v>
      </c>
      <c r="E5985" s="2">
        <v>2</v>
      </c>
      <c r="F5985" s="2">
        <v>58.8</v>
      </c>
      <c r="G5985" s="2">
        <v>58.8</v>
      </c>
    </row>
    <row r="5986" spans="1:8" x14ac:dyDescent="0.3">
      <c r="A5986" t="s">
        <v>2181</v>
      </c>
      <c r="B5986" t="s">
        <v>597</v>
      </c>
      <c r="C5986" t="s">
        <v>598</v>
      </c>
      <c r="D5986">
        <v>2021</v>
      </c>
      <c r="E5986" s="2">
        <v>2</v>
      </c>
      <c r="F5986" s="2">
        <v>148</v>
      </c>
      <c r="G5986" s="2">
        <v>148</v>
      </c>
      <c r="H5986" s="3" t="s">
        <v>688</v>
      </c>
    </row>
    <row r="5987" spans="1:8" x14ac:dyDescent="0.3">
      <c r="A5987" t="s">
        <v>2181</v>
      </c>
      <c r="B5987" t="s">
        <v>124</v>
      </c>
      <c r="D5987">
        <v>2021</v>
      </c>
      <c r="E5987" s="2">
        <v>2</v>
      </c>
      <c r="F5987" s="2">
        <v>198</v>
      </c>
      <c r="G5987" s="2">
        <v>198</v>
      </c>
      <c r="H5987" s="3" t="s">
        <v>442</v>
      </c>
    </row>
    <row r="5988" spans="1:8" x14ac:dyDescent="0.3">
      <c r="A5988" t="s">
        <v>2181</v>
      </c>
      <c r="B5988" t="s">
        <v>125</v>
      </c>
      <c r="D5988">
        <v>2021</v>
      </c>
      <c r="E5988" s="2">
        <v>2</v>
      </c>
      <c r="F5988" s="2">
        <v>154</v>
      </c>
      <c r="G5988" s="2">
        <v>154</v>
      </c>
      <c r="H5988" s="3" t="s">
        <v>442</v>
      </c>
    </row>
    <row r="5989" spans="1:8" x14ac:dyDescent="0.3">
      <c r="A5989" t="s">
        <v>2181</v>
      </c>
      <c r="B5989" t="s">
        <v>131</v>
      </c>
      <c r="C5989" t="s">
        <v>132</v>
      </c>
      <c r="D5989">
        <v>2021</v>
      </c>
      <c r="E5989" s="2">
        <v>2</v>
      </c>
      <c r="F5989" s="2">
        <v>140</v>
      </c>
      <c r="G5989" s="2">
        <v>140</v>
      </c>
      <c r="H5989" s="3" t="s">
        <v>14</v>
      </c>
    </row>
    <row r="5990" spans="1:8" x14ac:dyDescent="0.3">
      <c r="A5990" t="s">
        <v>2181</v>
      </c>
      <c r="B5990" t="s">
        <v>402</v>
      </c>
      <c r="C5990" t="s">
        <v>403</v>
      </c>
      <c r="D5990">
        <v>2021</v>
      </c>
      <c r="E5990" s="2">
        <v>2</v>
      </c>
      <c r="F5990" s="2">
        <v>162</v>
      </c>
      <c r="G5990" s="2">
        <v>162</v>
      </c>
      <c r="H5990" s="3" t="s">
        <v>2183</v>
      </c>
    </row>
    <row r="5991" spans="1:8" x14ac:dyDescent="0.3">
      <c r="A5991" t="s">
        <v>2181</v>
      </c>
      <c r="B5991" t="s">
        <v>189</v>
      </c>
      <c r="D5991">
        <v>2021</v>
      </c>
      <c r="E5991" s="2">
        <v>2</v>
      </c>
      <c r="F5991" s="2">
        <v>148</v>
      </c>
      <c r="G5991" s="2">
        <v>148</v>
      </c>
      <c r="H5991" s="3" t="s">
        <v>771</v>
      </c>
    </row>
    <row r="5992" spans="1:8" x14ac:dyDescent="0.3">
      <c r="A5992" t="s">
        <v>2181</v>
      </c>
      <c r="B5992" t="s">
        <v>817</v>
      </c>
      <c r="D5992">
        <v>2021</v>
      </c>
      <c r="E5992" s="2">
        <v>2</v>
      </c>
      <c r="F5992" s="2">
        <v>148</v>
      </c>
      <c r="G5992" s="2">
        <v>148</v>
      </c>
      <c r="H5992" s="3" t="s">
        <v>2049</v>
      </c>
    </row>
    <row r="5993" spans="1:8" x14ac:dyDescent="0.3">
      <c r="A5993" t="s">
        <v>2181</v>
      </c>
      <c r="B5993" t="s">
        <v>1167</v>
      </c>
      <c r="C5993" t="s">
        <v>102</v>
      </c>
      <c r="D5993">
        <v>2020</v>
      </c>
      <c r="E5993" s="2">
        <v>2</v>
      </c>
      <c r="F5993" s="2">
        <v>58.8</v>
      </c>
      <c r="G5993" s="2">
        <v>58.8</v>
      </c>
      <c r="H5993" s="3" t="s">
        <v>2184</v>
      </c>
    </row>
    <row r="5994" spans="1:8" x14ac:dyDescent="0.3">
      <c r="A5994" t="s">
        <v>2181</v>
      </c>
      <c r="B5994" t="s">
        <v>1167</v>
      </c>
      <c r="C5994" t="s">
        <v>102</v>
      </c>
      <c r="D5994">
        <v>2021</v>
      </c>
      <c r="E5994" s="2">
        <v>2</v>
      </c>
      <c r="F5994" s="2">
        <v>112</v>
      </c>
      <c r="G5994" s="2">
        <v>112</v>
      </c>
      <c r="H5994" s="3" t="s">
        <v>2184</v>
      </c>
    </row>
    <row r="5995" spans="1:8" x14ac:dyDescent="0.3">
      <c r="A5995" t="s">
        <v>2181</v>
      </c>
      <c r="B5995" t="s">
        <v>599</v>
      </c>
      <c r="C5995" t="s">
        <v>413</v>
      </c>
      <c r="D5995">
        <v>2021</v>
      </c>
      <c r="E5995" s="2">
        <v>2</v>
      </c>
      <c r="F5995" s="2">
        <v>162</v>
      </c>
      <c r="G5995" s="2">
        <v>162</v>
      </c>
      <c r="H5995" s="3" t="s">
        <v>147</v>
      </c>
    </row>
    <row r="5996" spans="1:8" x14ac:dyDescent="0.3">
      <c r="A5996" t="s">
        <v>2181</v>
      </c>
      <c r="B5996" t="s">
        <v>151</v>
      </c>
      <c r="C5996" t="s">
        <v>152</v>
      </c>
      <c r="D5996">
        <v>2021</v>
      </c>
      <c r="E5996" s="2">
        <v>2</v>
      </c>
      <c r="F5996" s="2">
        <v>162</v>
      </c>
      <c r="G5996" s="2">
        <v>162</v>
      </c>
      <c r="H5996" s="3" t="s">
        <v>374</v>
      </c>
    </row>
    <row r="5997" spans="1:8" x14ac:dyDescent="0.3">
      <c r="A5997" t="s">
        <v>2181</v>
      </c>
      <c r="B5997" t="s">
        <v>522</v>
      </c>
      <c r="D5997">
        <v>2021</v>
      </c>
      <c r="E5997" s="2">
        <v>2</v>
      </c>
      <c r="F5997" s="2">
        <v>148</v>
      </c>
      <c r="G5997" s="2">
        <v>148</v>
      </c>
      <c r="H5997" s="3" t="s">
        <v>442</v>
      </c>
    </row>
    <row r="5998" spans="1:8" x14ac:dyDescent="0.3">
      <c r="A5998" t="s">
        <v>2185</v>
      </c>
      <c r="B5998" t="s">
        <v>473</v>
      </c>
      <c r="C5998" t="s">
        <v>747</v>
      </c>
      <c r="D5998">
        <v>2013</v>
      </c>
      <c r="E5998" s="2">
        <v>25</v>
      </c>
      <c r="F5998" s="2">
        <v>1500</v>
      </c>
      <c r="G5998" s="2"/>
    </row>
    <row r="5999" spans="1:8" x14ac:dyDescent="0.3">
      <c r="A5999" t="s">
        <v>2185</v>
      </c>
      <c r="B5999" t="s">
        <v>45</v>
      </c>
      <c r="D5999">
        <v>2014</v>
      </c>
      <c r="E5999" s="2">
        <v>20</v>
      </c>
      <c r="F5999" s="2">
        <v>1800</v>
      </c>
      <c r="G5999" s="2"/>
    </row>
    <row r="6000" spans="1:8" x14ac:dyDescent="0.3">
      <c r="A6000" t="s">
        <v>2185</v>
      </c>
      <c r="B6000" t="s">
        <v>240</v>
      </c>
      <c r="D6000">
        <v>2014</v>
      </c>
      <c r="E6000" s="2">
        <v>20</v>
      </c>
      <c r="F6000" s="2">
        <v>1800</v>
      </c>
      <c r="G6000" s="2"/>
    </row>
    <row r="6001" spans="1:8" x14ac:dyDescent="0.3">
      <c r="A6001" t="s">
        <v>2185</v>
      </c>
      <c r="B6001" t="s">
        <v>32</v>
      </c>
      <c r="D6001">
        <v>2013</v>
      </c>
      <c r="E6001" s="2">
        <v>40</v>
      </c>
      <c r="F6001" s="2">
        <v>3200</v>
      </c>
      <c r="G6001" s="2"/>
    </row>
    <row r="6002" spans="1:8" x14ac:dyDescent="0.3">
      <c r="A6002" t="s">
        <v>2185</v>
      </c>
      <c r="B6002" t="s">
        <v>32</v>
      </c>
      <c r="D6002">
        <v>2014</v>
      </c>
      <c r="E6002" s="2">
        <v>220</v>
      </c>
      <c r="F6002" s="2">
        <v>18700</v>
      </c>
      <c r="G6002" s="2"/>
    </row>
    <row r="6003" spans="1:8" x14ac:dyDescent="0.3">
      <c r="A6003" t="s">
        <v>2185</v>
      </c>
      <c r="B6003" t="s">
        <v>32</v>
      </c>
      <c r="D6003">
        <v>2017</v>
      </c>
      <c r="E6003" s="2">
        <v>20</v>
      </c>
      <c r="F6003" s="2">
        <v>1700</v>
      </c>
      <c r="G6003" s="2"/>
    </row>
    <row r="6004" spans="1:8" x14ac:dyDescent="0.3">
      <c r="A6004" t="s">
        <v>2185</v>
      </c>
      <c r="B6004" t="s">
        <v>32</v>
      </c>
      <c r="D6004">
        <v>2019</v>
      </c>
      <c r="E6004" s="2">
        <v>20</v>
      </c>
      <c r="F6004" s="2">
        <v>1400</v>
      </c>
      <c r="G6004" s="2">
        <v>1470</v>
      </c>
    </row>
    <row r="6005" spans="1:8" x14ac:dyDescent="0.3">
      <c r="A6005" t="s">
        <v>2185</v>
      </c>
      <c r="B6005" t="s">
        <v>864</v>
      </c>
      <c r="D6005">
        <v>2013</v>
      </c>
      <c r="E6005" s="2">
        <v>20</v>
      </c>
      <c r="F6005" s="2">
        <v>1800</v>
      </c>
      <c r="G6005" s="2"/>
    </row>
    <row r="6006" spans="1:8" x14ac:dyDescent="0.3">
      <c r="A6006" t="s">
        <v>2186</v>
      </c>
      <c r="B6006" t="s">
        <v>528</v>
      </c>
      <c r="C6006" t="s">
        <v>529</v>
      </c>
      <c r="D6006">
        <v>2010</v>
      </c>
      <c r="E6006" s="2">
        <v>5</v>
      </c>
      <c r="F6006" s="2">
        <v>390</v>
      </c>
      <c r="G6006" s="2"/>
    </row>
    <row r="6007" spans="1:8" x14ac:dyDescent="0.3">
      <c r="A6007" t="s">
        <v>2186</v>
      </c>
      <c r="B6007" t="s">
        <v>528</v>
      </c>
      <c r="C6007" t="s">
        <v>529</v>
      </c>
      <c r="D6007">
        <v>2014</v>
      </c>
      <c r="E6007" s="2">
        <v>5</v>
      </c>
      <c r="F6007" s="2">
        <v>425</v>
      </c>
      <c r="G6007" s="2"/>
    </row>
    <row r="6008" spans="1:8" x14ac:dyDescent="0.3">
      <c r="A6008" t="s">
        <v>2187</v>
      </c>
      <c r="B6008" t="s">
        <v>276</v>
      </c>
      <c r="C6008" t="s">
        <v>277</v>
      </c>
      <c r="D6008">
        <v>2021</v>
      </c>
      <c r="E6008" s="2">
        <v>1</v>
      </c>
      <c r="F6008" s="2">
        <v>270</v>
      </c>
      <c r="G6008" s="2">
        <v>270</v>
      </c>
      <c r="H6008" s="3" t="s">
        <v>18</v>
      </c>
    </row>
    <row r="6009" spans="1:8" x14ac:dyDescent="0.3">
      <c r="A6009" t="s">
        <v>2187</v>
      </c>
      <c r="B6009" t="s">
        <v>82</v>
      </c>
      <c r="C6009" t="s">
        <v>83</v>
      </c>
      <c r="D6009">
        <v>2021</v>
      </c>
      <c r="E6009" s="2">
        <v>0.3</v>
      </c>
      <c r="F6009" s="2">
        <v>150</v>
      </c>
      <c r="G6009" s="2">
        <v>150</v>
      </c>
      <c r="H6009" s="3" t="s">
        <v>18</v>
      </c>
    </row>
    <row r="6010" spans="1:8" x14ac:dyDescent="0.3">
      <c r="A6010" t="s">
        <v>2187</v>
      </c>
      <c r="B6010" t="s">
        <v>660</v>
      </c>
      <c r="C6010" t="s">
        <v>661</v>
      </c>
      <c r="D6010">
        <v>2021</v>
      </c>
      <c r="E6010" s="2">
        <v>1</v>
      </c>
      <c r="F6010" s="2">
        <v>37.5</v>
      </c>
      <c r="G6010" s="2">
        <v>37.5</v>
      </c>
      <c r="H6010" s="3" t="s">
        <v>14</v>
      </c>
    </row>
    <row r="6011" spans="1:8" x14ac:dyDescent="0.3">
      <c r="A6011" t="s">
        <v>2187</v>
      </c>
      <c r="B6011" t="s">
        <v>591</v>
      </c>
      <c r="C6011" t="s">
        <v>592</v>
      </c>
      <c r="D6011">
        <v>2021</v>
      </c>
      <c r="E6011" s="2">
        <v>1</v>
      </c>
      <c r="F6011" s="2">
        <v>150</v>
      </c>
      <c r="G6011" s="2">
        <v>150</v>
      </c>
      <c r="H6011" s="3" t="s">
        <v>689</v>
      </c>
    </row>
    <row r="6012" spans="1:8" x14ac:dyDescent="0.3">
      <c r="A6012" t="s">
        <v>2187</v>
      </c>
      <c r="B6012" t="s">
        <v>248</v>
      </c>
      <c r="C6012" t="s">
        <v>249</v>
      </c>
      <c r="D6012">
        <v>2021</v>
      </c>
      <c r="E6012" s="2">
        <v>2</v>
      </c>
      <c r="F6012" s="2">
        <v>240</v>
      </c>
      <c r="G6012" s="2">
        <v>240</v>
      </c>
      <c r="H6012" s="3" t="s">
        <v>495</v>
      </c>
    </row>
    <row r="6013" spans="1:8" x14ac:dyDescent="0.3">
      <c r="A6013" t="s">
        <v>2187</v>
      </c>
      <c r="B6013" t="s">
        <v>90</v>
      </c>
      <c r="C6013" t="s">
        <v>91</v>
      </c>
      <c r="D6013">
        <v>2021</v>
      </c>
      <c r="E6013" s="2">
        <v>0.5</v>
      </c>
      <c r="F6013" s="2">
        <v>250</v>
      </c>
      <c r="G6013" s="2">
        <v>250</v>
      </c>
    </row>
    <row r="6014" spans="1:8" x14ac:dyDescent="0.3">
      <c r="A6014" t="s">
        <v>2187</v>
      </c>
      <c r="B6014" t="s">
        <v>538</v>
      </c>
      <c r="C6014" t="s">
        <v>539</v>
      </c>
      <c r="D6014">
        <v>2021</v>
      </c>
      <c r="E6014" s="2">
        <v>6</v>
      </c>
      <c r="F6014" s="2">
        <v>582.5</v>
      </c>
      <c r="G6014" s="2">
        <v>582.5</v>
      </c>
      <c r="H6014" s="3" t="s">
        <v>442</v>
      </c>
    </row>
    <row r="6015" spans="1:8" x14ac:dyDescent="0.3">
      <c r="A6015" t="s">
        <v>2187</v>
      </c>
      <c r="B6015" t="s">
        <v>2188</v>
      </c>
      <c r="D6015">
        <v>2021</v>
      </c>
      <c r="E6015" s="2">
        <v>1</v>
      </c>
      <c r="F6015" s="2">
        <v>110</v>
      </c>
      <c r="G6015" s="2">
        <v>110</v>
      </c>
      <c r="H6015" s="3" t="s">
        <v>495</v>
      </c>
    </row>
    <row r="6016" spans="1:8" x14ac:dyDescent="0.3">
      <c r="A6016" t="s">
        <v>2187</v>
      </c>
      <c r="B6016" t="s">
        <v>99</v>
      </c>
      <c r="C6016" t="s">
        <v>100</v>
      </c>
      <c r="D6016">
        <v>2021</v>
      </c>
      <c r="E6016" s="2">
        <v>1</v>
      </c>
      <c r="F6016" s="2">
        <v>150</v>
      </c>
      <c r="G6016" s="2">
        <v>150</v>
      </c>
      <c r="H6016" s="3" t="s">
        <v>18</v>
      </c>
    </row>
    <row r="6017" spans="1:8" x14ac:dyDescent="0.3">
      <c r="A6017" t="s">
        <v>2187</v>
      </c>
      <c r="B6017" t="s">
        <v>446</v>
      </c>
      <c r="C6017" t="s">
        <v>447</v>
      </c>
      <c r="D6017">
        <v>2021</v>
      </c>
      <c r="E6017" s="2">
        <v>6</v>
      </c>
      <c r="F6017" s="2">
        <v>412.5</v>
      </c>
      <c r="G6017" s="2">
        <v>412.5</v>
      </c>
      <c r="H6017" s="3" t="s">
        <v>1670</v>
      </c>
    </row>
    <row r="6018" spans="1:8" x14ac:dyDescent="0.3">
      <c r="A6018" t="s">
        <v>2187</v>
      </c>
      <c r="B6018" t="s">
        <v>867</v>
      </c>
      <c r="C6018" t="s">
        <v>868</v>
      </c>
      <c r="D6018">
        <v>2021</v>
      </c>
      <c r="E6018" s="2">
        <v>1</v>
      </c>
      <c r="F6018" s="2">
        <v>42.5</v>
      </c>
      <c r="G6018" s="2">
        <v>42.5</v>
      </c>
      <c r="H6018" s="3" t="s">
        <v>18</v>
      </c>
    </row>
    <row r="6019" spans="1:8" x14ac:dyDescent="0.3">
      <c r="A6019" t="s">
        <v>2187</v>
      </c>
      <c r="B6019" t="s">
        <v>817</v>
      </c>
      <c r="D6019">
        <v>2021</v>
      </c>
      <c r="E6019" s="2">
        <v>1</v>
      </c>
      <c r="F6019" s="2">
        <v>150</v>
      </c>
      <c r="G6019" s="2">
        <v>150</v>
      </c>
      <c r="H6019" s="3" t="s">
        <v>18</v>
      </c>
    </row>
    <row r="6020" spans="1:8" x14ac:dyDescent="0.3">
      <c r="A6020" t="s">
        <v>2187</v>
      </c>
      <c r="B6020" t="s">
        <v>383</v>
      </c>
      <c r="C6020" t="s">
        <v>385</v>
      </c>
      <c r="D6020">
        <v>2021</v>
      </c>
      <c r="E6020" s="2">
        <v>4</v>
      </c>
      <c r="F6020" s="2">
        <v>397.5</v>
      </c>
      <c r="G6020" s="2">
        <v>397.5</v>
      </c>
      <c r="H6020" s="3" t="s">
        <v>495</v>
      </c>
    </row>
    <row r="6021" spans="1:8" x14ac:dyDescent="0.3">
      <c r="A6021" t="s">
        <v>2187</v>
      </c>
      <c r="B6021" t="s">
        <v>656</v>
      </c>
      <c r="C6021" t="s">
        <v>71</v>
      </c>
      <c r="D6021">
        <v>2021</v>
      </c>
      <c r="E6021" s="2">
        <v>3</v>
      </c>
      <c r="F6021" s="2">
        <v>480</v>
      </c>
      <c r="G6021" s="2">
        <v>480</v>
      </c>
      <c r="H6021" s="3" t="s">
        <v>18</v>
      </c>
    </row>
    <row r="6022" spans="1:8" x14ac:dyDescent="0.3">
      <c r="A6022" t="s">
        <v>2187</v>
      </c>
      <c r="B6022" t="s">
        <v>72</v>
      </c>
      <c r="C6022" t="s">
        <v>319</v>
      </c>
      <c r="D6022">
        <v>2021</v>
      </c>
      <c r="E6022" s="2">
        <v>3</v>
      </c>
      <c r="F6022" s="2">
        <v>440</v>
      </c>
      <c r="G6022" s="2">
        <v>440</v>
      </c>
      <c r="H6022" s="3" t="s">
        <v>18</v>
      </c>
    </row>
    <row r="6023" spans="1:8" x14ac:dyDescent="0.3">
      <c r="A6023" t="s">
        <v>2187</v>
      </c>
      <c r="B6023" t="s">
        <v>1396</v>
      </c>
      <c r="C6023" t="s">
        <v>613</v>
      </c>
      <c r="D6023">
        <v>2021</v>
      </c>
      <c r="E6023" s="2">
        <v>1</v>
      </c>
      <c r="F6023" s="2">
        <v>150</v>
      </c>
      <c r="G6023" s="2">
        <v>150</v>
      </c>
      <c r="H6023" s="3" t="s">
        <v>18</v>
      </c>
    </row>
    <row r="6024" spans="1:8" x14ac:dyDescent="0.3">
      <c r="A6024" t="s">
        <v>2189</v>
      </c>
      <c r="B6024" t="s">
        <v>196</v>
      </c>
      <c r="C6024" t="s">
        <v>197</v>
      </c>
      <c r="D6024">
        <v>2015</v>
      </c>
      <c r="E6024" s="2">
        <v>6</v>
      </c>
      <c r="F6024" s="2">
        <v>1320</v>
      </c>
      <c r="G6024" s="2"/>
    </row>
    <row r="6025" spans="1:8" x14ac:dyDescent="0.3">
      <c r="A6025" t="s">
        <v>2190</v>
      </c>
      <c r="B6025" t="s">
        <v>269</v>
      </c>
      <c r="C6025" t="s">
        <v>270</v>
      </c>
      <c r="D6025">
        <v>2020</v>
      </c>
      <c r="E6025" s="2">
        <v>10</v>
      </c>
      <c r="F6025" s="2">
        <v>750</v>
      </c>
      <c r="G6025" s="2">
        <v>750</v>
      </c>
    </row>
    <row r="6026" spans="1:8" x14ac:dyDescent="0.3">
      <c r="A6026" t="s">
        <v>2190</v>
      </c>
      <c r="B6026" t="s">
        <v>483</v>
      </c>
      <c r="C6026" t="s">
        <v>484</v>
      </c>
      <c r="D6026">
        <v>2020</v>
      </c>
      <c r="E6026" s="2">
        <v>5</v>
      </c>
      <c r="F6026" s="2">
        <v>300</v>
      </c>
      <c r="G6026" s="2">
        <v>300</v>
      </c>
    </row>
    <row r="6027" spans="1:8" x14ac:dyDescent="0.3">
      <c r="A6027" t="s">
        <v>2191</v>
      </c>
      <c r="B6027" t="s">
        <v>45</v>
      </c>
      <c r="D6027">
        <v>2013</v>
      </c>
      <c r="E6027" s="2">
        <v>10</v>
      </c>
      <c r="F6027" s="2">
        <v>1050</v>
      </c>
      <c r="G6027" s="2"/>
    </row>
    <row r="6028" spans="1:8" x14ac:dyDescent="0.3">
      <c r="A6028" t="s">
        <v>2191</v>
      </c>
      <c r="B6028" t="s">
        <v>240</v>
      </c>
      <c r="D6028">
        <v>2013</v>
      </c>
      <c r="E6028" s="2">
        <v>10</v>
      </c>
      <c r="F6028" s="2">
        <v>1050</v>
      </c>
      <c r="G6028" s="2"/>
    </row>
    <row r="6029" spans="1:8" x14ac:dyDescent="0.3">
      <c r="A6029" t="s">
        <v>2191</v>
      </c>
      <c r="B6029" t="s">
        <v>864</v>
      </c>
      <c r="D6029">
        <v>2013</v>
      </c>
      <c r="E6029" s="2">
        <v>5</v>
      </c>
      <c r="F6029" s="2">
        <v>525</v>
      </c>
      <c r="G6029" s="2"/>
    </row>
    <row r="6030" spans="1:8" x14ac:dyDescent="0.3">
      <c r="A6030" t="s">
        <v>2192</v>
      </c>
      <c r="B6030" t="s">
        <v>72</v>
      </c>
      <c r="C6030" t="s">
        <v>319</v>
      </c>
      <c r="D6030">
        <v>2021</v>
      </c>
      <c r="E6030" s="2">
        <v>5</v>
      </c>
      <c r="F6030" s="2">
        <v>850</v>
      </c>
      <c r="G6030" s="2">
        <v>850</v>
      </c>
      <c r="H6030" s="3" t="s">
        <v>18</v>
      </c>
    </row>
    <row r="6031" spans="1:8" x14ac:dyDescent="0.3">
      <c r="A6031" t="s">
        <v>2193</v>
      </c>
      <c r="B6031" t="s">
        <v>417</v>
      </c>
      <c r="C6031" t="s">
        <v>418</v>
      </c>
      <c r="D6031">
        <v>2017</v>
      </c>
      <c r="E6031" s="2">
        <v>25</v>
      </c>
      <c r="F6031" s="2">
        <v>1375</v>
      </c>
      <c r="G6031" s="2"/>
    </row>
    <row r="6032" spans="1:8" x14ac:dyDescent="0.3">
      <c r="A6032" t="s">
        <v>2194</v>
      </c>
      <c r="B6032" t="s">
        <v>84</v>
      </c>
      <c r="C6032" t="s">
        <v>85</v>
      </c>
      <c r="D6032">
        <v>2017</v>
      </c>
      <c r="E6032" s="2">
        <v>3</v>
      </c>
      <c r="F6032" s="2">
        <v>660</v>
      </c>
      <c r="G6032" s="2"/>
    </row>
    <row r="6033" spans="1:7" x14ac:dyDescent="0.3">
      <c r="A6033" t="s">
        <v>2194</v>
      </c>
      <c r="B6033" t="s">
        <v>84</v>
      </c>
      <c r="C6033" t="s">
        <v>85</v>
      </c>
      <c r="D6033">
        <v>2018</v>
      </c>
      <c r="E6033" s="2">
        <v>1</v>
      </c>
      <c r="F6033" s="2">
        <v>200</v>
      </c>
      <c r="G6033" s="2">
        <v>210</v>
      </c>
    </row>
    <row r="6034" spans="1:7" x14ac:dyDescent="0.3">
      <c r="A6034" t="s">
        <v>2194</v>
      </c>
      <c r="B6034" t="s">
        <v>120</v>
      </c>
      <c r="C6034" t="s">
        <v>121</v>
      </c>
      <c r="D6034">
        <v>2017</v>
      </c>
      <c r="E6034" s="2">
        <v>6</v>
      </c>
      <c r="F6034" s="2">
        <v>1080</v>
      </c>
      <c r="G6034" s="2"/>
    </row>
    <row r="6035" spans="1:7" x14ac:dyDescent="0.3">
      <c r="A6035" t="s">
        <v>2194</v>
      </c>
      <c r="B6035" t="s">
        <v>120</v>
      </c>
      <c r="C6035" t="s">
        <v>121</v>
      </c>
      <c r="D6035">
        <v>2018</v>
      </c>
      <c r="E6035" s="2">
        <v>1</v>
      </c>
      <c r="F6035" s="2">
        <v>180</v>
      </c>
      <c r="G6035" s="2">
        <v>189</v>
      </c>
    </row>
    <row r="6036" spans="1:7" x14ac:dyDescent="0.3">
      <c r="A6036" t="s">
        <v>2195</v>
      </c>
      <c r="B6036" t="s">
        <v>45</v>
      </c>
      <c r="D6036">
        <v>2015</v>
      </c>
      <c r="E6036" s="2">
        <v>40</v>
      </c>
      <c r="F6036" s="2">
        <v>3600</v>
      </c>
      <c r="G6036" s="2"/>
    </row>
    <row r="6037" spans="1:7" x14ac:dyDescent="0.3">
      <c r="A6037" t="s">
        <v>2195</v>
      </c>
      <c r="B6037" t="s">
        <v>32</v>
      </c>
      <c r="D6037">
        <v>2015</v>
      </c>
      <c r="E6037" s="2">
        <v>20</v>
      </c>
      <c r="F6037" s="2">
        <v>1800</v>
      </c>
      <c r="G6037" s="2"/>
    </row>
    <row r="6038" spans="1:7" x14ac:dyDescent="0.3">
      <c r="A6038" t="s">
        <v>2196</v>
      </c>
      <c r="B6038" t="s">
        <v>72</v>
      </c>
      <c r="C6038" t="s">
        <v>73</v>
      </c>
      <c r="D6038">
        <v>2013</v>
      </c>
      <c r="E6038" s="2">
        <v>5</v>
      </c>
      <c r="F6038" s="2">
        <v>1600</v>
      </c>
      <c r="G6038" s="2"/>
    </row>
    <row r="6039" spans="1:7" x14ac:dyDescent="0.3">
      <c r="A6039" t="s">
        <v>2196</v>
      </c>
      <c r="B6039" t="s">
        <v>318</v>
      </c>
      <c r="C6039" t="s">
        <v>319</v>
      </c>
      <c r="D6039">
        <v>2013</v>
      </c>
      <c r="E6039" s="2">
        <v>10</v>
      </c>
      <c r="F6039" s="2">
        <v>2750</v>
      </c>
      <c r="G6039" s="2"/>
    </row>
    <row r="6040" spans="1:7" x14ac:dyDescent="0.3">
      <c r="A6040" t="s">
        <v>2197</v>
      </c>
      <c r="B6040" t="s">
        <v>120</v>
      </c>
      <c r="C6040" t="s">
        <v>121</v>
      </c>
      <c r="D6040">
        <v>2015</v>
      </c>
      <c r="E6040" s="2">
        <v>1</v>
      </c>
      <c r="F6040" s="2">
        <v>250</v>
      </c>
      <c r="G6040" s="2"/>
    </row>
    <row r="6041" spans="1:7" x14ac:dyDescent="0.3">
      <c r="A6041" t="s">
        <v>2197</v>
      </c>
      <c r="B6041" t="s">
        <v>120</v>
      </c>
      <c r="C6041" t="s">
        <v>121</v>
      </c>
      <c r="D6041">
        <v>2019</v>
      </c>
      <c r="E6041" s="2">
        <v>3</v>
      </c>
      <c r="F6041" s="2">
        <v>750</v>
      </c>
      <c r="G6041" s="2">
        <v>787.5</v>
      </c>
    </row>
    <row r="6042" spans="1:7" x14ac:dyDescent="0.3">
      <c r="A6042" t="s">
        <v>2198</v>
      </c>
      <c r="B6042" t="s">
        <v>883</v>
      </c>
      <c r="C6042" t="s">
        <v>780</v>
      </c>
      <c r="D6042">
        <v>2016</v>
      </c>
      <c r="E6042" s="2">
        <v>10</v>
      </c>
      <c r="F6042" s="2">
        <v>550</v>
      </c>
      <c r="G6042" s="2"/>
    </row>
    <row r="6043" spans="1:7" x14ac:dyDescent="0.3">
      <c r="A6043" t="s">
        <v>2199</v>
      </c>
      <c r="B6043" t="s">
        <v>26</v>
      </c>
      <c r="C6043" t="s">
        <v>27</v>
      </c>
      <c r="D6043">
        <v>2013</v>
      </c>
      <c r="E6043" s="2">
        <v>75</v>
      </c>
      <c r="F6043" s="2">
        <v>5250</v>
      </c>
      <c r="G6043" s="2"/>
    </row>
    <row r="6044" spans="1:7" x14ac:dyDescent="0.3">
      <c r="A6044" t="s">
        <v>2199</v>
      </c>
      <c r="B6044" t="s">
        <v>26</v>
      </c>
      <c r="C6044" t="s">
        <v>27</v>
      </c>
      <c r="D6044">
        <v>2015</v>
      </c>
      <c r="E6044" s="2">
        <v>25</v>
      </c>
      <c r="F6044" s="2">
        <v>1750</v>
      </c>
      <c r="G6044" s="2"/>
    </row>
    <row r="6045" spans="1:7" x14ac:dyDescent="0.3">
      <c r="A6045" t="s">
        <v>2199</v>
      </c>
      <c r="B6045" t="s">
        <v>26</v>
      </c>
      <c r="C6045" t="s">
        <v>27</v>
      </c>
      <c r="D6045">
        <v>2017</v>
      </c>
      <c r="E6045" s="2">
        <v>75</v>
      </c>
      <c r="F6045" s="2">
        <v>5250</v>
      </c>
      <c r="G6045" s="2"/>
    </row>
    <row r="6046" spans="1:7" x14ac:dyDescent="0.3">
      <c r="A6046" t="s">
        <v>2199</v>
      </c>
      <c r="B6046" t="s">
        <v>19</v>
      </c>
      <c r="C6046" t="s">
        <v>20</v>
      </c>
      <c r="D6046">
        <v>2017</v>
      </c>
      <c r="E6046" s="2">
        <v>125</v>
      </c>
      <c r="F6046" s="2">
        <v>9750</v>
      </c>
      <c r="G6046" s="2"/>
    </row>
    <row r="6047" spans="1:7" x14ac:dyDescent="0.3">
      <c r="A6047" t="s">
        <v>2199</v>
      </c>
      <c r="B6047" t="s">
        <v>41</v>
      </c>
      <c r="C6047" t="s">
        <v>42</v>
      </c>
      <c r="D6047">
        <v>2011</v>
      </c>
      <c r="E6047" s="2">
        <v>150</v>
      </c>
      <c r="F6047" s="2">
        <v>8250</v>
      </c>
      <c r="G6047" s="2"/>
    </row>
    <row r="6048" spans="1:7" x14ac:dyDescent="0.3">
      <c r="A6048" t="s">
        <v>2199</v>
      </c>
      <c r="B6048" t="s">
        <v>41</v>
      </c>
      <c r="C6048" t="s">
        <v>42</v>
      </c>
      <c r="D6048">
        <v>2012</v>
      </c>
      <c r="E6048" s="2">
        <v>50</v>
      </c>
      <c r="F6048" s="2">
        <v>2600</v>
      </c>
      <c r="G6048" s="2"/>
    </row>
    <row r="6049" spans="1:8" x14ac:dyDescent="0.3">
      <c r="A6049" t="s">
        <v>2199</v>
      </c>
      <c r="B6049" t="s">
        <v>41</v>
      </c>
      <c r="C6049" t="s">
        <v>42</v>
      </c>
      <c r="D6049">
        <v>2014</v>
      </c>
      <c r="E6049" s="2">
        <v>50</v>
      </c>
      <c r="F6049" s="2">
        <v>2600</v>
      </c>
      <c r="G6049" s="2"/>
    </row>
    <row r="6050" spans="1:8" x14ac:dyDescent="0.3">
      <c r="A6050" t="s">
        <v>2199</v>
      </c>
      <c r="B6050" t="s">
        <v>438</v>
      </c>
      <c r="C6050" t="s">
        <v>439</v>
      </c>
      <c r="D6050">
        <v>2017</v>
      </c>
      <c r="E6050" s="2">
        <v>50</v>
      </c>
      <c r="F6050" s="2">
        <v>3250</v>
      </c>
      <c r="G6050" s="2"/>
    </row>
    <row r="6051" spans="1:8" x14ac:dyDescent="0.3">
      <c r="A6051" t="s">
        <v>2199</v>
      </c>
      <c r="B6051" t="s">
        <v>1144</v>
      </c>
      <c r="D6051">
        <v>2012</v>
      </c>
      <c r="E6051" s="2">
        <v>60</v>
      </c>
      <c r="F6051" s="2">
        <v>3900</v>
      </c>
      <c r="G6051" s="2"/>
    </row>
    <row r="6052" spans="1:8" x14ac:dyDescent="0.3">
      <c r="A6052" t="s">
        <v>2199</v>
      </c>
      <c r="B6052" t="s">
        <v>32</v>
      </c>
      <c r="D6052">
        <v>2013</v>
      </c>
      <c r="E6052" s="2">
        <v>20</v>
      </c>
      <c r="F6052" s="2">
        <v>1300</v>
      </c>
      <c r="G6052" s="2"/>
    </row>
    <row r="6053" spans="1:8" x14ac:dyDescent="0.3">
      <c r="A6053" t="s">
        <v>2199</v>
      </c>
      <c r="B6053" t="s">
        <v>32</v>
      </c>
      <c r="D6053">
        <v>2014</v>
      </c>
      <c r="E6053" s="2">
        <v>140</v>
      </c>
      <c r="F6053" s="2">
        <v>9300</v>
      </c>
      <c r="G6053" s="2"/>
    </row>
    <row r="6054" spans="1:8" x14ac:dyDescent="0.3">
      <c r="A6054" t="s">
        <v>2199</v>
      </c>
      <c r="B6054" t="s">
        <v>32</v>
      </c>
      <c r="D6054">
        <v>2015</v>
      </c>
      <c r="E6054" s="2">
        <v>200</v>
      </c>
      <c r="F6054" s="2">
        <v>13000</v>
      </c>
      <c r="G6054" s="2"/>
    </row>
    <row r="6055" spans="1:8" x14ac:dyDescent="0.3">
      <c r="A6055" t="s">
        <v>2199</v>
      </c>
      <c r="B6055" t="s">
        <v>32</v>
      </c>
      <c r="D6055">
        <v>2016</v>
      </c>
      <c r="E6055" s="2">
        <v>140</v>
      </c>
      <c r="F6055" s="2">
        <v>9100</v>
      </c>
      <c r="G6055" s="2"/>
    </row>
    <row r="6056" spans="1:8" x14ac:dyDescent="0.3">
      <c r="A6056" t="s">
        <v>2199</v>
      </c>
      <c r="B6056" t="s">
        <v>32</v>
      </c>
      <c r="D6056">
        <v>2017</v>
      </c>
      <c r="E6056" s="2">
        <v>100</v>
      </c>
      <c r="F6056" s="2">
        <v>6500</v>
      </c>
      <c r="G6056" s="2"/>
    </row>
    <row r="6057" spans="1:8" x14ac:dyDescent="0.3">
      <c r="A6057" t="s">
        <v>2200</v>
      </c>
      <c r="B6057" t="s">
        <v>55</v>
      </c>
      <c r="D6057">
        <v>2020</v>
      </c>
      <c r="E6057" s="2">
        <v>75</v>
      </c>
      <c r="F6057" s="2">
        <v>21000</v>
      </c>
      <c r="G6057" s="2">
        <v>21000</v>
      </c>
      <c r="H6057" s="3" t="s">
        <v>18</v>
      </c>
    </row>
    <row r="6058" spans="1:8" x14ac:dyDescent="0.3">
      <c r="A6058" t="s">
        <v>2200</v>
      </c>
      <c r="B6058" t="s">
        <v>55</v>
      </c>
      <c r="D6058">
        <v>2021</v>
      </c>
      <c r="E6058" s="2">
        <v>10</v>
      </c>
      <c r="F6058" s="2">
        <v>2800</v>
      </c>
      <c r="G6058" s="2">
        <v>2800</v>
      </c>
      <c r="H6058" s="3" t="s">
        <v>18</v>
      </c>
    </row>
    <row r="6059" spans="1:8" x14ac:dyDescent="0.3">
      <c r="A6059" t="s">
        <v>2200</v>
      </c>
      <c r="B6059" t="s">
        <v>591</v>
      </c>
      <c r="C6059" t="s">
        <v>592</v>
      </c>
      <c r="D6059">
        <v>2020</v>
      </c>
      <c r="E6059" s="2">
        <v>10</v>
      </c>
      <c r="F6059" s="2">
        <v>2500</v>
      </c>
      <c r="G6059" s="2">
        <v>2500</v>
      </c>
    </row>
    <row r="6060" spans="1:8" x14ac:dyDescent="0.3">
      <c r="A6060" t="s">
        <v>2200</v>
      </c>
      <c r="B6060" t="s">
        <v>926</v>
      </c>
      <c r="C6060" t="s">
        <v>927</v>
      </c>
      <c r="D6060">
        <v>2016</v>
      </c>
      <c r="E6060" s="2">
        <v>5</v>
      </c>
      <c r="F6060" s="2">
        <v>1300</v>
      </c>
      <c r="G6060" s="2"/>
    </row>
    <row r="6061" spans="1:8" x14ac:dyDescent="0.3">
      <c r="A6061" t="s">
        <v>2200</v>
      </c>
      <c r="B6061" t="s">
        <v>1412</v>
      </c>
      <c r="D6061">
        <v>2020</v>
      </c>
      <c r="E6061" s="2">
        <v>25</v>
      </c>
      <c r="F6061" s="2">
        <v>6250</v>
      </c>
      <c r="G6061" s="2">
        <v>6250</v>
      </c>
      <c r="H6061" s="3" t="s">
        <v>147</v>
      </c>
    </row>
    <row r="6062" spans="1:8" x14ac:dyDescent="0.3">
      <c r="A6062" t="s">
        <v>2200</v>
      </c>
      <c r="B6062" t="s">
        <v>1412</v>
      </c>
      <c r="D6062">
        <v>2021</v>
      </c>
      <c r="E6062" s="2">
        <v>25</v>
      </c>
      <c r="F6062" s="2">
        <v>6250</v>
      </c>
      <c r="G6062" s="2">
        <v>6250</v>
      </c>
      <c r="H6062" s="3" t="s">
        <v>147</v>
      </c>
    </row>
    <row r="6063" spans="1:8" x14ac:dyDescent="0.3">
      <c r="A6063" t="s">
        <v>2200</v>
      </c>
      <c r="B6063" t="s">
        <v>253</v>
      </c>
      <c r="C6063" t="s">
        <v>254</v>
      </c>
      <c r="D6063">
        <v>2020</v>
      </c>
      <c r="E6063" s="2">
        <v>50</v>
      </c>
      <c r="F6063" s="2">
        <v>8750</v>
      </c>
      <c r="G6063" s="2">
        <v>8750</v>
      </c>
    </row>
    <row r="6064" spans="1:8" x14ac:dyDescent="0.3">
      <c r="A6064" t="s">
        <v>2200</v>
      </c>
      <c r="B6064" t="s">
        <v>2201</v>
      </c>
      <c r="C6064" t="s">
        <v>2202</v>
      </c>
      <c r="D6064">
        <v>2020</v>
      </c>
      <c r="E6064" s="2">
        <v>25</v>
      </c>
      <c r="F6064" s="2">
        <v>4250</v>
      </c>
      <c r="G6064" s="2">
        <v>4250</v>
      </c>
    </row>
    <row r="6065" spans="1:8" x14ac:dyDescent="0.3">
      <c r="A6065" t="s">
        <v>2200</v>
      </c>
      <c r="B6065" t="s">
        <v>516</v>
      </c>
      <c r="D6065">
        <v>2020</v>
      </c>
      <c r="E6065" s="2">
        <v>15</v>
      </c>
      <c r="F6065" s="2">
        <v>3450</v>
      </c>
      <c r="G6065" s="2">
        <v>3450</v>
      </c>
    </row>
    <row r="6066" spans="1:8" x14ac:dyDescent="0.3">
      <c r="A6066" t="s">
        <v>2200</v>
      </c>
      <c r="B6066" t="s">
        <v>2203</v>
      </c>
      <c r="C6066" t="s">
        <v>2204</v>
      </c>
      <c r="D6066">
        <v>2016</v>
      </c>
      <c r="E6066" s="2">
        <v>5</v>
      </c>
      <c r="F6066" s="2">
        <v>900</v>
      </c>
      <c r="G6066" s="2"/>
    </row>
    <row r="6067" spans="1:8" x14ac:dyDescent="0.3">
      <c r="A6067" t="s">
        <v>2200</v>
      </c>
      <c r="B6067" t="s">
        <v>542</v>
      </c>
      <c r="C6067" t="s">
        <v>160</v>
      </c>
      <c r="D6067">
        <v>2020</v>
      </c>
      <c r="E6067" s="2">
        <v>75</v>
      </c>
      <c r="F6067" s="2">
        <v>12000</v>
      </c>
      <c r="G6067" s="2">
        <v>12000</v>
      </c>
    </row>
    <row r="6068" spans="1:8" x14ac:dyDescent="0.3">
      <c r="A6068" t="s">
        <v>2200</v>
      </c>
      <c r="B6068" t="s">
        <v>117</v>
      </c>
      <c r="C6068" t="s">
        <v>118</v>
      </c>
      <c r="D6068">
        <v>2020</v>
      </c>
      <c r="E6068" s="2">
        <v>25</v>
      </c>
      <c r="F6068" s="2">
        <v>4000</v>
      </c>
      <c r="G6068" s="2">
        <v>4000</v>
      </c>
    </row>
    <row r="6069" spans="1:8" x14ac:dyDescent="0.3">
      <c r="A6069" t="s">
        <v>2200</v>
      </c>
      <c r="B6069" t="s">
        <v>1138</v>
      </c>
      <c r="D6069">
        <v>2020</v>
      </c>
      <c r="E6069" s="2">
        <v>25</v>
      </c>
      <c r="F6069" s="2">
        <v>5000</v>
      </c>
      <c r="G6069" s="2">
        <v>5000</v>
      </c>
    </row>
    <row r="6070" spans="1:8" x14ac:dyDescent="0.3">
      <c r="A6070" t="s">
        <v>2200</v>
      </c>
      <c r="B6070" t="s">
        <v>189</v>
      </c>
      <c r="D6070">
        <v>2020</v>
      </c>
      <c r="E6070" s="2">
        <v>10</v>
      </c>
      <c r="F6070" s="2">
        <v>2200</v>
      </c>
      <c r="G6070" s="2">
        <v>2200</v>
      </c>
    </row>
    <row r="6071" spans="1:8" x14ac:dyDescent="0.3">
      <c r="A6071" t="s">
        <v>2200</v>
      </c>
      <c r="B6071" t="s">
        <v>375</v>
      </c>
      <c r="C6071" t="s">
        <v>262</v>
      </c>
      <c r="D6071">
        <v>2016</v>
      </c>
      <c r="E6071" s="2">
        <v>5</v>
      </c>
      <c r="F6071" s="2">
        <v>1000</v>
      </c>
      <c r="G6071" s="2"/>
    </row>
    <row r="6072" spans="1:8" x14ac:dyDescent="0.3">
      <c r="A6072" t="s">
        <v>2200</v>
      </c>
      <c r="B6072" t="s">
        <v>196</v>
      </c>
      <c r="C6072" t="s">
        <v>197</v>
      </c>
      <c r="D6072">
        <v>2016</v>
      </c>
      <c r="E6072" s="2">
        <v>10</v>
      </c>
      <c r="F6072" s="2">
        <v>2200</v>
      </c>
      <c r="G6072" s="2"/>
    </row>
    <row r="6073" spans="1:8" x14ac:dyDescent="0.3">
      <c r="A6073" t="s">
        <v>2200</v>
      </c>
      <c r="B6073" t="s">
        <v>383</v>
      </c>
      <c r="C6073" t="s">
        <v>385</v>
      </c>
      <c r="D6073">
        <v>2020</v>
      </c>
      <c r="E6073" s="2">
        <v>25</v>
      </c>
      <c r="F6073" s="2">
        <v>3625</v>
      </c>
      <c r="G6073" s="2">
        <v>3625</v>
      </c>
      <c r="H6073" s="3" t="s">
        <v>18</v>
      </c>
    </row>
    <row r="6074" spans="1:8" x14ac:dyDescent="0.3">
      <c r="A6074" t="s">
        <v>2200</v>
      </c>
      <c r="B6074" t="s">
        <v>383</v>
      </c>
      <c r="C6074" t="s">
        <v>384</v>
      </c>
      <c r="D6074">
        <v>2020</v>
      </c>
      <c r="E6074" s="2">
        <v>100</v>
      </c>
      <c r="F6074" s="2">
        <v>14625</v>
      </c>
      <c r="G6074" s="2">
        <v>14625</v>
      </c>
    </row>
    <row r="6075" spans="1:8" x14ac:dyDescent="0.3">
      <c r="A6075" t="s">
        <v>2200</v>
      </c>
      <c r="B6075" t="s">
        <v>383</v>
      </c>
      <c r="C6075" t="s">
        <v>385</v>
      </c>
      <c r="D6075">
        <v>2021</v>
      </c>
      <c r="E6075" s="2">
        <v>25</v>
      </c>
      <c r="F6075" s="2">
        <v>3625</v>
      </c>
      <c r="G6075" s="2">
        <v>3625</v>
      </c>
      <c r="H6075" s="3" t="s">
        <v>18</v>
      </c>
    </row>
    <row r="6076" spans="1:8" x14ac:dyDescent="0.3">
      <c r="A6076" t="s">
        <v>2200</v>
      </c>
      <c r="B6076" t="s">
        <v>72</v>
      </c>
      <c r="C6076" t="s">
        <v>319</v>
      </c>
      <c r="D6076">
        <v>2021</v>
      </c>
      <c r="E6076" s="2">
        <v>10</v>
      </c>
      <c r="F6076" s="2">
        <v>1600</v>
      </c>
      <c r="G6076" s="2">
        <v>1600</v>
      </c>
      <c r="H6076" s="3" t="s">
        <v>18</v>
      </c>
    </row>
    <row r="6077" spans="1:8" x14ac:dyDescent="0.3">
      <c r="A6077" t="s">
        <v>2200</v>
      </c>
      <c r="B6077" t="s">
        <v>1405</v>
      </c>
      <c r="C6077" t="s">
        <v>1406</v>
      </c>
      <c r="D6077">
        <v>2020</v>
      </c>
      <c r="E6077" s="2">
        <v>65</v>
      </c>
      <c r="F6077" s="2">
        <v>12350</v>
      </c>
      <c r="G6077" s="2">
        <v>12350</v>
      </c>
    </row>
    <row r="6078" spans="1:8" x14ac:dyDescent="0.3">
      <c r="A6078" t="s">
        <v>2200</v>
      </c>
      <c r="B6078" t="s">
        <v>2205</v>
      </c>
      <c r="C6078" t="s">
        <v>903</v>
      </c>
      <c r="D6078">
        <v>2016</v>
      </c>
      <c r="E6078" s="2">
        <v>5</v>
      </c>
      <c r="F6078" s="2">
        <v>1150</v>
      </c>
      <c r="G6078" s="2"/>
    </row>
    <row r="6079" spans="1:8" x14ac:dyDescent="0.3">
      <c r="A6079" t="s">
        <v>2206</v>
      </c>
      <c r="B6079" t="s">
        <v>395</v>
      </c>
      <c r="D6079">
        <v>2017</v>
      </c>
      <c r="E6079" s="2">
        <v>5</v>
      </c>
      <c r="F6079" s="2">
        <v>1250</v>
      </c>
      <c r="G6079" s="2"/>
    </row>
    <row r="6080" spans="1:8" x14ac:dyDescent="0.3">
      <c r="A6080" t="s">
        <v>2206</v>
      </c>
      <c r="B6080" t="s">
        <v>2207</v>
      </c>
      <c r="C6080" t="s">
        <v>298</v>
      </c>
      <c r="D6080">
        <v>2016</v>
      </c>
      <c r="E6080" s="2">
        <v>15</v>
      </c>
      <c r="F6080" s="2">
        <v>1800</v>
      </c>
      <c r="G6080" s="2"/>
    </row>
    <row r="6081" spans="1:8" x14ac:dyDescent="0.3">
      <c r="A6081" t="s">
        <v>2206</v>
      </c>
      <c r="B6081" t="s">
        <v>2207</v>
      </c>
      <c r="C6081" t="s">
        <v>154</v>
      </c>
      <c r="D6081">
        <v>2016</v>
      </c>
      <c r="E6081" s="2">
        <v>5</v>
      </c>
      <c r="F6081" s="2">
        <v>900</v>
      </c>
      <c r="G6081" s="2"/>
    </row>
    <row r="6082" spans="1:8" x14ac:dyDescent="0.3">
      <c r="A6082" t="s">
        <v>2206</v>
      </c>
      <c r="B6082" t="s">
        <v>2207</v>
      </c>
      <c r="C6082" t="s">
        <v>154</v>
      </c>
      <c r="D6082">
        <v>2016</v>
      </c>
      <c r="E6082" s="2">
        <v>10</v>
      </c>
      <c r="F6082" s="2">
        <v>1800</v>
      </c>
      <c r="G6082" s="2"/>
    </row>
    <row r="6083" spans="1:8" x14ac:dyDescent="0.3">
      <c r="A6083" t="s">
        <v>2206</v>
      </c>
      <c r="B6083" t="s">
        <v>2207</v>
      </c>
      <c r="C6083" t="s">
        <v>136</v>
      </c>
      <c r="D6083">
        <v>2016</v>
      </c>
      <c r="E6083" s="2">
        <v>5</v>
      </c>
      <c r="F6083" s="2">
        <v>1000</v>
      </c>
      <c r="G6083" s="2"/>
    </row>
    <row r="6084" spans="1:8" x14ac:dyDescent="0.3">
      <c r="A6084" t="s">
        <v>2206</v>
      </c>
      <c r="B6084" t="s">
        <v>2207</v>
      </c>
      <c r="C6084" t="s">
        <v>505</v>
      </c>
      <c r="D6084">
        <v>2016</v>
      </c>
      <c r="E6084" s="2">
        <v>5</v>
      </c>
      <c r="F6084" s="2">
        <v>900</v>
      </c>
      <c r="G6084" s="2"/>
    </row>
    <row r="6085" spans="1:8" x14ac:dyDescent="0.3">
      <c r="A6085" t="s">
        <v>2206</v>
      </c>
      <c r="B6085" t="s">
        <v>2207</v>
      </c>
      <c r="C6085" t="s">
        <v>104</v>
      </c>
      <c r="D6085">
        <v>2016</v>
      </c>
      <c r="E6085" s="2">
        <v>15</v>
      </c>
      <c r="F6085" s="2">
        <v>2700</v>
      </c>
      <c r="G6085" s="2"/>
    </row>
    <row r="6086" spans="1:8" x14ac:dyDescent="0.3">
      <c r="A6086" t="s">
        <v>2206</v>
      </c>
      <c r="B6086" t="s">
        <v>2207</v>
      </c>
      <c r="C6086" t="s">
        <v>197</v>
      </c>
      <c r="D6086">
        <v>2016</v>
      </c>
      <c r="E6086" s="2">
        <v>10</v>
      </c>
      <c r="F6086" s="2">
        <v>2000</v>
      </c>
      <c r="G6086" s="2"/>
    </row>
    <row r="6087" spans="1:8" x14ac:dyDescent="0.3">
      <c r="A6087" t="s">
        <v>2206</v>
      </c>
      <c r="B6087" t="s">
        <v>2207</v>
      </c>
      <c r="C6087" t="s">
        <v>121</v>
      </c>
      <c r="D6087">
        <v>2016</v>
      </c>
      <c r="E6087" s="2">
        <v>10</v>
      </c>
      <c r="F6087" s="2">
        <v>2000</v>
      </c>
      <c r="G6087" s="2"/>
    </row>
    <row r="6088" spans="1:8" x14ac:dyDescent="0.3">
      <c r="A6088" t="s">
        <v>2206</v>
      </c>
      <c r="B6088" t="s">
        <v>2207</v>
      </c>
      <c r="C6088" t="s">
        <v>298</v>
      </c>
      <c r="D6088">
        <v>2017</v>
      </c>
      <c r="E6088" s="2">
        <v>10</v>
      </c>
      <c r="F6088" s="2">
        <v>1200</v>
      </c>
      <c r="G6088" s="2"/>
    </row>
    <row r="6089" spans="1:8" x14ac:dyDescent="0.3">
      <c r="A6089" t="s">
        <v>2206</v>
      </c>
      <c r="B6089" t="s">
        <v>2207</v>
      </c>
      <c r="C6089" t="s">
        <v>154</v>
      </c>
      <c r="D6089">
        <v>2017</v>
      </c>
      <c r="E6089" s="2">
        <v>5</v>
      </c>
      <c r="F6089" s="2">
        <v>900</v>
      </c>
      <c r="G6089" s="2"/>
    </row>
    <row r="6090" spans="1:8" x14ac:dyDescent="0.3">
      <c r="A6090" t="s">
        <v>2206</v>
      </c>
      <c r="B6090" t="s">
        <v>2207</v>
      </c>
      <c r="C6090" t="s">
        <v>136</v>
      </c>
      <c r="D6090">
        <v>2017</v>
      </c>
      <c r="E6090" s="2">
        <v>5</v>
      </c>
      <c r="F6090" s="2">
        <v>1000</v>
      </c>
      <c r="G6090" s="2"/>
    </row>
    <row r="6091" spans="1:8" x14ac:dyDescent="0.3">
      <c r="A6091" t="s">
        <v>2206</v>
      </c>
      <c r="B6091" t="s">
        <v>2207</v>
      </c>
      <c r="C6091" t="s">
        <v>505</v>
      </c>
      <c r="D6091">
        <v>2017</v>
      </c>
      <c r="E6091" s="2">
        <v>5</v>
      </c>
      <c r="F6091" s="2">
        <v>900</v>
      </c>
      <c r="G6091" s="2"/>
    </row>
    <row r="6092" spans="1:8" x14ac:dyDescent="0.3">
      <c r="A6092" t="s">
        <v>2206</v>
      </c>
      <c r="B6092" t="s">
        <v>2207</v>
      </c>
      <c r="C6092" t="s">
        <v>197</v>
      </c>
      <c r="D6092">
        <v>2017</v>
      </c>
      <c r="E6092" s="2">
        <v>15</v>
      </c>
      <c r="F6092" s="2">
        <v>3000</v>
      </c>
      <c r="G6092" s="2"/>
    </row>
    <row r="6093" spans="1:8" x14ac:dyDescent="0.3">
      <c r="A6093" t="s">
        <v>2206</v>
      </c>
      <c r="B6093" t="s">
        <v>2208</v>
      </c>
      <c r="C6093" t="s">
        <v>319</v>
      </c>
      <c r="D6093">
        <v>2016</v>
      </c>
      <c r="E6093" s="2">
        <v>5</v>
      </c>
      <c r="F6093" s="2">
        <v>1000</v>
      </c>
      <c r="G6093" s="2"/>
    </row>
    <row r="6094" spans="1:8" x14ac:dyDescent="0.3">
      <c r="A6094" t="s">
        <v>2206</v>
      </c>
      <c r="B6094" t="s">
        <v>2208</v>
      </c>
      <c r="C6094" t="s">
        <v>319</v>
      </c>
      <c r="D6094">
        <v>2017</v>
      </c>
      <c r="E6094" s="2">
        <v>5</v>
      </c>
      <c r="F6094" s="2">
        <v>1000</v>
      </c>
      <c r="G6094" s="2"/>
    </row>
    <row r="6095" spans="1:8" x14ac:dyDescent="0.3">
      <c r="A6095" t="s">
        <v>2209</v>
      </c>
      <c r="B6095" t="s">
        <v>174</v>
      </c>
      <c r="C6095" t="s">
        <v>175</v>
      </c>
      <c r="D6095">
        <v>2019</v>
      </c>
      <c r="E6095" s="2">
        <v>200</v>
      </c>
      <c r="F6095" s="2">
        <v>8925</v>
      </c>
      <c r="G6095" s="2">
        <v>9371.25</v>
      </c>
    </row>
    <row r="6096" spans="1:8" x14ac:dyDescent="0.3">
      <c r="A6096" t="s">
        <v>2209</v>
      </c>
      <c r="B6096" t="s">
        <v>2210</v>
      </c>
      <c r="D6096">
        <v>2020</v>
      </c>
      <c r="E6096" s="2">
        <v>125</v>
      </c>
      <c r="F6096" s="2">
        <v>4750</v>
      </c>
      <c r="G6096" s="2">
        <v>4987.5</v>
      </c>
      <c r="H6096" s="3" t="s">
        <v>2211</v>
      </c>
    </row>
    <row r="6097" spans="1:8" x14ac:dyDescent="0.3">
      <c r="A6097" t="s">
        <v>2209</v>
      </c>
      <c r="B6097" t="s">
        <v>2210</v>
      </c>
      <c r="D6097">
        <v>2021</v>
      </c>
      <c r="E6097" s="2">
        <v>50</v>
      </c>
      <c r="F6097" s="2">
        <v>1900</v>
      </c>
      <c r="G6097" s="2">
        <v>1995</v>
      </c>
      <c r="H6097" s="3" t="s">
        <v>2211</v>
      </c>
    </row>
    <row r="6098" spans="1:8" x14ac:dyDescent="0.3">
      <c r="A6098" t="s">
        <v>2209</v>
      </c>
      <c r="B6098" t="s">
        <v>532</v>
      </c>
      <c r="C6098" t="s">
        <v>452</v>
      </c>
      <c r="D6098">
        <v>2019</v>
      </c>
      <c r="E6098" s="2">
        <v>50</v>
      </c>
      <c r="F6098" s="2">
        <v>2450</v>
      </c>
      <c r="G6098" s="2">
        <v>2572.5</v>
      </c>
    </row>
    <row r="6099" spans="1:8" x14ac:dyDescent="0.3">
      <c r="A6099" t="s">
        <v>2209</v>
      </c>
      <c r="B6099" t="s">
        <v>627</v>
      </c>
      <c r="C6099" t="s">
        <v>628</v>
      </c>
      <c r="D6099">
        <v>2019</v>
      </c>
      <c r="E6099" s="2">
        <v>75</v>
      </c>
      <c r="F6099" s="2">
        <v>6375</v>
      </c>
      <c r="G6099" s="2">
        <v>6693.75</v>
      </c>
      <c r="H6099" s="3" t="s">
        <v>18</v>
      </c>
    </row>
    <row r="6100" spans="1:8" x14ac:dyDescent="0.3">
      <c r="A6100" t="s">
        <v>2209</v>
      </c>
      <c r="B6100" t="s">
        <v>627</v>
      </c>
      <c r="C6100" t="s">
        <v>628</v>
      </c>
      <c r="D6100">
        <v>2020</v>
      </c>
      <c r="E6100" s="2">
        <v>50</v>
      </c>
      <c r="F6100" s="2">
        <v>4250</v>
      </c>
      <c r="G6100" s="2">
        <v>4462.5</v>
      </c>
      <c r="H6100" s="3" t="s">
        <v>18</v>
      </c>
    </row>
    <row r="6101" spans="1:8" x14ac:dyDescent="0.3">
      <c r="A6101" t="s">
        <v>2209</v>
      </c>
      <c r="B6101" t="s">
        <v>627</v>
      </c>
      <c r="C6101" t="s">
        <v>628</v>
      </c>
      <c r="D6101">
        <v>2021</v>
      </c>
      <c r="E6101" s="2">
        <v>50</v>
      </c>
      <c r="F6101" s="2">
        <v>4250</v>
      </c>
      <c r="G6101" s="2">
        <v>4462.5</v>
      </c>
      <c r="H6101" s="3" t="s">
        <v>18</v>
      </c>
    </row>
    <row r="6102" spans="1:8" x14ac:dyDescent="0.3">
      <c r="A6102" t="s">
        <v>2209</v>
      </c>
      <c r="B6102" t="s">
        <v>721</v>
      </c>
      <c r="C6102" t="s">
        <v>722</v>
      </c>
      <c r="D6102">
        <v>2021</v>
      </c>
      <c r="E6102" s="2">
        <v>25</v>
      </c>
      <c r="F6102" s="2">
        <v>800</v>
      </c>
      <c r="G6102" s="2">
        <v>840</v>
      </c>
      <c r="H6102" s="3" t="s">
        <v>442</v>
      </c>
    </row>
    <row r="6103" spans="1:8" x14ac:dyDescent="0.3">
      <c r="A6103" t="s">
        <v>2209</v>
      </c>
      <c r="B6103" t="s">
        <v>533</v>
      </c>
      <c r="C6103" t="s">
        <v>534</v>
      </c>
      <c r="D6103">
        <v>2019</v>
      </c>
      <c r="E6103" s="2">
        <v>80</v>
      </c>
      <c r="F6103" s="2">
        <v>6400</v>
      </c>
      <c r="G6103" s="2">
        <v>6720</v>
      </c>
      <c r="H6103" s="3" t="s">
        <v>14</v>
      </c>
    </row>
    <row r="6104" spans="1:8" x14ac:dyDescent="0.3">
      <c r="A6104" t="s">
        <v>2209</v>
      </c>
      <c r="B6104" t="s">
        <v>533</v>
      </c>
      <c r="C6104" t="s">
        <v>534</v>
      </c>
      <c r="D6104">
        <v>2020</v>
      </c>
      <c r="E6104" s="2">
        <v>325</v>
      </c>
      <c r="F6104" s="2">
        <v>26000</v>
      </c>
      <c r="G6104" s="2">
        <v>27300</v>
      </c>
      <c r="H6104" s="3" t="s">
        <v>14</v>
      </c>
    </row>
    <row r="6105" spans="1:8" x14ac:dyDescent="0.3">
      <c r="A6105" t="s">
        <v>2209</v>
      </c>
      <c r="B6105" t="s">
        <v>533</v>
      </c>
      <c r="C6105" t="s">
        <v>534</v>
      </c>
      <c r="D6105">
        <v>2021</v>
      </c>
      <c r="E6105" s="2">
        <v>150</v>
      </c>
      <c r="F6105" s="2">
        <v>12000</v>
      </c>
      <c r="G6105" s="2">
        <v>12600</v>
      </c>
      <c r="H6105" s="3" t="s">
        <v>14</v>
      </c>
    </row>
    <row r="6106" spans="1:8" x14ac:dyDescent="0.3">
      <c r="A6106" t="s">
        <v>2209</v>
      </c>
      <c r="B6106" t="s">
        <v>635</v>
      </c>
      <c r="C6106" t="s">
        <v>636</v>
      </c>
      <c r="D6106">
        <v>2019</v>
      </c>
      <c r="E6106" s="2">
        <v>200</v>
      </c>
      <c r="F6106" s="2">
        <v>9000</v>
      </c>
      <c r="G6106" s="2">
        <v>9450</v>
      </c>
      <c r="H6106" s="3" t="s">
        <v>1651</v>
      </c>
    </row>
    <row r="6107" spans="1:8" x14ac:dyDescent="0.3">
      <c r="A6107" t="s">
        <v>2209</v>
      </c>
      <c r="B6107" t="s">
        <v>635</v>
      </c>
      <c r="C6107" t="s">
        <v>636</v>
      </c>
      <c r="D6107">
        <v>2020</v>
      </c>
      <c r="E6107" s="2">
        <v>450</v>
      </c>
      <c r="F6107" s="2">
        <v>20250</v>
      </c>
      <c r="G6107" s="2">
        <v>21262.5</v>
      </c>
      <c r="H6107" s="3" t="s">
        <v>1651</v>
      </c>
    </row>
    <row r="6108" spans="1:8" x14ac:dyDescent="0.3">
      <c r="A6108" t="s">
        <v>2209</v>
      </c>
      <c r="B6108" t="s">
        <v>635</v>
      </c>
      <c r="C6108" t="s">
        <v>636</v>
      </c>
      <c r="D6108">
        <v>2021</v>
      </c>
      <c r="E6108" s="2">
        <v>100</v>
      </c>
      <c r="F6108" s="2">
        <v>4500</v>
      </c>
      <c r="G6108" s="2">
        <v>4725</v>
      </c>
      <c r="H6108" s="3" t="s">
        <v>1651</v>
      </c>
    </row>
    <row r="6109" spans="1:8" x14ac:dyDescent="0.3">
      <c r="A6109" t="s">
        <v>2209</v>
      </c>
      <c r="B6109" t="s">
        <v>602</v>
      </c>
      <c r="C6109" t="s">
        <v>603</v>
      </c>
      <c r="D6109">
        <v>2020</v>
      </c>
      <c r="E6109" s="2">
        <v>50</v>
      </c>
      <c r="F6109" s="2">
        <v>1900</v>
      </c>
      <c r="G6109" s="2">
        <v>1995</v>
      </c>
    </row>
    <row r="6110" spans="1:8" x14ac:dyDescent="0.3">
      <c r="A6110" t="s">
        <v>2209</v>
      </c>
      <c r="B6110" t="s">
        <v>643</v>
      </c>
      <c r="C6110" t="s">
        <v>644</v>
      </c>
      <c r="D6110">
        <v>2019</v>
      </c>
      <c r="E6110" s="2">
        <v>210</v>
      </c>
      <c r="F6110" s="2">
        <v>9300</v>
      </c>
      <c r="G6110" s="2">
        <v>9765</v>
      </c>
      <c r="H6110" s="3" t="s">
        <v>374</v>
      </c>
    </row>
    <row r="6111" spans="1:8" x14ac:dyDescent="0.3">
      <c r="A6111" t="s">
        <v>2209</v>
      </c>
      <c r="B6111" t="s">
        <v>643</v>
      </c>
      <c r="C6111" t="s">
        <v>644</v>
      </c>
      <c r="D6111">
        <v>2020</v>
      </c>
      <c r="E6111" s="2">
        <v>100</v>
      </c>
      <c r="F6111" s="2">
        <v>4400</v>
      </c>
      <c r="G6111" s="2">
        <v>4620</v>
      </c>
      <c r="H6111" s="3" t="s">
        <v>374</v>
      </c>
    </row>
    <row r="6112" spans="1:8" x14ac:dyDescent="0.3">
      <c r="A6112" t="s">
        <v>2209</v>
      </c>
      <c r="B6112" t="s">
        <v>643</v>
      </c>
      <c r="C6112" t="s">
        <v>644</v>
      </c>
      <c r="D6112">
        <v>2021</v>
      </c>
      <c r="E6112" s="2">
        <v>50</v>
      </c>
      <c r="F6112" s="2">
        <v>2450</v>
      </c>
      <c r="G6112" s="2">
        <v>2572.5</v>
      </c>
      <c r="H6112" s="3" t="s">
        <v>374</v>
      </c>
    </row>
    <row r="6113" spans="1:8" x14ac:dyDescent="0.3">
      <c r="A6113" t="s">
        <v>2209</v>
      </c>
      <c r="B6113" t="s">
        <v>184</v>
      </c>
      <c r="C6113" t="s">
        <v>185</v>
      </c>
      <c r="D6113">
        <v>2019</v>
      </c>
      <c r="E6113" s="2">
        <v>100</v>
      </c>
      <c r="F6113" s="2">
        <v>4800</v>
      </c>
      <c r="G6113" s="2">
        <v>5040</v>
      </c>
    </row>
    <row r="6114" spans="1:8" x14ac:dyDescent="0.3">
      <c r="A6114" t="s">
        <v>2209</v>
      </c>
      <c r="B6114" t="s">
        <v>686</v>
      </c>
      <c r="C6114" t="s">
        <v>866</v>
      </c>
      <c r="D6114">
        <v>2019</v>
      </c>
      <c r="E6114" s="2">
        <v>100</v>
      </c>
      <c r="F6114" s="2">
        <v>4800</v>
      </c>
      <c r="G6114" s="2">
        <v>5040</v>
      </c>
    </row>
    <row r="6115" spans="1:8" x14ac:dyDescent="0.3">
      <c r="A6115" t="s">
        <v>2209</v>
      </c>
      <c r="B6115" t="s">
        <v>686</v>
      </c>
      <c r="C6115" t="s">
        <v>687</v>
      </c>
      <c r="D6115">
        <v>2019</v>
      </c>
      <c r="E6115" s="2">
        <v>50</v>
      </c>
      <c r="F6115" s="2">
        <v>2520</v>
      </c>
      <c r="G6115" s="2">
        <v>2646</v>
      </c>
      <c r="H6115" s="3" t="s">
        <v>14</v>
      </c>
    </row>
    <row r="6116" spans="1:8" x14ac:dyDescent="0.3">
      <c r="A6116" t="s">
        <v>2209</v>
      </c>
      <c r="B6116" t="s">
        <v>686</v>
      </c>
      <c r="C6116" t="s">
        <v>687</v>
      </c>
      <c r="D6116">
        <v>2020</v>
      </c>
      <c r="E6116" s="2">
        <v>50</v>
      </c>
      <c r="F6116" s="2">
        <v>2400</v>
      </c>
      <c r="G6116" s="2">
        <v>2520</v>
      </c>
      <c r="H6116" s="3" t="s">
        <v>14</v>
      </c>
    </row>
    <row r="6117" spans="1:8" x14ac:dyDescent="0.3">
      <c r="A6117" t="s">
        <v>2209</v>
      </c>
      <c r="B6117" t="s">
        <v>686</v>
      </c>
      <c r="C6117" t="s">
        <v>687</v>
      </c>
      <c r="D6117">
        <v>2021</v>
      </c>
      <c r="E6117" s="2">
        <v>50</v>
      </c>
      <c r="F6117" s="2">
        <v>2400</v>
      </c>
      <c r="G6117" s="2">
        <v>2520</v>
      </c>
      <c r="H6117" s="3" t="s">
        <v>14</v>
      </c>
    </row>
    <row r="6118" spans="1:8" x14ac:dyDescent="0.3">
      <c r="A6118" t="s">
        <v>2209</v>
      </c>
      <c r="B6118" t="s">
        <v>567</v>
      </c>
      <c r="C6118" t="s">
        <v>698</v>
      </c>
      <c r="D6118">
        <v>2019</v>
      </c>
      <c r="E6118" s="2">
        <v>90</v>
      </c>
      <c r="F6118" s="2">
        <v>3780</v>
      </c>
      <c r="G6118" s="2">
        <v>3969</v>
      </c>
      <c r="H6118" s="3" t="s">
        <v>14</v>
      </c>
    </row>
    <row r="6119" spans="1:8" x14ac:dyDescent="0.3">
      <c r="A6119" t="s">
        <v>2209</v>
      </c>
      <c r="B6119" t="s">
        <v>567</v>
      </c>
      <c r="C6119" t="s">
        <v>698</v>
      </c>
      <c r="D6119">
        <v>2020</v>
      </c>
      <c r="E6119" s="2">
        <v>100</v>
      </c>
      <c r="F6119" s="2">
        <v>4200</v>
      </c>
      <c r="G6119" s="2">
        <v>4410</v>
      </c>
      <c r="H6119" s="3" t="s">
        <v>14</v>
      </c>
    </row>
    <row r="6120" spans="1:8" x14ac:dyDescent="0.3">
      <c r="A6120" t="s">
        <v>2209</v>
      </c>
      <c r="B6120" t="s">
        <v>567</v>
      </c>
      <c r="C6120" t="s">
        <v>698</v>
      </c>
      <c r="D6120">
        <v>2021</v>
      </c>
      <c r="E6120" s="2">
        <v>100</v>
      </c>
      <c r="F6120" s="2">
        <v>4200</v>
      </c>
      <c r="G6120" s="2">
        <v>4410</v>
      </c>
      <c r="H6120" s="3" t="s">
        <v>14</v>
      </c>
    </row>
    <row r="6121" spans="1:8" x14ac:dyDescent="0.3">
      <c r="A6121" t="s">
        <v>2209</v>
      </c>
      <c r="B6121" t="s">
        <v>939</v>
      </c>
      <c r="C6121" t="s">
        <v>940</v>
      </c>
      <c r="D6121">
        <v>2020</v>
      </c>
      <c r="E6121" s="2">
        <v>100</v>
      </c>
      <c r="F6121" s="2">
        <v>4200</v>
      </c>
      <c r="G6121" s="2">
        <v>4410</v>
      </c>
    </row>
    <row r="6122" spans="1:8" x14ac:dyDescent="0.3">
      <c r="A6122" t="s">
        <v>2209</v>
      </c>
      <c r="B6122" t="s">
        <v>939</v>
      </c>
      <c r="C6122" t="s">
        <v>940</v>
      </c>
      <c r="D6122">
        <v>2021</v>
      </c>
      <c r="E6122" s="2">
        <v>300</v>
      </c>
      <c r="F6122" s="2">
        <v>14800</v>
      </c>
      <c r="G6122" s="2">
        <v>15540</v>
      </c>
    </row>
    <row r="6123" spans="1:8" x14ac:dyDescent="0.3">
      <c r="A6123" t="s">
        <v>2209</v>
      </c>
      <c r="B6123" t="s">
        <v>671</v>
      </c>
      <c r="C6123" t="s">
        <v>672</v>
      </c>
      <c r="D6123">
        <v>2019</v>
      </c>
      <c r="E6123" s="2">
        <v>110</v>
      </c>
      <c r="F6123" s="2">
        <v>4620</v>
      </c>
      <c r="G6123" s="2">
        <v>4851</v>
      </c>
    </row>
    <row r="6124" spans="1:8" x14ac:dyDescent="0.3">
      <c r="A6124" t="s">
        <v>2209</v>
      </c>
      <c r="B6124" t="s">
        <v>671</v>
      </c>
      <c r="C6124" t="s">
        <v>672</v>
      </c>
      <c r="D6124">
        <v>2020</v>
      </c>
      <c r="E6124" s="2">
        <v>120</v>
      </c>
      <c r="F6124" s="2">
        <v>5040</v>
      </c>
      <c r="G6124" s="2">
        <v>5292</v>
      </c>
    </row>
    <row r="6125" spans="1:8" x14ac:dyDescent="0.3">
      <c r="A6125" t="s">
        <v>2209</v>
      </c>
      <c r="B6125" t="s">
        <v>110</v>
      </c>
      <c r="C6125" t="s">
        <v>111</v>
      </c>
      <c r="D6125">
        <v>2019</v>
      </c>
      <c r="E6125" s="2">
        <v>75</v>
      </c>
      <c r="F6125" s="2">
        <v>3150</v>
      </c>
      <c r="G6125" s="2">
        <v>3307.5</v>
      </c>
    </row>
    <row r="6126" spans="1:8" x14ac:dyDescent="0.3">
      <c r="A6126" t="s">
        <v>2209</v>
      </c>
      <c r="B6126" t="s">
        <v>110</v>
      </c>
      <c r="C6126" t="s">
        <v>111</v>
      </c>
      <c r="D6126">
        <v>2020</v>
      </c>
      <c r="E6126" s="2">
        <v>50</v>
      </c>
      <c r="F6126" s="2">
        <v>2100</v>
      </c>
      <c r="G6126" s="2">
        <v>2205</v>
      </c>
    </row>
    <row r="6127" spans="1:8" x14ac:dyDescent="0.3">
      <c r="A6127" t="s">
        <v>2209</v>
      </c>
      <c r="B6127" t="s">
        <v>597</v>
      </c>
      <c r="C6127" t="s">
        <v>598</v>
      </c>
      <c r="D6127">
        <v>2021</v>
      </c>
      <c r="E6127" s="2">
        <v>25</v>
      </c>
      <c r="F6127" s="2">
        <v>4150</v>
      </c>
      <c r="G6127" s="2">
        <v>4357.5</v>
      </c>
      <c r="H6127" s="3" t="s">
        <v>18</v>
      </c>
    </row>
    <row r="6128" spans="1:8" x14ac:dyDescent="0.3">
      <c r="A6128" t="s">
        <v>2209</v>
      </c>
      <c r="B6128" t="s">
        <v>1404</v>
      </c>
      <c r="D6128">
        <v>2021</v>
      </c>
      <c r="E6128" s="2">
        <v>1</v>
      </c>
      <c r="F6128" s="2">
        <v>280</v>
      </c>
      <c r="G6128" s="2">
        <v>294</v>
      </c>
      <c r="H6128" s="3" t="s">
        <v>18</v>
      </c>
    </row>
    <row r="6129" spans="1:8" x14ac:dyDescent="0.3">
      <c r="A6129" t="s">
        <v>2209</v>
      </c>
      <c r="B6129" t="s">
        <v>653</v>
      </c>
      <c r="C6129" t="s">
        <v>654</v>
      </c>
      <c r="D6129">
        <v>2019</v>
      </c>
      <c r="E6129" s="2">
        <v>100</v>
      </c>
      <c r="F6129" s="2">
        <v>8000</v>
      </c>
      <c r="G6129" s="2">
        <v>8400</v>
      </c>
    </row>
    <row r="6130" spans="1:8" x14ac:dyDescent="0.3">
      <c r="A6130" t="s">
        <v>2209</v>
      </c>
      <c r="B6130" t="s">
        <v>653</v>
      </c>
      <c r="C6130" t="s">
        <v>654</v>
      </c>
      <c r="D6130">
        <v>2020</v>
      </c>
      <c r="E6130" s="2">
        <v>25</v>
      </c>
      <c r="F6130" s="2">
        <v>2000</v>
      </c>
      <c r="G6130" s="2">
        <v>2100</v>
      </c>
    </row>
    <row r="6131" spans="1:8" x14ac:dyDescent="0.3">
      <c r="A6131" t="s">
        <v>2209</v>
      </c>
      <c r="B6131" t="s">
        <v>334</v>
      </c>
      <c r="C6131" t="s">
        <v>335</v>
      </c>
      <c r="D6131">
        <v>2019</v>
      </c>
      <c r="E6131" s="2">
        <v>50</v>
      </c>
      <c r="F6131" s="2">
        <v>2400</v>
      </c>
      <c r="G6131" s="2">
        <v>2520</v>
      </c>
    </row>
    <row r="6132" spans="1:8" x14ac:dyDescent="0.3">
      <c r="A6132" t="s">
        <v>2209</v>
      </c>
      <c r="B6132" t="s">
        <v>314</v>
      </c>
      <c r="C6132" t="s">
        <v>315</v>
      </c>
      <c r="D6132">
        <v>2019</v>
      </c>
      <c r="E6132" s="2">
        <v>100</v>
      </c>
      <c r="F6132" s="2">
        <v>4500</v>
      </c>
      <c r="G6132" s="2">
        <v>4725</v>
      </c>
    </row>
    <row r="6133" spans="1:8" x14ac:dyDescent="0.3">
      <c r="A6133" t="s">
        <v>2209</v>
      </c>
      <c r="B6133" t="s">
        <v>674</v>
      </c>
      <c r="C6133" t="s">
        <v>675</v>
      </c>
      <c r="D6133">
        <v>2020</v>
      </c>
      <c r="E6133" s="2">
        <v>200</v>
      </c>
      <c r="F6133" s="2">
        <v>9000</v>
      </c>
      <c r="G6133" s="2">
        <v>9450</v>
      </c>
      <c r="H6133" s="3" t="s">
        <v>2212</v>
      </c>
    </row>
    <row r="6134" spans="1:8" x14ac:dyDescent="0.3">
      <c r="A6134" t="s">
        <v>2209</v>
      </c>
      <c r="B6134" t="s">
        <v>674</v>
      </c>
      <c r="C6134" t="s">
        <v>675</v>
      </c>
      <c r="D6134">
        <v>2021</v>
      </c>
      <c r="E6134" s="2">
        <v>100</v>
      </c>
      <c r="F6134" s="2">
        <v>4500</v>
      </c>
      <c r="G6134" s="2">
        <v>4725</v>
      </c>
      <c r="H6134" s="3" t="s">
        <v>2212</v>
      </c>
    </row>
    <row r="6135" spans="1:8" x14ac:dyDescent="0.3">
      <c r="A6135" t="s">
        <v>2209</v>
      </c>
      <c r="B6135" t="s">
        <v>151</v>
      </c>
      <c r="C6135" t="s">
        <v>152</v>
      </c>
      <c r="D6135">
        <v>2021</v>
      </c>
      <c r="E6135" s="2">
        <v>25</v>
      </c>
      <c r="F6135" s="2">
        <v>4750</v>
      </c>
      <c r="G6135" s="2">
        <v>4987.5</v>
      </c>
      <c r="H6135" s="3" t="s">
        <v>14</v>
      </c>
    </row>
    <row r="6136" spans="1:8" x14ac:dyDescent="0.3">
      <c r="A6136" t="s">
        <v>2209</v>
      </c>
      <c r="B6136" t="s">
        <v>2213</v>
      </c>
      <c r="D6136">
        <v>2021</v>
      </c>
      <c r="E6136" s="2">
        <v>1</v>
      </c>
      <c r="F6136" s="2">
        <v>150</v>
      </c>
      <c r="G6136" s="2">
        <v>157.5</v>
      </c>
      <c r="H6136" s="3" t="s">
        <v>2214</v>
      </c>
    </row>
    <row r="6137" spans="1:8" x14ac:dyDescent="0.3">
      <c r="A6137" t="s">
        <v>2209</v>
      </c>
      <c r="B6137" t="s">
        <v>2215</v>
      </c>
      <c r="D6137">
        <v>2021</v>
      </c>
      <c r="E6137" s="2">
        <v>50</v>
      </c>
      <c r="F6137" s="2">
        <v>7750</v>
      </c>
      <c r="G6137" s="2">
        <v>8137.5</v>
      </c>
      <c r="H6137" s="3" t="s">
        <v>374</v>
      </c>
    </row>
    <row r="6138" spans="1:8" x14ac:dyDescent="0.3">
      <c r="A6138" t="s">
        <v>2216</v>
      </c>
      <c r="B6138" t="s">
        <v>1347</v>
      </c>
      <c r="C6138" t="s">
        <v>737</v>
      </c>
      <c r="D6138">
        <v>2021</v>
      </c>
      <c r="E6138" s="2">
        <v>200</v>
      </c>
      <c r="F6138" s="2">
        <v>13000</v>
      </c>
      <c r="G6138" s="2">
        <v>13000</v>
      </c>
      <c r="H6138" s="3" t="s">
        <v>18</v>
      </c>
    </row>
    <row r="6139" spans="1:8" x14ac:dyDescent="0.3">
      <c r="A6139" t="s">
        <v>2216</v>
      </c>
      <c r="B6139" t="s">
        <v>26</v>
      </c>
      <c r="C6139" t="s">
        <v>27</v>
      </c>
      <c r="D6139">
        <v>2019</v>
      </c>
      <c r="E6139" s="2">
        <v>10</v>
      </c>
      <c r="F6139" s="2">
        <v>650</v>
      </c>
      <c r="G6139" s="2">
        <v>650</v>
      </c>
    </row>
    <row r="6140" spans="1:8" x14ac:dyDescent="0.3">
      <c r="A6140" t="s">
        <v>2216</v>
      </c>
      <c r="B6140" t="s">
        <v>26</v>
      </c>
      <c r="C6140" t="s">
        <v>27</v>
      </c>
      <c r="D6140">
        <v>2020</v>
      </c>
      <c r="E6140" s="2">
        <v>145</v>
      </c>
      <c r="F6140" s="2">
        <v>9270</v>
      </c>
      <c r="G6140" s="2">
        <v>9733.5</v>
      </c>
    </row>
    <row r="6141" spans="1:8" x14ac:dyDescent="0.3">
      <c r="A6141" t="s">
        <v>2216</v>
      </c>
      <c r="B6141" t="s">
        <v>32</v>
      </c>
      <c r="D6141">
        <v>2021</v>
      </c>
      <c r="E6141" s="2">
        <v>100</v>
      </c>
      <c r="F6141" s="2">
        <v>7500</v>
      </c>
      <c r="G6141" s="2">
        <v>7500</v>
      </c>
      <c r="H6141" s="3" t="s">
        <v>18</v>
      </c>
    </row>
    <row r="6142" spans="1:8" x14ac:dyDescent="0.3">
      <c r="A6142" t="s">
        <v>2217</v>
      </c>
      <c r="B6142" t="s">
        <v>120</v>
      </c>
      <c r="C6142" t="s">
        <v>121</v>
      </c>
      <c r="D6142">
        <v>2015</v>
      </c>
      <c r="E6142" s="2">
        <v>2</v>
      </c>
      <c r="F6142" s="2">
        <v>440</v>
      </c>
      <c r="G6142" s="2"/>
    </row>
    <row r="6143" spans="1:8" x14ac:dyDescent="0.3">
      <c r="A6143" t="s">
        <v>2217</v>
      </c>
      <c r="B6143" t="s">
        <v>120</v>
      </c>
      <c r="C6143" t="s">
        <v>121</v>
      </c>
      <c r="D6143">
        <v>2016</v>
      </c>
      <c r="E6143" s="2">
        <v>4</v>
      </c>
      <c r="F6143" s="2">
        <v>880</v>
      </c>
      <c r="G6143" s="2"/>
    </row>
    <row r="6144" spans="1:8" x14ac:dyDescent="0.3">
      <c r="A6144" t="s">
        <v>2218</v>
      </c>
      <c r="B6144" t="s">
        <v>219</v>
      </c>
      <c r="C6144" t="s">
        <v>220</v>
      </c>
      <c r="D6144">
        <v>2011</v>
      </c>
      <c r="E6144" s="2">
        <v>30</v>
      </c>
      <c r="F6144" s="2">
        <v>5078.3999999999996</v>
      </c>
      <c r="G6144" s="2"/>
    </row>
    <row r="6145" spans="1:7" x14ac:dyDescent="0.3">
      <c r="A6145" t="s">
        <v>2218</v>
      </c>
      <c r="B6145" t="s">
        <v>2219</v>
      </c>
      <c r="C6145" t="s">
        <v>286</v>
      </c>
      <c r="D6145">
        <v>2012</v>
      </c>
      <c r="E6145" s="2">
        <v>10</v>
      </c>
      <c r="F6145" s="2">
        <v>1500</v>
      </c>
      <c r="G6145" s="2"/>
    </row>
    <row r="6146" spans="1:7" x14ac:dyDescent="0.3">
      <c r="A6146" t="s">
        <v>2218</v>
      </c>
      <c r="B6146" t="s">
        <v>2219</v>
      </c>
      <c r="C6146" t="s">
        <v>286</v>
      </c>
      <c r="D6146">
        <v>2013</v>
      </c>
      <c r="E6146" s="2">
        <v>10</v>
      </c>
      <c r="F6146" s="2">
        <v>1500</v>
      </c>
      <c r="G6146" s="2"/>
    </row>
    <row r="6147" spans="1:7" x14ac:dyDescent="0.3">
      <c r="A6147" t="s">
        <v>2220</v>
      </c>
      <c r="B6147" t="s">
        <v>1464</v>
      </c>
      <c r="C6147" t="s">
        <v>1465</v>
      </c>
      <c r="D6147">
        <v>2014</v>
      </c>
      <c r="E6147" s="2">
        <v>75</v>
      </c>
      <c r="F6147" s="2">
        <v>16500</v>
      </c>
      <c r="G6147" s="2"/>
    </row>
    <row r="6148" spans="1:7" x14ac:dyDescent="0.3">
      <c r="A6148" t="s">
        <v>2220</v>
      </c>
      <c r="B6148" t="s">
        <v>51</v>
      </c>
      <c r="C6148" t="s">
        <v>52</v>
      </c>
      <c r="D6148">
        <v>2016</v>
      </c>
      <c r="E6148" s="2">
        <v>25</v>
      </c>
      <c r="F6148" s="2">
        <v>4125</v>
      </c>
      <c r="G6148" s="2"/>
    </row>
    <row r="6149" spans="1:7" x14ac:dyDescent="0.3">
      <c r="A6149" t="s">
        <v>2220</v>
      </c>
      <c r="B6149" t="s">
        <v>51</v>
      </c>
      <c r="C6149" t="s">
        <v>52</v>
      </c>
      <c r="D6149">
        <v>2017</v>
      </c>
      <c r="E6149" s="2">
        <v>115</v>
      </c>
      <c r="F6149" s="2">
        <v>18975</v>
      </c>
      <c r="G6149" s="2"/>
    </row>
    <row r="6150" spans="1:7" x14ac:dyDescent="0.3">
      <c r="A6150" t="s">
        <v>2220</v>
      </c>
      <c r="B6150" t="s">
        <v>51</v>
      </c>
      <c r="C6150" t="s">
        <v>52</v>
      </c>
      <c r="D6150">
        <v>2018</v>
      </c>
      <c r="E6150" s="2">
        <v>50</v>
      </c>
      <c r="F6150" s="2">
        <v>8250</v>
      </c>
      <c r="G6150" s="2">
        <v>8662.5</v>
      </c>
    </row>
    <row r="6151" spans="1:7" x14ac:dyDescent="0.3">
      <c r="A6151" t="s">
        <v>2220</v>
      </c>
      <c r="B6151" t="s">
        <v>51</v>
      </c>
      <c r="C6151" t="s">
        <v>52</v>
      </c>
      <c r="D6151">
        <v>2019</v>
      </c>
      <c r="E6151" s="2">
        <v>25</v>
      </c>
      <c r="F6151" s="2">
        <v>4125</v>
      </c>
      <c r="G6151" s="2">
        <v>4331.25</v>
      </c>
    </row>
    <row r="6152" spans="1:7" x14ac:dyDescent="0.3">
      <c r="A6152" t="s">
        <v>2220</v>
      </c>
      <c r="B6152" t="s">
        <v>51</v>
      </c>
      <c r="C6152" t="s">
        <v>52</v>
      </c>
      <c r="D6152">
        <v>2020</v>
      </c>
      <c r="E6152" s="2">
        <v>25</v>
      </c>
      <c r="F6152" s="2">
        <v>4125</v>
      </c>
      <c r="G6152" s="2">
        <v>4331.25</v>
      </c>
    </row>
    <row r="6153" spans="1:7" x14ac:dyDescent="0.3">
      <c r="A6153" t="s">
        <v>2220</v>
      </c>
      <c r="B6153" t="s">
        <v>82</v>
      </c>
      <c r="C6153" t="s">
        <v>83</v>
      </c>
      <c r="D6153">
        <v>2016</v>
      </c>
      <c r="E6153" s="2">
        <v>5</v>
      </c>
      <c r="F6153" s="2">
        <v>2450</v>
      </c>
      <c r="G6153" s="2"/>
    </row>
    <row r="6154" spans="1:7" x14ac:dyDescent="0.3">
      <c r="A6154" t="s">
        <v>2220</v>
      </c>
      <c r="B6154" t="s">
        <v>84</v>
      </c>
      <c r="C6154" t="s">
        <v>85</v>
      </c>
      <c r="D6154">
        <v>2017</v>
      </c>
      <c r="E6154" s="2">
        <v>10</v>
      </c>
      <c r="F6154" s="2">
        <v>1800</v>
      </c>
      <c r="G6154" s="2"/>
    </row>
    <row r="6155" spans="1:7" x14ac:dyDescent="0.3">
      <c r="A6155" t="s">
        <v>2220</v>
      </c>
      <c r="B6155" t="s">
        <v>581</v>
      </c>
      <c r="C6155" t="s">
        <v>582</v>
      </c>
      <c r="D6155">
        <v>2018</v>
      </c>
      <c r="E6155" s="2">
        <v>15</v>
      </c>
      <c r="F6155" s="2">
        <v>2850</v>
      </c>
      <c r="G6155" s="2">
        <v>2992.5</v>
      </c>
    </row>
    <row r="6156" spans="1:7" x14ac:dyDescent="0.3">
      <c r="A6156" t="s">
        <v>2220</v>
      </c>
      <c r="B6156" t="s">
        <v>819</v>
      </c>
      <c r="C6156" t="s">
        <v>220</v>
      </c>
      <c r="D6156">
        <v>2019</v>
      </c>
      <c r="E6156" s="2">
        <v>25</v>
      </c>
      <c r="F6156" s="2">
        <v>5500</v>
      </c>
      <c r="G6156" s="2">
        <v>5775</v>
      </c>
    </row>
    <row r="6157" spans="1:7" x14ac:dyDescent="0.3">
      <c r="A6157" t="s">
        <v>2220</v>
      </c>
      <c r="B6157" t="s">
        <v>583</v>
      </c>
      <c r="C6157" t="s">
        <v>249</v>
      </c>
      <c r="D6157">
        <v>2018</v>
      </c>
      <c r="E6157" s="2">
        <v>25</v>
      </c>
      <c r="F6157" s="2">
        <v>6000</v>
      </c>
      <c r="G6157" s="2">
        <v>6300</v>
      </c>
    </row>
    <row r="6158" spans="1:7" x14ac:dyDescent="0.3">
      <c r="A6158" t="s">
        <v>2220</v>
      </c>
      <c r="B6158" t="s">
        <v>583</v>
      </c>
      <c r="C6158" t="s">
        <v>249</v>
      </c>
      <c r="D6158">
        <v>2019</v>
      </c>
      <c r="E6158" s="2">
        <v>25</v>
      </c>
      <c r="F6158" s="2">
        <v>6000</v>
      </c>
      <c r="G6158" s="2">
        <v>6300</v>
      </c>
    </row>
    <row r="6159" spans="1:7" x14ac:dyDescent="0.3">
      <c r="A6159" t="s">
        <v>2220</v>
      </c>
      <c r="B6159" t="s">
        <v>612</v>
      </c>
      <c r="C6159" t="s">
        <v>613</v>
      </c>
      <c r="D6159">
        <v>2017</v>
      </c>
      <c r="E6159" s="2">
        <v>30</v>
      </c>
      <c r="F6159" s="2">
        <v>7670</v>
      </c>
      <c r="G6159" s="2"/>
    </row>
    <row r="6160" spans="1:7" x14ac:dyDescent="0.3">
      <c r="A6160" t="s">
        <v>2220</v>
      </c>
      <c r="B6160" t="s">
        <v>612</v>
      </c>
      <c r="C6160" t="s">
        <v>613</v>
      </c>
      <c r="D6160">
        <v>2018</v>
      </c>
      <c r="E6160" s="2">
        <v>10</v>
      </c>
      <c r="F6160" s="2">
        <v>2600</v>
      </c>
      <c r="G6160" s="2">
        <v>2730</v>
      </c>
    </row>
    <row r="6161" spans="1:8" x14ac:dyDescent="0.3">
      <c r="A6161" t="s">
        <v>2220</v>
      </c>
      <c r="B6161" t="s">
        <v>510</v>
      </c>
      <c r="C6161" t="s">
        <v>511</v>
      </c>
      <c r="D6161">
        <v>2020</v>
      </c>
      <c r="E6161" s="2">
        <v>25</v>
      </c>
      <c r="F6161" s="2">
        <v>4000</v>
      </c>
      <c r="G6161" s="2">
        <v>4200</v>
      </c>
    </row>
    <row r="6162" spans="1:8" x14ac:dyDescent="0.3">
      <c r="A6162" t="s">
        <v>2220</v>
      </c>
      <c r="B6162" t="s">
        <v>2221</v>
      </c>
      <c r="C6162" t="s">
        <v>998</v>
      </c>
      <c r="D6162">
        <v>2014</v>
      </c>
      <c r="E6162" s="2">
        <v>14</v>
      </c>
      <c r="F6162" s="2">
        <v>2240</v>
      </c>
      <c r="G6162" s="2"/>
    </row>
    <row r="6163" spans="1:8" x14ac:dyDescent="0.3">
      <c r="A6163" t="s">
        <v>2220</v>
      </c>
      <c r="B6163" t="s">
        <v>2222</v>
      </c>
      <c r="C6163" t="s">
        <v>169</v>
      </c>
      <c r="D6163">
        <v>2014</v>
      </c>
      <c r="E6163" s="2">
        <v>75</v>
      </c>
      <c r="F6163" s="2">
        <v>15375</v>
      </c>
      <c r="G6163" s="2"/>
    </row>
    <row r="6164" spans="1:8" x14ac:dyDescent="0.3">
      <c r="A6164" t="s">
        <v>2220</v>
      </c>
      <c r="B6164" t="s">
        <v>2222</v>
      </c>
      <c r="C6164" t="s">
        <v>169</v>
      </c>
      <c r="D6164">
        <v>2017</v>
      </c>
      <c r="E6164" s="2">
        <v>50</v>
      </c>
      <c r="F6164" s="2">
        <v>8500</v>
      </c>
      <c r="G6164" s="2"/>
    </row>
    <row r="6165" spans="1:8" x14ac:dyDescent="0.3">
      <c r="A6165" t="s">
        <v>2220</v>
      </c>
      <c r="B6165" t="s">
        <v>2222</v>
      </c>
      <c r="C6165" t="s">
        <v>169</v>
      </c>
      <c r="D6165">
        <v>2018</v>
      </c>
      <c r="E6165" s="2">
        <v>25</v>
      </c>
      <c r="F6165" s="2">
        <v>4250</v>
      </c>
      <c r="G6165" s="2">
        <v>4462.5</v>
      </c>
    </row>
    <row r="6166" spans="1:8" x14ac:dyDescent="0.3">
      <c r="A6166" t="s">
        <v>2220</v>
      </c>
      <c r="B6166" t="s">
        <v>2222</v>
      </c>
      <c r="C6166" t="s">
        <v>169</v>
      </c>
      <c r="D6166">
        <v>2019</v>
      </c>
      <c r="E6166" s="2">
        <v>25</v>
      </c>
      <c r="F6166" s="2">
        <v>4250</v>
      </c>
      <c r="G6166" s="2">
        <v>4462.5</v>
      </c>
    </row>
    <row r="6167" spans="1:8" x14ac:dyDescent="0.3">
      <c r="A6167" t="s">
        <v>2220</v>
      </c>
      <c r="B6167" t="s">
        <v>180</v>
      </c>
      <c r="C6167" t="s">
        <v>181</v>
      </c>
      <c r="D6167">
        <v>2017</v>
      </c>
      <c r="E6167" s="2">
        <v>10</v>
      </c>
      <c r="F6167" s="2">
        <v>2000</v>
      </c>
      <c r="G6167" s="2"/>
    </row>
    <row r="6168" spans="1:8" x14ac:dyDescent="0.3">
      <c r="A6168" t="s">
        <v>2220</v>
      </c>
      <c r="B6168" t="s">
        <v>58</v>
      </c>
      <c r="C6168" t="s">
        <v>59</v>
      </c>
      <c r="D6168">
        <v>2021</v>
      </c>
      <c r="E6168" s="2">
        <v>10</v>
      </c>
      <c r="F6168" s="2">
        <v>1750</v>
      </c>
      <c r="G6168" s="2">
        <v>1837.5</v>
      </c>
      <c r="H6168" s="3" t="s">
        <v>18</v>
      </c>
    </row>
    <row r="6169" spans="1:8" x14ac:dyDescent="0.3">
      <c r="A6169" t="s">
        <v>2220</v>
      </c>
      <c r="B6169" t="s">
        <v>1534</v>
      </c>
      <c r="C6169" t="s">
        <v>96</v>
      </c>
      <c r="D6169">
        <v>2014</v>
      </c>
      <c r="E6169" s="2">
        <v>100</v>
      </c>
      <c r="F6169" s="2">
        <v>18500</v>
      </c>
      <c r="G6169" s="2"/>
    </row>
    <row r="6170" spans="1:8" x14ac:dyDescent="0.3">
      <c r="A6170" t="s">
        <v>2220</v>
      </c>
      <c r="B6170" t="s">
        <v>1534</v>
      </c>
      <c r="C6170" t="s">
        <v>96</v>
      </c>
      <c r="D6170">
        <v>2015</v>
      </c>
      <c r="E6170" s="2">
        <v>200</v>
      </c>
      <c r="F6170" s="2">
        <v>37000</v>
      </c>
      <c r="G6170" s="2"/>
    </row>
    <row r="6171" spans="1:8" x14ac:dyDescent="0.3">
      <c r="A6171" t="s">
        <v>2220</v>
      </c>
      <c r="B6171" t="s">
        <v>1534</v>
      </c>
      <c r="C6171" t="s">
        <v>96</v>
      </c>
      <c r="D6171">
        <v>2017</v>
      </c>
      <c r="E6171" s="2">
        <v>75</v>
      </c>
      <c r="F6171" s="2">
        <v>13875</v>
      </c>
      <c r="G6171" s="2"/>
    </row>
    <row r="6172" spans="1:8" x14ac:dyDescent="0.3">
      <c r="A6172" t="s">
        <v>2220</v>
      </c>
      <c r="B6172" t="s">
        <v>1534</v>
      </c>
      <c r="C6172" t="s">
        <v>96</v>
      </c>
      <c r="D6172">
        <v>2018</v>
      </c>
      <c r="E6172" s="2">
        <v>15</v>
      </c>
      <c r="F6172" s="2">
        <v>2775</v>
      </c>
      <c r="G6172" s="2">
        <v>2913.75</v>
      </c>
    </row>
    <row r="6173" spans="1:8" x14ac:dyDescent="0.3">
      <c r="A6173" t="s">
        <v>2220</v>
      </c>
      <c r="B6173" t="s">
        <v>2223</v>
      </c>
      <c r="C6173" t="s">
        <v>1386</v>
      </c>
      <c r="D6173">
        <v>2018</v>
      </c>
      <c r="E6173" s="2">
        <v>25</v>
      </c>
      <c r="F6173" s="2">
        <v>6000</v>
      </c>
      <c r="G6173" s="2">
        <v>6300</v>
      </c>
    </row>
    <row r="6174" spans="1:8" x14ac:dyDescent="0.3">
      <c r="A6174" t="s">
        <v>2220</v>
      </c>
      <c r="B6174" t="s">
        <v>99</v>
      </c>
      <c r="C6174" t="s">
        <v>100</v>
      </c>
      <c r="D6174">
        <v>2017</v>
      </c>
      <c r="E6174" s="2">
        <v>15</v>
      </c>
      <c r="F6174" s="2">
        <v>2850</v>
      </c>
      <c r="G6174" s="2"/>
    </row>
    <row r="6175" spans="1:8" x14ac:dyDescent="0.3">
      <c r="A6175" t="s">
        <v>2220</v>
      </c>
      <c r="B6175" t="s">
        <v>1544</v>
      </c>
      <c r="C6175" t="s">
        <v>102</v>
      </c>
      <c r="D6175">
        <v>2015</v>
      </c>
      <c r="E6175" s="2">
        <v>25</v>
      </c>
      <c r="F6175" s="2">
        <v>11875</v>
      </c>
      <c r="G6175" s="2"/>
    </row>
    <row r="6176" spans="1:8" x14ac:dyDescent="0.3">
      <c r="A6176" t="s">
        <v>2220</v>
      </c>
      <c r="B6176" t="s">
        <v>668</v>
      </c>
      <c r="C6176" t="s">
        <v>669</v>
      </c>
      <c r="D6176">
        <v>2021</v>
      </c>
      <c r="E6176" s="2">
        <v>10</v>
      </c>
      <c r="F6176" s="2">
        <v>1200</v>
      </c>
      <c r="G6176" s="2">
        <v>1260</v>
      </c>
      <c r="H6176" s="3" t="s">
        <v>18</v>
      </c>
    </row>
    <row r="6177" spans="1:8" x14ac:dyDescent="0.3">
      <c r="A6177" t="s">
        <v>2220</v>
      </c>
      <c r="B6177" t="s">
        <v>19</v>
      </c>
      <c r="C6177" t="s">
        <v>20</v>
      </c>
      <c r="D6177">
        <v>2016</v>
      </c>
      <c r="E6177" s="2">
        <v>25</v>
      </c>
      <c r="F6177" s="2">
        <v>4375</v>
      </c>
      <c r="G6177" s="2"/>
    </row>
    <row r="6178" spans="1:8" x14ac:dyDescent="0.3">
      <c r="A6178" t="s">
        <v>2220</v>
      </c>
      <c r="B6178" t="s">
        <v>2224</v>
      </c>
      <c r="C6178" t="s">
        <v>2225</v>
      </c>
      <c r="D6178">
        <v>2017</v>
      </c>
      <c r="E6178" s="2">
        <v>25</v>
      </c>
      <c r="F6178" s="2">
        <v>7750</v>
      </c>
      <c r="G6178" s="2"/>
    </row>
    <row r="6179" spans="1:8" x14ac:dyDescent="0.3">
      <c r="A6179" t="s">
        <v>2220</v>
      </c>
      <c r="B6179" t="s">
        <v>2226</v>
      </c>
      <c r="C6179" t="s">
        <v>2227</v>
      </c>
      <c r="D6179">
        <v>2017</v>
      </c>
      <c r="E6179" s="2">
        <v>25</v>
      </c>
      <c r="F6179" s="2">
        <v>4875</v>
      </c>
      <c r="G6179" s="2"/>
    </row>
    <row r="6180" spans="1:8" x14ac:dyDescent="0.3">
      <c r="A6180" t="s">
        <v>2220</v>
      </c>
      <c r="B6180" t="s">
        <v>307</v>
      </c>
      <c r="C6180" t="s">
        <v>132</v>
      </c>
      <c r="D6180">
        <v>2017</v>
      </c>
      <c r="E6180" s="2">
        <v>10</v>
      </c>
      <c r="F6180" s="2">
        <v>1800</v>
      </c>
      <c r="G6180" s="2"/>
    </row>
    <row r="6181" spans="1:8" x14ac:dyDescent="0.3">
      <c r="A6181" t="s">
        <v>2220</v>
      </c>
      <c r="B6181" t="s">
        <v>307</v>
      </c>
      <c r="C6181" t="s">
        <v>132</v>
      </c>
      <c r="D6181">
        <v>2018</v>
      </c>
      <c r="E6181" s="2">
        <v>10</v>
      </c>
      <c r="F6181" s="2">
        <v>1800</v>
      </c>
      <c r="G6181" s="2">
        <v>1890</v>
      </c>
    </row>
    <row r="6182" spans="1:8" x14ac:dyDescent="0.3">
      <c r="A6182" t="s">
        <v>2220</v>
      </c>
      <c r="B6182" t="s">
        <v>1151</v>
      </c>
      <c r="C6182" t="s">
        <v>1152</v>
      </c>
      <c r="D6182">
        <v>2018</v>
      </c>
      <c r="E6182" s="2">
        <v>75</v>
      </c>
      <c r="F6182" s="2">
        <v>13500</v>
      </c>
      <c r="G6182" s="2">
        <v>14175</v>
      </c>
      <c r="H6182" s="3" t="s">
        <v>18</v>
      </c>
    </row>
    <row r="6183" spans="1:8" x14ac:dyDescent="0.3">
      <c r="A6183" t="s">
        <v>2220</v>
      </c>
      <c r="B6183" t="s">
        <v>1151</v>
      </c>
      <c r="C6183" t="s">
        <v>1152</v>
      </c>
      <c r="D6183">
        <v>2021</v>
      </c>
      <c r="E6183" s="2">
        <v>25</v>
      </c>
      <c r="F6183" s="2">
        <v>4000</v>
      </c>
      <c r="G6183" s="2">
        <v>4200</v>
      </c>
      <c r="H6183" s="3" t="s">
        <v>18</v>
      </c>
    </row>
    <row r="6184" spans="1:8" x14ac:dyDescent="0.3">
      <c r="A6184" t="s">
        <v>2220</v>
      </c>
      <c r="B6184" t="s">
        <v>674</v>
      </c>
      <c r="C6184" t="s">
        <v>675</v>
      </c>
      <c r="D6184">
        <v>2021</v>
      </c>
      <c r="E6184" s="2">
        <v>10</v>
      </c>
      <c r="F6184" s="2">
        <v>1200</v>
      </c>
      <c r="G6184" s="2">
        <v>1260</v>
      </c>
      <c r="H6184" s="3" t="s">
        <v>18</v>
      </c>
    </row>
    <row r="6185" spans="1:8" x14ac:dyDescent="0.3">
      <c r="A6185" t="s">
        <v>2220</v>
      </c>
      <c r="B6185" t="s">
        <v>263</v>
      </c>
      <c r="C6185" t="s">
        <v>264</v>
      </c>
      <c r="D6185">
        <v>2020</v>
      </c>
      <c r="E6185" s="2">
        <v>25</v>
      </c>
      <c r="F6185" s="2">
        <v>5500</v>
      </c>
      <c r="G6185" s="2">
        <v>5775</v>
      </c>
    </row>
    <row r="6186" spans="1:8" x14ac:dyDescent="0.3">
      <c r="A6186" t="s">
        <v>2220</v>
      </c>
      <c r="B6186" t="s">
        <v>196</v>
      </c>
      <c r="C6186" t="s">
        <v>197</v>
      </c>
      <c r="D6186">
        <v>2014</v>
      </c>
      <c r="E6186" s="2">
        <v>25</v>
      </c>
      <c r="F6186" s="2">
        <v>5000</v>
      </c>
      <c r="G6186" s="2"/>
    </row>
    <row r="6187" spans="1:8" x14ac:dyDescent="0.3">
      <c r="A6187" t="s">
        <v>2220</v>
      </c>
      <c r="B6187" t="s">
        <v>196</v>
      </c>
      <c r="C6187" t="s">
        <v>197</v>
      </c>
      <c r="D6187">
        <v>2018</v>
      </c>
      <c r="E6187" s="2">
        <v>25</v>
      </c>
      <c r="F6187" s="2">
        <v>5000</v>
      </c>
      <c r="G6187" s="2">
        <v>5250</v>
      </c>
    </row>
    <row r="6188" spans="1:8" x14ac:dyDescent="0.3">
      <c r="A6188" t="s">
        <v>2220</v>
      </c>
      <c r="B6188" t="s">
        <v>600</v>
      </c>
      <c r="C6188" t="s">
        <v>75</v>
      </c>
      <c r="D6188">
        <v>2020</v>
      </c>
      <c r="E6188" s="2">
        <v>50</v>
      </c>
      <c r="F6188" s="2">
        <v>8000</v>
      </c>
      <c r="G6188" s="2">
        <v>8400</v>
      </c>
    </row>
    <row r="6189" spans="1:8" x14ac:dyDescent="0.3">
      <c r="A6189" t="s">
        <v>2220</v>
      </c>
      <c r="B6189" t="s">
        <v>153</v>
      </c>
      <c r="C6189" t="s">
        <v>154</v>
      </c>
      <c r="D6189">
        <v>2017</v>
      </c>
      <c r="E6189" s="2">
        <v>5</v>
      </c>
      <c r="F6189" s="2">
        <v>1250</v>
      </c>
      <c r="G6189" s="2"/>
    </row>
    <row r="6190" spans="1:8" x14ac:dyDescent="0.3">
      <c r="A6190" t="s">
        <v>2228</v>
      </c>
      <c r="B6190" t="s">
        <v>540</v>
      </c>
      <c r="C6190" t="s">
        <v>541</v>
      </c>
      <c r="D6190">
        <v>2020</v>
      </c>
      <c r="E6190" s="2">
        <v>5</v>
      </c>
      <c r="F6190" s="2">
        <v>550</v>
      </c>
      <c r="G6190" s="2">
        <v>577.5</v>
      </c>
    </row>
    <row r="6191" spans="1:8" x14ac:dyDescent="0.3">
      <c r="A6191" t="s">
        <v>2228</v>
      </c>
      <c r="B6191" t="s">
        <v>1419</v>
      </c>
      <c r="C6191" t="s">
        <v>1420</v>
      </c>
      <c r="D6191">
        <v>2020</v>
      </c>
      <c r="E6191" s="2">
        <v>15</v>
      </c>
      <c r="F6191" s="2">
        <v>2550</v>
      </c>
      <c r="G6191" s="2">
        <v>2677.5</v>
      </c>
    </row>
    <row r="6192" spans="1:8" x14ac:dyDescent="0.3">
      <c r="A6192" t="s">
        <v>2228</v>
      </c>
      <c r="B6192" t="s">
        <v>839</v>
      </c>
      <c r="C6192" t="s">
        <v>138</v>
      </c>
      <c r="D6192">
        <v>2020</v>
      </c>
      <c r="E6192" s="2">
        <v>5</v>
      </c>
      <c r="F6192" s="2">
        <v>900</v>
      </c>
      <c r="G6192" s="2">
        <v>945</v>
      </c>
    </row>
    <row r="6193" spans="1:8" x14ac:dyDescent="0.3">
      <c r="A6193" t="s">
        <v>2228</v>
      </c>
      <c r="B6193" t="s">
        <v>1369</v>
      </c>
      <c r="C6193" t="s">
        <v>1370</v>
      </c>
      <c r="D6193">
        <v>2020</v>
      </c>
      <c r="E6193" s="2">
        <v>5</v>
      </c>
      <c r="F6193" s="2">
        <v>900</v>
      </c>
      <c r="G6193" s="2">
        <v>945</v>
      </c>
    </row>
    <row r="6194" spans="1:8" x14ac:dyDescent="0.3">
      <c r="A6194" t="s">
        <v>2228</v>
      </c>
      <c r="B6194" t="s">
        <v>483</v>
      </c>
      <c r="C6194" t="s">
        <v>484</v>
      </c>
      <c r="D6194">
        <v>2020</v>
      </c>
      <c r="E6194" s="2">
        <v>20</v>
      </c>
      <c r="F6194" s="2">
        <v>1900</v>
      </c>
      <c r="G6194" s="2">
        <v>1995</v>
      </c>
      <c r="H6194" s="3" t="s">
        <v>18</v>
      </c>
    </row>
    <row r="6195" spans="1:8" x14ac:dyDescent="0.3">
      <c r="A6195" t="s">
        <v>2228</v>
      </c>
      <c r="B6195" t="s">
        <v>483</v>
      </c>
      <c r="C6195" t="s">
        <v>484</v>
      </c>
      <c r="D6195">
        <v>2021</v>
      </c>
      <c r="E6195" s="2">
        <v>5</v>
      </c>
      <c r="F6195" s="2">
        <v>475</v>
      </c>
      <c r="G6195" s="2">
        <v>498.75</v>
      </c>
      <c r="H6195" s="3" t="s">
        <v>18</v>
      </c>
    </row>
    <row r="6196" spans="1:8" x14ac:dyDescent="0.3">
      <c r="A6196" t="s">
        <v>2229</v>
      </c>
      <c r="B6196" t="s">
        <v>809</v>
      </c>
      <c r="C6196" t="s">
        <v>810</v>
      </c>
      <c r="D6196">
        <v>2015</v>
      </c>
      <c r="E6196" s="2">
        <v>5</v>
      </c>
      <c r="F6196" s="2">
        <v>550</v>
      </c>
      <c r="G6196" s="2"/>
    </row>
    <row r="6197" spans="1:8" x14ac:dyDescent="0.3">
      <c r="A6197" t="s">
        <v>2230</v>
      </c>
      <c r="B6197" t="s">
        <v>446</v>
      </c>
      <c r="C6197" t="s">
        <v>447</v>
      </c>
      <c r="D6197">
        <v>2020</v>
      </c>
      <c r="E6197" s="2">
        <v>125</v>
      </c>
      <c r="F6197" s="2">
        <v>6250</v>
      </c>
      <c r="G6197" s="2">
        <v>6562.5</v>
      </c>
    </row>
    <row r="6198" spans="1:8" x14ac:dyDescent="0.3">
      <c r="A6198" t="s">
        <v>2231</v>
      </c>
      <c r="B6198" t="s">
        <v>242</v>
      </c>
      <c r="D6198">
        <v>2021</v>
      </c>
      <c r="E6198" s="2">
        <v>5</v>
      </c>
      <c r="F6198" s="2">
        <v>1825</v>
      </c>
      <c r="G6198" s="2">
        <v>1916.25</v>
      </c>
      <c r="H6198" s="3" t="s">
        <v>18</v>
      </c>
    </row>
    <row r="6199" spans="1:8" x14ac:dyDescent="0.3">
      <c r="A6199" t="s">
        <v>2231</v>
      </c>
      <c r="B6199" t="s">
        <v>446</v>
      </c>
      <c r="C6199" t="s">
        <v>447</v>
      </c>
      <c r="D6199">
        <v>2020</v>
      </c>
      <c r="E6199" s="2">
        <v>25</v>
      </c>
      <c r="F6199" s="2">
        <v>1575</v>
      </c>
      <c r="G6199" s="2">
        <v>1653.75</v>
      </c>
      <c r="H6199" s="3" t="s">
        <v>1670</v>
      </c>
    </row>
    <row r="6200" spans="1:8" x14ac:dyDescent="0.3">
      <c r="A6200" t="s">
        <v>2231</v>
      </c>
      <c r="B6200" t="s">
        <v>446</v>
      </c>
      <c r="C6200" t="s">
        <v>447</v>
      </c>
      <c r="D6200">
        <v>2021</v>
      </c>
      <c r="E6200" s="2">
        <v>25</v>
      </c>
      <c r="F6200" s="2">
        <v>1575</v>
      </c>
      <c r="G6200" s="2">
        <v>1653.75</v>
      </c>
      <c r="H6200" s="3" t="s">
        <v>1670</v>
      </c>
    </row>
    <row r="6201" spans="1:8" x14ac:dyDescent="0.3">
      <c r="A6201" t="s">
        <v>2232</v>
      </c>
      <c r="B6201" t="s">
        <v>24</v>
      </c>
      <c r="C6201" t="s">
        <v>25</v>
      </c>
      <c r="D6201">
        <v>2016</v>
      </c>
      <c r="E6201" s="2">
        <v>420</v>
      </c>
      <c r="F6201" s="2">
        <v>38650</v>
      </c>
      <c r="G6201" s="2"/>
    </row>
    <row r="6202" spans="1:8" x14ac:dyDescent="0.3">
      <c r="A6202" t="s">
        <v>2232</v>
      </c>
      <c r="B6202" t="s">
        <v>24</v>
      </c>
      <c r="C6202" t="s">
        <v>25</v>
      </c>
      <c r="D6202">
        <v>2017</v>
      </c>
      <c r="E6202" s="2">
        <v>200</v>
      </c>
      <c r="F6202" s="2">
        <v>19000</v>
      </c>
      <c r="G6202" s="2"/>
    </row>
    <row r="6203" spans="1:8" x14ac:dyDescent="0.3">
      <c r="A6203" t="s">
        <v>2232</v>
      </c>
      <c r="B6203" t="s">
        <v>26</v>
      </c>
      <c r="C6203" t="s">
        <v>27</v>
      </c>
      <c r="D6203">
        <v>2016</v>
      </c>
      <c r="E6203" s="2">
        <v>25</v>
      </c>
      <c r="F6203" s="2">
        <v>2375</v>
      </c>
      <c r="G6203" s="2"/>
    </row>
    <row r="6204" spans="1:8" x14ac:dyDescent="0.3">
      <c r="A6204" t="s">
        <v>2232</v>
      </c>
      <c r="B6204" t="s">
        <v>26</v>
      </c>
      <c r="C6204" t="s">
        <v>27</v>
      </c>
      <c r="D6204">
        <v>2017</v>
      </c>
      <c r="E6204" s="2">
        <v>300</v>
      </c>
      <c r="F6204" s="2">
        <v>18000</v>
      </c>
      <c r="G6204" s="2"/>
    </row>
    <row r="6205" spans="1:8" x14ac:dyDescent="0.3">
      <c r="A6205" t="s">
        <v>2232</v>
      </c>
      <c r="B6205" t="s">
        <v>761</v>
      </c>
      <c r="D6205">
        <v>2018</v>
      </c>
      <c r="E6205" s="2">
        <v>1</v>
      </c>
      <c r="F6205" s="2">
        <v>200</v>
      </c>
      <c r="G6205" s="2">
        <v>210</v>
      </c>
    </row>
    <row r="6206" spans="1:8" x14ac:dyDescent="0.3">
      <c r="A6206" t="s">
        <v>2232</v>
      </c>
      <c r="B6206" t="s">
        <v>761</v>
      </c>
      <c r="D6206">
        <v>2019</v>
      </c>
      <c r="E6206" s="2">
        <v>136</v>
      </c>
      <c r="F6206" s="2">
        <v>26930</v>
      </c>
      <c r="G6206" s="2">
        <v>28276.5</v>
      </c>
    </row>
    <row r="6207" spans="1:8" x14ac:dyDescent="0.3">
      <c r="A6207" t="s">
        <v>2232</v>
      </c>
      <c r="B6207" t="s">
        <v>242</v>
      </c>
      <c r="D6207">
        <v>2020</v>
      </c>
      <c r="E6207" s="2">
        <v>5</v>
      </c>
      <c r="F6207" s="2">
        <v>1475</v>
      </c>
      <c r="G6207" s="2">
        <v>1548.75</v>
      </c>
    </row>
    <row r="6208" spans="1:8" x14ac:dyDescent="0.3">
      <c r="A6208" t="s">
        <v>2232</v>
      </c>
      <c r="B6208" t="s">
        <v>41</v>
      </c>
      <c r="C6208" t="s">
        <v>42</v>
      </c>
      <c r="D6208">
        <v>2016</v>
      </c>
      <c r="E6208" s="2">
        <v>450</v>
      </c>
      <c r="F6208" s="2">
        <v>33750</v>
      </c>
      <c r="G6208" s="2"/>
    </row>
    <row r="6209" spans="1:8" x14ac:dyDescent="0.3">
      <c r="A6209" t="s">
        <v>2232</v>
      </c>
      <c r="B6209" t="s">
        <v>334</v>
      </c>
      <c r="C6209" t="s">
        <v>335</v>
      </c>
      <c r="D6209">
        <v>2017</v>
      </c>
      <c r="E6209" s="2">
        <v>150</v>
      </c>
      <c r="F6209" s="2">
        <v>9000</v>
      </c>
      <c r="G6209" s="2"/>
    </row>
    <row r="6210" spans="1:8" x14ac:dyDescent="0.3">
      <c r="A6210" t="s">
        <v>2232</v>
      </c>
      <c r="B6210" t="s">
        <v>863</v>
      </c>
      <c r="D6210">
        <v>2017</v>
      </c>
      <c r="E6210" s="2">
        <v>120</v>
      </c>
      <c r="F6210" s="2">
        <v>9600</v>
      </c>
      <c r="G6210" s="2"/>
    </row>
    <row r="6211" spans="1:8" x14ac:dyDescent="0.3">
      <c r="A6211" t="s">
        <v>2232</v>
      </c>
      <c r="B6211" t="s">
        <v>240</v>
      </c>
      <c r="D6211">
        <v>2015</v>
      </c>
      <c r="E6211" s="2">
        <v>20</v>
      </c>
      <c r="F6211" s="2">
        <v>1900</v>
      </c>
      <c r="G6211" s="2"/>
    </row>
    <row r="6212" spans="1:8" x14ac:dyDescent="0.3">
      <c r="A6212" t="s">
        <v>2232</v>
      </c>
      <c r="B6212" t="s">
        <v>32</v>
      </c>
      <c r="D6212">
        <v>2015</v>
      </c>
      <c r="E6212" s="2">
        <v>40</v>
      </c>
      <c r="F6212" s="2">
        <v>3600</v>
      </c>
      <c r="G6212" s="2"/>
    </row>
    <row r="6213" spans="1:8" x14ac:dyDescent="0.3">
      <c r="A6213" t="s">
        <v>2232</v>
      </c>
      <c r="B6213" t="s">
        <v>32</v>
      </c>
      <c r="D6213">
        <v>2016</v>
      </c>
      <c r="E6213" s="2">
        <v>65</v>
      </c>
      <c r="F6213" s="2">
        <v>5850</v>
      </c>
      <c r="G6213" s="2"/>
    </row>
    <row r="6214" spans="1:8" x14ac:dyDescent="0.3">
      <c r="A6214" t="s">
        <v>2232</v>
      </c>
      <c r="B6214" t="s">
        <v>32</v>
      </c>
      <c r="D6214">
        <v>2017</v>
      </c>
      <c r="E6214" s="2">
        <v>180</v>
      </c>
      <c r="F6214" s="2">
        <v>16200</v>
      </c>
      <c r="G6214" s="2"/>
    </row>
    <row r="6215" spans="1:8" x14ac:dyDescent="0.3">
      <c r="A6215" t="s">
        <v>2232</v>
      </c>
      <c r="B6215" t="s">
        <v>32</v>
      </c>
      <c r="D6215">
        <v>2018</v>
      </c>
      <c r="E6215" s="2">
        <v>160</v>
      </c>
      <c r="F6215" s="2">
        <v>14400</v>
      </c>
      <c r="G6215" s="2">
        <v>15120</v>
      </c>
    </row>
    <row r="6216" spans="1:8" x14ac:dyDescent="0.3">
      <c r="A6216" t="s">
        <v>2232</v>
      </c>
      <c r="B6216" t="s">
        <v>46</v>
      </c>
      <c r="C6216" t="s">
        <v>47</v>
      </c>
      <c r="D6216">
        <v>2015</v>
      </c>
      <c r="E6216" s="2">
        <v>75</v>
      </c>
      <c r="F6216" s="2">
        <v>6000</v>
      </c>
      <c r="G6216" s="2"/>
    </row>
    <row r="6217" spans="1:8" x14ac:dyDescent="0.3">
      <c r="A6217" t="s">
        <v>2232</v>
      </c>
      <c r="B6217" t="s">
        <v>46</v>
      </c>
      <c r="C6217" t="s">
        <v>47</v>
      </c>
      <c r="D6217">
        <v>2016</v>
      </c>
      <c r="E6217" s="2">
        <v>25</v>
      </c>
      <c r="F6217" s="2">
        <v>2000</v>
      </c>
      <c r="G6217" s="2"/>
    </row>
    <row r="6218" spans="1:8" x14ac:dyDescent="0.3">
      <c r="A6218" t="s">
        <v>2233</v>
      </c>
      <c r="B6218" t="s">
        <v>2053</v>
      </c>
      <c r="C6218" t="s">
        <v>394</v>
      </c>
      <c r="D6218">
        <v>2021</v>
      </c>
      <c r="E6218" s="2">
        <v>2</v>
      </c>
      <c r="F6218" s="2">
        <v>360</v>
      </c>
      <c r="G6218" s="2">
        <v>378</v>
      </c>
      <c r="H6218" s="3" t="s">
        <v>18</v>
      </c>
    </row>
    <row r="6219" spans="1:8" x14ac:dyDescent="0.3">
      <c r="A6219" t="s">
        <v>2233</v>
      </c>
      <c r="B6219" t="s">
        <v>84</v>
      </c>
      <c r="C6219" t="s">
        <v>85</v>
      </c>
      <c r="D6219">
        <v>2017</v>
      </c>
      <c r="E6219" s="2">
        <v>5</v>
      </c>
      <c r="F6219" s="2">
        <v>800</v>
      </c>
      <c r="G6219" s="2"/>
    </row>
    <row r="6220" spans="1:8" x14ac:dyDescent="0.3">
      <c r="A6220" t="s">
        <v>2233</v>
      </c>
      <c r="B6220" t="s">
        <v>586</v>
      </c>
      <c r="C6220" t="s">
        <v>587</v>
      </c>
      <c r="D6220">
        <v>2021</v>
      </c>
      <c r="E6220" s="2">
        <v>2</v>
      </c>
      <c r="F6220" s="2">
        <v>360</v>
      </c>
      <c r="G6220" s="2">
        <v>378</v>
      </c>
      <c r="H6220" s="3" t="s">
        <v>18</v>
      </c>
    </row>
    <row r="6221" spans="1:8" x14ac:dyDescent="0.3">
      <c r="A6221" t="s">
        <v>2233</v>
      </c>
      <c r="B6221" t="s">
        <v>55</v>
      </c>
      <c r="D6221">
        <v>2019</v>
      </c>
      <c r="E6221" s="2">
        <v>1</v>
      </c>
      <c r="F6221" s="2">
        <v>300</v>
      </c>
      <c r="G6221" s="2">
        <v>315</v>
      </c>
    </row>
    <row r="6222" spans="1:8" x14ac:dyDescent="0.3">
      <c r="A6222" t="s">
        <v>2233</v>
      </c>
      <c r="B6222" t="s">
        <v>218</v>
      </c>
      <c r="C6222" t="s">
        <v>212</v>
      </c>
      <c r="D6222">
        <v>2014</v>
      </c>
      <c r="E6222" s="2">
        <v>5</v>
      </c>
      <c r="F6222" s="2">
        <v>825</v>
      </c>
      <c r="G6222" s="2"/>
    </row>
    <row r="6223" spans="1:8" x14ac:dyDescent="0.3">
      <c r="A6223" t="s">
        <v>2233</v>
      </c>
      <c r="B6223" t="s">
        <v>218</v>
      </c>
      <c r="C6223" t="s">
        <v>212</v>
      </c>
      <c r="D6223">
        <v>2016</v>
      </c>
      <c r="E6223" s="2">
        <v>10</v>
      </c>
      <c r="F6223" s="2">
        <v>1650</v>
      </c>
      <c r="G6223" s="2"/>
    </row>
    <row r="6224" spans="1:8" x14ac:dyDescent="0.3">
      <c r="A6224" t="s">
        <v>2233</v>
      </c>
      <c r="B6224" t="s">
        <v>219</v>
      </c>
      <c r="C6224" t="s">
        <v>220</v>
      </c>
      <c r="D6224">
        <v>2014</v>
      </c>
      <c r="E6224" s="2">
        <v>10</v>
      </c>
      <c r="F6224" s="2">
        <v>1800</v>
      </c>
      <c r="G6224" s="2"/>
    </row>
    <row r="6225" spans="1:8" x14ac:dyDescent="0.3">
      <c r="A6225" t="s">
        <v>2233</v>
      </c>
      <c r="B6225" t="s">
        <v>723</v>
      </c>
      <c r="C6225" t="s">
        <v>724</v>
      </c>
      <c r="D6225">
        <v>2021</v>
      </c>
      <c r="E6225" s="2">
        <v>2</v>
      </c>
      <c r="F6225" s="2">
        <v>430</v>
      </c>
      <c r="G6225" s="2">
        <v>451.5</v>
      </c>
      <c r="H6225" s="3" t="s">
        <v>14</v>
      </c>
    </row>
    <row r="6226" spans="1:8" x14ac:dyDescent="0.3">
      <c r="A6226" t="s">
        <v>2233</v>
      </c>
      <c r="B6226" t="s">
        <v>1410</v>
      </c>
      <c r="C6226" t="s">
        <v>1411</v>
      </c>
      <c r="D6226">
        <v>2021</v>
      </c>
      <c r="E6226" s="2">
        <v>2</v>
      </c>
      <c r="F6226" s="2">
        <v>360</v>
      </c>
      <c r="G6226" s="2">
        <v>378</v>
      </c>
      <c r="H6226" s="3" t="s">
        <v>18</v>
      </c>
    </row>
    <row r="6227" spans="1:8" x14ac:dyDescent="0.3">
      <c r="A6227" t="s">
        <v>2233</v>
      </c>
      <c r="B6227" t="s">
        <v>536</v>
      </c>
      <c r="C6227" t="s">
        <v>537</v>
      </c>
      <c r="D6227">
        <v>2021</v>
      </c>
      <c r="E6227" s="2">
        <v>2</v>
      </c>
      <c r="F6227" s="2">
        <v>350</v>
      </c>
      <c r="G6227" s="2">
        <v>367.5</v>
      </c>
      <c r="H6227" s="3" t="s">
        <v>18</v>
      </c>
    </row>
    <row r="6228" spans="1:8" x14ac:dyDescent="0.3">
      <c r="A6228" t="s">
        <v>2233</v>
      </c>
      <c r="B6228" t="s">
        <v>2234</v>
      </c>
      <c r="C6228" t="s">
        <v>1879</v>
      </c>
      <c r="D6228">
        <v>2016</v>
      </c>
      <c r="E6228" s="2">
        <v>10</v>
      </c>
      <c r="F6228" s="2">
        <v>1800</v>
      </c>
      <c r="G6228" s="2"/>
    </row>
    <row r="6229" spans="1:8" x14ac:dyDescent="0.3">
      <c r="A6229" t="s">
        <v>2233</v>
      </c>
      <c r="B6229" t="s">
        <v>99</v>
      </c>
      <c r="C6229" t="s">
        <v>100</v>
      </c>
      <c r="D6229">
        <v>2017</v>
      </c>
      <c r="E6229" s="2">
        <v>25</v>
      </c>
      <c r="F6229" s="2">
        <v>3675</v>
      </c>
      <c r="G6229" s="2"/>
    </row>
    <row r="6230" spans="1:8" x14ac:dyDescent="0.3">
      <c r="A6230" t="s">
        <v>2233</v>
      </c>
      <c r="B6230" t="s">
        <v>1949</v>
      </c>
      <c r="D6230">
        <v>2021</v>
      </c>
      <c r="E6230" s="2">
        <v>2</v>
      </c>
      <c r="F6230" s="2">
        <v>440</v>
      </c>
      <c r="G6230" s="2">
        <v>462</v>
      </c>
      <c r="H6230" s="3" t="s">
        <v>442</v>
      </c>
    </row>
    <row r="6231" spans="1:8" x14ac:dyDescent="0.3">
      <c r="A6231" t="s">
        <v>2233</v>
      </c>
      <c r="B6231" t="s">
        <v>103</v>
      </c>
      <c r="C6231" t="s">
        <v>104</v>
      </c>
      <c r="D6231">
        <v>2017</v>
      </c>
      <c r="E6231" s="2">
        <v>5</v>
      </c>
      <c r="F6231" s="2">
        <v>800</v>
      </c>
      <c r="G6231" s="2"/>
      <c r="H6231" s="3" t="s">
        <v>18</v>
      </c>
    </row>
    <row r="6232" spans="1:8" x14ac:dyDescent="0.3">
      <c r="A6232" t="s">
        <v>2233</v>
      </c>
      <c r="B6232" t="s">
        <v>103</v>
      </c>
      <c r="C6232" t="s">
        <v>104</v>
      </c>
      <c r="D6232">
        <v>2021</v>
      </c>
      <c r="E6232" s="2">
        <v>10</v>
      </c>
      <c r="F6232" s="2">
        <v>1600</v>
      </c>
      <c r="G6232" s="2">
        <v>1680</v>
      </c>
      <c r="H6232" s="3" t="s">
        <v>18</v>
      </c>
    </row>
    <row r="6233" spans="1:8" x14ac:dyDescent="0.3">
      <c r="A6233" t="s">
        <v>2233</v>
      </c>
      <c r="B6233" t="s">
        <v>542</v>
      </c>
      <c r="C6233" t="s">
        <v>160</v>
      </c>
      <c r="D6233">
        <v>2021</v>
      </c>
      <c r="E6233" s="2">
        <v>2</v>
      </c>
      <c r="F6233" s="2">
        <v>430</v>
      </c>
      <c r="G6233" s="2">
        <v>451.5</v>
      </c>
      <c r="H6233" s="3" t="s">
        <v>18</v>
      </c>
    </row>
    <row r="6234" spans="1:8" x14ac:dyDescent="0.3">
      <c r="A6234" t="s">
        <v>2233</v>
      </c>
      <c r="B6234" t="s">
        <v>120</v>
      </c>
      <c r="C6234" t="s">
        <v>121</v>
      </c>
      <c r="D6234">
        <v>2015</v>
      </c>
      <c r="E6234" s="2">
        <v>10</v>
      </c>
      <c r="F6234" s="2">
        <v>1700</v>
      </c>
      <c r="G6234" s="2"/>
    </row>
    <row r="6235" spans="1:8" x14ac:dyDescent="0.3">
      <c r="A6235" t="s">
        <v>2233</v>
      </c>
      <c r="B6235" t="s">
        <v>820</v>
      </c>
      <c r="C6235" t="s">
        <v>821</v>
      </c>
      <c r="D6235">
        <v>2021</v>
      </c>
      <c r="E6235" s="2">
        <v>5</v>
      </c>
      <c r="F6235" s="2">
        <v>1100</v>
      </c>
      <c r="G6235" s="2">
        <v>1155</v>
      </c>
      <c r="H6235" s="3" t="s">
        <v>18</v>
      </c>
    </row>
    <row r="6236" spans="1:8" x14ac:dyDescent="0.3">
      <c r="A6236" t="s">
        <v>2233</v>
      </c>
      <c r="B6236" t="s">
        <v>130</v>
      </c>
      <c r="C6236" t="s">
        <v>106</v>
      </c>
      <c r="D6236">
        <v>2017</v>
      </c>
      <c r="E6236" s="2">
        <v>5</v>
      </c>
      <c r="F6236" s="2">
        <v>800</v>
      </c>
      <c r="G6236" s="2"/>
    </row>
    <row r="6237" spans="1:8" x14ac:dyDescent="0.3">
      <c r="A6237" t="s">
        <v>2233</v>
      </c>
      <c r="B6237" t="s">
        <v>137</v>
      </c>
      <c r="C6237" t="s">
        <v>138</v>
      </c>
      <c r="D6237">
        <v>2016</v>
      </c>
      <c r="E6237" s="2">
        <v>25</v>
      </c>
      <c r="F6237" s="2">
        <v>4375</v>
      </c>
      <c r="G6237" s="2"/>
    </row>
    <row r="6238" spans="1:8" x14ac:dyDescent="0.3">
      <c r="A6238" t="s">
        <v>2233</v>
      </c>
      <c r="B6238" t="s">
        <v>1369</v>
      </c>
      <c r="C6238" t="s">
        <v>1370</v>
      </c>
      <c r="D6238">
        <v>2021</v>
      </c>
      <c r="E6238" s="2">
        <v>2</v>
      </c>
      <c r="F6238" s="2">
        <v>360</v>
      </c>
      <c r="G6238" s="2">
        <v>378</v>
      </c>
      <c r="H6238" s="3" t="s">
        <v>18</v>
      </c>
    </row>
    <row r="6239" spans="1:8" x14ac:dyDescent="0.3">
      <c r="A6239" t="s">
        <v>2233</v>
      </c>
      <c r="B6239" t="s">
        <v>261</v>
      </c>
      <c r="C6239" t="s">
        <v>262</v>
      </c>
      <c r="D6239">
        <v>2021</v>
      </c>
      <c r="E6239" s="2">
        <v>2</v>
      </c>
      <c r="F6239" s="2">
        <v>360</v>
      </c>
      <c r="G6239" s="2">
        <v>378</v>
      </c>
      <c r="H6239" s="3" t="s">
        <v>18</v>
      </c>
    </row>
    <row r="6240" spans="1:8" x14ac:dyDescent="0.3">
      <c r="A6240" t="s">
        <v>2233</v>
      </c>
      <c r="B6240" t="s">
        <v>263</v>
      </c>
      <c r="C6240" t="s">
        <v>264</v>
      </c>
      <c r="D6240">
        <v>2021</v>
      </c>
      <c r="E6240" s="2">
        <v>2</v>
      </c>
      <c r="F6240" s="2">
        <v>440</v>
      </c>
      <c r="G6240" s="2">
        <v>462</v>
      </c>
      <c r="H6240" s="3" t="s">
        <v>374</v>
      </c>
    </row>
    <row r="6241" spans="1:8" x14ac:dyDescent="0.3">
      <c r="A6241" t="s">
        <v>2233</v>
      </c>
      <c r="B6241" t="s">
        <v>72</v>
      </c>
      <c r="C6241" t="s">
        <v>319</v>
      </c>
      <c r="D6241">
        <v>2021</v>
      </c>
      <c r="E6241" s="2">
        <v>5</v>
      </c>
      <c r="F6241" s="2">
        <v>950</v>
      </c>
      <c r="G6241" s="2">
        <v>997.5</v>
      </c>
      <c r="H6241" s="3" t="s">
        <v>18</v>
      </c>
    </row>
    <row r="6242" spans="1:8" x14ac:dyDescent="0.3">
      <c r="A6242" t="s">
        <v>2233</v>
      </c>
      <c r="B6242" t="s">
        <v>320</v>
      </c>
      <c r="C6242" t="s">
        <v>414</v>
      </c>
      <c r="D6242">
        <v>2015</v>
      </c>
      <c r="E6242" s="2">
        <v>25</v>
      </c>
      <c r="F6242" s="2">
        <v>4300</v>
      </c>
      <c r="G6242" s="2"/>
    </row>
    <row r="6243" spans="1:8" x14ac:dyDescent="0.3">
      <c r="A6243" t="s">
        <v>2233</v>
      </c>
      <c r="B6243" t="s">
        <v>320</v>
      </c>
      <c r="C6243" t="s">
        <v>414</v>
      </c>
      <c r="D6243">
        <v>2017</v>
      </c>
      <c r="E6243" s="2">
        <v>25</v>
      </c>
      <c r="F6243" s="2">
        <v>4300</v>
      </c>
      <c r="G6243" s="2"/>
    </row>
    <row r="6244" spans="1:8" x14ac:dyDescent="0.3">
      <c r="A6244" t="s">
        <v>2233</v>
      </c>
      <c r="B6244" t="s">
        <v>320</v>
      </c>
      <c r="C6244" t="s">
        <v>414</v>
      </c>
      <c r="D6244">
        <v>2018</v>
      </c>
      <c r="E6244" s="2">
        <v>65</v>
      </c>
      <c r="F6244" s="2">
        <v>11180</v>
      </c>
      <c r="G6244" s="2">
        <v>11739</v>
      </c>
    </row>
    <row r="6245" spans="1:8" x14ac:dyDescent="0.3">
      <c r="A6245" t="s">
        <v>2233</v>
      </c>
      <c r="B6245" t="s">
        <v>320</v>
      </c>
      <c r="C6245" t="s">
        <v>414</v>
      </c>
      <c r="D6245">
        <v>2019</v>
      </c>
      <c r="E6245" s="2">
        <v>25</v>
      </c>
      <c r="F6245" s="2">
        <v>4300</v>
      </c>
      <c r="G6245" s="2">
        <v>4515</v>
      </c>
    </row>
    <row r="6246" spans="1:8" x14ac:dyDescent="0.3">
      <c r="A6246" t="s">
        <v>2233</v>
      </c>
      <c r="B6246" t="s">
        <v>320</v>
      </c>
      <c r="C6246" t="s">
        <v>414</v>
      </c>
      <c r="D6246">
        <v>2020</v>
      </c>
      <c r="E6246" s="2">
        <v>25</v>
      </c>
      <c r="F6246" s="2">
        <v>4300</v>
      </c>
      <c r="G6246" s="2">
        <v>4515</v>
      </c>
    </row>
    <row r="6247" spans="1:8" x14ac:dyDescent="0.3">
      <c r="A6247" t="s">
        <v>2233</v>
      </c>
      <c r="B6247" t="s">
        <v>151</v>
      </c>
      <c r="C6247" t="s">
        <v>152</v>
      </c>
      <c r="D6247">
        <v>2020</v>
      </c>
      <c r="E6247" s="2">
        <v>25</v>
      </c>
      <c r="F6247" s="2">
        <v>4300</v>
      </c>
      <c r="G6247" s="2">
        <v>4515</v>
      </c>
      <c r="H6247" s="3" t="s">
        <v>18</v>
      </c>
    </row>
    <row r="6248" spans="1:8" x14ac:dyDescent="0.3">
      <c r="A6248" t="s">
        <v>2233</v>
      </c>
      <c r="B6248" t="s">
        <v>151</v>
      </c>
      <c r="C6248" t="s">
        <v>152</v>
      </c>
      <c r="D6248">
        <v>2021</v>
      </c>
      <c r="E6248" s="2">
        <v>25</v>
      </c>
      <c r="F6248" s="2">
        <v>4300</v>
      </c>
      <c r="G6248" s="2">
        <v>4515</v>
      </c>
      <c r="H6248" s="3" t="s">
        <v>18</v>
      </c>
    </row>
    <row r="6249" spans="1:8" x14ac:dyDescent="0.3">
      <c r="A6249" t="s">
        <v>2233</v>
      </c>
      <c r="B6249" t="s">
        <v>1396</v>
      </c>
      <c r="C6249" t="s">
        <v>613</v>
      </c>
      <c r="D6249">
        <v>2021</v>
      </c>
      <c r="E6249" s="2">
        <v>2</v>
      </c>
      <c r="F6249" s="2">
        <v>480</v>
      </c>
      <c r="G6249" s="2">
        <v>504</v>
      </c>
      <c r="H6249" s="3" t="s">
        <v>18</v>
      </c>
    </row>
    <row r="6250" spans="1:8" x14ac:dyDescent="0.3">
      <c r="A6250" t="s">
        <v>2235</v>
      </c>
      <c r="B6250" t="s">
        <v>721</v>
      </c>
      <c r="C6250" t="s">
        <v>722</v>
      </c>
      <c r="D6250">
        <v>2018</v>
      </c>
      <c r="E6250" s="2">
        <v>6</v>
      </c>
      <c r="F6250" s="2">
        <v>540</v>
      </c>
      <c r="G6250" s="2">
        <v>567</v>
      </c>
    </row>
    <row r="6251" spans="1:8" x14ac:dyDescent="0.3">
      <c r="A6251" t="s">
        <v>2235</v>
      </c>
      <c r="B6251" t="s">
        <v>16</v>
      </c>
      <c r="C6251" t="s">
        <v>17</v>
      </c>
      <c r="D6251">
        <v>2018</v>
      </c>
      <c r="E6251" s="2">
        <v>6</v>
      </c>
      <c r="F6251" s="2">
        <v>780</v>
      </c>
      <c r="G6251" s="2">
        <v>819</v>
      </c>
    </row>
    <row r="6252" spans="1:8" x14ac:dyDescent="0.3">
      <c r="A6252" t="s">
        <v>2235</v>
      </c>
      <c r="B6252" t="s">
        <v>453</v>
      </c>
      <c r="D6252">
        <v>2018</v>
      </c>
      <c r="E6252" s="2">
        <v>5</v>
      </c>
      <c r="F6252" s="2">
        <v>550</v>
      </c>
      <c r="G6252" s="2">
        <v>577.5</v>
      </c>
    </row>
    <row r="6253" spans="1:8" x14ac:dyDescent="0.3">
      <c r="A6253" t="s">
        <v>2235</v>
      </c>
      <c r="B6253" t="s">
        <v>461</v>
      </c>
      <c r="D6253">
        <v>2018</v>
      </c>
      <c r="E6253" s="2">
        <v>5</v>
      </c>
      <c r="F6253" s="2">
        <v>450</v>
      </c>
      <c r="G6253" s="2">
        <v>472.5</v>
      </c>
    </row>
    <row r="6254" spans="1:8" x14ac:dyDescent="0.3">
      <c r="A6254" t="s">
        <v>2235</v>
      </c>
      <c r="B6254" t="s">
        <v>1120</v>
      </c>
      <c r="C6254" t="s">
        <v>1121</v>
      </c>
      <c r="D6254">
        <v>2018</v>
      </c>
      <c r="E6254" s="2">
        <v>5</v>
      </c>
      <c r="F6254" s="2">
        <v>550</v>
      </c>
      <c r="G6254" s="2">
        <v>577.5</v>
      </c>
    </row>
    <row r="6255" spans="1:8" x14ac:dyDescent="0.3">
      <c r="A6255" t="s">
        <v>2235</v>
      </c>
      <c r="B6255" t="s">
        <v>269</v>
      </c>
      <c r="C6255" t="s">
        <v>270</v>
      </c>
      <c r="D6255">
        <v>2018</v>
      </c>
      <c r="E6255" s="2">
        <v>6</v>
      </c>
      <c r="F6255" s="2">
        <v>540</v>
      </c>
      <c r="G6255" s="2">
        <v>567</v>
      </c>
    </row>
    <row r="6256" spans="1:8" x14ac:dyDescent="0.3">
      <c r="A6256" t="s">
        <v>2235</v>
      </c>
      <c r="B6256" t="s">
        <v>995</v>
      </c>
      <c r="C6256" t="s">
        <v>672</v>
      </c>
      <c r="D6256">
        <v>2018</v>
      </c>
      <c r="E6256" s="2">
        <v>1</v>
      </c>
      <c r="F6256" s="2">
        <v>85</v>
      </c>
      <c r="G6256" s="2">
        <v>89.25</v>
      </c>
    </row>
    <row r="6257" spans="1:7" x14ac:dyDescent="0.3">
      <c r="A6257" t="s">
        <v>2235</v>
      </c>
      <c r="B6257" t="s">
        <v>187</v>
      </c>
      <c r="C6257" t="s">
        <v>188</v>
      </c>
      <c r="D6257">
        <v>2018</v>
      </c>
      <c r="E6257" s="2">
        <v>5</v>
      </c>
      <c r="F6257" s="2">
        <v>525</v>
      </c>
      <c r="G6257" s="2">
        <v>551.25</v>
      </c>
    </row>
    <row r="6258" spans="1:7" x14ac:dyDescent="0.3">
      <c r="A6258" t="s">
        <v>2235</v>
      </c>
      <c r="B6258" t="s">
        <v>404</v>
      </c>
      <c r="C6258" t="s">
        <v>405</v>
      </c>
      <c r="D6258">
        <v>2018</v>
      </c>
      <c r="E6258" s="2">
        <v>6</v>
      </c>
      <c r="F6258" s="2">
        <v>780</v>
      </c>
      <c r="G6258" s="2">
        <v>819</v>
      </c>
    </row>
    <row r="6259" spans="1:7" x14ac:dyDescent="0.3">
      <c r="A6259" t="s">
        <v>2235</v>
      </c>
      <c r="B6259" t="s">
        <v>36</v>
      </c>
      <c r="D6259">
        <v>2018</v>
      </c>
      <c r="E6259" s="2">
        <v>5</v>
      </c>
      <c r="F6259" s="2">
        <v>600</v>
      </c>
      <c r="G6259" s="2">
        <v>630</v>
      </c>
    </row>
    <row r="6260" spans="1:7" x14ac:dyDescent="0.3">
      <c r="A6260" t="s">
        <v>2235</v>
      </c>
      <c r="B6260" t="s">
        <v>915</v>
      </c>
      <c r="C6260" t="s">
        <v>916</v>
      </c>
      <c r="D6260">
        <v>2018</v>
      </c>
      <c r="E6260" s="2">
        <v>1</v>
      </c>
      <c r="F6260" s="2">
        <v>90</v>
      </c>
      <c r="G6260" s="2">
        <v>94.5</v>
      </c>
    </row>
    <row r="6261" spans="1:7" x14ac:dyDescent="0.3">
      <c r="A6261" t="s">
        <v>2235</v>
      </c>
      <c r="B6261" t="s">
        <v>1107</v>
      </c>
      <c r="C6261" t="s">
        <v>1108</v>
      </c>
      <c r="D6261">
        <v>2018</v>
      </c>
      <c r="E6261" s="2">
        <v>6</v>
      </c>
      <c r="F6261" s="2">
        <v>570</v>
      </c>
      <c r="G6261" s="2">
        <v>598.5</v>
      </c>
    </row>
    <row r="6262" spans="1:7" x14ac:dyDescent="0.3">
      <c r="A6262" t="s">
        <v>2235</v>
      </c>
      <c r="B6262" t="s">
        <v>46</v>
      </c>
      <c r="C6262" t="s">
        <v>47</v>
      </c>
      <c r="D6262">
        <v>2018</v>
      </c>
      <c r="E6262" s="2">
        <v>6</v>
      </c>
      <c r="F6262" s="2">
        <v>480</v>
      </c>
      <c r="G6262" s="2">
        <v>504</v>
      </c>
    </row>
    <row r="6263" spans="1:7" x14ac:dyDescent="0.3">
      <c r="A6263" t="s">
        <v>2235</v>
      </c>
      <c r="B6263" t="s">
        <v>883</v>
      </c>
      <c r="C6263" t="s">
        <v>780</v>
      </c>
      <c r="D6263">
        <v>2018</v>
      </c>
      <c r="E6263" s="2">
        <v>6</v>
      </c>
      <c r="F6263" s="2">
        <v>660</v>
      </c>
      <c r="G6263" s="2">
        <v>693</v>
      </c>
    </row>
    <row r="6264" spans="1:7" x14ac:dyDescent="0.3">
      <c r="A6264" t="s">
        <v>2235</v>
      </c>
      <c r="B6264" t="s">
        <v>37</v>
      </c>
      <c r="D6264">
        <v>2018</v>
      </c>
      <c r="E6264" s="2">
        <v>5</v>
      </c>
      <c r="F6264" s="2">
        <v>450</v>
      </c>
      <c r="G6264" s="2">
        <v>472.5</v>
      </c>
    </row>
    <row r="6265" spans="1:7" x14ac:dyDescent="0.3">
      <c r="A6265" t="s">
        <v>2235</v>
      </c>
      <c r="B6265" t="s">
        <v>12</v>
      </c>
      <c r="C6265" t="s">
        <v>13</v>
      </c>
      <c r="D6265">
        <v>2018</v>
      </c>
      <c r="E6265" s="2">
        <v>6</v>
      </c>
      <c r="F6265" s="2">
        <v>540</v>
      </c>
      <c r="G6265" s="2">
        <v>567</v>
      </c>
    </row>
    <row r="6266" spans="1:7" x14ac:dyDescent="0.3">
      <c r="A6266" t="s">
        <v>2236</v>
      </c>
      <c r="B6266" t="s">
        <v>144</v>
      </c>
      <c r="C6266" t="s">
        <v>145</v>
      </c>
      <c r="D6266">
        <v>2017</v>
      </c>
      <c r="E6266" s="2">
        <v>5</v>
      </c>
      <c r="F6266" s="2">
        <v>1200</v>
      </c>
      <c r="G6266" s="2"/>
    </row>
    <row r="6267" spans="1:7" x14ac:dyDescent="0.3">
      <c r="A6267" t="s">
        <v>2236</v>
      </c>
      <c r="B6267" t="s">
        <v>196</v>
      </c>
      <c r="C6267" t="s">
        <v>197</v>
      </c>
      <c r="D6267">
        <v>2017</v>
      </c>
      <c r="E6267" s="2">
        <v>2</v>
      </c>
      <c r="F6267" s="2">
        <v>360</v>
      </c>
      <c r="G6267" s="2"/>
    </row>
    <row r="6268" spans="1:7" x14ac:dyDescent="0.3">
      <c r="A6268" t="s">
        <v>2237</v>
      </c>
      <c r="B6268" t="s">
        <v>19</v>
      </c>
      <c r="C6268" t="s">
        <v>20</v>
      </c>
      <c r="D6268">
        <v>2016</v>
      </c>
      <c r="E6268" s="2">
        <v>25</v>
      </c>
      <c r="F6268" s="2">
        <v>2625</v>
      </c>
      <c r="G6268" s="2"/>
    </row>
    <row r="6269" spans="1:7" x14ac:dyDescent="0.3">
      <c r="A6269" t="s">
        <v>2237</v>
      </c>
      <c r="B6269" t="s">
        <v>48</v>
      </c>
      <c r="C6269" t="s">
        <v>47</v>
      </c>
      <c r="D6269">
        <v>2016</v>
      </c>
      <c r="E6269" s="2">
        <v>50</v>
      </c>
      <c r="F6269" s="2">
        <v>3500</v>
      </c>
      <c r="G6269" s="2"/>
    </row>
    <row r="6270" spans="1:7" x14ac:dyDescent="0.3">
      <c r="A6270" t="s">
        <v>2238</v>
      </c>
      <c r="B6270" t="s">
        <v>2239</v>
      </c>
      <c r="C6270" t="s">
        <v>2240</v>
      </c>
      <c r="D6270">
        <v>2016</v>
      </c>
      <c r="E6270" s="2">
        <v>49</v>
      </c>
      <c r="F6270" s="2">
        <v>2940</v>
      </c>
      <c r="G6270" s="2"/>
    </row>
    <row r="6271" spans="1:7" x14ac:dyDescent="0.3">
      <c r="A6271" t="s">
        <v>2238</v>
      </c>
      <c r="B6271" t="s">
        <v>610</v>
      </c>
      <c r="C6271" t="s">
        <v>611</v>
      </c>
      <c r="D6271">
        <v>2016</v>
      </c>
      <c r="E6271" s="2">
        <v>10</v>
      </c>
      <c r="F6271" s="2">
        <v>850</v>
      </c>
      <c r="G6271" s="2"/>
    </row>
    <row r="6272" spans="1:7" x14ac:dyDescent="0.3">
      <c r="A6272" t="s">
        <v>2238</v>
      </c>
      <c r="B6272" t="s">
        <v>16</v>
      </c>
      <c r="C6272" t="s">
        <v>17</v>
      </c>
      <c r="D6272">
        <v>2016</v>
      </c>
      <c r="E6272" s="2">
        <v>15</v>
      </c>
      <c r="F6272" s="2">
        <v>1500</v>
      </c>
      <c r="G6272" s="2"/>
    </row>
    <row r="6273" spans="1:7" x14ac:dyDescent="0.3">
      <c r="A6273" t="s">
        <v>2238</v>
      </c>
      <c r="B6273" t="s">
        <v>346</v>
      </c>
      <c r="C6273" t="s">
        <v>347</v>
      </c>
      <c r="D6273">
        <v>2016</v>
      </c>
      <c r="E6273" s="2">
        <v>25</v>
      </c>
      <c r="F6273" s="2">
        <v>2050</v>
      </c>
      <c r="G6273" s="2"/>
    </row>
    <row r="6274" spans="1:7" x14ac:dyDescent="0.3">
      <c r="A6274" t="s">
        <v>2238</v>
      </c>
      <c r="B6274" t="s">
        <v>346</v>
      </c>
      <c r="C6274" t="s">
        <v>347</v>
      </c>
      <c r="D6274">
        <v>2018</v>
      </c>
      <c r="E6274" s="2">
        <v>20</v>
      </c>
      <c r="F6274" s="2">
        <v>1640</v>
      </c>
      <c r="G6274" s="2">
        <v>1722</v>
      </c>
    </row>
    <row r="6275" spans="1:7" x14ac:dyDescent="0.3">
      <c r="A6275" t="s">
        <v>2238</v>
      </c>
      <c r="B6275" t="s">
        <v>184</v>
      </c>
      <c r="C6275" t="s">
        <v>185</v>
      </c>
      <c r="D6275">
        <v>2016</v>
      </c>
      <c r="E6275" s="2">
        <v>50</v>
      </c>
      <c r="F6275" s="2">
        <v>2950</v>
      </c>
      <c r="G6275" s="2"/>
    </row>
    <row r="6276" spans="1:7" x14ac:dyDescent="0.3">
      <c r="A6276" t="s">
        <v>2238</v>
      </c>
      <c r="B6276" t="s">
        <v>184</v>
      </c>
      <c r="C6276" t="s">
        <v>185</v>
      </c>
      <c r="D6276">
        <v>2017</v>
      </c>
      <c r="E6276" s="2">
        <v>55</v>
      </c>
      <c r="F6276" s="2">
        <v>3275</v>
      </c>
      <c r="G6276" s="2"/>
    </row>
    <row r="6277" spans="1:7" x14ac:dyDescent="0.3">
      <c r="A6277" t="s">
        <v>2238</v>
      </c>
      <c r="B6277" t="s">
        <v>184</v>
      </c>
      <c r="C6277" t="s">
        <v>185</v>
      </c>
      <c r="D6277">
        <v>2018</v>
      </c>
      <c r="E6277" s="2">
        <v>10</v>
      </c>
      <c r="F6277" s="2">
        <v>650</v>
      </c>
      <c r="G6277" s="2">
        <v>682.5</v>
      </c>
    </row>
    <row r="6278" spans="1:7" x14ac:dyDescent="0.3">
      <c r="A6278" t="s">
        <v>2238</v>
      </c>
      <c r="B6278" t="s">
        <v>297</v>
      </c>
      <c r="C6278" t="s">
        <v>298</v>
      </c>
      <c r="D6278">
        <v>2016</v>
      </c>
      <c r="E6278" s="2">
        <v>55</v>
      </c>
      <c r="F6278" s="2">
        <v>3800</v>
      </c>
      <c r="G6278" s="2"/>
    </row>
    <row r="6279" spans="1:7" x14ac:dyDescent="0.3">
      <c r="A6279" t="s">
        <v>2238</v>
      </c>
      <c r="B6279" t="s">
        <v>297</v>
      </c>
      <c r="C6279" t="s">
        <v>298</v>
      </c>
      <c r="D6279">
        <v>2017</v>
      </c>
      <c r="E6279" s="2">
        <v>10</v>
      </c>
      <c r="F6279" s="2">
        <v>700</v>
      </c>
      <c r="G6279" s="2"/>
    </row>
    <row r="6280" spans="1:7" x14ac:dyDescent="0.3">
      <c r="A6280" t="s">
        <v>2238</v>
      </c>
      <c r="B6280" t="s">
        <v>19</v>
      </c>
      <c r="C6280" t="s">
        <v>20</v>
      </c>
      <c r="D6280">
        <v>2016</v>
      </c>
      <c r="E6280" s="2">
        <v>15</v>
      </c>
      <c r="F6280" s="2">
        <v>1230</v>
      </c>
      <c r="G6280" s="2"/>
    </row>
    <row r="6281" spans="1:7" x14ac:dyDescent="0.3">
      <c r="A6281" t="s">
        <v>2238</v>
      </c>
      <c r="B6281" t="s">
        <v>19</v>
      </c>
      <c r="C6281" t="s">
        <v>699</v>
      </c>
      <c r="D6281">
        <v>2017</v>
      </c>
      <c r="E6281" s="2">
        <v>15</v>
      </c>
      <c r="F6281" s="2">
        <v>1125</v>
      </c>
      <c r="G6281" s="2"/>
    </row>
    <row r="6282" spans="1:7" x14ac:dyDescent="0.3">
      <c r="A6282" t="s">
        <v>2238</v>
      </c>
      <c r="B6282" t="s">
        <v>19</v>
      </c>
      <c r="C6282" t="s">
        <v>20</v>
      </c>
      <c r="D6282">
        <v>2018</v>
      </c>
      <c r="E6282" s="2">
        <v>5</v>
      </c>
      <c r="F6282" s="2">
        <v>375</v>
      </c>
      <c r="G6282" s="2">
        <v>393.75</v>
      </c>
    </row>
    <row r="6283" spans="1:7" x14ac:dyDescent="0.3">
      <c r="A6283" t="s">
        <v>2238</v>
      </c>
      <c r="B6283" t="s">
        <v>269</v>
      </c>
      <c r="C6283" t="s">
        <v>270</v>
      </c>
      <c r="D6283">
        <v>2017</v>
      </c>
      <c r="E6283" s="2">
        <v>10</v>
      </c>
      <c r="F6283" s="2">
        <v>750</v>
      </c>
      <c r="G6283" s="2"/>
    </row>
    <row r="6284" spans="1:7" x14ac:dyDescent="0.3">
      <c r="A6284" t="s">
        <v>2238</v>
      </c>
      <c r="B6284" t="s">
        <v>41</v>
      </c>
      <c r="C6284" t="s">
        <v>63</v>
      </c>
      <c r="D6284">
        <v>2014</v>
      </c>
      <c r="E6284" s="2">
        <v>25</v>
      </c>
      <c r="F6284" s="2">
        <v>1375</v>
      </c>
      <c r="G6284" s="2"/>
    </row>
    <row r="6285" spans="1:7" x14ac:dyDescent="0.3">
      <c r="A6285" t="s">
        <v>2238</v>
      </c>
      <c r="B6285" t="s">
        <v>41</v>
      </c>
      <c r="C6285" t="s">
        <v>42</v>
      </c>
      <c r="D6285">
        <v>2016</v>
      </c>
      <c r="E6285" s="2">
        <v>5</v>
      </c>
      <c r="F6285" s="2">
        <v>350</v>
      </c>
      <c r="G6285" s="2"/>
    </row>
    <row r="6286" spans="1:7" x14ac:dyDescent="0.3">
      <c r="A6286" t="s">
        <v>2238</v>
      </c>
      <c r="B6286" t="s">
        <v>41</v>
      </c>
      <c r="C6286" t="s">
        <v>63</v>
      </c>
      <c r="D6286">
        <v>2016</v>
      </c>
      <c r="E6286" s="2">
        <v>100</v>
      </c>
      <c r="F6286" s="2">
        <v>5500</v>
      </c>
      <c r="G6286" s="2"/>
    </row>
    <row r="6287" spans="1:7" x14ac:dyDescent="0.3">
      <c r="A6287" t="s">
        <v>2238</v>
      </c>
      <c r="B6287" t="s">
        <v>41</v>
      </c>
      <c r="C6287" t="s">
        <v>42</v>
      </c>
      <c r="D6287">
        <v>2017</v>
      </c>
      <c r="E6287" s="2">
        <v>50</v>
      </c>
      <c r="F6287" s="2">
        <v>2875</v>
      </c>
      <c r="G6287" s="2"/>
    </row>
    <row r="6288" spans="1:7" x14ac:dyDescent="0.3">
      <c r="A6288" t="s">
        <v>2238</v>
      </c>
      <c r="B6288" t="s">
        <v>41</v>
      </c>
      <c r="C6288" t="s">
        <v>63</v>
      </c>
      <c r="D6288">
        <v>2017</v>
      </c>
      <c r="E6288" s="2">
        <v>25</v>
      </c>
      <c r="F6288" s="2">
        <v>1500</v>
      </c>
      <c r="G6288" s="2"/>
    </row>
    <row r="6289" spans="1:8" x14ac:dyDescent="0.3">
      <c r="A6289" t="s">
        <v>2238</v>
      </c>
      <c r="B6289" t="s">
        <v>41</v>
      </c>
      <c r="C6289" t="s">
        <v>42</v>
      </c>
      <c r="D6289">
        <v>2018</v>
      </c>
      <c r="E6289" s="2">
        <v>50</v>
      </c>
      <c r="F6289" s="2">
        <v>3125</v>
      </c>
      <c r="G6289" s="2">
        <v>3281.25</v>
      </c>
    </row>
    <row r="6290" spans="1:8" x14ac:dyDescent="0.3">
      <c r="A6290" t="s">
        <v>2238</v>
      </c>
      <c r="B6290" t="s">
        <v>314</v>
      </c>
      <c r="C6290" t="s">
        <v>475</v>
      </c>
      <c r="D6290">
        <v>2016</v>
      </c>
      <c r="E6290" s="2">
        <v>10</v>
      </c>
      <c r="F6290" s="2">
        <v>700</v>
      </c>
      <c r="G6290" s="2"/>
    </row>
    <row r="6291" spans="1:8" x14ac:dyDescent="0.3">
      <c r="A6291" t="s">
        <v>2238</v>
      </c>
      <c r="B6291" t="s">
        <v>46</v>
      </c>
      <c r="C6291" t="s">
        <v>47</v>
      </c>
      <c r="D6291">
        <v>2017</v>
      </c>
      <c r="E6291" s="2">
        <v>10</v>
      </c>
      <c r="F6291" s="2">
        <v>650</v>
      </c>
      <c r="G6291" s="2"/>
    </row>
    <row r="6292" spans="1:8" x14ac:dyDescent="0.3">
      <c r="A6292" t="s">
        <v>2238</v>
      </c>
      <c r="B6292" t="s">
        <v>46</v>
      </c>
      <c r="C6292" t="s">
        <v>47</v>
      </c>
      <c r="D6292">
        <v>2018</v>
      </c>
      <c r="E6292" s="2">
        <v>5</v>
      </c>
      <c r="F6292" s="2">
        <v>325</v>
      </c>
      <c r="G6292" s="2">
        <v>341.25</v>
      </c>
    </row>
    <row r="6293" spans="1:8" x14ac:dyDescent="0.3">
      <c r="A6293" t="s">
        <v>2241</v>
      </c>
      <c r="B6293" t="s">
        <v>1221</v>
      </c>
      <c r="D6293">
        <v>2013</v>
      </c>
      <c r="E6293" s="2">
        <v>20</v>
      </c>
      <c r="F6293" s="2">
        <v>6600</v>
      </c>
      <c r="G6293" s="2"/>
    </row>
    <row r="6294" spans="1:8" x14ac:dyDescent="0.3">
      <c r="A6294" t="s">
        <v>2241</v>
      </c>
      <c r="B6294" t="s">
        <v>438</v>
      </c>
      <c r="C6294" t="s">
        <v>439</v>
      </c>
      <c r="D6294">
        <v>2016</v>
      </c>
      <c r="E6294" s="2">
        <v>25</v>
      </c>
      <c r="F6294" s="2">
        <v>1150</v>
      </c>
      <c r="G6294" s="2"/>
    </row>
    <row r="6295" spans="1:8" x14ac:dyDescent="0.3">
      <c r="A6295" t="s">
        <v>2242</v>
      </c>
      <c r="B6295" t="s">
        <v>16</v>
      </c>
      <c r="C6295" t="s">
        <v>17</v>
      </c>
      <c r="D6295">
        <v>2021</v>
      </c>
      <c r="E6295" s="2">
        <v>25</v>
      </c>
      <c r="F6295" s="2">
        <v>2325</v>
      </c>
      <c r="G6295" s="2">
        <v>2441.25</v>
      </c>
      <c r="H6295" s="3" t="s">
        <v>14</v>
      </c>
    </row>
    <row r="6296" spans="1:8" x14ac:dyDescent="0.3">
      <c r="A6296" t="s">
        <v>2242</v>
      </c>
      <c r="B6296" t="s">
        <v>19</v>
      </c>
      <c r="C6296" t="s">
        <v>20</v>
      </c>
      <c r="D6296">
        <v>2021</v>
      </c>
      <c r="E6296" s="2">
        <v>25</v>
      </c>
      <c r="F6296" s="2">
        <v>1800</v>
      </c>
      <c r="G6296" s="2">
        <v>1890</v>
      </c>
      <c r="H6296" s="3" t="s">
        <v>14</v>
      </c>
    </row>
    <row r="6297" spans="1:8" x14ac:dyDescent="0.3">
      <c r="A6297" t="s">
        <v>2242</v>
      </c>
      <c r="B6297" t="s">
        <v>2243</v>
      </c>
      <c r="C6297" t="s">
        <v>2244</v>
      </c>
      <c r="D6297">
        <v>2021</v>
      </c>
      <c r="E6297" s="2">
        <v>25</v>
      </c>
      <c r="F6297" s="2">
        <v>1500</v>
      </c>
      <c r="G6297" s="2">
        <v>1575</v>
      </c>
      <c r="H6297" s="3" t="s">
        <v>14</v>
      </c>
    </row>
    <row r="6298" spans="1:8" x14ac:dyDescent="0.3">
      <c r="A6298" t="s">
        <v>2242</v>
      </c>
      <c r="B6298" t="s">
        <v>383</v>
      </c>
      <c r="C6298" t="s">
        <v>385</v>
      </c>
      <c r="D6298">
        <v>2021</v>
      </c>
      <c r="E6298" s="2">
        <v>25</v>
      </c>
      <c r="F6298" s="2">
        <v>4500</v>
      </c>
      <c r="G6298" s="2">
        <v>4725</v>
      </c>
      <c r="H6298" s="3" t="s">
        <v>18</v>
      </c>
    </row>
    <row r="6299" spans="1:8" x14ac:dyDescent="0.3">
      <c r="A6299" t="s">
        <v>2245</v>
      </c>
      <c r="B6299" t="s">
        <v>32</v>
      </c>
      <c r="D6299">
        <v>2013</v>
      </c>
      <c r="E6299" s="2">
        <v>40</v>
      </c>
      <c r="F6299" s="2">
        <v>3400</v>
      </c>
      <c r="G6299" s="2"/>
    </row>
    <row r="6300" spans="1:8" x14ac:dyDescent="0.3">
      <c r="A6300" t="s">
        <v>2245</v>
      </c>
      <c r="B6300" t="s">
        <v>32</v>
      </c>
      <c r="D6300">
        <v>2014</v>
      </c>
      <c r="E6300" s="2">
        <v>100</v>
      </c>
      <c r="F6300" s="2">
        <v>9000</v>
      </c>
      <c r="G6300" s="2"/>
    </row>
    <row r="6301" spans="1:8" x14ac:dyDescent="0.3">
      <c r="A6301" t="s">
        <v>2246</v>
      </c>
      <c r="B6301" t="s">
        <v>696</v>
      </c>
      <c r="C6301" t="s">
        <v>697</v>
      </c>
      <c r="D6301">
        <v>2019</v>
      </c>
      <c r="E6301" s="2">
        <v>25</v>
      </c>
      <c r="F6301" s="2">
        <v>1000</v>
      </c>
      <c r="G6301" s="2">
        <v>1050</v>
      </c>
    </row>
    <row r="6302" spans="1:8" x14ac:dyDescent="0.3">
      <c r="A6302" t="s">
        <v>2247</v>
      </c>
      <c r="B6302" t="s">
        <v>696</v>
      </c>
      <c r="C6302" t="s">
        <v>697</v>
      </c>
      <c r="D6302">
        <v>2016</v>
      </c>
      <c r="E6302" s="2">
        <v>25</v>
      </c>
      <c r="F6302" s="2">
        <v>1625</v>
      </c>
      <c r="G6302" s="2"/>
    </row>
    <row r="6303" spans="1:8" x14ac:dyDescent="0.3">
      <c r="A6303" t="s">
        <v>2248</v>
      </c>
      <c r="B6303" t="s">
        <v>28</v>
      </c>
      <c r="D6303">
        <v>2016</v>
      </c>
      <c r="E6303" s="2">
        <v>1</v>
      </c>
      <c r="F6303" s="2">
        <v>500</v>
      </c>
      <c r="G6303" s="2"/>
    </row>
    <row r="6304" spans="1:8" x14ac:dyDescent="0.3">
      <c r="A6304" t="s">
        <v>2248</v>
      </c>
      <c r="B6304" t="s">
        <v>28</v>
      </c>
      <c r="D6304">
        <v>2017</v>
      </c>
      <c r="E6304" s="2">
        <v>2</v>
      </c>
      <c r="F6304" s="2">
        <v>1000</v>
      </c>
      <c r="G6304" s="2"/>
    </row>
    <row r="6305" spans="1:7" x14ac:dyDescent="0.3">
      <c r="A6305" t="s">
        <v>2249</v>
      </c>
      <c r="B6305" t="s">
        <v>761</v>
      </c>
      <c r="D6305">
        <v>2016</v>
      </c>
      <c r="E6305" s="2">
        <v>1</v>
      </c>
      <c r="F6305" s="2">
        <v>500</v>
      </c>
      <c r="G6305" s="2"/>
    </row>
    <row r="6306" spans="1:7" x14ac:dyDescent="0.3">
      <c r="A6306" t="s">
        <v>2249</v>
      </c>
      <c r="B6306" t="s">
        <v>761</v>
      </c>
      <c r="D6306">
        <v>2017</v>
      </c>
      <c r="E6306" s="2">
        <v>1</v>
      </c>
      <c r="F6306" s="2">
        <v>500</v>
      </c>
      <c r="G6306" s="2"/>
    </row>
    <row r="6307" spans="1:7" x14ac:dyDescent="0.3">
      <c r="A6307" t="s">
        <v>2249</v>
      </c>
      <c r="B6307" t="s">
        <v>32</v>
      </c>
      <c r="D6307">
        <v>2017</v>
      </c>
      <c r="E6307" s="2">
        <v>20</v>
      </c>
      <c r="F6307" s="2">
        <v>1800</v>
      </c>
      <c r="G6307" s="2"/>
    </row>
    <row r="6308" spans="1:7" x14ac:dyDescent="0.3">
      <c r="A6308" t="s">
        <v>2250</v>
      </c>
      <c r="B6308" t="s">
        <v>218</v>
      </c>
      <c r="C6308" t="s">
        <v>212</v>
      </c>
      <c r="D6308">
        <v>2011</v>
      </c>
      <c r="E6308" s="2">
        <v>35</v>
      </c>
      <c r="F6308" s="2">
        <v>7000</v>
      </c>
      <c r="G6308" s="2"/>
    </row>
    <row r="6309" spans="1:7" x14ac:dyDescent="0.3">
      <c r="A6309" t="s">
        <v>2250</v>
      </c>
      <c r="B6309" t="s">
        <v>1257</v>
      </c>
      <c r="C6309" t="s">
        <v>638</v>
      </c>
      <c r="D6309">
        <v>2011</v>
      </c>
      <c r="E6309" s="2">
        <v>100</v>
      </c>
      <c r="F6309" s="2">
        <v>18400</v>
      </c>
      <c r="G6309" s="2"/>
    </row>
    <row r="6310" spans="1:7" x14ac:dyDescent="0.3">
      <c r="A6310" t="s">
        <v>2251</v>
      </c>
      <c r="B6310" t="s">
        <v>438</v>
      </c>
      <c r="C6310" t="s">
        <v>439</v>
      </c>
      <c r="D6310">
        <v>2018</v>
      </c>
      <c r="E6310" s="2">
        <v>25</v>
      </c>
      <c r="F6310" s="2">
        <v>1750</v>
      </c>
      <c r="G6310" s="2">
        <v>1837.5</v>
      </c>
    </row>
    <row r="6311" spans="1:7" x14ac:dyDescent="0.3">
      <c r="A6311" t="s">
        <v>2251</v>
      </c>
      <c r="B6311" t="s">
        <v>438</v>
      </c>
      <c r="C6311" t="s">
        <v>439</v>
      </c>
      <c r="D6311">
        <v>2019</v>
      </c>
      <c r="E6311" s="2">
        <v>75</v>
      </c>
      <c r="F6311" s="2">
        <v>5250</v>
      </c>
      <c r="G6311" s="2">
        <v>5512.5</v>
      </c>
    </row>
    <row r="6312" spans="1:7" x14ac:dyDescent="0.3">
      <c r="A6312" t="s">
        <v>2251</v>
      </c>
      <c r="B6312" t="s">
        <v>438</v>
      </c>
      <c r="C6312" t="s">
        <v>439</v>
      </c>
      <c r="D6312">
        <v>2020</v>
      </c>
      <c r="E6312" s="2">
        <v>75</v>
      </c>
      <c r="F6312" s="2">
        <v>5850</v>
      </c>
      <c r="G6312" s="2">
        <v>6142.5</v>
      </c>
    </row>
    <row r="6313" spans="1:7" x14ac:dyDescent="0.3">
      <c r="A6313" t="s">
        <v>2252</v>
      </c>
      <c r="B6313" t="s">
        <v>1461</v>
      </c>
      <c r="D6313">
        <v>2019</v>
      </c>
      <c r="E6313" s="2">
        <v>20</v>
      </c>
      <c r="F6313" s="2">
        <v>1600</v>
      </c>
      <c r="G6313" s="2">
        <v>1680</v>
      </c>
    </row>
    <row r="6314" spans="1:7" x14ac:dyDescent="0.3">
      <c r="A6314" t="s">
        <v>2252</v>
      </c>
      <c r="B6314" t="s">
        <v>26</v>
      </c>
      <c r="C6314" t="s">
        <v>27</v>
      </c>
      <c r="D6314">
        <v>2013</v>
      </c>
      <c r="E6314" s="2">
        <v>25</v>
      </c>
      <c r="F6314" s="2">
        <v>1875</v>
      </c>
      <c r="G6314" s="2"/>
    </row>
    <row r="6315" spans="1:7" x14ac:dyDescent="0.3">
      <c r="A6315" t="s">
        <v>2252</v>
      </c>
      <c r="B6315" t="s">
        <v>1221</v>
      </c>
      <c r="D6315">
        <v>2013</v>
      </c>
      <c r="E6315" s="2">
        <v>20</v>
      </c>
      <c r="F6315" s="2">
        <v>6600</v>
      </c>
      <c r="G6315" s="2"/>
    </row>
    <row r="6316" spans="1:7" x14ac:dyDescent="0.3">
      <c r="A6316" t="s">
        <v>2252</v>
      </c>
      <c r="B6316" t="s">
        <v>1221</v>
      </c>
      <c r="D6316">
        <v>2016</v>
      </c>
      <c r="E6316" s="2">
        <v>20</v>
      </c>
      <c r="F6316" s="2">
        <v>6500</v>
      </c>
      <c r="G6316" s="2"/>
    </row>
    <row r="6317" spans="1:7" x14ac:dyDescent="0.3">
      <c r="A6317" t="s">
        <v>2252</v>
      </c>
      <c r="B6317" t="s">
        <v>438</v>
      </c>
      <c r="C6317" t="s">
        <v>439</v>
      </c>
      <c r="D6317">
        <v>2018</v>
      </c>
      <c r="E6317" s="2">
        <v>10</v>
      </c>
      <c r="F6317" s="2">
        <v>650</v>
      </c>
      <c r="G6317" s="2">
        <v>682.5</v>
      </c>
    </row>
    <row r="6318" spans="1:7" x14ac:dyDescent="0.3">
      <c r="A6318" t="s">
        <v>2252</v>
      </c>
      <c r="B6318" t="s">
        <v>36</v>
      </c>
      <c r="D6318">
        <v>2018</v>
      </c>
      <c r="E6318" s="2">
        <v>17</v>
      </c>
      <c r="F6318" s="2">
        <v>1870</v>
      </c>
      <c r="G6318" s="2">
        <v>1963.5</v>
      </c>
    </row>
    <row r="6319" spans="1:7" x14ac:dyDescent="0.3">
      <c r="A6319" t="s">
        <v>2252</v>
      </c>
      <c r="B6319" t="s">
        <v>32</v>
      </c>
      <c r="D6319">
        <v>2013</v>
      </c>
      <c r="E6319" s="2">
        <v>20</v>
      </c>
      <c r="F6319" s="2">
        <v>1800</v>
      </c>
      <c r="G6319" s="2"/>
    </row>
    <row r="6320" spans="1:7" x14ac:dyDescent="0.3">
      <c r="A6320" t="s">
        <v>2252</v>
      </c>
      <c r="B6320" t="s">
        <v>46</v>
      </c>
      <c r="C6320" t="s">
        <v>47</v>
      </c>
      <c r="D6320">
        <v>2016</v>
      </c>
      <c r="E6320" s="2">
        <v>5</v>
      </c>
      <c r="F6320" s="2">
        <v>400</v>
      </c>
      <c r="G6320" s="2"/>
    </row>
    <row r="6321" spans="1:7" x14ac:dyDescent="0.3">
      <c r="A6321" t="s">
        <v>2253</v>
      </c>
      <c r="B6321" t="s">
        <v>453</v>
      </c>
      <c r="D6321">
        <v>2018</v>
      </c>
      <c r="E6321" s="2">
        <v>10</v>
      </c>
      <c r="F6321" s="2">
        <v>950</v>
      </c>
      <c r="G6321" s="2">
        <v>997.5</v>
      </c>
    </row>
    <row r="6322" spans="1:7" x14ac:dyDescent="0.3">
      <c r="A6322" t="s">
        <v>2253</v>
      </c>
      <c r="B6322" t="s">
        <v>2254</v>
      </c>
      <c r="D6322">
        <v>2016</v>
      </c>
      <c r="E6322" s="2">
        <v>20</v>
      </c>
      <c r="F6322" s="2">
        <v>1900</v>
      </c>
      <c r="G6322" s="2"/>
    </row>
    <row r="6323" spans="1:7" x14ac:dyDescent="0.3">
      <c r="A6323" t="s">
        <v>2253</v>
      </c>
      <c r="B6323" t="s">
        <v>2254</v>
      </c>
      <c r="D6323">
        <v>2018</v>
      </c>
      <c r="E6323" s="2">
        <v>20</v>
      </c>
      <c r="F6323" s="2">
        <v>1800</v>
      </c>
      <c r="G6323" s="2">
        <v>1890</v>
      </c>
    </row>
    <row r="6324" spans="1:7" x14ac:dyDescent="0.3">
      <c r="A6324" t="s">
        <v>2253</v>
      </c>
      <c r="B6324" t="s">
        <v>2255</v>
      </c>
      <c r="D6324">
        <v>2015</v>
      </c>
      <c r="E6324" s="2">
        <v>30</v>
      </c>
      <c r="F6324" s="2">
        <v>15000</v>
      </c>
      <c r="G6324" s="2"/>
    </row>
    <row r="6325" spans="1:7" x14ac:dyDescent="0.3">
      <c r="A6325" t="s">
        <v>2253</v>
      </c>
      <c r="B6325" t="s">
        <v>41</v>
      </c>
      <c r="C6325" t="s">
        <v>530</v>
      </c>
      <c r="D6325">
        <v>2018</v>
      </c>
      <c r="E6325" s="2">
        <v>50</v>
      </c>
      <c r="F6325" s="2">
        <v>3000</v>
      </c>
      <c r="G6325" s="2">
        <v>3150</v>
      </c>
    </row>
    <row r="6326" spans="1:7" x14ac:dyDescent="0.3">
      <c r="A6326" t="s">
        <v>2253</v>
      </c>
      <c r="B6326" t="s">
        <v>828</v>
      </c>
      <c r="D6326">
        <v>2016</v>
      </c>
      <c r="E6326" s="2">
        <v>20</v>
      </c>
      <c r="F6326" s="2">
        <v>6400</v>
      </c>
      <c r="G6326" s="2"/>
    </row>
    <row r="6327" spans="1:7" x14ac:dyDescent="0.3">
      <c r="A6327" t="s">
        <v>2253</v>
      </c>
      <c r="B6327" t="s">
        <v>828</v>
      </c>
      <c r="D6327">
        <v>2017</v>
      </c>
      <c r="E6327" s="2">
        <v>20</v>
      </c>
      <c r="F6327" s="2">
        <v>6400</v>
      </c>
      <c r="G6327" s="2"/>
    </row>
    <row r="6328" spans="1:7" x14ac:dyDescent="0.3">
      <c r="A6328" t="s">
        <v>2253</v>
      </c>
      <c r="B6328" t="s">
        <v>863</v>
      </c>
      <c r="D6328">
        <v>2016</v>
      </c>
      <c r="E6328" s="2">
        <v>20</v>
      </c>
      <c r="F6328" s="2">
        <v>1760</v>
      </c>
      <c r="G6328" s="2"/>
    </row>
    <row r="6329" spans="1:7" x14ac:dyDescent="0.3">
      <c r="A6329" t="s">
        <v>2253</v>
      </c>
      <c r="B6329" t="s">
        <v>240</v>
      </c>
      <c r="D6329">
        <v>2016</v>
      </c>
      <c r="E6329" s="2">
        <v>20</v>
      </c>
      <c r="F6329" s="2">
        <v>1900</v>
      </c>
      <c r="G6329" s="2"/>
    </row>
    <row r="6330" spans="1:7" x14ac:dyDescent="0.3">
      <c r="A6330" t="s">
        <v>2256</v>
      </c>
      <c r="B6330" t="s">
        <v>2219</v>
      </c>
      <c r="C6330" t="s">
        <v>286</v>
      </c>
      <c r="D6330">
        <v>2012</v>
      </c>
      <c r="E6330" s="2">
        <v>5</v>
      </c>
      <c r="F6330" s="2">
        <v>1350</v>
      </c>
      <c r="G6330" s="2"/>
    </row>
    <row r="6331" spans="1:7" x14ac:dyDescent="0.3">
      <c r="A6331" t="s">
        <v>2256</v>
      </c>
      <c r="B6331" t="s">
        <v>2219</v>
      </c>
      <c r="C6331" t="s">
        <v>286</v>
      </c>
      <c r="D6331">
        <v>2013</v>
      </c>
      <c r="E6331" s="2">
        <v>5</v>
      </c>
      <c r="F6331" s="2">
        <v>1350</v>
      </c>
      <c r="G6331" s="2"/>
    </row>
    <row r="6332" spans="1:7" x14ac:dyDescent="0.3">
      <c r="A6332" t="s">
        <v>2256</v>
      </c>
      <c r="B6332" t="s">
        <v>2257</v>
      </c>
      <c r="C6332" t="s">
        <v>2258</v>
      </c>
      <c r="D6332">
        <v>2012</v>
      </c>
      <c r="E6332" s="2">
        <v>10</v>
      </c>
      <c r="F6332" s="2">
        <v>2600</v>
      </c>
      <c r="G6332" s="2"/>
    </row>
    <row r="6333" spans="1:7" x14ac:dyDescent="0.3">
      <c r="A6333" t="s">
        <v>2256</v>
      </c>
      <c r="B6333" t="s">
        <v>378</v>
      </c>
      <c r="C6333" t="s">
        <v>379</v>
      </c>
      <c r="D6333">
        <v>2012</v>
      </c>
      <c r="E6333" s="2">
        <v>10</v>
      </c>
      <c r="F6333" s="2">
        <v>1700</v>
      </c>
      <c r="G6333" s="2"/>
    </row>
    <row r="6334" spans="1:7" x14ac:dyDescent="0.3">
      <c r="A6334" t="s">
        <v>2256</v>
      </c>
      <c r="B6334" t="s">
        <v>378</v>
      </c>
      <c r="C6334" t="s">
        <v>379</v>
      </c>
      <c r="D6334">
        <v>2013</v>
      </c>
      <c r="E6334" s="2">
        <v>5</v>
      </c>
      <c r="F6334" s="2">
        <v>850</v>
      </c>
      <c r="G6334" s="2"/>
    </row>
    <row r="6335" spans="1:7" x14ac:dyDescent="0.3">
      <c r="A6335" t="s">
        <v>2259</v>
      </c>
      <c r="B6335" t="s">
        <v>26</v>
      </c>
      <c r="C6335" t="s">
        <v>27</v>
      </c>
      <c r="D6335">
        <v>2019</v>
      </c>
      <c r="E6335" s="2">
        <v>5</v>
      </c>
      <c r="F6335" s="2">
        <v>330</v>
      </c>
      <c r="G6335" s="2">
        <v>346.5</v>
      </c>
    </row>
    <row r="6336" spans="1:7" x14ac:dyDescent="0.3">
      <c r="A6336" t="s">
        <v>2260</v>
      </c>
      <c r="B6336" t="s">
        <v>32</v>
      </c>
      <c r="D6336">
        <v>2019</v>
      </c>
      <c r="E6336" s="2">
        <v>25</v>
      </c>
      <c r="F6336" s="2">
        <v>2125</v>
      </c>
      <c r="G6336" s="2">
        <v>2231.25</v>
      </c>
    </row>
    <row r="6337" spans="1:8" x14ac:dyDescent="0.3">
      <c r="A6337" t="s">
        <v>2261</v>
      </c>
      <c r="B6337" t="s">
        <v>45</v>
      </c>
      <c r="D6337">
        <v>2014</v>
      </c>
      <c r="E6337" s="2">
        <v>10</v>
      </c>
      <c r="F6337" s="2">
        <v>900</v>
      </c>
      <c r="G6337" s="2"/>
    </row>
    <row r="6338" spans="1:8" x14ac:dyDescent="0.3">
      <c r="A6338" t="s">
        <v>2261</v>
      </c>
      <c r="B6338" t="s">
        <v>45</v>
      </c>
      <c r="D6338">
        <v>2015</v>
      </c>
      <c r="E6338" s="2">
        <v>13</v>
      </c>
      <c r="F6338" s="2">
        <v>1170</v>
      </c>
      <c r="G6338" s="2"/>
    </row>
    <row r="6339" spans="1:8" x14ac:dyDescent="0.3">
      <c r="A6339" t="s">
        <v>2261</v>
      </c>
      <c r="B6339" t="s">
        <v>240</v>
      </c>
      <c r="D6339">
        <v>2014</v>
      </c>
      <c r="E6339" s="2">
        <v>15</v>
      </c>
      <c r="F6339" s="2">
        <v>1350</v>
      </c>
      <c r="G6339" s="2"/>
    </row>
    <row r="6340" spans="1:8" x14ac:dyDescent="0.3">
      <c r="A6340" t="s">
        <v>2262</v>
      </c>
      <c r="B6340" t="s">
        <v>391</v>
      </c>
      <c r="C6340" t="s">
        <v>1095</v>
      </c>
      <c r="D6340">
        <v>2017</v>
      </c>
      <c r="E6340" s="2">
        <v>4</v>
      </c>
      <c r="F6340" s="2">
        <v>680</v>
      </c>
      <c r="G6340" s="2"/>
    </row>
    <row r="6341" spans="1:8" x14ac:dyDescent="0.3">
      <c r="A6341" t="s">
        <v>2262</v>
      </c>
      <c r="B6341" t="s">
        <v>79</v>
      </c>
      <c r="C6341" t="s">
        <v>80</v>
      </c>
      <c r="D6341">
        <v>2017</v>
      </c>
      <c r="E6341" s="2">
        <v>4</v>
      </c>
      <c r="F6341" s="2">
        <v>800</v>
      </c>
      <c r="G6341" s="2"/>
    </row>
    <row r="6342" spans="1:8" x14ac:dyDescent="0.3">
      <c r="A6342" t="s">
        <v>2262</v>
      </c>
      <c r="B6342" t="s">
        <v>84</v>
      </c>
      <c r="C6342" t="s">
        <v>85</v>
      </c>
      <c r="D6342">
        <v>2017</v>
      </c>
      <c r="E6342" s="2">
        <v>4</v>
      </c>
      <c r="F6342" s="2">
        <v>860</v>
      </c>
      <c r="G6342" s="2"/>
    </row>
    <row r="6343" spans="1:8" x14ac:dyDescent="0.3">
      <c r="A6343" t="s">
        <v>2262</v>
      </c>
      <c r="B6343" t="s">
        <v>84</v>
      </c>
      <c r="C6343" t="s">
        <v>85</v>
      </c>
      <c r="D6343">
        <v>2018</v>
      </c>
      <c r="E6343" s="2">
        <v>10</v>
      </c>
      <c r="F6343" s="2">
        <v>2150</v>
      </c>
      <c r="G6343" s="2">
        <v>2257.5</v>
      </c>
    </row>
    <row r="6344" spans="1:8" x14ac:dyDescent="0.3">
      <c r="A6344" t="s">
        <v>2262</v>
      </c>
      <c r="B6344" t="s">
        <v>581</v>
      </c>
      <c r="C6344" t="s">
        <v>582</v>
      </c>
      <c r="D6344">
        <v>2017</v>
      </c>
      <c r="E6344" s="2">
        <v>2</v>
      </c>
      <c r="F6344" s="2">
        <v>440</v>
      </c>
      <c r="G6344" s="2"/>
    </row>
    <row r="6345" spans="1:8" x14ac:dyDescent="0.3">
      <c r="A6345" t="s">
        <v>2262</v>
      </c>
      <c r="B6345" t="s">
        <v>581</v>
      </c>
      <c r="C6345" t="s">
        <v>582</v>
      </c>
      <c r="D6345">
        <v>2019</v>
      </c>
      <c r="E6345" s="2">
        <v>5</v>
      </c>
      <c r="F6345" s="2">
        <v>1100</v>
      </c>
      <c r="G6345" s="2">
        <v>1155</v>
      </c>
    </row>
    <row r="6346" spans="1:8" x14ac:dyDescent="0.3">
      <c r="A6346" t="s">
        <v>2262</v>
      </c>
      <c r="B6346" t="s">
        <v>55</v>
      </c>
      <c r="D6346">
        <v>2018</v>
      </c>
      <c r="E6346" s="2">
        <v>2</v>
      </c>
      <c r="F6346" s="2">
        <v>600</v>
      </c>
      <c r="G6346" s="2">
        <v>630</v>
      </c>
      <c r="H6346" s="3" t="s">
        <v>18</v>
      </c>
    </row>
    <row r="6347" spans="1:8" x14ac:dyDescent="0.3">
      <c r="A6347" t="s">
        <v>2262</v>
      </c>
      <c r="B6347" t="s">
        <v>55</v>
      </c>
      <c r="D6347">
        <v>2019</v>
      </c>
      <c r="E6347" s="2">
        <v>10</v>
      </c>
      <c r="F6347" s="2">
        <v>3000</v>
      </c>
      <c r="G6347" s="2">
        <v>3150</v>
      </c>
      <c r="H6347" s="3" t="s">
        <v>18</v>
      </c>
    </row>
    <row r="6348" spans="1:8" x14ac:dyDescent="0.3">
      <c r="A6348" t="s">
        <v>2262</v>
      </c>
      <c r="B6348" t="s">
        <v>55</v>
      </c>
      <c r="D6348">
        <v>2020</v>
      </c>
      <c r="E6348" s="2">
        <v>5</v>
      </c>
      <c r="F6348" s="2">
        <v>1500</v>
      </c>
      <c r="G6348" s="2">
        <v>1575</v>
      </c>
      <c r="H6348" s="3" t="s">
        <v>18</v>
      </c>
    </row>
    <row r="6349" spans="1:8" x14ac:dyDescent="0.3">
      <c r="A6349" t="s">
        <v>2262</v>
      </c>
      <c r="B6349" t="s">
        <v>55</v>
      </c>
      <c r="D6349">
        <v>2021</v>
      </c>
      <c r="E6349" s="2">
        <v>5</v>
      </c>
      <c r="F6349" s="2">
        <v>1450</v>
      </c>
      <c r="G6349" s="2">
        <v>1450</v>
      </c>
      <c r="H6349" s="3" t="s">
        <v>18</v>
      </c>
    </row>
    <row r="6350" spans="1:8" x14ac:dyDescent="0.3">
      <c r="A6350" t="s">
        <v>2262</v>
      </c>
      <c r="B6350" t="s">
        <v>551</v>
      </c>
      <c r="D6350">
        <v>2019</v>
      </c>
      <c r="E6350" s="2">
        <v>1</v>
      </c>
      <c r="F6350" s="2">
        <v>565</v>
      </c>
      <c r="G6350" s="2">
        <v>593.25</v>
      </c>
    </row>
    <row r="6351" spans="1:8" x14ac:dyDescent="0.3">
      <c r="A6351" t="s">
        <v>2262</v>
      </c>
      <c r="B6351" t="s">
        <v>86</v>
      </c>
      <c r="C6351" t="s">
        <v>87</v>
      </c>
      <c r="D6351">
        <v>2019</v>
      </c>
      <c r="E6351" s="2">
        <v>5</v>
      </c>
      <c r="F6351" s="2">
        <v>500</v>
      </c>
      <c r="G6351" s="2">
        <v>525</v>
      </c>
    </row>
    <row r="6352" spans="1:8" x14ac:dyDescent="0.3">
      <c r="A6352" t="s">
        <v>2262</v>
      </c>
      <c r="B6352" t="s">
        <v>610</v>
      </c>
      <c r="C6352" t="s">
        <v>611</v>
      </c>
      <c r="D6352">
        <v>2017</v>
      </c>
      <c r="E6352" s="2">
        <v>6</v>
      </c>
      <c r="F6352" s="2">
        <v>990</v>
      </c>
      <c r="G6352" s="2"/>
    </row>
    <row r="6353" spans="1:8" x14ac:dyDescent="0.3">
      <c r="A6353" t="s">
        <v>2262</v>
      </c>
      <c r="B6353" t="s">
        <v>557</v>
      </c>
      <c r="C6353" t="s">
        <v>212</v>
      </c>
      <c r="D6353">
        <v>2018</v>
      </c>
      <c r="E6353" s="2">
        <v>1</v>
      </c>
      <c r="F6353" s="2">
        <v>210</v>
      </c>
      <c r="G6353" s="2">
        <v>220.5</v>
      </c>
    </row>
    <row r="6354" spans="1:8" x14ac:dyDescent="0.3">
      <c r="A6354" t="s">
        <v>2262</v>
      </c>
      <c r="B6354" t="s">
        <v>395</v>
      </c>
      <c r="D6354">
        <v>2017</v>
      </c>
      <c r="E6354" s="2">
        <v>4</v>
      </c>
      <c r="F6354" s="2">
        <v>1060</v>
      </c>
      <c r="G6354" s="2"/>
    </row>
    <row r="6355" spans="1:8" x14ac:dyDescent="0.3">
      <c r="A6355" t="s">
        <v>2262</v>
      </c>
      <c r="B6355" t="s">
        <v>395</v>
      </c>
      <c r="D6355">
        <v>2018</v>
      </c>
      <c r="E6355" s="2">
        <v>3</v>
      </c>
      <c r="F6355" s="2">
        <v>795</v>
      </c>
      <c r="G6355" s="2">
        <v>834.75</v>
      </c>
    </row>
    <row r="6356" spans="1:8" x14ac:dyDescent="0.3">
      <c r="A6356" t="s">
        <v>2262</v>
      </c>
      <c r="B6356" t="s">
        <v>553</v>
      </c>
      <c r="C6356" t="s">
        <v>292</v>
      </c>
      <c r="D6356">
        <v>2017</v>
      </c>
      <c r="E6356" s="2">
        <v>4</v>
      </c>
      <c r="F6356" s="2">
        <v>760</v>
      </c>
      <c r="G6356" s="2"/>
    </row>
    <row r="6357" spans="1:8" x14ac:dyDescent="0.3">
      <c r="A6357" t="s">
        <v>2262</v>
      </c>
      <c r="B6357" t="s">
        <v>553</v>
      </c>
      <c r="C6357" t="s">
        <v>292</v>
      </c>
      <c r="D6357">
        <v>2018</v>
      </c>
      <c r="E6357" s="2">
        <v>5</v>
      </c>
      <c r="F6357" s="2">
        <v>950</v>
      </c>
      <c r="G6357" s="2">
        <v>997.5</v>
      </c>
    </row>
    <row r="6358" spans="1:8" x14ac:dyDescent="0.3">
      <c r="A6358" t="s">
        <v>2262</v>
      </c>
      <c r="B6358" t="s">
        <v>824</v>
      </c>
      <c r="C6358" t="s">
        <v>825</v>
      </c>
      <c r="D6358">
        <v>2017</v>
      </c>
      <c r="E6358" s="2">
        <v>4</v>
      </c>
      <c r="F6358" s="2">
        <v>860</v>
      </c>
      <c r="G6358" s="2"/>
    </row>
    <row r="6359" spans="1:8" x14ac:dyDescent="0.3">
      <c r="A6359" t="s">
        <v>2262</v>
      </c>
      <c r="B6359" t="s">
        <v>206</v>
      </c>
      <c r="C6359" t="s">
        <v>207</v>
      </c>
      <c r="D6359">
        <v>2017</v>
      </c>
      <c r="E6359" s="2">
        <v>1</v>
      </c>
      <c r="F6359" s="2">
        <v>200</v>
      </c>
      <c r="G6359" s="2"/>
    </row>
    <row r="6360" spans="1:8" x14ac:dyDescent="0.3">
      <c r="A6360" t="s">
        <v>2262</v>
      </c>
      <c r="B6360" t="s">
        <v>1934</v>
      </c>
      <c r="C6360" t="s">
        <v>638</v>
      </c>
      <c r="D6360">
        <v>2019</v>
      </c>
      <c r="E6360" s="2">
        <v>7</v>
      </c>
      <c r="F6360" s="2">
        <v>1260</v>
      </c>
      <c r="G6360" s="2">
        <v>1323</v>
      </c>
    </row>
    <row r="6361" spans="1:8" x14ac:dyDescent="0.3">
      <c r="A6361" t="s">
        <v>2262</v>
      </c>
      <c r="B6361" t="s">
        <v>103</v>
      </c>
      <c r="C6361" t="s">
        <v>104</v>
      </c>
      <c r="D6361">
        <v>2017</v>
      </c>
      <c r="E6361" s="2">
        <v>1</v>
      </c>
      <c r="F6361" s="2">
        <v>225</v>
      </c>
      <c r="G6361" s="2"/>
    </row>
    <row r="6362" spans="1:8" x14ac:dyDescent="0.3">
      <c r="A6362" t="s">
        <v>2262</v>
      </c>
      <c r="B6362" t="s">
        <v>103</v>
      </c>
      <c r="C6362" t="s">
        <v>104</v>
      </c>
      <c r="D6362">
        <v>2018</v>
      </c>
      <c r="E6362" s="2">
        <v>2</v>
      </c>
      <c r="F6362" s="2">
        <v>450</v>
      </c>
      <c r="G6362" s="2">
        <v>472.5</v>
      </c>
    </row>
    <row r="6363" spans="1:8" x14ac:dyDescent="0.3">
      <c r="A6363" t="s">
        <v>2262</v>
      </c>
      <c r="B6363" t="s">
        <v>542</v>
      </c>
      <c r="C6363" t="s">
        <v>160</v>
      </c>
      <c r="D6363">
        <v>2021</v>
      </c>
      <c r="E6363" s="2">
        <v>10</v>
      </c>
      <c r="F6363" s="2">
        <v>2200</v>
      </c>
      <c r="G6363" s="2">
        <v>2310</v>
      </c>
      <c r="H6363" s="3" t="s">
        <v>18</v>
      </c>
    </row>
    <row r="6364" spans="1:8" x14ac:dyDescent="0.3">
      <c r="A6364" t="s">
        <v>2262</v>
      </c>
      <c r="B6364" t="s">
        <v>108</v>
      </c>
      <c r="C6364" t="s">
        <v>109</v>
      </c>
      <c r="D6364">
        <v>2017</v>
      </c>
      <c r="E6364" s="2">
        <v>4</v>
      </c>
      <c r="F6364" s="2">
        <v>1080</v>
      </c>
      <c r="G6364" s="2"/>
    </row>
    <row r="6365" spans="1:8" x14ac:dyDescent="0.3">
      <c r="A6365" t="s">
        <v>2262</v>
      </c>
      <c r="B6365" t="s">
        <v>1404</v>
      </c>
      <c r="D6365">
        <v>2019</v>
      </c>
      <c r="E6365" s="2">
        <v>1</v>
      </c>
      <c r="F6365" s="2">
        <v>225</v>
      </c>
      <c r="G6365" s="2">
        <v>236.25</v>
      </c>
    </row>
    <row r="6366" spans="1:8" x14ac:dyDescent="0.3">
      <c r="A6366" t="s">
        <v>2262</v>
      </c>
      <c r="B6366" t="s">
        <v>1404</v>
      </c>
      <c r="D6366">
        <v>2020</v>
      </c>
      <c r="E6366" s="2">
        <v>2</v>
      </c>
      <c r="F6366" s="2">
        <v>450</v>
      </c>
      <c r="G6366" s="2">
        <v>450</v>
      </c>
    </row>
    <row r="6367" spans="1:8" x14ac:dyDescent="0.3">
      <c r="A6367" t="s">
        <v>2262</v>
      </c>
      <c r="B6367" t="s">
        <v>129</v>
      </c>
      <c r="D6367">
        <v>2017</v>
      </c>
      <c r="E6367" s="2">
        <v>4</v>
      </c>
      <c r="F6367" s="2">
        <v>1080</v>
      </c>
      <c r="G6367" s="2"/>
    </row>
    <row r="6368" spans="1:8" x14ac:dyDescent="0.3">
      <c r="A6368" t="s">
        <v>2262</v>
      </c>
      <c r="B6368" t="s">
        <v>1367</v>
      </c>
      <c r="C6368" t="s">
        <v>1368</v>
      </c>
      <c r="D6368">
        <v>2018</v>
      </c>
      <c r="E6368" s="2">
        <v>1</v>
      </c>
      <c r="F6368" s="2">
        <v>180</v>
      </c>
      <c r="G6368" s="2">
        <v>189</v>
      </c>
    </row>
    <row r="6369" spans="1:8" x14ac:dyDescent="0.3">
      <c r="A6369" t="s">
        <v>2262</v>
      </c>
      <c r="B6369" t="s">
        <v>263</v>
      </c>
      <c r="C6369" t="s">
        <v>264</v>
      </c>
      <c r="D6369">
        <v>2019</v>
      </c>
      <c r="E6369" s="2">
        <v>5</v>
      </c>
      <c r="F6369" s="2">
        <v>1100</v>
      </c>
      <c r="G6369" s="2">
        <v>1155</v>
      </c>
    </row>
    <row r="6370" spans="1:8" x14ac:dyDescent="0.3">
      <c r="A6370" t="s">
        <v>2262</v>
      </c>
      <c r="B6370" t="s">
        <v>196</v>
      </c>
      <c r="C6370" t="s">
        <v>197</v>
      </c>
      <c r="D6370">
        <v>2018</v>
      </c>
      <c r="E6370" s="2">
        <v>6</v>
      </c>
      <c r="F6370" s="2">
        <v>1080</v>
      </c>
      <c r="G6370" s="2">
        <v>1134</v>
      </c>
    </row>
    <row r="6371" spans="1:8" x14ac:dyDescent="0.3">
      <c r="A6371" t="s">
        <v>2262</v>
      </c>
      <c r="B6371" t="s">
        <v>383</v>
      </c>
      <c r="C6371" t="s">
        <v>384</v>
      </c>
      <c r="D6371">
        <v>2020</v>
      </c>
      <c r="E6371" s="2">
        <v>5</v>
      </c>
      <c r="F6371" s="2">
        <v>900</v>
      </c>
      <c r="G6371" s="2">
        <v>900</v>
      </c>
    </row>
    <row r="6372" spans="1:8" x14ac:dyDescent="0.3">
      <c r="A6372" t="s">
        <v>2262</v>
      </c>
      <c r="B6372" t="s">
        <v>72</v>
      </c>
      <c r="C6372" t="s">
        <v>73</v>
      </c>
      <c r="D6372">
        <v>2017</v>
      </c>
      <c r="E6372" s="2">
        <v>4</v>
      </c>
      <c r="F6372" s="2">
        <v>1040</v>
      </c>
      <c r="G6372" s="2"/>
    </row>
    <row r="6373" spans="1:8" x14ac:dyDescent="0.3">
      <c r="A6373" t="s">
        <v>2262</v>
      </c>
      <c r="B6373" t="s">
        <v>72</v>
      </c>
      <c r="C6373" t="s">
        <v>73</v>
      </c>
      <c r="D6373">
        <v>2018</v>
      </c>
      <c r="E6373" s="2">
        <v>10</v>
      </c>
      <c r="F6373" s="2">
        <v>2600</v>
      </c>
      <c r="G6373" s="2">
        <v>2730</v>
      </c>
    </row>
    <row r="6374" spans="1:8" x14ac:dyDescent="0.3">
      <c r="A6374" t="s">
        <v>2262</v>
      </c>
      <c r="B6374" t="s">
        <v>320</v>
      </c>
      <c r="C6374" t="s">
        <v>321</v>
      </c>
      <c r="D6374">
        <v>2017</v>
      </c>
      <c r="E6374" s="2">
        <v>2</v>
      </c>
      <c r="F6374" s="2">
        <v>400</v>
      </c>
      <c r="G6374" s="2"/>
    </row>
    <row r="6375" spans="1:8" x14ac:dyDescent="0.3">
      <c r="A6375" t="s">
        <v>2262</v>
      </c>
      <c r="B6375" t="s">
        <v>151</v>
      </c>
      <c r="C6375" t="s">
        <v>152</v>
      </c>
      <c r="D6375">
        <v>2020</v>
      </c>
      <c r="E6375" s="2">
        <v>2</v>
      </c>
      <c r="F6375" s="2">
        <v>400</v>
      </c>
      <c r="G6375" s="2">
        <v>400</v>
      </c>
    </row>
    <row r="6376" spans="1:8" x14ac:dyDescent="0.3">
      <c r="A6376" t="s">
        <v>2262</v>
      </c>
      <c r="B6376" t="s">
        <v>1396</v>
      </c>
      <c r="C6376" t="s">
        <v>613</v>
      </c>
      <c r="D6376">
        <v>2017</v>
      </c>
      <c r="E6376" s="2">
        <v>4</v>
      </c>
      <c r="F6376" s="2">
        <v>960</v>
      </c>
      <c r="G6376" s="2"/>
    </row>
    <row r="6377" spans="1:8" x14ac:dyDescent="0.3">
      <c r="A6377" t="s">
        <v>2262</v>
      </c>
      <c r="B6377" t="s">
        <v>1396</v>
      </c>
      <c r="C6377" t="s">
        <v>613</v>
      </c>
      <c r="D6377">
        <v>2019</v>
      </c>
      <c r="E6377" s="2">
        <v>5</v>
      </c>
      <c r="F6377" s="2">
        <v>1200</v>
      </c>
      <c r="G6377" s="2">
        <v>1260</v>
      </c>
    </row>
    <row r="6378" spans="1:8" x14ac:dyDescent="0.3">
      <c r="A6378" t="s">
        <v>2262</v>
      </c>
      <c r="B6378" t="s">
        <v>157</v>
      </c>
      <c r="C6378" t="s">
        <v>158</v>
      </c>
      <c r="D6378">
        <v>2018</v>
      </c>
      <c r="E6378" s="2">
        <v>2</v>
      </c>
      <c r="F6378" s="2">
        <v>1500</v>
      </c>
      <c r="G6378" s="2">
        <v>1575</v>
      </c>
    </row>
    <row r="6379" spans="1:8" x14ac:dyDescent="0.3">
      <c r="A6379" t="s">
        <v>2262</v>
      </c>
      <c r="B6379" t="s">
        <v>159</v>
      </c>
      <c r="C6379" t="s">
        <v>160</v>
      </c>
      <c r="D6379">
        <v>2017</v>
      </c>
      <c r="E6379" s="2">
        <v>4</v>
      </c>
      <c r="F6379" s="2">
        <v>1040</v>
      </c>
      <c r="G6379" s="2"/>
    </row>
    <row r="6380" spans="1:8" x14ac:dyDescent="0.3">
      <c r="A6380" t="s">
        <v>2262</v>
      </c>
      <c r="B6380" t="s">
        <v>159</v>
      </c>
      <c r="C6380" t="s">
        <v>160</v>
      </c>
      <c r="D6380">
        <v>2018</v>
      </c>
      <c r="E6380" s="2">
        <v>5</v>
      </c>
      <c r="F6380" s="2">
        <v>1300</v>
      </c>
      <c r="G6380" s="2">
        <v>1365</v>
      </c>
    </row>
    <row r="6381" spans="1:8" x14ac:dyDescent="0.3">
      <c r="A6381" t="s">
        <v>2262</v>
      </c>
      <c r="B6381" t="s">
        <v>238</v>
      </c>
      <c r="C6381" t="s">
        <v>222</v>
      </c>
      <c r="D6381">
        <v>2018</v>
      </c>
      <c r="E6381" s="2">
        <v>1</v>
      </c>
      <c r="F6381" s="2">
        <v>220</v>
      </c>
      <c r="G6381" s="2">
        <v>231</v>
      </c>
    </row>
    <row r="6382" spans="1:8" x14ac:dyDescent="0.3">
      <c r="A6382" t="s">
        <v>2263</v>
      </c>
      <c r="B6382" t="s">
        <v>26</v>
      </c>
      <c r="C6382" t="s">
        <v>27</v>
      </c>
      <c r="D6382">
        <v>2018</v>
      </c>
      <c r="E6382" s="2">
        <v>25</v>
      </c>
      <c r="F6382" s="2">
        <v>1250</v>
      </c>
      <c r="G6382" s="2">
        <v>1312.5</v>
      </c>
    </row>
    <row r="6383" spans="1:8" x14ac:dyDescent="0.3">
      <c r="A6383" t="s">
        <v>2264</v>
      </c>
      <c r="B6383" t="s">
        <v>55</v>
      </c>
      <c r="D6383">
        <v>2021</v>
      </c>
      <c r="E6383" s="2">
        <v>5</v>
      </c>
      <c r="F6383" s="2">
        <v>1400</v>
      </c>
      <c r="G6383" s="2">
        <v>1470</v>
      </c>
      <c r="H6383" s="3" t="s">
        <v>18</v>
      </c>
    </row>
    <row r="6384" spans="1:8" x14ac:dyDescent="0.3">
      <c r="A6384" t="s">
        <v>2264</v>
      </c>
      <c r="B6384" t="s">
        <v>248</v>
      </c>
      <c r="C6384" t="s">
        <v>249</v>
      </c>
      <c r="D6384">
        <v>2021</v>
      </c>
      <c r="E6384" s="2">
        <v>2</v>
      </c>
      <c r="F6384" s="2">
        <v>400</v>
      </c>
      <c r="G6384" s="2">
        <v>420</v>
      </c>
      <c r="H6384" s="3" t="s">
        <v>18</v>
      </c>
    </row>
    <row r="6385" spans="1:8" x14ac:dyDescent="0.3">
      <c r="A6385" t="s">
        <v>2264</v>
      </c>
      <c r="B6385" t="s">
        <v>790</v>
      </c>
      <c r="C6385" t="s">
        <v>791</v>
      </c>
      <c r="D6385">
        <v>2021</v>
      </c>
      <c r="E6385" s="2">
        <v>2</v>
      </c>
      <c r="F6385" s="2">
        <v>400</v>
      </c>
      <c r="G6385" s="2">
        <v>420</v>
      </c>
      <c r="H6385" s="3" t="s">
        <v>18</v>
      </c>
    </row>
    <row r="6386" spans="1:8" x14ac:dyDescent="0.3">
      <c r="A6386" t="s">
        <v>2264</v>
      </c>
      <c r="B6386" t="s">
        <v>255</v>
      </c>
      <c r="C6386" t="s">
        <v>256</v>
      </c>
      <c r="D6386">
        <v>2020</v>
      </c>
      <c r="E6386" s="2">
        <v>5</v>
      </c>
      <c r="F6386" s="2">
        <v>900</v>
      </c>
      <c r="G6386" s="2">
        <v>945</v>
      </c>
    </row>
    <row r="6387" spans="1:8" x14ac:dyDescent="0.3">
      <c r="A6387" t="s">
        <v>2264</v>
      </c>
      <c r="B6387" t="s">
        <v>103</v>
      </c>
      <c r="C6387" t="s">
        <v>104</v>
      </c>
      <c r="D6387">
        <v>2019</v>
      </c>
      <c r="E6387" s="2">
        <v>5</v>
      </c>
      <c r="F6387" s="2">
        <v>1300</v>
      </c>
      <c r="G6387" s="2">
        <v>1365</v>
      </c>
    </row>
    <row r="6388" spans="1:8" x14ac:dyDescent="0.3">
      <c r="A6388" t="s">
        <v>2264</v>
      </c>
      <c r="B6388" t="s">
        <v>542</v>
      </c>
      <c r="C6388" t="s">
        <v>160</v>
      </c>
      <c r="D6388">
        <v>2021</v>
      </c>
      <c r="E6388" s="2">
        <v>5</v>
      </c>
      <c r="F6388" s="2">
        <v>1100</v>
      </c>
      <c r="G6388" s="2">
        <v>1155</v>
      </c>
      <c r="H6388" s="3" t="s">
        <v>18</v>
      </c>
    </row>
    <row r="6389" spans="1:8" x14ac:dyDescent="0.3">
      <c r="A6389" t="s">
        <v>2264</v>
      </c>
      <c r="B6389" t="s">
        <v>64</v>
      </c>
      <c r="C6389" t="s">
        <v>65</v>
      </c>
      <c r="D6389">
        <v>2019</v>
      </c>
      <c r="E6389" s="2">
        <v>5</v>
      </c>
      <c r="F6389" s="2">
        <v>500</v>
      </c>
      <c r="G6389" s="2">
        <v>525</v>
      </c>
    </row>
    <row r="6390" spans="1:8" x14ac:dyDescent="0.3">
      <c r="A6390" t="s">
        <v>2264</v>
      </c>
      <c r="B6390" t="s">
        <v>127</v>
      </c>
      <c r="D6390">
        <v>2019</v>
      </c>
      <c r="E6390" s="2">
        <v>5</v>
      </c>
      <c r="F6390" s="2">
        <v>1300</v>
      </c>
      <c r="G6390" s="2">
        <v>1365</v>
      </c>
    </row>
    <row r="6391" spans="1:8" x14ac:dyDescent="0.3">
      <c r="A6391" t="s">
        <v>2264</v>
      </c>
      <c r="B6391" t="s">
        <v>1404</v>
      </c>
      <c r="D6391">
        <v>2021</v>
      </c>
      <c r="E6391" s="2">
        <v>5</v>
      </c>
      <c r="F6391" s="2">
        <v>1300</v>
      </c>
      <c r="G6391" s="2">
        <v>1365</v>
      </c>
      <c r="H6391" s="3" t="s">
        <v>18</v>
      </c>
    </row>
    <row r="6392" spans="1:8" x14ac:dyDescent="0.3">
      <c r="A6392" t="s">
        <v>2264</v>
      </c>
      <c r="B6392" t="s">
        <v>68</v>
      </c>
      <c r="C6392" t="s">
        <v>69</v>
      </c>
      <c r="D6392">
        <v>2021</v>
      </c>
      <c r="E6392" s="2">
        <v>5</v>
      </c>
      <c r="F6392" s="2">
        <v>550</v>
      </c>
      <c r="G6392" s="2">
        <v>577.5</v>
      </c>
      <c r="H6392" s="3" t="s">
        <v>18</v>
      </c>
    </row>
    <row r="6393" spans="1:8" x14ac:dyDescent="0.3">
      <c r="A6393" t="s">
        <v>2264</v>
      </c>
      <c r="B6393" t="s">
        <v>189</v>
      </c>
      <c r="D6393">
        <v>2019</v>
      </c>
      <c r="E6393" s="2">
        <v>3</v>
      </c>
      <c r="F6393" s="2">
        <v>1380</v>
      </c>
      <c r="G6393" s="2">
        <v>1449</v>
      </c>
      <c r="H6393" s="3" t="s">
        <v>14</v>
      </c>
    </row>
    <row r="6394" spans="1:8" x14ac:dyDescent="0.3">
      <c r="A6394" t="s">
        <v>2264</v>
      </c>
      <c r="B6394" t="s">
        <v>189</v>
      </c>
      <c r="D6394">
        <v>2021</v>
      </c>
      <c r="E6394" s="2">
        <v>2</v>
      </c>
      <c r="F6394" s="2">
        <v>920</v>
      </c>
      <c r="G6394" s="2">
        <v>966</v>
      </c>
      <c r="H6394" s="3" t="s">
        <v>14</v>
      </c>
    </row>
    <row r="6395" spans="1:8" x14ac:dyDescent="0.3">
      <c r="A6395" t="s">
        <v>2264</v>
      </c>
      <c r="B6395" t="s">
        <v>575</v>
      </c>
      <c r="C6395" t="s">
        <v>673</v>
      </c>
      <c r="D6395">
        <v>2021</v>
      </c>
      <c r="E6395" s="2">
        <v>5</v>
      </c>
      <c r="F6395" s="2">
        <v>550</v>
      </c>
      <c r="G6395" s="2">
        <v>577.5</v>
      </c>
      <c r="H6395" s="3" t="s">
        <v>18</v>
      </c>
    </row>
    <row r="6396" spans="1:8" x14ac:dyDescent="0.3">
      <c r="A6396" t="s">
        <v>2264</v>
      </c>
      <c r="B6396" t="s">
        <v>1429</v>
      </c>
      <c r="C6396" t="s">
        <v>1368</v>
      </c>
      <c r="D6396">
        <v>2020</v>
      </c>
      <c r="E6396" s="2">
        <v>5</v>
      </c>
      <c r="F6396" s="2">
        <v>900</v>
      </c>
      <c r="G6396" s="2">
        <v>945</v>
      </c>
      <c r="H6396" s="3" t="s">
        <v>18</v>
      </c>
    </row>
    <row r="6397" spans="1:8" x14ac:dyDescent="0.3">
      <c r="A6397" t="s">
        <v>2264</v>
      </c>
      <c r="B6397" t="s">
        <v>1429</v>
      </c>
      <c r="C6397" t="s">
        <v>1368</v>
      </c>
      <c r="D6397">
        <v>2021</v>
      </c>
      <c r="E6397" s="2">
        <v>5</v>
      </c>
      <c r="F6397" s="2">
        <v>900</v>
      </c>
      <c r="G6397" s="2">
        <v>945</v>
      </c>
      <c r="H6397" s="3" t="s">
        <v>18</v>
      </c>
    </row>
    <row r="6398" spans="1:8" x14ac:dyDescent="0.3">
      <c r="A6398" t="s">
        <v>2264</v>
      </c>
      <c r="B6398" t="s">
        <v>146</v>
      </c>
      <c r="D6398">
        <v>2021</v>
      </c>
      <c r="E6398" s="2">
        <v>15</v>
      </c>
      <c r="F6398" s="2">
        <v>4800</v>
      </c>
      <c r="G6398" s="2">
        <v>5040</v>
      </c>
      <c r="H6398" s="3" t="s">
        <v>606</v>
      </c>
    </row>
    <row r="6399" spans="1:8" x14ac:dyDescent="0.3">
      <c r="A6399" t="s">
        <v>2264</v>
      </c>
      <c r="B6399" t="s">
        <v>265</v>
      </c>
      <c r="C6399" t="s">
        <v>197</v>
      </c>
      <c r="D6399">
        <v>2019</v>
      </c>
      <c r="E6399" s="2">
        <v>5</v>
      </c>
      <c r="F6399" s="2">
        <v>900</v>
      </c>
      <c r="G6399" s="2">
        <v>945</v>
      </c>
    </row>
    <row r="6400" spans="1:8" x14ac:dyDescent="0.3">
      <c r="A6400" t="s">
        <v>2264</v>
      </c>
      <c r="B6400" t="s">
        <v>600</v>
      </c>
      <c r="C6400" t="s">
        <v>75</v>
      </c>
      <c r="D6400">
        <v>2019</v>
      </c>
      <c r="E6400" s="2">
        <v>5</v>
      </c>
      <c r="F6400" s="2">
        <v>1100</v>
      </c>
      <c r="G6400" s="2">
        <v>1155</v>
      </c>
    </row>
    <row r="6401" spans="1:8" x14ac:dyDescent="0.3">
      <c r="A6401" t="s">
        <v>2264</v>
      </c>
      <c r="B6401" t="s">
        <v>600</v>
      </c>
      <c r="C6401" t="s">
        <v>75</v>
      </c>
      <c r="D6401">
        <v>2020</v>
      </c>
      <c r="E6401" s="2">
        <v>10</v>
      </c>
      <c r="F6401" s="2">
        <v>2200</v>
      </c>
      <c r="G6401" s="2">
        <v>2310</v>
      </c>
    </row>
    <row r="6402" spans="1:8" x14ac:dyDescent="0.3">
      <c r="A6402" t="s">
        <v>2264</v>
      </c>
      <c r="B6402" t="s">
        <v>841</v>
      </c>
      <c r="C6402" t="s">
        <v>169</v>
      </c>
      <c r="D6402">
        <v>2019</v>
      </c>
      <c r="E6402" s="2">
        <v>10</v>
      </c>
      <c r="F6402" s="2">
        <v>2100</v>
      </c>
      <c r="G6402" s="2">
        <v>2205</v>
      </c>
      <c r="H6402" s="3" t="s">
        <v>18</v>
      </c>
    </row>
    <row r="6403" spans="1:8" x14ac:dyDescent="0.3">
      <c r="A6403" t="s">
        <v>2264</v>
      </c>
      <c r="B6403" t="s">
        <v>841</v>
      </c>
      <c r="C6403" t="s">
        <v>169</v>
      </c>
      <c r="D6403">
        <v>2021</v>
      </c>
      <c r="E6403" s="2">
        <v>5</v>
      </c>
      <c r="F6403" s="2">
        <v>1050</v>
      </c>
      <c r="G6403" s="2">
        <v>1102.5</v>
      </c>
      <c r="H6403" s="3" t="s">
        <v>18</v>
      </c>
    </row>
    <row r="6404" spans="1:8" x14ac:dyDescent="0.3">
      <c r="A6404" t="s">
        <v>2265</v>
      </c>
      <c r="B6404" t="s">
        <v>631</v>
      </c>
      <c r="C6404" t="s">
        <v>632</v>
      </c>
      <c r="D6404">
        <v>2017</v>
      </c>
      <c r="E6404" s="2">
        <v>1</v>
      </c>
      <c r="F6404" s="2">
        <v>80</v>
      </c>
      <c r="G6404" s="2"/>
    </row>
    <row r="6405" spans="1:8" x14ac:dyDescent="0.3">
      <c r="A6405" t="s">
        <v>2265</v>
      </c>
      <c r="B6405" t="s">
        <v>95</v>
      </c>
      <c r="C6405" t="s">
        <v>96</v>
      </c>
      <c r="D6405">
        <v>2017</v>
      </c>
      <c r="E6405" s="2">
        <v>1</v>
      </c>
      <c r="F6405" s="2">
        <v>120</v>
      </c>
      <c r="G6405" s="2"/>
    </row>
    <row r="6406" spans="1:8" x14ac:dyDescent="0.3">
      <c r="A6406" t="s">
        <v>2265</v>
      </c>
      <c r="B6406" t="s">
        <v>196</v>
      </c>
      <c r="C6406" t="s">
        <v>197</v>
      </c>
      <c r="D6406">
        <v>2017</v>
      </c>
      <c r="E6406" s="2">
        <v>1</v>
      </c>
      <c r="F6406" s="2">
        <v>120</v>
      </c>
      <c r="G6406" s="2"/>
    </row>
    <row r="6407" spans="1:8" x14ac:dyDescent="0.3">
      <c r="A6407" t="s">
        <v>2265</v>
      </c>
      <c r="B6407" t="s">
        <v>72</v>
      </c>
      <c r="C6407" t="s">
        <v>73</v>
      </c>
      <c r="D6407">
        <v>2017</v>
      </c>
      <c r="E6407" s="2">
        <v>1</v>
      </c>
      <c r="F6407" s="2">
        <v>130</v>
      </c>
      <c r="G6407" s="2"/>
    </row>
    <row r="6408" spans="1:8" x14ac:dyDescent="0.3">
      <c r="A6408" t="s">
        <v>2266</v>
      </c>
      <c r="B6408" t="s">
        <v>2267</v>
      </c>
      <c r="C6408" t="s">
        <v>2268</v>
      </c>
      <c r="D6408">
        <v>2020</v>
      </c>
      <c r="E6408" s="2">
        <v>5</v>
      </c>
      <c r="F6408" s="2">
        <v>1150</v>
      </c>
      <c r="G6408" s="2">
        <v>1207.5</v>
      </c>
    </row>
    <row r="6409" spans="1:8" x14ac:dyDescent="0.3">
      <c r="A6409" t="s">
        <v>2266</v>
      </c>
      <c r="B6409" t="s">
        <v>278</v>
      </c>
      <c r="C6409" t="s">
        <v>2269</v>
      </c>
      <c r="D6409">
        <v>2010</v>
      </c>
      <c r="E6409" s="2">
        <v>200</v>
      </c>
      <c r="F6409" s="2">
        <v>31600</v>
      </c>
      <c r="G6409" s="2"/>
    </row>
    <row r="6410" spans="1:8" x14ac:dyDescent="0.3">
      <c r="A6410" t="s">
        <v>2266</v>
      </c>
      <c r="B6410" t="s">
        <v>278</v>
      </c>
      <c r="C6410" t="s">
        <v>2269</v>
      </c>
      <c r="D6410">
        <v>2011</v>
      </c>
      <c r="E6410" s="2">
        <v>100</v>
      </c>
      <c r="F6410" s="2">
        <v>15781</v>
      </c>
      <c r="G6410" s="2"/>
    </row>
    <row r="6411" spans="1:8" x14ac:dyDescent="0.3">
      <c r="A6411" t="s">
        <v>2266</v>
      </c>
      <c r="B6411" t="s">
        <v>716</v>
      </c>
      <c r="C6411" t="s">
        <v>717</v>
      </c>
      <c r="D6411">
        <v>2020</v>
      </c>
      <c r="E6411" s="2">
        <v>4</v>
      </c>
      <c r="F6411" s="2">
        <v>374</v>
      </c>
      <c r="G6411" s="2">
        <v>392.7</v>
      </c>
    </row>
    <row r="6412" spans="1:8" x14ac:dyDescent="0.3">
      <c r="A6412" t="s">
        <v>2266</v>
      </c>
      <c r="B6412" t="s">
        <v>665</v>
      </c>
      <c r="D6412">
        <v>2021</v>
      </c>
      <c r="E6412" s="2">
        <v>1</v>
      </c>
      <c r="F6412" s="2">
        <v>115</v>
      </c>
      <c r="G6412" s="2">
        <v>120.75</v>
      </c>
      <c r="H6412" s="3" t="s">
        <v>18</v>
      </c>
    </row>
    <row r="6413" spans="1:8" x14ac:dyDescent="0.3">
      <c r="A6413" t="s">
        <v>2266</v>
      </c>
      <c r="B6413" t="s">
        <v>453</v>
      </c>
      <c r="D6413">
        <v>2021</v>
      </c>
      <c r="E6413" s="2">
        <v>1</v>
      </c>
      <c r="F6413" s="2">
        <v>90</v>
      </c>
      <c r="G6413" s="2">
        <v>94.5</v>
      </c>
      <c r="H6413" s="3" t="s">
        <v>18</v>
      </c>
    </row>
    <row r="6414" spans="1:8" x14ac:dyDescent="0.3">
      <c r="A6414" t="s">
        <v>2266</v>
      </c>
      <c r="B6414" t="s">
        <v>631</v>
      </c>
      <c r="C6414" t="s">
        <v>632</v>
      </c>
      <c r="D6414">
        <v>2020</v>
      </c>
      <c r="E6414" s="2">
        <v>4</v>
      </c>
      <c r="F6414" s="2">
        <v>328</v>
      </c>
      <c r="G6414" s="2">
        <v>344.4</v>
      </c>
    </row>
    <row r="6415" spans="1:8" x14ac:dyDescent="0.3">
      <c r="A6415" t="s">
        <v>2266</v>
      </c>
      <c r="B6415" t="s">
        <v>1410</v>
      </c>
      <c r="C6415" t="s">
        <v>1411</v>
      </c>
      <c r="D6415">
        <v>2021</v>
      </c>
      <c r="E6415" s="2">
        <v>5</v>
      </c>
      <c r="F6415" s="2">
        <v>950</v>
      </c>
      <c r="G6415" s="2">
        <v>997.5</v>
      </c>
      <c r="H6415" s="3" t="s">
        <v>18</v>
      </c>
    </row>
    <row r="6416" spans="1:8" x14ac:dyDescent="0.3">
      <c r="A6416" t="s">
        <v>2266</v>
      </c>
      <c r="B6416" t="s">
        <v>637</v>
      </c>
      <c r="C6416" t="s">
        <v>638</v>
      </c>
      <c r="D6416">
        <v>2020</v>
      </c>
      <c r="E6416" s="2">
        <v>2</v>
      </c>
      <c r="F6416" s="2">
        <v>142.5</v>
      </c>
      <c r="G6416" s="2">
        <v>149.625</v>
      </c>
    </row>
    <row r="6417" spans="1:8" x14ac:dyDescent="0.3">
      <c r="A6417" t="s">
        <v>2266</v>
      </c>
      <c r="B6417" t="s">
        <v>1013</v>
      </c>
      <c r="C6417" t="s">
        <v>1014</v>
      </c>
      <c r="D6417">
        <v>2020</v>
      </c>
      <c r="E6417" s="2">
        <v>3</v>
      </c>
      <c r="F6417" s="2">
        <v>125</v>
      </c>
      <c r="G6417" s="2">
        <v>131.25</v>
      </c>
    </row>
    <row r="6418" spans="1:8" x14ac:dyDescent="0.3">
      <c r="A6418" t="s">
        <v>2266</v>
      </c>
      <c r="B6418" t="s">
        <v>1687</v>
      </c>
      <c r="C6418" t="s">
        <v>1688</v>
      </c>
      <c r="D6418">
        <v>2020</v>
      </c>
      <c r="E6418" s="2">
        <v>4</v>
      </c>
      <c r="F6418" s="2">
        <v>357</v>
      </c>
      <c r="G6418" s="2">
        <v>374.85</v>
      </c>
    </row>
    <row r="6419" spans="1:8" x14ac:dyDescent="0.3">
      <c r="A6419" t="s">
        <v>2266</v>
      </c>
      <c r="B6419" t="s">
        <v>26</v>
      </c>
      <c r="C6419" t="s">
        <v>27</v>
      </c>
      <c r="D6419">
        <v>2020</v>
      </c>
      <c r="E6419" s="2">
        <v>4</v>
      </c>
      <c r="F6419" s="2">
        <v>277</v>
      </c>
      <c r="G6419" s="2">
        <v>290.85000000000002</v>
      </c>
    </row>
    <row r="6420" spans="1:8" x14ac:dyDescent="0.3">
      <c r="A6420" t="s">
        <v>2266</v>
      </c>
      <c r="B6420" t="s">
        <v>643</v>
      </c>
      <c r="C6420" t="s">
        <v>644</v>
      </c>
      <c r="D6420">
        <v>2020</v>
      </c>
      <c r="E6420" s="2">
        <v>4</v>
      </c>
      <c r="F6420" s="2">
        <v>277</v>
      </c>
      <c r="G6420" s="2">
        <v>290.85000000000002</v>
      </c>
    </row>
    <row r="6421" spans="1:8" x14ac:dyDescent="0.3">
      <c r="A6421" t="s">
        <v>2266</v>
      </c>
      <c r="B6421" t="s">
        <v>1680</v>
      </c>
      <c r="C6421" t="s">
        <v>1681</v>
      </c>
      <c r="D6421">
        <v>2020</v>
      </c>
      <c r="E6421" s="2">
        <v>4</v>
      </c>
      <c r="F6421" s="2">
        <v>319</v>
      </c>
      <c r="G6421" s="2">
        <v>334.95</v>
      </c>
    </row>
    <row r="6422" spans="1:8" x14ac:dyDescent="0.3">
      <c r="A6422" t="s">
        <v>2266</v>
      </c>
      <c r="B6422" t="s">
        <v>258</v>
      </c>
      <c r="C6422" t="s">
        <v>259</v>
      </c>
      <c r="D6422">
        <v>2020</v>
      </c>
      <c r="E6422" s="2">
        <v>3</v>
      </c>
      <c r="F6422" s="2">
        <v>750</v>
      </c>
      <c r="G6422" s="2">
        <v>787.5</v>
      </c>
    </row>
    <row r="6423" spans="1:8" x14ac:dyDescent="0.3">
      <c r="A6423" t="s">
        <v>2266</v>
      </c>
      <c r="B6423" t="s">
        <v>64</v>
      </c>
      <c r="C6423" t="s">
        <v>65</v>
      </c>
      <c r="D6423">
        <v>2021</v>
      </c>
      <c r="E6423" s="2">
        <v>5</v>
      </c>
      <c r="F6423" s="2">
        <v>425</v>
      </c>
      <c r="G6423" s="2">
        <v>446.25</v>
      </c>
      <c r="H6423" s="3" t="s">
        <v>14</v>
      </c>
    </row>
    <row r="6424" spans="1:8" x14ac:dyDescent="0.3">
      <c r="A6424" t="s">
        <v>2266</v>
      </c>
      <c r="B6424" t="s">
        <v>2270</v>
      </c>
      <c r="C6424" t="s">
        <v>1569</v>
      </c>
      <c r="D6424">
        <v>2020</v>
      </c>
      <c r="E6424" s="2">
        <v>60</v>
      </c>
      <c r="F6424" s="2">
        <v>12000</v>
      </c>
      <c r="G6424" s="2">
        <v>12600</v>
      </c>
      <c r="H6424" s="3" t="s">
        <v>18</v>
      </c>
    </row>
    <row r="6425" spans="1:8" x14ac:dyDescent="0.3">
      <c r="A6425" t="s">
        <v>2266</v>
      </c>
      <c r="B6425" t="s">
        <v>2270</v>
      </c>
      <c r="C6425" t="s">
        <v>1569</v>
      </c>
      <c r="D6425">
        <v>2021</v>
      </c>
      <c r="E6425" s="2">
        <v>75</v>
      </c>
      <c r="F6425" s="2">
        <v>15000</v>
      </c>
      <c r="G6425" s="2">
        <v>15750</v>
      </c>
      <c r="H6425" s="3" t="s">
        <v>18</v>
      </c>
    </row>
    <row r="6426" spans="1:8" x14ac:dyDescent="0.3">
      <c r="A6426" t="s">
        <v>2266</v>
      </c>
      <c r="B6426" t="s">
        <v>517</v>
      </c>
      <c r="C6426" t="s">
        <v>145</v>
      </c>
      <c r="D6426">
        <v>2020</v>
      </c>
      <c r="E6426" s="2">
        <v>3</v>
      </c>
      <c r="F6426" s="2">
        <v>262.5</v>
      </c>
      <c r="G6426" s="2">
        <v>275.625</v>
      </c>
    </row>
    <row r="6427" spans="1:8" x14ac:dyDescent="0.3">
      <c r="A6427" t="s">
        <v>2266</v>
      </c>
      <c r="B6427" t="s">
        <v>383</v>
      </c>
      <c r="C6427" t="s">
        <v>384</v>
      </c>
      <c r="D6427">
        <v>2020</v>
      </c>
      <c r="E6427" s="2">
        <v>2</v>
      </c>
      <c r="F6427" s="2">
        <v>150</v>
      </c>
      <c r="G6427" s="2">
        <v>157.5</v>
      </c>
    </row>
    <row r="6428" spans="1:8" x14ac:dyDescent="0.3">
      <c r="A6428" t="s">
        <v>2266</v>
      </c>
      <c r="B6428" t="s">
        <v>599</v>
      </c>
      <c r="C6428" t="s">
        <v>413</v>
      </c>
      <c r="D6428">
        <v>2020</v>
      </c>
      <c r="E6428" s="2">
        <v>5</v>
      </c>
      <c r="F6428" s="2">
        <v>950</v>
      </c>
      <c r="G6428" s="2">
        <v>997.5</v>
      </c>
    </row>
    <row r="6429" spans="1:8" x14ac:dyDescent="0.3">
      <c r="A6429" t="s">
        <v>2266</v>
      </c>
      <c r="B6429" t="s">
        <v>600</v>
      </c>
      <c r="C6429" t="s">
        <v>75</v>
      </c>
      <c r="D6429">
        <v>2020</v>
      </c>
      <c r="E6429" s="2">
        <v>7</v>
      </c>
      <c r="F6429" s="2">
        <v>1225</v>
      </c>
      <c r="G6429" s="2">
        <v>1286.25</v>
      </c>
    </row>
    <row r="6430" spans="1:8" x14ac:dyDescent="0.3">
      <c r="A6430" t="s">
        <v>2266</v>
      </c>
      <c r="B6430" t="s">
        <v>37</v>
      </c>
      <c r="D6430">
        <v>2021</v>
      </c>
      <c r="E6430" s="2">
        <v>1</v>
      </c>
      <c r="F6430" s="2">
        <v>75</v>
      </c>
      <c r="G6430" s="2">
        <v>78.75</v>
      </c>
      <c r="H6430" s="3" t="s">
        <v>18</v>
      </c>
    </row>
    <row r="6431" spans="1:8" x14ac:dyDescent="0.3">
      <c r="A6431" t="s">
        <v>2266</v>
      </c>
      <c r="B6431" t="s">
        <v>679</v>
      </c>
      <c r="C6431" t="s">
        <v>680</v>
      </c>
      <c r="D6431">
        <v>2020</v>
      </c>
      <c r="E6431" s="2">
        <v>4</v>
      </c>
      <c r="F6431" s="2">
        <v>319</v>
      </c>
      <c r="G6431" s="2">
        <v>334.95</v>
      </c>
    </row>
    <row r="6432" spans="1:8" x14ac:dyDescent="0.3">
      <c r="A6432" t="s">
        <v>2271</v>
      </c>
      <c r="B6432" t="s">
        <v>334</v>
      </c>
      <c r="C6432" t="s">
        <v>335</v>
      </c>
      <c r="D6432">
        <v>2020</v>
      </c>
      <c r="E6432" s="2">
        <v>25</v>
      </c>
      <c r="F6432" s="2">
        <v>1250</v>
      </c>
      <c r="G6432" s="2">
        <v>1312.5</v>
      </c>
    </row>
    <row r="6433" spans="1:8" x14ac:dyDescent="0.3">
      <c r="A6433" t="s">
        <v>2271</v>
      </c>
      <c r="B6433" t="s">
        <v>45</v>
      </c>
      <c r="D6433">
        <v>2020</v>
      </c>
      <c r="E6433" s="2">
        <v>25</v>
      </c>
      <c r="F6433" s="2">
        <v>1825</v>
      </c>
      <c r="G6433" s="2">
        <v>1916.25</v>
      </c>
      <c r="H6433" s="3" t="s">
        <v>18</v>
      </c>
    </row>
    <row r="6434" spans="1:8" x14ac:dyDescent="0.3">
      <c r="A6434" t="s">
        <v>2271</v>
      </c>
      <c r="B6434" t="s">
        <v>45</v>
      </c>
      <c r="D6434">
        <v>2021</v>
      </c>
      <c r="E6434" s="2">
        <v>20</v>
      </c>
      <c r="F6434" s="2">
        <v>1460</v>
      </c>
      <c r="G6434" s="2">
        <v>1533</v>
      </c>
      <c r="H6434" s="3" t="s">
        <v>18</v>
      </c>
    </row>
    <row r="6435" spans="1:8" x14ac:dyDescent="0.3">
      <c r="A6435" t="s">
        <v>2272</v>
      </c>
      <c r="B6435" t="s">
        <v>476</v>
      </c>
      <c r="C6435" t="s">
        <v>478</v>
      </c>
      <c r="D6435">
        <v>2020</v>
      </c>
      <c r="E6435" s="2">
        <v>5</v>
      </c>
      <c r="F6435" s="2">
        <v>375</v>
      </c>
      <c r="G6435" s="2">
        <v>393.75</v>
      </c>
    </row>
    <row r="6436" spans="1:8" x14ac:dyDescent="0.3">
      <c r="A6436" t="s">
        <v>2272</v>
      </c>
      <c r="B6436" t="s">
        <v>2273</v>
      </c>
      <c r="C6436" t="s">
        <v>2274</v>
      </c>
      <c r="D6436">
        <v>2020</v>
      </c>
      <c r="E6436" s="2">
        <v>5</v>
      </c>
      <c r="F6436" s="2">
        <v>425</v>
      </c>
      <c r="G6436" s="2">
        <v>446.25</v>
      </c>
    </row>
    <row r="6437" spans="1:8" x14ac:dyDescent="0.3">
      <c r="A6437" t="s">
        <v>2275</v>
      </c>
      <c r="B6437" t="s">
        <v>2276</v>
      </c>
      <c r="C6437" t="s">
        <v>724</v>
      </c>
      <c r="D6437">
        <v>2019</v>
      </c>
      <c r="E6437" s="2">
        <v>1</v>
      </c>
      <c r="F6437" s="2">
        <v>260</v>
      </c>
      <c r="G6437" s="2">
        <v>260</v>
      </c>
    </row>
    <row r="6438" spans="1:8" x14ac:dyDescent="0.3">
      <c r="A6438" t="s">
        <v>2275</v>
      </c>
      <c r="B6438" t="s">
        <v>2027</v>
      </c>
      <c r="C6438" t="s">
        <v>222</v>
      </c>
      <c r="D6438">
        <v>2019</v>
      </c>
      <c r="E6438" s="2">
        <v>1</v>
      </c>
      <c r="F6438" s="2">
        <v>220</v>
      </c>
      <c r="G6438" s="2">
        <v>220</v>
      </c>
    </row>
    <row r="6439" spans="1:8" x14ac:dyDescent="0.3">
      <c r="A6439" t="s">
        <v>2275</v>
      </c>
      <c r="B6439" t="s">
        <v>1001</v>
      </c>
      <c r="C6439" t="s">
        <v>789</v>
      </c>
      <c r="D6439">
        <v>2019</v>
      </c>
      <c r="E6439" s="2">
        <v>1</v>
      </c>
      <c r="F6439" s="2">
        <v>200</v>
      </c>
      <c r="G6439" s="2">
        <v>200</v>
      </c>
    </row>
    <row r="6440" spans="1:8" x14ac:dyDescent="0.3">
      <c r="A6440" t="s">
        <v>2275</v>
      </c>
      <c r="B6440" t="s">
        <v>2277</v>
      </c>
      <c r="C6440" t="s">
        <v>505</v>
      </c>
      <c r="D6440">
        <v>2019</v>
      </c>
      <c r="E6440" s="2">
        <v>1</v>
      </c>
      <c r="F6440" s="2">
        <v>180</v>
      </c>
      <c r="G6440" s="2">
        <v>180</v>
      </c>
    </row>
    <row r="6441" spans="1:8" x14ac:dyDescent="0.3">
      <c r="A6441" t="s">
        <v>2275</v>
      </c>
      <c r="B6441" t="s">
        <v>206</v>
      </c>
      <c r="C6441" t="s">
        <v>207</v>
      </c>
      <c r="D6441">
        <v>2019</v>
      </c>
      <c r="E6441" s="2">
        <v>1</v>
      </c>
      <c r="F6441" s="2">
        <v>220</v>
      </c>
      <c r="G6441" s="2">
        <v>220</v>
      </c>
    </row>
    <row r="6442" spans="1:8" x14ac:dyDescent="0.3">
      <c r="A6442" t="s">
        <v>2275</v>
      </c>
      <c r="B6442" t="s">
        <v>1934</v>
      </c>
      <c r="C6442" t="s">
        <v>638</v>
      </c>
      <c r="D6442">
        <v>2019</v>
      </c>
      <c r="E6442" s="2">
        <v>1</v>
      </c>
      <c r="F6442" s="2">
        <v>220</v>
      </c>
      <c r="G6442" s="2">
        <v>220</v>
      </c>
    </row>
    <row r="6443" spans="1:8" x14ac:dyDescent="0.3">
      <c r="A6443" t="s">
        <v>2275</v>
      </c>
      <c r="B6443" t="s">
        <v>1322</v>
      </c>
      <c r="C6443" t="s">
        <v>169</v>
      </c>
      <c r="D6443">
        <v>2019</v>
      </c>
      <c r="E6443" s="2">
        <v>2</v>
      </c>
      <c r="F6443" s="2">
        <v>440</v>
      </c>
      <c r="G6443" s="2">
        <v>440</v>
      </c>
    </row>
    <row r="6444" spans="1:8" x14ac:dyDescent="0.3">
      <c r="A6444" t="s">
        <v>2275</v>
      </c>
      <c r="B6444" t="s">
        <v>180</v>
      </c>
      <c r="C6444" t="s">
        <v>181</v>
      </c>
      <c r="D6444">
        <v>2019</v>
      </c>
      <c r="E6444" s="2">
        <v>1</v>
      </c>
      <c r="F6444" s="2">
        <v>180</v>
      </c>
      <c r="G6444" s="2">
        <v>180</v>
      </c>
    </row>
    <row r="6445" spans="1:8" x14ac:dyDescent="0.3">
      <c r="A6445" t="s">
        <v>2275</v>
      </c>
      <c r="B6445" t="s">
        <v>1418</v>
      </c>
      <c r="C6445" t="s">
        <v>224</v>
      </c>
      <c r="D6445">
        <v>2019</v>
      </c>
      <c r="E6445" s="2">
        <v>1</v>
      </c>
      <c r="F6445" s="2">
        <v>220</v>
      </c>
      <c r="G6445" s="2">
        <v>220</v>
      </c>
    </row>
    <row r="6446" spans="1:8" x14ac:dyDescent="0.3">
      <c r="A6446" t="s">
        <v>2275</v>
      </c>
      <c r="B6446" t="s">
        <v>99</v>
      </c>
      <c r="C6446" t="s">
        <v>100</v>
      </c>
      <c r="D6446">
        <v>2019</v>
      </c>
      <c r="E6446" s="2">
        <v>1</v>
      </c>
      <c r="F6446" s="2">
        <v>240</v>
      </c>
      <c r="G6446" s="2">
        <v>240</v>
      </c>
    </row>
    <row r="6447" spans="1:8" x14ac:dyDescent="0.3">
      <c r="A6447" t="s">
        <v>2275</v>
      </c>
      <c r="B6447" t="s">
        <v>210</v>
      </c>
      <c r="C6447" t="s">
        <v>61</v>
      </c>
      <c r="D6447">
        <v>2019</v>
      </c>
      <c r="E6447" s="2">
        <v>1</v>
      </c>
      <c r="F6447" s="2">
        <v>230</v>
      </c>
      <c r="G6447" s="2">
        <v>230</v>
      </c>
    </row>
    <row r="6448" spans="1:8" x14ac:dyDescent="0.3">
      <c r="A6448" t="s">
        <v>2275</v>
      </c>
      <c r="B6448" t="s">
        <v>2022</v>
      </c>
      <c r="C6448" t="s">
        <v>515</v>
      </c>
      <c r="D6448">
        <v>2019</v>
      </c>
      <c r="E6448" s="2">
        <v>1</v>
      </c>
      <c r="F6448" s="2">
        <v>210</v>
      </c>
      <c r="G6448" s="2">
        <v>210</v>
      </c>
    </row>
    <row r="6449" spans="1:7" x14ac:dyDescent="0.3">
      <c r="A6449" t="s">
        <v>2275</v>
      </c>
      <c r="B6449" t="s">
        <v>1422</v>
      </c>
      <c r="C6449" t="s">
        <v>80</v>
      </c>
      <c r="D6449">
        <v>2019</v>
      </c>
      <c r="E6449" s="2">
        <v>1</v>
      </c>
      <c r="F6449" s="2">
        <v>220</v>
      </c>
      <c r="G6449" s="2">
        <v>220</v>
      </c>
    </row>
    <row r="6450" spans="1:7" x14ac:dyDescent="0.3">
      <c r="A6450" t="s">
        <v>2275</v>
      </c>
      <c r="B6450" t="s">
        <v>1009</v>
      </c>
      <c r="C6450" t="s">
        <v>934</v>
      </c>
      <c r="D6450">
        <v>2019</v>
      </c>
      <c r="E6450" s="2">
        <v>1</v>
      </c>
      <c r="F6450" s="2">
        <v>180</v>
      </c>
      <c r="G6450" s="2">
        <v>180</v>
      </c>
    </row>
    <row r="6451" spans="1:7" x14ac:dyDescent="0.3">
      <c r="A6451" t="s">
        <v>2275</v>
      </c>
      <c r="B6451" t="s">
        <v>2278</v>
      </c>
      <c r="C6451" t="s">
        <v>113</v>
      </c>
      <c r="D6451">
        <v>2019</v>
      </c>
      <c r="E6451" s="2">
        <v>1</v>
      </c>
      <c r="F6451" s="2">
        <v>180</v>
      </c>
      <c r="G6451" s="2">
        <v>180</v>
      </c>
    </row>
    <row r="6452" spans="1:7" x14ac:dyDescent="0.3">
      <c r="A6452" t="s">
        <v>2275</v>
      </c>
      <c r="B6452" t="s">
        <v>2279</v>
      </c>
      <c r="C6452" t="s">
        <v>397</v>
      </c>
      <c r="D6452">
        <v>2019</v>
      </c>
      <c r="E6452" s="2">
        <v>1</v>
      </c>
      <c r="F6452" s="2">
        <v>175</v>
      </c>
      <c r="G6452" s="2">
        <v>175</v>
      </c>
    </row>
    <row r="6453" spans="1:7" x14ac:dyDescent="0.3">
      <c r="A6453" t="s">
        <v>2275</v>
      </c>
      <c r="B6453" t="s">
        <v>2280</v>
      </c>
      <c r="C6453" t="s">
        <v>392</v>
      </c>
      <c r="D6453">
        <v>2019</v>
      </c>
      <c r="E6453" s="2">
        <v>1</v>
      </c>
      <c r="F6453" s="2">
        <v>180</v>
      </c>
      <c r="G6453" s="2">
        <v>180</v>
      </c>
    </row>
    <row r="6454" spans="1:7" x14ac:dyDescent="0.3">
      <c r="A6454" t="s">
        <v>2275</v>
      </c>
      <c r="B6454" t="s">
        <v>1002</v>
      </c>
      <c r="C6454" t="s">
        <v>138</v>
      </c>
      <c r="D6454">
        <v>2019</v>
      </c>
      <c r="E6454" s="2">
        <v>1</v>
      </c>
      <c r="F6454" s="2">
        <v>190</v>
      </c>
      <c r="G6454" s="2">
        <v>190</v>
      </c>
    </row>
    <row r="6455" spans="1:7" x14ac:dyDescent="0.3">
      <c r="A6455" t="s">
        <v>2275</v>
      </c>
      <c r="B6455" t="s">
        <v>1367</v>
      </c>
      <c r="C6455" t="s">
        <v>1368</v>
      </c>
      <c r="D6455">
        <v>2019</v>
      </c>
      <c r="E6455" s="2">
        <v>1</v>
      </c>
      <c r="F6455" s="2">
        <v>220</v>
      </c>
      <c r="G6455" s="2">
        <v>220</v>
      </c>
    </row>
    <row r="6456" spans="1:7" x14ac:dyDescent="0.3">
      <c r="A6456" t="s">
        <v>2275</v>
      </c>
      <c r="B6456" t="s">
        <v>2281</v>
      </c>
      <c r="C6456" t="s">
        <v>262</v>
      </c>
      <c r="D6456">
        <v>2019</v>
      </c>
      <c r="E6456" s="2">
        <v>1</v>
      </c>
      <c r="F6456" s="2">
        <v>220</v>
      </c>
      <c r="G6456" s="2">
        <v>220</v>
      </c>
    </row>
    <row r="6457" spans="1:7" x14ac:dyDescent="0.3">
      <c r="A6457" t="s">
        <v>2275</v>
      </c>
      <c r="B6457" t="s">
        <v>409</v>
      </c>
      <c r="C6457" t="s">
        <v>264</v>
      </c>
      <c r="D6457">
        <v>2019</v>
      </c>
      <c r="E6457" s="2">
        <v>1</v>
      </c>
      <c r="F6457" s="2">
        <v>230</v>
      </c>
      <c r="G6457" s="2">
        <v>230</v>
      </c>
    </row>
    <row r="6458" spans="1:7" x14ac:dyDescent="0.3">
      <c r="A6458" t="s">
        <v>2275</v>
      </c>
      <c r="B6458" t="s">
        <v>1326</v>
      </c>
      <c r="C6458" t="s">
        <v>143</v>
      </c>
      <c r="D6458">
        <v>2019</v>
      </c>
      <c r="E6458" s="2">
        <v>1</v>
      </c>
      <c r="F6458" s="2">
        <v>245</v>
      </c>
      <c r="G6458" s="2">
        <v>245</v>
      </c>
    </row>
    <row r="6459" spans="1:7" x14ac:dyDescent="0.3">
      <c r="A6459" t="s">
        <v>2275</v>
      </c>
      <c r="B6459" t="s">
        <v>711</v>
      </c>
      <c r="C6459" t="s">
        <v>413</v>
      </c>
      <c r="D6459">
        <v>2019</v>
      </c>
      <c r="E6459" s="2">
        <v>1</v>
      </c>
      <c r="F6459" s="2">
        <v>230</v>
      </c>
      <c r="G6459" s="2">
        <v>230</v>
      </c>
    </row>
    <row r="6460" spans="1:7" x14ac:dyDescent="0.3">
      <c r="A6460" t="s">
        <v>2275</v>
      </c>
      <c r="B6460" t="s">
        <v>70</v>
      </c>
      <c r="C6460" t="s">
        <v>71</v>
      </c>
      <c r="D6460">
        <v>2019</v>
      </c>
      <c r="E6460" s="2">
        <v>1</v>
      </c>
      <c r="F6460" s="2">
        <v>180</v>
      </c>
      <c r="G6460" s="2">
        <v>180</v>
      </c>
    </row>
    <row r="6461" spans="1:7" x14ac:dyDescent="0.3">
      <c r="A6461" t="s">
        <v>2275</v>
      </c>
      <c r="B6461" t="s">
        <v>213</v>
      </c>
      <c r="C6461" t="s">
        <v>75</v>
      </c>
      <c r="D6461">
        <v>2019</v>
      </c>
      <c r="E6461" s="2">
        <v>1</v>
      </c>
      <c r="F6461" s="2">
        <v>210</v>
      </c>
      <c r="G6461" s="2">
        <v>210</v>
      </c>
    </row>
    <row r="6462" spans="1:7" x14ac:dyDescent="0.3">
      <c r="A6462" t="s">
        <v>2275</v>
      </c>
      <c r="B6462" t="s">
        <v>483</v>
      </c>
      <c r="C6462" t="s">
        <v>484</v>
      </c>
      <c r="D6462">
        <v>2019</v>
      </c>
      <c r="E6462" s="2">
        <v>1</v>
      </c>
      <c r="F6462" s="2">
        <v>150</v>
      </c>
      <c r="G6462" s="2">
        <v>150</v>
      </c>
    </row>
    <row r="6463" spans="1:7" x14ac:dyDescent="0.3">
      <c r="A6463" t="s">
        <v>2275</v>
      </c>
      <c r="B6463" t="s">
        <v>214</v>
      </c>
      <c r="C6463" t="s">
        <v>150</v>
      </c>
      <c r="D6463">
        <v>2019</v>
      </c>
      <c r="E6463" s="2">
        <v>1</v>
      </c>
      <c r="F6463" s="2">
        <v>210</v>
      </c>
      <c r="G6463" s="2">
        <v>210</v>
      </c>
    </row>
    <row r="6464" spans="1:7" x14ac:dyDescent="0.3">
      <c r="A6464" t="s">
        <v>2275</v>
      </c>
      <c r="B6464" t="s">
        <v>1186</v>
      </c>
      <c r="C6464" t="s">
        <v>237</v>
      </c>
      <c r="D6464">
        <v>2019</v>
      </c>
      <c r="E6464" s="2">
        <v>1</v>
      </c>
      <c r="F6464" s="2">
        <v>200</v>
      </c>
      <c r="G6464" s="2">
        <v>200</v>
      </c>
    </row>
    <row r="6465" spans="1:7" x14ac:dyDescent="0.3">
      <c r="A6465" t="s">
        <v>2282</v>
      </c>
      <c r="B6465" t="s">
        <v>1169</v>
      </c>
      <c r="C6465" t="s">
        <v>2283</v>
      </c>
      <c r="D6465">
        <v>2011</v>
      </c>
      <c r="E6465" s="2">
        <v>25</v>
      </c>
      <c r="F6465" s="2">
        <v>2875</v>
      </c>
      <c r="G6465" s="2"/>
    </row>
    <row r="6466" spans="1:7" x14ac:dyDescent="0.3">
      <c r="A6466" t="s">
        <v>2282</v>
      </c>
      <c r="B6466" t="s">
        <v>2284</v>
      </c>
      <c r="D6466">
        <v>2009</v>
      </c>
      <c r="E6466" s="2">
        <v>25</v>
      </c>
      <c r="F6466" s="2">
        <v>2500</v>
      </c>
      <c r="G6466" s="2"/>
    </row>
    <row r="6467" spans="1:7" x14ac:dyDescent="0.3">
      <c r="A6467" t="s">
        <v>2282</v>
      </c>
      <c r="B6467" t="s">
        <v>297</v>
      </c>
      <c r="C6467" t="s">
        <v>2285</v>
      </c>
      <c r="D6467">
        <v>2011</v>
      </c>
      <c r="E6467" s="2">
        <v>25</v>
      </c>
      <c r="F6467" s="2">
        <v>2400</v>
      </c>
      <c r="G6467" s="2"/>
    </row>
    <row r="6468" spans="1:7" x14ac:dyDescent="0.3">
      <c r="A6468" t="s">
        <v>2282</v>
      </c>
      <c r="B6468" t="s">
        <v>2286</v>
      </c>
      <c r="D6468">
        <v>2009</v>
      </c>
      <c r="E6468" s="2">
        <v>25</v>
      </c>
      <c r="F6468" s="2">
        <v>2295</v>
      </c>
      <c r="G6468" s="2"/>
    </row>
    <row r="6469" spans="1:7" x14ac:dyDescent="0.3">
      <c r="A6469" t="s">
        <v>2287</v>
      </c>
      <c r="B6469" t="s">
        <v>1701</v>
      </c>
      <c r="D6469">
        <v>2013</v>
      </c>
      <c r="E6469" s="2">
        <v>20</v>
      </c>
      <c r="F6469" s="2">
        <v>5000</v>
      </c>
      <c r="G6469" s="2"/>
    </row>
    <row r="6470" spans="1:7" x14ac:dyDescent="0.3">
      <c r="A6470" t="s">
        <v>2287</v>
      </c>
      <c r="B6470" t="s">
        <v>1461</v>
      </c>
      <c r="D6470">
        <v>2013</v>
      </c>
      <c r="E6470" s="2">
        <v>100</v>
      </c>
      <c r="F6470" s="2">
        <v>25000</v>
      </c>
      <c r="G6470" s="2"/>
    </row>
    <row r="6471" spans="1:7" x14ac:dyDescent="0.3">
      <c r="A6471" t="s">
        <v>2287</v>
      </c>
      <c r="B6471" t="s">
        <v>2288</v>
      </c>
      <c r="D6471">
        <v>2013</v>
      </c>
      <c r="E6471" s="2">
        <v>50</v>
      </c>
      <c r="F6471" s="2">
        <v>10000</v>
      </c>
      <c r="G6471" s="2"/>
    </row>
    <row r="6472" spans="1:7" x14ac:dyDescent="0.3">
      <c r="A6472" t="s">
        <v>2287</v>
      </c>
      <c r="B6472" t="s">
        <v>764</v>
      </c>
      <c r="D6472">
        <v>2013</v>
      </c>
      <c r="E6472" s="2">
        <v>50</v>
      </c>
      <c r="F6472" s="2">
        <v>4500</v>
      </c>
      <c r="G6472" s="2"/>
    </row>
    <row r="6473" spans="1:7" x14ac:dyDescent="0.3">
      <c r="A6473" t="s">
        <v>2287</v>
      </c>
      <c r="B6473" t="s">
        <v>32</v>
      </c>
      <c r="D6473">
        <v>2013</v>
      </c>
      <c r="E6473" s="2">
        <v>100</v>
      </c>
      <c r="F6473" s="2">
        <v>9000</v>
      </c>
      <c r="G6473" s="2"/>
    </row>
    <row r="6474" spans="1:7" x14ac:dyDescent="0.3">
      <c r="A6474" t="s">
        <v>2289</v>
      </c>
      <c r="B6474" t="s">
        <v>26</v>
      </c>
      <c r="C6474" t="s">
        <v>27</v>
      </c>
      <c r="D6474">
        <v>2019</v>
      </c>
      <c r="E6474" s="2">
        <v>50</v>
      </c>
      <c r="F6474" s="2">
        <v>2900</v>
      </c>
      <c r="G6474" s="2">
        <v>3045</v>
      </c>
    </row>
    <row r="6475" spans="1:7" x14ac:dyDescent="0.3">
      <c r="A6475" t="s">
        <v>2289</v>
      </c>
      <c r="B6475" t="s">
        <v>26</v>
      </c>
      <c r="C6475" t="s">
        <v>27</v>
      </c>
      <c r="D6475">
        <v>2020</v>
      </c>
      <c r="E6475" s="2">
        <v>50</v>
      </c>
      <c r="F6475" s="2">
        <v>2900</v>
      </c>
      <c r="G6475" s="2">
        <v>3045</v>
      </c>
    </row>
    <row r="6476" spans="1:7" x14ac:dyDescent="0.3">
      <c r="A6476" t="s">
        <v>2290</v>
      </c>
      <c r="B6476" t="s">
        <v>763</v>
      </c>
      <c r="D6476">
        <v>2011</v>
      </c>
      <c r="E6476" s="2">
        <v>100</v>
      </c>
      <c r="F6476" s="2">
        <v>15824</v>
      </c>
      <c r="G6476" s="2"/>
    </row>
    <row r="6477" spans="1:7" x14ac:dyDescent="0.3">
      <c r="A6477" t="s">
        <v>2290</v>
      </c>
      <c r="B6477" t="s">
        <v>763</v>
      </c>
      <c r="D6477">
        <v>2012</v>
      </c>
      <c r="E6477" s="2">
        <v>50</v>
      </c>
      <c r="F6477" s="2">
        <v>2600</v>
      </c>
      <c r="G6477" s="2"/>
    </row>
    <row r="6478" spans="1:7" x14ac:dyDescent="0.3">
      <c r="A6478" t="s">
        <v>2290</v>
      </c>
      <c r="B6478" t="s">
        <v>1461</v>
      </c>
      <c r="D6478">
        <v>2017</v>
      </c>
      <c r="E6478" s="2">
        <v>20</v>
      </c>
      <c r="F6478" s="2">
        <v>2400</v>
      </c>
      <c r="G6478" s="2"/>
    </row>
    <row r="6479" spans="1:7" x14ac:dyDescent="0.3">
      <c r="A6479" t="s">
        <v>2290</v>
      </c>
      <c r="B6479" t="s">
        <v>1461</v>
      </c>
      <c r="D6479">
        <v>2020</v>
      </c>
      <c r="E6479" s="2">
        <v>5</v>
      </c>
      <c r="F6479" s="2">
        <v>600</v>
      </c>
      <c r="G6479" s="2">
        <v>630</v>
      </c>
    </row>
    <row r="6480" spans="1:7" x14ac:dyDescent="0.3">
      <c r="A6480" t="s">
        <v>2290</v>
      </c>
      <c r="B6480" t="s">
        <v>1462</v>
      </c>
      <c r="D6480">
        <v>2018</v>
      </c>
      <c r="E6480" s="2">
        <v>20</v>
      </c>
      <c r="F6480" s="2">
        <v>1900</v>
      </c>
      <c r="G6480" s="2">
        <v>1995</v>
      </c>
    </row>
    <row r="6481" spans="1:7" x14ac:dyDescent="0.3">
      <c r="A6481" t="s">
        <v>2290</v>
      </c>
      <c r="B6481" t="s">
        <v>1462</v>
      </c>
      <c r="D6481">
        <v>2020</v>
      </c>
      <c r="E6481" s="2">
        <v>20</v>
      </c>
      <c r="F6481" s="2">
        <v>2300</v>
      </c>
      <c r="G6481" s="2">
        <v>2415</v>
      </c>
    </row>
    <row r="6482" spans="1:7" x14ac:dyDescent="0.3">
      <c r="A6482" t="s">
        <v>2290</v>
      </c>
      <c r="B6482" t="s">
        <v>26</v>
      </c>
      <c r="C6482" t="s">
        <v>27</v>
      </c>
      <c r="D6482">
        <v>2016</v>
      </c>
      <c r="E6482" s="2">
        <v>50</v>
      </c>
      <c r="F6482" s="2">
        <v>3250</v>
      </c>
      <c r="G6482" s="2"/>
    </row>
    <row r="6483" spans="1:7" x14ac:dyDescent="0.3">
      <c r="A6483" t="s">
        <v>2290</v>
      </c>
      <c r="B6483" t="s">
        <v>39</v>
      </c>
      <c r="D6483">
        <v>2018</v>
      </c>
      <c r="E6483" s="2">
        <v>35</v>
      </c>
      <c r="F6483" s="2">
        <v>11200</v>
      </c>
      <c r="G6483" s="2">
        <v>11760</v>
      </c>
    </row>
    <row r="6484" spans="1:7" x14ac:dyDescent="0.3">
      <c r="A6484" t="s">
        <v>2290</v>
      </c>
      <c r="B6484" t="s">
        <v>39</v>
      </c>
      <c r="D6484">
        <v>2020</v>
      </c>
      <c r="E6484" s="2">
        <v>40</v>
      </c>
      <c r="F6484" s="2">
        <v>11600</v>
      </c>
      <c r="G6484" s="2">
        <v>12180</v>
      </c>
    </row>
    <row r="6485" spans="1:7" x14ac:dyDescent="0.3">
      <c r="A6485" t="s">
        <v>2290</v>
      </c>
      <c r="B6485" t="s">
        <v>1861</v>
      </c>
      <c r="D6485">
        <v>2018</v>
      </c>
      <c r="E6485" s="2">
        <v>20</v>
      </c>
      <c r="F6485" s="2">
        <v>6400</v>
      </c>
      <c r="G6485" s="2">
        <v>6720</v>
      </c>
    </row>
    <row r="6486" spans="1:7" x14ac:dyDescent="0.3">
      <c r="A6486" t="s">
        <v>2290</v>
      </c>
      <c r="B6486" t="s">
        <v>2046</v>
      </c>
      <c r="D6486">
        <v>2018</v>
      </c>
      <c r="E6486" s="2">
        <v>60</v>
      </c>
      <c r="F6486" s="2">
        <v>17800</v>
      </c>
      <c r="G6486" s="2">
        <v>18690</v>
      </c>
    </row>
    <row r="6487" spans="1:7" x14ac:dyDescent="0.3">
      <c r="A6487" t="s">
        <v>2290</v>
      </c>
      <c r="B6487" t="s">
        <v>28</v>
      </c>
      <c r="D6487">
        <v>2016</v>
      </c>
      <c r="E6487" s="2">
        <v>9</v>
      </c>
      <c r="F6487" s="2">
        <v>4770</v>
      </c>
      <c r="G6487" s="2"/>
    </row>
    <row r="6488" spans="1:7" x14ac:dyDescent="0.3">
      <c r="A6488" t="s">
        <v>2290</v>
      </c>
      <c r="B6488" t="s">
        <v>2291</v>
      </c>
      <c r="D6488">
        <v>2011</v>
      </c>
      <c r="E6488" s="2">
        <v>44</v>
      </c>
      <c r="F6488" s="2">
        <v>2200</v>
      </c>
      <c r="G6488" s="2"/>
    </row>
    <row r="6489" spans="1:7" x14ac:dyDescent="0.3">
      <c r="A6489" t="s">
        <v>2290</v>
      </c>
      <c r="B6489" t="s">
        <v>2292</v>
      </c>
      <c r="D6489">
        <v>2012</v>
      </c>
      <c r="E6489" s="2">
        <v>10</v>
      </c>
      <c r="F6489" s="2">
        <v>550</v>
      </c>
      <c r="G6489" s="2"/>
    </row>
    <row r="6490" spans="1:7" x14ac:dyDescent="0.3">
      <c r="A6490" t="s">
        <v>2290</v>
      </c>
      <c r="B6490" t="s">
        <v>700</v>
      </c>
      <c r="C6490" t="s">
        <v>701</v>
      </c>
      <c r="D6490">
        <v>2009</v>
      </c>
      <c r="E6490" s="2">
        <v>25</v>
      </c>
      <c r="F6490" s="2">
        <v>1000</v>
      </c>
      <c r="G6490" s="2"/>
    </row>
    <row r="6491" spans="1:7" x14ac:dyDescent="0.3">
      <c r="A6491" t="s">
        <v>2290</v>
      </c>
      <c r="B6491" t="s">
        <v>21</v>
      </c>
      <c r="C6491" t="s">
        <v>22</v>
      </c>
      <c r="D6491">
        <v>2009</v>
      </c>
      <c r="E6491" s="2">
        <v>25</v>
      </c>
      <c r="F6491" s="2">
        <v>1000</v>
      </c>
      <c r="G6491" s="2"/>
    </row>
    <row r="6492" spans="1:7" x14ac:dyDescent="0.3">
      <c r="A6492" t="s">
        <v>2290</v>
      </c>
      <c r="B6492" t="s">
        <v>21</v>
      </c>
      <c r="C6492" t="s">
        <v>22</v>
      </c>
      <c r="D6492">
        <v>2010</v>
      </c>
      <c r="E6492" s="2">
        <v>125</v>
      </c>
      <c r="F6492" s="2">
        <v>5375</v>
      </c>
      <c r="G6492" s="2"/>
    </row>
    <row r="6493" spans="1:7" x14ac:dyDescent="0.3">
      <c r="A6493" t="s">
        <v>2290</v>
      </c>
      <c r="B6493" t="s">
        <v>828</v>
      </c>
      <c r="D6493">
        <v>2016</v>
      </c>
      <c r="E6493" s="2">
        <v>20</v>
      </c>
      <c r="F6493" s="2">
        <v>6600</v>
      </c>
      <c r="G6493" s="2"/>
    </row>
    <row r="6494" spans="1:7" x14ac:dyDescent="0.3">
      <c r="A6494" t="s">
        <v>2290</v>
      </c>
      <c r="B6494" t="s">
        <v>828</v>
      </c>
      <c r="D6494">
        <v>2017</v>
      </c>
      <c r="E6494" s="2">
        <v>25</v>
      </c>
      <c r="F6494" s="2">
        <v>8250</v>
      </c>
      <c r="G6494" s="2"/>
    </row>
    <row r="6495" spans="1:7" x14ac:dyDescent="0.3">
      <c r="A6495" t="s">
        <v>2290</v>
      </c>
      <c r="B6495" t="s">
        <v>2293</v>
      </c>
      <c r="C6495" t="s">
        <v>943</v>
      </c>
      <c r="D6495">
        <v>2010</v>
      </c>
      <c r="E6495" s="2">
        <v>50</v>
      </c>
      <c r="F6495" s="2">
        <v>4150</v>
      </c>
      <c r="G6495" s="2"/>
    </row>
    <row r="6496" spans="1:7" x14ac:dyDescent="0.3">
      <c r="A6496" t="s">
        <v>2290</v>
      </c>
      <c r="B6496" t="s">
        <v>30</v>
      </c>
      <c r="C6496" t="s">
        <v>31</v>
      </c>
      <c r="D6496">
        <v>2012</v>
      </c>
      <c r="E6496" s="2">
        <v>25</v>
      </c>
      <c r="F6496" s="2">
        <v>1975</v>
      </c>
      <c r="G6496" s="2"/>
    </row>
    <row r="6497" spans="1:8" x14ac:dyDescent="0.3">
      <c r="A6497" t="s">
        <v>2290</v>
      </c>
      <c r="B6497" t="s">
        <v>45</v>
      </c>
      <c r="D6497">
        <v>2013</v>
      </c>
      <c r="E6497" s="2">
        <v>20</v>
      </c>
      <c r="F6497" s="2">
        <v>1700</v>
      </c>
      <c r="G6497" s="2"/>
    </row>
    <row r="6498" spans="1:8" x14ac:dyDescent="0.3">
      <c r="A6498" t="s">
        <v>2290</v>
      </c>
      <c r="B6498" t="s">
        <v>45</v>
      </c>
      <c r="D6498">
        <v>2014</v>
      </c>
      <c r="E6498" s="2">
        <v>20</v>
      </c>
      <c r="F6498" s="2">
        <v>1800</v>
      </c>
      <c r="G6498" s="2"/>
    </row>
    <row r="6499" spans="1:8" x14ac:dyDescent="0.3">
      <c r="A6499" t="s">
        <v>2290</v>
      </c>
      <c r="B6499" t="s">
        <v>45</v>
      </c>
      <c r="D6499">
        <v>2020</v>
      </c>
      <c r="E6499" s="2">
        <v>20</v>
      </c>
      <c r="F6499" s="2">
        <v>1900</v>
      </c>
      <c r="G6499" s="2">
        <v>1995</v>
      </c>
    </row>
    <row r="6500" spans="1:8" x14ac:dyDescent="0.3">
      <c r="A6500" t="s">
        <v>2290</v>
      </c>
      <c r="B6500" t="s">
        <v>863</v>
      </c>
      <c r="D6500">
        <v>2019</v>
      </c>
      <c r="E6500" s="2">
        <v>20</v>
      </c>
      <c r="F6500" s="2">
        <v>1600</v>
      </c>
      <c r="G6500" s="2">
        <v>1680</v>
      </c>
    </row>
    <row r="6501" spans="1:8" x14ac:dyDescent="0.3">
      <c r="A6501" t="s">
        <v>2290</v>
      </c>
      <c r="B6501" t="s">
        <v>863</v>
      </c>
      <c r="D6501">
        <v>2020</v>
      </c>
      <c r="E6501" s="2">
        <v>1</v>
      </c>
      <c r="F6501" s="2">
        <v>200</v>
      </c>
      <c r="G6501" s="2">
        <v>210</v>
      </c>
    </row>
    <row r="6502" spans="1:8" x14ac:dyDescent="0.3">
      <c r="A6502" t="s">
        <v>2290</v>
      </c>
      <c r="B6502" t="s">
        <v>240</v>
      </c>
      <c r="D6502">
        <v>2010</v>
      </c>
      <c r="E6502" s="2">
        <v>20</v>
      </c>
      <c r="F6502" s="2">
        <v>1700</v>
      </c>
      <c r="G6502" s="2"/>
    </row>
    <row r="6503" spans="1:8" x14ac:dyDescent="0.3">
      <c r="A6503" t="s">
        <v>2290</v>
      </c>
      <c r="B6503" t="s">
        <v>240</v>
      </c>
      <c r="D6503">
        <v>2013</v>
      </c>
      <c r="E6503" s="2">
        <v>40</v>
      </c>
      <c r="F6503" s="2">
        <v>3400</v>
      </c>
      <c r="G6503" s="2"/>
    </row>
    <row r="6504" spans="1:8" x14ac:dyDescent="0.3">
      <c r="A6504" t="s">
        <v>2290</v>
      </c>
      <c r="B6504" t="s">
        <v>240</v>
      </c>
      <c r="D6504">
        <v>2014</v>
      </c>
      <c r="E6504" s="2">
        <v>20</v>
      </c>
      <c r="F6504" s="2">
        <v>1800</v>
      </c>
      <c r="G6504" s="2"/>
    </row>
    <row r="6505" spans="1:8" x14ac:dyDescent="0.3">
      <c r="A6505" t="s">
        <v>2290</v>
      </c>
      <c r="B6505" t="s">
        <v>32</v>
      </c>
      <c r="D6505">
        <v>2011</v>
      </c>
      <c r="E6505" s="2">
        <v>20</v>
      </c>
      <c r="F6505" s="2">
        <v>1600</v>
      </c>
      <c r="G6505" s="2"/>
      <c r="H6505" s="3" t="s">
        <v>18</v>
      </c>
    </row>
    <row r="6506" spans="1:8" x14ac:dyDescent="0.3">
      <c r="A6506" t="s">
        <v>2290</v>
      </c>
      <c r="B6506" t="s">
        <v>32</v>
      </c>
      <c r="D6506">
        <v>2012</v>
      </c>
      <c r="E6506" s="2">
        <v>60</v>
      </c>
      <c r="F6506" s="2">
        <v>4800</v>
      </c>
      <c r="G6506" s="2"/>
      <c r="H6506" s="3" t="s">
        <v>18</v>
      </c>
    </row>
    <row r="6507" spans="1:8" x14ac:dyDescent="0.3">
      <c r="A6507" t="s">
        <v>2290</v>
      </c>
      <c r="B6507" t="s">
        <v>32</v>
      </c>
      <c r="D6507">
        <v>2013</v>
      </c>
      <c r="E6507" s="2">
        <v>20</v>
      </c>
      <c r="F6507" s="2">
        <v>1700</v>
      </c>
      <c r="G6507" s="2"/>
      <c r="H6507" s="3" t="s">
        <v>18</v>
      </c>
    </row>
    <row r="6508" spans="1:8" x14ac:dyDescent="0.3">
      <c r="A6508" t="s">
        <v>2290</v>
      </c>
      <c r="B6508" t="s">
        <v>32</v>
      </c>
      <c r="D6508">
        <v>2014</v>
      </c>
      <c r="E6508" s="2">
        <v>60</v>
      </c>
      <c r="F6508" s="2">
        <v>5400</v>
      </c>
      <c r="G6508" s="2"/>
      <c r="H6508" s="3" t="s">
        <v>18</v>
      </c>
    </row>
    <row r="6509" spans="1:8" x14ac:dyDescent="0.3">
      <c r="A6509" t="s">
        <v>2290</v>
      </c>
      <c r="B6509" t="s">
        <v>32</v>
      </c>
      <c r="D6509">
        <v>2017</v>
      </c>
      <c r="E6509" s="2">
        <v>20</v>
      </c>
      <c r="F6509" s="2">
        <v>1800</v>
      </c>
      <c r="G6509" s="2"/>
      <c r="H6509" s="3" t="s">
        <v>18</v>
      </c>
    </row>
    <row r="6510" spans="1:8" x14ac:dyDescent="0.3">
      <c r="A6510" t="s">
        <v>2290</v>
      </c>
      <c r="B6510" t="s">
        <v>32</v>
      </c>
      <c r="D6510">
        <v>2018</v>
      </c>
      <c r="E6510" s="2">
        <v>20</v>
      </c>
      <c r="F6510" s="2">
        <v>1500</v>
      </c>
      <c r="G6510" s="2">
        <v>1575</v>
      </c>
      <c r="H6510" s="3" t="s">
        <v>18</v>
      </c>
    </row>
    <row r="6511" spans="1:8" x14ac:dyDescent="0.3">
      <c r="A6511" t="s">
        <v>2290</v>
      </c>
      <c r="B6511" t="s">
        <v>32</v>
      </c>
      <c r="D6511">
        <v>2019</v>
      </c>
      <c r="E6511" s="2">
        <v>20</v>
      </c>
      <c r="F6511" s="2">
        <v>1460</v>
      </c>
      <c r="G6511" s="2">
        <v>1533</v>
      </c>
      <c r="H6511" s="3" t="s">
        <v>18</v>
      </c>
    </row>
    <row r="6512" spans="1:8" x14ac:dyDescent="0.3">
      <c r="A6512" t="s">
        <v>2290</v>
      </c>
      <c r="B6512" t="s">
        <v>32</v>
      </c>
      <c r="D6512">
        <v>2021</v>
      </c>
      <c r="E6512" s="2">
        <v>200</v>
      </c>
      <c r="F6512" s="2">
        <v>14600</v>
      </c>
      <c r="G6512" s="2">
        <v>15330</v>
      </c>
      <c r="H6512" s="3" t="s">
        <v>18</v>
      </c>
    </row>
    <row r="6513" spans="1:8" x14ac:dyDescent="0.3">
      <c r="A6513" t="s">
        <v>2294</v>
      </c>
      <c r="B6513" t="s">
        <v>26</v>
      </c>
      <c r="C6513" t="s">
        <v>27</v>
      </c>
      <c r="D6513">
        <v>2017</v>
      </c>
      <c r="E6513" s="2">
        <v>25</v>
      </c>
      <c r="F6513" s="2">
        <v>1625</v>
      </c>
      <c r="G6513" s="2"/>
    </row>
    <row r="6514" spans="1:8" x14ac:dyDescent="0.3">
      <c r="A6514" t="s">
        <v>2294</v>
      </c>
      <c r="B6514" t="s">
        <v>39</v>
      </c>
      <c r="D6514">
        <v>2019</v>
      </c>
      <c r="E6514" s="2">
        <v>200</v>
      </c>
      <c r="F6514" s="2">
        <v>42000</v>
      </c>
      <c r="G6514" s="2">
        <v>42000</v>
      </c>
      <c r="H6514" s="3" t="s">
        <v>18</v>
      </c>
    </row>
    <row r="6515" spans="1:8" x14ac:dyDescent="0.3">
      <c r="A6515" t="s">
        <v>2294</v>
      </c>
      <c r="B6515" t="s">
        <v>39</v>
      </c>
      <c r="D6515">
        <v>2021</v>
      </c>
      <c r="E6515" s="2">
        <v>1</v>
      </c>
      <c r="F6515" s="2">
        <v>240</v>
      </c>
      <c r="G6515" s="2">
        <v>252</v>
      </c>
      <c r="H6515" s="3" t="s">
        <v>18</v>
      </c>
    </row>
    <row r="6516" spans="1:8" x14ac:dyDescent="0.3">
      <c r="A6516" t="s">
        <v>2294</v>
      </c>
      <c r="B6516" t="s">
        <v>1861</v>
      </c>
      <c r="D6516">
        <v>2019</v>
      </c>
      <c r="E6516" s="2">
        <v>100</v>
      </c>
      <c r="F6516" s="2">
        <v>20000</v>
      </c>
      <c r="G6516" s="2">
        <v>21000</v>
      </c>
    </row>
    <row r="6517" spans="1:8" x14ac:dyDescent="0.3">
      <c r="A6517" t="s">
        <v>2294</v>
      </c>
      <c r="B6517" t="s">
        <v>45</v>
      </c>
      <c r="D6517">
        <v>2019</v>
      </c>
      <c r="E6517" s="2">
        <v>200</v>
      </c>
      <c r="F6517" s="2">
        <v>10000</v>
      </c>
      <c r="G6517" s="2">
        <v>4200</v>
      </c>
    </row>
    <row r="6518" spans="1:8" x14ac:dyDescent="0.3">
      <c r="A6518" t="s">
        <v>2294</v>
      </c>
      <c r="B6518" t="s">
        <v>32</v>
      </c>
      <c r="D6518">
        <v>2017</v>
      </c>
      <c r="E6518" s="2">
        <v>20</v>
      </c>
      <c r="F6518" s="2">
        <v>1460</v>
      </c>
      <c r="G6518" s="2"/>
    </row>
    <row r="6519" spans="1:8" x14ac:dyDescent="0.3">
      <c r="A6519" t="s">
        <v>2294</v>
      </c>
      <c r="B6519" t="s">
        <v>32</v>
      </c>
      <c r="D6519">
        <v>2018</v>
      </c>
      <c r="E6519" s="2">
        <v>80</v>
      </c>
      <c r="F6519" s="2">
        <v>5840</v>
      </c>
      <c r="G6519" s="2">
        <v>6132</v>
      </c>
    </row>
    <row r="6520" spans="1:8" x14ac:dyDescent="0.3">
      <c r="A6520" t="s">
        <v>2294</v>
      </c>
      <c r="B6520" t="s">
        <v>32</v>
      </c>
      <c r="D6520">
        <v>2019</v>
      </c>
      <c r="E6520" s="2">
        <v>200</v>
      </c>
      <c r="F6520" s="2">
        <v>10000</v>
      </c>
      <c r="G6520" s="2">
        <v>10500</v>
      </c>
    </row>
    <row r="6521" spans="1:8" x14ac:dyDescent="0.3">
      <c r="A6521" t="s">
        <v>2295</v>
      </c>
      <c r="B6521" t="s">
        <v>39</v>
      </c>
      <c r="D6521">
        <v>2020</v>
      </c>
      <c r="E6521" s="2">
        <v>50</v>
      </c>
      <c r="F6521" s="2">
        <v>11000</v>
      </c>
      <c r="G6521" s="2">
        <v>11000</v>
      </c>
    </row>
    <row r="6522" spans="1:8" x14ac:dyDescent="0.3">
      <c r="A6522" t="s">
        <v>2295</v>
      </c>
      <c r="B6522" t="s">
        <v>863</v>
      </c>
      <c r="D6522">
        <v>2015</v>
      </c>
      <c r="E6522" s="2">
        <v>20</v>
      </c>
      <c r="F6522" s="2">
        <v>1800</v>
      </c>
      <c r="G6522" s="2"/>
    </row>
    <row r="6523" spans="1:8" x14ac:dyDescent="0.3">
      <c r="A6523" t="s">
        <v>2295</v>
      </c>
      <c r="B6523" t="s">
        <v>32</v>
      </c>
      <c r="D6523">
        <v>2016</v>
      </c>
      <c r="E6523" s="2">
        <v>80</v>
      </c>
      <c r="F6523" s="2">
        <v>7160</v>
      </c>
      <c r="G6523" s="2"/>
    </row>
    <row r="6524" spans="1:8" x14ac:dyDescent="0.3">
      <c r="A6524" t="s">
        <v>2296</v>
      </c>
      <c r="B6524" t="s">
        <v>39</v>
      </c>
      <c r="D6524">
        <v>2019</v>
      </c>
      <c r="E6524" s="2">
        <v>5</v>
      </c>
      <c r="F6524" s="2">
        <v>1190</v>
      </c>
      <c r="G6524" s="2">
        <v>1249.5</v>
      </c>
    </row>
    <row r="6525" spans="1:8" x14ac:dyDescent="0.3">
      <c r="A6525" t="s">
        <v>2296</v>
      </c>
      <c r="B6525" t="s">
        <v>39</v>
      </c>
      <c r="D6525">
        <v>2020</v>
      </c>
      <c r="E6525" s="2">
        <v>5</v>
      </c>
      <c r="F6525" s="2">
        <v>1190</v>
      </c>
      <c r="G6525" s="2">
        <v>1249.5</v>
      </c>
    </row>
    <row r="6526" spans="1:8" x14ac:dyDescent="0.3">
      <c r="A6526" t="s">
        <v>2296</v>
      </c>
      <c r="B6526" t="s">
        <v>45</v>
      </c>
      <c r="D6526">
        <v>2014</v>
      </c>
      <c r="E6526" s="2">
        <v>20</v>
      </c>
      <c r="F6526" s="2">
        <v>1800</v>
      </c>
      <c r="G6526" s="2"/>
    </row>
    <row r="6527" spans="1:8" x14ac:dyDescent="0.3">
      <c r="A6527" t="s">
        <v>2296</v>
      </c>
      <c r="B6527" t="s">
        <v>45</v>
      </c>
      <c r="D6527">
        <v>2015</v>
      </c>
      <c r="E6527" s="2">
        <v>5</v>
      </c>
      <c r="F6527" s="2">
        <v>450</v>
      </c>
      <c r="G6527" s="2"/>
    </row>
    <row r="6528" spans="1:8" x14ac:dyDescent="0.3">
      <c r="A6528" t="s">
        <v>2296</v>
      </c>
      <c r="B6528" t="s">
        <v>240</v>
      </c>
      <c r="D6528">
        <v>2014</v>
      </c>
      <c r="E6528" s="2">
        <v>20</v>
      </c>
      <c r="F6528" s="2">
        <v>1800</v>
      </c>
      <c r="G6528" s="2"/>
    </row>
    <row r="6529" spans="1:8" x14ac:dyDescent="0.3">
      <c r="A6529" t="s">
        <v>2296</v>
      </c>
      <c r="B6529" t="s">
        <v>240</v>
      </c>
      <c r="D6529">
        <v>2015</v>
      </c>
      <c r="E6529" s="2">
        <v>5</v>
      </c>
      <c r="F6529" s="2">
        <v>450</v>
      </c>
      <c r="G6529" s="2"/>
    </row>
    <row r="6530" spans="1:8" x14ac:dyDescent="0.3">
      <c r="A6530" t="s">
        <v>2296</v>
      </c>
      <c r="B6530" t="s">
        <v>864</v>
      </c>
      <c r="D6530">
        <v>2014</v>
      </c>
      <c r="E6530" s="2">
        <v>20</v>
      </c>
      <c r="F6530" s="2">
        <v>1800</v>
      </c>
      <c r="G6530" s="2"/>
    </row>
    <row r="6531" spans="1:8" x14ac:dyDescent="0.3">
      <c r="A6531" t="s">
        <v>2296</v>
      </c>
      <c r="B6531" t="s">
        <v>864</v>
      </c>
      <c r="D6531">
        <v>2015</v>
      </c>
      <c r="E6531" s="2">
        <v>5</v>
      </c>
      <c r="F6531" s="2">
        <v>450</v>
      </c>
      <c r="G6531" s="2"/>
    </row>
    <row r="6532" spans="1:8" x14ac:dyDescent="0.3">
      <c r="A6532" t="s">
        <v>2296</v>
      </c>
      <c r="B6532" t="s">
        <v>46</v>
      </c>
      <c r="C6532" t="s">
        <v>47</v>
      </c>
      <c r="D6532">
        <v>2019</v>
      </c>
      <c r="E6532" s="2">
        <v>25</v>
      </c>
      <c r="F6532" s="2">
        <v>1625</v>
      </c>
      <c r="G6532" s="2">
        <v>1706.25</v>
      </c>
    </row>
    <row r="6533" spans="1:8" x14ac:dyDescent="0.3">
      <c r="A6533" t="s">
        <v>2296</v>
      </c>
      <c r="B6533" t="s">
        <v>483</v>
      </c>
      <c r="C6533" t="s">
        <v>484</v>
      </c>
      <c r="D6533">
        <v>2020</v>
      </c>
      <c r="E6533" s="2">
        <v>10</v>
      </c>
      <c r="F6533" s="2">
        <v>650</v>
      </c>
      <c r="G6533" s="2">
        <v>650</v>
      </c>
      <c r="H6533" s="3" t="s">
        <v>18</v>
      </c>
    </row>
    <row r="6534" spans="1:8" x14ac:dyDescent="0.3">
      <c r="A6534" t="s">
        <v>2296</v>
      </c>
      <c r="B6534" t="s">
        <v>483</v>
      </c>
      <c r="C6534" t="s">
        <v>484</v>
      </c>
      <c r="D6534">
        <v>2021</v>
      </c>
      <c r="E6534" s="2">
        <v>25</v>
      </c>
      <c r="F6534" s="2">
        <v>1625</v>
      </c>
      <c r="G6534" s="2">
        <v>1625</v>
      </c>
      <c r="H6534" s="3" t="s">
        <v>18</v>
      </c>
    </row>
    <row r="6535" spans="1:8" x14ac:dyDescent="0.3">
      <c r="A6535" t="s">
        <v>2297</v>
      </c>
      <c r="B6535" t="s">
        <v>2298</v>
      </c>
      <c r="D6535">
        <v>2018</v>
      </c>
      <c r="E6535" s="2">
        <v>2</v>
      </c>
      <c r="F6535" s="2">
        <v>580</v>
      </c>
      <c r="G6535" s="2">
        <v>609</v>
      </c>
    </row>
    <row r="6536" spans="1:8" x14ac:dyDescent="0.3">
      <c r="A6536" t="s">
        <v>2297</v>
      </c>
      <c r="B6536" t="s">
        <v>218</v>
      </c>
      <c r="C6536" t="s">
        <v>212</v>
      </c>
      <c r="D6536">
        <v>2014</v>
      </c>
      <c r="E6536" s="2">
        <v>5</v>
      </c>
      <c r="F6536" s="2">
        <v>925</v>
      </c>
      <c r="G6536" s="2"/>
    </row>
    <row r="6537" spans="1:8" x14ac:dyDescent="0.3">
      <c r="A6537" t="s">
        <v>2297</v>
      </c>
      <c r="B6537" t="s">
        <v>819</v>
      </c>
      <c r="C6537" t="s">
        <v>220</v>
      </c>
      <c r="D6537">
        <v>2017</v>
      </c>
      <c r="E6537" s="2">
        <v>30</v>
      </c>
      <c r="F6537" s="2">
        <v>6000</v>
      </c>
      <c r="G6537" s="2"/>
    </row>
    <row r="6538" spans="1:8" x14ac:dyDescent="0.3">
      <c r="A6538" t="s">
        <v>2297</v>
      </c>
      <c r="B6538" t="s">
        <v>510</v>
      </c>
      <c r="C6538" t="s">
        <v>511</v>
      </c>
      <c r="D6538">
        <v>2018</v>
      </c>
      <c r="E6538" s="2">
        <v>25</v>
      </c>
      <c r="F6538" s="2">
        <v>4000</v>
      </c>
      <c r="G6538" s="2">
        <v>4200</v>
      </c>
    </row>
    <row r="6539" spans="1:8" x14ac:dyDescent="0.3">
      <c r="A6539" t="s">
        <v>2297</v>
      </c>
      <c r="B6539" t="s">
        <v>95</v>
      </c>
      <c r="C6539" t="s">
        <v>96</v>
      </c>
      <c r="D6539">
        <v>2018</v>
      </c>
      <c r="E6539" s="2">
        <v>20</v>
      </c>
      <c r="F6539" s="2">
        <v>3600</v>
      </c>
      <c r="G6539" s="2">
        <v>3780</v>
      </c>
    </row>
    <row r="6540" spans="1:8" x14ac:dyDescent="0.3">
      <c r="A6540" t="s">
        <v>2297</v>
      </c>
      <c r="B6540" t="s">
        <v>291</v>
      </c>
      <c r="C6540" t="s">
        <v>292</v>
      </c>
      <c r="D6540">
        <v>2016</v>
      </c>
      <c r="E6540" s="2">
        <v>25</v>
      </c>
      <c r="F6540" s="2">
        <v>4000</v>
      </c>
      <c r="G6540" s="2"/>
    </row>
    <row r="6541" spans="1:8" x14ac:dyDescent="0.3">
      <c r="A6541" t="s">
        <v>2297</v>
      </c>
      <c r="B6541" t="s">
        <v>135</v>
      </c>
      <c r="C6541" t="s">
        <v>136</v>
      </c>
      <c r="D6541">
        <v>2014</v>
      </c>
      <c r="E6541" s="2">
        <v>5</v>
      </c>
      <c r="F6541" s="2">
        <v>900</v>
      </c>
      <c r="G6541" s="2"/>
    </row>
    <row r="6542" spans="1:8" x14ac:dyDescent="0.3">
      <c r="A6542" t="s">
        <v>2297</v>
      </c>
      <c r="B6542" t="s">
        <v>196</v>
      </c>
      <c r="C6542" t="s">
        <v>197</v>
      </c>
      <c r="D6542">
        <v>2014</v>
      </c>
      <c r="E6542" s="2">
        <v>5</v>
      </c>
      <c r="F6542" s="2">
        <v>900</v>
      </c>
      <c r="G6542" s="2"/>
    </row>
    <row r="6543" spans="1:8" x14ac:dyDescent="0.3">
      <c r="A6543" t="s">
        <v>2297</v>
      </c>
      <c r="B6543" t="s">
        <v>196</v>
      </c>
      <c r="C6543" t="s">
        <v>197</v>
      </c>
      <c r="D6543">
        <v>2015</v>
      </c>
      <c r="E6543" s="2">
        <v>75</v>
      </c>
      <c r="F6543" s="2">
        <v>12000</v>
      </c>
      <c r="G6543" s="2"/>
    </row>
    <row r="6544" spans="1:8" x14ac:dyDescent="0.3">
      <c r="A6544" t="s">
        <v>2297</v>
      </c>
      <c r="B6544" t="s">
        <v>74</v>
      </c>
      <c r="C6544" t="s">
        <v>75</v>
      </c>
      <c r="D6544">
        <v>2017</v>
      </c>
      <c r="E6544" s="2">
        <v>80</v>
      </c>
      <c r="F6544" s="2">
        <v>12000</v>
      </c>
      <c r="G6544" s="2"/>
    </row>
    <row r="6545" spans="1:8" x14ac:dyDescent="0.3">
      <c r="A6545" t="s">
        <v>2297</v>
      </c>
      <c r="B6545" t="s">
        <v>74</v>
      </c>
      <c r="C6545" t="s">
        <v>75</v>
      </c>
      <c r="D6545">
        <v>2018</v>
      </c>
      <c r="E6545" s="2">
        <v>10</v>
      </c>
      <c r="F6545" s="2">
        <v>1500</v>
      </c>
      <c r="G6545" s="2">
        <v>1575</v>
      </c>
    </row>
    <row r="6546" spans="1:8" x14ac:dyDescent="0.3">
      <c r="A6546" t="s">
        <v>2299</v>
      </c>
      <c r="B6546" t="s">
        <v>184</v>
      </c>
      <c r="C6546" t="s">
        <v>185</v>
      </c>
      <c r="D6546">
        <v>2013</v>
      </c>
      <c r="E6546" s="2">
        <v>25</v>
      </c>
      <c r="F6546" s="2">
        <v>1625</v>
      </c>
      <c r="G6546" s="2"/>
    </row>
    <row r="6547" spans="1:8" x14ac:dyDescent="0.3">
      <c r="A6547" t="s">
        <v>2299</v>
      </c>
      <c r="B6547" t="s">
        <v>297</v>
      </c>
      <c r="C6547" t="s">
        <v>298</v>
      </c>
      <c r="D6547">
        <v>2013</v>
      </c>
      <c r="E6547" s="2">
        <v>25</v>
      </c>
      <c r="F6547" s="2">
        <v>1750</v>
      </c>
      <c r="G6547" s="2"/>
    </row>
    <row r="6548" spans="1:8" x14ac:dyDescent="0.3">
      <c r="A6548" t="s">
        <v>2299</v>
      </c>
      <c r="B6548" t="s">
        <v>19</v>
      </c>
      <c r="C6548" t="s">
        <v>270</v>
      </c>
      <c r="D6548">
        <v>2013</v>
      </c>
      <c r="E6548" s="2">
        <v>25</v>
      </c>
      <c r="F6548" s="2">
        <v>2000</v>
      </c>
      <c r="G6548" s="2"/>
    </row>
    <row r="6549" spans="1:8" x14ac:dyDescent="0.3">
      <c r="A6549" t="s">
        <v>2299</v>
      </c>
      <c r="B6549" t="s">
        <v>41</v>
      </c>
      <c r="C6549" t="s">
        <v>42</v>
      </c>
      <c r="D6549">
        <v>2013</v>
      </c>
      <c r="E6549" s="2">
        <v>25</v>
      </c>
      <c r="F6549" s="2">
        <v>1700</v>
      </c>
      <c r="G6549" s="2"/>
    </row>
    <row r="6550" spans="1:8" x14ac:dyDescent="0.3">
      <c r="A6550" t="s">
        <v>2300</v>
      </c>
      <c r="B6550" t="s">
        <v>184</v>
      </c>
      <c r="C6550" t="s">
        <v>185</v>
      </c>
      <c r="D6550">
        <v>2012</v>
      </c>
      <c r="E6550" s="2">
        <v>25</v>
      </c>
      <c r="F6550" s="2">
        <v>1625</v>
      </c>
      <c r="G6550" s="2"/>
    </row>
    <row r="6551" spans="1:8" x14ac:dyDescent="0.3">
      <c r="A6551" t="s">
        <v>2300</v>
      </c>
      <c r="B6551" t="s">
        <v>297</v>
      </c>
      <c r="C6551" t="s">
        <v>298</v>
      </c>
      <c r="D6551">
        <v>2012</v>
      </c>
      <c r="E6551" s="2">
        <v>25</v>
      </c>
      <c r="F6551" s="2">
        <v>1750</v>
      </c>
      <c r="G6551" s="2"/>
    </row>
    <row r="6552" spans="1:8" x14ac:dyDescent="0.3">
      <c r="A6552" t="s">
        <v>2300</v>
      </c>
      <c r="B6552" t="s">
        <v>19</v>
      </c>
      <c r="C6552" t="s">
        <v>270</v>
      </c>
      <c r="D6552">
        <v>2012</v>
      </c>
      <c r="E6552" s="2">
        <v>25</v>
      </c>
      <c r="F6552" s="2">
        <v>2000</v>
      </c>
      <c r="G6552" s="2"/>
    </row>
    <row r="6553" spans="1:8" x14ac:dyDescent="0.3">
      <c r="A6553" t="s">
        <v>2300</v>
      </c>
      <c r="B6553" t="s">
        <v>41</v>
      </c>
      <c r="C6553" t="s">
        <v>42</v>
      </c>
      <c r="D6553">
        <v>2012</v>
      </c>
      <c r="E6553" s="2">
        <v>25</v>
      </c>
      <c r="F6553" s="2">
        <v>1700</v>
      </c>
      <c r="G6553" s="2"/>
    </row>
    <row r="6554" spans="1:8" x14ac:dyDescent="0.3">
      <c r="A6554" t="s">
        <v>2301</v>
      </c>
      <c r="B6554" t="s">
        <v>16</v>
      </c>
      <c r="C6554" t="s">
        <v>17</v>
      </c>
      <c r="D6554">
        <v>2017</v>
      </c>
      <c r="E6554" s="2">
        <v>2</v>
      </c>
      <c r="F6554" s="2">
        <v>170</v>
      </c>
      <c r="G6554" s="2"/>
    </row>
    <row r="6555" spans="1:8" x14ac:dyDescent="0.3">
      <c r="A6555" t="s">
        <v>2301</v>
      </c>
      <c r="B6555" t="s">
        <v>1461</v>
      </c>
      <c r="D6555">
        <v>2021</v>
      </c>
      <c r="E6555" s="2">
        <v>5</v>
      </c>
      <c r="F6555" s="2">
        <v>415</v>
      </c>
      <c r="G6555" s="2">
        <v>435.75</v>
      </c>
      <c r="H6555" s="3" t="s">
        <v>18</v>
      </c>
    </row>
    <row r="6556" spans="1:8" x14ac:dyDescent="0.3">
      <c r="A6556" t="s">
        <v>2301</v>
      </c>
      <c r="B6556" t="s">
        <v>1861</v>
      </c>
      <c r="D6556">
        <v>2019</v>
      </c>
      <c r="E6556" s="2">
        <v>3</v>
      </c>
      <c r="F6556" s="2">
        <v>270</v>
      </c>
      <c r="G6556" s="2">
        <v>283.5</v>
      </c>
      <c r="H6556" s="3" t="s">
        <v>18</v>
      </c>
    </row>
    <row r="6557" spans="1:8" x14ac:dyDescent="0.3">
      <c r="A6557" t="s">
        <v>2301</v>
      </c>
      <c r="B6557" t="s">
        <v>1861</v>
      </c>
      <c r="D6557">
        <v>2021</v>
      </c>
      <c r="E6557" s="2">
        <v>1</v>
      </c>
      <c r="F6557" s="2">
        <v>95</v>
      </c>
      <c r="G6557" s="2">
        <v>99.75</v>
      </c>
      <c r="H6557" s="3" t="s">
        <v>18</v>
      </c>
    </row>
    <row r="6558" spans="1:8" x14ac:dyDescent="0.3">
      <c r="A6558" t="s">
        <v>2301</v>
      </c>
      <c r="B6558" t="s">
        <v>19</v>
      </c>
      <c r="C6558" t="s">
        <v>699</v>
      </c>
      <c r="D6558">
        <v>2017</v>
      </c>
      <c r="E6558" s="2">
        <v>25</v>
      </c>
      <c r="F6558" s="2">
        <v>1750</v>
      </c>
      <c r="G6558" s="2"/>
    </row>
    <row r="6559" spans="1:8" x14ac:dyDescent="0.3">
      <c r="A6559" t="s">
        <v>2301</v>
      </c>
      <c r="B6559" t="s">
        <v>269</v>
      </c>
      <c r="C6559" t="s">
        <v>270</v>
      </c>
      <c r="D6559">
        <v>2017</v>
      </c>
      <c r="E6559" s="2">
        <v>25</v>
      </c>
      <c r="F6559" s="2">
        <v>1700</v>
      </c>
      <c r="G6559" s="2"/>
    </row>
    <row r="6560" spans="1:8" x14ac:dyDescent="0.3">
      <c r="A6560" t="s">
        <v>2301</v>
      </c>
      <c r="B6560" t="s">
        <v>269</v>
      </c>
      <c r="C6560" t="s">
        <v>270</v>
      </c>
      <c r="D6560">
        <v>2018</v>
      </c>
      <c r="E6560" s="2">
        <v>225</v>
      </c>
      <c r="F6560" s="2">
        <v>14575</v>
      </c>
      <c r="G6560" s="2">
        <v>15303.75</v>
      </c>
    </row>
    <row r="6561" spans="1:8" x14ac:dyDescent="0.3">
      <c r="A6561" t="s">
        <v>2301</v>
      </c>
      <c r="B6561" t="s">
        <v>269</v>
      </c>
      <c r="C6561" t="s">
        <v>270</v>
      </c>
      <c r="D6561">
        <v>2019</v>
      </c>
      <c r="E6561" s="2">
        <v>50</v>
      </c>
      <c r="F6561" s="2">
        <v>3450</v>
      </c>
      <c r="G6561" s="2">
        <v>3622.5</v>
      </c>
    </row>
    <row r="6562" spans="1:8" x14ac:dyDescent="0.3">
      <c r="A6562" t="s">
        <v>2301</v>
      </c>
      <c r="B6562" t="s">
        <v>12</v>
      </c>
      <c r="C6562" t="s">
        <v>13</v>
      </c>
      <c r="D6562">
        <v>2017</v>
      </c>
      <c r="E6562" s="2">
        <v>50</v>
      </c>
      <c r="F6562" s="2">
        <v>3250</v>
      </c>
      <c r="G6562" s="2"/>
    </row>
    <row r="6563" spans="1:8" x14ac:dyDescent="0.3">
      <c r="A6563" t="s">
        <v>2301</v>
      </c>
      <c r="B6563" t="s">
        <v>12</v>
      </c>
      <c r="C6563" t="s">
        <v>13</v>
      </c>
      <c r="D6563">
        <v>2018</v>
      </c>
      <c r="E6563" s="2">
        <v>200</v>
      </c>
      <c r="F6563" s="2">
        <v>12500</v>
      </c>
      <c r="G6563" s="2">
        <v>13125</v>
      </c>
    </row>
    <row r="6564" spans="1:8" x14ac:dyDescent="0.3">
      <c r="A6564" t="s">
        <v>2302</v>
      </c>
      <c r="B6564" t="s">
        <v>1238</v>
      </c>
      <c r="C6564" t="s">
        <v>1239</v>
      </c>
      <c r="D6564">
        <v>2019</v>
      </c>
      <c r="E6564" s="2">
        <v>10</v>
      </c>
      <c r="F6564" s="2">
        <v>1400</v>
      </c>
      <c r="G6564" s="2">
        <v>1470</v>
      </c>
    </row>
    <row r="6565" spans="1:8" x14ac:dyDescent="0.3">
      <c r="A6565" t="s">
        <v>2302</v>
      </c>
      <c r="B6565" t="s">
        <v>719</v>
      </c>
      <c r="C6565" t="s">
        <v>1244</v>
      </c>
      <c r="D6565">
        <v>2009</v>
      </c>
      <c r="E6565" s="2">
        <v>10</v>
      </c>
      <c r="F6565" s="2">
        <v>850</v>
      </c>
      <c r="G6565" s="2"/>
    </row>
    <row r="6566" spans="1:8" x14ac:dyDescent="0.3">
      <c r="A6566" t="s">
        <v>2302</v>
      </c>
      <c r="B6566" t="s">
        <v>719</v>
      </c>
      <c r="C6566" t="s">
        <v>1244</v>
      </c>
      <c r="D6566">
        <v>2010</v>
      </c>
      <c r="E6566" s="2">
        <v>10</v>
      </c>
      <c r="F6566" s="2">
        <v>850</v>
      </c>
      <c r="G6566" s="2"/>
    </row>
    <row r="6567" spans="1:8" x14ac:dyDescent="0.3">
      <c r="A6567" t="s">
        <v>2302</v>
      </c>
      <c r="B6567" t="s">
        <v>719</v>
      </c>
      <c r="C6567" t="s">
        <v>1244</v>
      </c>
      <c r="D6567">
        <v>2011</v>
      </c>
      <c r="E6567" s="2">
        <v>10</v>
      </c>
      <c r="F6567" s="2">
        <v>850</v>
      </c>
      <c r="G6567" s="2"/>
    </row>
    <row r="6568" spans="1:8" x14ac:dyDescent="0.3">
      <c r="A6568" t="s">
        <v>2302</v>
      </c>
      <c r="B6568" t="s">
        <v>2303</v>
      </c>
      <c r="C6568" t="s">
        <v>505</v>
      </c>
      <c r="D6568">
        <v>2013</v>
      </c>
      <c r="E6568" s="2">
        <v>50</v>
      </c>
      <c r="F6568" s="2">
        <v>5250</v>
      </c>
      <c r="G6568" s="2"/>
    </row>
    <row r="6569" spans="1:8" x14ac:dyDescent="0.3">
      <c r="A6569" t="s">
        <v>2302</v>
      </c>
      <c r="B6569" t="s">
        <v>2303</v>
      </c>
      <c r="C6569" t="s">
        <v>505</v>
      </c>
      <c r="D6569">
        <v>2015</v>
      </c>
      <c r="E6569" s="2">
        <v>25</v>
      </c>
      <c r="F6569" s="2">
        <v>2000</v>
      </c>
      <c r="G6569" s="2"/>
    </row>
    <row r="6570" spans="1:8" x14ac:dyDescent="0.3">
      <c r="A6570" t="s">
        <v>2302</v>
      </c>
      <c r="B6570" t="s">
        <v>2303</v>
      </c>
      <c r="C6570" t="s">
        <v>505</v>
      </c>
      <c r="D6570">
        <v>2016</v>
      </c>
      <c r="E6570" s="2">
        <v>20</v>
      </c>
      <c r="F6570" s="2">
        <v>2200</v>
      </c>
      <c r="G6570" s="2"/>
    </row>
    <row r="6571" spans="1:8" x14ac:dyDescent="0.3">
      <c r="A6571" t="s">
        <v>2302</v>
      </c>
      <c r="B6571" t="s">
        <v>824</v>
      </c>
      <c r="C6571" t="s">
        <v>825</v>
      </c>
      <c r="D6571">
        <v>2017</v>
      </c>
      <c r="E6571" s="2">
        <v>15</v>
      </c>
      <c r="F6571" s="2">
        <v>1800</v>
      </c>
      <c r="G6571" s="2"/>
    </row>
    <row r="6572" spans="1:8" x14ac:dyDescent="0.3">
      <c r="A6572" t="s">
        <v>2302</v>
      </c>
      <c r="B6572" t="s">
        <v>538</v>
      </c>
      <c r="C6572" t="s">
        <v>539</v>
      </c>
      <c r="D6572">
        <v>2009</v>
      </c>
      <c r="E6572" s="2">
        <v>30</v>
      </c>
      <c r="F6572" s="2">
        <v>3960</v>
      </c>
      <c r="G6572" s="2"/>
    </row>
    <row r="6573" spans="1:8" x14ac:dyDescent="0.3">
      <c r="A6573" t="s">
        <v>2302</v>
      </c>
      <c r="B6573" t="s">
        <v>2221</v>
      </c>
      <c r="C6573" t="s">
        <v>998</v>
      </c>
      <c r="D6573">
        <v>2011</v>
      </c>
      <c r="E6573" s="2">
        <v>10</v>
      </c>
      <c r="F6573" s="2">
        <v>1400</v>
      </c>
      <c r="G6573" s="2"/>
    </row>
    <row r="6574" spans="1:8" x14ac:dyDescent="0.3">
      <c r="A6574" t="s">
        <v>2302</v>
      </c>
      <c r="B6574" t="s">
        <v>1103</v>
      </c>
      <c r="C6574" t="s">
        <v>224</v>
      </c>
      <c r="D6574">
        <v>2009</v>
      </c>
      <c r="E6574" s="2">
        <v>10</v>
      </c>
      <c r="F6574" s="2">
        <v>2390</v>
      </c>
      <c r="G6574" s="2"/>
    </row>
    <row r="6575" spans="1:8" x14ac:dyDescent="0.3">
      <c r="A6575" t="s">
        <v>2302</v>
      </c>
      <c r="B6575" t="s">
        <v>1103</v>
      </c>
      <c r="C6575" t="s">
        <v>224</v>
      </c>
      <c r="D6575">
        <v>2019</v>
      </c>
      <c r="E6575" s="2">
        <v>10</v>
      </c>
      <c r="F6575" s="2">
        <v>1800</v>
      </c>
      <c r="G6575" s="2">
        <v>1890</v>
      </c>
    </row>
    <row r="6576" spans="1:8" x14ac:dyDescent="0.3">
      <c r="A6576" t="s">
        <v>2302</v>
      </c>
      <c r="B6576" t="s">
        <v>103</v>
      </c>
      <c r="C6576" t="s">
        <v>104</v>
      </c>
      <c r="D6576">
        <v>2009</v>
      </c>
      <c r="E6576" s="2">
        <v>110</v>
      </c>
      <c r="F6576" s="2">
        <v>16170</v>
      </c>
      <c r="G6576" s="2"/>
      <c r="H6576" s="3" t="s">
        <v>18</v>
      </c>
    </row>
    <row r="6577" spans="1:8" x14ac:dyDescent="0.3">
      <c r="A6577" t="s">
        <v>2302</v>
      </c>
      <c r="B6577" t="s">
        <v>103</v>
      </c>
      <c r="C6577" t="s">
        <v>104</v>
      </c>
      <c r="D6577">
        <v>2016</v>
      </c>
      <c r="E6577" s="2">
        <v>25</v>
      </c>
      <c r="F6577" s="2">
        <v>3750</v>
      </c>
      <c r="G6577" s="2"/>
      <c r="H6577" s="3" t="s">
        <v>18</v>
      </c>
    </row>
    <row r="6578" spans="1:8" x14ac:dyDescent="0.3">
      <c r="A6578" t="s">
        <v>2302</v>
      </c>
      <c r="B6578" t="s">
        <v>103</v>
      </c>
      <c r="C6578" t="s">
        <v>104</v>
      </c>
      <c r="D6578">
        <v>2018</v>
      </c>
      <c r="E6578" s="2">
        <v>20</v>
      </c>
      <c r="F6578" s="2">
        <v>3000</v>
      </c>
      <c r="G6578" s="2">
        <v>3150</v>
      </c>
      <c r="H6578" s="3" t="s">
        <v>18</v>
      </c>
    </row>
    <row r="6579" spans="1:8" x14ac:dyDescent="0.3">
      <c r="A6579" t="s">
        <v>2302</v>
      </c>
      <c r="B6579" t="s">
        <v>103</v>
      </c>
      <c r="C6579" t="s">
        <v>104</v>
      </c>
      <c r="D6579">
        <v>2019</v>
      </c>
      <c r="E6579" s="2">
        <v>10</v>
      </c>
      <c r="F6579" s="2">
        <v>1500</v>
      </c>
      <c r="G6579" s="2">
        <v>1575</v>
      </c>
      <c r="H6579" s="3" t="s">
        <v>18</v>
      </c>
    </row>
    <row r="6580" spans="1:8" x14ac:dyDescent="0.3">
      <c r="A6580" t="s">
        <v>2302</v>
      </c>
      <c r="B6580" t="s">
        <v>103</v>
      </c>
      <c r="C6580" t="s">
        <v>104</v>
      </c>
      <c r="D6580">
        <v>2020</v>
      </c>
      <c r="E6580" s="2">
        <v>10</v>
      </c>
      <c r="F6580" s="2">
        <v>1500</v>
      </c>
      <c r="G6580" s="2">
        <v>1500</v>
      </c>
      <c r="H6580" s="3" t="s">
        <v>18</v>
      </c>
    </row>
    <row r="6581" spans="1:8" x14ac:dyDescent="0.3">
      <c r="A6581" t="s">
        <v>2302</v>
      </c>
      <c r="B6581" t="s">
        <v>103</v>
      </c>
      <c r="C6581" t="s">
        <v>104</v>
      </c>
      <c r="D6581">
        <v>2021</v>
      </c>
      <c r="E6581" s="2">
        <v>5</v>
      </c>
      <c r="F6581" s="2">
        <v>750</v>
      </c>
      <c r="G6581" s="2">
        <v>787.5</v>
      </c>
      <c r="H6581" s="3" t="s">
        <v>18</v>
      </c>
    </row>
    <row r="6582" spans="1:8" x14ac:dyDescent="0.3">
      <c r="A6582" t="s">
        <v>2302</v>
      </c>
      <c r="B6582" t="s">
        <v>297</v>
      </c>
      <c r="C6582" t="s">
        <v>2285</v>
      </c>
      <c r="D6582">
        <v>2009</v>
      </c>
      <c r="E6582" s="2">
        <v>25</v>
      </c>
      <c r="F6582" s="2">
        <v>2000</v>
      </c>
      <c r="G6582" s="2"/>
    </row>
    <row r="6583" spans="1:8" x14ac:dyDescent="0.3">
      <c r="A6583" t="s">
        <v>2302</v>
      </c>
      <c r="B6583" t="s">
        <v>297</v>
      </c>
      <c r="C6583" t="s">
        <v>298</v>
      </c>
      <c r="D6583">
        <v>2013</v>
      </c>
      <c r="E6583" s="2">
        <v>25</v>
      </c>
      <c r="F6583" s="2">
        <v>2500</v>
      </c>
      <c r="G6583" s="2"/>
    </row>
    <row r="6584" spans="1:8" x14ac:dyDescent="0.3">
      <c r="A6584" t="s">
        <v>2302</v>
      </c>
      <c r="B6584" t="s">
        <v>297</v>
      </c>
      <c r="C6584" t="s">
        <v>298</v>
      </c>
      <c r="D6584">
        <v>2015</v>
      </c>
      <c r="E6584" s="2">
        <v>100</v>
      </c>
      <c r="F6584" s="2">
        <v>7500</v>
      </c>
      <c r="G6584" s="2"/>
    </row>
    <row r="6585" spans="1:8" x14ac:dyDescent="0.3">
      <c r="A6585" t="s">
        <v>2302</v>
      </c>
      <c r="B6585" t="s">
        <v>297</v>
      </c>
      <c r="C6585" t="s">
        <v>298</v>
      </c>
      <c r="D6585">
        <v>2016</v>
      </c>
      <c r="E6585" s="2">
        <v>75</v>
      </c>
      <c r="F6585" s="2">
        <v>5625</v>
      </c>
      <c r="G6585" s="2"/>
    </row>
    <row r="6586" spans="1:8" x14ac:dyDescent="0.3">
      <c r="A6586" t="s">
        <v>2302</v>
      </c>
      <c r="B6586" t="s">
        <v>297</v>
      </c>
      <c r="C6586" t="s">
        <v>298</v>
      </c>
      <c r="D6586">
        <v>2017</v>
      </c>
      <c r="E6586" s="2">
        <v>25</v>
      </c>
      <c r="F6586" s="2">
        <v>1750</v>
      </c>
      <c r="G6586" s="2"/>
    </row>
    <row r="6587" spans="1:8" x14ac:dyDescent="0.3">
      <c r="A6587" t="s">
        <v>2302</v>
      </c>
      <c r="B6587" t="s">
        <v>297</v>
      </c>
      <c r="C6587" t="s">
        <v>298</v>
      </c>
      <c r="D6587">
        <v>2018</v>
      </c>
      <c r="E6587" s="2">
        <v>25</v>
      </c>
      <c r="F6587" s="2">
        <v>1875</v>
      </c>
      <c r="G6587" s="2">
        <v>1968.75</v>
      </c>
    </row>
    <row r="6588" spans="1:8" x14ac:dyDescent="0.3">
      <c r="A6588" t="s">
        <v>2302</v>
      </c>
      <c r="B6588" t="s">
        <v>297</v>
      </c>
      <c r="C6588" t="s">
        <v>298</v>
      </c>
      <c r="D6588">
        <v>2019</v>
      </c>
      <c r="E6588" s="2">
        <v>45</v>
      </c>
      <c r="F6588" s="2">
        <v>2715</v>
      </c>
      <c r="G6588" s="2">
        <v>2850.75</v>
      </c>
    </row>
    <row r="6589" spans="1:8" x14ac:dyDescent="0.3">
      <c r="A6589" t="s">
        <v>2302</v>
      </c>
      <c r="B6589" t="s">
        <v>2304</v>
      </c>
      <c r="C6589" t="s">
        <v>2305</v>
      </c>
      <c r="D6589">
        <v>2009</v>
      </c>
      <c r="E6589" s="2">
        <v>10</v>
      </c>
      <c r="F6589" s="2">
        <v>1100</v>
      </c>
      <c r="G6589" s="2"/>
    </row>
    <row r="6590" spans="1:8" x14ac:dyDescent="0.3">
      <c r="A6590" t="s">
        <v>2302</v>
      </c>
      <c r="B6590" t="s">
        <v>597</v>
      </c>
      <c r="C6590" t="s">
        <v>598</v>
      </c>
      <c r="D6590">
        <v>2020</v>
      </c>
      <c r="E6590" s="2">
        <v>5</v>
      </c>
      <c r="F6590" s="2">
        <v>950</v>
      </c>
      <c r="G6590" s="2">
        <v>950</v>
      </c>
    </row>
    <row r="6591" spans="1:8" x14ac:dyDescent="0.3">
      <c r="A6591" t="s">
        <v>2302</v>
      </c>
      <c r="B6591" t="s">
        <v>135</v>
      </c>
      <c r="C6591" t="s">
        <v>136</v>
      </c>
      <c r="D6591">
        <v>2009</v>
      </c>
      <c r="E6591" s="2">
        <v>25</v>
      </c>
      <c r="F6591" s="2">
        <v>3750</v>
      </c>
      <c r="G6591" s="2"/>
    </row>
    <row r="6592" spans="1:8" x14ac:dyDescent="0.3">
      <c r="A6592" t="s">
        <v>2302</v>
      </c>
      <c r="B6592" t="s">
        <v>2306</v>
      </c>
      <c r="C6592" t="s">
        <v>2307</v>
      </c>
      <c r="D6592">
        <v>2009</v>
      </c>
      <c r="E6592" s="2">
        <v>40</v>
      </c>
      <c r="F6592" s="2">
        <v>10440</v>
      </c>
      <c r="G6592" s="2"/>
    </row>
    <row r="6593" spans="1:8" x14ac:dyDescent="0.3">
      <c r="A6593" t="s">
        <v>2302</v>
      </c>
      <c r="B6593" t="s">
        <v>2306</v>
      </c>
      <c r="C6593" t="s">
        <v>2307</v>
      </c>
      <c r="D6593">
        <v>2016</v>
      </c>
      <c r="E6593" s="2">
        <v>25</v>
      </c>
      <c r="F6593" s="2">
        <v>7125</v>
      </c>
      <c r="G6593" s="2"/>
    </row>
    <row r="6594" spans="1:8" x14ac:dyDescent="0.3">
      <c r="A6594" t="s">
        <v>2302</v>
      </c>
      <c r="B6594" t="s">
        <v>46</v>
      </c>
      <c r="C6594" t="s">
        <v>47</v>
      </c>
      <c r="D6594">
        <v>2015</v>
      </c>
      <c r="E6594" s="2">
        <v>25</v>
      </c>
      <c r="F6594" s="2">
        <v>2125</v>
      </c>
      <c r="G6594" s="2"/>
    </row>
    <row r="6595" spans="1:8" x14ac:dyDescent="0.3">
      <c r="A6595" t="s">
        <v>2308</v>
      </c>
      <c r="B6595" t="s">
        <v>417</v>
      </c>
      <c r="C6595" t="s">
        <v>418</v>
      </c>
      <c r="D6595">
        <v>2019</v>
      </c>
      <c r="E6595" s="2">
        <v>125</v>
      </c>
      <c r="F6595" s="2">
        <v>7875</v>
      </c>
      <c r="G6595" s="2">
        <v>8268.75</v>
      </c>
    </row>
    <row r="6596" spans="1:8" x14ac:dyDescent="0.3">
      <c r="A6596" t="s">
        <v>2308</v>
      </c>
      <c r="B6596" t="s">
        <v>1701</v>
      </c>
      <c r="D6596">
        <v>2021</v>
      </c>
      <c r="E6596" s="2">
        <v>20</v>
      </c>
      <c r="F6596" s="2">
        <v>1800</v>
      </c>
      <c r="G6596" s="2">
        <v>1890</v>
      </c>
      <c r="H6596" s="3" t="s">
        <v>18</v>
      </c>
    </row>
    <row r="6597" spans="1:8" x14ac:dyDescent="0.3">
      <c r="A6597" t="s">
        <v>2308</v>
      </c>
      <c r="B6597" t="s">
        <v>242</v>
      </c>
      <c r="D6597">
        <v>2019</v>
      </c>
      <c r="E6597" s="2">
        <v>50</v>
      </c>
      <c r="F6597" s="2">
        <v>18000</v>
      </c>
      <c r="G6597" s="2">
        <v>18900</v>
      </c>
    </row>
    <row r="6598" spans="1:8" x14ac:dyDescent="0.3">
      <c r="A6598" t="s">
        <v>2308</v>
      </c>
      <c r="B6598" t="s">
        <v>242</v>
      </c>
      <c r="D6598">
        <v>2020</v>
      </c>
      <c r="E6598" s="2">
        <v>199</v>
      </c>
      <c r="F6598" s="2">
        <v>71640</v>
      </c>
      <c r="G6598" s="2">
        <v>75222</v>
      </c>
    </row>
    <row r="6599" spans="1:8" x14ac:dyDescent="0.3">
      <c r="A6599" t="s">
        <v>2308</v>
      </c>
      <c r="B6599" t="s">
        <v>863</v>
      </c>
      <c r="D6599">
        <v>2019</v>
      </c>
      <c r="E6599" s="2">
        <v>20</v>
      </c>
      <c r="F6599" s="2">
        <v>1500</v>
      </c>
      <c r="G6599" s="2">
        <v>1575</v>
      </c>
    </row>
    <row r="6600" spans="1:8" x14ac:dyDescent="0.3">
      <c r="A6600" t="s">
        <v>2308</v>
      </c>
      <c r="B6600" t="s">
        <v>32</v>
      </c>
      <c r="D6600">
        <v>2019</v>
      </c>
      <c r="E6600" s="2">
        <v>20</v>
      </c>
      <c r="F6600" s="2">
        <v>1200</v>
      </c>
      <c r="G6600" s="2">
        <v>1260</v>
      </c>
    </row>
    <row r="6601" spans="1:8" x14ac:dyDescent="0.3">
      <c r="A6601" t="s">
        <v>2308</v>
      </c>
      <c r="B6601" t="s">
        <v>483</v>
      </c>
      <c r="C6601" t="s">
        <v>484</v>
      </c>
      <c r="D6601">
        <v>2019</v>
      </c>
      <c r="E6601" s="2">
        <v>25</v>
      </c>
      <c r="F6601" s="2">
        <v>1675</v>
      </c>
      <c r="G6601" s="2">
        <v>1758.75</v>
      </c>
    </row>
    <row r="6602" spans="1:8" x14ac:dyDescent="0.3">
      <c r="A6602" t="s">
        <v>2308</v>
      </c>
      <c r="B6602" t="s">
        <v>483</v>
      </c>
      <c r="C6602" t="s">
        <v>484</v>
      </c>
      <c r="D6602">
        <v>2020</v>
      </c>
      <c r="E6602" s="2">
        <v>50</v>
      </c>
      <c r="F6602" s="2">
        <v>3350</v>
      </c>
      <c r="G6602" s="2">
        <v>3517.5</v>
      </c>
    </row>
    <row r="6603" spans="1:8" x14ac:dyDescent="0.3">
      <c r="A6603" t="s">
        <v>2309</v>
      </c>
      <c r="B6603" t="s">
        <v>24</v>
      </c>
      <c r="C6603" t="s">
        <v>25</v>
      </c>
      <c r="D6603">
        <v>2011</v>
      </c>
      <c r="E6603" s="2">
        <v>25</v>
      </c>
      <c r="F6603" s="2">
        <v>7125</v>
      </c>
      <c r="G6603" s="2"/>
    </row>
    <row r="6604" spans="1:8" x14ac:dyDescent="0.3">
      <c r="A6604" t="s">
        <v>2309</v>
      </c>
      <c r="B6604" t="s">
        <v>24</v>
      </c>
      <c r="C6604" t="s">
        <v>25</v>
      </c>
      <c r="D6604">
        <v>2015</v>
      </c>
      <c r="E6604" s="2">
        <v>25</v>
      </c>
      <c r="F6604" s="2">
        <v>2375</v>
      </c>
      <c r="G6604" s="2"/>
    </row>
    <row r="6605" spans="1:8" x14ac:dyDescent="0.3">
      <c r="A6605" t="s">
        <v>2309</v>
      </c>
      <c r="B6605" t="s">
        <v>24</v>
      </c>
      <c r="C6605" t="s">
        <v>25</v>
      </c>
      <c r="D6605">
        <v>2016</v>
      </c>
      <c r="E6605" s="2">
        <v>10</v>
      </c>
      <c r="F6605" s="2">
        <v>1000</v>
      </c>
      <c r="G6605" s="2"/>
    </row>
    <row r="6606" spans="1:8" x14ac:dyDescent="0.3">
      <c r="A6606" t="s">
        <v>2309</v>
      </c>
      <c r="B6606" t="s">
        <v>24</v>
      </c>
      <c r="C6606" t="s">
        <v>25</v>
      </c>
      <c r="D6606">
        <v>2017</v>
      </c>
      <c r="E6606" s="2">
        <v>20</v>
      </c>
      <c r="F6606" s="2">
        <v>2000</v>
      </c>
      <c r="G6606" s="2"/>
    </row>
    <row r="6607" spans="1:8" x14ac:dyDescent="0.3">
      <c r="A6607" t="s">
        <v>2309</v>
      </c>
      <c r="B6607" t="s">
        <v>24</v>
      </c>
      <c r="C6607" t="s">
        <v>25</v>
      </c>
      <c r="D6607">
        <v>2018</v>
      </c>
      <c r="E6607" s="2">
        <v>5</v>
      </c>
      <c r="F6607" s="2">
        <v>500</v>
      </c>
      <c r="G6607" s="2">
        <v>525</v>
      </c>
    </row>
    <row r="6608" spans="1:8" x14ac:dyDescent="0.3">
      <c r="A6608" t="s">
        <v>2309</v>
      </c>
      <c r="B6608" t="s">
        <v>28</v>
      </c>
      <c r="D6608">
        <v>2016</v>
      </c>
      <c r="E6608" s="2">
        <v>3</v>
      </c>
      <c r="F6608" s="2">
        <v>1500</v>
      </c>
      <c r="G6608" s="2"/>
    </row>
    <row r="6609" spans="1:8" x14ac:dyDescent="0.3">
      <c r="A6609" t="s">
        <v>2309</v>
      </c>
      <c r="B6609" t="s">
        <v>28</v>
      </c>
      <c r="D6609">
        <v>2019</v>
      </c>
      <c r="E6609" s="2">
        <v>24</v>
      </c>
      <c r="F6609" s="2">
        <v>5640</v>
      </c>
      <c r="G6609" s="2">
        <v>5922</v>
      </c>
    </row>
    <row r="6610" spans="1:8" x14ac:dyDescent="0.3">
      <c r="A6610" t="s">
        <v>2309</v>
      </c>
      <c r="B6610" t="s">
        <v>29</v>
      </c>
      <c r="D6610">
        <v>2016</v>
      </c>
      <c r="E6610" s="2">
        <v>26</v>
      </c>
      <c r="F6610" s="2">
        <v>14040</v>
      </c>
      <c r="G6610" s="2"/>
    </row>
    <row r="6611" spans="1:8" x14ac:dyDescent="0.3">
      <c r="A6611" t="s">
        <v>2309</v>
      </c>
      <c r="B6611" t="s">
        <v>761</v>
      </c>
      <c r="D6611">
        <v>2020</v>
      </c>
      <c r="E6611" s="2">
        <v>20</v>
      </c>
      <c r="F6611" s="2">
        <v>4700</v>
      </c>
      <c r="G6611" s="2">
        <v>4935</v>
      </c>
      <c r="H6611" s="3" t="s">
        <v>18</v>
      </c>
    </row>
    <row r="6612" spans="1:8" x14ac:dyDescent="0.3">
      <c r="A6612" t="s">
        <v>2309</v>
      </c>
      <c r="B6612" t="s">
        <v>761</v>
      </c>
      <c r="D6612">
        <v>2021</v>
      </c>
      <c r="E6612" s="2">
        <v>30</v>
      </c>
      <c r="F6612" s="2">
        <v>7500</v>
      </c>
      <c r="G6612" s="2">
        <v>7875</v>
      </c>
      <c r="H6612" s="3" t="s">
        <v>18</v>
      </c>
    </row>
    <row r="6613" spans="1:8" x14ac:dyDescent="0.3">
      <c r="A6613" t="s">
        <v>2309</v>
      </c>
      <c r="B6613" t="s">
        <v>862</v>
      </c>
      <c r="D6613">
        <v>2015</v>
      </c>
      <c r="E6613" s="2">
        <v>15</v>
      </c>
      <c r="F6613" s="2">
        <v>4875</v>
      </c>
      <c r="G6613" s="2"/>
    </row>
    <row r="6614" spans="1:8" x14ac:dyDescent="0.3">
      <c r="A6614" t="s">
        <v>2309</v>
      </c>
      <c r="B6614" t="s">
        <v>32</v>
      </c>
      <c r="D6614">
        <v>2016</v>
      </c>
      <c r="E6614" s="2">
        <v>60</v>
      </c>
      <c r="F6614" s="2">
        <v>4680</v>
      </c>
      <c r="G6614" s="2"/>
    </row>
    <row r="6615" spans="1:8" x14ac:dyDescent="0.3">
      <c r="A6615" t="s">
        <v>2309</v>
      </c>
      <c r="B6615" t="s">
        <v>32</v>
      </c>
      <c r="D6615">
        <v>2017</v>
      </c>
      <c r="E6615" s="2">
        <v>60</v>
      </c>
      <c r="F6615" s="2">
        <v>4680</v>
      </c>
      <c r="G6615" s="2"/>
    </row>
    <row r="6616" spans="1:8" x14ac:dyDescent="0.3">
      <c r="A6616" t="s">
        <v>2309</v>
      </c>
      <c r="B6616" t="s">
        <v>32</v>
      </c>
      <c r="D6616">
        <v>2018</v>
      </c>
      <c r="E6616" s="2">
        <v>100</v>
      </c>
      <c r="F6616" s="2">
        <v>7800</v>
      </c>
      <c r="G6616" s="2">
        <v>8190</v>
      </c>
    </row>
    <row r="6617" spans="1:8" x14ac:dyDescent="0.3">
      <c r="A6617" t="s">
        <v>2309</v>
      </c>
      <c r="B6617" t="s">
        <v>32</v>
      </c>
      <c r="D6617">
        <v>2019</v>
      </c>
      <c r="E6617" s="2">
        <v>60</v>
      </c>
      <c r="F6617" s="2">
        <v>4520</v>
      </c>
      <c r="G6617" s="2">
        <v>4746</v>
      </c>
    </row>
    <row r="6618" spans="1:8" x14ac:dyDescent="0.3">
      <c r="A6618" t="s">
        <v>2310</v>
      </c>
      <c r="B6618" t="s">
        <v>471</v>
      </c>
      <c r="C6618" t="s">
        <v>472</v>
      </c>
      <c r="D6618">
        <v>2020</v>
      </c>
      <c r="E6618" s="2">
        <v>50</v>
      </c>
      <c r="F6618" s="2">
        <v>3750</v>
      </c>
      <c r="G6618" s="2">
        <v>3937.5</v>
      </c>
      <c r="H6618" s="3" t="s">
        <v>18</v>
      </c>
    </row>
    <row r="6619" spans="1:8" x14ac:dyDescent="0.3">
      <c r="A6619" t="s">
        <v>2310</v>
      </c>
      <c r="B6619" t="s">
        <v>471</v>
      </c>
      <c r="C6619" t="s">
        <v>472</v>
      </c>
      <c r="D6619">
        <v>2021</v>
      </c>
      <c r="E6619" s="2">
        <v>25</v>
      </c>
      <c r="F6619" s="2">
        <v>1875</v>
      </c>
      <c r="G6619" s="2">
        <v>1968.75</v>
      </c>
      <c r="H6619" s="3" t="s">
        <v>2311</v>
      </c>
    </row>
    <row r="6620" spans="1:8" x14ac:dyDescent="0.3">
      <c r="A6620" t="s">
        <v>2310</v>
      </c>
      <c r="B6620" t="s">
        <v>471</v>
      </c>
      <c r="C6620" t="s">
        <v>472</v>
      </c>
      <c r="D6620">
        <v>2021</v>
      </c>
      <c r="E6620" s="2">
        <v>97</v>
      </c>
      <c r="F6620" s="2">
        <v>7275</v>
      </c>
      <c r="G6620" s="2">
        <v>7638.75</v>
      </c>
      <c r="H6620" s="3" t="s">
        <v>18</v>
      </c>
    </row>
    <row r="6621" spans="1:8" x14ac:dyDescent="0.3">
      <c r="A6621" t="s">
        <v>2310</v>
      </c>
      <c r="B6621" t="s">
        <v>12</v>
      </c>
      <c r="C6621" t="s">
        <v>13</v>
      </c>
      <c r="D6621">
        <v>2021</v>
      </c>
      <c r="E6621" s="2">
        <v>50</v>
      </c>
      <c r="F6621" s="2">
        <v>3750</v>
      </c>
      <c r="G6621" s="2">
        <v>3937.5</v>
      </c>
      <c r="H6621" s="3" t="s">
        <v>14</v>
      </c>
    </row>
    <row r="6622" spans="1:8" x14ac:dyDescent="0.3">
      <c r="A6622" t="s">
        <v>2312</v>
      </c>
      <c r="B6622" t="s">
        <v>1676</v>
      </c>
      <c r="D6622">
        <v>2016</v>
      </c>
      <c r="E6622" s="2">
        <v>1</v>
      </c>
      <c r="F6622" s="2">
        <v>500</v>
      </c>
      <c r="G6622" s="2"/>
    </row>
    <row r="6623" spans="1:8" x14ac:dyDescent="0.3">
      <c r="A6623" t="s">
        <v>2312</v>
      </c>
      <c r="B6623" t="s">
        <v>1676</v>
      </c>
      <c r="D6623">
        <v>2017</v>
      </c>
      <c r="E6623" s="2">
        <v>10</v>
      </c>
      <c r="F6623" s="2">
        <v>600</v>
      </c>
      <c r="G6623" s="2"/>
    </row>
    <row r="6624" spans="1:8" x14ac:dyDescent="0.3">
      <c r="A6624" t="s">
        <v>2313</v>
      </c>
      <c r="B6624" t="s">
        <v>329</v>
      </c>
      <c r="D6624">
        <v>2012</v>
      </c>
      <c r="E6624" s="2">
        <v>5</v>
      </c>
      <c r="F6624" s="2">
        <v>425</v>
      </c>
      <c r="G6624" s="2"/>
    </row>
    <row r="6625" spans="1:8" x14ac:dyDescent="0.3">
      <c r="A6625" t="s">
        <v>2313</v>
      </c>
      <c r="B6625" t="s">
        <v>2314</v>
      </c>
      <c r="C6625" t="s">
        <v>2315</v>
      </c>
      <c r="D6625">
        <v>2012</v>
      </c>
      <c r="E6625" s="2">
        <v>5</v>
      </c>
      <c r="F6625" s="2">
        <v>1000</v>
      </c>
      <c r="G6625" s="2"/>
    </row>
    <row r="6626" spans="1:8" x14ac:dyDescent="0.3">
      <c r="A6626" t="s">
        <v>2316</v>
      </c>
      <c r="B6626" t="s">
        <v>624</v>
      </c>
      <c r="C6626" t="s">
        <v>625</v>
      </c>
      <c r="D6626">
        <v>2019</v>
      </c>
      <c r="E6626" s="2">
        <v>5</v>
      </c>
      <c r="F6626" s="2">
        <v>475</v>
      </c>
      <c r="G6626" s="2">
        <v>498.75</v>
      </c>
    </row>
    <row r="6627" spans="1:8" x14ac:dyDescent="0.3">
      <c r="A6627" t="s">
        <v>2316</v>
      </c>
      <c r="B6627" t="s">
        <v>649</v>
      </c>
      <c r="C6627" t="s">
        <v>650</v>
      </c>
      <c r="D6627">
        <v>2020</v>
      </c>
      <c r="E6627" s="2">
        <v>80</v>
      </c>
      <c r="F6627" s="2">
        <v>6000</v>
      </c>
      <c r="G6627" s="2">
        <v>6300</v>
      </c>
    </row>
    <row r="6628" spans="1:8" x14ac:dyDescent="0.3">
      <c r="A6628" t="s">
        <v>2316</v>
      </c>
      <c r="B6628" t="s">
        <v>110</v>
      </c>
      <c r="C6628" t="s">
        <v>111</v>
      </c>
      <c r="D6628">
        <v>2020</v>
      </c>
      <c r="E6628" s="2">
        <v>80</v>
      </c>
      <c r="F6628" s="2">
        <v>4800</v>
      </c>
      <c r="G6628" s="2">
        <v>5040</v>
      </c>
    </row>
    <row r="6629" spans="1:8" x14ac:dyDescent="0.3">
      <c r="A6629" t="s">
        <v>2316</v>
      </c>
      <c r="B6629" t="s">
        <v>653</v>
      </c>
      <c r="C6629" t="s">
        <v>654</v>
      </c>
      <c r="D6629">
        <v>2020</v>
      </c>
      <c r="E6629" s="2">
        <v>80</v>
      </c>
      <c r="F6629" s="2">
        <v>6000</v>
      </c>
      <c r="G6629" s="2">
        <v>6300</v>
      </c>
    </row>
    <row r="6630" spans="1:8" x14ac:dyDescent="0.3">
      <c r="A6630" t="s">
        <v>2316</v>
      </c>
      <c r="B6630" t="s">
        <v>750</v>
      </c>
      <c r="C6630" t="s">
        <v>751</v>
      </c>
      <c r="D6630">
        <v>2019</v>
      </c>
      <c r="E6630" s="2">
        <v>5</v>
      </c>
      <c r="F6630" s="2">
        <v>400</v>
      </c>
      <c r="G6630" s="2">
        <v>420</v>
      </c>
    </row>
    <row r="6631" spans="1:8" x14ac:dyDescent="0.3">
      <c r="A6631" t="s">
        <v>2316</v>
      </c>
      <c r="B6631" t="s">
        <v>657</v>
      </c>
      <c r="C6631" t="s">
        <v>658</v>
      </c>
      <c r="D6631">
        <v>2019</v>
      </c>
      <c r="E6631" s="2">
        <v>5</v>
      </c>
      <c r="F6631" s="2">
        <v>425</v>
      </c>
      <c r="G6631" s="2">
        <v>446.25</v>
      </c>
    </row>
    <row r="6632" spans="1:8" x14ac:dyDescent="0.3">
      <c r="A6632" t="s">
        <v>2316</v>
      </c>
      <c r="B6632" t="s">
        <v>203</v>
      </c>
      <c r="C6632" t="s">
        <v>204</v>
      </c>
      <c r="D6632">
        <v>2019</v>
      </c>
      <c r="E6632" s="2">
        <v>5</v>
      </c>
      <c r="F6632" s="2">
        <v>425</v>
      </c>
      <c r="G6632" s="2">
        <v>446.25</v>
      </c>
    </row>
    <row r="6633" spans="1:8" x14ac:dyDescent="0.3">
      <c r="A6633" t="s">
        <v>2316</v>
      </c>
      <c r="B6633" t="s">
        <v>12</v>
      </c>
      <c r="C6633" t="s">
        <v>13</v>
      </c>
      <c r="D6633">
        <v>2020</v>
      </c>
      <c r="E6633" s="2">
        <v>130</v>
      </c>
      <c r="F6633" s="2">
        <v>10650</v>
      </c>
      <c r="G6633" s="2">
        <v>11182.5</v>
      </c>
    </row>
    <row r="6634" spans="1:8" x14ac:dyDescent="0.3">
      <c r="A6634" t="s">
        <v>2317</v>
      </c>
      <c r="B6634" t="s">
        <v>417</v>
      </c>
      <c r="C6634" t="s">
        <v>418</v>
      </c>
      <c r="D6634">
        <v>2020</v>
      </c>
      <c r="E6634" s="2">
        <v>5</v>
      </c>
      <c r="F6634" s="2">
        <v>325</v>
      </c>
      <c r="G6634" s="2">
        <v>341.25</v>
      </c>
    </row>
    <row r="6635" spans="1:8" x14ac:dyDescent="0.3">
      <c r="A6635" t="s">
        <v>2317</v>
      </c>
      <c r="B6635" t="s">
        <v>2318</v>
      </c>
      <c r="D6635">
        <v>2021</v>
      </c>
      <c r="E6635" s="2">
        <v>1</v>
      </c>
      <c r="F6635" s="2">
        <v>150</v>
      </c>
      <c r="G6635" s="2">
        <v>157.5</v>
      </c>
      <c r="H6635" s="3" t="s">
        <v>2319</v>
      </c>
    </row>
    <row r="6636" spans="1:8" x14ac:dyDescent="0.3">
      <c r="A6636" t="s">
        <v>2317</v>
      </c>
      <c r="B6636" t="s">
        <v>686</v>
      </c>
      <c r="C6636" t="s">
        <v>687</v>
      </c>
      <c r="D6636">
        <v>2020</v>
      </c>
      <c r="E6636" s="2">
        <v>5</v>
      </c>
      <c r="F6636" s="2">
        <v>325</v>
      </c>
      <c r="G6636" s="2">
        <v>341.25</v>
      </c>
    </row>
    <row r="6637" spans="1:8" x14ac:dyDescent="0.3">
      <c r="A6637" t="s">
        <v>2317</v>
      </c>
      <c r="B6637" t="s">
        <v>567</v>
      </c>
      <c r="C6637" t="s">
        <v>698</v>
      </c>
      <c r="D6637">
        <v>2020</v>
      </c>
      <c r="E6637" s="2">
        <v>60</v>
      </c>
      <c r="F6637" s="2">
        <v>4500</v>
      </c>
      <c r="G6637" s="2">
        <v>4725</v>
      </c>
    </row>
    <row r="6638" spans="1:8" x14ac:dyDescent="0.3">
      <c r="A6638" t="s">
        <v>2317</v>
      </c>
      <c r="B6638" t="s">
        <v>528</v>
      </c>
      <c r="C6638" t="s">
        <v>529</v>
      </c>
      <c r="D6638">
        <v>2020</v>
      </c>
      <c r="E6638" s="2">
        <v>5</v>
      </c>
      <c r="F6638" s="2">
        <v>450</v>
      </c>
      <c r="G6638" s="2">
        <v>472.5</v>
      </c>
    </row>
    <row r="6639" spans="1:8" x14ac:dyDescent="0.3">
      <c r="A6639" t="s">
        <v>2317</v>
      </c>
      <c r="B6639" t="s">
        <v>19</v>
      </c>
      <c r="C6639" t="s">
        <v>20</v>
      </c>
      <c r="D6639">
        <v>2020</v>
      </c>
      <c r="E6639" s="2">
        <v>65</v>
      </c>
      <c r="F6639" s="2">
        <v>7150</v>
      </c>
      <c r="G6639" s="2">
        <v>7507.5</v>
      </c>
    </row>
    <row r="6640" spans="1:8" x14ac:dyDescent="0.3">
      <c r="A6640" t="s">
        <v>2317</v>
      </c>
      <c r="B6640" t="s">
        <v>543</v>
      </c>
      <c r="C6640" t="s">
        <v>544</v>
      </c>
      <c r="D6640">
        <v>2020</v>
      </c>
      <c r="E6640" s="2">
        <v>215</v>
      </c>
      <c r="F6640" s="2">
        <v>18250</v>
      </c>
      <c r="G6640" s="2">
        <v>19162.5</v>
      </c>
    </row>
    <row r="6641" spans="1:8" x14ac:dyDescent="0.3">
      <c r="A6641" t="s">
        <v>2317</v>
      </c>
      <c r="B6641" t="s">
        <v>110</v>
      </c>
      <c r="C6641" t="s">
        <v>111</v>
      </c>
      <c r="D6641">
        <v>2020</v>
      </c>
      <c r="E6641" s="2">
        <v>5</v>
      </c>
      <c r="F6641" s="2">
        <v>275</v>
      </c>
      <c r="G6641" s="2">
        <v>288.75</v>
      </c>
    </row>
    <row r="6642" spans="1:8" x14ac:dyDescent="0.3">
      <c r="A6642" t="s">
        <v>2317</v>
      </c>
      <c r="B6642" t="s">
        <v>187</v>
      </c>
      <c r="C6642" t="s">
        <v>188</v>
      </c>
      <c r="D6642">
        <v>2020</v>
      </c>
      <c r="E6642" s="2">
        <v>60</v>
      </c>
      <c r="F6642" s="2">
        <v>4800</v>
      </c>
      <c r="G6642" s="2">
        <v>5040</v>
      </c>
    </row>
    <row r="6643" spans="1:8" x14ac:dyDescent="0.3">
      <c r="A6643" t="s">
        <v>2317</v>
      </c>
      <c r="B6643" t="s">
        <v>1666</v>
      </c>
      <c r="C6643" t="s">
        <v>1667</v>
      </c>
      <c r="D6643">
        <v>2020</v>
      </c>
      <c r="E6643" s="2">
        <v>60</v>
      </c>
      <c r="F6643" s="2">
        <v>5100</v>
      </c>
      <c r="G6643" s="2">
        <v>5355</v>
      </c>
    </row>
    <row r="6644" spans="1:8" x14ac:dyDescent="0.3">
      <c r="A6644" t="s">
        <v>2317</v>
      </c>
      <c r="B6644" t="s">
        <v>334</v>
      </c>
      <c r="C6644" t="s">
        <v>335</v>
      </c>
      <c r="D6644">
        <v>2020</v>
      </c>
      <c r="E6644" s="2">
        <v>5</v>
      </c>
      <c r="F6644" s="2">
        <v>375</v>
      </c>
      <c r="G6644" s="2">
        <v>393.75</v>
      </c>
    </row>
    <row r="6645" spans="1:8" x14ac:dyDescent="0.3">
      <c r="A6645" t="s">
        <v>2317</v>
      </c>
      <c r="B6645" t="s">
        <v>2320</v>
      </c>
      <c r="D6645">
        <v>2021</v>
      </c>
      <c r="E6645" s="2">
        <v>1</v>
      </c>
      <c r="F6645" s="2">
        <v>145</v>
      </c>
      <c r="G6645" s="2">
        <v>152.25</v>
      </c>
      <c r="H6645" s="3" t="s">
        <v>2321</v>
      </c>
    </row>
    <row r="6646" spans="1:8" x14ac:dyDescent="0.3">
      <c r="A6646" t="s">
        <v>2317</v>
      </c>
      <c r="B6646" t="s">
        <v>479</v>
      </c>
      <c r="C6646" t="s">
        <v>480</v>
      </c>
      <c r="D6646">
        <v>2020</v>
      </c>
      <c r="E6646" s="2">
        <v>5</v>
      </c>
      <c r="F6646" s="2">
        <v>400</v>
      </c>
      <c r="G6646" s="2">
        <v>420</v>
      </c>
    </row>
    <row r="6647" spans="1:8" x14ac:dyDescent="0.3">
      <c r="A6647" t="s">
        <v>2317</v>
      </c>
      <c r="B6647" t="s">
        <v>2322</v>
      </c>
      <c r="C6647" t="s">
        <v>2323</v>
      </c>
      <c r="D6647">
        <v>2020</v>
      </c>
      <c r="E6647" s="2">
        <v>5</v>
      </c>
      <c r="F6647" s="2">
        <v>400</v>
      </c>
      <c r="G6647" s="2">
        <v>420</v>
      </c>
    </row>
    <row r="6648" spans="1:8" x14ac:dyDescent="0.3">
      <c r="A6648" t="s">
        <v>2317</v>
      </c>
      <c r="B6648" t="s">
        <v>12</v>
      </c>
      <c r="C6648" t="s">
        <v>13</v>
      </c>
      <c r="D6648">
        <v>2020</v>
      </c>
      <c r="E6648" s="2">
        <v>5</v>
      </c>
      <c r="F6648" s="2">
        <v>425</v>
      </c>
      <c r="G6648" s="2">
        <v>446.25</v>
      </c>
    </row>
    <row r="6649" spans="1:8" x14ac:dyDescent="0.3">
      <c r="A6649" t="s">
        <v>2324</v>
      </c>
      <c r="B6649" t="s">
        <v>103</v>
      </c>
      <c r="C6649" t="s">
        <v>2325</v>
      </c>
      <c r="D6649">
        <v>2009</v>
      </c>
      <c r="E6649" s="2">
        <v>250</v>
      </c>
      <c r="F6649" s="2">
        <v>43000</v>
      </c>
      <c r="G6649" s="2"/>
    </row>
    <row r="6650" spans="1:8" x14ac:dyDescent="0.3">
      <c r="A6650" t="s">
        <v>2324</v>
      </c>
      <c r="B6650" t="s">
        <v>103</v>
      </c>
      <c r="C6650" t="s">
        <v>2325</v>
      </c>
      <c r="D6650">
        <v>2010</v>
      </c>
      <c r="E6650" s="2">
        <v>125</v>
      </c>
      <c r="F6650" s="2">
        <v>21525</v>
      </c>
      <c r="G6650" s="2"/>
    </row>
    <row r="6651" spans="1:8" x14ac:dyDescent="0.3">
      <c r="A6651" t="s">
        <v>2324</v>
      </c>
      <c r="B6651" t="s">
        <v>103</v>
      </c>
      <c r="C6651" t="s">
        <v>104</v>
      </c>
      <c r="D6651">
        <v>2016</v>
      </c>
      <c r="E6651" s="2">
        <v>45</v>
      </c>
      <c r="F6651" s="2">
        <v>7740</v>
      </c>
      <c r="G6651" s="2"/>
    </row>
    <row r="6652" spans="1:8" x14ac:dyDescent="0.3">
      <c r="A6652" t="s">
        <v>2324</v>
      </c>
      <c r="B6652" t="s">
        <v>103</v>
      </c>
      <c r="C6652" t="s">
        <v>104</v>
      </c>
      <c r="D6652">
        <v>2017</v>
      </c>
      <c r="E6652" s="2">
        <v>45</v>
      </c>
      <c r="F6652" s="2">
        <v>7740</v>
      </c>
      <c r="G6652" s="2"/>
    </row>
    <row r="6653" spans="1:8" x14ac:dyDescent="0.3">
      <c r="A6653" t="s">
        <v>2324</v>
      </c>
      <c r="B6653" t="s">
        <v>103</v>
      </c>
      <c r="C6653" t="s">
        <v>104</v>
      </c>
      <c r="D6653">
        <v>2018</v>
      </c>
      <c r="E6653" s="2">
        <v>90</v>
      </c>
      <c r="F6653" s="2">
        <v>15480</v>
      </c>
      <c r="G6653" s="2">
        <v>16254</v>
      </c>
    </row>
    <row r="6654" spans="1:8" x14ac:dyDescent="0.3">
      <c r="A6654" t="s">
        <v>2324</v>
      </c>
      <c r="B6654" t="s">
        <v>272</v>
      </c>
      <c r="D6654">
        <v>2010</v>
      </c>
      <c r="E6654" s="2">
        <v>200</v>
      </c>
      <c r="F6654" s="2">
        <v>2400</v>
      </c>
      <c r="G6654" s="2"/>
    </row>
    <row r="6655" spans="1:8" x14ac:dyDescent="0.3">
      <c r="A6655" t="s">
        <v>2324</v>
      </c>
      <c r="B6655" t="s">
        <v>2326</v>
      </c>
      <c r="C6655" t="s">
        <v>2327</v>
      </c>
      <c r="D6655">
        <v>2009</v>
      </c>
      <c r="E6655" s="2">
        <v>5</v>
      </c>
      <c r="F6655" s="2">
        <v>3856</v>
      </c>
      <c r="G6655" s="2"/>
    </row>
    <row r="6656" spans="1:8" x14ac:dyDescent="0.3">
      <c r="A6656" t="s">
        <v>2324</v>
      </c>
      <c r="B6656" t="s">
        <v>2326</v>
      </c>
      <c r="C6656" t="s">
        <v>2327</v>
      </c>
      <c r="D6656">
        <v>2010</v>
      </c>
      <c r="E6656" s="2">
        <v>5</v>
      </c>
      <c r="F6656" s="2">
        <v>3435</v>
      </c>
      <c r="G6656" s="2"/>
    </row>
    <row r="6657" spans="1:7" x14ac:dyDescent="0.3">
      <c r="A6657" t="s">
        <v>2324</v>
      </c>
      <c r="B6657" t="s">
        <v>2326</v>
      </c>
      <c r="C6657" t="s">
        <v>2327</v>
      </c>
      <c r="D6657">
        <v>2011</v>
      </c>
      <c r="E6657" s="2">
        <v>15</v>
      </c>
      <c r="F6657" s="2">
        <v>9633.75</v>
      </c>
      <c r="G6657" s="2"/>
    </row>
    <row r="6658" spans="1:7" x14ac:dyDescent="0.3">
      <c r="A6658" t="s">
        <v>2324</v>
      </c>
      <c r="B6658" t="s">
        <v>153</v>
      </c>
      <c r="C6658" t="s">
        <v>154</v>
      </c>
      <c r="D6658">
        <v>2009</v>
      </c>
      <c r="E6658" s="2">
        <v>100</v>
      </c>
      <c r="F6658" s="2">
        <v>15486</v>
      </c>
      <c r="G6658" s="2"/>
    </row>
    <row r="6659" spans="1:7" x14ac:dyDescent="0.3">
      <c r="A6659" t="s">
        <v>2324</v>
      </c>
      <c r="B6659" t="s">
        <v>153</v>
      </c>
      <c r="C6659" t="s">
        <v>154</v>
      </c>
      <c r="D6659">
        <v>2012</v>
      </c>
      <c r="E6659" s="2">
        <v>30</v>
      </c>
      <c r="F6659" s="2">
        <v>5350</v>
      </c>
      <c r="G6659" s="2"/>
    </row>
    <row r="6660" spans="1:7" x14ac:dyDescent="0.3">
      <c r="A6660" t="s">
        <v>2328</v>
      </c>
      <c r="B6660" t="s">
        <v>823</v>
      </c>
      <c r="C6660" t="s">
        <v>52</v>
      </c>
      <c r="D6660">
        <v>2016</v>
      </c>
      <c r="E6660" s="2">
        <v>10</v>
      </c>
      <c r="F6660" s="2">
        <v>1700</v>
      </c>
      <c r="G6660" s="2"/>
    </row>
    <row r="6661" spans="1:7" x14ac:dyDescent="0.3">
      <c r="A6661" t="s">
        <v>2328</v>
      </c>
      <c r="B6661" t="s">
        <v>823</v>
      </c>
      <c r="C6661" t="s">
        <v>52</v>
      </c>
      <c r="D6661">
        <v>2017</v>
      </c>
      <c r="E6661" s="2">
        <v>25</v>
      </c>
      <c r="F6661" s="2">
        <v>4250</v>
      </c>
      <c r="G6661" s="2"/>
    </row>
    <row r="6662" spans="1:7" x14ac:dyDescent="0.3">
      <c r="A6662" t="s">
        <v>2328</v>
      </c>
      <c r="B6662" t="s">
        <v>823</v>
      </c>
      <c r="C6662" t="s">
        <v>52</v>
      </c>
      <c r="D6662">
        <v>2018</v>
      </c>
      <c r="E6662" s="2">
        <v>25</v>
      </c>
      <c r="F6662" s="2">
        <v>4500</v>
      </c>
      <c r="G6662" s="2">
        <v>4725</v>
      </c>
    </row>
    <row r="6663" spans="1:7" x14ac:dyDescent="0.3">
      <c r="A6663" t="s">
        <v>2328</v>
      </c>
      <c r="B6663" t="s">
        <v>276</v>
      </c>
      <c r="C6663" t="s">
        <v>277</v>
      </c>
      <c r="D6663">
        <v>2016</v>
      </c>
      <c r="E6663" s="2">
        <v>25</v>
      </c>
      <c r="F6663" s="2">
        <v>6250</v>
      </c>
      <c r="G6663" s="2"/>
    </row>
    <row r="6664" spans="1:7" x14ac:dyDescent="0.3">
      <c r="A6664" t="s">
        <v>2328</v>
      </c>
      <c r="B6664" t="s">
        <v>84</v>
      </c>
      <c r="C6664" t="s">
        <v>85</v>
      </c>
      <c r="D6664">
        <v>2017</v>
      </c>
      <c r="E6664" s="2">
        <v>10</v>
      </c>
      <c r="F6664" s="2">
        <v>2000</v>
      </c>
      <c r="G6664" s="2"/>
    </row>
    <row r="6665" spans="1:7" x14ac:dyDescent="0.3">
      <c r="A6665" t="s">
        <v>2328</v>
      </c>
      <c r="B6665" t="s">
        <v>103</v>
      </c>
      <c r="C6665" t="s">
        <v>104</v>
      </c>
      <c r="D6665">
        <v>2017</v>
      </c>
      <c r="E6665" s="2">
        <v>5</v>
      </c>
      <c r="F6665" s="2">
        <v>1200</v>
      </c>
      <c r="G6665" s="2"/>
    </row>
    <row r="6666" spans="1:7" x14ac:dyDescent="0.3">
      <c r="A6666" t="s">
        <v>2328</v>
      </c>
      <c r="B6666" t="s">
        <v>103</v>
      </c>
      <c r="C6666" t="s">
        <v>104</v>
      </c>
      <c r="D6666">
        <v>2018</v>
      </c>
      <c r="E6666" s="2">
        <v>2</v>
      </c>
      <c r="F6666" s="2">
        <v>500</v>
      </c>
      <c r="G6666" s="2">
        <v>525</v>
      </c>
    </row>
    <row r="6667" spans="1:7" x14ac:dyDescent="0.3">
      <c r="A6667" t="s">
        <v>2328</v>
      </c>
      <c r="B6667" t="s">
        <v>120</v>
      </c>
      <c r="C6667" t="s">
        <v>121</v>
      </c>
      <c r="D6667">
        <v>2017</v>
      </c>
      <c r="E6667" s="2">
        <v>30</v>
      </c>
      <c r="F6667" s="2">
        <v>5400</v>
      </c>
      <c r="G6667" s="2"/>
    </row>
    <row r="6668" spans="1:7" x14ac:dyDescent="0.3">
      <c r="A6668" t="s">
        <v>2328</v>
      </c>
      <c r="B6668" t="s">
        <v>135</v>
      </c>
      <c r="C6668" t="s">
        <v>136</v>
      </c>
      <c r="D6668">
        <v>2017</v>
      </c>
      <c r="E6668" s="2">
        <v>10</v>
      </c>
      <c r="F6668" s="2">
        <v>2000</v>
      </c>
      <c r="G6668" s="2"/>
    </row>
    <row r="6669" spans="1:7" x14ac:dyDescent="0.3">
      <c r="A6669" t="s">
        <v>2328</v>
      </c>
      <c r="B6669" t="s">
        <v>196</v>
      </c>
      <c r="C6669" t="s">
        <v>197</v>
      </c>
      <c r="D6669">
        <v>2018</v>
      </c>
      <c r="E6669" s="2">
        <v>1</v>
      </c>
      <c r="F6669" s="2">
        <v>220</v>
      </c>
      <c r="G6669" s="2">
        <v>231</v>
      </c>
    </row>
    <row r="6670" spans="1:7" x14ac:dyDescent="0.3">
      <c r="A6670" t="s">
        <v>2328</v>
      </c>
      <c r="B6670" t="s">
        <v>196</v>
      </c>
      <c r="C6670" t="s">
        <v>197</v>
      </c>
      <c r="D6670">
        <v>2019</v>
      </c>
      <c r="E6670" s="2">
        <v>17</v>
      </c>
      <c r="F6670" s="2">
        <v>3230</v>
      </c>
      <c r="G6670" s="2">
        <v>3391.5</v>
      </c>
    </row>
    <row r="6671" spans="1:7" x14ac:dyDescent="0.3">
      <c r="A6671" t="s">
        <v>2328</v>
      </c>
      <c r="B6671" t="s">
        <v>72</v>
      </c>
      <c r="C6671" t="s">
        <v>73</v>
      </c>
      <c r="D6671">
        <v>2018</v>
      </c>
      <c r="E6671" s="2">
        <v>6</v>
      </c>
      <c r="F6671" s="2">
        <v>1080</v>
      </c>
      <c r="G6671" s="2">
        <v>1134</v>
      </c>
    </row>
    <row r="6672" spans="1:7" x14ac:dyDescent="0.3">
      <c r="A6672" t="s">
        <v>2328</v>
      </c>
      <c r="B6672" t="s">
        <v>318</v>
      </c>
      <c r="C6672" t="s">
        <v>319</v>
      </c>
      <c r="D6672">
        <v>2016</v>
      </c>
      <c r="E6672" s="2">
        <v>5</v>
      </c>
      <c r="F6672" s="2">
        <v>900</v>
      </c>
      <c r="G6672" s="2"/>
    </row>
    <row r="6673" spans="1:8" x14ac:dyDescent="0.3">
      <c r="A6673" t="s">
        <v>2328</v>
      </c>
      <c r="B6673" t="s">
        <v>318</v>
      </c>
      <c r="C6673" t="s">
        <v>319</v>
      </c>
      <c r="D6673">
        <v>2017</v>
      </c>
      <c r="E6673" s="2">
        <v>5</v>
      </c>
      <c r="F6673" s="2">
        <v>900</v>
      </c>
      <c r="G6673" s="2"/>
    </row>
    <row r="6674" spans="1:8" x14ac:dyDescent="0.3">
      <c r="A6674" t="s">
        <v>2328</v>
      </c>
      <c r="B6674" t="s">
        <v>74</v>
      </c>
      <c r="C6674" t="s">
        <v>75</v>
      </c>
      <c r="D6674">
        <v>2016</v>
      </c>
      <c r="E6674" s="2">
        <v>25</v>
      </c>
      <c r="F6674" s="2">
        <v>4300</v>
      </c>
      <c r="G6674" s="2"/>
    </row>
    <row r="6675" spans="1:8" x14ac:dyDescent="0.3">
      <c r="A6675" t="s">
        <v>2328</v>
      </c>
      <c r="B6675" t="s">
        <v>807</v>
      </c>
      <c r="C6675" t="s">
        <v>515</v>
      </c>
      <c r="D6675">
        <v>2018</v>
      </c>
      <c r="E6675" s="2">
        <v>25</v>
      </c>
      <c r="F6675" s="2">
        <v>4625</v>
      </c>
      <c r="G6675" s="2">
        <v>4856.25</v>
      </c>
    </row>
    <row r="6676" spans="1:8" x14ac:dyDescent="0.3">
      <c r="A6676" t="s">
        <v>2329</v>
      </c>
      <c r="B6676" t="s">
        <v>645</v>
      </c>
      <c r="C6676" t="s">
        <v>646</v>
      </c>
      <c r="D6676">
        <v>2020</v>
      </c>
      <c r="E6676" s="2">
        <v>1</v>
      </c>
      <c r="F6676" s="2">
        <v>80</v>
      </c>
      <c r="G6676" s="2">
        <v>84</v>
      </c>
    </row>
    <row r="6677" spans="1:8" x14ac:dyDescent="0.3">
      <c r="A6677" t="s">
        <v>2329</v>
      </c>
      <c r="B6677" t="s">
        <v>64</v>
      </c>
      <c r="C6677" t="s">
        <v>65</v>
      </c>
      <c r="D6677">
        <v>2020</v>
      </c>
      <c r="E6677" s="2">
        <v>2</v>
      </c>
      <c r="F6677" s="2">
        <v>154</v>
      </c>
      <c r="G6677" s="2">
        <v>161.69999999999999</v>
      </c>
    </row>
    <row r="6678" spans="1:8" x14ac:dyDescent="0.3">
      <c r="A6678" t="s">
        <v>2329</v>
      </c>
      <c r="B6678" t="s">
        <v>653</v>
      </c>
      <c r="C6678" t="s">
        <v>654</v>
      </c>
      <c r="D6678">
        <v>2020</v>
      </c>
      <c r="E6678" s="2">
        <v>1</v>
      </c>
      <c r="F6678" s="2">
        <v>90</v>
      </c>
      <c r="G6678" s="2">
        <v>94.5</v>
      </c>
    </row>
    <row r="6679" spans="1:8" x14ac:dyDescent="0.3">
      <c r="A6679" t="s">
        <v>2329</v>
      </c>
      <c r="B6679" t="s">
        <v>483</v>
      </c>
      <c r="C6679" t="s">
        <v>484</v>
      </c>
      <c r="D6679">
        <v>2020</v>
      </c>
      <c r="E6679" s="2">
        <v>1</v>
      </c>
      <c r="F6679" s="2">
        <v>80</v>
      </c>
      <c r="G6679" s="2">
        <v>84</v>
      </c>
    </row>
    <row r="6680" spans="1:8" x14ac:dyDescent="0.3">
      <c r="A6680" t="s">
        <v>2330</v>
      </c>
      <c r="B6680" t="s">
        <v>51</v>
      </c>
      <c r="C6680" t="s">
        <v>52</v>
      </c>
      <c r="D6680">
        <v>2017</v>
      </c>
      <c r="E6680" s="2">
        <v>5</v>
      </c>
      <c r="F6680" s="2">
        <v>1000</v>
      </c>
      <c r="G6680" s="2"/>
    </row>
    <row r="6681" spans="1:8" x14ac:dyDescent="0.3">
      <c r="A6681" t="s">
        <v>2330</v>
      </c>
      <c r="B6681" t="s">
        <v>174</v>
      </c>
      <c r="C6681" t="s">
        <v>175</v>
      </c>
      <c r="D6681">
        <v>2016</v>
      </c>
      <c r="E6681" s="2">
        <v>13</v>
      </c>
      <c r="F6681" s="2">
        <v>1105</v>
      </c>
      <c r="G6681" s="2"/>
    </row>
    <row r="6682" spans="1:8" x14ac:dyDescent="0.3">
      <c r="A6682" t="s">
        <v>2330</v>
      </c>
      <c r="B6682" t="s">
        <v>532</v>
      </c>
      <c r="C6682" t="s">
        <v>452</v>
      </c>
      <c r="D6682">
        <v>2020</v>
      </c>
      <c r="E6682" s="2">
        <v>1</v>
      </c>
      <c r="F6682" s="2">
        <v>83</v>
      </c>
      <c r="G6682" s="2">
        <v>87.15</v>
      </c>
    </row>
    <row r="6683" spans="1:8" x14ac:dyDescent="0.3">
      <c r="A6683" t="s">
        <v>2330</v>
      </c>
      <c r="B6683" t="s">
        <v>610</v>
      </c>
      <c r="C6683" t="s">
        <v>611</v>
      </c>
      <c r="D6683">
        <v>2015</v>
      </c>
      <c r="E6683" s="2">
        <v>10</v>
      </c>
      <c r="F6683" s="2">
        <v>750</v>
      </c>
      <c r="G6683" s="2"/>
    </row>
    <row r="6684" spans="1:8" x14ac:dyDescent="0.3">
      <c r="A6684" t="s">
        <v>2330</v>
      </c>
      <c r="B6684" t="s">
        <v>1900</v>
      </c>
      <c r="D6684">
        <v>2017</v>
      </c>
      <c r="E6684" s="2">
        <v>25</v>
      </c>
      <c r="F6684" s="2">
        <v>3250</v>
      </c>
      <c r="G6684" s="2"/>
    </row>
    <row r="6685" spans="1:8" x14ac:dyDescent="0.3">
      <c r="A6685" t="s">
        <v>2330</v>
      </c>
      <c r="B6685" t="s">
        <v>251</v>
      </c>
      <c r="C6685" t="s">
        <v>207</v>
      </c>
      <c r="D6685">
        <v>2017</v>
      </c>
      <c r="E6685" s="2">
        <v>210</v>
      </c>
      <c r="F6685" s="2">
        <v>27300</v>
      </c>
      <c r="G6685" s="2"/>
    </row>
    <row r="6686" spans="1:8" x14ac:dyDescent="0.3">
      <c r="A6686" t="s">
        <v>2330</v>
      </c>
      <c r="B6686" t="s">
        <v>251</v>
      </c>
      <c r="C6686" t="s">
        <v>207</v>
      </c>
      <c r="D6686">
        <v>2018</v>
      </c>
      <c r="E6686" s="2">
        <v>212</v>
      </c>
      <c r="F6686" s="2">
        <v>27430</v>
      </c>
      <c r="G6686" s="2">
        <v>28801.5</v>
      </c>
    </row>
    <row r="6687" spans="1:8" x14ac:dyDescent="0.3">
      <c r="A6687" t="s">
        <v>2330</v>
      </c>
      <c r="B6687" t="s">
        <v>251</v>
      </c>
      <c r="C6687" t="s">
        <v>207</v>
      </c>
      <c r="D6687">
        <v>2019</v>
      </c>
      <c r="E6687" s="2">
        <v>50</v>
      </c>
      <c r="F6687" s="2">
        <v>6500</v>
      </c>
      <c r="G6687" s="2">
        <v>6825</v>
      </c>
    </row>
    <row r="6688" spans="1:8" x14ac:dyDescent="0.3">
      <c r="A6688" t="s">
        <v>2330</v>
      </c>
      <c r="B6688" t="s">
        <v>536</v>
      </c>
      <c r="C6688" t="s">
        <v>537</v>
      </c>
      <c r="D6688">
        <v>2021</v>
      </c>
      <c r="E6688" s="2">
        <v>35</v>
      </c>
      <c r="F6688" s="2">
        <v>4550</v>
      </c>
      <c r="G6688" s="2">
        <v>4777.5</v>
      </c>
      <c r="H6688" s="3" t="s">
        <v>14</v>
      </c>
    </row>
    <row r="6689" spans="1:7" x14ac:dyDescent="0.3">
      <c r="A6689" t="s">
        <v>2330</v>
      </c>
      <c r="B6689" t="s">
        <v>602</v>
      </c>
      <c r="C6689" t="s">
        <v>603</v>
      </c>
      <c r="D6689">
        <v>2016</v>
      </c>
      <c r="E6689" s="2">
        <v>35</v>
      </c>
      <c r="F6689" s="2">
        <v>2975</v>
      </c>
      <c r="G6689" s="2"/>
    </row>
    <row r="6690" spans="1:7" x14ac:dyDescent="0.3">
      <c r="A6690" t="s">
        <v>2330</v>
      </c>
      <c r="B6690" t="s">
        <v>602</v>
      </c>
      <c r="C6690" t="s">
        <v>603</v>
      </c>
      <c r="D6690">
        <v>2020</v>
      </c>
      <c r="E6690" s="2">
        <v>1</v>
      </c>
      <c r="F6690" s="2">
        <v>85</v>
      </c>
      <c r="G6690" s="2">
        <v>89.25</v>
      </c>
    </row>
    <row r="6691" spans="1:7" x14ac:dyDescent="0.3">
      <c r="A6691" t="s">
        <v>2330</v>
      </c>
      <c r="B6691" t="s">
        <v>2331</v>
      </c>
      <c r="C6691" t="s">
        <v>2332</v>
      </c>
      <c r="D6691">
        <v>2017</v>
      </c>
      <c r="E6691" s="2">
        <v>50</v>
      </c>
      <c r="F6691" s="2">
        <v>3750</v>
      </c>
      <c r="G6691" s="2"/>
    </row>
    <row r="6692" spans="1:7" x14ac:dyDescent="0.3">
      <c r="A6692" t="s">
        <v>2330</v>
      </c>
      <c r="B6692" t="s">
        <v>2331</v>
      </c>
      <c r="C6692" t="s">
        <v>2332</v>
      </c>
      <c r="D6692">
        <v>2018</v>
      </c>
      <c r="E6692" s="2">
        <v>100</v>
      </c>
      <c r="F6692" s="2">
        <v>7500</v>
      </c>
      <c r="G6692" s="2">
        <v>7875</v>
      </c>
    </row>
    <row r="6693" spans="1:7" x14ac:dyDescent="0.3">
      <c r="A6693" t="s">
        <v>2330</v>
      </c>
      <c r="B6693" t="s">
        <v>639</v>
      </c>
      <c r="C6693" t="s">
        <v>640</v>
      </c>
      <c r="D6693">
        <v>2015</v>
      </c>
      <c r="E6693" s="2">
        <v>50</v>
      </c>
      <c r="F6693" s="2">
        <v>4000</v>
      </c>
      <c r="G6693" s="2"/>
    </row>
    <row r="6694" spans="1:7" x14ac:dyDescent="0.3">
      <c r="A6694" t="s">
        <v>2330</v>
      </c>
      <c r="B6694" t="s">
        <v>639</v>
      </c>
      <c r="C6694" t="s">
        <v>640</v>
      </c>
      <c r="D6694">
        <v>2017</v>
      </c>
      <c r="E6694" s="2">
        <v>25</v>
      </c>
      <c r="F6694" s="2">
        <v>2000</v>
      </c>
      <c r="G6694" s="2"/>
    </row>
    <row r="6695" spans="1:7" x14ac:dyDescent="0.3">
      <c r="A6695" t="s">
        <v>2330</v>
      </c>
      <c r="B6695" t="s">
        <v>540</v>
      </c>
      <c r="C6695" t="s">
        <v>541</v>
      </c>
      <c r="D6695">
        <v>2016</v>
      </c>
      <c r="E6695" s="2">
        <v>25</v>
      </c>
      <c r="F6695" s="2">
        <v>1875</v>
      </c>
      <c r="G6695" s="2"/>
    </row>
    <row r="6696" spans="1:7" x14ac:dyDescent="0.3">
      <c r="A6696" t="s">
        <v>2330</v>
      </c>
      <c r="B6696" t="s">
        <v>398</v>
      </c>
      <c r="C6696" t="s">
        <v>399</v>
      </c>
      <c r="D6696">
        <v>2016</v>
      </c>
      <c r="E6696" s="2">
        <v>75</v>
      </c>
      <c r="F6696" s="2">
        <v>9750</v>
      </c>
      <c r="G6696" s="2"/>
    </row>
    <row r="6697" spans="1:7" x14ac:dyDescent="0.3">
      <c r="A6697" t="s">
        <v>2330</v>
      </c>
      <c r="B6697" t="s">
        <v>349</v>
      </c>
      <c r="C6697" t="s">
        <v>350</v>
      </c>
      <c r="D6697">
        <v>2016</v>
      </c>
      <c r="E6697" s="2">
        <v>21</v>
      </c>
      <c r="F6697" s="2">
        <v>1743</v>
      </c>
      <c r="G6697" s="2"/>
    </row>
    <row r="6698" spans="1:7" x14ac:dyDescent="0.3">
      <c r="A6698" t="s">
        <v>2330</v>
      </c>
      <c r="B6698" t="s">
        <v>349</v>
      </c>
      <c r="C6698" t="s">
        <v>350</v>
      </c>
      <c r="D6698">
        <v>2019</v>
      </c>
      <c r="E6698" s="2">
        <v>3</v>
      </c>
      <c r="F6698" s="2">
        <v>240</v>
      </c>
      <c r="G6698" s="2">
        <v>252</v>
      </c>
    </row>
    <row r="6699" spans="1:7" x14ac:dyDescent="0.3">
      <c r="A6699" t="s">
        <v>2330</v>
      </c>
      <c r="B6699" t="s">
        <v>349</v>
      </c>
      <c r="C6699" t="s">
        <v>350</v>
      </c>
      <c r="D6699">
        <v>2020</v>
      </c>
      <c r="E6699" s="2">
        <v>1</v>
      </c>
      <c r="F6699" s="2">
        <v>80</v>
      </c>
      <c r="G6699" s="2">
        <v>84</v>
      </c>
    </row>
    <row r="6700" spans="1:7" x14ac:dyDescent="0.3">
      <c r="A6700" t="s">
        <v>2330</v>
      </c>
      <c r="B6700" t="s">
        <v>99</v>
      </c>
      <c r="C6700" t="s">
        <v>100</v>
      </c>
      <c r="D6700">
        <v>2017</v>
      </c>
      <c r="E6700" s="2">
        <v>5</v>
      </c>
      <c r="F6700" s="2">
        <v>1000</v>
      </c>
      <c r="G6700" s="2"/>
    </row>
    <row r="6701" spans="1:7" x14ac:dyDescent="0.3">
      <c r="A6701" t="s">
        <v>2330</v>
      </c>
      <c r="B6701" t="s">
        <v>543</v>
      </c>
      <c r="C6701" t="s">
        <v>544</v>
      </c>
      <c r="D6701">
        <v>2015</v>
      </c>
      <c r="E6701" s="2">
        <v>40</v>
      </c>
      <c r="F6701" s="2">
        <v>3400</v>
      </c>
      <c r="G6701" s="2"/>
    </row>
    <row r="6702" spans="1:7" x14ac:dyDescent="0.3">
      <c r="A6702" t="s">
        <v>2330</v>
      </c>
      <c r="B6702" t="s">
        <v>543</v>
      </c>
      <c r="C6702" t="s">
        <v>544</v>
      </c>
      <c r="D6702">
        <v>2016</v>
      </c>
      <c r="E6702" s="2">
        <v>208</v>
      </c>
      <c r="F6702" s="2">
        <v>17680</v>
      </c>
      <c r="G6702" s="2"/>
    </row>
    <row r="6703" spans="1:7" x14ac:dyDescent="0.3">
      <c r="A6703" t="s">
        <v>2330</v>
      </c>
      <c r="B6703" t="s">
        <v>543</v>
      </c>
      <c r="C6703" t="s">
        <v>544</v>
      </c>
      <c r="D6703">
        <v>2017</v>
      </c>
      <c r="E6703" s="2">
        <v>410</v>
      </c>
      <c r="F6703" s="2">
        <v>34850</v>
      </c>
      <c r="G6703" s="2"/>
    </row>
    <row r="6704" spans="1:7" x14ac:dyDescent="0.3">
      <c r="A6704" t="s">
        <v>2330</v>
      </c>
      <c r="B6704" t="s">
        <v>543</v>
      </c>
      <c r="C6704" t="s">
        <v>544</v>
      </c>
      <c r="D6704">
        <v>2018</v>
      </c>
      <c r="E6704" s="2">
        <v>230</v>
      </c>
      <c r="F6704" s="2">
        <v>19550</v>
      </c>
      <c r="G6704" s="2">
        <v>20527.5</v>
      </c>
    </row>
    <row r="6705" spans="1:8" x14ac:dyDescent="0.3">
      <c r="A6705" t="s">
        <v>2330</v>
      </c>
      <c r="B6705" t="s">
        <v>867</v>
      </c>
      <c r="C6705" t="s">
        <v>868</v>
      </c>
      <c r="D6705">
        <v>2015</v>
      </c>
      <c r="E6705" s="2">
        <v>10</v>
      </c>
      <c r="F6705" s="2">
        <v>820</v>
      </c>
      <c r="G6705" s="2"/>
    </row>
    <row r="6706" spans="1:8" x14ac:dyDescent="0.3">
      <c r="A6706" t="s">
        <v>2330</v>
      </c>
      <c r="B6706" t="s">
        <v>404</v>
      </c>
      <c r="C6706" t="s">
        <v>405</v>
      </c>
      <c r="D6706">
        <v>2016</v>
      </c>
      <c r="E6706" s="2">
        <v>25</v>
      </c>
      <c r="F6706" s="2">
        <v>2450</v>
      </c>
      <c r="G6706" s="2"/>
    </row>
    <row r="6707" spans="1:8" x14ac:dyDescent="0.3">
      <c r="A6707" t="s">
        <v>2330</v>
      </c>
      <c r="B6707" t="s">
        <v>653</v>
      </c>
      <c r="C6707" t="s">
        <v>654</v>
      </c>
      <c r="D6707">
        <v>2020</v>
      </c>
      <c r="E6707" s="2">
        <v>1</v>
      </c>
      <c r="F6707" s="2">
        <v>90</v>
      </c>
      <c r="G6707" s="2">
        <v>94.5</v>
      </c>
    </row>
    <row r="6708" spans="1:8" x14ac:dyDescent="0.3">
      <c r="A6708" t="s">
        <v>2330</v>
      </c>
      <c r="B6708" t="s">
        <v>575</v>
      </c>
      <c r="C6708" t="s">
        <v>673</v>
      </c>
      <c r="D6708">
        <v>2016</v>
      </c>
      <c r="E6708" s="2">
        <v>10</v>
      </c>
      <c r="F6708" s="2">
        <v>850</v>
      </c>
      <c r="G6708" s="2"/>
    </row>
    <row r="6709" spans="1:8" x14ac:dyDescent="0.3">
      <c r="A6709" t="s">
        <v>2330</v>
      </c>
      <c r="B6709" t="s">
        <v>438</v>
      </c>
      <c r="C6709" t="s">
        <v>439</v>
      </c>
      <c r="D6709">
        <v>2016</v>
      </c>
      <c r="E6709" s="2">
        <v>20</v>
      </c>
      <c r="F6709" s="2">
        <v>1600</v>
      </c>
      <c r="G6709" s="2"/>
    </row>
    <row r="6710" spans="1:8" x14ac:dyDescent="0.3">
      <c r="A6710" t="s">
        <v>2330</v>
      </c>
      <c r="B6710" t="s">
        <v>438</v>
      </c>
      <c r="C6710" t="s">
        <v>439</v>
      </c>
      <c r="D6710">
        <v>2017</v>
      </c>
      <c r="E6710" s="2">
        <v>75</v>
      </c>
      <c r="F6710" s="2">
        <v>6375</v>
      </c>
      <c r="G6710" s="2"/>
    </row>
    <row r="6711" spans="1:8" x14ac:dyDescent="0.3">
      <c r="A6711" t="s">
        <v>2330</v>
      </c>
      <c r="B6711" t="s">
        <v>706</v>
      </c>
      <c r="C6711" t="s">
        <v>707</v>
      </c>
      <c r="D6711">
        <v>2015</v>
      </c>
      <c r="E6711" s="2">
        <v>10</v>
      </c>
      <c r="F6711" s="2">
        <v>700</v>
      </c>
      <c r="G6711" s="2"/>
    </row>
    <row r="6712" spans="1:8" x14ac:dyDescent="0.3">
      <c r="A6712" t="s">
        <v>2330</v>
      </c>
      <c r="B6712" t="s">
        <v>706</v>
      </c>
      <c r="C6712" t="s">
        <v>707</v>
      </c>
      <c r="D6712">
        <v>2016</v>
      </c>
      <c r="E6712" s="2">
        <v>5</v>
      </c>
      <c r="F6712" s="2">
        <v>350</v>
      </c>
      <c r="G6712" s="2"/>
    </row>
    <row r="6713" spans="1:8" x14ac:dyDescent="0.3">
      <c r="A6713" t="s">
        <v>2330</v>
      </c>
      <c r="B6713" t="s">
        <v>656</v>
      </c>
      <c r="C6713" t="s">
        <v>71</v>
      </c>
      <c r="D6713">
        <v>2017</v>
      </c>
      <c r="E6713" s="2">
        <v>25</v>
      </c>
      <c r="F6713" s="2">
        <v>2000</v>
      </c>
      <c r="G6713" s="2"/>
      <c r="H6713" s="3" t="s">
        <v>374</v>
      </c>
    </row>
    <row r="6714" spans="1:8" x14ac:dyDescent="0.3">
      <c r="A6714" t="s">
        <v>2330</v>
      </c>
      <c r="B6714" t="s">
        <v>656</v>
      </c>
      <c r="C6714" t="s">
        <v>71</v>
      </c>
      <c r="D6714">
        <v>2018</v>
      </c>
      <c r="E6714" s="2">
        <v>215</v>
      </c>
      <c r="F6714" s="2">
        <v>17200</v>
      </c>
      <c r="G6714" s="2">
        <v>18060</v>
      </c>
      <c r="H6714" s="3" t="s">
        <v>374</v>
      </c>
    </row>
    <row r="6715" spans="1:8" x14ac:dyDescent="0.3">
      <c r="A6715" t="s">
        <v>2330</v>
      </c>
      <c r="B6715" t="s">
        <v>656</v>
      </c>
      <c r="C6715" t="s">
        <v>71</v>
      </c>
      <c r="D6715">
        <v>2019</v>
      </c>
      <c r="E6715" s="2">
        <v>425</v>
      </c>
      <c r="F6715" s="2">
        <v>26875</v>
      </c>
      <c r="G6715" s="2">
        <v>28218.75</v>
      </c>
      <c r="H6715" s="3" t="s">
        <v>374</v>
      </c>
    </row>
    <row r="6716" spans="1:8" x14ac:dyDescent="0.3">
      <c r="A6716" t="s">
        <v>2330</v>
      </c>
      <c r="B6716" t="s">
        <v>656</v>
      </c>
      <c r="C6716" t="s">
        <v>71</v>
      </c>
      <c r="D6716">
        <v>2020</v>
      </c>
      <c r="E6716" s="2">
        <v>525</v>
      </c>
      <c r="F6716" s="2">
        <v>43625</v>
      </c>
      <c r="G6716" s="2">
        <v>45806.25</v>
      </c>
      <c r="H6716" s="3" t="s">
        <v>374</v>
      </c>
    </row>
    <row r="6717" spans="1:8" x14ac:dyDescent="0.3">
      <c r="A6717" t="s">
        <v>2330</v>
      </c>
      <c r="B6717" t="s">
        <v>656</v>
      </c>
      <c r="C6717" t="s">
        <v>71</v>
      </c>
      <c r="D6717">
        <v>2021</v>
      </c>
      <c r="E6717" s="2">
        <v>200</v>
      </c>
      <c r="F6717" s="2">
        <v>16000</v>
      </c>
      <c r="G6717" s="2">
        <v>16800</v>
      </c>
      <c r="H6717" s="3" t="s">
        <v>374</v>
      </c>
    </row>
    <row r="6718" spans="1:8" x14ac:dyDescent="0.3">
      <c r="A6718" t="s">
        <v>2333</v>
      </c>
      <c r="B6718" t="s">
        <v>503</v>
      </c>
      <c r="D6718">
        <v>2019</v>
      </c>
      <c r="E6718" s="2">
        <v>2</v>
      </c>
      <c r="F6718" s="2">
        <v>480</v>
      </c>
      <c r="G6718" s="2">
        <v>504</v>
      </c>
    </row>
    <row r="6719" spans="1:8" x14ac:dyDescent="0.3">
      <c r="A6719" t="s">
        <v>2333</v>
      </c>
      <c r="B6719" t="s">
        <v>2334</v>
      </c>
      <c r="C6719" t="s">
        <v>724</v>
      </c>
      <c r="D6719">
        <v>2019</v>
      </c>
      <c r="E6719" s="2">
        <v>2</v>
      </c>
      <c r="F6719" s="2">
        <v>440</v>
      </c>
      <c r="G6719" s="2">
        <v>462</v>
      </c>
    </row>
    <row r="6720" spans="1:8" x14ac:dyDescent="0.3">
      <c r="A6720" t="s">
        <v>2333</v>
      </c>
      <c r="B6720" t="s">
        <v>253</v>
      </c>
      <c r="C6720" t="s">
        <v>254</v>
      </c>
      <c r="D6720">
        <v>2019</v>
      </c>
      <c r="E6720" s="2">
        <v>6</v>
      </c>
      <c r="F6720" s="2">
        <v>1995</v>
      </c>
      <c r="G6720" s="2">
        <v>2094.75</v>
      </c>
    </row>
    <row r="6721" spans="1:8" x14ac:dyDescent="0.3">
      <c r="A6721" t="s">
        <v>2333</v>
      </c>
      <c r="B6721" t="s">
        <v>516</v>
      </c>
      <c r="D6721">
        <v>2019</v>
      </c>
      <c r="E6721" s="2">
        <v>3</v>
      </c>
      <c r="F6721" s="2">
        <v>825</v>
      </c>
      <c r="G6721" s="2">
        <v>866.25</v>
      </c>
    </row>
    <row r="6722" spans="1:8" x14ac:dyDescent="0.3">
      <c r="A6722" t="s">
        <v>2333</v>
      </c>
      <c r="B6722" t="s">
        <v>258</v>
      </c>
      <c r="C6722" t="s">
        <v>259</v>
      </c>
      <c r="D6722">
        <v>2019</v>
      </c>
      <c r="E6722" s="2">
        <v>2</v>
      </c>
      <c r="F6722" s="2">
        <v>440</v>
      </c>
      <c r="G6722" s="2">
        <v>462</v>
      </c>
    </row>
    <row r="6723" spans="1:8" x14ac:dyDescent="0.3">
      <c r="A6723" t="s">
        <v>2333</v>
      </c>
      <c r="B6723" t="s">
        <v>260</v>
      </c>
      <c r="C6723" t="s">
        <v>109</v>
      </c>
      <c r="D6723">
        <v>2019</v>
      </c>
      <c r="E6723" s="2">
        <v>2</v>
      </c>
      <c r="F6723" s="2">
        <v>440</v>
      </c>
      <c r="G6723" s="2">
        <v>462</v>
      </c>
    </row>
    <row r="6724" spans="1:8" x14ac:dyDescent="0.3">
      <c r="A6724" t="s">
        <v>2333</v>
      </c>
      <c r="B6724" t="s">
        <v>839</v>
      </c>
      <c r="C6724" t="s">
        <v>138</v>
      </c>
      <c r="D6724">
        <v>2019</v>
      </c>
      <c r="E6724" s="2">
        <v>0.5</v>
      </c>
      <c r="F6724" s="2">
        <v>142.5</v>
      </c>
      <c r="G6724" s="2">
        <v>149.625</v>
      </c>
    </row>
    <row r="6725" spans="1:8" x14ac:dyDescent="0.3">
      <c r="A6725" t="s">
        <v>2333</v>
      </c>
      <c r="B6725" t="s">
        <v>265</v>
      </c>
      <c r="C6725" t="s">
        <v>197</v>
      </c>
      <c r="D6725">
        <v>2019</v>
      </c>
      <c r="E6725" s="2">
        <v>4</v>
      </c>
      <c r="F6725" s="2">
        <v>480</v>
      </c>
      <c r="G6725" s="2">
        <v>504</v>
      </c>
    </row>
    <row r="6726" spans="1:8" x14ac:dyDescent="0.3">
      <c r="A6726" t="s">
        <v>2333</v>
      </c>
      <c r="B6726" t="s">
        <v>72</v>
      </c>
      <c r="C6726" t="s">
        <v>73</v>
      </c>
      <c r="D6726">
        <v>2019</v>
      </c>
      <c r="E6726" s="2">
        <v>3</v>
      </c>
      <c r="F6726" s="2">
        <v>750</v>
      </c>
      <c r="G6726" s="2">
        <v>787.5</v>
      </c>
    </row>
    <row r="6727" spans="1:8" x14ac:dyDescent="0.3">
      <c r="A6727" t="s">
        <v>2333</v>
      </c>
      <c r="B6727" t="s">
        <v>1405</v>
      </c>
      <c r="C6727" t="s">
        <v>1406</v>
      </c>
      <c r="D6727">
        <v>2019</v>
      </c>
      <c r="E6727" s="2">
        <v>2</v>
      </c>
      <c r="F6727" s="2">
        <v>740</v>
      </c>
      <c r="G6727" s="2">
        <v>777</v>
      </c>
    </row>
    <row r="6728" spans="1:8" x14ac:dyDescent="0.3">
      <c r="A6728" t="s">
        <v>2333</v>
      </c>
      <c r="B6728" t="s">
        <v>1396</v>
      </c>
      <c r="C6728" t="s">
        <v>613</v>
      </c>
      <c r="D6728">
        <v>2019</v>
      </c>
      <c r="E6728" s="2">
        <v>2</v>
      </c>
      <c r="F6728" s="2">
        <v>480</v>
      </c>
      <c r="G6728" s="2">
        <v>504</v>
      </c>
    </row>
    <row r="6729" spans="1:8" x14ac:dyDescent="0.3">
      <c r="A6729" t="s">
        <v>2335</v>
      </c>
      <c r="B6729" t="s">
        <v>82</v>
      </c>
      <c r="C6729" t="s">
        <v>83</v>
      </c>
      <c r="D6729">
        <v>2019</v>
      </c>
      <c r="E6729" s="2">
        <v>2</v>
      </c>
      <c r="F6729" s="2">
        <v>440</v>
      </c>
      <c r="G6729" s="2">
        <v>462</v>
      </c>
    </row>
    <row r="6730" spans="1:8" x14ac:dyDescent="0.3">
      <c r="A6730" t="s">
        <v>2335</v>
      </c>
      <c r="B6730" t="s">
        <v>626</v>
      </c>
      <c r="C6730" t="s">
        <v>582</v>
      </c>
      <c r="D6730">
        <v>2019</v>
      </c>
      <c r="E6730" s="2">
        <v>1</v>
      </c>
      <c r="F6730" s="2">
        <v>190</v>
      </c>
      <c r="G6730" s="2">
        <v>199.5</v>
      </c>
    </row>
    <row r="6731" spans="1:8" x14ac:dyDescent="0.3">
      <c r="A6731" t="s">
        <v>2335</v>
      </c>
      <c r="B6731" t="s">
        <v>626</v>
      </c>
      <c r="C6731" t="s">
        <v>582</v>
      </c>
      <c r="D6731">
        <v>2020</v>
      </c>
      <c r="E6731" s="2">
        <v>2</v>
      </c>
      <c r="F6731" s="2">
        <v>380</v>
      </c>
      <c r="G6731" s="2">
        <v>399</v>
      </c>
    </row>
    <row r="6732" spans="1:8" x14ac:dyDescent="0.3">
      <c r="A6732" t="s">
        <v>2335</v>
      </c>
      <c r="B6732" t="s">
        <v>586</v>
      </c>
      <c r="C6732" t="s">
        <v>587</v>
      </c>
      <c r="D6732">
        <v>2020</v>
      </c>
      <c r="E6732" s="2">
        <v>5</v>
      </c>
      <c r="F6732" s="2">
        <v>900</v>
      </c>
      <c r="G6732" s="2">
        <v>945</v>
      </c>
    </row>
    <row r="6733" spans="1:8" x14ac:dyDescent="0.3">
      <c r="A6733" t="s">
        <v>2335</v>
      </c>
      <c r="B6733" t="s">
        <v>55</v>
      </c>
      <c r="D6733">
        <v>2021</v>
      </c>
      <c r="E6733" s="2">
        <v>1</v>
      </c>
      <c r="F6733" s="2">
        <v>290</v>
      </c>
      <c r="G6733" s="2">
        <v>304.5</v>
      </c>
      <c r="H6733" s="3" t="s">
        <v>18</v>
      </c>
    </row>
    <row r="6734" spans="1:8" x14ac:dyDescent="0.3">
      <c r="A6734" t="s">
        <v>2335</v>
      </c>
      <c r="B6734" t="s">
        <v>1396</v>
      </c>
      <c r="C6734" t="s">
        <v>613</v>
      </c>
      <c r="D6734">
        <v>2020</v>
      </c>
      <c r="E6734" s="2">
        <v>1</v>
      </c>
      <c r="F6734" s="2">
        <v>255</v>
      </c>
      <c r="G6734" s="2">
        <v>267.75</v>
      </c>
      <c r="H6734" s="3" t="s">
        <v>18</v>
      </c>
    </row>
    <row r="6735" spans="1:8" x14ac:dyDescent="0.3">
      <c r="A6735" t="s">
        <v>2335</v>
      </c>
      <c r="B6735" t="s">
        <v>1396</v>
      </c>
      <c r="C6735" t="s">
        <v>613</v>
      </c>
      <c r="D6735">
        <v>2021</v>
      </c>
      <c r="E6735" s="2">
        <v>1</v>
      </c>
      <c r="F6735" s="2">
        <v>250</v>
      </c>
      <c r="G6735" s="2">
        <v>262.5</v>
      </c>
      <c r="H6735" s="3" t="s">
        <v>18</v>
      </c>
    </row>
    <row r="6736" spans="1:8" x14ac:dyDescent="0.3">
      <c r="A6736" t="s">
        <v>2336</v>
      </c>
      <c r="B6736" t="s">
        <v>32</v>
      </c>
      <c r="D6736">
        <v>2018</v>
      </c>
      <c r="E6736" s="2">
        <v>20</v>
      </c>
      <c r="F6736" s="2">
        <v>1400</v>
      </c>
      <c r="G6736" s="2">
        <v>1470</v>
      </c>
    </row>
    <row r="6737" spans="1:7" x14ac:dyDescent="0.3">
      <c r="A6737" t="s">
        <v>2337</v>
      </c>
      <c r="B6737" t="s">
        <v>26</v>
      </c>
      <c r="C6737" t="s">
        <v>27</v>
      </c>
      <c r="D6737">
        <v>2017</v>
      </c>
      <c r="E6737" s="2">
        <v>175</v>
      </c>
      <c r="F6737" s="2">
        <v>11500</v>
      </c>
      <c r="G6737" s="2"/>
    </row>
    <row r="6738" spans="1:7" x14ac:dyDescent="0.3">
      <c r="A6738" t="s">
        <v>2337</v>
      </c>
      <c r="B6738" t="s">
        <v>26</v>
      </c>
      <c r="C6738" t="s">
        <v>27</v>
      </c>
      <c r="D6738">
        <v>2018</v>
      </c>
      <c r="E6738" s="2">
        <v>50</v>
      </c>
      <c r="F6738" s="2">
        <v>2500</v>
      </c>
      <c r="G6738" s="2">
        <v>2625</v>
      </c>
    </row>
    <row r="6739" spans="1:7" x14ac:dyDescent="0.3">
      <c r="A6739" t="s">
        <v>2337</v>
      </c>
      <c r="B6739" t="s">
        <v>26</v>
      </c>
      <c r="C6739" t="s">
        <v>27</v>
      </c>
      <c r="D6739">
        <v>2020</v>
      </c>
      <c r="E6739" s="2">
        <v>450</v>
      </c>
      <c r="F6739" s="2">
        <v>27000</v>
      </c>
      <c r="G6739" s="2">
        <v>28350</v>
      </c>
    </row>
    <row r="6740" spans="1:7" x14ac:dyDescent="0.3">
      <c r="A6740" t="s">
        <v>2337</v>
      </c>
      <c r="B6740" t="s">
        <v>39</v>
      </c>
      <c r="D6740">
        <v>2018</v>
      </c>
      <c r="E6740" s="2">
        <v>5</v>
      </c>
      <c r="F6740" s="2">
        <v>1500</v>
      </c>
      <c r="G6740" s="2">
        <v>1575</v>
      </c>
    </row>
    <row r="6741" spans="1:7" x14ac:dyDescent="0.3">
      <c r="A6741" t="s">
        <v>2337</v>
      </c>
      <c r="B6741" t="s">
        <v>28</v>
      </c>
      <c r="D6741">
        <v>2014</v>
      </c>
      <c r="E6741" s="2">
        <v>1</v>
      </c>
      <c r="F6741" s="2">
        <v>485</v>
      </c>
      <c r="G6741" s="2"/>
    </row>
    <row r="6742" spans="1:7" x14ac:dyDescent="0.3">
      <c r="A6742" t="s">
        <v>2337</v>
      </c>
      <c r="B6742" t="s">
        <v>28</v>
      </c>
      <c r="D6742">
        <v>2015</v>
      </c>
      <c r="E6742" s="2">
        <v>2</v>
      </c>
      <c r="F6742" s="2">
        <v>1000</v>
      </c>
      <c r="G6742" s="2"/>
    </row>
    <row r="6743" spans="1:7" x14ac:dyDescent="0.3">
      <c r="A6743" t="s">
        <v>2337</v>
      </c>
      <c r="B6743" t="s">
        <v>28</v>
      </c>
      <c r="D6743">
        <v>2016</v>
      </c>
      <c r="E6743" s="2">
        <v>28</v>
      </c>
      <c r="F6743" s="2">
        <v>15000</v>
      </c>
      <c r="G6743" s="2"/>
    </row>
    <row r="6744" spans="1:7" x14ac:dyDescent="0.3">
      <c r="A6744" t="s">
        <v>2337</v>
      </c>
      <c r="B6744" t="s">
        <v>28</v>
      </c>
      <c r="D6744">
        <v>2017</v>
      </c>
      <c r="E6744" s="2">
        <v>42</v>
      </c>
      <c r="F6744" s="2">
        <v>19150</v>
      </c>
      <c r="G6744" s="2"/>
    </row>
    <row r="6745" spans="1:7" x14ac:dyDescent="0.3">
      <c r="A6745" t="s">
        <v>2337</v>
      </c>
      <c r="B6745" t="s">
        <v>28</v>
      </c>
      <c r="D6745">
        <v>2018</v>
      </c>
      <c r="E6745" s="2">
        <v>5</v>
      </c>
      <c r="F6745" s="2">
        <v>2250</v>
      </c>
      <c r="G6745" s="2">
        <v>2362.5</v>
      </c>
    </row>
    <row r="6746" spans="1:7" x14ac:dyDescent="0.3">
      <c r="A6746" t="s">
        <v>2337</v>
      </c>
      <c r="B6746" t="s">
        <v>28</v>
      </c>
      <c r="D6746">
        <v>2019</v>
      </c>
      <c r="E6746" s="2">
        <v>10</v>
      </c>
      <c r="F6746" s="2">
        <v>3550</v>
      </c>
      <c r="G6746" s="2">
        <v>3727.5</v>
      </c>
    </row>
    <row r="6747" spans="1:7" x14ac:dyDescent="0.3">
      <c r="A6747" t="s">
        <v>2337</v>
      </c>
      <c r="B6747" t="s">
        <v>29</v>
      </c>
      <c r="D6747">
        <v>2014</v>
      </c>
      <c r="E6747" s="2">
        <v>1</v>
      </c>
      <c r="F6747" s="2">
        <v>485</v>
      </c>
      <c r="G6747" s="2"/>
    </row>
    <row r="6748" spans="1:7" x14ac:dyDescent="0.3">
      <c r="A6748" t="s">
        <v>2337</v>
      </c>
      <c r="B6748" t="s">
        <v>29</v>
      </c>
      <c r="D6748">
        <v>2015</v>
      </c>
      <c r="E6748" s="2">
        <v>2</v>
      </c>
      <c r="F6748" s="2">
        <v>1000</v>
      </c>
      <c r="G6748" s="2"/>
    </row>
    <row r="6749" spans="1:7" x14ac:dyDescent="0.3">
      <c r="A6749" t="s">
        <v>2337</v>
      </c>
      <c r="B6749" t="s">
        <v>29</v>
      </c>
      <c r="D6749">
        <v>2016</v>
      </c>
      <c r="E6749" s="2">
        <v>28</v>
      </c>
      <c r="F6749" s="2">
        <v>15000</v>
      </c>
      <c r="G6749" s="2"/>
    </row>
    <row r="6750" spans="1:7" x14ac:dyDescent="0.3">
      <c r="A6750" t="s">
        <v>2337</v>
      </c>
      <c r="B6750" t="s">
        <v>29</v>
      </c>
      <c r="D6750">
        <v>2017</v>
      </c>
      <c r="E6750" s="2">
        <v>42</v>
      </c>
      <c r="F6750" s="2">
        <v>19150</v>
      </c>
      <c r="G6750" s="2"/>
    </row>
    <row r="6751" spans="1:7" x14ac:dyDescent="0.3">
      <c r="A6751" t="s">
        <v>2337</v>
      </c>
      <c r="B6751" t="s">
        <v>29</v>
      </c>
      <c r="D6751">
        <v>2018</v>
      </c>
      <c r="E6751" s="2">
        <v>5</v>
      </c>
      <c r="F6751" s="2">
        <v>2250</v>
      </c>
      <c r="G6751" s="2">
        <v>2362.5</v>
      </c>
    </row>
    <row r="6752" spans="1:7" x14ac:dyDescent="0.3">
      <c r="A6752" t="s">
        <v>2337</v>
      </c>
      <c r="B6752" t="s">
        <v>686</v>
      </c>
      <c r="C6752" t="s">
        <v>687</v>
      </c>
      <c r="D6752">
        <v>2020</v>
      </c>
      <c r="E6752" s="2">
        <v>50</v>
      </c>
      <c r="F6752" s="2">
        <v>3000</v>
      </c>
      <c r="G6752" s="2">
        <v>3150</v>
      </c>
    </row>
    <row r="6753" spans="1:8" x14ac:dyDescent="0.3">
      <c r="A6753" t="s">
        <v>2337</v>
      </c>
      <c r="B6753" t="s">
        <v>19</v>
      </c>
      <c r="C6753" t="s">
        <v>20</v>
      </c>
      <c r="D6753">
        <v>2016</v>
      </c>
      <c r="E6753" s="2">
        <v>290</v>
      </c>
      <c r="F6753" s="2">
        <v>29000</v>
      </c>
      <c r="G6753" s="2"/>
    </row>
    <row r="6754" spans="1:8" x14ac:dyDescent="0.3">
      <c r="A6754" t="s">
        <v>2337</v>
      </c>
      <c r="B6754" t="s">
        <v>1669</v>
      </c>
      <c r="C6754" t="s">
        <v>703</v>
      </c>
      <c r="D6754">
        <v>2021</v>
      </c>
      <c r="E6754" s="2">
        <v>150</v>
      </c>
      <c r="F6754" s="2">
        <v>9000</v>
      </c>
      <c r="G6754" s="2">
        <v>9450</v>
      </c>
      <c r="H6754" s="3" t="s">
        <v>2338</v>
      </c>
    </row>
    <row r="6755" spans="1:8" x14ac:dyDescent="0.3">
      <c r="A6755" t="s">
        <v>2337</v>
      </c>
      <c r="B6755" t="s">
        <v>446</v>
      </c>
      <c r="C6755" t="s">
        <v>447</v>
      </c>
      <c r="D6755">
        <v>2020</v>
      </c>
      <c r="E6755" s="2">
        <v>75</v>
      </c>
      <c r="F6755" s="2">
        <v>4500</v>
      </c>
      <c r="G6755" s="2">
        <v>4725</v>
      </c>
      <c r="H6755" s="3" t="s">
        <v>2339</v>
      </c>
    </row>
    <row r="6756" spans="1:8" x14ac:dyDescent="0.3">
      <c r="A6756" t="s">
        <v>2337</v>
      </c>
      <c r="B6756" t="s">
        <v>446</v>
      </c>
      <c r="C6756" t="s">
        <v>447</v>
      </c>
      <c r="D6756">
        <v>2021</v>
      </c>
      <c r="E6756" s="2">
        <v>300</v>
      </c>
      <c r="F6756" s="2">
        <v>18000</v>
      </c>
      <c r="G6756" s="2">
        <v>18900</v>
      </c>
      <c r="H6756" s="3" t="s">
        <v>2339</v>
      </c>
    </row>
    <row r="6757" spans="1:8" x14ac:dyDescent="0.3">
      <c r="A6757" t="s">
        <v>2337</v>
      </c>
      <c r="B6757" t="s">
        <v>2340</v>
      </c>
      <c r="D6757">
        <v>2021</v>
      </c>
      <c r="E6757" s="2">
        <v>100</v>
      </c>
      <c r="F6757" s="2">
        <v>6000</v>
      </c>
      <c r="G6757" s="2">
        <v>6300</v>
      </c>
      <c r="H6757" s="3" t="s">
        <v>2341</v>
      </c>
    </row>
    <row r="6758" spans="1:8" x14ac:dyDescent="0.3">
      <c r="A6758" t="s">
        <v>2337</v>
      </c>
      <c r="B6758" t="s">
        <v>2342</v>
      </c>
      <c r="D6758">
        <v>2021</v>
      </c>
      <c r="E6758" s="2">
        <v>100</v>
      </c>
      <c r="F6758" s="2">
        <v>6000</v>
      </c>
      <c r="G6758" s="2">
        <v>6300</v>
      </c>
      <c r="H6758" s="3" t="s">
        <v>2343</v>
      </c>
    </row>
    <row r="6759" spans="1:8" x14ac:dyDescent="0.3">
      <c r="A6759" t="s">
        <v>2337</v>
      </c>
      <c r="B6759" t="s">
        <v>30</v>
      </c>
      <c r="C6759" t="s">
        <v>31</v>
      </c>
      <c r="D6759">
        <v>2016</v>
      </c>
      <c r="E6759" s="2">
        <v>5</v>
      </c>
      <c r="F6759" s="2">
        <v>365</v>
      </c>
      <c r="G6759" s="2"/>
    </row>
    <row r="6760" spans="1:8" x14ac:dyDescent="0.3">
      <c r="A6760" t="s">
        <v>2337</v>
      </c>
      <c r="B6760" t="s">
        <v>2344</v>
      </c>
      <c r="D6760">
        <v>2017</v>
      </c>
      <c r="E6760" s="2">
        <v>50</v>
      </c>
      <c r="F6760" s="2">
        <v>3500</v>
      </c>
      <c r="G6760" s="2"/>
    </row>
    <row r="6761" spans="1:8" x14ac:dyDescent="0.3">
      <c r="A6761" t="s">
        <v>2337</v>
      </c>
      <c r="B6761" t="s">
        <v>314</v>
      </c>
      <c r="C6761" t="s">
        <v>315</v>
      </c>
      <c r="D6761">
        <v>2014</v>
      </c>
      <c r="E6761" s="2">
        <v>50</v>
      </c>
      <c r="F6761" s="2">
        <v>3625</v>
      </c>
      <c r="G6761" s="2"/>
    </row>
    <row r="6762" spans="1:8" x14ac:dyDescent="0.3">
      <c r="A6762" t="s">
        <v>2337</v>
      </c>
      <c r="B6762" t="s">
        <v>240</v>
      </c>
      <c r="D6762">
        <v>2017</v>
      </c>
      <c r="E6762" s="2">
        <v>7</v>
      </c>
      <c r="F6762" s="2">
        <v>665</v>
      </c>
      <c r="G6762" s="2"/>
    </row>
    <row r="6763" spans="1:8" x14ac:dyDescent="0.3">
      <c r="A6763" t="s">
        <v>2337</v>
      </c>
      <c r="B6763" t="s">
        <v>32</v>
      </c>
      <c r="D6763">
        <v>2015</v>
      </c>
      <c r="E6763" s="2">
        <v>20</v>
      </c>
      <c r="F6763" s="2">
        <v>1800</v>
      </c>
      <c r="G6763" s="2"/>
    </row>
    <row r="6764" spans="1:8" x14ac:dyDescent="0.3">
      <c r="A6764" t="s">
        <v>2337</v>
      </c>
      <c r="B6764" t="s">
        <v>32</v>
      </c>
      <c r="D6764">
        <v>2016</v>
      </c>
      <c r="E6764" s="2">
        <v>80</v>
      </c>
      <c r="F6764" s="2">
        <v>7200</v>
      </c>
      <c r="G6764" s="2"/>
    </row>
    <row r="6765" spans="1:8" x14ac:dyDescent="0.3">
      <c r="A6765" t="s">
        <v>2337</v>
      </c>
      <c r="B6765" t="s">
        <v>32</v>
      </c>
      <c r="D6765">
        <v>2017</v>
      </c>
      <c r="E6765" s="2">
        <v>120</v>
      </c>
      <c r="F6765" s="2">
        <v>11400</v>
      </c>
      <c r="G6765" s="2"/>
    </row>
    <row r="6766" spans="1:8" x14ac:dyDescent="0.3">
      <c r="A6766" t="s">
        <v>2337</v>
      </c>
      <c r="B6766" t="s">
        <v>32</v>
      </c>
      <c r="D6766">
        <v>2019</v>
      </c>
      <c r="E6766" s="2">
        <v>60</v>
      </c>
      <c r="F6766" s="2">
        <v>4300</v>
      </c>
      <c r="G6766" s="2">
        <v>4515</v>
      </c>
    </row>
    <row r="6767" spans="1:8" x14ac:dyDescent="0.3">
      <c r="A6767" t="s">
        <v>2337</v>
      </c>
      <c r="B6767" t="s">
        <v>483</v>
      </c>
      <c r="C6767" t="s">
        <v>484</v>
      </c>
      <c r="D6767">
        <v>2020</v>
      </c>
      <c r="E6767" s="2">
        <v>175</v>
      </c>
      <c r="F6767" s="2">
        <v>10500</v>
      </c>
      <c r="G6767" s="2">
        <v>11025</v>
      </c>
    </row>
    <row r="6768" spans="1:8" x14ac:dyDescent="0.3">
      <c r="A6768" t="s">
        <v>2345</v>
      </c>
      <c r="B6768" t="s">
        <v>696</v>
      </c>
      <c r="C6768" t="s">
        <v>697</v>
      </c>
      <c r="D6768">
        <v>2017</v>
      </c>
      <c r="E6768" s="2">
        <v>50</v>
      </c>
      <c r="F6768" s="2">
        <v>3750</v>
      </c>
      <c r="G6768" s="2"/>
    </row>
    <row r="6769" spans="1:7" x14ac:dyDescent="0.3">
      <c r="A6769" t="s">
        <v>2345</v>
      </c>
      <c r="B6769" t="s">
        <v>26</v>
      </c>
      <c r="C6769" t="s">
        <v>27</v>
      </c>
      <c r="D6769">
        <v>2016</v>
      </c>
      <c r="E6769" s="2">
        <v>25</v>
      </c>
      <c r="F6769" s="2">
        <v>1750</v>
      </c>
      <c r="G6769" s="2"/>
    </row>
    <row r="6770" spans="1:7" x14ac:dyDescent="0.3">
      <c r="A6770" t="s">
        <v>2345</v>
      </c>
      <c r="B6770" t="s">
        <v>26</v>
      </c>
      <c r="C6770" t="s">
        <v>27</v>
      </c>
      <c r="D6770">
        <v>2017</v>
      </c>
      <c r="E6770" s="2">
        <v>150</v>
      </c>
      <c r="F6770" s="2">
        <v>10750</v>
      </c>
      <c r="G6770" s="2"/>
    </row>
    <row r="6771" spans="1:7" x14ac:dyDescent="0.3">
      <c r="A6771" t="s">
        <v>2345</v>
      </c>
      <c r="B6771" t="s">
        <v>26</v>
      </c>
      <c r="C6771" t="s">
        <v>27</v>
      </c>
      <c r="D6771">
        <v>2018</v>
      </c>
      <c r="E6771" s="2">
        <v>300</v>
      </c>
      <c r="F6771" s="2">
        <v>21750</v>
      </c>
      <c r="G6771" s="2">
        <v>22837.5</v>
      </c>
    </row>
    <row r="6772" spans="1:7" x14ac:dyDescent="0.3">
      <c r="A6772" t="s">
        <v>2345</v>
      </c>
      <c r="B6772" t="s">
        <v>26</v>
      </c>
      <c r="C6772" t="s">
        <v>27</v>
      </c>
      <c r="D6772">
        <v>2019</v>
      </c>
      <c r="E6772" s="2">
        <v>25</v>
      </c>
      <c r="F6772" s="2">
        <v>1750</v>
      </c>
      <c r="G6772" s="2">
        <v>1837.5</v>
      </c>
    </row>
    <row r="6773" spans="1:7" x14ac:dyDescent="0.3">
      <c r="A6773" t="s">
        <v>2345</v>
      </c>
      <c r="B6773" t="s">
        <v>26</v>
      </c>
      <c r="C6773" t="s">
        <v>27</v>
      </c>
      <c r="D6773">
        <v>2020</v>
      </c>
      <c r="E6773" s="2">
        <v>35</v>
      </c>
      <c r="F6773" s="2">
        <v>2450</v>
      </c>
      <c r="G6773" s="2">
        <v>2572.5</v>
      </c>
    </row>
    <row r="6774" spans="1:7" x14ac:dyDescent="0.3">
      <c r="A6774" t="s">
        <v>2345</v>
      </c>
      <c r="B6774" t="s">
        <v>19</v>
      </c>
      <c r="C6774" t="s">
        <v>20</v>
      </c>
      <c r="D6774">
        <v>2017</v>
      </c>
      <c r="E6774" s="2">
        <v>25</v>
      </c>
      <c r="F6774" s="2">
        <v>2375</v>
      </c>
      <c r="G6774" s="2"/>
    </row>
    <row r="6775" spans="1:7" x14ac:dyDescent="0.3">
      <c r="A6775" t="s">
        <v>2345</v>
      </c>
      <c r="B6775" t="s">
        <v>19</v>
      </c>
      <c r="C6775" t="s">
        <v>20</v>
      </c>
      <c r="D6775">
        <v>2018</v>
      </c>
      <c r="E6775" s="2">
        <v>25</v>
      </c>
      <c r="F6775" s="2">
        <v>2375</v>
      </c>
      <c r="G6775" s="2">
        <v>2493.75</v>
      </c>
    </row>
    <row r="6776" spans="1:7" x14ac:dyDescent="0.3">
      <c r="A6776" t="s">
        <v>2345</v>
      </c>
      <c r="B6776" t="s">
        <v>19</v>
      </c>
      <c r="C6776" t="s">
        <v>20</v>
      </c>
      <c r="D6776">
        <v>2019</v>
      </c>
      <c r="E6776" s="2">
        <v>25</v>
      </c>
      <c r="F6776" s="2">
        <v>2625</v>
      </c>
      <c r="G6776" s="2">
        <v>2756.25</v>
      </c>
    </row>
    <row r="6777" spans="1:7" x14ac:dyDescent="0.3">
      <c r="A6777" t="s">
        <v>2345</v>
      </c>
      <c r="B6777" t="s">
        <v>741</v>
      </c>
      <c r="C6777" t="s">
        <v>742</v>
      </c>
      <c r="D6777">
        <v>2014</v>
      </c>
      <c r="E6777" s="2">
        <v>50</v>
      </c>
      <c r="F6777" s="2">
        <v>3500</v>
      </c>
      <c r="G6777" s="2"/>
    </row>
    <row r="6778" spans="1:7" x14ac:dyDescent="0.3">
      <c r="A6778" t="s">
        <v>2345</v>
      </c>
      <c r="B6778" t="s">
        <v>741</v>
      </c>
      <c r="C6778" t="s">
        <v>742</v>
      </c>
      <c r="D6778">
        <v>2015</v>
      </c>
      <c r="E6778" s="2">
        <v>75</v>
      </c>
      <c r="F6778" s="2">
        <v>5000</v>
      </c>
      <c r="G6778" s="2"/>
    </row>
    <row r="6779" spans="1:7" x14ac:dyDescent="0.3">
      <c r="A6779" t="s">
        <v>2345</v>
      </c>
      <c r="B6779" t="s">
        <v>741</v>
      </c>
      <c r="C6779" t="s">
        <v>742</v>
      </c>
      <c r="D6779">
        <v>2016</v>
      </c>
      <c r="E6779" s="2">
        <v>50</v>
      </c>
      <c r="F6779" s="2">
        <v>3500</v>
      </c>
      <c r="G6779" s="2"/>
    </row>
    <row r="6780" spans="1:7" x14ac:dyDescent="0.3">
      <c r="A6780" t="s">
        <v>2345</v>
      </c>
      <c r="B6780" t="s">
        <v>741</v>
      </c>
      <c r="C6780" t="s">
        <v>742</v>
      </c>
      <c r="D6780">
        <v>2017</v>
      </c>
      <c r="E6780" s="2">
        <v>135</v>
      </c>
      <c r="F6780" s="2">
        <v>11950</v>
      </c>
      <c r="G6780" s="2"/>
    </row>
    <row r="6781" spans="1:7" x14ac:dyDescent="0.3">
      <c r="A6781" t="s">
        <v>2345</v>
      </c>
      <c r="B6781" t="s">
        <v>741</v>
      </c>
      <c r="C6781" t="s">
        <v>742</v>
      </c>
      <c r="D6781">
        <v>2018</v>
      </c>
      <c r="E6781" s="2">
        <v>75</v>
      </c>
      <c r="F6781" s="2">
        <v>5250</v>
      </c>
      <c r="G6781" s="2">
        <v>5512.5</v>
      </c>
    </row>
    <row r="6782" spans="1:7" x14ac:dyDescent="0.3">
      <c r="A6782" t="s">
        <v>2345</v>
      </c>
      <c r="B6782" t="s">
        <v>473</v>
      </c>
      <c r="C6782" t="s">
        <v>747</v>
      </c>
      <c r="D6782">
        <v>2018</v>
      </c>
      <c r="E6782" s="2">
        <v>10</v>
      </c>
      <c r="F6782" s="2">
        <v>750</v>
      </c>
      <c r="G6782" s="2">
        <v>787.5</v>
      </c>
    </row>
    <row r="6783" spans="1:7" x14ac:dyDescent="0.3">
      <c r="A6783" t="s">
        <v>2345</v>
      </c>
      <c r="B6783" t="s">
        <v>45</v>
      </c>
      <c r="D6783">
        <v>2013</v>
      </c>
      <c r="E6783" s="2">
        <v>20</v>
      </c>
      <c r="F6783" s="2">
        <v>1800</v>
      </c>
      <c r="G6783" s="2"/>
    </row>
    <row r="6784" spans="1:7" x14ac:dyDescent="0.3">
      <c r="A6784" t="s">
        <v>2345</v>
      </c>
      <c r="B6784" t="s">
        <v>863</v>
      </c>
      <c r="D6784">
        <v>2017</v>
      </c>
      <c r="E6784" s="2">
        <v>20</v>
      </c>
      <c r="F6784" s="2">
        <v>2000</v>
      </c>
      <c r="G6784" s="2"/>
    </row>
    <row r="6785" spans="1:8" x14ac:dyDescent="0.3">
      <c r="A6785" t="s">
        <v>2345</v>
      </c>
      <c r="B6785" t="s">
        <v>863</v>
      </c>
      <c r="D6785">
        <v>2018</v>
      </c>
      <c r="E6785" s="2">
        <v>10</v>
      </c>
      <c r="F6785" s="2">
        <v>1000</v>
      </c>
      <c r="G6785" s="2">
        <v>1050</v>
      </c>
    </row>
    <row r="6786" spans="1:8" x14ac:dyDescent="0.3">
      <c r="A6786" t="s">
        <v>2345</v>
      </c>
      <c r="B6786" t="s">
        <v>240</v>
      </c>
      <c r="D6786">
        <v>2013</v>
      </c>
      <c r="E6786" s="2">
        <v>20</v>
      </c>
      <c r="F6786" s="2">
        <v>1800</v>
      </c>
      <c r="G6786" s="2"/>
    </row>
    <row r="6787" spans="1:8" x14ac:dyDescent="0.3">
      <c r="A6787" t="s">
        <v>2345</v>
      </c>
      <c r="B6787" t="s">
        <v>240</v>
      </c>
      <c r="D6787">
        <v>2015</v>
      </c>
      <c r="E6787" s="2">
        <v>20</v>
      </c>
      <c r="F6787" s="2">
        <v>1800</v>
      </c>
      <c r="G6787" s="2"/>
    </row>
    <row r="6788" spans="1:8" x14ac:dyDescent="0.3">
      <c r="A6788" t="s">
        <v>2345</v>
      </c>
      <c r="B6788" t="s">
        <v>240</v>
      </c>
      <c r="D6788">
        <v>2017</v>
      </c>
      <c r="E6788" s="2">
        <v>20</v>
      </c>
      <c r="F6788" s="2">
        <v>1800</v>
      </c>
      <c r="G6788" s="2"/>
    </row>
    <row r="6789" spans="1:8" x14ac:dyDescent="0.3">
      <c r="A6789" t="s">
        <v>2345</v>
      </c>
      <c r="B6789" t="s">
        <v>32</v>
      </c>
      <c r="D6789">
        <v>2013</v>
      </c>
      <c r="E6789" s="2">
        <v>20</v>
      </c>
      <c r="F6789" s="2">
        <v>1800</v>
      </c>
      <c r="G6789" s="2"/>
    </row>
    <row r="6790" spans="1:8" x14ac:dyDescent="0.3">
      <c r="A6790" t="s">
        <v>2345</v>
      </c>
      <c r="B6790" t="s">
        <v>32</v>
      </c>
      <c r="D6790">
        <v>2017</v>
      </c>
      <c r="E6790" s="2">
        <v>40</v>
      </c>
      <c r="F6790" s="2">
        <v>3600</v>
      </c>
      <c r="G6790" s="2"/>
    </row>
    <row r="6791" spans="1:8" x14ac:dyDescent="0.3">
      <c r="A6791" t="s">
        <v>2345</v>
      </c>
      <c r="B6791" t="s">
        <v>32</v>
      </c>
      <c r="D6791">
        <v>2018</v>
      </c>
      <c r="E6791" s="2">
        <v>20</v>
      </c>
      <c r="F6791" s="2">
        <v>1800</v>
      </c>
      <c r="G6791" s="2">
        <v>1890</v>
      </c>
    </row>
    <row r="6792" spans="1:8" x14ac:dyDescent="0.3">
      <c r="A6792" t="s">
        <v>2345</v>
      </c>
      <c r="B6792" t="s">
        <v>864</v>
      </c>
      <c r="D6792">
        <v>2013</v>
      </c>
      <c r="E6792" s="2">
        <v>19</v>
      </c>
      <c r="F6792" s="2">
        <v>1710</v>
      </c>
      <c r="G6792" s="2"/>
    </row>
    <row r="6793" spans="1:8" x14ac:dyDescent="0.3">
      <c r="A6793" t="s">
        <v>2345</v>
      </c>
      <c r="B6793" t="s">
        <v>46</v>
      </c>
      <c r="C6793" t="s">
        <v>47</v>
      </c>
      <c r="D6793">
        <v>2013</v>
      </c>
      <c r="E6793" s="2">
        <v>150</v>
      </c>
      <c r="F6793" s="2">
        <v>10200</v>
      </c>
      <c r="G6793" s="2"/>
    </row>
    <row r="6794" spans="1:8" x14ac:dyDescent="0.3">
      <c r="A6794" t="s">
        <v>2346</v>
      </c>
      <c r="B6794" t="s">
        <v>660</v>
      </c>
      <c r="C6794" t="s">
        <v>661</v>
      </c>
      <c r="D6794">
        <v>2020</v>
      </c>
      <c r="E6794" s="2">
        <v>175</v>
      </c>
      <c r="F6794" s="2">
        <v>12975</v>
      </c>
      <c r="G6794" s="2">
        <v>13623.75</v>
      </c>
    </row>
    <row r="6795" spans="1:8" x14ac:dyDescent="0.3">
      <c r="A6795" t="s">
        <v>2346</v>
      </c>
      <c r="B6795" t="s">
        <v>16</v>
      </c>
      <c r="C6795" t="s">
        <v>17</v>
      </c>
      <c r="D6795">
        <v>2016</v>
      </c>
      <c r="E6795" s="2">
        <v>60</v>
      </c>
      <c r="F6795" s="2">
        <v>5500</v>
      </c>
      <c r="G6795" s="2"/>
      <c r="H6795" s="3" t="s">
        <v>14</v>
      </c>
    </row>
    <row r="6796" spans="1:8" x14ac:dyDescent="0.3">
      <c r="A6796" t="s">
        <v>2346</v>
      </c>
      <c r="B6796" t="s">
        <v>16</v>
      </c>
      <c r="C6796" t="s">
        <v>17</v>
      </c>
      <c r="D6796">
        <v>2017</v>
      </c>
      <c r="E6796" s="2">
        <v>105</v>
      </c>
      <c r="F6796" s="2">
        <v>9450</v>
      </c>
      <c r="G6796" s="2"/>
      <c r="H6796" s="3" t="s">
        <v>14</v>
      </c>
    </row>
    <row r="6797" spans="1:8" x14ac:dyDescent="0.3">
      <c r="A6797" t="s">
        <v>2346</v>
      </c>
      <c r="B6797" t="s">
        <v>16</v>
      </c>
      <c r="C6797" t="s">
        <v>17</v>
      </c>
      <c r="D6797">
        <v>2018</v>
      </c>
      <c r="E6797" s="2">
        <v>175</v>
      </c>
      <c r="F6797" s="2">
        <v>15750</v>
      </c>
      <c r="G6797" s="2">
        <v>16537.5</v>
      </c>
      <c r="H6797" s="3" t="s">
        <v>14</v>
      </c>
    </row>
    <row r="6798" spans="1:8" x14ac:dyDescent="0.3">
      <c r="A6798" t="s">
        <v>2346</v>
      </c>
      <c r="B6798" t="s">
        <v>16</v>
      </c>
      <c r="C6798" t="s">
        <v>17</v>
      </c>
      <c r="D6798">
        <v>2019</v>
      </c>
      <c r="E6798" s="2">
        <v>308</v>
      </c>
      <c r="F6798" s="2">
        <v>27720</v>
      </c>
      <c r="G6798" s="2">
        <v>29106</v>
      </c>
      <c r="H6798" s="3" t="s">
        <v>14</v>
      </c>
    </row>
    <row r="6799" spans="1:8" x14ac:dyDescent="0.3">
      <c r="A6799" t="s">
        <v>2346</v>
      </c>
      <c r="B6799" t="s">
        <v>16</v>
      </c>
      <c r="C6799" t="s">
        <v>17</v>
      </c>
      <c r="D6799">
        <v>2020</v>
      </c>
      <c r="E6799" s="2">
        <v>425</v>
      </c>
      <c r="F6799" s="2">
        <v>38225</v>
      </c>
      <c r="G6799" s="2">
        <v>40136.25</v>
      </c>
      <c r="H6799" s="3" t="s">
        <v>14</v>
      </c>
    </row>
    <row r="6800" spans="1:8" x14ac:dyDescent="0.3">
      <c r="A6800" t="s">
        <v>2346</v>
      </c>
      <c r="B6800" t="s">
        <v>16</v>
      </c>
      <c r="C6800" t="s">
        <v>17</v>
      </c>
      <c r="D6800">
        <v>2021</v>
      </c>
      <c r="E6800" s="2">
        <v>200</v>
      </c>
      <c r="F6800" s="2">
        <v>18000</v>
      </c>
      <c r="G6800" s="2">
        <v>18900</v>
      </c>
      <c r="H6800" s="3" t="s">
        <v>14</v>
      </c>
    </row>
    <row r="6801" spans="1:8" x14ac:dyDescent="0.3">
      <c r="A6801" t="s">
        <v>2346</v>
      </c>
      <c r="B6801" t="s">
        <v>662</v>
      </c>
      <c r="C6801" t="s">
        <v>525</v>
      </c>
      <c r="D6801">
        <v>2019</v>
      </c>
      <c r="E6801" s="2">
        <v>200</v>
      </c>
      <c r="F6801" s="2">
        <v>14000</v>
      </c>
      <c r="G6801" s="2">
        <v>14700</v>
      </c>
    </row>
    <row r="6802" spans="1:8" x14ac:dyDescent="0.3">
      <c r="A6802" t="s">
        <v>2346</v>
      </c>
      <c r="B6802" t="s">
        <v>662</v>
      </c>
      <c r="C6802" t="s">
        <v>525</v>
      </c>
      <c r="D6802">
        <v>2020</v>
      </c>
      <c r="E6802" s="2">
        <v>25</v>
      </c>
      <c r="F6802" s="2">
        <v>1750</v>
      </c>
      <c r="G6802" s="2">
        <v>1837.5</v>
      </c>
    </row>
    <row r="6803" spans="1:8" x14ac:dyDescent="0.3">
      <c r="A6803" t="s">
        <v>2346</v>
      </c>
      <c r="B6803" t="s">
        <v>34</v>
      </c>
      <c r="D6803">
        <v>2016</v>
      </c>
      <c r="E6803" s="2">
        <v>1</v>
      </c>
      <c r="F6803" s="2">
        <v>120</v>
      </c>
      <c r="G6803" s="2"/>
    </row>
    <row r="6804" spans="1:8" x14ac:dyDescent="0.3">
      <c r="A6804" t="s">
        <v>2346</v>
      </c>
      <c r="B6804" t="s">
        <v>1011</v>
      </c>
      <c r="C6804" t="s">
        <v>1012</v>
      </c>
      <c r="D6804">
        <v>2020</v>
      </c>
      <c r="E6804" s="2">
        <v>5</v>
      </c>
      <c r="F6804" s="2">
        <v>375</v>
      </c>
      <c r="G6804" s="2">
        <v>393.75</v>
      </c>
    </row>
    <row r="6805" spans="1:8" x14ac:dyDescent="0.3">
      <c r="A6805" t="s">
        <v>2346</v>
      </c>
      <c r="B6805" t="s">
        <v>548</v>
      </c>
      <c r="D6805">
        <v>2020</v>
      </c>
      <c r="E6805" s="2">
        <v>25</v>
      </c>
      <c r="F6805" s="2">
        <v>1625</v>
      </c>
      <c r="G6805" s="2">
        <v>1706.25</v>
      </c>
    </row>
    <row r="6806" spans="1:8" x14ac:dyDescent="0.3">
      <c r="A6806" t="s">
        <v>2346</v>
      </c>
      <c r="B6806" t="s">
        <v>1687</v>
      </c>
      <c r="C6806" t="s">
        <v>1688</v>
      </c>
      <c r="D6806">
        <v>2019</v>
      </c>
      <c r="E6806" s="2">
        <v>25</v>
      </c>
      <c r="F6806" s="2">
        <v>2000</v>
      </c>
      <c r="G6806" s="2">
        <v>2100</v>
      </c>
      <c r="H6806" s="3" t="s">
        <v>2347</v>
      </c>
    </row>
    <row r="6807" spans="1:8" x14ac:dyDescent="0.3">
      <c r="A6807" t="s">
        <v>2346</v>
      </c>
      <c r="B6807" t="s">
        <v>1687</v>
      </c>
      <c r="C6807" t="s">
        <v>1688</v>
      </c>
      <c r="D6807">
        <v>2020</v>
      </c>
      <c r="E6807" s="2">
        <v>10</v>
      </c>
      <c r="F6807" s="2">
        <v>800</v>
      </c>
      <c r="G6807" s="2">
        <v>840</v>
      </c>
      <c r="H6807" s="3" t="s">
        <v>2347</v>
      </c>
    </row>
    <row r="6808" spans="1:8" x14ac:dyDescent="0.3">
      <c r="A6808" t="s">
        <v>2346</v>
      </c>
      <c r="B6808" t="s">
        <v>1687</v>
      </c>
      <c r="C6808" t="s">
        <v>1688</v>
      </c>
      <c r="D6808">
        <v>2021</v>
      </c>
      <c r="E6808" s="2">
        <v>10</v>
      </c>
      <c r="F6808" s="2">
        <v>800</v>
      </c>
      <c r="G6808" s="2">
        <v>840</v>
      </c>
      <c r="H6808" s="3" t="s">
        <v>2347</v>
      </c>
    </row>
    <row r="6809" spans="1:8" x14ac:dyDescent="0.3">
      <c r="A6809" t="s">
        <v>2346</v>
      </c>
      <c r="B6809" t="s">
        <v>349</v>
      </c>
      <c r="C6809" t="s">
        <v>350</v>
      </c>
      <c r="D6809">
        <v>2014</v>
      </c>
      <c r="E6809" s="2">
        <v>25</v>
      </c>
      <c r="F6809" s="2">
        <v>1875</v>
      </c>
      <c r="G6809" s="2"/>
    </row>
    <row r="6810" spans="1:8" x14ac:dyDescent="0.3">
      <c r="A6810" t="s">
        <v>2346</v>
      </c>
      <c r="B6810" t="s">
        <v>349</v>
      </c>
      <c r="C6810" t="s">
        <v>350</v>
      </c>
      <c r="D6810">
        <v>2020</v>
      </c>
      <c r="E6810" s="2">
        <v>10</v>
      </c>
      <c r="F6810" s="2">
        <v>800</v>
      </c>
      <c r="G6810" s="2">
        <v>840</v>
      </c>
    </row>
    <row r="6811" spans="1:8" x14ac:dyDescent="0.3">
      <c r="A6811" t="s">
        <v>2346</v>
      </c>
      <c r="B6811" t="s">
        <v>1853</v>
      </c>
      <c r="C6811" t="s">
        <v>1854</v>
      </c>
      <c r="D6811">
        <v>2020</v>
      </c>
      <c r="E6811" s="2">
        <v>10</v>
      </c>
      <c r="F6811" s="2">
        <v>800</v>
      </c>
      <c r="G6811" s="2">
        <v>840</v>
      </c>
    </row>
    <row r="6812" spans="1:8" x14ac:dyDescent="0.3">
      <c r="A6812" t="s">
        <v>2346</v>
      </c>
      <c r="B6812" t="s">
        <v>184</v>
      </c>
      <c r="C6812" t="s">
        <v>185</v>
      </c>
      <c r="D6812">
        <v>2011</v>
      </c>
      <c r="E6812" s="2">
        <v>25</v>
      </c>
      <c r="F6812" s="2">
        <v>1375</v>
      </c>
      <c r="G6812" s="2"/>
    </row>
    <row r="6813" spans="1:8" x14ac:dyDescent="0.3">
      <c r="A6813" t="s">
        <v>2346</v>
      </c>
      <c r="B6813" t="s">
        <v>184</v>
      </c>
      <c r="C6813" t="s">
        <v>185</v>
      </c>
      <c r="D6813">
        <v>2012</v>
      </c>
      <c r="E6813" s="2">
        <v>50</v>
      </c>
      <c r="F6813" s="2">
        <v>3125</v>
      </c>
      <c r="G6813" s="2"/>
    </row>
    <row r="6814" spans="1:8" x14ac:dyDescent="0.3">
      <c r="A6814" t="s">
        <v>2346</v>
      </c>
      <c r="B6814" t="s">
        <v>184</v>
      </c>
      <c r="C6814" t="s">
        <v>185</v>
      </c>
      <c r="D6814">
        <v>2017</v>
      </c>
      <c r="E6814" s="2">
        <v>35</v>
      </c>
      <c r="F6814" s="2">
        <v>825</v>
      </c>
      <c r="G6814" s="2"/>
    </row>
    <row r="6815" spans="1:8" x14ac:dyDescent="0.3">
      <c r="A6815" t="s">
        <v>2346</v>
      </c>
      <c r="B6815" t="s">
        <v>184</v>
      </c>
      <c r="C6815" t="s">
        <v>185</v>
      </c>
      <c r="D6815">
        <v>2018</v>
      </c>
      <c r="E6815" s="2">
        <v>55</v>
      </c>
      <c r="F6815" s="2">
        <v>2750</v>
      </c>
      <c r="G6815" s="2">
        <v>2887.5</v>
      </c>
    </row>
    <row r="6816" spans="1:8" x14ac:dyDescent="0.3">
      <c r="A6816" t="s">
        <v>2346</v>
      </c>
      <c r="B6816" t="s">
        <v>184</v>
      </c>
      <c r="C6816" t="s">
        <v>185</v>
      </c>
      <c r="D6816">
        <v>2019</v>
      </c>
      <c r="E6816" s="2">
        <v>20</v>
      </c>
      <c r="F6816" s="2">
        <v>1100</v>
      </c>
      <c r="G6816" s="2">
        <v>1155</v>
      </c>
    </row>
    <row r="6817" spans="1:8" x14ac:dyDescent="0.3">
      <c r="A6817" t="s">
        <v>2346</v>
      </c>
      <c r="B6817" t="s">
        <v>686</v>
      </c>
      <c r="C6817" t="s">
        <v>866</v>
      </c>
      <c r="D6817">
        <v>2019</v>
      </c>
      <c r="E6817" s="2">
        <v>30</v>
      </c>
      <c r="F6817" s="2">
        <v>1650</v>
      </c>
      <c r="G6817" s="2">
        <v>1732.5</v>
      </c>
    </row>
    <row r="6818" spans="1:8" x14ac:dyDescent="0.3">
      <c r="A6818" t="s">
        <v>2346</v>
      </c>
      <c r="B6818" t="s">
        <v>686</v>
      </c>
      <c r="C6818" t="s">
        <v>687</v>
      </c>
      <c r="D6818">
        <v>2020</v>
      </c>
      <c r="E6818" s="2">
        <v>80</v>
      </c>
      <c r="F6818" s="2">
        <v>4390</v>
      </c>
      <c r="G6818" s="2">
        <v>4609.5</v>
      </c>
      <c r="H6818" s="3" t="s">
        <v>1427</v>
      </c>
    </row>
    <row r="6819" spans="1:8" x14ac:dyDescent="0.3">
      <c r="A6819" t="s">
        <v>2346</v>
      </c>
      <c r="B6819" t="s">
        <v>686</v>
      </c>
      <c r="C6819" t="s">
        <v>687</v>
      </c>
      <c r="D6819">
        <v>2021</v>
      </c>
      <c r="E6819" s="2">
        <v>25</v>
      </c>
      <c r="F6819" s="2">
        <v>1375</v>
      </c>
      <c r="G6819" s="2">
        <v>1443.75</v>
      </c>
      <c r="H6819" s="3" t="s">
        <v>1427</v>
      </c>
    </row>
    <row r="6820" spans="1:8" x14ac:dyDescent="0.3">
      <c r="A6820" t="s">
        <v>2346</v>
      </c>
      <c r="B6820" t="s">
        <v>647</v>
      </c>
      <c r="C6820" t="s">
        <v>648</v>
      </c>
      <c r="D6820">
        <v>2017</v>
      </c>
      <c r="E6820" s="2">
        <v>245</v>
      </c>
      <c r="F6820" s="2">
        <v>17150</v>
      </c>
      <c r="G6820" s="2"/>
    </row>
    <row r="6821" spans="1:8" x14ac:dyDescent="0.3">
      <c r="A6821" t="s">
        <v>2346</v>
      </c>
      <c r="B6821" t="s">
        <v>647</v>
      </c>
      <c r="C6821" t="s">
        <v>648</v>
      </c>
      <c r="D6821">
        <v>2018</v>
      </c>
      <c r="E6821" s="2">
        <v>190</v>
      </c>
      <c r="F6821" s="2">
        <v>13300</v>
      </c>
      <c r="G6821" s="2">
        <v>13965</v>
      </c>
    </row>
    <row r="6822" spans="1:8" x14ac:dyDescent="0.3">
      <c r="A6822" t="s">
        <v>2346</v>
      </c>
      <c r="B6822" t="s">
        <v>647</v>
      </c>
      <c r="C6822" t="s">
        <v>648</v>
      </c>
      <c r="D6822">
        <v>2019</v>
      </c>
      <c r="E6822" s="2">
        <v>225</v>
      </c>
      <c r="F6822" s="2">
        <v>15750</v>
      </c>
      <c r="G6822" s="2">
        <v>16537.5</v>
      </c>
    </row>
    <row r="6823" spans="1:8" x14ac:dyDescent="0.3">
      <c r="A6823" t="s">
        <v>2346</v>
      </c>
      <c r="B6823" t="s">
        <v>1653</v>
      </c>
      <c r="C6823" t="s">
        <v>1654</v>
      </c>
      <c r="D6823">
        <v>2018</v>
      </c>
      <c r="E6823" s="2">
        <v>50</v>
      </c>
      <c r="F6823" s="2">
        <v>3500</v>
      </c>
      <c r="G6823" s="2">
        <v>3675</v>
      </c>
      <c r="H6823" s="3" t="s">
        <v>14</v>
      </c>
    </row>
    <row r="6824" spans="1:8" x14ac:dyDescent="0.3">
      <c r="A6824" t="s">
        <v>2346</v>
      </c>
      <c r="B6824" t="s">
        <v>1653</v>
      </c>
      <c r="C6824" t="s">
        <v>1654</v>
      </c>
      <c r="D6824">
        <v>2019</v>
      </c>
      <c r="E6824" s="2">
        <v>25</v>
      </c>
      <c r="F6824" s="2">
        <v>1750</v>
      </c>
      <c r="G6824" s="2">
        <v>1837.5</v>
      </c>
      <c r="H6824" s="3" t="s">
        <v>14</v>
      </c>
    </row>
    <row r="6825" spans="1:8" x14ac:dyDescent="0.3">
      <c r="A6825" t="s">
        <v>2346</v>
      </c>
      <c r="B6825" t="s">
        <v>1653</v>
      </c>
      <c r="C6825" t="s">
        <v>2348</v>
      </c>
      <c r="D6825">
        <v>2020</v>
      </c>
      <c r="E6825" s="2">
        <v>25</v>
      </c>
      <c r="F6825" s="2">
        <v>1750</v>
      </c>
      <c r="G6825" s="2">
        <v>1837.5</v>
      </c>
    </row>
    <row r="6826" spans="1:8" x14ac:dyDescent="0.3">
      <c r="A6826" t="s">
        <v>2346</v>
      </c>
      <c r="B6826" t="s">
        <v>1653</v>
      </c>
      <c r="C6826" t="s">
        <v>1654</v>
      </c>
      <c r="D6826">
        <v>2020</v>
      </c>
      <c r="E6826" s="2">
        <v>275</v>
      </c>
      <c r="F6826" s="2">
        <v>19250</v>
      </c>
      <c r="G6826" s="2">
        <v>20212.5</v>
      </c>
      <c r="H6826" s="3" t="s">
        <v>14</v>
      </c>
    </row>
    <row r="6827" spans="1:8" x14ac:dyDescent="0.3">
      <c r="A6827" t="s">
        <v>2346</v>
      </c>
      <c r="B6827" t="s">
        <v>1653</v>
      </c>
      <c r="C6827" t="s">
        <v>1654</v>
      </c>
      <c r="D6827">
        <v>2021</v>
      </c>
      <c r="E6827" s="2">
        <v>125</v>
      </c>
      <c r="F6827" s="2">
        <v>8750</v>
      </c>
      <c r="G6827" s="2">
        <v>9187.5</v>
      </c>
      <c r="H6827" s="3" t="s">
        <v>14</v>
      </c>
    </row>
    <row r="6828" spans="1:8" x14ac:dyDescent="0.3">
      <c r="A6828" t="s">
        <v>2346</v>
      </c>
      <c r="B6828" t="s">
        <v>567</v>
      </c>
      <c r="C6828" t="s">
        <v>698</v>
      </c>
      <c r="D6828">
        <v>2017</v>
      </c>
      <c r="E6828" s="2">
        <v>5</v>
      </c>
      <c r="F6828" s="2">
        <v>350</v>
      </c>
      <c r="G6828" s="2"/>
    </row>
    <row r="6829" spans="1:8" x14ac:dyDescent="0.3">
      <c r="A6829" t="s">
        <v>2346</v>
      </c>
      <c r="B6829" t="s">
        <v>297</v>
      </c>
      <c r="C6829" t="s">
        <v>298</v>
      </c>
      <c r="D6829">
        <v>2018</v>
      </c>
      <c r="E6829" s="2">
        <v>25</v>
      </c>
      <c r="F6829" s="2">
        <v>1425</v>
      </c>
      <c r="G6829" s="2">
        <v>1496.25</v>
      </c>
    </row>
    <row r="6830" spans="1:8" x14ac:dyDescent="0.3">
      <c r="A6830" t="s">
        <v>2346</v>
      </c>
      <c r="B6830" t="s">
        <v>528</v>
      </c>
      <c r="C6830" t="s">
        <v>529</v>
      </c>
      <c r="D6830">
        <v>2012</v>
      </c>
      <c r="E6830" s="2">
        <v>50</v>
      </c>
      <c r="F6830" s="2">
        <v>3900</v>
      </c>
      <c r="G6830" s="2"/>
    </row>
    <row r="6831" spans="1:8" x14ac:dyDescent="0.3">
      <c r="A6831" t="s">
        <v>2346</v>
      </c>
      <c r="B6831" t="s">
        <v>528</v>
      </c>
      <c r="C6831" t="s">
        <v>529</v>
      </c>
      <c r="D6831">
        <v>2014</v>
      </c>
      <c r="E6831" s="2">
        <v>25</v>
      </c>
      <c r="F6831" s="2">
        <v>1950</v>
      </c>
      <c r="G6831" s="2"/>
    </row>
    <row r="6832" spans="1:8" x14ac:dyDescent="0.3">
      <c r="A6832" t="s">
        <v>2346</v>
      </c>
      <c r="B6832" t="s">
        <v>528</v>
      </c>
      <c r="C6832" t="s">
        <v>529</v>
      </c>
      <c r="D6832">
        <v>2017</v>
      </c>
      <c r="E6832" s="2">
        <v>25</v>
      </c>
      <c r="F6832" s="2">
        <v>1450</v>
      </c>
      <c r="G6832" s="2"/>
    </row>
    <row r="6833" spans="1:8" x14ac:dyDescent="0.3">
      <c r="A6833" t="s">
        <v>2346</v>
      </c>
      <c r="B6833" t="s">
        <v>528</v>
      </c>
      <c r="C6833" t="s">
        <v>475</v>
      </c>
      <c r="D6833">
        <v>2019</v>
      </c>
      <c r="E6833" s="2">
        <v>25</v>
      </c>
      <c r="F6833" s="2">
        <v>1450</v>
      </c>
      <c r="G6833" s="2">
        <v>1522.5</v>
      </c>
      <c r="H6833" s="3" t="s">
        <v>14</v>
      </c>
    </row>
    <row r="6834" spans="1:8" x14ac:dyDescent="0.3">
      <c r="A6834" t="s">
        <v>2346</v>
      </c>
      <c r="B6834" t="s">
        <v>528</v>
      </c>
      <c r="C6834" t="s">
        <v>475</v>
      </c>
      <c r="D6834">
        <v>2020</v>
      </c>
      <c r="E6834" s="2">
        <v>300</v>
      </c>
      <c r="F6834" s="2">
        <v>17400</v>
      </c>
      <c r="G6834" s="2">
        <v>18270</v>
      </c>
      <c r="H6834" s="3" t="s">
        <v>14</v>
      </c>
    </row>
    <row r="6835" spans="1:8" x14ac:dyDescent="0.3">
      <c r="A6835" t="s">
        <v>2346</v>
      </c>
      <c r="B6835" t="s">
        <v>528</v>
      </c>
      <c r="C6835" t="s">
        <v>475</v>
      </c>
      <c r="D6835">
        <v>2021</v>
      </c>
      <c r="E6835" s="2">
        <v>150</v>
      </c>
      <c r="F6835" s="2">
        <v>8700</v>
      </c>
      <c r="G6835" s="2">
        <v>9135</v>
      </c>
      <c r="H6835" s="3" t="s">
        <v>14</v>
      </c>
    </row>
    <row r="6836" spans="1:8" x14ac:dyDescent="0.3">
      <c r="A6836" t="s">
        <v>2346</v>
      </c>
      <c r="B6836" t="s">
        <v>19</v>
      </c>
      <c r="C6836" t="s">
        <v>2349</v>
      </c>
      <c r="D6836">
        <v>2012</v>
      </c>
      <c r="E6836" s="2">
        <v>25</v>
      </c>
      <c r="F6836" s="2">
        <v>1375</v>
      </c>
      <c r="G6836" s="2"/>
    </row>
    <row r="6837" spans="1:8" x14ac:dyDescent="0.3">
      <c r="A6837" t="s">
        <v>2346</v>
      </c>
      <c r="B6837" t="s">
        <v>19</v>
      </c>
      <c r="C6837" t="s">
        <v>699</v>
      </c>
      <c r="D6837">
        <v>2014</v>
      </c>
      <c r="E6837" s="2">
        <v>25</v>
      </c>
      <c r="F6837" s="2">
        <v>1750</v>
      </c>
      <c r="G6837" s="2"/>
    </row>
    <row r="6838" spans="1:8" x14ac:dyDescent="0.3">
      <c r="A6838" t="s">
        <v>2346</v>
      </c>
      <c r="B6838" t="s">
        <v>19</v>
      </c>
      <c r="C6838" t="s">
        <v>699</v>
      </c>
      <c r="D6838">
        <v>2017</v>
      </c>
      <c r="E6838" s="2">
        <v>25</v>
      </c>
      <c r="F6838" s="2">
        <v>1750</v>
      </c>
      <c r="G6838" s="2"/>
    </row>
    <row r="6839" spans="1:8" x14ac:dyDescent="0.3">
      <c r="A6839" t="s">
        <v>2346</v>
      </c>
      <c r="B6839" t="s">
        <v>19</v>
      </c>
      <c r="C6839" t="s">
        <v>699</v>
      </c>
      <c r="D6839">
        <v>2018</v>
      </c>
      <c r="E6839" s="2">
        <v>10</v>
      </c>
      <c r="F6839" s="2">
        <v>700</v>
      </c>
      <c r="G6839" s="2">
        <v>735</v>
      </c>
    </row>
    <row r="6840" spans="1:8" x14ac:dyDescent="0.3">
      <c r="A6840" t="s">
        <v>2346</v>
      </c>
      <c r="B6840" t="s">
        <v>19</v>
      </c>
      <c r="C6840" t="s">
        <v>699</v>
      </c>
      <c r="D6840">
        <v>2020</v>
      </c>
      <c r="E6840" s="2">
        <v>50</v>
      </c>
      <c r="F6840" s="2">
        <v>3500</v>
      </c>
      <c r="G6840" s="2">
        <v>3675</v>
      </c>
    </row>
    <row r="6841" spans="1:8" x14ac:dyDescent="0.3">
      <c r="A6841" t="s">
        <v>2346</v>
      </c>
      <c r="B6841" t="s">
        <v>19</v>
      </c>
      <c r="C6841" t="s">
        <v>670</v>
      </c>
      <c r="D6841">
        <v>2020</v>
      </c>
      <c r="E6841" s="2">
        <v>50</v>
      </c>
      <c r="F6841" s="2">
        <v>3500</v>
      </c>
      <c r="G6841" s="2">
        <v>3675</v>
      </c>
      <c r="H6841" s="3" t="s">
        <v>14</v>
      </c>
    </row>
    <row r="6842" spans="1:8" x14ac:dyDescent="0.3">
      <c r="A6842" t="s">
        <v>2346</v>
      </c>
      <c r="B6842" t="s">
        <v>19</v>
      </c>
      <c r="C6842" t="s">
        <v>107</v>
      </c>
      <c r="D6842">
        <v>2021</v>
      </c>
      <c r="E6842" s="2">
        <v>25</v>
      </c>
      <c r="F6842" s="2">
        <v>1800</v>
      </c>
      <c r="G6842" s="2">
        <v>1890</v>
      </c>
      <c r="H6842" s="3" t="s">
        <v>18</v>
      </c>
    </row>
    <row r="6843" spans="1:8" x14ac:dyDescent="0.3">
      <c r="A6843" t="s">
        <v>2346</v>
      </c>
      <c r="B6843" t="s">
        <v>19</v>
      </c>
      <c r="C6843" t="s">
        <v>670</v>
      </c>
      <c r="D6843">
        <v>2021</v>
      </c>
      <c r="E6843" s="2">
        <v>50</v>
      </c>
      <c r="F6843" s="2">
        <v>3500</v>
      </c>
      <c r="G6843" s="2">
        <v>3675</v>
      </c>
      <c r="H6843" s="3" t="s">
        <v>14</v>
      </c>
    </row>
    <row r="6844" spans="1:8" x14ac:dyDescent="0.3">
      <c r="A6844" t="s">
        <v>2346</v>
      </c>
      <c r="B6844" t="s">
        <v>269</v>
      </c>
      <c r="C6844" t="s">
        <v>270</v>
      </c>
      <c r="D6844">
        <v>2012</v>
      </c>
      <c r="E6844" s="2">
        <v>125</v>
      </c>
      <c r="F6844" s="2">
        <v>10150</v>
      </c>
      <c r="G6844" s="2"/>
      <c r="H6844" s="3" t="s">
        <v>14</v>
      </c>
    </row>
    <row r="6845" spans="1:8" x14ac:dyDescent="0.3">
      <c r="A6845" t="s">
        <v>2346</v>
      </c>
      <c r="B6845" t="s">
        <v>269</v>
      </c>
      <c r="C6845" t="s">
        <v>270</v>
      </c>
      <c r="D6845">
        <v>2013</v>
      </c>
      <c r="E6845" s="2">
        <v>225</v>
      </c>
      <c r="F6845" s="2">
        <v>16000</v>
      </c>
      <c r="G6845" s="2"/>
      <c r="H6845" s="3" t="s">
        <v>14</v>
      </c>
    </row>
    <row r="6846" spans="1:8" x14ac:dyDescent="0.3">
      <c r="A6846" t="s">
        <v>2346</v>
      </c>
      <c r="B6846" t="s">
        <v>269</v>
      </c>
      <c r="C6846" t="s">
        <v>270</v>
      </c>
      <c r="D6846">
        <v>2014</v>
      </c>
      <c r="E6846" s="2">
        <v>400</v>
      </c>
      <c r="F6846" s="2">
        <v>28000</v>
      </c>
      <c r="G6846" s="2"/>
      <c r="H6846" s="3" t="s">
        <v>14</v>
      </c>
    </row>
    <row r="6847" spans="1:8" x14ac:dyDescent="0.3">
      <c r="A6847" t="s">
        <v>2346</v>
      </c>
      <c r="B6847" t="s">
        <v>269</v>
      </c>
      <c r="C6847" t="s">
        <v>270</v>
      </c>
      <c r="D6847">
        <v>2015</v>
      </c>
      <c r="E6847" s="2">
        <v>1100</v>
      </c>
      <c r="F6847" s="2">
        <v>77000</v>
      </c>
      <c r="G6847" s="2"/>
      <c r="H6847" s="3" t="s">
        <v>14</v>
      </c>
    </row>
    <row r="6848" spans="1:8" x14ac:dyDescent="0.3">
      <c r="A6848" t="s">
        <v>2346</v>
      </c>
      <c r="B6848" t="s">
        <v>269</v>
      </c>
      <c r="C6848" t="s">
        <v>270</v>
      </c>
      <c r="D6848">
        <v>2016</v>
      </c>
      <c r="E6848" s="2">
        <v>670</v>
      </c>
      <c r="F6848" s="2">
        <v>46900</v>
      </c>
      <c r="G6848" s="2"/>
      <c r="H6848" s="3" t="s">
        <v>14</v>
      </c>
    </row>
    <row r="6849" spans="1:8" x14ac:dyDescent="0.3">
      <c r="A6849" t="s">
        <v>2346</v>
      </c>
      <c r="B6849" t="s">
        <v>269</v>
      </c>
      <c r="C6849" t="s">
        <v>270</v>
      </c>
      <c r="D6849">
        <v>2017</v>
      </c>
      <c r="E6849" s="2">
        <v>400</v>
      </c>
      <c r="F6849" s="2">
        <v>28000</v>
      </c>
      <c r="G6849" s="2"/>
      <c r="H6849" s="3" t="s">
        <v>14</v>
      </c>
    </row>
    <row r="6850" spans="1:8" x14ac:dyDescent="0.3">
      <c r="A6850" t="s">
        <v>2346</v>
      </c>
      <c r="B6850" t="s">
        <v>269</v>
      </c>
      <c r="C6850" t="s">
        <v>270</v>
      </c>
      <c r="D6850">
        <v>2018</v>
      </c>
      <c r="E6850" s="2">
        <v>375</v>
      </c>
      <c r="F6850" s="2">
        <v>26250</v>
      </c>
      <c r="G6850" s="2">
        <v>27562.5</v>
      </c>
      <c r="H6850" s="3" t="s">
        <v>14</v>
      </c>
    </row>
    <row r="6851" spans="1:8" x14ac:dyDescent="0.3">
      <c r="A6851" t="s">
        <v>2346</v>
      </c>
      <c r="B6851" t="s">
        <v>269</v>
      </c>
      <c r="C6851" t="s">
        <v>270</v>
      </c>
      <c r="D6851">
        <v>2019</v>
      </c>
      <c r="E6851" s="2">
        <v>500</v>
      </c>
      <c r="F6851" s="2">
        <v>35000</v>
      </c>
      <c r="G6851" s="2">
        <v>36750</v>
      </c>
      <c r="H6851" s="3" t="s">
        <v>14</v>
      </c>
    </row>
    <row r="6852" spans="1:8" x14ac:dyDescent="0.3">
      <c r="A6852" t="s">
        <v>2346</v>
      </c>
      <c r="B6852" t="s">
        <v>269</v>
      </c>
      <c r="C6852" t="s">
        <v>270</v>
      </c>
      <c r="D6852">
        <v>2020</v>
      </c>
      <c r="E6852" s="2">
        <v>600</v>
      </c>
      <c r="F6852" s="2">
        <v>42000</v>
      </c>
      <c r="G6852" s="2">
        <v>44100</v>
      </c>
      <c r="H6852" s="3" t="s">
        <v>14</v>
      </c>
    </row>
    <row r="6853" spans="1:8" x14ac:dyDescent="0.3">
      <c r="A6853" t="s">
        <v>2346</v>
      </c>
      <c r="B6853" t="s">
        <v>269</v>
      </c>
      <c r="C6853" t="s">
        <v>270</v>
      </c>
      <c r="D6853">
        <v>2021</v>
      </c>
      <c r="E6853" s="2">
        <v>235</v>
      </c>
      <c r="F6853" s="2">
        <v>16450</v>
      </c>
      <c r="G6853" s="2">
        <v>17272.5</v>
      </c>
      <c r="H6853" s="3" t="s">
        <v>14</v>
      </c>
    </row>
    <row r="6854" spans="1:8" x14ac:dyDescent="0.3">
      <c r="A6854" t="s">
        <v>2346</v>
      </c>
      <c r="B6854" t="s">
        <v>809</v>
      </c>
      <c r="C6854" t="s">
        <v>810</v>
      </c>
      <c r="D6854">
        <v>2017</v>
      </c>
      <c r="E6854" s="2">
        <v>10</v>
      </c>
      <c r="F6854" s="2">
        <v>700</v>
      </c>
      <c r="G6854" s="2"/>
    </row>
    <row r="6855" spans="1:8" x14ac:dyDescent="0.3">
      <c r="A6855" t="s">
        <v>2346</v>
      </c>
      <c r="B6855" t="s">
        <v>809</v>
      </c>
      <c r="C6855" t="s">
        <v>810</v>
      </c>
      <c r="D6855">
        <v>2018</v>
      </c>
      <c r="E6855" s="2">
        <v>210</v>
      </c>
      <c r="F6855" s="2">
        <v>14700</v>
      </c>
      <c r="G6855" s="2">
        <v>15435</v>
      </c>
    </row>
    <row r="6856" spans="1:8" x14ac:dyDescent="0.3">
      <c r="A6856" t="s">
        <v>2346</v>
      </c>
      <c r="B6856" t="s">
        <v>809</v>
      </c>
      <c r="C6856" t="s">
        <v>810</v>
      </c>
      <c r="D6856">
        <v>2019</v>
      </c>
      <c r="E6856" s="2">
        <v>37</v>
      </c>
      <c r="F6856" s="2">
        <v>2590</v>
      </c>
      <c r="G6856" s="2">
        <v>2719.5</v>
      </c>
    </row>
    <row r="6857" spans="1:8" x14ac:dyDescent="0.3">
      <c r="A6857" t="s">
        <v>2346</v>
      </c>
      <c r="B6857" t="s">
        <v>809</v>
      </c>
      <c r="C6857" t="s">
        <v>810</v>
      </c>
      <c r="D6857">
        <v>2020</v>
      </c>
      <c r="E6857" s="2">
        <v>75</v>
      </c>
      <c r="F6857" s="2">
        <v>5250</v>
      </c>
      <c r="G6857" s="2">
        <v>5512.5</v>
      </c>
      <c r="H6857" s="3" t="s">
        <v>374</v>
      </c>
    </row>
    <row r="6858" spans="1:8" x14ac:dyDescent="0.3">
      <c r="A6858" t="s">
        <v>2346</v>
      </c>
      <c r="B6858" t="s">
        <v>809</v>
      </c>
      <c r="C6858" t="s">
        <v>810</v>
      </c>
      <c r="D6858">
        <v>2021</v>
      </c>
      <c r="E6858" s="2">
        <v>100</v>
      </c>
      <c r="F6858" s="2">
        <v>7000</v>
      </c>
      <c r="G6858" s="2">
        <v>7350</v>
      </c>
      <c r="H6858" s="3" t="s">
        <v>374</v>
      </c>
    </row>
    <row r="6859" spans="1:8" x14ac:dyDescent="0.3">
      <c r="A6859" t="s">
        <v>2346</v>
      </c>
      <c r="B6859" t="s">
        <v>351</v>
      </c>
      <c r="C6859" t="s">
        <v>352</v>
      </c>
      <c r="D6859">
        <v>2020</v>
      </c>
      <c r="E6859" s="2">
        <v>25</v>
      </c>
      <c r="F6859" s="2">
        <v>1750</v>
      </c>
      <c r="G6859" s="2">
        <v>1837.5</v>
      </c>
    </row>
    <row r="6860" spans="1:8" x14ac:dyDescent="0.3">
      <c r="A6860" t="s">
        <v>2346</v>
      </c>
      <c r="B6860" t="s">
        <v>351</v>
      </c>
      <c r="C6860" t="s">
        <v>352</v>
      </c>
      <c r="D6860">
        <v>2021</v>
      </c>
      <c r="E6860" s="2">
        <v>25</v>
      </c>
      <c r="F6860" s="2">
        <v>1750</v>
      </c>
      <c r="G6860" s="2">
        <v>1837.5</v>
      </c>
    </row>
    <row r="6861" spans="1:8" x14ac:dyDescent="0.3">
      <c r="A6861" t="s">
        <v>2346</v>
      </c>
      <c r="B6861" t="s">
        <v>41</v>
      </c>
      <c r="C6861" t="s">
        <v>42</v>
      </c>
      <c r="D6861">
        <v>2011</v>
      </c>
      <c r="E6861" s="2">
        <v>25</v>
      </c>
      <c r="F6861" s="2">
        <v>1125</v>
      </c>
      <c r="G6861" s="2"/>
    </row>
    <row r="6862" spans="1:8" x14ac:dyDescent="0.3">
      <c r="A6862" t="s">
        <v>2346</v>
      </c>
      <c r="B6862" t="s">
        <v>41</v>
      </c>
      <c r="C6862" t="s">
        <v>42</v>
      </c>
      <c r="D6862">
        <v>2012</v>
      </c>
      <c r="E6862" s="2">
        <v>75</v>
      </c>
      <c r="F6862" s="2">
        <v>4125</v>
      </c>
      <c r="G6862" s="2"/>
    </row>
    <row r="6863" spans="1:8" x14ac:dyDescent="0.3">
      <c r="A6863" t="s">
        <v>2346</v>
      </c>
      <c r="B6863" t="s">
        <v>41</v>
      </c>
      <c r="C6863" t="s">
        <v>530</v>
      </c>
      <c r="D6863">
        <v>2016</v>
      </c>
      <c r="E6863" s="2">
        <v>46</v>
      </c>
      <c r="F6863" s="2">
        <v>2736</v>
      </c>
      <c r="G6863" s="2"/>
    </row>
    <row r="6864" spans="1:8" x14ac:dyDescent="0.3">
      <c r="A6864" t="s">
        <v>2346</v>
      </c>
      <c r="B6864" t="s">
        <v>995</v>
      </c>
      <c r="C6864" t="s">
        <v>672</v>
      </c>
      <c r="D6864">
        <v>2019</v>
      </c>
      <c r="E6864" s="2">
        <v>115</v>
      </c>
      <c r="F6864" s="2">
        <v>6525</v>
      </c>
      <c r="G6864" s="2">
        <v>6851.25</v>
      </c>
    </row>
    <row r="6865" spans="1:8" x14ac:dyDescent="0.3">
      <c r="A6865" t="s">
        <v>2346</v>
      </c>
      <c r="B6865" t="s">
        <v>471</v>
      </c>
      <c r="C6865" t="s">
        <v>472</v>
      </c>
      <c r="D6865">
        <v>2012</v>
      </c>
      <c r="E6865" s="2">
        <v>75</v>
      </c>
      <c r="F6865" s="2">
        <v>5775</v>
      </c>
      <c r="G6865" s="2"/>
      <c r="H6865" s="3" t="s">
        <v>14</v>
      </c>
    </row>
    <row r="6866" spans="1:8" x14ac:dyDescent="0.3">
      <c r="A6866" t="s">
        <v>2346</v>
      </c>
      <c r="B6866" t="s">
        <v>471</v>
      </c>
      <c r="C6866" t="s">
        <v>472</v>
      </c>
      <c r="D6866">
        <v>2013</v>
      </c>
      <c r="E6866" s="2">
        <v>195</v>
      </c>
      <c r="F6866" s="2">
        <v>15015</v>
      </c>
      <c r="G6866" s="2"/>
      <c r="H6866" s="3" t="s">
        <v>14</v>
      </c>
    </row>
    <row r="6867" spans="1:8" x14ac:dyDescent="0.3">
      <c r="A6867" t="s">
        <v>2346</v>
      </c>
      <c r="B6867" t="s">
        <v>471</v>
      </c>
      <c r="C6867" t="s">
        <v>472</v>
      </c>
      <c r="D6867">
        <v>2015</v>
      </c>
      <c r="E6867" s="2">
        <v>115</v>
      </c>
      <c r="F6867" s="2">
        <v>8855</v>
      </c>
      <c r="G6867" s="2"/>
      <c r="H6867" s="3" t="s">
        <v>14</v>
      </c>
    </row>
    <row r="6868" spans="1:8" x14ac:dyDescent="0.3">
      <c r="A6868" t="s">
        <v>2346</v>
      </c>
      <c r="B6868" t="s">
        <v>471</v>
      </c>
      <c r="C6868" t="s">
        <v>472</v>
      </c>
      <c r="D6868">
        <v>2016</v>
      </c>
      <c r="E6868" s="2">
        <v>200</v>
      </c>
      <c r="F6868" s="2">
        <v>15400</v>
      </c>
      <c r="G6868" s="2"/>
      <c r="H6868" s="3" t="s">
        <v>14</v>
      </c>
    </row>
    <row r="6869" spans="1:8" x14ac:dyDescent="0.3">
      <c r="A6869" t="s">
        <v>2346</v>
      </c>
      <c r="B6869" t="s">
        <v>471</v>
      </c>
      <c r="C6869" t="s">
        <v>472</v>
      </c>
      <c r="D6869">
        <v>2017</v>
      </c>
      <c r="E6869" s="2">
        <v>125</v>
      </c>
      <c r="F6869" s="2">
        <v>9625</v>
      </c>
      <c r="G6869" s="2"/>
      <c r="H6869" s="3" t="s">
        <v>14</v>
      </c>
    </row>
    <row r="6870" spans="1:8" x14ac:dyDescent="0.3">
      <c r="A6870" t="s">
        <v>2346</v>
      </c>
      <c r="B6870" t="s">
        <v>471</v>
      </c>
      <c r="C6870" t="s">
        <v>472</v>
      </c>
      <c r="D6870">
        <v>2018</v>
      </c>
      <c r="E6870" s="2">
        <v>100</v>
      </c>
      <c r="F6870" s="2">
        <v>7675</v>
      </c>
      <c r="G6870" s="2">
        <v>8058.75</v>
      </c>
      <c r="H6870" s="3" t="s">
        <v>14</v>
      </c>
    </row>
    <row r="6871" spans="1:8" x14ac:dyDescent="0.3">
      <c r="A6871" t="s">
        <v>2346</v>
      </c>
      <c r="B6871" t="s">
        <v>471</v>
      </c>
      <c r="C6871" t="s">
        <v>472</v>
      </c>
      <c r="D6871">
        <v>2019</v>
      </c>
      <c r="E6871" s="2">
        <v>75</v>
      </c>
      <c r="F6871" s="2">
        <v>5775</v>
      </c>
      <c r="G6871" s="2">
        <v>6063.75</v>
      </c>
      <c r="H6871" s="3" t="s">
        <v>14</v>
      </c>
    </row>
    <row r="6872" spans="1:8" x14ac:dyDescent="0.3">
      <c r="A6872" t="s">
        <v>2346</v>
      </c>
      <c r="B6872" t="s">
        <v>471</v>
      </c>
      <c r="C6872" t="s">
        <v>472</v>
      </c>
      <c r="D6872">
        <v>2020</v>
      </c>
      <c r="E6872" s="2">
        <v>175</v>
      </c>
      <c r="F6872" s="2">
        <v>13450</v>
      </c>
      <c r="G6872" s="2">
        <v>14122.5</v>
      </c>
      <c r="H6872" s="3" t="s">
        <v>14</v>
      </c>
    </row>
    <row r="6873" spans="1:8" x14ac:dyDescent="0.3">
      <c r="A6873" t="s">
        <v>2346</v>
      </c>
      <c r="B6873" t="s">
        <v>471</v>
      </c>
      <c r="C6873" t="s">
        <v>472</v>
      </c>
      <c r="D6873">
        <v>2021</v>
      </c>
      <c r="E6873" s="2">
        <v>55</v>
      </c>
      <c r="F6873" s="2">
        <v>4235</v>
      </c>
      <c r="G6873" s="2">
        <v>4446.75</v>
      </c>
      <c r="H6873" s="3" t="s">
        <v>2350</v>
      </c>
    </row>
    <row r="6874" spans="1:8" x14ac:dyDescent="0.3">
      <c r="A6874" t="s">
        <v>2346</v>
      </c>
      <c r="B6874" t="s">
        <v>471</v>
      </c>
      <c r="C6874" t="s">
        <v>472</v>
      </c>
      <c r="D6874">
        <v>2021</v>
      </c>
      <c r="E6874" s="2">
        <v>50</v>
      </c>
      <c r="F6874" s="2">
        <v>3850</v>
      </c>
      <c r="G6874" s="2">
        <v>4042.5</v>
      </c>
      <c r="H6874" s="3" t="s">
        <v>14</v>
      </c>
    </row>
    <row r="6875" spans="1:8" x14ac:dyDescent="0.3">
      <c r="A6875" t="s">
        <v>2346</v>
      </c>
      <c r="B6875" t="s">
        <v>911</v>
      </c>
      <c r="C6875" t="s">
        <v>912</v>
      </c>
      <c r="D6875">
        <v>2019</v>
      </c>
      <c r="E6875" s="2">
        <v>190</v>
      </c>
      <c r="F6875" s="2">
        <v>14350</v>
      </c>
      <c r="G6875" s="2">
        <v>15067.5</v>
      </c>
    </row>
    <row r="6876" spans="1:8" x14ac:dyDescent="0.3">
      <c r="A6876" t="s">
        <v>2346</v>
      </c>
      <c r="B6876" t="s">
        <v>911</v>
      </c>
      <c r="C6876" t="s">
        <v>912</v>
      </c>
      <c r="D6876">
        <v>2020</v>
      </c>
      <c r="E6876" s="2">
        <v>75</v>
      </c>
      <c r="F6876" s="2">
        <v>5625</v>
      </c>
      <c r="G6876" s="2">
        <v>5906.25</v>
      </c>
    </row>
    <row r="6877" spans="1:8" x14ac:dyDescent="0.3">
      <c r="A6877" t="s">
        <v>2346</v>
      </c>
      <c r="B6877" t="s">
        <v>68</v>
      </c>
      <c r="C6877" t="s">
        <v>69</v>
      </c>
      <c r="D6877">
        <v>2012</v>
      </c>
      <c r="E6877" s="2">
        <v>26</v>
      </c>
      <c r="F6877" s="2">
        <v>1950</v>
      </c>
      <c r="G6877" s="2"/>
    </row>
    <row r="6878" spans="1:8" x14ac:dyDescent="0.3">
      <c r="A6878" t="s">
        <v>2346</v>
      </c>
      <c r="B6878" t="s">
        <v>68</v>
      </c>
      <c r="C6878" t="s">
        <v>69</v>
      </c>
      <c r="D6878">
        <v>2013</v>
      </c>
      <c r="E6878" s="2">
        <v>25</v>
      </c>
      <c r="F6878" s="2">
        <v>1875</v>
      </c>
      <c r="G6878" s="2"/>
    </row>
    <row r="6879" spans="1:8" x14ac:dyDescent="0.3">
      <c r="A6879" t="s">
        <v>2346</v>
      </c>
      <c r="B6879" t="s">
        <v>867</v>
      </c>
      <c r="C6879" t="s">
        <v>868</v>
      </c>
      <c r="D6879">
        <v>2017</v>
      </c>
      <c r="E6879" s="2">
        <v>10</v>
      </c>
      <c r="F6879" s="2">
        <v>850</v>
      </c>
      <c r="G6879" s="2"/>
    </row>
    <row r="6880" spans="1:8" x14ac:dyDescent="0.3">
      <c r="A6880" t="s">
        <v>2346</v>
      </c>
      <c r="B6880" t="s">
        <v>867</v>
      </c>
      <c r="C6880" t="s">
        <v>868</v>
      </c>
      <c r="D6880">
        <v>2018</v>
      </c>
      <c r="E6880" s="2">
        <v>40</v>
      </c>
      <c r="F6880" s="2">
        <v>3400</v>
      </c>
      <c r="G6880" s="2">
        <v>3570</v>
      </c>
    </row>
    <row r="6881" spans="1:8" x14ac:dyDescent="0.3">
      <c r="A6881" t="s">
        <v>2346</v>
      </c>
      <c r="B6881" t="s">
        <v>867</v>
      </c>
      <c r="C6881" t="s">
        <v>868</v>
      </c>
      <c r="D6881">
        <v>2019</v>
      </c>
      <c r="E6881" s="2">
        <v>104</v>
      </c>
      <c r="F6881" s="2">
        <v>8840</v>
      </c>
      <c r="G6881" s="2">
        <v>9282</v>
      </c>
    </row>
    <row r="6882" spans="1:8" x14ac:dyDescent="0.3">
      <c r="A6882" t="s">
        <v>2346</v>
      </c>
      <c r="B6882" t="s">
        <v>867</v>
      </c>
      <c r="C6882" t="s">
        <v>868</v>
      </c>
      <c r="D6882">
        <v>2020</v>
      </c>
      <c r="E6882" s="2">
        <v>75</v>
      </c>
      <c r="F6882" s="2">
        <v>6375</v>
      </c>
      <c r="G6882" s="2">
        <v>6693.75</v>
      </c>
    </row>
    <row r="6883" spans="1:8" x14ac:dyDescent="0.3">
      <c r="A6883" t="s">
        <v>2346</v>
      </c>
      <c r="B6883" t="s">
        <v>438</v>
      </c>
      <c r="C6883" t="s">
        <v>439</v>
      </c>
      <c r="D6883">
        <v>2018</v>
      </c>
      <c r="E6883" s="2">
        <v>5</v>
      </c>
      <c r="F6883" s="2">
        <v>375</v>
      </c>
      <c r="G6883" s="2">
        <v>393.75</v>
      </c>
      <c r="H6883" s="3" t="s">
        <v>14</v>
      </c>
    </row>
    <row r="6884" spans="1:8" x14ac:dyDescent="0.3">
      <c r="A6884" t="s">
        <v>2346</v>
      </c>
      <c r="B6884" t="s">
        <v>438</v>
      </c>
      <c r="C6884" t="s">
        <v>439</v>
      </c>
      <c r="D6884">
        <v>2019</v>
      </c>
      <c r="E6884" s="2">
        <v>15</v>
      </c>
      <c r="F6884" s="2">
        <v>1125</v>
      </c>
      <c r="G6884" s="2">
        <v>1181.25</v>
      </c>
      <c r="H6884" s="3" t="s">
        <v>14</v>
      </c>
    </row>
    <row r="6885" spans="1:8" x14ac:dyDescent="0.3">
      <c r="A6885" t="s">
        <v>2346</v>
      </c>
      <c r="B6885" t="s">
        <v>438</v>
      </c>
      <c r="C6885" t="s">
        <v>439</v>
      </c>
      <c r="D6885">
        <v>2020</v>
      </c>
      <c r="E6885" s="2">
        <v>15</v>
      </c>
      <c r="F6885" s="2">
        <v>1125</v>
      </c>
      <c r="G6885" s="2">
        <v>1181.25</v>
      </c>
      <c r="H6885" s="3" t="s">
        <v>14</v>
      </c>
    </row>
    <row r="6886" spans="1:8" x14ac:dyDescent="0.3">
      <c r="A6886" t="s">
        <v>2346</v>
      </c>
      <c r="B6886" t="s">
        <v>438</v>
      </c>
      <c r="C6886" t="s">
        <v>439</v>
      </c>
      <c r="D6886">
        <v>2021</v>
      </c>
      <c r="E6886" s="2">
        <v>25</v>
      </c>
      <c r="F6886" s="2">
        <v>1875</v>
      </c>
      <c r="G6886" s="2">
        <v>1968.75</v>
      </c>
      <c r="H6886" s="3" t="s">
        <v>14</v>
      </c>
    </row>
    <row r="6887" spans="1:8" x14ac:dyDescent="0.3">
      <c r="A6887" t="s">
        <v>2346</v>
      </c>
      <c r="B6887" t="s">
        <v>915</v>
      </c>
      <c r="C6887" t="s">
        <v>916</v>
      </c>
      <c r="D6887">
        <v>2013</v>
      </c>
      <c r="E6887" s="2">
        <v>50</v>
      </c>
      <c r="F6887" s="2">
        <v>4000</v>
      </c>
      <c r="G6887" s="2"/>
    </row>
    <row r="6888" spans="1:8" x14ac:dyDescent="0.3">
      <c r="A6888" t="s">
        <v>2346</v>
      </c>
      <c r="B6888" t="s">
        <v>915</v>
      </c>
      <c r="C6888" t="s">
        <v>916</v>
      </c>
      <c r="D6888">
        <v>2014</v>
      </c>
      <c r="E6888" s="2">
        <v>25</v>
      </c>
      <c r="F6888" s="2">
        <v>2000</v>
      </c>
      <c r="G6888" s="2"/>
    </row>
    <row r="6889" spans="1:8" x14ac:dyDescent="0.3">
      <c r="A6889" t="s">
        <v>2346</v>
      </c>
      <c r="B6889" t="s">
        <v>314</v>
      </c>
      <c r="C6889" t="s">
        <v>475</v>
      </c>
      <c r="D6889">
        <v>2016</v>
      </c>
      <c r="E6889" s="2">
        <v>21</v>
      </c>
      <c r="F6889" s="2">
        <v>1225</v>
      </c>
      <c r="G6889" s="2"/>
    </row>
    <row r="6890" spans="1:8" x14ac:dyDescent="0.3">
      <c r="A6890" t="s">
        <v>2346</v>
      </c>
      <c r="B6890" t="s">
        <v>314</v>
      </c>
      <c r="C6890" t="s">
        <v>475</v>
      </c>
      <c r="D6890">
        <v>2017</v>
      </c>
      <c r="E6890" s="2">
        <v>115</v>
      </c>
      <c r="F6890" s="2">
        <v>6670</v>
      </c>
      <c r="G6890" s="2"/>
    </row>
    <row r="6891" spans="1:8" x14ac:dyDescent="0.3">
      <c r="A6891" t="s">
        <v>2346</v>
      </c>
      <c r="B6891" t="s">
        <v>314</v>
      </c>
      <c r="C6891" t="s">
        <v>475</v>
      </c>
      <c r="D6891">
        <v>2018</v>
      </c>
      <c r="E6891" s="2">
        <v>170</v>
      </c>
      <c r="F6891" s="2">
        <v>9840</v>
      </c>
      <c r="G6891" s="2">
        <v>10332</v>
      </c>
    </row>
    <row r="6892" spans="1:8" x14ac:dyDescent="0.3">
      <c r="A6892" t="s">
        <v>2346</v>
      </c>
      <c r="B6892" t="s">
        <v>314</v>
      </c>
      <c r="C6892" t="s">
        <v>475</v>
      </c>
      <c r="D6892">
        <v>2019</v>
      </c>
      <c r="E6892" s="2">
        <v>100</v>
      </c>
      <c r="F6892" s="2">
        <v>5800</v>
      </c>
      <c r="G6892" s="2">
        <v>6090</v>
      </c>
    </row>
    <row r="6893" spans="1:8" x14ac:dyDescent="0.3">
      <c r="A6893" t="s">
        <v>2346</v>
      </c>
      <c r="B6893" t="s">
        <v>708</v>
      </c>
      <c r="C6893" t="s">
        <v>477</v>
      </c>
      <c r="D6893">
        <v>2018</v>
      </c>
      <c r="E6893" s="2">
        <v>100</v>
      </c>
      <c r="F6893" s="2">
        <v>5800</v>
      </c>
      <c r="G6893" s="2">
        <v>6090</v>
      </c>
    </row>
    <row r="6894" spans="1:8" x14ac:dyDescent="0.3">
      <c r="A6894" t="s">
        <v>2346</v>
      </c>
      <c r="B6894" t="s">
        <v>708</v>
      </c>
      <c r="C6894" t="s">
        <v>477</v>
      </c>
      <c r="D6894">
        <v>2019</v>
      </c>
      <c r="E6894" s="2">
        <v>195</v>
      </c>
      <c r="F6894" s="2">
        <v>11310</v>
      </c>
      <c r="G6894" s="2">
        <v>11875.5</v>
      </c>
    </row>
    <row r="6895" spans="1:8" x14ac:dyDescent="0.3">
      <c r="A6895" t="s">
        <v>2346</v>
      </c>
      <c r="B6895" t="s">
        <v>1208</v>
      </c>
      <c r="C6895" t="s">
        <v>1209</v>
      </c>
      <c r="D6895">
        <v>2019</v>
      </c>
      <c r="E6895" s="2">
        <v>45</v>
      </c>
      <c r="F6895" s="2">
        <v>2610</v>
      </c>
      <c r="G6895" s="2">
        <v>2740.5</v>
      </c>
    </row>
    <row r="6896" spans="1:8" x14ac:dyDescent="0.3">
      <c r="A6896" t="s">
        <v>2346</v>
      </c>
      <c r="B6896" t="s">
        <v>656</v>
      </c>
      <c r="C6896" t="s">
        <v>71</v>
      </c>
      <c r="D6896">
        <v>2021</v>
      </c>
      <c r="E6896" s="2">
        <v>30</v>
      </c>
      <c r="F6896" s="2">
        <v>2400</v>
      </c>
      <c r="G6896" s="2">
        <v>2520</v>
      </c>
      <c r="H6896" s="3" t="s">
        <v>2351</v>
      </c>
    </row>
    <row r="6897" spans="1:8" x14ac:dyDescent="0.3">
      <c r="A6897" t="s">
        <v>2346</v>
      </c>
      <c r="B6897" t="s">
        <v>2352</v>
      </c>
      <c r="C6897" t="s">
        <v>1115</v>
      </c>
      <c r="D6897">
        <v>2012</v>
      </c>
      <c r="E6897" s="2">
        <v>25</v>
      </c>
      <c r="F6897" s="2">
        <v>2125</v>
      </c>
      <c r="G6897" s="2"/>
    </row>
    <row r="6898" spans="1:8" x14ac:dyDescent="0.3">
      <c r="A6898" t="s">
        <v>2346</v>
      </c>
      <c r="B6898" t="s">
        <v>37</v>
      </c>
      <c r="D6898">
        <v>2011</v>
      </c>
      <c r="E6898" s="2">
        <v>100</v>
      </c>
      <c r="F6898" s="2">
        <v>8500</v>
      </c>
      <c r="G6898" s="2"/>
    </row>
    <row r="6899" spans="1:8" x14ac:dyDescent="0.3">
      <c r="A6899" t="s">
        <v>2346</v>
      </c>
      <c r="B6899" t="s">
        <v>37</v>
      </c>
      <c r="D6899">
        <v>2012</v>
      </c>
      <c r="E6899" s="2">
        <v>425</v>
      </c>
      <c r="F6899" s="2">
        <v>36125</v>
      </c>
      <c r="G6899" s="2"/>
    </row>
    <row r="6900" spans="1:8" x14ac:dyDescent="0.3">
      <c r="A6900" t="s">
        <v>2346</v>
      </c>
      <c r="B6900" t="s">
        <v>37</v>
      </c>
      <c r="D6900">
        <v>2013</v>
      </c>
      <c r="E6900" s="2">
        <v>725</v>
      </c>
      <c r="F6900" s="2">
        <v>59625</v>
      </c>
      <c r="G6900" s="2"/>
    </row>
    <row r="6901" spans="1:8" x14ac:dyDescent="0.3">
      <c r="A6901" t="s">
        <v>2346</v>
      </c>
      <c r="B6901" t="s">
        <v>37</v>
      </c>
      <c r="D6901">
        <v>2014</v>
      </c>
      <c r="E6901" s="2">
        <v>550</v>
      </c>
      <c r="F6901" s="2">
        <v>43875</v>
      </c>
      <c r="G6901" s="2"/>
    </row>
    <row r="6902" spans="1:8" x14ac:dyDescent="0.3">
      <c r="A6902" t="s">
        <v>2346</v>
      </c>
      <c r="B6902" t="s">
        <v>37</v>
      </c>
      <c r="D6902">
        <v>2015</v>
      </c>
      <c r="E6902" s="2">
        <v>325</v>
      </c>
      <c r="F6902" s="2">
        <v>28575</v>
      </c>
      <c r="G6902" s="2"/>
    </row>
    <row r="6903" spans="1:8" x14ac:dyDescent="0.3">
      <c r="A6903" t="s">
        <v>2346</v>
      </c>
      <c r="B6903" t="s">
        <v>37</v>
      </c>
      <c r="D6903">
        <v>2016</v>
      </c>
      <c r="E6903" s="2">
        <v>75</v>
      </c>
      <c r="F6903" s="2">
        <v>5625</v>
      </c>
      <c r="G6903" s="2"/>
    </row>
    <row r="6904" spans="1:8" x14ac:dyDescent="0.3">
      <c r="A6904" t="s">
        <v>2346</v>
      </c>
      <c r="B6904" t="s">
        <v>37</v>
      </c>
      <c r="D6904">
        <v>2017</v>
      </c>
      <c r="E6904" s="2">
        <v>125</v>
      </c>
      <c r="F6904" s="2">
        <v>7750</v>
      </c>
      <c r="G6904" s="2"/>
    </row>
    <row r="6905" spans="1:8" x14ac:dyDescent="0.3">
      <c r="A6905" t="s">
        <v>2346</v>
      </c>
      <c r="B6905" t="s">
        <v>37</v>
      </c>
      <c r="D6905">
        <v>2018</v>
      </c>
      <c r="E6905" s="2">
        <v>50</v>
      </c>
      <c r="F6905" s="2">
        <v>3100</v>
      </c>
      <c r="G6905" s="2">
        <v>3255</v>
      </c>
    </row>
    <row r="6906" spans="1:8" x14ac:dyDescent="0.3">
      <c r="A6906" t="s">
        <v>2346</v>
      </c>
      <c r="B6906" t="s">
        <v>37</v>
      </c>
      <c r="D6906">
        <v>2019</v>
      </c>
      <c r="E6906" s="2">
        <v>1</v>
      </c>
      <c r="F6906" s="2">
        <v>78</v>
      </c>
      <c r="G6906" s="2">
        <v>81.900000000000006</v>
      </c>
    </row>
    <row r="6907" spans="1:8" x14ac:dyDescent="0.3">
      <c r="A6907" t="s">
        <v>2346</v>
      </c>
      <c r="B6907" t="s">
        <v>37</v>
      </c>
      <c r="D6907">
        <v>2019</v>
      </c>
      <c r="E6907" s="2">
        <v>50</v>
      </c>
      <c r="F6907" s="2">
        <v>3100</v>
      </c>
      <c r="G6907" s="2">
        <v>3255</v>
      </c>
    </row>
    <row r="6908" spans="1:8" x14ac:dyDescent="0.3">
      <c r="A6908" t="s">
        <v>2353</v>
      </c>
      <c r="B6908" t="s">
        <v>51</v>
      </c>
      <c r="C6908" t="s">
        <v>52</v>
      </c>
      <c r="D6908">
        <v>2021</v>
      </c>
      <c r="E6908" s="2">
        <v>400</v>
      </c>
      <c r="F6908" s="2">
        <v>52000</v>
      </c>
      <c r="G6908" s="2">
        <v>54600</v>
      </c>
      <c r="H6908" s="3" t="s">
        <v>14</v>
      </c>
    </row>
    <row r="6909" spans="1:8" x14ac:dyDescent="0.3">
      <c r="A6909" t="s">
        <v>2353</v>
      </c>
      <c r="B6909" t="s">
        <v>593</v>
      </c>
      <c r="C6909" t="s">
        <v>594</v>
      </c>
      <c r="D6909">
        <v>2021</v>
      </c>
      <c r="E6909" s="2">
        <v>400</v>
      </c>
      <c r="F6909" s="2">
        <v>52000</v>
      </c>
      <c r="G6909" s="2">
        <v>54600</v>
      </c>
      <c r="H6909" s="3" t="s">
        <v>14</v>
      </c>
    </row>
    <row r="6910" spans="1:8" x14ac:dyDescent="0.3">
      <c r="A6910" t="s">
        <v>2354</v>
      </c>
      <c r="B6910" t="s">
        <v>713</v>
      </c>
      <c r="D6910">
        <v>2020</v>
      </c>
      <c r="E6910" s="2">
        <v>2</v>
      </c>
      <c r="F6910" s="2">
        <v>900</v>
      </c>
      <c r="G6910" s="2">
        <v>945</v>
      </c>
    </row>
    <row r="6911" spans="1:8" x14ac:dyDescent="0.3">
      <c r="A6911" t="s">
        <v>2354</v>
      </c>
      <c r="B6911" t="s">
        <v>589</v>
      </c>
      <c r="C6911" t="s">
        <v>590</v>
      </c>
      <c r="D6911">
        <v>2020</v>
      </c>
      <c r="E6911" s="2">
        <v>25</v>
      </c>
      <c r="F6911" s="2">
        <v>2250</v>
      </c>
      <c r="G6911" s="2">
        <v>2362.5</v>
      </c>
    </row>
    <row r="6912" spans="1:8" x14ac:dyDescent="0.3">
      <c r="A6912" t="s">
        <v>2354</v>
      </c>
      <c r="B6912" t="s">
        <v>610</v>
      </c>
      <c r="C6912" t="s">
        <v>611</v>
      </c>
      <c r="D6912">
        <v>2019</v>
      </c>
      <c r="E6912" s="2">
        <v>50</v>
      </c>
      <c r="F6912" s="2">
        <v>4250</v>
      </c>
      <c r="G6912" s="2">
        <v>4462.5</v>
      </c>
    </row>
    <row r="6913" spans="1:8" x14ac:dyDescent="0.3">
      <c r="A6913" t="s">
        <v>2354</v>
      </c>
      <c r="B6913" t="s">
        <v>610</v>
      </c>
      <c r="C6913" t="s">
        <v>611</v>
      </c>
      <c r="D6913">
        <v>2020</v>
      </c>
      <c r="E6913" s="2">
        <v>6</v>
      </c>
      <c r="F6913" s="2">
        <v>510</v>
      </c>
      <c r="G6913" s="2">
        <v>535.5</v>
      </c>
    </row>
    <row r="6914" spans="1:8" x14ac:dyDescent="0.3">
      <c r="A6914" t="s">
        <v>2354</v>
      </c>
      <c r="B6914" t="s">
        <v>660</v>
      </c>
      <c r="C6914" t="s">
        <v>661</v>
      </c>
      <c r="D6914">
        <v>2020</v>
      </c>
      <c r="E6914" s="2">
        <v>65</v>
      </c>
      <c r="F6914" s="2">
        <v>5475</v>
      </c>
      <c r="G6914" s="2">
        <v>5748.75</v>
      </c>
      <c r="H6914" s="3" t="s">
        <v>2355</v>
      </c>
    </row>
    <row r="6915" spans="1:8" x14ac:dyDescent="0.3">
      <c r="A6915" t="s">
        <v>2354</v>
      </c>
      <c r="B6915" t="s">
        <v>660</v>
      </c>
      <c r="C6915" t="s">
        <v>661</v>
      </c>
      <c r="D6915">
        <v>2021</v>
      </c>
      <c r="E6915" s="2">
        <v>5</v>
      </c>
      <c r="F6915" s="2">
        <v>375</v>
      </c>
      <c r="G6915" s="2">
        <v>393.75</v>
      </c>
      <c r="H6915" s="3" t="s">
        <v>2355</v>
      </c>
    </row>
    <row r="6916" spans="1:8" x14ac:dyDescent="0.3">
      <c r="A6916" t="s">
        <v>2354</v>
      </c>
      <c r="B6916" t="s">
        <v>721</v>
      </c>
      <c r="C6916" t="s">
        <v>722</v>
      </c>
      <c r="D6916">
        <v>2016</v>
      </c>
      <c r="E6916" s="2">
        <v>35</v>
      </c>
      <c r="F6916" s="2">
        <v>2625</v>
      </c>
      <c r="G6916" s="2"/>
    </row>
    <row r="6917" spans="1:8" x14ac:dyDescent="0.3">
      <c r="A6917" t="s">
        <v>2354</v>
      </c>
      <c r="B6917" t="s">
        <v>721</v>
      </c>
      <c r="C6917" t="s">
        <v>722</v>
      </c>
      <c r="D6917">
        <v>2017</v>
      </c>
      <c r="E6917" s="2">
        <v>89</v>
      </c>
      <c r="F6917" s="2">
        <v>6675</v>
      </c>
      <c r="G6917" s="2"/>
    </row>
    <row r="6918" spans="1:8" x14ac:dyDescent="0.3">
      <c r="A6918" t="s">
        <v>2354</v>
      </c>
      <c r="B6918" t="s">
        <v>721</v>
      </c>
      <c r="C6918" t="s">
        <v>722</v>
      </c>
      <c r="D6918">
        <v>2018</v>
      </c>
      <c r="E6918" s="2">
        <v>75</v>
      </c>
      <c r="F6918" s="2">
        <v>5625</v>
      </c>
      <c r="G6918" s="2">
        <v>5906.25</v>
      </c>
    </row>
    <row r="6919" spans="1:8" x14ac:dyDescent="0.3">
      <c r="A6919" t="s">
        <v>2354</v>
      </c>
      <c r="B6919" t="s">
        <v>721</v>
      </c>
      <c r="C6919" t="s">
        <v>722</v>
      </c>
      <c r="D6919">
        <v>2019</v>
      </c>
      <c r="E6919" s="2">
        <v>50</v>
      </c>
      <c r="F6919" s="2">
        <v>3750</v>
      </c>
      <c r="G6919" s="2">
        <v>3937.5</v>
      </c>
    </row>
    <row r="6920" spans="1:8" x14ac:dyDescent="0.3">
      <c r="A6920" t="s">
        <v>2354</v>
      </c>
      <c r="B6920" t="s">
        <v>721</v>
      </c>
      <c r="C6920" t="s">
        <v>722</v>
      </c>
      <c r="D6920">
        <v>2020</v>
      </c>
      <c r="E6920" s="2">
        <v>10</v>
      </c>
      <c r="F6920" s="2">
        <v>750</v>
      </c>
      <c r="G6920" s="2">
        <v>787.5</v>
      </c>
    </row>
    <row r="6921" spans="1:8" x14ac:dyDescent="0.3">
      <c r="A6921" t="s">
        <v>2354</v>
      </c>
      <c r="B6921" t="s">
        <v>248</v>
      </c>
      <c r="C6921" t="s">
        <v>249</v>
      </c>
      <c r="D6921">
        <v>2020</v>
      </c>
      <c r="E6921" s="2">
        <v>60</v>
      </c>
      <c r="F6921" s="2">
        <v>8100</v>
      </c>
      <c r="G6921" s="2">
        <v>8505</v>
      </c>
      <c r="H6921" s="3" t="s">
        <v>606</v>
      </c>
    </row>
    <row r="6922" spans="1:8" x14ac:dyDescent="0.3">
      <c r="A6922" t="s">
        <v>2354</v>
      </c>
      <c r="B6922" t="s">
        <v>248</v>
      </c>
      <c r="C6922" t="s">
        <v>249</v>
      </c>
      <c r="D6922">
        <v>2021</v>
      </c>
      <c r="E6922" s="2">
        <v>20</v>
      </c>
      <c r="F6922" s="2">
        <v>2700</v>
      </c>
      <c r="G6922" s="2">
        <v>2835</v>
      </c>
      <c r="H6922" s="3" t="s">
        <v>606</v>
      </c>
    </row>
    <row r="6923" spans="1:8" x14ac:dyDescent="0.3">
      <c r="A6923" t="s">
        <v>2354</v>
      </c>
      <c r="B6923" t="s">
        <v>662</v>
      </c>
      <c r="C6923" t="s">
        <v>525</v>
      </c>
      <c r="D6923">
        <v>2019</v>
      </c>
      <c r="E6923" s="2">
        <v>11</v>
      </c>
      <c r="F6923" s="2">
        <v>880</v>
      </c>
      <c r="G6923" s="2">
        <v>924</v>
      </c>
    </row>
    <row r="6924" spans="1:8" x14ac:dyDescent="0.3">
      <c r="A6924" t="s">
        <v>2354</v>
      </c>
      <c r="B6924" t="s">
        <v>34</v>
      </c>
      <c r="D6924">
        <v>2018</v>
      </c>
      <c r="E6924" s="2">
        <v>5</v>
      </c>
      <c r="F6924" s="2">
        <v>600</v>
      </c>
      <c r="G6924" s="2">
        <v>630</v>
      </c>
      <c r="H6924" s="3" t="s">
        <v>18</v>
      </c>
    </row>
    <row r="6925" spans="1:8" x14ac:dyDescent="0.3">
      <c r="A6925" t="s">
        <v>2354</v>
      </c>
      <c r="B6925" t="s">
        <v>34</v>
      </c>
      <c r="D6925">
        <v>2019</v>
      </c>
      <c r="E6925" s="2">
        <v>10</v>
      </c>
      <c r="F6925" s="2">
        <v>1200</v>
      </c>
      <c r="G6925" s="2">
        <v>1260</v>
      </c>
      <c r="H6925" s="3" t="s">
        <v>18</v>
      </c>
    </row>
    <row r="6926" spans="1:8" x14ac:dyDescent="0.3">
      <c r="A6926" t="s">
        <v>2354</v>
      </c>
      <c r="B6926" t="s">
        <v>34</v>
      </c>
      <c r="D6926">
        <v>2021</v>
      </c>
      <c r="E6926" s="2">
        <v>5</v>
      </c>
      <c r="F6926" s="2">
        <v>600</v>
      </c>
      <c r="G6926" s="2">
        <v>630</v>
      </c>
      <c r="H6926" s="3" t="s">
        <v>18</v>
      </c>
    </row>
    <row r="6927" spans="1:8" x14ac:dyDescent="0.3">
      <c r="A6927" t="s">
        <v>2354</v>
      </c>
      <c r="B6927" t="s">
        <v>453</v>
      </c>
      <c r="D6927">
        <v>2019</v>
      </c>
      <c r="E6927" s="2">
        <v>10</v>
      </c>
      <c r="F6927" s="2">
        <v>1100</v>
      </c>
      <c r="G6927" s="2">
        <v>1155</v>
      </c>
    </row>
    <row r="6928" spans="1:8" x14ac:dyDescent="0.3">
      <c r="A6928" t="s">
        <v>2354</v>
      </c>
      <c r="B6928" t="s">
        <v>548</v>
      </c>
      <c r="D6928">
        <v>2020</v>
      </c>
      <c r="E6928" s="2">
        <v>250</v>
      </c>
      <c r="F6928" s="2">
        <v>17000</v>
      </c>
      <c r="G6928" s="2">
        <v>17850</v>
      </c>
      <c r="H6928" s="3" t="s">
        <v>2356</v>
      </c>
    </row>
    <row r="6929" spans="1:8" x14ac:dyDescent="0.3">
      <c r="A6929" t="s">
        <v>2354</v>
      </c>
      <c r="B6929" t="s">
        <v>548</v>
      </c>
      <c r="D6929">
        <v>2021</v>
      </c>
      <c r="E6929" s="2">
        <v>100</v>
      </c>
      <c r="F6929" s="2">
        <v>6800</v>
      </c>
      <c r="G6929" s="2">
        <v>7140</v>
      </c>
      <c r="H6929" s="3" t="s">
        <v>2356</v>
      </c>
    </row>
    <row r="6930" spans="1:8" x14ac:dyDescent="0.3">
      <c r="A6930" t="s">
        <v>2354</v>
      </c>
      <c r="B6930" t="s">
        <v>1648</v>
      </c>
      <c r="C6930" t="s">
        <v>1826</v>
      </c>
      <c r="D6930">
        <v>2019</v>
      </c>
      <c r="E6930" s="2">
        <v>5</v>
      </c>
      <c r="F6930" s="2">
        <v>390</v>
      </c>
      <c r="G6930" s="2">
        <v>409.5</v>
      </c>
    </row>
    <row r="6931" spans="1:8" x14ac:dyDescent="0.3">
      <c r="A6931" t="s">
        <v>2354</v>
      </c>
      <c r="B6931" t="s">
        <v>524</v>
      </c>
      <c r="C6931" t="s">
        <v>525</v>
      </c>
      <c r="D6931">
        <v>2019</v>
      </c>
      <c r="E6931" s="2">
        <v>5</v>
      </c>
      <c r="F6931" s="2">
        <v>400</v>
      </c>
      <c r="G6931" s="2">
        <v>420</v>
      </c>
    </row>
    <row r="6932" spans="1:8" x14ac:dyDescent="0.3">
      <c r="A6932" t="s">
        <v>2354</v>
      </c>
      <c r="B6932" t="s">
        <v>1419</v>
      </c>
      <c r="C6932" t="s">
        <v>1420</v>
      </c>
      <c r="D6932">
        <v>2020</v>
      </c>
      <c r="E6932" s="2">
        <v>5</v>
      </c>
      <c r="F6932" s="2">
        <v>550</v>
      </c>
      <c r="G6932" s="2">
        <v>577.5</v>
      </c>
    </row>
    <row r="6933" spans="1:8" x14ac:dyDescent="0.3">
      <c r="A6933" t="s">
        <v>2354</v>
      </c>
      <c r="B6933" t="s">
        <v>461</v>
      </c>
      <c r="D6933">
        <v>2018</v>
      </c>
      <c r="E6933" s="2">
        <v>10</v>
      </c>
      <c r="F6933" s="2">
        <v>850</v>
      </c>
      <c r="G6933" s="2">
        <v>892.5</v>
      </c>
    </row>
    <row r="6934" spans="1:8" x14ac:dyDescent="0.3">
      <c r="A6934" t="s">
        <v>2354</v>
      </c>
      <c r="B6934" t="s">
        <v>461</v>
      </c>
      <c r="D6934">
        <v>2019</v>
      </c>
      <c r="E6934" s="2">
        <v>10</v>
      </c>
      <c r="F6934" s="2">
        <v>850</v>
      </c>
      <c r="G6934" s="2">
        <v>892.5</v>
      </c>
    </row>
    <row r="6935" spans="1:8" x14ac:dyDescent="0.3">
      <c r="A6935" t="s">
        <v>2354</v>
      </c>
      <c r="B6935" t="s">
        <v>642</v>
      </c>
      <c r="D6935">
        <v>2019</v>
      </c>
      <c r="E6935" s="2">
        <v>14</v>
      </c>
      <c r="F6935" s="2">
        <v>1680</v>
      </c>
      <c r="G6935" s="2">
        <v>1764</v>
      </c>
    </row>
    <row r="6936" spans="1:8" x14ac:dyDescent="0.3">
      <c r="A6936" t="s">
        <v>2354</v>
      </c>
      <c r="B6936" t="s">
        <v>643</v>
      </c>
      <c r="C6936" t="s">
        <v>644</v>
      </c>
      <c r="D6936">
        <v>2020</v>
      </c>
      <c r="E6936" s="2">
        <v>5</v>
      </c>
      <c r="F6936" s="2">
        <v>425</v>
      </c>
      <c r="G6936" s="2">
        <v>446.25</v>
      </c>
    </row>
    <row r="6937" spans="1:8" x14ac:dyDescent="0.3">
      <c r="A6937" t="s">
        <v>2354</v>
      </c>
      <c r="B6937" t="s">
        <v>99</v>
      </c>
      <c r="C6937" t="s">
        <v>100</v>
      </c>
      <c r="D6937">
        <v>2020</v>
      </c>
      <c r="E6937" s="2">
        <v>25</v>
      </c>
      <c r="F6937" s="2">
        <v>3125</v>
      </c>
      <c r="G6937" s="2">
        <v>3281.25</v>
      </c>
    </row>
    <row r="6938" spans="1:8" x14ac:dyDescent="0.3">
      <c r="A6938" t="s">
        <v>2354</v>
      </c>
      <c r="B6938" t="s">
        <v>184</v>
      </c>
      <c r="C6938" t="s">
        <v>185</v>
      </c>
      <c r="D6938">
        <v>2019</v>
      </c>
      <c r="E6938" s="2">
        <v>5</v>
      </c>
      <c r="F6938" s="2">
        <v>325</v>
      </c>
      <c r="G6938" s="2">
        <v>341.25</v>
      </c>
    </row>
    <row r="6939" spans="1:8" x14ac:dyDescent="0.3">
      <c r="A6939" t="s">
        <v>2354</v>
      </c>
      <c r="B6939" t="s">
        <v>686</v>
      </c>
      <c r="C6939" t="s">
        <v>866</v>
      </c>
      <c r="D6939">
        <v>2019</v>
      </c>
      <c r="E6939" s="2">
        <v>5</v>
      </c>
      <c r="F6939" s="2">
        <v>325</v>
      </c>
      <c r="G6939" s="2">
        <v>341.25</v>
      </c>
    </row>
    <row r="6940" spans="1:8" x14ac:dyDescent="0.3">
      <c r="A6940" t="s">
        <v>2354</v>
      </c>
      <c r="B6940" t="s">
        <v>686</v>
      </c>
      <c r="C6940" t="s">
        <v>687</v>
      </c>
      <c r="D6940">
        <v>2020</v>
      </c>
      <c r="E6940" s="2">
        <v>15</v>
      </c>
      <c r="F6940" s="2">
        <v>375</v>
      </c>
      <c r="G6940" s="2">
        <v>393.75</v>
      </c>
      <c r="H6940" s="3" t="s">
        <v>1427</v>
      </c>
    </row>
    <row r="6941" spans="1:8" x14ac:dyDescent="0.3">
      <c r="A6941" t="s">
        <v>2354</v>
      </c>
      <c r="B6941" t="s">
        <v>686</v>
      </c>
      <c r="C6941" t="s">
        <v>687</v>
      </c>
      <c r="D6941">
        <v>2021</v>
      </c>
      <c r="E6941" s="2">
        <v>50</v>
      </c>
      <c r="F6941" s="2">
        <v>3000</v>
      </c>
      <c r="G6941" s="2">
        <v>3150</v>
      </c>
      <c r="H6941" s="3" t="s">
        <v>1427</v>
      </c>
    </row>
    <row r="6942" spans="1:8" x14ac:dyDescent="0.3">
      <c r="A6942" t="s">
        <v>2354</v>
      </c>
      <c r="B6942" t="s">
        <v>647</v>
      </c>
      <c r="C6942" t="s">
        <v>648</v>
      </c>
      <c r="D6942">
        <v>2019</v>
      </c>
      <c r="E6942" s="2">
        <v>30</v>
      </c>
      <c r="F6942" s="2">
        <v>2250</v>
      </c>
      <c r="G6942" s="2">
        <v>2362.5</v>
      </c>
    </row>
    <row r="6943" spans="1:8" x14ac:dyDescent="0.3">
      <c r="A6943" t="s">
        <v>2354</v>
      </c>
      <c r="B6943" t="s">
        <v>668</v>
      </c>
      <c r="C6943" t="s">
        <v>669</v>
      </c>
      <c r="D6943">
        <v>2021</v>
      </c>
      <c r="E6943" s="2">
        <v>10</v>
      </c>
      <c r="F6943" s="2">
        <v>650</v>
      </c>
      <c r="G6943" s="2">
        <v>682.5</v>
      </c>
      <c r="H6943" s="3" t="s">
        <v>18</v>
      </c>
    </row>
    <row r="6944" spans="1:8" x14ac:dyDescent="0.3">
      <c r="A6944" t="s">
        <v>2354</v>
      </c>
      <c r="B6944" t="s">
        <v>19</v>
      </c>
      <c r="C6944" t="s">
        <v>20</v>
      </c>
      <c r="D6944">
        <v>2018</v>
      </c>
      <c r="E6944" s="2">
        <v>50</v>
      </c>
      <c r="F6944" s="2">
        <v>3500</v>
      </c>
      <c r="G6944" s="2">
        <v>3675</v>
      </c>
    </row>
    <row r="6945" spans="1:8" x14ac:dyDescent="0.3">
      <c r="A6945" t="s">
        <v>2354</v>
      </c>
      <c r="B6945" t="s">
        <v>19</v>
      </c>
      <c r="C6945" t="s">
        <v>107</v>
      </c>
      <c r="D6945">
        <v>2018</v>
      </c>
      <c r="E6945" s="2">
        <v>25</v>
      </c>
      <c r="F6945" s="2">
        <v>1750</v>
      </c>
      <c r="G6945" s="2">
        <v>1837.5</v>
      </c>
      <c r="H6945" s="3" t="s">
        <v>18</v>
      </c>
    </row>
    <row r="6946" spans="1:8" x14ac:dyDescent="0.3">
      <c r="A6946" t="s">
        <v>2354</v>
      </c>
      <c r="B6946" t="s">
        <v>19</v>
      </c>
      <c r="C6946" t="s">
        <v>107</v>
      </c>
      <c r="D6946">
        <v>2019</v>
      </c>
      <c r="E6946" s="2">
        <v>25</v>
      </c>
      <c r="F6946" s="2">
        <v>1750</v>
      </c>
      <c r="G6946" s="2">
        <v>1837.5</v>
      </c>
      <c r="H6946" s="3" t="s">
        <v>18</v>
      </c>
    </row>
    <row r="6947" spans="1:8" x14ac:dyDescent="0.3">
      <c r="A6947" t="s">
        <v>2354</v>
      </c>
      <c r="B6947" t="s">
        <v>19</v>
      </c>
      <c r="C6947" t="s">
        <v>107</v>
      </c>
      <c r="D6947">
        <v>2021</v>
      </c>
      <c r="E6947" s="2">
        <v>75</v>
      </c>
      <c r="F6947" s="2">
        <v>4775</v>
      </c>
      <c r="G6947" s="2">
        <v>5013.75</v>
      </c>
      <c r="H6947" s="3" t="s">
        <v>18</v>
      </c>
    </row>
    <row r="6948" spans="1:8" x14ac:dyDescent="0.3">
      <c r="A6948" t="s">
        <v>2354</v>
      </c>
      <c r="B6948" t="s">
        <v>260</v>
      </c>
      <c r="C6948" t="s">
        <v>109</v>
      </c>
      <c r="D6948">
        <v>2021</v>
      </c>
      <c r="E6948" s="2">
        <v>5</v>
      </c>
      <c r="F6948" s="2">
        <v>390</v>
      </c>
      <c r="G6948" s="2">
        <v>409.5</v>
      </c>
    </row>
    <row r="6949" spans="1:8" x14ac:dyDescent="0.3">
      <c r="A6949" t="s">
        <v>2354</v>
      </c>
      <c r="B6949" t="s">
        <v>467</v>
      </c>
      <c r="C6949" t="s">
        <v>468</v>
      </c>
      <c r="D6949">
        <v>2018</v>
      </c>
      <c r="E6949" s="2">
        <v>25</v>
      </c>
      <c r="F6949" s="2">
        <v>1250</v>
      </c>
      <c r="G6949" s="2">
        <v>1312.5</v>
      </c>
    </row>
    <row r="6950" spans="1:8" x14ac:dyDescent="0.3">
      <c r="A6950" t="s">
        <v>2354</v>
      </c>
      <c r="B6950" t="s">
        <v>21</v>
      </c>
      <c r="C6950" t="s">
        <v>22</v>
      </c>
      <c r="D6950">
        <v>2017</v>
      </c>
      <c r="E6950" s="2">
        <v>85</v>
      </c>
      <c r="F6950" s="2">
        <v>5100</v>
      </c>
      <c r="G6950" s="2"/>
    </row>
    <row r="6951" spans="1:8" x14ac:dyDescent="0.3">
      <c r="A6951" t="s">
        <v>2354</v>
      </c>
      <c r="B6951" t="s">
        <v>21</v>
      </c>
      <c r="C6951" t="s">
        <v>22</v>
      </c>
      <c r="D6951">
        <v>2018</v>
      </c>
      <c r="E6951" s="2">
        <v>150</v>
      </c>
      <c r="F6951" s="2">
        <v>10125</v>
      </c>
      <c r="G6951" s="2">
        <v>10631.25</v>
      </c>
    </row>
    <row r="6952" spans="1:8" x14ac:dyDescent="0.3">
      <c r="A6952" t="s">
        <v>2354</v>
      </c>
      <c r="B6952" t="s">
        <v>21</v>
      </c>
      <c r="C6952" t="s">
        <v>22</v>
      </c>
      <c r="D6952">
        <v>2019</v>
      </c>
      <c r="E6952" s="2">
        <v>100</v>
      </c>
      <c r="F6952" s="2">
        <v>7500</v>
      </c>
      <c r="G6952" s="2">
        <v>7875</v>
      </c>
    </row>
    <row r="6953" spans="1:8" x14ac:dyDescent="0.3">
      <c r="A6953" t="s">
        <v>2354</v>
      </c>
      <c r="B6953" t="s">
        <v>471</v>
      </c>
      <c r="C6953" t="s">
        <v>472</v>
      </c>
      <c r="D6953">
        <v>2018</v>
      </c>
      <c r="E6953" s="2">
        <v>35</v>
      </c>
      <c r="F6953" s="2">
        <v>2975</v>
      </c>
      <c r="G6953" s="2">
        <v>3123.75</v>
      </c>
    </row>
    <row r="6954" spans="1:8" x14ac:dyDescent="0.3">
      <c r="A6954" t="s">
        <v>2354</v>
      </c>
      <c r="B6954" t="s">
        <v>471</v>
      </c>
      <c r="C6954" t="s">
        <v>472</v>
      </c>
      <c r="D6954">
        <v>2020</v>
      </c>
      <c r="E6954" s="2">
        <v>5</v>
      </c>
      <c r="F6954" s="2">
        <v>425</v>
      </c>
      <c r="G6954" s="2">
        <v>446.25</v>
      </c>
    </row>
    <row r="6955" spans="1:8" x14ac:dyDescent="0.3">
      <c r="A6955" t="s">
        <v>2354</v>
      </c>
      <c r="B6955" t="s">
        <v>909</v>
      </c>
      <c r="C6955" t="s">
        <v>910</v>
      </c>
      <c r="D6955">
        <v>2019</v>
      </c>
      <c r="E6955" s="2">
        <v>10</v>
      </c>
      <c r="F6955" s="2">
        <v>800</v>
      </c>
      <c r="G6955" s="2">
        <v>840</v>
      </c>
    </row>
    <row r="6956" spans="1:8" x14ac:dyDescent="0.3">
      <c r="A6956" t="s">
        <v>2354</v>
      </c>
      <c r="B6956" t="s">
        <v>597</v>
      </c>
      <c r="C6956" t="s">
        <v>598</v>
      </c>
      <c r="D6956">
        <v>2020</v>
      </c>
      <c r="E6956" s="2">
        <v>25</v>
      </c>
      <c r="F6956" s="2">
        <v>2250</v>
      </c>
      <c r="G6956" s="2">
        <v>2362.5</v>
      </c>
    </row>
    <row r="6957" spans="1:8" x14ac:dyDescent="0.3">
      <c r="A6957" t="s">
        <v>2354</v>
      </c>
      <c r="B6957" t="s">
        <v>867</v>
      </c>
      <c r="C6957" t="s">
        <v>868</v>
      </c>
      <c r="D6957">
        <v>2019</v>
      </c>
      <c r="E6957" s="2">
        <v>4</v>
      </c>
      <c r="F6957" s="2">
        <v>360</v>
      </c>
      <c r="G6957" s="2">
        <v>378</v>
      </c>
    </row>
    <row r="6958" spans="1:8" x14ac:dyDescent="0.3">
      <c r="A6958" t="s">
        <v>2354</v>
      </c>
      <c r="B6958" t="s">
        <v>867</v>
      </c>
      <c r="C6958" t="s">
        <v>868</v>
      </c>
      <c r="D6958">
        <v>2020</v>
      </c>
      <c r="E6958" s="2">
        <v>100</v>
      </c>
      <c r="F6958" s="2">
        <v>9000</v>
      </c>
      <c r="G6958" s="2">
        <v>9450</v>
      </c>
    </row>
    <row r="6959" spans="1:8" x14ac:dyDescent="0.3">
      <c r="A6959" t="s">
        <v>2354</v>
      </c>
      <c r="B6959" t="s">
        <v>867</v>
      </c>
      <c r="C6959" t="s">
        <v>868</v>
      </c>
      <c r="D6959">
        <v>2021</v>
      </c>
      <c r="E6959" s="2">
        <v>5</v>
      </c>
      <c r="F6959" s="2">
        <v>475</v>
      </c>
      <c r="G6959" s="2">
        <v>498.75</v>
      </c>
    </row>
    <row r="6960" spans="1:8" x14ac:dyDescent="0.3">
      <c r="A6960" t="s">
        <v>2354</v>
      </c>
      <c r="B6960" t="s">
        <v>839</v>
      </c>
      <c r="C6960" t="s">
        <v>138</v>
      </c>
      <c r="D6960">
        <v>2021</v>
      </c>
      <c r="E6960" s="2">
        <v>25</v>
      </c>
      <c r="F6960" s="2">
        <v>2375</v>
      </c>
      <c r="G6960" s="2">
        <v>2493.75</v>
      </c>
    </row>
    <row r="6961" spans="1:7" x14ac:dyDescent="0.3">
      <c r="A6961" t="s">
        <v>2354</v>
      </c>
      <c r="B6961" t="s">
        <v>653</v>
      </c>
      <c r="C6961" t="s">
        <v>654</v>
      </c>
      <c r="D6961">
        <v>2020</v>
      </c>
      <c r="E6961" s="2">
        <v>75</v>
      </c>
      <c r="F6961" s="2">
        <v>5625</v>
      </c>
      <c r="G6961" s="2">
        <v>5906.25</v>
      </c>
    </row>
    <row r="6962" spans="1:7" x14ac:dyDescent="0.3">
      <c r="A6962" t="s">
        <v>2354</v>
      </c>
      <c r="B6962" t="s">
        <v>1337</v>
      </c>
      <c r="C6962" t="s">
        <v>1338</v>
      </c>
      <c r="D6962">
        <v>2019</v>
      </c>
      <c r="E6962" s="2">
        <v>15</v>
      </c>
      <c r="F6962" s="2">
        <v>1275</v>
      </c>
      <c r="G6962" s="2">
        <v>1338.75</v>
      </c>
    </row>
    <row r="6963" spans="1:7" x14ac:dyDescent="0.3">
      <c r="A6963" t="s">
        <v>2354</v>
      </c>
      <c r="B6963" t="s">
        <v>1337</v>
      </c>
      <c r="C6963" t="s">
        <v>1338</v>
      </c>
      <c r="D6963">
        <v>2020</v>
      </c>
      <c r="E6963" s="2">
        <v>25</v>
      </c>
      <c r="F6963" s="2">
        <v>2125</v>
      </c>
      <c r="G6963" s="2">
        <v>2231.25</v>
      </c>
    </row>
    <row r="6964" spans="1:7" x14ac:dyDescent="0.3">
      <c r="A6964" t="s">
        <v>2354</v>
      </c>
      <c r="B6964" t="s">
        <v>518</v>
      </c>
      <c r="C6964" t="s">
        <v>519</v>
      </c>
      <c r="D6964">
        <v>2019</v>
      </c>
      <c r="E6964" s="2">
        <v>30</v>
      </c>
      <c r="F6964" s="2">
        <v>2250</v>
      </c>
      <c r="G6964" s="2">
        <v>2362.5</v>
      </c>
    </row>
    <row r="6965" spans="1:7" x14ac:dyDescent="0.3">
      <c r="A6965" t="s">
        <v>2354</v>
      </c>
      <c r="B6965" t="s">
        <v>706</v>
      </c>
      <c r="C6965" t="s">
        <v>707</v>
      </c>
      <c r="D6965">
        <v>2017</v>
      </c>
      <c r="E6965" s="2">
        <v>10</v>
      </c>
      <c r="F6965" s="2">
        <v>700</v>
      </c>
      <c r="G6965" s="2"/>
    </row>
    <row r="6966" spans="1:7" x14ac:dyDescent="0.3">
      <c r="A6966" t="s">
        <v>2354</v>
      </c>
      <c r="B6966" t="s">
        <v>36</v>
      </c>
      <c r="D6966">
        <v>2017</v>
      </c>
      <c r="E6966" s="2">
        <v>5</v>
      </c>
      <c r="F6966" s="2">
        <v>550</v>
      </c>
      <c r="G6966" s="2"/>
    </row>
    <row r="6967" spans="1:7" x14ac:dyDescent="0.3">
      <c r="A6967" t="s">
        <v>2354</v>
      </c>
      <c r="B6967" t="s">
        <v>36</v>
      </c>
      <c r="D6967">
        <v>2018</v>
      </c>
      <c r="E6967" s="2">
        <v>20</v>
      </c>
      <c r="F6967" s="2">
        <v>2200</v>
      </c>
      <c r="G6967" s="2">
        <v>2310</v>
      </c>
    </row>
    <row r="6968" spans="1:7" x14ac:dyDescent="0.3">
      <c r="A6968" t="s">
        <v>2354</v>
      </c>
      <c r="B6968" t="s">
        <v>36</v>
      </c>
      <c r="D6968">
        <v>2019</v>
      </c>
      <c r="E6968" s="2">
        <v>5</v>
      </c>
      <c r="F6968" s="2">
        <v>550</v>
      </c>
      <c r="G6968" s="2">
        <v>577.5</v>
      </c>
    </row>
    <row r="6969" spans="1:7" x14ac:dyDescent="0.3">
      <c r="A6969" t="s">
        <v>2354</v>
      </c>
      <c r="B6969" t="s">
        <v>36</v>
      </c>
      <c r="D6969">
        <v>2020</v>
      </c>
      <c r="E6969" s="2">
        <v>15</v>
      </c>
      <c r="F6969" s="2">
        <v>1650</v>
      </c>
      <c r="G6969" s="2">
        <v>1732.5</v>
      </c>
    </row>
    <row r="6970" spans="1:7" x14ac:dyDescent="0.3">
      <c r="A6970" t="s">
        <v>2354</v>
      </c>
      <c r="B6970" t="s">
        <v>913</v>
      </c>
      <c r="C6970" t="s">
        <v>914</v>
      </c>
      <c r="D6970">
        <v>2019</v>
      </c>
      <c r="E6970" s="2">
        <v>5</v>
      </c>
      <c r="F6970" s="2">
        <v>400</v>
      </c>
      <c r="G6970" s="2">
        <v>420</v>
      </c>
    </row>
    <row r="6971" spans="1:7" x14ac:dyDescent="0.3">
      <c r="A6971" t="s">
        <v>2354</v>
      </c>
      <c r="B6971" t="s">
        <v>314</v>
      </c>
      <c r="C6971" t="s">
        <v>475</v>
      </c>
      <c r="D6971">
        <v>2016</v>
      </c>
      <c r="E6971" s="2">
        <v>20</v>
      </c>
      <c r="F6971" s="2">
        <v>1300</v>
      </c>
      <c r="G6971" s="2"/>
    </row>
    <row r="6972" spans="1:7" x14ac:dyDescent="0.3">
      <c r="A6972" t="s">
        <v>2354</v>
      </c>
      <c r="B6972" t="s">
        <v>314</v>
      </c>
      <c r="C6972" t="s">
        <v>475</v>
      </c>
      <c r="D6972">
        <v>2017</v>
      </c>
      <c r="E6972" s="2">
        <v>25</v>
      </c>
      <c r="F6972" s="2">
        <v>1625</v>
      </c>
      <c r="G6972" s="2"/>
    </row>
    <row r="6973" spans="1:7" x14ac:dyDescent="0.3">
      <c r="A6973" t="s">
        <v>2354</v>
      </c>
      <c r="B6973" t="s">
        <v>314</v>
      </c>
      <c r="C6973" t="s">
        <v>475</v>
      </c>
      <c r="D6973">
        <v>2018</v>
      </c>
      <c r="E6973" s="2">
        <v>50</v>
      </c>
      <c r="F6973" s="2">
        <v>3325</v>
      </c>
      <c r="G6973" s="2">
        <v>3491.25</v>
      </c>
    </row>
    <row r="6974" spans="1:7" x14ac:dyDescent="0.3">
      <c r="A6974" t="s">
        <v>2354</v>
      </c>
      <c r="B6974" t="s">
        <v>708</v>
      </c>
      <c r="C6974" t="s">
        <v>477</v>
      </c>
      <c r="D6974">
        <v>2018</v>
      </c>
      <c r="E6974" s="2">
        <v>25</v>
      </c>
      <c r="F6974" s="2">
        <v>1700</v>
      </c>
      <c r="G6974" s="2">
        <v>1785</v>
      </c>
    </row>
    <row r="6975" spans="1:7" x14ac:dyDescent="0.3">
      <c r="A6975" t="s">
        <v>2354</v>
      </c>
      <c r="B6975" t="s">
        <v>496</v>
      </c>
      <c r="C6975" t="s">
        <v>497</v>
      </c>
      <c r="D6975">
        <v>2020</v>
      </c>
      <c r="E6975" s="2">
        <v>25</v>
      </c>
      <c r="F6975" s="2">
        <v>1700</v>
      </c>
      <c r="G6975" s="2">
        <v>1785</v>
      </c>
    </row>
    <row r="6976" spans="1:7" x14ac:dyDescent="0.3">
      <c r="A6976" t="s">
        <v>2354</v>
      </c>
      <c r="B6976" t="s">
        <v>656</v>
      </c>
      <c r="C6976" t="s">
        <v>71</v>
      </c>
      <c r="D6976">
        <v>2019</v>
      </c>
      <c r="E6976" s="2">
        <v>90</v>
      </c>
      <c r="F6976" s="2">
        <v>11080</v>
      </c>
      <c r="G6976" s="2">
        <v>11634</v>
      </c>
    </row>
    <row r="6977" spans="1:8" x14ac:dyDescent="0.3">
      <c r="A6977" t="s">
        <v>2354</v>
      </c>
      <c r="B6977" t="s">
        <v>656</v>
      </c>
      <c r="C6977" t="s">
        <v>71</v>
      </c>
      <c r="D6977">
        <v>2020</v>
      </c>
      <c r="E6977" s="2">
        <v>220</v>
      </c>
      <c r="F6977" s="2">
        <v>27060</v>
      </c>
      <c r="G6977" s="2">
        <v>28413</v>
      </c>
    </row>
    <row r="6978" spans="1:8" x14ac:dyDescent="0.3">
      <c r="A6978" t="s">
        <v>2354</v>
      </c>
      <c r="B6978" t="s">
        <v>656</v>
      </c>
      <c r="C6978" t="s">
        <v>71</v>
      </c>
      <c r="D6978">
        <v>2021</v>
      </c>
      <c r="E6978" s="2">
        <v>75</v>
      </c>
      <c r="F6978" s="2">
        <v>9225</v>
      </c>
      <c r="G6978" s="2">
        <v>9686.25</v>
      </c>
    </row>
    <row r="6979" spans="1:8" x14ac:dyDescent="0.3">
      <c r="A6979" t="s">
        <v>2354</v>
      </c>
      <c r="B6979" t="s">
        <v>1107</v>
      </c>
      <c r="C6979" t="s">
        <v>1108</v>
      </c>
      <c r="D6979">
        <v>2018</v>
      </c>
      <c r="E6979" s="2">
        <v>5</v>
      </c>
      <c r="F6979" s="2">
        <v>400</v>
      </c>
      <c r="G6979" s="2">
        <v>420</v>
      </c>
    </row>
    <row r="6980" spans="1:8" x14ac:dyDescent="0.3">
      <c r="A6980" t="s">
        <v>2354</v>
      </c>
      <c r="B6980" t="s">
        <v>46</v>
      </c>
      <c r="C6980" t="s">
        <v>47</v>
      </c>
      <c r="D6980">
        <v>2017</v>
      </c>
      <c r="E6980" s="2">
        <v>5</v>
      </c>
      <c r="F6980" s="2">
        <v>325</v>
      </c>
      <c r="G6980" s="2"/>
    </row>
    <row r="6981" spans="1:8" x14ac:dyDescent="0.3">
      <c r="A6981" t="s">
        <v>2354</v>
      </c>
      <c r="B6981" t="s">
        <v>46</v>
      </c>
      <c r="C6981" t="s">
        <v>47</v>
      </c>
      <c r="D6981">
        <v>2018</v>
      </c>
      <c r="E6981" s="2">
        <v>10</v>
      </c>
      <c r="F6981" s="2">
        <v>650</v>
      </c>
      <c r="G6981" s="2">
        <v>682.5</v>
      </c>
    </row>
    <row r="6982" spans="1:8" x14ac:dyDescent="0.3">
      <c r="A6982" t="s">
        <v>2354</v>
      </c>
      <c r="B6982" t="s">
        <v>46</v>
      </c>
      <c r="C6982" t="s">
        <v>47</v>
      </c>
      <c r="D6982">
        <v>2019</v>
      </c>
      <c r="E6982" s="2">
        <v>20</v>
      </c>
      <c r="F6982" s="2">
        <v>1700</v>
      </c>
      <c r="G6982" s="2">
        <v>1785</v>
      </c>
    </row>
    <row r="6983" spans="1:8" x14ac:dyDescent="0.3">
      <c r="A6983" t="s">
        <v>2354</v>
      </c>
      <c r="B6983" t="s">
        <v>483</v>
      </c>
      <c r="C6983" t="s">
        <v>484</v>
      </c>
      <c r="D6983">
        <v>2020</v>
      </c>
      <c r="E6983" s="2">
        <v>10</v>
      </c>
      <c r="F6983" s="2">
        <v>850</v>
      </c>
      <c r="G6983" s="2">
        <v>892.5</v>
      </c>
    </row>
    <row r="6984" spans="1:8" x14ac:dyDescent="0.3">
      <c r="A6984" t="s">
        <v>2354</v>
      </c>
      <c r="B6984" t="s">
        <v>37</v>
      </c>
      <c r="D6984">
        <v>2017</v>
      </c>
      <c r="E6984" s="2">
        <v>20</v>
      </c>
      <c r="F6984" s="2">
        <v>1600</v>
      </c>
      <c r="G6984" s="2"/>
    </row>
    <row r="6985" spans="1:8" x14ac:dyDescent="0.3">
      <c r="A6985" t="s">
        <v>2354</v>
      </c>
      <c r="B6985" t="s">
        <v>37</v>
      </c>
      <c r="D6985">
        <v>2018</v>
      </c>
      <c r="E6985" s="2">
        <v>50</v>
      </c>
      <c r="F6985" s="2">
        <v>4000</v>
      </c>
      <c r="G6985" s="2">
        <v>4200</v>
      </c>
    </row>
    <row r="6986" spans="1:8" x14ac:dyDescent="0.3">
      <c r="A6986" t="s">
        <v>2354</v>
      </c>
      <c r="B6986" t="s">
        <v>37</v>
      </c>
      <c r="D6986">
        <v>2019</v>
      </c>
      <c r="E6986" s="2">
        <v>20</v>
      </c>
      <c r="F6986" s="2">
        <v>1600</v>
      </c>
      <c r="G6986" s="2">
        <v>1680</v>
      </c>
    </row>
    <row r="6987" spans="1:8" x14ac:dyDescent="0.3">
      <c r="A6987" t="s">
        <v>2354</v>
      </c>
      <c r="B6987" t="s">
        <v>1110</v>
      </c>
      <c r="C6987" t="s">
        <v>237</v>
      </c>
      <c r="D6987">
        <v>2020</v>
      </c>
      <c r="E6987" s="2">
        <v>55</v>
      </c>
      <c r="F6987" s="2">
        <v>5225</v>
      </c>
      <c r="G6987" s="2">
        <v>5486.25</v>
      </c>
    </row>
    <row r="6988" spans="1:8" x14ac:dyDescent="0.3">
      <c r="A6988" t="s">
        <v>2354</v>
      </c>
      <c r="B6988" t="s">
        <v>1110</v>
      </c>
      <c r="C6988" t="s">
        <v>237</v>
      </c>
      <c r="D6988">
        <v>2021</v>
      </c>
      <c r="E6988" s="2">
        <v>10</v>
      </c>
      <c r="F6988" s="2">
        <v>950</v>
      </c>
      <c r="G6988" s="2">
        <v>997.5</v>
      </c>
      <c r="H6988" s="3" t="s">
        <v>2357</v>
      </c>
    </row>
    <row r="6989" spans="1:8" x14ac:dyDescent="0.3">
      <c r="A6989" t="s">
        <v>2354</v>
      </c>
      <c r="B6989" t="s">
        <v>1110</v>
      </c>
      <c r="C6989" t="s">
        <v>237</v>
      </c>
      <c r="D6989">
        <v>2021</v>
      </c>
      <c r="E6989" s="2">
        <v>25</v>
      </c>
      <c r="F6989" s="2">
        <v>2375</v>
      </c>
      <c r="G6989" s="2">
        <v>2493.75</v>
      </c>
    </row>
    <row r="6990" spans="1:8" x14ac:dyDescent="0.3">
      <c r="A6990" t="s">
        <v>2354</v>
      </c>
      <c r="B6990" t="s">
        <v>12</v>
      </c>
      <c r="C6990" t="s">
        <v>13</v>
      </c>
      <c r="D6990">
        <v>2018</v>
      </c>
      <c r="E6990" s="2">
        <v>130</v>
      </c>
      <c r="F6990" s="2">
        <v>10450</v>
      </c>
      <c r="G6990" s="2">
        <v>10972.5</v>
      </c>
    </row>
    <row r="6991" spans="1:8" x14ac:dyDescent="0.3">
      <c r="A6991" t="s">
        <v>2354</v>
      </c>
      <c r="B6991" t="s">
        <v>12</v>
      </c>
      <c r="C6991" t="s">
        <v>13</v>
      </c>
      <c r="D6991">
        <v>2020</v>
      </c>
      <c r="E6991" s="2">
        <v>75</v>
      </c>
      <c r="F6991" s="2">
        <v>6375</v>
      </c>
      <c r="G6991" s="2">
        <v>6693.75</v>
      </c>
    </row>
    <row r="6992" spans="1:8" x14ac:dyDescent="0.3">
      <c r="A6992" t="s">
        <v>2354</v>
      </c>
      <c r="B6992" t="s">
        <v>12</v>
      </c>
      <c r="C6992" t="s">
        <v>13</v>
      </c>
      <c r="D6992">
        <v>2021</v>
      </c>
      <c r="E6992" s="2">
        <v>75</v>
      </c>
      <c r="F6992" s="2">
        <v>5250</v>
      </c>
      <c r="G6992" s="2">
        <v>5512.5</v>
      </c>
    </row>
    <row r="6993" spans="1:7" x14ac:dyDescent="0.3">
      <c r="A6993" t="s">
        <v>2358</v>
      </c>
      <c r="B6993" t="s">
        <v>2359</v>
      </c>
      <c r="C6993" t="s">
        <v>2360</v>
      </c>
      <c r="D6993">
        <v>2010</v>
      </c>
      <c r="E6993" s="2">
        <v>0.6</v>
      </c>
      <c r="F6993" s="2">
        <v>198.72</v>
      </c>
      <c r="G6993" s="2"/>
    </row>
    <row r="6994" spans="1:7" x14ac:dyDescent="0.3">
      <c r="A6994" t="s">
        <v>2361</v>
      </c>
      <c r="B6994" t="s">
        <v>86</v>
      </c>
      <c r="C6994" t="s">
        <v>87</v>
      </c>
      <c r="D6994">
        <v>2019</v>
      </c>
      <c r="E6994" s="2">
        <v>15</v>
      </c>
      <c r="F6994" s="2">
        <v>3300</v>
      </c>
      <c r="G6994" s="2">
        <v>3465</v>
      </c>
    </row>
    <row r="6995" spans="1:7" x14ac:dyDescent="0.3">
      <c r="A6995" t="s">
        <v>2361</v>
      </c>
      <c r="B6995" t="s">
        <v>86</v>
      </c>
      <c r="C6995" t="s">
        <v>87</v>
      </c>
      <c r="D6995">
        <v>2020</v>
      </c>
      <c r="E6995" s="2">
        <v>5</v>
      </c>
      <c r="F6995" s="2">
        <v>1100</v>
      </c>
      <c r="G6995" s="2">
        <v>1155</v>
      </c>
    </row>
    <row r="6996" spans="1:7" x14ac:dyDescent="0.3">
      <c r="A6996" t="s">
        <v>2361</v>
      </c>
      <c r="B6996" t="s">
        <v>117</v>
      </c>
      <c r="C6996" t="s">
        <v>118</v>
      </c>
      <c r="D6996">
        <v>2019</v>
      </c>
      <c r="E6996" s="2">
        <v>10</v>
      </c>
      <c r="F6996" s="2">
        <v>1905</v>
      </c>
      <c r="G6996" s="2">
        <v>2000.25</v>
      </c>
    </row>
    <row r="6997" spans="1:7" x14ac:dyDescent="0.3">
      <c r="A6997" t="s">
        <v>2361</v>
      </c>
      <c r="B6997" t="s">
        <v>402</v>
      </c>
      <c r="C6997" t="s">
        <v>403</v>
      </c>
      <c r="D6997">
        <v>2019</v>
      </c>
      <c r="E6997" s="2">
        <v>3</v>
      </c>
      <c r="F6997" s="2">
        <v>1400</v>
      </c>
      <c r="G6997" s="2">
        <v>1470</v>
      </c>
    </row>
    <row r="6998" spans="1:7" x14ac:dyDescent="0.3">
      <c r="A6998" t="s">
        <v>2361</v>
      </c>
      <c r="B6998" t="s">
        <v>318</v>
      </c>
      <c r="C6998" t="s">
        <v>319</v>
      </c>
      <c r="D6998">
        <v>2019</v>
      </c>
      <c r="E6998" s="2">
        <v>20</v>
      </c>
      <c r="F6998" s="2">
        <v>3600</v>
      </c>
      <c r="G6998" s="2">
        <v>3780</v>
      </c>
    </row>
    <row r="6999" spans="1:7" x14ac:dyDescent="0.3">
      <c r="A6999" t="s">
        <v>2361</v>
      </c>
      <c r="B6999" t="s">
        <v>320</v>
      </c>
      <c r="C6999" t="s">
        <v>414</v>
      </c>
      <c r="D6999">
        <v>2019</v>
      </c>
      <c r="E6999" s="2">
        <v>3</v>
      </c>
      <c r="F6999" s="2">
        <v>825</v>
      </c>
      <c r="G6999" s="2">
        <v>866.25</v>
      </c>
    </row>
    <row r="7000" spans="1:7" x14ac:dyDescent="0.3">
      <c r="A7000" t="s">
        <v>2362</v>
      </c>
      <c r="B7000" t="s">
        <v>823</v>
      </c>
      <c r="C7000" t="s">
        <v>52</v>
      </c>
      <c r="D7000">
        <v>2014</v>
      </c>
      <c r="E7000" s="2">
        <v>70</v>
      </c>
      <c r="F7000" s="2">
        <v>13300</v>
      </c>
      <c r="G7000" s="2"/>
    </row>
    <row r="7001" spans="1:7" x14ac:dyDescent="0.3">
      <c r="A7001" t="s">
        <v>2362</v>
      </c>
      <c r="B7001" t="s">
        <v>823</v>
      </c>
      <c r="C7001" t="s">
        <v>52</v>
      </c>
      <c r="D7001">
        <v>2015</v>
      </c>
      <c r="E7001" s="2">
        <v>55</v>
      </c>
      <c r="F7001" s="2">
        <v>10450</v>
      </c>
      <c r="G7001" s="2"/>
    </row>
    <row r="7002" spans="1:7" x14ac:dyDescent="0.3">
      <c r="A7002" t="s">
        <v>2362</v>
      </c>
      <c r="B7002" t="s">
        <v>581</v>
      </c>
      <c r="C7002" t="s">
        <v>582</v>
      </c>
      <c r="D7002">
        <v>2015</v>
      </c>
      <c r="E7002" s="2">
        <v>70</v>
      </c>
      <c r="F7002" s="2">
        <v>15400</v>
      </c>
      <c r="G7002" s="2"/>
    </row>
    <row r="7003" spans="1:7" x14ac:dyDescent="0.3">
      <c r="A7003" t="s">
        <v>2362</v>
      </c>
      <c r="B7003" t="s">
        <v>280</v>
      </c>
      <c r="C7003" t="s">
        <v>224</v>
      </c>
      <c r="D7003">
        <v>2016</v>
      </c>
      <c r="E7003" s="2">
        <v>10</v>
      </c>
      <c r="F7003" s="2">
        <v>1290</v>
      </c>
      <c r="G7003" s="2"/>
    </row>
    <row r="7004" spans="1:7" x14ac:dyDescent="0.3">
      <c r="A7004" t="s">
        <v>2362</v>
      </c>
      <c r="B7004" t="s">
        <v>280</v>
      </c>
      <c r="C7004" t="s">
        <v>224</v>
      </c>
      <c r="D7004">
        <v>2017</v>
      </c>
      <c r="E7004" s="2">
        <v>10</v>
      </c>
      <c r="F7004" s="2">
        <v>1290</v>
      </c>
      <c r="G7004" s="2"/>
    </row>
    <row r="7005" spans="1:7" x14ac:dyDescent="0.3">
      <c r="A7005" t="s">
        <v>2362</v>
      </c>
      <c r="B7005" t="s">
        <v>280</v>
      </c>
      <c r="C7005" t="s">
        <v>224</v>
      </c>
      <c r="D7005">
        <v>2018</v>
      </c>
      <c r="E7005" s="2">
        <v>10</v>
      </c>
      <c r="F7005" s="2">
        <v>1290</v>
      </c>
      <c r="G7005" s="2">
        <v>1354.5</v>
      </c>
    </row>
    <row r="7006" spans="1:7" x14ac:dyDescent="0.3">
      <c r="A7006" t="s">
        <v>2362</v>
      </c>
      <c r="B7006" t="s">
        <v>538</v>
      </c>
      <c r="C7006" t="s">
        <v>539</v>
      </c>
      <c r="D7006">
        <v>2014</v>
      </c>
      <c r="E7006" s="2">
        <v>40</v>
      </c>
      <c r="F7006" s="2">
        <v>4440</v>
      </c>
      <c r="G7006" s="2"/>
    </row>
    <row r="7007" spans="1:7" x14ac:dyDescent="0.3">
      <c r="A7007" t="s">
        <v>2362</v>
      </c>
      <c r="B7007" t="s">
        <v>538</v>
      </c>
      <c r="C7007" t="s">
        <v>539</v>
      </c>
      <c r="D7007">
        <v>2015</v>
      </c>
      <c r="E7007" s="2">
        <v>5</v>
      </c>
      <c r="F7007" s="2">
        <v>555</v>
      </c>
      <c r="G7007" s="2"/>
    </row>
    <row r="7008" spans="1:7" x14ac:dyDescent="0.3">
      <c r="A7008" t="s">
        <v>2362</v>
      </c>
      <c r="B7008" t="s">
        <v>2221</v>
      </c>
      <c r="C7008" t="s">
        <v>998</v>
      </c>
      <c r="D7008">
        <v>2013</v>
      </c>
      <c r="E7008" s="2">
        <v>5</v>
      </c>
      <c r="F7008" s="2">
        <v>650</v>
      </c>
      <c r="G7008" s="2"/>
    </row>
    <row r="7009" spans="1:7" x14ac:dyDescent="0.3">
      <c r="A7009" t="s">
        <v>2362</v>
      </c>
      <c r="B7009" t="s">
        <v>1419</v>
      </c>
      <c r="C7009" t="s">
        <v>1420</v>
      </c>
      <c r="D7009">
        <v>2020</v>
      </c>
      <c r="E7009" s="2">
        <v>5</v>
      </c>
      <c r="F7009" s="2">
        <v>645</v>
      </c>
      <c r="G7009" s="2">
        <v>677.25</v>
      </c>
    </row>
    <row r="7010" spans="1:7" x14ac:dyDescent="0.3">
      <c r="A7010" t="s">
        <v>2362</v>
      </c>
      <c r="B7010" t="s">
        <v>99</v>
      </c>
      <c r="C7010" t="s">
        <v>100</v>
      </c>
      <c r="D7010">
        <v>2014</v>
      </c>
      <c r="E7010" s="2">
        <v>30</v>
      </c>
      <c r="F7010" s="2">
        <v>6400</v>
      </c>
      <c r="G7010" s="2"/>
    </row>
    <row r="7011" spans="1:7" x14ac:dyDescent="0.3">
      <c r="A7011" t="s">
        <v>2362</v>
      </c>
      <c r="B7011" t="s">
        <v>99</v>
      </c>
      <c r="C7011" t="s">
        <v>100</v>
      </c>
      <c r="D7011">
        <v>2015</v>
      </c>
      <c r="E7011" s="2">
        <v>30</v>
      </c>
      <c r="F7011" s="2">
        <v>6000</v>
      </c>
      <c r="G7011" s="2"/>
    </row>
    <row r="7012" spans="1:7" x14ac:dyDescent="0.3">
      <c r="A7012" t="s">
        <v>2362</v>
      </c>
      <c r="B7012" t="s">
        <v>99</v>
      </c>
      <c r="C7012" t="s">
        <v>100</v>
      </c>
      <c r="D7012">
        <v>2016</v>
      </c>
      <c r="E7012" s="2">
        <v>30</v>
      </c>
      <c r="F7012" s="2">
        <v>6000</v>
      </c>
      <c r="G7012" s="2"/>
    </row>
    <row r="7013" spans="1:7" x14ac:dyDescent="0.3">
      <c r="A7013" t="s">
        <v>2362</v>
      </c>
      <c r="B7013" t="s">
        <v>99</v>
      </c>
      <c r="C7013" t="s">
        <v>100</v>
      </c>
      <c r="D7013">
        <v>2017</v>
      </c>
      <c r="E7013" s="2">
        <v>15</v>
      </c>
      <c r="F7013" s="2">
        <v>3000</v>
      </c>
      <c r="G7013" s="2"/>
    </row>
    <row r="7014" spans="1:7" x14ac:dyDescent="0.3">
      <c r="A7014" t="s">
        <v>2362</v>
      </c>
      <c r="B7014" t="s">
        <v>99</v>
      </c>
      <c r="C7014" t="s">
        <v>100</v>
      </c>
      <c r="D7014">
        <v>2018</v>
      </c>
      <c r="E7014" s="2">
        <v>15</v>
      </c>
      <c r="F7014" s="2">
        <v>3000</v>
      </c>
      <c r="G7014" s="2">
        <v>3150</v>
      </c>
    </row>
    <row r="7015" spans="1:7" x14ac:dyDescent="0.3">
      <c r="A7015" t="s">
        <v>2362</v>
      </c>
      <c r="B7015" t="s">
        <v>99</v>
      </c>
      <c r="C7015" t="s">
        <v>100</v>
      </c>
      <c r="D7015">
        <v>2019</v>
      </c>
      <c r="E7015" s="2">
        <v>5</v>
      </c>
      <c r="F7015" s="2">
        <v>1000</v>
      </c>
      <c r="G7015" s="2">
        <v>1050</v>
      </c>
    </row>
    <row r="7016" spans="1:7" x14ac:dyDescent="0.3">
      <c r="A7016" t="s">
        <v>2362</v>
      </c>
      <c r="B7016" t="s">
        <v>99</v>
      </c>
      <c r="C7016" t="s">
        <v>100</v>
      </c>
      <c r="D7016">
        <v>2020</v>
      </c>
      <c r="E7016" s="2">
        <v>15</v>
      </c>
      <c r="F7016" s="2">
        <v>3000</v>
      </c>
      <c r="G7016" s="2">
        <v>3150</v>
      </c>
    </row>
    <row r="7017" spans="1:7" x14ac:dyDescent="0.3">
      <c r="A7017" t="s">
        <v>2362</v>
      </c>
      <c r="B7017" t="s">
        <v>99</v>
      </c>
      <c r="C7017" t="s">
        <v>100</v>
      </c>
      <c r="D7017">
        <v>2021</v>
      </c>
      <c r="E7017" s="2">
        <v>25</v>
      </c>
      <c r="F7017" s="2">
        <v>5000</v>
      </c>
      <c r="G7017" s="2">
        <v>5250</v>
      </c>
    </row>
    <row r="7018" spans="1:7" x14ac:dyDescent="0.3">
      <c r="A7018" t="s">
        <v>2362</v>
      </c>
      <c r="B7018" t="s">
        <v>60</v>
      </c>
      <c r="C7018" t="s">
        <v>61</v>
      </c>
      <c r="D7018">
        <v>2014</v>
      </c>
      <c r="E7018" s="2">
        <v>30</v>
      </c>
      <c r="F7018" s="2">
        <v>6000</v>
      </c>
      <c r="G7018" s="2"/>
    </row>
    <row r="7019" spans="1:7" x14ac:dyDescent="0.3">
      <c r="A7019" t="s">
        <v>2362</v>
      </c>
      <c r="B7019" t="s">
        <v>60</v>
      </c>
      <c r="C7019" t="s">
        <v>61</v>
      </c>
      <c r="D7019">
        <v>2015</v>
      </c>
      <c r="E7019" s="2">
        <v>10</v>
      </c>
      <c r="F7019" s="2">
        <v>2000</v>
      </c>
      <c r="G7019" s="2"/>
    </row>
    <row r="7020" spans="1:7" x14ac:dyDescent="0.3">
      <c r="A7020" t="s">
        <v>2362</v>
      </c>
      <c r="B7020" t="s">
        <v>555</v>
      </c>
      <c r="C7020" t="s">
        <v>259</v>
      </c>
      <c r="D7020">
        <v>2015</v>
      </c>
      <c r="E7020" s="2">
        <v>10</v>
      </c>
      <c r="F7020" s="2">
        <v>2400</v>
      </c>
      <c r="G7020" s="2"/>
    </row>
    <row r="7021" spans="1:7" x14ac:dyDescent="0.3">
      <c r="A7021" t="s">
        <v>2362</v>
      </c>
      <c r="B7021" t="s">
        <v>555</v>
      </c>
      <c r="C7021" t="s">
        <v>259</v>
      </c>
      <c r="D7021">
        <v>2016</v>
      </c>
      <c r="E7021" s="2">
        <v>5</v>
      </c>
      <c r="F7021" s="2">
        <v>1200</v>
      </c>
      <c r="G7021" s="2"/>
    </row>
    <row r="7022" spans="1:7" x14ac:dyDescent="0.3">
      <c r="A7022" t="s">
        <v>2362</v>
      </c>
      <c r="B7022" t="s">
        <v>120</v>
      </c>
      <c r="C7022" t="s">
        <v>1798</v>
      </c>
      <c r="D7022">
        <v>2012</v>
      </c>
      <c r="E7022" s="2">
        <v>3</v>
      </c>
      <c r="F7022" s="2">
        <v>609</v>
      </c>
      <c r="G7022" s="2"/>
    </row>
    <row r="7023" spans="1:7" x14ac:dyDescent="0.3">
      <c r="A7023" t="s">
        <v>2362</v>
      </c>
      <c r="B7023" t="s">
        <v>597</v>
      </c>
      <c r="C7023" t="s">
        <v>598</v>
      </c>
      <c r="D7023">
        <v>2020</v>
      </c>
      <c r="E7023" s="2">
        <v>5</v>
      </c>
      <c r="F7023" s="2">
        <v>900</v>
      </c>
      <c r="G7023" s="2">
        <v>945</v>
      </c>
    </row>
    <row r="7024" spans="1:7" x14ac:dyDescent="0.3">
      <c r="A7024" t="s">
        <v>2362</v>
      </c>
      <c r="B7024" t="s">
        <v>228</v>
      </c>
      <c r="C7024" t="s">
        <v>229</v>
      </c>
      <c r="D7024">
        <v>2018</v>
      </c>
      <c r="E7024" s="2">
        <v>7</v>
      </c>
      <c r="F7024" s="2">
        <v>1260</v>
      </c>
      <c r="G7024" s="2">
        <v>1323</v>
      </c>
    </row>
    <row r="7025" spans="1:7" x14ac:dyDescent="0.3">
      <c r="A7025" t="s">
        <v>2362</v>
      </c>
      <c r="B7025" t="s">
        <v>137</v>
      </c>
      <c r="C7025" t="s">
        <v>138</v>
      </c>
      <c r="D7025">
        <v>2015</v>
      </c>
      <c r="E7025" s="2">
        <v>5</v>
      </c>
      <c r="F7025" s="2">
        <v>1100</v>
      </c>
      <c r="G7025" s="2"/>
    </row>
    <row r="7026" spans="1:7" x14ac:dyDescent="0.3">
      <c r="A7026" t="s">
        <v>2362</v>
      </c>
      <c r="B7026" t="s">
        <v>142</v>
      </c>
      <c r="C7026" t="s">
        <v>143</v>
      </c>
      <c r="D7026">
        <v>2015</v>
      </c>
      <c r="E7026" s="2">
        <v>25</v>
      </c>
      <c r="F7026" s="2">
        <v>6500</v>
      </c>
      <c r="G7026" s="2"/>
    </row>
    <row r="7027" spans="1:7" x14ac:dyDescent="0.3">
      <c r="A7027" t="s">
        <v>2362</v>
      </c>
      <c r="B7027" t="s">
        <v>142</v>
      </c>
      <c r="C7027" t="s">
        <v>143</v>
      </c>
      <c r="D7027">
        <v>2016</v>
      </c>
      <c r="E7027" s="2">
        <v>10</v>
      </c>
      <c r="F7027" s="2">
        <v>2600</v>
      </c>
      <c r="G7027" s="2"/>
    </row>
    <row r="7028" spans="1:7" x14ac:dyDescent="0.3">
      <c r="A7028" t="s">
        <v>2362</v>
      </c>
      <c r="B7028" t="s">
        <v>142</v>
      </c>
      <c r="C7028" t="s">
        <v>143</v>
      </c>
      <c r="D7028">
        <v>2017</v>
      </c>
      <c r="E7028" s="2">
        <v>5</v>
      </c>
      <c r="F7028" s="2">
        <v>1300</v>
      </c>
      <c r="G7028" s="2"/>
    </row>
    <row r="7029" spans="1:7" x14ac:dyDescent="0.3">
      <c r="A7029" t="s">
        <v>2362</v>
      </c>
      <c r="B7029" t="s">
        <v>375</v>
      </c>
      <c r="C7029" t="s">
        <v>262</v>
      </c>
      <c r="D7029">
        <v>2014</v>
      </c>
      <c r="E7029" s="2">
        <v>25</v>
      </c>
      <c r="F7029" s="2">
        <v>5750</v>
      </c>
      <c r="G7029" s="2"/>
    </row>
    <row r="7030" spans="1:7" x14ac:dyDescent="0.3">
      <c r="A7030" t="s">
        <v>2362</v>
      </c>
      <c r="B7030" t="s">
        <v>375</v>
      </c>
      <c r="C7030" t="s">
        <v>262</v>
      </c>
      <c r="D7030">
        <v>2015</v>
      </c>
      <c r="E7030" s="2">
        <v>30</v>
      </c>
      <c r="F7030" s="2">
        <v>6900</v>
      </c>
      <c r="G7030" s="2"/>
    </row>
    <row r="7031" spans="1:7" x14ac:dyDescent="0.3">
      <c r="A7031" t="s">
        <v>2362</v>
      </c>
      <c r="B7031" t="s">
        <v>196</v>
      </c>
      <c r="C7031" t="s">
        <v>197</v>
      </c>
      <c r="D7031">
        <v>2013</v>
      </c>
      <c r="E7031" s="2">
        <v>10</v>
      </c>
      <c r="F7031" s="2">
        <v>2200</v>
      </c>
      <c r="G7031" s="2"/>
    </row>
    <row r="7032" spans="1:7" x14ac:dyDescent="0.3">
      <c r="A7032" t="s">
        <v>2362</v>
      </c>
      <c r="B7032" t="s">
        <v>196</v>
      </c>
      <c r="C7032" t="s">
        <v>197</v>
      </c>
      <c r="D7032">
        <v>2014</v>
      </c>
      <c r="E7032" s="2">
        <v>50</v>
      </c>
      <c r="F7032" s="2">
        <v>9500</v>
      </c>
      <c r="G7032" s="2"/>
    </row>
    <row r="7033" spans="1:7" x14ac:dyDescent="0.3">
      <c r="A7033" t="s">
        <v>2362</v>
      </c>
      <c r="B7033" t="s">
        <v>196</v>
      </c>
      <c r="C7033" t="s">
        <v>197</v>
      </c>
      <c r="D7033">
        <v>2015</v>
      </c>
      <c r="E7033" s="2">
        <v>10</v>
      </c>
      <c r="F7033" s="2">
        <v>1900</v>
      </c>
      <c r="G7033" s="2"/>
    </row>
    <row r="7034" spans="1:7" x14ac:dyDescent="0.3">
      <c r="A7034" t="s">
        <v>2362</v>
      </c>
      <c r="B7034" t="s">
        <v>196</v>
      </c>
      <c r="C7034" t="s">
        <v>197</v>
      </c>
      <c r="D7034">
        <v>2016</v>
      </c>
      <c r="E7034" s="2">
        <v>25</v>
      </c>
      <c r="F7034" s="2">
        <v>4750</v>
      </c>
      <c r="G7034" s="2"/>
    </row>
    <row r="7035" spans="1:7" x14ac:dyDescent="0.3">
      <c r="A7035" t="s">
        <v>2362</v>
      </c>
      <c r="B7035" t="s">
        <v>196</v>
      </c>
      <c r="C7035" t="s">
        <v>197</v>
      </c>
      <c r="D7035">
        <v>2018</v>
      </c>
      <c r="E7035" s="2">
        <v>30</v>
      </c>
      <c r="F7035" s="2">
        <v>4800</v>
      </c>
      <c r="G7035" s="2">
        <v>5040</v>
      </c>
    </row>
    <row r="7036" spans="1:7" x14ac:dyDescent="0.3">
      <c r="A7036" t="s">
        <v>2362</v>
      </c>
      <c r="B7036" t="s">
        <v>266</v>
      </c>
      <c r="C7036" t="s">
        <v>143</v>
      </c>
      <c r="D7036">
        <v>2020</v>
      </c>
      <c r="E7036" s="2">
        <v>5</v>
      </c>
      <c r="F7036" s="2">
        <v>1300</v>
      </c>
      <c r="G7036" s="2">
        <v>1365</v>
      </c>
    </row>
    <row r="7037" spans="1:7" x14ac:dyDescent="0.3">
      <c r="A7037" t="s">
        <v>2362</v>
      </c>
      <c r="B7037" t="s">
        <v>412</v>
      </c>
      <c r="C7037" t="s">
        <v>413</v>
      </c>
      <c r="D7037">
        <v>2015</v>
      </c>
      <c r="E7037" s="2">
        <v>10</v>
      </c>
      <c r="F7037" s="2">
        <v>2400</v>
      </c>
      <c r="G7037" s="2"/>
    </row>
    <row r="7038" spans="1:7" x14ac:dyDescent="0.3">
      <c r="A7038" t="s">
        <v>2362</v>
      </c>
      <c r="B7038" t="s">
        <v>72</v>
      </c>
      <c r="C7038" t="s">
        <v>73</v>
      </c>
      <c r="D7038">
        <v>2013</v>
      </c>
      <c r="E7038" s="2">
        <v>5</v>
      </c>
      <c r="F7038" s="2">
        <v>1750</v>
      </c>
      <c r="G7038" s="2"/>
    </row>
    <row r="7039" spans="1:7" x14ac:dyDescent="0.3">
      <c r="A7039" t="s">
        <v>2362</v>
      </c>
      <c r="B7039" t="s">
        <v>72</v>
      </c>
      <c r="C7039" t="s">
        <v>73</v>
      </c>
      <c r="D7039">
        <v>2015</v>
      </c>
      <c r="E7039" s="2">
        <v>10</v>
      </c>
      <c r="F7039" s="2">
        <v>2000</v>
      </c>
      <c r="G7039" s="2"/>
    </row>
    <row r="7040" spans="1:7" x14ac:dyDescent="0.3">
      <c r="A7040" t="s">
        <v>2362</v>
      </c>
      <c r="B7040" t="s">
        <v>318</v>
      </c>
      <c r="C7040" t="s">
        <v>319</v>
      </c>
      <c r="D7040">
        <v>2018</v>
      </c>
      <c r="E7040" s="2">
        <v>15</v>
      </c>
      <c r="F7040" s="2">
        <v>2700</v>
      </c>
      <c r="G7040" s="2">
        <v>2835</v>
      </c>
    </row>
    <row r="7041" spans="1:7" x14ac:dyDescent="0.3">
      <c r="A7041" t="s">
        <v>2362</v>
      </c>
      <c r="B7041" t="s">
        <v>2363</v>
      </c>
      <c r="C7041" t="s">
        <v>2364</v>
      </c>
      <c r="D7041">
        <v>2014</v>
      </c>
      <c r="E7041" s="2">
        <v>4.5</v>
      </c>
      <c r="F7041" s="2">
        <v>990</v>
      </c>
      <c r="G7041" s="2"/>
    </row>
    <row r="7042" spans="1:7" x14ac:dyDescent="0.3">
      <c r="A7042" t="s">
        <v>2365</v>
      </c>
      <c r="B7042" t="s">
        <v>2366</v>
      </c>
      <c r="C7042" t="s">
        <v>2367</v>
      </c>
      <c r="D7042">
        <v>2013</v>
      </c>
      <c r="E7042" s="2">
        <v>10</v>
      </c>
      <c r="F7042" s="2">
        <v>2200</v>
      </c>
      <c r="G7042" s="2"/>
    </row>
    <row r="7043" spans="1:7" x14ac:dyDescent="0.3">
      <c r="A7043" t="s">
        <v>2365</v>
      </c>
      <c r="B7043" t="s">
        <v>1324</v>
      </c>
      <c r="C7043" t="s">
        <v>789</v>
      </c>
      <c r="D7043">
        <v>2014</v>
      </c>
      <c r="E7043" s="2">
        <v>25</v>
      </c>
      <c r="F7043" s="2">
        <v>5500</v>
      </c>
      <c r="G7043" s="2"/>
    </row>
    <row r="7044" spans="1:7" x14ac:dyDescent="0.3">
      <c r="A7044" t="s">
        <v>2365</v>
      </c>
      <c r="B7044" t="s">
        <v>120</v>
      </c>
      <c r="C7044" t="s">
        <v>121</v>
      </c>
      <c r="D7044">
        <v>2014</v>
      </c>
      <c r="E7044" s="2">
        <v>30</v>
      </c>
      <c r="F7044" s="2">
        <v>7200</v>
      </c>
      <c r="G7044" s="2"/>
    </row>
    <row r="7045" spans="1:7" x14ac:dyDescent="0.3">
      <c r="A7045" t="s">
        <v>2365</v>
      </c>
      <c r="B7045" t="s">
        <v>1797</v>
      </c>
      <c r="C7045" t="s">
        <v>1798</v>
      </c>
      <c r="D7045">
        <v>2014</v>
      </c>
      <c r="E7045" s="2">
        <v>10</v>
      </c>
      <c r="F7045" s="2">
        <v>2600</v>
      </c>
      <c r="G7045" s="2"/>
    </row>
    <row r="7046" spans="1:7" x14ac:dyDescent="0.3">
      <c r="A7046" t="s">
        <v>2365</v>
      </c>
      <c r="B7046" t="s">
        <v>196</v>
      </c>
      <c r="C7046" t="s">
        <v>197</v>
      </c>
      <c r="D7046">
        <v>2013</v>
      </c>
      <c r="E7046" s="2">
        <v>10</v>
      </c>
      <c r="F7046" s="2">
        <v>2200</v>
      </c>
      <c r="G7046" s="2"/>
    </row>
    <row r="7047" spans="1:7" x14ac:dyDescent="0.3">
      <c r="A7047" t="s">
        <v>2365</v>
      </c>
      <c r="B7047" t="s">
        <v>196</v>
      </c>
      <c r="C7047" t="s">
        <v>197</v>
      </c>
      <c r="D7047">
        <v>2014</v>
      </c>
      <c r="E7047" s="2">
        <v>10</v>
      </c>
      <c r="F7047" s="2">
        <v>2200</v>
      </c>
      <c r="G7047" s="2"/>
    </row>
    <row r="7048" spans="1:7" x14ac:dyDescent="0.3">
      <c r="A7048" t="s">
        <v>2365</v>
      </c>
      <c r="B7048" t="s">
        <v>72</v>
      </c>
      <c r="C7048" t="s">
        <v>73</v>
      </c>
      <c r="D7048">
        <v>2014</v>
      </c>
      <c r="E7048" s="2">
        <v>25</v>
      </c>
      <c r="F7048" s="2">
        <v>7250</v>
      </c>
      <c r="G7048" s="2"/>
    </row>
    <row r="7049" spans="1:7" x14ac:dyDescent="0.3">
      <c r="A7049" t="s">
        <v>2368</v>
      </c>
      <c r="B7049" t="s">
        <v>1332</v>
      </c>
      <c r="C7049" t="s">
        <v>1333</v>
      </c>
      <c r="D7049">
        <v>2020</v>
      </c>
      <c r="E7049" s="2">
        <v>25</v>
      </c>
      <c r="F7049" s="2">
        <v>1750</v>
      </c>
      <c r="G7049" s="2">
        <v>1837.5</v>
      </c>
    </row>
    <row r="7050" spans="1:7" x14ac:dyDescent="0.3">
      <c r="A7050" t="s">
        <v>2368</v>
      </c>
      <c r="B7050" t="s">
        <v>1687</v>
      </c>
      <c r="C7050" t="s">
        <v>1688</v>
      </c>
      <c r="D7050">
        <v>2020</v>
      </c>
      <c r="E7050" s="2">
        <v>50</v>
      </c>
      <c r="F7050" s="2">
        <v>3500</v>
      </c>
      <c r="G7050" s="2">
        <v>3675</v>
      </c>
    </row>
    <row r="7051" spans="1:7" x14ac:dyDescent="0.3">
      <c r="A7051" t="s">
        <v>2368</v>
      </c>
      <c r="B7051" t="s">
        <v>184</v>
      </c>
      <c r="C7051" t="s">
        <v>185</v>
      </c>
      <c r="D7051">
        <v>2019</v>
      </c>
      <c r="E7051" s="2">
        <v>25</v>
      </c>
      <c r="F7051" s="2">
        <v>1325</v>
      </c>
      <c r="G7051" s="2">
        <v>1391.25</v>
      </c>
    </row>
    <row r="7052" spans="1:7" x14ac:dyDescent="0.3">
      <c r="A7052" t="s">
        <v>2368</v>
      </c>
      <c r="B7052" t="s">
        <v>19</v>
      </c>
      <c r="C7052" t="s">
        <v>107</v>
      </c>
      <c r="D7052">
        <v>2019</v>
      </c>
      <c r="E7052" s="2">
        <v>50</v>
      </c>
      <c r="F7052" s="2">
        <v>3250</v>
      </c>
      <c r="G7052" s="2">
        <v>3412.5</v>
      </c>
    </row>
    <row r="7053" spans="1:7" x14ac:dyDescent="0.3">
      <c r="A7053" t="s">
        <v>2368</v>
      </c>
      <c r="B7053" t="s">
        <v>19</v>
      </c>
      <c r="C7053" t="s">
        <v>107</v>
      </c>
      <c r="D7053">
        <v>2020</v>
      </c>
      <c r="E7053" s="2">
        <v>125</v>
      </c>
      <c r="F7053" s="2">
        <v>8125</v>
      </c>
      <c r="G7053" s="2">
        <v>8531.25</v>
      </c>
    </row>
    <row r="7054" spans="1:7" x14ac:dyDescent="0.3">
      <c r="A7054" t="s">
        <v>2368</v>
      </c>
      <c r="B7054" t="s">
        <v>939</v>
      </c>
      <c r="C7054" t="s">
        <v>940</v>
      </c>
      <c r="D7054">
        <v>2019</v>
      </c>
      <c r="E7054" s="2">
        <v>25</v>
      </c>
      <c r="F7054" s="2">
        <v>1625</v>
      </c>
      <c r="G7054" s="2">
        <v>1706.25</v>
      </c>
    </row>
    <row r="7055" spans="1:7" x14ac:dyDescent="0.3">
      <c r="A7055" t="s">
        <v>2368</v>
      </c>
      <c r="B7055" t="s">
        <v>110</v>
      </c>
      <c r="C7055" t="s">
        <v>111</v>
      </c>
      <c r="D7055">
        <v>2019</v>
      </c>
      <c r="E7055" s="2">
        <v>100</v>
      </c>
      <c r="F7055" s="2">
        <v>4500</v>
      </c>
      <c r="G7055" s="2">
        <v>4725</v>
      </c>
    </row>
    <row r="7056" spans="1:7" x14ac:dyDescent="0.3">
      <c r="A7056" t="s">
        <v>2368</v>
      </c>
      <c r="B7056" t="s">
        <v>110</v>
      </c>
      <c r="C7056" t="s">
        <v>111</v>
      </c>
      <c r="D7056">
        <v>2020</v>
      </c>
      <c r="E7056" s="2">
        <v>100</v>
      </c>
      <c r="F7056" s="2">
        <v>4500</v>
      </c>
      <c r="G7056" s="2">
        <v>4725</v>
      </c>
    </row>
    <row r="7057" spans="1:7" x14ac:dyDescent="0.3">
      <c r="A7057" t="s">
        <v>2368</v>
      </c>
      <c r="B7057" t="s">
        <v>2369</v>
      </c>
      <c r="C7057" t="s">
        <v>675</v>
      </c>
      <c r="D7057">
        <v>2019</v>
      </c>
      <c r="E7057" s="2">
        <v>25</v>
      </c>
      <c r="F7057" s="2">
        <v>1500</v>
      </c>
      <c r="G7057" s="2">
        <v>1575</v>
      </c>
    </row>
    <row r="7058" spans="1:7" x14ac:dyDescent="0.3">
      <c r="A7058" t="s">
        <v>2368</v>
      </c>
      <c r="B7058" t="s">
        <v>476</v>
      </c>
      <c r="C7058" t="s">
        <v>478</v>
      </c>
      <c r="D7058">
        <v>2020</v>
      </c>
      <c r="E7058" s="2">
        <v>100</v>
      </c>
      <c r="F7058" s="2">
        <v>6000</v>
      </c>
      <c r="G7058" s="2">
        <v>6300</v>
      </c>
    </row>
    <row r="7059" spans="1:7" x14ac:dyDescent="0.3">
      <c r="A7059" t="s">
        <v>2368</v>
      </c>
      <c r="B7059" t="s">
        <v>12</v>
      </c>
      <c r="C7059" t="s">
        <v>13</v>
      </c>
      <c r="D7059">
        <v>2019</v>
      </c>
      <c r="E7059" s="2">
        <v>25</v>
      </c>
      <c r="F7059" s="2">
        <v>1750</v>
      </c>
      <c r="G7059" s="2">
        <v>1837.5</v>
      </c>
    </row>
    <row r="7060" spans="1:7" x14ac:dyDescent="0.3">
      <c r="A7060" t="s">
        <v>2368</v>
      </c>
      <c r="B7060" t="s">
        <v>12</v>
      </c>
      <c r="C7060" t="s">
        <v>13</v>
      </c>
      <c r="D7060">
        <v>2020</v>
      </c>
      <c r="E7060" s="2">
        <v>25</v>
      </c>
      <c r="F7060" s="2">
        <v>1750</v>
      </c>
      <c r="G7060" s="2">
        <v>1837.5</v>
      </c>
    </row>
    <row r="7061" spans="1:7" x14ac:dyDescent="0.3">
      <c r="A7061" t="s">
        <v>2370</v>
      </c>
      <c r="B7061" t="s">
        <v>30</v>
      </c>
      <c r="C7061" t="s">
        <v>31</v>
      </c>
      <c r="D7061">
        <v>2016</v>
      </c>
      <c r="E7061" s="2">
        <v>25</v>
      </c>
      <c r="F7061" s="2">
        <v>2500</v>
      </c>
      <c r="G7061" s="2"/>
    </row>
    <row r="7062" spans="1:7" x14ac:dyDescent="0.3">
      <c r="A7062" t="s">
        <v>2370</v>
      </c>
      <c r="B7062" t="s">
        <v>30</v>
      </c>
      <c r="C7062" t="s">
        <v>31</v>
      </c>
      <c r="D7062">
        <v>2018</v>
      </c>
      <c r="E7062" s="2">
        <v>25</v>
      </c>
      <c r="F7062" s="2">
        <v>2500</v>
      </c>
      <c r="G7062" s="2">
        <v>2625</v>
      </c>
    </row>
    <row r="7063" spans="1:7" x14ac:dyDescent="0.3">
      <c r="A7063" t="s">
        <v>2370</v>
      </c>
      <c r="B7063" t="s">
        <v>1144</v>
      </c>
      <c r="D7063">
        <v>2016</v>
      </c>
      <c r="E7063" s="2">
        <v>60</v>
      </c>
      <c r="F7063" s="2">
        <v>5520</v>
      </c>
      <c r="G7063" s="2"/>
    </row>
    <row r="7064" spans="1:7" x14ac:dyDescent="0.3">
      <c r="A7064" t="s">
        <v>2370</v>
      </c>
      <c r="B7064" t="s">
        <v>2371</v>
      </c>
      <c r="D7064">
        <v>2016</v>
      </c>
      <c r="E7064" s="2">
        <v>60</v>
      </c>
      <c r="F7064" s="2">
        <v>7800</v>
      </c>
      <c r="G7064" s="2"/>
    </row>
    <row r="7065" spans="1:7" x14ac:dyDescent="0.3">
      <c r="A7065" t="s">
        <v>2372</v>
      </c>
      <c r="B7065" t="s">
        <v>1472</v>
      </c>
      <c r="C7065" t="s">
        <v>394</v>
      </c>
      <c r="D7065">
        <v>2011</v>
      </c>
      <c r="E7065" s="2">
        <v>15</v>
      </c>
      <c r="F7065" s="2">
        <v>2400</v>
      </c>
      <c r="G7065" s="2"/>
    </row>
    <row r="7066" spans="1:7" x14ac:dyDescent="0.3">
      <c r="A7066" t="s">
        <v>2372</v>
      </c>
      <c r="B7066" t="s">
        <v>2373</v>
      </c>
      <c r="C7066" t="s">
        <v>2374</v>
      </c>
      <c r="D7066">
        <v>2012</v>
      </c>
      <c r="E7066" s="2">
        <v>10</v>
      </c>
      <c r="F7066" s="2">
        <v>2000</v>
      </c>
      <c r="G7066" s="2"/>
    </row>
    <row r="7067" spans="1:7" x14ac:dyDescent="0.3">
      <c r="A7067" t="s">
        <v>2372</v>
      </c>
      <c r="B7067" t="s">
        <v>1234</v>
      </c>
      <c r="C7067" t="s">
        <v>1235</v>
      </c>
      <c r="D7067">
        <v>2011</v>
      </c>
      <c r="E7067" s="2">
        <v>5</v>
      </c>
      <c r="F7067" s="2">
        <v>1000</v>
      </c>
      <c r="G7067" s="2"/>
    </row>
    <row r="7068" spans="1:7" x14ac:dyDescent="0.3">
      <c r="A7068" t="s">
        <v>2372</v>
      </c>
      <c r="B7068" t="s">
        <v>280</v>
      </c>
      <c r="C7068" t="s">
        <v>2080</v>
      </c>
      <c r="D7068">
        <v>2012</v>
      </c>
      <c r="E7068" s="2">
        <v>10</v>
      </c>
      <c r="F7068" s="2">
        <v>1800</v>
      </c>
      <c r="G7068" s="2"/>
    </row>
    <row r="7069" spans="1:7" x14ac:dyDescent="0.3">
      <c r="A7069" t="s">
        <v>2372</v>
      </c>
      <c r="B7069" t="s">
        <v>1986</v>
      </c>
      <c r="C7069" t="s">
        <v>2375</v>
      </c>
      <c r="D7069">
        <v>2012</v>
      </c>
      <c r="E7069" s="2">
        <v>10</v>
      </c>
      <c r="F7069" s="2">
        <v>1700</v>
      </c>
      <c r="G7069" s="2"/>
    </row>
    <row r="7070" spans="1:7" x14ac:dyDescent="0.3">
      <c r="A7070" t="s">
        <v>2372</v>
      </c>
      <c r="B7070" t="s">
        <v>1257</v>
      </c>
      <c r="C7070" t="s">
        <v>638</v>
      </c>
      <c r="D7070">
        <v>2011</v>
      </c>
      <c r="E7070" s="2">
        <v>5</v>
      </c>
      <c r="F7070" s="2">
        <v>900</v>
      </c>
      <c r="G7070" s="2"/>
    </row>
    <row r="7071" spans="1:7" x14ac:dyDescent="0.3">
      <c r="A7071" t="s">
        <v>2372</v>
      </c>
      <c r="B7071" t="s">
        <v>1257</v>
      </c>
      <c r="C7071" t="s">
        <v>638</v>
      </c>
      <c r="D7071">
        <v>2012</v>
      </c>
      <c r="E7071" s="2">
        <v>10</v>
      </c>
      <c r="F7071" s="2">
        <v>1800</v>
      </c>
      <c r="G7071" s="2"/>
    </row>
    <row r="7072" spans="1:7" x14ac:dyDescent="0.3">
      <c r="A7072" t="s">
        <v>2372</v>
      </c>
      <c r="B7072" t="s">
        <v>2376</v>
      </c>
      <c r="C7072" t="s">
        <v>181</v>
      </c>
      <c r="D7072">
        <v>2012</v>
      </c>
      <c r="E7072" s="2">
        <v>10</v>
      </c>
      <c r="F7072" s="2">
        <v>1650</v>
      </c>
      <c r="G7072" s="2"/>
    </row>
    <row r="7073" spans="1:7" x14ac:dyDescent="0.3">
      <c r="A7073" t="s">
        <v>2372</v>
      </c>
      <c r="B7073" t="s">
        <v>363</v>
      </c>
      <c r="C7073" t="s">
        <v>364</v>
      </c>
      <c r="D7073">
        <v>2012</v>
      </c>
      <c r="E7073" s="2">
        <v>10</v>
      </c>
      <c r="F7073" s="2">
        <v>1900</v>
      </c>
      <c r="G7073" s="2"/>
    </row>
    <row r="7074" spans="1:7" x14ac:dyDescent="0.3">
      <c r="A7074" t="s">
        <v>2372</v>
      </c>
      <c r="B7074" t="s">
        <v>99</v>
      </c>
      <c r="C7074" t="s">
        <v>100</v>
      </c>
      <c r="D7074">
        <v>2011</v>
      </c>
      <c r="E7074" s="2">
        <v>10</v>
      </c>
      <c r="F7074" s="2">
        <v>1800</v>
      </c>
      <c r="G7074" s="2"/>
    </row>
    <row r="7075" spans="1:7" x14ac:dyDescent="0.3">
      <c r="A7075" t="s">
        <v>2372</v>
      </c>
      <c r="B7075" t="s">
        <v>99</v>
      </c>
      <c r="C7075" t="s">
        <v>100</v>
      </c>
      <c r="D7075">
        <v>2012</v>
      </c>
      <c r="E7075" s="2">
        <v>10</v>
      </c>
      <c r="F7075" s="2">
        <v>1800</v>
      </c>
      <c r="G7075" s="2"/>
    </row>
    <row r="7076" spans="1:7" x14ac:dyDescent="0.3">
      <c r="A7076" t="s">
        <v>2372</v>
      </c>
      <c r="B7076" t="s">
        <v>60</v>
      </c>
      <c r="C7076" t="s">
        <v>186</v>
      </c>
      <c r="D7076">
        <v>2011</v>
      </c>
      <c r="E7076" s="2">
        <v>10</v>
      </c>
      <c r="F7076" s="2">
        <v>2000</v>
      </c>
      <c r="G7076" s="2"/>
    </row>
    <row r="7077" spans="1:7" x14ac:dyDescent="0.3">
      <c r="A7077" t="s">
        <v>2372</v>
      </c>
      <c r="B7077" t="s">
        <v>60</v>
      </c>
      <c r="C7077" t="s">
        <v>186</v>
      </c>
      <c r="D7077">
        <v>2012</v>
      </c>
      <c r="E7077" s="2">
        <v>10</v>
      </c>
      <c r="F7077" s="2">
        <v>2000</v>
      </c>
      <c r="G7077" s="2"/>
    </row>
    <row r="7078" spans="1:7" x14ac:dyDescent="0.3">
      <c r="A7078" t="s">
        <v>2372</v>
      </c>
      <c r="B7078" t="s">
        <v>60</v>
      </c>
      <c r="C7078" t="s">
        <v>186</v>
      </c>
      <c r="D7078">
        <v>2013</v>
      </c>
      <c r="E7078" s="2">
        <v>30</v>
      </c>
      <c r="F7078" s="2">
        <v>6000</v>
      </c>
      <c r="G7078" s="2"/>
    </row>
    <row r="7079" spans="1:7" x14ac:dyDescent="0.3">
      <c r="A7079" t="s">
        <v>2372</v>
      </c>
      <c r="B7079" t="s">
        <v>60</v>
      </c>
      <c r="C7079" t="s">
        <v>61</v>
      </c>
      <c r="D7079">
        <v>2013</v>
      </c>
      <c r="E7079" s="2">
        <v>25</v>
      </c>
      <c r="F7079" s="2">
        <v>5000</v>
      </c>
      <c r="G7079" s="2"/>
    </row>
    <row r="7080" spans="1:7" x14ac:dyDescent="0.3">
      <c r="A7080" t="s">
        <v>2372</v>
      </c>
      <c r="B7080" t="s">
        <v>60</v>
      </c>
      <c r="C7080" t="s">
        <v>61</v>
      </c>
      <c r="D7080">
        <v>2014</v>
      </c>
      <c r="E7080" s="2">
        <v>85</v>
      </c>
      <c r="F7080" s="2">
        <v>16500</v>
      </c>
      <c r="G7080" s="2"/>
    </row>
    <row r="7081" spans="1:7" x14ac:dyDescent="0.3">
      <c r="A7081" t="s">
        <v>2372</v>
      </c>
      <c r="B7081" t="s">
        <v>60</v>
      </c>
      <c r="C7081" t="s">
        <v>61</v>
      </c>
      <c r="D7081">
        <v>2015</v>
      </c>
      <c r="E7081" s="2">
        <v>89.5</v>
      </c>
      <c r="F7081" s="2">
        <v>16110</v>
      </c>
      <c r="G7081" s="2"/>
    </row>
    <row r="7082" spans="1:7" x14ac:dyDescent="0.3">
      <c r="A7082" t="s">
        <v>2372</v>
      </c>
      <c r="B7082" t="s">
        <v>60</v>
      </c>
      <c r="C7082" t="s">
        <v>186</v>
      </c>
      <c r="D7082">
        <v>2016</v>
      </c>
      <c r="E7082" s="2">
        <v>69.5</v>
      </c>
      <c r="F7082" s="2">
        <v>10425</v>
      </c>
      <c r="G7082" s="2"/>
    </row>
    <row r="7083" spans="1:7" x14ac:dyDescent="0.3">
      <c r="A7083" t="s">
        <v>2372</v>
      </c>
      <c r="B7083" t="s">
        <v>60</v>
      </c>
      <c r="C7083" t="s">
        <v>61</v>
      </c>
      <c r="D7083">
        <v>2017</v>
      </c>
      <c r="E7083" s="2">
        <v>15</v>
      </c>
      <c r="F7083" s="2">
        <v>2250</v>
      </c>
      <c r="G7083" s="2"/>
    </row>
    <row r="7084" spans="1:7" x14ac:dyDescent="0.3">
      <c r="A7084" t="s">
        <v>2372</v>
      </c>
      <c r="B7084" t="s">
        <v>60</v>
      </c>
      <c r="C7084" t="s">
        <v>61</v>
      </c>
      <c r="D7084">
        <v>2018</v>
      </c>
      <c r="E7084" s="2">
        <v>10</v>
      </c>
      <c r="F7084" s="2">
        <v>1500</v>
      </c>
      <c r="G7084" s="2">
        <v>1575</v>
      </c>
    </row>
    <row r="7085" spans="1:7" x14ac:dyDescent="0.3">
      <c r="A7085" t="s">
        <v>2372</v>
      </c>
      <c r="B7085" t="s">
        <v>851</v>
      </c>
      <c r="C7085" t="s">
        <v>2377</v>
      </c>
      <c r="D7085">
        <v>2011</v>
      </c>
      <c r="E7085" s="2">
        <v>5</v>
      </c>
      <c r="F7085" s="2">
        <v>1000</v>
      </c>
      <c r="G7085" s="2"/>
    </row>
    <row r="7086" spans="1:7" x14ac:dyDescent="0.3">
      <c r="A7086" t="s">
        <v>2372</v>
      </c>
      <c r="B7086" t="s">
        <v>851</v>
      </c>
      <c r="C7086" t="s">
        <v>2377</v>
      </c>
      <c r="D7086">
        <v>2012</v>
      </c>
      <c r="E7086" s="2">
        <v>10</v>
      </c>
      <c r="F7086" s="2">
        <v>2000</v>
      </c>
      <c r="G7086" s="2"/>
    </row>
    <row r="7087" spans="1:7" x14ac:dyDescent="0.3">
      <c r="A7087" t="s">
        <v>2372</v>
      </c>
      <c r="B7087" t="s">
        <v>992</v>
      </c>
      <c r="C7087" t="s">
        <v>212</v>
      </c>
      <c r="D7087">
        <v>2013</v>
      </c>
      <c r="E7087" s="2">
        <v>5</v>
      </c>
      <c r="F7087" s="2">
        <v>950</v>
      </c>
      <c r="G7087" s="2"/>
    </row>
    <row r="7088" spans="1:7" x14ac:dyDescent="0.3">
      <c r="A7088" t="s">
        <v>2372</v>
      </c>
      <c r="B7088" t="s">
        <v>2083</v>
      </c>
      <c r="C7088" t="s">
        <v>123</v>
      </c>
      <c r="D7088">
        <v>2012</v>
      </c>
      <c r="E7088" s="2">
        <v>10</v>
      </c>
      <c r="F7088" s="2">
        <v>2300</v>
      </c>
      <c r="G7088" s="2"/>
    </row>
    <row r="7089" spans="1:7" x14ac:dyDescent="0.3">
      <c r="A7089" t="s">
        <v>2372</v>
      </c>
      <c r="B7089" t="s">
        <v>2083</v>
      </c>
      <c r="C7089" t="s">
        <v>123</v>
      </c>
      <c r="D7089">
        <v>2013</v>
      </c>
      <c r="E7089" s="2">
        <v>5</v>
      </c>
      <c r="F7089" s="2">
        <v>1150</v>
      </c>
      <c r="G7089" s="2"/>
    </row>
    <row r="7090" spans="1:7" x14ac:dyDescent="0.3">
      <c r="A7090" t="s">
        <v>2372</v>
      </c>
      <c r="B7090" t="s">
        <v>826</v>
      </c>
      <c r="C7090" t="s">
        <v>229</v>
      </c>
      <c r="D7090">
        <v>2011</v>
      </c>
      <c r="E7090" s="2">
        <v>10</v>
      </c>
      <c r="F7090" s="2">
        <v>1400</v>
      </c>
      <c r="G7090" s="2"/>
    </row>
    <row r="7091" spans="1:7" x14ac:dyDescent="0.3">
      <c r="A7091" t="s">
        <v>2372</v>
      </c>
      <c r="B7091" t="s">
        <v>826</v>
      </c>
      <c r="C7091" t="s">
        <v>229</v>
      </c>
      <c r="D7091">
        <v>2012</v>
      </c>
      <c r="E7091" s="2">
        <v>5</v>
      </c>
      <c r="F7091" s="2">
        <v>1450</v>
      </c>
      <c r="G7091" s="2"/>
    </row>
    <row r="7092" spans="1:7" x14ac:dyDescent="0.3">
      <c r="A7092" t="s">
        <v>2372</v>
      </c>
      <c r="B7092" t="s">
        <v>1361</v>
      </c>
      <c r="C7092" t="s">
        <v>1362</v>
      </c>
      <c r="D7092">
        <v>2011</v>
      </c>
      <c r="E7092" s="2">
        <v>5</v>
      </c>
      <c r="F7092" s="2">
        <v>1200</v>
      </c>
      <c r="G7092" s="2"/>
    </row>
    <row r="7093" spans="1:7" x14ac:dyDescent="0.3">
      <c r="A7093" t="s">
        <v>2372</v>
      </c>
      <c r="B7093" t="s">
        <v>1361</v>
      </c>
      <c r="C7093" t="s">
        <v>1362</v>
      </c>
      <c r="D7093">
        <v>2012</v>
      </c>
      <c r="E7093" s="2">
        <v>20</v>
      </c>
      <c r="F7093" s="2">
        <v>1200</v>
      </c>
      <c r="G7093" s="2"/>
    </row>
    <row r="7094" spans="1:7" x14ac:dyDescent="0.3">
      <c r="A7094" t="s">
        <v>2372</v>
      </c>
      <c r="B7094" t="s">
        <v>135</v>
      </c>
      <c r="C7094" t="s">
        <v>136</v>
      </c>
      <c r="D7094">
        <v>2011</v>
      </c>
      <c r="E7094" s="2">
        <v>5</v>
      </c>
      <c r="F7094" s="2">
        <v>1000</v>
      </c>
      <c r="G7094" s="2"/>
    </row>
    <row r="7095" spans="1:7" x14ac:dyDescent="0.3">
      <c r="A7095" t="s">
        <v>2372</v>
      </c>
      <c r="B7095" t="s">
        <v>135</v>
      </c>
      <c r="C7095" t="s">
        <v>136</v>
      </c>
      <c r="D7095">
        <v>2012</v>
      </c>
      <c r="E7095" s="2">
        <v>25</v>
      </c>
      <c r="F7095" s="2">
        <v>4000</v>
      </c>
      <c r="G7095" s="2"/>
    </row>
    <row r="7096" spans="1:7" x14ac:dyDescent="0.3">
      <c r="A7096" t="s">
        <v>2372</v>
      </c>
      <c r="B7096" t="s">
        <v>135</v>
      </c>
      <c r="D7096">
        <v>2013</v>
      </c>
      <c r="E7096" s="2">
        <v>10</v>
      </c>
      <c r="F7096" s="2">
        <v>2000</v>
      </c>
      <c r="G7096" s="2"/>
    </row>
    <row r="7097" spans="1:7" x14ac:dyDescent="0.3">
      <c r="A7097" t="s">
        <v>2372</v>
      </c>
      <c r="B7097" t="s">
        <v>135</v>
      </c>
      <c r="C7097" t="s">
        <v>136</v>
      </c>
      <c r="D7097">
        <v>2013</v>
      </c>
      <c r="E7097" s="2">
        <v>10</v>
      </c>
      <c r="F7097" s="2">
        <v>2000</v>
      </c>
      <c r="G7097" s="2"/>
    </row>
    <row r="7098" spans="1:7" x14ac:dyDescent="0.3">
      <c r="A7098" t="s">
        <v>2372</v>
      </c>
      <c r="B7098" t="s">
        <v>137</v>
      </c>
      <c r="C7098" t="s">
        <v>138</v>
      </c>
      <c r="D7098">
        <v>2011</v>
      </c>
      <c r="E7098" s="2">
        <v>15</v>
      </c>
      <c r="F7098" s="2">
        <v>2150</v>
      </c>
      <c r="G7098" s="2"/>
    </row>
    <row r="7099" spans="1:7" x14ac:dyDescent="0.3">
      <c r="A7099" t="s">
        <v>2372</v>
      </c>
      <c r="B7099" t="s">
        <v>137</v>
      </c>
      <c r="C7099" t="s">
        <v>138</v>
      </c>
      <c r="D7099">
        <v>2012</v>
      </c>
      <c r="E7099" s="2">
        <v>5</v>
      </c>
      <c r="F7099" s="2">
        <v>2750</v>
      </c>
      <c r="G7099" s="2"/>
    </row>
    <row r="7100" spans="1:7" x14ac:dyDescent="0.3">
      <c r="A7100" t="s">
        <v>2372</v>
      </c>
      <c r="B7100" t="s">
        <v>137</v>
      </c>
      <c r="C7100" t="s">
        <v>138</v>
      </c>
      <c r="D7100">
        <v>2013</v>
      </c>
      <c r="E7100" s="2">
        <v>20</v>
      </c>
      <c r="F7100" s="2">
        <v>3000</v>
      </c>
      <c r="G7100" s="2"/>
    </row>
    <row r="7101" spans="1:7" x14ac:dyDescent="0.3">
      <c r="A7101" t="s">
        <v>2372</v>
      </c>
      <c r="B7101" t="s">
        <v>137</v>
      </c>
      <c r="C7101" t="s">
        <v>138</v>
      </c>
      <c r="D7101">
        <v>2014</v>
      </c>
      <c r="E7101" s="2">
        <v>20</v>
      </c>
      <c r="F7101" s="2">
        <v>3000</v>
      </c>
      <c r="G7101" s="2"/>
    </row>
    <row r="7102" spans="1:7" x14ac:dyDescent="0.3">
      <c r="A7102" t="s">
        <v>2372</v>
      </c>
      <c r="B7102" t="s">
        <v>137</v>
      </c>
      <c r="C7102" t="s">
        <v>138</v>
      </c>
      <c r="D7102">
        <v>2015</v>
      </c>
      <c r="E7102" s="2">
        <v>5</v>
      </c>
      <c r="F7102" s="2">
        <v>750</v>
      </c>
      <c r="G7102" s="2"/>
    </row>
    <row r="7103" spans="1:7" x14ac:dyDescent="0.3">
      <c r="A7103" t="s">
        <v>2372</v>
      </c>
      <c r="B7103" t="s">
        <v>137</v>
      </c>
      <c r="C7103" t="s">
        <v>138</v>
      </c>
      <c r="D7103">
        <v>2016</v>
      </c>
      <c r="E7103" s="2">
        <v>5</v>
      </c>
      <c r="F7103" s="2">
        <v>850</v>
      </c>
      <c r="G7103" s="2"/>
    </row>
    <row r="7104" spans="1:7" x14ac:dyDescent="0.3">
      <c r="A7104" t="s">
        <v>2372</v>
      </c>
      <c r="B7104" t="s">
        <v>2006</v>
      </c>
      <c r="C7104" t="s">
        <v>974</v>
      </c>
      <c r="D7104">
        <v>2011</v>
      </c>
      <c r="E7104" s="2">
        <v>10</v>
      </c>
      <c r="F7104" s="2">
        <v>1800</v>
      </c>
      <c r="G7104" s="2"/>
    </row>
    <row r="7105" spans="1:7" x14ac:dyDescent="0.3">
      <c r="A7105" t="s">
        <v>2372</v>
      </c>
      <c r="B7105" t="s">
        <v>1602</v>
      </c>
      <c r="C7105" t="s">
        <v>521</v>
      </c>
      <c r="D7105">
        <v>2013</v>
      </c>
      <c r="E7105" s="2">
        <v>5</v>
      </c>
      <c r="F7105" s="2">
        <v>900</v>
      </c>
      <c r="G7105" s="2"/>
    </row>
    <row r="7106" spans="1:7" x14ac:dyDescent="0.3">
      <c r="A7106" t="s">
        <v>2372</v>
      </c>
      <c r="B7106" t="s">
        <v>2378</v>
      </c>
      <c r="C7106" t="s">
        <v>262</v>
      </c>
      <c r="D7106">
        <v>2012</v>
      </c>
      <c r="E7106" s="2">
        <v>10</v>
      </c>
      <c r="F7106" s="2">
        <v>1000</v>
      </c>
      <c r="G7106" s="2"/>
    </row>
    <row r="7107" spans="1:7" x14ac:dyDescent="0.3">
      <c r="A7107" t="s">
        <v>2372</v>
      </c>
      <c r="B7107" t="s">
        <v>381</v>
      </c>
      <c r="C7107" t="s">
        <v>382</v>
      </c>
      <c r="D7107">
        <v>2011</v>
      </c>
      <c r="E7107" s="2">
        <v>5</v>
      </c>
      <c r="F7107" s="2">
        <v>1250</v>
      </c>
      <c r="G7107" s="2"/>
    </row>
    <row r="7108" spans="1:7" x14ac:dyDescent="0.3">
      <c r="A7108" t="s">
        <v>2372</v>
      </c>
      <c r="B7108" t="s">
        <v>196</v>
      </c>
      <c r="C7108" t="s">
        <v>2379</v>
      </c>
      <c r="D7108">
        <v>2011</v>
      </c>
      <c r="E7108" s="2">
        <v>5</v>
      </c>
      <c r="F7108" s="2">
        <v>1200</v>
      </c>
      <c r="G7108" s="2"/>
    </row>
    <row r="7109" spans="1:7" x14ac:dyDescent="0.3">
      <c r="A7109" t="s">
        <v>2380</v>
      </c>
      <c r="B7109" t="s">
        <v>216</v>
      </c>
      <c r="C7109" t="s">
        <v>217</v>
      </c>
      <c r="D7109">
        <v>2011</v>
      </c>
      <c r="E7109" s="2">
        <v>25</v>
      </c>
      <c r="F7109" s="2">
        <v>5000</v>
      </c>
      <c r="G7109" s="2"/>
    </row>
    <row r="7110" spans="1:7" x14ac:dyDescent="0.3">
      <c r="A7110" t="s">
        <v>2380</v>
      </c>
      <c r="B7110" t="s">
        <v>1472</v>
      </c>
      <c r="C7110" t="s">
        <v>394</v>
      </c>
      <c r="D7110">
        <v>2011</v>
      </c>
      <c r="E7110" s="2">
        <v>25</v>
      </c>
      <c r="F7110" s="2">
        <v>6000</v>
      </c>
      <c r="G7110" s="2"/>
    </row>
    <row r="7111" spans="1:7" x14ac:dyDescent="0.3">
      <c r="A7111" t="s">
        <v>2380</v>
      </c>
      <c r="B7111" t="s">
        <v>393</v>
      </c>
      <c r="C7111" t="s">
        <v>2381</v>
      </c>
      <c r="D7111">
        <v>2011</v>
      </c>
      <c r="E7111" s="2">
        <v>5</v>
      </c>
      <c r="F7111" s="2">
        <v>1200</v>
      </c>
      <c r="G7111" s="2"/>
    </row>
    <row r="7112" spans="1:7" x14ac:dyDescent="0.3">
      <c r="A7112" t="s">
        <v>2380</v>
      </c>
      <c r="B7112" t="s">
        <v>218</v>
      </c>
      <c r="C7112" t="s">
        <v>212</v>
      </c>
      <c r="D7112">
        <v>2010</v>
      </c>
      <c r="E7112" s="2">
        <v>5</v>
      </c>
      <c r="F7112" s="2">
        <v>1200</v>
      </c>
      <c r="G7112" s="2"/>
    </row>
    <row r="7113" spans="1:7" x14ac:dyDescent="0.3">
      <c r="A7113" t="s">
        <v>2380</v>
      </c>
      <c r="B7113" t="s">
        <v>218</v>
      </c>
      <c r="C7113" t="s">
        <v>212</v>
      </c>
      <c r="D7113">
        <v>2011</v>
      </c>
      <c r="E7113" s="2">
        <v>10</v>
      </c>
      <c r="F7113" s="2">
        <v>2000</v>
      </c>
      <c r="G7113" s="2"/>
    </row>
    <row r="7114" spans="1:7" x14ac:dyDescent="0.3">
      <c r="A7114" t="s">
        <v>2380</v>
      </c>
      <c r="B7114" t="s">
        <v>218</v>
      </c>
      <c r="C7114" t="s">
        <v>212</v>
      </c>
      <c r="D7114">
        <v>2013</v>
      </c>
      <c r="E7114" s="2">
        <v>10</v>
      </c>
      <c r="F7114" s="2">
        <v>2000</v>
      </c>
      <c r="G7114" s="2"/>
    </row>
    <row r="7115" spans="1:7" x14ac:dyDescent="0.3">
      <c r="A7115" t="s">
        <v>2380</v>
      </c>
      <c r="B7115" t="s">
        <v>219</v>
      </c>
      <c r="C7115" t="s">
        <v>220</v>
      </c>
      <c r="D7115">
        <v>2011</v>
      </c>
      <c r="E7115" s="2">
        <v>10</v>
      </c>
      <c r="F7115" s="2">
        <v>2300</v>
      </c>
      <c r="G7115" s="2"/>
    </row>
    <row r="7116" spans="1:7" x14ac:dyDescent="0.3">
      <c r="A7116" t="s">
        <v>2380</v>
      </c>
      <c r="B7116" t="s">
        <v>955</v>
      </c>
      <c r="C7116" t="s">
        <v>956</v>
      </c>
      <c r="D7116">
        <v>2011</v>
      </c>
      <c r="E7116" s="2">
        <v>5</v>
      </c>
      <c r="F7116" s="2">
        <v>1200</v>
      </c>
      <c r="G7116" s="2"/>
    </row>
    <row r="7117" spans="1:7" x14ac:dyDescent="0.3">
      <c r="A7117" t="s">
        <v>2380</v>
      </c>
      <c r="B7117" t="s">
        <v>2382</v>
      </c>
      <c r="C7117" t="s">
        <v>1054</v>
      </c>
      <c r="D7117">
        <v>2011</v>
      </c>
      <c r="E7117" s="2">
        <v>15</v>
      </c>
      <c r="F7117" s="2">
        <v>3600</v>
      </c>
      <c r="G7117" s="2"/>
    </row>
    <row r="7118" spans="1:7" x14ac:dyDescent="0.3">
      <c r="A7118" t="s">
        <v>2380</v>
      </c>
      <c r="B7118" t="s">
        <v>2383</v>
      </c>
      <c r="C7118" t="s">
        <v>1716</v>
      </c>
      <c r="D7118">
        <v>2011</v>
      </c>
      <c r="E7118" s="2">
        <v>5</v>
      </c>
      <c r="F7118" s="2">
        <v>1000</v>
      </c>
      <c r="G7118" s="2"/>
    </row>
    <row r="7119" spans="1:7" x14ac:dyDescent="0.3">
      <c r="A7119" t="s">
        <v>2380</v>
      </c>
      <c r="B7119" t="s">
        <v>287</v>
      </c>
      <c r="C7119" t="s">
        <v>186</v>
      </c>
      <c r="D7119">
        <v>2011</v>
      </c>
      <c r="E7119" s="2">
        <v>30</v>
      </c>
      <c r="F7119" s="2">
        <v>7200</v>
      </c>
      <c r="G7119" s="2"/>
    </row>
    <row r="7120" spans="1:7" x14ac:dyDescent="0.3">
      <c r="A7120" t="s">
        <v>2380</v>
      </c>
      <c r="B7120" t="s">
        <v>287</v>
      </c>
      <c r="C7120" t="s">
        <v>186</v>
      </c>
      <c r="D7120">
        <v>2013</v>
      </c>
      <c r="E7120" s="2">
        <v>20</v>
      </c>
      <c r="F7120" s="2">
        <v>5000</v>
      </c>
      <c r="G7120" s="2"/>
    </row>
    <row r="7121" spans="1:7" x14ac:dyDescent="0.3">
      <c r="A7121" t="s">
        <v>2380</v>
      </c>
      <c r="B7121" t="s">
        <v>359</v>
      </c>
      <c r="C7121" t="s">
        <v>207</v>
      </c>
      <c r="D7121">
        <v>2011</v>
      </c>
      <c r="E7121" s="2">
        <v>15</v>
      </c>
      <c r="F7121" s="2">
        <v>2700</v>
      </c>
      <c r="G7121" s="2"/>
    </row>
    <row r="7122" spans="1:7" x14ac:dyDescent="0.3">
      <c r="A7122" t="s">
        <v>2380</v>
      </c>
      <c r="B7122" t="s">
        <v>540</v>
      </c>
      <c r="C7122" t="s">
        <v>541</v>
      </c>
      <c r="D7122">
        <v>2019</v>
      </c>
      <c r="E7122" s="2">
        <v>10</v>
      </c>
      <c r="F7122" s="2">
        <v>1200</v>
      </c>
      <c r="G7122" s="2">
        <v>1260</v>
      </c>
    </row>
    <row r="7123" spans="1:7" x14ac:dyDescent="0.3">
      <c r="A7123" t="s">
        <v>2380</v>
      </c>
      <c r="B7123" t="s">
        <v>540</v>
      </c>
      <c r="C7123" t="s">
        <v>541</v>
      </c>
      <c r="D7123">
        <v>2020</v>
      </c>
      <c r="E7123" s="2">
        <v>10</v>
      </c>
      <c r="F7123" s="2">
        <v>1200</v>
      </c>
      <c r="G7123" s="2">
        <v>1260</v>
      </c>
    </row>
    <row r="7124" spans="1:7" x14ac:dyDescent="0.3">
      <c r="A7124" t="s">
        <v>2380</v>
      </c>
      <c r="B7124" t="s">
        <v>1257</v>
      </c>
      <c r="C7124" t="s">
        <v>638</v>
      </c>
      <c r="D7124">
        <v>2011</v>
      </c>
      <c r="E7124" s="2">
        <v>15</v>
      </c>
      <c r="F7124" s="2">
        <v>2625</v>
      </c>
      <c r="G7124" s="2"/>
    </row>
    <row r="7125" spans="1:7" x14ac:dyDescent="0.3">
      <c r="A7125" t="s">
        <v>2380</v>
      </c>
      <c r="B7125" t="s">
        <v>2384</v>
      </c>
      <c r="C7125" t="s">
        <v>825</v>
      </c>
      <c r="D7125">
        <v>2011</v>
      </c>
      <c r="E7125" s="2">
        <v>40</v>
      </c>
      <c r="F7125" s="2">
        <v>6800</v>
      </c>
      <c r="G7125" s="2"/>
    </row>
    <row r="7126" spans="1:7" x14ac:dyDescent="0.3">
      <c r="A7126" t="s">
        <v>2380</v>
      </c>
      <c r="B7126" t="s">
        <v>2385</v>
      </c>
      <c r="C7126" t="s">
        <v>138</v>
      </c>
      <c r="D7126">
        <v>2011</v>
      </c>
      <c r="E7126" s="2">
        <v>5</v>
      </c>
      <c r="F7126" s="2">
        <v>650</v>
      </c>
      <c r="G7126" s="2"/>
    </row>
    <row r="7127" spans="1:7" x14ac:dyDescent="0.3">
      <c r="A7127" t="s">
        <v>2380</v>
      </c>
      <c r="B7127" t="s">
        <v>2385</v>
      </c>
      <c r="C7127" t="s">
        <v>138</v>
      </c>
      <c r="D7127">
        <v>2013</v>
      </c>
      <c r="E7127" s="2">
        <v>25</v>
      </c>
      <c r="F7127" s="2">
        <v>3250</v>
      </c>
      <c r="G7127" s="2"/>
    </row>
    <row r="7128" spans="1:7" x14ac:dyDescent="0.3">
      <c r="A7128" t="s">
        <v>2380</v>
      </c>
      <c r="B7128" t="s">
        <v>1263</v>
      </c>
      <c r="C7128" t="s">
        <v>1782</v>
      </c>
      <c r="D7128">
        <v>2011</v>
      </c>
      <c r="E7128" s="2">
        <v>5</v>
      </c>
      <c r="F7128" s="2">
        <v>1200</v>
      </c>
      <c r="G7128" s="2"/>
    </row>
    <row r="7129" spans="1:7" x14ac:dyDescent="0.3">
      <c r="A7129" t="s">
        <v>2380</v>
      </c>
      <c r="B7129" t="s">
        <v>1103</v>
      </c>
      <c r="C7129" t="s">
        <v>224</v>
      </c>
      <c r="D7129">
        <v>2010</v>
      </c>
      <c r="E7129" s="2">
        <v>20</v>
      </c>
      <c r="F7129" s="2">
        <v>5000</v>
      </c>
      <c r="G7129" s="2"/>
    </row>
    <row r="7130" spans="1:7" x14ac:dyDescent="0.3">
      <c r="A7130" t="s">
        <v>2380</v>
      </c>
      <c r="B7130" t="s">
        <v>1103</v>
      </c>
      <c r="C7130" t="s">
        <v>224</v>
      </c>
      <c r="D7130">
        <v>2011</v>
      </c>
      <c r="E7130" s="2">
        <v>35</v>
      </c>
      <c r="F7130" s="2">
        <v>8050</v>
      </c>
      <c r="G7130" s="2"/>
    </row>
    <row r="7131" spans="1:7" x14ac:dyDescent="0.3">
      <c r="A7131" t="s">
        <v>2380</v>
      </c>
      <c r="B7131" t="s">
        <v>1103</v>
      </c>
      <c r="C7131" t="s">
        <v>224</v>
      </c>
      <c r="D7131">
        <v>2013</v>
      </c>
      <c r="E7131" s="2">
        <v>5</v>
      </c>
      <c r="F7131" s="2">
        <v>1000</v>
      </c>
      <c r="G7131" s="2"/>
    </row>
    <row r="7132" spans="1:7" x14ac:dyDescent="0.3">
      <c r="A7132" t="s">
        <v>2380</v>
      </c>
      <c r="B7132" t="s">
        <v>1103</v>
      </c>
      <c r="C7132" t="s">
        <v>224</v>
      </c>
      <c r="D7132">
        <v>2017</v>
      </c>
      <c r="E7132" s="2">
        <v>55</v>
      </c>
      <c r="F7132" s="2">
        <v>9200</v>
      </c>
      <c r="G7132" s="2"/>
    </row>
    <row r="7133" spans="1:7" x14ac:dyDescent="0.3">
      <c r="A7133" t="s">
        <v>2380</v>
      </c>
      <c r="B7133" t="s">
        <v>1103</v>
      </c>
      <c r="C7133" t="s">
        <v>224</v>
      </c>
      <c r="D7133">
        <v>2018</v>
      </c>
      <c r="E7133" s="2">
        <v>165</v>
      </c>
      <c r="F7133" s="2">
        <v>12000</v>
      </c>
      <c r="G7133" s="2">
        <v>12600</v>
      </c>
    </row>
    <row r="7134" spans="1:7" x14ac:dyDescent="0.3">
      <c r="A7134" t="s">
        <v>2380</v>
      </c>
      <c r="B7134" t="s">
        <v>1103</v>
      </c>
      <c r="C7134" t="s">
        <v>224</v>
      </c>
      <c r="D7134">
        <v>2019</v>
      </c>
      <c r="E7134" s="2">
        <v>105</v>
      </c>
      <c r="F7134" s="2">
        <v>16800</v>
      </c>
      <c r="G7134" s="2">
        <v>17640</v>
      </c>
    </row>
    <row r="7135" spans="1:7" x14ac:dyDescent="0.3">
      <c r="A7135" t="s">
        <v>2380</v>
      </c>
      <c r="B7135" t="s">
        <v>1103</v>
      </c>
      <c r="C7135" t="s">
        <v>224</v>
      </c>
      <c r="D7135">
        <v>2020</v>
      </c>
      <c r="E7135" s="2">
        <v>10</v>
      </c>
      <c r="F7135" s="2">
        <v>1600</v>
      </c>
      <c r="G7135" s="2">
        <v>1680</v>
      </c>
    </row>
    <row r="7136" spans="1:7" x14ac:dyDescent="0.3">
      <c r="A7136" t="s">
        <v>2380</v>
      </c>
      <c r="B7136" t="s">
        <v>1419</v>
      </c>
      <c r="C7136" t="s">
        <v>1420</v>
      </c>
      <c r="D7136">
        <v>2020</v>
      </c>
      <c r="E7136" s="2">
        <v>10</v>
      </c>
      <c r="F7136" s="2">
        <v>1600</v>
      </c>
      <c r="G7136" s="2">
        <v>1680</v>
      </c>
    </row>
    <row r="7137" spans="1:7" x14ac:dyDescent="0.3">
      <c r="A7137" t="s">
        <v>2380</v>
      </c>
      <c r="B7137" t="s">
        <v>1419</v>
      </c>
      <c r="C7137" t="s">
        <v>1420</v>
      </c>
      <c r="D7137">
        <v>2020</v>
      </c>
      <c r="E7137" s="2">
        <v>10</v>
      </c>
      <c r="F7137" s="2">
        <v>1600</v>
      </c>
      <c r="G7137" s="2">
        <v>1680</v>
      </c>
    </row>
    <row r="7138" spans="1:7" x14ac:dyDescent="0.3">
      <c r="A7138" t="s">
        <v>2380</v>
      </c>
      <c r="B7138" t="s">
        <v>1419</v>
      </c>
      <c r="C7138" t="s">
        <v>1420</v>
      </c>
      <c r="D7138">
        <v>2021</v>
      </c>
      <c r="E7138" s="2">
        <v>25</v>
      </c>
      <c r="F7138" s="2">
        <v>4000</v>
      </c>
      <c r="G7138" s="2">
        <v>4200</v>
      </c>
    </row>
    <row r="7139" spans="1:7" x14ac:dyDescent="0.3">
      <c r="A7139" t="s">
        <v>2380</v>
      </c>
      <c r="B7139" t="s">
        <v>2386</v>
      </c>
      <c r="C7139" t="s">
        <v>1916</v>
      </c>
      <c r="D7139">
        <v>2011</v>
      </c>
      <c r="E7139" s="2">
        <v>10</v>
      </c>
      <c r="F7139" s="2">
        <v>1784.6</v>
      </c>
      <c r="G7139" s="2"/>
    </row>
    <row r="7140" spans="1:7" x14ac:dyDescent="0.3">
      <c r="A7140" t="s">
        <v>2380</v>
      </c>
      <c r="B7140" t="s">
        <v>1267</v>
      </c>
      <c r="C7140" t="s">
        <v>1268</v>
      </c>
      <c r="D7140">
        <v>2011</v>
      </c>
      <c r="E7140" s="2">
        <v>5</v>
      </c>
      <c r="F7140" s="2">
        <v>1050</v>
      </c>
      <c r="G7140" s="2"/>
    </row>
    <row r="7141" spans="1:7" x14ac:dyDescent="0.3">
      <c r="A7141" t="s">
        <v>2380</v>
      </c>
      <c r="B7141" t="s">
        <v>560</v>
      </c>
      <c r="C7141" t="s">
        <v>561</v>
      </c>
      <c r="D7141">
        <v>2010</v>
      </c>
      <c r="E7141" s="2">
        <v>5</v>
      </c>
      <c r="F7141" s="2">
        <v>1250</v>
      </c>
      <c r="G7141" s="2"/>
    </row>
    <row r="7142" spans="1:7" x14ac:dyDescent="0.3">
      <c r="A7142" t="s">
        <v>2380</v>
      </c>
      <c r="B7142" t="s">
        <v>560</v>
      </c>
      <c r="C7142" t="s">
        <v>561</v>
      </c>
      <c r="D7142">
        <v>2011</v>
      </c>
      <c r="E7142" s="2">
        <v>45</v>
      </c>
      <c r="F7142" s="2">
        <v>11250</v>
      </c>
      <c r="G7142" s="2"/>
    </row>
    <row r="7143" spans="1:7" x14ac:dyDescent="0.3">
      <c r="A7143" t="s">
        <v>2380</v>
      </c>
      <c r="B7143" t="s">
        <v>962</v>
      </c>
      <c r="C7143" t="s">
        <v>963</v>
      </c>
      <c r="D7143">
        <v>2010</v>
      </c>
      <c r="E7143" s="2">
        <v>5</v>
      </c>
      <c r="F7143" s="2">
        <v>1250</v>
      </c>
      <c r="G7143" s="2"/>
    </row>
    <row r="7144" spans="1:7" x14ac:dyDescent="0.3">
      <c r="A7144" t="s">
        <v>2380</v>
      </c>
      <c r="B7144" t="s">
        <v>962</v>
      </c>
      <c r="C7144" t="s">
        <v>963</v>
      </c>
      <c r="D7144">
        <v>2011</v>
      </c>
      <c r="E7144" s="2">
        <v>10</v>
      </c>
      <c r="F7144" s="2">
        <v>2500</v>
      </c>
      <c r="G7144" s="2"/>
    </row>
    <row r="7145" spans="1:7" x14ac:dyDescent="0.3">
      <c r="A7145" t="s">
        <v>2380</v>
      </c>
      <c r="B7145" t="s">
        <v>227</v>
      </c>
      <c r="D7145">
        <v>2011</v>
      </c>
      <c r="E7145" s="2">
        <v>5.5</v>
      </c>
      <c r="F7145" s="2">
        <v>1210</v>
      </c>
      <c r="G7145" s="2"/>
    </row>
    <row r="7146" spans="1:7" x14ac:dyDescent="0.3">
      <c r="A7146" t="s">
        <v>2380</v>
      </c>
      <c r="B7146" t="s">
        <v>120</v>
      </c>
      <c r="C7146" t="s">
        <v>121</v>
      </c>
      <c r="D7146">
        <v>2017</v>
      </c>
      <c r="E7146" s="2">
        <v>10</v>
      </c>
      <c r="F7146" s="2">
        <v>1700</v>
      </c>
      <c r="G7146" s="2"/>
    </row>
    <row r="7147" spans="1:7" x14ac:dyDescent="0.3">
      <c r="A7147" t="s">
        <v>2380</v>
      </c>
      <c r="B7147" t="s">
        <v>120</v>
      </c>
      <c r="C7147" t="s">
        <v>121</v>
      </c>
      <c r="D7147">
        <v>2018</v>
      </c>
      <c r="E7147" s="2">
        <v>30</v>
      </c>
      <c r="F7147" s="2">
        <v>5100</v>
      </c>
      <c r="G7147" s="2">
        <v>5355</v>
      </c>
    </row>
    <row r="7148" spans="1:7" x14ac:dyDescent="0.3">
      <c r="A7148" t="s">
        <v>2380</v>
      </c>
      <c r="B7148" t="s">
        <v>120</v>
      </c>
      <c r="C7148" t="s">
        <v>121</v>
      </c>
      <c r="D7148">
        <v>2019</v>
      </c>
      <c r="E7148" s="2">
        <v>65</v>
      </c>
      <c r="F7148" s="2">
        <v>11050</v>
      </c>
      <c r="G7148" s="2">
        <v>11602.5</v>
      </c>
    </row>
    <row r="7149" spans="1:7" x14ac:dyDescent="0.3">
      <c r="A7149" t="s">
        <v>2380</v>
      </c>
      <c r="B7149" t="s">
        <v>597</v>
      </c>
      <c r="C7149" t="s">
        <v>598</v>
      </c>
      <c r="D7149">
        <v>2020</v>
      </c>
      <c r="E7149" s="2">
        <v>50</v>
      </c>
      <c r="F7149" s="2">
        <v>8500</v>
      </c>
      <c r="G7149" s="2">
        <v>8925</v>
      </c>
    </row>
    <row r="7150" spans="1:7" x14ac:dyDescent="0.3">
      <c r="A7150" t="s">
        <v>2380</v>
      </c>
      <c r="B7150" t="s">
        <v>597</v>
      </c>
      <c r="C7150" t="s">
        <v>598</v>
      </c>
      <c r="D7150">
        <v>2021</v>
      </c>
      <c r="E7150" s="2">
        <v>20</v>
      </c>
      <c r="F7150" s="2">
        <v>3400</v>
      </c>
      <c r="G7150" s="2">
        <v>3570</v>
      </c>
    </row>
    <row r="7151" spans="1:7" x14ac:dyDescent="0.3">
      <c r="A7151" t="s">
        <v>2380</v>
      </c>
      <c r="B7151" t="s">
        <v>1797</v>
      </c>
      <c r="C7151" t="s">
        <v>1798</v>
      </c>
      <c r="D7151">
        <v>2019</v>
      </c>
      <c r="E7151" s="2">
        <v>14</v>
      </c>
      <c r="F7151" s="2">
        <v>2380</v>
      </c>
      <c r="G7151" s="2">
        <v>2499</v>
      </c>
    </row>
    <row r="7152" spans="1:7" x14ac:dyDescent="0.3">
      <c r="A7152" t="s">
        <v>2380</v>
      </c>
      <c r="B7152" t="s">
        <v>1797</v>
      </c>
      <c r="C7152" t="s">
        <v>1798</v>
      </c>
      <c r="D7152">
        <v>2021</v>
      </c>
      <c r="E7152" s="2">
        <v>8</v>
      </c>
      <c r="F7152" s="2">
        <v>1400</v>
      </c>
      <c r="G7152" s="2">
        <v>1470</v>
      </c>
    </row>
    <row r="7153" spans="1:7" x14ac:dyDescent="0.3">
      <c r="A7153" t="s">
        <v>2380</v>
      </c>
      <c r="B7153" t="s">
        <v>826</v>
      </c>
      <c r="C7153" t="s">
        <v>229</v>
      </c>
      <c r="D7153">
        <v>2009</v>
      </c>
      <c r="E7153" s="2">
        <v>15</v>
      </c>
      <c r="F7153" s="2">
        <v>2025</v>
      </c>
      <c r="G7153" s="2"/>
    </row>
    <row r="7154" spans="1:7" x14ac:dyDescent="0.3">
      <c r="A7154" t="s">
        <v>2380</v>
      </c>
      <c r="B7154" t="s">
        <v>826</v>
      </c>
      <c r="C7154" t="s">
        <v>229</v>
      </c>
      <c r="D7154">
        <v>2010</v>
      </c>
      <c r="E7154" s="2">
        <v>20</v>
      </c>
      <c r="F7154" s="2">
        <v>2700</v>
      </c>
      <c r="G7154" s="2"/>
    </row>
    <row r="7155" spans="1:7" x14ac:dyDescent="0.3">
      <c r="A7155" t="s">
        <v>2380</v>
      </c>
      <c r="B7155" t="s">
        <v>826</v>
      </c>
      <c r="C7155" t="s">
        <v>229</v>
      </c>
      <c r="D7155">
        <v>2011</v>
      </c>
      <c r="E7155" s="2">
        <v>10</v>
      </c>
      <c r="F7155" s="2">
        <v>1350</v>
      </c>
      <c r="G7155" s="2"/>
    </row>
    <row r="7156" spans="1:7" x14ac:dyDescent="0.3">
      <c r="A7156" t="s">
        <v>2380</v>
      </c>
      <c r="B7156" t="s">
        <v>135</v>
      </c>
      <c r="C7156" t="s">
        <v>136</v>
      </c>
      <c r="D7156">
        <v>2011</v>
      </c>
      <c r="E7156" s="2">
        <v>25</v>
      </c>
      <c r="F7156" s="2">
        <v>4875</v>
      </c>
      <c r="G7156" s="2"/>
    </row>
    <row r="7157" spans="1:7" x14ac:dyDescent="0.3">
      <c r="A7157" t="s">
        <v>2380</v>
      </c>
      <c r="B7157" t="s">
        <v>135</v>
      </c>
      <c r="C7157" t="s">
        <v>136</v>
      </c>
      <c r="D7157">
        <v>2012</v>
      </c>
      <c r="E7157" s="2">
        <v>10</v>
      </c>
      <c r="F7157" s="2">
        <v>1950</v>
      </c>
      <c r="G7157" s="2"/>
    </row>
    <row r="7158" spans="1:7" x14ac:dyDescent="0.3">
      <c r="A7158" t="s">
        <v>2380</v>
      </c>
      <c r="B7158" t="s">
        <v>135</v>
      </c>
      <c r="C7158" t="s">
        <v>136</v>
      </c>
      <c r="D7158">
        <v>2013</v>
      </c>
      <c r="E7158" s="2">
        <v>20</v>
      </c>
      <c r="F7158" s="2">
        <v>3900</v>
      </c>
      <c r="G7158" s="2"/>
    </row>
    <row r="7159" spans="1:7" x14ac:dyDescent="0.3">
      <c r="A7159" t="s">
        <v>2380</v>
      </c>
      <c r="B7159" t="s">
        <v>137</v>
      </c>
      <c r="C7159" t="s">
        <v>138</v>
      </c>
      <c r="D7159">
        <v>2009</v>
      </c>
      <c r="E7159" s="2">
        <v>40</v>
      </c>
      <c r="F7159" s="2">
        <v>5200</v>
      </c>
      <c r="G7159" s="2"/>
    </row>
    <row r="7160" spans="1:7" x14ac:dyDescent="0.3">
      <c r="A7160" t="s">
        <v>2380</v>
      </c>
      <c r="B7160" t="s">
        <v>137</v>
      </c>
      <c r="C7160" t="s">
        <v>138</v>
      </c>
      <c r="D7160">
        <v>2010</v>
      </c>
      <c r="E7160" s="2">
        <v>20</v>
      </c>
      <c r="F7160" s="2">
        <v>2600</v>
      </c>
      <c r="G7160" s="2"/>
    </row>
    <row r="7161" spans="1:7" x14ac:dyDescent="0.3">
      <c r="A7161" t="s">
        <v>2380</v>
      </c>
      <c r="B7161" t="s">
        <v>137</v>
      </c>
      <c r="C7161" t="s">
        <v>138</v>
      </c>
      <c r="D7161">
        <v>2011</v>
      </c>
      <c r="E7161" s="2">
        <v>45</v>
      </c>
      <c r="F7161" s="2">
        <v>6425</v>
      </c>
      <c r="G7161" s="2"/>
    </row>
    <row r="7162" spans="1:7" x14ac:dyDescent="0.3">
      <c r="A7162" t="s">
        <v>2380</v>
      </c>
      <c r="B7162" t="s">
        <v>137</v>
      </c>
      <c r="C7162" t="s">
        <v>138</v>
      </c>
      <c r="D7162">
        <v>2012</v>
      </c>
      <c r="E7162" s="2">
        <v>25</v>
      </c>
      <c r="F7162" s="2">
        <v>1500</v>
      </c>
      <c r="G7162" s="2"/>
    </row>
    <row r="7163" spans="1:7" x14ac:dyDescent="0.3">
      <c r="A7163" t="s">
        <v>2380</v>
      </c>
      <c r="B7163" t="s">
        <v>137</v>
      </c>
      <c r="C7163" t="s">
        <v>138</v>
      </c>
      <c r="D7163">
        <v>2014</v>
      </c>
      <c r="E7163" s="2">
        <v>40</v>
      </c>
      <c r="F7163" s="2">
        <v>6800</v>
      </c>
      <c r="G7163" s="2"/>
    </row>
    <row r="7164" spans="1:7" x14ac:dyDescent="0.3">
      <c r="A7164" t="s">
        <v>2380</v>
      </c>
      <c r="B7164" t="s">
        <v>2387</v>
      </c>
      <c r="C7164" t="s">
        <v>231</v>
      </c>
      <c r="D7164">
        <v>2011</v>
      </c>
      <c r="E7164" s="2">
        <v>5</v>
      </c>
      <c r="F7164" s="2">
        <v>1250</v>
      </c>
      <c r="G7164" s="2"/>
    </row>
    <row r="7165" spans="1:7" x14ac:dyDescent="0.3">
      <c r="A7165" t="s">
        <v>2380</v>
      </c>
      <c r="B7165" t="s">
        <v>2388</v>
      </c>
      <c r="C7165" t="s">
        <v>1368</v>
      </c>
      <c r="D7165">
        <v>2011</v>
      </c>
      <c r="E7165" s="2">
        <v>10</v>
      </c>
      <c r="F7165" s="2">
        <v>1900</v>
      </c>
      <c r="G7165" s="2"/>
    </row>
    <row r="7166" spans="1:7" x14ac:dyDescent="0.3">
      <c r="A7166" t="s">
        <v>2380</v>
      </c>
      <c r="B7166" t="s">
        <v>2388</v>
      </c>
      <c r="C7166" t="s">
        <v>1368</v>
      </c>
      <c r="D7166">
        <v>2013</v>
      </c>
      <c r="E7166" s="2">
        <v>10</v>
      </c>
      <c r="F7166" s="2">
        <v>1900</v>
      </c>
      <c r="G7166" s="2"/>
    </row>
    <row r="7167" spans="1:7" x14ac:dyDescent="0.3">
      <c r="A7167" t="s">
        <v>2380</v>
      </c>
      <c r="B7167" t="s">
        <v>2388</v>
      </c>
      <c r="C7167" t="s">
        <v>1368</v>
      </c>
      <c r="D7167">
        <v>2018</v>
      </c>
      <c r="E7167" s="2">
        <v>5</v>
      </c>
      <c r="F7167" s="2">
        <v>900</v>
      </c>
      <c r="G7167" s="2">
        <v>945</v>
      </c>
    </row>
    <row r="7168" spans="1:7" x14ac:dyDescent="0.3">
      <c r="A7168" t="s">
        <v>2380</v>
      </c>
      <c r="B7168" t="s">
        <v>2388</v>
      </c>
      <c r="C7168" t="s">
        <v>1368</v>
      </c>
      <c r="D7168">
        <v>2019</v>
      </c>
      <c r="E7168" s="2">
        <v>15</v>
      </c>
      <c r="F7168" s="2">
        <v>2700</v>
      </c>
      <c r="G7168" s="2">
        <v>2835</v>
      </c>
    </row>
    <row r="7169" spans="1:7" x14ac:dyDescent="0.3">
      <c r="A7169" t="s">
        <v>2380</v>
      </c>
      <c r="B7169" t="s">
        <v>1369</v>
      </c>
      <c r="C7169" t="s">
        <v>1370</v>
      </c>
      <c r="D7169">
        <v>2021</v>
      </c>
      <c r="E7169" s="2">
        <v>15</v>
      </c>
      <c r="F7169" s="2">
        <v>2700</v>
      </c>
      <c r="G7169" s="2">
        <v>2835</v>
      </c>
    </row>
    <row r="7170" spans="1:7" x14ac:dyDescent="0.3">
      <c r="A7170" t="s">
        <v>2380</v>
      </c>
      <c r="B7170" t="s">
        <v>1074</v>
      </c>
      <c r="C7170" t="s">
        <v>1303</v>
      </c>
      <c r="D7170">
        <v>2010</v>
      </c>
      <c r="E7170" s="2">
        <v>5</v>
      </c>
      <c r="F7170" s="2">
        <v>1200</v>
      </c>
      <c r="G7170" s="2"/>
    </row>
    <row r="7171" spans="1:7" x14ac:dyDescent="0.3">
      <c r="A7171" t="s">
        <v>2380</v>
      </c>
      <c r="B7171" t="s">
        <v>2389</v>
      </c>
      <c r="C7171" t="s">
        <v>1064</v>
      </c>
      <c r="D7171">
        <v>2011</v>
      </c>
      <c r="E7171" s="2">
        <v>15</v>
      </c>
      <c r="F7171" s="2">
        <v>2700</v>
      </c>
      <c r="G7171" s="2"/>
    </row>
    <row r="7172" spans="1:7" x14ac:dyDescent="0.3">
      <c r="A7172" t="s">
        <v>2380</v>
      </c>
      <c r="B7172" t="s">
        <v>1308</v>
      </c>
      <c r="C7172" t="s">
        <v>1309</v>
      </c>
      <c r="D7172">
        <v>2011</v>
      </c>
      <c r="E7172" s="2">
        <v>25</v>
      </c>
      <c r="F7172" s="2">
        <v>4400</v>
      </c>
      <c r="G7172" s="2"/>
    </row>
    <row r="7173" spans="1:7" x14ac:dyDescent="0.3">
      <c r="A7173" t="s">
        <v>2380</v>
      </c>
      <c r="B7173" t="s">
        <v>46</v>
      </c>
      <c r="C7173" t="s">
        <v>47</v>
      </c>
      <c r="D7173">
        <v>2018</v>
      </c>
      <c r="E7173" s="2">
        <v>5</v>
      </c>
      <c r="F7173" s="2">
        <v>550</v>
      </c>
      <c r="G7173" s="2">
        <v>577.5</v>
      </c>
    </row>
    <row r="7174" spans="1:7" x14ac:dyDescent="0.3">
      <c r="A7174" t="s">
        <v>2380</v>
      </c>
      <c r="B7174" t="s">
        <v>46</v>
      </c>
      <c r="C7174" t="s">
        <v>47</v>
      </c>
      <c r="D7174">
        <v>2019</v>
      </c>
      <c r="E7174" s="2">
        <v>25</v>
      </c>
      <c r="F7174" s="2">
        <v>2750</v>
      </c>
      <c r="G7174" s="2">
        <v>2887.5</v>
      </c>
    </row>
    <row r="7175" spans="1:7" x14ac:dyDescent="0.3">
      <c r="A7175" t="s">
        <v>2380</v>
      </c>
      <c r="B7175" t="s">
        <v>483</v>
      </c>
      <c r="C7175" t="s">
        <v>484</v>
      </c>
      <c r="D7175">
        <v>2020</v>
      </c>
      <c r="E7175" s="2">
        <v>30</v>
      </c>
      <c r="F7175" s="2">
        <v>3300</v>
      </c>
      <c r="G7175" s="2">
        <v>3465</v>
      </c>
    </row>
    <row r="7176" spans="1:7" x14ac:dyDescent="0.3">
      <c r="A7176" t="s">
        <v>2380</v>
      </c>
      <c r="B7176" t="s">
        <v>483</v>
      </c>
      <c r="C7176" t="s">
        <v>484</v>
      </c>
      <c r="D7176">
        <v>2021</v>
      </c>
      <c r="E7176" s="2">
        <v>10</v>
      </c>
      <c r="F7176" s="2">
        <v>1100</v>
      </c>
      <c r="G7176" s="2">
        <v>1155</v>
      </c>
    </row>
    <row r="7177" spans="1:7" x14ac:dyDescent="0.3">
      <c r="A7177" t="s">
        <v>2380</v>
      </c>
      <c r="B7177" t="s">
        <v>2390</v>
      </c>
      <c r="C7177" t="s">
        <v>226</v>
      </c>
      <c r="D7177">
        <v>2011</v>
      </c>
      <c r="E7177" s="2">
        <v>10</v>
      </c>
      <c r="F7177" s="2">
        <v>1800</v>
      </c>
      <c r="G7177" s="2"/>
    </row>
    <row r="7178" spans="1:7" x14ac:dyDescent="0.3">
      <c r="A7178" t="s">
        <v>2380</v>
      </c>
      <c r="B7178" t="s">
        <v>2391</v>
      </c>
      <c r="D7178">
        <v>2020</v>
      </c>
      <c r="E7178" s="2">
        <v>2</v>
      </c>
      <c r="F7178" s="2">
        <v>860</v>
      </c>
      <c r="G7178" s="2">
        <v>903</v>
      </c>
    </row>
    <row r="7179" spans="1:7" x14ac:dyDescent="0.3">
      <c r="A7179" t="s">
        <v>2380</v>
      </c>
      <c r="B7179" t="s">
        <v>1715</v>
      </c>
      <c r="C7179" t="s">
        <v>1716</v>
      </c>
      <c r="D7179">
        <v>2011</v>
      </c>
      <c r="E7179" s="2">
        <v>10</v>
      </c>
      <c r="F7179" s="2">
        <v>2000</v>
      </c>
      <c r="G7179" s="2"/>
    </row>
    <row r="7180" spans="1:7" x14ac:dyDescent="0.3">
      <c r="A7180" t="s">
        <v>2380</v>
      </c>
      <c r="B7180" t="s">
        <v>157</v>
      </c>
      <c r="C7180" t="s">
        <v>158</v>
      </c>
      <c r="D7180">
        <v>2019</v>
      </c>
      <c r="E7180" s="2">
        <v>5</v>
      </c>
      <c r="F7180" s="2">
        <v>2700</v>
      </c>
      <c r="G7180" s="2">
        <v>2835</v>
      </c>
    </row>
    <row r="7181" spans="1:7" x14ac:dyDescent="0.3">
      <c r="A7181" t="s">
        <v>2380</v>
      </c>
      <c r="B7181" t="s">
        <v>157</v>
      </c>
      <c r="C7181" t="s">
        <v>158</v>
      </c>
      <c r="D7181">
        <v>2020</v>
      </c>
      <c r="E7181" s="2">
        <v>6</v>
      </c>
      <c r="F7181" s="2">
        <v>3240</v>
      </c>
      <c r="G7181" s="2">
        <v>3402</v>
      </c>
    </row>
    <row r="7182" spans="1:7" x14ac:dyDescent="0.3">
      <c r="A7182" t="s">
        <v>2380</v>
      </c>
      <c r="B7182" t="s">
        <v>157</v>
      </c>
      <c r="C7182" t="s">
        <v>158</v>
      </c>
      <c r="D7182">
        <v>2021</v>
      </c>
      <c r="E7182" s="2">
        <v>3</v>
      </c>
      <c r="F7182" s="2">
        <v>1605</v>
      </c>
      <c r="G7182" s="2">
        <v>1685.25</v>
      </c>
    </row>
    <row r="7183" spans="1:7" x14ac:dyDescent="0.3">
      <c r="A7183" t="s">
        <v>2392</v>
      </c>
      <c r="B7183" t="s">
        <v>216</v>
      </c>
      <c r="C7183" t="s">
        <v>217</v>
      </c>
      <c r="D7183">
        <v>2010</v>
      </c>
      <c r="E7183" s="2">
        <v>25</v>
      </c>
      <c r="F7183" s="2">
        <v>2817</v>
      </c>
      <c r="G7183" s="2"/>
    </row>
    <row r="7184" spans="1:7" x14ac:dyDescent="0.3">
      <c r="A7184" t="s">
        <v>2392</v>
      </c>
      <c r="B7184" t="s">
        <v>280</v>
      </c>
      <c r="C7184" t="s">
        <v>224</v>
      </c>
      <c r="D7184">
        <v>2009</v>
      </c>
      <c r="E7184" s="2">
        <v>20</v>
      </c>
      <c r="F7184" s="2">
        <v>2200</v>
      </c>
      <c r="G7184" s="2"/>
    </row>
    <row r="7185" spans="1:7" x14ac:dyDescent="0.3">
      <c r="A7185" t="s">
        <v>2392</v>
      </c>
      <c r="B7185" t="s">
        <v>2303</v>
      </c>
      <c r="C7185" t="s">
        <v>505</v>
      </c>
      <c r="D7185">
        <v>2009</v>
      </c>
      <c r="E7185" s="2">
        <v>20</v>
      </c>
      <c r="F7185" s="2">
        <v>2120</v>
      </c>
      <c r="G7185" s="2"/>
    </row>
    <row r="7186" spans="1:7" x14ac:dyDescent="0.3">
      <c r="A7186" t="s">
        <v>2392</v>
      </c>
      <c r="B7186" t="s">
        <v>2133</v>
      </c>
      <c r="D7186">
        <v>2010</v>
      </c>
      <c r="E7186" s="2">
        <v>25</v>
      </c>
      <c r="F7186" s="2">
        <v>2750</v>
      </c>
      <c r="G7186" s="2"/>
    </row>
    <row r="7187" spans="1:7" x14ac:dyDescent="0.3">
      <c r="A7187" t="s">
        <v>2392</v>
      </c>
      <c r="B7187" t="s">
        <v>2135</v>
      </c>
      <c r="D7187">
        <v>2009</v>
      </c>
      <c r="E7187" s="2">
        <v>20</v>
      </c>
      <c r="F7187" s="2">
        <v>1900</v>
      </c>
      <c r="G7187" s="2"/>
    </row>
    <row r="7188" spans="1:7" x14ac:dyDescent="0.3">
      <c r="A7188" t="s">
        <v>2392</v>
      </c>
      <c r="B7188" t="s">
        <v>2135</v>
      </c>
      <c r="D7188">
        <v>2010</v>
      </c>
      <c r="E7188" s="2">
        <v>25</v>
      </c>
      <c r="F7188" s="2">
        <v>2400</v>
      </c>
      <c r="G7188" s="2"/>
    </row>
    <row r="7189" spans="1:7" x14ac:dyDescent="0.3">
      <c r="A7189" t="s">
        <v>2392</v>
      </c>
      <c r="B7189" t="s">
        <v>614</v>
      </c>
      <c r="C7189" t="s">
        <v>141</v>
      </c>
      <c r="D7189">
        <v>2009</v>
      </c>
      <c r="E7189" s="2">
        <v>20</v>
      </c>
      <c r="F7189" s="2">
        <v>2060</v>
      </c>
      <c r="G7189" s="2"/>
    </row>
    <row r="7190" spans="1:7" x14ac:dyDescent="0.3">
      <c r="A7190" t="s">
        <v>2392</v>
      </c>
      <c r="B7190" t="s">
        <v>614</v>
      </c>
      <c r="C7190" t="s">
        <v>141</v>
      </c>
      <c r="D7190">
        <v>2010</v>
      </c>
      <c r="E7190" s="2">
        <v>160</v>
      </c>
      <c r="F7190" s="2">
        <v>17150</v>
      </c>
      <c r="G7190" s="2"/>
    </row>
    <row r="7191" spans="1:7" x14ac:dyDescent="0.3">
      <c r="A7191" t="s">
        <v>2392</v>
      </c>
      <c r="B7191" t="s">
        <v>2221</v>
      </c>
      <c r="C7191" t="s">
        <v>998</v>
      </c>
      <c r="D7191">
        <v>2010</v>
      </c>
      <c r="E7191" s="2">
        <v>30</v>
      </c>
      <c r="F7191" s="2">
        <v>3300</v>
      </c>
      <c r="G7191" s="2"/>
    </row>
    <row r="7192" spans="1:7" x14ac:dyDescent="0.3">
      <c r="A7192" t="s">
        <v>2392</v>
      </c>
      <c r="B7192" t="s">
        <v>1262</v>
      </c>
      <c r="C7192" t="s">
        <v>181</v>
      </c>
      <c r="D7192">
        <v>2010</v>
      </c>
      <c r="E7192" s="2">
        <v>25</v>
      </c>
      <c r="F7192" s="2">
        <v>2817</v>
      </c>
      <c r="G7192" s="2"/>
    </row>
    <row r="7193" spans="1:7" x14ac:dyDescent="0.3">
      <c r="A7193" t="s">
        <v>2392</v>
      </c>
      <c r="B7193" t="s">
        <v>103</v>
      </c>
      <c r="C7193" t="s">
        <v>2393</v>
      </c>
      <c r="D7193">
        <v>2009</v>
      </c>
      <c r="E7193" s="2">
        <v>20</v>
      </c>
      <c r="F7193" s="2">
        <v>2940</v>
      </c>
      <c r="G7193" s="2"/>
    </row>
    <row r="7194" spans="1:7" x14ac:dyDescent="0.3">
      <c r="A7194" t="s">
        <v>2392</v>
      </c>
      <c r="B7194" t="s">
        <v>2394</v>
      </c>
      <c r="C7194" t="s">
        <v>2395</v>
      </c>
      <c r="D7194">
        <v>2009</v>
      </c>
      <c r="E7194" s="2">
        <v>20</v>
      </c>
      <c r="F7194" s="2">
        <v>2260</v>
      </c>
      <c r="G7194" s="2"/>
    </row>
    <row r="7195" spans="1:7" x14ac:dyDescent="0.3">
      <c r="A7195" t="s">
        <v>2392</v>
      </c>
      <c r="B7195" t="s">
        <v>2394</v>
      </c>
      <c r="C7195" t="s">
        <v>2395</v>
      </c>
      <c r="D7195">
        <v>2010</v>
      </c>
      <c r="E7195" s="2">
        <v>25</v>
      </c>
      <c r="F7195" s="2">
        <v>2825</v>
      </c>
      <c r="G7195" s="2"/>
    </row>
    <row r="7196" spans="1:7" x14ac:dyDescent="0.3">
      <c r="A7196" t="s">
        <v>2392</v>
      </c>
      <c r="B7196" t="s">
        <v>2306</v>
      </c>
      <c r="C7196" t="s">
        <v>2307</v>
      </c>
      <c r="D7196">
        <v>2009</v>
      </c>
      <c r="E7196" s="2">
        <v>20</v>
      </c>
      <c r="F7196" s="2">
        <v>2200</v>
      </c>
      <c r="G7196" s="2"/>
    </row>
    <row r="7197" spans="1:7" x14ac:dyDescent="0.3">
      <c r="A7197" t="s">
        <v>2392</v>
      </c>
      <c r="B7197" t="s">
        <v>2306</v>
      </c>
      <c r="C7197" t="s">
        <v>2396</v>
      </c>
      <c r="D7197">
        <v>2009</v>
      </c>
      <c r="E7197" s="2">
        <v>10</v>
      </c>
      <c r="F7197" s="2">
        <v>2610</v>
      </c>
      <c r="G7197" s="2"/>
    </row>
    <row r="7198" spans="1:7" x14ac:dyDescent="0.3">
      <c r="A7198" t="s">
        <v>2392</v>
      </c>
      <c r="B7198" t="s">
        <v>2306</v>
      </c>
      <c r="C7198" t="s">
        <v>2396</v>
      </c>
      <c r="D7198">
        <v>2010</v>
      </c>
      <c r="E7198" s="2">
        <v>25</v>
      </c>
      <c r="F7198" s="2">
        <v>2817</v>
      </c>
      <c r="G7198" s="2"/>
    </row>
    <row r="7199" spans="1:7" x14ac:dyDescent="0.3">
      <c r="A7199" t="s">
        <v>2392</v>
      </c>
      <c r="B7199" t="s">
        <v>312</v>
      </c>
      <c r="C7199" t="s">
        <v>313</v>
      </c>
      <c r="D7199">
        <v>2009</v>
      </c>
      <c r="E7199" s="2">
        <v>50</v>
      </c>
      <c r="F7199" s="2">
        <v>5500</v>
      </c>
      <c r="G7199" s="2"/>
    </row>
    <row r="7200" spans="1:7" x14ac:dyDescent="0.3">
      <c r="A7200" t="s">
        <v>2392</v>
      </c>
      <c r="B7200" t="s">
        <v>312</v>
      </c>
      <c r="C7200" t="s">
        <v>313</v>
      </c>
      <c r="D7200">
        <v>2010</v>
      </c>
      <c r="E7200" s="2">
        <v>550</v>
      </c>
      <c r="F7200" s="2">
        <v>61839.5</v>
      </c>
      <c r="G7200" s="2"/>
    </row>
    <row r="7201" spans="1:7" x14ac:dyDescent="0.3">
      <c r="A7201" t="s">
        <v>2392</v>
      </c>
      <c r="B7201" t="s">
        <v>425</v>
      </c>
      <c r="C7201" t="s">
        <v>426</v>
      </c>
      <c r="D7201">
        <v>2009</v>
      </c>
      <c r="E7201" s="2">
        <v>20</v>
      </c>
      <c r="F7201" s="2">
        <v>2140</v>
      </c>
      <c r="G7201" s="2"/>
    </row>
    <row r="7202" spans="1:7" x14ac:dyDescent="0.3">
      <c r="A7202" t="s">
        <v>2392</v>
      </c>
      <c r="B7202" t="s">
        <v>378</v>
      </c>
      <c r="C7202" t="s">
        <v>379</v>
      </c>
      <c r="D7202">
        <v>2009</v>
      </c>
      <c r="E7202" s="2">
        <v>20</v>
      </c>
      <c r="F7202" s="2">
        <v>2200</v>
      </c>
      <c r="G7202" s="2"/>
    </row>
    <row r="7203" spans="1:7" x14ac:dyDescent="0.3">
      <c r="A7203" t="s">
        <v>2392</v>
      </c>
      <c r="B7203" t="s">
        <v>378</v>
      </c>
      <c r="C7203" t="s">
        <v>379</v>
      </c>
      <c r="D7203">
        <v>2010</v>
      </c>
      <c r="E7203" s="2">
        <v>25</v>
      </c>
      <c r="F7203" s="2">
        <v>3160</v>
      </c>
      <c r="G7203" s="2"/>
    </row>
    <row r="7204" spans="1:7" x14ac:dyDescent="0.3">
      <c r="A7204" t="s">
        <v>2392</v>
      </c>
      <c r="B7204" t="s">
        <v>2397</v>
      </c>
      <c r="C7204" t="s">
        <v>1279</v>
      </c>
      <c r="D7204">
        <v>2009</v>
      </c>
      <c r="E7204" s="2">
        <v>20</v>
      </c>
      <c r="F7204" s="2">
        <v>2100</v>
      </c>
      <c r="G7204" s="2"/>
    </row>
    <row r="7205" spans="1:7" x14ac:dyDescent="0.3">
      <c r="A7205" t="s">
        <v>2398</v>
      </c>
      <c r="B7205" t="s">
        <v>2399</v>
      </c>
      <c r="C7205" t="s">
        <v>2400</v>
      </c>
      <c r="D7205">
        <v>2015</v>
      </c>
      <c r="E7205" s="2">
        <v>25</v>
      </c>
      <c r="F7205" s="2">
        <v>2250</v>
      </c>
      <c r="G7205" s="2"/>
    </row>
    <row r="7206" spans="1:7" x14ac:dyDescent="0.3">
      <c r="A7206" t="s">
        <v>2398</v>
      </c>
      <c r="B7206" t="s">
        <v>12</v>
      </c>
      <c r="C7206" t="s">
        <v>13</v>
      </c>
      <c r="D7206">
        <v>2015</v>
      </c>
      <c r="E7206" s="2">
        <v>75</v>
      </c>
      <c r="F7206" s="2">
        <v>7125</v>
      </c>
      <c r="G7206" s="2"/>
    </row>
    <row r="7207" spans="1:7" x14ac:dyDescent="0.3">
      <c r="A7207" t="s">
        <v>2401</v>
      </c>
      <c r="B7207" t="s">
        <v>581</v>
      </c>
      <c r="C7207" t="s">
        <v>582</v>
      </c>
      <c r="D7207">
        <v>2014</v>
      </c>
      <c r="E7207" s="2">
        <v>5</v>
      </c>
      <c r="F7207" s="2">
        <v>1100</v>
      </c>
      <c r="G7207" s="2"/>
    </row>
    <row r="7208" spans="1:7" x14ac:dyDescent="0.3">
      <c r="A7208" t="s">
        <v>2401</v>
      </c>
      <c r="B7208" t="s">
        <v>280</v>
      </c>
      <c r="C7208" t="s">
        <v>954</v>
      </c>
      <c r="D7208">
        <v>2009</v>
      </c>
      <c r="E7208" s="2">
        <v>20</v>
      </c>
      <c r="F7208" s="2">
        <v>4300</v>
      </c>
      <c r="G7208" s="2"/>
    </row>
    <row r="7209" spans="1:7" x14ac:dyDescent="0.3">
      <c r="A7209" t="s">
        <v>2401</v>
      </c>
      <c r="B7209" t="s">
        <v>280</v>
      </c>
      <c r="C7209" t="s">
        <v>954</v>
      </c>
      <c r="D7209">
        <v>2017</v>
      </c>
      <c r="E7209" s="2">
        <v>10</v>
      </c>
      <c r="F7209" s="2">
        <v>2000</v>
      </c>
      <c r="G7209" s="2"/>
    </row>
    <row r="7210" spans="1:7" x14ac:dyDescent="0.3">
      <c r="A7210" t="s">
        <v>2401</v>
      </c>
      <c r="B7210" t="s">
        <v>218</v>
      </c>
      <c r="C7210" t="s">
        <v>212</v>
      </c>
      <c r="D7210">
        <v>2010</v>
      </c>
      <c r="E7210" s="2">
        <v>25</v>
      </c>
      <c r="F7210" s="2">
        <v>5336</v>
      </c>
      <c r="G7210" s="2"/>
    </row>
    <row r="7211" spans="1:7" x14ac:dyDescent="0.3">
      <c r="A7211" t="s">
        <v>2401</v>
      </c>
      <c r="B7211" t="s">
        <v>218</v>
      </c>
      <c r="C7211" t="s">
        <v>212</v>
      </c>
      <c r="D7211">
        <v>2012</v>
      </c>
      <c r="E7211" s="2">
        <v>25</v>
      </c>
      <c r="F7211" s="2">
        <v>5375</v>
      </c>
      <c r="G7211" s="2"/>
    </row>
    <row r="7212" spans="1:7" x14ac:dyDescent="0.3">
      <c r="A7212" t="s">
        <v>2401</v>
      </c>
      <c r="B7212" t="s">
        <v>2402</v>
      </c>
      <c r="C7212" t="s">
        <v>2403</v>
      </c>
      <c r="D7212">
        <v>2016</v>
      </c>
      <c r="E7212" s="2">
        <v>25</v>
      </c>
      <c r="F7212" s="2">
        <v>6750</v>
      </c>
      <c r="G7212" s="2"/>
    </row>
    <row r="7213" spans="1:7" x14ac:dyDescent="0.3">
      <c r="A7213" t="s">
        <v>2401</v>
      </c>
      <c r="B7213" t="s">
        <v>219</v>
      </c>
      <c r="C7213" t="s">
        <v>220</v>
      </c>
      <c r="D7213">
        <v>2011</v>
      </c>
      <c r="E7213" s="2">
        <v>10</v>
      </c>
      <c r="F7213" s="2">
        <v>1900</v>
      </c>
      <c r="G7213" s="2"/>
    </row>
    <row r="7214" spans="1:7" x14ac:dyDescent="0.3">
      <c r="A7214" t="s">
        <v>2401</v>
      </c>
      <c r="B7214" t="s">
        <v>612</v>
      </c>
      <c r="C7214" t="s">
        <v>613</v>
      </c>
      <c r="D7214">
        <v>2014</v>
      </c>
      <c r="E7214" s="2">
        <v>20</v>
      </c>
      <c r="F7214" s="2">
        <v>5850</v>
      </c>
      <c r="G7214" s="2"/>
    </row>
    <row r="7215" spans="1:7" x14ac:dyDescent="0.3">
      <c r="A7215" t="s">
        <v>2401</v>
      </c>
      <c r="B7215" t="s">
        <v>252</v>
      </c>
      <c r="C7215" t="s">
        <v>191</v>
      </c>
      <c r="D7215">
        <v>2020</v>
      </c>
      <c r="E7215" s="2">
        <v>5</v>
      </c>
      <c r="F7215" s="2">
        <v>1100</v>
      </c>
      <c r="G7215" s="2">
        <v>1155</v>
      </c>
    </row>
    <row r="7216" spans="1:7" x14ac:dyDescent="0.3">
      <c r="A7216" t="s">
        <v>2401</v>
      </c>
      <c r="B7216" t="s">
        <v>252</v>
      </c>
      <c r="C7216" t="s">
        <v>191</v>
      </c>
      <c r="D7216">
        <v>2021</v>
      </c>
      <c r="E7216" s="2">
        <v>5</v>
      </c>
      <c r="F7216" s="2">
        <v>1100</v>
      </c>
      <c r="G7216" s="2">
        <v>1155</v>
      </c>
    </row>
    <row r="7217" spans="1:7" x14ac:dyDescent="0.3">
      <c r="A7217" t="s">
        <v>2401</v>
      </c>
      <c r="B7217" t="s">
        <v>363</v>
      </c>
      <c r="C7217" t="s">
        <v>364</v>
      </c>
      <c r="D7217">
        <v>2015</v>
      </c>
      <c r="E7217" s="2">
        <v>1</v>
      </c>
      <c r="F7217" s="2">
        <v>220</v>
      </c>
      <c r="G7217" s="2"/>
    </row>
    <row r="7218" spans="1:7" x14ac:dyDescent="0.3">
      <c r="A7218" t="s">
        <v>2401</v>
      </c>
      <c r="B7218" t="s">
        <v>2404</v>
      </c>
      <c r="C7218" t="s">
        <v>2405</v>
      </c>
      <c r="D7218">
        <v>2010</v>
      </c>
      <c r="E7218" s="2">
        <v>25</v>
      </c>
      <c r="F7218" s="2">
        <v>5980</v>
      </c>
      <c r="G7218" s="2"/>
    </row>
    <row r="7219" spans="1:7" x14ac:dyDescent="0.3">
      <c r="A7219" t="s">
        <v>2401</v>
      </c>
      <c r="B7219" t="s">
        <v>257</v>
      </c>
      <c r="C7219" t="s">
        <v>61</v>
      </c>
      <c r="D7219">
        <v>2019</v>
      </c>
      <c r="E7219" s="2">
        <v>5</v>
      </c>
      <c r="F7219" s="2">
        <v>350</v>
      </c>
      <c r="G7219" s="2">
        <v>367.5</v>
      </c>
    </row>
    <row r="7220" spans="1:7" x14ac:dyDescent="0.3">
      <c r="A7220" t="s">
        <v>2401</v>
      </c>
      <c r="B7220" t="s">
        <v>514</v>
      </c>
      <c r="C7220" t="s">
        <v>515</v>
      </c>
      <c r="D7220">
        <v>2017</v>
      </c>
      <c r="E7220" s="2">
        <v>225</v>
      </c>
      <c r="F7220" s="2">
        <v>47175</v>
      </c>
      <c r="G7220" s="2"/>
    </row>
    <row r="7221" spans="1:7" x14ac:dyDescent="0.3">
      <c r="A7221" t="s">
        <v>2401</v>
      </c>
      <c r="B7221" t="s">
        <v>514</v>
      </c>
      <c r="C7221" t="s">
        <v>515</v>
      </c>
      <c r="D7221">
        <v>2018</v>
      </c>
      <c r="E7221" s="2">
        <v>75</v>
      </c>
      <c r="F7221" s="2">
        <v>15750</v>
      </c>
      <c r="G7221" s="2">
        <v>16537.5</v>
      </c>
    </row>
    <row r="7222" spans="1:7" x14ac:dyDescent="0.3">
      <c r="A7222" t="s">
        <v>2401</v>
      </c>
      <c r="B7222" t="s">
        <v>514</v>
      </c>
      <c r="C7222" t="s">
        <v>515</v>
      </c>
      <c r="D7222">
        <v>2019</v>
      </c>
      <c r="E7222" s="2">
        <v>150</v>
      </c>
      <c r="F7222" s="2">
        <v>31500</v>
      </c>
      <c r="G7222" s="2">
        <v>33075</v>
      </c>
    </row>
    <row r="7223" spans="1:7" x14ac:dyDescent="0.3">
      <c r="A7223" t="s">
        <v>2401</v>
      </c>
      <c r="B7223" t="s">
        <v>514</v>
      </c>
      <c r="C7223" t="s">
        <v>515</v>
      </c>
      <c r="D7223">
        <v>2020</v>
      </c>
      <c r="E7223" s="2">
        <v>80</v>
      </c>
      <c r="F7223" s="2">
        <v>16800</v>
      </c>
      <c r="G7223" s="2">
        <v>17640</v>
      </c>
    </row>
    <row r="7224" spans="1:7" x14ac:dyDescent="0.3">
      <c r="A7224" t="s">
        <v>2401</v>
      </c>
      <c r="B7224" t="s">
        <v>514</v>
      </c>
      <c r="C7224" t="s">
        <v>515</v>
      </c>
      <c r="D7224">
        <v>2021</v>
      </c>
      <c r="E7224" s="2">
        <v>25</v>
      </c>
      <c r="F7224" s="2">
        <v>5250</v>
      </c>
      <c r="G7224" s="2">
        <v>5512.5</v>
      </c>
    </row>
    <row r="7225" spans="1:7" x14ac:dyDescent="0.3">
      <c r="A7225" t="s">
        <v>2401</v>
      </c>
      <c r="B7225" t="s">
        <v>516</v>
      </c>
      <c r="D7225">
        <v>2020</v>
      </c>
      <c r="E7225" s="2">
        <v>5</v>
      </c>
      <c r="F7225" s="2">
        <v>1050</v>
      </c>
      <c r="G7225" s="2">
        <v>1102.5</v>
      </c>
    </row>
    <row r="7226" spans="1:7" x14ac:dyDescent="0.3">
      <c r="A7226" t="s">
        <v>2401</v>
      </c>
      <c r="B7226" t="s">
        <v>1276</v>
      </c>
      <c r="C7226" t="s">
        <v>80</v>
      </c>
      <c r="D7226">
        <v>2009</v>
      </c>
      <c r="E7226" s="2">
        <v>10</v>
      </c>
      <c r="F7226" s="2">
        <v>1250</v>
      </c>
      <c r="G7226" s="2"/>
    </row>
    <row r="7227" spans="1:7" x14ac:dyDescent="0.3">
      <c r="A7227" t="s">
        <v>2401</v>
      </c>
      <c r="B7227" t="s">
        <v>1009</v>
      </c>
      <c r="C7227" t="s">
        <v>934</v>
      </c>
      <c r="D7227">
        <v>2019</v>
      </c>
      <c r="E7227" s="2">
        <v>5</v>
      </c>
      <c r="F7227" s="2">
        <v>350</v>
      </c>
      <c r="G7227" s="2">
        <v>367.5</v>
      </c>
    </row>
    <row r="7228" spans="1:7" x14ac:dyDescent="0.3">
      <c r="A7228" t="s">
        <v>2401</v>
      </c>
      <c r="B7228" t="s">
        <v>2304</v>
      </c>
      <c r="C7228" t="s">
        <v>2305</v>
      </c>
      <c r="D7228">
        <v>2011</v>
      </c>
      <c r="E7228" s="2">
        <v>10</v>
      </c>
      <c r="F7228" s="2">
        <v>1300</v>
      </c>
      <c r="G7228" s="2"/>
    </row>
    <row r="7229" spans="1:7" x14ac:dyDescent="0.3">
      <c r="A7229" t="s">
        <v>2401</v>
      </c>
      <c r="B7229" t="s">
        <v>2406</v>
      </c>
      <c r="C7229" t="s">
        <v>1279</v>
      </c>
      <c r="D7229">
        <v>2009</v>
      </c>
      <c r="E7229" s="2">
        <v>35</v>
      </c>
      <c r="F7229" s="2">
        <v>4025</v>
      </c>
      <c r="G7229" s="2"/>
    </row>
    <row r="7230" spans="1:7" x14ac:dyDescent="0.3">
      <c r="A7230" t="s">
        <v>2401</v>
      </c>
      <c r="B7230" t="s">
        <v>2406</v>
      </c>
      <c r="C7230" t="s">
        <v>1279</v>
      </c>
      <c r="D7230">
        <v>2010</v>
      </c>
      <c r="E7230" s="2">
        <v>25</v>
      </c>
      <c r="F7230" s="2">
        <v>3250</v>
      </c>
      <c r="G7230" s="2"/>
    </row>
    <row r="7231" spans="1:7" x14ac:dyDescent="0.3">
      <c r="A7231" t="s">
        <v>2401</v>
      </c>
      <c r="B7231" t="s">
        <v>2406</v>
      </c>
      <c r="C7231" t="s">
        <v>1279</v>
      </c>
      <c r="D7231">
        <v>2011</v>
      </c>
      <c r="E7231" s="2">
        <v>25</v>
      </c>
      <c r="F7231" s="2">
        <v>3500</v>
      </c>
      <c r="G7231" s="2"/>
    </row>
    <row r="7232" spans="1:7" x14ac:dyDescent="0.3">
      <c r="A7232" t="s">
        <v>2401</v>
      </c>
      <c r="B7232" t="s">
        <v>19</v>
      </c>
      <c r="C7232" t="s">
        <v>20</v>
      </c>
      <c r="D7232">
        <v>2020</v>
      </c>
      <c r="E7232" s="2">
        <v>1350</v>
      </c>
      <c r="F7232" s="2">
        <v>94500</v>
      </c>
      <c r="G7232" s="2">
        <v>99225</v>
      </c>
    </row>
    <row r="7233" spans="1:7" x14ac:dyDescent="0.3">
      <c r="A7233" t="s">
        <v>2401</v>
      </c>
      <c r="B7233" t="s">
        <v>21</v>
      </c>
      <c r="C7233" t="s">
        <v>22</v>
      </c>
      <c r="D7233">
        <v>2014</v>
      </c>
      <c r="E7233" s="2">
        <v>10</v>
      </c>
      <c r="F7233" s="2">
        <v>1200</v>
      </c>
      <c r="G7233" s="2"/>
    </row>
    <row r="7234" spans="1:7" x14ac:dyDescent="0.3">
      <c r="A7234" t="s">
        <v>2401</v>
      </c>
      <c r="B7234" t="s">
        <v>21</v>
      </c>
      <c r="C7234" t="s">
        <v>22</v>
      </c>
      <c r="D7234">
        <v>2015</v>
      </c>
      <c r="E7234" s="2">
        <v>10</v>
      </c>
      <c r="F7234" s="2">
        <v>1200</v>
      </c>
      <c r="G7234" s="2"/>
    </row>
    <row r="7235" spans="1:7" x14ac:dyDescent="0.3">
      <c r="A7235" t="s">
        <v>2401</v>
      </c>
      <c r="B7235" t="s">
        <v>21</v>
      </c>
      <c r="C7235" t="s">
        <v>22</v>
      </c>
      <c r="D7235">
        <v>2016</v>
      </c>
      <c r="E7235" s="2">
        <v>5</v>
      </c>
      <c r="F7235" s="2">
        <v>600</v>
      </c>
      <c r="G7235" s="2"/>
    </row>
    <row r="7236" spans="1:7" x14ac:dyDescent="0.3">
      <c r="A7236" t="s">
        <v>2401</v>
      </c>
      <c r="B7236" t="s">
        <v>21</v>
      </c>
      <c r="C7236" t="s">
        <v>22</v>
      </c>
      <c r="D7236">
        <v>2018</v>
      </c>
      <c r="E7236" s="2">
        <v>10</v>
      </c>
      <c r="F7236" s="2">
        <v>1200</v>
      </c>
      <c r="G7236" s="2">
        <v>1260</v>
      </c>
    </row>
    <row r="7237" spans="1:7" x14ac:dyDescent="0.3">
      <c r="A7237" t="s">
        <v>2401</v>
      </c>
      <c r="B7237" t="s">
        <v>471</v>
      </c>
      <c r="C7237" t="s">
        <v>472</v>
      </c>
      <c r="D7237">
        <v>2015</v>
      </c>
      <c r="E7237" s="2">
        <v>10</v>
      </c>
      <c r="F7237" s="2">
        <v>1800</v>
      </c>
      <c r="G7237" s="2"/>
    </row>
    <row r="7238" spans="1:7" x14ac:dyDescent="0.3">
      <c r="A7238" t="s">
        <v>2401</v>
      </c>
      <c r="B7238" t="s">
        <v>471</v>
      </c>
      <c r="C7238" t="s">
        <v>472</v>
      </c>
      <c r="D7238">
        <v>2016</v>
      </c>
      <c r="E7238" s="2">
        <v>5</v>
      </c>
      <c r="F7238" s="2">
        <v>900</v>
      </c>
      <c r="G7238" s="2"/>
    </row>
    <row r="7239" spans="1:7" x14ac:dyDescent="0.3">
      <c r="A7239" t="s">
        <v>2401</v>
      </c>
      <c r="B7239" t="s">
        <v>471</v>
      </c>
      <c r="C7239" t="s">
        <v>472</v>
      </c>
      <c r="D7239">
        <v>2017</v>
      </c>
      <c r="E7239" s="2">
        <v>10</v>
      </c>
      <c r="F7239" s="2">
        <v>1800</v>
      </c>
      <c r="G7239" s="2"/>
    </row>
    <row r="7240" spans="1:7" x14ac:dyDescent="0.3">
      <c r="A7240" t="s">
        <v>2401</v>
      </c>
      <c r="B7240" t="s">
        <v>1928</v>
      </c>
      <c r="C7240" t="s">
        <v>89</v>
      </c>
      <c r="D7240">
        <v>2017</v>
      </c>
      <c r="E7240" s="2">
        <v>25</v>
      </c>
      <c r="F7240" s="2">
        <v>6500</v>
      </c>
      <c r="G7240" s="2"/>
    </row>
    <row r="7241" spans="1:7" x14ac:dyDescent="0.3">
      <c r="A7241" t="s">
        <v>2401</v>
      </c>
      <c r="B7241" t="s">
        <v>1928</v>
      </c>
      <c r="C7241" t="s">
        <v>89</v>
      </c>
      <c r="D7241">
        <v>2018</v>
      </c>
      <c r="E7241" s="2">
        <v>25</v>
      </c>
      <c r="F7241" s="2">
        <v>6500</v>
      </c>
      <c r="G7241" s="2">
        <v>6825</v>
      </c>
    </row>
    <row r="7242" spans="1:7" x14ac:dyDescent="0.3">
      <c r="A7242" t="s">
        <v>2401</v>
      </c>
      <c r="B7242" t="s">
        <v>2407</v>
      </c>
      <c r="D7242">
        <v>2014</v>
      </c>
      <c r="E7242" s="2">
        <v>25</v>
      </c>
      <c r="F7242" s="2">
        <v>7000</v>
      </c>
      <c r="G7242" s="2"/>
    </row>
    <row r="7243" spans="1:7" x14ac:dyDescent="0.3">
      <c r="A7243" t="s">
        <v>2401</v>
      </c>
      <c r="B7243" t="s">
        <v>2407</v>
      </c>
      <c r="D7243">
        <v>2015</v>
      </c>
      <c r="E7243" s="2">
        <v>25</v>
      </c>
      <c r="F7243" s="2">
        <v>7000</v>
      </c>
      <c r="G7243" s="2"/>
    </row>
    <row r="7244" spans="1:7" x14ac:dyDescent="0.3">
      <c r="A7244" t="s">
        <v>2401</v>
      </c>
      <c r="B7244" t="s">
        <v>517</v>
      </c>
      <c r="C7244" t="s">
        <v>145</v>
      </c>
      <c r="D7244">
        <v>2021</v>
      </c>
      <c r="E7244" s="2">
        <v>25</v>
      </c>
      <c r="F7244" s="2">
        <v>2625</v>
      </c>
      <c r="G7244" s="2">
        <v>2756.25</v>
      </c>
    </row>
    <row r="7245" spans="1:7" x14ac:dyDescent="0.3">
      <c r="A7245" t="s">
        <v>2401</v>
      </c>
      <c r="B7245" t="s">
        <v>137</v>
      </c>
      <c r="C7245" t="s">
        <v>138</v>
      </c>
      <c r="D7245">
        <v>2011</v>
      </c>
      <c r="E7245" s="2">
        <v>100</v>
      </c>
      <c r="F7245" s="2">
        <v>16500</v>
      </c>
      <c r="G7245" s="2"/>
    </row>
    <row r="7246" spans="1:7" x14ac:dyDescent="0.3">
      <c r="A7246" t="s">
        <v>2401</v>
      </c>
      <c r="B7246" t="s">
        <v>137</v>
      </c>
      <c r="C7246" t="s">
        <v>138</v>
      </c>
      <c r="D7246">
        <v>2012</v>
      </c>
      <c r="E7246" s="2">
        <v>25</v>
      </c>
      <c r="F7246" s="2">
        <v>3750</v>
      </c>
      <c r="G7246" s="2"/>
    </row>
    <row r="7247" spans="1:7" x14ac:dyDescent="0.3">
      <c r="A7247" t="s">
        <v>2401</v>
      </c>
      <c r="B7247" t="s">
        <v>137</v>
      </c>
      <c r="C7247" t="s">
        <v>138</v>
      </c>
      <c r="D7247">
        <v>2013</v>
      </c>
      <c r="E7247" s="2">
        <v>25</v>
      </c>
      <c r="F7247" s="2">
        <v>3750</v>
      </c>
      <c r="G7247" s="2"/>
    </row>
    <row r="7248" spans="1:7" x14ac:dyDescent="0.3">
      <c r="A7248" t="s">
        <v>2401</v>
      </c>
      <c r="B7248" t="s">
        <v>137</v>
      </c>
      <c r="C7248" t="s">
        <v>138</v>
      </c>
      <c r="D7248">
        <v>2014</v>
      </c>
      <c r="E7248" s="2">
        <v>45</v>
      </c>
      <c r="F7248" s="2">
        <v>6750</v>
      </c>
      <c r="G7248" s="2"/>
    </row>
    <row r="7249" spans="1:7" x14ac:dyDescent="0.3">
      <c r="A7249" t="s">
        <v>2401</v>
      </c>
      <c r="B7249" t="s">
        <v>137</v>
      </c>
      <c r="C7249" t="s">
        <v>138</v>
      </c>
      <c r="D7249">
        <v>2015</v>
      </c>
      <c r="E7249" s="2">
        <v>35</v>
      </c>
      <c r="F7249" s="2">
        <v>5250</v>
      </c>
      <c r="G7249" s="2"/>
    </row>
    <row r="7250" spans="1:7" x14ac:dyDescent="0.3">
      <c r="A7250" t="s">
        <v>2401</v>
      </c>
      <c r="B7250" t="s">
        <v>137</v>
      </c>
      <c r="C7250" t="s">
        <v>138</v>
      </c>
      <c r="D7250">
        <v>2017</v>
      </c>
      <c r="E7250" s="2">
        <v>25</v>
      </c>
      <c r="F7250" s="2">
        <v>3750</v>
      </c>
      <c r="G7250" s="2"/>
    </row>
    <row r="7251" spans="1:7" x14ac:dyDescent="0.3">
      <c r="A7251" t="s">
        <v>2401</v>
      </c>
      <c r="B7251" t="s">
        <v>137</v>
      </c>
      <c r="C7251" t="s">
        <v>138</v>
      </c>
      <c r="D7251">
        <v>2018</v>
      </c>
      <c r="E7251" s="2">
        <v>15</v>
      </c>
      <c r="F7251" s="2">
        <v>2250</v>
      </c>
      <c r="G7251" s="2">
        <v>2362.5</v>
      </c>
    </row>
    <row r="7252" spans="1:7" x14ac:dyDescent="0.3">
      <c r="A7252" t="s">
        <v>2401</v>
      </c>
      <c r="B7252" t="s">
        <v>137</v>
      </c>
      <c r="C7252" t="s">
        <v>138</v>
      </c>
      <c r="D7252">
        <v>2019</v>
      </c>
      <c r="E7252" s="2">
        <v>5</v>
      </c>
      <c r="F7252" s="2">
        <v>750</v>
      </c>
      <c r="G7252" s="2">
        <v>787.5</v>
      </c>
    </row>
    <row r="7253" spans="1:7" x14ac:dyDescent="0.3">
      <c r="A7253" t="s">
        <v>2401</v>
      </c>
      <c r="B7253" t="s">
        <v>438</v>
      </c>
      <c r="C7253" t="s">
        <v>439</v>
      </c>
      <c r="D7253">
        <v>2020</v>
      </c>
      <c r="E7253" s="2">
        <v>500</v>
      </c>
      <c r="F7253" s="2">
        <v>34000</v>
      </c>
      <c r="G7253" s="2">
        <v>35700</v>
      </c>
    </row>
    <row r="7254" spans="1:7" x14ac:dyDescent="0.3">
      <c r="A7254" t="s">
        <v>2401</v>
      </c>
      <c r="B7254" t="s">
        <v>799</v>
      </c>
      <c r="C7254" t="s">
        <v>800</v>
      </c>
      <c r="D7254">
        <v>2009</v>
      </c>
      <c r="E7254" s="2">
        <v>50</v>
      </c>
      <c r="F7254" s="2">
        <v>8500</v>
      </c>
      <c r="G7254" s="2"/>
    </row>
    <row r="7255" spans="1:7" x14ac:dyDescent="0.3">
      <c r="A7255" t="s">
        <v>2401</v>
      </c>
      <c r="B7255" t="s">
        <v>886</v>
      </c>
      <c r="C7255" t="s">
        <v>145</v>
      </c>
      <c r="D7255">
        <v>2014</v>
      </c>
      <c r="E7255" s="2">
        <v>25</v>
      </c>
      <c r="F7255" s="2">
        <v>6200</v>
      </c>
      <c r="G7255" s="2"/>
    </row>
    <row r="7256" spans="1:7" x14ac:dyDescent="0.3">
      <c r="A7256" t="s">
        <v>2401</v>
      </c>
      <c r="B7256" t="s">
        <v>886</v>
      </c>
      <c r="C7256" t="s">
        <v>145</v>
      </c>
      <c r="D7256">
        <v>2015</v>
      </c>
      <c r="E7256" s="2">
        <v>35</v>
      </c>
      <c r="F7256" s="2">
        <v>10150</v>
      </c>
      <c r="G7256" s="2"/>
    </row>
    <row r="7257" spans="1:7" x14ac:dyDescent="0.3">
      <c r="A7257" t="s">
        <v>2401</v>
      </c>
      <c r="B7257" t="s">
        <v>886</v>
      </c>
      <c r="C7257" t="s">
        <v>145</v>
      </c>
      <c r="D7257">
        <v>2016</v>
      </c>
      <c r="E7257" s="2">
        <v>45</v>
      </c>
      <c r="F7257" s="2">
        <v>12050</v>
      </c>
      <c r="G7257" s="2"/>
    </row>
    <row r="7258" spans="1:7" x14ac:dyDescent="0.3">
      <c r="A7258" t="s">
        <v>2401</v>
      </c>
      <c r="B7258" t="s">
        <v>886</v>
      </c>
      <c r="C7258" t="s">
        <v>145</v>
      </c>
      <c r="D7258">
        <v>2018</v>
      </c>
      <c r="E7258" s="2">
        <v>25</v>
      </c>
      <c r="F7258" s="2">
        <v>6000</v>
      </c>
      <c r="G7258" s="2">
        <v>6300</v>
      </c>
    </row>
    <row r="7259" spans="1:7" x14ac:dyDescent="0.3">
      <c r="A7259" t="s">
        <v>2401</v>
      </c>
      <c r="B7259" t="s">
        <v>1602</v>
      </c>
      <c r="C7259" t="s">
        <v>521</v>
      </c>
      <c r="D7259">
        <v>2010</v>
      </c>
      <c r="E7259" s="2">
        <v>70</v>
      </c>
      <c r="F7259" s="2">
        <v>8050</v>
      </c>
      <c r="G7259" s="2"/>
    </row>
    <row r="7260" spans="1:7" x14ac:dyDescent="0.3">
      <c r="A7260" t="s">
        <v>2401</v>
      </c>
      <c r="B7260" t="s">
        <v>1602</v>
      </c>
      <c r="C7260" t="s">
        <v>521</v>
      </c>
      <c r="D7260">
        <v>2011</v>
      </c>
      <c r="E7260" s="2">
        <v>25</v>
      </c>
      <c r="F7260" s="2">
        <v>3600</v>
      </c>
      <c r="G7260" s="2"/>
    </row>
    <row r="7261" spans="1:7" x14ac:dyDescent="0.3">
      <c r="A7261" t="s">
        <v>2401</v>
      </c>
      <c r="B7261" t="s">
        <v>263</v>
      </c>
      <c r="C7261" t="s">
        <v>264</v>
      </c>
      <c r="D7261">
        <v>2019</v>
      </c>
      <c r="E7261" s="2">
        <v>5</v>
      </c>
      <c r="F7261" s="2">
        <v>1050</v>
      </c>
      <c r="G7261" s="2">
        <v>1102.5</v>
      </c>
    </row>
    <row r="7262" spans="1:7" x14ac:dyDescent="0.3">
      <c r="A7262" t="s">
        <v>2401</v>
      </c>
      <c r="B7262" t="s">
        <v>263</v>
      </c>
      <c r="C7262" t="s">
        <v>264</v>
      </c>
      <c r="D7262">
        <v>2021</v>
      </c>
      <c r="E7262" s="2">
        <v>5</v>
      </c>
      <c r="F7262" s="2">
        <v>1050</v>
      </c>
      <c r="G7262" s="2">
        <v>1102.5</v>
      </c>
    </row>
    <row r="7263" spans="1:7" x14ac:dyDescent="0.3">
      <c r="A7263" t="s">
        <v>2401</v>
      </c>
      <c r="B7263" t="s">
        <v>265</v>
      </c>
      <c r="C7263" t="s">
        <v>197</v>
      </c>
      <c r="D7263">
        <v>2018</v>
      </c>
      <c r="E7263" s="2">
        <v>85</v>
      </c>
      <c r="F7263" s="2">
        <v>10500</v>
      </c>
      <c r="G7263" s="2">
        <v>11025</v>
      </c>
    </row>
    <row r="7264" spans="1:7" x14ac:dyDescent="0.3">
      <c r="A7264" t="s">
        <v>2401</v>
      </c>
      <c r="B7264" t="s">
        <v>265</v>
      </c>
      <c r="C7264" t="s">
        <v>197</v>
      </c>
      <c r="D7264">
        <v>2019</v>
      </c>
      <c r="E7264" s="2">
        <v>175</v>
      </c>
      <c r="F7264" s="2">
        <v>20650</v>
      </c>
      <c r="G7264" s="2">
        <v>21682.5</v>
      </c>
    </row>
    <row r="7265" spans="1:7" x14ac:dyDescent="0.3">
      <c r="A7265" t="s">
        <v>2401</v>
      </c>
      <c r="B7265" t="s">
        <v>383</v>
      </c>
      <c r="C7265" t="s">
        <v>384</v>
      </c>
      <c r="D7265">
        <v>2019</v>
      </c>
      <c r="E7265" s="2">
        <v>5</v>
      </c>
      <c r="F7265" s="2">
        <v>900</v>
      </c>
      <c r="G7265" s="2">
        <v>945</v>
      </c>
    </row>
    <row r="7266" spans="1:7" x14ac:dyDescent="0.3">
      <c r="A7266" t="s">
        <v>2401</v>
      </c>
      <c r="B7266" t="s">
        <v>383</v>
      </c>
      <c r="C7266" t="s">
        <v>384</v>
      </c>
      <c r="D7266">
        <v>2020</v>
      </c>
      <c r="E7266" s="2">
        <v>5</v>
      </c>
      <c r="F7266" s="2">
        <v>900</v>
      </c>
      <c r="G7266" s="2">
        <v>945</v>
      </c>
    </row>
    <row r="7267" spans="1:7" x14ac:dyDescent="0.3">
      <c r="A7267" t="s">
        <v>2401</v>
      </c>
      <c r="B7267" t="s">
        <v>383</v>
      </c>
      <c r="C7267" t="s">
        <v>385</v>
      </c>
      <c r="D7267">
        <v>2021</v>
      </c>
      <c r="E7267" s="2">
        <v>25</v>
      </c>
      <c r="F7267" s="2">
        <v>2125</v>
      </c>
      <c r="G7267" s="2">
        <v>2231.25</v>
      </c>
    </row>
    <row r="7268" spans="1:7" x14ac:dyDescent="0.3">
      <c r="A7268" t="s">
        <v>2401</v>
      </c>
      <c r="B7268" t="s">
        <v>72</v>
      </c>
      <c r="C7268" t="s">
        <v>319</v>
      </c>
      <c r="D7268">
        <v>2018</v>
      </c>
      <c r="E7268" s="2">
        <v>45</v>
      </c>
      <c r="F7268" s="2">
        <v>5950</v>
      </c>
      <c r="G7268" s="2">
        <v>6247.5</v>
      </c>
    </row>
    <row r="7269" spans="1:7" x14ac:dyDescent="0.3">
      <c r="A7269" t="s">
        <v>2401</v>
      </c>
      <c r="B7269" t="s">
        <v>72</v>
      </c>
      <c r="C7269" t="s">
        <v>319</v>
      </c>
      <c r="D7269">
        <v>2019</v>
      </c>
      <c r="E7269" s="2">
        <v>105</v>
      </c>
      <c r="F7269" s="2">
        <v>13650</v>
      </c>
      <c r="G7269" s="2">
        <v>14332.5</v>
      </c>
    </row>
    <row r="7270" spans="1:7" x14ac:dyDescent="0.3">
      <c r="A7270" t="s">
        <v>2401</v>
      </c>
      <c r="B7270" t="s">
        <v>72</v>
      </c>
      <c r="C7270" t="s">
        <v>319</v>
      </c>
      <c r="D7270">
        <v>2020</v>
      </c>
      <c r="E7270" s="2">
        <v>100</v>
      </c>
      <c r="F7270" s="2">
        <v>12250</v>
      </c>
      <c r="G7270" s="2">
        <v>12862.5</v>
      </c>
    </row>
    <row r="7271" spans="1:7" x14ac:dyDescent="0.3">
      <c r="A7271" t="s">
        <v>2401</v>
      </c>
      <c r="B7271" t="s">
        <v>841</v>
      </c>
      <c r="C7271" t="s">
        <v>169</v>
      </c>
      <c r="D7271">
        <v>2019</v>
      </c>
      <c r="E7271" s="2">
        <v>10</v>
      </c>
      <c r="F7271" s="2">
        <v>2000</v>
      </c>
      <c r="G7271" s="2">
        <v>2100</v>
      </c>
    </row>
    <row r="7272" spans="1:7" x14ac:dyDescent="0.3">
      <c r="A7272" t="s">
        <v>2401</v>
      </c>
      <c r="B7272" t="s">
        <v>2408</v>
      </c>
      <c r="C7272" t="s">
        <v>2409</v>
      </c>
      <c r="D7272">
        <v>2012</v>
      </c>
      <c r="E7272" s="2">
        <v>25</v>
      </c>
      <c r="F7272" s="2">
        <v>5375</v>
      </c>
      <c r="G7272" s="2"/>
    </row>
    <row r="7273" spans="1:7" x14ac:dyDescent="0.3">
      <c r="A7273" t="s">
        <v>2410</v>
      </c>
      <c r="B7273" t="s">
        <v>19</v>
      </c>
      <c r="C7273" t="s">
        <v>20</v>
      </c>
      <c r="D7273">
        <v>2016</v>
      </c>
      <c r="E7273" s="2">
        <v>25</v>
      </c>
      <c r="F7273" s="2">
        <v>2750</v>
      </c>
      <c r="G7273" s="2"/>
    </row>
    <row r="7274" spans="1:7" x14ac:dyDescent="0.3">
      <c r="A7274" t="s">
        <v>2410</v>
      </c>
      <c r="B7274" t="s">
        <v>809</v>
      </c>
      <c r="C7274" t="s">
        <v>810</v>
      </c>
      <c r="D7274">
        <v>2016</v>
      </c>
      <c r="E7274" s="2">
        <v>123</v>
      </c>
      <c r="F7274" s="2">
        <v>13530</v>
      </c>
      <c r="G7274" s="2"/>
    </row>
    <row r="7275" spans="1:7" x14ac:dyDescent="0.3">
      <c r="A7275" t="s">
        <v>2411</v>
      </c>
      <c r="B7275" t="s">
        <v>536</v>
      </c>
      <c r="C7275" t="s">
        <v>537</v>
      </c>
      <c r="D7275">
        <v>2019</v>
      </c>
      <c r="E7275" s="2">
        <v>10</v>
      </c>
      <c r="F7275" s="2">
        <v>1000</v>
      </c>
      <c r="G7275" s="2">
        <v>1050</v>
      </c>
    </row>
    <row r="7276" spans="1:7" x14ac:dyDescent="0.3">
      <c r="A7276" t="s">
        <v>2411</v>
      </c>
      <c r="B7276" t="s">
        <v>536</v>
      </c>
      <c r="C7276" t="s">
        <v>537</v>
      </c>
      <c r="D7276">
        <v>2021</v>
      </c>
      <c r="E7276" s="2">
        <v>50</v>
      </c>
      <c r="F7276" s="2">
        <v>3750</v>
      </c>
      <c r="G7276" s="2">
        <v>3937.5</v>
      </c>
    </row>
    <row r="7277" spans="1:7" x14ac:dyDescent="0.3">
      <c r="A7277" t="s">
        <v>2411</v>
      </c>
      <c r="B7277" t="s">
        <v>99</v>
      </c>
      <c r="C7277" t="s">
        <v>100</v>
      </c>
      <c r="D7277">
        <v>2021</v>
      </c>
      <c r="E7277" s="2">
        <v>3</v>
      </c>
      <c r="F7277" s="2">
        <v>240</v>
      </c>
      <c r="G7277" s="2">
        <v>252</v>
      </c>
    </row>
    <row r="7278" spans="1:7" x14ac:dyDescent="0.3">
      <c r="A7278" t="s">
        <v>2411</v>
      </c>
      <c r="B7278" t="s">
        <v>543</v>
      </c>
      <c r="C7278" t="s">
        <v>544</v>
      </c>
      <c r="D7278">
        <v>2021</v>
      </c>
      <c r="E7278" s="2">
        <v>55</v>
      </c>
      <c r="F7278" s="2">
        <v>3600</v>
      </c>
      <c r="G7278" s="2">
        <v>3780</v>
      </c>
    </row>
    <row r="7279" spans="1:7" x14ac:dyDescent="0.3">
      <c r="A7279" t="s">
        <v>2411</v>
      </c>
      <c r="B7279" t="s">
        <v>64</v>
      </c>
      <c r="C7279" t="s">
        <v>65</v>
      </c>
      <c r="D7279">
        <v>2021</v>
      </c>
      <c r="E7279" s="2">
        <v>1</v>
      </c>
      <c r="F7279" s="2">
        <v>70</v>
      </c>
      <c r="G7279" s="2">
        <v>73.5</v>
      </c>
    </row>
    <row r="7280" spans="1:7" x14ac:dyDescent="0.3">
      <c r="A7280" t="s">
        <v>2411</v>
      </c>
      <c r="B7280" t="s">
        <v>408</v>
      </c>
      <c r="D7280">
        <v>2019</v>
      </c>
      <c r="E7280" s="2">
        <v>5</v>
      </c>
      <c r="F7280" s="2">
        <v>425</v>
      </c>
      <c r="G7280" s="2">
        <v>446.25</v>
      </c>
    </row>
    <row r="7281" spans="1:7" x14ac:dyDescent="0.3">
      <c r="A7281" t="s">
        <v>2411</v>
      </c>
      <c r="B7281" t="s">
        <v>408</v>
      </c>
      <c r="D7281">
        <v>2021</v>
      </c>
      <c r="E7281" s="2">
        <v>60</v>
      </c>
      <c r="F7281" s="2">
        <v>4550</v>
      </c>
      <c r="G7281" s="2">
        <v>4777.5</v>
      </c>
    </row>
    <row r="7282" spans="1:7" x14ac:dyDescent="0.3">
      <c r="A7282" t="s">
        <v>2411</v>
      </c>
      <c r="B7282" t="s">
        <v>545</v>
      </c>
      <c r="C7282" t="s">
        <v>546</v>
      </c>
      <c r="D7282">
        <v>2019</v>
      </c>
      <c r="E7282" s="2">
        <v>10</v>
      </c>
      <c r="F7282" s="2">
        <v>1150</v>
      </c>
      <c r="G7282" s="2">
        <v>1207.5</v>
      </c>
    </row>
    <row r="7283" spans="1:7" x14ac:dyDescent="0.3">
      <c r="A7283" t="s">
        <v>2411</v>
      </c>
      <c r="B7283" t="s">
        <v>545</v>
      </c>
      <c r="C7283" t="s">
        <v>546</v>
      </c>
      <c r="D7283">
        <v>2020</v>
      </c>
      <c r="E7283" s="2">
        <v>10</v>
      </c>
      <c r="F7283" s="2">
        <v>1150</v>
      </c>
      <c r="G7283" s="2">
        <v>1207.5</v>
      </c>
    </row>
    <row r="7284" spans="1:7" x14ac:dyDescent="0.3">
      <c r="A7284" t="s">
        <v>2411</v>
      </c>
      <c r="B7284" t="s">
        <v>545</v>
      </c>
      <c r="C7284" t="s">
        <v>546</v>
      </c>
      <c r="D7284">
        <v>2021</v>
      </c>
      <c r="E7284" s="2">
        <v>10</v>
      </c>
      <c r="F7284" s="2">
        <v>1000</v>
      </c>
      <c r="G7284" s="2">
        <v>1050</v>
      </c>
    </row>
    <row r="7285" spans="1:7" x14ac:dyDescent="0.3">
      <c r="A7285" t="s">
        <v>2412</v>
      </c>
      <c r="B7285" t="s">
        <v>2402</v>
      </c>
      <c r="C7285" t="s">
        <v>2403</v>
      </c>
      <c r="D7285">
        <v>2016</v>
      </c>
      <c r="E7285" s="2">
        <v>25</v>
      </c>
      <c r="F7285" s="2">
        <v>7625</v>
      </c>
      <c r="G7285" s="2"/>
    </row>
    <row r="7286" spans="1:7" x14ac:dyDescent="0.3">
      <c r="A7286" t="s">
        <v>2412</v>
      </c>
      <c r="B7286" t="s">
        <v>417</v>
      </c>
      <c r="C7286" t="s">
        <v>418</v>
      </c>
      <c r="D7286">
        <v>2017</v>
      </c>
      <c r="E7286" s="2">
        <v>750</v>
      </c>
      <c r="F7286" s="2">
        <v>37500</v>
      </c>
      <c r="G7286" s="2"/>
    </row>
    <row r="7287" spans="1:7" x14ac:dyDescent="0.3">
      <c r="A7287" t="s">
        <v>2412</v>
      </c>
      <c r="B7287" t="s">
        <v>417</v>
      </c>
      <c r="C7287" t="s">
        <v>418</v>
      </c>
      <c r="D7287">
        <v>2018</v>
      </c>
      <c r="E7287" s="2">
        <v>125</v>
      </c>
      <c r="F7287" s="2">
        <v>6250</v>
      </c>
      <c r="G7287" s="2">
        <v>6562.5</v>
      </c>
    </row>
    <row r="7288" spans="1:7" x14ac:dyDescent="0.3">
      <c r="A7288" t="s">
        <v>2412</v>
      </c>
      <c r="B7288" t="s">
        <v>907</v>
      </c>
      <c r="D7288">
        <v>2014</v>
      </c>
      <c r="E7288" s="2">
        <v>50</v>
      </c>
      <c r="F7288" s="2">
        <v>2400</v>
      </c>
      <c r="G7288" s="2"/>
    </row>
    <row r="7289" spans="1:7" x14ac:dyDescent="0.3">
      <c r="A7289" t="s">
        <v>2412</v>
      </c>
      <c r="B7289" t="s">
        <v>26</v>
      </c>
      <c r="C7289" t="s">
        <v>27</v>
      </c>
      <c r="D7289">
        <v>2016</v>
      </c>
      <c r="E7289" s="2">
        <v>100</v>
      </c>
      <c r="F7289" s="2">
        <v>5500</v>
      </c>
      <c r="G7289" s="2"/>
    </row>
    <row r="7290" spans="1:7" x14ac:dyDescent="0.3">
      <c r="A7290" t="s">
        <v>2412</v>
      </c>
      <c r="B7290" t="s">
        <v>26</v>
      </c>
      <c r="C7290" t="s">
        <v>27</v>
      </c>
      <c r="D7290">
        <v>2017</v>
      </c>
      <c r="E7290" s="2">
        <v>250</v>
      </c>
      <c r="F7290" s="2">
        <v>13750</v>
      </c>
      <c r="G7290" s="2"/>
    </row>
    <row r="7291" spans="1:7" x14ac:dyDescent="0.3">
      <c r="A7291" t="s">
        <v>2412</v>
      </c>
      <c r="B7291" t="s">
        <v>26</v>
      </c>
      <c r="C7291" t="s">
        <v>27</v>
      </c>
      <c r="D7291">
        <v>2018</v>
      </c>
      <c r="E7291" s="2">
        <v>50</v>
      </c>
      <c r="F7291" s="2">
        <v>2500</v>
      </c>
      <c r="G7291" s="2">
        <v>2625</v>
      </c>
    </row>
    <row r="7292" spans="1:7" x14ac:dyDescent="0.3">
      <c r="A7292" t="s">
        <v>2412</v>
      </c>
      <c r="B7292" t="s">
        <v>26</v>
      </c>
      <c r="C7292" t="s">
        <v>27</v>
      </c>
      <c r="D7292">
        <v>2019</v>
      </c>
      <c r="E7292" s="2">
        <v>300</v>
      </c>
      <c r="F7292" s="2">
        <v>13800</v>
      </c>
      <c r="G7292" s="2">
        <v>14490</v>
      </c>
    </row>
    <row r="7293" spans="1:7" x14ac:dyDescent="0.3">
      <c r="A7293" t="s">
        <v>2412</v>
      </c>
      <c r="B7293" t="s">
        <v>26</v>
      </c>
      <c r="C7293" t="s">
        <v>27</v>
      </c>
      <c r="D7293">
        <v>2020</v>
      </c>
      <c r="E7293" s="2">
        <v>5</v>
      </c>
      <c r="F7293" s="2">
        <v>230</v>
      </c>
      <c r="G7293" s="2">
        <v>241.5</v>
      </c>
    </row>
    <row r="7294" spans="1:7" x14ac:dyDescent="0.3">
      <c r="A7294" t="s">
        <v>2412</v>
      </c>
      <c r="B7294" t="s">
        <v>438</v>
      </c>
      <c r="C7294" t="s">
        <v>439</v>
      </c>
      <c r="D7294">
        <v>2016</v>
      </c>
      <c r="E7294" s="2">
        <v>75</v>
      </c>
      <c r="F7294" s="2">
        <v>6375</v>
      </c>
      <c r="G7294" s="2"/>
    </row>
    <row r="7295" spans="1:7" x14ac:dyDescent="0.3">
      <c r="A7295" t="s">
        <v>2412</v>
      </c>
      <c r="B7295" t="s">
        <v>240</v>
      </c>
      <c r="D7295">
        <v>2017</v>
      </c>
      <c r="E7295" s="2">
        <v>20</v>
      </c>
      <c r="F7295" s="2">
        <v>1540</v>
      </c>
      <c r="G7295" s="2"/>
    </row>
    <row r="7296" spans="1:7" x14ac:dyDescent="0.3">
      <c r="A7296" t="s">
        <v>2412</v>
      </c>
      <c r="B7296" t="s">
        <v>32</v>
      </c>
      <c r="D7296">
        <v>2015</v>
      </c>
      <c r="E7296" s="2">
        <v>20</v>
      </c>
      <c r="F7296" s="2">
        <v>1700</v>
      </c>
      <c r="G7296" s="2"/>
    </row>
    <row r="7297" spans="1:7" x14ac:dyDescent="0.3">
      <c r="A7297" t="s">
        <v>2412</v>
      </c>
      <c r="B7297" t="s">
        <v>32</v>
      </c>
      <c r="D7297">
        <v>2019</v>
      </c>
      <c r="E7297" s="2">
        <v>25</v>
      </c>
      <c r="F7297" s="2">
        <v>1450</v>
      </c>
      <c r="G7297" s="2">
        <v>1522.5</v>
      </c>
    </row>
    <row r="7298" spans="1:7" x14ac:dyDescent="0.3">
      <c r="A7298" t="s">
        <v>2412</v>
      </c>
      <c r="B7298" t="s">
        <v>483</v>
      </c>
      <c r="C7298" t="s">
        <v>484</v>
      </c>
      <c r="D7298">
        <v>2019</v>
      </c>
      <c r="E7298" s="2">
        <v>175</v>
      </c>
      <c r="F7298" s="2">
        <v>8050</v>
      </c>
      <c r="G7298" s="2">
        <v>8452.5</v>
      </c>
    </row>
    <row r="7299" spans="1:7" x14ac:dyDescent="0.3">
      <c r="A7299" t="s">
        <v>2412</v>
      </c>
      <c r="B7299" t="s">
        <v>483</v>
      </c>
      <c r="C7299" t="s">
        <v>484</v>
      </c>
      <c r="D7299">
        <v>2020</v>
      </c>
      <c r="E7299" s="2">
        <v>230</v>
      </c>
      <c r="F7299" s="2">
        <v>15180</v>
      </c>
      <c r="G7299" s="2">
        <v>15939</v>
      </c>
    </row>
    <row r="7300" spans="1:7" x14ac:dyDescent="0.3">
      <c r="A7300" t="s">
        <v>2412</v>
      </c>
      <c r="B7300" t="s">
        <v>483</v>
      </c>
      <c r="C7300" t="s">
        <v>484</v>
      </c>
      <c r="D7300">
        <v>2021</v>
      </c>
      <c r="E7300" s="2">
        <v>50</v>
      </c>
      <c r="F7300" s="2">
        <v>2300</v>
      </c>
      <c r="G7300" s="2">
        <v>2415</v>
      </c>
    </row>
    <row r="7301" spans="1:7" x14ac:dyDescent="0.3">
      <c r="A7301" t="s">
        <v>2413</v>
      </c>
      <c r="B7301" t="s">
        <v>627</v>
      </c>
      <c r="C7301" t="s">
        <v>628</v>
      </c>
      <c r="D7301">
        <v>2021</v>
      </c>
      <c r="E7301" s="2">
        <v>2</v>
      </c>
      <c r="F7301" s="2">
        <v>318</v>
      </c>
      <c r="G7301" s="2">
        <v>333.9</v>
      </c>
    </row>
    <row r="7302" spans="1:7" x14ac:dyDescent="0.3">
      <c r="A7302" t="s">
        <v>2413</v>
      </c>
      <c r="B7302" t="s">
        <v>244</v>
      </c>
      <c r="C7302" t="s">
        <v>245</v>
      </c>
      <c r="D7302">
        <v>2021</v>
      </c>
      <c r="E7302" s="2">
        <v>2</v>
      </c>
      <c r="F7302" s="2">
        <v>400</v>
      </c>
      <c r="G7302" s="2">
        <v>420</v>
      </c>
    </row>
    <row r="7303" spans="1:7" x14ac:dyDescent="0.3">
      <c r="A7303" t="s">
        <v>2413</v>
      </c>
      <c r="B7303" t="s">
        <v>516</v>
      </c>
      <c r="D7303">
        <v>2021</v>
      </c>
      <c r="E7303" s="2">
        <v>1.5</v>
      </c>
      <c r="F7303" s="2">
        <v>312</v>
      </c>
      <c r="G7303" s="2">
        <v>327.60000000000002</v>
      </c>
    </row>
    <row r="7304" spans="1:7" x14ac:dyDescent="0.3">
      <c r="A7304" t="s">
        <v>2413</v>
      </c>
      <c r="B7304" t="s">
        <v>679</v>
      </c>
      <c r="C7304" t="s">
        <v>680</v>
      </c>
      <c r="D7304">
        <v>2021</v>
      </c>
      <c r="E7304" s="2">
        <v>2</v>
      </c>
      <c r="F7304" s="2">
        <v>210</v>
      </c>
      <c r="G7304" s="2">
        <v>220.5</v>
      </c>
    </row>
    <row r="7305" spans="1:7" x14ac:dyDescent="0.3">
      <c r="A7305" t="s">
        <v>2414</v>
      </c>
      <c r="B7305" t="s">
        <v>174</v>
      </c>
      <c r="C7305" t="s">
        <v>175</v>
      </c>
      <c r="D7305">
        <v>2017</v>
      </c>
      <c r="E7305" s="2">
        <v>5</v>
      </c>
      <c r="F7305" s="2">
        <v>375</v>
      </c>
      <c r="G7305" s="2"/>
    </row>
    <row r="7306" spans="1:7" x14ac:dyDescent="0.3">
      <c r="A7306" t="s">
        <v>2414</v>
      </c>
      <c r="B7306" t="s">
        <v>714</v>
      </c>
      <c r="C7306" t="s">
        <v>715</v>
      </c>
      <c r="D7306">
        <v>2017</v>
      </c>
      <c r="E7306" s="2">
        <v>5</v>
      </c>
      <c r="F7306" s="2">
        <v>375</v>
      </c>
      <c r="G7306" s="2"/>
    </row>
    <row r="7307" spans="1:7" x14ac:dyDescent="0.3">
      <c r="A7307" t="s">
        <v>2414</v>
      </c>
      <c r="B7307" t="s">
        <v>627</v>
      </c>
      <c r="D7307">
        <v>2017</v>
      </c>
      <c r="E7307" s="2">
        <v>10</v>
      </c>
      <c r="F7307" s="2">
        <v>850</v>
      </c>
      <c r="G7307" s="2"/>
    </row>
    <row r="7308" spans="1:7" x14ac:dyDescent="0.3">
      <c r="A7308" t="s">
        <v>2414</v>
      </c>
      <c r="B7308" t="s">
        <v>184</v>
      </c>
      <c r="C7308" t="s">
        <v>185</v>
      </c>
      <c r="D7308">
        <v>2015</v>
      </c>
      <c r="E7308" s="2">
        <v>25</v>
      </c>
      <c r="F7308" s="2">
        <v>1625</v>
      </c>
      <c r="G7308" s="2"/>
    </row>
    <row r="7309" spans="1:7" x14ac:dyDescent="0.3">
      <c r="A7309" t="s">
        <v>2414</v>
      </c>
      <c r="B7309" t="s">
        <v>184</v>
      </c>
      <c r="C7309" t="s">
        <v>185</v>
      </c>
      <c r="D7309">
        <v>2016</v>
      </c>
      <c r="E7309" s="2">
        <v>25</v>
      </c>
      <c r="F7309" s="2">
        <v>1625</v>
      </c>
      <c r="G7309" s="2"/>
    </row>
    <row r="7310" spans="1:7" x14ac:dyDescent="0.3">
      <c r="A7310" t="s">
        <v>2414</v>
      </c>
      <c r="B7310" t="s">
        <v>567</v>
      </c>
      <c r="C7310" t="s">
        <v>698</v>
      </c>
      <c r="D7310">
        <v>2015</v>
      </c>
      <c r="E7310" s="2">
        <v>25</v>
      </c>
      <c r="F7310" s="2">
        <v>1750</v>
      </c>
      <c r="G7310" s="2"/>
    </row>
    <row r="7311" spans="1:7" x14ac:dyDescent="0.3">
      <c r="A7311" t="s">
        <v>2414</v>
      </c>
      <c r="B7311" t="s">
        <v>490</v>
      </c>
      <c r="C7311" t="s">
        <v>491</v>
      </c>
      <c r="D7311">
        <v>2017</v>
      </c>
      <c r="E7311" s="2">
        <v>5</v>
      </c>
      <c r="F7311" s="2">
        <v>500</v>
      </c>
      <c r="G7311" s="2"/>
    </row>
    <row r="7312" spans="1:7" x14ac:dyDescent="0.3">
      <c r="A7312" t="s">
        <v>2414</v>
      </c>
      <c r="B7312" t="s">
        <v>41</v>
      </c>
      <c r="C7312" t="s">
        <v>63</v>
      </c>
      <c r="D7312">
        <v>2014</v>
      </c>
      <c r="E7312" s="2">
        <v>25</v>
      </c>
      <c r="F7312" s="2">
        <v>1625</v>
      </c>
      <c r="G7312" s="2"/>
    </row>
    <row r="7313" spans="1:7" x14ac:dyDescent="0.3">
      <c r="A7313" t="s">
        <v>2414</v>
      </c>
      <c r="B7313" t="s">
        <v>2415</v>
      </c>
      <c r="D7313">
        <v>2014</v>
      </c>
      <c r="E7313" s="2">
        <v>9</v>
      </c>
      <c r="F7313" s="2">
        <v>450</v>
      </c>
      <c r="G7313" s="2"/>
    </row>
    <row r="7314" spans="1:7" x14ac:dyDescent="0.3">
      <c r="A7314" t="s">
        <v>2414</v>
      </c>
      <c r="B7314" t="s">
        <v>651</v>
      </c>
      <c r="C7314" t="s">
        <v>652</v>
      </c>
      <c r="D7314">
        <v>2017</v>
      </c>
      <c r="E7314" s="2">
        <v>5</v>
      </c>
      <c r="F7314" s="2">
        <v>425</v>
      </c>
      <c r="G7314" s="2"/>
    </row>
    <row r="7315" spans="1:7" x14ac:dyDescent="0.3">
      <c r="A7315" t="s">
        <v>2414</v>
      </c>
      <c r="B7315" t="s">
        <v>573</v>
      </c>
      <c r="C7315" t="s">
        <v>574</v>
      </c>
      <c r="D7315">
        <v>2017</v>
      </c>
      <c r="E7315" s="2">
        <v>5</v>
      </c>
      <c r="F7315" s="2">
        <v>475</v>
      </c>
      <c r="G7315" s="2"/>
    </row>
    <row r="7316" spans="1:7" x14ac:dyDescent="0.3">
      <c r="A7316" t="s">
        <v>2414</v>
      </c>
      <c r="B7316" t="s">
        <v>867</v>
      </c>
      <c r="C7316" t="s">
        <v>868</v>
      </c>
      <c r="D7316">
        <v>2017</v>
      </c>
      <c r="E7316" s="2">
        <v>10</v>
      </c>
      <c r="F7316" s="2">
        <v>1000</v>
      </c>
      <c r="G7316" s="2"/>
    </row>
    <row r="7317" spans="1:7" x14ac:dyDescent="0.3">
      <c r="A7317" t="s">
        <v>2414</v>
      </c>
      <c r="B7317" t="s">
        <v>318</v>
      </c>
      <c r="C7317" t="s">
        <v>319</v>
      </c>
      <c r="D7317">
        <v>2017</v>
      </c>
      <c r="E7317" s="2">
        <v>10</v>
      </c>
      <c r="F7317" s="2">
        <v>1100</v>
      </c>
      <c r="G7317" s="2"/>
    </row>
    <row r="7318" spans="1:7" x14ac:dyDescent="0.3">
      <c r="A7318" t="s">
        <v>2414</v>
      </c>
      <c r="B7318" t="s">
        <v>46</v>
      </c>
      <c r="C7318" t="s">
        <v>47</v>
      </c>
      <c r="D7318">
        <v>2015</v>
      </c>
      <c r="E7318" s="2">
        <v>25</v>
      </c>
      <c r="F7318" s="2">
        <v>1625</v>
      </c>
      <c r="G7318" s="2"/>
    </row>
    <row r="7319" spans="1:7" x14ac:dyDescent="0.3">
      <c r="A7319" t="s">
        <v>2414</v>
      </c>
      <c r="B7319" t="s">
        <v>46</v>
      </c>
      <c r="C7319" t="s">
        <v>47</v>
      </c>
      <c r="D7319">
        <v>2017</v>
      </c>
      <c r="E7319" s="2">
        <v>30</v>
      </c>
      <c r="F7319" s="2">
        <v>1950</v>
      </c>
      <c r="G7319" s="2"/>
    </row>
    <row r="7320" spans="1:7" x14ac:dyDescent="0.3">
      <c r="A7320" t="s">
        <v>2414</v>
      </c>
      <c r="B7320" t="s">
        <v>657</v>
      </c>
      <c r="C7320" t="s">
        <v>658</v>
      </c>
      <c r="D7320">
        <v>2017</v>
      </c>
      <c r="E7320" s="2">
        <v>5</v>
      </c>
      <c r="F7320" s="2">
        <v>425</v>
      </c>
      <c r="G7320" s="2"/>
    </row>
    <row r="7321" spans="1:7" x14ac:dyDescent="0.3">
      <c r="A7321" t="s">
        <v>2414</v>
      </c>
      <c r="B7321" t="s">
        <v>320</v>
      </c>
      <c r="C7321" t="s">
        <v>321</v>
      </c>
      <c r="D7321">
        <v>2017</v>
      </c>
      <c r="E7321" s="2">
        <v>10</v>
      </c>
      <c r="F7321" s="2">
        <v>1800</v>
      </c>
      <c r="G7321" s="2"/>
    </row>
    <row r="7322" spans="1:7" x14ac:dyDescent="0.3">
      <c r="A7322" t="s">
        <v>2416</v>
      </c>
      <c r="B7322" t="s">
        <v>328</v>
      </c>
      <c r="C7322" t="s">
        <v>52</v>
      </c>
      <c r="D7322">
        <v>2014</v>
      </c>
      <c r="E7322" s="2">
        <v>6</v>
      </c>
      <c r="F7322" s="2">
        <v>1340</v>
      </c>
      <c r="G7322" s="2"/>
    </row>
    <row r="7323" spans="1:7" x14ac:dyDescent="0.3">
      <c r="A7323" t="s">
        <v>2416</v>
      </c>
      <c r="B7323" t="s">
        <v>1094</v>
      </c>
      <c r="C7323" t="s">
        <v>209</v>
      </c>
      <c r="D7323">
        <v>2016</v>
      </c>
      <c r="E7323" s="2">
        <v>1</v>
      </c>
      <c r="F7323" s="2">
        <v>180</v>
      </c>
      <c r="G7323" s="2"/>
    </row>
    <row r="7324" spans="1:7" x14ac:dyDescent="0.3">
      <c r="A7324" t="s">
        <v>2416</v>
      </c>
      <c r="B7324" t="s">
        <v>1800</v>
      </c>
      <c r="C7324" t="s">
        <v>1796</v>
      </c>
      <c r="D7324">
        <v>2016</v>
      </c>
      <c r="E7324" s="2">
        <v>5</v>
      </c>
      <c r="F7324" s="2">
        <v>800</v>
      </c>
      <c r="G7324" s="2"/>
    </row>
    <row r="7325" spans="1:7" x14ac:dyDescent="0.3">
      <c r="A7325" t="s">
        <v>2416</v>
      </c>
      <c r="B7325" t="s">
        <v>2417</v>
      </c>
      <c r="C7325" t="s">
        <v>1156</v>
      </c>
      <c r="D7325">
        <v>2016</v>
      </c>
      <c r="E7325" s="2">
        <v>6</v>
      </c>
      <c r="F7325" s="2">
        <v>980</v>
      </c>
      <c r="G7325" s="2"/>
    </row>
    <row r="7326" spans="1:7" x14ac:dyDescent="0.3">
      <c r="A7326" t="s">
        <v>2416</v>
      </c>
      <c r="B7326" t="s">
        <v>2418</v>
      </c>
      <c r="C7326" t="s">
        <v>277</v>
      </c>
      <c r="D7326">
        <v>2015</v>
      </c>
      <c r="E7326" s="2">
        <v>2</v>
      </c>
      <c r="F7326" s="2">
        <v>480</v>
      </c>
      <c r="G7326" s="2"/>
    </row>
    <row r="7327" spans="1:7" x14ac:dyDescent="0.3">
      <c r="A7327" t="s">
        <v>2416</v>
      </c>
      <c r="B7327" t="s">
        <v>218</v>
      </c>
      <c r="C7327" t="s">
        <v>212</v>
      </c>
      <c r="D7327">
        <v>2013</v>
      </c>
      <c r="E7327" s="2">
        <v>10</v>
      </c>
      <c r="F7327" s="2">
        <v>2100</v>
      </c>
      <c r="G7327" s="2"/>
    </row>
    <row r="7328" spans="1:7" x14ac:dyDescent="0.3">
      <c r="A7328" t="s">
        <v>2416</v>
      </c>
      <c r="B7328" t="s">
        <v>218</v>
      </c>
      <c r="C7328" t="s">
        <v>212</v>
      </c>
      <c r="D7328">
        <v>2014</v>
      </c>
      <c r="E7328" s="2">
        <v>5</v>
      </c>
      <c r="F7328" s="2">
        <v>1050</v>
      </c>
      <c r="G7328" s="2"/>
    </row>
    <row r="7329" spans="1:7" x14ac:dyDescent="0.3">
      <c r="A7329" t="s">
        <v>2416</v>
      </c>
      <c r="B7329" t="s">
        <v>219</v>
      </c>
      <c r="C7329" t="s">
        <v>220</v>
      </c>
      <c r="D7329">
        <v>2014</v>
      </c>
      <c r="E7329" s="2">
        <v>10</v>
      </c>
      <c r="F7329" s="2">
        <v>2100</v>
      </c>
      <c r="G7329" s="2"/>
    </row>
    <row r="7330" spans="1:7" x14ac:dyDescent="0.3">
      <c r="A7330" t="s">
        <v>2416</v>
      </c>
      <c r="B7330" t="s">
        <v>926</v>
      </c>
      <c r="C7330" t="s">
        <v>927</v>
      </c>
      <c r="D7330">
        <v>2016</v>
      </c>
      <c r="E7330" s="2">
        <v>1</v>
      </c>
      <c r="F7330" s="2">
        <v>240</v>
      </c>
      <c r="G7330" s="2"/>
    </row>
    <row r="7331" spans="1:7" x14ac:dyDescent="0.3">
      <c r="A7331" t="s">
        <v>2416</v>
      </c>
      <c r="B7331" t="s">
        <v>1942</v>
      </c>
      <c r="C7331" t="s">
        <v>559</v>
      </c>
      <c r="D7331">
        <v>2016</v>
      </c>
      <c r="E7331" s="2">
        <v>1</v>
      </c>
      <c r="F7331" s="2">
        <v>180</v>
      </c>
      <c r="G7331" s="2"/>
    </row>
    <row r="7332" spans="1:7" x14ac:dyDescent="0.3">
      <c r="A7332" t="s">
        <v>2416</v>
      </c>
      <c r="B7332" t="s">
        <v>2419</v>
      </c>
      <c r="C7332" t="s">
        <v>292</v>
      </c>
      <c r="D7332">
        <v>2016</v>
      </c>
      <c r="E7332" s="2">
        <v>1</v>
      </c>
      <c r="F7332" s="2">
        <v>160</v>
      </c>
      <c r="G7332" s="2"/>
    </row>
    <row r="7333" spans="1:7" x14ac:dyDescent="0.3">
      <c r="A7333" t="s">
        <v>2416</v>
      </c>
      <c r="B7333" t="s">
        <v>2221</v>
      </c>
      <c r="C7333" t="s">
        <v>998</v>
      </c>
      <c r="D7333">
        <v>2013</v>
      </c>
      <c r="E7333" s="2">
        <v>5</v>
      </c>
      <c r="F7333" s="2">
        <v>1050</v>
      </c>
      <c r="G7333" s="2"/>
    </row>
    <row r="7334" spans="1:7" x14ac:dyDescent="0.3">
      <c r="A7334" t="s">
        <v>2416</v>
      </c>
      <c r="B7334" t="s">
        <v>288</v>
      </c>
      <c r="C7334" t="s">
        <v>289</v>
      </c>
      <c r="D7334">
        <v>2016</v>
      </c>
      <c r="E7334" s="2">
        <v>1</v>
      </c>
      <c r="F7334" s="2">
        <v>180</v>
      </c>
      <c r="G7334" s="2"/>
    </row>
    <row r="7335" spans="1:7" x14ac:dyDescent="0.3">
      <c r="A7335" t="s">
        <v>2416</v>
      </c>
      <c r="B7335" t="s">
        <v>1793</v>
      </c>
      <c r="C7335" t="s">
        <v>1794</v>
      </c>
      <c r="D7335">
        <v>2013</v>
      </c>
      <c r="E7335" s="2">
        <v>0.5</v>
      </c>
      <c r="F7335" s="2">
        <v>250</v>
      </c>
      <c r="G7335" s="2"/>
    </row>
    <row r="7336" spans="1:7" x14ac:dyDescent="0.3">
      <c r="A7336" t="s">
        <v>2416</v>
      </c>
      <c r="B7336" t="s">
        <v>1793</v>
      </c>
      <c r="C7336" t="s">
        <v>1794</v>
      </c>
      <c r="D7336">
        <v>2014</v>
      </c>
      <c r="E7336" s="2">
        <v>1</v>
      </c>
      <c r="F7336" s="2">
        <v>500</v>
      </c>
      <c r="G7336" s="2"/>
    </row>
    <row r="7337" spans="1:7" x14ac:dyDescent="0.3">
      <c r="A7337" t="s">
        <v>2416</v>
      </c>
      <c r="B7337" t="s">
        <v>105</v>
      </c>
      <c r="C7337" t="s">
        <v>106</v>
      </c>
      <c r="D7337">
        <v>2017</v>
      </c>
      <c r="E7337" s="2">
        <v>15</v>
      </c>
      <c r="F7337" s="2">
        <v>3000</v>
      </c>
      <c r="G7337" s="2"/>
    </row>
    <row r="7338" spans="1:7" x14ac:dyDescent="0.3">
      <c r="A7338" t="s">
        <v>2416</v>
      </c>
      <c r="B7338" t="s">
        <v>105</v>
      </c>
      <c r="C7338" t="s">
        <v>106</v>
      </c>
      <c r="D7338">
        <v>2018</v>
      </c>
      <c r="E7338" s="2">
        <v>2</v>
      </c>
      <c r="F7338" s="2">
        <v>400</v>
      </c>
      <c r="G7338" s="2"/>
    </row>
    <row r="7339" spans="1:7" x14ac:dyDescent="0.3">
      <c r="A7339" t="s">
        <v>2416</v>
      </c>
      <c r="B7339" t="s">
        <v>105</v>
      </c>
      <c r="C7339" t="s">
        <v>106</v>
      </c>
      <c r="D7339">
        <v>2019</v>
      </c>
      <c r="E7339" s="2">
        <v>3</v>
      </c>
      <c r="F7339" s="2">
        <v>720</v>
      </c>
      <c r="G7339" s="2">
        <v>756</v>
      </c>
    </row>
    <row r="7340" spans="1:7" x14ac:dyDescent="0.3">
      <c r="A7340" t="s">
        <v>2416</v>
      </c>
      <c r="B7340" t="s">
        <v>555</v>
      </c>
      <c r="C7340" t="s">
        <v>259</v>
      </c>
      <c r="D7340">
        <v>2016</v>
      </c>
      <c r="E7340" s="2">
        <v>10</v>
      </c>
      <c r="F7340" s="2">
        <v>2100</v>
      </c>
      <c r="G7340" s="2"/>
    </row>
    <row r="7341" spans="1:7" x14ac:dyDescent="0.3">
      <c r="A7341" t="s">
        <v>2416</v>
      </c>
      <c r="B7341" t="s">
        <v>555</v>
      </c>
      <c r="C7341" t="s">
        <v>259</v>
      </c>
      <c r="D7341">
        <v>2018</v>
      </c>
      <c r="E7341" s="2">
        <v>4</v>
      </c>
      <c r="F7341" s="2">
        <v>960</v>
      </c>
      <c r="G7341" s="2">
        <v>1008</v>
      </c>
    </row>
    <row r="7342" spans="1:7" x14ac:dyDescent="0.3">
      <c r="A7342" t="s">
        <v>2416</v>
      </c>
      <c r="B7342" t="s">
        <v>120</v>
      </c>
      <c r="C7342" t="s">
        <v>121</v>
      </c>
      <c r="D7342">
        <v>2013</v>
      </c>
      <c r="E7342" s="2">
        <v>5</v>
      </c>
      <c r="F7342" s="2">
        <v>1100</v>
      </c>
      <c r="G7342" s="2"/>
    </row>
    <row r="7343" spans="1:7" x14ac:dyDescent="0.3">
      <c r="A7343" t="s">
        <v>2416</v>
      </c>
      <c r="B7343" t="s">
        <v>120</v>
      </c>
      <c r="C7343" t="s">
        <v>121</v>
      </c>
      <c r="D7343">
        <v>2014</v>
      </c>
      <c r="E7343" s="2">
        <v>5</v>
      </c>
      <c r="F7343" s="2">
        <v>1050</v>
      </c>
      <c r="G7343" s="2"/>
    </row>
    <row r="7344" spans="1:7" x14ac:dyDescent="0.3">
      <c r="A7344" t="s">
        <v>2416</v>
      </c>
      <c r="B7344" t="s">
        <v>120</v>
      </c>
      <c r="C7344" t="s">
        <v>121</v>
      </c>
      <c r="D7344">
        <v>2015</v>
      </c>
      <c r="E7344" s="2">
        <v>10</v>
      </c>
      <c r="F7344" s="2">
        <v>2100</v>
      </c>
      <c r="G7344" s="2"/>
    </row>
    <row r="7345" spans="1:7" x14ac:dyDescent="0.3">
      <c r="A7345" t="s">
        <v>2416</v>
      </c>
      <c r="B7345" t="s">
        <v>2420</v>
      </c>
      <c r="D7345">
        <v>2015</v>
      </c>
      <c r="E7345" s="2">
        <v>2</v>
      </c>
      <c r="F7345" s="2">
        <v>1600</v>
      </c>
      <c r="G7345" s="2"/>
    </row>
    <row r="7346" spans="1:7" x14ac:dyDescent="0.3">
      <c r="A7346" t="s">
        <v>2416</v>
      </c>
      <c r="B7346" t="s">
        <v>135</v>
      </c>
      <c r="D7346">
        <v>2013</v>
      </c>
      <c r="E7346" s="2">
        <v>5</v>
      </c>
      <c r="F7346" s="2">
        <v>1050</v>
      </c>
      <c r="G7346" s="2"/>
    </row>
    <row r="7347" spans="1:7" x14ac:dyDescent="0.3">
      <c r="A7347" t="s">
        <v>2416</v>
      </c>
      <c r="B7347" t="s">
        <v>140</v>
      </c>
      <c r="C7347" t="s">
        <v>141</v>
      </c>
      <c r="D7347">
        <v>2019</v>
      </c>
      <c r="E7347" s="2">
        <v>1</v>
      </c>
      <c r="F7347" s="2">
        <v>180</v>
      </c>
      <c r="G7347" s="2">
        <v>189</v>
      </c>
    </row>
    <row r="7348" spans="1:7" x14ac:dyDescent="0.3">
      <c r="A7348" t="s">
        <v>2416</v>
      </c>
      <c r="B7348" t="s">
        <v>142</v>
      </c>
      <c r="C7348" t="s">
        <v>143</v>
      </c>
      <c r="D7348">
        <v>2015</v>
      </c>
      <c r="E7348" s="2">
        <v>15</v>
      </c>
      <c r="F7348" s="2">
        <v>3100</v>
      </c>
      <c r="G7348" s="2"/>
    </row>
    <row r="7349" spans="1:7" x14ac:dyDescent="0.3">
      <c r="A7349" t="s">
        <v>2416</v>
      </c>
      <c r="B7349" t="s">
        <v>196</v>
      </c>
      <c r="C7349" t="s">
        <v>197</v>
      </c>
      <c r="D7349">
        <v>2014</v>
      </c>
      <c r="E7349" s="2">
        <v>10</v>
      </c>
      <c r="F7349" s="2">
        <v>1975</v>
      </c>
      <c r="G7349" s="2"/>
    </row>
    <row r="7350" spans="1:7" x14ac:dyDescent="0.3">
      <c r="A7350" t="s">
        <v>2416</v>
      </c>
      <c r="B7350" t="s">
        <v>196</v>
      </c>
      <c r="C7350" t="s">
        <v>197</v>
      </c>
      <c r="D7350">
        <v>2015</v>
      </c>
      <c r="E7350" s="2">
        <v>15</v>
      </c>
      <c r="F7350" s="2">
        <v>2925</v>
      </c>
      <c r="G7350" s="2"/>
    </row>
    <row r="7351" spans="1:7" x14ac:dyDescent="0.3">
      <c r="A7351" t="s">
        <v>2416</v>
      </c>
      <c r="B7351" t="s">
        <v>196</v>
      </c>
      <c r="C7351" t="s">
        <v>197</v>
      </c>
      <c r="D7351">
        <v>2018</v>
      </c>
      <c r="E7351" s="2">
        <v>1</v>
      </c>
      <c r="F7351" s="2">
        <v>195</v>
      </c>
      <c r="G7351" s="2">
        <v>204.75</v>
      </c>
    </row>
    <row r="7352" spans="1:7" x14ac:dyDescent="0.3">
      <c r="A7352" t="s">
        <v>2416</v>
      </c>
      <c r="B7352" t="s">
        <v>410</v>
      </c>
      <c r="C7352" t="s">
        <v>134</v>
      </c>
      <c r="D7352">
        <v>2019</v>
      </c>
      <c r="E7352" s="2">
        <v>1</v>
      </c>
      <c r="F7352" s="2">
        <v>175</v>
      </c>
      <c r="G7352" s="2">
        <v>183.75</v>
      </c>
    </row>
    <row r="7353" spans="1:7" x14ac:dyDescent="0.3">
      <c r="A7353" t="s">
        <v>2416</v>
      </c>
      <c r="B7353" t="s">
        <v>584</v>
      </c>
      <c r="C7353" t="s">
        <v>413</v>
      </c>
      <c r="D7353">
        <v>2018</v>
      </c>
      <c r="E7353" s="2">
        <v>1</v>
      </c>
      <c r="F7353" s="2">
        <v>240</v>
      </c>
      <c r="G7353" s="2">
        <v>252</v>
      </c>
    </row>
    <row r="7354" spans="1:7" x14ac:dyDescent="0.3">
      <c r="A7354" t="s">
        <v>2416</v>
      </c>
      <c r="B7354" t="s">
        <v>318</v>
      </c>
      <c r="C7354" t="s">
        <v>2421</v>
      </c>
      <c r="D7354">
        <v>2013</v>
      </c>
      <c r="E7354" s="2">
        <v>55</v>
      </c>
      <c r="F7354" s="2">
        <v>12100</v>
      </c>
      <c r="G7354" s="2"/>
    </row>
    <row r="7355" spans="1:7" x14ac:dyDescent="0.3">
      <c r="A7355" t="s">
        <v>2416</v>
      </c>
      <c r="B7355" t="s">
        <v>318</v>
      </c>
      <c r="C7355" t="s">
        <v>2421</v>
      </c>
      <c r="D7355">
        <v>2014</v>
      </c>
      <c r="E7355" s="2">
        <v>65.5</v>
      </c>
      <c r="F7355" s="2">
        <v>14100</v>
      </c>
      <c r="G7355" s="2"/>
    </row>
    <row r="7356" spans="1:7" x14ac:dyDescent="0.3">
      <c r="A7356" t="s">
        <v>2416</v>
      </c>
      <c r="B7356" t="s">
        <v>318</v>
      </c>
      <c r="C7356" t="s">
        <v>2421</v>
      </c>
      <c r="D7356">
        <v>2017</v>
      </c>
      <c r="E7356" s="2">
        <v>5</v>
      </c>
      <c r="F7356" s="2">
        <v>800</v>
      </c>
      <c r="G7356" s="2"/>
    </row>
    <row r="7357" spans="1:7" x14ac:dyDescent="0.3">
      <c r="A7357" t="s">
        <v>2416</v>
      </c>
      <c r="B7357" t="s">
        <v>318</v>
      </c>
      <c r="C7357" t="s">
        <v>2421</v>
      </c>
      <c r="D7357">
        <v>2018</v>
      </c>
      <c r="E7357" s="2">
        <v>3</v>
      </c>
      <c r="F7357" s="2">
        <v>480</v>
      </c>
      <c r="G7357" s="2">
        <v>504</v>
      </c>
    </row>
    <row r="7358" spans="1:7" x14ac:dyDescent="0.3">
      <c r="A7358" t="s">
        <v>2416</v>
      </c>
      <c r="B7358" t="s">
        <v>318</v>
      </c>
      <c r="C7358" t="s">
        <v>2421</v>
      </c>
      <c r="D7358">
        <v>2019</v>
      </c>
      <c r="E7358" s="2">
        <v>2</v>
      </c>
      <c r="F7358" s="2">
        <v>320</v>
      </c>
      <c r="G7358" s="2">
        <v>336</v>
      </c>
    </row>
    <row r="7359" spans="1:7" x14ac:dyDescent="0.3">
      <c r="A7359" t="s">
        <v>2416</v>
      </c>
      <c r="B7359" t="s">
        <v>2422</v>
      </c>
      <c r="C7359" t="s">
        <v>73</v>
      </c>
      <c r="D7359">
        <v>2017</v>
      </c>
      <c r="E7359" s="2">
        <v>5</v>
      </c>
      <c r="F7359" s="2">
        <v>550</v>
      </c>
      <c r="G7359" s="2"/>
    </row>
    <row r="7360" spans="1:7" x14ac:dyDescent="0.3">
      <c r="A7360" t="s">
        <v>2416</v>
      </c>
      <c r="B7360" t="s">
        <v>2422</v>
      </c>
      <c r="C7360" t="s">
        <v>73</v>
      </c>
      <c r="D7360">
        <v>2018</v>
      </c>
      <c r="E7360" s="2">
        <v>1</v>
      </c>
      <c r="F7360" s="2">
        <v>160</v>
      </c>
      <c r="G7360" s="2"/>
    </row>
    <row r="7361" spans="1:7" x14ac:dyDescent="0.3">
      <c r="A7361" t="s">
        <v>2416</v>
      </c>
      <c r="B7361" t="s">
        <v>935</v>
      </c>
      <c r="C7361" t="s">
        <v>613</v>
      </c>
      <c r="D7361">
        <v>2017</v>
      </c>
      <c r="E7361" s="2">
        <v>1</v>
      </c>
      <c r="F7361" s="2">
        <v>250</v>
      </c>
      <c r="G7361" s="2"/>
    </row>
    <row r="7362" spans="1:7" x14ac:dyDescent="0.3">
      <c r="A7362" t="s">
        <v>2416</v>
      </c>
      <c r="B7362" t="s">
        <v>935</v>
      </c>
      <c r="C7362" t="s">
        <v>613</v>
      </c>
      <c r="D7362">
        <v>2018</v>
      </c>
      <c r="E7362" s="2">
        <v>2</v>
      </c>
      <c r="F7362" s="2">
        <v>500</v>
      </c>
      <c r="G7362" s="2">
        <v>525</v>
      </c>
    </row>
    <row r="7363" spans="1:7" x14ac:dyDescent="0.3">
      <c r="A7363" t="s">
        <v>2416</v>
      </c>
      <c r="B7363" t="s">
        <v>935</v>
      </c>
      <c r="C7363" t="s">
        <v>613</v>
      </c>
      <c r="D7363">
        <v>2019</v>
      </c>
      <c r="E7363" s="2">
        <v>1</v>
      </c>
      <c r="F7363" s="2">
        <v>250</v>
      </c>
      <c r="G7363" s="2">
        <v>262.5</v>
      </c>
    </row>
    <row r="7364" spans="1:7" x14ac:dyDescent="0.3">
      <c r="A7364" t="s">
        <v>2416</v>
      </c>
      <c r="B7364" t="s">
        <v>203</v>
      </c>
      <c r="C7364" t="s">
        <v>204</v>
      </c>
      <c r="D7364">
        <v>2016</v>
      </c>
      <c r="E7364" s="2">
        <v>1</v>
      </c>
      <c r="F7364" s="2">
        <v>110</v>
      </c>
      <c r="G7364" s="2"/>
    </row>
    <row r="7365" spans="1:7" x14ac:dyDescent="0.3">
      <c r="A7365" t="s">
        <v>2416</v>
      </c>
      <c r="B7365" t="s">
        <v>236</v>
      </c>
      <c r="C7365" t="s">
        <v>237</v>
      </c>
      <c r="D7365">
        <v>2014</v>
      </c>
      <c r="E7365" s="2">
        <v>19</v>
      </c>
      <c r="F7365" s="2">
        <v>3800</v>
      </c>
      <c r="G7365" s="2"/>
    </row>
    <row r="7366" spans="1:7" x14ac:dyDescent="0.3">
      <c r="A7366" t="s">
        <v>2416</v>
      </c>
      <c r="B7366" t="s">
        <v>236</v>
      </c>
      <c r="C7366" t="s">
        <v>237</v>
      </c>
      <c r="D7366">
        <v>2016</v>
      </c>
      <c r="E7366" s="2">
        <v>5</v>
      </c>
      <c r="F7366" s="2">
        <v>1000</v>
      </c>
      <c r="G7366" s="2"/>
    </row>
    <row r="7367" spans="1:7" x14ac:dyDescent="0.3">
      <c r="A7367" t="s">
        <v>2423</v>
      </c>
      <c r="B7367" t="s">
        <v>82</v>
      </c>
      <c r="C7367" t="s">
        <v>83</v>
      </c>
      <c r="D7367">
        <v>2018</v>
      </c>
      <c r="E7367" s="2">
        <v>1</v>
      </c>
      <c r="F7367" s="2">
        <v>275</v>
      </c>
      <c r="G7367" s="2">
        <v>288.75</v>
      </c>
    </row>
    <row r="7368" spans="1:7" x14ac:dyDescent="0.3">
      <c r="A7368" t="s">
        <v>2423</v>
      </c>
      <c r="B7368" t="s">
        <v>552</v>
      </c>
      <c r="C7368" t="s">
        <v>245</v>
      </c>
      <c r="D7368">
        <v>2018</v>
      </c>
      <c r="E7368" s="2">
        <v>1</v>
      </c>
      <c r="F7368" s="2">
        <v>175.24</v>
      </c>
      <c r="G7368" s="2">
        <v>184.00200000000001</v>
      </c>
    </row>
    <row r="7369" spans="1:7" x14ac:dyDescent="0.3">
      <c r="A7369" t="s">
        <v>2423</v>
      </c>
      <c r="B7369" t="s">
        <v>395</v>
      </c>
      <c r="D7369">
        <v>2017</v>
      </c>
      <c r="E7369" s="2">
        <v>1</v>
      </c>
      <c r="F7369" s="2">
        <v>280</v>
      </c>
      <c r="G7369" s="2"/>
    </row>
    <row r="7370" spans="1:7" x14ac:dyDescent="0.3">
      <c r="A7370" t="s">
        <v>2423</v>
      </c>
      <c r="B7370" t="s">
        <v>395</v>
      </c>
      <c r="D7370">
        <v>2018</v>
      </c>
      <c r="E7370" s="2">
        <v>2</v>
      </c>
      <c r="F7370" s="2">
        <v>560</v>
      </c>
      <c r="G7370" s="2">
        <v>588</v>
      </c>
    </row>
    <row r="7371" spans="1:7" x14ac:dyDescent="0.3">
      <c r="A7371" t="s">
        <v>2423</v>
      </c>
      <c r="B7371" t="s">
        <v>395</v>
      </c>
      <c r="D7371">
        <v>2019</v>
      </c>
      <c r="E7371" s="2">
        <v>1</v>
      </c>
      <c r="F7371" s="2">
        <v>280</v>
      </c>
      <c r="G7371" s="2">
        <v>294</v>
      </c>
    </row>
    <row r="7372" spans="1:7" x14ac:dyDescent="0.3">
      <c r="A7372" t="s">
        <v>2423</v>
      </c>
      <c r="B7372" t="s">
        <v>60</v>
      </c>
      <c r="C7372" t="s">
        <v>61</v>
      </c>
      <c r="D7372">
        <v>2017</v>
      </c>
      <c r="E7372" s="2">
        <v>2</v>
      </c>
      <c r="F7372" s="2">
        <v>330</v>
      </c>
      <c r="G7372" s="2"/>
    </row>
    <row r="7373" spans="1:7" x14ac:dyDescent="0.3">
      <c r="A7373" t="s">
        <v>2423</v>
      </c>
      <c r="B7373" t="s">
        <v>60</v>
      </c>
      <c r="C7373" t="s">
        <v>61</v>
      </c>
      <c r="D7373">
        <v>2018</v>
      </c>
      <c r="E7373" s="2">
        <v>2</v>
      </c>
      <c r="F7373" s="2">
        <v>440</v>
      </c>
      <c r="G7373" s="2">
        <v>462</v>
      </c>
    </row>
    <row r="7374" spans="1:7" x14ac:dyDescent="0.3">
      <c r="A7374" t="s">
        <v>2423</v>
      </c>
      <c r="B7374" t="s">
        <v>60</v>
      </c>
      <c r="C7374" t="s">
        <v>61</v>
      </c>
      <c r="D7374">
        <v>2019</v>
      </c>
      <c r="E7374" s="2">
        <v>2</v>
      </c>
      <c r="F7374" s="2">
        <v>440</v>
      </c>
      <c r="G7374" s="2">
        <v>462</v>
      </c>
    </row>
    <row r="7375" spans="1:7" x14ac:dyDescent="0.3">
      <c r="A7375" t="s">
        <v>2423</v>
      </c>
      <c r="B7375" t="s">
        <v>60</v>
      </c>
      <c r="C7375" t="s">
        <v>61</v>
      </c>
      <c r="D7375">
        <v>2020</v>
      </c>
      <c r="E7375" s="2">
        <v>1</v>
      </c>
      <c r="F7375" s="2">
        <v>220</v>
      </c>
      <c r="G7375" s="2">
        <v>231</v>
      </c>
    </row>
    <row r="7376" spans="1:7" x14ac:dyDescent="0.3">
      <c r="A7376" t="s">
        <v>2423</v>
      </c>
      <c r="B7376" t="s">
        <v>1936</v>
      </c>
      <c r="C7376" t="s">
        <v>80</v>
      </c>
      <c r="D7376">
        <v>2019</v>
      </c>
      <c r="E7376" s="2">
        <v>1</v>
      </c>
      <c r="F7376" s="2">
        <v>100</v>
      </c>
      <c r="G7376" s="2">
        <v>105</v>
      </c>
    </row>
    <row r="7377" spans="1:7" x14ac:dyDescent="0.3">
      <c r="A7377" t="s">
        <v>2423</v>
      </c>
      <c r="B7377" t="s">
        <v>555</v>
      </c>
      <c r="C7377" t="s">
        <v>259</v>
      </c>
      <c r="D7377">
        <v>2017</v>
      </c>
      <c r="E7377" s="2">
        <v>1</v>
      </c>
      <c r="F7377" s="2">
        <v>125</v>
      </c>
      <c r="G7377" s="2"/>
    </row>
    <row r="7378" spans="1:7" x14ac:dyDescent="0.3">
      <c r="A7378" t="s">
        <v>2423</v>
      </c>
      <c r="B7378" t="s">
        <v>120</v>
      </c>
      <c r="C7378" t="s">
        <v>121</v>
      </c>
      <c r="D7378">
        <v>2018</v>
      </c>
      <c r="E7378" s="2">
        <v>1</v>
      </c>
      <c r="F7378" s="2">
        <v>100</v>
      </c>
      <c r="G7378" s="2">
        <v>105</v>
      </c>
    </row>
    <row r="7379" spans="1:7" x14ac:dyDescent="0.3">
      <c r="A7379" t="s">
        <v>2423</v>
      </c>
      <c r="B7379" t="s">
        <v>372</v>
      </c>
      <c r="C7379" t="s">
        <v>331</v>
      </c>
      <c r="D7379">
        <v>2019</v>
      </c>
      <c r="E7379" s="2">
        <v>2</v>
      </c>
      <c r="F7379" s="2">
        <v>210</v>
      </c>
      <c r="G7379" s="2">
        <v>220.5</v>
      </c>
    </row>
    <row r="7380" spans="1:7" x14ac:dyDescent="0.3">
      <c r="A7380" t="s">
        <v>2423</v>
      </c>
      <c r="B7380" t="s">
        <v>372</v>
      </c>
      <c r="C7380" t="s">
        <v>331</v>
      </c>
      <c r="D7380">
        <v>2020</v>
      </c>
      <c r="E7380" s="2">
        <v>1</v>
      </c>
      <c r="F7380" s="2">
        <v>105</v>
      </c>
      <c r="G7380" s="2">
        <v>110.25</v>
      </c>
    </row>
    <row r="7381" spans="1:7" x14ac:dyDescent="0.3">
      <c r="A7381" t="s">
        <v>2423</v>
      </c>
      <c r="B7381" t="s">
        <v>265</v>
      </c>
      <c r="C7381" t="s">
        <v>197</v>
      </c>
      <c r="D7381">
        <v>2018</v>
      </c>
      <c r="E7381" s="2">
        <v>2</v>
      </c>
      <c r="F7381" s="2">
        <v>440</v>
      </c>
      <c r="G7381" s="2">
        <v>462</v>
      </c>
    </row>
    <row r="7382" spans="1:7" x14ac:dyDescent="0.3">
      <c r="A7382" t="s">
        <v>2423</v>
      </c>
      <c r="B7382" t="s">
        <v>265</v>
      </c>
      <c r="C7382" t="s">
        <v>197</v>
      </c>
      <c r="D7382">
        <v>2019</v>
      </c>
      <c r="E7382" s="2">
        <v>2</v>
      </c>
      <c r="F7382" s="2">
        <v>440</v>
      </c>
      <c r="G7382" s="2">
        <v>462</v>
      </c>
    </row>
    <row r="7383" spans="1:7" x14ac:dyDescent="0.3">
      <c r="A7383" t="s">
        <v>2423</v>
      </c>
      <c r="B7383" t="s">
        <v>265</v>
      </c>
      <c r="C7383" t="s">
        <v>197</v>
      </c>
      <c r="D7383">
        <v>2020</v>
      </c>
      <c r="E7383" s="2">
        <v>1</v>
      </c>
      <c r="F7383" s="2">
        <v>120</v>
      </c>
      <c r="G7383" s="2">
        <v>126</v>
      </c>
    </row>
    <row r="7384" spans="1:7" x14ac:dyDescent="0.3">
      <c r="A7384" t="s">
        <v>2423</v>
      </c>
      <c r="B7384" t="s">
        <v>935</v>
      </c>
      <c r="C7384" t="s">
        <v>613</v>
      </c>
      <c r="D7384">
        <v>2017</v>
      </c>
      <c r="E7384" s="2">
        <v>1</v>
      </c>
      <c r="F7384" s="2">
        <v>135</v>
      </c>
      <c r="G7384" s="2"/>
    </row>
    <row r="7385" spans="1:7" x14ac:dyDescent="0.3">
      <c r="A7385" t="s">
        <v>2423</v>
      </c>
      <c r="B7385" t="s">
        <v>935</v>
      </c>
      <c r="C7385" t="s">
        <v>613</v>
      </c>
      <c r="D7385">
        <v>2018</v>
      </c>
      <c r="E7385" s="2">
        <v>1</v>
      </c>
      <c r="F7385" s="2">
        <v>135.24</v>
      </c>
      <c r="G7385" s="2">
        <v>142.00200000000001</v>
      </c>
    </row>
    <row r="7386" spans="1:7" x14ac:dyDescent="0.3">
      <c r="A7386" t="s">
        <v>2423</v>
      </c>
      <c r="B7386" t="s">
        <v>935</v>
      </c>
      <c r="C7386" t="s">
        <v>613</v>
      </c>
      <c r="D7386">
        <v>2019</v>
      </c>
      <c r="E7386" s="2">
        <v>1.5</v>
      </c>
      <c r="F7386" s="2">
        <v>405</v>
      </c>
      <c r="G7386" s="2">
        <v>425.25</v>
      </c>
    </row>
    <row r="7387" spans="1:7" x14ac:dyDescent="0.3">
      <c r="A7387" t="s">
        <v>2423</v>
      </c>
      <c r="B7387" t="s">
        <v>323</v>
      </c>
      <c r="C7387" t="s">
        <v>324</v>
      </c>
      <c r="D7387">
        <v>2017</v>
      </c>
      <c r="E7387" s="2">
        <v>1</v>
      </c>
      <c r="F7387" s="2">
        <v>102.5</v>
      </c>
      <c r="G7387" s="2"/>
    </row>
    <row r="7388" spans="1:7" x14ac:dyDescent="0.3">
      <c r="A7388" t="s">
        <v>2424</v>
      </c>
      <c r="B7388" t="s">
        <v>446</v>
      </c>
      <c r="C7388" t="s">
        <v>447</v>
      </c>
      <c r="D7388">
        <v>2021</v>
      </c>
      <c r="E7388" s="2">
        <v>1</v>
      </c>
      <c r="F7388" s="2">
        <v>75</v>
      </c>
      <c r="G7388" s="2">
        <v>78.75</v>
      </c>
    </row>
    <row r="7389" spans="1:7" x14ac:dyDescent="0.3">
      <c r="A7389" t="s">
        <v>2425</v>
      </c>
      <c r="B7389" t="s">
        <v>823</v>
      </c>
      <c r="C7389" t="s">
        <v>52</v>
      </c>
      <c r="D7389">
        <v>2015</v>
      </c>
      <c r="E7389" s="2">
        <v>30</v>
      </c>
      <c r="F7389" s="2">
        <v>6600</v>
      </c>
      <c r="G7389" s="2"/>
    </row>
    <row r="7390" spans="1:7" x14ac:dyDescent="0.3">
      <c r="A7390" t="s">
        <v>2425</v>
      </c>
      <c r="B7390" t="s">
        <v>823</v>
      </c>
      <c r="C7390" t="s">
        <v>52</v>
      </c>
      <c r="D7390">
        <v>2016</v>
      </c>
      <c r="E7390" s="2">
        <v>5</v>
      </c>
      <c r="F7390" s="2">
        <v>1100</v>
      </c>
      <c r="G7390" s="2"/>
    </row>
    <row r="7391" spans="1:7" x14ac:dyDescent="0.3">
      <c r="A7391" t="s">
        <v>2425</v>
      </c>
      <c r="B7391" t="s">
        <v>276</v>
      </c>
      <c r="C7391" t="s">
        <v>277</v>
      </c>
      <c r="D7391">
        <v>2014</v>
      </c>
      <c r="E7391" s="2">
        <v>5</v>
      </c>
      <c r="F7391" s="2">
        <v>1350</v>
      </c>
      <c r="G7391" s="2"/>
    </row>
    <row r="7392" spans="1:7" x14ac:dyDescent="0.3">
      <c r="A7392" t="s">
        <v>2425</v>
      </c>
      <c r="B7392" t="s">
        <v>276</v>
      </c>
      <c r="C7392" t="s">
        <v>277</v>
      </c>
      <c r="D7392">
        <v>2015</v>
      </c>
      <c r="E7392" s="2">
        <v>55</v>
      </c>
      <c r="F7392" s="2">
        <v>13800</v>
      </c>
      <c r="G7392" s="2"/>
    </row>
    <row r="7393" spans="1:7" x14ac:dyDescent="0.3">
      <c r="A7393" t="s">
        <v>2425</v>
      </c>
      <c r="B7393" t="s">
        <v>1229</v>
      </c>
      <c r="C7393" t="s">
        <v>951</v>
      </c>
      <c r="D7393">
        <v>2013</v>
      </c>
      <c r="E7393" s="2">
        <v>25</v>
      </c>
      <c r="F7393" s="2">
        <v>5750</v>
      </c>
      <c r="G7393" s="2"/>
    </row>
    <row r="7394" spans="1:7" x14ac:dyDescent="0.3">
      <c r="A7394" t="s">
        <v>2425</v>
      </c>
      <c r="B7394" t="s">
        <v>1238</v>
      </c>
      <c r="C7394" t="s">
        <v>2426</v>
      </c>
      <c r="D7394">
        <v>2015</v>
      </c>
      <c r="E7394" s="2">
        <v>4</v>
      </c>
      <c r="F7394" s="2">
        <v>600</v>
      </c>
      <c r="G7394" s="2"/>
    </row>
    <row r="7395" spans="1:7" x14ac:dyDescent="0.3">
      <c r="A7395" t="s">
        <v>2425</v>
      </c>
      <c r="B7395" t="s">
        <v>84</v>
      </c>
      <c r="C7395" t="s">
        <v>85</v>
      </c>
      <c r="D7395">
        <v>2013</v>
      </c>
      <c r="E7395" s="2">
        <v>5</v>
      </c>
      <c r="F7395" s="2">
        <v>1150</v>
      </c>
      <c r="G7395" s="2"/>
    </row>
    <row r="7396" spans="1:7" x14ac:dyDescent="0.3">
      <c r="A7396" t="s">
        <v>2425</v>
      </c>
      <c r="B7396" t="s">
        <v>280</v>
      </c>
      <c r="C7396" t="s">
        <v>224</v>
      </c>
      <c r="D7396">
        <v>2013</v>
      </c>
      <c r="E7396" s="2">
        <v>5</v>
      </c>
      <c r="F7396" s="2">
        <v>1000</v>
      </c>
      <c r="G7396" s="2"/>
    </row>
    <row r="7397" spans="1:7" x14ac:dyDescent="0.3">
      <c r="A7397" t="s">
        <v>2425</v>
      </c>
      <c r="B7397" t="s">
        <v>280</v>
      </c>
      <c r="C7397" t="s">
        <v>224</v>
      </c>
      <c r="D7397">
        <v>2015</v>
      </c>
      <c r="E7397" s="2">
        <v>5</v>
      </c>
      <c r="F7397" s="2">
        <v>1000</v>
      </c>
      <c r="G7397" s="2"/>
    </row>
    <row r="7398" spans="1:7" x14ac:dyDescent="0.3">
      <c r="A7398" t="s">
        <v>2425</v>
      </c>
      <c r="B7398" t="s">
        <v>218</v>
      </c>
      <c r="C7398" t="s">
        <v>212</v>
      </c>
      <c r="D7398">
        <v>2011</v>
      </c>
      <c r="E7398" s="2">
        <v>5</v>
      </c>
      <c r="F7398" s="2">
        <v>1150</v>
      </c>
      <c r="G7398" s="2"/>
    </row>
    <row r="7399" spans="1:7" x14ac:dyDescent="0.3">
      <c r="A7399" t="s">
        <v>2425</v>
      </c>
      <c r="B7399" t="s">
        <v>182</v>
      </c>
      <c r="C7399" t="s">
        <v>57</v>
      </c>
      <c r="D7399">
        <v>2011</v>
      </c>
      <c r="E7399" s="2">
        <v>10</v>
      </c>
      <c r="F7399" s="2">
        <v>2400</v>
      </c>
      <c r="G7399" s="2"/>
    </row>
    <row r="7400" spans="1:7" x14ac:dyDescent="0.3">
      <c r="A7400" t="s">
        <v>2425</v>
      </c>
      <c r="B7400" t="s">
        <v>182</v>
      </c>
      <c r="C7400" t="s">
        <v>57</v>
      </c>
      <c r="D7400">
        <v>2013</v>
      </c>
      <c r="E7400" s="2">
        <v>25</v>
      </c>
      <c r="F7400" s="2">
        <v>5750</v>
      </c>
      <c r="G7400" s="2"/>
    </row>
    <row r="7401" spans="1:7" x14ac:dyDescent="0.3">
      <c r="A7401" t="s">
        <v>2425</v>
      </c>
      <c r="B7401" t="s">
        <v>182</v>
      </c>
      <c r="C7401" t="s">
        <v>57</v>
      </c>
      <c r="D7401">
        <v>2015</v>
      </c>
      <c r="E7401" s="2">
        <v>5</v>
      </c>
      <c r="F7401" s="2">
        <v>1200</v>
      </c>
      <c r="G7401" s="2"/>
    </row>
    <row r="7402" spans="1:7" x14ac:dyDescent="0.3">
      <c r="A7402" t="s">
        <v>2425</v>
      </c>
      <c r="B7402" t="s">
        <v>99</v>
      </c>
      <c r="C7402" t="s">
        <v>100</v>
      </c>
      <c r="D7402">
        <v>2012</v>
      </c>
      <c r="E7402" s="2">
        <v>10</v>
      </c>
      <c r="F7402" s="2">
        <v>2200</v>
      </c>
      <c r="G7402" s="2"/>
    </row>
    <row r="7403" spans="1:7" x14ac:dyDescent="0.3">
      <c r="A7403" t="s">
        <v>2425</v>
      </c>
      <c r="B7403" t="s">
        <v>99</v>
      </c>
      <c r="C7403" t="s">
        <v>100</v>
      </c>
      <c r="D7403">
        <v>2013</v>
      </c>
      <c r="E7403" s="2">
        <v>5</v>
      </c>
      <c r="F7403" s="2">
        <v>1150</v>
      </c>
      <c r="G7403" s="2"/>
    </row>
    <row r="7404" spans="1:7" x14ac:dyDescent="0.3">
      <c r="A7404" t="s">
        <v>2425</v>
      </c>
      <c r="B7404" t="s">
        <v>99</v>
      </c>
      <c r="C7404" t="s">
        <v>100</v>
      </c>
      <c r="D7404">
        <v>2014</v>
      </c>
      <c r="E7404" s="2">
        <v>5</v>
      </c>
      <c r="F7404" s="2">
        <v>1150</v>
      </c>
      <c r="G7404" s="2"/>
    </row>
    <row r="7405" spans="1:7" x14ac:dyDescent="0.3">
      <c r="A7405" t="s">
        <v>2425</v>
      </c>
      <c r="B7405" t="s">
        <v>297</v>
      </c>
      <c r="C7405" t="s">
        <v>298</v>
      </c>
      <c r="D7405">
        <v>2011</v>
      </c>
      <c r="E7405" s="2">
        <v>10</v>
      </c>
      <c r="F7405" s="2">
        <v>1400</v>
      </c>
      <c r="G7405" s="2"/>
    </row>
    <row r="7406" spans="1:7" x14ac:dyDescent="0.3">
      <c r="A7406" t="s">
        <v>2425</v>
      </c>
      <c r="B7406" t="s">
        <v>297</v>
      </c>
      <c r="C7406" t="s">
        <v>298</v>
      </c>
      <c r="D7406">
        <v>2013</v>
      </c>
      <c r="E7406" s="2">
        <v>5</v>
      </c>
      <c r="F7406" s="2">
        <v>750</v>
      </c>
      <c r="G7406" s="2"/>
    </row>
    <row r="7407" spans="1:7" x14ac:dyDescent="0.3">
      <c r="A7407" t="s">
        <v>2425</v>
      </c>
      <c r="B7407" t="s">
        <v>120</v>
      </c>
      <c r="C7407" t="s">
        <v>121</v>
      </c>
      <c r="D7407">
        <v>2014</v>
      </c>
      <c r="E7407" s="2">
        <v>10</v>
      </c>
      <c r="F7407" s="2">
        <v>2200</v>
      </c>
      <c r="G7407" s="2"/>
    </row>
    <row r="7408" spans="1:7" x14ac:dyDescent="0.3">
      <c r="A7408" t="s">
        <v>2425</v>
      </c>
      <c r="B7408" t="s">
        <v>120</v>
      </c>
      <c r="C7408" t="s">
        <v>121</v>
      </c>
      <c r="D7408">
        <v>2015</v>
      </c>
      <c r="E7408" s="2">
        <v>5</v>
      </c>
      <c r="F7408" s="2">
        <v>1100</v>
      </c>
      <c r="G7408" s="2"/>
    </row>
    <row r="7409" spans="1:7" x14ac:dyDescent="0.3">
      <c r="A7409" t="s">
        <v>2425</v>
      </c>
      <c r="B7409" t="s">
        <v>120</v>
      </c>
      <c r="C7409" t="s">
        <v>121</v>
      </c>
      <c r="D7409">
        <v>2016</v>
      </c>
      <c r="E7409" s="2">
        <v>5</v>
      </c>
      <c r="F7409" s="2">
        <v>950</v>
      </c>
      <c r="G7409" s="2"/>
    </row>
    <row r="7410" spans="1:7" x14ac:dyDescent="0.3">
      <c r="A7410" t="s">
        <v>2425</v>
      </c>
      <c r="B7410" t="s">
        <v>135</v>
      </c>
      <c r="D7410">
        <v>2013</v>
      </c>
      <c r="E7410" s="2">
        <v>5</v>
      </c>
      <c r="F7410" s="2">
        <v>1150</v>
      </c>
      <c r="G7410" s="2"/>
    </row>
    <row r="7411" spans="1:7" x14ac:dyDescent="0.3">
      <c r="A7411" t="s">
        <v>2425</v>
      </c>
      <c r="B7411" t="s">
        <v>1363</v>
      </c>
      <c r="C7411" t="s">
        <v>1364</v>
      </c>
      <c r="D7411">
        <v>2015</v>
      </c>
      <c r="E7411" s="2">
        <v>5</v>
      </c>
      <c r="F7411" s="2">
        <v>1400</v>
      </c>
      <c r="G7411" s="2"/>
    </row>
    <row r="7412" spans="1:7" x14ac:dyDescent="0.3">
      <c r="A7412" t="s">
        <v>2425</v>
      </c>
      <c r="B7412" t="s">
        <v>137</v>
      </c>
      <c r="C7412" t="s">
        <v>138</v>
      </c>
      <c r="D7412">
        <v>2014</v>
      </c>
      <c r="E7412" s="2">
        <v>10</v>
      </c>
      <c r="F7412" s="2">
        <v>2000</v>
      </c>
      <c r="G7412" s="2"/>
    </row>
    <row r="7413" spans="1:7" x14ac:dyDescent="0.3">
      <c r="A7413" t="s">
        <v>2425</v>
      </c>
      <c r="B7413" t="s">
        <v>973</v>
      </c>
      <c r="C7413" t="s">
        <v>974</v>
      </c>
      <c r="D7413">
        <v>2011</v>
      </c>
      <c r="E7413" s="2">
        <v>5</v>
      </c>
      <c r="F7413" s="2">
        <v>750</v>
      </c>
      <c r="G7413" s="2"/>
    </row>
    <row r="7414" spans="1:7" x14ac:dyDescent="0.3">
      <c r="A7414" t="s">
        <v>2425</v>
      </c>
      <c r="B7414" t="s">
        <v>142</v>
      </c>
      <c r="C7414" t="s">
        <v>143</v>
      </c>
      <c r="D7414">
        <v>2014</v>
      </c>
      <c r="E7414" s="2">
        <v>15</v>
      </c>
      <c r="F7414" s="2">
        <v>3975</v>
      </c>
      <c r="G7414" s="2"/>
    </row>
    <row r="7415" spans="1:7" x14ac:dyDescent="0.3">
      <c r="A7415" t="s">
        <v>2425</v>
      </c>
      <c r="B7415" t="s">
        <v>142</v>
      </c>
      <c r="C7415" t="s">
        <v>143</v>
      </c>
      <c r="D7415">
        <v>2015</v>
      </c>
      <c r="E7415" s="2">
        <v>25</v>
      </c>
      <c r="F7415" s="2">
        <v>6000</v>
      </c>
      <c r="G7415" s="2"/>
    </row>
    <row r="7416" spans="1:7" x14ac:dyDescent="0.3">
      <c r="A7416" t="s">
        <v>2425</v>
      </c>
      <c r="B7416" t="s">
        <v>381</v>
      </c>
      <c r="C7416" t="s">
        <v>382</v>
      </c>
      <c r="D7416">
        <v>2013</v>
      </c>
      <c r="E7416" s="2">
        <v>10</v>
      </c>
      <c r="F7416" s="2">
        <v>2500</v>
      </c>
      <c r="G7416" s="2"/>
    </row>
    <row r="7417" spans="1:7" x14ac:dyDescent="0.3">
      <c r="A7417" t="s">
        <v>2425</v>
      </c>
      <c r="B7417" t="s">
        <v>196</v>
      </c>
      <c r="C7417" t="s">
        <v>197</v>
      </c>
      <c r="D7417">
        <v>2013</v>
      </c>
      <c r="E7417" s="2">
        <v>5</v>
      </c>
      <c r="F7417" s="2">
        <v>1150</v>
      </c>
      <c r="G7417" s="2"/>
    </row>
    <row r="7418" spans="1:7" x14ac:dyDescent="0.3">
      <c r="A7418" t="s">
        <v>2425</v>
      </c>
      <c r="B7418" t="s">
        <v>196</v>
      </c>
      <c r="C7418" t="s">
        <v>197</v>
      </c>
      <c r="D7418">
        <v>2014</v>
      </c>
      <c r="E7418" s="2">
        <v>20</v>
      </c>
      <c r="F7418" s="2">
        <v>4600</v>
      </c>
      <c r="G7418" s="2"/>
    </row>
    <row r="7419" spans="1:7" x14ac:dyDescent="0.3">
      <c r="A7419" t="s">
        <v>2425</v>
      </c>
      <c r="B7419" t="s">
        <v>318</v>
      </c>
      <c r="C7419" t="s">
        <v>319</v>
      </c>
      <c r="D7419">
        <v>2014</v>
      </c>
      <c r="E7419" s="2">
        <v>23</v>
      </c>
      <c r="F7419" s="2">
        <v>5060</v>
      </c>
      <c r="G7419" s="2"/>
    </row>
    <row r="7420" spans="1:7" x14ac:dyDescent="0.3">
      <c r="A7420" t="s">
        <v>2425</v>
      </c>
      <c r="B7420" t="s">
        <v>318</v>
      </c>
      <c r="C7420" t="s">
        <v>319</v>
      </c>
      <c r="D7420">
        <v>2015</v>
      </c>
      <c r="E7420" s="2">
        <v>5</v>
      </c>
      <c r="F7420" s="2">
        <v>1100</v>
      </c>
      <c r="G7420" s="2"/>
    </row>
    <row r="7421" spans="1:7" x14ac:dyDescent="0.3">
      <c r="A7421" t="s">
        <v>2425</v>
      </c>
      <c r="B7421" t="s">
        <v>2427</v>
      </c>
      <c r="C7421" t="s">
        <v>1718</v>
      </c>
      <c r="D7421">
        <v>2012</v>
      </c>
      <c r="E7421" s="2">
        <v>10</v>
      </c>
      <c r="F7421" s="2">
        <v>3400</v>
      </c>
      <c r="G7421" s="2"/>
    </row>
    <row r="7422" spans="1:7" x14ac:dyDescent="0.3">
      <c r="A7422" t="s">
        <v>2425</v>
      </c>
      <c r="B7422" t="s">
        <v>2156</v>
      </c>
      <c r="C7422" t="s">
        <v>515</v>
      </c>
      <c r="D7422">
        <v>2015</v>
      </c>
      <c r="E7422" s="2">
        <v>5</v>
      </c>
      <c r="F7422" s="2">
        <v>1100</v>
      </c>
      <c r="G7422" s="2"/>
    </row>
    <row r="7423" spans="1:7" x14ac:dyDescent="0.3">
      <c r="A7423" t="s">
        <v>2425</v>
      </c>
      <c r="B7423" t="s">
        <v>2156</v>
      </c>
      <c r="C7423" t="s">
        <v>515</v>
      </c>
      <c r="D7423">
        <v>2016</v>
      </c>
      <c r="E7423" s="2">
        <v>10</v>
      </c>
      <c r="F7423" s="2">
        <v>2100</v>
      </c>
      <c r="G7423" s="2"/>
    </row>
    <row r="7424" spans="1:7" x14ac:dyDescent="0.3">
      <c r="A7424" t="s">
        <v>2425</v>
      </c>
      <c r="B7424" t="s">
        <v>902</v>
      </c>
      <c r="C7424" t="s">
        <v>903</v>
      </c>
      <c r="D7424">
        <v>2015</v>
      </c>
      <c r="E7424" s="2">
        <v>5</v>
      </c>
      <c r="F7424" s="2">
        <v>1450</v>
      </c>
      <c r="G7424" s="2"/>
    </row>
    <row r="7425" spans="1:7" x14ac:dyDescent="0.3">
      <c r="A7425" t="s">
        <v>2428</v>
      </c>
      <c r="B7425" t="s">
        <v>581</v>
      </c>
      <c r="C7425" t="s">
        <v>582</v>
      </c>
      <c r="D7425">
        <v>2014</v>
      </c>
      <c r="E7425" s="2">
        <v>1</v>
      </c>
      <c r="F7425" s="2">
        <v>240</v>
      </c>
      <c r="G7425" s="2"/>
    </row>
    <row r="7426" spans="1:7" x14ac:dyDescent="0.3">
      <c r="A7426" t="s">
        <v>2428</v>
      </c>
      <c r="B7426" t="s">
        <v>280</v>
      </c>
      <c r="C7426" t="s">
        <v>224</v>
      </c>
      <c r="D7426">
        <v>2017</v>
      </c>
      <c r="E7426" s="2">
        <v>3</v>
      </c>
      <c r="F7426" s="2">
        <v>540</v>
      </c>
      <c r="G7426" s="2"/>
    </row>
    <row r="7427" spans="1:7" x14ac:dyDescent="0.3">
      <c r="A7427" t="s">
        <v>2428</v>
      </c>
      <c r="B7427" t="s">
        <v>218</v>
      </c>
      <c r="C7427" t="s">
        <v>212</v>
      </c>
      <c r="D7427">
        <v>2015</v>
      </c>
      <c r="E7427" s="2">
        <v>5</v>
      </c>
      <c r="F7427" s="2">
        <v>1250</v>
      </c>
      <c r="G7427" s="2"/>
    </row>
    <row r="7428" spans="1:7" x14ac:dyDescent="0.3">
      <c r="A7428" t="s">
        <v>2428</v>
      </c>
      <c r="B7428" t="s">
        <v>1946</v>
      </c>
      <c r="C7428" t="s">
        <v>1947</v>
      </c>
      <c r="D7428">
        <v>2018</v>
      </c>
      <c r="E7428" s="2">
        <v>1</v>
      </c>
      <c r="F7428" s="2">
        <v>1130</v>
      </c>
      <c r="G7428" s="2">
        <v>1186.5</v>
      </c>
    </row>
    <row r="7429" spans="1:7" x14ac:dyDescent="0.3">
      <c r="A7429" t="s">
        <v>2428</v>
      </c>
      <c r="B7429" t="s">
        <v>101</v>
      </c>
      <c r="C7429" t="s">
        <v>102</v>
      </c>
      <c r="D7429">
        <v>2018</v>
      </c>
      <c r="E7429" s="2">
        <v>6</v>
      </c>
      <c r="F7429" s="2">
        <v>2880</v>
      </c>
      <c r="G7429" s="2">
        <v>3024</v>
      </c>
    </row>
    <row r="7430" spans="1:7" x14ac:dyDescent="0.3">
      <c r="A7430" t="s">
        <v>2428</v>
      </c>
      <c r="B7430" t="s">
        <v>516</v>
      </c>
      <c r="D7430">
        <v>2019</v>
      </c>
      <c r="E7430" s="2">
        <v>7</v>
      </c>
      <c r="F7430" s="2">
        <v>1750</v>
      </c>
      <c r="G7430" s="2">
        <v>1837.5</v>
      </c>
    </row>
    <row r="7431" spans="1:7" x14ac:dyDescent="0.3">
      <c r="A7431" t="s">
        <v>2428</v>
      </c>
      <c r="B7431" t="s">
        <v>122</v>
      </c>
      <c r="C7431" t="s">
        <v>123</v>
      </c>
      <c r="D7431">
        <v>2019</v>
      </c>
      <c r="E7431" s="2">
        <v>5</v>
      </c>
      <c r="F7431" s="2">
        <v>1225</v>
      </c>
      <c r="G7431" s="2">
        <v>1286.25</v>
      </c>
    </row>
    <row r="7432" spans="1:7" x14ac:dyDescent="0.3">
      <c r="A7432" t="s">
        <v>2428</v>
      </c>
      <c r="B7432" t="s">
        <v>2429</v>
      </c>
      <c r="C7432" t="s">
        <v>2430</v>
      </c>
      <c r="D7432">
        <v>2012</v>
      </c>
      <c r="E7432" s="2">
        <v>1</v>
      </c>
      <c r="F7432" s="2">
        <v>6000</v>
      </c>
      <c r="G7432" s="2"/>
    </row>
    <row r="7433" spans="1:7" x14ac:dyDescent="0.3">
      <c r="A7433" t="s">
        <v>2428</v>
      </c>
      <c r="B7433" t="s">
        <v>933</v>
      </c>
      <c r="C7433" t="s">
        <v>934</v>
      </c>
      <c r="D7433">
        <v>2017</v>
      </c>
      <c r="E7433" s="2">
        <v>1</v>
      </c>
      <c r="F7433" s="2">
        <v>180</v>
      </c>
      <c r="G7433" s="2"/>
    </row>
    <row r="7434" spans="1:7" x14ac:dyDescent="0.3">
      <c r="A7434" t="s">
        <v>2428</v>
      </c>
      <c r="B7434" t="s">
        <v>2431</v>
      </c>
      <c r="C7434" t="s">
        <v>2165</v>
      </c>
      <c r="D7434">
        <v>2018</v>
      </c>
      <c r="E7434" s="2">
        <v>5</v>
      </c>
      <c r="F7434" s="2">
        <v>2500</v>
      </c>
      <c r="G7434" s="2">
        <v>2625</v>
      </c>
    </row>
    <row r="7435" spans="1:7" x14ac:dyDescent="0.3">
      <c r="A7435" t="s">
        <v>2428</v>
      </c>
      <c r="B7435" t="s">
        <v>2432</v>
      </c>
      <c r="C7435" t="s">
        <v>2433</v>
      </c>
      <c r="D7435">
        <v>2015</v>
      </c>
      <c r="E7435" s="2">
        <v>25</v>
      </c>
      <c r="F7435" s="2">
        <v>8250</v>
      </c>
      <c r="G7435" s="2"/>
    </row>
    <row r="7436" spans="1:7" x14ac:dyDescent="0.3">
      <c r="A7436" t="s">
        <v>2428</v>
      </c>
      <c r="B7436" t="s">
        <v>2432</v>
      </c>
      <c r="C7436" t="s">
        <v>2433</v>
      </c>
      <c r="D7436">
        <v>2017</v>
      </c>
      <c r="E7436" s="2">
        <v>25</v>
      </c>
      <c r="F7436" s="2">
        <v>8250</v>
      </c>
      <c r="G7436" s="2"/>
    </row>
    <row r="7437" spans="1:7" x14ac:dyDescent="0.3">
      <c r="A7437" t="s">
        <v>2428</v>
      </c>
      <c r="B7437" t="s">
        <v>378</v>
      </c>
      <c r="C7437" t="s">
        <v>379</v>
      </c>
      <c r="D7437">
        <v>2012</v>
      </c>
      <c r="E7437" s="2">
        <v>5</v>
      </c>
      <c r="F7437" s="2">
        <v>200</v>
      </c>
      <c r="G7437" s="2"/>
    </row>
    <row r="7438" spans="1:7" x14ac:dyDescent="0.3">
      <c r="A7438" t="s">
        <v>2428</v>
      </c>
      <c r="B7438" t="s">
        <v>1456</v>
      </c>
      <c r="C7438" t="s">
        <v>2434</v>
      </c>
      <c r="D7438">
        <v>2012</v>
      </c>
      <c r="E7438" s="2">
        <v>25</v>
      </c>
      <c r="F7438" s="2">
        <v>1100</v>
      </c>
      <c r="G7438" s="2"/>
    </row>
    <row r="7439" spans="1:7" x14ac:dyDescent="0.3">
      <c r="A7439" t="s">
        <v>2428</v>
      </c>
      <c r="B7439" t="s">
        <v>1456</v>
      </c>
      <c r="C7439" t="s">
        <v>2434</v>
      </c>
      <c r="D7439">
        <v>2014</v>
      </c>
      <c r="E7439" s="2">
        <v>5</v>
      </c>
      <c r="F7439" s="2">
        <v>1100</v>
      </c>
      <c r="G7439" s="2"/>
    </row>
    <row r="7440" spans="1:7" x14ac:dyDescent="0.3">
      <c r="A7440" t="s">
        <v>2428</v>
      </c>
      <c r="B7440" t="s">
        <v>1456</v>
      </c>
      <c r="C7440" t="s">
        <v>2434</v>
      </c>
      <c r="D7440">
        <v>2015</v>
      </c>
      <c r="E7440" s="2">
        <v>10</v>
      </c>
      <c r="F7440" s="2">
        <v>2200</v>
      </c>
      <c r="G7440" s="2"/>
    </row>
    <row r="7441" spans="1:7" x14ac:dyDescent="0.3">
      <c r="A7441" t="s">
        <v>2428</v>
      </c>
      <c r="B7441" t="s">
        <v>1167</v>
      </c>
      <c r="C7441" t="s">
        <v>102</v>
      </c>
      <c r="D7441">
        <v>2019</v>
      </c>
      <c r="E7441" s="2">
        <v>10</v>
      </c>
      <c r="F7441" s="2">
        <v>4800</v>
      </c>
      <c r="G7441" s="2">
        <v>5040</v>
      </c>
    </row>
    <row r="7442" spans="1:7" x14ac:dyDescent="0.3">
      <c r="A7442" t="s">
        <v>2428</v>
      </c>
      <c r="B7442" t="s">
        <v>1167</v>
      </c>
      <c r="C7442" t="s">
        <v>102</v>
      </c>
      <c r="D7442">
        <v>2020</v>
      </c>
      <c r="E7442" s="2">
        <v>10</v>
      </c>
      <c r="F7442" s="2">
        <v>4800</v>
      </c>
      <c r="G7442" s="2">
        <v>5040</v>
      </c>
    </row>
    <row r="7443" spans="1:7" x14ac:dyDescent="0.3">
      <c r="A7443" t="s">
        <v>2428</v>
      </c>
      <c r="B7443" t="s">
        <v>72</v>
      </c>
      <c r="C7443" t="s">
        <v>73</v>
      </c>
      <c r="D7443">
        <v>2014</v>
      </c>
      <c r="E7443" s="2">
        <v>5</v>
      </c>
      <c r="F7443" s="2">
        <v>1350</v>
      </c>
      <c r="G7443" s="2"/>
    </row>
    <row r="7444" spans="1:7" x14ac:dyDescent="0.3">
      <c r="A7444" t="s">
        <v>2428</v>
      </c>
      <c r="B7444" t="s">
        <v>72</v>
      </c>
      <c r="C7444" t="s">
        <v>73</v>
      </c>
      <c r="D7444">
        <v>2015</v>
      </c>
      <c r="E7444" s="2">
        <v>20</v>
      </c>
      <c r="F7444" s="2">
        <v>5400</v>
      </c>
      <c r="G7444" s="2"/>
    </row>
    <row r="7445" spans="1:7" x14ac:dyDescent="0.3">
      <c r="A7445" t="s">
        <v>2428</v>
      </c>
      <c r="B7445" t="s">
        <v>72</v>
      </c>
      <c r="C7445" t="s">
        <v>73</v>
      </c>
      <c r="D7445">
        <v>2019</v>
      </c>
      <c r="E7445" s="2">
        <v>10</v>
      </c>
      <c r="F7445" s="2">
        <v>2200</v>
      </c>
      <c r="G7445" s="2">
        <v>2310</v>
      </c>
    </row>
    <row r="7446" spans="1:7" x14ac:dyDescent="0.3">
      <c r="A7446" t="s">
        <v>2428</v>
      </c>
      <c r="B7446" t="s">
        <v>72</v>
      </c>
      <c r="C7446" t="s">
        <v>73</v>
      </c>
      <c r="D7446">
        <v>2020</v>
      </c>
      <c r="E7446" s="2">
        <v>5</v>
      </c>
      <c r="F7446" s="2">
        <v>1100</v>
      </c>
      <c r="G7446" s="2">
        <v>1155</v>
      </c>
    </row>
    <row r="7447" spans="1:7" x14ac:dyDescent="0.3">
      <c r="A7447" t="s">
        <v>2428</v>
      </c>
      <c r="B7447" t="s">
        <v>318</v>
      </c>
      <c r="C7447" t="s">
        <v>319</v>
      </c>
      <c r="D7447">
        <v>2014</v>
      </c>
      <c r="E7447" s="2">
        <v>1</v>
      </c>
      <c r="F7447" s="2">
        <v>220</v>
      </c>
      <c r="G7447" s="2"/>
    </row>
    <row r="7448" spans="1:7" x14ac:dyDescent="0.3">
      <c r="A7448" t="s">
        <v>2428</v>
      </c>
      <c r="B7448" t="s">
        <v>318</v>
      </c>
      <c r="C7448" t="s">
        <v>319</v>
      </c>
      <c r="D7448">
        <v>2015</v>
      </c>
      <c r="E7448" s="2">
        <v>25</v>
      </c>
      <c r="F7448" s="2">
        <v>5500</v>
      </c>
      <c r="G7448" s="2"/>
    </row>
    <row r="7449" spans="1:7" x14ac:dyDescent="0.3">
      <c r="A7449" t="s">
        <v>2428</v>
      </c>
      <c r="B7449" t="s">
        <v>318</v>
      </c>
      <c r="C7449" t="s">
        <v>319</v>
      </c>
      <c r="D7449">
        <v>2016</v>
      </c>
      <c r="E7449" s="2">
        <v>25</v>
      </c>
      <c r="F7449" s="2">
        <v>5500</v>
      </c>
      <c r="G7449" s="2"/>
    </row>
    <row r="7450" spans="1:7" x14ac:dyDescent="0.3">
      <c r="A7450" t="s">
        <v>2428</v>
      </c>
      <c r="B7450" t="s">
        <v>318</v>
      </c>
      <c r="C7450" t="s">
        <v>319</v>
      </c>
      <c r="D7450">
        <v>2017</v>
      </c>
      <c r="E7450" s="2">
        <v>25</v>
      </c>
      <c r="F7450" s="2">
        <v>5500</v>
      </c>
      <c r="G7450" s="2"/>
    </row>
    <row r="7451" spans="1:7" x14ac:dyDescent="0.3">
      <c r="A7451" t="s">
        <v>2428</v>
      </c>
      <c r="B7451" t="s">
        <v>318</v>
      </c>
      <c r="C7451" t="s">
        <v>319</v>
      </c>
      <c r="D7451">
        <v>2018</v>
      </c>
      <c r="E7451" s="2">
        <v>15</v>
      </c>
      <c r="F7451" s="2">
        <v>3300</v>
      </c>
      <c r="G7451" s="2">
        <v>3465</v>
      </c>
    </row>
    <row r="7452" spans="1:7" x14ac:dyDescent="0.3">
      <c r="A7452" t="s">
        <v>2435</v>
      </c>
      <c r="B7452" t="s">
        <v>567</v>
      </c>
      <c r="C7452" t="s">
        <v>698</v>
      </c>
      <c r="D7452">
        <v>2017</v>
      </c>
      <c r="E7452" s="2">
        <v>20</v>
      </c>
      <c r="F7452" s="2">
        <v>1400</v>
      </c>
      <c r="G7452" s="2"/>
    </row>
    <row r="7453" spans="1:7" x14ac:dyDescent="0.3">
      <c r="A7453" t="s">
        <v>2435</v>
      </c>
      <c r="B7453" t="s">
        <v>567</v>
      </c>
      <c r="C7453" t="s">
        <v>698</v>
      </c>
      <c r="D7453">
        <v>2018</v>
      </c>
      <c r="E7453" s="2">
        <v>20</v>
      </c>
      <c r="F7453" s="2">
        <v>1400</v>
      </c>
      <c r="G7453" s="2">
        <v>1470</v>
      </c>
    </row>
    <row r="7454" spans="1:7" x14ac:dyDescent="0.3">
      <c r="A7454" t="s">
        <v>2435</v>
      </c>
      <c r="B7454" t="s">
        <v>567</v>
      </c>
      <c r="C7454" t="s">
        <v>698</v>
      </c>
      <c r="D7454">
        <v>2020</v>
      </c>
      <c r="E7454" s="2">
        <v>8</v>
      </c>
      <c r="F7454" s="2">
        <v>560</v>
      </c>
      <c r="G7454" s="2">
        <v>588</v>
      </c>
    </row>
    <row r="7455" spans="1:7" x14ac:dyDescent="0.3">
      <c r="A7455" t="s">
        <v>2435</v>
      </c>
      <c r="B7455" t="s">
        <v>19</v>
      </c>
      <c r="C7455" t="s">
        <v>699</v>
      </c>
      <c r="D7455">
        <v>2016</v>
      </c>
      <c r="E7455" s="2">
        <v>1</v>
      </c>
      <c r="F7455" s="2">
        <v>70</v>
      </c>
      <c r="G7455" s="2"/>
    </row>
    <row r="7456" spans="1:7" x14ac:dyDescent="0.3">
      <c r="A7456" t="s">
        <v>2435</v>
      </c>
      <c r="B7456" t="s">
        <v>41</v>
      </c>
      <c r="C7456" t="s">
        <v>42</v>
      </c>
      <c r="D7456">
        <v>2016</v>
      </c>
      <c r="E7456" s="2">
        <v>1</v>
      </c>
      <c r="F7456" s="2">
        <v>65</v>
      </c>
      <c r="G7456" s="2"/>
    </row>
    <row r="7457" spans="1:7" x14ac:dyDescent="0.3">
      <c r="A7457" t="s">
        <v>2435</v>
      </c>
      <c r="B7457" t="s">
        <v>995</v>
      </c>
      <c r="C7457" t="s">
        <v>672</v>
      </c>
      <c r="D7457">
        <v>2017</v>
      </c>
      <c r="E7457" s="2">
        <v>1</v>
      </c>
      <c r="F7457" s="2">
        <v>75</v>
      </c>
      <c r="G7457" s="2"/>
    </row>
    <row r="7458" spans="1:7" x14ac:dyDescent="0.3">
      <c r="A7458" t="s">
        <v>2436</v>
      </c>
      <c r="B7458" t="s">
        <v>453</v>
      </c>
      <c r="D7458">
        <v>2018</v>
      </c>
      <c r="E7458" s="2">
        <v>10</v>
      </c>
      <c r="F7458" s="2">
        <v>1260</v>
      </c>
      <c r="G7458" s="2">
        <v>1260</v>
      </c>
    </row>
    <row r="7459" spans="1:7" x14ac:dyDescent="0.3">
      <c r="A7459" t="s">
        <v>2436</v>
      </c>
      <c r="B7459" t="s">
        <v>1648</v>
      </c>
      <c r="C7459" t="s">
        <v>1826</v>
      </c>
      <c r="D7459">
        <v>2018</v>
      </c>
      <c r="E7459" s="2">
        <v>50</v>
      </c>
      <c r="F7459" s="2">
        <v>5250</v>
      </c>
      <c r="G7459" s="2">
        <v>5250</v>
      </c>
    </row>
    <row r="7460" spans="1:7" x14ac:dyDescent="0.3">
      <c r="A7460" t="s">
        <v>2436</v>
      </c>
      <c r="B7460" t="s">
        <v>642</v>
      </c>
      <c r="D7460">
        <v>2018</v>
      </c>
      <c r="E7460" s="2">
        <v>5</v>
      </c>
      <c r="F7460" s="2">
        <v>550</v>
      </c>
      <c r="G7460" s="2">
        <v>550</v>
      </c>
    </row>
    <row r="7461" spans="1:7" x14ac:dyDescent="0.3">
      <c r="A7461" t="s">
        <v>2436</v>
      </c>
      <c r="B7461" t="s">
        <v>19</v>
      </c>
      <c r="C7461" t="s">
        <v>699</v>
      </c>
      <c r="D7461">
        <v>2018</v>
      </c>
      <c r="E7461" s="2">
        <v>50</v>
      </c>
      <c r="F7461" s="2">
        <v>3750</v>
      </c>
      <c r="G7461" s="2">
        <v>3750</v>
      </c>
    </row>
    <row r="7462" spans="1:7" x14ac:dyDescent="0.3">
      <c r="A7462" t="s">
        <v>2436</v>
      </c>
      <c r="B7462" t="s">
        <v>110</v>
      </c>
      <c r="C7462" t="s">
        <v>111</v>
      </c>
      <c r="D7462">
        <v>2018</v>
      </c>
      <c r="E7462" s="2">
        <v>200</v>
      </c>
      <c r="F7462" s="2">
        <v>9600</v>
      </c>
      <c r="G7462" s="2">
        <v>9600</v>
      </c>
    </row>
    <row r="7463" spans="1:7" x14ac:dyDescent="0.3">
      <c r="A7463" t="s">
        <v>2436</v>
      </c>
      <c r="B7463" t="s">
        <v>36</v>
      </c>
      <c r="D7463">
        <v>2017</v>
      </c>
      <c r="E7463" s="2">
        <v>10</v>
      </c>
      <c r="F7463" s="2">
        <v>1500</v>
      </c>
      <c r="G7463" s="2"/>
    </row>
    <row r="7464" spans="1:7" x14ac:dyDescent="0.3">
      <c r="A7464" t="s">
        <v>2436</v>
      </c>
      <c r="B7464" t="s">
        <v>36</v>
      </c>
      <c r="D7464">
        <v>2020</v>
      </c>
      <c r="E7464" s="2">
        <v>10</v>
      </c>
      <c r="F7464" s="2">
        <v>905</v>
      </c>
      <c r="G7464" s="2">
        <v>950.25</v>
      </c>
    </row>
    <row r="7465" spans="1:7" x14ac:dyDescent="0.3">
      <c r="A7465" t="s">
        <v>2436</v>
      </c>
      <c r="B7465" t="s">
        <v>314</v>
      </c>
      <c r="C7465" t="s">
        <v>315</v>
      </c>
      <c r="D7465">
        <v>2017</v>
      </c>
      <c r="E7465" s="2">
        <v>100</v>
      </c>
      <c r="F7465" s="2">
        <v>6000</v>
      </c>
      <c r="G7465" s="2"/>
    </row>
    <row r="7466" spans="1:7" x14ac:dyDescent="0.3">
      <c r="A7466" t="s">
        <v>2436</v>
      </c>
      <c r="B7466" t="s">
        <v>37</v>
      </c>
      <c r="D7466">
        <v>2018</v>
      </c>
      <c r="E7466" s="2">
        <v>30</v>
      </c>
      <c r="F7466" s="2">
        <v>4095</v>
      </c>
      <c r="G7466" s="2">
        <v>4095</v>
      </c>
    </row>
    <row r="7467" spans="1:7" x14ac:dyDescent="0.3">
      <c r="A7467" t="s">
        <v>2436</v>
      </c>
      <c r="B7467" t="s">
        <v>37</v>
      </c>
      <c r="D7467">
        <v>2019</v>
      </c>
      <c r="E7467" s="2">
        <v>25</v>
      </c>
      <c r="F7467" s="2">
        <v>3095</v>
      </c>
      <c r="G7467" s="2">
        <v>3249.75</v>
      </c>
    </row>
    <row r="7468" spans="1:7" x14ac:dyDescent="0.3">
      <c r="A7468" t="s">
        <v>2436</v>
      </c>
      <c r="B7468" t="s">
        <v>1457</v>
      </c>
      <c r="C7468" t="s">
        <v>682</v>
      </c>
      <c r="D7468">
        <v>2018</v>
      </c>
      <c r="E7468" s="2">
        <v>400</v>
      </c>
      <c r="F7468" s="2">
        <v>27455</v>
      </c>
      <c r="G7468" s="2">
        <v>27455</v>
      </c>
    </row>
    <row r="7469" spans="1:7" x14ac:dyDescent="0.3">
      <c r="A7469" t="s">
        <v>2437</v>
      </c>
      <c r="B7469" t="s">
        <v>280</v>
      </c>
      <c r="C7469" t="s">
        <v>224</v>
      </c>
      <c r="D7469">
        <v>2017</v>
      </c>
      <c r="E7469" s="2">
        <v>5</v>
      </c>
      <c r="F7469" s="2">
        <v>900</v>
      </c>
      <c r="G7469" s="2"/>
    </row>
    <row r="7470" spans="1:7" x14ac:dyDescent="0.3">
      <c r="A7470" t="s">
        <v>2437</v>
      </c>
      <c r="B7470" t="s">
        <v>721</v>
      </c>
      <c r="C7470" t="s">
        <v>722</v>
      </c>
      <c r="D7470">
        <v>2016</v>
      </c>
      <c r="E7470" s="2">
        <v>6</v>
      </c>
      <c r="F7470" s="2">
        <v>468</v>
      </c>
      <c r="G7470" s="2"/>
    </row>
    <row r="7471" spans="1:7" x14ac:dyDescent="0.3">
      <c r="A7471" t="s">
        <v>2437</v>
      </c>
      <c r="B7471" t="s">
        <v>721</v>
      </c>
      <c r="C7471" t="s">
        <v>722</v>
      </c>
      <c r="D7471">
        <v>2017</v>
      </c>
      <c r="E7471" s="2">
        <v>5</v>
      </c>
      <c r="F7471" s="2">
        <v>390</v>
      </c>
      <c r="G7471" s="2"/>
    </row>
    <row r="7472" spans="1:7" x14ac:dyDescent="0.3">
      <c r="A7472" t="s">
        <v>2437</v>
      </c>
      <c r="B7472" t="s">
        <v>696</v>
      </c>
      <c r="C7472" t="s">
        <v>697</v>
      </c>
      <c r="D7472">
        <v>2016</v>
      </c>
      <c r="E7472" s="2">
        <v>10</v>
      </c>
      <c r="F7472" s="2">
        <v>680</v>
      </c>
      <c r="G7472" s="2"/>
    </row>
    <row r="7473" spans="1:7" x14ac:dyDescent="0.3">
      <c r="A7473" t="s">
        <v>2437</v>
      </c>
      <c r="B7473" t="s">
        <v>349</v>
      </c>
      <c r="C7473" t="s">
        <v>350</v>
      </c>
      <c r="D7473">
        <v>2016</v>
      </c>
      <c r="E7473" s="2">
        <v>25</v>
      </c>
      <c r="F7473" s="2">
        <v>1875</v>
      </c>
      <c r="G7473" s="2"/>
    </row>
    <row r="7474" spans="1:7" x14ac:dyDescent="0.3">
      <c r="A7474" t="s">
        <v>2437</v>
      </c>
      <c r="B7474" t="s">
        <v>184</v>
      </c>
      <c r="C7474" t="s">
        <v>185</v>
      </c>
      <c r="D7474">
        <v>2016</v>
      </c>
      <c r="E7474" s="2">
        <v>10</v>
      </c>
      <c r="F7474" s="2">
        <v>580</v>
      </c>
      <c r="G7474" s="2"/>
    </row>
    <row r="7475" spans="1:7" x14ac:dyDescent="0.3">
      <c r="A7475" t="s">
        <v>2437</v>
      </c>
      <c r="B7475" t="s">
        <v>184</v>
      </c>
      <c r="C7475" t="s">
        <v>185</v>
      </c>
      <c r="D7475">
        <v>2017</v>
      </c>
      <c r="E7475" s="2">
        <v>10</v>
      </c>
      <c r="F7475" s="2">
        <v>580</v>
      </c>
      <c r="G7475" s="2"/>
    </row>
    <row r="7476" spans="1:7" x14ac:dyDescent="0.3">
      <c r="A7476" t="s">
        <v>2437</v>
      </c>
      <c r="B7476" t="s">
        <v>184</v>
      </c>
      <c r="C7476" t="s">
        <v>185</v>
      </c>
      <c r="D7476">
        <v>2018</v>
      </c>
      <c r="E7476" s="2">
        <v>10</v>
      </c>
      <c r="F7476" s="2">
        <v>550</v>
      </c>
      <c r="G7476" s="2">
        <v>577.5</v>
      </c>
    </row>
    <row r="7477" spans="1:7" x14ac:dyDescent="0.3">
      <c r="A7477" t="s">
        <v>2437</v>
      </c>
      <c r="B7477" t="s">
        <v>184</v>
      </c>
      <c r="C7477" t="s">
        <v>185</v>
      </c>
      <c r="D7477">
        <v>2019</v>
      </c>
      <c r="E7477" s="2">
        <v>25</v>
      </c>
      <c r="F7477" s="2">
        <v>1375</v>
      </c>
      <c r="G7477" s="2">
        <v>1443.75</v>
      </c>
    </row>
    <row r="7478" spans="1:7" x14ac:dyDescent="0.3">
      <c r="A7478" t="s">
        <v>2437</v>
      </c>
      <c r="B7478" t="s">
        <v>19</v>
      </c>
      <c r="C7478" t="s">
        <v>20</v>
      </c>
      <c r="D7478">
        <v>2016</v>
      </c>
      <c r="E7478" s="2">
        <v>25</v>
      </c>
      <c r="F7478" s="2">
        <v>2125</v>
      </c>
      <c r="G7478" s="2"/>
    </row>
    <row r="7479" spans="1:7" x14ac:dyDescent="0.3">
      <c r="A7479" t="s">
        <v>2437</v>
      </c>
      <c r="B7479" t="s">
        <v>19</v>
      </c>
      <c r="C7479" t="s">
        <v>20</v>
      </c>
      <c r="D7479">
        <v>2017</v>
      </c>
      <c r="E7479" s="2">
        <v>30</v>
      </c>
      <c r="F7479" s="2">
        <v>2550</v>
      </c>
      <c r="G7479" s="2"/>
    </row>
    <row r="7480" spans="1:7" x14ac:dyDescent="0.3">
      <c r="A7480" t="s">
        <v>2437</v>
      </c>
      <c r="B7480" t="s">
        <v>19</v>
      </c>
      <c r="C7480" t="s">
        <v>20</v>
      </c>
      <c r="D7480">
        <v>2018</v>
      </c>
      <c r="E7480" s="2">
        <v>50</v>
      </c>
      <c r="F7480" s="2">
        <v>3500</v>
      </c>
      <c r="G7480" s="2">
        <v>3675</v>
      </c>
    </row>
    <row r="7481" spans="1:7" x14ac:dyDescent="0.3">
      <c r="A7481" t="s">
        <v>2437</v>
      </c>
      <c r="B7481" t="s">
        <v>19</v>
      </c>
      <c r="C7481" t="s">
        <v>670</v>
      </c>
      <c r="D7481">
        <v>2018</v>
      </c>
      <c r="E7481" s="2">
        <v>25</v>
      </c>
      <c r="F7481" s="2">
        <v>1750</v>
      </c>
      <c r="G7481" s="2">
        <v>1837.5</v>
      </c>
    </row>
    <row r="7482" spans="1:7" x14ac:dyDescent="0.3">
      <c r="A7482" t="s">
        <v>2437</v>
      </c>
      <c r="B7482" t="s">
        <v>19</v>
      </c>
      <c r="C7482" t="s">
        <v>20</v>
      </c>
      <c r="D7482">
        <v>2019</v>
      </c>
      <c r="E7482" s="2">
        <v>45</v>
      </c>
      <c r="F7482" s="2">
        <v>3150</v>
      </c>
      <c r="G7482" s="2">
        <v>3307.5</v>
      </c>
    </row>
    <row r="7483" spans="1:7" x14ac:dyDescent="0.3">
      <c r="A7483" t="s">
        <v>2437</v>
      </c>
      <c r="B7483" t="s">
        <v>19</v>
      </c>
      <c r="C7483" t="s">
        <v>670</v>
      </c>
      <c r="D7483">
        <v>2019</v>
      </c>
      <c r="E7483" s="2">
        <v>50</v>
      </c>
      <c r="F7483" s="2">
        <v>4250</v>
      </c>
      <c r="G7483" s="2">
        <v>4462.5</v>
      </c>
    </row>
    <row r="7484" spans="1:7" x14ac:dyDescent="0.3">
      <c r="A7484" t="s">
        <v>2437</v>
      </c>
      <c r="B7484" t="s">
        <v>671</v>
      </c>
      <c r="C7484" t="s">
        <v>672</v>
      </c>
      <c r="D7484">
        <v>2017</v>
      </c>
      <c r="E7484" s="2">
        <v>45</v>
      </c>
      <c r="F7484" s="2">
        <v>3150</v>
      </c>
      <c r="G7484" s="2"/>
    </row>
    <row r="7485" spans="1:7" x14ac:dyDescent="0.3">
      <c r="A7485" t="s">
        <v>2437</v>
      </c>
      <c r="B7485" t="s">
        <v>671</v>
      </c>
      <c r="C7485" t="s">
        <v>672</v>
      </c>
      <c r="D7485">
        <v>2018</v>
      </c>
      <c r="E7485" s="2">
        <v>75</v>
      </c>
      <c r="F7485" s="2">
        <v>4125</v>
      </c>
      <c r="G7485" s="2">
        <v>4331.25</v>
      </c>
    </row>
    <row r="7486" spans="1:7" x14ac:dyDescent="0.3">
      <c r="A7486" t="s">
        <v>2437</v>
      </c>
      <c r="B7486" t="s">
        <v>671</v>
      </c>
      <c r="C7486" t="s">
        <v>672</v>
      </c>
      <c r="D7486">
        <v>2019</v>
      </c>
      <c r="E7486" s="2">
        <v>50</v>
      </c>
      <c r="F7486" s="2">
        <v>2750</v>
      </c>
      <c r="G7486" s="2">
        <v>2887.5</v>
      </c>
    </row>
    <row r="7487" spans="1:7" x14ac:dyDescent="0.3">
      <c r="A7487" t="s">
        <v>2437</v>
      </c>
      <c r="B7487" t="s">
        <v>671</v>
      </c>
      <c r="C7487" t="s">
        <v>672</v>
      </c>
      <c r="D7487">
        <v>2020</v>
      </c>
      <c r="E7487" s="2">
        <v>50</v>
      </c>
      <c r="F7487" s="2">
        <v>2750</v>
      </c>
      <c r="G7487" s="2">
        <v>2887.5</v>
      </c>
    </row>
    <row r="7488" spans="1:7" x14ac:dyDescent="0.3">
      <c r="A7488" t="s">
        <v>2437</v>
      </c>
      <c r="B7488" t="s">
        <v>21</v>
      </c>
      <c r="C7488" t="s">
        <v>22</v>
      </c>
      <c r="D7488">
        <v>2019</v>
      </c>
      <c r="E7488" s="2">
        <v>10</v>
      </c>
      <c r="F7488" s="2">
        <v>650</v>
      </c>
      <c r="G7488" s="2">
        <v>682.5</v>
      </c>
    </row>
    <row r="7489" spans="1:7" x14ac:dyDescent="0.3">
      <c r="A7489" t="s">
        <v>2437</v>
      </c>
      <c r="B7489" t="s">
        <v>110</v>
      </c>
      <c r="C7489" t="s">
        <v>111</v>
      </c>
      <c r="D7489">
        <v>2019</v>
      </c>
      <c r="E7489" s="2">
        <v>25</v>
      </c>
      <c r="F7489" s="2">
        <v>1375</v>
      </c>
      <c r="G7489" s="2">
        <v>1443.75</v>
      </c>
    </row>
    <row r="7490" spans="1:7" x14ac:dyDescent="0.3">
      <c r="A7490" t="s">
        <v>2437</v>
      </c>
      <c r="B7490" t="s">
        <v>68</v>
      </c>
      <c r="C7490" t="s">
        <v>69</v>
      </c>
      <c r="D7490">
        <v>2016</v>
      </c>
      <c r="E7490" s="2">
        <v>20</v>
      </c>
      <c r="F7490" s="2">
        <v>1400</v>
      </c>
      <c r="G7490" s="2"/>
    </row>
    <row r="7491" spans="1:7" x14ac:dyDescent="0.3">
      <c r="A7491" t="s">
        <v>2437</v>
      </c>
      <c r="B7491" t="s">
        <v>68</v>
      </c>
      <c r="C7491" t="s">
        <v>69</v>
      </c>
      <c r="D7491">
        <v>2017</v>
      </c>
      <c r="E7491" s="2">
        <v>30</v>
      </c>
      <c r="F7491" s="2">
        <v>1975</v>
      </c>
      <c r="G7491" s="2"/>
    </row>
    <row r="7492" spans="1:7" x14ac:dyDescent="0.3">
      <c r="A7492" t="s">
        <v>2437</v>
      </c>
      <c r="B7492" t="s">
        <v>518</v>
      </c>
      <c r="C7492" t="s">
        <v>519</v>
      </c>
      <c r="D7492">
        <v>2020</v>
      </c>
      <c r="E7492" s="2">
        <v>5</v>
      </c>
      <c r="F7492" s="2">
        <v>375</v>
      </c>
      <c r="G7492" s="2">
        <v>375</v>
      </c>
    </row>
    <row r="7493" spans="1:7" x14ac:dyDescent="0.3">
      <c r="A7493" t="s">
        <v>2437</v>
      </c>
      <c r="B7493" t="s">
        <v>438</v>
      </c>
      <c r="C7493" t="s">
        <v>439</v>
      </c>
      <c r="D7493">
        <v>2016</v>
      </c>
      <c r="E7493" s="2">
        <v>10</v>
      </c>
      <c r="F7493" s="2">
        <v>720</v>
      </c>
      <c r="G7493" s="2"/>
    </row>
    <row r="7494" spans="1:7" x14ac:dyDescent="0.3">
      <c r="A7494" t="s">
        <v>2437</v>
      </c>
      <c r="B7494" t="s">
        <v>1602</v>
      </c>
      <c r="C7494" t="s">
        <v>521</v>
      </c>
      <c r="D7494">
        <v>2017</v>
      </c>
      <c r="E7494" s="2">
        <v>5</v>
      </c>
      <c r="F7494" s="2">
        <v>900</v>
      </c>
      <c r="G7494" s="2"/>
    </row>
    <row r="7495" spans="1:7" x14ac:dyDescent="0.3">
      <c r="A7495" t="s">
        <v>2437</v>
      </c>
      <c r="B7495" t="s">
        <v>318</v>
      </c>
      <c r="C7495" t="s">
        <v>319</v>
      </c>
      <c r="D7495">
        <v>2017</v>
      </c>
      <c r="E7495" s="2">
        <v>5</v>
      </c>
      <c r="F7495" s="2">
        <v>900</v>
      </c>
      <c r="G7495" s="2"/>
    </row>
    <row r="7496" spans="1:7" x14ac:dyDescent="0.3">
      <c r="A7496" t="s">
        <v>2437</v>
      </c>
      <c r="B7496" t="s">
        <v>46</v>
      </c>
      <c r="C7496" t="s">
        <v>47</v>
      </c>
      <c r="D7496">
        <v>2016</v>
      </c>
      <c r="E7496" s="2">
        <v>15</v>
      </c>
      <c r="F7496" s="2">
        <v>900</v>
      </c>
      <c r="G7496" s="2"/>
    </row>
    <row r="7497" spans="1:7" x14ac:dyDescent="0.3">
      <c r="A7497" t="s">
        <v>2437</v>
      </c>
      <c r="B7497" t="s">
        <v>46</v>
      </c>
      <c r="C7497" t="s">
        <v>47</v>
      </c>
      <c r="D7497">
        <v>2017</v>
      </c>
      <c r="E7497" s="2">
        <v>5</v>
      </c>
      <c r="F7497" s="2">
        <v>300</v>
      </c>
      <c r="G7497" s="2"/>
    </row>
    <row r="7498" spans="1:7" x14ac:dyDescent="0.3">
      <c r="A7498" t="s">
        <v>2437</v>
      </c>
      <c r="B7498" t="s">
        <v>46</v>
      </c>
      <c r="C7498" t="s">
        <v>47</v>
      </c>
      <c r="D7498">
        <v>2018</v>
      </c>
      <c r="E7498" s="2">
        <v>10</v>
      </c>
      <c r="F7498" s="2">
        <v>600</v>
      </c>
      <c r="G7498" s="2">
        <v>630</v>
      </c>
    </row>
    <row r="7499" spans="1:7" x14ac:dyDescent="0.3">
      <c r="A7499" t="s">
        <v>2437</v>
      </c>
      <c r="B7499" t="s">
        <v>483</v>
      </c>
      <c r="C7499" t="s">
        <v>484</v>
      </c>
      <c r="D7499">
        <v>2020</v>
      </c>
      <c r="E7499" s="2">
        <v>10</v>
      </c>
      <c r="F7499" s="2">
        <v>600</v>
      </c>
      <c r="G7499" s="2">
        <v>630</v>
      </c>
    </row>
    <row r="7500" spans="1:7" x14ac:dyDescent="0.3">
      <c r="A7500" t="s">
        <v>2437</v>
      </c>
      <c r="B7500" t="s">
        <v>754</v>
      </c>
      <c r="C7500" t="s">
        <v>755</v>
      </c>
      <c r="D7500">
        <v>2020</v>
      </c>
      <c r="E7500" s="2">
        <v>15</v>
      </c>
      <c r="F7500" s="2">
        <v>1125</v>
      </c>
      <c r="G7500" s="2">
        <v>1181.25</v>
      </c>
    </row>
    <row r="7501" spans="1:7" x14ac:dyDescent="0.3">
      <c r="A7501" t="s">
        <v>2437</v>
      </c>
      <c r="B7501" t="s">
        <v>12</v>
      </c>
      <c r="C7501" t="s">
        <v>13</v>
      </c>
      <c r="D7501">
        <v>2016</v>
      </c>
      <c r="E7501" s="2">
        <v>20</v>
      </c>
      <c r="F7501" s="2">
        <v>1500</v>
      </c>
      <c r="G7501" s="2"/>
    </row>
    <row r="7502" spans="1:7" x14ac:dyDescent="0.3">
      <c r="A7502" t="s">
        <v>2437</v>
      </c>
      <c r="B7502" t="s">
        <v>12</v>
      </c>
      <c r="C7502" t="s">
        <v>13</v>
      </c>
      <c r="D7502">
        <v>2017</v>
      </c>
      <c r="E7502" s="2">
        <v>20</v>
      </c>
      <c r="F7502" s="2">
        <v>1500</v>
      </c>
      <c r="G7502" s="2"/>
    </row>
    <row r="7503" spans="1:7" x14ac:dyDescent="0.3">
      <c r="A7503" t="s">
        <v>2437</v>
      </c>
      <c r="B7503" t="s">
        <v>12</v>
      </c>
      <c r="C7503" t="s">
        <v>13</v>
      </c>
      <c r="D7503">
        <v>2018</v>
      </c>
      <c r="E7503" s="2">
        <v>10</v>
      </c>
      <c r="F7503" s="2">
        <v>700</v>
      </c>
      <c r="G7503" s="2">
        <v>735</v>
      </c>
    </row>
    <row r="7504" spans="1:7" x14ac:dyDescent="0.3">
      <c r="A7504" t="s">
        <v>2437</v>
      </c>
      <c r="B7504" t="s">
        <v>12</v>
      </c>
      <c r="C7504" t="s">
        <v>13</v>
      </c>
      <c r="D7504">
        <v>2019</v>
      </c>
      <c r="E7504" s="2">
        <v>25</v>
      </c>
      <c r="F7504" s="2">
        <v>1750</v>
      </c>
      <c r="G7504" s="2">
        <v>1837.5</v>
      </c>
    </row>
    <row r="7505" spans="1:7" x14ac:dyDescent="0.3">
      <c r="A7505" t="s">
        <v>2438</v>
      </c>
      <c r="B7505" t="s">
        <v>830</v>
      </c>
      <c r="C7505" t="s">
        <v>831</v>
      </c>
      <c r="D7505">
        <v>2019</v>
      </c>
      <c r="E7505" s="2">
        <v>75</v>
      </c>
      <c r="F7505" s="2">
        <v>5850</v>
      </c>
      <c r="G7505" s="2">
        <v>6142.5</v>
      </c>
    </row>
    <row r="7506" spans="1:7" x14ac:dyDescent="0.3">
      <c r="A7506" t="s">
        <v>2438</v>
      </c>
      <c r="B7506" t="s">
        <v>830</v>
      </c>
      <c r="C7506" t="s">
        <v>831</v>
      </c>
      <c r="D7506">
        <v>2020</v>
      </c>
      <c r="E7506" s="2">
        <v>25</v>
      </c>
      <c r="F7506" s="2">
        <v>1950</v>
      </c>
      <c r="G7506" s="2">
        <v>2047.5</v>
      </c>
    </row>
    <row r="7507" spans="1:7" x14ac:dyDescent="0.3">
      <c r="A7507" t="s">
        <v>2438</v>
      </c>
      <c r="B7507" t="s">
        <v>1762</v>
      </c>
      <c r="C7507" t="s">
        <v>1763</v>
      </c>
      <c r="D7507">
        <v>2019</v>
      </c>
      <c r="E7507" s="2">
        <v>25</v>
      </c>
      <c r="F7507" s="2">
        <v>1875</v>
      </c>
      <c r="G7507" s="2">
        <v>1968.75</v>
      </c>
    </row>
    <row r="7508" spans="1:7" x14ac:dyDescent="0.3">
      <c r="A7508" t="s">
        <v>2438</v>
      </c>
      <c r="B7508" t="s">
        <v>34</v>
      </c>
      <c r="D7508">
        <v>2019</v>
      </c>
      <c r="E7508" s="2">
        <v>5</v>
      </c>
      <c r="F7508" s="2">
        <v>450</v>
      </c>
      <c r="G7508" s="2">
        <v>472.5</v>
      </c>
    </row>
    <row r="7509" spans="1:7" x14ac:dyDescent="0.3">
      <c r="A7509" t="s">
        <v>2438</v>
      </c>
      <c r="B7509" t="s">
        <v>453</v>
      </c>
      <c r="D7509">
        <v>2019</v>
      </c>
      <c r="E7509" s="2">
        <v>5</v>
      </c>
      <c r="F7509" s="2">
        <v>450</v>
      </c>
      <c r="G7509" s="2">
        <v>472.5</v>
      </c>
    </row>
    <row r="7510" spans="1:7" x14ac:dyDescent="0.3">
      <c r="A7510" t="s">
        <v>2438</v>
      </c>
      <c r="B7510" t="s">
        <v>1441</v>
      </c>
      <c r="C7510" t="s">
        <v>1442</v>
      </c>
      <c r="D7510">
        <v>2019</v>
      </c>
      <c r="E7510" s="2">
        <v>25</v>
      </c>
      <c r="F7510" s="2">
        <v>2000</v>
      </c>
      <c r="G7510" s="2">
        <v>2100</v>
      </c>
    </row>
    <row r="7511" spans="1:7" x14ac:dyDescent="0.3">
      <c r="A7511" t="s">
        <v>2438</v>
      </c>
      <c r="B7511" t="s">
        <v>905</v>
      </c>
      <c r="C7511" t="s">
        <v>906</v>
      </c>
      <c r="D7511">
        <v>2018</v>
      </c>
      <c r="E7511" s="2">
        <v>25</v>
      </c>
      <c r="F7511" s="2">
        <v>2000</v>
      </c>
      <c r="G7511" s="2">
        <v>2100</v>
      </c>
    </row>
    <row r="7512" spans="1:7" x14ac:dyDescent="0.3">
      <c r="A7512" t="s">
        <v>2438</v>
      </c>
      <c r="B7512" t="s">
        <v>348</v>
      </c>
      <c r="C7512" t="s">
        <v>347</v>
      </c>
      <c r="D7512">
        <v>2019</v>
      </c>
      <c r="E7512" s="2">
        <v>25</v>
      </c>
      <c r="F7512" s="2">
        <v>2200</v>
      </c>
      <c r="G7512" s="2">
        <v>2310</v>
      </c>
    </row>
    <row r="7513" spans="1:7" x14ac:dyDescent="0.3">
      <c r="A7513" t="s">
        <v>2438</v>
      </c>
      <c r="B7513" t="s">
        <v>461</v>
      </c>
      <c r="D7513">
        <v>2019</v>
      </c>
      <c r="E7513" s="2">
        <v>5</v>
      </c>
      <c r="F7513" s="2">
        <v>450</v>
      </c>
      <c r="G7513" s="2">
        <v>472.5</v>
      </c>
    </row>
    <row r="7514" spans="1:7" x14ac:dyDescent="0.3">
      <c r="A7514" t="s">
        <v>2438</v>
      </c>
      <c r="B7514" t="s">
        <v>35</v>
      </c>
      <c r="D7514">
        <v>2019</v>
      </c>
      <c r="E7514" s="2">
        <v>5</v>
      </c>
      <c r="F7514" s="2">
        <v>500</v>
      </c>
      <c r="G7514" s="2">
        <v>525</v>
      </c>
    </row>
    <row r="7515" spans="1:7" x14ac:dyDescent="0.3">
      <c r="A7515" t="s">
        <v>2438</v>
      </c>
      <c r="B7515" t="s">
        <v>35</v>
      </c>
      <c r="D7515">
        <v>2020</v>
      </c>
      <c r="E7515" s="2">
        <v>5</v>
      </c>
      <c r="F7515" s="2">
        <v>500</v>
      </c>
      <c r="G7515" s="2">
        <v>525</v>
      </c>
    </row>
    <row r="7516" spans="1:7" x14ac:dyDescent="0.3">
      <c r="A7516" t="s">
        <v>2438</v>
      </c>
      <c r="B7516" t="s">
        <v>642</v>
      </c>
      <c r="D7516">
        <v>2019</v>
      </c>
      <c r="E7516" s="2">
        <v>5</v>
      </c>
      <c r="F7516" s="2">
        <v>500</v>
      </c>
      <c r="G7516" s="2">
        <v>525</v>
      </c>
    </row>
    <row r="7517" spans="1:7" x14ac:dyDescent="0.3">
      <c r="A7517" t="s">
        <v>2438</v>
      </c>
      <c r="B7517" t="s">
        <v>666</v>
      </c>
      <c r="C7517" t="s">
        <v>667</v>
      </c>
      <c r="D7517">
        <v>2019</v>
      </c>
      <c r="E7517" s="2">
        <v>100</v>
      </c>
      <c r="F7517" s="2">
        <v>5500</v>
      </c>
      <c r="G7517" s="2">
        <v>5775</v>
      </c>
    </row>
    <row r="7518" spans="1:7" x14ac:dyDescent="0.3">
      <c r="A7518" t="s">
        <v>2438</v>
      </c>
      <c r="B7518" t="s">
        <v>184</v>
      </c>
      <c r="C7518" t="s">
        <v>185</v>
      </c>
      <c r="D7518">
        <v>2018</v>
      </c>
      <c r="E7518" s="2">
        <v>25</v>
      </c>
      <c r="F7518" s="2">
        <v>1625</v>
      </c>
      <c r="G7518" s="2">
        <v>1706.25</v>
      </c>
    </row>
    <row r="7519" spans="1:7" x14ac:dyDescent="0.3">
      <c r="A7519" t="s">
        <v>2438</v>
      </c>
      <c r="B7519" t="s">
        <v>297</v>
      </c>
      <c r="C7519" t="s">
        <v>298</v>
      </c>
      <c r="D7519">
        <v>2018</v>
      </c>
      <c r="E7519" s="2">
        <v>25</v>
      </c>
      <c r="F7519" s="2">
        <v>1625</v>
      </c>
      <c r="G7519" s="2">
        <v>1706.25</v>
      </c>
    </row>
    <row r="7520" spans="1:7" x14ac:dyDescent="0.3">
      <c r="A7520" t="s">
        <v>2438</v>
      </c>
      <c r="B7520" t="s">
        <v>528</v>
      </c>
      <c r="C7520" t="s">
        <v>529</v>
      </c>
      <c r="D7520">
        <v>2018</v>
      </c>
      <c r="E7520" s="2">
        <v>25</v>
      </c>
      <c r="F7520" s="2">
        <v>1750</v>
      </c>
      <c r="G7520" s="2">
        <v>1837.5</v>
      </c>
    </row>
    <row r="7521" spans="1:7" x14ac:dyDescent="0.3">
      <c r="A7521" t="s">
        <v>2438</v>
      </c>
      <c r="B7521" t="s">
        <v>19</v>
      </c>
      <c r="C7521" t="s">
        <v>20</v>
      </c>
      <c r="D7521">
        <v>2018</v>
      </c>
      <c r="E7521" s="2">
        <v>75</v>
      </c>
      <c r="F7521" s="2">
        <v>7375</v>
      </c>
      <c r="G7521" s="2">
        <v>7743.75</v>
      </c>
    </row>
    <row r="7522" spans="1:7" x14ac:dyDescent="0.3">
      <c r="A7522" t="s">
        <v>2438</v>
      </c>
      <c r="B7522" t="s">
        <v>19</v>
      </c>
      <c r="C7522" t="s">
        <v>20</v>
      </c>
      <c r="D7522">
        <v>2019</v>
      </c>
      <c r="E7522" s="2">
        <v>75</v>
      </c>
      <c r="F7522" s="2">
        <v>7500</v>
      </c>
      <c r="G7522" s="2">
        <v>7875</v>
      </c>
    </row>
    <row r="7523" spans="1:7" x14ac:dyDescent="0.3">
      <c r="A7523" t="s">
        <v>2438</v>
      </c>
      <c r="B7523" t="s">
        <v>19</v>
      </c>
      <c r="C7523" t="s">
        <v>20</v>
      </c>
      <c r="D7523">
        <v>2020</v>
      </c>
      <c r="E7523" s="2">
        <v>50</v>
      </c>
      <c r="F7523" s="2">
        <v>5000</v>
      </c>
      <c r="G7523" s="2">
        <v>5250</v>
      </c>
    </row>
    <row r="7524" spans="1:7" x14ac:dyDescent="0.3">
      <c r="A7524" t="s">
        <v>2438</v>
      </c>
      <c r="B7524" t="s">
        <v>809</v>
      </c>
      <c r="C7524" t="s">
        <v>810</v>
      </c>
      <c r="D7524">
        <v>2019</v>
      </c>
      <c r="E7524" s="2">
        <v>25</v>
      </c>
      <c r="F7524" s="2">
        <v>2250</v>
      </c>
      <c r="G7524" s="2">
        <v>2362.5</v>
      </c>
    </row>
    <row r="7525" spans="1:7" x14ac:dyDescent="0.3">
      <c r="A7525" t="s">
        <v>2438</v>
      </c>
      <c r="B7525" t="s">
        <v>351</v>
      </c>
      <c r="C7525" t="s">
        <v>352</v>
      </c>
      <c r="D7525">
        <v>2019</v>
      </c>
      <c r="E7525" s="2">
        <v>50</v>
      </c>
      <c r="F7525" s="2">
        <v>4500</v>
      </c>
      <c r="G7525" s="2">
        <v>4725</v>
      </c>
    </row>
    <row r="7526" spans="1:7" x14ac:dyDescent="0.3">
      <c r="A7526" t="s">
        <v>2438</v>
      </c>
      <c r="B7526" t="s">
        <v>351</v>
      </c>
      <c r="C7526" t="s">
        <v>352</v>
      </c>
      <c r="D7526">
        <v>2020</v>
      </c>
      <c r="E7526" s="2">
        <v>50</v>
      </c>
      <c r="F7526" s="2">
        <v>4500</v>
      </c>
      <c r="G7526" s="2">
        <v>4725</v>
      </c>
    </row>
    <row r="7527" spans="1:7" x14ac:dyDescent="0.3">
      <c r="A7527" t="s">
        <v>2438</v>
      </c>
      <c r="B7527" t="s">
        <v>64</v>
      </c>
      <c r="C7527" t="s">
        <v>65</v>
      </c>
      <c r="D7527">
        <v>2018</v>
      </c>
      <c r="E7527" s="2">
        <v>75</v>
      </c>
      <c r="F7527" s="2">
        <v>5500</v>
      </c>
      <c r="G7527" s="2">
        <v>5775</v>
      </c>
    </row>
    <row r="7528" spans="1:7" x14ac:dyDescent="0.3">
      <c r="A7528" t="s">
        <v>2438</v>
      </c>
      <c r="B7528" t="s">
        <v>64</v>
      </c>
      <c r="C7528" t="s">
        <v>65</v>
      </c>
      <c r="D7528">
        <v>2019</v>
      </c>
      <c r="E7528" s="2">
        <v>50</v>
      </c>
      <c r="F7528" s="2">
        <v>3750</v>
      </c>
      <c r="G7528" s="2">
        <v>3937.5</v>
      </c>
    </row>
    <row r="7529" spans="1:7" x14ac:dyDescent="0.3">
      <c r="A7529" t="s">
        <v>2438</v>
      </c>
      <c r="B7529" t="s">
        <v>64</v>
      </c>
      <c r="C7529" t="s">
        <v>65</v>
      </c>
      <c r="D7529">
        <v>2020</v>
      </c>
      <c r="E7529" s="2">
        <v>25</v>
      </c>
      <c r="F7529" s="2">
        <v>1875</v>
      </c>
      <c r="G7529" s="2">
        <v>1968.75</v>
      </c>
    </row>
    <row r="7530" spans="1:7" x14ac:dyDescent="0.3">
      <c r="A7530" t="s">
        <v>2438</v>
      </c>
      <c r="B7530" t="s">
        <v>471</v>
      </c>
      <c r="C7530" t="s">
        <v>472</v>
      </c>
      <c r="D7530">
        <v>2018</v>
      </c>
      <c r="E7530" s="2">
        <v>25</v>
      </c>
      <c r="F7530" s="2">
        <v>1875</v>
      </c>
      <c r="G7530" s="2">
        <v>1968.75</v>
      </c>
    </row>
    <row r="7531" spans="1:7" x14ac:dyDescent="0.3">
      <c r="A7531" t="s">
        <v>2438</v>
      </c>
      <c r="B7531" t="s">
        <v>68</v>
      </c>
      <c r="C7531" t="s">
        <v>69</v>
      </c>
      <c r="D7531">
        <v>2019</v>
      </c>
      <c r="E7531" s="2">
        <v>50</v>
      </c>
      <c r="F7531" s="2">
        <v>4500</v>
      </c>
      <c r="G7531" s="2">
        <v>4725</v>
      </c>
    </row>
    <row r="7532" spans="1:7" x14ac:dyDescent="0.3">
      <c r="A7532" t="s">
        <v>2438</v>
      </c>
      <c r="B7532" t="s">
        <v>2050</v>
      </c>
      <c r="C7532" t="s">
        <v>2051</v>
      </c>
      <c r="D7532">
        <v>2019</v>
      </c>
      <c r="E7532" s="2">
        <v>25</v>
      </c>
      <c r="F7532" s="2">
        <v>2250</v>
      </c>
      <c r="G7532" s="2">
        <v>2362.5</v>
      </c>
    </row>
    <row r="7533" spans="1:7" x14ac:dyDescent="0.3">
      <c r="A7533" t="s">
        <v>2438</v>
      </c>
      <c r="B7533" t="s">
        <v>518</v>
      </c>
      <c r="C7533" t="s">
        <v>519</v>
      </c>
      <c r="D7533">
        <v>2018</v>
      </c>
      <c r="E7533" s="2">
        <v>25</v>
      </c>
      <c r="F7533" s="2">
        <v>2000</v>
      </c>
      <c r="G7533" s="2">
        <v>2100</v>
      </c>
    </row>
    <row r="7534" spans="1:7" x14ac:dyDescent="0.3">
      <c r="A7534" t="s">
        <v>2438</v>
      </c>
      <c r="B7534" t="s">
        <v>518</v>
      </c>
      <c r="C7534" t="s">
        <v>519</v>
      </c>
      <c r="D7534">
        <v>2019</v>
      </c>
      <c r="E7534" s="2">
        <v>25</v>
      </c>
      <c r="F7534" s="2">
        <v>2000</v>
      </c>
      <c r="G7534" s="2">
        <v>2100</v>
      </c>
    </row>
    <row r="7535" spans="1:7" x14ac:dyDescent="0.3">
      <c r="A7535" t="s">
        <v>2438</v>
      </c>
      <c r="B7535" t="s">
        <v>438</v>
      </c>
      <c r="C7535" t="s">
        <v>439</v>
      </c>
      <c r="D7535">
        <v>2018</v>
      </c>
      <c r="E7535" s="2">
        <v>25</v>
      </c>
      <c r="F7535" s="2">
        <v>1625</v>
      </c>
      <c r="G7535" s="2">
        <v>1706.25</v>
      </c>
    </row>
    <row r="7536" spans="1:7" x14ac:dyDescent="0.3">
      <c r="A7536" t="s">
        <v>2438</v>
      </c>
      <c r="B7536" t="s">
        <v>36</v>
      </c>
      <c r="D7536">
        <v>2019</v>
      </c>
      <c r="E7536" s="2">
        <v>5</v>
      </c>
      <c r="F7536" s="2">
        <v>400</v>
      </c>
      <c r="G7536" s="2">
        <v>420</v>
      </c>
    </row>
    <row r="7537" spans="1:7" x14ac:dyDescent="0.3">
      <c r="A7537" t="s">
        <v>2438</v>
      </c>
      <c r="B7537" t="s">
        <v>314</v>
      </c>
      <c r="C7537" t="s">
        <v>475</v>
      </c>
      <c r="D7537">
        <v>2018</v>
      </c>
      <c r="E7537" s="2">
        <v>30</v>
      </c>
      <c r="F7537" s="2">
        <v>2250</v>
      </c>
      <c r="G7537" s="2">
        <v>2362.5</v>
      </c>
    </row>
    <row r="7538" spans="1:7" x14ac:dyDescent="0.3">
      <c r="A7538" t="s">
        <v>2438</v>
      </c>
      <c r="B7538" t="s">
        <v>708</v>
      </c>
      <c r="C7538" t="s">
        <v>477</v>
      </c>
      <c r="D7538">
        <v>2018</v>
      </c>
      <c r="E7538" s="2">
        <v>25</v>
      </c>
      <c r="F7538" s="2">
        <v>1875</v>
      </c>
      <c r="G7538" s="2">
        <v>1968.75</v>
      </c>
    </row>
    <row r="7539" spans="1:7" x14ac:dyDescent="0.3">
      <c r="A7539" t="s">
        <v>2438</v>
      </c>
      <c r="B7539" t="s">
        <v>46</v>
      </c>
      <c r="C7539" t="s">
        <v>47</v>
      </c>
      <c r="D7539">
        <v>2018</v>
      </c>
      <c r="E7539" s="2">
        <v>25</v>
      </c>
      <c r="F7539" s="2">
        <v>1750</v>
      </c>
      <c r="G7539" s="2">
        <v>1837.5</v>
      </c>
    </row>
    <row r="7540" spans="1:7" x14ac:dyDescent="0.3">
      <c r="A7540" t="s">
        <v>2438</v>
      </c>
      <c r="B7540" t="s">
        <v>483</v>
      </c>
      <c r="C7540" t="s">
        <v>484</v>
      </c>
      <c r="D7540">
        <v>2020</v>
      </c>
      <c r="E7540" s="2">
        <v>25</v>
      </c>
      <c r="F7540" s="2">
        <v>1750</v>
      </c>
      <c r="G7540" s="2">
        <v>1837.5</v>
      </c>
    </row>
    <row r="7541" spans="1:7" x14ac:dyDescent="0.3">
      <c r="A7541" t="s">
        <v>2438</v>
      </c>
      <c r="B7541" t="s">
        <v>37</v>
      </c>
      <c r="D7541">
        <v>2019</v>
      </c>
      <c r="E7541" s="2">
        <v>15</v>
      </c>
      <c r="F7541" s="2">
        <v>1350</v>
      </c>
      <c r="G7541" s="2">
        <v>1417.5</v>
      </c>
    </row>
    <row r="7542" spans="1:7" x14ac:dyDescent="0.3">
      <c r="A7542" t="s">
        <v>2438</v>
      </c>
      <c r="B7542" t="s">
        <v>12</v>
      </c>
      <c r="C7542" t="s">
        <v>13</v>
      </c>
      <c r="D7542">
        <v>2018</v>
      </c>
      <c r="E7542" s="2">
        <v>50</v>
      </c>
      <c r="F7542" s="2">
        <v>3750</v>
      </c>
      <c r="G7542" s="2">
        <v>3937.5</v>
      </c>
    </row>
    <row r="7543" spans="1:7" x14ac:dyDescent="0.3">
      <c r="A7543" t="s">
        <v>2438</v>
      </c>
      <c r="B7543" t="s">
        <v>12</v>
      </c>
      <c r="C7543" t="s">
        <v>13</v>
      </c>
      <c r="D7543">
        <v>2019</v>
      </c>
      <c r="E7543" s="2">
        <v>25</v>
      </c>
      <c r="F7543" s="2">
        <v>1875</v>
      </c>
      <c r="G7543" s="2">
        <v>1968.75</v>
      </c>
    </row>
    <row r="7544" spans="1:7" x14ac:dyDescent="0.3">
      <c r="A7544" t="s">
        <v>2438</v>
      </c>
      <c r="B7544" t="s">
        <v>12</v>
      </c>
      <c r="C7544" t="s">
        <v>13</v>
      </c>
      <c r="D7544">
        <v>2020</v>
      </c>
      <c r="E7544" s="2">
        <v>25</v>
      </c>
      <c r="F7544" s="2">
        <v>1875</v>
      </c>
      <c r="G7544" s="2">
        <v>1968.75</v>
      </c>
    </row>
    <row r="7545" spans="1:7" x14ac:dyDescent="0.3">
      <c r="A7545" t="s">
        <v>2439</v>
      </c>
      <c r="B7545" t="s">
        <v>19</v>
      </c>
      <c r="C7545" t="s">
        <v>670</v>
      </c>
      <c r="D7545">
        <v>2020</v>
      </c>
      <c r="E7545" s="2">
        <v>5</v>
      </c>
      <c r="F7545" s="2">
        <v>275</v>
      </c>
      <c r="G7545" s="2">
        <v>288.75</v>
      </c>
    </row>
    <row r="7546" spans="1:7" x14ac:dyDescent="0.3">
      <c r="A7546" t="s">
        <v>2439</v>
      </c>
      <c r="B7546" t="s">
        <v>351</v>
      </c>
      <c r="C7546" t="s">
        <v>352</v>
      </c>
      <c r="D7546">
        <v>2020</v>
      </c>
      <c r="E7546" s="2">
        <v>5</v>
      </c>
      <c r="F7546" s="2">
        <v>275</v>
      </c>
      <c r="G7546" s="2">
        <v>288.75</v>
      </c>
    </row>
    <row r="7547" spans="1:7" x14ac:dyDescent="0.3">
      <c r="A7547" t="s">
        <v>2440</v>
      </c>
      <c r="B7547" t="s">
        <v>37</v>
      </c>
      <c r="D7547">
        <v>2020</v>
      </c>
      <c r="E7547" s="2">
        <v>2</v>
      </c>
      <c r="F7547" s="2">
        <v>140</v>
      </c>
      <c r="G7547" s="2">
        <v>147</v>
      </c>
    </row>
    <row r="7548" spans="1:7" x14ac:dyDescent="0.3">
      <c r="A7548" t="s">
        <v>2441</v>
      </c>
      <c r="B7548" t="s">
        <v>82</v>
      </c>
      <c r="C7548" t="s">
        <v>83</v>
      </c>
      <c r="D7548">
        <v>2019</v>
      </c>
      <c r="E7548" s="2">
        <v>5</v>
      </c>
      <c r="F7548" s="2">
        <v>2600</v>
      </c>
      <c r="G7548" s="2">
        <v>2600</v>
      </c>
    </row>
    <row r="7549" spans="1:7" x14ac:dyDescent="0.3">
      <c r="A7549" t="s">
        <v>2441</v>
      </c>
      <c r="B7549" t="s">
        <v>55</v>
      </c>
      <c r="D7549">
        <v>2019</v>
      </c>
      <c r="E7549" s="2">
        <v>2</v>
      </c>
      <c r="F7549" s="2">
        <v>580</v>
      </c>
      <c r="G7549" s="2">
        <v>580</v>
      </c>
    </row>
    <row r="7550" spans="1:7" x14ac:dyDescent="0.3">
      <c r="A7550" t="s">
        <v>2441</v>
      </c>
      <c r="B7550" t="s">
        <v>631</v>
      </c>
      <c r="C7550" t="s">
        <v>632</v>
      </c>
      <c r="D7550">
        <v>2019</v>
      </c>
      <c r="E7550" s="2">
        <v>3</v>
      </c>
      <c r="F7550" s="2">
        <v>510</v>
      </c>
      <c r="G7550" s="2">
        <v>510</v>
      </c>
    </row>
    <row r="7551" spans="1:7" x14ac:dyDescent="0.3">
      <c r="A7551" t="s">
        <v>2441</v>
      </c>
      <c r="B7551" t="s">
        <v>101</v>
      </c>
      <c r="C7551" t="s">
        <v>102</v>
      </c>
      <c r="D7551">
        <v>2019</v>
      </c>
      <c r="E7551" s="2">
        <v>1</v>
      </c>
      <c r="F7551" s="2">
        <v>410</v>
      </c>
      <c r="G7551" s="2">
        <v>410</v>
      </c>
    </row>
    <row r="7552" spans="1:7" x14ac:dyDescent="0.3">
      <c r="A7552" t="s">
        <v>2441</v>
      </c>
      <c r="B7552" t="s">
        <v>1422</v>
      </c>
      <c r="C7552" t="s">
        <v>80</v>
      </c>
      <c r="D7552">
        <v>2019</v>
      </c>
      <c r="E7552" s="2">
        <v>3</v>
      </c>
      <c r="F7552" s="2">
        <v>645</v>
      </c>
      <c r="G7552" s="2">
        <v>645</v>
      </c>
    </row>
    <row r="7553" spans="1:7" x14ac:dyDescent="0.3">
      <c r="A7553" t="s">
        <v>2441</v>
      </c>
      <c r="B7553" t="s">
        <v>372</v>
      </c>
      <c r="C7553" t="s">
        <v>331</v>
      </c>
      <c r="D7553">
        <v>2019</v>
      </c>
      <c r="E7553" s="2">
        <v>5</v>
      </c>
      <c r="F7553" s="2">
        <v>1650</v>
      </c>
      <c r="G7553" s="2">
        <v>1650</v>
      </c>
    </row>
    <row r="7554" spans="1:7" x14ac:dyDescent="0.3">
      <c r="A7554" t="s">
        <v>2441</v>
      </c>
      <c r="B7554" t="s">
        <v>46</v>
      </c>
      <c r="C7554" t="s">
        <v>47</v>
      </c>
      <c r="D7554">
        <v>2019</v>
      </c>
      <c r="E7554" s="2">
        <v>3</v>
      </c>
      <c r="F7554" s="2">
        <v>555</v>
      </c>
      <c r="G7554" s="2">
        <v>555</v>
      </c>
    </row>
    <row r="7555" spans="1:7" x14ac:dyDescent="0.3">
      <c r="A7555" t="s">
        <v>2441</v>
      </c>
      <c r="B7555" t="s">
        <v>76</v>
      </c>
      <c r="C7555" t="s">
        <v>77</v>
      </c>
      <c r="D7555">
        <v>2019</v>
      </c>
      <c r="E7555" s="2">
        <v>2</v>
      </c>
      <c r="F7555" s="2">
        <v>370</v>
      </c>
      <c r="G7555" s="2">
        <v>370</v>
      </c>
    </row>
    <row r="7556" spans="1:7" x14ac:dyDescent="0.3">
      <c r="A7556" t="s">
        <v>2441</v>
      </c>
      <c r="B7556" t="s">
        <v>1371</v>
      </c>
      <c r="C7556" t="s">
        <v>613</v>
      </c>
      <c r="D7556">
        <v>2019</v>
      </c>
      <c r="E7556" s="2">
        <v>2</v>
      </c>
      <c r="F7556" s="2">
        <v>500</v>
      </c>
      <c r="G7556" s="2">
        <v>500</v>
      </c>
    </row>
    <row r="7557" spans="1:7" x14ac:dyDescent="0.3">
      <c r="A7557" t="s">
        <v>2441</v>
      </c>
      <c r="B7557" t="s">
        <v>203</v>
      </c>
      <c r="C7557" t="s">
        <v>204</v>
      </c>
      <c r="D7557">
        <v>2019</v>
      </c>
      <c r="E7557" s="2">
        <v>4</v>
      </c>
      <c r="F7557" s="2">
        <v>780</v>
      </c>
      <c r="G7557" s="2">
        <v>780</v>
      </c>
    </row>
    <row r="7558" spans="1:7" x14ac:dyDescent="0.3">
      <c r="A7558" t="s">
        <v>2442</v>
      </c>
      <c r="B7558" t="s">
        <v>51</v>
      </c>
      <c r="C7558" t="s">
        <v>52</v>
      </c>
      <c r="D7558">
        <v>2016</v>
      </c>
      <c r="E7558" s="2">
        <v>5</v>
      </c>
      <c r="F7558" s="2">
        <v>1000</v>
      </c>
      <c r="G7558" s="2"/>
    </row>
    <row r="7559" spans="1:7" x14ac:dyDescent="0.3">
      <c r="A7559" t="s">
        <v>2442</v>
      </c>
      <c r="B7559" t="s">
        <v>51</v>
      </c>
      <c r="C7559" t="s">
        <v>52</v>
      </c>
      <c r="D7559">
        <v>2017</v>
      </c>
      <c r="E7559" s="2">
        <v>35</v>
      </c>
      <c r="F7559" s="2">
        <v>7000</v>
      </c>
      <c r="G7559" s="2"/>
    </row>
    <row r="7560" spans="1:7" x14ac:dyDescent="0.3">
      <c r="A7560" t="s">
        <v>2442</v>
      </c>
      <c r="B7560" t="s">
        <v>51</v>
      </c>
      <c r="C7560" t="s">
        <v>52</v>
      </c>
      <c r="D7560">
        <v>2018</v>
      </c>
      <c r="E7560" s="2">
        <v>95</v>
      </c>
      <c r="F7560" s="2">
        <v>19000</v>
      </c>
      <c r="G7560" s="2">
        <v>19950</v>
      </c>
    </row>
    <row r="7561" spans="1:7" x14ac:dyDescent="0.3">
      <c r="A7561" t="s">
        <v>2442</v>
      </c>
      <c r="B7561" t="s">
        <v>581</v>
      </c>
      <c r="C7561" t="s">
        <v>582</v>
      </c>
      <c r="D7561">
        <v>2017</v>
      </c>
      <c r="E7561" s="2">
        <v>10</v>
      </c>
      <c r="F7561" s="2">
        <v>2000</v>
      </c>
      <c r="G7561" s="2"/>
    </row>
    <row r="7562" spans="1:7" x14ac:dyDescent="0.3">
      <c r="A7562" t="s">
        <v>2442</v>
      </c>
      <c r="B7562" t="s">
        <v>819</v>
      </c>
      <c r="C7562" t="s">
        <v>220</v>
      </c>
      <c r="D7562">
        <v>2017</v>
      </c>
      <c r="E7562" s="2">
        <v>5</v>
      </c>
      <c r="F7562" s="2">
        <v>1000</v>
      </c>
      <c r="G7562" s="2"/>
    </row>
    <row r="7563" spans="1:7" x14ac:dyDescent="0.3">
      <c r="A7563" t="s">
        <v>2442</v>
      </c>
      <c r="B7563" t="s">
        <v>2443</v>
      </c>
      <c r="C7563" t="s">
        <v>2444</v>
      </c>
      <c r="D7563">
        <v>2017</v>
      </c>
      <c r="E7563" s="2">
        <v>25</v>
      </c>
      <c r="F7563" s="2">
        <v>5000</v>
      </c>
      <c r="G7563" s="2"/>
    </row>
    <row r="7564" spans="1:7" x14ac:dyDescent="0.3">
      <c r="A7564" t="s">
        <v>2442</v>
      </c>
      <c r="B7564" t="s">
        <v>558</v>
      </c>
      <c r="C7564" t="s">
        <v>559</v>
      </c>
      <c r="D7564">
        <v>2018</v>
      </c>
      <c r="E7564" s="2">
        <v>20</v>
      </c>
      <c r="F7564" s="2">
        <v>2600</v>
      </c>
      <c r="G7564" s="2">
        <v>2730</v>
      </c>
    </row>
    <row r="7565" spans="1:7" x14ac:dyDescent="0.3">
      <c r="A7565" t="s">
        <v>2442</v>
      </c>
      <c r="B7565" t="s">
        <v>1432</v>
      </c>
      <c r="C7565" t="s">
        <v>209</v>
      </c>
      <c r="D7565">
        <v>2018</v>
      </c>
      <c r="E7565" s="2">
        <v>25</v>
      </c>
      <c r="F7565" s="2">
        <v>3250</v>
      </c>
      <c r="G7565" s="2">
        <v>3412.5</v>
      </c>
    </row>
    <row r="7566" spans="1:7" x14ac:dyDescent="0.3">
      <c r="A7566" t="s">
        <v>2442</v>
      </c>
      <c r="B7566" t="s">
        <v>288</v>
      </c>
      <c r="C7566" t="s">
        <v>289</v>
      </c>
      <c r="D7566">
        <v>2017</v>
      </c>
      <c r="E7566" s="2">
        <v>10</v>
      </c>
      <c r="F7566" s="2">
        <v>1900</v>
      </c>
      <c r="G7566" s="2"/>
    </row>
    <row r="7567" spans="1:7" x14ac:dyDescent="0.3">
      <c r="A7567" t="s">
        <v>2442</v>
      </c>
      <c r="B7567" t="s">
        <v>99</v>
      </c>
      <c r="C7567" t="s">
        <v>100</v>
      </c>
      <c r="D7567">
        <v>2016</v>
      </c>
      <c r="E7567" s="2">
        <v>5</v>
      </c>
      <c r="F7567" s="2">
        <v>1000</v>
      </c>
      <c r="G7567" s="2"/>
    </row>
    <row r="7568" spans="1:7" x14ac:dyDescent="0.3">
      <c r="A7568" t="s">
        <v>2442</v>
      </c>
      <c r="B7568" t="s">
        <v>99</v>
      </c>
      <c r="C7568" t="s">
        <v>100</v>
      </c>
      <c r="D7568">
        <v>2017</v>
      </c>
      <c r="E7568" s="2">
        <v>10</v>
      </c>
      <c r="F7568" s="2">
        <v>2000</v>
      </c>
      <c r="G7568" s="2"/>
    </row>
    <row r="7569" spans="1:7" x14ac:dyDescent="0.3">
      <c r="A7569" t="s">
        <v>2442</v>
      </c>
      <c r="B7569" t="s">
        <v>60</v>
      </c>
      <c r="C7569" t="s">
        <v>61</v>
      </c>
      <c r="D7569">
        <v>2017</v>
      </c>
      <c r="E7569" s="2">
        <v>10</v>
      </c>
      <c r="F7569" s="2">
        <v>1800</v>
      </c>
      <c r="G7569" s="2"/>
    </row>
    <row r="7570" spans="1:7" x14ac:dyDescent="0.3">
      <c r="A7570" t="s">
        <v>2442</v>
      </c>
      <c r="B7570" t="s">
        <v>135</v>
      </c>
      <c r="C7570" t="s">
        <v>331</v>
      </c>
      <c r="D7570">
        <v>2018</v>
      </c>
      <c r="E7570" s="2">
        <v>5</v>
      </c>
      <c r="F7570" s="2">
        <v>1000</v>
      </c>
      <c r="G7570" s="2">
        <v>1050</v>
      </c>
    </row>
    <row r="7571" spans="1:7" x14ac:dyDescent="0.3">
      <c r="A7571" t="s">
        <v>2442</v>
      </c>
      <c r="B7571" t="s">
        <v>196</v>
      </c>
      <c r="C7571" t="s">
        <v>197</v>
      </c>
      <c r="D7571">
        <v>2016</v>
      </c>
      <c r="E7571" s="2">
        <v>5</v>
      </c>
      <c r="F7571" s="2">
        <v>1000</v>
      </c>
      <c r="G7571" s="2"/>
    </row>
    <row r="7572" spans="1:7" x14ac:dyDescent="0.3">
      <c r="A7572" t="s">
        <v>2442</v>
      </c>
      <c r="B7572" t="s">
        <v>196</v>
      </c>
      <c r="C7572" t="s">
        <v>197</v>
      </c>
      <c r="D7572">
        <v>2017</v>
      </c>
      <c r="E7572" s="2">
        <v>20</v>
      </c>
      <c r="F7572" s="2">
        <v>4000</v>
      </c>
      <c r="G7572" s="2"/>
    </row>
    <row r="7573" spans="1:7" x14ac:dyDescent="0.3">
      <c r="A7573" t="s">
        <v>2442</v>
      </c>
      <c r="B7573" t="s">
        <v>196</v>
      </c>
      <c r="C7573" t="s">
        <v>197</v>
      </c>
      <c r="D7573">
        <v>2018</v>
      </c>
      <c r="E7573" s="2">
        <v>55</v>
      </c>
      <c r="F7573" s="2">
        <v>11000</v>
      </c>
      <c r="G7573" s="2">
        <v>11550</v>
      </c>
    </row>
    <row r="7574" spans="1:7" x14ac:dyDescent="0.3">
      <c r="A7574" t="s">
        <v>2442</v>
      </c>
      <c r="B7574" t="s">
        <v>562</v>
      </c>
      <c r="C7574" t="s">
        <v>563</v>
      </c>
      <c r="D7574">
        <v>2018</v>
      </c>
      <c r="E7574" s="2">
        <v>25</v>
      </c>
      <c r="F7574" s="2">
        <v>3250</v>
      </c>
      <c r="G7574" s="2">
        <v>3412.5</v>
      </c>
    </row>
    <row r="7575" spans="1:7" x14ac:dyDescent="0.3">
      <c r="A7575" t="s">
        <v>2442</v>
      </c>
      <c r="B7575" t="s">
        <v>323</v>
      </c>
      <c r="C7575" t="s">
        <v>324</v>
      </c>
      <c r="D7575">
        <v>2018</v>
      </c>
      <c r="E7575" s="2">
        <v>25</v>
      </c>
      <c r="F7575" s="2">
        <v>3250</v>
      </c>
      <c r="G7575" s="2">
        <v>3412.5</v>
      </c>
    </row>
    <row r="7576" spans="1:7" x14ac:dyDescent="0.3">
      <c r="A7576" t="s">
        <v>2445</v>
      </c>
      <c r="B7576" t="s">
        <v>252</v>
      </c>
      <c r="C7576" t="s">
        <v>191</v>
      </c>
      <c r="D7576">
        <v>2019</v>
      </c>
      <c r="E7576" s="2">
        <v>5</v>
      </c>
      <c r="F7576" s="2">
        <v>950</v>
      </c>
      <c r="G7576" s="2">
        <v>997.5</v>
      </c>
    </row>
    <row r="7577" spans="1:7" x14ac:dyDescent="0.3">
      <c r="A7577" t="s">
        <v>2445</v>
      </c>
      <c r="B7577" t="s">
        <v>510</v>
      </c>
      <c r="C7577" t="s">
        <v>511</v>
      </c>
      <c r="D7577">
        <v>2020</v>
      </c>
      <c r="E7577" s="2">
        <v>10</v>
      </c>
      <c r="F7577" s="2">
        <v>1600</v>
      </c>
      <c r="G7577" s="2">
        <v>1680</v>
      </c>
    </row>
    <row r="7578" spans="1:7" x14ac:dyDescent="0.3">
      <c r="A7578" t="s">
        <v>2446</v>
      </c>
      <c r="B7578" t="s">
        <v>635</v>
      </c>
      <c r="C7578" t="s">
        <v>636</v>
      </c>
      <c r="D7578">
        <v>2018</v>
      </c>
      <c r="E7578" s="2">
        <v>25</v>
      </c>
      <c r="F7578" s="2">
        <v>2075</v>
      </c>
      <c r="G7578" s="2">
        <v>2178.75</v>
      </c>
    </row>
    <row r="7579" spans="1:7" x14ac:dyDescent="0.3">
      <c r="A7579" t="s">
        <v>2447</v>
      </c>
      <c r="B7579" t="s">
        <v>623</v>
      </c>
      <c r="C7579" t="s">
        <v>324</v>
      </c>
      <c r="D7579">
        <v>2019</v>
      </c>
      <c r="E7579" s="2">
        <v>1</v>
      </c>
      <c r="F7579" s="2">
        <v>150</v>
      </c>
      <c r="G7579" s="2">
        <v>157.5</v>
      </c>
    </row>
    <row r="7580" spans="1:7" x14ac:dyDescent="0.3">
      <c r="A7580" t="s">
        <v>2447</v>
      </c>
      <c r="B7580" t="s">
        <v>174</v>
      </c>
      <c r="C7580" t="s">
        <v>175</v>
      </c>
      <c r="D7580">
        <v>2019</v>
      </c>
      <c r="E7580" s="2">
        <v>1</v>
      </c>
      <c r="F7580" s="2">
        <v>100</v>
      </c>
      <c r="G7580" s="2">
        <v>105</v>
      </c>
    </row>
    <row r="7581" spans="1:7" x14ac:dyDescent="0.3">
      <c r="A7581" t="s">
        <v>2447</v>
      </c>
      <c r="B7581" t="s">
        <v>718</v>
      </c>
      <c r="C7581" t="s">
        <v>582</v>
      </c>
      <c r="D7581">
        <v>2019</v>
      </c>
      <c r="E7581" s="2">
        <v>3</v>
      </c>
      <c r="F7581" s="2">
        <v>435</v>
      </c>
      <c r="G7581" s="2">
        <v>456.75</v>
      </c>
    </row>
    <row r="7582" spans="1:7" x14ac:dyDescent="0.3">
      <c r="A7582" t="s">
        <v>2447</v>
      </c>
      <c r="B7582" t="s">
        <v>1246</v>
      </c>
      <c r="C7582" t="s">
        <v>927</v>
      </c>
      <c r="D7582">
        <v>2019</v>
      </c>
      <c r="E7582" s="2">
        <v>1</v>
      </c>
      <c r="F7582" s="2">
        <v>160</v>
      </c>
      <c r="G7582" s="2">
        <v>168</v>
      </c>
    </row>
    <row r="7583" spans="1:7" x14ac:dyDescent="0.3">
      <c r="A7583" t="s">
        <v>2447</v>
      </c>
      <c r="B7583" t="s">
        <v>248</v>
      </c>
      <c r="C7583" t="s">
        <v>249</v>
      </c>
      <c r="D7583">
        <v>2019</v>
      </c>
      <c r="E7583" s="2">
        <v>2</v>
      </c>
      <c r="F7583" s="2">
        <v>320</v>
      </c>
      <c r="G7583" s="2">
        <v>336</v>
      </c>
    </row>
    <row r="7584" spans="1:7" x14ac:dyDescent="0.3">
      <c r="A7584" t="s">
        <v>2447</v>
      </c>
      <c r="B7584" t="s">
        <v>1001</v>
      </c>
      <c r="C7584" t="s">
        <v>789</v>
      </c>
      <c r="D7584">
        <v>2019</v>
      </c>
      <c r="E7584" s="2">
        <v>1</v>
      </c>
      <c r="F7584" s="2">
        <v>160</v>
      </c>
      <c r="G7584" s="2">
        <v>168</v>
      </c>
    </row>
    <row r="7585" spans="1:7" x14ac:dyDescent="0.3">
      <c r="A7585" t="s">
        <v>2447</v>
      </c>
      <c r="B7585" t="s">
        <v>504</v>
      </c>
      <c r="C7585" t="s">
        <v>505</v>
      </c>
      <c r="D7585">
        <v>2019</v>
      </c>
      <c r="E7585" s="2">
        <v>1</v>
      </c>
      <c r="F7585" s="2">
        <v>170</v>
      </c>
      <c r="G7585" s="2">
        <v>178.5</v>
      </c>
    </row>
    <row r="7586" spans="1:7" x14ac:dyDescent="0.3">
      <c r="A7586" t="s">
        <v>2447</v>
      </c>
      <c r="B7586" t="s">
        <v>504</v>
      </c>
      <c r="C7586" t="s">
        <v>505</v>
      </c>
      <c r="D7586">
        <v>2020</v>
      </c>
      <c r="E7586" s="2">
        <v>1</v>
      </c>
      <c r="F7586" s="2">
        <v>170</v>
      </c>
      <c r="G7586" s="2">
        <v>178.5</v>
      </c>
    </row>
    <row r="7587" spans="1:7" x14ac:dyDescent="0.3">
      <c r="A7587" t="s">
        <v>2447</v>
      </c>
      <c r="B7587" t="s">
        <v>206</v>
      </c>
      <c r="C7587" t="s">
        <v>207</v>
      </c>
      <c r="D7587">
        <v>2019</v>
      </c>
      <c r="E7587" s="2">
        <v>1</v>
      </c>
      <c r="F7587" s="2">
        <v>155</v>
      </c>
      <c r="G7587" s="2">
        <v>162.75</v>
      </c>
    </row>
    <row r="7588" spans="1:7" x14ac:dyDescent="0.3">
      <c r="A7588" t="s">
        <v>2447</v>
      </c>
      <c r="B7588" t="s">
        <v>2448</v>
      </c>
      <c r="C7588" t="s">
        <v>191</v>
      </c>
      <c r="D7588">
        <v>2019</v>
      </c>
      <c r="E7588" s="2">
        <v>1</v>
      </c>
      <c r="F7588" s="2">
        <v>160</v>
      </c>
      <c r="G7588" s="2">
        <v>168</v>
      </c>
    </row>
    <row r="7589" spans="1:7" x14ac:dyDescent="0.3">
      <c r="A7589" t="s">
        <v>2447</v>
      </c>
      <c r="B7589" t="s">
        <v>1935</v>
      </c>
      <c r="C7589" t="s">
        <v>254</v>
      </c>
      <c r="D7589">
        <v>2019</v>
      </c>
      <c r="E7589" s="2">
        <v>1</v>
      </c>
      <c r="F7589" s="2">
        <v>160</v>
      </c>
      <c r="G7589" s="2">
        <v>168</v>
      </c>
    </row>
    <row r="7590" spans="1:7" x14ac:dyDescent="0.3">
      <c r="A7590" t="s">
        <v>2447</v>
      </c>
      <c r="B7590" t="s">
        <v>2449</v>
      </c>
      <c r="C7590" t="s">
        <v>256</v>
      </c>
      <c r="D7590">
        <v>2019</v>
      </c>
      <c r="E7590" s="2">
        <v>1</v>
      </c>
      <c r="F7590" s="2">
        <v>155</v>
      </c>
      <c r="G7590" s="2">
        <v>162.75</v>
      </c>
    </row>
    <row r="7591" spans="1:7" x14ac:dyDescent="0.3">
      <c r="A7591" t="s">
        <v>2447</v>
      </c>
      <c r="B7591" t="s">
        <v>1418</v>
      </c>
      <c r="C7591" t="s">
        <v>224</v>
      </c>
      <c r="D7591">
        <v>2019</v>
      </c>
      <c r="E7591" s="2">
        <v>1</v>
      </c>
      <c r="F7591" s="2">
        <v>160</v>
      </c>
      <c r="G7591" s="2">
        <v>168</v>
      </c>
    </row>
    <row r="7592" spans="1:7" x14ac:dyDescent="0.3">
      <c r="A7592" t="s">
        <v>2447</v>
      </c>
      <c r="B7592" t="s">
        <v>1421</v>
      </c>
      <c r="C7592" t="s">
        <v>98</v>
      </c>
      <c r="D7592">
        <v>2019</v>
      </c>
      <c r="E7592" s="2">
        <v>1</v>
      </c>
      <c r="F7592" s="2">
        <v>150</v>
      </c>
      <c r="G7592" s="2">
        <v>157.5</v>
      </c>
    </row>
    <row r="7593" spans="1:7" x14ac:dyDescent="0.3">
      <c r="A7593" t="s">
        <v>2447</v>
      </c>
      <c r="B7593" t="s">
        <v>210</v>
      </c>
      <c r="C7593" t="s">
        <v>61</v>
      </c>
      <c r="D7593">
        <v>2019</v>
      </c>
      <c r="E7593" s="2">
        <v>1</v>
      </c>
      <c r="F7593" s="2">
        <v>150</v>
      </c>
      <c r="G7593" s="2">
        <v>157.5</v>
      </c>
    </row>
    <row r="7594" spans="1:7" x14ac:dyDescent="0.3">
      <c r="A7594" t="s">
        <v>2447</v>
      </c>
      <c r="B7594" t="s">
        <v>2022</v>
      </c>
      <c r="C7594" t="s">
        <v>515</v>
      </c>
      <c r="D7594">
        <v>2019</v>
      </c>
      <c r="E7594" s="2">
        <v>1</v>
      </c>
      <c r="F7594" s="2">
        <v>150</v>
      </c>
      <c r="G7594" s="2">
        <v>157.5</v>
      </c>
    </row>
    <row r="7595" spans="1:7" x14ac:dyDescent="0.3">
      <c r="A7595" t="s">
        <v>2447</v>
      </c>
      <c r="B7595" t="s">
        <v>297</v>
      </c>
      <c r="C7595" t="s">
        <v>298</v>
      </c>
      <c r="D7595">
        <v>2019</v>
      </c>
      <c r="E7595" s="2">
        <v>1</v>
      </c>
      <c r="F7595" s="2">
        <v>100</v>
      </c>
      <c r="G7595" s="2">
        <v>105</v>
      </c>
    </row>
    <row r="7596" spans="1:7" x14ac:dyDescent="0.3">
      <c r="A7596" t="s">
        <v>2447</v>
      </c>
      <c r="B7596" t="s">
        <v>1009</v>
      </c>
      <c r="C7596" t="s">
        <v>934</v>
      </c>
      <c r="D7596">
        <v>2019</v>
      </c>
      <c r="E7596" s="2">
        <v>1</v>
      </c>
      <c r="F7596" s="2">
        <v>90</v>
      </c>
      <c r="G7596" s="2">
        <v>94.5</v>
      </c>
    </row>
    <row r="7597" spans="1:7" x14ac:dyDescent="0.3">
      <c r="A7597" t="s">
        <v>2447</v>
      </c>
      <c r="B7597" t="s">
        <v>1009</v>
      </c>
      <c r="C7597" t="s">
        <v>934</v>
      </c>
      <c r="D7597">
        <v>2020</v>
      </c>
      <c r="E7597" s="2">
        <v>1</v>
      </c>
      <c r="F7597" s="2">
        <v>90</v>
      </c>
      <c r="G7597" s="2">
        <v>94.5</v>
      </c>
    </row>
    <row r="7598" spans="1:7" x14ac:dyDescent="0.3">
      <c r="A7598" t="s">
        <v>2447</v>
      </c>
      <c r="B7598" t="s">
        <v>931</v>
      </c>
      <c r="C7598" t="s">
        <v>160</v>
      </c>
      <c r="D7598">
        <v>2019</v>
      </c>
      <c r="E7598" s="2">
        <v>1</v>
      </c>
      <c r="F7598" s="2">
        <v>165</v>
      </c>
      <c r="G7598" s="2">
        <v>173.25</v>
      </c>
    </row>
    <row r="7599" spans="1:7" x14ac:dyDescent="0.3">
      <c r="A7599" t="s">
        <v>2447</v>
      </c>
      <c r="B7599" t="s">
        <v>258</v>
      </c>
      <c r="C7599" t="s">
        <v>259</v>
      </c>
      <c r="D7599">
        <v>2019</v>
      </c>
      <c r="E7599" s="2">
        <v>2</v>
      </c>
      <c r="F7599" s="2">
        <v>320</v>
      </c>
      <c r="G7599" s="2">
        <v>336</v>
      </c>
    </row>
    <row r="7600" spans="1:7" x14ac:dyDescent="0.3">
      <c r="A7600" t="s">
        <v>2447</v>
      </c>
      <c r="B7600" t="s">
        <v>211</v>
      </c>
      <c r="C7600" t="s">
        <v>212</v>
      </c>
      <c r="D7600">
        <v>2019</v>
      </c>
      <c r="E7600" s="2">
        <v>1</v>
      </c>
      <c r="F7600" s="2">
        <v>150</v>
      </c>
      <c r="G7600" s="2">
        <v>157.5</v>
      </c>
    </row>
    <row r="7601" spans="1:7" x14ac:dyDescent="0.3">
      <c r="A7601" t="s">
        <v>2447</v>
      </c>
      <c r="B7601" t="s">
        <v>1425</v>
      </c>
      <c r="C7601" t="s">
        <v>212</v>
      </c>
      <c r="D7601">
        <v>2019</v>
      </c>
      <c r="E7601" s="2">
        <v>1</v>
      </c>
      <c r="F7601" s="2">
        <v>150</v>
      </c>
      <c r="G7601" s="2">
        <v>157.5</v>
      </c>
    </row>
    <row r="7602" spans="1:7" x14ac:dyDescent="0.3">
      <c r="A7602" t="s">
        <v>2447</v>
      </c>
      <c r="B7602" t="s">
        <v>467</v>
      </c>
      <c r="C7602" t="s">
        <v>468</v>
      </c>
      <c r="D7602">
        <v>2019</v>
      </c>
      <c r="E7602" s="2">
        <v>1</v>
      </c>
      <c r="F7602" s="2">
        <v>100</v>
      </c>
      <c r="G7602" s="2">
        <v>105</v>
      </c>
    </row>
    <row r="7603" spans="1:7" x14ac:dyDescent="0.3">
      <c r="A7603" t="s">
        <v>2447</v>
      </c>
      <c r="B7603" t="s">
        <v>1929</v>
      </c>
      <c r="C7603" t="s">
        <v>113</v>
      </c>
      <c r="D7603">
        <v>2019</v>
      </c>
      <c r="E7603" s="2">
        <v>1</v>
      </c>
      <c r="F7603" s="2">
        <v>170</v>
      </c>
      <c r="G7603" s="2">
        <v>178.5</v>
      </c>
    </row>
    <row r="7604" spans="1:7" x14ac:dyDescent="0.3">
      <c r="A7604" t="s">
        <v>2447</v>
      </c>
      <c r="B7604" t="s">
        <v>120</v>
      </c>
      <c r="C7604" t="s">
        <v>121</v>
      </c>
      <c r="D7604">
        <v>2019</v>
      </c>
      <c r="E7604" s="2">
        <v>1</v>
      </c>
      <c r="F7604" s="2">
        <v>150</v>
      </c>
      <c r="G7604" s="2">
        <v>157.5</v>
      </c>
    </row>
    <row r="7605" spans="1:7" x14ac:dyDescent="0.3">
      <c r="A7605" t="s">
        <v>2447</v>
      </c>
      <c r="B7605" t="s">
        <v>1106</v>
      </c>
      <c r="C7605" t="s">
        <v>1095</v>
      </c>
      <c r="D7605">
        <v>2019</v>
      </c>
      <c r="E7605" s="2">
        <v>2</v>
      </c>
      <c r="F7605" s="2">
        <v>180</v>
      </c>
      <c r="G7605" s="2">
        <v>189</v>
      </c>
    </row>
    <row r="7606" spans="1:7" x14ac:dyDescent="0.3">
      <c r="A7606" t="s">
        <v>2447</v>
      </c>
      <c r="B7606" t="s">
        <v>653</v>
      </c>
      <c r="C7606" t="s">
        <v>654</v>
      </c>
      <c r="D7606">
        <v>2019</v>
      </c>
      <c r="E7606" s="2">
        <v>1</v>
      </c>
      <c r="F7606" s="2">
        <v>100</v>
      </c>
      <c r="G7606" s="2">
        <v>105</v>
      </c>
    </row>
    <row r="7607" spans="1:7" x14ac:dyDescent="0.3">
      <c r="A7607" t="s">
        <v>2447</v>
      </c>
      <c r="B7607" t="s">
        <v>518</v>
      </c>
      <c r="C7607" t="s">
        <v>519</v>
      </c>
      <c r="D7607">
        <v>2019</v>
      </c>
      <c r="E7607" s="2">
        <v>1</v>
      </c>
      <c r="F7607" s="2">
        <v>100</v>
      </c>
      <c r="G7607" s="2">
        <v>105</v>
      </c>
    </row>
    <row r="7608" spans="1:7" x14ac:dyDescent="0.3">
      <c r="A7608" t="s">
        <v>2447</v>
      </c>
      <c r="B7608" t="s">
        <v>655</v>
      </c>
      <c r="C7608" t="s">
        <v>397</v>
      </c>
      <c r="D7608">
        <v>2019</v>
      </c>
      <c r="E7608" s="2">
        <v>1</v>
      </c>
      <c r="F7608" s="2">
        <v>150</v>
      </c>
      <c r="G7608" s="2">
        <v>157.5</v>
      </c>
    </row>
    <row r="7609" spans="1:7" x14ac:dyDescent="0.3">
      <c r="A7609" t="s">
        <v>2447</v>
      </c>
      <c r="B7609" t="s">
        <v>674</v>
      </c>
      <c r="C7609" t="s">
        <v>675</v>
      </c>
      <c r="D7609">
        <v>2019</v>
      </c>
      <c r="E7609" s="2">
        <v>1</v>
      </c>
      <c r="F7609" s="2">
        <v>100</v>
      </c>
      <c r="G7609" s="2">
        <v>105</v>
      </c>
    </row>
    <row r="7610" spans="1:7" x14ac:dyDescent="0.3">
      <c r="A7610" t="s">
        <v>2447</v>
      </c>
      <c r="B7610" t="s">
        <v>263</v>
      </c>
      <c r="C7610" t="s">
        <v>264</v>
      </c>
      <c r="D7610">
        <v>2019</v>
      </c>
      <c r="E7610" s="2">
        <v>6</v>
      </c>
      <c r="F7610" s="2">
        <v>840</v>
      </c>
      <c r="G7610" s="2">
        <v>882</v>
      </c>
    </row>
    <row r="7611" spans="1:7" x14ac:dyDescent="0.3">
      <c r="A7611" t="s">
        <v>2447</v>
      </c>
      <c r="B7611" t="s">
        <v>263</v>
      </c>
      <c r="C7611" t="s">
        <v>264</v>
      </c>
      <c r="D7611">
        <v>2020</v>
      </c>
      <c r="E7611" s="2">
        <v>1</v>
      </c>
      <c r="F7611" s="2">
        <v>160</v>
      </c>
      <c r="G7611" s="2">
        <v>168</v>
      </c>
    </row>
    <row r="7612" spans="1:7" x14ac:dyDescent="0.3">
      <c r="A7612" t="s">
        <v>2447</v>
      </c>
      <c r="B7612" t="s">
        <v>1004</v>
      </c>
      <c r="C7612" t="s">
        <v>197</v>
      </c>
      <c r="D7612">
        <v>2019</v>
      </c>
      <c r="E7612" s="2">
        <v>4</v>
      </c>
      <c r="F7612" s="2">
        <v>690</v>
      </c>
      <c r="G7612" s="2">
        <v>724.5</v>
      </c>
    </row>
    <row r="7613" spans="1:7" x14ac:dyDescent="0.3">
      <c r="A7613" t="s">
        <v>2447</v>
      </c>
      <c r="B7613" t="s">
        <v>266</v>
      </c>
      <c r="C7613" t="s">
        <v>143</v>
      </c>
      <c r="D7613">
        <v>2019</v>
      </c>
      <c r="E7613" s="2">
        <v>5</v>
      </c>
      <c r="F7613" s="2">
        <v>750</v>
      </c>
      <c r="G7613" s="2">
        <v>787.5</v>
      </c>
    </row>
    <row r="7614" spans="1:7" x14ac:dyDescent="0.3">
      <c r="A7614" t="s">
        <v>2447</v>
      </c>
      <c r="B7614" t="s">
        <v>266</v>
      </c>
      <c r="C7614" t="s">
        <v>143</v>
      </c>
      <c r="D7614">
        <v>2020</v>
      </c>
      <c r="E7614" s="2">
        <v>1</v>
      </c>
      <c r="F7614" s="2">
        <v>180</v>
      </c>
      <c r="G7614" s="2">
        <v>189</v>
      </c>
    </row>
    <row r="7615" spans="1:7" x14ac:dyDescent="0.3">
      <c r="A7615" t="s">
        <v>2447</v>
      </c>
      <c r="B7615" t="s">
        <v>656</v>
      </c>
      <c r="C7615" t="s">
        <v>71</v>
      </c>
      <c r="D7615">
        <v>2019</v>
      </c>
      <c r="E7615" s="2">
        <v>2</v>
      </c>
      <c r="F7615" s="2">
        <v>360</v>
      </c>
      <c r="G7615" s="2">
        <v>378</v>
      </c>
    </row>
    <row r="7616" spans="1:7" x14ac:dyDescent="0.3">
      <c r="A7616" t="s">
        <v>2447</v>
      </c>
      <c r="B7616" t="s">
        <v>656</v>
      </c>
      <c r="C7616" t="s">
        <v>71</v>
      </c>
      <c r="D7616">
        <v>2020</v>
      </c>
      <c r="E7616" s="2">
        <v>1</v>
      </c>
      <c r="F7616" s="2">
        <v>180</v>
      </c>
      <c r="G7616" s="2">
        <v>189</v>
      </c>
    </row>
    <row r="7617" spans="1:7" x14ac:dyDescent="0.3">
      <c r="A7617" t="s">
        <v>2447</v>
      </c>
      <c r="B7617" t="s">
        <v>600</v>
      </c>
      <c r="C7617" t="s">
        <v>75</v>
      </c>
      <c r="D7617">
        <v>2019</v>
      </c>
      <c r="E7617" s="2">
        <v>2</v>
      </c>
      <c r="F7617" s="2">
        <v>400</v>
      </c>
      <c r="G7617" s="2">
        <v>420</v>
      </c>
    </row>
    <row r="7618" spans="1:7" x14ac:dyDescent="0.3">
      <c r="A7618" t="s">
        <v>2447</v>
      </c>
      <c r="B7618" t="s">
        <v>600</v>
      </c>
      <c r="C7618" t="s">
        <v>75</v>
      </c>
      <c r="D7618">
        <v>2020</v>
      </c>
      <c r="E7618" s="2">
        <v>1</v>
      </c>
      <c r="F7618" s="2">
        <v>200</v>
      </c>
      <c r="G7618" s="2">
        <v>210</v>
      </c>
    </row>
    <row r="7619" spans="1:7" x14ac:dyDescent="0.3">
      <c r="A7619" t="s">
        <v>2447</v>
      </c>
      <c r="B7619" t="s">
        <v>46</v>
      </c>
      <c r="C7619" t="s">
        <v>47</v>
      </c>
      <c r="D7619">
        <v>2019</v>
      </c>
      <c r="E7619" s="2">
        <v>1</v>
      </c>
      <c r="F7619" s="2">
        <v>100</v>
      </c>
      <c r="G7619" s="2">
        <v>105</v>
      </c>
    </row>
    <row r="7620" spans="1:7" x14ac:dyDescent="0.3">
      <c r="A7620" t="s">
        <v>2447</v>
      </c>
      <c r="B7620" t="s">
        <v>1396</v>
      </c>
      <c r="C7620" t="s">
        <v>613</v>
      </c>
      <c r="D7620">
        <v>2019</v>
      </c>
      <c r="E7620" s="2">
        <v>2</v>
      </c>
      <c r="F7620" s="2">
        <v>300</v>
      </c>
      <c r="G7620" s="2">
        <v>315</v>
      </c>
    </row>
    <row r="7621" spans="1:7" x14ac:dyDescent="0.3">
      <c r="A7621" t="s">
        <v>2447</v>
      </c>
      <c r="B7621" t="s">
        <v>1396</v>
      </c>
      <c r="C7621" t="s">
        <v>613</v>
      </c>
      <c r="D7621">
        <v>2020</v>
      </c>
      <c r="E7621" s="2">
        <v>1</v>
      </c>
      <c r="F7621" s="2">
        <v>150</v>
      </c>
      <c r="G7621" s="2">
        <v>157.5</v>
      </c>
    </row>
    <row r="7622" spans="1:7" x14ac:dyDescent="0.3">
      <c r="A7622" t="s">
        <v>2450</v>
      </c>
      <c r="B7622" t="s">
        <v>41</v>
      </c>
      <c r="C7622" t="s">
        <v>42</v>
      </c>
      <c r="D7622">
        <v>2013</v>
      </c>
      <c r="E7622" s="2">
        <v>25</v>
      </c>
      <c r="F7622" s="2">
        <v>1625</v>
      </c>
      <c r="G7622" s="2"/>
    </row>
    <row r="7623" spans="1:7" x14ac:dyDescent="0.3">
      <c r="A7623" t="s">
        <v>2450</v>
      </c>
      <c r="B7623" t="s">
        <v>30</v>
      </c>
      <c r="C7623" t="s">
        <v>31</v>
      </c>
      <c r="D7623">
        <v>2013</v>
      </c>
      <c r="E7623" s="2">
        <v>50</v>
      </c>
      <c r="F7623" s="2">
        <v>3950</v>
      </c>
      <c r="G7623" s="2"/>
    </row>
    <row r="7624" spans="1:7" x14ac:dyDescent="0.3">
      <c r="A7624" t="s">
        <v>2450</v>
      </c>
      <c r="B7624" t="s">
        <v>30</v>
      </c>
      <c r="C7624" t="s">
        <v>31</v>
      </c>
      <c r="D7624">
        <v>2015</v>
      </c>
      <c r="E7624" s="2">
        <v>100</v>
      </c>
      <c r="F7624" s="2">
        <v>7300</v>
      </c>
      <c r="G7624" s="2"/>
    </row>
    <row r="7625" spans="1:7" x14ac:dyDescent="0.3">
      <c r="A7625" t="s">
        <v>2450</v>
      </c>
      <c r="B7625" t="s">
        <v>45</v>
      </c>
      <c r="D7625">
        <v>2013</v>
      </c>
      <c r="E7625" s="2">
        <v>20</v>
      </c>
      <c r="F7625" s="2">
        <v>1760</v>
      </c>
      <c r="G7625" s="2"/>
    </row>
    <row r="7626" spans="1:7" x14ac:dyDescent="0.3">
      <c r="A7626" t="s">
        <v>2450</v>
      </c>
      <c r="B7626" t="s">
        <v>32</v>
      </c>
      <c r="D7626">
        <v>2013</v>
      </c>
      <c r="E7626" s="2">
        <v>20</v>
      </c>
      <c r="F7626" s="2">
        <v>1760</v>
      </c>
      <c r="G7626" s="2"/>
    </row>
    <row r="7627" spans="1:7" x14ac:dyDescent="0.3">
      <c r="A7627" t="s">
        <v>2451</v>
      </c>
      <c r="B7627" t="s">
        <v>19</v>
      </c>
      <c r="C7627" t="s">
        <v>20</v>
      </c>
      <c r="D7627">
        <v>2009</v>
      </c>
      <c r="E7627" s="2">
        <v>300</v>
      </c>
      <c r="F7627" s="2">
        <v>31500</v>
      </c>
      <c r="G7627" s="2"/>
    </row>
    <row r="7628" spans="1:7" x14ac:dyDescent="0.3">
      <c r="A7628" t="s">
        <v>2451</v>
      </c>
      <c r="B7628" t="s">
        <v>19</v>
      </c>
      <c r="C7628" t="s">
        <v>20</v>
      </c>
      <c r="D7628">
        <v>2011</v>
      </c>
      <c r="E7628" s="2">
        <v>300</v>
      </c>
      <c r="F7628" s="2">
        <v>34500</v>
      </c>
      <c r="G7628" s="2"/>
    </row>
    <row r="7629" spans="1:7" x14ac:dyDescent="0.3">
      <c r="A7629" t="s">
        <v>2451</v>
      </c>
      <c r="B7629" t="s">
        <v>19</v>
      </c>
      <c r="C7629" t="s">
        <v>20</v>
      </c>
      <c r="D7629">
        <v>2013</v>
      </c>
      <c r="E7629" s="2">
        <v>150</v>
      </c>
      <c r="F7629" s="2">
        <v>17700</v>
      </c>
      <c r="G7629" s="2"/>
    </row>
    <row r="7630" spans="1:7" x14ac:dyDescent="0.3">
      <c r="A7630" t="s">
        <v>2451</v>
      </c>
      <c r="B7630" t="s">
        <v>19</v>
      </c>
      <c r="C7630" t="s">
        <v>20</v>
      </c>
      <c r="D7630">
        <v>2014</v>
      </c>
      <c r="E7630" s="2">
        <v>550</v>
      </c>
      <c r="F7630" s="2">
        <v>64900</v>
      </c>
      <c r="G7630" s="2"/>
    </row>
    <row r="7631" spans="1:7" x14ac:dyDescent="0.3">
      <c r="A7631" t="s">
        <v>2451</v>
      </c>
      <c r="B7631" t="s">
        <v>19</v>
      </c>
      <c r="C7631" t="s">
        <v>20</v>
      </c>
      <c r="D7631">
        <v>2015</v>
      </c>
      <c r="E7631" s="2">
        <v>375</v>
      </c>
      <c r="F7631" s="2">
        <v>44250</v>
      </c>
      <c r="G7631" s="2"/>
    </row>
    <row r="7632" spans="1:7" x14ac:dyDescent="0.3">
      <c r="A7632" t="s">
        <v>2451</v>
      </c>
      <c r="B7632" t="s">
        <v>19</v>
      </c>
      <c r="C7632" t="s">
        <v>20</v>
      </c>
      <c r="D7632">
        <v>2016</v>
      </c>
      <c r="E7632" s="2">
        <v>800</v>
      </c>
      <c r="F7632" s="2">
        <v>94400</v>
      </c>
      <c r="G7632" s="2"/>
    </row>
    <row r="7633" spans="1:7" x14ac:dyDescent="0.3">
      <c r="A7633" t="s">
        <v>2451</v>
      </c>
      <c r="B7633" t="s">
        <v>19</v>
      </c>
      <c r="C7633" t="s">
        <v>20</v>
      </c>
      <c r="D7633">
        <v>2017</v>
      </c>
      <c r="E7633" s="2">
        <v>1400</v>
      </c>
      <c r="F7633" s="2">
        <v>165200</v>
      </c>
      <c r="G7633" s="2"/>
    </row>
    <row r="7634" spans="1:7" x14ac:dyDescent="0.3">
      <c r="A7634" t="s">
        <v>2451</v>
      </c>
      <c r="B7634" t="s">
        <v>19</v>
      </c>
      <c r="C7634" t="s">
        <v>20</v>
      </c>
      <c r="D7634">
        <v>2018</v>
      </c>
      <c r="E7634" s="2">
        <v>500</v>
      </c>
      <c r="F7634" s="2">
        <v>59000</v>
      </c>
      <c r="G7634" s="2">
        <v>61950</v>
      </c>
    </row>
    <row r="7635" spans="1:7" x14ac:dyDescent="0.3">
      <c r="A7635" t="s">
        <v>2451</v>
      </c>
      <c r="B7635" t="s">
        <v>19</v>
      </c>
      <c r="C7635" t="s">
        <v>20</v>
      </c>
      <c r="D7635">
        <v>2019</v>
      </c>
      <c r="E7635" s="2">
        <v>900</v>
      </c>
      <c r="F7635" s="2">
        <v>106200</v>
      </c>
      <c r="G7635" s="2">
        <v>111510</v>
      </c>
    </row>
    <row r="7636" spans="1:7" x14ac:dyDescent="0.3">
      <c r="A7636" t="s">
        <v>2451</v>
      </c>
      <c r="B7636" t="s">
        <v>19</v>
      </c>
      <c r="C7636" t="s">
        <v>20</v>
      </c>
      <c r="D7636">
        <v>2020</v>
      </c>
      <c r="E7636" s="2">
        <v>1800</v>
      </c>
      <c r="F7636" s="2">
        <v>212400</v>
      </c>
      <c r="G7636" s="2">
        <v>223020</v>
      </c>
    </row>
    <row r="7637" spans="1:7" x14ac:dyDescent="0.3">
      <c r="A7637" t="s">
        <v>2451</v>
      </c>
      <c r="B7637" t="s">
        <v>19</v>
      </c>
      <c r="C7637" t="s">
        <v>20</v>
      </c>
      <c r="D7637">
        <v>2021</v>
      </c>
      <c r="E7637" s="2">
        <v>500</v>
      </c>
      <c r="F7637" s="2">
        <v>59000</v>
      </c>
      <c r="G7637" s="2">
        <v>61950</v>
      </c>
    </row>
    <row r="7638" spans="1:7" x14ac:dyDescent="0.3">
      <c r="A7638" t="s">
        <v>2451</v>
      </c>
      <c r="B7638" t="s">
        <v>863</v>
      </c>
      <c r="D7638">
        <v>2018</v>
      </c>
      <c r="E7638" s="2">
        <v>560</v>
      </c>
      <c r="F7638" s="2">
        <v>44800</v>
      </c>
      <c r="G7638" s="2">
        <v>47040</v>
      </c>
    </row>
    <row r="7639" spans="1:7" x14ac:dyDescent="0.3">
      <c r="A7639" t="s">
        <v>2451</v>
      </c>
      <c r="B7639" t="s">
        <v>863</v>
      </c>
      <c r="D7639">
        <v>2019</v>
      </c>
      <c r="E7639" s="2">
        <v>160</v>
      </c>
      <c r="F7639" s="2">
        <v>12800</v>
      </c>
      <c r="G7639" s="2">
        <v>13440</v>
      </c>
    </row>
    <row r="7640" spans="1:7" x14ac:dyDescent="0.3">
      <c r="A7640" t="s">
        <v>2452</v>
      </c>
      <c r="B7640" t="s">
        <v>761</v>
      </c>
      <c r="D7640">
        <v>2017</v>
      </c>
      <c r="E7640" s="2">
        <v>8</v>
      </c>
      <c r="F7640" s="2">
        <v>4160</v>
      </c>
      <c r="G7640" s="2"/>
    </row>
    <row r="7641" spans="1:7" x14ac:dyDescent="0.3">
      <c r="A7641" t="s">
        <v>2452</v>
      </c>
      <c r="B7641" t="s">
        <v>32</v>
      </c>
      <c r="D7641">
        <v>2016</v>
      </c>
      <c r="E7641" s="2">
        <v>20</v>
      </c>
      <c r="F7641" s="2">
        <v>1700</v>
      </c>
      <c r="G7641" s="2"/>
    </row>
    <row r="7642" spans="1:7" x14ac:dyDescent="0.3">
      <c r="A7642" t="s">
        <v>2452</v>
      </c>
      <c r="B7642" t="s">
        <v>32</v>
      </c>
      <c r="D7642">
        <v>2017</v>
      </c>
      <c r="E7642" s="2">
        <v>43</v>
      </c>
      <c r="F7642" s="2">
        <v>4960</v>
      </c>
      <c r="G7642" s="2"/>
    </row>
    <row r="7643" spans="1:7" x14ac:dyDescent="0.3">
      <c r="A7643" t="s">
        <v>2453</v>
      </c>
      <c r="B7643" t="s">
        <v>532</v>
      </c>
      <c r="C7643" t="s">
        <v>452</v>
      </c>
      <c r="D7643">
        <v>2019</v>
      </c>
      <c r="E7643" s="2">
        <v>2</v>
      </c>
      <c r="F7643" s="2">
        <v>92</v>
      </c>
      <c r="G7643" s="2">
        <v>92</v>
      </c>
    </row>
    <row r="7644" spans="1:7" x14ac:dyDescent="0.3">
      <c r="A7644" t="s">
        <v>2453</v>
      </c>
      <c r="B7644" t="s">
        <v>533</v>
      </c>
      <c r="C7644" t="s">
        <v>534</v>
      </c>
      <c r="D7644">
        <v>2019</v>
      </c>
      <c r="E7644" s="2">
        <v>2</v>
      </c>
      <c r="F7644" s="2">
        <v>92</v>
      </c>
      <c r="G7644" s="2">
        <v>92</v>
      </c>
    </row>
    <row r="7645" spans="1:7" x14ac:dyDescent="0.3">
      <c r="A7645" t="s">
        <v>2453</v>
      </c>
      <c r="B7645" t="s">
        <v>538</v>
      </c>
      <c r="C7645" t="s">
        <v>539</v>
      </c>
      <c r="D7645">
        <v>2019</v>
      </c>
      <c r="E7645" s="2">
        <v>2</v>
      </c>
      <c r="F7645" s="2">
        <v>92</v>
      </c>
      <c r="G7645" s="2">
        <v>92</v>
      </c>
    </row>
    <row r="7646" spans="1:7" x14ac:dyDescent="0.3">
      <c r="A7646" t="s">
        <v>2453</v>
      </c>
      <c r="B7646" t="s">
        <v>459</v>
      </c>
      <c r="C7646" t="s">
        <v>460</v>
      </c>
      <c r="D7646">
        <v>2019</v>
      </c>
      <c r="E7646" s="2">
        <v>2</v>
      </c>
      <c r="F7646" s="2">
        <v>92</v>
      </c>
      <c r="G7646" s="2">
        <v>92</v>
      </c>
    </row>
    <row r="7647" spans="1:7" x14ac:dyDescent="0.3">
      <c r="A7647" t="s">
        <v>2453</v>
      </c>
      <c r="B7647" t="s">
        <v>1013</v>
      </c>
      <c r="C7647" t="s">
        <v>1014</v>
      </c>
      <c r="D7647">
        <v>2019</v>
      </c>
      <c r="E7647" s="2">
        <v>2</v>
      </c>
      <c r="F7647" s="2">
        <v>116</v>
      </c>
      <c r="G7647" s="2">
        <v>116</v>
      </c>
    </row>
    <row r="7648" spans="1:7" x14ac:dyDescent="0.3">
      <c r="A7648" t="s">
        <v>2453</v>
      </c>
      <c r="B7648" t="s">
        <v>26</v>
      </c>
      <c r="C7648" t="s">
        <v>27</v>
      </c>
      <c r="D7648">
        <v>2019</v>
      </c>
      <c r="E7648" s="2">
        <v>2</v>
      </c>
      <c r="F7648" s="2">
        <v>92</v>
      </c>
      <c r="G7648" s="2">
        <v>92</v>
      </c>
    </row>
    <row r="7649" spans="1:7" x14ac:dyDescent="0.3">
      <c r="A7649" t="s">
        <v>2453</v>
      </c>
      <c r="B7649" t="s">
        <v>686</v>
      </c>
      <c r="C7649" t="s">
        <v>687</v>
      </c>
      <c r="D7649">
        <v>2019</v>
      </c>
      <c r="E7649" s="2">
        <v>2</v>
      </c>
      <c r="F7649" s="2">
        <v>92</v>
      </c>
      <c r="G7649" s="2">
        <v>92</v>
      </c>
    </row>
    <row r="7650" spans="1:7" x14ac:dyDescent="0.3">
      <c r="A7650" t="s">
        <v>2453</v>
      </c>
      <c r="B7650" t="s">
        <v>1122</v>
      </c>
      <c r="C7650" t="s">
        <v>1123</v>
      </c>
      <c r="D7650">
        <v>2019</v>
      </c>
      <c r="E7650" s="2">
        <v>2</v>
      </c>
      <c r="F7650" s="2">
        <v>92</v>
      </c>
      <c r="G7650" s="2">
        <v>92</v>
      </c>
    </row>
    <row r="7651" spans="1:7" x14ac:dyDescent="0.3">
      <c r="A7651" t="s">
        <v>2453</v>
      </c>
      <c r="B7651" t="s">
        <v>269</v>
      </c>
      <c r="C7651" t="s">
        <v>270</v>
      </c>
      <c r="D7651">
        <v>2019</v>
      </c>
      <c r="E7651" s="2">
        <v>2</v>
      </c>
      <c r="F7651" s="2">
        <v>109</v>
      </c>
      <c r="G7651" s="2">
        <v>109</v>
      </c>
    </row>
    <row r="7652" spans="1:7" x14ac:dyDescent="0.3">
      <c r="A7652" t="s">
        <v>2453</v>
      </c>
      <c r="B7652" t="s">
        <v>543</v>
      </c>
      <c r="C7652" t="s">
        <v>544</v>
      </c>
      <c r="D7652">
        <v>2019</v>
      </c>
      <c r="E7652" s="2">
        <v>2</v>
      </c>
      <c r="F7652" s="2">
        <v>92</v>
      </c>
      <c r="G7652" s="2">
        <v>92</v>
      </c>
    </row>
    <row r="7653" spans="1:7" x14ac:dyDescent="0.3">
      <c r="A7653" t="s">
        <v>2453</v>
      </c>
      <c r="B7653" t="s">
        <v>64</v>
      </c>
      <c r="C7653" t="s">
        <v>65</v>
      </c>
      <c r="D7653">
        <v>2019</v>
      </c>
      <c r="E7653" s="2">
        <v>2</v>
      </c>
      <c r="F7653" s="2">
        <v>92</v>
      </c>
      <c r="G7653" s="2">
        <v>92</v>
      </c>
    </row>
    <row r="7654" spans="1:7" x14ac:dyDescent="0.3">
      <c r="A7654" t="s">
        <v>2453</v>
      </c>
      <c r="B7654" t="s">
        <v>110</v>
      </c>
      <c r="C7654" t="s">
        <v>111</v>
      </c>
      <c r="D7654">
        <v>2019</v>
      </c>
      <c r="E7654" s="2">
        <v>2</v>
      </c>
      <c r="F7654" s="2">
        <v>92</v>
      </c>
      <c r="G7654" s="2">
        <v>92</v>
      </c>
    </row>
    <row r="7655" spans="1:7" x14ac:dyDescent="0.3">
      <c r="A7655" t="s">
        <v>2453</v>
      </c>
      <c r="B7655" t="s">
        <v>1446</v>
      </c>
      <c r="C7655" t="s">
        <v>2051</v>
      </c>
      <c r="D7655">
        <v>2019</v>
      </c>
      <c r="E7655" s="2">
        <v>2</v>
      </c>
      <c r="F7655" s="2">
        <v>92</v>
      </c>
      <c r="G7655" s="2">
        <v>92</v>
      </c>
    </row>
    <row r="7656" spans="1:7" x14ac:dyDescent="0.3">
      <c r="A7656" t="s">
        <v>2453</v>
      </c>
      <c r="B7656" t="s">
        <v>518</v>
      </c>
      <c r="C7656" t="s">
        <v>519</v>
      </c>
      <c r="D7656">
        <v>2019</v>
      </c>
      <c r="E7656" s="2">
        <v>2</v>
      </c>
      <c r="F7656" s="2">
        <v>92</v>
      </c>
      <c r="G7656" s="2">
        <v>92</v>
      </c>
    </row>
    <row r="7657" spans="1:7" x14ac:dyDescent="0.3">
      <c r="A7657" t="s">
        <v>2453</v>
      </c>
      <c r="B7657" t="s">
        <v>674</v>
      </c>
      <c r="C7657" t="s">
        <v>675</v>
      </c>
      <c r="D7657">
        <v>2019</v>
      </c>
      <c r="E7657" s="2">
        <v>2</v>
      </c>
      <c r="F7657" s="2">
        <v>92</v>
      </c>
      <c r="G7657" s="2">
        <v>92</v>
      </c>
    </row>
    <row r="7658" spans="1:7" x14ac:dyDescent="0.3">
      <c r="A7658" t="s">
        <v>2453</v>
      </c>
      <c r="B7658" t="s">
        <v>483</v>
      </c>
      <c r="C7658" t="s">
        <v>484</v>
      </c>
      <c r="D7658">
        <v>2019</v>
      </c>
      <c r="E7658" s="2">
        <v>2</v>
      </c>
      <c r="F7658" s="2">
        <v>92</v>
      </c>
      <c r="G7658" s="2">
        <v>92</v>
      </c>
    </row>
    <row r="7659" spans="1:7" x14ac:dyDescent="0.3">
      <c r="A7659" t="s">
        <v>2453</v>
      </c>
      <c r="B7659" t="s">
        <v>320</v>
      </c>
      <c r="C7659" t="s">
        <v>414</v>
      </c>
      <c r="D7659">
        <v>2019</v>
      </c>
      <c r="E7659" s="2">
        <v>2</v>
      </c>
      <c r="F7659" s="2">
        <v>116</v>
      </c>
      <c r="G7659" s="2">
        <v>116</v>
      </c>
    </row>
    <row r="7660" spans="1:7" x14ac:dyDescent="0.3">
      <c r="A7660" t="s">
        <v>2453</v>
      </c>
      <c r="B7660" t="s">
        <v>841</v>
      </c>
      <c r="C7660" t="s">
        <v>169</v>
      </c>
      <c r="D7660">
        <v>2019</v>
      </c>
      <c r="E7660" s="2">
        <v>2</v>
      </c>
      <c r="F7660" s="2">
        <v>116</v>
      </c>
      <c r="G7660" s="2">
        <v>116</v>
      </c>
    </row>
    <row r="7661" spans="1:7" x14ac:dyDescent="0.3">
      <c r="A7661" t="s">
        <v>2454</v>
      </c>
      <c r="B7661" t="s">
        <v>741</v>
      </c>
      <c r="C7661" t="s">
        <v>742</v>
      </c>
      <c r="D7661">
        <v>2016</v>
      </c>
      <c r="E7661" s="2">
        <v>15</v>
      </c>
      <c r="F7661" s="2">
        <v>2700</v>
      </c>
      <c r="G7661" s="2"/>
    </row>
    <row r="7662" spans="1:7" x14ac:dyDescent="0.3">
      <c r="A7662" t="s">
        <v>2454</v>
      </c>
      <c r="B7662" t="s">
        <v>203</v>
      </c>
      <c r="C7662" t="s">
        <v>204</v>
      </c>
      <c r="D7662">
        <v>2016</v>
      </c>
      <c r="E7662" s="2">
        <v>13.1</v>
      </c>
      <c r="F7662" s="2">
        <v>2096</v>
      </c>
      <c r="G7662" s="2"/>
    </row>
    <row r="7663" spans="1:7" x14ac:dyDescent="0.3">
      <c r="A7663" t="s">
        <v>2455</v>
      </c>
      <c r="B7663" t="s">
        <v>2456</v>
      </c>
      <c r="C7663" t="s">
        <v>1991</v>
      </c>
      <c r="D7663">
        <v>2016</v>
      </c>
      <c r="E7663" s="2">
        <v>25</v>
      </c>
      <c r="F7663" s="2">
        <v>1700</v>
      </c>
      <c r="G7663" s="2"/>
    </row>
    <row r="7664" spans="1:7" x14ac:dyDescent="0.3">
      <c r="A7664" t="s">
        <v>2455</v>
      </c>
      <c r="B7664" t="s">
        <v>1648</v>
      </c>
      <c r="C7664" t="s">
        <v>1826</v>
      </c>
      <c r="D7664">
        <v>2009</v>
      </c>
      <c r="E7664" s="2">
        <v>50</v>
      </c>
      <c r="F7664" s="2">
        <v>4350</v>
      </c>
      <c r="G7664" s="2"/>
    </row>
    <row r="7665" spans="1:7" x14ac:dyDescent="0.3">
      <c r="A7665" t="s">
        <v>2455</v>
      </c>
      <c r="B7665" t="s">
        <v>1648</v>
      </c>
      <c r="C7665" t="s">
        <v>1826</v>
      </c>
      <c r="D7665">
        <v>2011</v>
      </c>
      <c r="E7665" s="2">
        <v>100</v>
      </c>
      <c r="F7665" s="2">
        <v>9000</v>
      </c>
      <c r="G7665" s="2"/>
    </row>
    <row r="7666" spans="1:7" x14ac:dyDescent="0.3">
      <c r="A7666" t="s">
        <v>2455</v>
      </c>
      <c r="B7666" t="s">
        <v>1648</v>
      </c>
      <c r="C7666" t="s">
        <v>1826</v>
      </c>
      <c r="D7666">
        <v>2012</v>
      </c>
      <c r="E7666" s="2">
        <v>50</v>
      </c>
      <c r="F7666" s="2">
        <v>2400</v>
      </c>
      <c r="G7666" s="2"/>
    </row>
    <row r="7667" spans="1:7" x14ac:dyDescent="0.3">
      <c r="A7667" t="s">
        <v>2455</v>
      </c>
      <c r="B7667" t="s">
        <v>1648</v>
      </c>
      <c r="C7667" t="s">
        <v>1826</v>
      </c>
      <c r="D7667">
        <v>2013</v>
      </c>
      <c r="E7667" s="2">
        <v>50</v>
      </c>
      <c r="F7667" s="2">
        <v>4800</v>
      </c>
      <c r="G7667" s="2"/>
    </row>
    <row r="7668" spans="1:7" x14ac:dyDescent="0.3">
      <c r="A7668" t="s">
        <v>2455</v>
      </c>
      <c r="B7668" t="s">
        <v>1648</v>
      </c>
      <c r="C7668" t="s">
        <v>1826</v>
      </c>
      <c r="D7668">
        <v>2014</v>
      </c>
      <c r="E7668" s="2">
        <v>50</v>
      </c>
      <c r="F7668" s="2">
        <v>4800</v>
      </c>
      <c r="G7668" s="2"/>
    </row>
    <row r="7669" spans="1:7" x14ac:dyDescent="0.3">
      <c r="A7669" t="s">
        <v>2455</v>
      </c>
      <c r="B7669" t="s">
        <v>1648</v>
      </c>
      <c r="C7669" t="s">
        <v>1826</v>
      </c>
      <c r="D7669">
        <v>2015</v>
      </c>
      <c r="E7669" s="2">
        <v>25</v>
      </c>
      <c r="F7669" s="2">
        <v>2400</v>
      </c>
      <c r="G7669" s="2"/>
    </row>
    <row r="7670" spans="1:7" x14ac:dyDescent="0.3">
      <c r="A7670" t="s">
        <v>2455</v>
      </c>
      <c r="B7670" t="s">
        <v>1648</v>
      </c>
      <c r="C7670" t="s">
        <v>1826</v>
      </c>
      <c r="D7670">
        <v>2017</v>
      </c>
      <c r="E7670" s="2">
        <v>100</v>
      </c>
      <c r="F7670" s="2">
        <v>9600</v>
      </c>
      <c r="G7670" s="2"/>
    </row>
    <row r="7671" spans="1:7" x14ac:dyDescent="0.3">
      <c r="A7671" t="s">
        <v>2455</v>
      </c>
      <c r="B7671" t="s">
        <v>1648</v>
      </c>
      <c r="C7671" t="s">
        <v>1826</v>
      </c>
      <c r="D7671">
        <v>2018</v>
      </c>
      <c r="E7671" s="2">
        <v>25</v>
      </c>
      <c r="F7671" s="2">
        <v>2500</v>
      </c>
      <c r="G7671" s="2">
        <v>2625</v>
      </c>
    </row>
    <row r="7672" spans="1:7" x14ac:dyDescent="0.3">
      <c r="A7672" t="s">
        <v>2455</v>
      </c>
      <c r="B7672" t="s">
        <v>1648</v>
      </c>
      <c r="C7672" t="s">
        <v>1826</v>
      </c>
      <c r="D7672">
        <v>2019</v>
      </c>
      <c r="E7672" s="2">
        <v>50</v>
      </c>
      <c r="F7672" s="2">
        <v>4950</v>
      </c>
      <c r="G7672" s="2">
        <v>5197.5</v>
      </c>
    </row>
    <row r="7673" spans="1:7" x14ac:dyDescent="0.3">
      <c r="A7673" t="s">
        <v>2455</v>
      </c>
      <c r="B7673" t="s">
        <v>1097</v>
      </c>
      <c r="C7673" t="s">
        <v>1098</v>
      </c>
      <c r="D7673">
        <v>2020</v>
      </c>
      <c r="E7673" s="2">
        <v>25</v>
      </c>
      <c r="F7673" s="2">
        <v>2475</v>
      </c>
      <c r="G7673" s="2">
        <v>2598.75</v>
      </c>
    </row>
    <row r="7674" spans="1:7" x14ac:dyDescent="0.3">
      <c r="A7674" t="s">
        <v>2455</v>
      </c>
      <c r="B7674" t="s">
        <v>184</v>
      </c>
      <c r="C7674" t="s">
        <v>185</v>
      </c>
      <c r="D7674">
        <v>2009</v>
      </c>
      <c r="E7674" s="2">
        <v>100</v>
      </c>
      <c r="F7674" s="2">
        <v>3404</v>
      </c>
      <c r="G7674" s="2"/>
    </row>
    <row r="7675" spans="1:7" x14ac:dyDescent="0.3">
      <c r="A7675" t="s">
        <v>2455</v>
      </c>
      <c r="B7675" t="s">
        <v>184</v>
      </c>
      <c r="C7675" t="s">
        <v>2457</v>
      </c>
      <c r="D7675">
        <v>2009</v>
      </c>
      <c r="E7675" s="2">
        <v>50</v>
      </c>
      <c r="F7675" s="2">
        <v>1700</v>
      </c>
      <c r="G7675" s="2"/>
    </row>
    <row r="7676" spans="1:7" x14ac:dyDescent="0.3">
      <c r="A7676" t="s">
        <v>2455</v>
      </c>
      <c r="B7676" t="s">
        <v>184</v>
      </c>
      <c r="C7676" t="s">
        <v>2457</v>
      </c>
      <c r="D7676">
        <v>2010</v>
      </c>
      <c r="E7676" s="2">
        <v>100</v>
      </c>
      <c r="F7676" s="2">
        <v>3400</v>
      </c>
      <c r="G7676" s="2"/>
    </row>
    <row r="7677" spans="1:7" x14ac:dyDescent="0.3">
      <c r="A7677" t="s">
        <v>2455</v>
      </c>
      <c r="B7677" t="s">
        <v>184</v>
      </c>
      <c r="C7677" t="s">
        <v>2457</v>
      </c>
      <c r="D7677">
        <v>2012</v>
      </c>
      <c r="E7677" s="2">
        <v>50</v>
      </c>
      <c r="F7677" s="2">
        <v>2500</v>
      </c>
      <c r="G7677" s="2"/>
    </row>
    <row r="7678" spans="1:7" x14ac:dyDescent="0.3">
      <c r="A7678" t="s">
        <v>2455</v>
      </c>
      <c r="B7678" t="s">
        <v>184</v>
      </c>
      <c r="C7678" t="s">
        <v>185</v>
      </c>
      <c r="D7678">
        <v>2018</v>
      </c>
      <c r="E7678" s="2">
        <v>100</v>
      </c>
      <c r="F7678" s="2">
        <v>5200</v>
      </c>
      <c r="G7678" s="2">
        <v>5460</v>
      </c>
    </row>
    <row r="7679" spans="1:7" x14ac:dyDescent="0.3">
      <c r="A7679" t="s">
        <v>2455</v>
      </c>
      <c r="B7679" t="s">
        <v>184</v>
      </c>
      <c r="C7679" t="s">
        <v>185</v>
      </c>
      <c r="D7679">
        <v>2019</v>
      </c>
      <c r="E7679" s="2">
        <v>10</v>
      </c>
      <c r="F7679" s="2">
        <v>520</v>
      </c>
      <c r="G7679" s="2">
        <v>546</v>
      </c>
    </row>
    <row r="7680" spans="1:7" x14ac:dyDescent="0.3">
      <c r="A7680" t="s">
        <v>2455</v>
      </c>
      <c r="B7680" t="s">
        <v>686</v>
      </c>
      <c r="C7680" t="s">
        <v>866</v>
      </c>
      <c r="D7680">
        <v>2019</v>
      </c>
      <c r="E7680" s="2">
        <v>50</v>
      </c>
      <c r="F7680" s="2">
        <v>3000</v>
      </c>
      <c r="G7680" s="2">
        <v>3150</v>
      </c>
    </row>
    <row r="7681" spans="1:7" x14ac:dyDescent="0.3">
      <c r="A7681" t="s">
        <v>2455</v>
      </c>
      <c r="B7681" t="s">
        <v>686</v>
      </c>
      <c r="C7681" t="s">
        <v>687</v>
      </c>
      <c r="D7681">
        <v>2019</v>
      </c>
      <c r="E7681" s="2">
        <v>65</v>
      </c>
      <c r="F7681" s="2">
        <v>3380</v>
      </c>
      <c r="G7681" s="2">
        <v>3549</v>
      </c>
    </row>
    <row r="7682" spans="1:7" x14ac:dyDescent="0.3">
      <c r="A7682" t="s">
        <v>2455</v>
      </c>
      <c r="B7682" t="s">
        <v>41</v>
      </c>
      <c r="C7682" t="s">
        <v>530</v>
      </c>
      <c r="D7682">
        <v>2009</v>
      </c>
      <c r="E7682" s="2">
        <v>250</v>
      </c>
      <c r="F7682" s="2">
        <v>8250</v>
      </c>
      <c r="G7682" s="2"/>
    </row>
    <row r="7683" spans="1:7" x14ac:dyDescent="0.3">
      <c r="A7683" t="s">
        <v>2455</v>
      </c>
      <c r="B7683" t="s">
        <v>41</v>
      </c>
      <c r="C7683" t="s">
        <v>530</v>
      </c>
      <c r="D7683">
        <v>2010</v>
      </c>
      <c r="E7683" s="2">
        <v>500</v>
      </c>
      <c r="F7683" s="2">
        <v>16500</v>
      </c>
      <c r="G7683" s="2"/>
    </row>
    <row r="7684" spans="1:7" x14ac:dyDescent="0.3">
      <c r="A7684" t="s">
        <v>2455</v>
      </c>
      <c r="B7684" t="s">
        <v>41</v>
      </c>
      <c r="C7684" t="s">
        <v>530</v>
      </c>
      <c r="D7684">
        <v>2011</v>
      </c>
      <c r="E7684" s="2">
        <v>400</v>
      </c>
      <c r="F7684" s="2">
        <v>15200</v>
      </c>
      <c r="G7684" s="2"/>
    </row>
    <row r="7685" spans="1:7" x14ac:dyDescent="0.3">
      <c r="A7685" t="s">
        <v>2455</v>
      </c>
      <c r="B7685" t="s">
        <v>41</v>
      </c>
      <c r="C7685" t="s">
        <v>63</v>
      </c>
      <c r="D7685">
        <v>2012</v>
      </c>
      <c r="E7685" s="2">
        <v>150</v>
      </c>
      <c r="F7685" s="2">
        <v>9200</v>
      </c>
      <c r="G7685" s="2"/>
    </row>
    <row r="7686" spans="1:7" x14ac:dyDescent="0.3">
      <c r="A7686" t="s">
        <v>2455</v>
      </c>
      <c r="B7686" t="s">
        <v>41</v>
      </c>
      <c r="C7686" t="s">
        <v>908</v>
      </c>
      <c r="D7686">
        <v>2012</v>
      </c>
      <c r="E7686" s="2">
        <v>50</v>
      </c>
      <c r="F7686" s="2">
        <v>8100</v>
      </c>
      <c r="G7686" s="2"/>
    </row>
    <row r="7687" spans="1:7" x14ac:dyDescent="0.3">
      <c r="A7687" t="s">
        <v>2455</v>
      </c>
      <c r="B7687" t="s">
        <v>41</v>
      </c>
      <c r="C7687" t="s">
        <v>63</v>
      </c>
      <c r="D7687">
        <v>2013</v>
      </c>
      <c r="E7687" s="2">
        <v>1000</v>
      </c>
      <c r="F7687" s="2">
        <v>44000</v>
      </c>
      <c r="G7687" s="2"/>
    </row>
    <row r="7688" spans="1:7" x14ac:dyDescent="0.3">
      <c r="A7688" t="s">
        <v>2455</v>
      </c>
      <c r="B7688" t="s">
        <v>41</v>
      </c>
      <c r="C7688" t="s">
        <v>63</v>
      </c>
      <c r="D7688">
        <v>2014</v>
      </c>
      <c r="E7688" s="2">
        <v>500</v>
      </c>
      <c r="F7688" s="2">
        <v>24000</v>
      </c>
      <c r="G7688" s="2"/>
    </row>
    <row r="7689" spans="1:7" x14ac:dyDescent="0.3">
      <c r="A7689" t="s">
        <v>2455</v>
      </c>
      <c r="B7689" t="s">
        <v>41</v>
      </c>
      <c r="C7689" t="s">
        <v>63</v>
      </c>
      <c r="D7689">
        <v>2016</v>
      </c>
      <c r="E7689" s="2">
        <v>200</v>
      </c>
      <c r="F7689" s="2">
        <v>8400</v>
      </c>
      <c r="G7689" s="2"/>
    </row>
    <row r="7690" spans="1:7" x14ac:dyDescent="0.3">
      <c r="A7690" t="s">
        <v>2455</v>
      </c>
      <c r="B7690" t="s">
        <v>41</v>
      </c>
      <c r="C7690" t="s">
        <v>63</v>
      </c>
      <c r="D7690">
        <v>2017</v>
      </c>
      <c r="E7690" s="2">
        <v>800</v>
      </c>
      <c r="F7690" s="2">
        <v>32000</v>
      </c>
      <c r="G7690" s="2"/>
    </row>
    <row r="7691" spans="1:7" x14ac:dyDescent="0.3">
      <c r="A7691" t="s">
        <v>2455</v>
      </c>
      <c r="B7691" t="s">
        <v>671</v>
      </c>
      <c r="C7691" t="s">
        <v>672</v>
      </c>
      <c r="D7691">
        <v>2019</v>
      </c>
      <c r="E7691" s="2">
        <v>300</v>
      </c>
      <c r="F7691" s="2">
        <v>12000</v>
      </c>
      <c r="G7691" s="2">
        <v>12600</v>
      </c>
    </row>
    <row r="7692" spans="1:7" x14ac:dyDescent="0.3">
      <c r="A7692" t="s">
        <v>2455</v>
      </c>
      <c r="B7692" t="s">
        <v>671</v>
      </c>
      <c r="C7692" t="s">
        <v>672</v>
      </c>
      <c r="D7692">
        <v>2020</v>
      </c>
      <c r="E7692" s="2">
        <v>300</v>
      </c>
      <c r="F7692" s="2">
        <v>12000</v>
      </c>
      <c r="G7692" s="2">
        <v>12600</v>
      </c>
    </row>
    <row r="7693" spans="1:7" x14ac:dyDescent="0.3">
      <c r="A7693" t="s">
        <v>2455</v>
      </c>
      <c r="B7693" t="s">
        <v>653</v>
      </c>
      <c r="C7693" t="s">
        <v>2023</v>
      </c>
      <c r="D7693">
        <v>2016</v>
      </c>
      <c r="E7693" s="2">
        <v>25</v>
      </c>
      <c r="F7693" s="2">
        <v>1950</v>
      </c>
      <c r="G7693" s="2"/>
    </row>
    <row r="7694" spans="1:7" x14ac:dyDescent="0.3">
      <c r="A7694" t="s">
        <v>2455</v>
      </c>
      <c r="B7694" t="s">
        <v>653</v>
      </c>
      <c r="C7694" t="s">
        <v>2023</v>
      </c>
      <c r="D7694">
        <v>2019</v>
      </c>
      <c r="E7694" s="2">
        <v>25</v>
      </c>
      <c r="F7694" s="2">
        <v>1875</v>
      </c>
      <c r="G7694" s="2">
        <v>1968.75</v>
      </c>
    </row>
    <row r="7695" spans="1:7" x14ac:dyDescent="0.3">
      <c r="A7695" t="s">
        <v>2455</v>
      </c>
      <c r="B7695" t="s">
        <v>575</v>
      </c>
      <c r="C7695" t="s">
        <v>673</v>
      </c>
      <c r="D7695">
        <v>2010</v>
      </c>
      <c r="E7695" s="2">
        <v>50</v>
      </c>
      <c r="F7695" s="2">
        <v>2200</v>
      </c>
      <c r="G7695" s="2"/>
    </row>
    <row r="7696" spans="1:7" x14ac:dyDescent="0.3">
      <c r="A7696" t="s">
        <v>2455</v>
      </c>
      <c r="B7696" t="s">
        <v>575</v>
      </c>
      <c r="C7696" t="s">
        <v>673</v>
      </c>
      <c r="D7696">
        <v>2013</v>
      </c>
      <c r="E7696" s="2">
        <v>100</v>
      </c>
      <c r="F7696" s="2">
        <v>6500</v>
      </c>
      <c r="G7696" s="2"/>
    </row>
    <row r="7697" spans="1:7" x14ac:dyDescent="0.3">
      <c r="A7697" t="s">
        <v>2455</v>
      </c>
      <c r="B7697" t="s">
        <v>575</v>
      </c>
      <c r="C7697" t="s">
        <v>673</v>
      </c>
      <c r="D7697">
        <v>2016</v>
      </c>
      <c r="E7697" s="2">
        <v>25</v>
      </c>
      <c r="F7697" s="2">
        <v>1500</v>
      </c>
      <c r="G7697" s="2"/>
    </row>
    <row r="7698" spans="1:7" x14ac:dyDescent="0.3">
      <c r="A7698" t="s">
        <v>2455</v>
      </c>
      <c r="B7698" t="s">
        <v>575</v>
      </c>
      <c r="C7698" t="s">
        <v>673</v>
      </c>
      <c r="D7698">
        <v>2017</v>
      </c>
      <c r="E7698" s="2">
        <v>25</v>
      </c>
      <c r="F7698" s="2">
        <v>1450</v>
      </c>
      <c r="G7698" s="2"/>
    </row>
    <row r="7699" spans="1:7" x14ac:dyDescent="0.3">
      <c r="A7699" t="s">
        <v>2455</v>
      </c>
      <c r="B7699" t="s">
        <v>518</v>
      </c>
      <c r="C7699" t="s">
        <v>519</v>
      </c>
      <c r="D7699">
        <v>2018</v>
      </c>
      <c r="E7699" s="2">
        <v>25</v>
      </c>
      <c r="F7699" s="2">
        <v>1450</v>
      </c>
      <c r="G7699" s="2">
        <v>1522.5</v>
      </c>
    </row>
    <row r="7700" spans="1:7" x14ac:dyDescent="0.3">
      <c r="A7700" t="s">
        <v>2455</v>
      </c>
      <c r="B7700" t="s">
        <v>518</v>
      </c>
      <c r="C7700" t="s">
        <v>519</v>
      </c>
      <c r="D7700">
        <v>2019</v>
      </c>
      <c r="E7700" s="2">
        <v>25</v>
      </c>
      <c r="F7700" s="2">
        <v>1450</v>
      </c>
      <c r="G7700" s="2">
        <v>1522.5</v>
      </c>
    </row>
    <row r="7701" spans="1:7" x14ac:dyDescent="0.3">
      <c r="A7701" t="s">
        <v>2455</v>
      </c>
      <c r="B7701" t="s">
        <v>1449</v>
      </c>
      <c r="C7701" t="s">
        <v>1012</v>
      </c>
      <c r="D7701">
        <v>2011</v>
      </c>
      <c r="E7701" s="2">
        <v>50</v>
      </c>
      <c r="F7701" s="2">
        <v>3100</v>
      </c>
      <c r="G7701" s="2"/>
    </row>
    <row r="7702" spans="1:7" x14ac:dyDescent="0.3">
      <c r="A7702" t="s">
        <v>2455</v>
      </c>
      <c r="B7702" t="s">
        <v>1449</v>
      </c>
      <c r="C7702" t="s">
        <v>1012</v>
      </c>
      <c r="D7702">
        <v>2012</v>
      </c>
      <c r="E7702" s="2">
        <v>50</v>
      </c>
      <c r="F7702" s="2">
        <v>3300</v>
      </c>
      <c r="G7702" s="2"/>
    </row>
    <row r="7703" spans="1:7" x14ac:dyDescent="0.3">
      <c r="A7703" t="s">
        <v>2455</v>
      </c>
      <c r="B7703" t="s">
        <v>1449</v>
      </c>
      <c r="C7703" t="s">
        <v>1012</v>
      </c>
      <c r="D7703">
        <v>2013</v>
      </c>
      <c r="E7703" s="2">
        <v>100</v>
      </c>
      <c r="F7703" s="2">
        <v>6600</v>
      </c>
      <c r="G7703" s="2"/>
    </row>
    <row r="7704" spans="1:7" x14ac:dyDescent="0.3">
      <c r="A7704" t="s">
        <v>2455</v>
      </c>
      <c r="B7704" t="s">
        <v>1449</v>
      </c>
      <c r="C7704" t="s">
        <v>1012</v>
      </c>
      <c r="D7704">
        <v>2014</v>
      </c>
      <c r="E7704" s="2">
        <v>50</v>
      </c>
      <c r="F7704" s="2">
        <v>3300</v>
      </c>
      <c r="G7704" s="2"/>
    </row>
    <row r="7705" spans="1:7" x14ac:dyDescent="0.3">
      <c r="A7705" t="s">
        <v>2455</v>
      </c>
      <c r="B7705" t="s">
        <v>1449</v>
      </c>
      <c r="C7705" t="s">
        <v>1012</v>
      </c>
      <c r="D7705">
        <v>2015</v>
      </c>
      <c r="E7705" s="2">
        <v>50</v>
      </c>
      <c r="F7705" s="2">
        <v>3300</v>
      </c>
      <c r="G7705" s="2"/>
    </row>
    <row r="7706" spans="1:7" x14ac:dyDescent="0.3">
      <c r="A7706" t="s">
        <v>2455</v>
      </c>
      <c r="B7706" t="s">
        <v>1449</v>
      </c>
      <c r="C7706" t="s">
        <v>1012</v>
      </c>
      <c r="D7706">
        <v>2016</v>
      </c>
      <c r="E7706" s="2">
        <v>25</v>
      </c>
      <c r="F7706" s="2">
        <v>1650</v>
      </c>
      <c r="G7706" s="2"/>
    </row>
    <row r="7707" spans="1:7" x14ac:dyDescent="0.3">
      <c r="A7707" t="s">
        <v>2455</v>
      </c>
      <c r="B7707" t="s">
        <v>1449</v>
      </c>
      <c r="C7707" t="s">
        <v>1012</v>
      </c>
      <c r="D7707">
        <v>2018</v>
      </c>
      <c r="E7707" s="2">
        <v>50</v>
      </c>
      <c r="F7707" s="2">
        <v>3100</v>
      </c>
      <c r="G7707" s="2">
        <v>3255</v>
      </c>
    </row>
    <row r="7708" spans="1:7" x14ac:dyDescent="0.3">
      <c r="A7708" t="s">
        <v>2455</v>
      </c>
      <c r="B7708" t="s">
        <v>438</v>
      </c>
      <c r="C7708" t="s">
        <v>439</v>
      </c>
      <c r="D7708">
        <v>2016</v>
      </c>
      <c r="E7708" s="2">
        <v>25</v>
      </c>
      <c r="F7708" s="2">
        <v>1650</v>
      </c>
      <c r="G7708" s="2"/>
    </row>
    <row r="7709" spans="1:7" x14ac:dyDescent="0.3">
      <c r="A7709" t="s">
        <v>2455</v>
      </c>
      <c r="B7709" t="s">
        <v>438</v>
      </c>
      <c r="C7709" t="s">
        <v>439</v>
      </c>
      <c r="D7709">
        <v>2017</v>
      </c>
      <c r="E7709" s="2">
        <v>100</v>
      </c>
      <c r="F7709" s="2">
        <v>6500</v>
      </c>
      <c r="G7709" s="2"/>
    </row>
    <row r="7710" spans="1:7" x14ac:dyDescent="0.3">
      <c r="A7710" t="s">
        <v>2455</v>
      </c>
      <c r="B7710" t="s">
        <v>438</v>
      </c>
      <c r="C7710" t="s">
        <v>439</v>
      </c>
      <c r="D7710">
        <v>2019</v>
      </c>
      <c r="E7710" s="2">
        <v>50</v>
      </c>
      <c r="F7710" s="2">
        <v>3050</v>
      </c>
      <c r="G7710" s="2">
        <v>3202.5</v>
      </c>
    </row>
    <row r="7711" spans="1:7" x14ac:dyDescent="0.3">
      <c r="A7711" t="s">
        <v>2455</v>
      </c>
      <c r="B7711" t="s">
        <v>30</v>
      </c>
      <c r="C7711" t="s">
        <v>31</v>
      </c>
      <c r="D7711">
        <v>2019</v>
      </c>
      <c r="E7711" s="2">
        <v>25</v>
      </c>
      <c r="F7711" s="2">
        <v>1700</v>
      </c>
      <c r="G7711" s="2">
        <v>1785</v>
      </c>
    </row>
    <row r="7712" spans="1:7" x14ac:dyDescent="0.3">
      <c r="A7712" t="s">
        <v>2455</v>
      </c>
      <c r="B7712" t="s">
        <v>334</v>
      </c>
      <c r="C7712" t="s">
        <v>335</v>
      </c>
      <c r="D7712">
        <v>2016</v>
      </c>
      <c r="E7712" s="2">
        <v>25</v>
      </c>
      <c r="F7712" s="2">
        <v>1700</v>
      </c>
      <c r="G7712" s="2"/>
    </row>
    <row r="7713" spans="1:7" x14ac:dyDescent="0.3">
      <c r="A7713" t="s">
        <v>2455</v>
      </c>
      <c r="B7713" t="s">
        <v>483</v>
      </c>
      <c r="C7713" t="s">
        <v>484</v>
      </c>
      <c r="D7713">
        <v>2019</v>
      </c>
      <c r="E7713" s="2">
        <v>25</v>
      </c>
      <c r="F7713" s="2">
        <v>1450</v>
      </c>
      <c r="G7713" s="2">
        <v>1522.5</v>
      </c>
    </row>
    <row r="7714" spans="1:7" x14ac:dyDescent="0.3">
      <c r="A7714" t="s">
        <v>2455</v>
      </c>
      <c r="B7714" t="s">
        <v>2458</v>
      </c>
      <c r="C7714" t="s">
        <v>47</v>
      </c>
      <c r="D7714">
        <v>2016</v>
      </c>
      <c r="E7714" s="2">
        <v>25</v>
      </c>
      <c r="F7714" s="2">
        <v>1450</v>
      </c>
      <c r="G7714" s="2"/>
    </row>
    <row r="7715" spans="1:7" x14ac:dyDescent="0.3">
      <c r="A7715" t="s">
        <v>2455</v>
      </c>
      <c r="B7715" t="s">
        <v>1951</v>
      </c>
      <c r="C7715" t="s">
        <v>1759</v>
      </c>
      <c r="D7715">
        <v>2019</v>
      </c>
      <c r="E7715" s="2">
        <v>25</v>
      </c>
      <c r="F7715" s="2">
        <v>1600</v>
      </c>
      <c r="G7715" s="2">
        <v>1680</v>
      </c>
    </row>
    <row r="7716" spans="1:7" x14ac:dyDescent="0.3">
      <c r="A7716" t="s">
        <v>2455</v>
      </c>
      <c r="B7716" t="s">
        <v>1457</v>
      </c>
      <c r="C7716" t="s">
        <v>682</v>
      </c>
      <c r="D7716">
        <v>2009</v>
      </c>
      <c r="E7716" s="2">
        <v>100</v>
      </c>
      <c r="F7716" s="2">
        <v>4968</v>
      </c>
      <c r="G7716" s="2"/>
    </row>
    <row r="7717" spans="1:7" x14ac:dyDescent="0.3">
      <c r="A7717" t="s">
        <v>2455</v>
      </c>
      <c r="B7717" t="s">
        <v>1457</v>
      </c>
      <c r="C7717" t="s">
        <v>682</v>
      </c>
      <c r="D7717">
        <v>2011</v>
      </c>
      <c r="E7717" s="2">
        <v>175</v>
      </c>
      <c r="F7717" s="2">
        <v>9000</v>
      </c>
      <c r="G7717" s="2"/>
    </row>
    <row r="7718" spans="1:7" x14ac:dyDescent="0.3">
      <c r="A7718" t="s">
        <v>2455</v>
      </c>
      <c r="B7718" t="s">
        <v>1457</v>
      </c>
      <c r="C7718" t="s">
        <v>682</v>
      </c>
      <c r="D7718">
        <v>2012</v>
      </c>
      <c r="E7718" s="2">
        <v>50</v>
      </c>
      <c r="F7718" s="2">
        <v>2800</v>
      </c>
      <c r="G7718" s="2"/>
    </row>
    <row r="7719" spans="1:7" x14ac:dyDescent="0.3">
      <c r="A7719" t="s">
        <v>2455</v>
      </c>
      <c r="B7719" t="s">
        <v>1457</v>
      </c>
      <c r="C7719" t="s">
        <v>682</v>
      </c>
      <c r="D7719">
        <v>2013</v>
      </c>
      <c r="E7719" s="2">
        <v>100</v>
      </c>
      <c r="F7719" s="2">
        <v>6200</v>
      </c>
      <c r="G7719" s="2"/>
    </row>
    <row r="7720" spans="1:7" x14ac:dyDescent="0.3">
      <c r="A7720" t="s">
        <v>2455</v>
      </c>
      <c r="B7720" t="s">
        <v>1457</v>
      </c>
      <c r="C7720" t="s">
        <v>682</v>
      </c>
      <c r="D7720">
        <v>2014</v>
      </c>
      <c r="E7720" s="2">
        <v>50</v>
      </c>
      <c r="F7720" s="2">
        <v>3100</v>
      </c>
      <c r="G7720" s="2"/>
    </row>
    <row r="7721" spans="1:7" x14ac:dyDescent="0.3">
      <c r="A7721" t="s">
        <v>2455</v>
      </c>
      <c r="B7721" t="s">
        <v>1457</v>
      </c>
      <c r="C7721" t="s">
        <v>682</v>
      </c>
      <c r="D7721">
        <v>2015</v>
      </c>
      <c r="E7721" s="2">
        <v>75</v>
      </c>
      <c r="F7721" s="2">
        <v>4650</v>
      </c>
      <c r="G7721" s="2"/>
    </row>
    <row r="7722" spans="1:7" x14ac:dyDescent="0.3">
      <c r="A7722" t="s">
        <v>2455</v>
      </c>
      <c r="B7722" t="s">
        <v>1457</v>
      </c>
      <c r="C7722" t="s">
        <v>682</v>
      </c>
      <c r="D7722">
        <v>2016</v>
      </c>
      <c r="E7722" s="2">
        <v>75</v>
      </c>
      <c r="F7722" s="2">
        <v>4650</v>
      </c>
      <c r="G7722" s="2"/>
    </row>
    <row r="7723" spans="1:7" x14ac:dyDescent="0.3">
      <c r="A7723" t="s">
        <v>2455</v>
      </c>
      <c r="B7723" t="s">
        <v>1457</v>
      </c>
      <c r="C7723" t="s">
        <v>682</v>
      </c>
      <c r="D7723">
        <v>2017</v>
      </c>
      <c r="E7723" s="2">
        <v>95</v>
      </c>
      <c r="F7723" s="2">
        <v>5700</v>
      </c>
      <c r="G7723" s="2"/>
    </row>
    <row r="7724" spans="1:7" x14ac:dyDescent="0.3">
      <c r="A7724" t="s">
        <v>2455</v>
      </c>
      <c r="B7724" t="s">
        <v>1457</v>
      </c>
      <c r="C7724" t="s">
        <v>682</v>
      </c>
      <c r="D7724">
        <v>2018</v>
      </c>
      <c r="E7724" s="2">
        <v>25</v>
      </c>
      <c r="F7724" s="2">
        <v>1625</v>
      </c>
      <c r="G7724" s="2">
        <v>1706.25</v>
      </c>
    </row>
    <row r="7725" spans="1:7" x14ac:dyDescent="0.3">
      <c r="A7725" t="s">
        <v>2455</v>
      </c>
      <c r="B7725" t="s">
        <v>1457</v>
      </c>
      <c r="C7725" t="s">
        <v>682</v>
      </c>
      <c r="D7725">
        <v>2019</v>
      </c>
      <c r="E7725" s="2">
        <v>75</v>
      </c>
      <c r="F7725" s="2">
        <v>4800</v>
      </c>
      <c r="G7725" s="2">
        <v>5040</v>
      </c>
    </row>
    <row r="7726" spans="1:7" x14ac:dyDescent="0.3">
      <c r="A7726" t="s">
        <v>2455</v>
      </c>
      <c r="B7726" t="s">
        <v>1457</v>
      </c>
      <c r="C7726" t="s">
        <v>682</v>
      </c>
      <c r="D7726">
        <v>2020</v>
      </c>
      <c r="E7726" s="2">
        <v>25</v>
      </c>
      <c r="F7726" s="2">
        <v>1600</v>
      </c>
      <c r="G7726" s="2">
        <v>1680</v>
      </c>
    </row>
    <row r="7727" spans="1:7" x14ac:dyDescent="0.3">
      <c r="A7727" t="s">
        <v>2459</v>
      </c>
      <c r="B7727" t="s">
        <v>2460</v>
      </c>
      <c r="D7727">
        <v>2020</v>
      </c>
      <c r="E7727" s="2">
        <v>10</v>
      </c>
      <c r="F7727" s="2">
        <v>2800</v>
      </c>
      <c r="G7727" s="2">
        <v>2940</v>
      </c>
    </row>
    <row r="7728" spans="1:7" x14ac:dyDescent="0.3">
      <c r="A7728" t="s">
        <v>2459</v>
      </c>
      <c r="B7728" t="s">
        <v>599</v>
      </c>
      <c r="C7728" t="s">
        <v>413</v>
      </c>
      <c r="D7728">
        <v>2020</v>
      </c>
      <c r="E7728" s="2">
        <v>10</v>
      </c>
      <c r="F7728" s="2">
        <v>2350</v>
      </c>
      <c r="G7728" s="2">
        <v>2467.5</v>
      </c>
    </row>
    <row r="7729" spans="1:7" x14ac:dyDescent="0.3">
      <c r="A7729" t="s">
        <v>2461</v>
      </c>
      <c r="B7729" t="s">
        <v>1214</v>
      </c>
      <c r="C7729" t="s">
        <v>1215</v>
      </c>
      <c r="D7729">
        <v>2016</v>
      </c>
      <c r="E7729" s="2">
        <v>25</v>
      </c>
      <c r="F7729" s="2">
        <v>1750</v>
      </c>
      <c r="G7729" s="2"/>
    </row>
    <row r="7730" spans="1:7" x14ac:dyDescent="0.3">
      <c r="A7730" t="s">
        <v>2461</v>
      </c>
      <c r="B7730" t="s">
        <v>24</v>
      </c>
      <c r="C7730" t="s">
        <v>25</v>
      </c>
      <c r="D7730">
        <v>2016</v>
      </c>
      <c r="E7730" s="2">
        <v>225</v>
      </c>
      <c r="F7730" s="2">
        <v>21375</v>
      </c>
      <c r="G7730" s="2"/>
    </row>
    <row r="7731" spans="1:7" x14ac:dyDescent="0.3">
      <c r="A7731" t="s">
        <v>2461</v>
      </c>
      <c r="B7731" t="s">
        <v>26</v>
      </c>
      <c r="C7731" t="s">
        <v>27</v>
      </c>
      <c r="D7731">
        <v>2015</v>
      </c>
      <c r="E7731" s="2">
        <v>75</v>
      </c>
      <c r="F7731" s="2">
        <v>5250</v>
      </c>
      <c r="G7731" s="2"/>
    </row>
    <row r="7732" spans="1:7" x14ac:dyDescent="0.3">
      <c r="A7732" t="s">
        <v>2461</v>
      </c>
      <c r="B7732" t="s">
        <v>26</v>
      </c>
      <c r="C7732" t="s">
        <v>27</v>
      </c>
      <c r="D7732">
        <v>2016</v>
      </c>
      <c r="E7732" s="2">
        <v>175</v>
      </c>
      <c r="F7732" s="2">
        <v>16000</v>
      </c>
      <c r="G7732" s="2"/>
    </row>
    <row r="7733" spans="1:7" x14ac:dyDescent="0.3">
      <c r="A7733" t="s">
        <v>2461</v>
      </c>
      <c r="B7733" t="s">
        <v>26</v>
      </c>
      <c r="C7733" t="s">
        <v>27</v>
      </c>
      <c r="D7733">
        <v>2019</v>
      </c>
      <c r="E7733" s="2">
        <v>750</v>
      </c>
      <c r="F7733" s="2">
        <v>35000</v>
      </c>
      <c r="G7733" s="2">
        <v>36750</v>
      </c>
    </row>
    <row r="7734" spans="1:7" x14ac:dyDescent="0.3">
      <c r="A7734" t="s">
        <v>2461</v>
      </c>
      <c r="B7734" t="s">
        <v>29</v>
      </c>
      <c r="D7734">
        <v>2016</v>
      </c>
      <c r="E7734" s="2">
        <v>4</v>
      </c>
      <c r="F7734" s="2">
        <v>2160</v>
      </c>
      <c r="G7734" s="2"/>
    </row>
    <row r="7735" spans="1:7" x14ac:dyDescent="0.3">
      <c r="A7735" t="s">
        <v>2461</v>
      </c>
      <c r="B7735" t="s">
        <v>29</v>
      </c>
      <c r="D7735">
        <v>2018</v>
      </c>
      <c r="E7735" s="2">
        <v>1</v>
      </c>
      <c r="F7735" s="2">
        <v>380</v>
      </c>
      <c r="G7735" s="2">
        <v>399</v>
      </c>
    </row>
    <row r="7736" spans="1:7" x14ac:dyDescent="0.3">
      <c r="A7736" t="s">
        <v>2461</v>
      </c>
      <c r="B7736" t="s">
        <v>2089</v>
      </c>
      <c r="D7736">
        <v>2016</v>
      </c>
      <c r="E7736" s="2">
        <v>3</v>
      </c>
      <c r="F7736" s="2">
        <v>1560</v>
      </c>
      <c r="G7736" s="2"/>
    </row>
    <row r="7737" spans="1:7" x14ac:dyDescent="0.3">
      <c r="A7737" t="s">
        <v>2461</v>
      </c>
      <c r="B7737" t="s">
        <v>761</v>
      </c>
      <c r="D7737">
        <v>2015</v>
      </c>
      <c r="E7737" s="2">
        <v>40</v>
      </c>
      <c r="F7737" s="2">
        <v>19900</v>
      </c>
      <c r="G7737" s="2"/>
    </row>
    <row r="7738" spans="1:7" x14ac:dyDescent="0.3">
      <c r="A7738" t="s">
        <v>2461</v>
      </c>
      <c r="B7738" t="s">
        <v>761</v>
      </c>
      <c r="D7738">
        <v>2016</v>
      </c>
      <c r="E7738" s="2">
        <v>19</v>
      </c>
      <c r="F7738" s="2">
        <v>9500</v>
      </c>
      <c r="G7738" s="2"/>
    </row>
    <row r="7739" spans="1:7" x14ac:dyDescent="0.3">
      <c r="A7739" t="s">
        <v>2461</v>
      </c>
      <c r="B7739" t="s">
        <v>761</v>
      </c>
      <c r="D7739">
        <v>2018</v>
      </c>
      <c r="E7739" s="2">
        <v>10</v>
      </c>
      <c r="F7739" s="2">
        <v>4550</v>
      </c>
      <c r="G7739" s="2">
        <v>4777.5</v>
      </c>
    </row>
    <row r="7740" spans="1:7" x14ac:dyDescent="0.3">
      <c r="A7740" t="s">
        <v>2461</v>
      </c>
      <c r="B7740" t="s">
        <v>297</v>
      </c>
      <c r="C7740" t="s">
        <v>298</v>
      </c>
      <c r="D7740">
        <v>2017</v>
      </c>
      <c r="E7740" s="2">
        <v>575</v>
      </c>
      <c r="F7740" s="2">
        <v>28750</v>
      </c>
      <c r="G7740" s="2"/>
    </row>
    <row r="7741" spans="1:7" x14ac:dyDescent="0.3">
      <c r="A7741" t="s">
        <v>2461</v>
      </c>
      <c r="B7741" t="s">
        <v>297</v>
      </c>
      <c r="C7741" t="s">
        <v>298</v>
      </c>
      <c r="D7741">
        <v>2018</v>
      </c>
      <c r="E7741" s="2">
        <v>25</v>
      </c>
      <c r="F7741" s="2">
        <v>1250</v>
      </c>
      <c r="G7741" s="2">
        <v>1312.5</v>
      </c>
    </row>
    <row r="7742" spans="1:7" x14ac:dyDescent="0.3">
      <c r="A7742" t="s">
        <v>2461</v>
      </c>
      <c r="B7742" t="s">
        <v>41</v>
      </c>
      <c r="C7742" t="s">
        <v>42</v>
      </c>
      <c r="D7742">
        <v>2015</v>
      </c>
      <c r="E7742" s="2">
        <v>25</v>
      </c>
      <c r="F7742" s="2">
        <v>1750</v>
      </c>
      <c r="G7742" s="2"/>
    </row>
    <row r="7743" spans="1:7" x14ac:dyDescent="0.3">
      <c r="A7743" t="s">
        <v>2461</v>
      </c>
      <c r="B7743" t="s">
        <v>741</v>
      </c>
      <c r="C7743" t="s">
        <v>742</v>
      </c>
      <c r="D7743">
        <v>2015</v>
      </c>
      <c r="E7743" s="2">
        <v>25</v>
      </c>
      <c r="F7743" s="2">
        <v>1750</v>
      </c>
      <c r="G7743" s="2"/>
    </row>
    <row r="7744" spans="1:7" x14ac:dyDescent="0.3">
      <c r="A7744" t="s">
        <v>2461</v>
      </c>
      <c r="B7744" t="s">
        <v>1967</v>
      </c>
      <c r="D7744">
        <v>2015</v>
      </c>
      <c r="E7744" s="2">
        <v>5</v>
      </c>
      <c r="F7744" s="2">
        <v>1650</v>
      </c>
      <c r="G7744" s="2"/>
    </row>
    <row r="7745" spans="1:7" x14ac:dyDescent="0.3">
      <c r="A7745" t="s">
        <v>2461</v>
      </c>
      <c r="B7745" t="s">
        <v>1815</v>
      </c>
      <c r="C7745" t="s">
        <v>1223</v>
      </c>
      <c r="D7745">
        <v>2016</v>
      </c>
      <c r="E7745" s="2">
        <v>25</v>
      </c>
      <c r="F7745" s="2">
        <v>2375</v>
      </c>
      <c r="G7745" s="2"/>
    </row>
    <row r="7746" spans="1:7" x14ac:dyDescent="0.3">
      <c r="A7746" t="s">
        <v>2461</v>
      </c>
      <c r="B7746" t="s">
        <v>438</v>
      </c>
      <c r="C7746" t="s">
        <v>439</v>
      </c>
      <c r="D7746">
        <v>2017</v>
      </c>
      <c r="E7746" s="2">
        <v>50</v>
      </c>
      <c r="F7746" s="2">
        <v>2500</v>
      </c>
      <c r="G7746" s="2"/>
    </row>
    <row r="7747" spans="1:7" x14ac:dyDescent="0.3">
      <c r="A7747" t="s">
        <v>2461</v>
      </c>
      <c r="B7747" t="s">
        <v>30</v>
      </c>
      <c r="C7747" t="s">
        <v>31</v>
      </c>
      <c r="D7747">
        <v>2016</v>
      </c>
      <c r="E7747" s="2">
        <v>50</v>
      </c>
      <c r="F7747" s="2">
        <v>3500</v>
      </c>
      <c r="G7747" s="2"/>
    </row>
    <row r="7748" spans="1:7" x14ac:dyDescent="0.3">
      <c r="A7748" t="s">
        <v>2461</v>
      </c>
      <c r="B7748" t="s">
        <v>30</v>
      </c>
      <c r="C7748" t="s">
        <v>31</v>
      </c>
      <c r="D7748">
        <v>2017</v>
      </c>
      <c r="E7748" s="2">
        <v>25</v>
      </c>
      <c r="F7748" s="2">
        <v>2375</v>
      </c>
      <c r="G7748" s="2"/>
    </row>
    <row r="7749" spans="1:7" x14ac:dyDescent="0.3">
      <c r="A7749" t="s">
        <v>2461</v>
      </c>
      <c r="B7749" t="s">
        <v>334</v>
      </c>
      <c r="C7749" t="s">
        <v>335</v>
      </c>
      <c r="D7749">
        <v>2017</v>
      </c>
      <c r="E7749" s="2">
        <v>25</v>
      </c>
      <c r="F7749" s="2">
        <v>2375</v>
      </c>
      <c r="G7749" s="2"/>
    </row>
    <row r="7750" spans="1:7" x14ac:dyDescent="0.3">
      <c r="A7750" t="s">
        <v>2461</v>
      </c>
      <c r="B7750" t="s">
        <v>45</v>
      </c>
      <c r="D7750">
        <v>2015</v>
      </c>
      <c r="E7750" s="2">
        <v>2</v>
      </c>
      <c r="F7750" s="2">
        <v>260</v>
      </c>
      <c r="G7750" s="2"/>
    </row>
    <row r="7751" spans="1:7" x14ac:dyDescent="0.3">
      <c r="A7751" t="s">
        <v>2461</v>
      </c>
      <c r="B7751" t="s">
        <v>45</v>
      </c>
      <c r="D7751">
        <v>2019</v>
      </c>
      <c r="E7751" s="2">
        <v>20</v>
      </c>
      <c r="F7751" s="2">
        <v>1900</v>
      </c>
      <c r="G7751" s="2">
        <v>1995</v>
      </c>
    </row>
    <row r="7752" spans="1:7" x14ac:dyDescent="0.3">
      <c r="A7752" t="s">
        <v>2461</v>
      </c>
      <c r="B7752" t="s">
        <v>32</v>
      </c>
      <c r="D7752">
        <v>2015</v>
      </c>
      <c r="E7752" s="2">
        <v>40</v>
      </c>
      <c r="F7752" s="2">
        <v>3560</v>
      </c>
      <c r="G7752" s="2"/>
    </row>
    <row r="7753" spans="1:7" x14ac:dyDescent="0.3">
      <c r="A7753" t="s">
        <v>2461</v>
      </c>
      <c r="B7753" t="s">
        <v>32</v>
      </c>
      <c r="D7753">
        <v>2016</v>
      </c>
      <c r="E7753" s="2">
        <v>100</v>
      </c>
      <c r="F7753" s="2">
        <v>8800</v>
      </c>
      <c r="G7753" s="2"/>
    </row>
    <row r="7754" spans="1:7" x14ac:dyDescent="0.3">
      <c r="A7754" t="s">
        <v>2461</v>
      </c>
      <c r="B7754" t="s">
        <v>32</v>
      </c>
      <c r="D7754">
        <v>2017</v>
      </c>
      <c r="E7754" s="2">
        <v>100</v>
      </c>
      <c r="F7754" s="2">
        <v>8800</v>
      </c>
      <c r="G7754" s="2"/>
    </row>
    <row r="7755" spans="1:7" x14ac:dyDescent="0.3">
      <c r="A7755" t="s">
        <v>2461</v>
      </c>
      <c r="B7755" t="s">
        <v>32</v>
      </c>
      <c r="D7755">
        <v>2019</v>
      </c>
      <c r="E7755" s="2">
        <v>21</v>
      </c>
      <c r="F7755" s="2">
        <v>1470</v>
      </c>
      <c r="G7755" s="2">
        <v>1543.5</v>
      </c>
    </row>
    <row r="7756" spans="1:7" x14ac:dyDescent="0.3">
      <c r="A7756" t="s">
        <v>2461</v>
      </c>
      <c r="B7756" t="s">
        <v>32</v>
      </c>
      <c r="D7756">
        <v>2020</v>
      </c>
      <c r="E7756" s="2">
        <v>60</v>
      </c>
      <c r="F7756" s="2">
        <v>4200</v>
      </c>
      <c r="G7756" s="2">
        <v>4410</v>
      </c>
    </row>
    <row r="7757" spans="1:7" x14ac:dyDescent="0.3">
      <c r="A7757" t="s">
        <v>2461</v>
      </c>
      <c r="B7757" t="s">
        <v>46</v>
      </c>
      <c r="C7757" t="s">
        <v>47</v>
      </c>
      <c r="D7757">
        <v>2018</v>
      </c>
      <c r="E7757" s="2">
        <v>250</v>
      </c>
      <c r="F7757" s="2">
        <v>12500</v>
      </c>
      <c r="G7757" s="2">
        <v>13125</v>
      </c>
    </row>
    <row r="7758" spans="1:7" x14ac:dyDescent="0.3">
      <c r="A7758" t="s">
        <v>2462</v>
      </c>
      <c r="B7758" t="s">
        <v>46</v>
      </c>
      <c r="C7758" t="s">
        <v>47</v>
      </c>
      <c r="D7758">
        <v>2018</v>
      </c>
      <c r="E7758" s="2">
        <v>25</v>
      </c>
      <c r="F7758" s="2">
        <v>1250</v>
      </c>
      <c r="G7758" s="2">
        <v>1312.5</v>
      </c>
    </row>
    <row r="7759" spans="1:7" x14ac:dyDescent="0.3">
      <c r="A7759" t="s">
        <v>2463</v>
      </c>
      <c r="B7759" t="s">
        <v>905</v>
      </c>
      <c r="C7759" t="s">
        <v>906</v>
      </c>
      <c r="D7759">
        <v>2015</v>
      </c>
      <c r="E7759" s="2">
        <v>5</v>
      </c>
      <c r="F7759" s="2">
        <v>500</v>
      </c>
      <c r="G7759" s="2"/>
    </row>
    <row r="7760" spans="1:7" x14ac:dyDescent="0.3">
      <c r="A7760" t="s">
        <v>2463</v>
      </c>
      <c r="B7760" t="s">
        <v>528</v>
      </c>
      <c r="C7760" t="s">
        <v>529</v>
      </c>
      <c r="D7760">
        <v>2015</v>
      </c>
      <c r="E7760" s="2">
        <v>5</v>
      </c>
      <c r="F7760" s="2">
        <v>500</v>
      </c>
      <c r="G7760" s="2"/>
    </row>
    <row r="7761" spans="1:7" x14ac:dyDescent="0.3">
      <c r="A7761" t="s">
        <v>2464</v>
      </c>
      <c r="B7761" t="s">
        <v>110</v>
      </c>
      <c r="C7761" t="s">
        <v>111</v>
      </c>
      <c r="D7761">
        <v>2019</v>
      </c>
      <c r="E7761" s="2">
        <v>125</v>
      </c>
      <c r="F7761" s="2">
        <v>7530</v>
      </c>
      <c r="G7761" s="2">
        <v>7906.5</v>
      </c>
    </row>
    <row r="7762" spans="1:7" x14ac:dyDescent="0.3">
      <c r="A7762" t="s">
        <v>2465</v>
      </c>
      <c r="B7762" t="s">
        <v>2466</v>
      </c>
      <c r="D7762">
        <v>2012</v>
      </c>
      <c r="E7762" s="2">
        <v>13</v>
      </c>
      <c r="F7762" s="2">
        <v>780</v>
      </c>
      <c r="G7762" s="2"/>
    </row>
    <row r="7763" spans="1:7" x14ac:dyDescent="0.3">
      <c r="A7763" t="s">
        <v>2465</v>
      </c>
      <c r="B7763" t="s">
        <v>417</v>
      </c>
      <c r="C7763" t="s">
        <v>418</v>
      </c>
      <c r="D7763">
        <v>2012</v>
      </c>
      <c r="E7763" s="2">
        <v>50</v>
      </c>
      <c r="F7763" s="2">
        <v>3750</v>
      </c>
      <c r="G7763" s="2"/>
    </row>
    <row r="7764" spans="1:7" x14ac:dyDescent="0.3">
      <c r="A7764" t="s">
        <v>2465</v>
      </c>
      <c r="B7764" t="s">
        <v>26</v>
      </c>
      <c r="C7764" t="s">
        <v>27</v>
      </c>
      <c r="D7764">
        <v>2018</v>
      </c>
      <c r="E7764" s="2">
        <v>250</v>
      </c>
      <c r="F7764" s="2">
        <v>11250</v>
      </c>
      <c r="G7764" s="2">
        <v>11812.5</v>
      </c>
    </row>
    <row r="7765" spans="1:7" x14ac:dyDescent="0.3">
      <c r="A7765" t="s">
        <v>2465</v>
      </c>
      <c r="B7765" t="s">
        <v>761</v>
      </c>
      <c r="D7765">
        <v>2018</v>
      </c>
      <c r="E7765" s="2">
        <v>200</v>
      </c>
      <c r="F7765" s="2">
        <v>55600</v>
      </c>
      <c r="G7765" s="2">
        <v>58380</v>
      </c>
    </row>
    <row r="7766" spans="1:7" x14ac:dyDescent="0.3">
      <c r="A7766" t="s">
        <v>2465</v>
      </c>
      <c r="B7766" t="s">
        <v>242</v>
      </c>
      <c r="D7766">
        <v>2020</v>
      </c>
      <c r="E7766" s="2">
        <v>249</v>
      </c>
      <c r="F7766" s="2">
        <v>90885</v>
      </c>
      <c r="G7766" s="2">
        <v>95429.25</v>
      </c>
    </row>
    <row r="7767" spans="1:7" x14ac:dyDescent="0.3">
      <c r="A7767" t="s">
        <v>2465</v>
      </c>
      <c r="B7767" t="s">
        <v>567</v>
      </c>
      <c r="C7767" t="s">
        <v>698</v>
      </c>
      <c r="D7767">
        <v>2020</v>
      </c>
      <c r="E7767" s="2">
        <v>25</v>
      </c>
      <c r="F7767" s="2">
        <v>1575</v>
      </c>
      <c r="G7767" s="2">
        <v>1653.75</v>
      </c>
    </row>
    <row r="7768" spans="1:7" x14ac:dyDescent="0.3">
      <c r="A7768" t="s">
        <v>2465</v>
      </c>
      <c r="B7768" t="s">
        <v>41</v>
      </c>
      <c r="C7768" t="s">
        <v>530</v>
      </c>
      <c r="D7768">
        <v>2011</v>
      </c>
      <c r="E7768" s="2">
        <v>100</v>
      </c>
      <c r="F7768" s="2">
        <v>7000</v>
      </c>
      <c r="G7768" s="2"/>
    </row>
    <row r="7769" spans="1:7" x14ac:dyDescent="0.3">
      <c r="A7769" t="s">
        <v>2465</v>
      </c>
      <c r="B7769" t="s">
        <v>64</v>
      </c>
      <c r="C7769" t="s">
        <v>65</v>
      </c>
      <c r="D7769">
        <v>2021</v>
      </c>
      <c r="E7769" s="2">
        <v>400</v>
      </c>
      <c r="F7769" s="2">
        <v>20000</v>
      </c>
      <c r="G7769" s="2">
        <v>21000</v>
      </c>
    </row>
    <row r="7770" spans="1:7" x14ac:dyDescent="0.3">
      <c r="A7770" t="s">
        <v>2465</v>
      </c>
      <c r="B7770" t="s">
        <v>110</v>
      </c>
      <c r="C7770" t="s">
        <v>111</v>
      </c>
      <c r="D7770">
        <v>2018</v>
      </c>
      <c r="E7770" s="2">
        <v>25</v>
      </c>
      <c r="F7770" s="2">
        <v>1125</v>
      </c>
      <c r="G7770" s="2">
        <v>1181.25</v>
      </c>
    </row>
    <row r="7771" spans="1:7" x14ac:dyDescent="0.3">
      <c r="A7771" t="s">
        <v>2465</v>
      </c>
      <c r="B7771" t="s">
        <v>110</v>
      </c>
      <c r="C7771" t="s">
        <v>111</v>
      </c>
      <c r="D7771">
        <v>2020</v>
      </c>
      <c r="E7771" s="2">
        <v>400</v>
      </c>
      <c r="F7771" s="2">
        <v>20000</v>
      </c>
      <c r="G7771" s="2">
        <v>21000</v>
      </c>
    </row>
    <row r="7772" spans="1:7" x14ac:dyDescent="0.3">
      <c r="A7772" t="s">
        <v>2465</v>
      </c>
      <c r="B7772" t="s">
        <v>110</v>
      </c>
      <c r="C7772" t="s">
        <v>111</v>
      </c>
      <c r="D7772">
        <v>2021</v>
      </c>
      <c r="E7772" s="2">
        <v>100</v>
      </c>
      <c r="F7772" s="2">
        <v>5000</v>
      </c>
      <c r="G7772" s="2">
        <v>5250</v>
      </c>
    </row>
    <row r="7773" spans="1:7" x14ac:dyDescent="0.3">
      <c r="A7773" t="s">
        <v>2465</v>
      </c>
      <c r="B7773" t="s">
        <v>702</v>
      </c>
      <c r="C7773" t="s">
        <v>703</v>
      </c>
      <c r="D7773">
        <v>2019</v>
      </c>
      <c r="E7773" s="2">
        <v>25</v>
      </c>
      <c r="F7773" s="2">
        <v>1575</v>
      </c>
      <c r="G7773" s="2">
        <v>1653.75</v>
      </c>
    </row>
    <row r="7774" spans="1:7" x14ac:dyDescent="0.3">
      <c r="A7774" t="s">
        <v>2465</v>
      </c>
      <c r="B7774" t="s">
        <v>702</v>
      </c>
      <c r="C7774" t="s">
        <v>703</v>
      </c>
      <c r="D7774">
        <v>2020</v>
      </c>
      <c r="E7774" s="2">
        <v>100</v>
      </c>
      <c r="F7774" s="2">
        <v>6300</v>
      </c>
      <c r="G7774" s="2">
        <v>6615</v>
      </c>
    </row>
    <row r="7775" spans="1:7" x14ac:dyDescent="0.3">
      <c r="A7775" t="s">
        <v>2465</v>
      </c>
      <c r="B7775" t="s">
        <v>473</v>
      </c>
      <c r="C7775" t="s">
        <v>747</v>
      </c>
      <c r="D7775">
        <v>2018</v>
      </c>
      <c r="E7775" s="2">
        <v>50</v>
      </c>
      <c r="F7775" s="2">
        <v>3000</v>
      </c>
      <c r="G7775" s="2">
        <v>3150</v>
      </c>
    </row>
    <row r="7776" spans="1:7" x14ac:dyDescent="0.3">
      <c r="A7776" t="s">
        <v>2465</v>
      </c>
      <c r="B7776" t="s">
        <v>438</v>
      </c>
      <c r="C7776" t="s">
        <v>439</v>
      </c>
      <c r="D7776">
        <v>2016</v>
      </c>
      <c r="E7776" s="2">
        <v>50</v>
      </c>
      <c r="F7776" s="2">
        <v>3000</v>
      </c>
      <c r="G7776" s="2"/>
    </row>
    <row r="7777" spans="1:7" x14ac:dyDescent="0.3">
      <c r="A7777" t="s">
        <v>2465</v>
      </c>
      <c r="B7777" t="s">
        <v>438</v>
      </c>
      <c r="C7777" t="s">
        <v>439</v>
      </c>
      <c r="D7777">
        <v>2017</v>
      </c>
      <c r="E7777" s="2">
        <v>75</v>
      </c>
      <c r="F7777" s="2">
        <v>4500</v>
      </c>
      <c r="G7777" s="2"/>
    </row>
    <row r="7778" spans="1:7" x14ac:dyDescent="0.3">
      <c r="A7778" t="s">
        <v>2465</v>
      </c>
      <c r="B7778" t="s">
        <v>438</v>
      </c>
      <c r="C7778" t="s">
        <v>439</v>
      </c>
      <c r="D7778">
        <v>2018</v>
      </c>
      <c r="E7778" s="2">
        <v>125</v>
      </c>
      <c r="F7778" s="2">
        <v>7500</v>
      </c>
      <c r="G7778" s="2">
        <v>7875</v>
      </c>
    </row>
    <row r="7779" spans="1:7" x14ac:dyDescent="0.3">
      <c r="A7779" t="s">
        <v>2465</v>
      </c>
      <c r="B7779" t="s">
        <v>438</v>
      </c>
      <c r="C7779" t="s">
        <v>439</v>
      </c>
      <c r="D7779">
        <v>2019</v>
      </c>
      <c r="E7779" s="2">
        <v>250</v>
      </c>
      <c r="F7779" s="2">
        <v>15450</v>
      </c>
      <c r="G7779" s="2">
        <v>16222.5</v>
      </c>
    </row>
    <row r="7780" spans="1:7" x14ac:dyDescent="0.3">
      <c r="A7780" t="s">
        <v>2465</v>
      </c>
      <c r="B7780" t="s">
        <v>438</v>
      </c>
      <c r="C7780" t="s">
        <v>439</v>
      </c>
      <c r="D7780">
        <v>2020</v>
      </c>
      <c r="E7780" s="2">
        <v>200</v>
      </c>
      <c r="F7780" s="2">
        <v>12600</v>
      </c>
      <c r="G7780" s="2">
        <v>13230</v>
      </c>
    </row>
    <row r="7781" spans="1:7" x14ac:dyDescent="0.3">
      <c r="A7781" t="s">
        <v>2465</v>
      </c>
      <c r="B7781" t="s">
        <v>30</v>
      </c>
      <c r="C7781" t="s">
        <v>31</v>
      </c>
      <c r="D7781">
        <v>2011</v>
      </c>
      <c r="E7781" s="2">
        <v>25</v>
      </c>
      <c r="F7781" s="2">
        <v>1750</v>
      </c>
      <c r="G7781" s="2"/>
    </row>
    <row r="7782" spans="1:7" x14ac:dyDescent="0.3">
      <c r="A7782" t="s">
        <v>2465</v>
      </c>
      <c r="B7782" t="s">
        <v>32</v>
      </c>
      <c r="D7782">
        <v>2011</v>
      </c>
      <c r="E7782" s="2">
        <v>25</v>
      </c>
      <c r="F7782" s="2">
        <v>1750</v>
      </c>
      <c r="G7782" s="2"/>
    </row>
    <row r="7783" spans="1:7" x14ac:dyDescent="0.3">
      <c r="A7783" t="s">
        <v>2465</v>
      </c>
      <c r="B7783" t="s">
        <v>32</v>
      </c>
      <c r="D7783">
        <v>2012</v>
      </c>
      <c r="E7783" s="2">
        <v>20</v>
      </c>
      <c r="F7783" s="2">
        <v>1700</v>
      </c>
      <c r="G7783" s="2"/>
    </row>
    <row r="7784" spans="1:7" x14ac:dyDescent="0.3">
      <c r="A7784" t="s">
        <v>2465</v>
      </c>
      <c r="B7784" t="s">
        <v>32</v>
      </c>
      <c r="D7784">
        <v>2013</v>
      </c>
      <c r="E7784" s="2">
        <v>80</v>
      </c>
      <c r="F7784" s="2">
        <v>6640</v>
      </c>
      <c r="G7784" s="2"/>
    </row>
    <row r="7785" spans="1:7" x14ac:dyDescent="0.3">
      <c r="A7785" t="s">
        <v>2465</v>
      </c>
      <c r="B7785" t="s">
        <v>32</v>
      </c>
      <c r="D7785">
        <v>2014</v>
      </c>
      <c r="E7785" s="2">
        <v>80</v>
      </c>
      <c r="F7785" s="2">
        <v>6640</v>
      </c>
      <c r="G7785" s="2"/>
    </row>
    <row r="7786" spans="1:7" x14ac:dyDescent="0.3">
      <c r="A7786" t="s">
        <v>2467</v>
      </c>
      <c r="B7786" t="s">
        <v>1408</v>
      </c>
      <c r="D7786">
        <v>2021</v>
      </c>
      <c r="E7786" s="2">
        <v>1</v>
      </c>
      <c r="F7786" s="2">
        <v>250</v>
      </c>
      <c r="G7786" s="2">
        <v>262.5</v>
      </c>
    </row>
    <row r="7787" spans="1:7" x14ac:dyDescent="0.3">
      <c r="A7787" t="s">
        <v>2467</v>
      </c>
      <c r="B7787" t="s">
        <v>84</v>
      </c>
      <c r="C7787" t="s">
        <v>85</v>
      </c>
      <c r="D7787">
        <v>2021</v>
      </c>
      <c r="E7787" s="2">
        <v>1</v>
      </c>
      <c r="F7787" s="2">
        <v>150</v>
      </c>
      <c r="G7787" s="2">
        <v>157.5</v>
      </c>
    </row>
    <row r="7788" spans="1:7" x14ac:dyDescent="0.3">
      <c r="A7788" t="s">
        <v>2467</v>
      </c>
      <c r="B7788" t="s">
        <v>586</v>
      </c>
      <c r="C7788" t="s">
        <v>587</v>
      </c>
      <c r="D7788">
        <v>2021</v>
      </c>
      <c r="E7788" s="2">
        <v>1</v>
      </c>
      <c r="F7788" s="2">
        <v>190</v>
      </c>
      <c r="G7788" s="2">
        <v>199.5</v>
      </c>
    </row>
    <row r="7789" spans="1:7" x14ac:dyDescent="0.3">
      <c r="A7789" t="s">
        <v>2467</v>
      </c>
      <c r="B7789" t="s">
        <v>55</v>
      </c>
      <c r="D7789">
        <v>2021</v>
      </c>
      <c r="E7789" s="2">
        <v>1</v>
      </c>
      <c r="F7789" s="2">
        <v>280</v>
      </c>
      <c r="G7789" s="2">
        <v>294</v>
      </c>
    </row>
    <row r="7790" spans="1:7" x14ac:dyDescent="0.3">
      <c r="A7790" t="s">
        <v>2467</v>
      </c>
      <c r="B7790" t="s">
        <v>819</v>
      </c>
      <c r="C7790" t="s">
        <v>220</v>
      </c>
      <c r="D7790">
        <v>2021</v>
      </c>
      <c r="E7790" s="2">
        <v>1</v>
      </c>
      <c r="F7790" s="2">
        <v>220</v>
      </c>
      <c r="G7790" s="2">
        <v>231</v>
      </c>
    </row>
    <row r="7791" spans="1:7" x14ac:dyDescent="0.3">
      <c r="A7791" t="s">
        <v>2467</v>
      </c>
      <c r="B7791" t="s">
        <v>723</v>
      </c>
      <c r="C7791" t="s">
        <v>724</v>
      </c>
      <c r="D7791">
        <v>2021</v>
      </c>
      <c r="E7791" s="2">
        <v>1</v>
      </c>
      <c r="F7791" s="2">
        <v>220</v>
      </c>
      <c r="G7791" s="2">
        <v>231</v>
      </c>
    </row>
    <row r="7792" spans="1:7" x14ac:dyDescent="0.3">
      <c r="A7792" t="s">
        <v>2467</v>
      </c>
      <c r="B7792" t="s">
        <v>244</v>
      </c>
      <c r="C7792" t="s">
        <v>245</v>
      </c>
      <c r="D7792">
        <v>2021</v>
      </c>
      <c r="E7792" s="2">
        <v>1</v>
      </c>
      <c r="F7792" s="2">
        <v>230</v>
      </c>
      <c r="G7792" s="2">
        <v>241.5</v>
      </c>
    </row>
    <row r="7793" spans="1:7" x14ac:dyDescent="0.3">
      <c r="A7793" t="s">
        <v>2467</v>
      </c>
      <c r="B7793" t="s">
        <v>88</v>
      </c>
      <c r="C7793" t="s">
        <v>89</v>
      </c>
      <c r="D7793">
        <v>2021</v>
      </c>
      <c r="E7793" s="2">
        <v>1</v>
      </c>
      <c r="F7793" s="2">
        <v>220</v>
      </c>
      <c r="G7793" s="2">
        <v>231</v>
      </c>
    </row>
    <row r="7794" spans="1:7" x14ac:dyDescent="0.3">
      <c r="A7794" t="s">
        <v>2467</v>
      </c>
      <c r="B7794" t="s">
        <v>1410</v>
      </c>
      <c r="C7794" t="s">
        <v>1411</v>
      </c>
      <c r="D7794">
        <v>2021</v>
      </c>
      <c r="E7794" s="2">
        <v>1</v>
      </c>
      <c r="F7794" s="2">
        <v>180</v>
      </c>
      <c r="G7794" s="2">
        <v>189</v>
      </c>
    </row>
    <row r="7795" spans="1:7" x14ac:dyDescent="0.3">
      <c r="A7795" t="s">
        <v>2467</v>
      </c>
      <c r="B7795" t="s">
        <v>1133</v>
      </c>
      <c r="C7795" t="s">
        <v>1134</v>
      </c>
      <c r="D7795">
        <v>2021</v>
      </c>
      <c r="E7795" s="2">
        <v>1</v>
      </c>
      <c r="F7795" s="2">
        <v>220</v>
      </c>
      <c r="G7795" s="2">
        <v>231</v>
      </c>
    </row>
    <row r="7796" spans="1:7" x14ac:dyDescent="0.3">
      <c r="A7796" t="s">
        <v>2467</v>
      </c>
      <c r="B7796" t="s">
        <v>1949</v>
      </c>
      <c r="D7796">
        <v>2021</v>
      </c>
      <c r="E7796" s="2">
        <v>1</v>
      </c>
      <c r="F7796" s="2">
        <v>250</v>
      </c>
      <c r="G7796" s="2">
        <v>262.5</v>
      </c>
    </row>
    <row r="7797" spans="1:7" x14ac:dyDescent="0.3">
      <c r="A7797" t="s">
        <v>2467</v>
      </c>
      <c r="B7797" t="s">
        <v>2164</v>
      </c>
      <c r="C7797" t="s">
        <v>2165</v>
      </c>
      <c r="D7797">
        <v>2021</v>
      </c>
      <c r="E7797" s="2">
        <v>1</v>
      </c>
      <c r="F7797" s="2">
        <v>240</v>
      </c>
      <c r="G7797" s="2">
        <v>252</v>
      </c>
    </row>
    <row r="7798" spans="1:7" x14ac:dyDescent="0.3">
      <c r="A7798" t="s">
        <v>2467</v>
      </c>
      <c r="B7798" t="s">
        <v>516</v>
      </c>
      <c r="D7798">
        <v>2021</v>
      </c>
      <c r="E7798" s="2">
        <v>1</v>
      </c>
      <c r="F7798" s="2">
        <v>275</v>
      </c>
      <c r="G7798" s="2">
        <v>288.75</v>
      </c>
    </row>
    <row r="7799" spans="1:7" x14ac:dyDescent="0.3">
      <c r="A7799" t="s">
        <v>2467</v>
      </c>
      <c r="B7799" t="s">
        <v>597</v>
      </c>
      <c r="C7799" t="s">
        <v>598</v>
      </c>
      <c r="D7799">
        <v>2021</v>
      </c>
      <c r="E7799" s="2">
        <v>1</v>
      </c>
      <c r="F7799" s="2">
        <v>180</v>
      </c>
      <c r="G7799" s="2">
        <v>189</v>
      </c>
    </row>
    <row r="7800" spans="1:7" x14ac:dyDescent="0.3">
      <c r="A7800" t="s">
        <v>2467</v>
      </c>
      <c r="B7800" t="s">
        <v>1138</v>
      </c>
      <c r="D7800">
        <v>2021</v>
      </c>
      <c r="E7800" s="2">
        <v>1</v>
      </c>
      <c r="F7800" s="2">
        <v>180</v>
      </c>
      <c r="G7800" s="2">
        <v>189</v>
      </c>
    </row>
    <row r="7801" spans="1:7" x14ac:dyDescent="0.3">
      <c r="A7801" t="s">
        <v>2467</v>
      </c>
      <c r="B7801" t="s">
        <v>402</v>
      </c>
      <c r="C7801" t="s">
        <v>403</v>
      </c>
      <c r="D7801">
        <v>2021</v>
      </c>
      <c r="E7801" s="2">
        <v>1</v>
      </c>
      <c r="F7801" s="2">
        <v>480</v>
      </c>
      <c r="G7801" s="2">
        <v>504</v>
      </c>
    </row>
    <row r="7802" spans="1:7" x14ac:dyDescent="0.3">
      <c r="A7802" t="s">
        <v>2467</v>
      </c>
      <c r="B7802" t="s">
        <v>189</v>
      </c>
      <c r="D7802">
        <v>2021</v>
      </c>
      <c r="E7802" s="2">
        <v>1</v>
      </c>
      <c r="F7802" s="2">
        <v>530</v>
      </c>
      <c r="G7802" s="2">
        <v>556.5</v>
      </c>
    </row>
    <row r="7803" spans="1:7" x14ac:dyDescent="0.3">
      <c r="A7803" t="s">
        <v>2467</v>
      </c>
      <c r="B7803" t="s">
        <v>408</v>
      </c>
      <c r="D7803">
        <v>2021</v>
      </c>
      <c r="E7803" s="2">
        <v>1</v>
      </c>
      <c r="F7803" s="2">
        <v>200</v>
      </c>
      <c r="G7803" s="2">
        <v>210</v>
      </c>
    </row>
    <row r="7804" spans="1:7" x14ac:dyDescent="0.3">
      <c r="A7804" t="s">
        <v>2467</v>
      </c>
      <c r="B7804" t="s">
        <v>263</v>
      </c>
      <c r="C7804" t="s">
        <v>264</v>
      </c>
      <c r="D7804">
        <v>2021</v>
      </c>
      <c r="E7804" s="2">
        <v>1</v>
      </c>
      <c r="F7804" s="2">
        <v>230</v>
      </c>
      <c r="G7804" s="2">
        <v>241.5</v>
      </c>
    </row>
    <row r="7805" spans="1:7" x14ac:dyDescent="0.3">
      <c r="A7805" t="s">
        <v>2467</v>
      </c>
      <c r="B7805" t="s">
        <v>1405</v>
      </c>
      <c r="C7805" t="s">
        <v>1406</v>
      </c>
      <c r="D7805">
        <v>2021</v>
      </c>
      <c r="E7805" s="2">
        <v>1</v>
      </c>
      <c r="F7805" s="2">
        <v>220</v>
      </c>
      <c r="G7805" s="2">
        <v>231</v>
      </c>
    </row>
    <row r="7806" spans="1:7" x14ac:dyDescent="0.3">
      <c r="A7806" t="s">
        <v>2467</v>
      </c>
      <c r="B7806" t="s">
        <v>604</v>
      </c>
      <c r="C7806" t="s">
        <v>605</v>
      </c>
      <c r="D7806">
        <v>2021</v>
      </c>
      <c r="E7806" s="2">
        <v>1</v>
      </c>
      <c r="F7806" s="2">
        <v>200</v>
      </c>
      <c r="G7806" s="2">
        <v>210</v>
      </c>
    </row>
    <row r="7807" spans="1:7" x14ac:dyDescent="0.3">
      <c r="A7807" t="s">
        <v>2468</v>
      </c>
      <c r="B7807" t="s">
        <v>686</v>
      </c>
      <c r="C7807" t="s">
        <v>687</v>
      </c>
      <c r="D7807">
        <v>2021</v>
      </c>
      <c r="E7807" s="2">
        <v>5</v>
      </c>
      <c r="F7807" s="2">
        <v>300</v>
      </c>
      <c r="G7807" s="2">
        <v>315</v>
      </c>
    </row>
    <row r="7808" spans="1:7" x14ac:dyDescent="0.3">
      <c r="A7808" t="s">
        <v>2468</v>
      </c>
      <c r="B7808" t="s">
        <v>671</v>
      </c>
      <c r="C7808" t="s">
        <v>672</v>
      </c>
      <c r="D7808">
        <v>2021</v>
      </c>
      <c r="E7808" s="2">
        <v>5</v>
      </c>
      <c r="F7808" s="2">
        <v>225</v>
      </c>
      <c r="G7808" s="2">
        <v>236.25</v>
      </c>
    </row>
    <row r="7809" spans="1:7" x14ac:dyDescent="0.3">
      <c r="A7809" t="s">
        <v>2469</v>
      </c>
      <c r="B7809" t="s">
        <v>251</v>
      </c>
      <c r="C7809" t="s">
        <v>207</v>
      </c>
      <c r="D7809">
        <v>2019</v>
      </c>
      <c r="E7809" s="2">
        <v>1</v>
      </c>
      <c r="F7809" s="2">
        <v>65</v>
      </c>
      <c r="G7809" s="2">
        <v>68.25</v>
      </c>
    </row>
    <row r="7810" spans="1:7" x14ac:dyDescent="0.3">
      <c r="A7810" t="s">
        <v>2469</v>
      </c>
      <c r="B7810" t="s">
        <v>19</v>
      </c>
      <c r="C7810" t="s">
        <v>20</v>
      </c>
      <c r="D7810">
        <v>2019</v>
      </c>
      <c r="E7810" s="2">
        <v>1</v>
      </c>
      <c r="F7810" s="2">
        <v>55</v>
      </c>
      <c r="G7810" s="2">
        <v>57.75</v>
      </c>
    </row>
    <row r="7811" spans="1:7" x14ac:dyDescent="0.3">
      <c r="A7811" t="s">
        <v>2469</v>
      </c>
      <c r="B7811" t="s">
        <v>543</v>
      </c>
      <c r="C7811" t="s">
        <v>544</v>
      </c>
      <c r="D7811">
        <v>2019</v>
      </c>
      <c r="E7811" s="2">
        <v>1</v>
      </c>
      <c r="F7811" s="2">
        <v>45</v>
      </c>
      <c r="G7811" s="2">
        <v>47.25</v>
      </c>
    </row>
    <row r="7812" spans="1:7" x14ac:dyDescent="0.3">
      <c r="A7812" t="s">
        <v>2469</v>
      </c>
      <c r="B7812" t="s">
        <v>575</v>
      </c>
      <c r="C7812" t="s">
        <v>673</v>
      </c>
      <c r="D7812">
        <v>2019</v>
      </c>
      <c r="E7812" s="2">
        <v>1</v>
      </c>
      <c r="F7812" s="2">
        <v>40</v>
      </c>
      <c r="G7812" s="2">
        <v>42</v>
      </c>
    </row>
    <row r="7813" spans="1:7" x14ac:dyDescent="0.3">
      <c r="A7813" t="s">
        <v>2470</v>
      </c>
      <c r="B7813" t="s">
        <v>1208</v>
      </c>
      <c r="C7813" t="s">
        <v>1209</v>
      </c>
      <c r="D7813">
        <v>2015</v>
      </c>
      <c r="E7813" s="2">
        <v>5</v>
      </c>
      <c r="F7813" s="2">
        <v>500</v>
      </c>
      <c r="G7813" s="2"/>
    </row>
    <row r="7814" spans="1:7" x14ac:dyDescent="0.3">
      <c r="A7814" t="s">
        <v>2470</v>
      </c>
      <c r="B7814" t="s">
        <v>1208</v>
      </c>
      <c r="C7814" t="s">
        <v>1209</v>
      </c>
      <c r="D7814">
        <v>2016</v>
      </c>
      <c r="E7814" s="2">
        <v>5</v>
      </c>
      <c r="F7814" s="2">
        <v>550</v>
      </c>
      <c r="G7814" s="2"/>
    </row>
    <row r="7815" spans="1:7" x14ac:dyDescent="0.3">
      <c r="A7815" t="s">
        <v>2471</v>
      </c>
      <c r="B7815" t="s">
        <v>453</v>
      </c>
      <c r="D7815">
        <v>2020</v>
      </c>
      <c r="E7815" s="2">
        <v>1</v>
      </c>
      <c r="F7815" s="2">
        <v>98</v>
      </c>
      <c r="G7815" s="2">
        <v>98</v>
      </c>
    </row>
    <row r="7816" spans="1:7" x14ac:dyDescent="0.3">
      <c r="A7816" t="s">
        <v>2471</v>
      </c>
      <c r="B7816" t="s">
        <v>28</v>
      </c>
      <c r="D7816">
        <v>2016</v>
      </c>
      <c r="E7816" s="2">
        <v>60</v>
      </c>
      <c r="F7816" s="2">
        <v>29200</v>
      </c>
      <c r="G7816" s="2"/>
    </row>
    <row r="7817" spans="1:7" x14ac:dyDescent="0.3">
      <c r="A7817" t="s">
        <v>2471</v>
      </c>
      <c r="B7817" t="s">
        <v>28</v>
      </c>
      <c r="D7817">
        <v>2017</v>
      </c>
      <c r="E7817" s="2">
        <v>80</v>
      </c>
      <c r="F7817" s="2">
        <v>38000</v>
      </c>
      <c r="G7817" s="2"/>
    </row>
    <row r="7818" spans="1:7" x14ac:dyDescent="0.3">
      <c r="A7818" t="s">
        <v>2471</v>
      </c>
      <c r="B7818" t="s">
        <v>19</v>
      </c>
      <c r="C7818" t="s">
        <v>20</v>
      </c>
      <c r="D7818">
        <v>2009</v>
      </c>
      <c r="E7818" s="2">
        <v>10</v>
      </c>
      <c r="F7818" s="2">
        <v>1050</v>
      </c>
      <c r="G7818" s="2"/>
    </row>
    <row r="7819" spans="1:7" x14ac:dyDescent="0.3">
      <c r="A7819" t="s">
        <v>2471</v>
      </c>
      <c r="B7819" t="s">
        <v>741</v>
      </c>
      <c r="C7819" t="s">
        <v>742</v>
      </c>
      <c r="D7819">
        <v>2015</v>
      </c>
      <c r="E7819" s="2">
        <v>25</v>
      </c>
      <c r="F7819" s="2">
        <v>2125</v>
      </c>
      <c r="G7819" s="2"/>
    </row>
    <row r="7820" spans="1:7" x14ac:dyDescent="0.3">
      <c r="A7820" t="s">
        <v>2471</v>
      </c>
      <c r="B7820" t="s">
        <v>741</v>
      </c>
      <c r="C7820" t="s">
        <v>742</v>
      </c>
      <c r="D7820">
        <v>2017</v>
      </c>
      <c r="E7820" s="2">
        <v>25</v>
      </c>
      <c r="F7820" s="2">
        <v>2000</v>
      </c>
      <c r="G7820" s="2"/>
    </row>
    <row r="7821" spans="1:7" x14ac:dyDescent="0.3">
      <c r="A7821" t="s">
        <v>2471</v>
      </c>
      <c r="B7821" t="s">
        <v>36</v>
      </c>
      <c r="D7821">
        <v>2020</v>
      </c>
      <c r="E7821" s="2">
        <v>1</v>
      </c>
      <c r="F7821" s="2">
        <v>100</v>
      </c>
      <c r="G7821" s="2">
        <v>100</v>
      </c>
    </row>
    <row r="7822" spans="1:7" x14ac:dyDescent="0.3">
      <c r="A7822" t="s">
        <v>2471</v>
      </c>
      <c r="B7822" t="s">
        <v>864</v>
      </c>
      <c r="D7822">
        <v>2018</v>
      </c>
      <c r="E7822" s="2">
        <v>20</v>
      </c>
      <c r="F7822" s="2">
        <v>1600</v>
      </c>
      <c r="G7822" s="2">
        <v>1680</v>
      </c>
    </row>
    <row r="7823" spans="1:7" x14ac:dyDescent="0.3">
      <c r="A7823" t="s">
        <v>2472</v>
      </c>
      <c r="B7823" t="s">
        <v>586</v>
      </c>
      <c r="C7823" t="s">
        <v>587</v>
      </c>
      <c r="D7823">
        <v>2020</v>
      </c>
      <c r="E7823" s="2">
        <v>5</v>
      </c>
      <c r="F7823" s="2">
        <v>825</v>
      </c>
      <c r="G7823" s="2">
        <v>825</v>
      </c>
    </row>
    <row r="7824" spans="1:7" x14ac:dyDescent="0.3">
      <c r="A7824" t="s">
        <v>2472</v>
      </c>
      <c r="B7824" t="s">
        <v>1410</v>
      </c>
      <c r="C7824" t="s">
        <v>1411</v>
      </c>
      <c r="D7824">
        <v>2020</v>
      </c>
      <c r="E7824" s="2">
        <v>0.2</v>
      </c>
      <c r="F7824" s="2">
        <v>28</v>
      </c>
      <c r="G7824" s="2">
        <v>28</v>
      </c>
    </row>
    <row r="7825" spans="1:7" x14ac:dyDescent="0.3">
      <c r="A7825" t="s">
        <v>2472</v>
      </c>
      <c r="B7825" t="s">
        <v>2473</v>
      </c>
      <c r="C7825" t="s">
        <v>2474</v>
      </c>
      <c r="D7825">
        <v>2020</v>
      </c>
      <c r="E7825" s="2">
        <v>50</v>
      </c>
      <c r="F7825" s="2">
        <v>9240</v>
      </c>
      <c r="G7825" s="2">
        <v>9240</v>
      </c>
    </row>
    <row r="7826" spans="1:7" x14ac:dyDescent="0.3">
      <c r="A7826" t="s">
        <v>2472</v>
      </c>
      <c r="B7826" t="s">
        <v>2473</v>
      </c>
      <c r="C7826" t="s">
        <v>2474</v>
      </c>
      <c r="D7826">
        <v>2021</v>
      </c>
      <c r="E7826" s="2">
        <v>25</v>
      </c>
      <c r="F7826" s="2">
        <v>4400</v>
      </c>
      <c r="G7826" s="2">
        <v>4620</v>
      </c>
    </row>
    <row r="7827" spans="1:7" x14ac:dyDescent="0.3">
      <c r="A7827" t="s">
        <v>2472</v>
      </c>
      <c r="B7827" t="s">
        <v>297</v>
      </c>
      <c r="C7827" t="s">
        <v>298</v>
      </c>
      <c r="D7827">
        <v>2020</v>
      </c>
      <c r="E7827" s="2">
        <v>1</v>
      </c>
      <c r="F7827" s="2">
        <v>75</v>
      </c>
      <c r="G7827" s="2">
        <v>75</v>
      </c>
    </row>
    <row r="7828" spans="1:7" x14ac:dyDescent="0.3">
      <c r="A7828" t="s">
        <v>2472</v>
      </c>
      <c r="B7828" t="s">
        <v>668</v>
      </c>
      <c r="C7828" t="s">
        <v>669</v>
      </c>
      <c r="D7828">
        <v>2020</v>
      </c>
      <c r="E7828" s="2">
        <v>6</v>
      </c>
      <c r="F7828" s="2">
        <v>450</v>
      </c>
      <c r="G7828" s="2">
        <v>450</v>
      </c>
    </row>
    <row r="7829" spans="1:7" x14ac:dyDescent="0.3">
      <c r="A7829" t="s">
        <v>2472</v>
      </c>
      <c r="B7829" t="s">
        <v>543</v>
      </c>
      <c r="C7829" t="s">
        <v>544</v>
      </c>
      <c r="D7829">
        <v>2020</v>
      </c>
      <c r="E7829" s="2">
        <v>10.199999999999999</v>
      </c>
      <c r="F7829" s="2">
        <v>816</v>
      </c>
      <c r="G7829" s="2">
        <v>816</v>
      </c>
    </row>
    <row r="7830" spans="1:7" x14ac:dyDescent="0.3">
      <c r="A7830" t="s">
        <v>2472</v>
      </c>
      <c r="B7830" t="s">
        <v>813</v>
      </c>
      <c r="C7830" t="s">
        <v>814</v>
      </c>
      <c r="D7830">
        <v>2020</v>
      </c>
      <c r="E7830" s="2">
        <v>1</v>
      </c>
      <c r="F7830" s="2">
        <v>50</v>
      </c>
      <c r="G7830" s="2">
        <v>50</v>
      </c>
    </row>
    <row r="7831" spans="1:7" x14ac:dyDescent="0.3">
      <c r="A7831" t="s">
        <v>2472</v>
      </c>
      <c r="B7831" t="s">
        <v>1666</v>
      </c>
      <c r="C7831" t="s">
        <v>1667</v>
      </c>
      <c r="D7831">
        <v>2020</v>
      </c>
      <c r="E7831" s="2">
        <v>0.2</v>
      </c>
      <c r="F7831" s="2">
        <v>28</v>
      </c>
      <c r="G7831" s="2">
        <v>28</v>
      </c>
    </row>
    <row r="7832" spans="1:7" x14ac:dyDescent="0.3">
      <c r="A7832" t="s">
        <v>2472</v>
      </c>
      <c r="B7832" t="s">
        <v>839</v>
      </c>
      <c r="C7832" t="s">
        <v>138</v>
      </c>
      <c r="D7832">
        <v>2020</v>
      </c>
      <c r="E7832" s="2">
        <v>0.2</v>
      </c>
      <c r="F7832" s="2">
        <v>30</v>
      </c>
      <c r="G7832" s="2">
        <v>30</v>
      </c>
    </row>
    <row r="7833" spans="1:7" x14ac:dyDescent="0.3">
      <c r="A7833" t="s">
        <v>2472</v>
      </c>
      <c r="B7833" t="s">
        <v>383</v>
      </c>
      <c r="C7833" t="s">
        <v>384</v>
      </c>
      <c r="D7833">
        <v>2020</v>
      </c>
      <c r="E7833" s="2">
        <v>1.2</v>
      </c>
      <c r="F7833" s="2">
        <v>168</v>
      </c>
      <c r="G7833" s="2">
        <v>168</v>
      </c>
    </row>
    <row r="7834" spans="1:7" x14ac:dyDescent="0.3">
      <c r="A7834" t="s">
        <v>2472</v>
      </c>
      <c r="B7834" t="s">
        <v>656</v>
      </c>
      <c r="C7834" t="s">
        <v>71</v>
      </c>
      <c r="D7834">
        <v>2020</v>
      </c>
      <c r="E7834" s="2">
        <v>0.2</v>
      </c>
      <c r="F7834" s="2">
        <v>28</v>
      </c>
      <c r="G7834" s="2">
        <v>28</v>
      </c>
    </row>
    <row r="7835" spans="1:7" x14ac:dyDescent="0.3">
      <c r="A7835" t="s">
        <v>2472</v>
      </c>
      <c r="B7835" t="s">
        <v>841</v>
      </c>
      <c r="C7835" t="s">
        <v>169</v>
      </c>
      <c r="D7835">
        <v>2020</v>
      </c>
      <c r="E7835" s="2">
        <v>0.2</v>
      </c>
      <c r="F7835" s="2">
        <v>28</v>
      </c>
      <c r="G7835" s="2">
        <v>28</v>
      </c>
    </row>
    <row r="7836" spans="1:7" x14ac:dyDescent="0.3">
      <c r="A7836" t="s">
        <v>2475</v>
      </c>
      <c r="B7836" t="s">
        <v>551</v>
      </c>
      <c r="D7836">
        <v>2018</v>
      </c>
      <c r="E7836" s="2">
        <v>25</v>
      </c>
      <c r="F7836" s="2">
        <v>5875</v>
      </c>
      <c r="G7836" s="2">
        <v>6168.75</v>
      </c>
    </row>
    <row r="7837" spans="1:7" x14ac:dyDescent="0.3">
      <c r="A7837" t="s">
        <v>2475</v>
      </c>
      <c r="B7837" t="s">
        <v>551</v>
      </c>
      <c r="D7837">
        <v>2019</v>
      </c>
      <c r="E7837" s="2">
        <v>50</v>
      </c>
      <c r="F7837" s="2">
        <v>11750</v>
      </c>
      <c r="G7837" s="2">
        <v>12337.5</v>
      </c>
    </row>
    <row r="7838" spans="1:7" x14ac:dyDescent="0.3">
      <c r="A7838" t="s">
        <v>2475</v>
      </c>
      <c r="B7838" t="s">
        <v>631</v>
      </c>
      <c r="C7838" t="s">
        <v>632</v>
      </c>
      <c r="D7838">
        <v>2015</v>
      </c>
      <c r="E7838" s="2">
        <v>50</v>
      </c>
      <c r="F7838" s="2">
        <v>3500</v>
      </c>
      <c r="G7838" s="2"/>
    </row>
    <row r="7839" spans="1:7" x14ac:dyDescent="0.3">
      <c r="A7839" t="s">
        <v>2475</v>
      </c>
      <c r="B7839" t="s">
        <v>631</v>
      </c>
      <c r="C7839" t="s">
        <v>632</v>
      </c>
      <c r="D7839">
        <v>2020</v>
      </c>
      <c r="E7839" s="2">
        <v>50</v>
      </c>
      <c r="F7839" s="2">
        <v>3500</v>
      </c>
      <c r="G7839" s="2">
        <v>3675</v>
      </c>
    </row>
    <row r="7840" spans="1:7" x14ac:dyDescent="0.3">
      <c r="A7840" t="s">
        <v>2475</v>
      </c>
      <c r="B7840" t="s">
        <v>2476</v>
      </c>
      <c r="D7840">
        <v>2011</v>
      </c>
      <c r="E7840" s="2">
        <v>350</v>
      </c>
      <c r="F7840" s="2">
        <v>95016</v>
      </c>
      <c r="G7840" s="2"/>
    </row>
    <row r="7841" spans="1:7" x14ac:dyDescent="0.3">
      <c r="A7841" t="s">
        <v>2475</v>
      </c>
      <c r="B7841" t="s">
        <v>2476</v>
      </c>
      <c r="D7841">
        <v>2014</v>
      </c>
      <c r="E7841" s="2">
        <v>50</v>
      </c>
      <c r="F7841" s="2">
        <v>8367.6</v>
      </c>
      <c r="G7841" s="2"/>
    </row>
    <row r="7842" spans="1:7" x14ac:dyDescent="0.3">
      <c r="A7842" t="s">
        <v>2475</v>
      </c>
      <c r="B7842" t="s">
        <v>2476</v>
      </c>
      <c r="D7842">
        <v>2015</v>
      </c>
      <c r="E7842" s="2">
        <v>25</v>
      </c>
      <c r="F7842" s="2">
        <v>4183.8</v>
      </c>
      <c r="G7842" s="2"/>
    </row>
    <row r="7843" spans="1:7" x14ac:dyDescent="0.3">
      <c r="A7843" t="s">
        <v>2475</v>
      </c>
      <c r="B7843" t="s">
        <v>2476</v>
      </c>
      <c r="D7843">
        <v>2016</v>
      </c>
      <c r="E7843" s="2">
        <v>50</v>
      </c>
      <c r="F7843" s="2">
        <v>8367.6</v>
      </c>
      <c r="G7843" s="2"/>
    </row>
    <row r="7844" spans="1:7" x14ac:dyDescent="0.3">
      <c r="A7844" t="s">
        <v>2475</v>
      </c>
      <c r="B7844" t="s">
        <v>2476</v>
      </c>
      <c r="D7844">
        <v>2017</v>
      </c>
      <c r="E7844" s="2">
        <v>25</v>
      </c>
      <c r="F7844" s="2">
        <v>4183.8</v>
      </c>
      <c r="G7844" s="2"/>
    </row>
    <row r="7845" spans="1:7" x14ac:dyDescent="0.3">
      <c r="A7845" t="s">
        <v>2475</v>
      </c>
      <c r="B7845" t="s">
        <v>2476</v>
      </c>
      <c r="D7845">
        <v>2018</v>
      </c>
      <c r="E7845" s="2">
        <v>25</v>
      </c>
      <c r="F7845" s="2">
        <v>6288.81</v>
      </c>
      <c r="G7845" s="2">
        <v>6603.2505000000001</v>
      </c>
    </row>
    <row r="7846" spans="1:7" x14ac:dyDescent="0.3">
      <c r="A7846" t="s">
        <v>2475</v>
      </c>
      <c r="B7846" t="s">
        <v>2476</v>
      </c>
      <c r="D7846">
        <v>2019</v>
      </c>
      <c r="E7846" s="2">
        <v>25</v>
      </c>
      <c r="F7846" s="2">
        <v>6289.25</v>
      </c>
      <c r="G7846" s="2">
        <v>6289.25</v>
      </c>
    </row>
    <row r="7847" spans="1:7" x14ac:dyDescent="0.3">
      <c r="A7847" t="s">
        <v>2475</v>
      </c>
      <c r="B7847" t="s">
        <v>2476</v>
      </c>
      <c r="D7847">
        <v>2020</v>
      </c>
      <c r="E7847" s="2">
        <v>30</v>
      </c>
      <c r="F7847" s="2">
        <v>7451.1</v>
      </c>
      <c r="G7847" s="2">
        <v>7823.6549999999997</v>
      </c>
    </row>
    <row r="7848" spans="1:7" x14ac:dyDescent="0.3">
      <c r="A7848" t="s">
        <v>2475</v>
      </c>
      <c r="B7848" t="s">
        <v>536</v>
      </c>
      <c r="C7848" t="s">
        <v>537</v>
      </c>
      <c r="D7848">
        <v>2020</v>
      </c>
      <c r="E7848" s="2">
        <v>160</v>
      </c>
      <c r="F7848" s="2">
        <v>14080</v>
      </c>
      <c r="G7848" s="2">
        <v>14784</v>
      </c>
    </row>
    <row r="7849" spans="1:7" x14ac:dyDescent="0.3">
      <c r="A7849" t="s">
        <v>2475</v>
      </c>
      <c r="B7849" t="s">
        <v>602</v>
      </c>
      <c r="C7849" t="s">
        <v>603</v>
      </c>
      <c r="D7849">
        <v>2016</v>
      </c>
      <c r="E7849" s="2">
        <v>25</v>
      </c>
      <c r="F7849" s="2">
        <v>1625</v>
      </c>
      <c r="G7849" s="2"/>
    </row>
    <row r="7850" spans="1:7" x14ac:dyDescent="0.3">
      <c r="A7850" t="s">
        <v>2475</v>
      </c>
      <c r="B7850" t="s">
        <v>2477</v>
      </c>
      <c r="D7850">
        <v>2021</v>
      </c>
      <c r="E7850" s="2">
        <v>1750</v>
      </c>
      <c r="F7850" s="2">
        <v>14000</v>
      </c>
      <c r="G7850" s="2">
        <v>14700</v>
      </c>
    </row>
    <row r="7851" spans="1:7" x14ac:dyDescent="0.3">
      <c r="A7851" t="s">
        <v>2475</v>
      </c>
      <c r="B7851" t="s">
        <v>92</v>
      </c>
      <c r="C7851" t="s">
        <v>93</v>
      </c>
      <c r="D7851">
        <v>2017</v>
      </c>
      <c r="E7851" s="2">
        <v>25</v>
      </c>
      <c r="F7851" s="2">
        <v>3123.75</v>
      </c>
      <c r="G7851" s="2"/>
    </row>
    <row r="7852" spans="1:7" x14ac:dyDescent="0.3">
      <c r="A7852" t="s">
        <v>2475</v>
      </c>
      <c r="B7852" t="s">
        <v>92</v>
      </c>
      <c r="C7852" t="s">
        <v>93</v>
      </c>
      <c r="D7852">
        <v>2018</v>
      </c>
      <c r="E7852" s="2">
        <v>375</v>
      </c>
      <c r="F7852" s="2">
        <v>43436</v>
      </c>
      <c r="G7852" s="2">
        <v>45607.8</v>
      </c>
    </row>
    <row r="7853" spans="1:7" x14ac:dyDescent="0.3">
      <c r="A7853" t="s">
        <v>2475</v>
      </c>
      <c r="B7853" t="s">
        <v>645</v>
      </c>
      <c r="C7853" t="s">
        <v>646</v>
      </c>
      <c r="D7853">
        <v>2018</v>
      </c>
      <c r="E7853" s="2">
        <v>25</v>
      </c>
      <c r="F7853" s="2">
        <v>1875</v>
      </c>
      <c r="G7853" s="2">
        <v>1968.75</v>
      </c>
    </row>
    <row r="7854" spans="1:7" x14ac:dyDescent="0.3">
      <c r="A7854" t="s">
        <v>2475</v>
      </c>
      <c r="B7854" t="s">
        <v>1135</v>
      </c>
      <c r="C7854" t="s">
        <v>561</v>
      </c>
      <c r="D7854">
        <v>2017</v>
      </c>
      <c r="E7854" s="2">
        <v>50</v>
      </c>
      <c r="F7854" s="2">
        <v>4961.26</v>
      </c>
      <c r="G7854" s="2"/>
    </row>
    <row r="7855" spans="1:7" x14ac:dyDescent="0.3">
      <c r="A7855" t="s">
        <v>2475</v>
      </c>
      <c r="B7855" t="s">
        <v>1135</v>
      </c>
      <c r="C7855" t="s">
        <v>561</v>
      </c>
      <c r="D7855">
        <v>2018</v>
      </c>
      <c r="E7855" s="2">
        <v>450</v>
      </c>
      <c r="F7855" s="2">
        <v>56675.75</v>
      </c>
      <c r="G7855" s="2">
        <v>59509.537499999999</v>
      </c>
    </row>
    <row r="7856" spans="1:7" x14ac:dyDescent="0.3">
      <c r="A7856" t="s">
        <v>2475</v>
      </c>
      <c r="B7856" t="s">
        <v>1135</v>
      </c>
      <c r="C7856" t="s">
        <v>561</v>
      </c>
      <c r="D7856">
        <v>2019</v>
      </c>
      <c r="E7856" s="2">
        <v>450</v>
      </c>
      <c r="F7856" s="2">
        <v>50635</v>
      </c>
      <c r="G7856" s="2">
        <v>53166.75</v>
      </c>
    </row>
    <row r="7857" spans="1:7" x14ac:dyDescent="0.3">
      <c r="A7857" t="s">
        <v>2475</v>
      </c>
      <c r="B7857" t="s">
        <v>1135</v>
      </c>
      <c r="C7857" t="s">
        <v>561</v>
      </c>
      <c r="D7857">
        <v>2020</v>
      </c>
      <c r="E7857" s="2">
        <v>550</v>
      </c>
      <c r="F7857" s="2">
        <v>65450</v>
      </c>
      <c r="G7857" s="2">
        <v>68722.5</v>
      </c>
    </row>
    <row r="7858" spans="1:7" x14ac:dyDescent="0.3">
      <c r="A7858" t="s">
        <v>2475</v>
      </c>
      <c r="B7858" t="s">
        <v>103</v>
      </c>
      <c r="C7858" t="s">
        <v>104</v>
      </c>
      <c r="D7858">
        <v>2019</v>
      </c>
      <c r="E7858" s="2">
        <v>50</v>
      </c>
      <c r="F7858" s="2">
        <v>11750</v>
      </c>
      <c r="G7858" s="2">
        <v>12337.5</v>
      </c>
    </row>
    <row r="7859" spans="1:7" x14ac:dyDescent="0.3">
      <c r="A7859" t="s">
        <v>2475</v>
      </c>
      <c r="B7859" t="s">
        <v>103</v>
      </c>
      <c r="C7859" t="s">
        <v>104</v>
      </c>
      <c r="D7859">
        <v>2020</v>
      </c>
      <c r="E7859" s="2">
        <v>25</v>
      </c>
      <c r="F7859" s="2">
        <v>5875</v>
      </c>
      <c r="G7859" s="2">
        <v>6168.75</v>
      </c>
    </row>
    <row r="7860" spans="1:7" x14ac:dyDescent="0.3">
      <c r="A7860" t="s">
        <v>2475</v>
      </c>
      <c r="B7860" t="s">
        <v>103</v>
      </c>
      <c r="C7860" t="s">
        <v>104</v>
      </c>
      <c r="D7860">
        <v>2021</v>
      </c>
      <c r="E7860" s="2">
        <v>75</v>
      </c>
      <c r="F7860" s="2">
        <v>17625</v>
      </c>
      <c r="G7860" s="2">
        <v>18506.25</v>
      </c>
    </row>
    <row r="7861" spans="1:7" x14ac:dyDescent="0.3">
      <c r="A7861" t="s">
        <v>2475</v>
      </c>
      <c r="B7861" t="s">
        <v>2478</v>
      </c>
      <c r="C7861" t="s">
        <v>2479</v>
      </c>
      <c r="D7861">
        <v>2010</v>
      </c>
      <c r="E7861" s="2">
        <v>250</v>
      </c>
      <c r="F7861" s="2">
        <v>90450</v>
      </c>
      <c r="G7861" s="2"/>
    </row>
    <row r="7862" spans="1:7" x14ac:dyDescent="0.3">
      <c r="A7862" t="s">
        <v>2475</v>
      </c>
      <c r="B7862" t="s">
        <v>2478</v>
      </c>
      <c r="C7862" t="s">
        <v>2479</v>
      </c>
      <c r="D7862">
        <v>2014</v>
      </c>
      <c r="E7862" s="2">
        <v>10</v>
      </c>
      <c r="F7862" s="2">
        <v>980</v>
      </c>
      <c r="G7862" s="2"/>
    </row>
    <row r="7863" spans="1:7" x14ac:dyDescent="0.3">
      <c r="A7863" t="s">
        <v>2475</v>
      </c>
      <c r="B7863" t="s">
        <v>2478</v>
      </c>
      <c r="C7863" t="s">
        <v>2479</v>
      </c>
      <c r="D7863">
        <v>2015</v>
      </c>
      <c r="E7863" s="2">
        <v>25</v>
      </c>
      <c r="F7863" s="2">
        <v>8991.5</v>
      </c>
      <c r="G7863" s="2"/>
    </row>
    <row r="7864" spans="1:7" x14ac:dyDescent="0.3">
      <c r="A7864" t="s">
        <v>2475</v>
      </c>
      <c r="B7864" t="s">
        <v>373</v>
      </c>
      <c r="C7864" t="s">
        <v>331</v>
      </c>
      <c r="D7864">
        <v>2010</v>
      </c>
      <c r="E7864" s="2">
        <v>1025</v>
      </c>
      <c r="F7864" s="2">
        <v>316695</v>
      </c>
      <c r="G7864" s="2"/>
    </row>
    <row r="7865" spans="1:7" x14ac:dyDescent="0.3">
      <c r="A7865" t="s">
        <v>2475</v>
      </c>
      <c r="B7865" t="s">
        <v>373</v>
      </c>
      <c r="C7865" t="s">
        <v>331</v>
      </c>
      <c r="D7865">
        <v>2011</v>
      </c>
      <c r="E7865" s="2">
        <v>2200</v>
      </c>
      <c r="F7865" s="2">
        <v>678888</v>
      </c>
      <c r="G7865" s="2"/>
    </row>
    <row r="7866" spans="1:7" x14ac:dyDescent="0.3">
      <c r="A7866" t="s">
        <v>2475</v>
      </c>
      <c r="B7866" t="s">
        <v>373</v>
      </c>
      <c r="C7866" t="s">
        <v>331</v>
      </c>
      <c r="D7866">
        <v>2012</v>
      </c>
      <c r="E7866" s="2">
        <v>1200</v>
      </c>
      <c r="F7866" s="2">
        <v>370272</v>
      </c>
      <c r="G7866" s="2"/>
    </row>
    <row r="7867" spans="1:7" x14ac:dyDescent="0.3">
      <c r="A7867" t="s">
        <v>2475</v>
      </c>
      <c r="B7867" t="s">
        <v>373</v>
      </c>
      <c r="C7867" t="s">
        <v>331</v>
      </c>
      <c r="D7867">
        <v>2013</v>
      </c>
      <c r="E7867" s="2">
        <v>1400</v>
      </c>
      <c r="F7867" s="2">
        <v>431802</v>
      </c>
      <c r="G7867" s="2"/>
    </row>
    <row r="7868" spans="1:7" x14ac:dyDescent="0.3">
      <c r="A7868" t="s">
        <v>2475</v>
      </c>
      <c r="B7868" t="s">
        <v>373</v>
      </c>
      <c r="C7868" t="s">
        <v>331</v>
      </c>
      <c r="D7868">
        <v>2014</v>
      </c>
      <c r="E7868" s="2">
        <v>1391.6</v>
      </c>
      <c r="F7868" s="2">
        <v>426128.1</v>
      </c>
      <c r="G7868" s="2"/>
    </row>
    <row r="7869" spans="1:7" x14ac:dyDescent="0.3">
      <c r="A7869" t="s">
        <v>2475</v>
      </c>
      <c r="B7869" t="s">
        <v>373</v>
      </c>
      <c r="C7869" t="s">
        <v>331</v>
      </c>
      <c r="D7869">
        <v>2015</v>
      </c>
      <c r="E7869" s="2">
        <v>800</v>
      </c>
      <c r="F7869" s="2">
        <v>240752</v>
      </c>
      <c r="G7869" s="2"/>
    </row>
    <row r="7870" spans="1:7" x14ac:dyDescent="0.3">
      <c r="A7870" t="s">
        <v>2475</v>
      </c>
      <c r="B7870" t="s">
        <v>373</v>
      </c>
      <c r="C7870" t="s">
        <v>331</v>
      </c>
      <c r="D7870">
        <v>2016</v>
      </c>
      <c r="E7870" s="2">
        <v>300</v>
      </c>
      <c r="F7870" s="2">
        <v>109366</v>
      </c>
      <c r="G7870" s="2"/>
    </row>
    <row r="7871" spans="1:7" x14ac:dyDescent="0.3">
      <c r="A7871" t="s">
        <v>2475</v>
      </c>
      <c r="B7871" t="s">
        <v>373</v>
      </c>
      <c r="C7871" t="s">
        <v>331</v>
      </c>
      <c r="D7871">
        <v>2017</v>
      </c>
      <c r="E7871" s="2">
        <v>300</v>
      </c>
      <c r="F7871" s="2">
        <v>79272</v>
      </c>
      <c r="G7871" s="2"/>
    </row>
    <row r="7872" spans="1:7" x14ac:dyDescent="0.3">
      <c r="A7872" t="s">
        <v>2475</v>
      </c>
      <c r="B7872" t="s">
        <v>373</v>
      </c>
      <c r="C7872" t="s">
        <v>331</v>
      </c>
      <c r="D7872">
        <v>2018</v>
      </c>
      <c r="E7872" s="2">
        <v>125</v>
      </c>
      <c r="F7872" s="2">
        <v>33075</v>
      </c>
      <c r="G7872" s="2">
        <v>34728.75</v>
      </c>
    </row>
    <row r="7873" spans="1:7" x14ac:dyDescent="0.3">
      <c r="A7873" t="s">
        <v>2475</v>
      </c>
      <c r="B7873" t="s">
        <v>373</v>
      </c>
      <c r="C7873" t="s">
        <v>331</v>
      </c>
      <c r="D7873">
        <v>2019</v>
      </c>
      <c r="E7873" s="2">
        <v>225</v>
      </c>
      <c r="F7873" s="2">
        <v>42425</v>
      </c>
      <c r="G7873" s="2">
        <v>44546.25</v>
      </c>
    </row>
    <row r="7874" spans="1:7" x14ac:dyDescent="0.3">
      <c r="A7874" t="s">
        <v>2475</v>
      </c>
      <c r="B7874" t="s">
        <v>373</v>
      </c>
      <c r="C7874" t="s">
        <v>331</v>
      </c>
      <c r="D7874">
        <v>2020</v>
      </c>
      <c r="E7874" s="2">
        <v>50</v>
      </c>
      <c r="F7874" s="2">
        <v>5750</v>
      </c>
      <c r="G7874" s="2">
        <v>6037.5</v>
      </c>
    </row>
    <row r="7875" spans="1:7" x14ac:dyDescent="0.3">
      <c r="A7875" t="s">
        <v>2475</v>
      </c>
      <c r="B7875" t="s">
        <v>373</v>
      </c>
      <c r="C7875" t="s">
        <v>331</v>
      </c>
      <c r="D7875">
        <v>2020</v>
      </c>
      <c r="E7875" s="2">
        <v>250</v>
      </c>
      <c r="F7875" s="2">
        <v>66150</v>
      </c>
      <c r="G7875" s="2">
        <v>69457.5</v>
      </c>
    </row>
    <row r="7876" spans="1:7" x14ac:dyDescent="0.3">
      <c r="A7876" t="s">
        <v>2475</v>
      </c>
      <c r="B7876" t="s">
        <v>373</v>
      </c>
      <c r="C7876" t="s">
        <v>331</v>
      </c>
      <c r="D7876">
        <v>2021</v>
      </c>
      <c r="E7876" s="2">
        <v>175</v>
      </c>
      <c r="F7876" s="2">
        <v>46305</v>
      </c>
      <c r="G7876" s="2">
        <v>48620.25</v>
      </c>
    </row>
    <row r="7877" spans="1:7" x14ac:dyDescent="0.3">
      <c r="A7877" t="s">
        <v>2475</v>
      </c>
      <c r="B7877" t="s">
        <v>68</v>
      </c>
      <c r="C7877" t="s">
        <v>69</v>
      </c>
      <c r="D7877">
        <v>2015</v>
      </c>
      <c r="E7877" s="2">
        <v>50</v>
      </c>
      <c r="F7877" s="2">
        <v>2746.9949999999999</v>
      </c>
      <c r="G7877" s="2"/>
    </row>
    <row r="7878" spans="1:7" x14ac:dyDescent="0.3">
      <c r="A7878" t="s">
        <v>2475</v>
      </c>
      <c r="B7878" t="s">
        <v>68</v>
      </c>
      <c r="C7878" t="s">
        <v>69</v>
      </c>
      <c r="D7878">
        <v>2019</v>
      </c>
      <c r="E7878" s="2">
        <v>50</v>
      </c>
      <c r="F7878" s="2">
        <v>3000</v>
      </c>
      <c r="G7878" s="2">
        <v>3150</v>
      </c>
    </row>
    <row r="7879" spans="1:7" x14ac:dyDescent="0.3">
      <c r="A7879" t="s">
        <v>2475</v>
      </c>
      <c r="B7879" t="s">
        <v>68</v>
      </c>
      <c r="C7879" t="s">
        <v>69</v>
      </c>
      <c r="D7879">
        <v>2020</v>
      </c>
      <c r="E7879" s="2">
        <v>50</v>
      </c>
      <c r="F7879" s="2">
        <v>3000</v>
      </c>
      <c r="G7879" s="2">
        <v>3150</v>
      </c>
    </row>
    <row r="7880" spans="1:7" x14ac:dyDescent="0.3">
      <c r="A7880" t="s">
        <v>2475</v>
      </c>
      <c r="B7880" t="s">
        <v>189</v>
      </c>
      <c r="D7880">
        <v>2019</v>
      </c>
      <c r="E7880" s="2">
        <v>30</v>
      </c>
      <c r="F7880" s="2">
        <v>7050</v>
      </c>
      <c r="G7880" s="2">
        <v>7402.5</v>
      </c>
    </row>
    <row r="7881" spans="1:7" x14ac:dyDescent="0.3">
      <c r="A7881" t="s">
        <v>2475</v>
      </c>
      <c r="B7881" t="s">
        <v>189</v>
      </c>
      <c r="D7881">
        <v>2020</v>
      </c>
      <c r="E7881" s="2">
        <v>30</v>
      </c>
      <c r="F7881" s="2">
        <v>7050</v>
      </c>
      <c r="G7881" s="2">
        <v>7402.5</v>
      </c>
    </row>
    <row r="7882" spans="1:7" x14ac:dyDescent="0.3">
      <c r="A7882" t="s">
        <v>2475</v>
      </c>
      <c r="B7882" t="s">
        <v>189</v>
      </c>
      <c r="D7882">
        <v>2021</v>
      </c>
      <c r="E7882" s="2">
        <v>30</v>
      </c>
      <c r="F7882" s="2">
        <v>7050</v>
      </c>
      <c r="G7882" s="2">
        <v>7402.5</v>
      </c>
    </row>
    <row r="7883" spans="1:7" x14ac:dyDescent="0.3">
      <c r="A7883" t="s">
        <v>2475</v>
      </c>
      <c r="B7883" t="s">
        <v>30</v>
      </c>
      <c r="C7883" t="s">
        <v>31</v>
      </c>
      <c r="D7883">
        <v>2018</v>
      </c>
      <c r="E7883" s="2">
        <v>1</v>
      </c>
      <c r="F7883" s="2">
        <v>75</v>
      </c>
      <c r="G7883" s="2">
        <v>78.75</v>
      </c>
    </row>
    <row r="7884" spans="1:7" x14ac:dyDescent="0.3">
      <c r="A7884" t="s">
        <v>2475</v>
      </c>
      <c r="B7884" t="s">
        <v>30</v>
      </c>
      <c r="C7884" t="s">
        <v>31</v>
      </c>
      <c r="D7884">
        <v>2020</v>
      </c>
      <c r="E7884" s="2">
        <v>1</v>
      </c>
      <c r="F7884" s="2">
        <v>75</v>
      </c>
      <c r="G7884" s="2">
        <v>78.75</v>
      </c>
    </row>
    <row r="7885" spans="1:7" x14ac:dyDescent="0.3">
      <c r="A7885" t="s">
        <v>2475</v>
      </c>
      <c r="B7885" t="s">
        <v>2480</v>
      </c>
      <c r="C7885" t="s">
        <v>2481</v>
      </c>
      <c r="D7885">
        <v>2011</v>
      </c>
      <c r="E7885" s="2">
        <v>25</v>
      </c>
      <c r="F7885" s="2">
        <v>1695</v>
      </c>
      <c r="G7885" s="2"/>
    </row>
    <row r="7886" spans="1:7" x14ac:dyDescent="0.3">
      <c r="A7886" t="s">
        <v>2475</v>
      </c>
      <c r="B7886" t="s">
        <v>72</v>
      </c>
      <c r="C7886" t="s">
        <v>319</v>
      </c>
      <c r="D7886">
        <v>2019</v>
      </c>
      <c r="E7886" s="2">
        <v>80</v>
      </c>
      <c r="F7886" s="2">
        <v>14000</v>
      </c>
      <c r="G7886" s="2">
        <v>14700</v>
      </c>
    </row>
    <row r="7887" spans="1:7" x14ac:dyDescent="0.3">
      <c r="A7887" t="s">
        <v>2475</v>
      </c>
      <c r="B7887" t="s">
        <v>72</v>
      </c>
      <c r="C7887" t="s">
        <v>319</v>
      </c>
      <c r="D7887">
        <v>2020</v>
      </c>
      <c r="E7887" s="2">
        <v>30</v>
      </c>
      <c r="F7887" s="2">
        <v>5250</v>
      </c>
      <c r="G7887" s="2">
        <v>5512.5</v>
      </c>
    </row>
    <row r="7888" spans="1:7" x14ac:dyDescent="0.3">
      <c r="A7888" t="s">
        <v>2475</v>
      </c>
      <c r="B7888" t="s">
        <v>157</v>
      </c>
      <c r="C7888" t="s">
        <v>158</v>
      </c>
      <c r="D7888">
        <v>2020</v>
      </c>
      <c r="E7888" s="2">
        <v>11</v>
      </c>
      <c r="F7888" s="2">
        <v>6435</v>
      </c>
      <c r="G7888" s="2">
        <v>6756.75</v>
      </c>
    </row>
    <row r="7889" spans="1:7" x14ac:dyDescent="0.3">
      <c r="A7889" t="s">
        <v>2482</v>
      </c>
      <c r="B7889" t="s">
        <v>206</v>
      </c>
      <c r="C7889" t="s">
        <v>207</v>
      </c>
      <c r="D7889">
        <v>2017</v>
      </c>
      <c r="E7889" s="2">
        <v>5</v>
      </c>
      <c r="F7889" s="2">
        <v>750</v>
      </c>
      <c r="G7889" s="2"/>
    </row>
    <row r="7890" spans="1:7" x14ac:dyDescent="0.3">
      <c r="A7890" t="s">
        <v>2482</v>
      </c>
      <c r="B7890" t="s">
        <v>206</v>
      </c>
      <c r="C7890" t="s">
        <v>207</v>
      </c>
      <c r="D7890">
        <v>2018</v>
      </c>
      <c r="E7890" s="2">
        <v>5</v>
      </c>
      <c r="F7890" s="2">
        <v>750</v>
      </c>
      <c r="G7890" s="2">
        <v>787.5</v>
      </c>
    </row>
    <row r="7891" spans="1:7" x14ac:dyDescent="0.3">
      <c r="A7891" t="s">
        <v>2482</v>
      </c>
      <c r="B7891" t="s">
        <v>536</v>
      </c>
      <c r="C7891" t="s">
        <v>537</v>
      </c>
      <c r="D7891">
        <v>2021</v>
      </c>
      <c r="E7891" s="2">
        <v>1</v>
      </c>
      <c r="F7891" s="2">
        <v>90</v>
      </c>
      <c r="G7891" s="2">
        <v>94.5</v>
      </c>
    </row>
    <row r="7892" spans="1:7" x14ac:dyDescent="0.3">
      <c r="A7892" t="s">
        <v>2482</v>
      </c>
      <c r="B7892" t="s">
        <v>454</v>
      </c>
      <c r="C7892" t="s">
        <v>455</v>
      </c>
      <c r="D7892">
        <v>2018</v>
      </c>
      <c r="E7892" s="2">
        <v>5</v>
      </c>
      <c r="F7892" s="2">
        <v>600</v>
      </c>
      <c r="G7892" s="2">
        <v>630</v>
      </c>
    </row>
    <row r="7893" spans="1:7" x14ac:dyDescent="0.3">
      <c r="A7893" t="s">
        <v>2482</v>
      </c>
      <c r="B7893" t="s">
        <v>99</v>
      </c>
      <c r="C7893" t="s">
        <v>100</v>
      </c>
      <c r="D7893">
        <v>2019</v>
      </c>
      <c r="E7893" s="2">
        <v>1</v>
      </c>
      <c r="F7893" s="2">
        <v>180</v>
      </c>
      <c r="G7893" s="2">
        <v>189</v>
      </c>
    </row>
    <row r="7894" spans="1:7" x14ac:dyDescent="0.3">
      <c r="A7894" t="s">
        <v>2482</v>
      </c>
      <c r="B7894" t="s">
        <v>543</v>
      </c>
      <c r="C7894" t="s">
        <v>544</v>
      </c>
      <c r="D7894">
        <v>2017</v>
      </c>
      <c r="E7894" s="2">
        <v>60</v>
      </c>
      <c r="F7894" s="2">
        <v>5100</v>
      </c>
      <c r="G7894" s="2"/>
    </row>
    <row r="7895" spans="1:7" x14ac:dyDescent="0.3">
      <c r="A7895" t="s">
        <v>2482</v>
      </c>
      <c r="B7895" t="s">
        <v>543</v>
      </c>
      <c r="C7895" t="s">
        <v>544</v>
      </c>
      <c r="D7895">
        <v>2019</v>
      </c>
      <c r="E7895" s="2">
        <v>25</v>
      </c>
      <c r="F7895" s="2">
        <v>2125</v>
      </c>
      <c r="G7895" s="2">
        <v>2231.25</v>
      </c>
    </row>
    <row r="7896" spans="1:7" x14ac:dyDescent="0.3">
      <c r="A7896" t="s">
        <v>2482</v>
      </c>
      <c r="B7896" t="s">
        <v>543</v>
      </c>
      <c r="C7896" t="s">
        <v>544</v>
      </c>
      <c r="D7896">
        <v>2020</v>
      </c>
      <c r="E7896" s="2">
        <v>5</v>
      </c>
      <c r="F7896" s="2">
        <v>405</v>
      </c>
      <c r="G7896" s="2">
        <v>425.25</v>
      </c>
    </row>
    <row r="7897" spans="1:7" x14ac:dyDescent="0.3">
      <c r="A7897" t="s">
        <v>2482</v>
      </c>
      <c r="B7897" t="s">
        <v>373</v>
      </c>
      <c r="C7897" t="s">
        <v>331</v>
      </c>
      <c r="D7897">
        <v>2020</v>
      </c>
      <c r="E7897" s="2">
        <v>1</v>
      </c>
      <c r="F7897" s="2">
        <v>140</v>
      </c>
      <c r="G7897" s="2">
        <v>147</v>
      </c>
    </row>
    <row r="7898" spans="1:7" x14ac:dyDescent="0.3">
      <c r="A7898" t="s">
        <v>2482</v>
      </c>
      <c r="B7898" t="s">
        <v>545</v>
      </c>
      <c r="C7898" t="s">
        <v>546</v>
      </c>
      <c r="D7898">
        <v>2019</v>
      </c>
      <c r="E7898" s="2">
        <v>25</v>
      </c>
      <c r="F7898" s="2">
        <v>3125</v>
      </c>
      <c r="G7898" s="2">
        <v>3281.25</v>
      </c>
    </row>
    <row r="7899" spans="1:7" x14ac:dyDescent="0.3">
      <c r="A7899" t="s">
        <v>2482</v>
      </c>
      <c r="B7899" t="s">
        <v>620</v>
      </c>
      <c r="C7899" t="s">
        <v>621</v>
      </c>
      <c r="D7899">
        <v>2018</v>
      </c>
      <c r="E7899" s="2">
        <v>10</v>
      </c>
      <c r="F7899" s="2">
        <v>1800</v>
      </c>
      <c r="G7899" s="2">
        <v>1890</v>
      </c>
    </row>
    <row r="7900" spans="1:7" x14ac:dyDescent="0.3">
      <c r="A7900" t="s">
        <v>2482</v>
      </c>
      <c r="B7900" t="s">
        <v>196</v>
      </c>
      <c r="C7900" t="s">
        <v>197</v>
      </c>
      <c r="D7900">
        <v>2018</v>
      </c>
      <c r="E7900" s="2">
        <v>32</v>
      </c>
      <c r="F7900" s="2">
        <v>5760</v>
      </c>
      <c r="G7900" s="2">
        <v>6048</v>
      </c>
    </row>
    <row r="7901" spans="1:7" x14ac:dyDescent="0.3">
      <c r="A7901" t="s">
        <v>2482</v>
      </c>
      <c r="B7901" t="s">
        <v>196</v>
      </c>
      <c r="C7901" t="s">
        <v>197</v>
      </c>
      <c r="D7901">
        <v>2019</v>
      </c>
      <c r="E7901" s="2">
        <v>55</v>
      </c>
      <c r="F7901" s="2">
        <v>7750</v>
      </c>
      <c r="G7901" s="2">
        <v>8137.5</v>
      </c>
    </row>
    <row r="7902" spans="1:7" x14ac:dyDescent="0.3">
      <c r="A7902" t="s">
        <v>2482</v>
      </c>
      <c r="B7902" t="s">
        <v>656</v>
      </c>
      <c r="C7902" t="s">
        <v>71</v>
      </c>
      <c r="D7902">
        <v>2017</v>
      </c>
      <c r="E7902" s="2">
        <v>5</v>
      </c>
      <c r="F7902" s="2">
        <v>900</v>
      </c>
      <c r="G7902" s="2"/>
    </row>
    <row r="7903" spans="1:7" x14ac:dyDescent="0.3">
      <c r="A7903" t="s">
        <v>2482</v>
      </c>
      <c r="B7903" t="s">
        <v>656</v>
      </c>
      <c r="C7903" t="s">
        <v>71</v>
      </c>
      <c r="D7903">
        <v>2018</v>
      </c>
      <c r="E7903" s="2">
        <v>60</v>
      </c>
      <c r="F7903" s="2">
        <v>10800</v>
      </c>
      <c r="G7903" s="2">
        <v>11340</v>
      </c>
    </row>
    <row r="7904" spans="1:7" x14ac:dyDescent="0.3">
      <c r="A7904" t="s">
        <v>2482</v>
      </c>
      <c r="B7904" t="s">
        <v>656</v>
      </c>
      <c r="C7904" t="s">
        <v>71</v>
      </c>
      <c r="D7904">
        <v>2019</v>
      </c>
      <c r="E7904" s="2">
        <v>45</v>
      </c>
      <c r="F7904" s="2">
        <v>8550</v>
      </c>
      <c r="G7904" s="2">
        <v>8977.5</v>
      </c>
    </row>
    <row r="7905" spans="1:7" x14ac:dyDescent="0.3">
      <c r="A7905" t="s">
        <v>2482</v>
      </c>
      <c r="B7905" t="s">
        <v>163</v>
      </c>
      <c r="C7905" t="s">
        <v>164</v>
      </c>
      <c r="D7905">
        <v>2018</v>
      </c>
      <c r="E7905" s="2">
        <v>0.5</v>
      </c>
      <c r="F7905" s="2">
        <v>90</v>
      </c>
      <c r="G7905" s="2">
        <v>94.5</v>
      </c>
    </row>
    <row r="7906" spans="1:7" x14ac:dyDescent="0.3">
      <c r="A7906" t="s">
        <v>2483</v>
      </c>
      <c r="B7906" t="s">
        <v>34</v>
      </c>
      <c r="D7906">
        <v>2021</v>
      </c>
      <c r="E7906" s="2">
        <v>5</v>
      </c>
      <c r="F7906" s="2">
        <v>375</v>
      </c>
      <c r="G7906" s="2">
        <v>393.75</v>
      </c>
    </row>
    <row r="7907" spans="1:7" x14ac:dyDescent="0.3">
      <c r="A7907" t="s">
        <v>2483</v>
      </c>
      <c r="B7907" t="s">
        <v>696</v>
      </c>
      <c r="C7907" t="s">
        <v>697</v>
      </c>
      <c r="D7907">
        <v>2020</v>
      </c>
      <c r="E7907" s="2">
        <v>10</v>
      </c>
      <c r="F7907" s="2">
        <v>700</v>
      </c>
      <c r="G7907" s="2">
        <v>735</v>
      </c>
    </row>
    <row r="7908" spans="1:7" x14ac:dyDescent="0.3">
      <c r="A7908" t="s">
        <v>2483</v>
      </c>
      <c r="B7908" t="s">
        <v>461</v>
      </c>
      <c r="D7908">
        <v>2020</v>
      </c>
      <c r="E7908" s="2">
        <v>5</v>
      </c>
      <c r="F7908" s="2">
        <v>375</v>
      </c>
      <c r="G7908" s="2">
        <v>393.75</v>
      </c>
    </row>
    <row r="7909" spans="1:7" x14ac:dyDescent="0.3">
      <c r="A7909" t="s">
        <v>2483</v>
      </c>
      <c r="B7909" t="s">
        <v>461</v>
      </c>
      <c r="D7909">
        <v>2021</v>
      </c>
      <c r="E7909" s="2">
        <v>5</v>
      </c>
      <c r="F7909" s="2">
        <v>375</v>
      </c>
      <c r="G7909" s="2">
        <v>393.75</v>
      </c>
    </row>
    <row r="7910" spans="1:7" x14ac:dyDescent="0.3">
      <c r="A7910" t="s">
        <v>2483</v>
      </c>
      <c r="B7910" t="s">
        <v>35</v>
      </c>
      <c r="D7910">
        <v>2019</v>
      </c>
      <c r="E7910" s="2">
        <v>5.25</v>
      </c>
      <c r="F7910" s="2">
        <v>393.75</v>
      </c>
      <c r="G7910" s="2">
        <v>413.4375</v>
      </c>
    </row>
    <row r="7911" spans="1:7" x14ac:dyDescent="0.3">
      <c r="A7911" t="s">
        <v>2483</v>
      </c>
      <c r="B7911" t="s">
        <v>642</v>
      </c>
      <c r="D7911">
        <v>2019</v>
      </c>
      <c r="E7911" s="2">
        <v>2</v>
      </c>
      <c r="F7911" s="2">
        <v>190</v>
      </c>
      <c r="G7911" s="2">
        <v>199.5</v>
      </c>
    </row>
    <row r="7912" spans="1:7" x14ac:dyDescent="0.3">
      <c r="A7912" t="s">
        <v>2483</v>
      </c>
      <c r="B7912" t="s">
        <v>642</v>
      </c>
      <c r="D7912">
        <v>2020</v>
      </c>
      <c r="E7912" s="2">
        <v>4.3</v>
      </c>
      <c r="F7912" s="2">
        <v>408.5</v>
      </c>
      <c r="G7912" s="2">
        <v>428.92500000000001</v>
      </c>
    </row>
    <row r="7913" spans="1:7" x14ac:dyDescent="0.3">
      <c r="A7913" t="s">
        <v>2483</v>
      </c>
      <c r="B7913" t="s">
        <v>110</v>
      </c>
      <c r="C7913" t="s">
        <v>111</v>
      </c>
      <c r="D7913">
        <v>2019</v>
      </c>
      <c r="E7913" s="2">
        <v>175</v>
      </c>
      <c r="F7913" s="2">
        <v>7900</v>
      </c>
      <c r="G7913" s="2">
        <v>8295</v>
      </c>
    </row>
    <row r="7914" spans="1:7" x14ac:dyDescent="0.3">
      <c r="A7914" t="s">
        <v>2483</v>
      </c>
      <c r="B7914" t="s">
        <v>110</v>
      </c>
      <c r="C7914" t="s">
        <v>111</v>
      </c>
      <c r="D7914">
        <v>2020</v>
      </c>
      <c r="E7914" s="2">
        <v>325</v>
      </c>
      <c r="F7914" s="2">
        <v>14625</v>
      </c>
      <c r="G7914" s="2">
        <v>15356.25</v>
      </c>
    </row>
    <row r="7915" spans="1:7" x14ac:dyDescent="0.3">
      <c r="A7915" t="s">
        <v>2483</v>
      </c>
      <c r="B7915" t="s">
        <v>110</v>
      </c>
      <c r="C7915" t="s">
        <v>111</v>
      </c>
      <c r="D7915">
        <v>2021</v>
      </c>
      <c r="E7915" s="2">
        <v>25</v>
      </c>
      <c r="F7915" s="2">
        <v>1125</v>
      </c>
      <c r="G7915" s="2">
        <v>1181.25</v>
      </c>
    </row>
    <row r="7916" spans="1:7" x14ac:dyDescent="0.3">
      <c r="A7916" t="s">
        <v>2483</v>
      </c>
      <c r="B7916" t="s">
        <v>68</v>
      </c>
      <c r="C7916" t="s">
        <v>69</v>
      </c>
      <c r="D7916">
        <v>2020</v>
      </c>
      <c r="E7916" s="2">
        <v>25</v>
      </c>
      <c r="F7916" s="2">
        <v>1550</v>
      </c>
      <c r="G7916" s="2">
        <v>1627.5</v>
      </c>
    </row>
    <row r="7917" spans="1:7" x14ac:dyDescent="0.3">
      <c r="A7917" t="s">
        <v>2483</v>
      </c>
      <c r="B7917" t="s">
        <v>36</v>
      </c>
      <c r="D7917">
        <v>2019</v>
      </c>
      <c r="E7917" s="2">
        <v>15</v>
      </c>
      <c r="F7917" s="2">
        <v>1150</v>
      </c>
      <c r="G7917" s="2">
        <v>1207.5</v>
      </c>
    </row>
    <row r="7918" spans="1:7" x14ac:dyDescent="0.3">
      <c r="A7918" t="s">
        <v>2483</v>
      </c>
      <c r="B7918" t="s">
        <v>36</v>
      </c>
      <c r="D7918">
        <v>2020</v>
      </c>
      <c r="E7918" s="2">
        <v>25</v>
      </c>
      <c r="F7918" s="2">
        <v>1875</v>
      </c>
      <c r="G7918" s="2">
        <v>1968.75</v>
      </c>
    </row>
    <row r="7919" spans="1:7" x14ac:dyDescent="0.3">
      <c r="A7919" t="s">
        <v>2483</v>
      </c>
      <c r="B7919" t="s">
        <v>2484</v>
      </c>
      <c r="D7919">
        <v>2011</v>
      </c>
      <c r="E7919" s="2">
        <v>13</v>
      </c>
      <c r="F7919" s="2">
        <v>806</v>
      </c>
      <c r="G7919" s="2"/>
    </row>
    <row r="7920" spans="1:7" x14ac:dyDescent="0.3">
      <c r="A7920" t="s">
        <v>2483</v>
      </c>
      <c r="B7920" t="s">
        <v>37</v>
      </c>
      <c r="D7920">
        <v>2019</v>
      </c>
      <c r="E7920" s="2">
        <v>15</v>
      </c>
      <c r="F7920" s="2">
        <v>1050</v>
      </c>
      <c r="G7920" s="2">
        <v>1102.5</v>
      </c>
    </row>
    <row r="7921" spans="1:7" x14ac:dyDescent="0.3">
      <c r="A7921" t="s">
        <v>2483</v>
      </c>
      <c r="B7921" t="s">
        <v>37</v>
      </c>
      <c r="D7921">
        <v>2020</v>
      </c>
      <c r="E7921" s="2">
        <v>10</v>
      </c>
      <c r="F7921" s="2">
        <v>700</v>
      </c>
      <c r="G7921" s="2">
        <v>735</v>
      </c>
    </row>
    <row r="7922" spans="1:7" x14ac:dyDescent="0.3">
      <c r="A7922" t="s">
        <v>2483</v>
      </c>
      <c r="B7922" t="s">
        <v>37</v>
      </c>
      <c r="D7922">
        <v>2021</v>
      </c>
      <c r="E7922" s="2">
        <v>5</v>
      </c>
      <c r="F7922" s="2">
        <v>350</v>
      </c>
      <c r="G7922" s="2">
        <v>367.5</v>
      </c>
    </row>
    <row r="7923" spans="1:7" x14ac:dyDescent="0.3">
      <c r="A7923" t="s">
        <v>2483</v>
      </c>
      <c r="B7923" t="s">
        <v>12</v>
      </c>
      <c r="C7923" t="s">
        <v>13</v>
      </c>
      <c r="D7923">
        <v>2019</v>
      </c>
      <c r="E7923" s="2">
        <v>35</v>
      </c>
      <c r="F7923" s="2">
        <v>2120</v>
      </c>
      <c r="G7923" s="2">
        <v>2226</v>
      </c>
    </row>
    <row r="7924" spans="1:7" x14ac:dyDescent="0.3">
      <c r="A7924" t="s">
        <v>2483</v>
      </c>
      <c r="B7924" t="s">
        <v>12</v>
      </c>
      <c r="C7924" t="s">
        <v>13</v>
      </c>
      <c r="D7924">
        <v>2020</v>
      </c>
      <c r="E7924" s="2">
        <v>300</v>
      </c>
      <c r="F7924" s="2">
        <v>1800</v>
      </c>
      <c r="G7924" s="2">
        <v>1890</v>
      </c>
    </row>
    <row r="7925" spans="1:7" x14ac:dyDescent="0.3">
      <c r="A7925" t="s">
        <v>2485</v>
      </c>
      <c r="B7925" t="s">
        <v>2486</v>
      </c>
      <c r="C7925" t="s">
        <v>2487</v>
      </c>
      <c r="D7925">
        <v>2017</v>
      </c>
      <c r="E7925" s="2">
        <v>35</v>
      </c>
      <c r="F7925" s="2">
        <v>2350</v>
      </c>
      <c r="G7925" s="2"/>
    </row>
    <row r="7926" spans="1:7" x14ac:dyDescent="0.3">
      <c r="A7926" t="s">
        <v>2485</v>
      </c>
      <c r="B7926" t="s">
        <v>84</v>
      </c>
      <c r="C7926" t="s">
        <v>85</v>
      </c>
      <c r="D7926">
        <v>2020</v>
      </c>
      <c r="E7926" s="2">
        <v>60</v>
      </c>
      <c r="F7926" s="2">
        <v>4500</v>
      </c>
      <c r="G7926" s="2">
        <v>4725</v>
      </c>
    </row>
    <row r="7927" spans="1:7" x14ac:dyDescent="0.3">
      <c r="A7927" t="s">
        <v>2485</v>
      </c>
      <c r="B7927" t="s">
        <v>84</v>
      </c>
      <c r="C7927" t="s">
        <v>85</v>
      </c>
      <c r="D7927">
        <v>2021</v>
      </c>
      <c r="E7927" s="2">
        <v>100</v>
      </c>
      <c r="F7927" s="2">
        <v>7500</v>
      </c>
      <c r="G7927" s="2">
        <v>7500</v>
      </c>
    </row>
    <row r="7928" spans="1:7" x14ac:dyDescent="0.3">
      <c r="A7928" t="s">
        <v>2485</v>
      </c>
      <c r="B7928" t="s">
        <v>719</v>
      </c>
      <c r="C7928" t="s">
        <v>925</v>
      </c>
      <c r="D7928">
        <v>2018</v>
      </c>
      <c r="E7928" s="2">
        <v>11</v>
      </c>
      <c r="F7928" s="2">
        <v>2090</v>
      </c>
      <c r="G7928" s="2">
        <v>2194.5</v>
      </c>
    </row>
    <row r="7929" spans="1:7" x14ac:dyDescent="0.3">
      <c r="A7929" t="s">
        <v>2485</v>
      </c>
      <c r="B7929" t="s">
        <v>589</v>
      </c>
      <c r="C7929" t="s">
        <v>590</v>
      </c>
      <c r="D7929">
        <v>2020</v>
      </c>
      <c r="E7929" s="2">
        <v>10</v>
      </c>
      <c r="F7929" s="2">
        <v>1900</v>
      </c>
      <c r="G7929" s="2">
        <v>1995</v>
      </c>
    </row>
    <row r="7930" spans="1:7" x14ac:dyDescent="0.3">
      <c r="A7930" t="s">
        <v>2485</v>
      </c>
      <c r="B7930" t="s">
        <v>665</v>
      </c>
      <c r="D7930">
        <v>2020</v>
      </c>
      <c r="E7930" s="2">
        <v>5</v>
      </c>
      <c r="F7930" s="2">
        <v>500</v>
      </c>
      <c r="G7930" s="2">
        <v>525</v>
      </c>
    </row>
    <row r="7931" spans="1:7" x14ac:dyDescent="0.3">
      <c r="A7931" t="s">
        <v>2485</v>
      </c>
      <c r="B7931" t="s">
        <v>536</v>
      </c>
      <c r="C7931" t="s">
        <v>537</v>
      </c>
      <c r="D7931">
        <v>2020</v>
      </c>
      <c r="E7931" s="2">
        <v>10</v>
      </c>
      <c r="F7931" s="2">
        <v>800</v>
      </c>
      <c r="G7931" s="2">
        <v>840</v>
      </c>
    </row>
    <row r="7932" spans="1:7" x14ac:dyDescent="0.3">
      <c r="A7932" t="s">
        <v>2485</v>
      </c>
      <c r="B7932" t="s">
        <v>99</v>
      </c>
      <c r="C7932" t="s">
        <v>100</v>
      </c>
      <c r="D7932">
        <v>2018</v>
      </c>
      <c r="E7932" s="2">
        <v>5</v>
      </c>
      <c r="F7932" s="2">
        <v>1100</v>
      </c>
      <c r="G7932" s="2">
        <v>1155</v>
      </c>
    </row>
    <row r="7933" spans="1:7" x14ac:dyDescent="0.3">
      <c r="A7933" t="s">
        <v>2485</v>
      </c>
      <c r="B7933" t="s">
        <v>184</v>
      </c>
      <c r="C7933" t="s">
        <v>185</v>
      </c>
      <c r="D7933">
        <v>2012</v>
      </c>
      <c r="E7933" s="2">
        <v>25</v>
      </c>
      <c r="F7933" s="2">
        <v>1500</v>
      </c>
      <c r="G7933" s="2"/>
    </row>
    <row r="7934" spans="1:7" x14ac:dyDescent="0.3">
      <c r="A7934" t="s">
        <v>2485</v>
      </c>
      <c r="B7934" t="s">
        <v>184</v>
      </c>
      <c r="C7934" t="s">
        <v>185</v>
      </c>
      <c r="D7934">
        <v>2013</v>
      </c>
      <c r="E7934" s="2">
        <v>50</v>
      </c>
      <c r="F7934" s="2">
        <v>3000</v>
      </c>
      <c r="G7934" s="2"/>
    </row>
    <row r="7935" spans="1:7" x14ac:dyDescent="0.3">
      <c r="A7935" t="s">
        <v>2485</v>
      </c>
      <c r="B7935" t="s">
        <v>184</v>
      </c>
      <c r="C7935" t="s">
        <v>185</v>
      </c>
      <c r="D7935">
        <v>2018</v>
      </c>
      <c r="E7935" s="2">
        <v>50</v>
      </c>
      <c r="F7935" s="2">
        <v>3000</v>
      </c>
      <c r="G7935" s="2">
        <v>3150</v>
      </c>
    </row>
    <row r="7936" spans="1:7" x14ac:dyDescent="0.3">
      <c r="A7936" t="s">
        <v>2485</v>
      </c>
      <c r="B7936" t="s">
        <v>686</v>
      </c>
      <c r="C7936" t="s">
        <v>687</v>
      </c>
      <c r="D7936">
        <v>2020</v>
      </c>
      <c r="E7936" s="2">
        <v>25</v>
      </c>
      <c r="F7936" s="2">
        <v>1500</v>
      </c>
      <c r="G7936" s="2">
        <v>1575</v>
      </c>
    </row>
    <row r="7937" spans="1:7" x14ac:dyDescent="0.3">
      <c r="A7937" t="s">
        <v>2485</v>
      </c>
      <c r="B7937" t="s">
        <v>686</v>
      </c>
      <c r="C7937" t="s">
        <v>687</v>
      </c>
      <c r="D7937">
        <v>2021</v>
      </c>
      <c r="E7937" s="2">
        <v>25</v>
      </c>
      <c r="F7937" s="2">
        <v>1500</v>
      </c>
      <c r="G7937" s="2">
        <v>1500</v>
      </c>
    </row>
    <row r="7938" spans="1:7" x14ac:dyDescent="0.3">
      <c r="A7938" t="s">
        <v>2485</v>
      </c>
      <c r="B7938" t="s">
        <v>19</v>
      </c>
      <c r="C7938" t="s">
        <v>1017</v>
      </c>
      <c r="D7938">
        <v>2009</v>
      </c>
      <c r="E7938" s="2">
        <v>10</v>
      </c>
      <c r="F7938" s="2">
        <v>750</v>
      </c>
      <c r="G7938" s="2"/>
    </row>
    <row r="7939" spans="1:7" x14ac:dyDescent="0.3">
      <c r="A7939" t="s">
        <v>2485</v>
      </c>
      <c r="B7939" t="s">
        <v>19</v>
      </c>
      <c r="C7939" t="s">
        <v>1017</v>
      </c>
      <c r="D7939">
        <v>2010</v>
      </c>
      <c r="E7939" s="2">
        <v>35</v>
      </c>
      <c r="F7939" s="2">
        <v>2625</v>
      </c>
      <c r="G7939" s="2"/>
    </row>
    <row r="7940" spans="1:7" x14ac:dyDescent="0.3">
      <c r="A7940" t="s">
        <v>2485</v>
      </c>
      <c r="B7940" t="s">
        <v>19</v>
      </c>
      <c r="C7940" t="s">
        <v>1017</v>
      </c>
      <c r="D7940">
        <v>2012</v>
      </c>
      <c r="E7940" s="2">
        <v>25</v>
      </c>
      <c r="F7940" s="2">
        <v>2000</v>
      </c>
      <c r="G7940" s="2"/>
    </row>
    <row r="7941" spans="1:7" x14ac:dyDescent="0.3">
      <c r="A7941" t="s">
        <v>2485</v>
      </c>
      <c r="B7941" t="s">
        <v>269</v>
      </c>
      <c r="C7941" t="s">
        <v>270</v>
      </c>
      <c r="D7941">
        <v>2018</v>
      </c>
      <c r="E7941" s="2">
        <v>50</v>
      </c>
      <c r="F7941" s="2">
        <v>3100</v>
      </c>
      <c r="G7941" s="2">
        <v>3255</v>
      </c>
    </row>
    <row r="7942" spans="1:7" x14ac:dyDescent="0.3">
      <c r="A7942" t="s">
        <v>2485</v>
      </c>
      <c r="B7942" t="s">
        <v>269</v>
      </c>
      <c r="C7942" t="s">
        <v>270</v>
      </c>
      <c r="D7942">
        <v>2019</v>
      </c>
      <c r="E7942" s="2">
        <v>125</v>
      </c>
      <c r="F7942" s="2">
        <v>7750</v>
      </c>
      <c r="G7942" s="2">
        <v>8137.5</v>
      </c>
    </row>
    <row r="7943" spans="1:7" x14ac:dyDescent="0.3">
      <c r="A7943" t="s">
        <v>2485</v>
      </c>
      <c r="B7943" t="s">
        <v>269</v>
      </c>
      <c r="C7943" t="s">
        <v>270</v>
      </c>
      <c r="D7943">
        <v>2020</v>
      </c>
      <c r="E7943" s="2">
        <v>75</v>
      </c>
      <c r="F7943" s="2">
        <v>4650</v>
      </c>
      <c r="G7943" s="2">
        <v>4882.5</v>
      </c>
    </row>
    <row r="7944" spans="1:7" x14ac:dyDescent="0.3">
      <c r="A7944" t="s">
        <v>2485</v>
      </c>
      <c r="B7944" t="s">
        <v>62</v>
      </c>
      <c r="C7944" t="s">
        <v>63</v>
      </c>
      <c r="D7944">
        <v>2021</v>
      </c>
      <c r="E7944" s="2">
        <v>25</v>
      </c>
      <c r="F7944" s="2">
        <v>1375</v>
      </c>
      <c r="G7944" s="2">
        <v>1375</v>
      </c>
    </row>
    <row r="7945" spans="1:7" x14ac:dyDescent="0.3">
      <c r="A7945" t="s">
        <v>2485</v>
      </c>
      <c r="B7945" t="s">
        <v>21</v>
      </c>
      <c r="C7945" t="s">
        <v>22</v>
      </c>
      <c r="D7945">
        <v>2012</v>
      </c>
      <c r="E7945" s="2">
        <v>100</v>
      </c>
      <c r="F7945" s="2">
        <v>7000</v>
      </c>
      <c r="G7945" s="2"/>
    </row>
    <row r="7946" spans="1:7" x14ac:dyDescent="0.3">
      <c r="A7946" t="s">
        <v>2485</v>
      </c>
      <c r="B7946" t="s">
        <v>110</v>
      </c>
      <c r="C7946" t="s">
        <v>111</v>
      </c>
      <c r="D7946">
        <v>2019</v>
      </c>
      <c r="E7946" s="2">
        <v>175</v>
      </c>
      <c r="F7946" s="2">
        <v>9550</v>
      </c>
      <c r="G7946" s="2">
        <v>10027.5</v>
      </c>
    </row>
    <row r="7947" spans="1:7" x14ac:dyDescent="0.3">
      <c r="A7947" t="s">
        <v>2485</v>
      </c>
      <c r="B7947" t="s">
        <v>110</v>
      </c>
      <c r="C7947" t="s">
        <v>111</v>
      </c>
      <c r="D7947">
        <v>2020</v>
      </c>
      <c r="E7947" s="2">
        <v>50</v>
      </c>
      <c r="F7947" s="2">
        <v>2750</v>
      </c>
      <c r="G7947" s="2">
        <v>2887.5</v>
      </c>
    </row>
    <row r="7948" spans="1:7" x14ac:dyDescent="0.3">
      <c r="A7948" t="s">
        <v>2485</v>
      </c>
      <c r="B7948" t="s">
        <v>110</v>
      </c>
      <c r="C7948" t="s">
        <v>111</v>
      </c>
      <c r="D7948">
        <v>2021</v>
      </c>
      <c r="E7948" s="2">
        <v>25</v>
      </c>
      <c r="F7948" s="2">
        <v>1375</v>
      </c>
      <c r="G7948" s="2">
        <v>1375</v>
      </c>
    </row>
    <row r="7949" spans="1:7" x14ac:dyDescent="0.3">
      <c r="A7949" t="s">
        <v>2485</v>
      </c>
      <c r="B7949" t="s">
        <v>1802</v>
      </c>
      <c r="D7949">
        <v>2020</v>
      </c>
      <c r="E7949" s="2">
        <v>50</v>
      </c>
      <c r="F7949" s="2">
        <v>5250</v>
      </c>
      <c r="G7949" s="2">
        <v>5512.5</v>
      </c>
    </row>
    <row r="7950" spans="1:7" x14ac:dyDescent="0.3">
      <c r="A7950" t="s">
        <v>2485</v>
      </c>
      <c r="B7950" t="s">
        <v>1184</v>
      </c>
      <c r="D7950">
        <v>2021</v>
      </c>
      <c r="E7950" s="2">
        <v>50</v>
      </c>
      <c r="F7950" s="2">
        <v>5000</v>
      </c>
      <c r="G7950" s="2">
        <v>5000</v>
      </c>
    </row>
    <row r="7951" spans="1:7" x14ac:dyDescent="0.3">
      <c r="A7951" t="s">
        <v>2485</v>
      </c>
      <c r="B7951" t="s">
        <v>187</v>
      </c>
      <c r="C7951" t="s">
        <v>188</v>
      </c>
      <c r="D7951">
        <v>2020</v>
      </c>
      <c r="E7951" s="2">
        <v>25</v>
      </c>
      <c r="F7951" s="2">
        <v>1950</v>
      </c>
      <c r="G7951" s="2">
        <v>2047.5</v>
      </c>
    </row>
    <row r="7952" spans="1:7" x14ac:dyDescent="0.3">
      <c r="A7952" t="s">
        <v>2485</v>
      </c>
      <c r="B7952" t="s">
        <v>438</v>
      </c>
      <c r="C7952" t="s">
        <v>439</v>
      </c>
      <c r="D7952">
        <v>2016</v>
      </c>
      <c r="E7952" s="2">
        <v>25</v>
      </c>
      <c r="F7952" s="2">
        <v>1625</v>
      </c>
      <c r="G7952" s="2"/>
    </row>
    <row r="7953" spans="1:7" x14ac:dyDescent="0.3">
      <c r="A7953" t="s">
        <v>2485</v>
      </c>
      <c r="B7953" t="s">
        <v>36</v>
      </c>
      <c r="D7953">
        <v>2019</v>
      </c>
      <c r="E7953" s="2">
        <v>10</v>
      </c>
      <c r="F7953" s="2">
        <v>800</v>
      </c>
      <c r="G7953" s="2">
        <v>840</v>
      </c>
    </row>
    <row r="7954" spans="1:7" x14ac:dyDescent="0.3">
      <c r="A7954" t="s">
        <v>2485</v>
      </c>
      <c r="B7954" t="s">
        <v>36</v>
      </c>
      <c r="D7954">
        <v>2020</v>
      </c>
      <c r="E7954" s="2">
        <v>45</v>
      </c>
      <c r="F7954" s="2">
        <v>4800</v>
      </c>
      <c r="G7954" s="2">
        <v>5040</v>
      </c>
    </row>
    <row r="7955" spans="1:7" x14ac:dyDescent="0.3">
      <c r="A7955" t="s">
        <v>2485</v>
      </c>
      <c r="B7955" t="s">
        <v>383</v>
      </c>
      <c r="C7955" t="s">
        <v>384</v>
      </c>
      <c r="D7955">
        <v>2020</v>
      </c>
      <c r="E7955" s="2">
        <v>50</v>
      </c>
      <c r="F7955" s="2">
        <v>3500</v>
      </c>
      <c r="G7955" s="2">
        <v>3675</v>
      </c>
    </row>
    <row r="7956" spans="1:7" x14ac:dyDescent="0.3">
      <c r="A7956" t="s">
        <v>2485</v>
      </c>
      <c r="B7956" t="s">
        <v>383</v>
      </c>
      <c r="C7956" t="s">
        <v>385</v>
      </c>
      <c r="D7956">
        <v>2020</v>
      </c>
      <c r="E7956" s="2">
        <v>25</v>
      </c>
      <c r="F7956" s="2">
        <v>1750</v>
      </c>
      <c r="G7956" s="2">
        <v>1837.5</v>
      </c>
    </row>
    <row r="7957" spans="1:7" x14ac:dyDescent="0.3">
      <c r="A7957" t="s">
        <v>2485</v>
      </c>
      <c r="B7957" t="s">
        <v>383</v>
      </c>
      <c r="C7957" t="s">
        <v>385</v>
      </c>
      <c r="D7957">
        <v>2021</v>
      </c>
      <c r="E7957" s="2">
        <v>25</v>
      </c>
      <c r="F7957" s="2">
        <v>1750</v>
      </c>
      <c r="G7957" s="2">
        <v>1750</v>
      </c>
    </row>
    <row r="7958" spans="1:7" x14ac:dyDescent="0.3">
      <c r="A7958" t="s">
        <v>2485</v>
      </c>
      <c r="B7958" t="s">
        <v>46</v>
      </c>
      <c r="C7958" t="s">
        <v>2488</v>
      </c>
      <c r="D7958">
        <v>2012</v>
      </c>
      <c r="E7958" s="2">
        <v>25</v>
      </c>
      <c r="F7958" s="2">
        <v>1875</v>
      </c>
      <c r="G7958" s="2"/>
    </row>
    <row r="7959" spans="1:7" x14ac:dyDescent="0.3">
      <c r="A7959" t="s">
        <v>2485</v>
      </c>
      <c r="B7959" t="s">
        <v>46</v>
      </c>
      <c r="C7959" t="s">
        <v>47</v>
      </c>
      <c r="D7959">
        <v>2017</v>
      </c>
      <c r="E7959" s="2">
        <v>35</v>
      </c>
      <c r="F7959" s="2">
        <v>2170</v>
      </c>
      <c r="G7959" s="2"/>
    </row>
    <row r="7960" spans="1:7" x14ac:dyDescent="0.3">
      <c r="A7960" t="s">
        <v>2485</v>
      </c>
      <c r="B7960" t="s">
        <v>46</v>
      </c>
      <c r="C7960" t="s">
        <v>47</v>
      </c>
      <c r="D7960">
        <v>2018</v>
      </c>
      <c r="E7960" s="2">
        <v>75</v>
      </c>
      <c r="F7960" s="2">
        <v>4550</v>
      </c>
      <c r="G7960" s="2">
        <v>4777.5</v>
      </c>
    </row>
    <row r="7961" spans="1:7" x14ac:dyDescent="0.3">
      <c r="A7961" t="s">
        <v>2485</v>
      </c>
      <c r="B7961" t="s">
        <v>46</v>
      </c>
      <c r="C7961" t="s">
        <v>2488</v>
      </c>
      <c r="D7961">
        <v>2018</v>
      </c>
      <c r="E7961" s="2">
        <v>25</v>
      </c>
      <c r="F7961" s="2">
        <v>1550</v>
      </c>
      <c r="G7961" s="2">
        <v>1627.5</v>
      </c>
    </row>
    <row r="7962" spans="1:7" x14ac:dyDescent="0.3">
      <c r="A7962" t="s">
        <v>2485</v>
      </c>
      <c r="B7962" t="s">
        <v>46</v>
      </c>
      <c r="C7962" t="s">
        <v>47</v>
      </c>
      <c r="D7962">
        <v>2019</v>
      </c>
      <c r="E7962" s="2">
        <v>25</v>
      </c>
      <c r="F7962" s="2">
        <v>1500</v>
      </c>
      <c r="G7962" s="2">
        <v>1575</v>
      </c>
    </row>
    <row r="7963" spans="1:7" x14ac:dyDescent="0.3">
      <c r="A7963" t="s">
        <v>2485</v>
      </c>
      <c r="B7963" t="s">
        <v>483</v>
      </c>
      <c r="C7963" t="s">
        <v>484</v>
      </c>
      <c r="D7963">
        <v>2020</v>
      </c>
      <c r="E7963" s="2">
        <v>75</v>
      </c>
      <c r="F7963" s="2">
        <v>4500</v>
      </c>
      <c r="G7963" s="2">
        <v>4725</v>
      </c>
    </row>
    <row r="7964" spans="1:7" x14ac:dyDescent="0.3">
      <c r="A7964" t="s">
        <v>2485</v>
      </c>
      <c r="B7964" t="s">
        <v>483</v>
      </c>
      <c r="C7964" t="s">
        <v>484</v>
      </c>
      <c r="D7964">
        <v>2021</v>
      </c>
      <c r="E7964" s="2">
        <v>25</v>
      </c>
      <c r="F7964" s="2">
        <v>1500</v>
      </c>
      <c r="G7964" s="2">
        <v>1500</v>
      </c>
    </row>
    <row r="7965" spans="1:7" x14ac:dyDescent="0.3">
      <c r="A7965" t="s">
        <v>2485</v>
      </c>
      <c r="B7965" t="s">
        <v>37</v>
      </c>
      <c r="D7965">
        <v>2019</v>
      </c>
      <c r="E7965" s="2">
        <v>16</v>
      </c>
      <c r="F7965" s="2">
        <v>1149</v>
      </c>
      <c r="G7965" s="2">
        <v>1206.45</v>
      </c>
    </row>
    <row r="7966" spans="1:7" x14ac:dyDescent="0.3">
      <c r="A7966" t="s">
        <v>2485</v>
      </c>
      <c r="B7966" t="s">
        <v>37</v>
      </c>
      <c r="D7966">
        <v>2020</v>
      </c>
      <c r="E7966" s="2">
        <v>10</v>
      </c>
      <c r="F7966" s="2">
        <v>750</v>
      </c>
      <c r="G7966" s="2">
        <v>787.5</v>
      </c>
    </row>
    <row r="7967" spans="1:7" x14ac:dyDescent="0.3">
      <c r="A7967" t="s">
        <v>2489</v>
      </c>
      <c r="B7967" t="s">
        <v>438</v>
      </c>
      <c r="C7967" t="s">
        <v>439</v>
      </c>
      <c r="D7967">
        <v>2017</v>
      </c>
      <c r="E7967" s="2">
        <v>5</v>
      </c>
      <c r="F7967" s="2">
        <v>350</v>
      </c>
      <c r="G7967" s="2"/>
    </row>
    <row r="7968" spans="1:7" x14ac:dyDescent="0.3">
      <c r="A7968" t="s">
        <v>2490</v>
      </c>
      <c r="B7968" t="s">
        <v>631</v>
      </c>
      <c r="C7968" t="s">
        <v>632</v>
      </c>
      <c r="D7968">
        <v>2020</v>
      </c>
      <c r="E7968" s="2">
        <v>50</v>
      </c>
      <c r="F7968" s="2">
        <v>3400</v>
      </c>
      <c r="G7968" s="2">
        <v>3570</v>
      </c>
    </row>
    <row r="7969" spans="1:7" x14ac:dyDescent="0.3">
      <c r="A7969" t="s">
        <v>2490</v>
      </c>
      <c r="B7969" t="s">
        <v>26</v>
      </c>
      <c r="C7969" t="s">
        <v>27</v>
      </c>
      <c r="D7969">
        <v>2020</v>
      </c>
      <c r="E7969" s="2">
        <v>50</v>
      </c>
      <c r="F7969" s="2">
        <v>3400</v>
      </c>
      <c r="G7969" s="2">
        <v>3570</v>
      </c>
    </row>
    <row r="7970" spans="1:7" x14ac:dyDescent="0.3">
      <c r="A7970" t="s">
        <v>2490</v>
      </c>
      <c r="B7970" t="s">
        <v>686</v>
      </c>
      <c r="C7970" t="s">
        <v>687</v>
      </c>
      <c r="D7970">
        <v>2020</v>
      </c>
      <c r="E7970" s="2">
        <v>50</v>
      </c>
      <c r="F7970" s="2">
        <v>3400</v>
      </c>
      <c r="G7970" s="2">
        <v>3570</v>
      </c>
    </row>
    <row r="7971" spans="1:7" x14ac:dyDescent="0.3">
      <c r="A7971" t="s">
        <v>2490</v>
      </c>
      <c r="B7971" t="s">
        <v>446</v>
      </c>
      <c r="C7971" t="s">
        <v>447</v>
      </c>
      <c r="D7971">
        <v>2020</v>
      </c>
      <c r="E7971" s="2">
        <v>200</v>
      </c>
      <c r="F7971" s="2">
        <v>13600</v>
      </c>
      <c r="G7971" s="2">
        <v>14280</v>
      </c>
    </row>
    <row r="7972" spans="1:7" x14ac:dyDescent="0.3">
      <c r="A7972" t="s">
        <v>2490</v>
      </c>
      <c r="B7972" t="s">
        <v>446</v>
      </c>
      <c r="C7972" t="s">
        <v>447</v>
      </c>
      <c r="D7972">
        <v>2021</v>
      </c>
      <c r="E7972" s="2">
        <v>50</v>
      </c>
      <c r="F7972" s="2">
        <v>3400</v>
      </c>
      <c r="G7972" s="2">
        <v>3570</v>
      </c>
    </row>
    <row r="7973" spans="1:7" x14ac:dyDescent="0.3">
      <c r="A7973" t="s">
        <v>2490</v>
      </c>
      <c r="B7973" t="s">
        <v>702</v>
      </c>
      <c r="C7973" t="s">
        <v>703</v>
      </c>
      <c r="D7973">
        <v>2019</v>
      </c>
      <c r="E7973" s="2">
        <v>75</v>
      </c>
      <c r="F7973" s="2">
        <v>5100</v>
      </c>
      <c r="G7973" s="2">
        <v>5355</v>
      </c>
    </row>
    <row r="7974" spans="1:7" x14ac:dyDescent="0.3">
      <c r="A7974" t="s">
        <v>2490</v>
      </c>
      <c r="B7974" t="s">
        <v>240</v>
      </c>
      <c r="D7974">
        <v>2020</v>
      </c>
      <c r="E7974" s="2">
        <v>40</v>
      </c>
      <c r="F7974" s="2">
        <v>3200</v>
      </c>
      <c r="G7974" s="2">
        <v>3360</v>
      </c>
    </row>
    <row r="7975" spans="1:7" x14ac:dyDescent="0.3">
      <c r="A7975" t="s">
        <v>2490</v>
      </c>
      <c r="B7975" t="s">
        <v>32</v>
      </c>
      <c r="D7975">
        <v>2019</v>
      </c>
      <c r="E7975" s="2">
        <v>40</v>
      </c>
      <c r="F7975" s="2">
        <v>2400</v>
      </c>
      <c r="G7975" s="2">
        <v>2520</v>
      </c>
    </row>
    <row r="7976" spans="1:7" x14ac:dyDescent="0.3">
      <c r="A7976" t="s">
        <v>2490</v>
      </c>
      <c r="B7976" t="s">
        <v>32</v>
      </c>
      <c r="D7976">
        <v>2020</v>
      </c>
      <c r="E7976" s="2">
        <v>116</v>
      </c>
      <c r="F7976" s="2">
        <v>6930</v>
      </c>
      <c r="G7976" s="2">
        <v>7276.5</v>
      </c>
    </row>
    <row r="7977" spans="1:7" x14ac:dyDescent="0.3">
      <c r="A7977" t="s">
        <v>2490</v>
      </c>
      <c r="B7977" t="s">
        <v>483</v>
      </c>
      <c r="C7977" t="s">
        <v>484</v>
      </c>
      <c r="D7977">
        <v>2019</v>
      </c>
      <c r="E7977" s="2">
        <v>100</v>
      </c>
      <c r="F7977" s="2">
        <v>6000</v>
      </c>
      <c r="G7977" s="2">
        <v>6300</v>
      </c>
    </row>
    <row r="7978" spans="1:7" x14ac:dyDescent="0.3">
      <c r="A7978" t="s">
        <v>2491</v>
      </c>
      <c r="B7978" t="s">
        <v>417</v>
      </c>
      <c r="C7978" t="s">
        <v>418</v>
      </c>
      <c r="D7978">
        <v>2017</v>
      </c>
      <c r="E7978" s="2">
        <v>100</v>
      </c>
      <c r="F7978" s="2">
        <v>8000</v>
      </c>
      <c r="G7978" s="2"/>
    </row>
    <row r="7979" spans="1:7" x14ac:dyDescent="0.3">
      <c r="A7979" t="s">
        <v>2491</v>
      </c>
      <c r="B7979" t="s">
        <v>631</v>
      </c>
      <c r="C7979" t="s">
        <v>632</v>
      </c>
      <c r="D7979">
        <v>2016</v>
      </c>
      <c r="E7979" s="2">
        <v>445</v>
      </c>
      <c r="F7979" s="2">
        <v>36925</v>
      </c>
      <c r="G7979" s="2"/>
    </row>
    <row r="7980" spans="1:7" x14ac:dyDescent="0.3">
      <c r="A7980" t="s">
        <v>2491</v>
      </c>
      <c r="B7980" t="s">
        <v>631</v>
      </c>
      <c r="C7980" t="s">
        <v>632</v>
      </c>
      <c r="D7980">
        <v>2020</v>
      </c>
      <c r="E7980" s="2">
        <v>200</v>
      </c>
      <c r="F7980" s="2">
        <v>11200</v>
      </c>
      <c r="G7980" s="2">
        <v>11760</v>
      </c>
    </row>
    <row r="7981" spans="1:7" x14ac:dyDescent="0.3">
      <c r="A7981" t="s">
        <v>2491</v>
      </c>
      <c r="B7981" t="s">
        <v>631</v>
      </c>
      <c r="C7981" t="s">
        <v>632</v>
      </c>
      <c r="D7981">
        <v>2021</v>
      </c>
      <c r="E7981" s="2">
        <v>25</v>
      </c>
      <c r="F7981" s="2">
        <v>1750</v>
      </c>
      <c r="G7981" s="2">
        <v>1837.5</v>
      </c>
    </row>
    <row r="7982" spans="1:7" x14ac:dyDescent="0.3">
      <c r="A7982" t="s">
        <v>2491</v>
      </c>
      <c r="B7982" t="s">
        <v>2492</v>
      </c>
      <c r="C7982" t="s">
        <v>667</v>
      </c>
      <c r="D7982">
        <v>2019</v>
      </c>
      <c r="E7982" s="2">
        <v>3000</v>
      </c>
      <c r="F7982" s="2">
        <v>168000</v>
      </c>
      <c r="G7982" s="2">
        <v>176400</v>
      </c>
    </row>
    <row r="7983" spans="1:7" x14ac:dyDescent="0.3">
      <c r="A7983" t="s">
        <v>2491</v>
      </c>
      <c r="B7983" t="s">
        <v>907</v>
      </c>
      <c r="D7983">
        <v>2014</v>
      </c>
      <c r="E7983" s="2">
        <v>25</v>
      </c>
      <c r="F7983" s="2">
        <v>1500</v>
      </c>
      <c r="G7983" s="2"/>
    </row>
    <row r="7984" spans="1:7" x14ac:dyDescent="0.3">
      <c r="A7984" t="s">
        <v>2491</v>
      </c>
      <c r="B7984" t="s">
        <v>26</v>
      </c>
      <c r="C7984" t="s">
        <v>27</v>
      </c>
      <c r="D7984">
        <v>2014</v>
      </c>
      <c r="E7984" s="2">
        <v>74</v>
      </c>
      <c r="F7984" s="2">
        <v>5550</v>
      </c>
      <c r="G7984" s="2"/>
    </row>
    <row r="7985" spans="1:7" x14ac:dyDescent="0.3">
      <c r="A7985" t="s">
        <v>2491</v>
      </c>
      <c r="B7985" t="s">
        <v>26</v>
      </c>
      <c r="C7985" t="s">
        <v>27</v>
      </c>
      <c r="D7985">
        <v>2017</v>
      </c>
      <c r="E7985" s="2">
        <v>550</v>
      </c>
      <c r="F7985" s="2">
        <v>44000</v>
      </c>
      <c r="G7985" s="2"/>
    </row>
    <row r="7986" spans="1:7" x14ac:dyDescent="0.3">
      <c r="A7986" t="s">
        <v>2491</v>
      </c>
      <c r="B7986" t="s">
        <v>26</v>
      </c>
      <c r="C7986" t="s">
        <v>27</v>
      </c>
      <c r="D7986">
        <v>2018</v>
      </c>
      <c r="E7986" s="2">
        <v>1475</v>
      </c>
      <c r="F7986" s="2">
        <v>87050</v>
      </c>
      <c r="G7986" s="2">
        <v>91402.5</v>
      </c>
    </row>
    <row r="7987" spans="1:7" x14ac:dyDescent="0.3">
      <c r="A7987" t="s">
        <v>2491</v>
      </c>
      <c r="B7987" t="s">
        <v>26</v>
      </c>
      <c r="C7987" t="s">
        <v>27</v>
      </c>
      <c r="D7987">
        <v>2019</v>
      </c>
      <c r="E7987" s="2">
        <v>750</v>
      </c>
      <c r="F7987" s="2">
        <v>43600</v>
      </c>
      <c r="G7987" s="2">
        <v>45780</v>
      </c>
    </row>
    <row r="7988" spans="1:7" x14ac:dyDescent="0.3">
      <c r="A7988" t="s">
        <v>2491</v>
      </c>
      <c r="B7988" t="s">
        <v>26</v>
      </c>
      <c r="C7988" t="s">
        <v>27</v>
      </c>
      <c r="D7988">
        <v>2020</v>
      </c>
      <c r="E7988" s="2">
        <v>500</v>
      </c>
      <c r="F7988" s="2">
        <v>28000</v>
      </c>
      <c r="G7988" s="2">
        <v>29400</v>
      </c>
    </row>
    <row r="7989" spans="1:7" x14ac:dyDescent="0.3">
      <c r="A7989" t="s">
        <v>2491</v>
      </c>
      <c r="B7989" t="s">
        <v>28</v>
      </c>
      <c r="D7989">
        <v>2015</v>
      </c>
      <c r="E7989" s="2">
        <v>5</v>
      </c>
      <c r="F7989" s="2">
        <v>2500</v>
      </c>
      <c r="G7989" s="2"/>
    </row>
    <row r="7990" spans="1:7" x14ac:dyDescent="0.3">
      <c r="A7990" t="s">
        <v>2491</v>
      </c>
      <c r="B7990" t="s">
        <v>29</v>
      </c>
      <c r="D7990">
        <v>2019</v>
      </c>
      <c r="E7990" s="2">
        <v>20</v>
      </c>
      <c r="F7990" s="2">
        <v>7800</v>
      </c>
      <c r="G7990" s="2">
        <v>8190</v>
      </c>
    </row>
    <row r="7991" spans="1:7" x14ac:dyDescent="0.3">
      <c r="A7991" t="s">
        <v>2491</v>
      </c>
      <c r="B7991" t="s">
        <v>242</v>
      </c>
      <c r="D7991">
        <v>2020</v>
      </c>
      <c r="E7991" s="2">
        <v>2</v>
      </c>
      <c r="F7991" s="2">
        <v>730</v>
      </c>
      <c r="G7991" s="2">
        <v>766.5</v>
      </c>
    </row>
    <row r="7992" spans="1:7" x14ac:dyDescent="0.3">
      <c r="A7992" t="s">
        <v>2491</v>
      </c>
      <c r="B7992" t="s">
        <v>2493</v>
      </c>
      <c r="D7992">
        <v>2012</v>
      </c>
      <c r="E7992" s="2">
        <v>40</v>
      </c>
      <c r="F7992" s="2">
        <v>8400</v>
      </c>
      <c r="G7992" s="2"/>
    </row>
    <row r="7993" spans="1:7" x14ac:dyDescent="0.3">
      <c r="A7993" t="s">
        <v>2491</v>
      </c>
      <c r="B7993" t="s">
        <v>2493</v>
      </c>
      <c r="D7993">
        <v>2013</v>
      </c>
      <c r="E7993" s="2">
        <v>12</v>
      </c>
      <c r="F7993" s="2">
        <v>3960</v>
      </c>
      <c r="G7993" s="2"/>
    </row>
    <row r="7994" spans="1:7" x14ac:dyDescent="0.3">
      <c r="A7994" t="s">
        <v>2491</v>
      </c>
      <c r="B7994" t="s">
        <v>2493</v>
      </c>
      <c r="D7994">
        <v>2016</v>
      </c>
      <c r="E7994" s="2">
        <v>40</v>
      </c>
      <c r="F7994" s="2">
        <v>10280</v>
      </c>
      <c r="G7994" s="2"/>
    </row>
    <row r="7995" spans="1:7" x14ac:dyDescent="0.3">
      <c r="A7995" t="s">
        <v>2491</v>
      </c>
      <c r="B7995" t="s">
        <v>2493</v>
      </c>
      <c r="D7995">
        <v>2018</v>
      </c>
      <c r="E7995" s="2">
        <v>25</v>
      </c>
      <c r="F7995" s="2">
        <v>6425</v>
      </c>
      <c r="G7995" s="2">
        <v>6746.25</v>
      </c>
    </row>
    <row r="7996" spans="1:7" x14ac:dyDescent="0.3">
      <c r="A7996" t="s">
        <v>2491</v>
      </c>
      <c r="B7996" t="s">
        <v>2493</v>
      </c>
      <c r="D7996">
        <v>2020</v>
      </c>
      <c r="E7996" s="2">
        <v>2</v>
      </c>
      <c r="F7996" s="2">
        <v>460</v>
      </c>
      <c r="G7996" s="2">
        <v>483</v>
      </c>
    </row>
    <row r="7997" spans="1:7" x14ac:dyDescent="0.3">
      <c r="A7997" t="s">
        <v>2491</v>
      </c>
      <c r="B7997" t="s">
        <v>297</v>
      </c>
      <c r="C7997" t="s">
        <v>298</v>
      </c>
      <c r="D7997">
        <v>2015</v>
      </c>
      <c r="E7997" s="2">
        <v>75</v>
      </c>
      <c r="F7997" s="2">
        <v>7125</v>
      </c>
      <c r="G7997" s="2"/>
    </row>
    <row r="7998" spans="1:7" x14ac:dyDescent="0.3">
      <c r="A7998" t="s">
        <v>2491</v>
      </c>
      <c r="B7998" t="s">
        <v>297</v>
      </c>
      <c r="C7998" t="s">
        <v>298</v>
      </c>
      <c r="D7998">
        <v>2016</v>
      </c>
      <c r="E7998" s="2">
        <v>75</v>
      </c>
      <c r="F7998" s="2">
        <v>6750</v>
      </c>
      <c r="G7998" s="2"/>
    </row>
    <row r="7999" spans="1:7" x14ac:dyDescent="0.3">
      <c r="A7999" t="s">
        <v>2491</v>
      </c>
      <c r="B7999" t="s">
        <v>297</v>
      </c>
      <c r="C7999" t="s">
        <v>298</v>
      </c>
      <c r="D7999">
        <v>2017</v>
      </c>
      <c r="E7999" s="2">
        <v>1400</v>
      </c>
      <c r="F7999" s="2">
        <v>91000</v>
      </c>
      <c r="G7999" s="2"/>
    </row>
    <row r="8000" spans="1:7" x14ac:dyDescent="0.3">
      <c r="A8000" t="s">
        <v>2491</v>
      </c>
      <c r="B8000" t="s">
        <v>19</v>
      </c>
      <c r="C8000" t="s">
        <v>20</v>
      </c>
      <c r="D8000">
        <v>2012</v>
      </c>
      <c r="E8000" s="2">
        <v>75</v>
      </c>
      <c r="F8000" s="2">
        <v>7125</v>
      </c>
      <c r="G8000" s="2"/>
    </row>
    <row r="8001" spans="1:7" x14ac:dyDescent="0.3">
      <c r="A8001" t="s">
        <v>2491</v>
      </c>
      <c r="B8001" t="s">
        <v>19</v>
      </c>
      <c r="C8001" t="s">
        <v>20</v>
      </c>
      <c r="D8001">
        <v>2013</v>
      </c>
      <c r="E8001" s="2">
        <v>150</v>
      </c>
      <c r="F8001" s="2">
        <v>14250</v>
      </c>
      <c r="G8001" s="2"/>
    </row>
    <row r="8002" spans="1:7" x14ac:dyDescent="0.3">
      <c r="A8002" t="s">
        <v>2491</v>
      </c>
      <c r="B8002" t="s">
        <v>19</v>
      </c>
      <c r="C8002" t="s">
        <v>20</v>
      </c>
      <c r="D8002">
        <v>2014</v>
      </c>
      <c r="E8002" s="2">
        <v>200</v>
      </c>
      <c r="F8002" s="2">
        <v>19000</v>
      </c>
      <c r="G8002" s="2"/>
    </row>
    <row r="8003" spans="1:7" x14ac:dyDescent="0.3">
      <c r="A8003" t="s">
        <v>2491</v>
      </c>
      <c r="B8003" t="s">
        <v>19</v>
      </c>
      <c r="C8003" t="s">
        <v>20</v>
      </c>
      <c r="D8003">
        <v>2015</v>
      </c>
      <c r="E8003" s="2">
        <v>50</v>
      </c>
      <c r="F8003" s="2">
        <v>4750</v>
      </c>
      <c r="G8003" s="2"/>
    </row>
    <row r="8004" spans="1:7" x14ac:dyDescent="0.3">
      <c r="A8004" t="s">
        <v>2491</v>
      </c>
      <c r="B8004" t="s">
        <v>19</v>
      </c>
      <c r="C8004" t="s">
        <v>20</v>
      </c>
      <c r="D8004">
        <v>2016</v>
      </c>
      <c r="E8004" s="2">
        <v>100</v>
      </c>
      <c r="F8004" s="2">
        <v>9500</v>
      </c>
      <c r="G8004" s="2"/>
    </row>
    <row r="8005" spans="1:7" x14ac:dyDescent="0.3">
      <c r="A8005" t="s">
        <v>2491</v>
      </c>
      <c r="B8005" t="s">
        <v>19</v>
      </c>
      <c r="C8005" t="s">
        <v>20</v>
      </c>
      <c r="D8005">
        <v>2021</v>
      </c>
      <c r="E8005" s="2">
        <v>25</v>
      </c>
      <c r="F8005" s="2">
        <v>1800</v>
      </c>
      <c r="G8005" s="2">
        <v>1890</v>
      </c>
    </row>
    <row r="8006" spans="1:7" x14ac:dyDescent="0.3">
      <c r="A8006" t="s">
        <v>2491</v>
      </c>
      <c r="B8006" t="s">
        <v>41</v>
      </c>
      <c r="C8006" t="s">
        <v>42</v>
      </c>
      <c r="D8006">
        <v>2011</v>
      </c>
      <c r="E8006" s="2">
        <v>75</v>
      </c>
      <c r="F8006" s="2">
        <v>4875</v>
      </c>
      <c r="G8006" s="2"/>
    </row>
    <row r="8007" spans="1:7" x14ac:dyDescent="0.3">
      <c r="A8007" t="s">
        <v>2491</v>
      </c>
      <c r="B8007" t="s">
        <v>41</v>
      </c>
      <c r="C8007" t="s">
        <v>42</v>
      </c>
      <c r="D8007">
        <v>2017</v>
      </c>
      <c r="E8007" s="2">
        <v>150</v>
      </c>
      <c r="F8007" s="2">
        <v>12750</v>
      </c>
      <c r="G8007" s="2"/>
    </row>
    <row r="8008" spans="1:7" x14ac:dyDescent="0.3">
      <c r="A8008" t="s">
        <v>2491</v>
      </c>
      <c r="B8008" t="s">
        <v>1885</v>
      </c>
      <c r="C8008" t="s">
        <v>742</v>
      </c>
      <c r="D8008">
        <v>2014</v>
      </c>
      <c r="E8008" s="2">
        <v>75</v>
      </c>
      <c r="F8008" s="2">
        <v>6000</v>
      </c>
      <c r="G8008" s="2"/>
    </row>
    <row r="8009" spans="1:7" x14ac:dyDescent="0.3">
      <c r="A8009" t="s">
        <v>2491</v>
      </c>
      <c r="B8009" t="s">
        <v>1885</v>
      </c>
      <c r="C8009" t="s">
        <v>742</v>
      </c>
      <c r="D8009">
        <v>2016</v>
      </c>
      <c r="E8009" s="2">
        <v>25</v>
      </c>
      <c r="F8009" s="2">
        <v>2000</v>
      </c>
      <c r="G8009" s="2"/>
    </row>
    <row r="8010" spans="1:7" x14ac:dyDescent="0.3">
      <c r="A8010" t="s">
        <v>2491</v>
      </c>
      <c r="B8010" t="s">
        <v>446</v>
      </c>
      <c r="C8010" t="s">
        <v>447</v>
      </c>
      <c r="D8010">
        <v>2020</v>
      </c>
      <c r="E8010" s="2">
        <v>1000</v>
      </c>
      <c r="F8010" s="2">
        <v>56000</v>
      </c>
      <c r="G8010" s="2">
        <v>58800</v>
      </c>
    </row>
    <row r="8011" spans="1:7" x14ac:dyDescent="0.3">
      <c r="A8011" t="s">
        <v>2491</v>
      </c>
      <c r="B8011" t="s">
        <v>702</v>
      </c>
      <c r="C8011" t="s">
        <v>703</v>
      </c>
      <c r="D8011">
        <v>2019</v>
      </c>
      <c r="E8011" s="2">
        <v>1350</v>
      </c>
      <c r="F8011" s="2">
        <v>75600</v>
      </c>
      <c r="G8011" s="2">
        <v>79380</v>
      </c>
    </row>
    <row r="8012" spans="1:7" x14ac:dyDescent="0.3">
      <c r="A8012" t="s">
        <v>2491</v>
      </c>
      <c r="B8012" t="s">
        <v>702</v>
      </c>
      <c r="C8012" t="s">
        <v>703</v>
      </c>
      <c r="D8012">
        <v>2020</v>
      </c>
      <c r="E8012" s="2">
        <v>1300</v>
      </c>
      <c r="F8012" s="2">
        <v>72800</v>
      </c>
      <c r="G8012" s="2">
        <v>76440</v>
      </c>
    </row>
    <row r="8013" spans="1:7" x14ac:dyDescent="0.3">
      <c r="A8013" t="s">
        <v>2491</v>
      </c>
      <c r="B8013" t="s">
        <v>1671</v>
      </c>
      <c r="C8013" t="s">
        <v>1672</v>
      </c>
      <c r="D8013">
        <v>2018</v>
      </c>
      <c r="E8013" s="2">
        <v>1000</v>
      </c>
      <c r="F8013" s="2">
        <v>58000</v>
      </c>
      <c r="G8013" s="2">
        <v>60900</v>
      </c>
    </row>
    <row r="8014" spans="1:7" x14ac:dyDescent="0.3">
      <c r="A8014" t="s">
        <v>2491</v>
      </c>
      <c r="B8014" t="s">
        <v>1671</v>
      </c>
      <c r="C8014" t="s">
        <v>1672</v>
      </c>
      <c r="D8014">
        <v>2021</v>
      </c>
      <c r="E8014" s="2">
        <v>1000</v>
      </c>
      <c r="F8014" s="2">
        <v>56000</v>
      </c>
      <c r="G8014" s="2">
        <v>58800</v>
      </c>
    </row>
    <row r="8015" spans="1:7" x14ac:dyDescent="0.3">
      <c r="A8015" t="s">
        <v>2491</v>
      </c>
      <c r="B8015" t="s">
        <v>1815</v>
      </c>
      <c r="C8015" t="s">
        <v>1223</v>
      </c>
      <c r="D8015">
        <v>2014</v>
      </c>
      <c r="E8015" s="2">
        <v>25</v>
      </c>
      <c r="F8015" s="2">
        <v>2250</v>
      </c>
      <c r="G8015" s="2"/>
    </row>
    <row r="8016" spans="1:7" x14ac:dyDescent="0.3">
      <c r="A8016" t="s">
        <v>2491</v>
      </c>
      <c r="B8016" t="s">
        <v>1815</v>
      </c>
      <c r="C8016" t="s">
        <v>1223</v>
      </c>
      <c r="D8016">
        <v>2015</v>
      </c>
      <c r="E8016" s="2">
        <v>50</v>
      </c>
      <c r="F8016" s="2">
        <v>4500</v>
      </c>
      <c r="G8016" s="2"/>
    </row>
    <row r="8017" spans="1:7" x14ac:dyDescent="0.3">
      <c r="A8017" t="s">
        <v>2491</v>
      </c>
      <c r="B8017" t="s">
        <v>2494</v>
      </c>
      <c r="C8017" t="s">
        <v>2495</v>
      </c>
      <c r="D8017">
        <v>2014</v>
      </c>
      <c r="E8017" s="2">
        <v>150</v>
      </c>
      <c r="F8017" s="2">
        <v>13500</v>
      </c>
      <c r="G8017" s="2"/>
    </row>
    <row r="8018" spans="1:7" x14ac:dyDescent="0.3">
      <c r="A8018" t="s">
        <v>2491</v>
      </c>
      <c r="B8018" t="s">
        <v>438</v>
      </c>
      <c r="C8018" t="s">
        <v>439</v>
      </c>
      <c r="D8018">
        <v>2017</v>
      </c>
      <c r="E8018" s="2">
        <v>150</v>
      </c>
      <c r="F8018" s="2">
        <v>11800</v>
      </c>
      <c r="G8018" s="2"/>
    </row>
    <row r="8019" spans="1:7" x14ac:dyDescent="0.3">
      <c r="A8019" t="s">
        <v>2491</v>
      </c>
      <c r="B8019" t="s">
        <v>45</v>
      </c>
      <c r="D8019">
        <v>2011</v>
      </c>
      <c r="E8019" s="2">
        <v>20</v>
      </c>
      <c r="F8019" s="2">
        <v>1800</v>
      </c>
      <c r="G8019" s="2"/>
    </row>
    <row r="8020" spans="1:7" x14ac:dyDescent="0.3">
      <c r="A8020" t="s">
        <v>2491</v>
      </c>
      <c r="B8020" t="s">
        <v>863</v>
      </c>
      <c r="D8020">
        <v>2015</v>
      </c>
      <c r="E8020" s="2">
        <v>5</v>
      </c>
      <c r="F8020" s="2">
        <v>475</v>
      </c>
      <c r="G8020" s="2"/>
    </row>
    <row r="8021" spans="1:7" x14ac:dyDescent="0.3">
      <c r="A8021" t="s">
        <v>2491</v>
      </c>
      <c r="B8021" t="s">
        <v>863</v>
      </c>
      <c r="D8021">
        <v>2018</v>
      </c>
      <c r="E8021" s="2">
        <v>5</v>
      </c>
      <c r="F8021" s="2">
        <v>475</v>
      </c>
      <c r="G8021" s="2">
        <v>498.75</v>
      </c>
    </row>
    <row r="8022" spans="1:7" x14ac:dyDescent="0.3">
      <c r="A8022" t="s">
        <v>2491</v>
      </c>
      <c r="B8022" t="s">
        <v>32</v>
      </c>
      <c r="D8022">
        <v>2014</v>
      </c>
      <c r="E8022" s="2">
        <v>45</v>
      </c>
      <c r="F8022" s="2">
        <v>4050</v>
      </c>
      <c r="G8022" s="2"/>
    </row>
    <row r="8023" spans="1:7" x14ac:dyDescent="0.3">
      <c r="A8023" t="s">
        <v>2491</v>
      </c>
      <c r="B8023" t="s">
        <v>32</v>
      </c>
      <c r="D8023">
        <v>2015</v>
      </c>
      <c r="E8023" s="2">
        <v>80</v>
      </c>
      <c r="F8023" s="2">
        <v>7200</v>
      </c>
      <c r="G8023" s="2"/>
    </row>
    <row r="8024" spans="1:7" x14ac:dyDescent="0.3">
      <c r="A8024" t="s">
        <v>2491</v>
      </c>
      <c r="B8024" t="s">
        <v>32</v>
      </c>
      <c r="D8024">
        <v>2016</v>
      </c>
      <c r="E8024" s="2">
        <v>60</v>
      </c>
      <c r="F8024" s="2">
        <v>5400</v>
      </c>
      <c r="G8024" s="2"/>
    </row>
    <row r="8025" spans="1:7" x14ac:dyDescent="0.3">
      <c r="A8025" t="s">
        <v>2491</v>
      </c>
      <c r="B8025" t="s">
        <v>32</v>
      </c>
      <c r="D8025">
        <v>2018</v>
      </c>
      <c r="E8025" s="2">
        <v>20</v>
      </c>
      <c r="F8025" s="2">
        <v>1600</v>
      </c>
      <c r="G8025" s="2">
        <v>1680</v>
      </c>
    </row>
    <row r="8026" spans="1:7" x14ac:dyDescent="0.3">
      <c r="A8026" t="s">
        <v>2491</v>
      </c>
      <c r="B8026" t="s">
        <v>46</v>
      </c>
      <c r="C8026" t="s">
        <v>47</v>
      </c>
      <c r="D8026">
        <v>2015</v>
      </c>
      <c r="E8026" s="2">
        <v>200</v>
      </c>
      <c r="F8026" s="2">
        <v>16000</v>
      </c>
      <c r="G8026" s="2"/>
    </row>
    <row r="8027" spans="1:7" x14ac:dyDescent="0.3">
      <c r="A8027" t="s">
        <v>2491</v>
      </c>
      <c r="B8027" t="s">
        <v>46</v>
      </c>
      <c r="C8027" t="s">
        <v>47</v>
      </c>
      <c r="D8027">
        <v>2016</v>
      </c>
      <c r="E8027" s="2">
        <v>260</v>
      </c>
      <c r="F8027" s="2">
        <v>20800</v>
      </c>
      <c r="G8027" s="2"/>
    </row>
    <row r="8028" spans="1:7" x14ac:dyDescent="0.3">
      <c r="A8028" t="s">
        <v>2491</v>
      </c>
      <c r="B8028" t="s">
        <v>46</v>
      </c>
      <c r="C8028" t="s">
        <v>47</v>
      </c>
      <c r="D8028">
        <v>2017</v>
      </c>
      <c r="E8028" s="2">
        <v>250</v>
      </c>
      <c r="F8028" s="2">
        <v>20000</v>
      </c>
      <c r="G8028" s="2"/>
    </row>
    <row r="8029" spans="1:7" x14ac:dyDescent="0.3">
      <c r="A8029" t="s">
        <v>2491</v>
      </c>
      <c r="B8029" t="s">
        <v>483</v>
      </c>
      <c r="C8029" t="s">
        <v>484</v>
      </c>
      <c r="D8029">
        <v>2020</v>
      </c>
      <c r="E8029" s="2">
        <v>500</v>
      </c>
      <c r="F8029" s="2">
        <v>28000</v>
      </c>
      <c r="G8029" s="2">
        <v>29400</v>
      </c>
    </row>
    <row r="8030" spans="1:7" x14ac:dyDescent="0.3">
      <c r="A8030" t="s">
        <v>2496</v>
      </c>
      <c r="B8030" t="s">
        <v>453</v>
      </c>
      <c r="D8030">
        <v>2019</v>
      </c>
      <c r="E8030" s="2">
        <v>10</v>
      </c>
      <c r="F8030" s="2">
        <v>850</v>
      </c>
      <c r="G8030" s="2">
        <v>892.5</v>
      </c>
    </row>
    <row r="8031" spans="1:7" x14ac:dyDescent="0.3">
      <c r="A8031" t="s">
        <v>2496</v>
      </c>
      <c r="B8031" t="s">
        <v>696</v>
      </c>
      <c r="C8031" t="s">
        <v>697</v>
      </c>
      <c r="D8031">
        <v>2011</v>
      </c>
      <c r="E8031" s="2">
        <v>25</v>
      </c>
      <c r="F8031" s="2">
        <v>1625</v>
      </c>
      <c r="G8031" s="2"/>
    </row>
    <row r="8032" spans="1:7" x14ac:dyDescent="0.3">
      <c r="A8032" t="s">
        <v>2496</v>
      </c>
      <c r="B8032" t="s">
        <v>696</v>
      </c>
      <c r="C8032" t="s">
        <v>697</v>
      </c>
      <c r="D8032">
        <v>2012</v>
      </c>
      <c r="E8032" s="2">
        <v>75</v>
      </c>
      <c r="F8032" s="2">
        <v>5962.5</v>
      </c>
      <c r="G8032" s="2"/>
    </row>
    <row r="8033" spans="1:7" x14ac:dyDescent="0.3">
      <c r="A8033" t="s">
        <v>2496</v>
      </c>
      <c r="B8033" t="s">
        <v>459</v>
      </c>
      <c r="C8033" t="s">
        <v>460</v>
      </c>
      <c r="D8033">
        <v>2014</v>
      </c>
      <c r="E8033" s="2">
        <v>25</v>
      </c>
      <c r="F8033" s="2">
        <v>1750</v>
      </c>
      <c r="G8033" s="2"/>
    </row>
    <row r="8034" spans="1:7" x14ac:dyDescent="0.3">
      <c r="A8034" t="s">
        <v>2496</v>
      </c>
      <c r="B8034" t="s">
        <v>184</v>
      </c>
      <c r="C8034" t="s">
        <v>185</v>
      </c>
      <c r="D8034">
        <v>2010</v>
      </c>
      <c r="E8034" s="2">
        <v>25</v>
      </c>
      <c r="F8034" s="2">
        <v>1450</v>
      </c>
      <c r="G8034" s="2"/>
    </row>
    <row r="8035" spans="1:7" x14ac:dyDescent="0.3">
      <c r="A8035" t="s">
        <v>2496</v>
      </c>
      <c r="B8035" t="s">
        <v>184</v>
      </c>
      <c r="C8035" t="s">
        <v>185</v>
      </c>
      <c r="D8035">
        <v>2011</v>
      </c>
      <c r="E8035" s="2">
        <v>75</v>
      </c>
      <c r="F8035" s="2">
        <v>4350</v>
      </c>
      <c r="G8035" s="2"/>
    </row>
    <row r="8036" spans="1:7" x14ac:dyDescent="0.3">
      <c r="A8036" t="s">
        <v>2496</v>
      </c>
      <c r="B8036" t="s">
        <v>184</v>
      </c>
      <c r="C8036" t="s">
        <v>185</v>
      </c>
      <c r="D8036">
        <v>2012</v>
      </c>
      <c r="E8036" s="2">
        <v>175</v>
      </c>
      <c r="F8036" s="2">
        <v>10525</v>
      </c>
      <c r="G8036" s="2"/>
    </row>
    <row r="8037" spans="1:7" x14ac:dyDescent="0.3">
      <c r="A8037" t="s">
        <v>2496</v>
      </c>
      <c r="B8037" t="s">
        <v>184</v>
      </c>
      <c r="C8037" t="s">
        <v>185</v>
      </c>
      <c r="D8037">
        <v>2013</v>
      </c>
      <c r="E8037" s="2">
        <v>200</v>
      </c>
      <c r="F8037" s="2">
        <v>12600</v>
      </c>
      <c r="G8037" s="2"/>
    </row>
    <row r="8038" spans="1:7" x14ac:dyDescent="0.3">
      <c r="A8038" t="s">
        <v>2496</v>
      </c>
      <c r="B8038" t="s">
        <v>184</v>
      </c>
      <c r="C8038" t="s">
        <v>185</v>
      </c>
      <c r="D8038">
        <v>2014</v>
      </c>
      <c r="E8038" s="2">
        <v>250</v>
      </c>
      <c r="F8038" s="2">
        <v>15750</v>
      </c>
      <c r="G8038" s="2"/>
    </row>
    <row r="8039" spans="1:7" x14ac:dyDescent="0.3">
      <c r="A8039" t="s">
        <v>2496</v>
      </c>
      <c r="B8039" t="s">
        <v>184</v>
      </c>
      <c r="C8039" t="s">
        <v>185</v>
      </c>
      <c r="D8039">
        <v>2015</v>
      </c>
      <c r="E8039" s="2">
        <v>325</v>
      </c>
      <c r="F8039" s="2">
        <v>20475</v>
      </c>
      <c r="G8039" s="2"/>
    </row>
    <row r="8040" spans="1:7" x14ac:dyDescent="0.3">
      <c r="A8040" t="s">
        <v>2496</v>
      </c>
      <c r="B8040" t="s">
        <v>184</v>
      </c>
      <c r="C8040" t="s">
        <v>185</v>
      </c>
      <c r="D8040">
        <v>2016</v>
      </c>
      <c r="E8040" s="2">
        <v>303</v>
      </c>
      <c r="F8040" s="2">
        <v>19089</v>
      </c>
      <c r="G8040" s="2"/>
    </row>
    <row r="8041" spans="1:7" x14ac:dyDescent="0.3">
      <c r="A8041" t="s">
        <v>2496</v>
      </c>
      <c r="B8041" t="s">
        <v>184</v>
      </c>
      <c r="C8041" t="s">
        <v>185</v>
      </c>
      <c r="D8041">
        <v>2017</v>
      </c>
      <c r="E8041" s="2">
        <v>390</v>
      </c>
      <c r="F8041" s="2">
        <v>24570</v>
      </c>
      <c r="G8041" s="2"/>
    </row>
    <row r="8042" spans="1:7" x14ac:dyDescent="0.3">
      <c r="A8042" t="s">
        <v>2496</v>
      </c>
      <c r="B8042" t="s">
        <v>184</v>
      </c>
      <c r="C8042" t="s">
        <v>185</v>
      </c>
      <c r="D8042">
        <v>2018</v>
      </c>
      <c r="E8042" s="2">
        <v>150</v>
      </c>
      <c r="F8042" s="2">
        <v>9400</v>
      </c>
      <c r="G8042" s="2">
        <v>9870</v>
      </c>
    </row>
    <row r="8043" spans="1:7" x14ac:dyDescent="0.3">
      <c r="A8043" t="s">
        <v>2496</v>
      </c>
      <c r="B8043" t="s">
        <v>184</v>
      </c>
      <c r="C8043" t="s">
        <v>185</v>
      </c>
      <c r="D8043">
        <v>2019</v>
      </c>
      <c r="E8043" s="2">
        <v>150</v>
      </c>
      <c r="F8043" s="2">
        <v>9300</v>
      </c>
      <c r="G8043" s="2">
        <v>9765</v>
      </c>
    </row>
    <row r="8044" spans="1:7" x14ac:dyDescent="0.3">
      <c r="A8044" t="s">
        <v>2496</v>
      </c>
      <c r="B8044" t="s">
        <v>686</v>
      </c>
      <c r="C8044" t="s">
        <v>866</v>
      </c>
      <c r="D8044">
        <v>2019</v>
      </c>
      <c r="E8044" s="2">
        <v>75</v>
      </c>
      <c r="F8044" s="2">
        <v>4650</v>
      </c>
      <c r="G8044" s="2">
        <v>4882.5</v>
      </c>
    </row>
    <row r="8045" spans="1:7" x14ac:dyDescent="0.3">
      <c r="A8045" t="s">
        <v>2496</v>
      </c>
      <c r="B8045" t="s">
        <v>686</v>
      </c>
      <c r="C8045" t="s">
        <v>687</v>
      </c>
      <c r="D8045">
        <v>2019</v>
      </c>
      <c r="E8045" s="2">
        <v>25</v>
      </c>
      <c r="F8045" s="2">
        <v>1550</v>
      </c>
      <c r="G8045" s="2">
        <v>1627.5</v>
      </c>
    </row>
    <row r="8046" spans="1:7" x14ac:dyDescent="0.3">
      <c r="A8046" t="s">
        <v>2496</v>
      </c>
      <c r="B8046" t="s">
        <v>686</v>
      </c>
      <c r="C8046" t="s">
        <v>687</v>
      </c>
      <c r="D8046">
        <v>2020</v>
      </c>
      <c r="E8046" s="2">
        <v>125</v>
      </c>
      <c r="F8046" s="2">
        <v>7700</v>
      </c>
      <c r="G8046" s="2">
        <v>8085</v>
      </c>
    </row>
    <row r="8047" spans="1:7" x14ac:dyDescent="0.3">
      <c r="A8047" t="s">
        <v>2496</v>
      </c>
      <c r="B8047" t="s">
        <v>686</v>
      </c>
      <c r="C8047" t="s">
        <v>687</v>
      </c>
      <c r="D8047">
        <v>2021</v>
      </c>
      <c r="E8047" s="2">
        <v>50</v>
      </c>
      <c r="F8047" s="2">
        <v>3050</v>
      </c>
      <c r="G8047" s="2">
        <v>3202.5</v>
      </c>
    </row>
    <row r="8048" spans="1:7" x14ac:dyDescent="0.3">
      <c r="A8048" t="s">
        <v>2496</v>
      </c>
      <c r="B8048" t="s">
        <v>297</v>
      </c>
      <c r="C8048" t="s">
        <v>298</v>
      </c>
      <c r="D8048">
        <v>2011</v>
      </c>
      <c r="E8048" s="2">
        <v>50</v>
      </c>
      <c r="F8048" s="2">
        <v>3250</v>
      </c>
      <c r="G8048" s="2"/>
    </row>
    <row r="8049" spans="1:7" x14ac:dyDescent="0.3">
      <c r="A8049" t="s">
        <v>2496</v>
      </c>
      <c r="B8049" t="s">
        <v>297</v>
      </c>
      <c r="C8049" t="s">
        <v>298</v>
      </c>
      <c r="D8049">
        <v>2012</v>
      </c>
      <c r="E8049" s="2">
        <v>125</v>
      </c>
      <c r="F8049" s="2">
        <v>8075</v>
      </c>
      <c r="G8049" s="2"/>
    </row>
    <row r="8050" spans="1:7" x14ac:dyDescent="0.3">
      <c r="A8050" t="s">
        <v>2496</v>
      </c>
      <c r="B8050" t="s">
        <v>297</v>
      </c>
      <c r="C8050" t="s">
        <v>298</v>
      </c>
      <c r="D8050">
        <v>2013</v>
      </c>
      <c r="E8050" s="2">
        <v>135</v>
      </c>
      <c r="F8050" s="2">
        <v>8640</v>
      </c>
      <c r="G8050" s="2"/>
    </row>
    <row r="8051" spans="1:7" x14ac:dyDescent="0.3">
      <c r="A8051" t="s">
        <v>2496</v>
      </c>
      <c r="B8051" t="s">
        <v>297</v>
      </c>
      <c r="C8051" t="s">
        <v>298</v>
      </c>
      <c r="D8051">
        <v>2014</v>
      </c>
      <c r="E8051" s="2">
        <v>125</v>
      </c>
      <c r="F8051" s="2">
        <v>8000</v>
      </c>
      <c r="G8051" s="2"/>
    </row>
    <row r="8052" spans="1:7" x14ac:dyDescent="0.3">
      <c r="A8052" t="s">
        <v>2496</v>
      </c>
      <c r="B8052" t="s">
        <v>297</v>
      </c>
      <c r="C8052" t="s">
        <v>298</v>
      </c>
      <c r="D8052">
        <v>2015</v>
      </c>
      <c r="E8052" s="2">
        <v>125</v>
      </c>
      <c r="F8052" s="2">
        <v>8000</v>
      </c>
      <c r="G8052" s="2"/>
    </row>
    <row r="8053" spans="1:7" x14ac:dyDescent="0.3">
      <c r="A8053" t="s">
        <v>2496</v>
      </c>
      <c r="B8053" t="s">
        <v>297</v>
      </c>
      <c r="C8053" t="s">
        <v>298</v>
      </c>
      <c r="D8053">
        <v>2016</v>
      </c>
      <c r="E8053" s="2">
        <v>135</v>
      </c>
      <c r="F8053" s="2">
        <v>8540</v>
      </c>
      <c r="G8053" s="2"/>
    </row>
    <row r="8054" spans="1:7" x14ac:dyDescent="0.3">
      <c r="A8054" t="s">
        <v>2496</v>
      </c>
      <c r="B8054" t="s">
        <v>297</v>
      </c>
      <c r="C8054" t="s">
        <v>298</v>
      </c>
      <c r="D8054">
        <v>2017</v>
      </c>
      <c r="E8054" s="2">
        <v>70</v>
      </c>
      <c r="F8054" s="2">
        <v>4410</v>
      </c>
      <c r="G8054" s="2"/>
    </row>
    <row r="8055" spans="1:7" x14ac:dyDescent="0.3">
      <c r="A8055" t="s">
        <v>2496</v>
      </c>
      <c r="B8055" t="s">
        <v>297</v>
      </c>
      <c r="C8055" t="s">
        <v>298</v>
      </c>
      <c r="D8055">
        <v>2018</v>
      </c>
      <c r="E8055" s="2">
        <v>25</v>
      </c>
      <c r="F8055" s="2">
        <v>1575</v>
      </c>
      <c r="G8055" s="2">
        <v>1653.75</v>
      </c>
    </row>
    <row r="8056" spans="1:7" x14ac:dyDescent="0.3">
      <c r="A8056" t="s">
        <v>2496</v>
      </c>
      <c r="B8056" t="s">
        <v>668</v>
      </c>
      <c r="C8056" t="s">
        <v>669</v>
      </c>
      <c r="D8056">
        <v>2021</v>
      </c>
      <c r="E8056" s="2">
        <v>25</v>
      </c>
      <c r="F8056" s="2">
        <v>1575</v>
      </c>
      <c r="G8056" s="2">
        <v>1653.75</v>
      </c>
    </row>
    <row r="8057" spans="1:7" x14ac:dyDescent="0.3">
      <c r="A8057" t="s">
        <v>2496</v>
      </c>
      <c r="B8057" t="s">
        <v>19</v>
      </c>
      <c r="C8057" t="s">
        <v>2497</v>
      </c>
      <c r="D8057">
        <v>2011</v>
      </c>
      <c r="E8057" s="2">
        <v>50</v>
      </c>
      <c r="F8057" s="2">
        <v>3250</v>
      </c>
      <c r="G8057" s="2"/>
    </row>
    <row r="8058" spans="1:7" x14ac:dyDescent="0.3">
      <c r="A8058" t="s">
        <v>2496</v>
      </c>
      <c r="B8058" t="s">
        <v>19</v>
      </c>
      <c r="C8058" t="s">
        <v>20</v>
      </c>
      <c r="D8058">
        <v>2014</v>
      </c>
      <c r="E8058" s="2">
        <v>25</v>
      </c>
      <c r="F8058" s="2">
        <v>2350</v>
      </c>
      <c r="G8058" s="2"/>
    </row>
    <row r="8059" spans="1:7" x14ac:dyDescent="0.3">
      <c r="A8059" t="s">
        <v>2496</v>
      </c>
      <c r="B8059" t="s">
        <v>19</v>
      </c>
      <c r="C8059" t="s">
        <v>20</v>
      </c>
      <c r="D8059">
        <v>2017</v>
      </c>
      <c r="E8059" s="2">
        <v>125</v>
      </c>
      <c r="F8059" s="2">
        <v>11500</v>
      </c>
      <c r="G8059" s="2"/>
    </row>
    <row r="8060" spans="1:7" x14ac:dyDescent="0.3">
      <c r="A8060" t="s">
        <v>2496</v>
      </c>
      <c r="B8060" t="s">
        <v>19</v>
      </c>
      <c r="C8060" t="s">
        <v>20</v>
      </c>
      <c r="D8060">
        <v>2018</v>
      </c>
      <c r="E8060" s="2">
        <v>100</v>
      </c>
      <c r="F8060" s="2">
        <v>8175</v>
      </c>
      <c r="G8060" s="2">
        <v>8583.75</v>
      </c>
    </row>
    <row r="8061" spans="1:7" x14ac:dyDescent="0.3">
      <c r="A8061" t="s">
        <v>2496</v>
      </c>
      <c r="B8061" t="s">
        <v>19</v>
      </c>
      <c r="C8061" t="s">
        <v>20</v>
      </c>
      <c r="D8061">
        <v>2019</v>
      </c>
      <c r="E8061" s="2">
        <v>50</v>
      </c>
      <c r="F8061" s="2">
        <v>4250</v>
      </c>
      <c r="G8061" s="2">
        <v>4462.5</v>
      </c>
    </row>
    <row r="8062" spans="1:7" x14ac:dyDescent="0.3">
      <c r="A8062" t="s">
        <v>2496</v>
      </c>
      <c r="B8062" t="s">
        <v>19</v>
      </c>
      <c r="C8062" t="s">
        <v>20</v>
      </c>
      <c r="D8062">
        <v>2020</v>
      </c>
      <c r="E8062" s="2">
        <v>50</v>
      </c>
      <c r="F8062" s="2">
        <v>4250</v>
      </c>
      <c r="G8062" s="2">
        <v>4462.5</v>
      </c>
    </row>
    <row r="8063" spans="1:7" x14ac:dyDescent="0.3">
      <c r="A8063" t="s">
        <v>2496</v>
      </c>
      <c r="B8063" t="s">
        <v>19</v>
      </c>
      <c r="C8063" t="s">
        <v>20</v>
      </c>
      <c r="D8063">
        <v>2021</v>
      </c>
      <c r="E8063" s="2">
        <v>25</v>
      </c>
      <c r="F8063" s="2">
        <v>2125</v>
      </c>
      <c r="G8063" s="2">
        <v>2231.25</v>
      </c>
    </row>
    <row r="8064" spans="1:7" x14ac:dyDescent="0.3">
      <c r="A8064" t="s">
        <v>2496</v>
      </c>
      <c r="B8064" t="s">
        <v>41</v>
      </c>
      <c r="C8064" t="s">
        <v>42</v>
      </c>
      <c r="D8064">
        <v>2011</v>
      </c>
      <c r="E8064" s="2">
        <v>75</v>
      </c>
      <c r="F8064" s="2">
        <v>4500</v>
      </c>
      <c r="G8064" s="2"/>
    </row>
    <row r="8065" spans="1:7" x14ac:dyDescent="0.3">
      <c r="A8065" t="s">
        <v>2496</v>
      </c>
      <c r="B8065" t="s">
        <v>41</v>
      </c>
      <c r="C8065" t="s">
        <v>42</v>
      </c>
      <c r="D8065">
        <v>2012</v>
      </c>
      <c r="E8065" s="2">
        <v>75</v>
      </c>
      <c r="F8065" s="2">
        <v>4625</v>
      </c>
      <c r="G8065" s="2"/>
    </row>
    <row r="8066" spans="1:7" x14ac:dyDescent="0.3">
      <c r="A8066" t="s">
        <v>2496</v>
      </c>
      <c r="B8066" t="s">
        <v>41</v>
      </c>
      <c r="C8066" t="s">
        <v>42</v>
      </c>
      <c r="D8066">
        <v>2014</v>
      </c>
      <c r="E8066" s="2">
        <v>25</v>
      </c>
      <c r="F8066" s="2">
        <v>1625</v>
      </c>
      <c r="G8066" s="2"/>
    </row>
    <row r="8067" spans="1:7" x14ac:dyDescent="0.3">
      <c r="A8067" t="s">
        <v>2496</v>
      </c>
      <c r="B8067" t="s">
        <v>41</v>
      </c>
      <c r="C8067" t="s">
        <v>42</v>
      </c>
      <c r="D8067">
        <v>2017</v>
      </c>
      <c r="E8067" s="2">
        <v>25</v>
      </c>
      <c r="F8067" s="2">
        <v>1625</v>
      </c>
      <c r="G8067" s="2"/>
    </row>
    <row r="8068" spans="1:7" x14ac:dyDescent="0.3">
      <c r="A8068" t="s">
        <v>2496</v>
      </c>
      <c r="B8068" t="s">
        <v>64</v>
      </c>
      <c r="C8068" t="s">
        <v>65</v>
      </c>
      <c r="D8068">
        <v>2015</v>
      </c>
      <c r="E8068" s="2">
        <v>50</v>
      </c>
      <c r="F8068" s="2">
        <v>3700</v>
      </c>
      <c r="G8068" s="2"/>
    </row>
    <row r="8069" spans="1:7" x14ac:dyDescent="0.3">
      <c r="A8069" t="s">
        <v>2496</v>
      </c>
      <c r="B8069" t="s">
        <v>64</v>
      </c>
      <c r="C8069" t="s">
        <v>65</v>
      </c>
      <c r="D8069">
        <v>2016</v>
      </c>
      <c r="E8069" s="2">
        <v>100</v>
      </c>
      <c r="F8069" s="2">
        <v>7400</v>
      </c>
      <c r="G8069" s="2"/>
    </row>
    <row r="8070" spans="1:7" x14ac:dyDescent="0.3">
      <c r="A8070" t="s">
        <v>2496</v>
      </c>
      <c r="B8070" t="s">
        <v>64</v>
      </c>
      <c r="C8070" t="s">
        <v>65</v>
      </c>
      <c r="D8070">
        <v>2017</v>
      </c>
      <c r="E8070" s="2">
        <v>35</v>
      </c>
      <c r="F8070" s="2">
        <v>2590</v>
      </c>
      <c r="G8070" s="2"/>
    </row>
    <row r="8071" spans="1:7" x14ac:dyDescent="0.3">
      <c r="A8071" t="s">
        <v>2496</v>
      </c>
      <c r="B8071" t="s">
        <v>64</v>
      </c>
      <c r="C8071" t="s">
        <v>65</v>
      </c>
      <c r="D8071">
        <v>2018</v>
      </c>
      <c r="E8071" s="2">
        <v>25</v>
      </c>
      <c r="F8071" s="2">
        <v>1850</v>
      </c>
      <c r="G8071" s="2">
        <v>1942.5</v>
      </c>
    </row>
    <row r="8072" spans="1:7" x14ac:dyDescent="0.3">
      <c r="A8072" t="s">
        <v>2496</v>
      </c>
      <c r="B8072" t="s">
        <v>64</v>
      </c>
      <c r="C8072" t="s">
        <v>65</v>
      </c>
      <c r="D8072">
        <v>2019</v>
      </c>
      <c r="E8072" s="2">
        <v>25</v>
      </c>
      <c r="F8072" s="2">
        <v>1850</v>
      </c>
      <c r="G8072" s="2">
        <v>1942.5</v>
      </c>
    </row>
    <row r="8073" spans="1:7" x14ac:dyDescent="0.3">
      <c r="A8073" t="s">
        <v>2496</v>
      </c>
      <c r="B8073" t="s">
        <v>21</v>
      </c>
      <c r="C8073" t="s">
        <v>22</v>
      </c>
      <c r="D8073">
        <v>2015</v>
      </c>
      <c r="E8073" s="2">
        <v>100</v>
      </c>
      <c r="F8073" s="2">
        <v>6500</v>
      </c>
      <c r="G8073" s="2"/>
    </row>
    <row r="8074" spans="1:7" x14ac:dyDescent="0.3">
      <c r="A8074" t="s">
        <v>2496</v>
      </c>
      <c r="B8074" t="s">
        <v>21</v>
      </c>
      <c r="C8074" t="s">
        <v>22</v>
      </c>
      <c r="D8074">
        <v>2016</v>
      </c>
      <c r="E8074" s="2">
        <v>225</v>
      </c>
      <c r="F8074" s="2">
        <v>14625</v>
      </c>
      <c r="G8074" s="2"/>
    </row>
    <row r="8075" spans="1:7" x14ac:dyDescent="0.3">
      <c r="A8075" t="s">
        <v>2496</v>
      </c>
      <c r="B8075" t="s">
        <v>21</v>
      </c>
      <c r="C8075" t="s">
        <v>22</v>
      </c>
      <c r="D8075">
        <v>2017</v>
      </c>
      <c r="E8075" s="2">
        <v>150</v>
      </c>
      <c r="F8075" s="2">
        <v>9750</v>
      </c>
      <c r="G8075" s="2"/>
    </row>
    <row r="8076" spans="1:7" x14ac:dyDescent="0.3">
      <c r="A8076" t="s">
        <v>2496</v>
      </c>
      <c r="B8076" t="s">
        <v>21</v>
      </c>
      <c r="C8076" t="s">
        <v>22</v>
      </c>
      <c r="D8076">
        <v>2018</v>
      </c>
      <c r="E8076" s="2">
        <v>25</v>
      </c>
      <c r="F8076" s="2">
        <v>1625</v>
      </c>
      <c r="G8076" s="2">
        <v>1706.25</v>
      </c>
    </row>
    <row r="8077" spans="1:7" x14ac:dyDescent="0.3">
      <c r="A8077" t="s">
        <v>2496</v>
      </c>
      <c r="B8077" t="s">
        <v>21</v>
      </c>
      <c r="C8077" t="s">
        <v>22</v>
      </c>
      <c r="D8077">
        <v>2019</v>
      </c>
      <c r="E8077" s="2">
        <v>75</v>
      </c>
      <c r="F8077" s="2">
        <v>4875</v>
      </c>
      <c r="G8077" s="2">
        <v>5118.75</v>
      </c>
    </row>
    <row r="8078" spans="1:7" x14ac:dyDescent="0.3">
      <c r="A8078" t="s">
        <v>2496</v>
      </c>
      <c r="B8078" t="s">
        <v>473</v>
      </c>
      <c r="C8078" t="s">
        <v>747</v>
      </c>
      <c r="D8078">
        <v>2011</v>
      </c>
      <c r="E8078" s="2">
        <v>25</v>
      </c>
      <c r="F8078" s="2">
        <v>2200</v>
      </c>
      <c r="G8078" s="2"/>
    </row>
    <row r="8079" spans="1:7" x14ac:dyDescent="0.3">
      <c r="A8079" t="s">
        <v>2496</v>
      </c>
      <c r="B8079" t="s">
        <v>438</v>
      </c>
      <c r="C8079" t="s">
        <v>439</v>
      </c>
      <c r="D8079">
        <v>2018</v>
      </c>
      <c r="E8079" s="2">
        <v>25</v>
      </c>
      <c r="F8079" s="2">
        <v>1125</v>
      </c>
      <c r="G8079" s="2">
        <v>1181.25</v>
      </c>
    </row>
    <row r="8080" spans="1:7" x14ac:dyDescent="0.3">
      <c r="A8080" t="s">
        <v>2496</v>
      </c>
      <c r="B8080" t="s">
        <v>1452</v>
      </c>
      <c r="C8080" t="s">
        <v>1453</v>
      </c>
      <c r="D8080">
        <v>2014</v>
      </c>
      <c r="E8080" s="2">
        <v>25</v>
      </c>
      <c r="F8080" s="2">
        <v>1875</v>
      </c>
      <c r="G8080" s="2"/>
    </row>
    <row r="8081" spans="1:7" x14ac:dyDescent="0.3">
      <c r="A8081" t="s">
        <v>2496</v>
      </c>
      <c r="B8081" t="s">
        <v>36</v>
      </c>
      <c r="D8081">
        <v>2017</v>
      </c>
      <c r="E8081" s="2">
        <v>15</v>
      </c>
      <c r="F8081" s="2">
        <v>1725</v>
      </c>
      <c r="G8081" s="2"/>
    </row>
    <row r="8082" spans="1:7" x14ac:dyDescent="0.3">
      <c r="A8082" t="s">
        <v>2496</v>
      </c>
      <c r="B8082" t="s">
        <v>36</v>
      </c>
      <c r="D8082">
        <v>2018</v>
      </c>
      <c r="E8082" s="2">
        <v>5</v>
      </c>
      <c r="F8082" s="2">
        <v>575</v>
      </c>
      <c r="G8082" s="2">
        <v>603.75</v>
      </c>
    </row>
    <row r="8083" spans="1:7" x14ac:dyDescent="0.3">
      <c r="A8083" t="s">
        <v>2496</v>
      </c>
      <c r="B8083" t="s">
        <v>36</v>
      </c>
      <c r="D8083">
        <v>2019</v>
      </c>
      <c r="E8083" s="2">
        <v>10</v>
      </c>
      <c r="F8083" s="2">
        <v>1150</v>
      </c>
      <c r="G8083" s="2">
        <v>1207.5</v>
      </c>
    </row>
    <row r="8084" spans="1:7" x14ac:dyDescent="0.3">
      <c r="A8084" t="s">
        <v>2496</v>
      </c>
      <c r="B8084" t="s">
        <v>36</v>
      </c>
      <c r="D8084">
        <v>2020</v>
      </c>
      <c r="E8084" s="2">
        <v>5</v>
      </c>
      <c r="F8084" s="2">
        <v>575</v>
      </c>
      <c r="G8084" s="2">
        <v>603.75</v>
      </c>
    </row>
    <row r="8085" spans="1:7" x14ac:dyDescent="0.3">
      <c r="A8085" t="s">
        <v>2496</v>
      </c>
      <c r="B8085" t="s">
        <v>314</v>
      </c>
      <c r="C8085" t="s">
        <v>315</v>
      </c>
      <c r="D8085">
        <v>2010</v>
      </c>
      <c r="E8085" s="2">
        <v>25</v>
      </c>
      <c r="F8085" s="2">
        <v>1375</v>
      </c>
      <c r="G8085" s="2"/>
    </row>
    <row r="8086" spans="1:7" x14ac:dyDescent="0.3">
      <c r="A8086" t="s">
        <v>2496</v>
      </c>
      <c r="B8086" t="s">
        <v>314</v>
      </c>
      <c r="C8086" t="s">
        <v>315</v>
      </c>
      <c r="D8086">
        <v>2011</v>
      </c>
      <c r="E8086" s="2">
        <v>50</v>
      </c>
      <c r="F8086" s="2">
        <v>3250</v>
      </c>
      <c r="G8086" s="2"/>
    </row>
    <row r="8087" spans="1:7" x14ac:dyDescent="0.3">
      <c r="A8087" t="s">
        <v>2496</v>
      </c>
      <c r="B8087" t="s">
        <v>314</v>
      </c>
      <c r="C8087" t="s">
        <v>315</v>
      </c>
      <c r="D8087">
        <v>2012</v>
      </c>
      <c r="E8087" s="2">
        <v>150</v>
      </c>
      <c r="F8087" s="2">
        <v>10050</v>
      </c>
      <c r="G8087" s="2"/>
    </row>
    <row r="8088" spans="1:7" x14ac:dyDescent="0.3">
      <c r="A8088" t="s">
        <v>2496</v>
      </c>
      <c r="B8088" t="s">
        <v>314</v>
      </c>
      <c r="C8088" t="s">
        <v>315</v>
      </c>
      <c r="D8088">
        <v>2013</v>
      </c>
      <c r="E8088" s="2">
        <v>25</v>
      </c>
      <c r="F8088" s="2">
        <v>1725</v>
      </c>
      <c r="G8088" s="2"/>
    </row>
    <row r="8089" spans="1:7" x14ac:dyDescent="0.3">
      <c r="A8089" t="s">
        <v>2496</v>
      </c>
      <c r="B8089" t="s">
        <v>314</v>
      </c>
      <c r="C8089" t="s">
        <v>475</v>
      </c>
      <c r="D8089">
        <v>2014</v>
      </c>
      <c r="E8089" s="2">
        <v>25</v>
      </c>
      <c r="F8089" s="2">
        <v>1625</v>
      </c>
      <c r="G8089" s="2"/>
    </row>
    <row r="8090" spans="1:7" x14ac:dyDescent="0.3">
      <c r="A8090" t="s">
        <v>2496</v>
      </c>
      <c r="B8090" t="s">
        <v>314</v>
      </c>
      <c r="C8090" t="s">
        <v>475</v>
      </c>
      <c r="D8090">
        <v>2015</v>
      </c>
      <c r="E8090" s="2">
        <v>25</v>
      </c>
      <c r="F8090" s="2">
        <v>1625</v>
      </c>
      <c r="G8090" s="2"/>
    </row>
    <row r="8091" spans="1:7" x14ac:dyDescent="0.3">
      <c r="A8091" t="s">
        <v>2496</v>
      </c>
      <c r="B8091" t="s">
        <v>314</v>
      </c>
      <c r="C8091" t="s">
        <v>475</v>
      </c>
      <c r="D8091">
        <v>2016</v>
      </c>
      <c r="E8091" s="2">
        <v>25</v>
      </c>
      <c r="F8091" s="2">
        <v>1625</v>
      </c>
      <c r="G8091" s="2"/>
    </row>
    <row r="8092" spans="1:7" x14ac:dyDescent="0.3">
      <c r="A8092" t="s">
        <v>2496</v>
      </c>
      <c r="B8092" t="s">
        <v>314</v>
      </c>
      <c r="C8092" t="s">
        <v>475</v>
      </c>
      <c r="D8092">
        <v>2017</v>
      </c>
      <c r="E8092" s="2">
        <v>50</v>
      </c>
      <c r="F8092" s="2">
        <v>3250</v>
      </c>
      <c r="G8092" s="2"/>
    </row>
    <row r="8093" spans="1:7" x14ac:dyDescent="0.3">
      <c r="A8093" t="s">
        <v>2496</v>
      </c>
      <c r="B8093" t="s">
        <v>314</v>
      </c>
      <c r="C8093" t="s">
        <v>475</v>
      </c>
      <c r="D8093">
        <v>2019</v>
      </c>
      <c r="E8093" s="2">
        <v>25</v>
      </c>
      <c r="F8093" s="2">
        <v>1625</v>
      </c>
      <c r="G8093" s="2">
        <v>1706.25</v>
      </c>
    </row>
    <row r="8094" spans="1:7" x14ac:dyDescent="0.3">
      <c r="A8094" t="s">
        <v>2496</v>
      </c>
      <c r="B8094" t="s">
        <v>708</v>
      </c>
      <c r="C8094" t="s">
        <v>477</v>
      </c>
      <c r="D8094">
        <v>2019</v>
      </c>
      <c r="E8094" s="2">
        <v>50</v>
      </c>
      <c r="F8094" s="2">
        <v>3250</v>
      </c>
      <c r="G8094" s="2">
        <v>3412.5</v>
      </c>
    </row>
    <row r="8095" spans="1:7" x14ac:dyDescent="0.3">
      <c r="A8095" t="s">
        <v>2496</v>
      </c>
      <c r="B8095" t="s">
        <v>476</v>
      </c>
      <c r="C8095" t="s">
        <v>478</v>
      </c>
      <c r="D8095">
        <v>2020</v>
      </c>
      <c r="E8095" s="2">
        <v>50</v>
      </c>
      <c r="F8095" s="2">
        <v>3250</v>
      </c>
      <c r="G8095" s="2">
        <v>3412.5</v>
      </c>
    </row>
    <row r="8096" spans="1:7" x14ac:dyDescent="0.3">
      <c r="A8096" t="s">
        <v>2496</v>
      </c>
      <c r="B8096" t="s">
        <v>425</v>
      </c>
      <c r="C8096" t="s">
        <v>426</v>
      </c>
      <c r="D8096">
        <v>2012</v>
      </c>
      <c r="E8096" s="2">
        <v>25</v>
      </c>
      <c r="F8096" s="2">
        <v>1625</v>
      </c>
      <c r="G8096" s="2"/>
    </row>
    <row r="8097" spans="1:7" x14ac:dyDescent="0.3">
      <c r="A8097" t="s">
        <v>2496</v>
      </c>
      <c r="B8097" t="s">
        <v>676</v>
      </c>
      <c r="D8097">
        <v>2020</v>
      </c>
      <c r="E8097" s="2">
        <v>2</v>
      </c>
      <c r="F8097" s="2">
        <v>186</v>
      </c>
      <c r="G8097" s="2">
        <v>195.3</v>
      </c>
    </row>
    <row r="8098" spans="1:7" x14ac:dyDescent="0.3">
      <c r="A8098" t="s">
        <v>2496</v>
      </c>
      <c r="B8098" t="s">
        <v>12</v>
      </c>
      <c r="C8098" t="s">
        <v>13</v>
      </c>
      <c r="D8098">
        <v>2017</v>
      </c>
      <c r="E8098" s="2">
        <v>25</v>
      </c>
      <c r="F8098" s="2">
        <v>1875</v>
      </c>
      <c r="G8098" s="2"/>
    </row>
    <row r="8099" spans="1:7" x14ac:dyDescent="0.3">
      <c r="A8099" t="s">
        <v>2496</v>
      </c>
      <c r="B8099" t="s">
        <v>12</v>
      </c>
      <c r="C8099" t="s">
        <v>13</v>
      </c>
      <c r="D8099">
        <v>2018</v>
      </c>
      <c r="E8099" s="2">
        <v>25</v>
      </c>
      <c r="F8099" s="2">
        <v>1875</v>
      </c>
      <c r="G8099" s="2">
        <v>1968.75</v>
      </c>
    </row>
    <row r="8100" spans="1:7" x14ac:dyDescent="0.3">
      <c r="A8100" t="s">
        <v>2496</v>
      </c>
      <c r="B8100" t="s">
        <v>12</v>
      </c>
      <c r="C8100" t="s">
        <v>13</v>
      </c>
      <c r="D8100">
        <v>2019</v>
      </c>
      <c r="E8100" s="2">
        <v>25</v>
      </c>
      <c r="F8100" s="2">
        <v>1875</v>
      </c>
      <c r="G8100" s="2">
        <v>1968.75</v>
      </c>
    </row>
    <row r="8101" spans="1:7" x14ac:dyDescent="0.3">
      <c r="A8101" t="s">
        <v>2498</v>
      </c>
      <c r="B8101" t="s">
        <v>665</v>
      </c>
      <c r="D8101">
        <v>2019</v>
      </c>
      <c r="E8101" s="2">
        <v>1</v>
      </c>
      <c r="F8101" s="2">
        <v>115</v>
      </c>
      <c r="G8101" s="2">
        <v>120.75</v>
      </c>
    </row>
    <row r="8102" spans="1:7" x14ac:dyDescent="0.3">
      <c r="A8102" t="s">
        <v>2498</v>
      </c>
      <c r="B8102" t="s">
        <v>34</v>
      </c>
      <c r="D8102">
        <v>2019</v>
      </c>
      <c r="E8102" s="2">
        <v>6</v>
      </c>
      <c r="F8102" s="2">
        <v>510</v>
      </c>
      <c r="G8102" s="2">
        <v>535.5</v>
      </c>
    </row>
    <row r="8103" spans="1:7" x14ac:dyDescent="0.3">
      <c r="A8103" t="s">
        <v>2498</v>
      </c>
      <c r="B8103" t="s">
        <v>34</v>
      </c>
      <c r="D8103">
        <v>2020</v>
      </c>
      <c r="E8103" s="2">
        <v>20</v>
      </c>
      <c r="F8103" s="2">
        <v>1700</v>
      </c>
      <c r="G8103" s="2">
        <v>1785</v>
      </c>
    </row>
    <row r="8104" spans="1:7" x14ac:dyDescent="0.3">
      <c r="A8104" t="s">
        <v>2498</v>
      </c>
      <c r="B8104" t="s">
        <v>461</v>
      </c>
      <c r="D8104">
        <v>2020</v>
      </c>
      <c r="E8104" s="2">
        <v>1</v>
      </c>
      <c r="F8104" s="2">
        <v>85</v>
      </c>
      <c r="G8104" s="2">
        <v>89.25</v>
      </c>
    </row>
    <row r="8105" spans="1:7" x14ac:dyDescent="0.3">
      <c r="A8105" t="s">
        <v>2498</v>
      </c>
      <c r="B8105" t="s">
        <v>1383</v>
      </c>
      <c r="C8105" t="s">
        <v>1384</v>
      </c>
      <c r="D8105">
        <v>2016</v>
      </c>
      <c r="E8105" s="2">
        <v>5</v>
      </c>
      <c r="F8105" s="2">
        <v>340</v>
      </c>
      <c r="G8105" s="2"/>
    </row>
    <row r="8106" spans="1:7" x14ac:dyDescent="0.3">
      <c r="A8106" t="s">
        <v>2498</v>
      </c>
      <c r="B8106" t="s">
        <v>184</v>
      </c>
      <c r="C8106" t="s">
        <v>185</v>
      </c>
      <c r="D8106">
        <v>2009</v>
      </c>
      <c r="E8106" s="2">
        <v>75</v>
      </c>
      <c r="F8106" s="2">
        <v>2850</v>
      </c>
      <c r="G8106" s="2"/>
    </row>
    <row r="8107" spans="1:7" x14ac:dyDescent="0.3">
      <c r="A8107" t="s">
        <v>2498</v>
      </c>
      <c r="B8107" t="s">
        <v>184</v>
      </c>
      <c r="C8107" t="s">
        <v>185</v>
      </c>
      <c r="D8107">
        <v>2011</v>
      </c>
      <c r="E8107" s="2">
        <v>50</v>
      </c>
      <c r="F8107" s="2">
        <v>2500</v>
      </c>
      <c r="G8107" s="2"/>
    </row>
    <row r="8108" spans="1:7" x14ac:dyDescent="0.3">
      <c r="A8108" t="s">
        <v>2498</v>
      </c>
      <c r="B8108" t="s">
        <v>184</v>
      </c>
      <c r="C8108" t="s">
        <v>185</v>
      </c>
      <c r="D8108">
        <v>2012</v>
      </c>
      <c r="E8108" s="2">
        <v>150</v>
      </c>
      <c r="F8108" s="2">
        <v>9000</v>
      </c>
      <c r="G8108" s="2"/>
    </row>
    <row r="8109" spans="1:7" x14ac:dyDescent="0.3">
      <c r="A8109" t="s">
        <v>2498</v>
      </c>
      <c r="B8109" t="s">
        <v>184</v>
      </c>
      <c r="C8109" t="s">
        <v>185</v>
      </c>
      <c r="D8109">
        <v>2013</v>
      </c>
      <c r="E8109" s="2">
        <v>100</v>
      </c>
      <c r="F8109" s="2">
        <v>6000</v>
      </c>
      <c r="G8109" s="2"/>
    </row>
    <row r="8110" spans="1:7" x14ac:dyDescent="0.3">
      <c r="A8110" t="s">
        <v>2498</v>
      </c>
      <c r="B8110" t="s">
        <v>184</v>
      </c>
      <c r="C8110" t="s">
        <v>185</v>
      </c>
      <c r="D8110">
        <v>2015</v>
      </c>
      <c r="E8110" s="2">
        <v>50</v>
      </c>
      <c r="F8110" s="2">
        <v>3000</v>
      </c>
      <c r="G8110" s="2"/>
    </row>
    <row r="8111" spans="1:7" x14ac:dyDescent="0.3">
      <c r="A8111" t="s">
        <v>2498</v>
      </c>
      <c r="B8111" t="s">
        <v>184</v>
      </c>
      <c r="C8111" t="s">
        <v>185</v>
      </c>
      <c r="D8111">
        <v>2016</v>
      </c>
      <c r="E8111" s="2">
        <v>50</v>
      </c>
      <c r="F8111" s="2">
        <v>3000</v>
      </c>
      <c r="G8111" s="2"/>
    </row>
    <row r="8112" spans="1:7" x14ac:dyDescent="0.3">
      <c r="A8112" t="s">
        <v>2498</v>
      </c>
      <c r="B8112" t="s">
        <v>184</v>
      </c>
      <c r="C8112" t="s">
        <v>185</v>
      </c>
      <c r="D8112">
        <v>2018</v>
      </c>
      <c r="E8112" s="2">
        <v>25</v>
      </c>
      <c r="F8112" s="2">
        <v>1500</v>
      </c>
      <c r="G8112" s="2">
        <v>1575</v>
      </c>
    </row>
    <row r="8113" spans="1:7" x14ac:dyDescent="0.3">
      <c r="A8113" t="s">
        <v>2498</v>
      </c>
      <c r="B8113" t="s">
        <v>2499</v>
      </c>
      <c r="C8113" t="s">
        <v>2500</v>
      </c>
      <c r="D8113">
        <v>2012</v>
      </c>
      <c r="E8113" s="2">
        <v>100</v>
      </c>
      <c r="F8113" s="2">
        <v>6300</v>
      </c>
      <c r="G8113" s="2"/>
    </row>
    <row r="8114" spans="1:7" x14ac:dyDescent="0.3">
      <c r="A8114" t="s">
        <v>2498</v>
      </c>
      <c r="B8114" t="s">
        <v>297</v>
      </c>
      <c r="C8114" t="s">
        <v>298</v>
      </c>
      <c r="D8114">
        <v>2009</v>
      </c>
      <c r="E8114" s="2">
        <v>125</v>
      </c>
      <c r="F8114" s="2">
        <v>5750</v>
      </c>
      <c r="G8114" s="2"/>
    </row>
    <row r="8115" spans="1:7" x14ac:dyDescent="0.3">
      <c r="A8115" t="s">
        <v>2498</v>
      </c>
      <c r="B8115" t="s">
        <v>297</v>
      </c>
      <c r="C8115" t="s">
        <v>298</v>
      </c>
      <c r="D8115">
        <v>2010</v>
      </c>
      <c r="E8115" s="2">
        <v>50</v>
      </c>
      <c r="F8115" s="2">
        <v>2300</v>
      </c>
      <c r="G8115" s="2"/>
    </row>
    <row r="8116" spans="1:7" x14ac:dyDescent="0.3">
      <c r="A8116" t="s">
        <v>2498</v>
      </c>
      <c r="B8116" t="s">
        <v>297</v>
      </c>
      <c r="C8116" t="s">
        <v>298</v>
      </c>
      <c r="D8116">
        <v>2011</v>
      </c>
      <c r="E8116" s="2">
        <v>100</v>
      </c>
      <c r="F8116" s="2">
        <v>5400</v>
      </c>
      <c r="G8116" s="2"/>
    </row>
    <row r="8117" spans="1:7" x14ac:dyDescent="0.3">
      <c r="A8117" t="s">
        <v>2498</v>
      </c>
      <c r="B8117" t="s">
        <v>297</v>
      </c>
      <c r="C8117" t="s">
        <v>298</v>
      </c>
      <c r="D8117">
        <v>2012</v>
      </c>
      <c r="E8117" s="2">
        <v>150</v>
      </c>
      <c r="F8117" s="2">
        <v>9000</v>
      </c>
      <c r="G8117" s="2"/>
    </row>
    <row r="8118" spans="1:7" x14ac:dyDescent="0.3">
      <c r="A8118" t="s">
        <v>2498</v>
      </c>
      <c r="B8118" t="s">
        <v>297</v>
      </c>
      <c r="C8118" t="s">
        <v>298</v>
      </c>
      <c r="D8118">
        <v>2013</v>
      </c>
      <c r="E8118" s="2">
        <v>100</v>
      </c>
      <c r="F8118" s="2">
        <v>6000</v>
      </c>
      <c r="G8118" s="2"/>
    </row>
    <row r="8119" spans="1:7" x14ac:dyDescent="0.3">
      <c r="A8119" t="s">
        <v>2498</v>
      </c>
      <c r="B8119" t="s">
        <v>297</v>
      </c>
      <c r="C8119" t="s">
        <v>298</v>
      </c>
      <c r="D8119">
        <v>2014</v>
      </c>
      <c r="E8119" s="2">
        <v>300</v>
      </c>
      <c r="F8119" s="2">
        <v>18000</v>
      </c>
      <c r="G8119" s="2"/>
    </row>
    <row r="8120" spans="1:7" x14ac:dyDescent="0.3">
      <c r="A8120" t="s">
        <v>2498</v>
      </c>
      <c r="B8120" t="s">
        <v>297</v>
      </c>
      <c r="C8120" t="s">
        <v>298</v>
      </c>
      <c r="D8120">
        <v>2015</v>
      </c>
      <c r="E8120" s="2">
        <v>225</v>
      </c>
      <c r="F8120" s="2">
        <v>13500</v>
      </c>
      <c r="G8120" s="2"/>
    </row>
    <row r="8121" spans="1:7" x14ac:dyDescent="0.3">
      <c r="A8121" t="s">
        <v>2498</v>
      </c>
      <c r="B8121" t="s">
        <v>297</v>
      </c>
      <c r="C8121" t="s">
        <v>298</v>
      </c>
      <c r="D8121">
        <v>2016</v>
      </c>
      <c r="E8121" s="2">
        <v>173</v>
      </c>
      <c r="F8121" s="2">
        <v>10380</v>
      </c>
      <c r="G8121" s="2"/>
    </row>
    <row r="8122" spans="1:7" x14ac:dyDescent="0.3">
      <c r="A8122" t="s">
        <v>2498</v>
      </c>
      <c r="B8122" t="s">
        <v>297</v>
      </c>
      <c r="C8122" t="s">
        <v>298</v>
      </c>
      <c r="D8122">
        <v>2017</v>
      </c>
      <c r="E8122" s="2">
        <v>100</v>
      </c>
      <c r="F8122" s="2">
        <v>6000</v>
      </c>
      <c r="G8122" s="2"/>
    </row>
    <row r="8123" spans="1:7" x14ac:dyDescent="0.3">
      <c r="A8123" t="s">
        <v>2498</v>
      </c>
      <c r="B8123" t="s">
        <v>297</v>
      </c>
      <c r="C8123" t="s">
        <v>298</v>
      </c>
      <c r="D8123">
        <v>2018</v>
      </c>
      <c r="E8123" s="2">
        <v>100</v>
      </c>
      <c r="F8123" s="2">
        <v>6000</v>
      </c>
      <c r="G8123" s="2">
        <v>6300</v>
      </c>
    </row>
    <row r="8124" spans="1:7" x14ac:dyDescent="0.3">
      <c r="A8124" t="s">
        <v>2498</v>
      </c>
      <c r="B8124" t="s">
        <v>297</v>
      </c>
      <c r="C8124" t="s">
        <v>298</v>
      </c>
      <c r="D8124">
        <v>2019</v>
      </c>
      <c r="E8124" s="2">
        <v>25</v>
      </c>
      <c r="F8124" s="2">
        <v>1500</v>
      </c>
      <c r="G8124" s="2">
        <v>1575</v>
      </c>
    </row>
    <row r="8125" spans="1:7" x14ac:dyDescent="0.3">
      <c r="A8125" t="s">
        <v>2498</v>
      </c>
      <c r="B8125" t="s">
        <v>2501</v>
      </c>
      <c r="C8125" t="s">
        <v>2502</v>
      </c>
      <c r="D8125">
        <v>2012</v>
      </c>
      <c r="E8125" s="2">
        <v>100</v>
      </c>
      <c r="F8125" s="2">
        <v>6300</v>
      </c>
      <c r="G8125" s="2"/>
    </row>
    <row r="8126" spans="1:7" x14ac:dyDescent="0.3">
      <c r="A8126" t="s">
        <v>2498</v>
      </c>
      <c r="B8126" t="s">
        <v>19</v>
      </c>
      <c r="C8126" t="s">
        <v>20</v>
      </c>
      <c r="D8126">
        <v>2015</v>
      </c>
      <c r="E8126" s="2">
        <v>100</v>
      </c>
      <c r="F8126" s="2">
        <v>6800</v>
      </c>
      <c r="G8126" s="2"/>
    </row>
    <row r="8127" spans="1:7" x14ac:dyDescent="0.3">
      <c r="A8127" t="s">
        <v>2498</v>
      </c>
      <c r="B8127" t="s">
        <v>41</v>
      </c>
      <c r="C8127" t="s">
        <v>2503</v>
      </c>
      <c r="D8127">
        <v>2009</v>
      </c>
      <c r="E8127" s="2">
        <v>850</v>
      </c>
      <c r="F8127" s="2">
        <v>27200</v>
      </c>
      <c r="G8127" s="2"/>
    </row>
    <row r="8128" spans="1:7" x14ac:dyDescent="0.3">
      <c r="A8128" t="s">
        <v>2498</v>
      </c>
      <c r="B8128" t="s">
        <v>36</v>
      </c>
      <c r="D8128">
        <v>2017</v>
      </c>
      <c r="E8128" s="2">
        <v>11</v>
      </c>
      <c r="F8128" s="2">
        <v>900</v>
      </c>
      <c r="G8128" s="2"/>
    </row>
    <row r="8129" spans="1:7" x14ac:dyDescent="0.3">
      <c r="A8129" t="s">
        <v>2498</v>
      </c>
      <c r="B8129" t="s">
        <v>36</v>
      </c>
      <c r="D8129">
        <v>2018</v>
      </c>
      <c r="E8129" s="2">
        <v>20</v>
      </c>
      <c r="F8129" s="2">
        <v>1600</v>
      </c>
      <c r="G8129" s="2">
        <v>1680</v>
      </c>
    </row>
    <row r="8130" spans="1:7" x14ac:dyDescent="0.3">
      <c r="A8130" t="s">
        <v>2498</v>
      </c>
      <c r="B8130" t="s">
        <v>36</v>
      </c>
      <c r="D8130">
        <v>2019</v>
      </c>
      <c r="E8130" s="2">
        <v>20</v>
      </c>
      <c r="F8130" s="2">
        <v>1600</v>
      </c>
      <c r="G8130" s="2">
        <v>1680</v>
      </c>
    </row>
    <row r="8131" spans="1:7" x14ac:dyDescent="0.3">
      <c r="A8131" t="s">
        <v>2498</v>
      </c>
      <c r="B8131" t="s">
        <v>36</v>
      </c>
      <c r="D8131">
        <v>2020</v>
      </c>
      <c r="E8131" s="2">
        <v>10</v>
      </c>
      <c r="F8131" s="2">
        <v>800</v>
      </c>
      <c r="G8131" s="2">
        <v>840</v>
      </c>
    </row>
    <row r="8132" spans="1:7" x14ac:dyDescent="0.3">
      <c r="A8132" t="s">
        <v>2498</v>
      </c>
      <c r="B8132" t="s">
        <v>314</v>
      </c>
      <c r="C8132" t="s">
        <v>475</v>
      </c>
      <c r="D8132">
        <v>2009</v>
      </c>
      <c r="E8132" s="2">
        <v>150</v>
      </c>
      <c r="F8132" s="2">
        <v>6300</v>
      </c>
      <c r="G8132" s="2"/>
    </row>
    <row r="8133" spans="1:7" x14ac:dyDescent="0.3">
      <c r="A8133" t="s">
        <v>2498</v>
      </c>
      <c r="B8133" t="s">
        <v>314</v>
      </c>
      <c r="C8133" t="s">
        <v>475</v>
      </c>
      <c r="D8133">
        <v>2010</v>
      </c>
      <c r="E8133" s="2">
        <v>150</v>
      </c>
      <c r="F8133" s="2">
        <v>6450</v>
      </c>
      <c r="G8133" s="2"/>
    </row>
    <row r="8134" spans="1:7" x14ac:dyDescent="0.3">
      <c r="A8134" t="s">
        <v>2498</v>
      </c>
      <c r="B8134" t="s">
        <v>314</v>
      </c>
      <c r="C8134" t="s">
        <v>475</v>
      </c>
      <c r="D8134">
        <v>2011</v>
      </c>
      <c r="E8134" s="2">
        <v>125</v>
      </c>
      <c r="F8134" s="2">
        <v>5850</v>
      </c>
      <c r="G8134" s="2"/>
    </row>
    <row r="8135" spans="1:7" x14ac:dyDescent="0.3">
      <c r="A8135" t="s">
        <v>2498</v>
      </c>
      <c r="B8135" t="s">
        <v>314</v>
      </c>
      <c r="C8135" t="s">
        <v>475</v>
      </c>
      <c r="D8135">
        <v>2012</v>
      </c>
      <c r="E8135" s="2">
        <v>250</v>
      </c>
      <c r="F8135" s="2">
        <v>1625</v>
      </c>
      <c r="G8135" s="2"/>
    </row>
    <row r="8136" spans="1:7" x14ac:dyDescent="0.3">
      <c r="A8136" t="s">
        <v>2498</v>
      </c>
      <c r="B8136" t="s">
        <v>314</v>
      </c>
      <c r="C8136" t="s">
        <v>475</v>
      </c>
      <c r="D8136">
        <v>2013</v>
      </c>
      <c r="E8136" s="2">
        <v>325</v>
      </c>
      <c r="F8136" s="2">
        <v>21125</v>
      </c>
      <c r="G8136" s="2"/>
    </row>
    <row r="8137" spans="1:7" x14ac:dyDescent="0.3">
      <c r="A8137" t="s">
        <v>2498</v>
      </c>
      <c r="B8137" t="s">
        <v>314</v>
      </c>
      <c r="C8137" t="s">
        <v>475</v>
      </c>
      <c r="D8137">
        <v>2014</v>
      </c>
      <c r="E8137" s="2">
        <v>450</v>
      </c>
      <c r="F8137" s="2">
        <v>29250</v>
      </c>
      <c r="G8137" s="2"/>
    </row>
    <row r="8138" spans="1:7" x14ac:dyDescent="0.3">
      <c r="A8138" t="s">
        <v>2498</v>
      </c>
      <c r="B8138" t="s">
        <v>314</v>
      </c>
      <c r="C8138" t="s">
        <v>475</v>
      </c>
      <c r="D8138">
        <v>2015</v>
      </c>
      <c r="E8138" s="2">
        <v>550</v>
      </c>
      <c r="F8138" s="2">
        <v>35750</v>
      </c>
      <c r="G8138" s="2"/>
    </row>
    <row r="8139" spans="1:7" x14ac:dyDescent="0.3">
      <c r="A8139" t="s">
        <v>2498</v>
      </c>
      <c r="B8139" t="s">
        <v>314</v>
      </c>
      <c r="C8139" t="s">
        <v>475</v>
      </c>
      <c r="D8139">
        <v>2016</v>
      </c>
      <c r="E8139" s="2">
        <v>265</v>
      </c>
      <c r="F8139" s="2">
        <v>17225</v>
      </c>
      <c r="G8139" s="2"/>
    </row>
    <row r="8140" spans="1:7" x14ac:dyDescent="0.3">
      <c r="A8140" t="s">
        <v>2498</v>
      </c>
      <c r="B8140" t="s">
        <v>314</v>
      </c>
      <c r="C8140" t="s">
        <v>475</v>
      </c>
      <c r="D8140">
        <v>2017</v>
      </c>
      <c r="E8140" s="2">
        <v>150</v>
      </c>
      <c r="F8140" s="2">
        <v>9750</v>
      </c>
      <c r="G8140" s="2"/>
    </row>
    <row r="8141" spans="1:7" x14ac:dyDescent="0.3">
      <c r="A8141" t="s">
        <v>2498</v>
      </c>
      <c r="B8141" t="s">
        <v>708</v>
      </c>
      <c r="C8141" t="s">
        <v>477</v>
      </c>
      <c r="D8141">
        <v>2018</v>
      </c>
      <c r="E8141" s="2">
        <v>50</v>
      </c>
      <c r="F8141" s="2">
        <v>3250</v>
      </c>
      <c r="G8141" s="2">
        <v>3412.5</v>
      </c>
    </row>
    <row r="8142" spans="1:7" x14ac:dyDescent="0.3">
      <c r="A8142" t="s">
        <v>2498</v>
      </c>
      <c r="B8142" t="s">
        <v>708</v>
      </c>
      <c r="C8142" t="s">
        <v>477</v>
      </c>
      <c r="D8142">
        <v>2019</v>
      </c>
      <c r="E8142" s="2">
        <v>75</v>
      </c>
      <c r="F8142" s="2">
        <v>4875</v>
      </c>
      <c r="G8142" s="2">
        <v>5118.75</v>
      </c>
    </row>
    <row r="8143" spans="1:7" x14ac:dyDescent="0.3">
      <c r="A8143" t="s">
        <v>2498</v>
      </c>
      <c r="B8143" t="s">
        <v>481</v>
      </c>
      <c r="C8143" t="s">
        <v>482</v>
      </c>
      <c r="D8143">
        <v>2012</v>
      </c>
      <c r="E8143" s="2">
        <v>100</v>
      </c>
      <c r="F8143" s="2">
        <v>6300</v>
      </c>
      <c r="G8143" s="2"/>
    </row>
    <row r="8144" spans="1:7" x14ac:dyDescent="0.3">
      <c r="A8144" t="s">
        <v>2498</v>
      </c>
      <c r="B8144" t="s">
        <v>1339</v>
      </c>
      <c r="C8144" t="s">
        <v>1340</v>
      </c>
      <c r="D8144">
        <v>2018</v>
      </c>
      <c r="E8144" s="2">
        <v>25</v>
      </c>
      <c r="F8144" s="2">
        <v>1750</v>
      </c>
      <c r="G8144" s="2">
        <v>1837.5</v>
      </c>
    </row>
    <row r="8145" spans="1:7" x14ac:dyDescent="0.3">
      <c r="A8145" t="s">
        <v>2498</v>
      </c>
      <c r="B8145" t="s">
        <v>1339</v>
      </c>
      <c r="C8145" t="s">
        <v>1340</v>
      </c>
      <c r="D8145">
        <v>2020</v>
      </c>
      <c r="E8145" s="2">
        <v>10</v>
      </c>
      <c r="F8145" s="2">
        <v>700</v>
      </c>
      <c r="G8145" s="2">
        <v>735</v>
      </c>
    </row>
    <row r="8146" spans="1:7" x14ac:dyDescent="0.3">
      <c r="A8146" t="s">
        <v>2498</v>
      </c>
      <c r="B8146" t="s">
        <v>37</v>
      </c>
      <c r="D8146">
        <v>2019</v>
      </c>
      <c r="E8146" s="2">
        <v>30</v>
      </c>
      <c r="F8146" s="2">
        <v>1950</v>
      </c>
      <c r="G8146" s="2">
        <v>2047.5</v>
      </c>
    </row>
    <row r="8147" spans="1:7" x14ac:dyDescent="0.3">
      <c r="A8147" t="s">
        <v>2498</v>
      </c>
      <c r="B8147" t="s">
        <v>37</v>
      </c>
      <c r="D8147">
        <v>2020</v>
      </c>
      <c r="E8147" s="2">
        <v>20</v>
      </c>
      <c r="F8147" s="2">
        <v>1300</v>
      </c>
      <c r="G8147" s="2">
        <v>1365</v>
      </c>
    </row>
    <row r="8148" spans="1:7" x14ac:dyDescent="0.3">
      <c r="A8148" t="s">
        <v>2504</v>
      </c>
      <c r="B8148" t="s">
        <v>524</v>
      </c>
      <c r="C8148" t="s">
        <v>525</v>
      </c>
      <c r="D8148">
        <v>2019</v>
      </c>
      <c r="E8148" s="2">
        <v>5</v>
      </c>
      <c r="F8148" s="2">
        <v>450</v>
      </c>
      <c r="G8148" s="2">
        <v>472.5</v>
      </c>
    </row>
    <row r="8149" spans="1:7" x14ac:dyDescent="0.3">
      <c r="A8149" t="s">
        <v>2504</v>
      </c>
      <c r="B8149" t="s">
        <v>686</v>
      </c>
      <c r="C8149" t="s">
        <v>866</v>
      </c>
      <c r="D8149">
        <v>2019</v>
      </c>
      <c r="E8149" s="2">
        <v>50</v>
      </c>
      <c r="F8149" s="2">
        <v>2750</v>
      </c>
      <c r="G8149" s="2">
        <v>2887.5</v>
      </c>
    </row>
    <row r="8150" spans="1:7" x14ac:dyDescent="0.3">
      <c r="A8150" t="s">
        <v>2504</v>
      </c>
      <c r="B8150" t="s">
        <v>686</v>
      </c>
      <c r="C8150" t="s">
        <v>866</v>
      </c>
      <c r="D8150">
        <v>2020</v>
      </c>
      <c r="E8150" s="2">
        <v>25</v>
      </c>
      <c r="F8150" s="2">
        <v>1375</v>
      </c>
      <c r="G8150" s="2">
        <v>1443.75</v>
      </c>
    </row>
    <row r="8151" spans="1:7" x14ac:dyDescent="0.3">
      <c r="A8151" t="s">
        <v>2504</v>
      </c>
      <c r="B8151" t="s">
        <v>686</v>
      </c>
      <c r="C8151" t="s">
        <v>687</v>
      </c>
      <c r="D8151">
        <v>2020</v>
      </c>
      <c r="E8151" s="2">
        <v>25</v>
      </c>
      <c r="F8151" s="2">
        <v>1325</v>
      </c>
      <c r="G8151" s="2">
        <v>1391.25</v>
      </c>
    </row>
    <row r="8152" spans="1:7" x14ac:dyDescent="0.3">
      <c r="A8152" t="s">
        <v>2504</v>
      </c>
      <c r="B8152" t="s">
        <v>19</v>
      </c>
      <c r="C8152" t="s">
        <v>20</v>
      </c>
      <c r="D8152">
        <v>2019</v>
      </c>
      <c r="E8152" s="2">
        <v>5</v>
      </c>
      <c r="F8152" s="2">
        <v>325</v>
      </c>
      <c r="G8152" s="2">
        <v>341.25</v>
      </c>
    </row>
    <row r="8153" spans="1:7" x14ac:dyDescent="0.3">
      <c r="A8153" t="s">
        <v>2504</v>
      </c>
      <c r="B8153" t="s">
        <v>19</v>
      </c>
      <c r="C8153" t="s">
        <v>107</v>
      </c>
      <c r="D8153">
        <v>2019</v>
      </c>
      <c r="E8153" s="2">
        <v>5</v>
      </c>
      <c r="F8153" s="2">
        <v>325</v>
      </c>
      <c r="G8153" s="2">
        <v>341.25</v>
      </c>
    </row>
    <row r="8154" spans="1:7" x14ac:dyDescent="0.3">
      <c r="A8154" t="s">
        <v>2504</v>
      </c>
      <c r="B8154" t="s">
        <v>19</v>
      </c>
      <c r="C8154" t="s">
        <v>107</v>
      </c>
      <c r="D8154">
        <v>2020</v>
      </c>
      <c r="E8154" s="2">
        <v>5</v>
      </c>
      <c r="F8154" s="2">
        <v>300</v>
      </c>
      <c r="G8154" s="2">
        <v>315</v>
      </c>
    </row>
    <row r="8155" spans="1:7" x14ac:dyDescent="0.3">
      <c r="A8155" t="s">
        <v>2504</v>
      </c>
      <c r="B8155" t="s">
        <v>19</v>
      </c>
      <c r="C8155" t="s">
        <v>670</v>
      </c>
      <c r="D8155">
        <v>2020</v>
      </c>
      <c r="E8155" s="2">
        <v>5</v>
      </c>
      <c r="F8155" s="2">
        <v>310</v>
      </c>
      <c r="G8155" s="2">
        <v>325.5</v>
      </c>
    </row>
    <row r="8156" spans="1:7" x14ac:dyDescent="0.3">
      <c r="A8156" t="s">
        <v>2504</v>
      </c>
      <c r="B8156" t="s">
        <v>19</v>
      </c>
      <c r="C8156" t="s">
        <v>107</v>
      </c>
      <c r="D8156">
        <v>2021</v>
      </c>
      <c r="E8156" s="2">
        <v>25</v>
      </c>
      <c r="F8156" s="2">
        <v>1500</v>
      </c>
      <c r="G8156" s="2">
        <v>1575</v>
      </c>
    </row>
    <row r="8157" spans="1:7" x14ac:dyDescent="0.3">
      <c r="A8157" t="s">
        <v>2504</v>
      </c>
      <c r="B8157" t="s">
        <v>110</v>
      </c>
      <c r="C8157" t="s">
        <v>111</v>
      </c>
      <c r="D8157">
        <v>2020</v>
      </c>
      <c r="E8157" s="2">
        <v>75</v>
      </c>
      <c r="F8157" s="2">
        <v>4125</v>
      </c>
      <c r="G8157" s="2">
        <v>4331.25</v>
      </c>
    </row>
    <row r="8158" spans="1:7" x14ac:dyDescent="0.3">
      <c r="A8158" t="s">
        <v>2504</v>
      </c>
      <c r="B8158" t="s">
        <v>110</v>
      </c>
      <c r="C8158" t="s">
        <v>111</v>
      </c>
      <c r="D8158">
        <v>2021</v>
      </c>
      <c r="E8158" s="2">
        <v>25</v>
      </c>
      <c r="F8158" s="2">
        <v>1375</v>
      </c>
      <c r="G8158" s="2">
        <v>1443.75</v>
      </c>
    </row>
    <row r="8159" spans="1:7" x14ac:dyDescent="0.3">
      <c r="A8159" t="s">
        <v>2504</v>
      </c>
      <c r="B8159" t="s">
        <v>911</v>
      </c>
      <c r="C8159" t="s">
        <v>912</v>
      </c>
      <c r="D8159">
        <v>2019</v>
      </c>
      <c r="E8159" s="2">
        <v>5</v>
      </c>
      <c r="F8159" s="2">
        <v>350</v>
      </c>
      <c r="G8159" s="2">
        <v>367.5</v>
      </c>
    </row>
    <row r="8160" spans="1:7" x14ac:dyDescent="0.3">
      <c r="A8160" t="s">
        <v>2504</v>
      </c>
      <c r="B8160" t="s">
        <v>867</v>
      </c>
      <c r="C8160" t="s">
        <v>868</v>
      </c>
      <c r="D8160">
        <v>2020</v>
      </c>
      <c r="E8160" s="2">
        <v>20</v>
      </c>
      <c r="F8160" s="2">
        <v>1720</v>
      </c>
      <c r="G8160" s="2">
        <v>1806</v>
      </c>
    </row>
    <row r="8161" spans="1:7" x14ac:dyDescent="0.3">
      <c r="A8161" t="s">
        <v>2504</v>
      </c>
      <c r="B8161" t="s">
        <v>1021</v>
      </c>
      <c r="C8161" t="s">
        <v>1022</v>
      </c>
      <c r="D8161">
        <v>2019</v>
      </c>
      <c r="E8161" s="2">
        <v>10</v>
      </c>
      <c r="F8161" s="2">
        <v>700</v>
      </c>
      <c r="G8161" s="2">
        <v>735</v>
      </c>
    </row>
    <row r="8162" spans="1:7" x14ac:dyDescent="0.3">
      <c r="A8162" t="s">
        <v>2504</v>
      </c>
      <c r="B8162" t="s">
        <v>12</v>
      </c>
      <c r="C8162" t="s">
        <v>13</v>
      </c>
      <c r="D8162">
        <v>2019</v>
      </c>
      <c r="E8162" s="2">
        <v>30</v>
      </c>
      <c r="F8162" s="2">
        <v>2100</v>
      </c>
      <c r="G8162" s="2">
        <v>2205</v>
      </c>
    </row>
    <row r="8163" spans="1:7" x14ac:dyDescent="0.3">
      <c r="A8163" t="s">
        <v>2504</v>
      </c>
      <c r="B8163" t="s">
        <v>12</v>
      </c>
      <c r="C8163" t="s">
        <v>13</v>
      </c>
      <c r="D8163">
        <v>2020</v>
      </c>
      <c r="E8163" s="2">
        <v>175</v>
      </c>
      <c r="F8163" s="2">
        <v>12250</v>
      </c>
      <c r="G8163" s="2">
        <v>12862.5</v>
      </c>
    </row>
    <row r="8164" spans="1:7" x14ac:dyDescent="0.3">
      <c r="A8164" t="s">
        <v>2504</v>
      </c>
      <c r="B8164" t="s">
        <v>12</v>
      </c>
      <c r="C8164" t="s">
        <v>13</v>
      </c>
      <c r="D8164">
        <v>2021</v>
      </c>
      <c r="E8164" s="2">
        <v>50</v>
      </c>
      <c r="F8164" s="2">
        <v>3500</v>
      </c>
      <c r="G8164" s="2">
        <v>3675</v>
      </c>
    </row>
    <row r="8165" spans="1:7" x14ac:dyDescent="0.3">
      <c r="A8165" t="s">
        <v>2505</v>
      </c>
      <c r="B8165" t="s">
        <v>2276</v>
      </c>
      <c r="C8165" t="s">
        <v>724</v>
      </c>
      <c r="D8165">
        <v>2019</v>
      </c>
      <c r="E8165" s="2">
        <v>18</v>
      </c>
      <c r="F8165" s="2">
        <v>2646</v>
      </c>
      <c r="G8165" s="2">
        <v>2778.3</v>
      </c>
    </row>
    <row r="8166" spans="1:7" x14ac:dyDescent="0.3">
      <c r="A8166" t="s">
        <v>2505</v>
      </c>
      <c r="B8166" t="s">
        <v>506</v>
      </c>
      <c r="C8166" t="s">
        <v>507</v>
      </c>
      <c r="D8166">
        <v>2019</v>
      </c>
      <c r="E8166" s="2">
        <v>10</v>
      </c>
      <c r="F8166" s="2">
        <v>950</v>
      </c>
      <c r="G8166" s="2">
        <v>997.5</v>
      </c>
    </row>
    <row r="8167" spans="1:7" x14ac:dyDescent="0.3">
      <c r="A8167" t="s">
        <v>2505</v>
      </c>
      <c r="B8167" t="s">
        <v>506</v>
      </c>
      <c r="C8167" t="s">
        <v>507</v>
      </c>
      <c r="D8167">
        <v>2020</v>
      </c>
      <c r="E8167" s="2">
        <v>10</v>
      </c>
      <c r="F8167" s="2">
        <v>950</v>
      </c>
      <c r="G8167" s="2">
        <v>997.5</v>
      </c>
    </row>
    <row r="8168" spans="1:7" x14ac:dyDescent="0.3">
      <c r="A8168" t="s">
        <v>2505</v>
      </c>
      <c r="B8168" t="s">
        <v>2506</v>
      </c>
      <c r="C8168" t="s">
        <v>2507</v>
      </c>
      <c r="D8168">
        <v>2019</v>
      </c>
      <c r="E8168" s="2">
        <v>5</v>
      </c>
      <c r="F8168" s="2">
        <v>1450</v>
      </c>
      <c r="G8168" s="2">
        <v>1522.5</v>
      </c>
    </row>
    <row r="8169" spans="1:7" x14ac:dyDescent="0.3">
      <c r="A8169" t="s">
        <v>2505</v>
      </c>
      <c r="B8169" t="s">
        <v>2508</v>
      </c>
      <c r="C8169" t="s">
        <v>1780</v>
      </c>
      <c r="D8169">
        <v>2018</v>
      </c>
      <c r="E8169" s="2">
        <v>13</v>
      </c>
      <c r="F8169" s="2">
        <v>1235</v>
      </c>
      <c r="G8169" s="2">
        <v>1296.75</v>
      </c>
    </row>
    <row r="8170" spans="1:7" x14ac:dyDescent="0.3">
      <c r="A8170" t="s">
        <v>2505</v>
      </c>
      <c r="B8170" t="s">
        <v>255</v>
      </c>
      <c r="C8170" t="s">
        <v>256</v>
      </c>
      <c r="D8170">
        <v>2019</v>
      </c>
      <c r="E8170" s="2">
        <v>15</v>
      </c>
      <c r="F8170" s="2">
        <v>2250</v>
      </c>
      <c r="G8170" s="2">
        <v>2362.5</v>
      </c>
    </row>
    <row r="8171" spans="1:7" x14ac:dyDescent="0.3">
      <c r="A8171" t="s">
        <v>2505</v>
      </c>
      <c r="B8171" t="s">
        <v>120</v>
      </c>
      <c r="C8171" t="s">
        <v>121</v>
      </c>
      <c r="D8171">
        <v>2018</v>
      </c>
      <c r="E8171" s="2">
        <v>100</v>
      </c>
      <c r="F8171" s="2">
        <v>12863</v>
      </c>
      <c r="G8171" s="2">
        <v>13506.15</v>
      </c>
    </row>
    <row r="8172" spans="1:7" x14ac:dyDescent="0.3">
      <c r="A8172" t="s">
        <v>2505</v>
      </c>
      <c r="B8172" t="s">
        <v>161</v>
      </c>
      <c r="C8172" t="s">
        <v>162</v>
      </c>
      <c r="D8172">
        <v>2019</v>
      </c>
      <c r="E8172" s="2">
        <v>26</v>
      </c>
      <c r="F8172" s="2">
        <v>3640</v>
      </c>
      <c r="G8172" s="2">
        <v>3822</v>
      </c>
    </row>
    <row r="8173" spans="1:7" x14ac:dyDescent="0.3">
      <c r="A8173" t="s">
        <v>2509</v>
      </c>
      <c r="B8173" t="s">
        <v>2510</v>
      </c>
      <c r="C8173" t="s">
        <v>2511</v>
      </c>
      <c r="D8173">
        <v>2010</v>
      </c>
      <c r="E8173" s="2">
        <v>10</v>
      </c>
      <c r="F8173" s="2">
        <v>3390</v>
      </c>
      <c r="G8173" s="2"/>
    </row>
    <row r="8174" spans="1:7" x14ac:dyDescent="0.3">
      <c r="A8174" t="s">
        <v>2509</v>
      </c>
      <c r="B8174" t="s">
        <v>2510</v>
      </c>
      <c r="C8174" t="s">
        <v>2511</v>
      </c>
      <c r="D8174">
        <v>2011</v>
      </c>
      <c r="E8174" s="2">
        <v>10</v>
      </c>
      <c r="F8174" s="2">
        <v>3389.3</v>
      </c>
      <c r="G8174" s="2"/>
    </row>
    <row r="8175" spans="1:7" x14ac:dyDescent="0.3">
      <c r="A8175" t="s">
        <v>2509</v>
      </c>
      <c r="B8175" t="s">
        <v>2510</v>
      </c>
      <c r="C8175" t="s">
        <v>2511</v>
      </c>
      <c r="D8175">
        <v>2012</v>
      </c>
      <c r="E8175" s="2">
        <v>10</v>
      </c>
      <c r="F8175" s="2">
        <v>3389.3</v>
      </c>
      <c r="G8175" s="2"/>
    </row>
    <row r="8176" spans="1:7" x14ac:dyDescent="0.3">
      <c r="A8176" t="s">
        <v>2509</v>
      </c>
      <c r="B8176" t="s">
        <v>2510</v>
      </c>
      <c r="C8176" t="s">
        <v>2511</v>
      </c>
      <c r="D8176">
        <v>2016</v>
      </c>
      <c r="E8176" s="2">
        <v>50</v>
      </c>
      <c r="F8176" s="2">
        <v>16500</v>
      </c>
      <c r="G8176" s="2"/>
    </row>
    <row r="8177" spans="1:7" x14ac:dyDescent="0.3">
      <c r="A8177" t="s">
        <v>2509</v>
      </c>
      <c r="B8177" t="s">
        <v>2510</v>
      </c>
      <c r="C8177" t="s">
        <v>2511</v>
      </c>
      <c r="D8177">
        <v>2019</v>
      </c>
      <c r="E8177" s="2">
        <v>10</v>
      </c>
      <c r="F8177" s="2">
        <v>3300</v>
      </c>
      <c r="G8177" s="2">
        <v>3465</v>
      </c>
    </row>
    <row r="8178" spans="1:7" x14ac:dyDescent="0.3">
      <c r="A8178" t="s">
        <v>2509</v>
      </c>
      <c r="B8178" t="s">
        <v>320</v>
      </c>
      <c r="C8178" t="s">
        <v>414</v>
      </c>
      <c r="D8178">
        <v>2019</v>
      </c>
      <c r="E8178" s="2">
        <v>25</v>
      </c>
      <c r="F8178" s="2">
        <v>5500</v>
      </c>
      <c r="G8178" s="2">
        <v>5775</v>
      </c>
    </row>
    <row r="8179" spans="1:7" x14ac:dyDescent="0.3">
      <c r="A8179" t="s">
        <v>2509</v>
      </c>
      <c r="B8179" t="s">
        <v>2512</v>
      </c>
      <c r="C8179" t="s">
        <v>2513</v>
      </c>
      <c r="D8179">
        <v>2010</v>
      </c>
      <c r="E8179" s="2">
        <v>10</v>
      </c>
      <c r="F8179" s="2">
        <v>4900</v>
      </c>
      <c r="G8179" s="2"/>
    </row>
    <row r="8180" spans="1:7" x14ac:dyDescent="0.3">
      <c r="A8180" t="s">
        <v>2509</v>
      </c>
      <c r="B8180" t="s">
        <v>2512</v>
      </c>
      <c r="C8180" t="s">
        <v>2513</v>
      </c>
      <c r="D8180">
        <v>2012</v>
      </c>
      <c r="E8180" s="2">
        <v>10</v>
      </c>
      <c r="F8180" s="2">
        <v>5050.8</v>
      </c>
      <c r="G8180" s="2"/>
    </row>
    <row r="8181" spans="1:7" x14ac:dyDescent="0.3">
      <c r="A8181" t="s">
        <v>2509</v>
      </c>
      <c r="B8181" t="s">
        <v>2512</v>
      </c>
      <c r="C8181" t="s">
        <v>2513</v>
      </c>
      <c r="D8181">
        <v>2016</v>
      </c>
      <c r="E8181" s="2">
        <v>25</v>
      </c>
      <c r="F8181" s="2">
        <v>12500</v>
      </c>
      <c r="G8181" s="2"/>
    </row>
    <row r="8182" spans="1:7" x14ac:dyDescent="0.3">
      <c r="A8182" t="s">
        <v>2514</v>
      </c>
      <c r="B8182" t="s">
        <v>2053</v>
      </c>
      <c r="C8182" t="s">
        <v>394</v>
      </c>
      <c r="D8182">
        <v>2019</v>
      </c>
      <c r="E8182" s="2">
        <v>3</v>
      </c>
      <c r="F8182" s="2">
        <v>540</v>
      </c>
      <c r="G8182" s="2">
        <v>567</v>
      </c>
    </row>
    <row r="8183" spans="1:7" x14ac:dyDescent="0.3">
      <c r="A8183" t="s">
        <v>2514</v>
      </c>
      <c r="B8183" t="s">
        <v>586</v>
      </c>
      <c r="C8183" t="s">
        <v>587</v>
      </c>
      <c r="D8183">
        <v>2020</v>
      </c>
      <c r="E8183" s="2">
        <v>52</v>
      </c>
      <c r="F8183" s="2">
        <v>9730</v>
      </c>
      <c r="G8183" s="2">
        <v>10216.5</v>
      </c>
    </row>
    <row r="8184" spans="1:7" x14ac:dyDescent="0.3">
      <c r="A8184" t="s">
        <v>2514</v>
      </c>
      <c r="B8184" t="s">
        <v>819</v>
      </c>
      <c r="C8184" t="s">
        <v>220</v>
      </c>
      <c r="D8184">
        <v>2019</v>
      </c>
      <c r="E8184" s="2">
        <v>1</v>
      </c>
      <c r="F8184" s="2">
        <v>230</v>
      </c>
      <c r="G8184" s="2">
        <v>241.5</v>
      </c>
    </row>
    <row r="8185" spans="1:7" x14ac:dyDescent="0.3">
      <c r="A8185" t="s">
        <v>2514</v>
      </c>
      <c r="B8185" t="s">
        <v>1412</v>
      </c>
      <c r="D8185">
        <v>2021</v>
      </c>
      <c r="E8185" s="2">
        <v>5</v>
      </c>
      <c r="F8185" s="2">
        <v>1600</v>
      </c>
      <c r="G8185" s="2">
        <v>1680</v>
      </c>
    </row>
    <row r="8186" spans="1:7" x14ac:dyDescent="0.3">
      <c r="A8186" t="s">
        <v>2514</v>
      </c>
      <c r="B8186" t="s">
        <v>2164</v>
      </c>
      <c r="C8186" t="s">
        <v>2165</v>
      </c>
      <c r="D8186">
        <v>2019</v>
      </c>
      <c r="E8186" s="2">
        <v>3</v>
      </c>
      <c r="F8186" s="2">
        <v>750</v>
      </c>
      <c r="G8186" s="2">
        <v>787.5</v>
      </c>
    </row>
    <row r="8187" spans="1:7" x14ac:dyDescent="0.3">
      <c r="A8187" t="s">
        <v>2514</v>
      </c>
      <c r="B8187" t="s">
        <v>2164</v>
      </c>
      <c r="C8187" t="s">
        <v>2165</v>
      </c>
      <c r="D8187">
        <v>2020</v>
      </c>
      <c r="E8187" s="2">
        <v>4</v>
      </c>
      <c r="F8187" s="2">
        <v>1000</v>
      </c>
      <c r="G8187" s="2">
        <v>1050</v>
      </c>
    </row>
    <row r="8188" spans="1:7" x14ac:dyDescent="0.3">
      <c r="A8188" t="s">
        <v>2514</v>
      </c>
      <c r="B8188" t="s">
        <v>257</v>
      </c>
      <c r="C8188" t="s">
        <v>61</v>
      </c>
      <c r="D8188">
        <v>2020</v>
      </c>
      <c r="E8188" s="2">
        <v>11</v>
      </c>
      <c r="F8188" s="2">
        <v>2090</v>
      </c>
      <c r="G8188" s="2">
        <v>2194.5</v>
      </c>
    </row>
    <row r="8189" spans="1:7" x14ac:dyDescent="0.3">
      <c r="A8189" t="s">
        <v>2514</v>
      </c>
      <c r="B8189" t="s">
        <v>257</v>
      </c>
      <c r="C8189" t="s">
        <v>61</v>
      </c>
      <c r="D8189">
        <v>2021</v>
      </c>
      <c r="E8189" s="2">
        <v>5</v>
      </c>
      <c r="F8189" s="2">
        <v>950</v>
      </c>
      <c r="G8189" s="2">
        <v>997.5</v>
      </c>
    </row>
    <row r="8190" spans="1:7" x14ac:dyDescent="0.3">
      <c r="A8190" t="s">
        <v>2514</v>
      </c>
      <c r="B8190" t="s">
        <v>64</v>
      </c>
      <c r="C8190" t="s">
        <v>65</v>
      </c>
      <c r="D8190">
        <v>2020</v>
      </c>
      <c r="E8190" s="2">
        <v>24</v>
      </c>
      <c r="F8190" s="2">
        <v>3840</v>
      </c>
      <c r="G8190" s="2">
        <v>4032</v>
      </c>
    </row>
    <row r="8191" spans="1:7" x14ac:dyDescent="0.3">
      <c r="A8191" t="s">
        <v>2514</v>
      </c>
      <c r="B8191" t="s">
        <v>64</v>
      </c>
      <c r="C8191" t="s">
        <v>65</v>
      </c>
      <c r="D8191">
        <v>2021</v>
      </c>
      <c r="E8191" s="2">
        <v>5</v>
      </c>
      <c r="F8191" s="2">
        <v>800</v>
      </c>
      <c r="G8191" s="2">
        <v>840</v>
      </c>
    </row>
    <row r="8192" spans="1:7" x14ac:dyDescent="0.3">
      <c r="A8192" t="s">
        <v>2514</v>
      </c>
      <c r="B8192" t="s">
        <v>133</v>
      </c>
      <c r="C8192" t="s">
        <v>134</v>
      </c>
      <c r="D8192">
        <v>2019</v>
      </c>
      <c r="E8192" s="2">
        <v>5</v>
      </c>
      <c r="F8192" s="2">
        <v>1500</v>
      </c>
      <c r="G8192" s="2">
        <v>1575</v>
      </c>
    </row>
    <row r="8193" spans="1:7" x14ac:dyDescent="0.3">
      <c r="A8193" t="s">
        <v>2514</v>
      </c>
      <c r="B8193" t="s">
        <v>133</v>
      </c>
      <c r="C8193" t="s">
        <v>134</v>
      </c>
      <c r="D8193">
        <v>2020</v>
      </c>
      <c r="E8193" s="2">
        <v>20</v>
      </c>
      <c r="F8193" s="2">
        <v>6000</v>
      </c>
      <c r="G8193" s="2">
        <v>6300</v>
      </c>
    </row>
    <row r="8194" spans="1:7" x14ac:dyDescent="0.3">
      <c r="A8194" t="s">
        <v>2514</v>
      </c>
      <c r="B8194" t="s">
        <v>839</v>
      </c>
      <c r="C8194" t="s">
        <v>138</v>
      </c>
      <c r="D8194">
        <v>2020</v>
      </c>
      <c r="E8194" s="2">
        <v>3</v>
      </c>
      <c r="F8194" s="2">
        <v>540</v>
      </c>
      <c r="G8194" s="2">
        <v>567</v>
      </c>
    </row>
    <row r="8195" spans="1:7" x14ac:dyDescent="0.3">
      <c r="A8195" t="s">
        <v>2514</v>
      </c>
      <c r="B8195" t="s">
        <v>839</v>
      </c>
      <c r="C8195" t="s">
        <v>138</v>
      </c>
      <c r="D8195">
        <v>2021</v>
      </c>
      <c r="E8195" s="2">
        <v>3</v>
      </c>
      <c r="F8195" s="2">
        <v>540</v>
      </c>
      <c r="G8195" s="2">
        <v>567</v>
      </c>
    </row>
    <row r="8196" spans="1:7" x14ac:dyDescent="0.3">
      <c r="A8196" t="s">
        <v>2514</v>
      </c>
      <c r="B8196" t="s">
        <v>146</v>
      </c>
      <c r="D8196">
        <v>2021</v>
      </c>
      <c r="E8196" s="2">
        <v>5</v>
      </c>
      <c r="F8196" s="2">
        <v>1550</v>
      </c>
      <c r="G8196" s="2">
        <v>1627.5</v>
      </c>
    </row>
    <row r="8197" spans="1:7" x14ac:dyDescent="0.3">
      <c r="A8197" t="s">
        <v>2514</v>
      </c>
      <c r="B8197" t="s">
        <v>263</v>
      </c>
      <c r="C8197" t="s">
        <v>264</v>
      </c>
      <c r="D8197">
        <v>2019</v>
      </c>
      <c r="E8197" s="2">
        <v>15</v>
      </c>
      <c r="F8197" s="2">
        <v>3225</v>
      </c>
      <c r="G8197" s="2">
        <v>3386.25</v>
      </c>
    </row>
    <row r="8198" spans="1:7" x14ac:dyDescent="0.3">
      <c r="A8198" t="s">
        <v>2514</v>
      </c>
      <c r="B8198" t="s">
        <v>263</v>
      </c>
      <c r="C8198" t="s">
        <v>264</v>
      </c>
      <c r="D8198">
        <v>2020</v>
      </c>
      <c r="E8198" s="2">
        <v>52</v>
      </c>
      <c r="F8198" s="2">
        <v>11180</v>
      </c>
      <c r="G8198" s="2">
        <v>11739</v>
      </c>
    </row>
    <row r="8199" spans="1:7" x14ac:dyDescent="0.3">
      <c r="A8199" t="s">
        <v>2514</v>
      </c>
      <c r="B8199" t="s">
        <v>266</v>
      </c>
      <c r="C8199" t="s">
        <v>143</v>
      </c>
      <c r="D8199">
        <v>2019</v>
      </c>
      <c r="E8199" s="2">
        <v>3</v>
      </c>
      <c r="F8199" s="2">
        <v>660</v>
      </c>
      <c r="G8199" s="2">
        <v>693</v>
      </c>
    </row>
    <row r="8200" spans="1:7" x14ac:dyDescent="0.3">
      <c r="A8200" t="s">
        <v>2515</v>
      </c>
      <c r="B8200" t="s">
        <v>34</v>
      </c>
      <c r="D8200">
        <v>2020</v>
      </c>
      <c r="E8200" s="2">
        <v>5</v>
      </c>
      <c r="F8200" s="2">
        <v>400</v>
      </c>
      <c r="G8200" s="2">
        <v>420</v>
      </c>
    </row>
    <row r="8201" spans="1:7" x14ac:dyDescent="0.3">
      <c r="A8201" t="s">
        <v>2515</v>
      </c>
      <c r="B8201" t="s">
        <v>653</v>
      </c>
      <c r="C8201" t="s">
        <v>654</v>
      </c>
      <c r="D8201">
        <v>2020</v>
      </c>
      <c r="E8201" s="2">
        <v>25</v>
      </c>
      <c r="F8201" s="2">
        <v>1750</v>
      </c>
      <c r="G8201" s="2">
        <v>1837.5</v>
      </c>
    </row>
    <row r="8202" spans="1:7" x14ac:dyDescent="0.3">
      <c r="A8202" t="s">
        <v>2515</v>
      </c>
      <c r="B8202" t="s">
        <v>37</v>
      </c>
      <c r="D8202">
        <v>2020</v>
      </c>
      <c r="E8202" s="2">
        <v>10</v>
      </c>
      <c r="F8202" s="2">
        <v>650</v>
      </c>
      <c r="G8202" s="2">
        <v>682.5</v>
      </c>
    </row>
    <row r="8203" spans="1:7" x14ac:dyDescent="0.3">
      <c r="A8203" t="s">
        <v>2516</v>
      </c>
      <c r="B8203" t="s">
        <v>714</v>
      </c>
      <c r="C8203" t="s">
        <v>715</v>
      </c>
      <c r="D8203">
        <v>2018</v>
      </c>
      <c r="E8203" s="2">
        <v>200</v>
      </c>
      <c r="F8203" s="2">
        <v>17000</v>
      </c>
      <c r="G8203" s="2">
        <v>17850</v>
      </c>
    </row>
    <row r="8204" spans="1:7" x14ac:dyDescent="0.3">
      <c r="A8204" t="s">
        <v>2516</v>
      </c>
      <c r="B8204" t="s">
        <v>716</v>
      </c>
      <c r="C8204" t="s">
        <v>717</v>
      </c>
      <c r="D8204">
        <v>2019</v>
      </c>
      <c r="E8204" s="2">
        <v>250</v>
      </c>
      <c r="F8204" s="2">
        <v>21250</v>
      </c>
      <c r="G8204" s="2">
        <v>22312.5</v>
      </c>
    </row>
    <row r="8205" spans="1:7" x14ac:dyDescent="0.3">
      <c r="A8205" t="s">
        <v>2516</v>
      </c>
      <c r="B8205" t="s">
        <v>716</v>
      </c>
      <c r="C8205" t="s">
        <v>717</v>
      </c>
      <c r="D8205">
        <v>2020</v>
      </c>
      <c r="E8205" s="2">
        <v>200</v>
      </c>
      <c r="F8205" s="2">
        <v>17000</v>
      </c>
      <c r="G8205" s="2">
        <v>17850</v>
      </c>
    </row>
    <row r="8206" spans="1:7" x14ac:dyDescent="0.3">
      <c r="A8206" t="s">
        <v>2516</v>
      </c>
      <c r="B8206" t="s">
        <v>716</v>
      </c>
      <c r="C8206" t="s">
        <v>717</v>
      </c>
      <c r="D8206">
        <v>2021</v>
      </c>
      <c r="E8206" s="2">
        <v>100</v>
      </c>
      <c r="F8206" s="2">
        <v>8500</v>
      </c>
      <c r="G8206" s="2">
        <v>8925</v>
      </c>
    </row>
    <row r="8207" spans="1:7" x14ac:dyDescent="0.3">
      <c r="A8207" t="s">
        <v>2516</v>
      </c>
      <c r="B8207" t="s">
        <v>240</v>
      </c>
      <c r="D8207">
        <v>2019</v>
      </c>
      <c r="E8207" s="2">
        <v>160</v>
      </c>
      <c r="F8207" s="2">
        <v>12800</v>
      </c>
      <c r="G8207" s="2">
        <v>13440</v>
      </c>
    </row>
    <row r="8208" spans="1:7" x14ac:dyDescent="0.3">
      <c r="A8208" t="s">
        <v>2516</v>
      </c>
      <c r="B8208" t="s">
        <v>240</v>
      </c>
      <c r="D8208">
        <v>2020</v>
      </c>
      <c r="E8208" s="2">
        <v>80</v>
      </c>
      <c r="F8208" s="2">
        <v>6400</v>
      </c>
      <c r="G8208" s="2">
        <v>6720</v>
      </c>
    </row>
    <row r="8209" spans="1:7" x14ac:dyDescent="0.3">
      <c r="A8209" t="s">
        <v>2517</v>
      </c>
      <c r="B8209" t="s">
        <v>51</v>
      </c>
      <c r="C8209" t="s">
        <v>52</v>
      </c>
      <c r="D8209">
        <v>2019</v>
      </c>
      <c r="E8209" s="2">
        <v>1</v>
      </c>
      <c r="F8209" s="2">
        <v>240</v>
      </c>
      <c r="G8209" s="2">
        <v>252</v>
      </c>
    </row>
    <row r="8210" spans="1:7" x14ac:dyDescent="0.3">
      <c r="A8210" t="s">
        <v>2517</v>
      </c>
      <c r="B8210" t="s">
        <v>2518</v>
      </c>
      <c r="C8210" t="s">
        <v>324</v>
      </c>
      <c r="D8210">
        <v>2019</v>
      </c>
      <c r="E8210" s="2">
        <v>1</v>
      </c>
      <c r="F8210" s="2">
        <v>200</v>
      </c>
      <c r="G8210" s="2">
        <v>210</v>
      </c>
    </row>
    <row r="8211" spans="1:7" x14ac:dyDescent="0.3">
      <c r="A8211" t="s">
        <v>2517</v>
      </c>
      <c r="B8211" t="s">
        <v>2276</v>
      </c>
      <c r="C8211" t="s">
        <v>724</v>
      </c>
      <c r="D8211">
        <v>2019</v>
      </c>
      <c r="E8211" s="2">
        <v>1</v>
      </c>
      <c r="F8211" s="2">
        <v>240</v>
      </c>
      <c r="G8211" s="2">
        <v>252</v>
      </c>
    </row>
    <row r="8212" spans="1:7" x14ac:dyDescent="0.3">
      <c r="A8212" t="s">
        <v>2517</v>
      </c>
      <c r="B8212" t="s">
        <v>583</v>
      </c>
      <c r="C8212" t="s">
        <v>249</v>
      </c>
      <c r="D8212">
        <v>2019</v>
      </c>
      <c r="E8212" s="2">
        <v>1</v>
      </c>
      <c r="F8212" s="2">
        <v>220</v>
      </c>
      <c r="G8212" s="2">
        <v>231</v>
      </c>
    </row>
    <row r="8213" spans="1:7" x14ac:dyDescent="0.3">
      <c r="A8213" t="s">
        <v>2517</v>
      </c>
      <c r="B8213" t="s">
        <v>99</v>
      </c>
      <c r="C8213" t="s">
        <v>100</v>
      </c>
      <c r="D8213">
        <v>2019</v>
      </c>
      <c r="E8213" s="2">
        <v>1</v>
      </c>
      <c r="F8213" s="2">
        <v>260</v>
      </c>
      <c r="G8213" s="2">
        <v>273</v>
      </c>
    </row>
    <row r="8214" spans="1:7" x14ac:dyDescent="0.3">
      <c r="A8214" t="s">
        <v>2517</v>
      </c>
      <c r="B8214" t="s">
        <v>2022</v>
      </c>
      <c r="C8214" t="s">
        <v>515</v>
      </c>
      <c r="D8214">
        <v>2019</v>
      </c>
      <c r="E8214" s="2">
        <v>1</v>
      </c>
      <c r="F8214" s="2">
        <v>220</v>
      </c>
      <c r="G8214" s="2">
        <v>231</v>
      </c>
    </row>
    <row r="8215" spans="1:7" x14ac:dyDescent="0.3">
      <c r="A8215" t="s">
        <v>2517</v>
      </c>
      <c r="B8215" t="s">
        <v>372</v>
      </c>
      <c r="C8215" t="s">
        <v>331</v>
      </c>
      <c r="D8215">
        <v>2019</v>
      </c>
      <c r="E8215" s="2">
        <v>1</v>
      </c>
      <c r="F8215" s="2">
        <v>220</v>
      </c>
      <c r="G8215" s="2">
        <v>231</v>
      </c>
    </row>
    <row r="8216" spans="1:7" x14ac:dyDescent="0.3">
      <c r="A8216" t="s">
        <v>2517</v>
      </c>
      <c r="B8216" t="s">
        <v>409</v>
      </c>
      <c r="C8216" t="s">
        <v>264</v>
      </c>
      <c r="D8216">
        <v>2019</v>
      </c>
      <c r="E8216" s="2">
        <v>1</v>
      </c>
      <c r="F8216" s="2">
        <v>220</v>
      </c>
      <c r="G8216" s="2">
        <v>231</v>
      </c>
    </row>
    <row r="8217" spans="1:7" x14ac:dyDescent="0.3">
      <c r="A8217" t="s">
        <v>2517</v>
      </c>
      <c r="B8217" t="s">
        <v>1326</v>
      </c>
      <c r="C8217" t="s">
        <v>143</v>
      </c>
      <c r="D8217">
        <v>2019</v>
      </c>
      <c r="E8217" s="2">
        <v>1</v>
      </c>
      <c r="F8217" s="2">
        <v>230</v>
      </c>
      <c r="G8217" s="2">
        <v>241.5</v>
      </c>
    </row>
    <row r="8218" spans="1:7" x14ac:dyDescent="0.3">
      <c r="A8218" t="s">
        <v>2517</v>
      </c>
      <c r="B8218" t="s">
        <v>72</v>
      </c>
      <c r="C8218" t="s">
        <v>73</v>
      </c>
      <c r="D8218">
        <v>2019</v>
      </c>
      <c r="E8218" s="2">
        <v>1</v>
      </c>
      <c r="F8218" s="2">
        <v>200</v>
      </c>
      <c r="G8218" s="2">
        <v>210</v>
      </c>
    </row>
    <row r="8219" spans="1:7" x14ac:dyDescent="0.3">
      <c r="A8219" t="s">
        <v>2517</v>
      </c>
      <c r="B8219" t="s">
        <v>213</v>
      </c>
      <c r="C8219" t="s">
        <v>75</v>
      </c>
      <c r="D8219">
        <v>2019</v>
      </c>
      <c r="E8219" s="2">
        <v>1</v>
      </c>
      <c r="F8219" s="2">
        <v>200</v>
      </c>
      <c r="G8219" s="2">
        <v>210</v>
      </c>
    </row>
    <row r="8220" spans="1:7" x14ac:dyDescent="0.3">
      <c r="A8220" t="s">
        <v>2519</v>
      </c>
      <c r="B8220" t="s">
        <v>51</v>
      </c>
      <c r="C8220" t="s">
        <v>52</v>
      </c>
      <c r="D8220">
        <v>2018</v>
      </c>
      <c r="E8220" s="2">
        <v>10</v>
      </c>
      <c r="F8220" s="2">
        <v>2600</v>
      </c>
      <c r="G8220" s="2">
        <v>2730</v>
      </c>
    </row>
    <row r="8221" spans="1:7" x14ac:dyDescent="0.3">
      <c r="A8221" t="s">
        <v>2519</v>
      </c>
      <c r="B8221" t="s">
        <v>51</v>
      </c>
      <c r="C8221" t="s">
        <v>52</v>
      </c>
      <c r="D8221">
        <v>2019</v>
      </c>
      <c r="E8221" s="2">
        <v>20</v>
      </c>
      <c r="F8221" s="2">
        <v>5200</v>
      </c>
      <c r="G8221" s="2">
        <v>5460</v>
      </c>
    </row>
    <row r="8222" spans="1:7" x14ac:dyDescent="0.3">
      <c r="A8222" t="s">
        <v>2519</v>
      </c>
      <c r="B8222" t="s">
        <v>51</v>
      </c>
      <c r="C8222" t="s">
        <v>52</v>
      </c>
      <c r="D8222">
        <v>2020</v>
      </c>
      <c r="E8222" s="2">
        <v>5</v>
      </c>
      <c r="F8222" s="2">
        <v>1300</v>
      </c>
      <c r="G8222" s="2">
        <v>1365</v>
      </c>
    </row>
    <row r="8223" spans="1:7" x14ac:dyDescent="0.3">
      <c r="A8223" t="s">
        <v>2519</v>
      </c>
      <c r="B8223" t="s">
        <v>532</v>
      </c>
      <c r="C8223" t="s">
        <v>452</v>
      </c>
      <c r="D8223">
        <v>2020</v>
      </c>
      <c r="E8223" s="2">
        <v>1</v>
      </c>
      <c r="F8223" s="2">
        <v>110</v>
      </c>
      <c r="G8223" s="2">
        <v>115.5</v>
      </c>
    </row>
    <row r="8224" spans="1:7" x14ac:dyDescent="0.3">
      <c r="A8224" t="s">
        <v>2519</v>
      </c>
      <c r="B8224" t="s">
        <v>830</v>
      </c>
      <c r="C8224" t="s">
        <v>831</v>
      </c>
      <c r="D8224">
        <v>2020</v>
      </c>
      <c r="E8224" s="2">
        <v>1</v>
      </c>
      <c r="F8224" s="2">
        <v>110</v>
      </c>
      <c r="G8224" s="2">
        <v>115.5</v>
      </c>
    </row>
    <row r="8225" spans="1:7" x14ac:dyDescent="0.3">
      <c r="A8225" t="s">
        <v>2519</v>
      </c>
      <c r="B8225" t="s">
        <v>716</v>
      </c>
      <c r="C8225" t="s">
        <v>717</v>
      </c>
      <c r="D8225">
        <v>2020</v>
      </c>
      <c r="E8225" s="2">
        <v>1</v>
      </c>
      <c r="F8225" s="2">
        <v>110</v>
      </c>
      <c r="G8225" s="2">
        <v>115.5</v>
      </c>
    </row>
    <row r="8226" spans="1:7" x14ac:dyDescent="0.3">
      <c r="A8226" t="s">
        <v>2519</v>
      </c>
      <c r="B8226" t="s">
        <v>84</v>
      </c>
      <c r="C8226" t="s">
        <v>85</v>
      </c>
      <c r="D8226">
        <v>2018</v>
      </c>
      <c r="E8226" s="2">
        <v>1</v>
      </c>
      <c r="F8226" s="2">
        <v>200</v>
      </c>
      <c r="G8226" s="2">
        <v>210</v>
      </c>
    </row>
    <row r="8227" spans="1:7" x14ac:dyDescent="0.3">
      <c r="A8227" t="s">
        <v>2519</v>
      </c>
      <c r="B8227" t="s">
        <v>581</v>
      </c>
      <c r="C8227" t="s">
        <v>582</v>
      </c>
      <c r="D8227">
        <v>2018</v>
      </c>
      <c r="E8227" s="2">
        <v>1</v>
      </c>
      <c r="F8227" s="2">
        <v>210</v>
      </c>
      <c r="G8227" s="2">
        <v>220.5</v>
      </c>
    </row>
    <row r="8228" spans="1:7" x14ac:dyDescent="0.3">
      <c r="A8228" t="s">
        <v>2519</v>
      </c>
      <c r="B8228" t="s">
        <v>627</v>
      </c>
      <c r="C8228" t="s">
        <v>628</v>
      </c>
      <c r="D8228">
        <v>2020</v>
      </c>
      <c r="E8228" s="2">
        <v>1</v>
      </c>
      <c r="F8228" s="2">
        <v>110</v>
      </c>
      <c r="G8228" s="2">
        <v>115.5</v>
      </c>
    </row>
    <row r="8229" spans="1:7" x14ac:dyDescent="0.3">
      <c r="A8229" t="s">
        <v>2519</v>
      </c>
      <c r="B8229" t="s">
        <v>55</v>
      </c>
      <c r="D8229">
        <v>2020</v>
      </c>
      <c r="E8229" s="2">
        <v>3</v>
      </c>
      <c r="F8229" s="2">
        <v>840</v>
      </c>
      <c r="G8229" s="2">
        <v>882</v>
      </c>
    </row>
    <row r="8230" spans="1:7" x14ac:dyDescent="0.3">
      <c r="A8230" t="s">
        <v>2519</v>
      </c>
      <c r="B8230" t="s">
        <v>2520</v>
      </c>
      <c r="D8230">
        <v>2020</v>
      </c>
      <c r="E8230" s="2">
        <v>5</v>
      </c>
      <c r="F8230" s="2">
        <v>1750</v>
      </c>
      <c r="G8230" s="2">
        <v>1837.5</v>
      </c>
    </row>
    <row r="8231" spans="1:7" x14ac:dyDescent="0.3">
      <c r="A8231" t="s">
        <v>2519</v>
      </c>
      <c r="B8231" t="s">
        <v>1789</v>
      </c>
      <c r="C8231" t="s">
        <v>1790</v>
      </c>
      <c r="D8231">
        <v>2018</v>
      </c>
      <c r="E8231" s="2">
        <v>1</v>
      </c>
      <c r="F8231" s="2">
        <v>260</v>
      </c>
      <c r="G8231" s="2">
        <v>273</v>
      </c>
    </row>
    <row r="8232" spans="1:7" x14ac:dyDescent="0.3">
      <c r="A8232" t="s">
        <v>2519</v>
      </c>
      <c r="B8232" t="s">
        <v>593</v>
      </c>
      <c r="C8232" t="s">
        <v>594</v>
      </c>
      <c r="D8232">
        <v>2021</v>
      </c>
      <c r="E8232" s="2">
        <v>5</v>
      </c>
      <c r="F8232" s="2">
        <v>1300</v>
      </c>
      <c r="G8232" s="2">
        <v>1365</v>
      </c>
    </row>
    <row r="8233" spans="1:7" x14ac:dyDescent="0.3">
      <c r="A8233" t="s">
        <v>2519</v>
      </c>
      <c r="B8233" t="s">
        <v>553</v>
      </c>
      <c r="C8233" t="s">
        <v>292</v>
      </c>
      <c r="D8233">
        <v>2018</v>
      </c>
      <c r="E8233" s="2">
        <v>1</v>
      </c>
      <c r="F8233" s="2">
        <v>180</v>
      </c>
      <c r="G8233" s="2">
        <v>189</v>
      </c>
    </row>
    <row r="8234" spans="1:7" x14ac:dyDescent="0.3">
      <c r="A8234" t="s">
        <v>2519</v>
      </c>
      <c r="B8234" t="s">
        <v>417</v>
      </c>
      <c r="C8234" t="s">
        <v>418</v>
      </c>
      <c r="D8234">
        <v>2020</v>
      </c>
      <c r="E8234" s="2">
        <v>1</v>
      </c>
      <c r="F8234" s="2">
        <v>110</v>
      </c>
      <c r="G8234" s="2">
        <v>115.5</v>
      </c>
    </row>
    <row r="8235" spans="1:7" x14ac:dyDescent="0.3">
      <c r="A8235" t="s">
        <v>2519</v>
      </c>
      <c r="B8235" t="s">
        <v>635</v>
      </c>
      <c r="C8235" t="s">
        <v>636</v>
      </c>
      <c r="D8235">
        <v>2020</v>
      </c>
      <c r="E8235" s="2">
        <v>1</v>
      </c>
      <c r="F8235" s="2">
        <v>110</v>
      </c>
      <c r="G8235" s="2">
        <v>115.5</v>
      </c>
    </row>
    <row r="8236" spans="1:7" x14ac:dyDescent="0.3">
      <c r="A8236" t="s">
        <v>2519</v>
      </c>
      <c r="B8236" t="s">
        <v>538</v>
      </c>
      <c r="C8236" t="s">
        <v>539</v>
      </c>
      <c r="D8236">
        <v>2017</v>
      </c>
      <c r="E8236" s="2">
        <v>1</v>
      </c>
      <c r="F8236" s="2">
        <v>230</v>
      </c>
      <c r="G8236" s="2"/>
    </row>
    <row r="8237" spans="1:7" x14ac:dyDescent="0.3">
      <c r="A8237" t="s">
        <v>2519</v>
      </c>
      <c r="B8237" t="s">
        <v>538</v>
      </c>
      <c r="C8237" t="s">
        <v>539</v>
      </c>
      <c r="D8237">
        <v>2018</v>
      </c>
      <c r="E8237" s="2">
        <v>2</v>
      </c>
      <c r="F8237" s="2">
        <v>460</v>
      </c>
      <c r="G8237" s="2">
        <v>483</v>
      </c>
    </row>
    <row r="8238" spans="1:7" x14ac:dyDescent="0.3">
      <c r="A8238" t="s">
        <v>2519</v>
      </c>
      <c r="B8238" t="s">
        <v>614</v>
      </c>
      <c r="C8238" t="s">
        <v>141</v>
      </c>
      <c r="D8238">
        <v>2017</v>
      </c>
      <c r="E8238" s="2">
        <v>2</v>
      </c>
      <c r="F8238" s="2">
        <v>280</v>
      </c>
      <c r="G8238" s="2"/>
    </row>
    <row r="8239" spans="1:7" x14ac:dyDescent="0.3">
      <c r="A8239" t="s">
        <v>2519</v>
      </c>
      <c r="B8239" t="s">
        <v>921</v>
      </c>
      <c r="D8239">
        <v>2019</v>
      </c>
      <c r="E8239" s="2">
        <v>1</v>
      </c>
      <c r="F8239" s="2">
        <v>250</v>
      </c>
      <c r="G8239" s="2">
        <v>262.5</v>
      </c>
    </row>
    <row r="8240" spans="1:7" x14ac:dyDescent="0.3">
      <c r="A8240" t="s">
        <v>2519</v>
      </c>
      <c r="B8240" t="s">
        <v>288</v>
      </c>
      <c r="C8240" t="s">
        <v>289</v>
      </c>
      <c r="D8240">
        <v>2018</v>
      </c>
      <c r="E8240" s="2">
        <v>1</v>
      </c>
      <c r="F8240" s="2">
        <v>170</v>
      </c>
      <c r="G8240" s="2">
        <v>178.5</v>
      </c>
    </row>
    <row r="8241" spans="1:7" x14ac:dyDescent="0.3">
      <c r="A8241" t="s">
        <v>2519</v>
      </c>
      <c r="B8241" t="s">
        <v>2449</v>
      </c>
      <c r="C8241" t="s">
        <v>256</v>
      </c>
      <c r="D8241">
        <v>2019</v>
      </c>
      <c r="E8241" s="2">
        <v>1</v>
      </c>
      <c r="F8241" s="2">
        <v>200</v>
      </c>
      <c r="G8241" s="2">
        <v>210</v>
      </c>
    </row>
    <row r="8242" spans="1:7" x14ac:dyDescent="0.3">
      <c r="A8242" t="s">
        <v>2519</v>
      </c>
      <c r="B8242" t="s">
        <v>95</v>
      </c>
      <c r="C8242" t="s">
        <v>96</v>
      </c>
      <c r="D8242">
        <v>2018</v>
      </c>
      <c r="E8242" s="2">
        <v>1</v>
      </c>
      <c r="F8242" s="2">
        <v>230</v>
      </c>
      <c r="G8242" s="2">
        <v>241.5</v>
      </c>
    </row>
    <row r="8243" spans="1:7" x14ac:dyDescent="0.3">
      <c r="A8243" t="s">
        <v>2519</v>
      </c>
      <c r="B8243" t="s">
        <v>643</v>
      </c>
      <c r="C8243" t="s">
        <v>644</v>
      </c>
      <c r="D8243">
        <v>2020</v>
      </c>
      <c r="E8243" s="2">
        <v>1</v>
      </c>
      <c r="F8243" s="2">
        <v>110</v>
      </c>
      <c r="G8243" s="2">
        <v>115.5</v>
      </c>
    </row>
    <row r="8244" spans="1:7" x14ac:dyDescent="0.3">
      <c r="A8244" t="s">
        <v>2519</v>
      </c>
      <c r="B8244" t="s">
        <v>400</v>
      </c>
      <c r="D8244">
        <v>2019</v>
      </c>
      <c r="E8244" s="2">
        <v>1</v>
      </c>
      <c r="F8244" s="2">
        <v>220</v>
      </c>
      <c r="G8244" s="2">
        <v>231</v>
      </c>
    </row>
    <row r="8245" spans="1:7" x14ac:dyDescent="0.3">
      <c r="A8245" t="s">
        <v>2519</v>
      </c>
      <c r="B8245" t="s">
        <v>99</v>
      </c>
      <c r="C8245" t="s">
        <v>100</v>
      </c>
      <c r="D8245">
        <v>2018</v>
      </c>
      <c r="E8245" s="2">
        <v>1</v>
      </c>
      <c r="F8245" s="2">
        <v>260</v>
      </c>
      <c r="G8245" s="2">
        <v>273</v>
      </c>
    </row>
    <row r="8246" spans="1:7" x14ac:dyDescent="0.3">
      <c r="A8246" t="s">
        <v>2519</v>
      </c>
      <c r="B8246" t="s">
        <v>99</v>
      </c>
      <c r="C8246" t="s">
        <v>100</v>
      </c>
      <c r="D8246">
        <v>2019</v>
      </c>
      <c r="E8246" s="2">
        <v>25</v>
      </c>
      <c r="F8246" s="2">
        <v>4500</v>
      </c>
      <c r="G8246" s="2">
        <v>4725</v>
      </c>
    </row>
    <row r="8247" spans="1:7" x14ac:dyDescent="0.3">
      <c r="A8247" t="s">
        <v>2519</v>
      </c>
      <c r="B8247" t="s">
        <v>99</v>
      </c>
      <c r="C8247" t="s">
        <v>100</v>
      </c>
      <c r="D8247">
        <v>2021</v>
      </c>
      <c r="E8247" s="2">
        <v>5</v>
      </c>
      <c r="F8247" s="2">
        <v>900</v>
      </c>
      <c r="G8247" s="2">
        <v>945</v>
      </c>
    </row>
    <row r="8248" spans="1:7" x14ac:dyDescent="0.3">
      <c r="A8248" t="s">
        <v>2519</v>
      </c>
      <c r="B8248" t="s">
        <v>2164</v>
      </c>
      <c r="C8248" t="s">
        <v>2165</v>
      </c>
      <c r="D8248">
        <v>2019</v>
      </c>
      <c r="E8248" s="2">
        <v>4</v>
      </c>
      <c r="F8248" s="2">
        <v>1120</v>
      </c>
      <c r="G8248" s="2">
        <v>1176</v>
      </c>
    </row>
    <row r="8249" spans="1:7" x14ac:dyDescent="0.3">
      <c r="A8249" t="s">
        <v>2519</v>
      </c>
      <c r="B8249" t="s">
        <v>2164</v>
      </c>
      <c r="C8249" t="s">
        <v>2165</v>
      </c>
      <c r="D8249">
        <v>2020</v>
      </c>
      <c r="E8249" s="2">
        <v>10</v>
      </c>
      <c r="F8249" s="2">
        <v>2800</v>
      </c>
      <c r="G8249" s="2">
        <v>2940</v>
      </c>
    </row>
    <row r="8250" spans="1:7" x14ac:dyDescent="0.3">
      <c r="A8250" t="s">
        <v>2519</v>
      </c>
      <c r="B8250" t="s">
        <v>1216</v>
      </c>
      <c r="C8250" t="s">
        <v>1217</v>
      </c>
      <c r="D8250">
        <v>2020</v>
      </c>
      <c r="E8250" s="2">
        <v>5</v>
      </c>
      <c r="F8250" s="2">
        <v>1000</v>
      </c>
      <c r="G8250" s="2">
        <v>1050</v>
      </c>
    </row>
    <row r="8251" spans="1:7" x14ac:dyDescent="0.3">
      <c r="A8251" t="s">
        <v>2519</v>
      </c>
      <c r="B8251" t="s">
        <v>103</v>
      </c>
      <c r="C8251" t="s">
        <v>104</v>
      </c>
      <c r="D8251">
        <v>2017</v>
      </c>
      <c r="E8251" s="2">
        <v>1</v>
      </c>
      <c r="F8251" s="2">
        <v>250</v>
      </c>
      <c r="G8251" s="2"/>
    </row>
    <row r="8252" spans="1:7" x14ac:dyDescent="0.3">
      <c r="A8252" t="s">
        <v>2519</v>
      </c>
      <c r="B8252" t="s">
        <v>103</v>
      </c>
      <c r="C8252" t="s">
        <v>104</v>
      </c>
      <c r="D8252">
        <v>2018</v>
      </c>
      <c r="E8252" s="2">
        <v>2</v>
      </c>
      <c r="F8252" s="2">
        <v>500</v>
      </c>
      <c r="G8252" s="2">
        <v>525</v>
      </c>
    </row>
    <row r="8253" spans="1:7" x14ac:dyDescent="0.3">
      <c r="A8253" t="s">
        <v>2519</v>
      </c>
      <c r="B8253" t="s">
        <v>1009</v>
      </c>
      <c r="C8253" t="s">
        <v>934</v>
      </c>
      <c r="D8253">
        <v>2019</v>
      </c>
      <c r="E8253" s="2">
        <v>1</v>
      </c>
      <c r="F8253" s="2">
        <v>175</v>
      </c>
      <c r="G8253" s="2">
        <v>183.75</v>
      </c>
    </row>
    <row r="8254" spans="1:7" x14ac:dyDescent="0.3">
      <c r="A8254" t="s">
        <v>2519</v>
      </c>
      <c r="B8254" t="s">
        <v>108</v>
      </c>
      <c r="C8254" t="s">
        <v>109</v>
      </c>
      <c r="D8254">
        <v>2017</v>
      </c>
      <c r="E8254" s="2">
        <v>1</v>
      </c>
      <c r="F8254" s="2">
        <v>270</v>
      </c>
      <c r="G8254" s="2"/>
    </row>
    <row r="8255" spans="1:7" x14ac:dyDescent="0.3">
      <c r="A8255" t="s">
        <v>2519</v>
      </c>
      <c r="B8255" t="s">
        <v>119</v>
      </c>
      <c r="D8255">
        <v>2020</v>
      </c>
      <c r="E8255" s="2">
        <v>5</v>
      </c>
      <c r="F8255" s="2">
        <v>900</v>
      </c>
      <c r="G8255" s="2">
        <v>945</v>
      </c>
    </row>
    <row r="8256" spans="1:7" x14ac:dyDescent="0.3">
      <c r="A8256" t="s">
        <v>2519</v>
      </c>
      <c r="B8256" t="s">
        <v>120</v>
      </c>
      <c r="C8256" t="s">
        <v>121</v>
      </c>
      <c r="D8256">
        <v>2018</v>
      </c>
      <c r="E8256" s="2">
        <v>1</v>
      </c>
      <c r="F8256" s="2">
        <v>200</v>
      </c>
      <c r="G8256" s="2">
        <v>210</v>
      </c>
    </row>
    <row r="8257" spans="1:7" x14ac:dyDescent="0.3">
      <c r="A8257" t="s">
        <v>2519</v>
      </c>
      <c r="B8257" t="s">
        <v>127</v>
      </c>
      <c r="D8257">
        <v>2019</v>
      </c>
      <c r="E8257" s="2">
        <v>2</v>
      </c>
      <c r="F8257" s="2">
        <v>600</v>
      </c>
      <c r="G8257" s="2">
        <v>630</v>
      </c>
    </row>
    <row r="8258" spans="1:7" x14ac:dyDescent="0.3">
      <c r="A8258" t="s">
        <v>2519</v>
      </c>
      <c r="B8258" t="s">
        <v>133</v>
      </c>
      <c r="C8258" t="s">
        <v>134</v>
      </c>
      <c r="D8258">
        <v>2019</v>
      </c>
      <c r="E8258" s="2">
        <v>6</v>
      </c>
      <c r="F8258" s="2">
        <v>2100</v>
      </c>
      <c r="G8258" s="2">
        <v>2205</v>
      </c>
    </row>
    <row r="8259" spans="1:7" x14ac:dyDescent="0.3">
      <c r="A8259" t="s">
        <v>2519</v>
      </c>
      <c r="B8259" t="s">
        <v>1106</v>
      </c>
      <c r="C8259" t="s">
        <v>1095</v>
      </c>
      <c r="D8259">
        <v>2019</v>
      </c>
      <c r="E8259" s="2">
        <v>1</v>
      </c>
      <c r="F8259" s="2">
        <v>175</v>
      </c>
      <c r="G8259" s="2">
        <v>183.75</v>
      </c>
    </row>
    <row r="8260" spans="1:7" x14ac:dyDescent="0.3">
      <c r="A8260" t="s">
        <v>2519</v>
      </c>
      <c r="B8260" t="s">
        <v>1367</v>
      </c>
      <c r="C8260" t="s">
        <v>1368</v>
      </c>
      <c r="D8260">
        <v>2019</v>
      </c>
      <c r="E8260" s="2">
        <v>5</v>
      </c>
      <c r="F8260" s="2">
        <v>1050</v>
      </c>
      <c r="G8260" s="2">
        <v>1102.5</v>
      </c>
    </row>
    <row r="8261" spans="1:7" x14ac:dyDescent="0.3">
      <c r="A8261" t="s">
        <v>2519</v>
      </c>
      <c r="B8261" t="s">
        <v>334</v>
      </c>
      <c r="C8261" t="s">
        <v>335</v>
      </c>
      <c r="D8261">
        <v>2020</v>
      </c>
      <c r="E8261" s="2">
        <v>1</v>
      </c>
      <c r="F8261" s="2">
        <v>110</v>
      </c>
      <c r="G8261" s="2">
        <v>115.5</v>
      </c>
    </row>
    <row r="8262" spans="1:7" x14ac:dyDescent="0.3">
      <c r="A8262" t="s">
        <v>2519</v>
      </c>
      <c r="B8262" t="s">
        <v>192</v>
      </c>
      <c r="C8262" t="s">
        <v>193</v>
      </c>
      <c r="D8262">
        <v>2020</v>
      </c>
      <c r="E8262" s="2">
        <v>1</v>
      </c>
      <c r="F8262" s="2">
        <v>110</v>
      </c>
      <c r="G8262" s="2">
        <v>115.5</v>
      </c>
    </row>
    <row r="8263" spans="1:7" x14ac:dyDescent="0.3">
      <c r="A8263" t="s">
        <v>2519</v>
      </c>
      <c r="B8263" t="s">
        <v>620</v>
      </c>
      <c r="C8263" t="s">
        <v>621</v>
      </c>
      <c r="D8263">
        <v>2018</v>
      </c>
      <c r="E8263" s="2">
        <v>1</v>
      </c>
      <c r="F8263" s="2">
        <v>190</v>
      </c>
      <c r="G8263" s="2">
        <v>199.5</v>
      </c>
    </row>
    <row r="8264" spans="1:7" x14ac:dyDescent="0.3">
      <c r="A8264" t="s">
        <v>2519</v>
      </c>
      <c r="B8264" t="s">
        <v>196</v>
      </c>
      <c r="C8264" t="s">
        <v>197</v>
      </c>
      <c r="D8264">
        <v>2018</v>
      </c>
      <c r="E8264" s="2">
        <v>5</v>
      </c>
      <c r="F8264" s="2">
        <v>1000</v>
      </c>
      <c r="G8264" s="2">
        <v>1050</v>
      </c>
    </row>
    <row r="8265" spans="1:7" x14ac:dyDescent="0.3">
      <c r="A8265" t="s">
        <v>2519</v>
      </c>
      <c r="B8265" t="s">
        <v>196</v>
      </c>
      <c r="C8265" t="s">
        <v>197</v>
      </c>
      <c r="D8265">
        <v>2019</v>
      </c>
      <c r="E8265" s="2">
        <v>7</v>
      </c>
      <c r="F8265" s="2">
        <v>1400</v>
      </c>
      <c r="G8265" s="2">
        <v>1470</v>
      </c>
    </row>
    <row r="8266" spans="1:7" x14ac:dyDescent="0.3">
      <c r="A8266" t="s">
        <v>2519</v>
      </c>
      <c r="B8266" t="s">
        <v>383</v>
      </c>
      <c r="C8266" t="s">
        <v>384</v>
      </c>
      <c r="D8266">
        <v>2020</v>
      </c>
      <c r="E8266" s="2">
        <v>15</v>
      </c>
      <c r="F8266" s="2">
        <v>3000</v>
      </c>
      <c r="G8266" s="2">
        <v>3150</v>
      </c>
    </row>
    <row r="8267" spans="1:7" x14ac:dyDescent="0.3">
      <c r="A8267" t="s">
        <v>2519</v>
      </c>
      <c r="B8267" t="s">
        <v>383</v>
      </c>
      <c r="C8267" t="s">
        <v>385</v>
      </c>
      <c r="D8267">
        <v>2020</v>
      </c>
      <c r="E8267" s="2">
        <v>15</v>
      </c>
      <c r="F8267" s="2">
        <v>3000</v>
      </c>
      <c r="G8267" s="2">
        <v>3150</v>
      </c>
    </row>
    <row r="8268" spans="1:7" x14ac:dyDescent="0.3">
      <c r="A8268" t="s">
        <v>2519</v>
      </c>
      <c r="B8268" t="s">
        <v>383</v>
      </c>
      <c r="C8268" t="s">
        <v>385</v>
      </c>
      <c r="D8268">
        <v>2021</v>
      </c>
      <c r="E8268" s="2">
        <v>5</v>
      </c>
      <c r="F8268" s="2">
        <v>1000</v>
      </c>
      <c r="G8268" s="2">
        <v>1050</v>
      </c>
    </row>
    <row r="8269" spans="1:7" x14ac:dyDescent="0.3">
      <c r="A8269" t="s">
        <v>2519</v>
      </c>
      <c r="B8269" t="s">
        <v>72</v>
      </c>
      <c r="C8269" t="s">
        <v>73</v>
      </c>
      <c r="D8269">
        <v>2018</v>
      </c>
      <c r="E8269" s="2">
        <v>2</v>
      </c>
      <c r="F8269" s="2">
        <v>560</v>
      </c>
      <c r="G8269" s="2">
        <v>588</v>
      </c>
    </row>
    <row r="8270" spans="1:7" x14ac:dyDescent="0.3">
      <c r="A8270" t="s">
        <v>2519</v>
      </c>
      <c r="B8270" t="s">
        <v>318</v>
      </c>
      <c r="C8270" t="s">
        <v>319</v>
      </c>
      <c r="D8270">
        <v>2018</v>
      </c>
      <c r="E8270" s="2">
        <v>1</v>
      </c>
      <c r="F8270" s="2">
        <v>220</v>
      </c>
      <c r="G8270" s="2">
        <v>231</v>
      </c>
    </row>
    <row r="8271" spans="1:7" x14ac:dyDescent="0.3">
      <c r="A8271" t="s">
        <v>2519</v>
      </c>
      <c r="B8271" t="s">
        <v>600</v>
      </c>
      <c r="C8271" t="s">
        <v>75</v>
      </c>
      <c r="D8271">
        <v>2018</v>
      </c>
      <c r="E8271" s="2">
        <v>11</v>
      </c>
      <c r="F8271" s="2">
        <v>2600</v>
      </c>
      <c r="G8271" s="2">
        <v>2730</v>
      </c>
    </row>
    <row r="8272" spans="1:7" x14ac:dyDescent="0.3">
      <c r="A8272" t="s">
        <v>2519</v>
      </c>
      <c r="B8272" t="s">
        <v>600</v>
      </c>
      <c r="C8272" t="s">
        <v>75</v>
      </c>
      <c r="D8272">
        <v>2019</v>
      </c>
      <c r="E8272" s="2">
        <v>10</v>
      </c>
      <c r="F8272" s="2">
        <v>2000</v>
      </c>
      <c r="G8272" s="2">
        <v>2100</v>
      </c>
    </row>
    <row r="8273" spans="1:7" x14ac:dyDescent="0.3">
      <c r="A8273" t="s">
        <v>2519</v>
      </c>
      <c r="B8273" t="s">
        <v>600</v>
      </c>
      <c r="C8273" t="s">
        <v>75</v>
      </c>
      <c r="D8273">
        <v>2020</v>
      </c>
      <c r="E8273" s="2">
        <v>25</v>
      </c>
      <c r="F8273" s="2">
        <v>5000</v>
      </c>
      <c r="G8273" s="2">
        <v>5250</v>
      </c>
    </row>
    <row r="8274" spans="1:7" x14ac:dyDescent="0.3">
      <c r="A8274" t="s">
        <v>2519</v>
      </c>
      <c r="B8274" t="s">
        <v>267</v>
      </c>
      <c r="C8274" t="s">
        <v>150</v>
      </c>
      <c r="D8274">
        <v>2019</v>
      </c>
      <c r="E8274" s="2">
        <v>1</v>
      </c>
      <c r="F8274" s="2">
        <v>210</v>
      </c>
      <c r="G8274" s="2">
        <v>220.5</v>
      </c>
    </row>
    <row r="8275" spans="1:7" x14ac:dyDescent="0.3">
      <c r="A8275" t="s">
        <v>2519</v>
      </c>
      <c r="B8275" t="s">
        <v>76</v>
      </c>
      <c r="C8275" t="s">
        <v>77</v>
      </c>
      <c r="D8275">
        <v>2020</v>
      </c>
      <c r="E8275" s="2">
        <v>1</v>
      </c>
      <c r="F8275" s="2">
        <v>110</v>
      </c>
      <c r="G8275" s="2">
        <v>115.5</v>
      </c>
    </row>
    <row r="8276" spans="1:7" x14ac:dyDescent="0.3">
      <c r="A8276" t="s">
        <v>2519</v>
      </c>
      <c r="B8276" t="s">
        <v>153</v>
      </c>
      <c r="C8276" t="s">
        <v>154</v>
      </c>
      <c r="D8276">
        <v>2017</v>
      </c>
      <c r="E8276" s="2">
        <v>1</v>
      </c>
      <c r="F8276" s="2">
        <v>235</v>
      </c>
      <c r="G8276" s="2"/>
    </row>
    <row r="8277" spans="1:7" x14ac:dyDescent="0.3">
      <c r="A8277" t="s">
        <v>2521</v>
      </c>
      <c r="B8277" t="s">
        <v>1975</v>
      </c>
      <c r="C8277" t="s">
        <v>989</v>
      </c>
      <c r="D8277">
        <v>2013</v>
      </c>
      <c r="E8277" s="2">
        <v>5</v>
      </c>
      <c r="F8277" s="2">
        <v>700</v>
      </c>
      <c r="G8277" s="2"/>
    </row>
    <row r="8278" spans="1:7" x14ac:dyDescent="0.3">
      <c r="A8278" t="s">
        <v>2521</v>
      </c>
      <c r="B8278" t="s">
        <v>665</v>
      </c>
      <c r="D8278">
        <v>2020</v>
      </c>
      <c r="E8278" s="2">
        <v>40</v>
      </c>
      <c r="F8278" s="2">
        <v>3790</v>
      </c>
      <c r="G8278" s="2">
        <v>3979.5</v>
      </c>
    </row>
    <row r="8279" spans="1:7" x14ac:dyDescent="0.3">
      <c r="A8279" t="s">
        <v>2521</v>
      </c>
      <c r="B8279" t="s">
        <v>34</v>
      </c>
      <c r="D8279">
        <v>2017</v>
      </c>
      <c r="E8279" s="2">
        <v>10</v>
      </c>
      <c r="F8279" s="2">
        <v>1300</v>
      </c>
      <c r="G8279" s="2"/>
    </row>
    <row r="8280" spans="1:7" x14ac:dyDescent="0.3">
      <c r="A8280" t="s">
        <v>2521</v>
      </c>
      <c r="B8280" t="s">
        <v>34</v>
      </c>
      <c r="D8280">
        <v>2021</v>
      </c>
      <c r="E8280" s="2">
        <v>10</v>
      </c>
      <c r="F8280" s="2">
        <v>900</v>
      </c>
      <c r="G8280" s="2">
        <v>945</v>
      </c>
    </row>
    <row r="8281" spans="1:7" x14ac:dyDescent="0.3">
      <c r="A8281" t="s">
        <v>2521</v>
      </c>
      <c r="B8281" t="s">
        <v>453</v>
      </c>
      <c r="D8281">
        <v>2017</v>
      </c>
      <c r="E8281" s="2">
        <v>10</v>
      </c>
      <c r="F8281" s="2">
        <v>1250</v>
      </c>
      <c r="G8281" s="2"/>
    </row>
    <row r="8282" spans="1:7" x14ac:dyDescent="0.3">
      <c r="A8282" t="s">
        <v>2521</v>
      </c>
      <c r="B8282" t="s">
        <v>696</v>
      </c>
      <c r="C8282" t="s">
        <v>697</v>
      </c>
      <c r="D8282">
        <v>2013</v>
      </c>
      <c r="E8282" s="2">
        <v>75</v>
      </c>
      <c r="F8282" s="2">
        <v>5625</v>
      </c>
      <c r="G8282" s="2"/>
    </row>
    <row r="8283" spans="1:7" x14ac:dyDescent="0.3">
      <c r="A8283" t="s">
        <v>2521</v>
      </c>
      <c r="B8283" t="s">
        <v>696</v>
      </c>
      <c r="C8283" t="s">
        <v>697</v>
      </c>
      <c r="D8283">
        <v>2018</v>
      </c>
      <c r="E8283" s="2">
        <v>75</v>
      </c>
      <c r="F8283" s="2">
        <v>5100</v>
      </c>
      <c r="G8283" s="2">
        <v>5355</v>
      </c>
    </row>
    <row r="8284" spans="1:7" x14ac:dyDescent="0.3">
      <c r="A8284" t="s">
        <v>2521</v>
      </c>
      <c r="B8284" t="s">
        <v>696</v>
      </c>
      <c r="C8284" t="s">
        <v>697</v>
      </c>
      <c r="D8284">
        <v>2019</v>
      </c>
      <c r="E8284" s="2">
        <v>150</v>
      </c>
      <c r="F8284" s="2">
        <v>12000</v>
      </c>
      <c r="G8284" s="2">
        <v>12600</v>
      </c>
    </row>
    <row r="8285" spans="1:7" x14ac:dyDescent="0.3">
      <c r="A8285" t="s">
        <v>2521</v>
      </c>
      <c r="B8285" t="s">
        <v>696</v>
      </c>
      <c r="C8285" t="s">
        <v>697</v>
      </c>
      <c r="D8285">
        <v>2020</v>
      </c>
      <c r="E8285" s="2">
        <v>50</v>
      </c>
      <c r="F8285" s="2">
        <v>4400</v>
      </c>
      <c r="G8285" s="2">
        <v>4620</v>
      </c>
    </row>
    <row r="8286" spans="1:7" x14ac:dyDescent="0.3">
      <c r="A8286" t="s">
        <v>2521</v>
      </c>
      <c r="B8286" t="s">
        <v>905</v>
      </c>
      <c r="C8286" t="s">
        <v>906</v>
      </c>
      <c r="D8286">
        <v>2011</v>
      </c>
      <c r="E8286" s="2">
        <v>10</v>
      </c>
      <c r="F8286" s="2">
        <v>860</v>
      </c>
      <c r="G8286" s="2"/>
    </row>
    <row r="8287" spans="1:7" x14ac:dyDescent="0.3">
      <c r="A8287" t="s">
        <v>2521</v>
      </c>
      <c r="B8287" t="s">
        <v>2522</v>
      </c>
      <c r="C8287" t="s">
        <v>2523</v>
      </c>
      <c r="D8287">
        <v>2011</v>
      </c>
      <c r="E8287" s="2">
        <v>50</v>
      </c>
      <c r="F8287" s="2">
        <v>4150</v>
      </c>
      <c r="G8287" s="2"/>
    </row>
    <row r="8288" spans="1:7" x14ac:dyDescent="0.3">
      <c r="A8288" t="s">
        <v>2521</v>
      </c>
      <c r="B8288" t="s">
        <v>2524</v>
      </c>
      <c r="D8288">
        <v>2015</v>
      </c>
      <c r="E8288" s="2">
        <v>18.5</v>
      </c>
      <c r="F8288" s="2">
        <v>2220</v>
      </c>
      <c r="G8288" s="2"/>
    </row>
    <row r="8289" spans="1:7" x14ac:dyDescent="0.3">
      <c r="A8289" t="s">
        <v>2521</v>
      </c>
      <c r="B8289" t="s">
        <v>2524</v>
      </c>
      <c r="D8289">
        <v>2016</v>
      </c>
      <c r="E8289" s="2">
        <v>10</v>
      </c>
      <c r="F8289" s="2">
        <v>1450</v>
      </c>
      <c r="G8289" s="2"/>
    </row>
    <row r="8290" spans="1:7" x14ac:dyDescent="0.3">
      <c r="A8290" t="s">
        <v>2521</v>
      </c>
      <c r="B8290" t="s">
        <v>461</v>
      </c>
      <c r="D8290">
        <v>2017</v>
      </c>
      <c r="E8290" s="2">
        <v>10</v>
      </c>
      <c r="F8290" s="2">
        <v>1450</v>
      </c>
      <c r="G8290" s="2"/>
    </row>
    <row r="8291" spans="1:7" x14ac:dyDescent="0.3">
      <c r="A8291" t="s">
        <v>2521</v>
      </c>
      <c r="B8291" t="s">
        <v>1687</v>
      </c>
      <c r="C8291" t="s">
        <v>1688</v>
      </c>
      <c r="D8291">
        <v>2013</v>
      </c>
      <c r="E8291" s="2">
        <v>100</v>
      </c>
      <c r="F8291" s="2">
        <v>10500</v>
      </c>
      <c r="G8291" s="2"/>
    </row>
    <row r="8292" spans="1:7" x14ac:dyDescent="0.3">
      <c r="A8292" t="s">
        <v>2521</v>
      </c>
      <c r="B8292" t="s">
        <v>349</v>
      </c>
      <c r="C8292" t="s">
        <v>350</v>
      </c>
      <c r="D8292">
        <v>2019</v>
      </c>
      <c r="E8292" s="2">
        <v>30</v>
      </c>
      <c r="F8292" s="2">
        <v>2190</v>
      </c>
      <c r="G8292" s="2">
        <v>2299.5</v>
      </c>
    </row>
    <row r="8293" spans="1:7" x14ac:dyDescent="0.3">
      <c r="A8293" t="s">
        <v>2521</v>
      </c>
      <c r="B8293" t="s">
        <v>349</v>
      </c>
      <c r="C8293" t="s">
        <v>350</v>
      </c>
      <c r="D8293">
        <v>2020</v>
      </c>
      <c r="E8293" s="2">
        <v>50</v>
      </c>
      <c r="F8293" s="2">
        <v>3650</v>
      </c>
      <c r="G8293" s="2">
        <v>3832.5</v>
      </c>
    </row>
    <row r="8294" spans="1:7" x14ac:dyDescent="0.3">
      <c r="A8294" t="s">
        <v>2521</v>
      </c>
      <c r="B8294" t="s">
        <v>184</v>
      </c>
      <c r="C8294" t="s">
        <v>185</v>
      </c>
      <c r="D8294">
        <v>2011</v>
      </c>
      <c r="E8294" s="2">
        <v>300</v>
      </c>
      <c r="F8294" s="2">
        <v>17000</v>
      </c>
      <c r="G8294" s="2"/>
    </row>
    <row r="8295" spans="1:7" x14ac:dyDescent="0.3">
      <c r="A8295" t="s">
        <v>2521</v>
      </c>
      <c r="B8295" t="s">
        <v>184</v>
      </c>
      <c r="C8295" t="s">
        <v>185</v>
      </c>
      <c r="D8295">
        <v>2012</v>
      </c>
      <c r="E8295" s="2">
        <v>250</v>
      </c>
      <c r="F8295" s="2">
        <v>15750</v>
      </c>
      <c r="G8295" s="2"/>
    </row>
    <row r="8296" spans="1:7" x14ac:dyDescent="0.3">
      <c r="A8296" t="s">
        <v>2521</v>
      </c>
      <c r="B8296" t="s">
        <v>184</v>
      </c>
      <c r="C8296" t="s">
        <v>185</v>
      </c>
      <c r="D8296">
        <v>2013</v>
      </c>
      <c r="E8296" s="2">
        <v>445</v>
      </c>
      <c r="F8296" s="2">
        <v>28925</v>
      </c>
      <c r="G8296" s="2"/>
    </row>
    <row r="8297" spans="1:7" x14ac:dyDescent="0.3">
      <c r="A8297" t="s">
        <v>2521</v>
      </c>
      <c r="B8297" t="s">
        <v>184</v>
      </c>
      <c r="C8297" t="s">
        <v>185</v>
      </c>
      <c r="D8297">
        <v>2014</v>
      </c>
      <c r="E8297" s="2">
        <v>200</v>
      </c>
      <c r="F8297" s="2">
        <v>13700</v>
      </c>
      <c r="G8297" s="2"/>
    </row>
    <row r="8298" spans="1:7" x14ac:dyDescent="0.3">
      <c r="A8298" t="s">
        <v>2521</v>
      </c>
      <c r="B8298" t="s">
        <v>184</v>
      </c>
      <c r="C8298" t="s">
        <v>185</v>
      </c>
      <c r="D8298">
        <v>2015</v>
      </c>
      <c r="E8298" s="2">
        <v>425</v>
      </c>
      <c r="F8298" s="2">
        <v>30600</v>
      </c>
      <c r="G8298" s="2"/>
    </row>
    <row r="8299" spans="1:7" x14ac:dyDescent="0.3">
      <c r="A8299" t="s">
        <v>2521</v>
      </c>
      <c r="B8299" t="s">
        <v>184</v>
      </c>
      <c r="C8299" t="s">
        <v>185</v>
      </c>
      <c r="D8299">
        <v>2016</v>
      </c>
      <c r="E8299" s="2">
        <v>350</v>
      </c>
      <c r="F8299" s="2">
        <v>25200</v>
      </c>
      <c r="G8299" s="2"/>
    </row>
    <row r="8300" spans="1:7" x14ac:dyDescent="0.3">
      <c r="A8300" t="s">
        <v>2521</v>
      </c>
      <c r="B8300" t="s">
        <v>184</v>
      </c>
      <c r="C8300" t="s">
        <v>185</v>
      </c>
      <c r="D8300">
        <v>2017</v>
      </c>
      <c r="E8300" s="2">
        <v>100</v>
      </c>
      <c r="F8300" s="2">
        <v>7200</v>
      </c>
      <c r="G8300" s="2"/>
    </row>
    <row r="8301" spans="1:7" x14ac:dyDescent="0.3">
      <c r="A8301" t="s">
        <v>2521</v>
      </c>
      <c r="B8301" t="s">
        <v>184</v>
      </c>
      <c r="C8301" t="s">
        <v>185</v>
      </c>
      <c r="D8301">
        <v>2018</v>
      </c>
      <c r="E8301" s="2">
        <v>100</v>
      </c>
      <c r="F8301" s="2">
        <v>6700</v>
      </c>
      <c r="G8301" s="2">
        <v>7035</v>
      </c>
    </row>
    <row r="8302" spans="1:7" x14ac:dyDescent="0.3">
      <c r="A8302" t="s">
        <v>2521</v>
      </c>
      <c r="B8302" t="s">
        <v>184</v>
      </c>
      <c r="C8302" t="s">
        <v>185</v>
      </c>
      <c r="D8302">
        <v>2019</v>
      </c>
      <c r="E8302" s="2">
        <v>100</v>
      </c>
      <c r="F8302" s="2">
        <v>6700</v>
      </c>
      <c r="G8302" s="2">
        <v>7035</v>
      </c>
    </row>
    <row r="8303" spans="1:7" x14ac:dyDescent="0.3">
      <c r="A8303" t="s">
        <v>2521</v>
      </c>
      <c r="B8303" t="s">
        <v>686</v>
      </c>
      <c r="C8303" t="s">
        <v>687</v>
      </c>
      <c r="D8303">
        <v>2020</v>
      </c>
      <c r="E8303" s="2">
        <v>50</v>
      </c>
      <c r="F8303" s="2">
        <v>3350</v>
      </c>
      <c r="G8303" s="2">
        <v>3517.5</v>
      </c>
    </row>
    <row r="8304" spans="1:7" x14ac:dyDescent="0.3">
      <c r="A8304" t="s">
        <v>2521</v>
      </c>
      <c r="B8304" t="s">
        <v>686</v>
      </c>
      <c r="C8304" t="s">
        <v>687</v>
      </c>
      <c r="D8304">
        <v>2021</v>
      </c>
      <c r="E8304" s="2">
        <v>200</v>
      </c>
      <c r="F8304" s="2">
        <v>13400</v>
      </c>
      <c r="G8304" s="2">
        <v>14070</v>
      </c>
    </row>
    <row r="8305" spans="1:7" x14ac:dyDescent="0.3">
      <c r="A8305" t="s">
        <v>2521</v>
      </c>
      <c r="B8305" t="s">
        <v>297</v>
      </c>
      <c r="C8305" t="s">
        <v>298</v>
      </c>
      <c r="D8305">
        <v>2019</v>
      </c>
      <c r="E8305" s="2">
        <v>30</v>
      </c>
      <c r="F8305" s="2">
        <v>2340</v>
      </c>
      <c r="G8305" s="2">
        <v>2457</v>
      </c>
    </row>
    <row r="8306" spans="1:7" x14ac:dyDescent="0.3">
      <c r="A8306" t="s">
        <v>2521</v>
      </c>
      <c r="B8306" t="s">
        <v>297</v>
      </c>
      <c r="C8306" t="s">
        <v>298</v>
      </c>
      <c r="D8306">
        <v>2020</v>
      </c>
      <c r="E8306" s="2">
        <v>50</v>
      </c>
      <c r="F8306" s="2">
        <v>3900</v>
      </c>
      <c r="G8306" s="2">
        <v>4095</v>
      </c>
    </row>
    <row r="8307" spans="1:7" x14ac:dyDescent="0.3">
      <c r="A8307" t="s">
        <v>2521</v>
      </c>
      <c r="B8307" t="s">
        <v>19</v>
      </c>
      <c r="C8307" t="s">
        <v>20</v>
      </c>
      <c r="D8307">
        <v>2011</v>
      </c>
      <c r="E8307" s="2">
        <v>150</v>
      </c>
      <c r="F8307" s="2">
        <v>14000</v>
      </c>
      <c r="G8307" s="2"/>
    </row>
    <row r="8308" spans="1:7" x14ac:dyDescent="0.3">
      <c r="A8308" t="s">
        <v>2521</v>
      </c>
      <c r="B8308" t="s">
        <v>19</v>
      </c>
      <c r="C8308" t="s">
        <v>20</v>
      </c>
      <c r="D8308">
        <v>2013</v>
      </c>
      <c r="E8308" s="2">
        <v>105</v>
      </c>
      <c r="F8308" s="2">
        <v>10500</v>
      </c>
      <c r="G8308" s="2"/>
    </row>
    <row r="8309" spans="1:7" x14ac:dyDescent="0.3">
      <c r="A8309" t="s">
        <v>2521</v>
      </c>
      <c r="B8309" t="s">
        <v>19</v>
      </c>
      <c r="C8309" t="s">
        <v>20</v>
      </c>
      <c r="D8309">
        <v>2019</v>
      </c>
      <c r="E8309" s="2">
        <v>280</v>
      </c>
      <c r="F8309" s="2">
        <v>30240</v>
      </c>
      <c r="G8309" s="2">
        <v>31752</v>
      </c>
    </row>
    <row r="8310" spans="1:7" x14ac:dyDescent="0.3">
      <c r="A8310" t="s">
        <v>2521</v>
      </c>
      <c r="B8310" t="s">
        <v>19</v>
      </c>
      <c r="C8310" t="s">
        <v>20</v>
      </c>
      <c r="D8310">
        <v>2020</v>
      </c>
      <c r="E8310" s="2">
        <v>150</v>
      </c>
      <c r="F8310" s="2">
        <v>16200</v>
      </c>
      <c r="G8310" s="2">
        <v>17010</v>
      </c>
    </row>
    <row r="8311" spans="1:7" x14ac:dyDescent="0.3">
      <c r="A8311" t="s">
        <v>2521</v>
      </c>
      <c r="B8311" t="s">
        <v>269</v>
      </c>
      <c r="C8311" t="s">
        <v>270</v>
      </c>
      <c r="D8311">
        <v>2013</v>
      </c>
      <c r="E8311" s="2">
        <v>25</v>
      </c>
      <c r="F8311" s="2">
        <v>2125</v>
      </c>
      <c r="G8311" s="2"/>
    </row>
    <row r="8312" spans="1:7" x14ac:dyDescent="0.3">
      <c r="A8312" t="s">
        <v>2521</v>
      </c>
      <c r="B8312" t="s">
        <v>269</v>
      </c>
      <c r="C8312" t="s">
        <v>270</v>
      </c>
      <c r="D8312">
        <v>2019</v>
      </c>
      <c r="E8312" s="2">
        <v>50</v>
      </c>
      <c r="F8312" s="2">
        <v>3300</v>
      </c>
      <c r="G8312" s="2">
        <v>3465</v>
      </c>
    </row>
    <row r="8313" spans="1:7" x14ac:dyDescent="0.3">
      <c r="A8313" t="s">
        <v>2521</v>
      </c>
      <c r="B8313" t="s">
        <v>269</v>
      </c>
      <c r="C8313" t="s">
        <v>270</v>
      </c>
      <c r="D8313">
        <v>2021</v>
      </c>
      <c r="E8313" s="2">
        <v>300</v>
      </c>
      <c r="F8313" s="2">
        <v>23400</v>
      </c>
      <c r="G8313" s="2">
        <v>24570</v>
      </c>
    </row>
    <row r="8314" spans="1:7" x14ac:dyDescent="0.3">
      <c r="A8314" t="s">
        <v>2521</v>
      </c>
      <c r="B8314" t="s">
        <v>41</v>
      </c>
      <c r="C8314" t="s">
        <v>530</v>
      </c>
      <c r="D8314">
        <v>2011</v>
      </c>
      <c r="E8314" s="2">
        <v>50</v>
      </c>
      <c r="F8314" s="2">
        <v>2900</v>
      </c>
      <c r="G8314" s="2"/>
    </row>
    <row r="8315" spans="1:7" x14ac:dyDescent="0.3">
      <c r="A8315" t="s">
        <v>2521</v>
      </c>
      <c r="B8315" t="s">
        <v>41</v>
      </c>
      <c r="C8315" t="s">
        <v>530</v>
      </c>
      <c r="D8315">
        <v>2013</v>
      </c>
      <c r="E8315" s="2">
        <v>100</v>
      </c>
      <c r="F8315" s="2">
        <v>6300</v>
      </c>
      <c r="G8315" s="2"/>
    </row>
    <row r="8316" spans="1:7" x14ac:dyDescent="0.3">
      <c r="A8316" t="s">
        <v>2521</v>
      </c>
      <c r="B8316" t="s">
        <v>41</v>
      </c>
      <c r="C8316" t="s">
        <v>530</v>
      </c>
      <c r="D8316">
        <v>2014</v>
      </c>
      <c r="E8316" s="2">
        <v>50</v>
      </c>
      <c r="F8316" s="2">
        <v>3800</v>
      </c>
      <c r="G8316" s="2"/>
    </row>
    <row r="8317" spans="1:7" x14ac:dyDescent="0.3">
      <c r="A8317" t="s">
        <v>2521</v>
      </c>
      <c r="B8317" t="s">
        <v>41</v>
      </c>
      <c r="C8317" t="s">
        <v>530</v>
      </c>
      <c r="D8317">
        <v>2015</v>
      </c>
      <c r="E8317" s="2">
        <v>125</v>
      </c>
      <c r="F8317" s="2">
        <v>9500</v>
      </c>
      <c r="G8317" s="2"/>
    </row>
    <row r="8318" spans="1:7" x14ac:dyDescent="0.3">
      <c r="A8318" t="s">
        <v>2521</v>
      </c>
      <c r="B8318" t="s">
        <v>41</v>
      </c>
      <c r="C8318" t="s">
        <v>530</v>
      </c>
      <c r="D8318">
        <v>2016</v>
      </c>
      <c r="E8318" s="2">
        <v>50</v>
      </c>
      <c r="F8318" s="2">
        <v>3800</v>
      </c>
      <c r="G8318" s="2"/>
    </row>
    <row r="8319" spans="1:7" x14ac:dyDescent="0.3">
      <c r="A8319" t="s">
        <v>2521</v>
      </c>
      <c r="B8319" t="s">
        <v>41</v>
      </c>
      <c r="C8319" t="s">
        <v>530</v>
      </c>
      <c r="D8319">
        <v>2017</v>
      </c>
      <c r="E8319" s="2">
        <v>25</v>
      </c>
      <c r="F8319" s="2">
        <v>1900</v>
      </c>
      <c r="G8319" s="2"/>
    </row>
    <row r="8320" spans="1:7" x14ac:dyDescent="0.3">
      <c r="A8320" t="s">
        <v>2521</v>
      </c>
      <c r="B8320" t="s">
        <v>110</v>
      </c>
      <c r="C8320" t="s">
        <v>111</v>
      </c>
      <c r="D8320">
        <v>2018</v>
      </c>
      <c r="E8320" s="2">
        <v>100</v>
      </c>
      <c r="F8320" s="2">
        <v>5700</v>
      </c>
      <c r="G8320" s="2">
        <v>5985</v>
      </c>
    </row>
    <row r="8321" spans="1:7" x14ac:dyDescent="0.3">
      <c r="A8321" t="s">
        <v>2521</v>
      </c>
      <c r="B8321" t="s">
        <v>110</v>
      </c>
      <c r="C8321" t="s">
        <v>111</v>
      </c>
      <c r="D8321">
        <v>2020</v>
      </c>
      <c r="E8321" s="2">
        <v>50</v>
      </c>
      <c r="F8321" s="2">
        <v>3000</v>
      </c>
      <c r="G8321" s="2">
        <v>3150</v>
      </c>
    </row>
    <row r="8322" spans="1:7" x14ac:dyDescent="0.3">
      <c r="A8322" t="s">
        <v>2521</v>
      </c>
      <c r="B8322" t="s">
        <v>777</v>
      </c>
      <c r="C8322" t="s">
        <v>63</v>
      </c>
      <c r="D8322">
        <v>2016</v>
      </c>
      <c r="E8322" s="2">
        <v>50</v>
      </c>
      <c r="F8322" s="2">
        <v>3800</v>
      </c>
      <c r="G8322" s="2"/>
    </row>
    <row r="8323" spans="1:7" x14ac:dyDescent="0.3">
      <c r="A8323" t="s">
        <v>2521</v>
      </c>
      <c r="B8323" t="s">
        <v>909</v>
      </c>
      <c r="C8323" t="s">
        <v>910</v>
      </c>
      <c r="D8323">
        <v>2019</v>
      </c>
      <c r="E8323" s="2">
        <v>100</v>
      </c>
      <c r="F8323" s="2">
        <v>10000</v>
      </c>
      <c r="G8323" s="2">
        <v>10500</v>
      </c>
    </row>
    <row r="8324" spans="1:7" x14ac:dyDescent="0.3">
      <c r="A8324" t="s">
        <v>2521</v>
      </c>
      <c r="B8324" t="s">
        <v>1337</v>
      </c>
      <c r="C8324" t="s">
        <v>1338</v>
      </c>
      <c r="D8324">
        <v>2020</v>
      </c>
      <c r="E8324" s="2">
        <v>125</v>
      </c>
      <c r="F8324" s="2">
        <v>11250</v>
      </c>
      <c r="G8324" s="2">
        <v>11812.5</v>
      </c>
    </row>
    <row r="8325" spans="1:7" x14ac:dyDescent="0.3">
      <c r="A8325" t="s">
        <v>2521</v>
      </c>
      <c r="B8325" t="s">
        <v>1337</v>
      </c>
      <c r="C8325" t="s">
        <v>1338</v>
      </c>
      <c r="D8325">
        <v>2021</v>
      </c>
      <c r="E8325" s="2">
        <v>30</v>
      </c>
      <c r="F8325" s="2">
        <v>2700</v>
      </c>
      <c r="G8325" s="2">
        <v>2835</v>
      </c>
    </row>
    <row r="8326" spans="1:7" x14ac:dyDescent="0.3">
      <c r="A8326" t="s">
        <v>2521</v>
      </c>
      <c r="B8326" t="s">
        <v>518</v>
      </c>
      <c r="C8326" t="s">
        <v>519</v>
      </c>
      <c r="D8326">
        <v>2019</v>
      </c>
      <c r="E8326" s="2">
        <v>30</v>
      </c>
      <c r="F8326" s="2">
        <v>2490</v>
      </c>
      <c r="G8326" s="2">
        <v>2614.5</v>
      </c>
    </row>
    <row r="8327" spans="1:7" x14ac:dyDescent="0.3">
      <c r="A8327" t="s">
        <v>2521</v>
      </c>
      <c r="B8327" t="s">
        <v>518</v>
      </c>
      <c r="C8327" t="s">
        <v>519</v>
      </c>
      <c r="D8327">
        <v>2021</v>
      </c>
      <c r="E8327" s="2">
        <v>75</v>
      </c>
      <c r="F8327" s="2">
        <v>6750</v>
      </c>
      <c r="G8327" s="2">
        <v>7087.5</v>
      </c>
    </row>
    <row r="8328" spans="1:7" x14ac:dyDescent="0.3">
      <c r="A8328" t="s">
        <v>2521</v>
      </c>
      <c r="B8328" t="s">
        <v>1452</v>
      </c>
      <c r="C8328" t="s">
        <v>1453</v>
      </c>
      <c r="D8328">
        <v>2011</v>
      </c>
      <c r="E8328" s="2">
        <v>50</v>
      </c>
      <c r="F8328" s="2">
        <v>3750</v>
      </c>
      <c r="G8328" s="2"/>
    </row>
    <row r="8329" spans="1:7" x14ac:dyDescent="0.3">
      <c r="A8329" t="s">
        <v>2521</v>
      </c>
      <c r="B8329" t="s">
        <v>36</v>
      </c>
      <c r="D8329">
        <v>2016</v>
      </c>
      <c r="E8329" s="2">
        <v>15</v>
      </c>
      <c r="F8329" s="2">
        <v>2175</v>
      </c>
      <c r="G8329" s="2"/>
    </row>
    <row r="8330" spans="1:7" x14ac:dyDescent="0.3">
      <c r="A8330" t="s">
        <v>2521</v>
      </c>
      <c r="B8330" t="s">
        <v>36</v>
      </c>
      <c r="D8330">
        <v>2017</v>
      </c>
      <c r="E8330" s="2">
        <v>25</v>
      </c>
      <c r="F8330" s="2">
        <v>3625</v>
      </c>
      <c r="G8330" s="2"/>
    </row>
    <row r="8331" spans="1:7" x14ac:dyDescent="0.3">
      <c r="A8331" t="s">
        <v>2521</v>
      </c>
      <c r="B8331" t="s">
        <v>36</v>
      </c>
      <c r="D8331">
        <v>2021</v>
      </c>
      <c r="E8331" s="2">
        <v>20</v>
      </c>
      <c r="F8331" s="2">
        <v>1900</v>
      </c>
      <c r="G8331" s="2">
        <v>1995</v>
      </c>
    </row>
    <row r="8332" spans="1:7" x14ac:dyDescent="0.3">
      <c r="A8332" t="s">
        <v>2521</v>
      </c>
      <c r="B8332" t="s">
        <v>334</v>
      </c>
      <c r="C8332" t="s">
        <v>335</v>
      </c>
      <c r="D8332">
        <v>2019</v>
      </c>
      <c r="E8332" s="2">
        <v>30</v>
      </c>
      <c r="F8332" s="2">
        <v>2265</v>
      </c>
      <c r="G8332" s="2">
        <v>2378.25</v>
      </c>
    </row>
    <row r="8333" spans="1:7" x14ac:dyDescent="0.3">
      <c r="A8333" t="s">
        <v>2521</v>
      </c>
      <c r="B8333" t="s">
        <v>334</v>
      </c>
      <c r="C8333" t="s">
        <v>335</v>
      </c>
      <c r="D8333">
        <v>2020</v>
      </c>
      <c r="E8333" s="2">
        <v>25</v>
      </c>
      <c r="F8333" s="2">
        <v>1875</v>
      </c>
      <c r="G8333" s="2">
        <v>1968.75</v>
      </c>
    </row>
    <row r="8334" spans="1:7" x14ac:dyDescent="0.3">
      <c r="A8334" t="s">
        <v>2521</v>
      </c>
      <c r="B8334" t="s">
        <v>314</v>
      </c>
      <c r="C8334" t="s">
        <v>315</v>
      </c>
      <c r="D8334">
        <v>2011</v>
      </c>
      <c r="E8334" s="2">
        <v>200</v>
      </c>
      <c r="F8334" s="2">
        <v>13500</v>
      </c>
      <c r="G8334" s="2"/>
    </row>
    <row r="8335" spans="1:7" x14ac:dyDescent="0.3">
      <c r="A8335" t="s">
        <v>2521</v>
      </c>
      <c r="B8335" t="s">
        <v>314</v>
      </c>
      <c r="C8335" t="s">
        <v>315</v>
      </c>
      <c r="D8335">
        <v>2012</v>
      </c>
      <c r="E8335" s="2">
        <v>150</v>
      </c>
      <c r="F8335" s="2">
        <v>11750</v>
      </c>
      <c r="G8335" s="2"/>
    </row>
    <row r="8336" spans="1:7" x14ac:dyDescent="0.3">
      <c r="A8336" t="s">
        <v>2521</v>
      </c>
      <c r="B8336" t="s">
        <v>314</v>
      </c>
      <c r="C8336" t="s">
        <v>315</v>
      </c>
      <c r="D8336">
        <v>2013</v>
      </c>
      <c r="E8336" s="2">
        <v>250</v>
      </c>
      <c r="F8336" s="2">
        <v>20000</v>
      </c>
      <c r="G8336" s="2"/>
    </row>
    <row r="8337" spans="1:7" x14ac:dyDescent="0.3">
      <c r="A8337" t="s">
        <v>2521</v>
      </c>
      <c r="B8337" t="s">
        <v>314</v>
      </c>
      <c r="C8337" t="s">
        <v>315</v>
      </c>
      <c r="D8337">
        <v>2014</v>
      </c>
      <c r="E8337" s="2">
        <v>100</v>
      </c>
      <c r="F8337" s="2">
        <v>8000</v>
      </c>
      <c r="G8337" s="2"/>
    </row>
    <row r="8338" spans="1:7" x14ac:dyDescent="0.3">
      <c r="A8338" t="s">
        <v>2521</v>
      </c>
      <c r="B8338" t="s">
        <v>314</v>
      </c>
      <c r="C8338" t="s">
        <v>315</v>
      </c>
      <c r="D8338">
        <v>2015</v>
      </c>
      <c r="E8338" s="2">
        <v>200</v>
      </c>
      <c r="F8338" s="2">
        <v>16000</v>
      </c>
      <c r="G8338" s="2"/>
    </row>
    <row r="8339" spans="1:7" x14ac:dyDescent="0.3">
      <c r="A8339" t="s">
        <v>2521</v>
      </c>
      <c r="B8339" t="s">
        <v>314</v>
      </c>
      <c r="C8339" t="s">
        <v>315</v>
      </c>
      <c r="D8339">
        <v>2016</v>
      </c>
      <c r="E8339" s="2">
        <v>175</v>
      </c>
      <c r="F8339" s="2">
        <v>14000</v>
      </c>
      <c r="G8339" s="2"/>
    </row>
    <row r="8340" spans="1:7" x14ac:dyDescent="0.3">
      <c r="A8340" t="s">
        <v>2521</v>
      </c>
      <c r="B8340" t="s">
        <v>314</v>
      </c>
      <c r="C8340" t="s">
        <v>315</v>
      </c>
      <c r="D8340">
        <v>2017</v>
      </c>
      <c r="E8340" s="2">
        <v>50</v>
      </c>
      <c r="F8340" s="2">
        <v>4000</v>
      </c>
      <c r="G8340" s="2"/>
    </row>
    <row r="8341" spans="1:7" x14ac:dyDescent="0.3">
      <c r="A8341" t="s">
        <v>2521</v>
      </c>
      <c r="B8341" t="s">
        <v>314</v>
      </c>
      <c r="C8341" t="s">
        <v>315</v>
      </c>
      <c r="D8341">
        <v>2019</v>
      </c>
      <c r="E8341" s="2">
        <v>250</v>
      </c>
      <c r="F8341" s="2">
        <v>19000</v>
      </c>
      <c r="G8341" s="2">
        <v>19950</v>
      </c>
    </row>
    <row r="8342" spans="1:7" x14ac:dyDescent="0.3">
      <c r="A8342" t="s">
        <v>2521</v>
      </c>
      <c r="B8342" t="s">
        <v>674</v>
      </c>
      <c r="C8342" t="s">
        <v>675</v>
      </c>
      <c r="D8342">
        <v>2020</v>
      </c>
      <c r="E8342" s="2">
        <v>50</v>
      </c>
      <c r="F8342" s="2">
        <v>3800</v>
      </c>
      <c r="G8342" s="2">
        <v>3990</v>
      </c>
    </row>
    <row r="8343" spans="1:7" x14ac:dyDescent="0.3">
      <c r="A8343" t="s">
        <v>2521</v>
      </c>
      <c r="B8343" t="s">
        <v>674</v>
      </c>
      <c r="C8343" t="s">
        <v>675</v>
      </c>
      <c r="D8343">
        <v>2021</v>
      </c>
      <c r="E8343" s="2">
        <v>100</v>
      </c>
      <c r="F8343" s="2">
        <v>7600</v>
      </c>
      <c r="G8343" s="2">
        <v>7980</v>
      </c>
    </row>
    <row r="8344" spans="1:7" x14ac:dyDescent="0.3">
      <c r="A8344" t="s">
        <v>2521</v>
      </c>
      <c r="B8344" t="s">
        <v>1455</v>
      </c>
      <c r="D8344">
        <v>2013</v>
      </c>
      <c r="E8344" s="2">
        <v>20475</v>
      </c>
      <c r="F8344" s="2">
        <v>115683.75</v>
      </c>
      <c r="G8344" s="2"/>
    </row>
    <row r="8345" spans="1:7" x14ac:dyDescent="0.3">
      <c r="A8345" t="s">
        <v>2521</v>
      </c>
      <c r="B8345" t="s">
        <v>1455</v>
      </c>
      <c r="D8345">
        <v>2014</v>
      </c>
      <c r="E8345" s="2">
        <v>27900</v>
      </c>
      <c r="F8345" s="2">
        <v>174798</v>
      </c>
      <c r="G8345" s="2"/>
    </row>
    <row r="8346" spans="1:7" x14ac:dyDescent="0.3">
      <c r="A8346" t="s">
        <v>2521</v>
      </c>
      <c r="B8346" t="s">
        <v>1455</v>
      </c>
      <c r="D8346">
        <v>2015</v>
      </c>
      <c r="E8346" s="2">
        <v>4500</v>
      </c>
      <c r="F8346" s="2">
        <v>26550</v>
      </c>
      <c r="G8346" s="2"/>
    </row>
    <row r="8347" spans="1:7" x14ac:dyDescent="0.3">
      <c r="A8347" t="s">
        <v>2521</v>
      </c>
      <c r="B8347" t="s">
        <v>1455</v>
      </c>
      <c r="D8347">
        <v>2016</v>
      </c>
      <c r="E8347" s="2">
        <v>4500</v>
      </c>
      <c r="F8347" s="2">
        <v>23850</v>
      </c>
      <c r="G8347" s="2"/>
    </row>
    <row r="8348" spans="1:7" x14ac:dyDescent="0.3">
      <c r="A8348" t="s">
        <v>2521</v>
      </c>
      <c r="B8348" t="s">
        <v>1455</v>
      </c>
      <c r="D8348">
        <v>2018</v>
      </c>
      <c r="E8348" s="2">
        <v>20475</v>
      </c>
      <c r="F8348" s="2">
        <v>144899.79999999999</v>
      </c>
      <c r="G8348" s="2">
        <v>152144.79</v>
      </c>
    </row>
    <row r="8349" spans="1:7" x14ac:dyDescent="0.3">
      <c r="A8349" t="s">
        <v>2521</v>
      </c>
      <c r="B8349" t="s">
        <v>1455</v>
      </c>
      <c r="D8349">
        <v>2020</v>
      </c>
      <c r="E8349" s="2">
        <v>4500</v>
      </c>
      <c r="F8349" s="2">
        <v>22500</v>
      </c>
      <c r="G8349" s="2">
        <v>23625</v>
      </c>
    </row>
    <row r="8350" spans="1:7" x14ac:dyDescent="0.3">
      <c r="A8350" t="s">
        <v>2521</v>
      </c>
      <c r="B8350" t="s">
        <v>1021</v>
      </c>
      <c r="C8350" t="s">
        <v>1022</v>
      </c>
      <c r="D8350">
        <v>2019</v>
      </c>
      <c r="E8350" s="2">
        <v>200</v>
      </c>
      <c r="F8350" s="2">
        <v>15000</v>
      </c>
      <c r="G8350" s="2">
        <v>15750</v>
      </c>
    </row>
    <row r="8351" spans="1:7" x14ac:dyDescent="0.3">
      <c r="A8351" t="s">
        <v>2521</v>
      </c>
      <c r="B8351" t="s">
        <v>46</v>
      </c>
      <c r="C8351" t="s">
        <v>47</v>
      </c>
      <c r="D8351">
        <v>2016</v>
      </c>
      <c r="E8351" s="2">
        <v>25</v>
      </c>
      <c r="F8351" s="2">
        <v>2000</v>
      </c>
      <c r="G8351" s="2"/>
    </row>
    <row r="8352" spans="1:7" x14ac:dyDescent="0.3">
      <c r="A8352" t="s">
        <v>2521</v>
      </c>
      <c r="B8352" t="s">
        <v>37</v>
      </c>
      <c r="D8352">
        <v>2017</v>
      </c>
      <c r="E8352" s="2">
        <v>10</v>
      </c>
      <c r="F8352" s="2">
        <v>1200</v>
      </c>
      <c r="G8352" s="2"/>
    </row>
    <row r="8353" spans="1:7" x14ac:dyDescent="0.3">
      <c r="A8353" t="s">
        <v>2525</v>
      </c>
      <c r="B8353" t="s">
        <v>26</v>
      </c>
      <c r="C8353" t="s">
        <v>27</v>
      </c>
      <c r="D8353">
        <v>2020</v>
      </c>
      <c r="E8353" s="2">
        <v>1</v>
      </c>
      <c r="F8353" s="2">
        <v>80</v>
      </c>
      <c r="G8353" s="2">
        <v>80</v>
      </c>
    </row>
    <row r="8354" spans="1:7" x14ac:dyDescent="0.3">
      <c r="A8354" t="s">
        <v>2525</v>
      </c>
      <c r="B8354" t="s">
        <v>19</v>
      </c>
      <c r="C8354" t="s">
        <v>20</v>
      </c>
      <c r="D8354">
        <v>2020</v>
      </c>
      <c r="E8354" s="2">
        <v>1</v>
      </c>
      <c r="F8354" s="2">
        <v>125</v>
      </c>
      <c r="G8354" s="2">
        <v>125</v>
      </c>
    </row>
    <row r="8355" spans="1:7" x14ac:dyDescent="0.3">
      <c r="A8355" t="s">
        <v>2525</v>
      </c>
      <c r="B8355" t="s">
        <v>68</v>
      </c>
      <c r="C8355" t="s">
        <v>69</v>
      </c>
      <c r="D8355">
        <v>2020</v>
      </c>
      <c r="E8355" s="2">
        <v>1</v>
      </c>
      <c r="F8355" s="2">
        <v>80</v>
      </c>
      <c r="G8355" s="2">
        <v>80</v>
      </c>
    </row>
    <row r="8356" spans="1:7" x14ac:dyDescent="0.3">
      <c r="A8356" t="s">
        <v>2526</v>
      </c>
      <c r="B8356" t="s">
        <v>532</v>
      </c>
      <c r="C8356" t="s">
        <v>452</v>
      </c>
      <c r="D8356">
        <v>2020</v>
      </c>
      <c r="E8356" s="2">
        <v>25</v>
      </c>
      <c r="F8356" s="2">
        <v>1875</v>
      </c>
      <c r="G8356" s="2">
        <v>1968.75</v>
      </c>
    </row>
    <row r="8357" spans="1:7" x14ac:dyDescent="0.3">
      <c r="A8357" t="s">
        <v>2526</v>
      </c>
      <c r="B8357" t="s">
        <v>532</v>
      </c>
      <c r="C8357" t="s">
        <v>452</v>
      </c>
      <c r="D8357">
        <v>2021</v>
      </c>
      <c r="E8357" s="2">
        <v>25</v>
      </c>
      <c r="F8357" s="2">
        <v>1875</v>
      </c>
      <c r="G8357" s="2">
        <v>1875</v>
      </c>
    </row>
    <row r="8358" spans="1:7" x14ac:dyDescent="0.3">
      <c r="A8358" t="s">
        <v>2526</v>
      </c>
      <c r="B8358" t="s">
        <v>251</v>
      </c>
      <c r="C8358" t="s">
        <v>207</v>
      </c>
      <c r="D8358">
        <v>2020</v>
      </c>
      <c r="E8358" s="2">
        <v>10</v>
      </c>
      <c r="F8358" s="2">
        <v>700</v>
      </c>
      <c r="G8358" s="2">
        <v>735</v>
      </c>
    </row>
    <row r="8359" spans="1:7" x14ac:dyDescent="0.3">
      <c r="A8359" t="s">
        <v>2526</v>
      </c>
      <c r="B8359" t="s">
        <v>35</v>
      </c>
      <c r="D8359">
        <v>2020</v>
      </c>
      <c r="E8359" s="2">
        <v>1</v>
      </c>
      <c r="F8359" s="2">
        <v>125</v>
      </c>
      <c r="G8359" s="2">
        <v>131.25</v>
      </c>
    </row>
    <row r="8360" spans="1:7" x14ac:dyDescent="0.3">
      <c r="A8360" t="s">
        <v>2526</v>
      </c>
      <c r="B8360" t="s">
        <v>35</v>
      </c>
      <c r="D8360">
        <v>2021</v>
      </c>
      <c r="E8360" s="2">
        <v>1</v>
      </c>
      <c r="F8360" s="2">
        <v>90</v>
      </c>
      <c r="G8360" s="2">
        <v>90</v>
      </c>
    </row>
    <row r="8361" spans="1:7" x14ac:dyDescent="0.3">
      <c r="A8361" t="s">
        <v>2526</v>
      </c>
      <c r="B8361" t="s">
        <v>668</v>
      </c>
      <c r="C8361" t="s">
        <v>669</v>
      </c>
      <c r="D8361">
        <v>2021</v>
      </c>
      <c r="E8361" s="2">
        <v>25</v>
      </c>
      <c r="F8361" s="2">
        <v>1750</v>
      </c>
      <c r="G8361" s="2">
        <v>1750</v>
      </c>
    </row>
    <row r="8362" spans="1:7" x14ac:dyDescent="0.3">
      <c r="A8362" t="s">
        <v>2526</v>
      </c>
      <c r="B8362" t="s">
        <v>19</v>
      </c>
      <c r="C8362" t="s">
        <v>20</v>
      </c>
      <c r="D8362">
        <v>2020</v>
      </c>
      <c r="E8362" s="2">
        <v>25</v>
      </c>
      <c r="F8362" s="2">
        <v>1875</v>
      </c>
      <c r="G8362" s="2">
        <v>1968.75</v>
      </c>
    </row>
    <row r="8363" spans="1:7" x14ac:dyDescent="0.3">
      <c r="A8363" t="s">
        <v>2526</v>
      </c>
      <c r="B8363" t="s">
        <v>677</v>
      </c>
      <c r="C8363" t="s">
        <v>678</v>
      </c>
      <c r="D8363">
        <v>2020</v>
      </c>
      <c r="E8363" s="2">
        <v>10</v>
      </c>
      <c r="F8363" s="2">
        <v>750</v>
      </c>
      <c r="G8363" s="2">
        <v>787.5</v>
      </c>
    </row>
    <row r="8364" spans="1:7" x14ac:dyDescent="0.3">
      <c r="A8364" t="s">
        <v>2527</v>
      </c>
      <c r="B8364" t="s">
        <v>863</v>
      </c>
      <c r="D8364">
        <v>2020</v>
      </c>
      <c r="E8364" s="2">
        <v>20</v>
      </c>
      <c r="F8364" s="2">
        <v>1400</v>
      </c>
      <c r="G8364" s="2">
        <v>1400</v>
      </c>
    </row>
    <row r="8365" spans="1:7" x14ac:dyDescent="0.3">
      <c r="A8365" t="s">
        <v>2528</v>
      </c>
      <c r="B8365" t="s">
        <v>32</v>
      </c>
      <c r="D8365">
        <v>2014</v>
      </c>
      <c r="E8365" s="2">
        <v>20</v>
      </c>
      <c r="F8365" s="2">
        <v>1800</v>
      </c>
      <c r="G8365" s="2"/>
    </row>
    <row r="8366" spans="1:7" x14ac:dyDescent="0.3">
      <c r="A8366" t="s">
        <v>2529</v>
      </c>
      <c r="B8366" t="s">
        <v>1128</v>
      </c>
      <c r="C8366" t="s">
        <v>1129</v>
      </c>
      <c r="D8366">
        <v>2020</v>
      </c>
      <c r="E8366" s="2">
        <v>2</v>
      </c>
      <c r="F8366" s="2">
        <v>112.5</v>
      </c>
      <c r="G8366" s="2">
        <v>118.125</v>
      </c>
    </row>
    <row r="8367" spans="1:7" x14ac:dyDescent="0.3">
      <c r="A8367" t="s">
        <v>2529</v>
      </c>
      <c r="B8367" t="s">
        <v>532</v>
      </c>
      <c r="C8367" t="s">
        <v>452</v>
      </c>
      <c r="D8367">
        <v>2020</v>
      </c>
      <c r="E8367" s="2">
        <v>50</v>
      </c>
      <c r="F8367" s="2">
        <v>3750</v>
      </c>
      <c r="G8367" s="2">
        <v>3937.5</v>
      </c>
    </row>
    <row r="8368" spans="1:7" x14ac:dyDescent="0.3">
      <c r="A8368" t="s">
        <v>2529</v>
      </c>
      <c r="B8368" t="s">
        <v>586</v>
      </c>
      <c r="C8368" t="s">
        <v>587</v>
      </c>
      <c r="D8368">
        <v>2020</v>
      </c>
      <c r="E8368" s="2">
        <v>5</v>
      </c>
      <c r="F8368" s="2">
        <v>1000</v>
      </c>
      <c r="G8368" s="2">
        <v>1050</v>
      </c>
    </row>
    <row r="8369" spans="1:7" x14ac:dyDescent="0.3">
      <c r="A8369" t="s">
        <v>2529</v>
      </c>
      <c r="B8369" t="s">
        <v>660</v>
      </c>
      <c r="C8369" t="s">
        <v>661</v>
      </c>
      <c r="D8369">
        <v>2020</v>
      </c>
      <c r="E8369" s="2">
        <v>25</v>
      </c>
      <c r="F8369" s="2">
        <v>1625</v>
      </c>
      <c r="G8369" s="2">
        <v>1706.25</v>
      </c>
    </row>
    <row r="8370" spans="1:7" x14ac:dyDescent="0.3">
      <c r="A8370" t="s">
        <v>2529</v>
      </c>
      <c r="B8370" t="s">
        <v>660</v>
      </c>
      <c r="C8370" t="s">
        <v>661</v>
      </c>
      <c r="D8370">
        <v>2021</v>
      </c>
      <c r="E8370" s="2">
        <v>25</v>
      </c>
      <c r="F8370" s="2">
        <v>1625</v>
      </c>
      <c r="G8370" s="2">
        <v>1625</v>
      </c>
    </row>
    <row r="8371" spans="1:7" x14ac:dyDescent="0.3">
      <c r="A8371" t="s">
        <v>2529</v>
      </c>
      <c r="B8371" t="s">
        <v>629</v>
      </c>
      <c r="C8371" t="s">
        <v>630</v>
      </c>
      <c r="D8371">
        <v>2020</v>
      </c>
      <c r="E8371" s="2">
        <v>125</v>
      </c>
      <c r="F8371" s="2">
        <v>9375</v>
      </c>
      <c r="G8371" s="2">
        <v>9843.75</v>
      </c>
    </row>
    <row r="8372" spans="1:7" x14ac:dyDescent="0.3">
      <c r="A8372" t="s">
        <v>2529</v>
      </c>
      <c r="B8372" t="s">
        <v>34</v>
      </c>
      <c r="D8372">
        <v>2020</v>
      </c>
      <c r="E8372" s="2">
        <v>5</v>
      </c>
      <c r="F8372" s="2">
        <v>450</v>
      </c>
      <c r="G8372" s="2">
        <v>472.5</v>
      </c>
    </row>
    <row r="8373" spans="1:7" x14ac:dyDescent="0.3">
      <c r="A8373" t="s">
        <v>2529</v>
      </c>
      <c r="B8373" t="s">
        <v>1178</v>
      </c>
      <c r="C8373" t="s">
        <v>1179</v>
      </c>
      <c r="D8373">
        <v>2020</v>
      </c>
      <c r="E8373" s="2">
        <v>5</v>
      </c>
      <c r="F8373" s="2">
        <v>375</v>
      </c>
      <c r="G8373" s="2">
        <v>393.75</v>
      </c>
    </row>
    <row r="8374" spans="1:7" x14ac:dyDescent="0.3">
      <c r="A8374" t="s">
        <v>2529</v>
      </c>
      <c r="B8374" t="s">
        <v>631</v>
      </c>
      <c r="C8374" t="s">
        <v>632</v>
      </c>
      <c r="D8374">
        <v>2021</v>
      </c>
      <c r="E8374" s="2">
        <v>25</v>
      </c>
      <c r="F8374" s="2">
        <v>1700</v>
      </c>
      <c r="G8374" s="2">
        <v>1700</v>
      </c>
    </row>
    <row r="8375" spans="1:7" x14ac:dyDescent="0.3">
      <c r="A8375" t="s">
        <v>2529</v>
      </c>
      <c r="B8375" t="s">
        <v>639</v>
      </c>
      <c r="C8375" t="s">
        <v>640</v>
      </c>
      <c r="D8375">
        <v>2020</v>
      </c>
      <c r="E8375" s="2">
        <v>125</v>
      </c>
      <c r="F8375" s="2">
        <v>9375</v>
      </c>
      <c r="G8375" s="2">
        <v>9843.75</v>
      </c>
    </row>
    <row r="8376" spans="1:7" x14ac:dyDescent="0.3">
      <c r="A8376" t="s">
        <v>2529</v>
      </c>
      <c r="B8376" t="s">
        <v>540</v>
      </c>
      <c r="C8376" t="s">
        <v>541</v>
      </c>
      <c r="D8376">
        <v>2020</v>
      </c>
      <c r="E8376" s="2">
        <v>7</v>
      </c>
      <c r="F8376" s="2">
        <v>455</v>
      </c>
      <c r="G8376" s="2">
        <v>477.75</v>
      </c>
    </row>
    <row r="8377" spans="1:7" x14ac:dyDescent="0.3">
      <c r="A8377" t="s">
        <v>2529</v>
      </c>
      <c r="B8377" t="s">
        <v>540</v>
      </c>
      <c r="C8377" t="s">
        <v>541</v>
      </c>
      <c r="D8377">
        <v>2021</v>
      </c>
      <c r="E8377" s="2">
        <v>18</v>
      </c>
      <c r="F8377" s="2">
        <v>1170</v>
      </c>
      <c r="G8377" s="2">
        <v>1170</v>
      </c>
    </row>
    <row r="8378" spans="1:7" x14ac:dyDescent="0.3">
      <c r="A8378" t="s">
        <v>2529</v>
      </c>
      <c r="B8378" t="s">
        <v>346</v>
      </c>
      <c r="C8378" t="s">
        <v>347</v>
      </c>
      <c r="D8378">
        <v>2020</v>
      </c>
      <c r="E8378" s="2">
        <v>75</v>
      </c>
      <c r="F8378" s="2">
        <v>5250</v>
      </c>
      <c r="G8378" s="2">
        <v>5512.5</v>
      </c>
    </row>
    <row r="8379" spans="1:7" x14ac:dyDescent="0.3">
      <c r="A8379" t="s">
        <v>2529</v>
      </c>
      <c r="B8379" t="s">
        <v>348</v>
      </c>
      <c r="C8379" t="s">
        <v>347</v>
      </c>
      <c r="D8379">
        <v>2020</v>
      </c>
      <c r="E8379" s="2">
        <v>25</v>
      </c>
      <c r="F8379" s="2">
        <v>1750</v>
      </c>
      <c r="G8379" s="2">
        <v>1837.5</v>
      </c>
    </row>
    <row r="8380" spans="1:7" x14ac:dyDescent="0.3">
      <c r="A8380" t="s">
        <v>2529</v>
      </c>
      <c r="B8380" t="s">
        <v>365</v>
      </c>
      <c r="C8380" t="s">
        <v>96</v>
      </c>
      <c r="D8380">
        <v>2020</v>
      </c>
      <c r="E8380" s="2">
        <v>225</v>
      </c>
      <c r="F8380" s="2">
        <v>10125</v>
      </c>
      <c r="G8380" s="2">
        <v>10631.25</v>
      </c>
    </row>
    <row r="8381" spans="1:7" x14ac:dyDescent="0.3">
      <c r="A8381" t="s">
        <v>2529</v>
      </c>
      <c r="B8381" t="s">
        <v>365</v>
      </c>
      <c r="C8381" t="s">
        <v>96</v>
      </c>
      <c r="D8381">
        <v>2021</v>
      </c>
      <c r="E8381" s="2">
        <v>25</v>
      </c>
      <c r="F8381" s="2">
        <v>1125</v>
      </c>
      <c r="G8381" s="2">
        <v>1125</v>
      </c>
    </row>
    <row r="8382" spans="1:7" x14ac:dyDescent="0.3">
      <c r="A8382" t="s">
        <v>2529</v>
      </c>
      <c r="B8382" t="s">
        <v>643</v>
      </c>
      <c r="C8382" t="s">
        <v>644</v>
      </c>
      <c r="D8382">
        <v>2020</v>
      </c>
      <c r="E8382" s="2">
        <v>50</v>
      </c>
      <c r="F8382" s="2">
        <v>3875</v>
      </c>
      <c r="G8382" s="2">
        <v>4068.75</v>
      </c>
    </row>
    <row r="8383" spans="1:7" x14ac:dyDescent="0.3">
      <c r="A8383" t="s">
        <v>2529</v>
      </c>
      <c r="B8383" t="s">
        <v>1802</v>
      </c>
      <c r="D8383">
        <v>2020</v>
      </c>
      <c r="E8383" s="2">
        <v>1</v>
      </c>
      <c r="F8383" s="2">
        <v>165</v>
      </c>
      <c r="G8383" s="2">
        <v>173.25</v>
      </c>
    </row>
    <row r="8384" spans="1:7" x14ac:dyDescent="0.3">
      <c r="A8384" t="s">
        <v>2529</v>
      </c>
      <c r="B8384" t="s">
        <v>651</v>
      </c>
      <c r="C8384" t="s">
        <v>652</v>
      </c>
      <c r="D8384">
        <v>2021</v>
      </c>
      <c r="E8384" s="2">
        <v>25</v>
      </c>
      <c r="F8384" s="2">
        <v>1750</v>
      </c>
      <c r="G8384" s="2">
        <v>1750</v>
      </c>
    </row>
    <row r="8385" spans="1:7" x14ac:dyDescent="0.3">
      <c r="A8385" t="s">
        <v>2529</v>
      </c>
      <c r="B8385" t="s">
        <v>187</v>
      </c>
      <c r="C8385" t="s">
        <v>188</v>
      </c>
      <c r="D8385">
        <v>2021</v>
      </c>
      <c r="E8385" s="2">
        <v>25</v>
      </c>
      <c r="F8385" s="2">
        <v>1750</v>
      </c>
      <c r="G8385" s="2">
        <v>1750</v>
      </c>
    </row>
    <row r="8386" spans="1:7" x14ac:dyDescent="0.3">
      <c r="A8386" t="s">
        <v>2529</v>
      </c>
      <c r="B8386" t="s">
        <v>573</v>
      </c>
      <c r="C8386" t="s">
        <v>574</v>
      </c>
      <c r="D8386">
        <v>2020</v>
      </c>
      <c r="E8386" s="2">
        <v>25</v>
      </c>
      <c r="F8386" s="2">
        <v>1875</v>
      </c>
      <c r="G8386" s="2">
        <v>1968.75</v>
      </c>
    </row>
    <row r="8387" spans="1:7" x14ac:dyDescent="0.3">
      <c r="A8387" t="s">
        <v>2529</v>
      </c>
      <c r="B8387" t="s">
        <v>2530</v>
      </c>
      <c r="C8387" t="s">
        <v>392</v>
      </c>
      <c r="D8387">
        <v>2020</v>
      </c>
      <c r="E8387" s="2">
        <v>250</v>
      </c>
      <c r="F8387" s="2">
        <v>10750</v>
      </c>
      <c r="G8387" s="2">
        <v>11287.5</v>
      </c>
    </row>
    <row r="8388" spans="1:7" x14ac:dyDescent="0.3">
      <c r="A8388" t="s">
        <v>2529</v>
      </c>
      <c r="B8388" t="s">
        <v>653</v>
      </c>
      <c r="C8388" t="s">
        <v>654</v>
      </c>
      <c r="D8388">
        <v>2020</v>
      </c>
      <c r="E8388" s="2">
        <v>25</v>
      </c>
      <c r="F8388" s="2">
        <v>1750</v>
      </c>
      <c r="G8388" s="2">
        <v>1837.5</v>
      </c>
    </row>
    <row r="8389" spans="1:7" x14ac:dyDescent="0.3">
      <c r="A8389" t="s">
        <v>2529</v>
      </c>
      <c r="B8389" t="s">
        <v>12</v>
      </c>
      <c r="C8389" t="s">
        <v>13</v>
      </c>
      <c r="D8389">
        <v>2020</v>
      </c>
      <c r="E8389" s="2">
        <v>325</v>
      </c>
      <c r="F8389" s="2">
        <v>24250</v>
      </c>
      <c r="G8389" s="2">
        <v>25462.5</v>
      </c>
    </row>
    <row r="8390" spans="1:7" x14ac:dyDescent="0.3">
      <c r="A8390" t="s">
        <v>2531</v>
      </c>
      <c r="B8390" t="s">
        <v>16</v>
      </c>
      <c r="C8390" t="s">
        <v>17</v>
      </c>
      <c r="D8390">
        <v>2017</v>
      </c>
      <c r="E8390" s="2">
        <v>25</v>
      </c>
      <c r="F8390" s="2">
        <v>2625</v>
      </c>
      <c r="G8390" s="2"/>
    </row>
    <row r="8391" spans="1:7" x14ac:dyDescent="0.3">
      <c r="A8391" t="s">
        <v>2531</v>
      </c>
      <c r="B8391" t="s">
        <v>995</v>
      </c>
      <c r="C8391" t="s">
        <v>672</v>
      </c>
      <c r="D8391">
        <v>2012</v>
      </c>
      <c r="E8391" s="2">
        <v>80</v>
      </c>
      <c r="F8391" s="2">
        <v>5280</v>
      </c>
      <c r="G8391" s="2"/>
    </row>
    <row r="8392" spans="1:7" x14ac:dyDescent="0.3">
      <c r="A8392" t="s">
        <v>2531</v>
      </c>
      <c r="B8392" t="s">
        <v>995</v>
      </c>
      <c r="C8392" t="s">
        <v>672</v>
      </c>
      <c r="D8392">
        <v>2013</v>
      </c>
      <c r="E8392" s="2">
        <v>100</v>
      </c>
      <c r="F8392" s="2">
        <v>6600</v>
      </c>
      <c r="G8392" s="2"/>
    </row>
    <row r="8393" spans="1:7" x14ac:dyDescent="0.3">
      <c r="A8393" t="s">
        <v>2531</v>
      </c>
      <c r="B8393" t="s">
        <v>995</v>
      </c>
      <c r="C8393" t="s">
        <v>672</v>
      </c>
      <c r="D8393">
        <v>2014</v>
      </c>
      <c r="E8393" s="2">
        <v>75</v>
      </c>
      <c r="F8393" s="2">
        <v>4950</v>
      </c>
      <c r="G8393" s="2"/>
    </row>
    <row r="8394" spans="1:7" x14ac:dyDescent="0.3">
      <c r="A8394" t="s">
        <v>2531</v>
      </c>
      <c r="B8394" t="s">
        <v>995</v>
      </c>
      <c r="C8394" t="s">
        <v>672</v>
      </c>
      <c r="D8394">
        <v>2015</v>
      </c>
      <c r="E8394" s="2">
        <v>50</v>
      </c>
      <c r="F8394" s="2">
        <v>3300</v>
      </c>
      <c r="G8394" s="2"/>
    </row>
    <row r="8395" spans="1:7" x14ac:dyDescent="0.3">
      <c r="A8395" t="s">
        <v>2531</v>
      </c>
      <c r="B8395" t="s">
        <v>995</v>
      </c>
      <c r="C8395" t="s">
        <v>672</v>
      </c>
      <c r="D8395">
        <v>2016</v>
      </c>
      <c r="E8395" s="2">
        <v>1</v>
      </c>
      <c r="F8395" s="2">
        <v>80</v>
      </c>
      <c r="G8395" s="2"/>
    </row>
    <row r="8396" spans="1:7" x14ac:dyDescent="0.3">
      <c r="A8396" t="s">
        <v>2531</v>
      </c>
      <c r="B8396" t="s">
        <v>995</v>
      </c>
      <c r="C8396" t="s">
        <v>672</v>
      </c>
      <c r="D8396">
        <v>2016</v>
      </c>
      <c r="E8396" s="2">
        <v>100</v>
      </c>
      <c r="F8396" s="2">
        <v>6600</v>
      </c>
      <c r="G8396" s="2"/>
    </row>
    <row r="8397" spans="1:7" x14ac:dyDescent="0.3">
      <c r="A8397" t="s">
        <v>2531</v>
      </c>
      <c r="B8397" t="s">
        <v>68</v>
      </c>
      <c r="C8397" t="s">
        <v>69</v>
      </c>
      <c r="D8397">
        <v>2013</v>
      </c>
      <c r="E8397" s="2">
        <v>50</v>
      </c>
      <c r="F8397" s="2">
        <v>3750</v>
      </c>
      <c r="G8397" s="2"/>
    </row>
    <row r="8398" spans="1:7" x14ac:dyDescent="0.3">
      <c r="A8398" t="s">
        <v>2531</v>
      </c>
      <c r="B8398" t="s">
        <v>68</v>
      </c>
      <c r="C8398" t="s">
        <v>69</v>
      </c>
      <c r="D8398">
        <v>2014</v>
      </c>
      <c r="E8398" s="2">
        <v>25</v>
      </c>
      <c r="F8398" s="2">
        <v>1875</v>
      </c>
      <c r="G8398" s="2"/>
    </row>
    <row r="8399" spans="1:7" x14ac:dyDescent="0.3">
      <c r="A8399" t="s">
        <v>2531</v>
      </c>
      <c r="B8399" t="s">
        <v>68</v>
      </c>
      <c r="C8399" t="s">
        <v>69</v>
      </c>
      <c r="D8399">
        <v>2015</v>
      </c>
      <c r="E8399" s="2">
        <v>75</v>
      </c>
      <c r="F8399" s="2">
        <v>5625</v>
      </c>
      <c r="G8399" s="2"/>
    </row>
    <row r="8400" spans="1:7" x14ac:dyDescent="0.3">
      <c r="A8400" t="s">
        <v>2531</v>
      </c>
      <c r="B8400" t="s">
        <v>68</v>
      </c>
      <c r="C8400" t="s">
        <v>69</v>
      </c>
      <c r="D8400">
        <v>2016</v>
      </c>
      <c r="E8400" s="2">
        <v>75</v>
      </c>
      <c r="F8400" s="2">
        <v>5625</v>
      </c>
      <c r="G8400" s="2"/>
    </row>
    <row r="8401" spans="1:7" x14ac:dyDescent="0.3">
      <c r="A8401" t="s">
        <v>2531</v>
      </c>
      <c r="B8401" t="s">
        <v>68</v>
      </c>
      <c r="C8401" t="s">
        <v>69</v>
      </c>
      <c r="D8401">
        <v>2017</v>
      </c>
      <c r="E8401" s="2">
        <v>25</v>
      </c>
      <c r="F8401" s="2">
        <v>1875</v>
      </c>
      <c r="G8401" s="2"/>
    </row>
    <row r="8402" spans="1:7" x14ac:dyDescent="0.3">
      <c r="A8402" t="s">
        <v>2531</v>
      </c>
      <c r="B8402" t="s">
        <v>68</v>
      </c>
      <c r="C8402" t="s">
        <v>69</v>
      </c>
      <c r="D8402">
        <v>2017</v>
      </c>
      <c r="E8402" s="2">
        <v>75</v>
      </c>
      <c r="F8402" s="2">
        <v>5625</v>
      </c>
      <c r="G8402" s="2"/>
    </row>
    <row r="8403" spans="1:7" x14ac:dyDescent="0.3">
      <c r="A8403" t="s">
        <v>2531</v>
      </c>
      <c r="B8403" t="s">
        <v>867</v>
      </c>
      <c r="C8403" t="s">
        <v>868</v>
      </c>
      <c r="D8403">
        <v>2016</v>
      </c>
      <c r="E8403" s="2">
        <v>68</v>
      </c>
      <c r="F8403" s="2">
        <v>7140</v>
      </c>
      <c r="G8403" s="2"/>
    </row>
    <row r="8404" spans="1:7" x14ac:dyDescent="0.3">
      <c r="A8404" t="s">
        <v>2531</v>
      </c>
      <c r="B8404" t="s">
        <v>473</v>
      </c>
      <c r="C8404" t="s">
        <v>747</v>
      </c>
      <c r="D8404">
        <v>2018</v>
      </c>
      <c r="E8404" s="2">
        <v>25</v>
      </c>
      <c r="F8404" s="2">
        <v>1650</v>
      </c>
      <c r="G8404" s="2">
        <v>1732.5</v>
      </c>
    </row>
    <row r="8405" spans="1:7" x14ac:dyDescent="0.3">
      <c r="A8405" t="s">
        <v>2531</v>
      </c>
      <c r="B8405" t="s">
        <v>438</v>
      </c>
      <c r="C8405" t="s">
        <v>439</v>
      </c>
      <c r="D8405">
        <v>2017</v>
      </c>
      <c r="E8405" s="2">
        <v>50</v>
      </c>
      <c r="F8405" s="2">
        <v>3300</v>
      </c>
      <c r="G8405" s="2"/>
    </row>
    <row r="8406" spans="1:7" x14ac:dyDescent="0.3">
      <c r="A8406" t="s">
        <v>2531</v>
      </c>
      <c r="B8406" t="s">
        <v>1452</v>
      </c>
      <c r="C8406" t="s">
        <v>1453</v>
      </c>
      <c r="D8406">
        <v>2017</v>
      </c>
      <c r="E8406" s="2">
        <v>100</v>
      </c>
      <c r="F8406" s="2">
        <v>6600</v>
      </c>
      <c r="G8406" s="2"/>
    </row>
    <row r="8407" spans="1:7" x14ac:dyDescent="0.3">
      <c r="A8407" t="s">
        <v>2532</v>
      </c>
      <c r="B8407" t="s">
        <v>34</v>
      </c>
      <c r="D8407">
        <v>2020</v>
      </c>
      <c r="E8407" s="2">
        <v>37</v>
      </c>
      <c r="F8407" s="2">
        <v>2960</v>
      </c>
      <c r="G8407" s="2">
        <v>3108</v>
      </c>
    </row>
    <row r="8408" spans="1:7" x14ac:dyDescent="0.3">
      <c r="A8408" t="s">
        <v>2532</v>
      </c>
      <c r="B8408" t="s">
        <v>453</v>
      </c>
      <c r="D8408">
        <v>2020</v>
      </c>
      <c r="E8408" s="2">
        <v>15</v>
      </c>
      <c r="F8408" s="2">
        <v>1155</v>
      </c>
      <c r="G8408" s="2">
        <v>1212.75</v>
      </c>
    </row>
    <row r="8409" spans="1:7" x14ac:dyDescent="0.3">
      <c r="A8409" t="s">
        <v>2532</v>
      </c>
      <c r="B8409" t="s">
        <v>453</v>
      </c>
      <c r="D8409">
        <v>2021</v>
      </c>
      <c r="E8409" s="2">
        <v>50</v>
      </c>
      <c r="F8409" s="2">
        <v>3850</v>
      </c>
      <c r="G8409" s="2">
        <v>4042.5</v>
      </c>
    </row>
    <row r="8410" spans="1:7" x14ac:dyDescent="0.3">
      <c r="A8410" t="s">
        <v>2532</v>
      </c>
      <c r="B8410" t="s">
        <v>35</v>
      </c>
      <c r="D8410">
        <v>2020</v>
      </c>
      <c r="E8410" s="2">
        <v>12</v>
      </c>
      <c r="F8410" s="2">
        <v>1080</v>
      </c>
      <c r="G8410" s="2">
        <v>1134</v>
      </c>
    </row>
    <row r="8411" spans="1:7" x14ac:dyDescent="0.3">
      <c r="A8411" t="s">
        <v>2532</v>
      </c>
      <c r="B8411" t="s">
        <v>1354</v>
      </c>
      <c r="D8411">
        <v>2020</v>
      </c>
      <c r="E8411" s="2">
        <v>20</v>
      </c>
      <c r="F8411" s="2">
        <v>1900</v>
      </c>
      <c r="G8411" s="2">
        <v>1995</v>
      </c>
    </row>
    <row r="8412" spans="1:7" x14ac:dyDescent="0.3">
      <c r="A8412" t="s">
        <v>2532</v>
      </c>
      <c r="B8412" t="s">
        <v>1354</v>
      </c>
      <c r="D8412">
        <v>2021</v>
      </c>
      <c r="E8412" s="2">
        <v>55</v>
      </c>
      <c r="F8412" s="2">
        <v>4950</v>
      </c>
      <c r="G8412" s="2">
        <v>5197.5</v>
      </c>
    </row>
    <row r="8413" spans="1:7" x14ac:dyDescent="0.3">
      <c r="A8413" t="s">
        <v>2532</v>
      </c>
      <c r="B8413" t="s">
        <v>349</v>
      </c>
      <c r="C8413" t="s">
        <v>350</v>
      </c>
      <c r="D8413">
        <v>2016</v>
      </c>
      <c r="E8413" s="2">
        <v>25</v>
      </c>
      <c r="F8413" s="2">
        <v>1625</v>
      </c>
      <c r="G8413" s="2"/>
    </row>
    <row r="8414" spans="1:7" x14ac:dyDescent="0.3">
      <c r="A8414" t="s">
        <v>2532</v>
      </c>
      <c r="B8414" t="s">
        <v>19</v>
      </c>
      <c r="C8414" t="s">
        <v>20</v>
      </c>
      <c r="D8414">
        <v>2012</v>
      </c>
      <c r="E8414" s="2">
        <v>2</v>
      </c>
      <c r="F8414" s="2">
        <v>190</v>
      </c>
      <c r="G8414" s="2"/>
    </row>
    <row r="8415" spans="1:7" x14ac:dyDescent="0.3">
      <c r="A8415" t="s">
        <v>2532</v>
      </c>
      <c r="B8415" t="s">
        <v>543</v>
      </c>
      <c r="C8415" t="s">
        <v>544</v>
      </c>
      <c r="D8415">
        <v>2021</v>
      </c>
      <c r="E8415" s="2">
        <v>25</v>
      </c>
      <c r="F8415" s="2">
        <v>1750</v>
      </c>
      <c r="G8415" s="2">
        <v>1837.5</v>
      </c>
    </row>
    <row r="8416" spans="1:7" x14ac:dyDescent="0.3">
      <c r="A8416" t="s">
        <v>2532</v>
      </c>
      <c r="B8416" t="s">
        <v>187</v>
      </c>
      <c r="C8416" t="s">
        <v>188</v>
      </c>
      <c r="D8416">
        <v>2016</v>
      </c>
      <c r="E8416" s="2">
        <v>5</v>
      </c>
      <c r="F8416" s="2">
        <v>375</v>
      </c>
      <c r="G8416" s="2"/>
    </row>
    <row r="8417" spans="1:7" x14ac:dyDescent="0.3">
      <c r="A8417" t="s">
        <v>2532</v>
      </c>
      <c r="B8417" t="s">
        <v>30</v>
      </c>
      <c r="C8417" t="s">
        <v>31</v>
      </c>
      <c r="D8417">
        <v>2021</v>
      </c>
      <c r="E8417" s="2">
        <v>5</v>
      </c>
      <c r="F8417" s="2">
        <v>350</v>
      </c>
      <c r="G8417" s="2">
        <v>367.5</v>
      </c>
    </row>
    <row r="8418" spans="1:7" x14ac:dyDescent="0.3">
      <c r="A8418" t="s">
        <v>2532</v>
      </c>
      <c r="B8418" t="s">
        <v>36</v>
      </c>
      <c r="D8418">
        <v>2020</v>
      </c>
      <c r="E8418" s="2">
        <v>30</v>
      </c>
      <c r="F8418" s="2">
        <v>2310</v>
      </c>
      <c r="G8418" s="2">
        <v>2425.5</v>
      </c>
    </row>
    <row r="8419" spans="1:7" x14ac:dyDescent="0.3">
      <c r="A8419" t="s">
        <v>2532</v>
      </c>
      <c r="B8419" t="s">
        <v>314</v>
      </c>
      <c r="C8419" t="s">
        <v>475</v>
      </c>
      <c r="D8419">
        <v>2012</v>
      </c>
      <c r="E8419" s="2">
        <v>50</v>
      </c>
      <c r="F8419" s="2">
        <v>3400</v>
      </c>
      <c r="G8419" s="2"/>
    </row>
    <row r="8420" spans="1:7" x14ac:dyDescent="0.3">
      <c r="A8420" t="s">
        <v>2532</v>
      </c>
      <c r="B8420" t="s">
        <v>314</v>
      </c>
      <c r="C8420" t="s">
        <v>475</v>
      </c>
      <c r="D8420">
        <v>2014</v>
      </c>
      <c r="E8420" s="2">
        <v>100</v>
      </c>
      <c r="F8420" s="2">
        <v>6800</v>
      </c>
      <c r="G8420" s="2"/>
    </row>
    <row r="8421" spans="1:7" x14ac:dyDescent="0.3">
      <c r="A8421" t="s">
        <v>2532</v>
      </c>
      <c r="B8421" t="s">
        <v>476</v>
      </c>
      <c r="C8421" t="s">
        <v>477</v>
      </c>
      <c r="D8421">
        <v>2019</v>
      </c>
      <c r="E8421" s="2">
        <v>10</v>
      </c>
      <c r="F8421" s="2">
        <v>700</v>
      </c>
      <c r="G8421" s="2">
        <v>735</v>
      </c>
    </row>
    <row r="8422" spans="1:7" x14ac:dyDescent="0.3">
      <c r="A8422" t="s">
        <v>2532</v>
      </c>
      <c r="B8422" t="s">
        <v>46</v>
      </c>
      <c r="C8422" t="s">
        <v>47</v>
      </c>
      <c r="D8422">
        <v>2019</v>
      </c>
      <c r="E8422" s="2">
        <v>5</v>
      </c>
      <c r="F8422" s="2">
        <v>325</v>
      </c>
      <c r="G8422" s="2">
        <v>341.25</v>
      </c>
    </row>
    <row r="8423" spans="1:7" x14ac:dyDescent="0.3">
      <c r="A8423" t="s">
        <v>2532</v>
      </c>
      <c r="B8423" t="s">
        <v>483</v>
      </c>
      <c r="C8423" t="s">
        <v>484</v>
      </c>
      <c r="D8423">
        <v>2020</v>
      </c>
      <c r="E8423" s="2">
        <v>15</v>
      </c>
      <c r="F8423" s="2">
        <v>975</v>
      </c>
      <c r="G8423" s="2">
        <v>1023.75</v>
      </c>
    </row>
    <row r="8424" spans="1:7" x14ac:dyDescent="0.3">
      <c r="A8424" t="s">
        <v>2532</v>
      </c>
      <c r="B8424" t="s">
        <v>37</v>
      </c>
      <c r="D8424">
        <v>2020</v>
      </c>
      <c r="E8424" s="2">
        <v>80</v>
      </c>
      <c r="F8424" s="2">
        <v>5200</v>
      </c>
      <c r="G8424" s="2">
        <v>5460</v>
      </c>
    </row>
    <row r="8425" spans="1:7" x14ac:dyDescent="0.3">
      <c r="A8425" t="s">
        <v>2532</v>
      </c>
      <c r="B8425" t="s">
        <v>12</v>
      </c>
      <c r="C8425" t="s">
        <v>13</v>
      </c>
      <c r="D8425">
        <v>2012</v>
      </c>
      <c r="E8425" s="2">
        <v>200</v>
      </c>
      <c r="F8425" s="2">
        <v>13500</v>
      </c>
      <c r="G8425" s="2"/>
    </row>
    <row r="8426" spans="1:7" x14ac:dyDescent="0.3">
      <c r="A8426" t="s">
        <v>2533</v>
      </c>
      <c r="B8426" t="s">
        <v>110</v>
      </c>
      <c r="C8426" t="s">
        <v>111</v>
      </c>
      <c r="D8426">
        <v>2019</v>
      </c>
      <c r="E8426" s="2">
        <v>100</v>
      </c>
      <c r="F8426" s="2">
        <v>4800</v>
      </c>
      <c r="G8426" s="2">
        <v>5040</v>
      </c>
    </row>
    <row r="8427" spans="1:7" x14ac:dyDescent="0.3">
      <c r="A8427" t="s">
        <v>2533</v>
      </c>
      <c r="B8427" t="s">
        <v>110</v>
      </c>
      <c r="C8427" t="s">
        <v>111</v>
      </c>
      <c r="D8427">
        <v>2020</v>
      </c>
      <c r="E8427" s="2">
        <v>75</v>
      </c>
      <c r="F8427" s="2">
        <v>3750</v>
      </c>
      <c r="G8427" s="2">
        <v>3750</v>
      </c>
    </row>
    <row r="8428" spans="1:7" x14ac:dyDescent="0.3">
      <c r="A8428" t="s">
        <v>2533</v>
      </c>
      <c r="B8428" t="s">
        <v>37</v>
      </c>
      <c r="D8428">
        <v>2019</v>
      </c>
      <c r="E8428" s="2">
        <v>70</v>
      </c>
      <c r="F8428" s="2">
        <v>4310</v>
      </c>
      <c r="G8428" s="2">
        <v>4525.5</v>
      </c>
    </row>
    <row r="8429" spans="1:7" x14ac:dyDescent="0.3">
      <c r="A8429" t="s">
        <v>2533</v>
      </c>
      <c r="B8429" t="s">
        <v>37</v>
      </c>
      <c r="D8429">
        <v>2020</v>
      </c>
      <c r="E8429" s="2">
        <v>70</v>
      </c>
      <c r="F8429" s="2">
        <v>4310</v>
      </c>
      <c r="G8429" s="2">
        <v>4310</v>
      </c>
    </row>
    <row r="8430" spans="1:7" x14ac:dyDescent="0.3">
      <c r="A8430" t="s">
        <v>2534</v>
      </c>
      <c r="B8430" t="s">
        <v>610</v>
      </c>
      <c r="C8430" t="s">
        <v>611</v>
      </c>
      <c r="D8430">
        <v>2018</v>
      </c>
      <c r="E8430" s="2">
        <v>10</v>
      </c>
      <c r="F8430" s="2">
        <v>950</v>
      </c>
      <c r="G8430" s="2">
        <v>997.5</v>
      </c>
    </row>
    <row r="8431" spans="1:7" x14ac:dyDescent="0.3">
      <c r="A8431" t="s">
        <v>2534</v>
      </c>
      <c r="B8431" t="s">
        <v>349</v>
      </c>
      <c r="C8431" t="s">
        <v>350</v>
      </c>
      <c r="D8431">
        <v>2018</v>
      </c>
      <c r="E8431" s="2">
        <v>10</v>
      </c>
      <c r="F8431" s="2">
        <v>750</v>
      </c>
      <c r="G8431" s="2">
        <v>787.5</v>
      </c>
    </row>
    <row r="8432" spans="1:7" x14ac:dyDescent="0.3">
      <c r="A8432" t="s">
        <v>2534</v>
      </c>
      <c r="B8432" t="s">
        <v>686</v>
      </c>
      <c r="C8432" t="s">
        <v>866</v>
      </c>
      <c r="D8432">
        <v>2019</v>
      </c>
      <c r="E8432" s="2">
        <v>100</v>
      </c>
      <c r="F8432" s="2">
        <v>5125</v>
      </c>
      <c r="G8432" s="2">
        <v>5381.25</v>
      </c>
    </row>
    <row r="8433" spans="1:7" x14ac:dyDescent="0.3">
      <c r="A8433" t="s">
        <v>2534</v>
      </c>
      <c r="B8433" t="s">
        <v>686</v>
      </c>
      <c r="C8433" t="s">
        <v>687</v>
      </c>
      <c r="D8433">
        <v>2020</v>
      </c>
      <c r="E8433" s="2">
        <v>25</v>
      </c>
      <c r="F8433" s="2">
        <v>1025</v>
      </c>
      <c r="G8433" s="2">
        <v>1076.25</v>
      </c>
    </row>
    <row r="8434" spans="1:7" x14ac:dyDescent="0.3">
      <c r="A8434" t="s">
        <v>2534</v>
      </c>
      <c r="B8434" t="s">
        <v>649</v>
      </c>
      <c r="C8434" t="s">
        <v>650</v>
      </c>
      <c r="D8434">
        <v>2018</v>
      </c>
      <c r="E8434" s="2">
        <v>10</v>
      </c>
      <c r="F8434" s="2">
        <v>850</v>
      </c>
      <c r="G8434" s="2">
        <v>892.5</v>
      </c>
    </row>
    <row r="8435" spans="1:7" x14ac:dyDescent="0.3">
      <c r="A8435" t="s">
        <v>2534</v>
      </c>
      <c r="B8435" t="s">
        <v>543</v>
      </c>
      <c r="C8435" t="s">
        <v>544</v>
      </c>
      <c r="D8435">
        <v>2020</v>
      </c>
      <c r="E8435" s="2">
        <v>25</v>
      </c>
      <c r="F8435" s="2">
        <v>1575</v>
      </c>
      <c r="G8435" s="2">
        <v>1653.75</v>
      </c>
    </row>
    <row r="8436" spans="1:7" x14ac:dyDescent="0.3">
      <c r="A8436" t="s">
        <v>2534</v>
      </c>
      <c r="B8436" t="s">
        <v>518</v>
      </c>
      <c r="C8436" t="s">
        <v>519</v>
      </c>
      <c r="D8436">
        <v>2018</v>
      </c>
      <c r="E8436" s="2">
        <v>25</v>
      </c>
      <c r="F8436" s="2">
        <v>2000</v>
      </c>
      <c r="G8436" s="2">
        <v>2100</v>
      </c>
    </row>
    <row r="8437" spans="1:7" x14ac:dyDescent="0.3">
      <c r="A8437" t="s">
        <v>2534</v>
      </c>
      <c r="B8437" t="s">
        <v>438</v>
      </c>
      <c r="C8437" t="s">
        <v>439</v>
      </c>
      <c r="D8437">
        <v>2018</v>
      </c>
      <c r="E8437" s="2">
        <v>25</v>
      </c>
      <c r="F8437" s="2">
        <v>1650</v>
      </c>
      <c r="G8437" s="2">
        <v>1732.5</v>
      </c>
    </row>
    <row r="8438" spans="1:7" x14ac:dyDescent="0.3">
      <c r="A8438" t="s">
        <v>2534</v>
      </c>
      <c r="B8438" t="s">
        <v>438</v>
      </c>
      <c r="C8438" t="s">
        <v>439</v>
      </c>
      <c r="D8438">
        <v>2019</v>
      </c>
      <c r="E8438" s="2">
        <v>125</v>
      </c>
      <c r="F8438" s="2">
        <v>8250</v>
      </c>
      <c r="G8438" s="2">
        <v>8662.5</v>
      </c>
    </row>
    <row r="8439" spans="1:7" x14ac:dyDescent="0.3">
      <c r="A8439" t="s">
        <v>2534</v>
      </c>
      <c r="B8439" t="s">
        <v>438</v>
      </c>
      <c r="C8439" t="s">
        <v>439</v>
      </c>
      <c r="D8439">
        <v>2020</v>
      </c>
      <c r="E8439" s="2">
        <v>62</v>
      </c>
      <c r="F8439" s="2">
        <v>4292</v>
      </c>
      <c r="G8439" s="2">
        <v>4506.6000000000004</v>
      </c>
    </row>
    <row r="8440" spans="1:7" x14ac:dyDescent="0.3">
      <c r="A8440" t="s">
        <v>2534</v>
      </c>
      <c r="B8440" t="s">
        <v>1339</v>
      </c>
      <c r="C8440" t="s">
        <v>1340</v>
      </c>
      <c r="D8440">
        <v>2020</v>
      </c>
      <c r="E8440" s="2">
        <v>50</v>
      </c>
      <c r="F8440" s="2">
        <v>3500</v>
      </c>
      <c r="G8440" s="2">
        <v>3675</v>
      </c>
    </row>
    <row r="8441" spans="1:7" x14ac:dyDescent="0.3">
      <c r="A8441" t="s">
        <v>2534</v>
      </c>
      <c r="B8441" t="s">
        <v>1109</v>
      </c>
      <c r="C8441" t="s">
        <v>1026</v>
      </c>
      <c r="D8441">
        <v>2018</v>
      </c>
      <c r="E8441" s="2">
        <v>10</v>
      </c>
      <c r="F8441" s="2">
        <v>800</v>
      </c>
      <c r="G8441" s="2">
        <v>840</v>
      </c>
    </row>
    <row r="8442" spans="1:7" x14ac:dyDescent="0.3">
      <c r="A8442" t="s">
        <v>2534</v>
      </c>
      <c r="B8442" t="s">
        <v>37</v>
      </c>
      <c r="D8442">
        <v>2021</v>
      </c>
      <c r="E8442" s="2">
        <v>50</v>
      </c>
      <c r="F8442" s="2">
        <v>3250</v>
      </c>
      <c r="G8442" s="2">
        <v>3412.5</v>
      </c>
    </row>
    <row r="8443" spans="1:7" x14ac:dyDescent="0.3">
      <c r="A8443" t="s">
        <v>2534</v>
      </c>
      <c r="B8443" t="s">
        <v>155</v>
      </c>
      <c r="C8443" t="s">
        <v>156</v>
      </c>
      <c r="D8443">
        <v>2018</v>
      </c>
      <c r="E8443" s="2">
        <v>25</v>
      </c>
      <c r="F8443" s="2">
        <v>2000</v>
      </c>
      <c r="G8443" s="2">
        <v>2100</v>
      </c>
    </row>
    <row r="8444" spans="1:7" x14ac:dyDescent="0.3">
      <c r="A8444" t="s">
        <v>2535</v>
      </c>
      <c r="B8444" t="s">
        <v>28</v>
      </c>
      <c r="D8444">
        <v>2015</v>
      </c>
      <c r="E8444" s="2">
        <v>1</v>
      </c>
      <c r="F8444" s="2">
        <v>500</v>
      </c>
      <c r="G8444" s="2"/>
    </row>
    <row r="8445" spans="1:7" x14ac:dyDescent="0.3">
      <c r="A8445" t="s">
        <v>2535</v>
      </c>
      <c r="B8445" t="s">
        <v>828</v>
      </c>
      <c r="D8445">
        <v>2016</v>
      </c>
      <c r="E8445" s="2">
        <v>140</v>
      </c>
      <c r="F8445" s="2">
        <v>46200</v>
      </c>
      <c r="G8445" s="2"/>
    </row>
    <row r="8446" spans="1:7" x14ac:dyDescent="0.3">
      <c r="A8446" t="s">
        <v>2535</v>
      </c>
      <c r="B8446" t="s">
        <v>828</v>
      </c>
      <c r="D8446">
        <v>2017</v>
      </c>
      <c r="E8446" s="2">
        <v>295</v>
      </c>
      <c r="F8446" s="2">
        <v>66515</v>
      </c>
      <c r="G8446" s="2"/>
    </row>
    <row r="8447" spans="1:7" x14ac:dyDescent="0.3">
      <c r="A8447" t="s">
        <v>2535</v>
      </c>
      <c r="B8447" t="s">
        <v>828</v>
      </c>
      <c r="D8447">
        <v>2018</v>
      </c>
      <c r="E8447" s="2">
        <v>25</v>
      </c>
      <c r="F8447" s="2">
        <v>6431.25</v>
      </c>
      <c r="G8447" s="2">
        <v>6752.8125</v>
      </c>
    </row>
    <row r="8448" spans="1:7" x14ac:dyDescent="0.3">
      <c r="A8448" t="s">
        <v>2535</v>
      </c>
      <c r="B8448" t="s">
        <v>863</v>
      </c>
      <c r="D8448">
        <v>2015</v>
      </c>
      <c r="E8448" s="2">
        <v>10</v>
      </c>
      <c r="F8448" s="2">
        <v>1000</v>
      </c>
      <c r="G8448" s="2"/>
    </row>
    <row r="8449" spans="1:7" x14ac:dyDescent="0.3">
      <c r="A8449" t="s">
        <v>2535</v>
      </c>
      <c r="B8449" t="s">
        <v>2536</v>
      </c>
      <c r="D8449">
        <v>2016</v>
      </c>
      <c r="E8449" s="2">
        <v>25</v>
      </c>
      <c r="F8449" s="2">
        <v>3750</v>
      </c>
      <c r="G8449" s="2"/>
    </row>
    <row r="8450" spans="1:7" x14ac:dyDescent="0.3">
      <c r="A8450" t="s">
        <v>2535</v>
      </c>
      <c r="B8450" t="s">
        <v>2536</v>
      </c>
      <c r="D8450">
        <v>2017</v>
      </c>
      <c r="E8450" s="2">
        <v>20</v>
      </c>
      <c r="F8450" s="2">
        <v>3000</v>
      </c>
      <c r="G8450" s="2"/>
    </row>
    <row r="8451" spans="1:7" x14ac:dyDescent="0.3">
      <c r="A8451" t="s">
        <v>2537</v>
      </c>
      <c r="B8451" t="s">
        <v>631</v>
      </c>
      <c r="C8451" t="s">
        <v>632</v>
      </c>
      <c r="D8451">
        <v>2017</v>
      </c>
      <c r="E8451" s="2">
        <v>1</v>
      </c>
      <c r="F8451" s="2">
        <v>75</v>
      </c>
      <c r="G8451" s="2"/>
    </row>
    <row r="8452" spans="1:7" x14ac:dyDescent="0.3">
      <c r="A8452" t="s">
        <v>2537</v>
      </c>
      <c r="B8452" t="s">
        <v>46</v>
      </c>
      <c r="C8452" t="s">
        <v>47</v>
      </c>
      <c r="D8452">
        <v>2017</v>
      </c>
      <c r="E8452" s="2">
        <v>1</v>
      </c>
      <c r="F8452" s="2">
        <v>75</v>
      </c>
      <c r="G8452" s="2"/>
    </row>
    <row r="8453" spans="1:7" x14ac:dyDescent="0.3">
      <c r="A8453" t="s">
        <v>2538</v>
      </c>
      <c r="B8453" t="s">
        <v>623</v>
      </c>
      <c r="C8453" t="s">
        <v>324</v>
      </c>
      <c r="D8453">
        <v>2019</v>
      </c>
      <c r="E8453" s="2">
        <v>175</v>
      </c>
      <c r="F8453" s="2">
        <v>16000</v>
      </c>
      <c r="G8453" s="2">
        <v>16800</v>
      </c>
    </row>
    <row r="8454" spans="1:7" x14ac:dyDescent="0.3">
      <c r="A8454" t="s">
        <v>2538</v>
      </c>
      <c r="B8454" t="s">
        <v>2539</v>
      </c>
      <c r="C8454" t="s">
        <v>563</v>
      </c>
      <c r="D8454">
        <v>2019</v>
      </c>
      <c r="E8454" s="2">
        <v>43</v>
      </c>
      <c r="F8454" s="2">
        <v>4120</v>
      </c>
      <c r="G8454" s="2">
        <v>4326</v>
      </c>
    </row>
    <row r="8455" spans="1:7" x14ac:dyDescent="0.3">
      <c r="A8455" t="s">
        <v>2538</v>
      </c>
      <c r="B8455" t="s">
        <v>624</v>
      </c>
      <c r="C8455" t="s">
        <v>625</v>
      </c>
      <c r="D8455">
        <v>2017</v>
      </c>
      <c r="E8455" s="2">
        <v>25</v>
      </c>
      <c r="F8455" s="2">
        <v>2250</v>
      </c>
      <c r="G8455" s="2"/>
    </row>
    <row r="8456" spans="1:7" x14ac:dyDescent="0.3">
      <c r="A8456" t="s">
        <v>2538</v>
      </c>
      <c r="B8456" t="s">
        <v>624</v>
      </c>
      <c r="C8456" t="s">
        <v>625</v>
      </c>
      <c r="D8456">
        <v>2018</v>
      </c>
      <c r="E8456" s="2">
        <v>25</v>
      </c>
      <c r="F8456" s="2">
        <v>2375</v>
      </c>
      <c r="G8456" s="2">
        <v>2493.75</v>
      </c>
    </row>
    <row r="8457" spans="1:7" x14ac:dyDescent="0.3">
      <c r="A8457" t="s">
        <v>2538</v>
      </c>
      <c r="B8457" t="s">
        <v>624</v>
      </c>
      <c r="C8457" t="s">
        <v>625</v>
      </c>
      <c r="D8457">
        <v>2020</v>
      </c>
      <c r="E8457" s="2">
        <v>50</v>
      </c>
      <c r="F8457" s="2">
        <v>4500</v>
      </c>
      <c r="G8457" s="2">
        <v>4725</v>
      </c>
    </row>
    <row r="8458" spans="1:7" x14ac:dyDescent="0.3">
      <c r="A8458" t="s">
        <v>2538</v>
      </c>
      <c r="B8458" t="s">
        <v>624</v>
      </c>
      <c r="C8458" t="s">
        <v>625</v>
      </c>
      <c r="D8458">
        <v>2021</v>
      </c>
      <c r="E8458" s="2">
        <v>25</v>
      </c>
      <c r="F8458" s="2">
        <v>2250</v>
      </c>
      <c r="G8458" s="2">
        <v>2362.5</v>
      </c>
    </row>
    <row r="8459" spans="1:7" x14ac:dyDescent="0.3">
      <c r="A8459" t="s">
        <v>2538</v>
      </c>
      <c r="B8459" t="s">
        <v>174</v>
      </c>
      <c r="C8459" t="s">
        <v>175</v>
      </c>
      <c r="D8459">
        <v>2019</v>
      </c>
      <c r="E8459" s="2">
        <v>155</v>
      </c>
      <c r="F8459" s="2">
        <v>11815</v>
      </c>
      <c r="G8459" s="2">
        <v>12405.75</v>
      </c>
    </row>
    <row r="8460" spans="1:7" x14ac:dyDescent="0.3">
      <c r="A8460" t="s">
        <v>2538</v>
      </c>
      <c r="B8460" t="s">
        <v>532</v>
      </c>
      <c r="C8460" t="s">
        <v>452</v>
      </c>
      <c r="D8460">
        <v>2019</v>
      </c>
      <c r="E8460" s="2">
        <v>100</v>
      </c>
      <c r="F8460" s="2">
        <v>8000</v>
      </c>
      <c r="G8460" s="2">
        <v>8400</v>
      </c>
    </row>
    <row r="8461" spans="1:7" x14ac:dyDescent="0.3">
      <c r="A8461" t="s">
        <v>2538</v>
      </c>
      <c r="B8461" t="s">
        <v>532</v>
      </c>
      <c r="C8461" t="s">
        <v>452</v>
      </c>
      <c r="D8461">
        <v>2020</v>
      </c>
      <c r="E8461" s="2">
        <v>290</v>
      </c>
      <c r="F8461" s="2">
        <v>22200</v>
      </c>
      <c r="G8461" s="2">
        <v>23310</v>
      </c>
    </row>
    <row r="8462" spans="1:7" x14ac:dyDescent="0.3">
      <c r="A8462" t="s">
        <v>2538</v>
      </c>
      <c r="B8462" t="s">
        <v>532</v>
      </c>
      <c r="C8462" t="s">
        <v>452</v>
      </c>
      <c r="D8462">
        <v>2021</v>
      </c>
      <c r="E8462" s="2">
        <v>150</v>
      </c>
      <c r="F8462" s="2">
        <v>10500</v>
      </c>
      <c r="G8462" s="2">
        <v>11025</v>
      </c>
    </row>
    <row r="8463" spans="1:7" x14ac:dyDescent="0.3">
      <c r="A8463" t="s">
        <v>2538</v>
      </c>
      <c r="B8463" t="s">
        <v>714</v>
      </c>
      <c r="C8463" t="s">
        <v>715</v>
      </c>
      <c r="D8463">
        <v>2017</v>
      </c>
      <c r="E8463" s="2">
        <v>25</v>
      </c>
      <c r="F8463" s="2">
        <v>2125</v>
      </c>
      <c r="G8463" s="2"/>
    </row>
    <row r="8464" spans="1:7" x14ac:dyDescent="0.3">
      <c r="A8464" t="s">
        <v>2538</v>
      </c>
      <c r="B8464" t="s">
        <v>714</v>
      </c>
      <c r="C8464" t="s">
        <v>715</v>
      </c>
      <c r="D8464">
        <v>2019</v>
      </c>
      <c r="E8464" s="2">
        <v>25</v>
      </c>
      <c r="F8464" s="2">
        <v>2000</v>
      </c>
      <c r="G8464" s="2">
        <v>2100</v>
      </c>
    </row>
    <row r="8465" spans="1:7" x14ac:dyDescent="0.3">
      <c r="A8465" t="s">
        <v>2538</v>
      </c>
      <c r="B8465" t="s">
        <v>1238</v>
      </c>
      <c r="C8465" t="s">
        <v>1239</v>
      </c>
      <c r="D8465">
        <v>2020</v>
      </c>
      <c r="E8465" s="2">
        <v>150</v>
      </c>
      <c r="F8465" s="2">
        <v>9000</v>
      </c>
      <c r="G8465" s="2">
        <v>9450</v>
      </c>
    </row>
    <row r="8466" spans="1:7" x14ac:dyDescent="0.3">
      <c r="A8466" t="s">
        <v>2538</v>
      </c>
      <c r="B8466" t="s">
        <v>721</v>
      </c>
      <c r="C8466" t="s">
        <v>722</v>
      </c>
      <c r="D8466">
        <v>2018</v>
      </c>
      <c r="E8466" s="2">
        <v>25</v>
      </c>
      <c r="F8466" s="2">
        <v>1750</v>
      </c>
      <c r="G8466" s="2">
        <v>1837.5</v>
      </c>
    </row>
    <row r="8467" spans="1:7" x14ac:dyDescent="0.3">
      <c r="A8467" t="s">
        <v>2538</v>
      </c>
      <c r="B8467" t="s">
        <v>721</v>
      </c>
      <c r="C8467" t="s">
        <v>722</v>
      </c>
      <c r="D8467">
        <v>2019</v>
      </c>
      <c r="E8467" s="2">
        <v>60</v>
      </c>
      <c r="F8467" s="2">
        <v>4250</v>
      </c>
      <c r="G8467" s="2">
        <v>4462.5</v>
      </c>
    </row>
    <row r="8468" spans="1:7" x14ac:dyDescent="0.3">
      <c r="A8468" t="s">
        <v>2538</v>
      </c>
      <c r="B8468" t="s">
        <v>631</v>
      </c>
      <c r="C8468" t="s">
        <v>632</v>
      </c>
      <c r="D8468">
        <v>2018</v>
      </c>
      <c r="E8468" s="2">
        <v>25</v>
      </c>
      <c r="F8468" s="2">
        <v>1875</v>
      </c>
      <c r="G8468" s="2">
        <v>1968.75</v>
      </c>
    </row>
    <row r="8469" spans="1:7" x14ac:dyDescent="0.3">
      <c r="A8469" t="s">
        <v>2538</v>
      </c>
      <c r="B8469" t="s">
        <v>631</v>
      </c>
      <c r="C8469" t="s">
        <v>632</v>
      </c>
      <c r="D8469">
        <v>2019</v>
      </c>
      <c r="E8469" s="2">
        <v>75</v>
      </c>
      <c r="F8469" s="2">
        <v>5625</v>
      </c>
      <c r="G8469" s="2">
        <v>5906.25</v>
      </c>
    </row>
    <row r="8470" spans="1:7" x14ac:dyDescent="0.3">
      <c r="A8470" t="s">
        <v>2538</v>
      </c>
      <c r="B8470" t="s">
        <v>631</v>
      </c>
      <c r="C8470" t="s">
        <v>632</v>
      </c>
      <c r="D8470">
        <v>2020</v>
      </c>
      <c r="E8470" s="2">
        <v>75</v>
      </c>
      <c r="F8470" s="2">
        <v>5625</v>
      </c>
      <c r="G8470" s="2">
        <v>5906.25</v>
      </c>
    </row>
    <row r="8471" spans="1:7" x14ac:dyDescent="0.3">
      <c r="A8471" t="s">
        <v>2538</v>
      </c>
      <c r="B8471" t="s">
        <v>631</v>
      </c>
      <c r="C8471" t="s">
        <v>632</v>
      </c>
      <c r="D8471">
        <v>2021</v>
      </c>
      <c r="E8471" s="2">
        <v>25</v>
      </c>
      <c r="F8471" s="2">
        <v>1875</v>
      </c>
      <c r="G8471" s="2">
        <v>1968.75</v>
      </c>
    </row>
    <row r="8472" spans="1:7" x14ac:dyDescent="0.3">
      <c r="A8472" t="s">
        <v>2538</v>
      </c>
      <c r="B8472" t="s">
        <v>633</v>
      </c>
      <c r="C8472" t="s">
        <v>634</v>
      </c>
      <c r="D8472">
        <v>2017</v>
      </c>
      <c r="E8472" s="2">
        <v>25</v>
      </c>
      <c r="F8472" s="2">
        <v>2375</v>
      </c>
      <c r="G8472" s="2"/>
    </row>
    <row r="8473" spans="1:7" x14ac:dyDescent="0.3">
      <c r="A8473" t="s">
        <v>2538</v>
      </c>
      <c r="B8473" t="s">
        <v>635</v>
      </c>
      <c r="C8473" t="s">
        <v>636</v>
      </c>
      <c r="D8473">
        <v>2018</v>
      </c>
      <c r="E8473" s="2">
        <v>125</v>
      </c>
      <c r="F8473" s="2">
        <v>18925</v>
      </c>
      <c r="G8473" s="2">
        <v>19871.25</v>
      </c>
    </row>
    <row r="8474" spans="1:7" x14ac:dyDescent="0.3">
      <c r="A8474" t="s">
        <v>2538</v>
      </c>
      <c r="B8474" t="s">
        <v>635</v>
      </c>
      <c r="C8474" t="s">
        <v>636</v>
      </c>
      <c r="D8474">
        <v>2019</v>
      </c>
      <c r="E8474" s="2">
        <v>191</v>
      </c>
      <c r="F8474" s="2">
        <v>15853</v>
      </c>
      <c r="G8474" s="2">
        <v>16645.650000000001</v>
      </c>
    </row>
    <row r="8475" spans="1:7" x14ac:dyDescent="0.3">
      <c r="A8475" t="s">
        <v>2538</v>
      </c>
      <c r="B8475" t="s">
        <v>635</v>
      </c>
      <c r="C8475" t="s">
        <v>636</v>
      </c>
      <c r="D8475">
        <v>2020</v>
      </c>
      <c r="E8475" s="2">
        <v>150</v>
      </c>
      <c r="F8475" s="2">
        <v>12250</v>
      </c>
      <c r="G8475" s="2">
        <v>12862.5</v>
      </c>
    </row>
    <row r="8476" spans="1:7" x14ac:dyDescent="0.3">
      <c r="A8476" t="s">
        <v>2538</v>
      </c>
      <c r="B8476" t="s">
        <v>2540</v>
      </c>
      <c r="C8476" t="s">
        <v>636</v>
      </c>
      <c r="D8476">
        <v>2019</v>
      </c>
      <c r="E8476" s="2">
        <v>155</v>
      </c>
      <c r="F8476" s="2">
        <v>11865</v>
      </c>
      <c r="G8476" s="2">
        <v>12458.25</v>
      </c>
    </row>
    <row r="8477" spans="1:7" x14ac:dyDescent="0.3">
      <c r="A8477" t="s">
        <v>2538</v>
      </c>
      <c r="B8477" t="s">
        <v>2540</v>
      </c>
      <c r="C8477" t="s">
        <v>636</v>
      </c>
      <c r="D8477">
        <v>2020</v>
      </c>
      <c r="E8477" s="2">
        <v>20</v>
      </c>
      <c r="F8477" s="2">
        <v>2075</v>
      </c>
      <c r="G8477" s="2">
        <v>2178.75</v>
      </c>
    </row>
    <row r="8478" spans="1:7" x14ac:dyDescent="0.3">
      <c r="A8478" t="s">
        <v>2538</v>
      </c>
      <c r="B8478" t="s">
        <v>251</v>
      </c>
      <c r="C8478" t="s">
        <v>207</v>
      </c>
      <c r="D8478">
        <v>2019</v>
      </c>
      <c r="E8478" s="2">
        <v>175</v>
      </c>
      <c r="F8478" s="2">
        <v>16000</v>
      </c>
      <c r="G8478" s="2">
        <v>16800</v>
      </c>
    </row>
    <row r="8479" spans="1:7" x14ac:dyDescent="0.3">
      <c r="A8479" t="s">
        <v>2538</v>
      </c>
      <c r="B8479" t="s">
        <v>538</v>
      </c>
      <c r="C8479" t="s">
        <v>539</v>
      </c>
      <c r="D8479">
        <v>2017</v>
      </c>
      <c r="E8479" s="2">
        <v>25</v>
      </c>
      <c r="F8479" s="2">
        <v>3000</v>
      </c>
      <c r="G8479" s="2"/>
    </row>
    <row r="8480" spans="1:7" x14ac:dyDescent="0.3">
      <c r="A8480" t="s">
        <v>2538</v>
      </c>
      <c r="B8480" t="s">
        <v>540</v>
      </c>
      <c r="C8480" t="s">
        <v>541</v>
      </c>
      <c r="D8480">
        <v>2020</v>
      </c>
      <c r="E8480" s="2">
        <v>50</v>
      </c>
      <c r="F8480" s="2">
        <v>4000</v>
      </c>
      <c r="G8480" s="2">
        <v>4200</v>
      </c>
    </row>
    <row r="8481" spans="1:7" x14ac:dyDescent="0.3">
      <c r="A8481" t="s">
        <v>2538</v>
      </c>
      <c r="B8481" t="s">
        <v>641</v>
      </c>
      <c r="C8481" t="s">
        <v>289</v>
      </c>
      <c r="D8481">
        <v>2019</v>
      </c>
      <c r="E8481" s="2">
        <v>150</v>
      </c>
      <c r="F8481" s="2">
        <v>13750</v>
      </c>
      <c r="G8481" s="2">
        <v>14437.5</v>
      </c>
    </row>
    <row r="8482" spans="1:7" x14ac:dyDescent="0.3">
      <c r="A8482" t="s">
        <v>2538</v>
      </c>
      <c r="B8482" t="s">
        <v>35</v>
      </c>
      <c r="D8482">
        <v>2020</v>
      </c>
      <c r="E8482" s="2">
        <v>15</v>
      </c>
      <c r="F8482" s="2">
        <v>1650</v>
      </c>
      <c r="G8482" s="2">
        <v>1732.5</v>
      </c>
    </row>
    <row r="8483" spans="1:7" x14ac:dyDescent="0.3">
      <c r="A8483" t="s">
        <v>2538</v>
      </c>
      <c r="B8483" t="s">
        <v>686</v>
      </c>
      <c r="C8483" t="s">
        <v>866</v>
      </c>
      <c r="D8483">
        <v>2019</v>
      </c>
      <c r="E8483" s="2">
        <v>150</v>
      </c>
      <c r="F8483" s="2">
        <v>11650</v>
      </c>
      <c r="G8483" s="2">
        <v>12232.5</v>
      </c>
    </row>
    <row r="8484" spans="1:7" x14ac:dyDescent="0.3">
      <c r="A8484" t="s">
        <v>2538</v>
      </c>
      <c r="B8484" t="s">
        <v>686</v>
      </c>
      <c r="C8484" t="s">
        <v>866</v>
      </c>
      <c r="D8484">
        <v>2020</v>
      </c>
      <c r="E8484" s="2">
        <v>50</v>
      </c>
      <c r="F8484" s="2">
        <v>4000</v>
      </c>
      <c r="G8484" s="2">
        <v>4200</v>
      </c>
    </row>
    <row r="8485" spans="1:7" x14ac:dyDescent="0.3">
      <c r="A8485" t="s">
        <v>2538</v>
      </c>
      <c r="B8485" t="s">
        <v>686</v>
      </c>
      <c r="C8485" t="s">
        <v>687</v>
      </c>
      <c r="D8485">
        <v>2020</v>
      </c>
      <c r="E8485" s="2">
        <v>75</v>
      </c>
      <c r="F8485" s="2">
        <v>6000</v>
      </c>
      <c r="G8485" s="2">
        <v>6300</v>
      </c>
    </row>
    <row r="8486" spans="1:7" x14ac:dyDescent="0.3">
      <c r="A8486" t="s">
        <v>2538</v>
      </c>
      <c r="B8486" t="s">
        <v>649</v>
      </c>
      <c r="C8486" t="s">
        <v>650</v>
      </c>
      <c r="D8486">
        <v>2019</v>
      </c>
      <c r="E8486" s="2">
        <v>25</v>
      </c>
      <c r="F8486" s="2">
        <v>2000</v>
      </c>
      <c r="G8486" s="2">
        <v>2100</v>
      </c>
    </row>
    <row r="8487" spans="1:7" x14ac:dyDescent="0.3">
      <c r="A8487" t="s">
        <v>2538</v>
      </c>
      <c r="B8487" t="s">
        <v>649</v>
      </c>
      <c r="C8487" t="s">
        <v>650</v>
      </c>
      <c r="D8487">
        <v>2020</v>
      </c>
      <c r="E8487" s="2">
        <v>25</v>
      </c>
      <c r="F8487" s="2">
        <v>2000</v>
      </c>
      <c r="G8487" s="2">
        <v>2100</v>
      </c>
    </row>
    <row r="8488" spans="1:7" x14ac:dyDescent="0.3">
      <c r="A8488" t="s">
        <v>2538</v>
      </c>
      <c r="B8488" t="s">
        <v>297</v>
      </c>
      <c r="C8488" t="s">
        <v>298</v>
      </c>
      <c r="D8488">
        <v>2020</v>
      </c>
      <c r="E8488" s="2">
        <v>150</v>
      </c>
      <c r="F8488" s="2">
        <v>9000</v>
      </c>
      <c r="G8488" s="2">
        <v>9450</v>
      </c>
    </row>
    <row r="8489" spans="1:7" x14ac:dyDescent="0.3">
      <c r="A8489" t="s">
        <v>2538</v>
      </c>
      <c r="B8489" t="s">
        <v>668</v>
      </c>
      <c r="C8489" t="s">
        <v>669</v>
      </c>
      <c r="D8489">
        <v>2020</v>
      </c>
      <c r="E8489" s="2">
        <v>775</v>
      </c>
      <c r="F8489" s="2">
        <v>41500</v>
      </c>
      <c r="G8489" s="2">
        <v>43575</v>
      </c>
    </row>
    <row r="8490" spans="1:7" x14ac:dyDescent="0.3">
      <c r="A8490" t="s">
        <v>2538</v>
      </c>
      <c r="B8490" t="s">
        <v>668</v>
      </c>
      <c r="C8490" t="s">
        <v>669</v>
      </c>
      <c r="D8490">
        <v>2021</v>
      </c>
      <c r="E8490" s="2">
        <v>50</v>
      </c>
      <c r="F8490" s="2">
        <v>3000</v>
      </c>
      <c r="G8490" s="2">
        <v>3150</v>
      </c>
    </row>
    <row r="8491" spans="1:7" x14ac:dyDescent="0.3">
      <c r="A8491" t="s">
        <v>2538</v>
      </c>
      <c r="B8491" t="s">
        <v>542</v>
      </c>
      <c r="C8491" t="s">
        <v>160</v>
      </c>
      <c r="D8491">
        <v>2020</v>
      </c>
      <c r="E8491" s="2">
        <v>50</v>
      </c>
      <c r="F8491" s="2">
        <v>4500</v>
      </c>
      <c r="G8491" s="2">
        <v>4725</v>
      </c>
    </row>
    <row r="8492" spans="1:7" x14ac:dyDescent="0.3">
      <c r="A8492" t="s">
        <v>2538</v>
      </c>
      <c r="B8492" t="s">
        <v>19</v>
      </c>
      <c r="C8492" t="s">
        <v>107</v>
      </c>
      <c r="D8492">
        <v>2020</v>
      </c>
      <c r="E8492" s="2">
        <v>50</v>
      </c>
      <c r="F8492" s="2">
        <v>3500</v>
      </c>
      <c r="G8492" s="2">
        <v>3675</v>
      </c>
    </row>
    <row r="8493" spans="1:7" x14ac:dyDescent="0.3">
      <c r="A8493" t="s">
        <v>2538</v>
      </c>
      <c r="B8493" t="s">
        <v>269</v>
      </c>
      <c r="C8493" t="s">
        <v>270</v>
      </c>
      <c r="D8493">
        <v>2019</v>
      </c>
      <c r="E8493" s="2">
        <v>50</v>
      </c>
      <c r="F8493" s="2">
        <v>3750</v>
      </c>
      <c r="G8493" s="2">
        <v>3937.5</v>
      </c>
    </row>
    <row r="8494" spans="1:7" x14ac:dyDescent="0.3">
      <c r="A8494" t="s">
        <v>2538</v>
      </c>
      <c r="B8494" t="s">
        <v>114</v>
      </c>
      <c r="C8494" t="s">
        <v>115</v>
      </c>
      <c r="D8494">
        <v>2017</v>
      </c>
      <c r="E8494" s="2">
        <v>25</v>
      </c>
      <c r="F8494" s="2">
        <v>2125</v>
      </c>
      <c r="G8494" s="2"/>
    </row>
    <row r="8495" spans="1:7" x14ac:dyDescent="0.3">
      <c r="A8495" t="s">
        <v>2538</v>
      </c>
      <c r="B8495" t="s">
        <v>651</v>
      </c>
      <c r="C8495" t="s">
        <v>652</v>
      </c>
      <c r="D8495">
        <v>2019</v>
      </c>
      <c r="E8495" s="2">
        <v>139</v>
      </c>
      <c r="F8495" s="2">
        <v>11425</v>
      </c>
      <c r="G8495" s="2">
        <v>11996.25</v>
      </c>
    </row>
    <row r="8496" spans="1:7" x14ac:dyDescent="0.3">
      <c r="A8496" t="s">
        <v>2538</v>
      </c>
      <c r="B8496" t="s">
        <v>651</v>
      </c>
      <c r="C8496" t="s">
        <v>652</v>
      </c>
      <c r="D8496">
        <v>2020</v>
      </c>
      <c r="E8496" s="2">
        <v>100</v>
      </c>
      <c r="F8496" s="2">
        <v>7500</v>
      </c>
      <c r="G8496" s="2">
        <v>7875</v>
      </c>
    </row>
    <row r="8497" spans="1:7" x14ac:dyDescent="0.3">
      <c r="A8497" t="s">
        <v>2538</v>
      </c>
      <c r="B8497" t="s">
        <v>2541</v>
      </c>
      <c r="D8497">
        <v>2021</v>
      </c>
      <c r="E8497" s="2">
        <v>75</v>
      </c>
      <c r="F8497" s="2">
        <v>2400</v>
      </c>
      <c r="G8497" s="2">
        <v>2520</v>
      </c>
    </row>
    <row r="8498" spans="1:7" x14ac:dyDescent="0.3">
      <c r="A8498" t="s">
        <v>2538</v>
      </c>
      <c r="B8498" t="s">
        <v>573</v>
      </c>
      <c r="C8498" t="s">
        <v>574</v>
      </c>
      <c r="D8498">
        <v>2019</v>
      </c>
      <c r="E8498" s="2">
        <v>25</v>
      </c>
      <c r="F8498" s="2">
        <v>2000</v>
      </c>
      <c r="G8498" s="2">
        <v>2100</v>
      </c>
    </row>
    <row r="8499" spans="1:7" x14ac:dyDescent="0.3">
      <c r="A8499" t="s">
        <v>2538</v>
      </c>
      <c r="B8499" t="s">
        <v>68</v>
      </c>
      <c r="C8499" t="s">
        <v>69</v>
      </c>
      <c r="D8499">
        <v>2019</v>
      </c>
      <c r="E8499" s="2">
        <v>100</v>
      </c>
      <c r="F8499" s="2">
        <v>7000</v>
      </c>
      <c r="G8499" s="2">
        <v>7350</v>
      </c>
    </row>
    <row r="8500" spans="1:7" x14ac:dyDescent="0.3">
      <c r="A8500" t="s">
        <v>2538</v>
      </c>
      <c r="B8500" t="s">
        <v>1349</v>
      </c>
      <c r="C8500" t="s">
        <v>1350</v>
      </c>
      <c r="D8500">
        <v>2020</v>
      </c>
      <c r="E8500" s="2">
        <v>350</v>
      </c>
      <c r="F8500" s="2">
        <v>17500</v>
      </c>
      <c r="G8500" s="2">
        <v>18375</v>
      </c>
    </row>
    <row r="8501" spans="1:7" x14ac:dyDescent="0.3">
      <c r="A8501" t="s">
        <v>2538</v>
      </c>
      <c r="B8501" t="s">
        <v>496</v>
      </c>
      <c r="C8501" t="s">
        <v>497</v>
      </c>
      <c r="D8501">
        <v>2020</v>
      </c>
      <c r="E8501" s="2">
        <v>75</v>
      </c>
      <c r="F8501" s="2">
        <v>4125</v>
      </c>
      <c r="G8501" s="2">
        <v>4331.25</v>
      </c>
    </row>
    <row r="8502" spans="1:7" x14ac:dyDescent="0.3">
      <c r="A8502" t="s">
        <v>2538</v>
      </c>
      <c r="B8502" t="s">
        <v>46</v>
      </c>
      <c r="C8502" t="s">
        <v>47</v>
      </c>
      <c r="D8502">
        <v>2018</v>
      </c>
      <c r="E8502" s="2">
        <v>25</v>
      </c>
      <c r="F8502" s="2">
        <v>1875</v>
      </c>
      <c r="G8502" s="2">
        <v>1968.75</v>
      </c>
    </row>
    <row r="8503" spans="1:7" x14ac:dyDescent="0.3">
      <c r="A8503" t="s">
        <v>2538</v>
      </c>
      <c r="B8503" t="s">
        <v>46</v>
      </c>
      <c r="C8503" t="s">
        <v>47</v>
      </c>
      <c r="D8503">
        <v>2019</v>
      </c>
      <c r="E8503" s="2">
        <v>175</v>
      </c>
      <c r="F8503" s="2">
        <v>14012.5</v>
      </c>
      <c r="G8503" s="2">
        <v>14713.125</v>
      </c>
    </row>
    <row r="8504" spans="1:7" x14ac:dyDescent="0.3">
      <c r="A8504" t="s">
        <v>2538</v>
      </c>
      <c r="B8504" t="s">
        <v>498</v>
      </c>
      <c r="C8504" t="s">
        <v>499</v>
      </c>
      <c r="D8504">
        <v>2017</v>
      </c>
      <c r="E8504" s="2">
        <v>50</v>
      </c>
      <c r="F8504" s="2">
        <v>4750</v>
      </c>
      <c r="G8504" s="2"/>
    </row>
    <row r="8505" spans="1:7" x14ac:dyDescent="0.3">
      <c r="A8505" t="s">
        <v>2542</v>
      </c>
      <c r="B8505" t="s">
        <v>16</v>
      </c>
      <c r="C8505" t="s">
        <v>17</v>
      </c>
      <c r="D8505">
        <v>2019</v>
      </c>
      <c r="E8505" s="2">
        <v>64</v>
      </c>
      <c r="F8505" s="2">
        <v>5760</v>
      </c>
      <c r="G8505" s="2">
        <v>6048</v>
      </c>
    </row>
    <row r="8506" spans="1:7" x14ac:dyDescent="0.3">
      <c r="A8506" t="s">
        <v>2542</v>
      </c>
      <c r="B8506" t="s">
        <v>16</v>
      </c>
      <c r="C8506" t="s">
        <v>17</v>
      </c>
      <c r="D8506">
        <v>2020</v>
      </c>
      <c r="E8506" s="2">
        <v>125</v>
      </c>
      <c r="F8506" s="2">
        <v>11250</v>
      </c>
      <c r="G8506" s="2">
        <v>11812.5</v>
      </c>
    </row>
    <row r="8507" spans="1:7" x14ac:dyDescent="0.3">
      <c r="A8507" t="s">
        <v>2542</v>
      </c>
      <c r="B8507" t="s">
        <v>16</v>
      </c>
      <c r="C8507" t="s">
        <v>17</v>
      </c>
      <c r="D8507">
        <v>2021</v>
      </c>
      <c r="E8507" s="2">
        <v>50</v>
      </c>
      <c r="F8507" s="2">
        <v>4500</v>
      </c>
      <c r="G8507" s="2">
        <v>4725</v>
      </c>
    </row>
    <row r="8508" spans="1:7" x14ac:dyDescent="0.3">
      <c r="A8508" t="s">
        <v>2542</v>
      </c>
      <c r="B8508" t="s">
        <v>35</v>
      </c>
      <c r="D8508">
        <v>2019</v>
      </c>
      <c r="E8508" s="2">
        <v>1</v>
      </c>
      <c r="F8508" s="2">
        <v>88</v>
      </c>
      <c r="G8508" s="2">
        <v>92.4</v>
      </c>
    </row>
    <row r="8509" spans="1:7" x14ac:dyDescent="0.3">
      <c r="A8509" t="s">
        <v>2542</v>
      </c>
      <c r="B8509" t="s">
        <v>642</v>
      </c>
      <c r="D8509">
        <v>2019</v>
      </c>
      <c r="E8509" s="2">
        <v>1</v>
      </c>
      <c r="F8509" s="2">
        <v>100</v>
      </c>
      <c r="G8509" s="2">
        <v>105</v>
      </c>
    </row>
    <row r="8510" spans="1:7" x14ac:dyDescent="0.3">
      <c r="A8510" t="s">
        <v>2542</v>
      </c>
      <c r="B8510" t="s">
        <v>1653</v>
      </c>
      <c r="C8510" t="s">
        <v>1654</v>
      </c>
      <c r="D8510">
        <v>2021</v>
      </c>
      <c r="E8510" s="2">
        <v>5</v>
      </c>
      <c r="F8510" s="2">
        <v>400</v>
      </c>
      <c r="G8510" s="2">
        <v>420</v>
      </c>
    </row>
    <row r="8511" spans="1:7" x14ac:dyDescent="0.3">
      <c r="A8511" t="s">
        <v>2542</v>
      </c>
      <c r="B8511" t="s">
        <v>19</v>
      </c>
      <c r="C8511" t="s">
        <v>20</v>
      </c>
      <c r="D8511">
        <v>2019</v>
      </c>
      <c r="E8511" s="2">
        <v>450</v>
      </c>
      <c r="F8511" s="2">
        <v>40075</v>
      </c>
      <c r="G8511" s="2">
        <v>42078.75</v>
      </c>
    </row>
    <row r="8512" spans="1:7" x14ac:dyDescent="0.3">
      <c r="A8512" t="s">
        <v>2542</v>
      </c>
      <c r="B8512" t="s">
        <v>19</v>
      </c>
      <c r="C8512" t="s">
        <v>20</v>
      </c>
      <c r="D8512">
        <v>2020</v>
      </c>
      <c r="E8512" s="2">
        <v>50</v>
      </c>
      <c r="F8512" s="2">
        <v>4400</v>
      </c>
      <c r="G8512" s="2">
        <v>4620</v>
      </c>
    </row>
    <row r="8513" spans="1:7" x14ac:dyDescent="0.3">
      <c r="A8513" t="s">
        <v>2542</v>
      </c>
      <c r="B8513" t="s">
        <v>2543</v>
      </c>
      <c r="C8513" t="s">
        <v>20</v>
      </c>
      <c r="D8513">
        <v>2020</v>
      </c>
      <c r="E8513" s="2">
        <v>25</v>
      </c>
      <c r="F8513" s="2">
        <v>2025</v>
      </c>
      <c r="G8513" s="2">
        <v>2126.25</v>
      </c>
    </row>
    <row r="8514" spans="1:7" x14ac:dyDescent="0.3">
      <c r="A8514" t="s">
        <v>2542</v>
      </c>
      <c r="B8514" t="s">
        <v>543</v>
      </c>
      <c r="C8514" t="s">
        <v>544</v>
      </c>
      <c r="D8514">
        <v>2019</v>
      </c>
      <c r="E8514" s="2">
        <v>50</v>
      </c>
      <c r="F8514" s="2">
        <v>3400</v>
      </c>
      <c r="G8514" s="2">
        <v>3570</v>
      </c>
    </row>
    <row r="8515" spans="1:7" x14ac:dyDescent="0.3">
      <c r="A8515" t="s">
        <v>2542</v>
      </c>
      <c r="B8515" t="s">
        <v>471</v>
      </c>
      <c r="C8515" t="s">
        <v>472</v>
      </c>
      <c r="D8515">
        <v>2019</v>
      </c>
      <c r="E8515" s="2">
        <v>250</v>
      </c>
      <c r="F8515" s="2">
        <v>18750</v>
      </c>
      <c r="G8515" s="2">
        <v>19687.5</v>
      </c>
    </row>
    <row r="8516" spans="1:7" x14ac:dyDescent="0.3">
      <c r="A8516" t="s">
        <v>2542</v>
      </c>
      <c r="B8516" t="s">
        <v>68</v>
      </c>
      <c r="C8516" t="s">
        <v>69</v>
      </c>
      <c r="D8516">
        <v>2019</v>
      </c>
      <c r="E8516" s="2">
        <v>5</v>
      </c>
      <c r="F8516" s="2">
        <v>500</v>
      </c>
      <c r="G8516" s="2">
        <v>525</v>
      </c>
    </row>
    <row r="8517" spans="1:7" x14ac:dyDescent="0.3">
      <c r="A8517" t="s">
        <v>2542</v>
      </c>
      <c r="B8517" t="s">
        <v>36</v>
      </c>
      <c r="D8517">
        <v>2019</v>
      </c>
      <c r="E8517" s="2">
        <v>15</v>
      </c>
      <c r="F8517" s="2">
        <v>1095</v>
      </c>
      <c r="G8517" s="2">
        <v>1149.75</v>
      </c>
    </row>
    <row r="8518" spans="1:7" x14ac:dyDescent="0.3">
      <c r="A8518" t="s">
        <v>2542</v>
      </c>
      <c r="B8518" t="s">
        <v>483</v>
      </c>
      <c r="C8518" t="s">
        <v>484</v>
      </c>
      <c r="D8518">
        <v>2019</v>
      </c>
      <c r="E8518" s="2">
        <v>25</v>
      </c>
      <c r="F8518" s="2">
        <v>1750</v>
      </c>
      <c r="G8518" s="2">
        <v>1837.5</v>
      </c>
    </row>
    <row r="8519" spans="1:7" x14ac:dyDescent="0.3">
      <c r="A8519" t="s">
        <v>2542</v>
      </c>
      <c r="B8519" t="s">
        <v>485</v>
      </c>
      <c r="C8519" t="s">
        <v>486</v>
      </c>
      <c r="D8519">
        <v>2019</v>
      </c>
      <c r="E8519" s="2">
        <v>75</v>
      </c>
      <c r="F8519" s="2">
        <v>5250</v>
      </c>
      <c r="G8519" s="2">
        <v>5512.5</v>
      </c>
    </row>
    <row r="8520" spans="1:7" x14ac:dyDescent="0.3">
      <c r="A8520" t="s">
        <v>2542</v>
      </c>
      <c r="B8520" t="s">
        <v>37</v>
      </c>
      <c r="D8520">
        <v>2019</v>
      </c>
      <c r="E8520" s="2">
        <v>15</v>
      </c>
      <c r="F8520" s="2">
        <v>975</v>
      </c>
      <c r="G8520" s="2">
        <v>1023.75</v>
      </c>
    </row>
    <row r="8521" spans="1:7" x14ac:dyDescent="0.3">
      <c r="A8521" t="s">
        <v>2542</v>
      </c>
      <c r="B8521" t="s">
        <v>12</v>
      </c>
      <c r="C8521" t="s">
        <v>13</v>
      </c>
      <c r="D8521">
        <v>2021</v>
      </c>
      <c r="E8521" s="2">
        <v>5</v>
      </c>
      <c r="F8521" s="2">
        <v>350</v>
      </c>
      <c r="G8521" s="2">
        <v>367.5</v>
      </c>
    </row>
    <row r="8522" spans="1:7" x14ac:dyDescent="0.3">
      <c r="A8522" t="s">
        <v>2544</v>
      </c>
      <c r="B8522" t="s">
        <v>721</v>
      </c>
      <c r="C8522" t="s">
        <v>722</v>
      </c>
      <c r="D8522">
        <v>2013</v>
      </c>
      <c r="E8522" s="2">
        <v>1</v>
      </c>
      <c r="F8522" s="2">
        <v>75</v>
      </c>
      <c r="G8522" s="2"/>
    </row>
    <row r="8523" spans="1:7" x14ac:dyDescent="0.3">
      <c r="A8523" t="s">
        <v>2544</v>
      </c>
      <c r="B8523" t="s">
        <v>2545</v>
      </c>
      <c r="C8523" t="s">
        <v>2546</v>
      </c>
      <c r="D8523">
        <v>2009</v>
      </c>
      <c r="E8523" s="2">
        <v>25</v>
      </c>
      <c r="F8523" s="2">
        <v>2125</v>
      </c>
      <c r="G8523" s="2"/>
    </row>
    <row r="8524" spans="1:7" x14ac:dyDescent="0.3">
      <c r="A8524" t="s">
        <v>2544</v>
      </c>
      <c r="B8524" t="s">
        <v>417</v>
      </c>
      <c r="C8524" t="s">
        <v>418</v>
      </c>
      <c r="D8524">
        <v>2013</v>
      </c>
      <c r="E8524" s="2">
        <v>1</v>
      </c>
      <c r="F8524" s="2">
        <v>75</v>
      </c>
      <c r="G8524" s="2"/>
    </row>
    <row r="8525" spans="1:7" x14ac:dyDescent="0.3">
      <c r="A8525" t="s">
        <v>2544</v>
      </c>
      <c r="B8525" t="s">
        <v>24</v>
      </c>
      <c r="C8525" t="s">
        <v>25</v>
      </c>
      <c r="D8525">
        <v>2013</v>
      </c>
      <c r="E8525" s="2">
        <v>1</v>
      </c>
      <c r="F8525" s="2">
        <v>95</v>
      </c>
      <c r="G8525" s="2"/>
    </row>
    <row r="8526" spans="1:7" x14ac:dyDescent="0.3">
      <c r="A8526" t="s">
        <v>2544</v>
      </c>
      <c r="B8526" t="s">
        <v>26</v>
      </c>
      <c r="C8526" t="s">
        <v>27</v>
      </c>
      <c r="D8526">
        <v>2013</v>
      </c>
      <c r="E8526" s="2">
        <v>1</v>
      </c>
      <c r="F8526" s="2">
        <v>75</v>
      </c>
      <c r="G8526" s="2"/>
    </row>
    <row r="8527" spans="1:7" x14ac:dyDescent="0.3">
      <c r="A8527" t="s">
        <v>2544</v>
      </c>
      <c r="B8527" t="s">
        <v>30</v>
      </c>
      <c r="C8527" t="s">
        <v>31</v>
      </c>
      <c r="D8527">
        <v>2013</v>
      </c>
      <c r="E8527" s="2">
        <v>1</v>
      </c>
      <c r="F8527" s="2">
        <v>85</v>
      </c>
      <c r="G8527" s="2"/>
    </row>
    <row r="8528" spans="1:7" x14ac:dyDescent="0.3">
      <c r="A8528" t="s">
        <v>2544</v>
      </c>
      <c r="B8528" t="s">
        <v>45</v>
      </c>
      <c r="D8528">
        <v>2013</v>
      </c>
      <c r="E8528" s="2">
        <v>1</v>
      </c>
      <c r="F8528" s="2">
        <v>90</v>
      </c>
      <c r="G8528" s="2"/>
    </row>
    <row r="8529" spans="1:7" x14ac:dyDescent="0.3">
      <c r="A8529" t="s">
        <v>2544</v>
      </c>
      <c r="B8529" t="s">
        <v>764</v>
      </c>
      <c r="D8529">
        <v>2013</v>
      </c>
      <c r="E8529" s="2">
        <v>1</v>
      </c>
      <c r="F8529" s="2">
        <v>90</v>
      </c>
      <c r="G8529" s="2"/>
    </row>
    <row r="8530" spans="1:7" x14ac:dyDescent="0.3">
      <c r="A8530" t="s">
        <v>2544</v>
      </c>
      <c r="B8530" t="s">
        <v>240</v>
      </c>
      <c r="D8530">
        <v>2013</v>
      </c>
      <c r="E8530" s="2">
        <v>1</v>
      </c>
      <c r="F8530" s="2">
        <v>90</v>
      </c>
      <c r="G8530" s="2"/>
    </row>
    <row r="8531" spans="1:7" x14ac:dyDescent="0.3">
      <c r="A8531" t="s">
        <v>2544</v>
      </c>
      <c r="B8531" t="s">
        <v>32</v>
      </c>
      <c r="D8531">
        <v>2013</v>
      </c>
      <c r="E8531" s="2">
        <v>1</v>
      </c>
      <c r="F8531" s="2">
        <v>90</v>
      </c>
      <c r="G8531" s="2"/>
    </row>
    <row r="8532" spans="1:7" x14ac:dyDescent="0.3">
      <c r="A8532" t="s">
        <v>2544</v>
      </c>
      <c r="B8532" t="s">
        <v>864</v>
      </c>
      <c r="D8532">
        <v>2013</v>
      </c>
      <c r="E8532" s="2">
        <v>1</v>
      </c>
      <c r="F8532" s="2">
        <v>90</v>
      </c>
      <c r="G8532" s="2"/>
    </row>
    <row r="8533" spans="1:7" x14ac:dyDescent="0.3">
      <c r="A8533" t="s">
        <v>2544</v>
      </c>
      <c r="B8533" t="s">
        <v>46</v>
      </c>
      <c r="C8533" t="s">
        <v>47</v>
      </c>
      <c r="D8533">
        <v>2013</v>
      </c>
      <c r="E8533" s="2">
        <v>25</v>
      </c>
      <c r="F8533" s="2">
        <v>1625</v>
      </c>
      <c r="G8533" s="2"/>
    </row>
    <row r="8534" spans="1:7" x14ac:dyDescent="0.3">
      <c r="A8534" t="s">
        <v>2547</v>
      </c>
      <c r="B8534" t="s">
        <v>269</v>
      </c>
      <c r="C8534" t="s">
        <v>270</v>
      </c>
      <c r="D8534">
        <v>2020</v>
      </c>
      <c r="E8534" s="2">
        <v>25</v>
      </c>
      <c r="F8534" s="2">
        <v>1500</v>
      </c>
      <c r="G8534" s="2">
        <v>1575</v>
      </c>
    </row>
    <row r="8535" spans="1:7" x14ac:dyDescent="0.3">
      <c r="A8535" t="s">
        <v>2547</v>
      </c>
      <c r="B8535" t="s">
        <v>21</v>
      </c>
      <c r="C8535" t="s">
        <v>22</v>
      </c>
      <c r="D8535">
        <v>2020</v>
      </c>
      <c r="E8535" s="2">
        <v>25</v>
      </c>
      <c r="F8535" s="2">
        <v>1500</v>
      </c>
      <c r="G8535" s="2">
        <v>1575</v>
      </c>
    </row>
    <row r="8536" spans="1:7" x14ac:dyDescent="0.3">
      <c r="A8536" t="s">
        <v>2547</v>
      </c>
      <c r="B8536" t="s">
        <v>438</v>
      </c>
      <c r="C8536" t="s">
        <v>439</v>
      </c>
      <c r="D8536">
        <v>2021</v>
      </c>
      <c r="E8536" s="2">
        <v>1</v>
      </c>
      <c r="F8536" s="2">
        <v>75</v>
      </c>
      <c r="G8536" s="2">
        <v>78.75</v>
      </c>
    </row>
    <row r="8537" spans="1:7" x14ac:dyDescent="0.3">
      <c r="A8537" t="s">
        <v>2547</v>
      </c>
      <c r="B8537" t="s">
        <v>476</v>
      </c>
      <c r="C8537" t="s">
        <v>478</v>
      </c>
      <c r="D8537">
        <v>2020</v>
      </c>
      <c r="E8537" s="2">
        <v>25</v>
      </c>
      <c r="F8537" s="2">
        <v>1500</v>
      </c>
      <c r="G8537" s="2">
        <v>1575</v>
      </c>
    </row>
    <row r="8538" spans="1:7" x14ac:dyDescent="0.3">
      <c r="A8538" t="s">
        <v>2548</v>
      </c>
      <c r="B8538" t="s">
        <v>16</v>
      </c>
      <c r="C8538" t="s">
        <v>17</v>
      </c>
      <c r="D8538">
        <v>2019</v>
      </c>
      <c r="E8538" s="2">
        <v>175</v>
      </c>
      <c r="F8538" s="2">
        <v>13125</v>
      </c>
      <c r="G8538" s="2">
        <v>13781.25</v>
      </c>
    </row>
    <row r="8539" spans="1:7" x14ac:dyDescent="0.3">
      <c r="A8539" t="s">
        <v>2548</v>
      </c>
      <c r="B8539" t="s">
        <v>16</v>
      </c>
      <c r="C8539" t="s">
        <v>17</v>
      </c>
      <c r="D8539">
        <v>2020</v>
      </c>
      <c r="E8539" s="2">
        <v>100</v>
      </c>
      <c r="F8539" s="2">
        <v>7500</v>
      </c>
      <c r="G8539" s="2">
        <v>7875</v>
      </c>
    </row>
    <row r="8540" spans="1:7" x14ac:dyDescent="0.3">
      <c r="A8540" t="s">
        <v>2548</v>
      </c>
      <c r="B8540" t="s">
        <v>662</v>
      </c>
      <c r="C8540" t="s">
        <v>525</v>
      </c>
      <c r="D8540">
        <v>2019</v>
      </c>
      <c r="E8540" s="2">
        <v>80</v>
      </c>
      <c r="F8540" s="2">
        <v>5600</v>
      </c>
      <c r="G8540" s="2">
        <v>5880</v>
      </c>
    </row>
    <row r="8541" spans="1:7" x14ac:dyDescent="0.3">
      <c r="A8541" t="s">
        <v>2548</v>
      </c>
      <c r="B8541" t="s">
        <v>642</v>
      </c>
      <c r="D8541">
        <v>2019</v>
      </c>
      <c r="E8541" s="2">
        <v>1</v>
      </c>
      <c r="F8541" s="2">
        <v>100</v>
      </c>
      <c r="G8541" s="2">
        <v>105</v>
      </c>
    </row>
    <row r="8542" spans="1:7" x14ac:dyDescent="0.3">
      <c r="A8542" t="s">
        <v>2548</v>
      </c>
      <c r="B8542" t="s">
        <v>471</v>
      </c>
      <c r="C8542" t="s">
        <v>472</v>
      </c>
      <c r="D8542">
        <v>2019</v>
      </c>
      <c r="E8542" s="2">
        <v>150</v>
      </c>
      <c r="F8542" s="2">
        <v>9900</v>
      </c>
      <c r="G8542" s="2">
        <v>10395</v>
      </c>
    </row>
    <row r="8543" spans="1:7" x14ac:dyDescent="0.3">
      <c r="A8543" t="s">
        <v>2548</v>
      </c>
      <c r="B8543" t="s">
        <v>471</v>
      </c>
      <c r="C8543" t="s">
        <v>472</v>
      </c>
      <c r="D8543">
        <v>2020</v>
      </c>
      <c r="E8543" s="2">
        <v>100</v>
      </c>
      <c r="F8543" s="2">
        <v>6600</v>
      </c>
      <c r="G8543" s="2">
        <v>6930</v>
      </c>
    </row>
    <row r="8544" spans="1:7" x14ac:dyDescent="0.3">
      <c r="A8544" t="s">
        <v>2548</v>
      </c>
      <c r="B8544" t="s">
        <v>404</v>
      </c>
      <c r="C8544" t="s">
        <v>405</v>
      </c>
      <c r="D8544">
        <v>2019</v>
      </c>
      <c r="E8544" s="2">
        <v>10</v>
      </c>
      <c r="F8544" s="2">
        <v>680</v>
      </c>
      <c r="G8544" s="2">
        <v>714</v>
      </c>
    </row>
    <row r="8545" spans="1:7" x14ac:dyDescent="0.3">
      <c r="A8545" t="s">
        <v>2548</v>
      </c>
      <c r="B8545" t="s">
        <v>36</v>
      </c>
      <c r="D8545">
        <v>2019</v>
      </c>
      <c r="E8545" s="2">
        <v>1</v>
      </c>
      <c r="F8545" s="2">
        <v>90</v>
      </c>
      <c r="G8545" s="2">
        <v>94.5</v>
      </c>
    </row>
    <row r="8546" spans="1:7" x14ac:dyDescent="0.3">
      <c r="A8546" t="s">
        <v>2548</v>
      </c>
      <c r="B8546" t="s">
        <v>656</v>
      </c>
      <c r="C8546" t="s">
        <v>71</v>
      </c>
      <c r="D8546">
        <v>2019</v>
      </c>
      <c r="E8546" s="2">
        <v>20</v>
      </c>
      <c r="F8546" s="2">
        <v>1300</v>
      </c>
      <c r="G8546" s="2">
        <v>1365</v>
      </c>
    </row>
    <row r="8547" spans="1:7" x14ac:dyDescent="0.3">
      <c r="A8547" t="s">
        <v>2548</v>
      </c>
      <c r="B8547" t="s">
        <v>656</v>
      </c>
      <c r="C8547" t="s">
        <v>71</v>
      </c>
      <c r="D8547">
        <v>2020</v>
      </c>
      <c r="E8547" s="2">
        <v>10</v>
      </c>
      <c r="F8547" s="2">
        <v>650</v>
      </c>
      <c r="G8547" s="2">
        <v>682.5</v>
      </c>
    </row>
    <row r="8548" spans="1:7" x14ac:dyDescent="0.3">
      <c r="A8548" t="s">
        <v>2548</v>
      </c>
      <c r="B8548" t="s">
        <v>883</v>
      </c>
      <c r="C8548" t="s">
        <v>780</v>
      </c>
      <c r="D8548">
        <v>2019</v>
      </c>
      <c r="E8548" s="2">
        <v>50</v>
      </c>
      <c r="F8548" s="2">
        <v>3300</v>
      </c>
      <c r="G8548" s="2">
        <v>3465</v>
      </c>
    </row>
    <row r="8549" spans="1:7" x14ac:dyDescent="0.3">
      <c r="A8549" t="s">
        <v>2548</v>
      </c>
      <c r="B8549" t="s">
        <v>12</v>
      </c>
      <c r="C8549" t="s">
        <v>13</v>
      </c>
      <c r="D8549">
        <v>2019</v>
      </c>
      <c r="E8549" s="2">
        <v>75</v>
      </c>
      <c r="F8549" s="2">
        <v>4950</v>
      </c>
      <c r="G8549" s="2">
        <v>5197.5</v>
      </c>
    </row>
    <row r="8550" spans="1:7" x14ac:dyDescent="0.3">
      <c r="A8550" t="s">
        <v>2548</v>
      </c>
      <c r="B8550" t="s">
        <v>12</v>
      </c>
      <c r="C8550" t="s">
        <v>13</v>
      </c>
      <c r="D8550">
        <v>2020</v>
      </c>
      <c r="E8550" s="2">
        <v>25</v>
      </c>
      <c r="F8550" s="2">
        <v>1650</v>
      </c>
      <c r="G8550" s="2">
        <v>1732.5</v>
      </c>
    </row>
    <row r="8551" spans="1:7" x14ac:dyDescent="0.3">
      <c r="A8551" t="s">
        <v>2549</v>
      </c>
      <c r="B8551" t="s">
        <v>39</v>
      </c>
      <c r="D8551">
        <v>2018</v>
      </c>
      <c r="E8551" s="2">
        <v>25</v>
      </c>
      <c r="F8551" s="2">
        <v>7750</v>
      </c>
      <c r="G8551" s="2">
        <v>8137.5</v>
      </c>
    </row>
    <row r="8552" spans="1:7" x14ac:dyDescent="0.3">
      <c r="A8552" t="s">
        <v>2549</v>
      </c>
      <c r="B8552" t="s">
        <v>242</v>
      </c>
      <c r="D8552">
        <v>2021</v>
      </c>
      <c r="E8552" s="2">
        <v>25</v>
      </c>
      <c r="F8552" s="2">
        <v>7000</v>
      </c>
      <c r="G8552" s="2">
        <v>7350</v>
      </c>
    </row>
    <row r="8553" spans="1:7" x14ac:dyDescent="0.3">
      <c r="A8553" t="s">
        <v>2549</v>
      </c>
      <c r="B8553" t="s">
        <v>32</v>
      </c>
      <c r="D8553">
        <v>2020</v>
      </c>
      <c r="E8553" s="2">
        <v>100</v>
      </c>
      <c r="F8553" s="2">
        <v>5100</v>
      </c>
      <c r="G8553" s="2">
        <v>5355</v>
      </c>
    </row>
    <row r="8554" spans="1:7" x14ac:dyDescent="0.3">
      <c r="A8554" t="s">
        <v>2549</v>
      </c>
      <c r="B8554" t="s">
        <v>46</v>
      </c>
      <c r="C8554" t="s">
        <v>47</v>
      </c>
      <c r="D8554">
        <v>2018</v>
      </c>
      <c r="E8554" s="2">
        <v>50</v>
      </c>
      <c r="F8554" s="2">
        <v>2500</v>
      </c>
      <c r="G8554" s="2">
        <v>2625</v>
      </c>
    </row>
    <row r="8555" spans="1:7" x14ac:dyDescent="0.3">
      <c r="A8555" t="s">
        <v>2549</v>
      </c>
      <c r="B8555" t="s">
        <v>46</v>
      </c>
      <c r="C8555" t="s">
        <v>47</v>
      </c>
      <c r="D8555">
        <v>2019</v>
      </c>
      <c r="E8555" s="2">
        <v>50</v>
      </c>
      <c r="F8555" s="2">
        <v>2500</v>
      </c>
      <c r="G8555" s="2">
        <v>2625</v>
      </c>
    </row>
    <row r="8556" spans="1:7" x14ac:dyDescent="0.3">
      <c r="A8556" t="s">
        <v>2550</v>
      </c>
      <c r="B8556" t="s">
        <v>30</v>
      </c>
      <c r="C8556" t="s">
        <v>2551</v>
      </c>
      <c r="D8556">
        <v>2010</v>
      </c>
      <c r="E8556" s="2">
        <v>25</v>
      </c>
      <c r="F8556" s="2">
        <v>1700</v>
      </c>
      <c r="G8556" s="2"/>
    </row>
    <row r="8557" spans="1:7" x14ac:dyDescent="0.3">
      <c r="A8557" t="s">
        <v>2550</v>
      </c>
      <c r="B8557" t="s">
        <v>30</v>
      </c>
      <c r="C8557" t="s">
        <v>2551</v>
      </c>
      <c r="D8557">
        <v>2011</v>
      </c>
      <c r="E8557" s="2">
        <v>100</v>
      </c>
      <c r="F8557" s="2">
        <v>6800</v>
      </c>
      <c r="G8557" s="2"/>
    </row>
    <row r="8558" spans="1:7" x14ac:dyDescent="0.3">
      <c r="A8558" t="s">
        <v>2550</v>
      </c>
      <c r="B8558" t="s">
        <v>46</v>
      </c>
      <c r="C8558" t="s">
        <v>47</v>
      </c>
      <c r="D8558">
        <v>2009</v>
      </c>
      <c r="E8558" s="2">
        <v>40</v>
      </c>
      <c r="F8558" s="2">
        <v>2400</v>
      </c>
      <c r="G8558" s="2"/>
    </row>
    <row r="8559" spans="1:7" x14ac:dyDescent="0.3">
      <c r="A8559" t="s">
        <v>2550</v>
      </c>
      <c r="B8559" t="s">
        <v>336</v>
      </c>
      <c r="C8559" t="s">
        <v>2552</v>
      </c>
      <c r="D8559">
        <v>2011</v>
      </c>
      <c r="E8559" s="2">
        <v>100</v>
      </c>
      <c r="F8559" s="2">
        <v>4700</v>
      </c>
      <c r="G8559" s="2"/>
    </row>
    <row r="8560" spans="1:7" x14ac:dyDescent="0.3">
      <c r="A8560" t="s">
        <v>2553</v>
      </c>
      <c r="B8560" t="s">
        <v>26</v>
      </c>
      <c r="C8560" t="s">
        <v>27</v>
      </c>
      <c r="D8560">
        <v>2015</v>
      </c>
      <c r="E8560" s="2">
        <v>10</v>
      </c>
      <c r="F8560" s="2">
        <v>320</v>
      </c>
      <c r="G8560" s="2"/>
    </row>
    <row r="8561" spans="1:7" x14ac:dyDescent="0.3">
      <c r="A8561" t="s">
        <v>2554</v>
      </c>
      <c r="B8561" t="s">
        <v>719</v>
      </c>
      <c r="C8561" t="s">
        <v>925</v>
      </c>
      <c r="D8561">
        <v>2018</v>
      </c>
      <c r="E8561" s="2">
        <v>10</v>
      </c>
      <c r="F8561" s="2">
        <v>800</v>
      </c>
      <c r="G8561" s="2">
        <v>800</v>
      </c>
    </row>
    <row r="8562" spans="1:7" x14ac:dyDescent="0.3">
      <c r="A8562" t="s">
        <v>2554</v>
      </c>
      <c r="B8562" t="s">
        <v>46</v>
      </c>
      <c r="C8562" t="s">
        <v>47</v>
      </c>
      <c r="D8562">
        <v>2019</v>
      </c>
      <c r="E8562" s="2">
        <v>10</v>
      </c>
      <c r="F8562" s="2">
        <v>600</v>
      </c>
      <c r="G8562" s="2">
        <v>630</v>
      </c>
    </row>
    <row r="8563" spans="1:7" x14ac:dyDescent="0.3">
      <c r="A8563" t="s">
        <v>2555</v>
      </c>
      <c r="B8563" t="s">
        <v>467</v>
      </c>
      <c r="C8563" t="s">
        <v>468</v>
      </c>
      <c r="D8563">
        <v>2019</v>
      </c>
      <c r="E8563" s="2">
        <v>50</v>
      </c>
      <c r="F8563" s="2">
        <v>3500</v>
      </c>
      <c r="G8563" s="2">
        <v>3500</v>
      </c>
    </row>
    <row r="8564" spans="1:7" x14ac:dyDescent="0.3">
      <c r="A8564" t="s">
        <v>2556</v>
      </c>
      <c r="B8564" t="s">
        <v>1687</v>
      </c>
      <c r="C8564" t="s">
        <v>1688</v>
      </c>
      <c r="D8564">
        <v>2020</v>
      </c>
      <c r="E8564" s="2">
        <v>1</v>
      </c>
      <c r="F8564" s="2">
        <v>105</v>
      </c>
      <c r="G8564" s="2">
        <v>105</v>
      </c>
    </row>
    <row r="8565" spans="1:7" x14ac:dyDescent="0.3">
      <c r="A8565" t="s">
        <v>2556</v>
      </c>
      <c r="B8565" t="s">
        <v>686</v>
      </c>
      <c r="C8565" t="s">
        <v>687</v>
      </c>
      <c r="D8565">
        <v>2020</v>
      </c>
      <c r="E8565" s="2">
        <v>5</v>
      </c>
      <c r="F8565" s="2">
        <v>250</v>
      </c>
      <c r="G8565" s="2">
        <v>250</v>
      </c>
    </row>
    <row r="8566" spans="1:7" x14ac:dyDescent="0.3">
      <c r="A8566" t="s">
        <v>2556</v>
      </c>
      <c r="B8566" t="s">
        <v>110</v>
      </c>
      <c r="C8566" t="s">
        <v>111</v>
      </c>
      <c r="D8566">
        <v>2020</v>
      </c>
      <c r="E8566" s="2">
        <v>15</v>
      </c>
      <c r="F8566" s="2">
        <v>750</v>
      </c>
      <c r="G8566" s="2">
        <v>750</v>
      </c>
    </row>
    <row r="8567" spans="1:7" x14ac:dyDescent="0.3">
      <c r="A8567" t="s">
        <v>2557</v>
      </c>
      <c r="B8567" t="s">
        <v>2558</v>
      </c>
      <c r="D8567">
        <v>2020</v>
      </c>
      <c r="E8567" s="2">
        <v>16</v>
      </c>
      <c r="F8567" s="2">
        <v>1040</v>
      </c>
      <c r="G8567" s="2">
        <v>1092</v>
      </c>
    </row>
    <row r="8568" spans="1:7" x14ac:dyDescent="0.3">
      <c r="A8568" t="s">
        <v>2557</v>
      </c>
      <c r="B8568" t="s">
        <v>649</v>
      </c>
      <c r="C8568" t="s">
        <v>650</v>
      </c>
      <c r="D8568">
        <v>2020</v>
      </c>
      <c r="E8568" s="2">
        <v>5</v>
      </c>
      <c r="F8568" s="2">
        <v>400</v>
      </c>
      <c r="G8568" s="2">
        <v>420</v>
      </c>
    </row>
    <row r="8569" spans="1:7" x14ac:dyDescent="0.3">
      <c r="A8569" t="s">
        <v>2557</v>
      </c>
      <c r="B8569" t="s">
        <v>668</v>
      </c>
      <c r="C8569" t="s">
        <v>669</v>
      </c>
      <c r="D8569">
        <v>2020</v>
      </c>
      <c r="E8569" s="2">
        <v>10</v>
      </c>
      <c r="F8569" s="2">
        <v>700</v>
      </c>
      <c r="G8569" s="2">
        <v>735</v>
      </c>
    </row>
    <row r="8570" spans="1:7" x14ac:dyDescent="0.3">
      <c r="A8570" t="s">
        <v>2557</v>
      </c>
      <c r="B8570" t="s">
        <v>334</v>
      </c>
      <c r="C8570" t="s">
        <v>335</v>
      </c>
      <c r="D8570">
        <v>2020</v>
      </c>
      <c r="E8570" s="2">
        <v>10</v>
      </c>
      <c r="F8570" s="2">
        <v>750</v>
      </c>
      <c r="G8570" s="2">
        <v>787.5</v>
      </c>
    </row>
    <row r="8571" spans="1:7" x14ac:dyDescent="0.3">
      <c r="A8571" t="s">
        <v>2557</v>
      </c>
      <c r="B8571" t="s">
        <v>674</v>
      </c>
      <c r="C8571" t="s">
        <v>675</v>
      </c>
      <c r="D8571">
        <v>2020</v>
      </c>
      <c r="E8571" s="2">
        <v>10</v>
      </c>
      <c r="F8571" s="2">
        <v>750</v>
      </c>
      <c r="G8571" s="2">
        <v>787.5</v>
      </c>
    </row>
    <row r="8572" spans="1:7" x14ac:dyDescent="0.3">
      <c r="A8572" t="s">
        <v>2559</v>
      </c>
      <c r="B8572" t="s">
        <v>32</v>
      </c>
      <c r="D8572">
        <v>2013</v>
      </c>
      <c r="E8572" s="2">
        <v>40</v>
      </c>
      <c r="F8572" s="2">
        <v>4400</v>
      </c>
      <c r="G8572" s="2"/>
    </row>
    <row r="8573" spans="1:7" x14ac:dyDescent="0.3">
      <c r="A8573" t="s">
        <v>2559</v>
      </c>
      <c r="B8573" t="s">
        <v>32</v>
      </c>
      <c r="D8573">
        <v>2014</v>
      </c>
      <c r="E8573" s="2">
        <v>40</v>
      </c>
      <c r="F8573" s="2">
        <v>4400</v>
      </c>
      <c r="G8573" s="2"/>
    </row>
    <row r="8574" spans="1:7" x14ac:dyDescent="0.3">
      <c r="A8574" t="s">
        <v>2560</v>
      </c>
      <c r="B8574" t="s">
        <v>763</v>
      </c>
      <c r="D8574">
        <v>2015</v>
      </c>
      <c r="E8574" s="2">
        <v>1</v>
      </c>
      <c r="F8574" s="2">
        <v>100</v>
      </c>
      <c r="G8574" s="2"/>
    </row>
    <row r="8575" spans="1:7" x14ac:dyDescent="0.3">
      <c r="A8575" t="s">
        <v>2560</v>
      </c>
      <c r="B8575" t="s">
        <v>240</v>
      </c>
      <c r="D8575">
        <v>2015</v>
      </c>
      <c r="E8575" s="2">
        <v>1</v>
      </c>
      <c r="F8575" s="2">
        <v>120</v>
      </c>
      <c r="G8575" s="2"/>
    </row>
    <row r="8576" spans="1:7" x14ac:dyDescent="0.3">
      <c r="A8576" t="s">
        <v>2561</v>
      </c>
      <c r="B8576" t="s">
        <v>1461</v>
      </c>
      <c r="D8576">
        <v>2018</v>
      </c>
      <c r="E8576" s="2">
        <v>2</v>
      </c>
      <c r="F8576" s="2">
        <v>2400</v>
      </c>
      <c r="G8576" s="2">
        <v>2520</v>
      </c>
    </row>
    <row r="8577" spans="1:7" x14ac:dyDescent="0.3">
      <c r="A8577" t="s">
        <v>2561</v>
      </c>
      <c r="B8577" t="s">
        <v>46</v>
      </c>
      <c r="C8577" t="s">
        <v>47</v>
      </c>
      <c r="D8577">
        <v>2018</v>
      </c>
      <c r="E8577" s="2">
        <v>50</v>
      </c>
      <c r="F8577" s="2">
        <v>3250</v>
      </c>
      <c r="G8577" s="2">
        <v>3412.5</v>
      </c>
    </row>
    <row r="8578" spans="1:7" x14ac:dyDescent="0.3">
      <c r="A8578" t="s">
        <v>2562</v>
      </c>
      <c r="B8578" t="s">
        <v>1347</v>
      </c>
      <c r="C8578" t="s">
        <v>737</v>
      </c>
      <c r="D8578">
        <v>2021</v>
      </c>
      <c r="E8578" s="2">
        <v>50</v>
      </c>
      <c r="F8578" s="2">
        <v>2000</v>
      </c>
      <c r="G8578" s="2">
        <v>2100</v>
      </c>
    </row>
    <row r="8579" spans="1:7" x14ac:dyDescent="0.3">
      <c r="A8579" t="s">
        <v>2562</v>
      </c>
      <c r="B8579" t="s">
        <v>26</v>
      </c>
      <c r="C8579" t="s">
        <v>27</v>
      </c>
      <c r="D8579">
        <v>2020</v>
      </c>
      <c r="E8579" s="2">
        <v>100</v>
      </c>
      <c r="F8579" s="2">
        <v>4000</v>
      </c>
      <c r="G8579" s="2">
        <v>4200</v>
      </c>
    </row>
    <row r="8580" spans="1:7" x14ac:dyDescent="0.3">
      <c r="A8580" t="s">
        <v>2562</v>
      </c>
      <c r="B8580" t="s">
        <v>39</v>
      </c>
      <c r="D8580">
        <v>2020</v>
      </c>
      <c r="E8580" s="2">
        <v>6</v>
      </c>
      <c r="F8580" s="2">
        <v>1420</v>
      </c>
      <c r="G8580" s="2">
        <v>1491</v>
      </c>
    </row>
    <row r="8581" spans="1:7" x14ac:dyDescent="0.3">
      <c r="A8581" t="s">
        <v>2562</v>
      </c>
      <c r="B8581" t="s">
        <v>242</v>
      </c>
      <c r="D8581">
        <v>2021</v>
      </c>
      <c r="E8581" s="2">
        <v>1</v>
      </c>
      <c r="F8581" s="2">
        <v>370</v>
      </c>
      <c r="G8581" s="2">
        <v>388.5</v>
      </c>
    </row>
    <row r="8582" spans="1:7" x14ac:dyDescent="0.3">
      <c r="A8582" t="s">
        <v>2562</v>
      </c>
      <c r="B8582" t="s">
        <v>438</v>
      </c>
      <c r="C8582" t="s">
        <v>439</v>
      </c>
      <c r="D8582">
        <v>2020</v>
      </c>
      <c r="E8582" s="2">
        <v>5</v>
      </c>
      <c r="F8582" s="2">
        <v>335</v>
      </c>
      <c r="G8582" s="2">
        <v>351.75</v>
      </c>
    </row>
    <row r="8583" spans="1:7" x14ac:dyDescent="0.3">
      <c r="A8583" t="s">
        <v>2562</v>
      </c>
      <c r="B8583" t="s">
        <v>438</v>
      </c>
      <c r="C8583" t="s">
        <v>439</v>
      </c>
      <c r="D8583">
        <v>2021</v>
      </c>
      <c r="E8583" s="2">
        <v>25</v>
      </c>
      <c r="F8583" s="2">
        <v>1625</v>
      </c>
      <c r="G8583" s="2">
        <v>1706.25</v>
      </c>
    </row>
    <row r="8584" spans="1:7" x14ac:dyDescent="0.3">
      <c r="A8584" t="s">
        <v>2562</v>
      </c>
      <c r="B8584" t="s">
        <v>863</v>
      </c>
      <c r="D8584">
        <v>2020</v>
      </c>
      <c r="E8584" s="2">
        <v>2</v>
      </c>
      <c r="F8584" s="2">
        <v>160</v>
      </c>
      <c r="G8584" s="2">
        <v>168</v>
      </c>
    </row>
    <row r="8585" spans="1:7" x14ac:dyDescent="0.3">
      <c r="A8585" t="s">
        <v>2562</v>
      </c>
      <c r="B8585" t="s">
        <v>32</v>
      </c>
      <c r="D8585">
        <v>2020</v>
      </c>
      <c r="E8585" s="2">
        <v>40</v>
      </c>
      <c r="F8585" s="2">
        <v>2660</v>
      </c>
      <c r="G8585" s="2">
        <v>2793</v>
      </c>
    </row>
    <row r="8586" spans="1:7" x14ac:dyDescent="0.3">
      <c r="A8586" t="s">
        <v>2562</v>
      </c>
      <c r="B8586" t="s">
        <v>32</v>
      </c>
      <c r="D8586">
        <v>2021</v>
      </c>
      <c r="E8586" s="2">
        <v>20</v>
      </c>
      <c r="F8586" s="2">
        <v>1240</v>
      </c>
      <c r="G8586" s="2">
        <v>1302</v>
      </c>
    </row>
    <row r="8587" spans="1:7" x14ac:dyDescent="0.3">
      <c r="A8587" t="s">
        <v>2563</v>
      </c>
      <c r="B8587" t="s">
        <v>24</v>
      </c>
      <c r="C8587" t="s">
        <v>25</v>
      </c>
      <c r="D8587">
        <v>2012</v>
      </c>
      <c r="E8587" s="2">
        <v>101</v>
      </c>
      <c r="F8587" s="2">
        <v>10100</v>
      </c>
      <c r="G8587" s="2"/>
    </row>
    <row r="8588" spans="1:7" x14ac:dyDescent="0.3">
      <c r="A8588" t="s">
        <v>2563</v>
      </c>
      <c r="B8588" t="s">
        <v>24</v>
      </c>
      <c r="C8588" t="s">
        <v>25</v>
      </c>
      <c r="D8588">
        <v>2013</v>
      </c>
      <c r="E8588" s="2">
        <v>25</v>
      </c>
      <c r="F8588" s="2">
        <v>2500</v>
      </c>
      <c r="G8588" s="2"/>
    </row>
    <row r="8589" spans="1:7" x14ac:dyDescent="0.3">
      <c r="A8589" t="s">
        <v>2563</v>
      </c>
      <c r="B8589" t="s">
        <v>24</v>
      </c>
      <c r="C8589" t="s">
        <v>25</v>
      </c>
      <c r="D8589">
        <v>2015</v>
      </c>
      <c r="E8589" s="2">
        <v>75</v>
      </c>
      <c r="F8589" s="2">
        <v>7250</v>
      </c>
      <c r="G8589" s="2"/>
    </row>
    <row r="8590" spans="1:7" x14ac:dyDescent="0.3">
      <c r="A8590" t="s">
        <v>2563</v>
      </c>
      <c r="B8590" t="s">
        <v>907</v>
      </c>
      <c r="D8590">
        <v>2014</v>
      </c>
      <c r="E8590" s="2">
        <v>25</v>
      </c>
      <c r="F8590" s="2">
        <v>2000</v>
      </c>
      <c r="G8590" s="2"/>
    </row>
    <row r="8591" spans="1:7" x14ac:dyDescent="0.3">
      <c r="A8591" t="s">
        <v>2563</v>
      </c>
      <c r="B8591" t="s">
        <v>26</v>
      </c>
      <c r="C8591" t="s">
        <v>27</v>
      </c>
      <c r="D8591">
        <v>2012</v>
      </c>
      <c r="E8591" s="2">
        <v>50</v>
      </c>
      <c r="F8591" s="2">
        <v>3750</v>
      </c>
      <c r="G8591" s="2"/>
    </row>
    <row r="8592" spans="1:7" x14ac:dyDescent="0.3">
      <c r="A8592" t="s">
        <v>2563</v>
      </c>
      <c r="B8592" t="s">
        <v>28</v>
      </c>
      <c r="D8592">
        <v>2016</v>
      </c>
      <c r="E8592" s="2">
        <v>9</v>
      </c>
      <c r="F8592" s="2">
        <v>4410</v>
      </c>
      <c r="G8592" s="2"/>
    </row>
    <row r="8593" spans="1:7" x14ac:dyDescent="0.3">
      <c r="A8593" t="s">
        <v>2563</v>
      </c>
      <c r="B8593" t="s">
        <v>29</v>
      </c>
      <c r="D8593">
        <v>2016</v>
      </c>
      <c r="E8593" s="2">
        <v>16</v>
      </c>
      <c r="F8593" s="2">
        <v>7840</v>
      </c>
      <c r="G8593" s="2"/>
    </row>
    <row r="8594" spans="1:7" x14ac:dyDescent="0.3">
      <c r="A8594" t="s">
        <v>2563</v>
      </c>
      <c r="B8594" t="s">
        <v>862</v>
      </c>
      <c r="D8594">
        <v>2013</v>
      </c>
      <c r="E8594" s="2">
        <v>2</v>
      </c>
      <c r="F8594" s="2">
        <v>660</v>
      </c>
      <c r="G8594" s="2"/>
    </row>
    <row r="8595" spans="1:7" x14ac:dyDescent="0.3">
      <c r="A8595" t="s">
        <v>2563</v>
      </c>
      <c r="B8595" t="s">
        <v>862</v>
      </c>
      <c r="D8595">
        <v>2014</v>
      </c>
      <c r="E8595" s="2">
        <v>17.399999999999999</v>
      </c>
      <c r="F8595" s="2">
        <v>5742</v>
      </c>
      <c r="G8595" s="2"/>
    </row>
    <row r="8596" spans="1:7" x14ac:dyDescent="0.3">
      <c r="A8596" t="s">
        <v>2563</v>
      </c>
      <c r="B8596" t="s">
        <v>862</v>
      </c>
      <c r="D8596">
        <v>2015</v>
      </c>
      <c r="E8596" s="2">
        <v>20</v>
      </c>
      <c r="F8596" s="2">
        <v>6500</v>
      </c>
      <c r="G8596" s="2"/>
    </row>
    <row r="8597" spans="1:7" x14ac:dyDescent="0.3">
      <c r="A8597" t="s">
        <v>2563</v>
      </c>
      <c r="B8597" t="s">
        <v>19</v>
      </c>
      <c r="C8597" t="s">
        <v>20</v>
      </c>
      <c r="D8597">
        <v>2014</v>
      </c>
      <c r="E8597" s="2">
        <v>50</v>
      </c>
      <c r="F8597" s="2">
        <v>4750</v>
      </c>
      <c r="G8597" s="2"/>
    </row>
    <row r="8598" spans="1:7" x14ac:dyDescent="0.3">
      <c r="A8598" t="s">
        <v>2563</v>
      </c>
      <c r="B8598" t="s">
        <v>41</v>
      </c>
      <c r="C8598" t="s">
        <v>42</v>
      </c>
      <c r="D8598">
        <v>2010</v>
      </c>
      <c r="E8598" s="2">
        <v>125</v>
      </c>
      <c r="F8598" s="2">
        <v>7300</v>
      </c>
      <c r="G8598" s="2"/>
    </row>
    <row r="8599" spans="1:7" x14ac:dyDescent="0.3">
      <c r="A8599" t="s">
        <v>2563</v>
      </c>
      <c r="B8599" t="s">
        <v>41</v>
      </c>
      <c r="C8599" t="s">
        <v>908</v>
      </c>
      <c r="D8599">
        <v>2010</v>
      </c>
      <c r="E8599" s="2">
        <v>50</v>
      </c>
      <c r="F8599" s="2">
        <v>3000</v>
      </c>
      <c r="G8599" s="2"/>
    </row>
    <row r="8600" spans="1:7" x14ac:dyDescent="0.3">
      <c r="A8600" t="s">
        <v>2563</v>
      </c>
      <c r="B8600" t="s">
        <v>41</v>
      </c>
      <c r="C8600" t="s">
        <v>42</v>
      </c>
      <c r="D8600">
        <v>2011</v>
      </c>
      <c r="E8600" s="2">
        <v>175</v>
      </c>
      <c r="F8600" s="2">
        <v>12250</v>
      </c>
      <c r="G8600" s="2"/>
    </row>
    <row r="8601" spans="1:7" x14ac:dyDescent="0.3">
      <c r="A8601" t="s">
        <v>2563</v>
      </c>
      <c r="B8601" t="s">
        <v>41</v>
      </c>
      <c r="C8601" t="s">
        <v>908</v>
      </c>
      <c r="D8601">
        <v>2011</v>
      </c>
      <c r="E8601" s="2">
        <v>250</v>
      </c>
      <c r="F8601" s="2">
        <v>18625</v>
      </c>
      <c r="G8601" s="2"/>
    </row>
    <row r="8602" spans="1:7" x14ac:dyDescent="0.3">
      <c r="A8602" t="s">
        <v>2563</v>
      </c>
      <c r="B8602" t="s">
        <v>41</v>
      </c>
      <c r="C8602" t="s">
        <v>42</v>
      </c>
      <c r="D8602">
        <v>2012</v>
      </c>
      <c r="E8602" s="2">
        <v>125</v>
      </c>
      <c r="F8602" s="2">
        <v>8750</v>
      </c>
      <c r="G8602" s="2"/>
    </row>
    <row r="8603" spans="1:7" x14ac:dyDescent="0.3">
      <c r="A8603" t="s">
        <v>2563</v>
      </c>
      <c r="B8603" t="s">
        <v>41</v>
      </c>
      <c r="C8603" t="s">
        <v>42</v>
      </c>
      <c r="D8603">
        <v>2013</v>
      </c>
      <c r="E8603" s="2">
        <v>100</v>
      </c>
      <c r="F8603" s="2">
        <v>7500</v>
      </c>
      <c r="G8603" s="2"/>
    </row>
    <row r="8604" spans="1:7" x14ac:dyDescent="0.3">
      <c r="A8604" t="s">
        <v>2563</v>
      </c>
      <c r="B8604" t="s">
        <v>41</v>
      </c>
      <c r="C8604" t="s">
        <v>42</v>
      </c>
      <c r="D8604">
        <v>2015</v>
      </c>
      <c r="E8604" s="2">
        <v>100</v>
      </c>
      <c r="F8604" s="2">
        <v>7475</v>
      </c>
      <c r="G8604" s="2"/>
    </row>
    <row r="8605" spans="1:7" x14ac:dyDescent="0.3">
      <c r="A8605" t="s">
        <v>2563</v>
      </c>
      <c r="B8605" t="s">
        <v>43</v>
      </c>
      <c r="C8605" t="s">
        <v>44</v>
      </c>
      <c r="D8605">
        <v>2010</v>
      </c>
      <c r="E8605" s="2">
        <v>40</v>
      </c>
      <c r="F8605" s="2">
        <v>2600</v>
      </c>
      <c r="G8605" s="2"/>
    </row>
    <row r="8606" spans="1:7" x14ac:dyDescent="0.3">
      <c r="A8606" t="s">
        <v>2563</v>
      </c>
      <c r="B8606" t="s">
        <v>21</v>
      </c>
      <c r="C8606" t="s">
        <v>22</v>
      </c>
      <c r="D8606">
        <v>2009</v>
      </c>
      <c r="E8606" s="2">
        <v>100</v>
      </c>
      <c r="F8606" s="2">
        <v>4000</v>
      </c>
      <c r="G8606" s="2"/>
    </row>
    <row r="8607" spans="1:7" x14ac:dyDescent="0.3">
      <c r="A8607" t="s">
        <v>2563</v>
      </c>
      <c r="B8607" t="s">
        <v>21</v>
      </c>
      <c r="C8607" t="s">
        <v>22</v>
      </c>
      <c r="D8607">
        <v>2010</v>
      </c>
      <c r="E8607" s="2">
        <v>225</v>
      </c>
      <c r="F8607" s="2">
        <v>11025</v>
      </c>
      <c r="G8607" s="2"/>
    </row>
    <row r="8608" spans="1:7" x14ac:dyDescent="0.3">
      <c r="A8608" t="s">
        <v>2563</v>
      </c>
      <c r="B8608" t="s">
        <v>21</v>
      </c>
      <c r="C8608" t="s">
        <v>22</v>
      </c>
      <c r="D8608">
        <v>2011</v>
      </c>
      <c r="E8608" s="2">
        <v>25</v>
      </c>
      <c r="F8608" s="2">
        <v>1500</v>
      </c>
      <c r="G8608" s="2"/>
    </row>
    <row r="8609" spans="1:7" x14ac:dyDescent="0.3">
      <c r="A8609" t="s">
        <v>2563</v>
      </c>
      <c r="B8609" t="s">
        <v>2564</v>
      </c>
      <c r="D8609">
        <v>2011</v>
      </c>
      <c r="E8609" s="2">
        <v>40</v>
      </c>
      <c r="F8609" s="2">
        <v>3600</v>
      </c>
      <c r="G8609" s="2"/>
    </row>
    <row r="8610" spans="1:7" x14ac:dyDescent="0.3">
      <c r="A8610" t="s">
        <v>2563</v>
      </c>
      <c r="B8610" t="s">
        <v>2564</v>
      </c>
      <c r="D8610">
        <v>2013</v>
      </c>
      <c r="E8610" s="2">
        <v>19</v>
      </c>
      <c r="F8610" s="2">
        <v>1710</v>
      </c>
      <c r="G8610" s="2"/>
    </row>
    <row r="8611" spans="1:7" x14ac:dyDescent="0.3">
      <c r="A8611" t="s">
        <v>2563</v>
      </c>
      <c r="B8611" t="s">
        <v>863</v>
      </c>
      <c r="D8611">
        <v>2011</v>
      </c>
      <c r="E8611" s="2">
        <v>20</v>
      </c>
      <c r="F8611" s="2">
        <v>1800</v>
      </c>
      <c r="G8611" s="2"/>
    </row>
    <row r="8612" spans="1:7" x14ac:dyDescent="0.3">
      <c r="A8612" t="s">
        <v>2563</v>
      </c>
      <c r="B8612" t="s">
        <v>863</v>
      </c>
      <c r="D8612">
        <v>2012</v>
      </c>
      <c r="E8612" s="2">
        <v>20</v>
      </c>
      <c r="F8612" s="2">
        <v>1800</v>
      </c>
      <c r="G8612" s="2"/>
    </row>
    <row r="8613" spans="1:7" x14ac:dyDescent="0.3">
      <c r="A8613" t="s">
        <v>2563</v>
      </c>
      <c r="B8613" t="s">
        <v>863</v>
      </c>
      <c r="D8613">
        <v>2013</v>
      </c>
      <c r="E8613" s="2">
        <v>20</v>
      </c>
      <c r="F8613" s="2">
        <v>1800</v>
      </c>
      <c r="G8613" s="2"/>
    </row>
    <row r="8614" spans="1:7" x14ac:dyDescent="0.3">
      <c r="A8614" t="s">
        <v>2563</v>
      </c>
      <c r="B8614" t="s">
        <v>2565</v>
      </c>
      <c r="D8614">
        <v>2011</v>
      </c>
      <c r="E8614" s="2">
        <v>40</v>
      </c>
      <c r="F8614" s="2">
        <v>3600</v>
      </c>
      <c r="G8614" s="2"/>
    </row>
    <row r="8615" spans="1:7" x14ac:dyDescent="0.3">
      <c r="A8615" t="s">
        <v>2563</v>
      </c>
      <c r="B8615" t="s">
        <v>2565</v>
      </c>
      <c r="D8615">
        <v>2012</v>
      </c>
      <c r="E8615" s="2">
        <v>40</v>
      </c>
      <c r="F8615" s="2">
        <v>3600</v>
      </c>
      <c r="G8615" s="2"/>
    </row>
    <row r="8616" spans="1:7" x14ac:dyDescent="0.3">
      <c r="A8616" t="s">
        <v>2563</v>
      </c>
      <c r="B8616" t="s">
        <v>32</v>
      </c>
      <c r="D8616">
        <v>2011</v>
      </c>
      <c r="E8616" s="2">
        <v>20</v>
      </c>
      <c r="F8616" s="2">
        <v>1800</v>
      </c>
      <c r="G8616" s="2"/>
    </row>
    <row r="8617" spans="1:7" x14ac:dyDescent="0.3">
      <c r="A8617" t="s">
        <v>2563</v>
      </c>
      <c r="B8617" t="s">
        <v>32</v>
      </c>
      <c r="D8617">
        <v>2012</v>
      </c>
      <c r="E8617" s="2">
        <v>20</v>
      </c>
      <c r="F8617" s="2">
        <v>1800</v>
      </c>
      <c r="G8617" s="2"/>
    </row>
    <row r="8618" spans="1:7" x14ac:dyDescent="0.3">
      <c r="A8618" t="s">
        <v>2563</v>
      </c>
      <c r="B8618" t="s">
        <v>32</v>
      </c>
      <c r="D8618">
        <v>2013</v>
      </c>
      <c r="E8618" s="2">
        <v>100</v>
      </c>
      <c r="F8618" s="2">
        <v>9000</v>
      </c>
      <c r="G8618" s="2"/>
    </row>
    <row r="8619" spans="1:7" x14ac:dyDescent="0.3">
      <c r="A8619" t="s">
        <v>2563</v>
      </c>
      <c r="B8619" t="s">
        <v>32</v>
      </c>
      <c r="D8619">
        <v>2014</v>
      </c>
      <c r="E8619" s="2">
        <v>85</v>
      </c>
      <c r="F8619" s="2">
        <v>7650</v>
      </c>
      <c r="G8619" s="2"/>
    </row>
    <row r="8620" spans="1:7" x14ac:dyDescent="0.3">
      <c r="A8620" t="s">
        <v>2563</v>
      </c>
      <c r="B8620" t="s">
        <v>32</v>
      </c>
      <c r="D8620">
        <v>2015</v>
      </c>
      <c r="E8620" s="2">
        <v>100</v>
      </c>
      <c r="F8620" s="2">
        <v>9000</v>
      </c>
      <c r="G8620" s="2"/>
    </row>
    <row r="8621" spans="1:7" x14ac:dyDescent="0.3">
      <c r="A8621" t="s">
        <v>2563</v>
      </c>
      <c r="B8621" t="s">
        <v>32</v>
      </c>
      <c r="D8621">
        <v>2016</v>
      </c>
      <c r="E8621" s="2">
        <v>20</v>
      </c>
      <c r="F8621" s="2">
        <v>1800</v>
      </c>
      <c r="G8621" s="2"/>
    </row>
    <row r="8622" spans="1:7" x14ac:dyDescent="0.3">
      <c r="A8622" t="s">
        <v>2563</v>
      </c>
      <c r="B8622" t="s">
        <v>46</v>
      </c>
      <c r="C8622" t="s">
        <v>47</v>
      </c>
      <c r="D8622">
        <v>2012</v>
      </c>
      <c r="E8622" s="2">
        <v>100</v>
      </c>
      <c r="F8622" s="2">
        <v>7500</v>
      </c>
      <c r="G8622" s="2"/>
    </row>
    <row r="8623" spans="1:7" x14ac:dyDescent="0.3">
      <c r="A8623" t="s">
        <v>2563</v>
      </c>
      <c r="B8623" t="s">
        <v>46</v>
      </c>
      <c r="C8623" t="s">
        <v>47</v>
      </c>
      <c r="D8623">
        <v>2016</v>
      </c>
      <c r="E8623" s="2">
        <v>5</v>
      </c>
      <c r="F8623" s="2">
        <v>375</v>
      </c>
      <c r="G8623" s="2"/>
    </row>
    <row r="8624" spans="1:7" x14ac:dyDescent="0.3">
      <c r="A8624" t="s">
        <v>2563</v>
      </c>
      <c r="B8624" t="s">
        <v>1922</v>
      </c>
      <c r="C8624" t="s">
        <v>1923</v>
      </c>
      <c r="D8624">
        <v>2012</v>
      </c>
      <c r="E8624" s="2">
        <v>25</v>
      </c>
      <c r="F8624" s="2">
        <v>2125</v>
      </c>
      <c r="G8624" s="2"/>
    </row>
    <row r="8625" spans="1:7" x14ac:dyDescent="0.3">
      <c r="A8625" t="s">
        <v>2563</v>
      </c>
      <c r="B8625" t="s">
        <v>1908</v>
      </c>
      <c r="C8625" t="s">
        <v>1909</v>
      </c>
      <c r="D8625">
        <v>2012</v>
      </c>
      <c r="E8625" s="2">
        <v>100</v>
      </c>
      <c r="F8625" s="2">
        <v>7500</v>
      </c>
      <c r="G8625" s="2"/>
    </row>
    <row r="8626" spans="1:7" x14ac:dyDescent="0.3">
      <c r="A8626" t="s">
        <v>2566</v>
      </c>
      <c r="B8626" t="s">
        <v>696</v>
      </c>
      <c r="C8626" t="s">
        <v>697</v>
      </c>
      <c r="D8626">
        <v>2016</v>
      </c>
      <c r="E8626" s="2">
        <v>50</v>
      </c>
      <c r="F8626" s="2">
        <v>4500</v>
      </c>
      <c r="G8626" s="2"/>
    </row>
    <row r="8627" spans="1:7" x14ac:dyDescent="0.3">
      <c r="A8627" t="s">
        <v>2566</v>
      </c>
      <c r="B8627" t="s">
        <v>696</v>
      </c>
      <c r="C8627" t="s">
        <v>697</v>
      </c>
      <c r="D8627">
        <v>2017</v>
      </c>
      <c r="E8627" s="2">
        <v>25</v>
      </c>
      <c r="F8627" s="2">
        <v>2125</v>
      </c>
      <c r="G8627" s="2"/>
    </row>
    <row r="8628" spans="1:7" x14ac:dyDescent="0.3">
      <c r="A8628" t="s">
        <v>2566</v>
      </c>
      <c r="B8628" t="s">
        <v>438</v>
      </c>
      <c r="C8628" t="s">
        <v>439</v>
      </c>
      <c r="D8628">
        <v>2016</v>
      </c>
      <c r="E8628" s="2">
        <v>50</v>
      </c>
      <c r="F8628" s="2">
        <v>4750</v>
      </c>
      <c r="G8628" s="2"/>
    </row>
    <row r="8629" spans="1:7" x14ac:dyDescent="0.3">
      <c r="A8629" t="s">
        <v>2566</v>
      </c>
      <c r="B8629" t="s">
        <v>438</v>
      </c>
      <c r="C8629" t="s">
        <v>439</v>
      </c>
      <c r="D8629">
        <v>2017</v>
      </c>
      <c r="E8629" s="2">
        <v>25</v>
      </c>
      <c r="F8629" s="2">
        <v>2250</v>
      </c>
      <c r="G8629" s="2"/>
    </row>
    <row r="8630" spans="1:7" x14ac:dyDescent="0.3">
      <c r="A8630" t="s">
        <v>2567</v>
      </c>
      <c r="B8630" t="s">
        <v>32</v>
      </c>
      <c r="D8630">
        <v>2016</v>
      </c>
      <c r="E8630" s="2">
        <v>20</v>
      </c>
      <c r="F8630" s="2">
        <v>1800</v>
      </c>
      <c r="G8630" s="2"/>
    </row>
    <row r="8631" spans="1:7" x14ac:dyDescent="0.3">
      <c r="A8631" t="s">
        <v>2568</v>
      </c>
      <c r="B8631" t="s">
        <v>471</v>
      </c>
      <c r="C8631" t="s">
        <v>472</v>
      </c>
      <c r="D8631">
        <v>2018</v>
      </c>
      <c r="E8631" s="2">
        <v>5</v>
      </c>
      <c r="F8631" s="2">
        <v>750</v>
      </c>
      <c r="G8631" s="2">
        <v>787.5</v>
      </c>
    </row>
    <row r="8632" spans="1:7" x14ac:dyDescent="0.3">
      <c r="A8632" t="s">
        <v>2569</v>
      </c>
      <c r="B8632" t="s">
        <v>1093</v>
      </c>
      <c r="C8632" t="s">
        <v>169</v>
      </c>
      <c r="D8632">
        <v>2017</v>
      </c>
      <c r="E8632" s="2">
        <v>50</v>
      </c>
      <c r="F8632" s="2">
        <v>6500</v>
      </c>
      <c r="G8632" s="2"/>
    </row>
    <row r="8633" spans="1:7" x14ac:dyDescent="0.3">
      <c r="A8633" t="s">
        <v>2569</v>
      </c>
      <c r="B8633" t="s">
        <v>51</v>
      </c>
      <c r="C8633" t="s">
        <v>52</v>
      </c>
      <c r="D8633">
        <v>2016</v>
      </c>
      <c r="E8633" s="2">
        <v>2</v>
      </c>
      <c r="F8633" s="2">
        <v>320</v>
      </c>
      <c r="G8633" s="2"/>
    </row>
    <row r="8634" spans="1:7" x14ac:dyDescent="0.3">
      <c r="A8634" t="s">
        <v>2569</v>
      </c>
      <c r="B8634" t="s">
        <v>51</v>
      </c>
      <c r="C8634" t="s">
        <v>52</v>
      </c>
      <c r="D8634">
        <v>2018</v>
      </c>
      <c r="E8634" s="2">
        <v>60</v>
      </c>
      <c r="F8634" s="2">
        <v>9600</v>
      </c>
      <c r="G8634" s="2">
        <v>10080</v>
      </c>
    </row>
    <row r="8635" spans="1:7" x14ac:dyDescent="0.3">
      <c r="A8635" t="s">
        <v>2569</v>
      </c>
      <c r="B8635" t="s">
        <v>218</v>
      </c>
      <c r="C8635" t="s">
        <v>212</v>
      </c>
      <c r="D8635">
        <v>2016</v>
      </c>
      <c r="E8635" s="2">
        <v>25</v>
      </c>
      <c r="F8635" s="2">
        <v>4000</v>
      </c>
      <c r="G8635" s="2"/>
    </row>
    <row r="8636" spans="1:7" x14ac:dyDescent="0.3">
      <c r="A8636" t="s">
        <v>2569</v>
      </c>
      <c r="B8636" t="s">
        <v>248</v>
      </c>
      <c r="C8636" t="s">
        <v>249</v>
      </c>
      <c r="D8636">
        <v>2020</v>
      </c>
      <c r="E8636" s="2">
        <v>75</v>
      </c>
      <c r="F8636" s="2">
        <v>12500</v>
      </c>
      <c r="G8636" s="2">
        <v>13125</v>
      </c>
    </row>
    <row r="8637" spans="1:7" x14ac:dyDescent="0.3">
      <c r="A8637" t="s">
        <v>2569</v>
      </c>
      <c r="B8637" t="s">
        <v>120</v>
      </c>
      <c r="C8637" t="s">
        <v>121</v>
      </c>
      <c r="D8637">
        <v>2018</v>
      </c>
      <c r="E8637" s="2">
        <v>55</v>
      </c>
      <c r="F8637" s="2">
        <v>8800</v>
      </c>
      <c r="G8637" s="2">
        <v>9240</v>
      </c>
    </row>
    <row r="8638" spans="1:7" x14ac:dyDescent="0.3">
      <c r="A8638" t="s">
        <v>2569</v>
      </c>
      <c r="B8638" t="s">
        <v>120</v>
      </c>
      <c r="C8638" t="s">
        <v>121</v>
      </c>
      <c r="D8638">
        <v>2019</v>
      </c>
      <c r="E8638" s="2">
        <v>130</v>
      </c>
      <c r="F8638" s="2">
        <v>20800</v>
      </c>
      <c r="G8638" s="2">
        <v>21840</v>
      </c>
    </row>
    <row r="8639" spans="1:7" x14ac:dyDescent="0.3">
      <c r="A8639" t="s">
        <v>2569</v>
      </c>
      <c r="B8639" t="s">
        <v>597</v>
      </c>
      <c r="C8639" t="s">
        <v>598</v>
      </c>
      <c r="D8639">
        <v>2020</v>
      </c>
      <c r="E8639" s="2">
        <v>100</v>
      </c>
      <c r="F8639" s="2">
        <v>16000</v>
      </c>
      <c r="G8639" s="2">
        <v>16800</v>
      </c>
    </row>
    <row r="8640" spans="1:7" x14ac:dyDescent="0.3">
      <c r="A8640" t="s">
        <v>2569</v>
      </c>
      <c r="B8640" t="s">
        <v>597</v>
      </c>
      <c r="C8640" t="s">
        <v>598</v>
      </c>
      <c r="D8640">
        <v>2021</v>
      </c>
      <c r="E8640" s="2">
        <v>50</v>
      </c>
      <c r="F8640" s="2">
        <v>8000</v>
      </c>
      <c r="G8640" s="2">
        <v>8400</v>
      </c>
    </row>
    <row r="8641" spans="1:7" x14ac:dyDescent="0.3">
      <c r="A8641" t="s">
        <v>2569</v>
      </c>
      <c r="B8641" t="s">
        <v>820</v>
      </c>
      <c r="C8641" t="s">
        <v>821</v>
      </c>
      <c r="D8641">
        <v>2017</v>
      </c>
      <c r="E8641" s="2">
        <v>50</v>
      </c>
      <c r="F8641" s="2">
        <v>6500</v>
      </c>
      <c r="G8641" s="2"/>
    </row>
    <row r="8642" spans="1:7" x14ac:dyDescent="0.3">
      <c r="A8642" t="s">
        <v>2569</v>
      </c>
      <c r="B8642" t="s">
        <v>1151</v>
      </c>
      <c r="C8642" t="s">
        <v>1152</v>
      </c>
      <c r="D8642">
        <v>2018</v>
      </c>
      <c r="E8642" s="2">
        <v>30</v>
      </c>
      <c r="F8642" s="2">
        <v>4800</v>
      </c>
      <c r="G8642" s="2">
        <v>5040</v>
      </c>
    </row>
    <row r="8643" spans="1:7" x14ac:dyDescent="0.3">
      <c r="A8643" t="s">
        <v>2569</v>
      </c>
      <c r="B8643" t="s">
        <v>839</v>
      </c>
      <c r="C8643" t="s">
        <v>138</v>
      </c>
      <c r="D8643">
        <v>2014</v>
      </c>
      <c r="E8643" s="2">
        <v>6</v>
      </c>
      <c r="F8643" s="2">
        <v>20900</v>
      </c>
      <c r="G8643" s="2"/>
    </row>
    <row r="8644" spans="1:7" x14ac:dyDescent="0.3">
      <c r="A8644" t="s">
        <v>2569</v>
      </c>
      <c r="B8644" t="s">
        <v>839</v>
      </c>
      <c r="C8644" t="s">
        <v>138</v>
      </c>
      <c r="D8644">
        <v>2015</v>
      </c>
      <c r="E8644" s="2">
        <v>35</v>
      </c>
      <c r="F8644" s="2">
        <v>6650</v>
      </c>
      <c r="G8644" s="2"/>
    </row>
    <row r="8645" spans="1:7" x14ac:dyDescent="0.3">
      <c r="A8645" t="s">
        <v>2569</v>
      </c>
      <c r="B8645" t="s">
        <v>839</v>
      </c>
      <c r="C8645" t="s">
        <v>138</v>
      </c>
      <c r="D8645">
        <v>2016</v>
      </c>
      <c r="E8645" s="2">
        <v>10</v>
      </c>
      <c r="F8645" s="2">
        <v>1900</v>
      </c>
      <c r="G8645" s="2"/>
    </row>
    <row r="8646" spans="1:7" x14ac:dyDescent="0.3">
      <c r="A8646" t="s">
        <v>2569</v>
      </c>
      <c r="B8646" t="s">
        <v>839</v>
      </c>
      <c r="C8646" t="s">
        <v>138</v>
      </c>
      <c r="D8646">
        <v>2017</v>
      </c>
      <c r="E8646" s="2">
        <v>25</v>
      </c>
      <c r="F8646" s="2">
        <v>3250</v>
      </c>
      <c r="G8646" s="2"/>
    </row>
    <row r="8647" spans="1:7" x14ac:dyDescent="0.3">
      <c r="A8647" t="s">
        <v>2569</v>
      </c>
      <c r="B8647" t="s">
        <v>839</v>
      </c>
      <c r="C8647" t="s">
        <v>138</v>
      </c>
      <c r="D8647">
        <v>2018</v>
      </c>
      <c r="E8647" s="2">
        <v>125</v>
      </c>
      <c r="F8647" s="2">
        <v>13000</v>
      </c>
      <c r="G8647" s="2">
        <v>13650</v>
      </c>
    </row>
    <row r="8648" spans="1:7" x14ac:dyDescent="0.3">
      <c r="A8648" t="s">
        <v>2569</v>
      </c>
      <c r="B8648" t="s">
        <v>839</v>
      </c>
      <c r="C8648" t="s">
        <v>138</v>
      </c>
      <c r="D8648">
        <v>2019</v>
      </c>
      <c r="E8648" s="2">
        <v>275</v>
      </c>
      <c r="F8648" s="2">
        <v>35750</v>
      </c>
      <c r="G8648" s="2">
        <v>37537.5</v>
      </c>
    </row>
    <row r="8649" spans="1:7" x14ac:dyDescent="0.3">
      <c r="A8649" t="s">
        <v>2569</v>
      </c>
      <c r="B8649" t="s">
        <v>839</v>
      </c>
      <c r="C8649" t="s">
        <v>138</v>
      </c>
      <c r="D8649">
        <v>2020</v>
      </c>
      <c r="E8649" s="2">
        <v>225</v>
      </c>
      <c r="F8649" s="2">
        <v>26250</v>
      </c>
      <c r="G8649" s="2">
        <v>27562.5</v>
      </c>
    </row>
    <row r="8650" spans="1:7" x14ac:dyDescent="0.3">
      <c r="A8650" t="s">
        <v>2569</v>
      </c>
      <c r="B8650" t="s">
        <v>839</v>
      </c>
      <c r="C8650" t="s">
        <v>138</v>
      </c>
      <c r="D8650">
        <v>2021</v>
      </c>
      <c r="E8650" s="2">
        <v>100</v>
      </c>
      <c r="F8650" s="2">
        <v>13000</v>
      </c>
      <c r="G8650" s="2">
        <v>13650</v>
      </c>
    </row>
    <row r="8651" spans="1:7" x14ac:dyDescent="0.3">
      <c r="A8651" t="s">
        <v>2569</v>
      </c>
      <c r="B8651" t="s">
        <v>408</v>
      </c>
      <c r="D8651">
        <v>2021</v>
      </c>
      <c r="E8651" s="2">
        <v>25</v>
      </c>
      <c r="F8651" s="2">
        <v>4500</v>
      </c>
      <c r="G8651" s="2">
        <v>4725</v>
      </c>
    </row>
    <row r="8652" spans="1:7" x14ac:dyDescent="0.3">
      <c r="A8652" t="s">
        <v>2569</v>
      </c>
      <c r="B8652" t="s">
        <v>383</v>
      </c>
      <c r="C8652" t="s">
        <v>384</v>
      </c>
      <c r="D8652">
        <v>2015</v>
      </c>
      <c r="E8652" s="2">
        <v>200</v>
      </c>
      <c r="F8652" s="2">
        <v>27000</v>
      </c>
      <c r="G8652" s="2"/>
    </row>
    <row r="8653" spans="1:7" x14ac:dyDescent="0.3">
      <c r="A8653" t="s">
        <v>2569</v>
      </c>
      <c r="B8653" t="s">
        <v>383</v>
      </c>
      <c r="C8653" t="s">
        <v>384</v>
      </c>
      <c r="D8653">
        <v>2016</v>
      </c>
      <c r="E8653" s="2">
        <v>50</v>
      </c>
      <c r="F8653" s="2">
        <v>4750</v>
      </c>
      <c r="G8653" s="2"/>
    </row>
    <row r="8654" spans="1:7" x14ac:dyDescent="0.3">
      <c r="A8654" t="s">
        <v>2569</v>
      </c>
      <c r="B8654" t="s">
        <v>383</v>
      </c>
      <c r="C8654" t="s">
        <v>384</v>
      </c>
      <c r="D8654">
        <v>2017</v>
      </c>
      <c r="E8654" s="2">
        <v>435</v>
      </c>
      <c r="F8654" s="2">
        <v>41325</v>
      </c>
      <c r="G8654" s="2"/>
    </row>
    <row r="8655" spans="1:7" x14ac:dyDescent="0.3">
      <c r="A8655" t="s">
        <v>2569</v>
      </c>
      <c r="B8655" t="s">
        <v>383</v>
      </c>
      <c r="C8655" t="s">
        <v>384</v>
      </c>
      <c r="D8655">
        <v>2018</v>
      </c>
      <c r="E8655" s="2">
        <v>200</v>
      </c>
      <c r="F8655" s="2">
        <v>20000</v>
      </c>
      <c r="G8655" s="2">
        <v>21000</v>
      </c>
    </row>
    <row r="8656" spans="1:7" x14ac:dyDescent="0.3">
      <c r="A8656" t="s">
        <v>2569</v>
      </c>
      <c r="B8656" t="s">
        <v>383</v>
      </c>
      <c r="C8656" t="s">
        <v>384</v>
      </c>
      <c r="D8656">
        <v>2019</v>
      </c>
      <c r="E8656" s="2">
        <v>175</v>
      </c>
      <c r="F8656" s="2">
        <v>17500</v>
      </c>
      <c r="G8656" s="2">
        <v>18375</v>
      </c>
    </row>
    <row r="8657" spans="1:7" x14ac:dyDescent="0.3">
      <c r="A8657" t="s">
        <v>2569</v>
      </c>
      <c r="B8657" t="s">
        <v>383</v>
      </c>
      <c r="C8657" t="s">
        <v>384</v>
      </c>
      <c r="D8657">
        <v>2020</v>
      </c>
      <c r="E8657" s="2">
        <v>75</v>
      </c>
      <c r="F8657" s="2">
        <v>7500</v>
      </c>
      <c r="G8657" s="2">
        <v>7875</v>
      </c>
    </row>
    <row r="8658" spans="1:7" x14ac:dyDescent="0.3">
      <c r="A8658" t="s">
        <v>2569</v>
      </c>
      <c r="B8658" t="s">
        <v>383</v>
      </c>
      <c r="C8658" t="s">
        <v>385</v>
      </c>
      <c r="D8658">
        <v>2021</v>
      </c>
      <c r="E8658" s="2">
        <v>50</v>
      </c>
      <c r="F8658" s="2">
        <v>5000</v>
      </c>
      <c r="G8658" s="2">
        <v>5250</v>
      </c>
    </row>
    <row r="8659" spans="1:7" x14ac:dyDescent="0.3">
      <c r="A8659" t="s">
        <v>2569</v>
      </c>
      <c r="B8659" t="s">
        <v>711</v>
      </c>
      <c r="C8659" t="s">
        <v>413</v>
      </c>
      <c r="D8659">
        <v>2018</v>
      </c>
      <c r="E8659" s="2">
        <v>25</v>
      </c>
      <c r="F8659" s="2">
        <v>4500</v>
      </c>
      <c r="G8659" s="2">
        <v>4725</v>
      </c>
    </row>
    <row r="8660" spans="1:7" x14ac:dyDescent="0.3">
      <c r="A8660" t="s">
        <v>2569</v>
      </c>
      <c r="B8660" t="s">
        <v>711</v>
      </c>
      <c r="C8660" t="s">
        <v>413</v>
      </c>
      <c r="D8660">
        <v>2019</v>
      </c>
      <c r="E8660" s="2">
        <v>50</v>
      </c>
      <c r="F8660" s="2">
        <v>8000</v>
      </c>
      <c r="G8660" s="2">
        <v>8400</v>
      </c>
    </row>
    <row r="8661" spans="1:7" x14ac:dyDescent="0.3">
      <c r="A8661" t="s">
        <v>2569</v>
      </c>
      <c r="B8661" t="s">
        <v>318</v>
      </c>
      <c r="C8661" t="s">
        <v>319</v>
      </c>
      <c r="D8661">
        <v>2015</v>
      </c>
      <c r="E8661" s="2">
        <v>41</v>
      </c>
      <c r="F8661" s="2">
        <v>6150</v>
      </c>
      <c r="G8661" s="2"/>
    </row>
    <row r="8662" spans="1:7" x14ac:dyDescent="0.3">
      <c r="A8662" t="s">
        <v>2569</v>
      </c>
      <c r="B8662" t="s">
        <v>318</v>
      </c>
      <c r="C8662" t="s">
        <v>319</v>
      </c>
      <c r="D8662">
        <v>2020</v>
      </c>
      <c r="E8662" s="2">
        <v>75</v>
      </c>
      <c r="F8662" s="2">
        <v>11250</v>
      </c>
      <c r="G8662" s="2">
        <v>11812.5</v>
      </c>
    </row>
    <row r="8663" spans="1:7" x14ac:dyDescent="0.3">
      <c r="A8663" t="s">
        <v>2569</v>
      </c>
      <c r="B8663" t="s">
        <v>320</v>
      </c>
      <c r="C8663" t="s">
        <v>414</v>
      </c>
      <c r="D8663">
        <v>2018</v>
      </c>
      <c r="E8663" s="2">
        <v>25</v>
      </c>
      <c r="F8663" s="2">
        <v>4500</v>
      </c>
      <c r="G8663" s="2">
        <v>4725</v>
      </c>
    </row>
    <row r="8664" spans="1:7" x14ac:dyDescent="0.3">
      <c r="A8664" t="s">
        <v>2570</v>
      </c>
      <c r="B8664" t="s">
        <v>32</v>
      </c>
      <c r="D8664">
        <v>2017</v>
      </c>
      <c r="E8664" s="2">
        <v>20</v>
      </c>
      <c r="F8664" s="2">
        <v>1800</v>
      </c>
      <c r="G8664" s="2"/>
    </row>
    <row r="8665" spans="1:7" x14ac:dyDescent="0.3">
      <c r="A8665" t="s">
        <v>2571</v>
      </c>
      <c r="B8665" t="s">
        <v>662</v>
      </c>
      <c r="C8665" t="s">
        <v>525</v>
      </c>
      <c r="D8665">
        <v>2019</v>
      </c>
      <c r="E8665" s="2">
        <v>18</v>
      </c>
      <c r="F8665" s="2">
        <v>1125</v>
      </c>
      <c r="G8665" s="2">
        <v>1181.25</v>
      </c>
    </row>
    <row r="8666" spans="1:7" x14ac:dyDescent="0.3">
      <c r="A8666" t="s">
        <v>2571</v>
      </c>
      <c r="B8666" t="s">
        <v>662</v>
      </c>
      <c r="C8666" t="s">
        <v>525</v>
      </c>
      <c r="D8666">
        <v>2020</v>
      </c>
      <c r="E8666" s="2">
        <v>5</v>
      </c>
      <c r="F8666" s="2">
        <v>425</v>
      </c>
      <c r="G8666" s="2">
        <v>446.25</v>
      </c>
    </row>
    <row r="8667" spans="1:7" x14ac:dyDescent="0.3">
      <c r="A8667" t="s">
        <v>2572</v>
      </c>
      <c r="B8667" t="s">
        <v>1208</v>
      </c>
      <c r="C8667" t="s">
        <v>1209</v>
      </c>
      <c r="D8667">
        <v>2015</v>
      </c>
      <c r="E8667" s="2">
        <v>10</v>
      </c>
      <c r="F8667" s="2">
        <v>1100</v>
      </c>
      <c r="G8667" s="2"/>
    </row>
    <row r="8668" spans="1:7" x14ac:dyDescent="0.3">
      <c r="A8668" t="s">
        <v>2572</v>
      </c>
      <c r="B8668" t="s">
        <v>883</v>
      </c>
      <c r="C8668" t="s">
        <v>780</v>
      </c>
      <c r="D8668">
        <v>2015</v>
      </c>
      <c r="E8668" s="2">
        <v>5</v>
      </c>
      <c r="F8668" s="2">
        <v>550</v>
      </c>
      <c r="G8668" s="2"/>
    </row>
    <row r="8669" spans="1:7" x14ac:dyDescent="0.3">
      <c r="A8669" t="s">
        <v>2572</v>
      </c>
      <c r="B8669" t="s">
        <v>12</v>
      </c>
      <c r="C8669" t="s">
        <v>13</v>
      </c>
      <c r="D8669">
        <v>2016</v>
      </c>
      <c r="E8669" s="2">
        <v>5</v>
      </c>
      <c r="F8669" s="2">
        <v>550</v>
      </c>
      <c r="G8669" s="2"/>
    </row>
    <row r="8670" spans="1:7" x14ac:dyDescent="0.3">
      <c r="A8670" t="s">
        <v>2573</v>
      </c>
      <c r="B8670" t="s">
        <v>862</v>
      </c>
      <c r="D8670">
        <v>2015</v>
      </c>
      <c r="E8670" s="2">
        <v>60</v>
      </c>
      <c r="F8670" s="2">
        <v>19500</v>
      </c>
      <c r="G8670" s="2"/>
    </row>
    <row r="8671" spans="1:7" x14ac:dyDescent="0.3">
      <c r="A8671" t="s">
        <v>2574</v>
      </c>
      <c r="B8671" t="s">
        <v>532</v>
      </c>
      <c r="C8671" t="s">
        <v>452</v>
      </c>
      <c r="D8671">
        <v>2020</v>
      </c>
      <c r="E8671" s="2">
        <v>1</v>
      </c>
      <c r="F8671" s="2">
        <v>85</v>
      </c>
      <c r="G8671" s="2">
        <v>89.25</v>
      </c>
    </row>
    <row r="8672" spans="1:7" x14ac:dyDescent="0.3">
      <c r="A8672" t="s">
        <v>2574</v>
      </c>
      <c r="B8672" t="s">
        <v>16</v>
      </c>
      <c r="C8672" t="s">
        <v>17</v>
      </c>
      <c r="D8672">
        <v>2020</v>
      </c>
      <c r="E8672" s="2">
        <v>25</v>
      </c>
      <c r="F8672" s="2">
        <v>2125</v>
      </c>
      <c r="G8672" s="2">
        <v>2231.25</v>
      </c>
    </row>
    <row r="8673" spans="1:7" x14ac:dyDescent="0.3">
      <c r="A8673" t="s">
        <v>2574</v>
      </c>
      <c r="B8673" t="s">
        <v>696</v>
      </c>
      <c r="C8673" t="s">
        <v>697</v>
      </c>
      <c r="D8673">
        <v>2017</v>
      </c>
      <c r="E8673" s="2">
        <v>25</v>
      </c>
      <c r="F8673" s="2">
        <v>1375</v>
      </c>
      <c r="G8673" s="2"/>
    </row>
    <row r="8674" spans="1:7" x14ac:dyDescent="0.3">
      <c r="A8674" t="s">
        <v>2574</v>
      </c>
      <c r="B8674" t="s">
        <v>696</v>
      </c>
      <c r="C8674" t="s">
        <v>697</v>
      </c>
      <c r="D8674">
        <v>2018</v>
      </c>
      <c r="E8674" s="2">
        <v>20</v>
      </c>
      <c r="F8674" s="2">
        <v>1100</v>
      </c>
      <c r="G8674" s="2">
        <v>1155</v>
      </c>
    </row>
    <row r="8675" spans="1:7" x14ac:dyDescent="0.3">
      <c r="A8675" t="s">
        <v>2574</v>
      </c>
      <c r="B8675" t="s">
        <v>696</v>
      </c>
      <c r="C8675" t="s">
        <v>697</v>
      </c>
      <c r="D8675">
        <v>2019</v>
      </c>
      <c r="E8675" s="2">
        <v>25</v>
      </c>
      <c r="F8675" s="2">
        <v>1750</v>
      </c>
      <c r="G8675" s="2">
        <v>1837.5</v>
      </c>
    </row>
    <row r="8676" spans="1:7" x14ac:dyDescent="0.3">
      <c r="A8676" t="s">
        <v>2574</v>
      </c>
      <c r="B8676" t="s">
        <v>346</v>
      </c>
      <c r="C8676" t="s">
        <v>347</v>
      </c>
      <c r="D8676">
        <v>2016</v>
      </c>
      <c r="E8676" s="2">
        <v>50</v>
      </c>
      <c r="F8676" s="2">
        <v>4500</v>
      </c>
      <c r="G8676" s="2"/>
    </row>
    <row r="8677" spans="1:7" x14ac:dyDescent="0.3">
      <c r="A8677" t="s">
        <v>2574</v>
      </c>
      <c r="B8677" t="s">
        <v>2575</v>
      </c>
      <c r="D8677">
        <v>2016</v>
      </c>
      <c r="E8677" s="2">
        <v>18</v>
      </c>
      <c r="F8677" s="2">
        <v>1440</v>
      </c>
      <c r="G8677" s="2"/>
    </row>
    <row r="8678" spans="1:7" x14ac:dyDescent="0.3">
      <c r="A8678" t="s">
        <v>2574</v>
      </c>
      <c r="B8678" t="s">
        <v>2575</v>
      </c>
      <c r="D8678">
        <v>2017</v>
      </c>
      <c r="E8678" s="2">
        <v>10</v>
      </c>
      <c r="F8678" s="2">
        <v>800</v>
      </c>
      <c r="G8678" s="2"/>
    </row>
    <row r="8679" spans="1:7" x14ac:dyDescent="0.3">
      <c r="A8679" t="s">
        <v>2574</v>
      </c>
      <c r="B8679" t="s">
        <v>297</v>
      </c>
      <c r="C8679" t="s">
        <v>298</v>
      </c>
      <c r="D8679">
        <v>2017</v>
      </c>
      <c r="E8679" s="2">
        <v>10</v>
      </c>
      <c r="F8679" s="2">
        <v>650</v>
      </c>
      <c r="G8679" s="2"/>
    </row>
    <row r="8680" spans="1:7" x14ac:dyDescent="0.3">
      <c r="A8680" t="s">
        <v>2574</v>
      </c>
      <c r="B8680" t="s">
        <v>19</v>
      </c>
      <c r="C8680" t="s">
        <v>20</v>
      </c>
      <c r="D8680">
        <v>2017</v>
      </c>
      <c r="E8680" s="2">
        <v>225</v>
      </c>
      <c r="F8680" s="2">
        <v>20925</v>
      </c>
      <c r="G8680" s="2"/>
    </row>
    <row r="8681" spans="1:7" x14ac:dyDescent="0.3">
      <c r="A8681" t="s">
        <v>2574</v>
      </c>
      <c r="B8681" t="s">
        <v>19</v>
      </c>
      <c r="C8681" t="s">
        <v>20</v>
      </c>
      <c r="D8681">
        <v>2018</v>
      </c>
      <c r="E8681" s="2">
        <v>250</v>
      </c>
      <c r="F8681" s="2">
        <v>23304</v>
      </c>
      <c r="G8681" s="2">
        <v>24469.200000000001</v>
      </c>
    </row>
    <row r="8682" spans="1:7" x14ac:dyDescent="0.3">
      <c r="A8682" t="s">
        <v>2574</v>
      </c>
      <c r="B8682" t="s">
        <v>19</v>
      </c>
      <c r="C8682" t="s">
        <v>20</v>
      </c>
      <c r="D8682">
        <v>2019</v>
      </c>
      <c r="E8682" s="2">
        <v>225</v>
      </c>
      <c r="F8682" s="2">
        <v>20925</v>
      </c>
      <c r="G8682" s="2">
        <v>21971.25</v>
      </c>
    </row>
    <row r="8683" spans="1:7" x14ac:dyDescent="0.3">
      <c r="A8683" t="s">
        <v>2574</v>
      </c>
      <c r="B8683" t="s">
        <v>19</v>
      </c>
      <c r="C8683" t="s">
        <v>20</v>
      </c>
      <c r="D8683">
        <v>2020</v>
      </c>
      <c r="E8683" s="2">
        <v>350</v>
      </c>
      <c r="F8683" s="2">
        <v>31950</v>
      </c>
      <c r="G8683" s="2">
        <v>33547.5</v>
      </c>
    </row>
    <row r="8684" spans="1:7" x14ac:dyDescent="0.3">
      <c r="A8684" t="s">
        <v>2574</v>
      </c>
      <c r="B8684" t="s">
        <v>19</v>
      </c>
      <c r="C8684" t="s">
        <v>107</v>
      </c>
      <c r="D8684">
        <v>2020</v>
      </c>
      <c r="E8684" s="2">
        <v>100</v>
      </c>
      <c r="F8684" s="2">
        <v>8800</v>
      </c>
      <c r="G8684" s="2">
        <v>9240</v>
      </c>
    </row>
    <row r="8685" spans="1:7" x14ac:dyDescent="0.3">
      <c r="A8685" t="s">
        <v>2574</v>
      </c>
      <c r="B8685" t="s">
        <v>19</v>
      </c>
      <c r="C8685" t="s">
        <v>20</v>
      </c>
      <c r="D8685">
        <v>2021</v>
      </c>
      <c r="E8685" s="2">
        <v>100</v>
      </c>
      <c r="F8685" s="2">
        <v>9000</v>
      </c>
      <c r="G8685" s="2">
        <v>9450</v>
      </c>
    </row>
    <row r="8686" spans="1:7" x14ac:dyDescent="0.3">
      <c r="A8686" t="s">
        <v>2574</v>
      </c>
      <c r="B8686" t="s">
        <v>543</v>
      </c>
      <c r="C8686" t="s">
        <v>544</v>
      </c>
      <c r="D8686">
        <v>2021</v>
      </c>
      <c r="E8686" s="2">
        <v>25</v>
      </c>
      <c r="F8686" s="2">
        <v>1750</v>
      </c>
      <c r="G8686" s="2">
        <v>1837.5</v>
      </c>
    </row>
    <row r="8687" spans="1:7" x14ac:dyDescent="0.3">
      <c r="A8687" t="s">
        <v>2574</v>
      </c>
      <c r="B8687" t="s">
        <v>110</v>
      </c>
      <c r="C8687" t="s">
        <v>111</v>
      </c>
      <c r="D8687">
        <v>2018</v>
      </c>
      <c r="E8687" s="2">
        <v>50</v>
      </c>
      <c r="F8687" s="2">
        <v>2150</v>
      </c>
      <c r="G8687" s="2">
        <v>2257.5</v>
      </c>
    </row>
    <row r="8688" spans="1:7" x14ac:dyDescent="0.3">
      <c r="A8688" t="s">
        <v>2574</v>
      </c>
      <c r="B8688" t="s">
        <v>110</v>
      </c>
      <c r="C8688" t="s">
        <v>111</v>
      </c>
      <c r="D8688">
        <v>2019</v>
      </c>
      <c r="E8688" s="2">
        <v>25</v>
      </c>
      <c r="F8688" s="2">
        <v>1250</v>
      </c>
      <c r="G8688" s="2">
        <v>1312.5</v>
      </c>
    </row>
    <row r="8689" spans="1:7" x14ac:dyDescent="0.3">
      <c r="A8689" t="s">
        <v>2574</v>
      </c>
      <c r="B8689" t="s">
        <v>867</v>
      </c>
      <c r="C8689" t="s">
        <v>868</v>
      </c>
      <c r="D8689">
        <v>2017</v>
      </c>
      <c r="E8689" s="2">
        <v>25</v>
      </c>
      <c r="F8689" s="2">
        <v>2125</v>
      </c>
      <c r="G8689" s="2"/>
    </row>
    <row r="8690" spans="1:7" x14ac:dyDescent="0.3">
      <c r="A8690" t="s">
        <v>2574</v>
      </c>
      <c r="B8690" t="s">
        <v>867</v>
      </c>
      <c r="C8690" t="s">
        <v>868</v>
      </c>
      <c r="D8690">
        <v>2018</v>
      </c>
      <c r="E8690" s="2">
        <v>25</v>
      </c>
      <c r="F8690" s="2">
        <v>2125</v>
      </c>
      <c r="G8690" s="2">
        <v>2231.25</v>
      </c>
    </row>
    <row r="8691" spans="1:7" x14ac:dyDescent="0.3">
      <c r="A8691" t="s">
        <v>2574</v>
      </c>
      <c r="B8691" t="s">
        <v>867</v>
      </c>
      <c r="C8691" t="s">
        <v>868</v>
      </c>
      <c r="D8691">
        <v>2019</v>
      </c>
      <c r="E8691" s="2">
        <v>50</v>
      </c>
      <c r="F8691" s="2">
        <v>4250</v>
      </c>
      <c r="G8691" s="2">
        <v>4462.5</v>
      </c>
    </row>
    <row r="8692" spans="1:7" x14ac:dyDescent="0.3">
      <c r="A8692" t="s">
        <v>2574</v>
      </c>
      <c r="B8692" t="s">
        <v>867</v>
      </c>
      <c r="C8692" t="s">
        <v>868</v>
      </c>
      <c r="D8692">
        <v>2020</v>
      </c>
      <c r="E8692" s="2">
        <v>25</v>
      </c>
      <c r="F8692" s="2">
        <v>1875</v>
      </c>
      <c r="G8692" s="2">
        <v>1968.75</v>
      </c>
    </row>
    <row r="8693" spans="1:7" x14ac:dyDescent="0.3">
      <c r="A8693" t="s">
        <v>2574</v>
      </c>
      <c r="B8693" t="s">
        <v>518</v>
      </c>
      <c r="C8693" t="s">
        <v>519</v>
      </c>
      <c r="D8693">
        <v>2019</v>
      </c>
      <c r="E8693" s="2">
        <v>10</v>
      </c>
      <c r="F8693" s="2">
        <v>800</v>
      </c>
      <c r="G8693" s="2">
        <v>840</v>
      </c>
    </row>
    <row r="8694" spans="1:7" x14ac:dyDescent="0.3">
      <c r="A8694" t="s">
        <v>2574</v>
      </c>
      <c r="B8694" t="s">
        <v>36</v>
      </c>
      <c r="D8694">
        <v>2017</v>
      </c>
      <c r="E8694" s="2">
        <v>10</v>
      </c>
      <c r="F8694" s="2">
        <v>800</v>
      </c>
      <c r="G8694" s="2"/>
    </row>
    <row r="8695" spans="1:7" x14ac:dyDescent="0.3">
      <c r="A8695" t="s">
        <v>2574</v>
      </c>
      <c r="B8695" t="s">
        <v>36</v>
      </c>
      <c r="D8695">
        <v>2018</v>
      </c>
      <c r="E8695" s="2">
        <v>25</v>
      </c>
      <c r="F8695" s="2">
        <v>2000</v>
      </c>
      <c r="G8695" s="2">
        <v>2100</v>
      </c>
    </row>
    <row r="8696" spans="1:7" x14ac:dyDescent="0.3">
      <c r="A8696" t="s">
        <v>2574</v>
      </c>
      <c r="B8696" t="s">
        <v>36</v>
      </c>
      <c r="D8696">
        <v>2019</v>
      </c>
      <c r="E8696" s="2">
        <v>20</v>
      </c>
      <c r="F8696" s="2">
        <v>1600</v>
      </c>
      <c r="G8696" s="2">
        <v>1680</v>
      </c>
    </row>
    <row r="8697" spans="1:7" x14ac:dyDescent="0.3">
      <c r="A8697" t="s">
        <v>2574</v>
      </c>
      <c r="B8697" t="s">
        <v>36</v>
      </c>
      <c r="D8697">
        <v>2020</v>
      </c>
      <c r="E8697" s="2">
        <v>30</v>
      </c>
      <c r="F8697" s="2">
        <v>2400</v>
      </c>
      <c r="G8697" s="2">
        <v>2520</v>
      </c>
    </row>
    <row r="8698" spans="1:7" x14ac:dyDescent="0.3">
      <c r="A8698" t="s">
        <v>2574</v>
      </c>
      <c r="B8698" t="s">
        <v>36</v>
      </c>
      <c r="D8698">
        <v>2021</v>
      </c>
      <c r="E8698" s="2">
        <v>20</v>
      </c>
      <c r="F8698" s="2">
        <v>1600</v>
      </c>
      <c r="G8698" s="2">
        <v>1680</v>
      </c>
    </row>
    <row r="8699" spans="1:7" x14ac:dyDescent="0.3">
      <c r="A8699" t="s">
        <v>2574</v>
      </c>
      <c r="B8699" t="s">
        <v>1339</v>
      </c>
      <c r="C8699" t="s">
        <v>1340</v>
      </c>
      <c r="D8699">
        <v>2015</v>
      </c>
      <c r="E8699" s="2">
        <v>25</v>
      </c>
      <c r="F8699" s="2">
        <v>2625</v>
      </c>
      <c r="G8699" s="2"/>
    </row>
    <row r="8700" spans="1:7" x14ac:dyDescent="0.3">
      <c r="A8700" t="s">
        <v>2574</v>
      </c>
      <c r="B8700" t="s">
        <v>1339</v>
      </c>
      <c r="C8700" t="s">
        <v>1340</v>
      </c>
      <c r="D8700">
        <v>2016</v>
      </c>
      <c r="E8700" s="2">
        <v>50</v>
      </c>
      <c r="F8700" s="2">
        <v>5250</v>
      </c>
      <c r="G8700" s="2"/>
    </row>
    <row r="8701" spans="1:7" x14ac:dyDescent="0.3">
      <c r="A8701" t="s">
        <v>2574</v>
      </c>
      <c r="B8701" t="s">
        <v>1339</v>
      </c>
      <c r="C8701" t="s">
        <v>1340</v>
      </c>
      <c r="D8701">
        <v>2017</v>
      </c>
      <c r="E8701" s="2">
        <v>25</v>
      </c>
      <c r="F8701" s="2">
        <v>2625</v>
      </c>
      <c r="G8701" s="2"/>
    </row>
    <row r="8702" spans="1:7" x14ac:dyDescent="0.3">
      <c r="A8702" t="s">
        <v>2574</v>
      </c>
      <c r="B8702" t="s">
        <v>1339</v>
      </c>
      <c r="C8702" t="s">
        <v>1340</v>
      </c>
      <c r="D8702">
        <v>2019</v>
      </c>
      <c r="E8702" s="2">
        <v>25</v>
      </c>
      <c r="F8702" s="2">
        <v>2625</v>
      </c>
      <c r="G8702" s="2">
        <v>2756.25</v>
      </c>
    </row>
    <row r="8703" spans="1:7" x14ac:dyDescent="0.3">
      <c r="A8703" t="s">
        <v>2574</v>
      </c>
      <c r="B8703" t="s">
        <v>46</v>
      </c>
      <c r="C8703" t="s">
        <v>47</v>
      </c>
      <c r="D8703">
        <v>2017</v>
      </c>
      <c r="E8703" s="2">
        <v>90</v>
      </c>
      <c r="F8703" s="2">
        <v>5850</v>
      </c>
      <c r="G8703" s="2"/>
    </row>
    <row r="8704" spans="1:7" x14ac:dyDescent="0.3">
      <c r="A8704" t="s">
        <v>2574</v>
      </c>
      <c r="B8704" t="s">
        <v>46</v>
      </c>
      <c r="C8704" t="s">
        <v>47</v>
      </c>
      <c r="D8704">
        <v>2018</v>
      </c>
      <c r="E8704" s="2">
        <v>60</v>
      </c>
      <c r="F8704" s="2">
        <v>10375</v>
      </c>
      <c r="G8704" s="2">
        <v>10893.75</v>
      </c>
    </row>
    <row r="8705" spans="1:7" x14ac:dyDescent="0.3">
      <c r="A8705" t="s">
        <v>2574</v>
      </c>
      <c r="B8705" t="s">
        <v>46</v>
      </c>
      <c r="C8705" t="s">
        <v>47</v>
      </c>
      <c r="D8705">
        <v>2019</v>
      </c>
      <c r="E8705" s="2">
        <v>75</v>
      </c>
      <c r="F8705" s="2">
        <v>5250</v>
      </c>
      <c r="G8705" s="2">
        <v>5512.5</v>
      </c>
    </row>
    <row r="8706" spans="1:7" x14ac:dyDescent="0.3">
      <c r="A8706" t="s">
        <v>2574</v>
      </c>
      <c r="B8706" t="s">
        <v>483</v>
      </c>
      <c r="C8706" t="s">
        <v>484</v>
      </c>
      <c r="D8706">
        <v>2019</v>
      </c>
      <c r="E8706" s="2">
        <v>50</v>
      </c>
      <c r="F8706" s="2">
        <v>3500</v>
      </c>
      <c r="G8706" s="2">
        <v>3675</v>
      </c>
    </row>
    <row r="8707" spans="1:7" x14ac:dyDescent="0.3">
      <c r="A8707" t="s">
        <v>2574</v>
      </c>
      <c r="B8707" t="s">
        <v>483</v>
      </c>
      <c r="C8707" t="s">
        <v>484</v>
      </c>
      <c r="D8707">
        <v>2020</v>
      </c>
      <c r="E8707" s="2">
        <v>25</v>
      </c>
      <c r="F8707" s="2">
        <v>1750</v>
      </c>
      <c r="G8707" s="2">
        <v>1837.5</v>
      </c>
    </row>
    <row r="8708" spans="1:7" x14ac:dyDescent="0.3">
      <c r="A8708" t="s">
        <v>2574</v>
      </c>
      <c r="B8708" t="s">
        <v>2576</v>
      </c>
      <c r="D8708">
        <v>2016</v>
      </c>
      <c r="E8708" s="2">
        <v>1</v>
      </c>
      <c r="F8708" s="2">
        <v>80</v>
      </c>
      <c r="G8708" s="2"/>
    </row>
    <row r="8709" spans="1:7" x14ac:dyDescent="0.3">
      <c r="A8709" t="s">
        <v>2574</v>
      </c>
      <c r="B8709" t="s">
        <v>2576</v>
      </c>
      <c r="D8709">
        <v>2017</v>
      </c>
      <c r="E8709" s="2">
        <v>36</v>
      </c>
      <c r="F8709" s="2">
        <v>3150</v>
      </c>
      <c r="G8709" s="2"/>
    </row>
    <row r="8710" spans="1:7" x14ac:dyDescent="0.3">
      <c r="A8710" t="s">
        <v>2574</v>
      </c>
      <c r="B8710" t="s">
        <v>2576</v>
      </c>
      <c r="D8710">
        <v>2018</v>
      </c>
      <c r="E8710" s="2">
        <v>35</v>
      </c>
      <c r="F8710" s="2">
        <v>3150</v>
      </c>
      <c r="G8710" s="2">
        <v>3307.5</v>
      </c>
    </row>
    <row r="8711" spans="1:7" x14ac:dyDescent="0.3">
      <c r="A8711" t="s">
        <v>2574</v>
      </c>
      <c r="B8711" t="s">
        <v>2576</v>
      </c>
      <c r="D8711">
        <v>2019</v>
      </c>
      <c r="E8711" s="2">
        <v>10</v>
      </c>
      <c r="F8711" s="2">
        <v>900</v>
      </c>
      <c r="G8711" s="2">
        <v>945</v>
      </c>
    </row>
    <row r="8712" spans="1:7" x14ac:dyDescent="0.3">
      <c r="A8712" t="s">
        <v>2574</v>
      </c>
      <c r="B8712" t="s">
        <v>2576</v>
      </c>
      <c r="D8712">
        <v>2020</v>
      </c>
      <c r="E8712" s="2">
        <v>40</v>
      </c>
      <c r="F8712" s="2">
        <v>2600</v>
      </c>
      <c r="G8712" s="2">
        <v>2730</v>
      </c>
    </row>
    <row r="8713" spans="1:7" x14ac:dyDescent="0.3">
      <c r="A8713" t="s">
        <v>2574</v>
      </c>
      <c r="B8713" t="s">
        <v>1457</v>
      </c>
      <c r="C8713" t="s">
        <v>682</v>
      </c>
      <c r="D8713">
        <v>2017</v>
      </c>
      <c r="E8713" s="2">
        <v>25</v>
      </c>
      <c r="F8713" s="2">
        <v>1950</v>
      </c>
      <c r="G8713" s="2"/>
    </row>
    <row r="8714" spans="1:7" x14ac:dyDescent="0.3">
      <c r="A8714" t="s">
        <v>2574</v>
      </c>
      <c r="B8714" t="s">
        <v>1457</v>
      </c>
      <c r="C8714" t="s">
        <v>682</v>
      </c>
      <c r="D8714">
        <v>2018</v>
      </c>
      <c r="E8714" s="2">
        <v>25</v>
      </c>
      <c r="F8714" s="2">
        <v>1950</v>
      </c>
      <c r="G8714" s="2">
        <v>2047.5</v>
      </c>
    </row>
    <row r="8715" spans="1:7" x14ac:dyDescent="0.3">
      <c r="A8715" t="s">
        <v>2574</v>
      </c>
      <c r="B8715" t="s">
        <v>1457</v>
      </c>
      <c r="C8715" t="s">
        <v>682</v>
      </c>
      <c r="D8715">
        <v>2019</v>
      </c>
      <c r="E8715" s="2">
        <v>25</v>
      </c>
      <c r="F8715" s="2">
        <v>1950</v>
      </c>
      <c r="G8715" s="2">
        <v>2047.5</v>
      </c>
    </row>
    <row r="8716" spans="1:7" x14ac:dyDescent="0.3">
      <c r="A8716" t="s">
        <v>2574</v>
      </c>
      <c r="B8716" t="s">
        <v>1758</v>
      </c>
      <c r="C8716" t="s">
        <v>1759</v>
      </c>
      <c r="D8716">
        <v>2019</v>
      </c>
      <c r="E8716" s="2">
        <v>50</v>
      </c>
      <c r="F8716" s="2">
        <v>3900</v>
      </c>
      <c r="G8716" s="2">
        <v>4095</v>
      </c>
    </row>
    <row r="8717" spans="1:7" x14ac:dyDescent="0.3">
      <c r="A8717" t="s">
        <v>2577</v>
      </c>
      <c r="B8717" t="s">
        <v>721</v>
      </c>
      <c r="C8717" t="s">
        <v>722</v>
      </c>
      <c r="D8717">
        <v>2015</v>
      </c>
      <c r="E8717" s="2">
        <v>5</v>
      </c>
      <c r="F8717" s="2">
        <v>450</v>
      </c>
      <c r="G8717" s="2"/>
    </row>
    <row r="8718" spans="1:7" x14ac:dyDescent="0.3">
      <c r="A8718" t="s">
        <v>2577</v>
      </c>
      <c r="B8718" t="s">
        <v>696</v>
      </c>
      <c r="C8718" t="s">
        <v>697</v>
      </c>
      <c r="D8718">
        <v>2018</v>
      </c>
      <c r="E8718" s="2">
        <v>25</v>
      </c>
      <c r="F8718" s="2">
        <v>1875</v>
      </c>
      <c r="G8718" s="2">
        <v>1968.75</v>
      </c>
    </row>
    <row r="8719" spans="1:7" x14ac:dyDescent="0.3">
      <c r="A8719" t="s">
        <v>2577</v>
      </c>
      <c r="B8719" t="s">
        <v>184</v>
      </c>
      <c r="C8719" t="s">
        <v>185</v>
      </c>
      <c r="D8719">
        <v>2017</v>
      </c>
      <c r="E8719" s="2">
        <v>50</v>
      </c>
      <c r="F8719" s="2">
        <v>2700</v>
      </c>
      <c r="G8719" s="2"/>
    </row>
    <row r="8720" spans="1:7" x14ac:dyDescent="0.3">
      <c r="A8720" t="s">
        <v>2577</v>
      </c>
      <c r="B8720" t="s">
        <v>184</v>
      </c>
      <c r="C8720" t="s">
        <v>185</v>
      </c>
      <c r="D8720">
        <v>2018</v>
      </c>
      <c r="E8720" s="2">
        <v>25</v>
      </c>
      <c r="F8720" s="2">
        <v>1350</v>
      </c>
      <c r="G8720" s="2">
        <v>1417.5</v>
      </c>
    </row>
    <row r="8721" spans="1:7" x14ac:dyDescent="0.3">
      <c r="A8721" t="s">
        <v>2577</v>
      </c>
      <c r="B8721" t="s">
        <v>567</v>
      </c>
      <c r="C8721" t="s">
        <v>698</v>
      </c>
      <c r="D8721">
        <v>2016</v>
      </c>
      <c r="E8721" s="2">
        <v>25</v>
      </c>
      <c r="F8721" s="2">
        <v>1200</v>
      </c>
      <c r="G8721" s="2"/>
    </row>
    <row r="8722" spans="1:7" x14ac:dyDescent="0.3">
      <c r="A8722" t="s">
        <v>2577</v>
      </c>
      <c r="B8722" t="s">
        <v>567</v>
      </c>
      <c r="C8722" t="s">
        <v>698</v>
      </c>
      <c r="D8722">
        <v>2018</v>
      </c>
      <c r="E8722" s="2">
        <v>50</v>
      </c>
      <c r="F8722" s="2">
        <v>2400</v>
      </c>
      <c r="G8722" s="2">
        <v>2520</v>
      </c>
    </row>
    <row r="8723" spans="1:7" x14ac:dyDescent="0.3">
      <c r="A8723" t="s">
        <v>2577</v>
      </c>
      <c r="B8723" t="s">
        <v>19</v>
      </c>
      <c r="C8723" t="s">
        <v>20</v>
      </c>
      <c r="D8723">
        <v>2016</v>
      </c>
      <c r="E8723" s="2">
        <v>25</v>
      </c>
      <c r="F8723" s="2">
        <v>1250</v>
      </c>
      <c r="G8723" s="2"/>
    </row>
    <row r="8724" spans="1:7" x14ac:dyDescent="0.3">
      <c r="A8724" t="s">
        <v>2577</v>
      </c>
      <c r="B8724" t="s">
        <v>19</v>
      </c>
      <c r="C8724" t="s">
        <v>20</v>
      </c>
      <c r="D8724">
        <v>2017</v>
      </c>
      <c r="E8724" s="2">
        <v>25</v>
      </c>
      <c r="F8724" s="2">
        <v>1250</v>
      </c>
      <c r="G8724" s="2"/>
    </row>
    <row r="8725" spans="1:7" x14ac:dyDescent="0.3">
      <c r="A8725" t="s">
        <v>2577</v>
      </c>
      <c r="B8725" t="s">
        <v>19</v>
      </c>
      <c r="C8725" t="s">
        <v>20</v>
      </c>
      <c r="D8725">
        <v>2018</v>
      </c>
      <c r="E8725" s="2">
        <v>200</v>
      </c>
      <c r="F8725" s="2">
        <v>10375</v>
      </c>
      <c r="G8725" s="2">
        <v>10893.75</v>
      </c>
    </row>
    <row r="8726" spans="1:7" x14ac:dyDescent="0.3">
      <c r="A8726" t="s">
        <v>2577</v>
      </c>
      <c r="B8726" t="s">
        <v>269</v>
      </c>
      <c r="C8726" t="s">
        <v>270</v>
      </c>
      <c r="D8726">
        <v>2016</v>
      </c>
      <c r="E8726" s="2">
        <v>50</v>
      </c>
      <c r="F8726" s="2">
        <v>3500</v>
      </c>
      <c r="G8726" s="2"/>
    </row>
    <row r="8727" spans="1:7" x14ac:dyDescent="0.3">
      <c r="A8727" t="s">
        <v>2577</v>
      </c>
      <c r="B8727" t="s">
        <v>269</v>
      </c>
      <c r="C8727" t="s">
        <v>270</v>
      </c>
      <c r="D8727">
        <v>2017</v>
      </c>
      <c r="E8727" s="2">
        <v>50</v>
      </c>
      <c r="F8727" s="2">
        <v>3500</v>
      </c>
      <c r="G8727" s="2"/>
    </row>
    <row r="8728" spans="1:7" x14ac:dyDescent="0.3">
      <c r="A8728" t="s">
        <v>2577</v>
      </c>
      <c r="B8728" t="s">
        <v>269</v>
      </c>
      <c r="C8728" t="s">
        <v>270</v>
      </c>
      <c r="D8728">
        <v>2018</v>
      </c>
      <c r="E8728" s="2">
        <v>50</v>
      </c>
      <c r="F8728" s="2">
        <v>3500</v>
      </c>
      <c r="G8728" s="2">
        <v>3675</v>
      </c>
    </row>
    <row r="8729" spans="1:7" x14ac:dyDescent="0.3">
      <c r="A8729" t="s">
        <v>2577</v>
      </c>
      <c r="B8729" t="s">
        <v>2543</v>
      </c>
      <c r="C8729" t="s">
        <v>20</v>
      </c>
      <c r="D8729">
        <v>2017</v>
      </c>
      <c r="E8729" s="2">
        <v>75</v>
      </c>
      <c r="F8729" s="2">
        <v>3750</v>
      </c>
      <c r="G8729" s="2"/>
    </row>
    <row r="8730" spans="1:7" x14ac:dyDescent="0.3">
      <c r="A8730" t="s">
        <v>2577</v>
      </c>
      <c r="B8730" t="s">
        <v>2543</v>
      </c>
      <c r="C8730" t="s">
        <v>20</v>
      </c>
      <c r="D8730">
        <v>2018</v>
      </c>
      <c r="E8730" s="2">
        <v>25</v>
      </c>
      <c r="F8730" s="2">
        <v>1250</v>
      </c>
      <c r="G8730" s="2">
        <v>1312.5</v>
      </c>
    </row>
    <row r="8731" spans="1:7" x14ac:dyDescent="0.3">
      <c r="A8731" t="s">
        <v>2577</v>
      </c>
      <c r="B8731" t="s">
        <v>41</v>
      </c>
      <c r="C8731" t="s">
        <v>42</v>
      </c>
      <c r="D8731">
        <v>2017</v>
      </c>
      <c r="E8731" s="2">
        <v>50</v>
      </c>
      <c r="F8731" s="2">
        <v>3000</v>
      </c>
      <c r="G8731" s="2"/>
    </row>
    <row r="8732" spans="1:7" x14ac:dyDescent="0.3">
      <c r="A8732" t="s">
        <v>2577</v>
      </c>
      <c r="B8732" t="s">
        <v>41</v>
      </c>
      <c r="C8732" t="s">
        <v>63</v>
      </c>
      <c r="D8732">
        <v>2017</v>
      </c>
      <c r="E8732" s="2">
        <v>200</v>
      </c>
      <c r="F8732" s="2">
        <v>12000</v>
      </c>
      <c r="G8732" s="2"/>
    </row>
    <row r="8733" spans="1:7" x14ac:dyDescent="0.3">
      <c r="A8733" t="s">
        <v>2577</v>
      </c>
      <c r="B8733" t="s">
        <v>41</v>
      </c>
      <c r="C8733" t="s">
        <v>42</v>
      </c>
      <c r="D8733">
        <v>2018</v>
      </c>
      <c r="E8733" s="2">
        <v>25</v>
      </c>
      <c r="F8733" s="2">
        <v>150</v>
      </c>
      <c r="G8733" s="2">
        <v>157.5</v>
      </c>
    </row>
    <row r="8734" spans="1:7" x14ac:dyDescent="0.3">
      <c r="A8734" t="s">
        <v>2577</v>
      </c>
      <c r="B8734" t="s">
        <v>41</v>
      </c>
      <c r="C8734" t="s">
        <v>63</v>
      </c>
      <c r="D8734">
        <v>2018</v>
      </c>
      <c r="E8734" s="2">
        <v>100</v>
      </c>
      <c r="F8734" s="2">
        <v>6000</v>
      </c>
      <c r="G8734" s="2">
        <v>6300</v>
      </c>
    </row>
    <row r="8735" spans="1:7" x14ac:dyDescent="0.3">
      <c r="A8735" t="s">
        <v>2577</v>
      </c>
      <c r="B8735" t="s">
        <v>995</v>
      </c>
      <c r="C8735" t="s">
        <v>672</v>
      </c>
      <c r="D8735">
        <v>2018</v>
      </c>
      <c r="E8735" s="2">
        <v>125</v>
      </c>
      <c r="F8735" s="2">
        <v>7500</v>
      </c>
      <c r="G8735" s="2">
        <v>7875</v>
      </c>
    </row>
    <row r="8736" spans="1:7" x14ac:dyDescent="0.3">
      <c r="A8736" t="s">
        <v>2577</v>
      </c>
      <c r="B8736" t="s">
        <v>471</v>
      </c>
      <c r="C8736" t="s">
        <v>472</v>
      </c>
      <c r="D8736">
        <v>2016</v>
      </c>
      <c r="E8736" s="2">
        <v>25</v>
      </c>
      <c r="F8736" s="2">
        <v>2000</v>
      </c>
      <c r="G8736" s="2"/>
    </row>
    <row r="8737" spans="1:7" x14ac:dyDescent="0.3">
      <c r="A8737" t="s">
        <v>2577</v>
      </c>
      <c r="B8737" t="s">
        <v>471</v>
      </c>
      <c r="C8737" t="s">
        <v>472</v>
      </c>
      <c r="D8737">
        <v>2017</v>
      </c>
      <c r="E8737" s="2">
        <v>75</v>
      </c>
      <c r="F8737" s="2">
        <v>6000</v>
      </c>
      <c r="G8737" s="2"/>
    </row>
    <row r="8738" spans="1:7" x14ac:dyDescent="0.3">
      <c r="A8738" t="s">
        <v>2577</v>
      </c>
      <c r="B8738" t="s">
        <v>471</v>
      </c>
      <c r="C8738" t="s">
        <v>472</v>
      </c>
      <c r="D8738">
        <v>2018</v>
      </c>
      <c r="E8738" s="2">
        <v>100</v>
      </c>
      <c r="F8738" s="2">
        <v>8000</v>
      </c>
      <c r="G8738" s="2">
        <v>8400</v>
      </c>
    </row>
    <row r="8739" spans="1:7" x14ac:dyDescent="0.3">
      <c r="A8739" t="s">
        <v>2577</v>
      </c>
      <c r="B8739" t="s">
        <v>187</v>
      </c>
      <c r="C8739" t="s">
        <v>188</v>
      </c>
      <c r="D8739">
        <v>2016</v>
      </c>
      <c r="E8739" s="2">
        <v>20</v>
      </c>
      <c r="F8739" s="2">
        <v>1660</v>
      </c>
      <c r="G8739" s="2"/>
    </row>
    <row r="8740" spans="1:7" x14ac:dyDescent="0.3">
      <c r="A8740" t="s">
        <v>2577</v>
      </c>
      <c r="B8740" t="s">
        <v>473</v>
      </c>
      <c r="C8740" t="s">
        <v>747</v>
      </c>
      <c r="D8740">
        <v>2015</v>
      </c>
      <c r="E8740" s="2">
        <v>5</v>
      </c>
      <c r="F8740" s="2">
        <v>475</v>
      </c>
      <c r="G8740" s="2"/>
    </row>
    <row r="8741" spans="1:7" x14ac:dyDescent="0.3">
      <c r="A8741" t="s">
        <v>2577</v>
      </c>
      <c r="B8741" t="s">
        <v>438</v>
      </c>
      <c r="C8741" t="s">
        <v>439</v>
      </c>
      <c r="D8741">
        <v>2016</v>
      </c>
      <c r="E8741" s="2">
        <v>20</v>
      </c>
      <c r="F8741" s="2">
        <v>1600</v>
      </c>
      <c r="G8741" s="2"/>
    </row>
    <row r="8742" spans="1:7" x14ac:dyDescent="0.3">
      <c r="A8742" t="s">
        <v>2577</v>
      </c>
      <c r="B8742" t="s">
        <v>438</v>
      </c>
      <c r="C8742" t="s">
        <v>439</v>
      </c>
      <c r="D8742">
        <v>2017</v>
      </c>
      <c r="E8742" s="2">
        <v>50</v>
      </c>
      <c r="F8742" s="2">
        <v>4000</v>
      </c>
      <c r="G8742" s="2"/>
    </row>
    <row r="8743" spans="1:7" x14ac:dyDescent="0.3">
      <c r="A8743" t="s">
        <v>2577</v>
      </c>
      <c r="B8743" t="s">
        <v>314</v>
      </c>
      <c r="C8743" t="s">
        <v>315</v>
      </c>
      <c r="D8743">
        <v>2015</v>
      </c>
      <c r="E8743" s="2">
        <v>5</v>
      </c>
      <c r="F8743" s="2">
        <v>475</v>
      </c>
      <c r="G8743" s="2"/>
    </row>
    <row r="8744" spans="1:7" x14ac:dyDescent="0.3">
      <c r="A8744" t="s">
        <v>2577</v>
      </c>
      <c r="B8744" t="s">
        <v>314</v>
      </c>
      <c r="C8744" t="s">
        <v>315</v>
      </c>
      <c r="D8744">
        <v>2016</v>
      </c>
      <c r="E8744" s="2">
        <v>50</v>
      </c>
      <c r="F8744" s="2">
        <v>4250</v>
      </c>
      <c r="G8744" s="2"/>
    </row>
    <row r="8745" spans="1:7" x14ac:dyDescent="0.3">
      <c r="A8745" t="s">
        <v>2577</v>
      </c>
      <c r="B8745" t="s">
        <v>314</v>
      </c>
      <c r="C8745" t="s">
        <v>315</v>
      </c>
      <c r="D8745">
        <v>2017</v>
      </c>
      <c r="E8745" s="2">
        <v>50</v>
      </c>
      <c r="F8745" s="2">
        <v>4250</v>
      </c>
      <c r="G8745" s="2"/>
    </row>
    <row r="8746" spans="1:7" x14ac:dyDescent="0.3">
      <c r="A8746" t="s">
        <v>2577</v>
      </c>
      <c r="B8746" t="s">
        <v>314</v>
      </c>
      <c r="C8746" t="s">
        <v>315</v>
      </c>
      <c r="D8746">
        <v>2018</v>
      </c>
      <c r="E8746" s="2">
        <v>100</v>
      </c>
      <c r="F8746" s="2">
        <v>6775</v>
      </c>
      <c r="G8746" s="2">
        <v>7113.75</v>
      </c>
    </row>
    <row r="8747" spans="1:7" x14ac:dyDescent="0.3">
      <c r="A8747" t="s">
        <v>2577</v>
      </c>
      <c r="B8747" t="s">
        <v>2578</v>
      </c>
      <c r="C8747" t="s">
        <v>1026</v>
      </c>
      <c r="D8747">
        <v>2017</v>
      </c>
      <c r="E8747" s="2">
        <v>50</v>
      </c>
      <c r="F8747" s="2">
        <v>2750</v>
      </c>
      <c r="G8747" s="2"/>
    </row>
    <row r="8748" spans="1:7" x14ac:dyDescent="0.3">
      <c r="A8748" t="s">
        <v>2577</v>
      </c>
      <c r="B8748" t="s">
        <v>2578</v>
      </c>
      <c r="C8748" t="s">
        <v>1026</v>
      </c>
      <c r="D8748">
        <v>2018</v>
      </c>
      <c r="E8748" s="2">
        <v>50</v>
      </c>
      <c r="F8748" s="2">
        <v>2750</v>
      </c>
      <c r="G8748" s="2">
        <v>2887.5</v>
      </c>
    </row>
    <row r="8749" spans="1:7" x14ac:dyDescent="0.3">
      <c r="A8749" t="s">
        <v>2577</v>
      </c>
      <c r="B8749" t="s">
        <v>37</v>
      </c>
      <c r="D8749">
        <v>2018</v>
      </c>
      <c r="E8749" s="2">
        <v>10</v>
      </c>
      <c r="F8749" s="2">
        <v>750</v>
      </c>
      <c r="G8749" s="2">
        <v>787.5</v>
      </c>
    </row>
    <row r="8750" spans="1:7" x14ac:dyDescent="0.3">
      <c r="A8750" t="s">
        <v>2579</v>
      </c>
      <c r="B8750" t="s">
        <v>51</v>
      </c>
      <c r="C8750" t="s">
        <v>52</v>
      </c>
      <c r="D8750">
        <v>2017</v>
      </c>
      <c r="E8750" s="2">
        <v>1</v>
      </c>
      <c r="F8750" s="2">
        <v>110</v>
      </c>
      <c r="G8750" s="2"/>
    </row>
    <row r="8751" spans="1:7" x14ac:dyDescent="0.3">
      <c r="A8751" t="s">
        <v>2579</v>
      </c>
      <c r="B8751" t="s">
        <v>53</v>
      </c>
      <c r="C8751" t="s">
        <v>54</v>
      </c>
      <c r="D8751">
        <v>2017</v>
      </c>
      <c r="E8751" s="2">
        <v>1</v>
      </c>
      <c r="F8751" s="2">
        <v>125</v>
      </c>
      <c r="G8751" s="2"/>
    </row>
    <row r="8752" spans="1:7" x14ac:dyDescent="0.3">
      <c r="A8752" t="s">
        <v>2579</v>
      </c>
      <c r="B8752" t="s">
        <v>82</v>
      </c>
      <c r="C8752" t="s">
        <v>83</v>
      </c>
      <c r="D8752">
        <v>2019</v>
      </c>
      <c r="E8752" s="2">
        <v>1</v>
      </c>
      <c r="F8752" s="2">
        <v>500</v>
      </c>
      <c r="G8752" s="2">
        <v>525</v>
      </c>
    </row>
    <row r="8753" spans="1:7" x14ac:dyDescent="0.3">
      <c r="A8753" t="s">
        <v>2579</v>
      </c>
      <c r="B8753" t="s">
        <v>84</v>
      </c>
      <c r="C8753" t="s">
        <v>85</v>
      </c>
      <c r="D8753">
        <v>2017</v>
      </c>
      <c r="E8753" s="2">
        <v>1</v>
      </c>
      <c r="F8753" s="2">
        <v>110</v>
      </c>
      <c r="G8753" s="2"/>
    </row>
    <row r="8754" spans="1:7" x14ac:dyDescent="0.3">
      <c r="A8754" t="s">
        <v>2579</v>
      </c>
      <c r="B8754" t="s">
        <v>84</v>
      </c>
      <c r="C8754" t="s">
        <v>85</v>
      </c>
      <c r="D8754">
        <v>2018</v>
      </c>
      <c r="E8754" s="2">
        <v>2</v>
      </c>
      <c r="F8754" s="2">
        <v>220</v>
      </c>
      <c r="G8754" s="2">
        <v>231</v>
      </c>
    </row>
    <row r="8755" spans="1:7" x14ac:dyDescent="0.3">
      <c r="A8755" t="s">
        <v>2579</v>
      </c>
      <c r="B8755" t="s">
        <v>280</v>
      </c>
      <c r="C8755" t="s">
        <v>224</v>
      </c>
      <c r="D8755">
        <v>2017</v>
      </c>
      <c r="E8755" s="2">
        <v>1</v>
      </c>
      <c r="F8755" s="2">
        <v>110</v>
      </c>
      <c r="G8755" s="2"/>
    </row>
    <row r="8756" spans="1:7" x14ac:dyDescent="0.3">
      <c r="A8756" t="s">
        <v>2579</v>
      </c>
      <c r="B8756" t="s">
        <v>553</v>
      </c>
      <c r="C8756" t="s">
        <v>292</v>
      </c>
      <c r="D8756">
        <v>2017</v>
      </c>
      <c r="E8756" s="2">
        <v>1</v>
      </c>
      <c r="F8756" s="2">
        <v>100</v>
      </c>
      <c r="G8756" s="2"/>
    </row>
    <row r="8757" spans="1:7" x14ac:dyDescent="0.3">
      <c r="A8757" t="s">
        <v>2579</v>
      </c>
      <c r="B8757" t="s">
        <v>553</v>
      </c>
      <c r="C8757" t="s">
        <v>292</v>
      </c>
      <c r="D8757">
        <v>2018</v>
      </c>
      <c r="E8757" s="2">
        <v>1</v>
      </c>
      <c r="F8757" s="2">
        <v>100</v>
      </c>
      <c r="G8757" s="2"/>
    </row>
    <row r="8758" spans="1:7" x14ac:dyDescent="0.3">
      <c r="A8758" t="s">
        <v>2579</v>
      </c>
      <c r="B8758" t="s">
        <v>614</v>
      </c>
      <c r="C8758" t="s">
        <v>141</v>
      </c>
      <c r="D8758">
        <v>2017</v>
      </c>
      <c r="E8758" s="2">
        <v>1</v>
      </c>
      <c r="F8758" s="2">
        <v>90</v>
      </c>
      <c r="G8758" s="2"/>
    </row>
    <row r="8759" spans="1:7" x14ac:dyDescent="0.3">
      <c r="A8759" t="s">
        <v>2579</v>
      </c>
      <c r="B8759" t="s">
        <v>180</v>
      </c>
      <c r="C8759" t="s">
        <v>181</v>
      </c>
      <c r="D8759">
        <v>2017</v>
      </c>
      <c r="E8759" s="2">
        <v>1</v>
      </c>
      <c r="F8759" s="2">
        <v>110</v>
      </c>
      <c r="G8759" s="2"/>
    </row>
    <row r="8760" spans="1:7" x14ac:dyDescent="0.3">
      <c r="A8760" t="s">
        <v>2579</v>
      </c>
      <c r="B8760" t="s">
        <v>180</v>
      </c>
      <c r="C8760" t="s">
        <v>181</v>
      </c>
      <c r="D8760">
        <v>2018</v>
      </c>
      <c r="E8760" s="2">
        <v>1</v>
      </c>
      <c r="F8760" s="2">
        <v>110</v>
      </c>
      <c r="G8760" s="2">
        <v>115.5</v>
      </c>
    </row>
    <row r="8761" spans="1:7" x14ac:dyDescent="0.3">
      <c r="A8761" t="s">
        <v>2579</v>
      </c>
      <c r="B8761" t="s">
        <v>288</v>
      </c>
      <c r="C8761" t="s">
        <v>289</v>
      </c>
      <c r="D8761">
        <v>2017</v>
      </c>
      <c r="E8761" s="2">
        <v>1</v>
      </c>
      <c r="F8761" s="2">
        <v>90</v>
      </c>
      <c r="G8761" s="2"/>
    </row>
    <row r="8762" spans="1:7" x14ac:dyDescent="0.3">
      <c r="A8762" t="s">
        <v>2579</v>
      </c>
      <c r="B8762" t="s">
        <v>60</v>
      </c>
      <c r="C8762" t="s">
        <v>61</v>
      </c>
      <c r="D8762">
        <v>2017</v>
      </c>
      <c r="E8762" s="2">
        <v>1</v>
      </c>
      <c r="F8762" s="2">
        <v>110</v>
      </c>
      <c r="G8762" s="2"/>
    </row>
    <row r="8763" spans="1:7" x14ac:dyDescent="0.3">
      <c r="A8763" t="s">
        <v>2579</v>
      </c>
      <c r="B8763" t="s">
        <v>120</v>
      </c>
      <c r="C8763" t="s">
        <v>121</v>
      </c>
      <c r="D8763">
        <v>2017</v>
      </c>
      <c r="E8763" s="2">
        <v>1</v>
      </c>
      <c r="F8763" s="2">
        <v>110</v>
      </c>
      <c r="G8763" s="2"/>
    </row>
    <row r="8764" spans="1:7" x14ac:dyDescent="0.3">
      <c r="A8764" t="s">
        <v>2579</v>
      </c>
      <c r="B8764" t="s">
        <v>120</v>
      </c>
      <c r="C8764" t="s">
        <v>121</v>
      </c>
      <c r="D8764">
        <v>2019</v>
      </c>
      <c r="E8764" s="2">
        <v>1</v>
      </c>
      <c r="F8764" s="2">
        <v>215</v>
      </c>
      <c r="G8764" s="2">
        <v>225.75</v>
      </c>
    </row>
    <row r="8765" spans="1:7" x14ac:dyDescent="0.3">
      <c r="A8765" t="s">
        <v>2579</v>
      </c>
      <c r="B8765" t="s">
        <v>307</v>
      </c>
      <c r="C8765" t="s">
        <v>132</v>
      </c>
      <c r="D8765">
        <v>2017</v>
      </c>
      <c r="E8765" s="2">
        <v>1</v>
      </c>
      <c r="F8765" s="2">
        <v>110</v>
      </c>
      <c r="G8765" s="2"/>
    </row>
    <row r="8766" spans="1:7" x14ac:dyDescent="0.3">
      <c r="A8766" t="s">
        <v>2579</v>
      </c>
      <c r="B8766" t="s">
        <v>135</v>
      </c>
      <c r="C8766" t="s">
        <v>136</v>
      </c>
      <c r="D8766">
        <v>2017</v>
      </c>
      <c r="E8766" s="2">
        <v>1</v>
      </c>
      <c r="F8766" s="2">
        <v>110</v>
      </c>
      <c r="G8766" s="2"/>
    </row>
    <row r="8767" spans="1:7" x14ac:dyDescent="0.3">
      <c r="A8767" t="s">
        <v>2579</v>
      </c>
      <c r="B8767" t="s">
        <v>2580</v>
      </c>
      <c r="C8767" t="s">
        <v>1095</v>
      </c>
      <c r="D8767">
        <v>2017</v>
      </c>
      <c r="E8767" s="2">
        <v>1</v>
      </c>
      <c r="F8767" s="2">
        <v>90</v>
      </c>
      <c r="G8767" s="2"/>
    </row>
    <row r="8768" spans="1:7" x14ac:dyDescent="0.3">
      <c r="A8768" t="s">
        <v>2579</v>
      </c>
      <c r="B8768" t="s">
        <v>2580</v>
      </c>
      <c r="C8768" t="s">
        <v>1095</v>
      </c>
      <c r="D8768">
        <v>2019</v>
      </c>
      <c r="E8768" s="2">
        <v>1</v>
      </c>
      <c r="F8768" s="2">
        <v>150</v>
      </c>
      <c r="G8768" s="2">
        <v>157.5</v>
      </c>
    </row>
    <row r="8769" spans="1:7" x14ac:dyDescent="0.3">
      <c r="A8769" t="s">
        <v>2579</v>
      </c>
      <c r="B8769" t="s">
        <v>72</v>
      </c>
      <c r="C8769" t="s">
        <v>73</v>
      </c>
      <c r="D8769">
        <v>2017</v>
      </c>
      <c r="E8769" s="2">
        <v>1</v>
      </c>
      <c r="F8769" s="2">
        <v>150</v>
      </c>
      <c r="G8769" s="2"/>
    </row>
    <row r="8770" spans="1:7" x14ac:dyDescent="0.3">
      <c r="A8770" t="s">
        <v>2579</v>
      </c>
      <c r="B8770" t="s">
        <v>320</v>
      </c>
      <c r="C8770" t="s">
        <v>321</v>
      </c>
      <c r="D8770">
        <v>2017</v>
      </c>
      <c r="E8770" s="2">
        <v>1</v>
      </c>
      <c r="F8770" s="2">
        <v>110</v>
      </c>
      <c r="G8770" s="2"/>
    </row>
    <row r="8771" spans="1:7" x14ac:dyDescent="0.3">
      <c r="A8771" t="s">
        <v>2581</v>
      </c>
      <c r="B8771" t="s">
        <v>2582</v>
      </c>
      <c r="C8771" t="s">
        <v>2583</v>
      </c>
      <c r="D8771">
        <v>2012</v>
      </c>
      <c r="E8771" s="2">
        <v>40</v>
      </c>
      <c r="F8771" s="2">
        <v>9400</v>
      </c>
      <c r="G8771" s="2"/>
    </row>
    <row r="8772" spans="1:7" x14ac:dyDescent="0.3">
      <c r="A8772" t="s">
        <v>2581</v>
      </c>
      <c r="B8772" t="s">
        <v>41</v>
      </c>
      <c r="C8772" t="s">
        <v>42</v>
      </c>
      <c r="D8772">
        <v>2011</v>
      </c>
      <c r="E8772" s="2">
        <v>26</v>
      </c>
      <c r="F8772" s="2">
        <v>1820</v>
      </c>
      <c r="G8772" s="2"/>
    </row>
    <row r="8773" spans="1:7" x14ac:dyDescent="0.3">
      <c r="A8773" t="s">
        <v>2581</v>
      </c>
      <c r="B8773" t="s">
        <v>41</v>
      </c>
      <c r="C8773" t="s">
        <v>42</v>
      </c>
      <c r="D8773">
        <v>2012</v>
      </c>
      <c r="E8773" s="2">
        <v>50</v>
      </c>
      <c r="F8773" s="2">
        <v>3500</v>
      </c>
      <c r="G8773" s="2"/>
    </row>
    <row r="8774" spans="1:7" x14ac:dyDescent="0.3">
      <c r="A8774" t="s">
        <v>2581</v>
      </c>
      <c r="B8774" t="s">
        <v>41</v>
      </c>
      <c r="C8774" t="s">
        <v>42</v>
      </c>
      <c r="D8774">
        <v>2013</v>
      </c>
      <c r="E8774" s="2">
        <v>75</v>
      </c>
      <c r="F8774" s="2">
        <v>5625</v>
      </c>
      <c r="G8774" s="2"/>
    </row>
    <row r="8775" spans="1:7" x14ac:dyDescent="0.3">
      <c r="A8775" t="s">
        <v>2581</v>
      </c>
      <c r="B8775" t="s">
        <v>41</v>
      </c>
      <c r="C8775" t="s">
        <v>42</v>
      </c>
      <c r="D8775">
        <v>2015</v>
      </c>
      <c r="E8775" s="2">
        <v>50</v>
      </c>
      <c r="F8775" s="2">
        <v>3750</v>
      </c>
      <c r="G8775" s="2"/>
    </row>
    <row r="8776" spans="1:7" x14ac:dyDescent="0.3">
      <c r="A8776" t="s">
        <v>2581</v>
      </c>
      <c r="B8776" t="s">
        <v>41</v>
      </c>
      <c r="C8776" t="s">
        <v>42</v>
      </c>
      <c r="D8776">
        <v>2016</v>
      </c>
      <c r="E8776" s="2">
        <v>25</v>
      </c>
      <c r="F8776" s="2">
        <v>1875</v>
      </c>
      <c r="G8776" s="2"/>
    </row>
    <row r="8777" spans="1:7" x14ac:dyDescent="0.3">
      <c r="A8777" t="s">
        <v>2581</v>
      </c>
      <c r="B8777" t="s">
        <v>41</v>
      </c>
      <c r="C8777" t="s">
        <v>42</v>
      </c>
      <c r="D8777">
        <v>2017</v>
      </c>
      <c r="E8777" s="2">
        <v>50</v>
      </c>
      <c r="F8777" s="2">
        <v>3750</v>
      </c>
      <c r="G8777" s="2"/>
    </row>
    <row r="8778" spans="1:7" x14ac:dyDescent="0.3">
      <c r="A8778" t="s">
        <v>2581</v>
      </c>
      <c r="B8778" t="s">
        <v>2584</v>
      </c>
      <c r="C8778" t="s">
        <v>2585</v>
      </c>
      <c r="D8778">
        <v>2012</v>
      </c>
      <c r="E8778" s="2">
        <v>40</v>
      </c>
      <c r="F8778" s="2">
        <v>9800</v>
      </c>
      <c r="G8778" s="2"/>
    </row>
    <row r="8779" spans="1:7" x14ac:dyDescent="0.3">
      <c r="A8779" t="s">
        <v>2586</v>
      </c>
      <c r="B8779" t="s">
        <v>41</v>
      </c>
      <c r="C8779" t="s">
        <v>42</v>
      </c>
      <c r="D8779">
        <v>2018</v>
      </c>
      <c r="E8779" s="2">
        <v>50</v>
      </c>
      <c r="F8779" s="2">
        <v>4500</v>
      </c>
      <c r="G8779" s="2">
        <v>4725</v>
      </c>
    </row>
    <row r="8780" spans="1:7" x14ac:dyDescent="0.3">
      <c r="A8780" t="s">
        <v>2586</v>
      </c>
      <c r="B8780" t="s">
        <v>41</v>
      </c>
      <c r="C8780" t="s">
        <v>42</v>
      </c>
      <c r="D8780">
        <v>2020</v>
      </c>
      <c r="E8780" s="2">
        <v>25</v>
      </c>
      <c r="F8780" s="2">
        <v>2500</v>
      </c>
      <c r="G8780" s="2">
        <v>2625</v>
      </c>
    </row>
    <row r="8781" spans="1:7" x14ac:dyDescent="0.3">
      <c r="A8781" t="s">
        <v>2587</v>
      </c>
      <c r="B8781" t="s">
        <v>365</v>
      </c>
      <c r="C8781" t="s">
        <v>96</v>
      </c>
      <c r="D8781">
        <v>2021</v>
      </c>
      <c r="E8781" s="2">
        <v>15</v>
      </c>
      <c r="F8781" s="2">
        <v>1050</v>
      </c>
      <c r="G8781" s="2">
        <v>1102.5</v>
      </c>
    </row>
    <row r="8782" spans="1:7" x14ac:dyDescent="0.3">
      <c r="A8782" t="s">
        <v>2587</v>
      </c>
      <c r="B8782" t="s">
        <v>1221</v>
      </c>
      <c r="D8782">
        <v>2013</v>
      </c>
      <c r="E8782" s="2">
        <v>2</v>
      </c>
      <c r="F8782" s="2">
        <v>660</v>
      </c>
      <c r="G8782" s="2"/>
    </row>
    <row r="8783" spans="1:7" x14ac:dyDescent="0.3">
      <c r="A8783" t="s">
        <v>2587</v>
      </c>
      <c r="B8783" t="s">
        <v>184</v>
      </c>
      <c r="C8783" t="s">
        <v>185</v>
      </c>
      <c r="D8783">
        <v>2014</v>
      </c>
      <c r="E8783" s="2">
        <v>20</v>
      </c>
      <c r="F8783" s="2">
        <v>1400</v>
      </c>
      <c r="G8783" s="2"/>
    </row>
    <row r="8784" spans="1:7" x14ac:dyDescent="0.3">
      <c r="A8784" t="s">
        <v>2588</v>
      </c>
      <c r="B8784" t="s">
        <v>218</v>
      </c>
      <c r="C8784" t="s">
        <v>212</v>
      </c>
      <c r="D8784">
        <v>2010</v>
      </c>
      <c r="E8784" s="2">
        <v>5</v>
      </c>
      <c r="F8784" s="2">
        <v>1400</v>
      </c>
      <c r="G8784" s="2"/>
    </row>
    <row r="8785" spans="1:7" x14ac:dyDescent="0.3">
      <c r="A8785" t="s">
        <v>2588</v>
      </c>
      <c r="B8785" t="s">
        <v>219</v>
      </c>
      <c r="C8785" t="s">
        <v>220</v>
      </c>
      <c r="D8785">
        <v>2011</v>
      </c>
      <c r="E8785" s="2">
        <v>5</v>
      </c>
      <c r="F8785" s="2">
        <v>1150</v>
      </c>
      <c r="G8785" s="2"/>
    </row>
    <row r="8786" spans="1:7" x14ac:dyDescent="0.3">
      <c r="A8786" t="s">
        <v>2588</v>
      </c>
      <c r="B8786" t="s">
        <v>99</v>
      </c>
      <c r="C8786" t="s">
        <v>100</v>
      </c>
      <c r="D8786">
        <v>2010</v>
      </c>
      <c r="E8786" s="2">
        <v>10</v>
      </c>
      <c r="F8786" s="2">
        <v>2600</v>
      </c>
      <c r="G8786" s="2"/>
    </row>
    <row r="8787" spans="1:7" x14ac:dyDescent="0.3">
      <c r="A8787" t="s">
        <v>2588</v>
      </c>
      <c r="B8787" t="s">
        <v>99</v>
      </c>
      <c r="C8787" t="s">
        <v>100</v>
      </c>
      <c r="D8787">
        <v>2011</v>
      </c>
      <c r="E8787" s="2">
        <v>15</v>
      </c>
      <c r="F8787" s="2">
        <v>3900</v>
      </c>
      <c r="G8787" s="2"/>
    </row>
    <row r="8788" spans="1:7" x14ac:dyDescent="0.3">
      <c r="A8788" t="s">
        <v>2588</v>
      </c>
      <c r="B8788" t="s">
        <v>99</v>
      </c>
      <c r="C8788" t="s">
        <v>100</v>
      </c>
      <c r="D8788">
        <v>2012</v>
      </c>
      <c r="E8788" s="2">
        <v>25</v>
      </c>
      <c r="F8788" s="2">
        <v>5375</v>
      </c>
      <c r="G8788" s="2"/>
    </row>
    <row r="8789" spans="1:7" x14ac:dyDescent="0.3">
      <c r="A8789" t="s">
        <v>2588</v>
      </c>
      <c r="B8789" t="s">
        <v>99</v>
      </c>
      <c r="C8789" t="s">
        <v>100</v>
      </c>
      <c r="D8789">
        <v>2015</v>
      </c>
      <c r="E8789" s="2">
        <v>5</v>
      </c>
      <c r="F8789" s="2">
        <v>925</v>
      </c>
      <c r="G8789" s="2"/>
    </row>
    <row r="8790" spans="1:7" x14ac:dyDescent="0.3">
      <c r="A8790" t="s">
        <v>2588</v>
      </c>
      <c r="B8790" t="s">
        <v>153</v>
      </c>
      <c r="C8790" t="s">
        <v>154</v>
      </c>
      <c r="D8790">
        <v>2010</v>
      </c>
      <c r="E8790" s="2">
        <v>35</v>
      </c>
      <c r="F8790" s="2">
        <v>6450</v>
      </c>
      <c r="G8790" s="2"/>
    </row>
    <row r="8791" spans="1:7" x14ac:dyDescent="0.3">
      <c r="A8791" t="s">
        <v>2588</v>
      </c>
      <c r="B8791" t="s">
        <v>153</v>
      </c>
      <c r="C8791" t="s">
        <v>154</v>
      </c>
      <c r="D8791">
        <v>2012</v>
      </c>
      <c r="E8791" s="2">
        <v>5</v>
      </c>
      <c r="F8791" s="2">
        <v>1000</v>
      </c>
      <c r="G8791" s="2"/>
    </row>
    <row r="8792" spans="1:7" x14ac:dyDescent="0.3">
      <c r="A8792" t="s">
        <v>2588</v>
      </c>
      <c r="B8792" t="s">
        <v>153</v>
      </c>
      <c r="C8792" t="s">
        <v>154</v>
      </c>
      <c r="D8792">
        <v>2014</v>
      </c>
      <c r="E8792" s="2">
        <v>10</v>
      </c>
      <c r="F8792" s="2">
        <v>2000</v>
      </c>
      <c r="G8792" s="2"/>
    </row>
    <row r="8793" spans="1:7" x14ac:dyDescent="0.3">
      <c r="A8793" t="s">
        <v>2588</v>
      </c>
      <c r="B8793" t="s">
        <v>325</v>
      </c>
      <c r="C8793" t="s">
        <v>326</v>
      </c>
      <c r="D8793">
        <v>2010</v>
      </c>
      <c r="E8793" s="2">
        <v>5</v>
      </c>
      <c r="F8793" s="2">
        <v>1425</v>
      </c>
      <c r="G8793" s="2"/>
    </row>
    <row r="8794" spans="1:7" x14ac:dyDescent="0.3">
      <c r="A8794" t="s">
        <v>2588</v>
      </c>
      <c r="B8794" t="s">
        <v>325</v>
      </c>
      <c r="C8794" t="s">
        <v>326</v>
      </c>
      <c r="D8794">
        <v>2011</v>
      </c>
      <c r="E8794" s="2">
        <v>30</v>
      </c>
      <c r="F8794" s="2">
        <v>7650</v>
      </c>
      <c r="G8794" s="2"/>
    </row>
    <row r="8795" spans="1:7" x14ac:dyDescent="0.3">
      <c r="A8795" t="s">
        <v>2588</v>
      </c>
      <c r="B8795" t="s">
        <v>325</v>
      </c>
      <c r="C8795" t="s">
        <v>326</v>
      </c>
      <c r="D8795">
        <v>2012</v>
      </c>
      <c r="E8795" s="2">
        <v>25</v>
      </c>
      <c r="F8795" s="2">
        <v>5625</v>
      </c>
      <c r="G8795" s="2"/>
    </row>
    <row r="8796" spans="1:7" x14ac:dyDescent="0.3">
      <c r="A8796" t="s">
        <v>2588</v>
      </c>
      <c r="B8796" t="s">
        <v>325</v>
      </c>
      <c r="C8796" t="s">
        <v>326</v>
      </c>
      <c r="D8796">
        <v>2013</v>
      </c>
      <c r="E8796" s="2">
        <v>25</v>
      </c>
      <c r="F8796" s="2">
        <v>5500</v>
      </c>
      <c r="G8796" s="2"/>
    </row>
    <row r="8797" spans="1:7" x14ac:dyDescent="0.3">
      <c r="A8797" t="s">
        <v>2588</v>
      </c>
      <c r="B8797" t="s">
        <v>325</v>
      </c>
      <c r="C8797" t="s">
        <v>326</v>
      </c>
      <c r="D8797">
        <v>2014</v>
      </c>
      <c r="E8797" s="2">
        <v>25</v>
      </c>
      <c r="F8797" s="2">
        <v>5500</v>
      </c>
      <c r="G8797" s="2"/>
    </row>
    <row r="8798" spans="1:7" x14ac:dyDescent="0.3">
      <c r="A8798" t="s">
        <v>2588</v>
      </c>
      <c r="B8798" t="s">
        <v>325</v>
      </c>
      <c r="C8798" t="s">
        <v>326</v>
      </c>
      <c r="D8798">
        <v>2016</v>
      </c>
      <c r="E8798" s="2">
        <v>25</v>
      </c>
      <c r="F8798" s="2">
        <v>5500</v>
      </c>
      <c r="G8798" s="2"/>
    </row>
    <row r="8799" spans="1:7" x14ac:dyDescent="0.3">
      <c r="A8799" t="s">
        <v>2589</v>
      </c>
      <c r="B8799" t="s">
        <v>581</v>
      </c>
      <c r="C8799" t="s">
        <v>582</v>
      </c>
      <c r="D8799">
        <v>2015</v>
      </c>
      <c r="E8799" s="2">
        <v>5</v>
      </c>
      <c r="F8799" s="2">
        <v>1000</v>
      </c>
      <c r="G8799" s="2"/>
    </row>
    <row r="8800" spans="1:7" x14ac:dyDescent="0.3">
      <c r="A8800" t="s">
        <v>2589</v>
      </c>
      <c r="B8800" t="s">
        <v>581</v>
      </c>
      <c r="C8800" t="s">
        <v>582</v>
      </c>
      <c r="D8800">
        <v>2016</v>
      </c>
      <c r="E8800" s="2">
        <v>5</v>
      </c>
      <c r="F8800" s="2">
        <v>1000</v>
      </c>
      <c r="G8800" s="2"/>
    </row>
    <row r="8801" spans="1:7" x14ac:dyDescent="0.3">
      <c r="A8801" t="s">
        <v>2589</v>
      </c>
      <c r="B8801" t="s">
        <v>581</v>
      </c>
      <c r="C8801" t="s">
        <v>582</v>
      </c>
      <c r="D8801">
        <v>2017</v>
      </c>
      <c r="E8801" s="2">
        <v>2</v>
      </c>
      <c r="F8801" s="2">
        <v>400</v>
      </c>
      <c r="G8801" s="2"/>
    </row>
    <row r="8802" spans="1:7" x14ac:dyDescent="0.3">
      <c r="A8802" t="s">
        <v>2589</v>
      </c>
      <c r="B8802" t="s">
        <v>581</v>
      </c>
      <c r="C8802" t="s">
        <v>582</v>
      </c>
      <c r="D8802">
        <v>2018</v>
      </c>
      <c r="E8802" s="2">
        <v>2</v>
      </c>
      <c r="F8802" s="2">
        <v>400</v>
      </c>
      <c r="G8802" s="2">
        <v>420</v>
      </c>
    </row>
    <row r="8803" spans="1:7" x14ac:dyDescent="0.3">
      <c r="A8803" t="s">
        <v>2589</v>
      </c>
      <c r="B8803" t="s">
        <v>586</v>
      </c>
      <c r="C8803" t="s">
        <v>587</v>
      </c>
      <c r="D8803">
        <v>2020</v>
      </c>
      <c r="E8803" s="2">
        <v>4</v>
      </c>
      <c r="F8803" s="2">
        <v>800</v>
      </c>
      <c r="G8803" s="2">
        <v>840</v>
      </c>
    </row>
    <row r="8804" spans="1:7" x14ac:dyDescent="0.3">
      <c r="A8804" t="s">
        <v>2589</v>
      </c>
      <c r="B8804" t="s">
        <v>218</v>
      </c>
      <c r="C8804" t="s">
        <v>212</v>
      </c>
      <c r="D8804">
        <v>2015</v>
      </c>
      <c r="E8804" s="2">
        <v>3</v>
      </c>
      <c r="F8804" s="2">
        <v>630</v>
      </c>
      <c r="G8804" s="2"/>
    </row>
    <row r="8805" spans="1:7" x14ac:dyDescent="0.3">
      <c r="A8805" t="s">
        <v>2589</v>
      </c>
      <c r="B8805" t="s">
        <v>218</v>
      </c>
      <c r="C8805" t="s">
        <v>212</v>
      </c>
      <c r="D8805">
        <v>2017</v>
      </c>
      <c r="E8805" s="2">
        <v>2</v>
      </c>
      <c r="F8805" s="2">
        <v>420</v>
      </c>
      <c r="G8805" s="2"/>
    </row>
    <row r="8806" spans="1:7" x14ac:dyDescent="0.3">
      <c r="A8806" t="s">
        <v>2589</v>
      </c>
      <c r="B8806" t="s">
        <v>395</v>
      </c>
      <c r="D8806">
        <v>2017</v>
      </c>
      <c r="E8806" s="2">
        <v>1</v>
      </c>
      <c r="F8806" s="2">
        <v>560</v>
      </c>
      <c r="G8806" s="2"/>
    </row>
    <row r="8807" spans="1:7" x14ac:dyDescent="0.3">
      <c r="A8807" t="s">
        <v>2589</v>
      </c>
      <c r="B8807" t="s">
        <v>206</v>
      </c>
      <c r="C8807" t="s">
        <v>207</v>
      </c>
      <c r="D8807">
        <v>2017</v>
      </c>
      <c r="E8807" s="2">
        <v>1</v>
      </c>
      <c r="F8807" s="2">
        <v>210</v>
      </c>
      <c r="G8807" s="2"/>
    </row>
    <row r="8808" spans="1:7" x14ac:dyDescent="0.3">
      <c r="A8808" t="s">
        <v>2589</v>
      </c>
      <c r="B8808" t="s">
        <v>614</v>
      </c>
      <c r="C8808" t="s">
        <v>141</v>
      </c>
      <c r="D8808">
        <v>2015</v>
      </c>
      <c r="E8808" s="2">
        <v>5</v>
      </c>
      <c r="F8808" s="2">
        <v>550</v>
      </c>
      <c r="G8808" s="2"/>
    </row>
    <row r="8809" spans="1:7" x14ac:dyDescent="0.3">
      <c r="A8809" t="s">
        <v>2589</v>
      </c>
      <c r="B8809" t="s">
        <v>400</v>
      </c>
      <c r="D8809">
        <v>2019</v>
      </c>
      <c r="E8809" s="2">
        <v>1</v>
      </c>
      <c r="F8809" s="2">
        <v>220</v>
      </c>
      <c r="G8809" s="2">
        <v>231</v>
      </c>
    </row>
    <row r="8810" spans="1:7" x14ac:dyDescent="0.3">
      <c r="A8810" t="s">
        <v>2589</v>
      </c>
      <c r="B8810" t="s">
        <v>99</v>
      </c>
      <c r="C8810" t="s">
        <v>100</v>
      </c>
      <c r="D8810">
        <v>2015</v>
      </c>
      <c r="E8810" s="2">
        <v>5</v>
      </c>
      <c r="F8810" s="2">
        <v>900</v>
      </c>
      <c r="G8810" s="2"/>
    </row>
    <row r="8811" spans="1:7" x14ac:dyDescent="0.3">
      <c r="A8811" t="s">
        <v>2589</v>
      </c>
      <c r="B8811" t="s">
        <v>99</v>
      </c>
      <c r="C8811" t="s">
        <v>100</v>
      </c>
      <c r="D8811">
        <v>2016</v>
      </c>
      <c r="E8811" s="2">
        <v>5</v>
      </c>
      <c r="F8811" s="2">
        <v>900</v>
      </c>
      <c r="G8811" s="2"/>
    </row>
    <row r="8812" spans="1:7" x14ac:dyDescent="0.3">
      <c r="A8812" t="s">
        <v>2589</v>
      </c>
      <c r="B8812" t="s">
        <v>99</v>
      </c>
      <c r="C8812" t="s">
        <v>100</v>
      </c>
      <c r="D8812">
        <v>2017</v>
      </c>
      <c r="E8812" s="2">
        <v>4</v>
      </c>
      <c r="F8812" s="2">
        <v>720</v>
      </c>
      <c r="G8812" s="2"/>
    </row>
    <row r="8813" spans="1:7" x14ac:dyDescent="0.3">
      <c r="A8813" t="s">
        <v>2589</v>
      </c>
      <c r="B8813" t="s">
        <v>99</v>
      </c>
      <c r="C8813" t="s">
        <v>100</v>
      </c>
      <c r="D8813">
        <v>2018</v>
      </c>
      <c r="E8813" s="2">
        <v>6</v>
      </c>
      <c r="F8813" s="2">
        <v>1080</v>
      </c>
      <c r="G8813" s="2">
        <v>1134</v>
      </c>
    </row>
    <row r="8814" spans="1:7" x14ac:dyDescent="0.3">
      <c r="A8814" t="s">
        <v>2589</v>
      </c>
      <c r="B8814" t="s">
        <v>99</v>
      </c>
      <c r="C8814" t="s">
        <v>100</v>
      </c>
      <c r="D8814">
        <v>2020</v>
      </c>
      <c r="E8814" s="2">
        <v>0.5</v>
      </c>
      <c r="F8814" s="2">
        <v>90</v>
      </c>
      <c r="G8814" s="2">
        <v>94.5</v>
      </c>
    </row>
    <row r="8815" spans="1:7" x14ac:dyDescent="0.3">
      <c r="A8815" t="s">
        <v>2589</v>
      </c>
      <c r="B8815" t="s">
        <v>297</v>
      </c>
      <c r="C8815" t="s">
        <v>298</v>
      </c>
      <c r="D8815">
        <v>2015</v>
      </c>
      <c r="E8815" s="2">
        <v>5</v>
      </c>
      <c r="F8815" s="2">
        <v>900</v>
      </c>
      <c r="G8815" s="2"/>
    </row>
    <row r="8816" spans="1:7" x14ac:dyDescent="0.3">
      <c r="A8816" t="s">
        <v>2589</v>
      </c>
      <c r="B8816" t="s">
        <v>120</v>
      </c>
      <c r="C8816" t="s">
        <v>121</v>
      </c>
      <c r="D8816">
        <v>2015</v>
      </c>
      <c r="E8816" s="2">
        <v>5</v>
      </c>
      <c r="F8816" s="2">
        <v>1100</v>
      </c>
      <c r="G8816" s="2"/>
    </row>
    <row r="8817" spans="1:7" x14ac:dyDescent="0.3">
      <c r="A8817" t="s">
        <v>2589</v>
      </c>
      <c r="B8817" t="s">
        <v>1797</v>
      </c>
      <c r="C8817" t="s">
        <v>1798</v>
      </c>
      <c r="D8817">
        <v>2014</v>
      </c>
      <c r="E8817" s="2">
        <v>58</v>
      </c>
      <c r="F8817" s="2">
        <v>1100</v>
      </c>
      <c r="G8817" s="2"/>
    </row>
    <row r="8818" spans="1:7" x14ac:dyDescent="0.3">
      <c r="A8818" t="s">
        <v>2589</v>
      </c>
      <c r="B8818" t="s">
        <v>126</v>
      </c>
      <c r="D8818">
        <v>2020</v>
      </c>
      <c r="E8818" s="2">
        <v>0.3</v>
      </c>
      <c r="F8818" s="2">
        <v>54</v>
      </c>
      <c r="G8818" s="2">
        <v>56.7</v>
      </c>
    </row>
    <row r="8819" spans="1:7" x14ac:dyDescent="0.3">
      <c r="A8819" t="s">
        <v>2589</v>
      </c>
      <c r="B8819" t="s">
        <v>127</v>
      </c>
      <c r="D8819">
        <v>2019</v>
      </c>
      <c r="E8819" s="2">
        <v>1</v>
      </c>
      <c r="F8819" s="2">
        <v>260</v>
      </c>
      <c r="G8819" s="2">
        <v>273</v>
      </c>
    </row>
    <row r="8820" spans="1:7" x14ac:dyDescent="0.3">
      <c r="A8820" t="s">
        <v>2589</v>
      </c>
      <c r="B8820" t="s">
        <v>127</v>
      </c>
      <c r="D8820">
        <v>2021</v>
      </c>
      <c r="E8820" s="2">
        <v>1</v>
      </c>
      <c r="F8820" s="2">
        <v>230</v>
      </c>
      <c r="G8820" s="2">
        <v>241.5</v>
      </c>
    </row>
    <row r="8821" spans="1:7" x14ac:dyDescent="0.3">
      <c r="A8821" t="s">
        <v>2589</v>
      </c>
      <c r="B8821" t="s">
        <v>128</v>
      </c>
      <c r="D8821">
        <v>2021</v>
      </c>
      <c r="E8821" s="2">
        <v>1</v>
      </c>
      <c r="F8821" s="2">
        <v>115</v>
      </c>
      <c r="G8821" s="2">
        <v>120.75</v>
      </c>
    </row>
    <row r="8822" spans="1:7" x14ac:dyDescent="0.3">
      <c r="A8822" t="s">
        <v>2589</v>
      </c>
      <c r="B8822" t="s">
        <v>1404</v>
      </c>
      <c r="D8822">
        <v>2019</v>
      </c>
      <c r="E8822" s="2">
        <v>4</v>
      </c>
      <c r="F8822" s="2">
        <v>980</v>
      </c>
      <c r="G8822" s="2">
        <v>1029</v>
      </c>
    </row>
    <row r="8823" spans="1:7" x14ac:dyDescent="0.3">
      <c r="A8823" t="s">
        <v>2589</v>
      </c>
      <c r="B8823" t="s">
        <v>1404</v>
      </c>
      <c r="D8823">
        <v>2020</v>
      </c>
      <c r="E8823" s="2">
        <v>1</v>
      </c>
      <c r="F8823" s="2">
        <v>280</v>
      </c>
      <c r="G8823" s="2">
        <v>294</v>
      </c>
    </row>
    <row r="8824" spans="1:7" x14ac:dyDescent="0.3">
      <c r="A8824" t="s">
        <v>2589</v>
      </c>
      <c r="B8824" t="s">
        <v>135</v>
      </c>
      <c r="C8824" t="s">
        <v>136</v>
      </c>
      <c r="D8824">
        <v>2015</v>
      </c>
      <c r="E8824" s="2">
        <v>8</v>
      </c>
      <c r="F8824" s="2">
        <v>1430</v>
      </c>
      <c r="G8824" s="2"/>
    </row>
    <row r="8825" spans="1:7" x14ac:dyDescent="0.3">
      <c r="A8825" t="s">
        <v>2589</v>
      </c>
      <c r="B8825" t="s">
        <v>135</v>
      </c>
      <c r="C8825" t="s">
        <v>136</v>
      </c>
      <c r="D8825">
        <v>2017</v>
      </c>
      <c r="E8825" s="2">
        <v>1</v>
      </c>
      <c r="F8825" s="2">
        <v>190</v>
      </c>
      <c r="G8825" s="2"/>
    </row>
    <row r="8826" spans="1:7" x14ac:dyDescent="0.3">
      <c r="A8826" t="s">
        <v>2589</v>
      </c>
      <c r="B8826" t="s">
        <v>196</v>
      </c>
      <c r="C8826" t="s">
        <v>197</v>
      </c>
      <c r="D8826">
        <v>2015</v>
      </c>
      <c r="E8826" s="2">
        <v>5</v>
      </c>
      <c r="F8826" s="2">
        <v>950</v>
      </c>
      <c r="G8826" s="2"/>
    </row>
    <row r="8827" spans="1:7" x14ac:dyDescent="0.3">
      <c r="A8827" t="s">
        <v>2589</v>
      </c>
      <c r="B8827" t="s">
        <v>410</v>
      </c>
      <c r="C8827" t="s">
        <v>134</v>
      </c>
      <c r="D8827">
        <v>2019</v>
      </c>
      <c r="E8827" s="2">
        <v>1</v>
      </c>
      <c r="F8827" s="2">
        <v>350</v>
      </c>
      <c r="G8827" s="2">
        <v>367.5</v>
      </c>
    </row>
    <row r="8828" spans="1:7" x14ac:dyDescent="0.3">
      <c r="A8828" t="s">
        <v>2589</v>
      </c>
      <c r="B8828" t="s">
        <v>599</v>
      </c>
      <c r="C8828" t="s">
        <v>413</v>
      </c>
      <c r="D8828">
        <v>2019</v>
      </c>
      <c r="E8828" s="2">
        <v>1</v>
      </c>
      <c r="F8828" s="2">
        <v>240</v>
      </c>
      <c r="G8828" s="2">
        <v>252</v>
      </c>
    </row>
    <row r="8829" spans="1:7" x14ac:dyDescent="0.3">
      <c r="A8829" t="s">
        <v>2589</v>
      </c>
      <c r="B8829" t="s">
        <v>72</v>
      </c>
      <c r="C8829" t="s">
        <v>73</v>
      </c>
      <c r="D8829">
        <v>2015</v>
      </c>
      <c r="E8829" s="2">
        <v>5</v>
      </c>
      <c r="F8829" s="2">
        <v>1300</v>
      </c>
      <c r="G8829" s="2"/>
    </row>
    <row r="8830" spans="1:7" x14ac:dyDescent="0.3">
      <c r="A8830" t="s">
        <v>2589</v>
      </c>
      <c r="B8830" t="s">
        <v>386</v>
      </c>
      <c r="C8830" t="s">
        <v>387</v>
      </c>
      <c r="D8830">
        <v>2015</v>
      </c>
      <c r="E8830" s="2">
        <v>5</v>
      </c>
      <c r="F8830" s="2">
        <v>1200</v>
      </c>
      <c r="G8830" s="2"/>
    </row>
    <row r="8831" spans="1:7" x14ac:dyDescent="0.3">
      <c r="A8831" t="s">
        <v>2589</v>
      </c>
      <c r="B8831" t="s">
        <v>562</v>
      </c>
      <c r="C8831" t="s">
        <v>563</v>
      </c>
      <c r="D8831">
        <v>2016</v>
      </c>
      <c r="E8831" s="2">
        <v>5</v>
      </c>
      <c r="F8831" s="2">
        <v>900</v>
      </c>
      <c r="G8831" s="2"/>
    </row>
    <row r="8832" spans="1:7" x14ac:dyDescent="0.3">
      <c r="A8832" t="s">
        <v>2589</v>
      </c>
      <c r="B8832" t="s">
        <v>562</v>
      </c>
      <c r="C8832" t="s">
        <v>563</v>
      </c>
      <c r="D8832">
        <v>2017</v>
      </c>
      <c r="E8832" s="2">
        <v>2</v>
      </c>
      <c r="F8832" s="2">
        <v>360</v>
      </c>
      <c r="G8832" s="2"/>
    </row>
    <row r="8833" spans="1:7" x14ac:dyDescent="0.3">
      <c r="A8833" t="s">
        <v>2590</v>
      </c>
      <c r="B8833" t="s">
        <v>686</v>
      </c>
      <c r="C8833" t="s">
        <v>866</v>
      </c>
      <c r="D8833">
        <v>2019</v>
      </c>
      <c r="E8833" s="2">
        <v>20</v>
      </c>
      <c r="F8833" s="2">
        <v>1300</v>
      </c>
      <c r="G8833" s="2">
        <v>1365</v>
      </c>
    </row>
    <row r="8834" spans="1:7" x14ac:dyDescent="0.3">
      <c r="A8834" t="s">
        <v>2590</v>
      </c>
      <c r="B8834" t="s">
        <v>297</v>
      </c>
      <c r="C8834" t="s">
        <v>298</v>
      </c>
      <c r="D8834">
        <v>2019</v>
      </c>
      <c r="E8834" s="2">
        <v>50</v>
      </c>
      <c r="F8834" s="2">
        <v>4700</v>
      </c>
      <c r="G8834" s="2">
        <v>4935</v>
      </c>
    </row>
    <row r="8835" spans="1:7" x14ac:dyDescent="0.3">
      <c r="A8835" t="s">
        <v>2590</v>
      </c>
      <c r="B8835" t="s">
        <v>110</v>
      </c>
      <c r="C8835" t="s">
        <v>111</v>
      </c>
      <c r="D8835">
        <v>2019</v>
      </c>
      <c r="E8835" s="2">
        <v>150</v>
      </c>
      <c r="F8835" s="2">
        <v>8250</v>
      </c>
      <c r="G8835" s="2">
        <v>8662.5</v>
      </c>
    </row>
    <row r="8836" spans="1:7" x14ac:dyDescent="0.3">
      <c r="A8836" t="s">
        <v>2590</v>
      </c>
      <c r="B8836" t="s">
        <v>867</v>
      </c>
      <c r="C8836" t="s">
        <v>868</v>
      </c>
      <c r="D8836">
        <v>2019</v>
      </c>
      <c r="E8836" s="2">
        <v>5</v>
      </c>
      <c r="F8836" s="2">
        <v>500</v>
      </c>
      <c r="G8836" s="2">
        <v>525</v>
      </c>
    </row>
    <row r="8837" spans="1:7" x14ac:dyDescent="0.3">
      <c r="A8837" t="s">
        <v>2590</v>
      </c>
      <c r="B8837" t="s">
        <v>314</v>
      </c>
      <c r="C8837" t="s">
        <v>315</v>
      </c>
      <c r="D8837">
        <v>2019</v>
      </c>
      <c r="E8837" s="2">
        <v>5</v>
      </c>
      <c r="F8837" s="2">
        <v>400</v>
      </c>
      <c r="G8837" s="2">
        <v>420</v>
      </c>
    </row>
    <row r="8838" spans="1:7" x14ac:dyDescent="0.3">
      <c r="A8838" t="s">
        <v>2590</v>
      </c>
      <c r="B8838" t="s">
        <v>1339</v>
      </c>
      <c r="C8838" t="s">
        <v>1340</v>
      </c>
      <c r="D8838">
        <v>2019</v>
      </c>
      <c r="E8838" s="2">
        <v>35</v>
      </c>
      <c r="F8838" s="2">
        <v>2975</v>
      </c>
      <c r="G8838" s="2">
        <v>3123.75</v>
      </c>
    </row>
    <row r="8839" spans="1:7" x14ac:dyDescent="0.3">
      <c r="A8839" t="s">
        <v>2590</v>
      </c>
      <c r="B8839" t="s">
        <v>37</v>
      </c>
      <c r="D8839">
        <v>2019</v>
      </c>
      <c r="E8839" s="2">
        <v>30</v>
      </c>
      <c r="F8839" s="2">
        <v>1950</v>
      </c>
      <c r="G8839" s="2">
        <v>2047.5</v>
      </c>
    </row>
    <row r="8840" spans="1:7" x14ac:dyDescent="0.3">
      <c r="A8840" t="s">
        <v>2591</v>
      </c>
      <c r="B8840" t="s">
        <v>696</v>
      </c>
      <c r="C8840" t="s">
        <v>697</v>
      </c>
      <c r="D8840">
        <v>2013</v>
      </c>
      <c r="E8840" s="2">
        <v>25</v>
      </c>
      <c r="F8840" s="2">
        <v>2100</v>
      </c>
      <c r="G8840" s="2"/>
    </row>
    <row r="8841" spans="1:7" x14ac:dyDescent="0.3">
      <c r="A8841" t="s">
        <v>2591</v>
      </c>
      <c r="B8841" t="s">
        <v>26</v>
      </c>
      <c r="C8841" t="s">
        <v>27</v>
      </c>
      <c r="D8841">
        <v>2017</v>
      </c>
      <c r="E8841" s="2">
        <v>50</v>
      </c>
      <c r="F8841" s="2">
        <v>2500</v>
      </c>
      <c r="G8841" s="2"/>
    </row>
    <row r="8842" spans="1:7" x14ac:dyDescent="0.3">
      <c r="A8842" t="s">
        <v>2591</v>
      </c>
      <c r="B8842" t="s">
        <v>29</v>
      </c>
      <c r="D8842">
        <v>2016</v>
      </c>
      <c r="E8842" s="2">
        <v>12</v>
      </c>
      <c r="F8842" s="2">
        <v>6430</v>
      </c>
      <c r="G8842" s="2"/>
    </row>
    <row r="8843" spans="1:7" x14ac:dyDescent="0.3">
      <c r="A8843" t="s">
        <v>2591</v>
      </c>
      <c r="B8843" t="s">
        <v>41</v>
      </c>
      <c r="C8843" t="s">
        <v>42</v>
      </c>
      <c r="D8843">
        <v>2013</v>
      </c>
      <c r="E8843" s="2">
        <v>25</v>
      </c>
      <c r="F8843" s="2">
        <v>1750</v>
      </c>
      <c r="G8843" s="2"/>
    </row>
    <row r="8844" spans="1:7" x14ac:dyDescent="0.3">
      <c r="A8844" t="s">
        <v>2591</v>
      </c>
      <c r="B8844" t="s">
        <v>438</v>
      </c>
      <c r="C8844" t="s">
        <v>439</v>
      </c>
      <c r="D8844">
        <v>2018</v>
      </c>
      <c r="E8844" s="2">
        <v>10</v>
      </c>
      <c r="F8844" s="2">
        <v>650</v>
      </c>
      <c r="G8844" s="2">
        <v>682.5</v>
      </c>
    </row>
    <row r="8845" spans="1:7" x14ac:dyDescent="0.3">
      <c r="A8845" t="s">
        <v>2591</v>
      </c>
      <c r="B8845" t="s">
        <v>32</v>
      </c>
      <c r="D8845">
        <v>2015</v>
      </c>
      <c r="E8845" s="2">
        <v>20</v>
      </c>
      <c r="F8845" s="2">
        <v>1560</v>
      </c>
      <c r="G8845" s="2"/>
    </row>
    <row r="8846" spans="1:7" x14ac:dyDescent="0.3">
      <c r="A8846" t="s">
        <v>2591</v>
      </c>
      <c r="B8846" t="s">
        <v>32</v>
      </c>
      <c r="D8846">
        <v>2016</v>
      </c>
      <c r="E8846" s="2">
        <v>20</v>
      </c>
      <c r="F8846" s="2">
        <v>1560</v>
      </c>
      <c r="G8846" s="2"/>
    </row>
    <row r="8847" spans="1:7" x14ac:dyDescent="0.3">
      <c r="A8847" t="s">
        <v>2591</v>
      </c>
      <c r="B8847" t="s">
        <v>32</v>
      </c>
      <c r="D8847">
        <v>2017</v>
      </c>
      <c r="E8847" s="2">
        <v>20</v>
      </c>
      <c r="F8847" s="2">
        <v>1560</v>
      </c>
      <c r="G8847" s="2"/>
    </row>
    <row r="8848" spans="1:7" x14ac:dyDescent="0.3">
      <c r="A8848" t="s">
        <v>2592</v>
      </c>
      <c r="B8848" t="s">
        <v>84</v>
      </c>
      <c r="C8848" t="s">
        <v>85</v>
      </c>
      <c r="D8848">
        <v>2019</v>
      </c>
      <c r="E8848" s="2">
        <v>25</v>
      </c>
      <c r="F8848" s="2">
        <v>2125</v>
      </c>
      <c r="G8848" s="2">
        <v>2231.25</v>
      </c>
    </row>
    <row r="8849" spans="1:7" x14ac:dyDescent="0.3">
      <c r="A8849" t="s">
        <v>2592</v>
      </c>
      <c r="B8849" t="s">
        <v>206</v>
      </c>
      <c r="C8849" t="s">
        <v>207</v>
      </c>
      <c r="D8849">
        <v>2019</v>
      </c>
      <c r="E8849" s="2">
        <v>100</v>
      </c>
      <c r="F8849" s="2">
        <v>10650</v>
      </c>
      <c r="G8849" s="2">
        <v>11182.5</v>
      </c>
    </row>
    <row r="8850" spans="1:7" x14ac:dyDescent="0.3">
      <c r="A8850" t="s">
        <v>2592</v>
      </c>
      <c r="B8850" t="s">
        <v>536</v>
      </c>
      <c r="C8850" t="s">
        <v>537</v>
      </c>
      <c r="D8850">
        <v>2020</v>
      </c>
      <c r="E8850" s="2">
        <v>50</v>
      </c>
      <c r="F8850" s="2">
        <v>2250</v>
      </c>
      <c r="G8850" s="2">
        <v>2362.5</v>
      </c>
    </row>
    <row r="8851" spans="1:7" x14ac:dyDescent="0.3">
      <c r="A8851" t="s">
        <v>2592</v>
      </c>
      <c r="B8851" t="s">
        <v>2593</v>
      </c>
      <c r="C8851" t="s">
        <v>2594</v>
      </c>
      <c r="D8851">
        <v>2019</v>
      </c>
      <c r="E8851" s="2">
        <v>50</v>
      </c>
      <c r="F8851" s="2">
        <v>4750</v>
      </c>
      <c r="G8851" s="2">
        <v>4987.5</v>
      </c>
    </row>
    <row r="8852" spans="1:7" x14ac:dyDescent="0.3">
      <c r="A8852" t="s">
        <v>2592</v>
      </c>
      <c r="B8852" t="s">
        <v>2593</v>
      </c>
      <c r="C8852" t="s">
        <v>2594</v>
      </c>
      <c r="D8852">
        <v>2020</v>
      </c>
      <c r="E8852" s="2">
        <v>50</v>
      </c>
      <c r="F8852" s="2">
        <v>4750</v>
      </c>
      <c r="G8852" s="2">
        <v>4987.5</v>
      </c>
    </row>
    <row r="8853" spans="1:7" x14ac:dyDescent="0.3">
      <c r="A8853" t="s">
        <v>2592</v>
      </c>
      <c r="B8853" t="s">
        <v>19</v>
      </c>
      <c r="C8853" t="s">
        <v>107</v>
      </c>
      <c r="D8853">
        <v>2020</v>
      </c>
      <c r="E8853" s="2">
        <v>25</v>
      </c>
      <c r="F8853" s="2">
        <v>1000</v>
      </c>
      <c r="G8853" s="2">
        <v>1050</v>
      </c>
    </row>
    <row r="8854" spans="1:7" x14ac:dyDescent="0.3">
      <c r="A8854" t="s">
        <v>2592</v>
      </c>
      <c r="B8854" t="s">
        <v>543</v>
      </c>
      <c r="C8854" t="s">
        <v>544</v>
      </c>
      <c r="D8854">
        <v>2019</v>
      </c>
      <c r="E8854" s="2">
        <v>45</v>
      </c>
      <c r="F8854" s="2">
        <v>3870</v>
      </c>
      <c r="G8854" s="2">
        <v>4063.5</v>
      </c>
    </row>
    <row r="8855" spans="1:7" x14ac:dyDescent="0.3">
      <c r="A8855" t="s">
        <v>2592</v>
      </c>
      <c r="B8855" t="s">
        <v>543</v>
      </c>
      <c r="C8855" t="s">
        <v>544</v>
      </c>
      <c r="D8855">
        <v>2020</v>
      </c>
      <c r="E8855" s="2">
        <v>425</v>
      </c>
      <c r="F8855" s="2">
        <v>36550</v>
      </c>
      <c r="G8855" s="2">
        <v>38377.5</v>
      </c>
    </row>
    <row r="8856" spans="1:7" x14ac:dyDescent="0.3">
      <c r="A8856" t="s">
        <v>2592</v>
      </c>
      <c r="B8856" t="s">
        <v>543</v>
      </c>
      <c r="C8856" t="s">
        <v>544</v>
      </c>
      <c r="D8856">
        <v>2021</v>
      </c>
      <c r="E8856" s="2">
        <v>50</v>
      </c>
      <c r="F8856" s="2">
        <v>4250</v>
      </c>
      <c r="G8856" s="2">
        <v>4462.5</v>
      </c>
    </row>
    <row r="8857" spans="1:7" x14ac:dyDescent="0.3">
      <c r="A8857" t="s">
        <v>2592</v>
      </c>
      <c r="B8857" t="s">
        <v>46</v>
      </c>
      <c r="C8857" t="s">
        <v>47</v>
      </c>
      <c r="D8857">
        <v>2017</v>
      </c>
      <c r="E8857" s="2">
        <v>50</v>
      </c>
      <c r="F8857" s="2">
        <v>1800</v>
      </c>
      <c r="G8857" s="2"/>
    </row>
    <row r="8858" spans="1:7" x14ac:dyDescent="0.3">
      <c r="A8858" t="s">
        <v>2592</v>
      </c>
      <c r="B8858" t="s">
        <v>483</v>
      </c>
      <c r="C8858" t="s">
        <v>484</v>
      </c>
      <c r="D8858">
        <v>2020</v>
      </c>
      <c r="E8858" s="2">
        <v>75</v>
      </c>
      <c r="F8858" s="2">
        <v>3225</v>
      </c>
      <c r="G8858" s="2">
        <v>3386.25</v>
      </c>
    </row>
    <row r="8859" spans="1:7" x14ac:dyDescent="0.3">
      <c r="A8859" t="s">
        <v>2592</v>
      </c>
      <c r="B8859" t="s">
        <v>386</v>
      </c>
      <c r="C8859" t="s">
        <v>387</v>
      </c>
      <c r="D8859">
        <v>2020</v>
      </c>
      <c r="E8859" s="2">
        <v>25</v>
      </c>
      <c r="F8859" s="2">
        <v>3250</v>
      </c>
      <c r="G8859" s="2">
        <v>3412.5</v>
      </c>
    </row>
    <row r="8860" spans="1:7" x14ac:dyDescent="0.3">
      <c r="A8860" t="s">
        <v>2592</v>
      </c>
      <c r="B8860" t="s">
        <v>841</v>
      </c>
      <c r="C8860" t="s">
        <v>169</v>
      </c>
      <c r="D8860">
        <v>2020</v>
      </c>
      <c r="E8860" s="2">
        <v>1575</v>
      </c>
      <c r="F8860" s="2">
        <v>96300</v>
      </c>
      <c r="G8860" s="2">
        <v>101115</v>
      </c>
    </row>
    <row r="8861" spans="1:7" x14ac:dyDescent="0.3">
      <c r="A8861" t="s">
        <v>2592</v>
      </c>
      <c r="B8861" t="s">
        <v>841</v>
      </c>
      <c r="C8861" t="s">
        <v>169</v>
      </c>
      <c r="D8861">
        <v>2021</v>
      </c>
      <c r="E8861" s="2">
        <v>500</v>
      </c>
      <c r="F8861" s="2">
        <v>29000</v>
      </c>
      <c r="G8861" s="2">
        <v>30450</v>
      </c>
    </row>
    <row r="8862" spans="1:7" x14ac:dyDescent="0.3">
      <c r="A8862" t="s">
        <v>2595</v>
      </c>
      <c r="B8862" t="s">
        <v>536</v>
      </c>
      <c r="C8862" t="s">
        <v>537</v>
      </c>
      <c r="D8862">
        <v>2020</v>
      </c>
      <c r="E8862" s="2">
        <v>15</v>
      </c>
      <c r="F8862" s="2">
        <v>6750</v>
      </c>
      <c r="G8862" s="2">
        <v>7087.5</v>
      </c>
    </row>
    <row r="8863" spans="1:7" x14ac:dyDescent="0.3">
      <c r="A8863" t="s">
        <v>2595</v>
      </c>
      <c r="B8863" t="s">
        <v>536</v>
      </c>
      <c r="C8863" t="s">
        <v>537</v>
      </c>
      <c r="D8863">
        <v>2021</v>
      </c>
      <c r="E8863" s="2">
        <v>50</v>
      </c>
      <c r="F8863" s="2">
        <v>2250</v>
      </c>
      <c r="G8863" s="2">
        <v>2362.5</v>
      </c>
    </row>
    <row r="8864" spans="1:7" x14ac:dyDescent="0.3">
      <c r="A8864" t="s">
        <v>2595</v>
      </c>
      <c r="B8864" t="s">
        <v>346</v>
      </c>
      <c r="C8864" t="s">
        <v>347</v>
      </c>
      <c r="D8864">
        <v>2021</v>
      </c>
      <c r="E8864" s="2">
        <v>50</v>
      </c>
      <c r="F8864" s="2">
        <v>1500</v>
      </c>
      <c r="G8864" s="2">
        <v>1575</v>
      </c>
    </row>
    <row r="8865" spans="1:7" x14ac:dyDescent="0.3">
      <c r="A8865" t="s">
        <v>2595</v>
      </c>
      <c r="B8865" t="s">
        <v>348</v>
      </c>
      <c r="C8865" t="s">
        <v>347</v>
      </c>
      <c r="D8865">
        <v>2020</v>
      </c>
      <c r="E8865" s="2">
        <v>50</v>
      </c>
      <c r="F8865" s="2">
        <v>2250</v>
      </c>
      <c r="G8865" s="2">
        <v>2362.5</v>
      </c>
    </row>
    <row r="8866" spans="1:7" x14ac:dyDescent="0.3">
      <c r="A8866" t="s">
        <v>2595</v>
      </c>
      <c r="B8866" t="s">
        <v>349</v>
      </c>
      <c r="C8866" t="s">
        <v>350</v>
      </c>
      <c r="D8866">
        <v>2020</v>
      </c>
      <c r="E8866" s="2">
        <v>105</v>
      </c>
      <c r="F8866" s="2">
        <v>4725</v>
      </c>
      <c r="G8866" s="2">
        <v>4961.25</v>
      </c>
    </row>
    <row r="8867" spans="1:7" x14ac:dyDescent="0.3">
      <c r="A8867" t="s">
        <v>2595</v>
      </c>
      <c r="B8867" t="s">
        <v>1853</v>
      </c>
      <c r="C8867" t="s">
        <v>1854</v>
      </c>
      <c r="D8867">
        <v>2021</v>
      </c>
      <c r="E8867" s="2">
        <v>50</v>
      </c>
      <c r="F8867" s="2">
        <v>2250</v>
      </c>
      <c r="G8867" s="2">
        <v>2362.5</v>
      </c>
    </row>
    <row r="8868" spans="1:7" x14ac:dyDescent="0.3">
      <c r="A8868" t="s">
        <v>2595</v>
      </c>
      <c r="B8868" t="s">
        <v>649</v>
      </c>
      <c r="C8868" t="s">
        <v>650</v>
      </c>
      <c r="D8868">
        <v>2020</v>
      </c>
      <c r="E8868" s="2">
        <v>50</v>
      </c>
      <c r="F8868" s="2">
        <v>2250</v>
      </c>
      <c r="G8868" s="2">
        <v>2362.5</v>
      </c>
    </row>
    <row r="8869" spans="1:7" x14ac:dyDescent="0.3">
      <c r="A8869" t="s">
        <v>2595</v>
      </c>
      <c r="B8869" t="s">
        <v>19</v>
      </c>
      <c r="C8869" t="s">
        <v>107</v>
      </c>
      <c r="D8869">
        <v>2021</v>
      </c>
      <c r="E8869" s="2">
        <v>75</v>
      </c>
      <c r="F8869" s="2">
        <v>3000</v>
      </c>
      <c r="G8869" s="2">
        <v>3150</v>
      </c>
    </row>
    <row r="8870" spans="1:7" x14ac:dyDescent="0.3">
      <c r="A8870" t="s">
        <v>2595</v>
      </c>
      <c r="B8870" t="s">
        <v>269</v>
      </c>
      <c r="C8870" t="s">
        <v>270</v>
      </c>
      <c r="D8870">
        <v>2020</v>
      </c>
      <c r="E8870" s="2">
        <v>25</v>
      </c>
      <c r="F8870" s="2">
        <v>1150</v>
      </c>
      <c r="G8870" s="2">
        <v>1207.5</v>
      </c>
    </row>
    <row r="8871" spans="1:7" x14ac:dyDescent="0.3">
      <c r="A8871" t="s">
        <v>2595</v>
      </c>
      <c r="B8871" t="s">
        <v>62</v>
      </c>
      <c r="C8871" t="s">
        <v>63</v>
      </c>
      <c r="D8871">
        <v>2021</v>
      </c>
      <c r="E8871" s="2">
        <v>50</v>
      </c>
      <c r="F8871" s="2">
        <v>950</v>
      </c>
      <c r="G8871" s="2">
        <v>997.5</v>
      </c>
    </row>
    <row r="8872" spans="1:7" x14ac:dyDescent="0.3">
      <c r="A8872" t="s">
        <v>2595</v>
      </c>
      <c r="B8872" t="s">
        <v>110</v>
      </c>
      <c r="C8872" t="s">
        <v>111</v>
      </c>
      <c r="D8872">
        <v>2020</v>
      </c>
      <c r="E8872" s="2">
        <v>1105</v>
      </c>
      <c r="F8872" s="2">
        <v>20995</v>
      </c>
      <c r="G8872" s="2">
        <v>22044.75</v>
      </c>
    </row>
    <row r="8873" spans="1:7" x14ac:dyDescent="0.3">
      <c r="A8873" t="s">
        <v>2595</v>
      </c>
      <c r="B8873" t="s">
        <v>110</v>
      </c>
      <c r="C8873" t="s">
        <v>111</v>
      </c>
      <c r="D8873">
        <v>2021</v>
      </c>
      <c r="E8873" s="2">
        <v>275</v>
      </c>
      <c r="F8873" s="2">
        <v>5225</v>
      </c>
      <c r="G8873" s="2">
        <v>5486.25</v>
      </c>
    </row>
    <row r="8874" spans="1:7" x14ac:dyDescent="0.3">
      <c r="A8874" t="s">
        <v>2595</v>
      </c>
      <c r="B8874" t="s">
        <v>373</v>
      </c>
      <c r="C8874" t="s">
        <v>331</v>
      </c>
      <c r="D8874">
        <v>2020</v>
      </c>
      <c r="E8874" s="2">
        <v>5</v>
      </c>
      <c r="F8874" s="2">
        <v>450</v>
      </c>
      <c r="G8874" s="2">
        <v>472.5</v>
      </c>
    </row>
    <row r="8875" spans="1:7" x14ac:dyDescent="0.3">
      <c r="A8875" t="s">
        <v>2595</v>
      </c>
      <c r="B8875" t="s">
        <v>189</v>
      </c>
      <c r="D8875">
        <v>2020</v>
      </c>
      <c r="E8875" s="2">
        <v>25</v>
      </c>
      <c r="F8875" s="2">
        <v>2500</v>
      </c>
      <c r="G8875" s="2">
        <v>2625</v>
      </c>
    </row>
    <row r="8876" spans="1:7" x14ac:dyDescent="0.3">
      <c r="A8876" t="s">
        <v>2595</v>
      </c>
      <c r="B8876" t="s">
        <v>1349</v>
      </c>
      <c r="C8876" t="s">
        <v>1350</v>
      </c>
      <c r="D8876">
        <v>2020</v>
      </c>
      <c r="E8876" s="2">
        <v>5</v>
      </c>
      <c r="F8876" s="2">
        <v>150</v>
      </c>
      <c r="G8876" s="2">
        <v>157.5</v>
      </c>
    </row>
    <row r="8877" spans="1:7" x14ac:dyDescent="0.3">
      <c r="A8877" t="s">
        <v>2595</v>
      </c>
      <c r="B8877" t="s">
        <v>192</v>
      </c>
      <c r="C8877" t="s">
        <v>193</v>
      </c>
      <c r="D8877">
        <v>2021</v>
      </c>
      <c r="E8877" s="2">
        <v>50</v>
      </c>
      <c r="F8877" s="2">
        <v>2150</v>
      </c>
      <c r="G8877" s="2">
        <v>2257.5</v>
      </c>
    </row>
    <row r="8878" spans="1:7" x14ac:dyDescent="0.3">
      <c r="A8878" t="s">
        <v>2595</v>
      </c>
      <c r="B8878" t="s">
        <v>674</v>
      </c>
      <c r="C8878" t="s">
        <v>675</v>
      </c>
      <c r="D8878">
        <v>2020</v>
      </c>
      <c r="E8878" s="2">
        <v>150</v>
      </c>
      <c r="F8878" s="2">
        <v>4500</v>
      </c>
      <c r="G8878" s="2">
        <v>4725</v>
      </c>
    </row>
    <row r="8879" spans="1:7" x14ac:dyDescent="0.3">
      <c r="A8879" t="s">
        <v>2595</v>
      </c>
      <c r="B8879" t="s">
        <v>408</v>
      </c>
      <c r="D8879">
        <v>2020</v>
      </c>
      <c r="E8879" s="2">
        <v>50</v>
      </c>
      <c r="F8879" s="2">
        <v>4000</v>
      </c>
      <c r="G8879" s="2">
        <v>4200</v>
      </c>
    </row>
    <row r="8880" spans="1:7" x14ac:dyDescent="0.3">
      <c r="A8880" t="s">
        <v>2595</v>
      </c>
      <c r="B8880" t="s">
        <v>408</v>
      </c>
      <c r="D8880">
        <v>2021</v>
      </c>
      <c r="E8880" s="2">
        <v>50</v>
      </c>
      <c r="F8880" s="2">
        <v>4000</v>
      </c>
      <c r="G8880" s="2">
        <v>4200</v>
      </c>
    </row>
    <row r="8881" spans="1:7" x14ac:dyDescent="0.3">
      <c r="A8881" t="s">
        <v>2595</v>
      </c>
      <c r="B8881" t="s">
        <v>599</v>
      </c>
      <c r="C8881" t="s">
        <v>413</v>
      </c>
      <c r="D8881">
        <v>2020</v>
      </c>
      <c r="E8881" s="2">
        <v>1</v>
      </c>
      <c r="F8881" s="2">
        <v>90</v>
      </c>
      <c r="G8881" s="2">
        <v>94.5</v>
      </c>
    </row>
    <row r="8882" spans="1:7" x14ac:dyDescent="0.3">
      <c r="A8882" t="s">
        <v>2595</v>
      </c>
      <c r="B8882" t="s">
        <v>656</v>
      </c>
      <c r="C8882" t="s">
        <v>71</v>
      </c>
      <c r="D8882">
        <v>2020</v>
      </c>
      <c r="E8882" s="2">
        <v>1</v>
      </c>
      <c r="F8882" s="2">
        <v>130</v>
      </c>
      <c r="G8882" s="2">
        <v>136.5</v>
      </c>
    </row>
    <row r="8883" spans="1:7" x14ac:dyDescent="0.3">
      <c r="A8883" t="s">
        <v>2595</v>
      </c>
      <c r="B8883" t="s">
        <v>386</v>
      </c>
      <c r="C8883" t="s">
        <v>387</v>
      </c>
      <c r="D8883">
        <v>2020</v>
      </c>
      <c r="E8883" s="2">
        <v>1</v>
      </c>
      <c r="F8883" s="2">
        <v>130</v>
      </c>
      <c r="G8883" s="2">
        <v>136.5</v>
      </c>
    </row>
    <row r="8884" spans="1:7" x14ac:dyDescent="0.3">
      <c r="A8884" t="s">
        <v>2595</v>
      </c>
      <c r="B8884" t="s">
        <v>386</v>
      </c>
      <c r="C8884" t="s">
        <v>387</v>
      </c>
      <c r="D8884">
        <v>2021</v>
      </c>
      <c r="E8884" s="2">
        <v>25</v>
      </c>
      <c r="F8884" s="2">
        <v>3425</v>
      </c>
      <c r="G8884" s="2">
        <v>3596.25</v>
      </c>
    </row>
    <row r="8885" spans="1:7" x14ac:dyDescent="0.3">
      <c r="A8885" t="s">
        <v>2595</v>
      </c>
      <c r="B8885" t="s">
        <v>841</v>
      </c>
      <c r="C8885" t="s">
        <v>169</v>
      </c>
      <c r="D8885">
        <v>2020</v>
      </c>
      <c r="E8885" s="2">
        <v>100</v>
      </c>
      <c r="F8885" s="2">
        <v>6100</v>
      </c>
      <c r="G8885" s="2">
        <v>6405</v>
      </c>
    </row>
    <row r="8886" spans="1:7" x14ac:dyDescent="0.3">
      <c r="A8886" t="s">
        <v>2595</v>
      </c>
      <c r="B8886" t="s">
        <v>841</v>
      </c>
      <c r="C8886" t="s">
        <v>169</v>
      </c>
      <c r="D8886">
        <v>2021</v>
      </c>
      <c r="E8886" s="2">
        <v>100</v>
      </c>
      <c r="F8886" s="2">
        <v>6100</v>
      </c>
      <c r="G8886" s="2">
        <v>6405</v>
      </c>
    </row>
    <row r="8887" spans="1:7" x14ac:dyDescent="0.3">
      <c r="A8887" t="s">
        <v>2596</v>
      </c>
      <c r="B8887" t="s">
        <v>393</v>
      </c>
      <c r="C8887" t="s">
        <v>394</v>
      </c>
      <c r="D8887">
        <v>2012</v>
      </c>
      <c r="E8887" s="2">
        <v>25</v>
      </c>
      <c r="F8887" s="2">
        <v>5250</v>
      </c>
      <c r="G8887" s="2"/>
    </row>
    <row r="8888" spans="1:7" x14ac:dyDescent="0.3">
      <c r="A8888" t="s">
        <v>2596</v>
      </c>
      <c r="B8888" t="s">
        <v>2597</v>
      </c>
      <c r="C8888" t="s">
        <v>2598</v>
      </c>
      <c r="D8888">
        <v>2011</v>
      </c>
      <c r="E8888" s="2">
        <v>10</v>
      </c>
      <c r="F8888" s="2">
        <v>2100</v>
      </c>
      <c r="G8888" s="2"/>
    </row>
    <row r="8889" spans="1:7" x14ac:dyDescent="0.3">
      <c r="A8889" t="s">
        <v>2596</v>
      </c>
      <c r="B8889" t="s">
        <v>2597</v>
      </c>
      <c r="C8889" t="s">
        <v>2598</v>
      </c>
      <c r="D8889">
        <v>2012</v>
      </c>
      <c r="E8889" s="2">
        <v>25</v>
      </c>
      <c r="F8889" s="2">
        <v>5250</v>
      </c>
      <c r="G8889" s="2"/>
    </row>
    <row r="8890" spans="1:7" x14ac:dyDescent="0.3">
      <c r="A8890" t="s">
        <v>2596</v>
      </c>
      <c r="B8890" t="s">
        <v>176</v>
      </c>
      <c r="C8890" t="s">
        <v>177</v>
      </c>
      <c r="D8890">
        <v>2011</v>
      </c>
      <c r="E8890" s="2">
        <v>25</v>
      </c>
      <c r="F8890" s="2">
        <v>5875</v>
      </c>
      <c r="G8890" s="2"/>
    </row>
    <row r="8891" spans="1:7" x14ac:dyDescent="0.3">
      <c r="A8891" t="s">
        <v>2596</v>
      </c>
      <c r="B8891" t="s">
        <v>176</v>
      </c>
      <c r="C8891" t="s">
        <v>177</v>
      </c>
      <c r="D8891">
        <v>2012</v>
      </c>
      <c r="E8891" s="2">
        <v>25</v>
      </c>
      <c r="F8891" s="2">
        <v>5875</v>
      </c>
      <c r="G8891" s="2"/>
    </row>
    <row r="8892" spans="1:7" x14ac:dyDescent="0.3">
      <c r="A8892" t="s">
        <v>2596</v>
      </c>
      <c r="B8892" t="s">
        <v>218</v>
      </c>
      <c r="C8892" t="s">
        <v>212</v>
      </c>
      <c r="D8892">
        <v>2010</v>
      </c>
      <c r="E8892" s="2">
        <v>75</v>
      </c>
      <c r="F8892" s="2">
        <v>13875</v>
      </c>
      <c r="G8892" s="2"/>
    </row>
    <row r="8893" spans="1:7" x14ac:dyDescent="0.3">
      <c r="A8893" t="s">
        <v>2596</v>
      </c>
      <c r="B8893" t="s">
        <v>218</v>
      </c>
      <c r="C8893" t="s">
        <v>212</v>
      </c>
      <c r="D8893">
        <v>2011</v>
      </c>
      <c r="E8893" s="2">
        <v>150</v>
      </c>
      <c r="F8893" s="2">
        <v>28250</v>
      </c>
      <c r="G8893" s="2"/>
    </row>
    <row r="8894" spans="1:7" x14ac:dyDescent="0.3">
      <c r="A8894" t="s">
        <v>2596</v>
      </c>
      <c r="B8894" t="s">
        <v>218</v>
      </c>
      <c r="C8894" t="s">
        <v>212</v>
      </c>
      <c r="D8894">
        <v>2012</v>
      </c>
      <c r="E8894" s="2">
        <v>50</v>
      </c>
      <c r="F8894" s="2">
        <v>4750</v>
      </c>
      <c r="G8894" s="2"/>
    </row>
    <row r="8895" spans="1:7" x14ac:dyDescent="0.3">
      <c r="A8895" t="s">
        <v>2596</v>
      </c>
      <c r="B8895" t="s">
        <v>219</v>
      </c>
      <c r="C8895" t="s">
        <v>220</v>
      </c>
      <c r="D8895">
        <v>2011</v>
      </c>
      <c r="E8895" s="2">
        <v>70</v>
      </c>
      <c r="F8895" s="2">
        <v>14000</v>
      </c>
      <c r="G8895" s="2"/>
    </row>
    <row r="8896" spans="1:7" x14ac:dyDescent="0.3">
      <c r="A8896" t="s">
        <v>2596</v>
      </c>
      <c r="B8896" t="s">
        <v>219</v>
      </c>
      <c r="C8896" t="s">
        <v>220</v>
      </c>
      <c r="D8896">
        <v>2013</v>
      </c>
      <c r="E8896" s="2">
        <v>25</v>
      </c>
      <c r="F8896" s="2">
        <v>5000</v>
      </c>
      <c r="G8896" s="2"/>
    </row>
    <row r="8897" spans="1:7" x14ac:dyDescent="0.3">
      <c r="A8897" t="s">
        <v>2596</v>
      </c>
      <c r="B8897" t="s">
        <v>2599</v>
      </c>
      <c r="C8897" t="s">
        <v>2600</v>
      </c>
      <c r="D8897">
        <v>2012</v>
      </c>
      <c r="E8897" s="2">
        <v>10</v>
      </c>
      <c r="F8897" s="2">
        <v>3200</v>
      </c>
      <c r="G8897" s="2"/>
    </row>
    <row r="8898" spans="1:7" x14ac:dyDescent="0.3">
      <c r="A8898" t="s">
        <v>2596</v>
      </c>
      <c r="B8898" t="s">
        <v>2601</v>
      </c>
      <c r="C8898" t="s">
        <v>1998</v>
      </c>
      <c r="D8898">
        <v>2011</v>
      </c>
      <c r="E8898" s="2">
        <v>50</v>
      </c>
      <c r="F8898" s="2">
        <v>11000</v>
      </c>
      <c r="G8898" s="2"/>
    </row>
    <row r="8899" spans="1:7" x14ac:dyDescent="0.3">
      <c r="A8899" t="s">
        <v>2596</v>
      </c>
      <c r="B8899" t="s">
        <v>2601</v>
      </c>
      <c r="C8899" t="s">
        <v>1998</v>
      </c>
      <c r="D8899">
        <v>2012</v>
      </c>
      <c r="E8899" s="2">
        <v>25</v>
      </c>
      <c r="F8899" s="2">
        <v>5500</v>
      </c>
      <c r="G8899" s="2"/>
    </row>
    <row r="8900" spans="1:7" x14ac:dyDescent="0.3">
      <c r="A8900" t="s">
        <v>2596</v>
      </c>
      <c r="B8900" t="s">
        <v>363</v>
      </c>
      <c r="C8900" t="s">
        <v>364</v>
      </c>
      <c r="D8900">
        <v>2011</v>
      </c>
      <c r="E8900" s="2">
        <v>20</v>
      </c>
      <c r="F8900" s="2">
        <v>4000</v>
      </c>
      <c r="G8900" s="2"/>
    </row>
    <row r="8901" spans="1:7" x14ac:dyDescent="0.3">
      <c r="A8901" t="s">
        <v>2596</v>
      </c>
      <c r="B8901" t="s">
        <v>363</v>
      </c>
      <c r="C8901" t="s">
        <v>364</v>
      </c>
      <c r="D8901">
        <v>2012</v>
      </c>
      <c r="E8901" s="2">
        <v>25</v>
      </c>
      <c r="F8901" s="2">
        <v>5000</v>
      </c>
      <c r="G8901" s="2"/>
    </row>
    <row r="8902" spans="1:7" x14ac:dyDescent="0.3">
      <c r="A8902" t="s">
        <v>2596</v>
      </c>
      <c r="B8902" t="s">
        <v>1530</v>
      </c>
      <c r="C8902" t="s">
        <v>1531</v>
      </c>
      <c r="D8902">
        <v>2011</v>
      </c>
      <c r="E8902" s="2">
        <v>20</v>
      </c>
      <c r="F8902" s="2">
        <v>4000</v>
      </c>
      <c r="G8902" s="2"/>
    </row>
    <row r="8903" spans="1:7" x14ac:dyDescent="0.3">
      <c r="A8903" t="s">
        <v>2596</v>
      </c>
      <c r="B8903" t="s">
        <v>1530</v>
      </c>
      <c r="C8903" t="s">
        <v>1531</v>
      </c>
      <c r="D8903">
        <v>2012</v>
      </c>
      <c r="E8903" s="2">
        <v>25</v>
      </c>
      <c r="F8903" s="2">
        <v>5000</v>
      </c>
      <c r="G8903" s="2"/>
    </row>
    <row r="8904" spans="1:7" x14ac:dyDescent="0.3">
      <c r="A8904" t="s">
        <v>2596</v>
      </c>
      <c r="B8904" t="s">
        <v>2602</v>
      </c>
      <c r="C8904" t="s">
        <v>2603</v>
      </c>
      <c r="D8904">
        <v>2011</v>
      </c>
      <c r="E8904" s="2">
        <v>10</v>
      </c>
      <c r="F8904" s="2">
        <v>2200</v>
      </c>
      <c r="G8904" s="2"/>
    </row>
    <row r="8905" spans="1:7" x14ac:dyDescent="0.3">
      <c r="A8905" t="s">
        <v>2596</v>
      </c>
      <c r="B8905" t="s">
        <v>2602</v>
      </c>
      <c r="C8905" t="s">
        <v>2603</v>
      </c>
      <c r="D8905">
        <v>2013</v>
      </c>
      <c r="E8905" s="2">
        <v>25</v>
      </c>
      <c r="F8905" s="2">
        <v>5500</v>
      </c>
      <c r="G8905" s="2"/>
    </row>
    <row r="8906" spans="1:7" x14ac:dyDescent="0.3">
      <c r="A8906" t="s">
        <v>2596</v>
      </c>
      <c r="B8906" t="s">
        <v>2604</v>
      </c>
      <c r="C8906" t="s">
        <v>2605</v>
      </c>
      <c r="D8906">
        <v>2011</v>
      </c>
      <c r="E8906" s="2">
        <v>10</v>
      </c>
      <c r="F8906" s="2">
        <v>3260</v>
      </c>
      <c r="G8906" s="2"/>
    </row>
    <row r="8907" spans="1:7" x14ac:dyDescent="0.3">
      <c r="A8907" t="s">
        <v>2596</v>
      </c>
      <c r="B8907" t="s">
        <v>962</v>
      </c>
      <c r="C8907" t="s">
        <v>963</v>
      </c>
      <c r="D8907">
        <v>2010</v>
      </c>
      <c r="E8907" s="2">
        <v>5</v>
      </c>
      <c r="F8907" s="2">
        <v>825</v>
      </c>
      <c r="G8907" s="2"/>
    </row>
    <row r="8908" spans="1:7" x14ac:dyDescent="0.3">
      <c r="A8908" t="s">
        <v>2596</v>
      </c>
      <c r="B8908" t="s">
        <v>2606</v>
      </c>
      <c r="C8908" t="s">
        <v>2607</v>
      </c>
      <c r="D8908">
        <v>2010</v>
      </c>
      <c r="E8908" s="2">
        <v>10</v>
      </c>
      <c r="F8908" s="2">
        <v>1800</v>
      </c>
      <c r="G8908" s="2"/>
    </row>
    <row r="8909" spans="1:7" x14ac:dyDescent="0.3">
      <c r="A8909" t="s">
        <v>2596</v>
      </c>
      <c r="B8909" t="s">
        <v>2083</v>
      </c>
      <c r="C8909" t="s">
        <v>123</v>
      </c>
      <c r="D8909">
        <v>2012</v>
      </c>
      <c r="E8909" s="2">
        <v>10</v>
      </c>
      <c r="F8909" s="2">
        <v>2250</v>
      </c>
      <c r="G8909" s="2"/>
    </row>
    <row r="8910" spans="1:7" x14ac:dyDescent="0.3">
      <c r="A8910" t="s">
        <v>2596</v>
      </c>
      <c r="B8910" t="s">
        <v>135</v>
      </c>
      <c r="C8910" t="s">
        <v>136</v>
      </c>
      <c r="D8910">
        <v>2010</v>
      </c>
      <c r="E8910" s="2">
        <v>75</v>
      </c>
      <c r="F8910" s="2">
        <v>12440</v>
      </c>
      <c r="G8910" s="2"/>
    </row>
    <row r="8911" spans="1:7" x14ac:dyDescent="0.3">
      <c r="A8911" t="s">
        <v>2596</v>
      </c>
      <c r="B8911" t="s">
        <v>135</v>
      </c>
      <c r="C8911" t="s">
        <v>136</v>
      </c>
      <c r="D8911">
        <v>2011</v>
      </c>
      <c r="E8911" s="2">
        <v>125</v>
      </c>
      <c r="F8911" s="2">
        <v>23125</v>
      </c>
      <c r="G8911" s="2"/>
    </row>
    <row r="8912" spans="1:7" x14ac:dyDescent="0.3">
      <c r="A8912" t="s">
        <v>2596</v>
      </c>
      <c r="B8912" t="s">
        <v>2608</v>
      </c>
      <c r="C8912" t="s">
        <v>1546</v>
      </c>
      <c r="D8912">
        <v>2011</v>
      </c>
      <c r="E8912" s="2">
        <v>25</v>
      </c>
      <c r="F8912" s="2">
        <v>5250</v>
      </c>
      <c r="G8912" s="2"/>
    </row>
    <row r="8913" spans="1:7" x14ac:dyDescent="0.3">
      <c r="A8913" t="s">
        <v>2596</v>
      </c>
      <c r="B8913" t="s">
        <v>2084</v>
      </c>
      <c r="C8913" t="s">
        <v>2085</v>
      </c>
      <c r="D8913">
        <v>2012</v>
      </c>
      <c r="E8913" s="2">
        <v>10</v>
      </c>
      <c r="F8913" s="2">
        <v>3200</v>
      </c>
      <c r="G8913" s="2"/>
    </row>
    <row r="8914" spans="1:7" x14ac:dyDescent="0.3">
      <c r="A8914" t="s">
        <v>2596</v>
      </c>
      <c r="B8914" t="s">
        <v>2609</v>
      </c>
      <c r="C8914" t="s">
        <v>1716</v>
      </c>
      <c r="D8914">
        <v>2011</v>
      </c>
      <c r="E8914" s="2">
        <v>20</v>
      </c>
      <c r="F8914" s="2">
        <v>4000</v>
      </c>
      <c r="G8914" s="2"/>
    </row>
    <row r="8915" spans="1:7" x14ac:dyDescent="0.3">
      <c r="A8915" t="s">
        <v>2610</v>
      </c>
      <c r="B8915" t="s">
        <v>542</v>
      </c>
      <c r="C8915" t="s">
        <v>160</v>
      </c>
      <c r="D8915">
        <v>2020</v>
      </c>
      <c r="E8915" s="2">
        <v>40</v>
      </c>
      <c r="F8915" s="2">
        <v>6800</v>
      </c>
      <c r="G8915" s="2">
        <v>7140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0"/>
  <sheetViews>
    <sheetView zoomScaleNormal="100" workbookViewId="0">
      <pane xSplit="1" ySplit="1" topLeftCell="B548" activePane="bottomRight" state="frozen"/>
      <selection pane="topRight" activeCell="B1" sqref="B1"/>
      <selection pane="bottomLeft" activeCell="A2" sqref="A2"/>
      <selection pane="bottomRight" activeCell="B570" sqref="B570:O570"/>
    </sheetView>
  </sheetViews>
  <sheetFormatPr defaultColWidth="8.6640625" defaultRowHeight="14.4" x14ac:dyDescent="0.3"/>
  <cols>
    <col min="1" max="1" width="30" customWidth="1"/>
    <col min="2" max="15" width="13" customWidth="1"/>
  </cols>
  <sheetData>
    <row r="1" spans="1:15" ht="27.6" x14ac:dyDescent="0.3">
      <c r="A1" s="4" t="s">
        <v>0</v>
      </c>
      <c r="B1" s="4" t="s">
        <v>2611</v>
      </c>
      <c r="C1" s="4" t="s">
        <v>2612</v>
      </c>
      <c r="D1" s="4" t="s">
        <v>2613</v>
      </c>
      <c r="E1" s="4" t="s">
        <v>2614</v>
      </c>
      <c r="F1" s="4" t="s">
        <v>2615</v>
      </c>
      <c r="G1" s="4" t="s">
        <v>2616</v>
      </c>
      <c r="H1" s="4" t="s">
        <v>2617</v>
      </c>
      <c r="I1" s="4" t="s">
        <v>2618</v>
      </c>
      <c r="J1" s="4" t="s">
        <v>2619</v>
      </c>
      <c r="K1" s="4" t="s">
        <v>2620</v>
      </c>
      <c r="L1" s="4" t="s">
        <v>2621</v>
      </c>
      <c r="M1" s="4" t="s">
        <v>2622</v>
      </c>
      <c r="N1" s="4" t="s">
        <v>2623</v>
      </c>
      <c r="O1" s="4" t="s">
        <v>2624</v>
      </c>
    </row>
    <row r="2" spans="1:15" x14ac:dyDescent="0.3">
      <c r="A2" t="s">
        <v>2521</v>
      </c>
      <c r="B2" s="5">
        <f>SUMIFS(SalesDetail[Quantity (KG)],SalesDetail[Customer],$A2,SalesDetail[Year],2009)</f>
        <v>0</v>
      </c>
      <c r="C2" s="5">
        <f>SUMIFS(SalesDetail[Quantity (KG)],SalesDetail[Customer],$A2,SalesDetail[Year],2010)</f>
        <v>0</v>
      </c>
      <c r="D2" s="5">
        <f>SUMIFS(SalesDetail[Quantity (KG)],SalesDetail[Customer],$A2,SalesDetail[Year],2011)</f>
        <v>810</v>
      </c>
      <c r="E2" s="5">
        <f>SUMIFS(SalesDetail[Quantity (KG)],SalesDetail[Customer],$A2,SalesDetail[Year],2012)</f>
        <v>400</v>
      </c>
      <c r="F2" s="5">
        <f>SUMIFS(SalesDetail[Quantity (KG)],SalesDetail[Customer],$A2,SalesDetail[Year],2013)</f>
        <v>21580</v>
      </c>
      <c r="G2" s="5">
        <f>SUMIFS(SalesDetail[Quantity (KG)],SalesDetail[Customer],$A2,SalesDetail[Year],2014)</f>
        <v>28250</v>
      </c>
      <c r="H2" s="5">
        <f>SUMIFS(SalesDetail[Quantity (KG)],SalesDetail[Customer],$A2,SalesDetail[Year],2015)</f>
        <v>5268.5</v>
      </c>
      <c r="I2" s="5">
        <f>SUMIFS(SalesDetail[Quantity (KG)],SalesDetail[Customer],$A2,SalesDetail[Year],2016)</f>
        <v>5175</v>
      </c>
      <c r="J2" s="5">
        <f>SUMIFS(SalesDetail[Quantity (KG)],SalesDetail[Customer],$A2,SalesDetail[Year],2017)</f>
        <v>240</v>
      </c>
      <c r="K2" s="5">
        <f>SUMIFS(SalesDetail[Quantity (KG)],SalesDetail[Customer],$A2,SalesDetail[Year],2018)</f>
        <v>20750</v>
      </c>
      <c r="L2" s="5">
        <f>SUMIFS(SalesDetail[Quantity (KG)],SalesDetail[Customer],$A2,SalesDetail[Year],2019)</f>
        <v>1250</v>
      </c>
      <c r="M2" s="5">
        <f>SUMIFS(SalesDetail[Quantity (KG)],SalesDetail[Customer],$A2,SalesDetail[Year],2020)</f>
        <v>5140</v>
      </c>
      <c r="N2" s="5">
        <f>SUMIFS(SalesDetail[Quantity (KG)],SalesDetail[Customer],$A2,SalesDetail[Year],2021)</f>
        <v>735</v>
      </c>
      <c r="O2" s="6">
        <f>SUM(B2:N2)</f>
        <v>89598.5</v>
      </c>
    </row>
    <row r="3" spans="1:15" x14ac:dyDescent="0.3">
      <c r="A3" t="s">
        <v>1439</v>
      </c>
      <c r="B3" s="5">
        <f>SUMIFS(SalesDetail[Quantity (KG)],SalesDetail[Customer],$A3,SalesDetail[Year],2009)</f>
        <v>2335</v>
      </c>
      <c r="C3" s="5">
        <f>SUMIFS(SalesDetail[Quantity (KG)],SalesDetail[Customer],$A3,SalesDetail[Year],2010)</f>
        <v>3164.7000000000003</v>
      </c>
      <c r="D3" s="5">
        <f>SUMIFS(SalesDetail[Quantity (KG)],SalesDetail[Customer],$A3,SalesDetail[Year],2011)</f>
        <v>3981.5</v>
      </c>
      <c r="E3" s="5">
        <f>SUMIFS(SalesDetail[Quantity (KG)],SalesDetail[Customer],$A3,SalesDetail[Year],2012)</f>
        <v>3890</v>
      </c>
      <c r="F3" s="5">
        <f>SUMIFS(SalesDetail[Quantity (KG)],SalesDetail[Customer],$A3,SalesDetail[Year],2013)</f>
        <v>4254.5</v>
      </c>
      <c r="G3" s="5">
        <f>SUMIFS(SalesDetail[Quantity (KG)],SalesDetail[Customer],$A3,SalesDetail[Year],2014)</f>
        <v>4925</v>
      </c>
      <c r="H3" s="5">
        <f>SUMIFS(SalesDetail[Quantity (KG)],SalesDetail[Customer],$A3,SalesDetail[Year],2015)</f>
        <v>3717</v>
      </c>
      <c r="I3" s="5">
        <f>SUMIFS(SalesDetail[Quantity (KG)],SalesDetail[Customer],$A3,SalesDetail[Year],2016)</f>
        <v>4596</v>
      </c>
      <c r="J3" s="5">
        <f>SUMIFS(SalesDetail[Quantity (KG)],SalesDetail[Customer],$A3,SalesDetail[Year],2017)</f>
        <v>6292</v>
      </c>
      <c r="K3" s="5">
        <f>SUMIFS(SalesDetail[Quantity (KG)],SalesDetail[Customer],$A3,SalesDetail[Year],2018)</f>
        <v>4864</v>
      </c>
      <c r="L3" s="5">
        <f>SUMIFS(SalesDetail[Quantity (KG)],SalesDetail[Customer],$A3,SalesDetail[Year],2019)</f>
        <v>6986</v>
      </c>
      <c r="M3" s="5">
        <f>SUMIFS(SalesDetail[Quantity (KG)],SalesDetail[Customer],$A3,SalesDetail[Year],2020)</f>
        <v>5580</v>
      </c>
      <c r="N3" s="5">
        <f>SUMIFS(SalesDetail[Quantity (KG)],SalesDetail[Customer],$A3,SalesDetail[Year],2021)</f>
        <v>2700</v>
      </c>
      <c r="O3" s="6">
        <f>SUM(B3:N3)</f>
        <v>57285.7</v>
      </c>
    </row>
    <row r="4" spans="1:15" x14ac:dyDescent="0.3">
      <c r="A4" t="s">
        <v>1883</v>
      </c>
      <c r="B4" s="5">
        <f>SUMIFS(SalesDetail[Quantity (KG)],SalesDetail[Customer],$A4,SalesDetail[Year],2009)</f>
        <v>0</v>
      </c>
      <c r="C4" s="5">
        <f>SUMIFS(SalesDetail[Quantity (KG)],SalesDetail[Customer],$A4,SalesDetail[Year],2010)</f>
        <v>0</v>
      </c>
      <c r="D4" s="5">
        <f>SUMIFS(SalesDetail[Quantity (KG)],SalesDetail[Customer],$A4,SalesDetail[Year],2011)</f>
        <v>0</v>
      </c>
      <c r="E4" s="5">
        <f>SUMIFS(SalesDetail[Quantity (KG)],SalesDetail[Customer],$A4,SalesDetail[Year],2012)</f>
        <v>851</v>
      </c>
      <c r="F4" s="5">
        <f>SUMIFS(SalesDetail[Quantity (KG)],SalesDetail[Customer],$A4,SalesDetail[Year],2013)</f>
        <v>1145</v>
      </c>
      <c r="G4" s="5">
        <f>SUMIFS(SalesDetail[Quantity (KG)],SalesDetail[Customer],$A4,SalesDetail[Year],2014)</f>
        <v>1350</v>
      </c>
      <c r="H4" s="5">
        <f>SUMIFS(SalesDetail[Quantity (KG)],SalesDetail[Customer],$A4,SalesDetail[Year],2015)</f>
        <v>1080</v>
      </c>
      <c r="I4" s="5">
        <f>SUMIFS(SalesDetail[Quantity (KG)],SalesDetail[Customer],$A4,SalesDetail[Year],2016)</f>
        <v>25</v>
      </c>
      <c r="J4" s="5">
        <f>SUMIFS(SalesDetail[Quantity (KG)],SalesDetail[Customer],$A4,SalesDetail[Year],2017)</f>
        <v>353</v>
      </c>
      <c r="K4" s="5">
        <f>SUMIFS(SalesDetail[Quantity (KG)],SalesDetail[Customer],$A4,SalesDetail[Year],2018)</f>
        <v>865</v>
      </c>
      <c r="L4" s="5">
        <f>SUMIFS(SalesDetail[Quantity (KG)],SalesDetail[Customer],$A4,SalesDetail[Year],2019)</f>
        <v>3623</v>
      </c>
      <c r="M4" s="5">
        <f>SUMIFS(SalesDetail[Quantity (KG)],SalesDetail[Customer],$A4,SalesDetail[Year],2020)</f>
        <v>13850</v>
      </c>
      <c r="N4" s="5">
        <f>SUMIFS(SalesDetail[Quantity (KG)],SalesDetail[Customer],$A4,SalesDetail[Year],2021)</f>
        <v>4890</v>
      </c>
      <c r="O4" s="6">
        <f>SUM(B4:N4)</f>
        <v>28032</v>
      </c>
    </row>
    <row r="5" spans="1:15" x14ac:dyDescent="0.3">
      <c r="A5" t="s">
        <v>1761</v>
      </c>
      <c r="B5" s="5">
        <f>SUMIFS(SalesDetail[Quantity (KG)],SalesDetail[Customer],$A5,SalesDetail[Year],2009)</f>
        <v>0</v>
      </c>
      <c r="C5" s="5">
        <f>SUMIFS(SalesDetail[Quantity (KG)],SalesDetail[Customer],$A5,SalesDetail[Year],2010)</f>
        <v>0</v>
      </c>
      <c r="D5" s="5">
        <f>SUMIFS(SalesDetail[Quantity (KG)],SalesDetail[Customer],$A5,SalesDetail[Year],2011)</f>
        <v>0</v>
      </c>
      <c r="E5" s="5">
        <f>SUMIFS(SalesDetail[Quantity (KG)],SalesDetail[Customer],$A5,SalesDetail[Year],2012)</f>
        <v>0</v>
      </c>
      <c r="F5" s="5">
        <f>SUMIFS(SalesDetail[Quantity (KG)],SalesDetail[Customer],$A5,SalesDetail[Year],2013)</f>
        <v>0</v>
      </c>
      <c r="G5" s="5">
        <f>SUMIFS(SalesDetail[Quantity (KG)],SalesDetail[Customer],$A5,SalesDetail[Year],2014)</f>
        <v>60</v>
      </c>
      <c r="H5" s="5">
        <f>SUMIFS(SalesDetail[Quantity (KG)],SalesDetail[Customer],$A5,SalesDetail[Year],2015)</f>
        <v>45</v>
      </c>
      <c r="I5" s="5">
        <f>SUMIFS(SalesDetail[Quantity (KG)],SalesDetail[Customer],$A5,SalesDetail[Year],2016)</f>
        <v>2900</v>
      </c>
      <c r="J5" s="5">
        <f>SUMIFS(SalesDetail[Quantity (KG)],SalesDetail[Customer],$A5,SalesDetail[Year],2017)</f>
        <v>3100</v>
      </c>
      <c r="K5" s="5">
        <f>SUMIFS(SalesDetail[Quantity (KG)],SalesDetail[Customer],$A5,SalesDetail[Year],2018)</f>
        <v>2550</v>
      </c>
      <c r="L5" s="5">
        <f>SUMIFS(SalesDetail[Quantity (KG)],SalesDetail[Customer],$A5,SalesDetail[Year],2019)</f>
        <v>4008</v>
      </c>
      <c r="M5" s="5">
        <f>SUMIFS(SalesDetail[Quantity (KG)],SalesDetail[Customer],$A5,SalesDetail[Year],2020)</f>
        <v>4679</v>
      </c>
      <c r="N5" s="5">
        <f>SUMIFS(SalesDetail[Quantity (KG)],SalesDetail[Customer],$A5,SalesDetail[Year],2021)</f>
        <v>1070</v>
      </c>
      <c r="O5" s="6">
        <f>SUM(B5:N5)</f>
        <v>18412</v>
      </c>
    </row>
    <row r="6" spans="1:15" x14ac:dyDescent="0.3">
      <c r="A6" t="s">
        <v>449</v>
      </c>
      <c r="B6" s="5">
        <f>SUMIFS(SalesDetail[Quantity (KG)],SalesDetail[Customer],$A6,SalesDetail[Year],2009)</f>
        <v>0</v>
      </c>
      <c r="C6" s="5">
        <f>SUMIFS(SalesDetail[Quantity (KG)],SalesDetail[Customer],$A6,SalesDetail[Year],2010)</f>
        <v>0</v>
      </c>
      <c r="D6" s="5">
        <f>SUMIFS(SalesDetail[Quantity (KG)],SalesDetail[Customer],$A6,SalesDetail[Year],2011)</f>
        <v>565</v>
      </c>
      <c r="E6" s="5">
        <f>SUMIFS(SalesDetail[Quantity (KG)],SalesDetail[Customer],$A6,SalesDetail[Year],2012)</f>
        <v>1400</v>
      </c>
      <c r="F6" s="5">
        <f>SUMIFS(SalesDetail[Quantity (KG)],SalesDetail[Customer],$A6,SalesDetail[Year],2013)</f>
        <v>1085</v>
      </c>
      <c r="G6" s="5">
        <f>SUMIFS(SalesDetail[Quantity (KG)],SalesDetail[Customer],$A6,SalesDetail[Year],2014)</f>
        <v>870</v>
      </c>
      <c r="H6" s="5">
        <f>SUMIFS(SalesDetail[Quantity (KG)],SalesDetail[Customer],$A6,SalesDetail[Year],2015)</f>
        <v>1080</v>
      </c>
      <c r="I6" s="5">
        <f>SUMIFS(SalesDetail[Quantity (KG)],SalesDetail[Customer],$A6,SalesDetail[Year],2016)</f>
        <v>1770</v>
      </c>
      <c r="J6" s="5">
        <f>SUMIFS(SalesDetail[Quantity (KG)],SalesDetail[Customer],$A6,SalesDetail[Year],2017)</f>
        <v>2179</v>
      </c>
      <c r="K6" s="5">
        <f>SUMIFS(SalesDetail[Quantity (KG)],SalesDetail[Customer],$A6,SalesDetail[Year],2018)</f>
        <v>2263</v>
      </c>
      <c r="L6" s="5">
        <f>SUMIFS(SalesDetail[Quantity (KG)],SalesDetail[Customer],$A6,SalesDetail[Year],2019)</f>
        <v>2422</v>
      </c>
      <c r="M6" s="5">
        <f>SUMIFS(SalesDetail[Quantity (KG)],SalesDetail[Customer],$A6,SalesDetail[Year],2020)</f>
        <v>2837</v>
      </c>
      <c r="N6" s="5">
        <f>SUMIFS(SalesDetail[Quantity (KG)],SalesDetail[Customer],$A6,SalesDetail[Year],2021)</f>
        <v>975</v>
      </c>
      <c r="O6" s="6">
        <f>SUM(B6:N6)</f>
        <v>17446</v>
      </c>
    </row>
    <row r="7" spans="1:15" x14ac:dyDescent="0.3">
      <c r="A7" t="s">
        <v>2491</v>
      </c>
      <c r="B7" s="5">
        <f>SUMIFS(SalesDetail[Quantity (KG)],SalesDetail[Customer],$A7,SalesDetail[Year],2009)</f>
        <v>0</v>
      </c>
      <c r="C7" s="5">
        <f>SUMIFS(SalesDetail[Quantity (KG)],SalesDetail[Customer],$A7,SalesDetail[Year],2010)</f>
        <v>0</v>
      </c>
      <c r="D7" s="5">
        <f>SUMIFS(SalesDetail[Quantity (KG)],SalesDetail[Customer],$A7,SalesDetail[Year],2011)</f>
        <v>95</v>
      </c>
      <c r="E7" s="5">
        <f>SUMIFS(SalesDetail[Quantity (KG)],SalesDetail[Customer],$A7,SalesDetail[Year],2012)</f>
        <v>115</v>
      </c>
      <c r="F7" s="5">
        <f>SUMIFS(SalesDetail[Quantity (KG)],SalesDetail[Customer],$A7,SalesDetail[Year],2013)</f>
        <v>162</v>
      </c>
      <c r="G7" s="5">
        <f>SUMIFS(SalesDetail[Quantity (KG)],SalesDetail[Customer],$A7,SalesDetail[Year],2014)</f>
        <v>594</v>
      </c>
      <c r="H7" s="5">
        <f>SUMIFS(SalesDetail[Quantity (KG)],SalesDetail[Customer],$A7,SalesDetail[Year],2015)</f>
        <v>465</v>
      </c>
      <c r="I7" s="5">
        <f>SUMIFS(SalesDetail[Quantity (KG)],SalesDetail[Customer],$A7,SalesDetail[Year],2016)</f>
        <v>1005</v>
      </c>
      <c r="J7" s="5">
        <f>SUMIFS(SalesDetail[Quantity (KG)],SalesDetail[Customer],$A7,SalesDetail[Year],2017)</f>
        <v>2600</v>
      </c>
      <c r="K7" s="5">
        <f>SUMIFS(SalesDetail[Quantity (KG)],SalesDetail[Customer],$A7,SalesDetail[Year],2018)</f>
        <v>2525</v>
      </c>
      <c r="L7" s="5">
        <f>SUMIFS(SalesDetail[Quantity (KG)],SalesDetail[Customer],$A7,SalesDetail[Year],2019)</f>
        <v>5120</v>
      </c>
      <c r="M7" s="5">
        <f>SUMIFS(SalesDetail[Quantity (KG)],SalesDetail[Customer],$A7,SalesDetail[Year],2020)</f>
        <v>3504</v>
      </c>
      <c r="N7" s="5">
        <f>SUMIFS(SalesDetail[Quantity (KG)],SalesDetail[Customer],$A7,SalesDetail[Year],2021)</f>
        <v>1050</v>
      </c>
      <c r="O7" s="6">
        <f>SUM(B7:N7)</f>
        <v>17235</v>
      </c>
    </row>
    <row r="8" spans="1:15" x14ac:dyDescent="0.3">
      <c r="A8" t="s">
        <v>2475</v>
      </c>
      <c r="B8" s="5">
        <f>SUMIFS(SalesDetail[Quantity (KG)],SalesDetail[Customer],$A8,SalesDetail[Year],2009)</f>
        <v>0</v>
      </c>
      <c r="C8" s="5">
        <f>SUMIFS(SalesDetail[Quantity (KG)],SalesDetail[Customer],$A8,SalesDetail[Year],2010)</f>
        <v>1275</v>
      </c>
      <c r="D8" s="5">
        <f>SUMIFS(SalesDetail[Quantity (KG)],SalesDetail[Customer],$A8,SalesDetail[Year],2011)</f>
        <v>2575</v>
      </c>
      <c r="E8" s="5">
        <f>SUMIFS(SalesDetail[Quantity (KG)],SalesDetail[Customer],$A8,SalesDetail[Year],2012)</f>
        <v>1200</v>
      </c>
      <c r="F8" s="5">
        <f>SUMIFS(SalesDetail[Quantity (KG)],SalesDetail[Customer],$A8,SalesDetail[Year],2013)</f>
        <v>1400</v>
      </c>
      <c r="G8" s="5">
        <f>SUMIFS(SalesDetail[Quantity (KG)],SalesDetail[Customer],$A8,SalesDetail[Year],2014)</f>
        <v>1451.6</v>
      </c>
      <c r="H8" s="5">
        <f>SUMIFS(SalesDetail[Quantity (KG)],SalesDetail[Customer],$A8,SalesDetail[Year],2015)</f>
        <v>950</v>
      </c>
      <c r="I8" s="5">
        <f>SUMIFS(SalesDetail[Quantity (KG)],SalesDetail[Customer],$A8,SalesDetail[Year],2016)</f>
        <v>375</v>
      </c>
      <c r="J8" s="5">
        <f>SUMIFS(SalesDetail[Quantity (KG)],SalesDetail[Customer],$A8,SalesDetail[Year],2017)</f>
        <v>400</v>
      </c>
      <c r="K8" s="5">
        <f>SUMIFS(SalesDetail[Quantity (KG)],SalesDetail[Customer],$A8,SalesDetail[Year],2018)</f>
        <v>1026</v>
      </c>
      <c r="L8" s="5">
        <f>SUMIFS(SalesDetail[Quantity (KG)],SalesDetail[Customer],$A8,SalesDetail[Year],2019)</f>
        <v>960</v>
      </c>
      <c r="M8" s="5">
        <f>SUMIFS(SalesDetail[Quantity (KG)],SalesDetail[Customer],$A8,SalesDetail[Year],2020)</f>
        <v>1237</v>
      </c>
      <c r="N8" s="5">
        <f>SUMIFS(SalesDetail[Quantity (KG)],SalesDetail[Customer],$A8,SalesDetail[Year],2021)</f>
        <v>2030</v>
      </c>
      <c r="O8" s="6">
        <f>SUM(B8:N8)</f>
        <v>14879.6</v>
      </c>
    </row>
    <row r="9" spans="1:15" x14ac:dyDescent="0.3">
      <c r="A9" t="s">
        <v>2346</v>
      </c>
      <c r="B9" s="5">
        <f>SUMIFS(SalesDetail[Quantity (KG)],SalesDetail[Customer],$A9,SalesDetail[Year],2009)</f>
        <v>0</v>
      </c>
      <c r="C9" s="5">
        <f>SUMIFS(SalesDetail[Quantity (KG)],SalesDetail[Customer],$A9,SalesDetail[Year],2010)</f>
        <v>0</v>
      </c>
      <c r="D9" s="5">
        <f>SUMIFS(SalesDetail[Quantity (KG)],SalesDetail[Customer],$A9,SalesDetail[Year],2011)</f>
        <v>150</v>
      </c>
      <c r="E9" s="5">
        <f>SUMIFS(SalesDetail[Quantity (KG)],SalesDetail[Customer],$A9,SalesDetail[Year],2012)</f>
        <v>876</v>
      </c>
      <c r="F9" s="5">
        <f>SUMIFS(SalesDetail[Quantity (KG)],SalesDetail[Customer],$A9,SalesDetail[Year],2013)</f>
        <v>1220</v>
      </c>
      <c r="G9" s="5">
        <f>SUMIFS(SalesDetail[Quantity (KG)],SalesDetail[Customer],$A9,SalesDetail[Year],2014)</f>
        <v>1050</v>
      </c>
      <c r="H9" s="5">
        <f>SUMIFS(SalesDetail[Quantity (KG)],SalesDetail[Customer],$A9,SalesDetail[Year],2015)</f>
        <v>1540</v>
      </c>
      <c r="I9" s="5">
        <f>SUMIFS(SalesDetail[Quantity (KG)],SalesDetail[Customer],$A9,SalesDetail[Year],2016)</f>
        <v>1073</v>
      </c>
      <c r="J9" s="5">
        <f>SUMIFS(SalesDetail[Quantity (KG)],SalesDetail[Customer],$A9,SalesDetail[Year],2017)</f>
        <v>1225</v>
      </c>
      <c r="K9" s="5">
        <f>SUMIFS(SalesDetail[Quantity (KG)],SalesDetail[Customer],$A9,SalesDetail[Year],2018)</f>
        <v>1555</v>
      </c>
      <c r="L9" s="5">
        <f>SUMIFS(SalesDetail[Quantity (KG)],SalesDetail[Customer],$A9,SalesDetail[Year],2019)</f>
        <v>2285</v>
      </c>
      <c r="M9" s="5">
        <f>SUMIFS(SalesDetail[Quantity (KG)],SalesDetail[Customer],$A9,SalesDetail[Year],2020)</f>
        <v>2505</v>
      </c>
      <c r="N9" s="5">
        <f>SUMIFS(SalesDetail[Quantity (KG)],SalesDetail[Customer],$A9,SalesDetail[Year],2021)</f>
        <v>1105</v>
      </c>
      <c r="O9" s="6">
        <f>SUM(B9:N9)</f>
        <v>14584</v>
      </c>
    </row>
    <row r="10" spans="1:15" x14ac:dyDescent="0.3">
      <c r="A10" t="s">
        <v>1346</v>
      </c>
      <c r="B10" s="5">
        <f>SUMIFS(SalesDetail[Quantity (KG)],SalesDetail[Customer],$A10,SalesDetail[Year],2009)</f>
        <v>0</v>
      </c>
      <c r="C10" s="5">
        <f>SUMIFS(SalesDetail[Quantity (KG)],SalesDetail[Customer],$A10,SalesDetail[Year],2010)</f>
        <v>0</v>
      </c>
      <c r="D10" s="5">
        <f>SUMIFS(SalesDetail[Quantity (KG)],SalesDetail[Customer],$A10,SalesDetail[Year],2011)</f>
        <v>150</v>
      </c>
      <c r="E10" s="5">
        <f>SUMIFS(SalesDetail[Quantity (KG)],SalesDetail[Customer],$A10,SalesDetail[Year],2012)</f>
        <v>200</v>
      </c>
      <c r="F10" s="5">
        <f>SUMIFS(SalesDetail[Quantity (KG)],SalesDetail[Customer],$A10,SalesDetail[Year],2013)</f>
        <v>100</v>
      </c>
      <c r="G10" s="5">
        <f>SUMIFS(SalesDetail[Quantity (KG)],SalesDetail[Customer],$A10,SalesDetail[Year],2014)</f>
        <v>450</v>
      </c>
      <c r="H10" s="5">
        <f>SUMIFS(SalesDetail[Quantity (KG)],SalesDetail[Customer],$A10,SalesDetail[Year],2015)</f>
        <v>1050</v>
      </c>
      <c r="I10" s="5">
        <f>SUMIFS(SalesDetail[Quantity (KG)],SalesDetail[Customer],$A10,SalesDetail[Year],2016)</f>
        <v>1244</v>
      </c>
      <c r="J10" s="5">
        <f>SUMIFS(SalesDetail[Quantity (KG)],SalesDetail[Customer],$A10,SalesDetail[Year],2017)</f>
        <v>1600</v>
      </c>
      <c r="K10" s="5">
        <f>SUMIFS(SalesDetail[Quantity (KG)],SalesDetail[Customer],$A10,SalesDetail[Year],2018)</f>
        <v>2250</v>
      </c>
      <c r="L10" s="5">
        <f>SUMIFS(SalesDetail[Quantity (KG)],SalesDetail[Customer],$A10,SalesDetail[Year],2019)</f>
        <v>2675</v>
      </c>
      <c r="M10" s="5">
        <f>SUMIFS(SalesDetail[Quantity (KG)],SalesDetail[Customer],$A10,SalesDetail[Year],2020)</f>
        <v>2790</v>
      </c>
      <c r="N10" s="5">
        <f>SUMIFS(SalesDetail[Quantity (KG)],SalesDetail[Customer],$A10,SalesDetail[Year],2021)</f>
        <v>1185</v>
      </c>
      <c r="O10" s="6">
        <f>SUM(B10:N10)</f>
        <v>13694</v>
      </c>
    </row>
    <row r="11" spans="1:15" x14ac:dyDescent="0.3">
      <c r="A11" t="s">
        <v>1754</v>
      </c>
      <c r="B11" s="5">
        <f>SUMIFS(SalesDetail[Quantity (KG)],SalesDetail[Customer],$A11,SalesDetail[Year],2009)</f>
        <v>0</v>
      </c>
      <c r="C11" s="5">
        <f>SUMIFS(SalesDetail[Quantity (KG)],SalesDetail[Customer],$A11,SalesDetail[Year],2010)</f>
        <v>0</v>
      </c>
      <c r="D11" s="5">
        <f>SUMIFS(SalesDetail[Quantity (KG)],SalesDetail[Customer],$A11,SalesDetail[Year],2011)</f>
        <v>250</v>
      </c>
      <c r="E11" s="5">
        <f>SUMIFS(SalesDetail[Quantity (KG)],SalesDetail[Customer],$A11,SalesDetail[Year],2012)</f>
        <v>855</v>
      </c>
      <c r="F11" s="5">
        <f>SUMIFS(SalesDetail[Quantity (KG)],SalesDetail[Customer],$A11,SalesDetail[Year],2013)</f>
        <v>2400</v>
      </c>
      <c r="G11" s="5">
        <f>SUMIFS(SalesDetail[Quantity (KG)],SalesDetail[Customer],$A11,SalesDetail[Year],2014)</f>
        <v>1445</v>
      </c>
      <c r="H11" s="5">
        <f>SUMIFS(SalesDetail[Quantity (KG)],SalesDetail[Customer],$A11,SalesDetail[Year],2015)</f>
        <v>966.5</v>
      </c>
      <c r="I11" s="5">
        <f>SUMIFS(SalesDetail[Quantity (KG)],SalesDetail[Customer],$A11,SalesDetail[Year],2016)</f>
        <v>1010</v>
      </c>
      <c r="J11" s="5">
        <f>SUMIFS(SalesDetail[Quantity (KG)],SalesDetail[Customer],$A11,SalesDetail[Year],2017)</f>
        <v>1140</v>
      </c>
      <c r="K11" s="5">
        <f>SUMIFS(SalesDetail[Quantity (KG)],SalesDetail[Customer],$A11,SalesDetail[Year],2018)</f>
        <v>1460</v>
      </c>
      <c r="L11" s="5">
        <f>SUMIFS(SalesDetail[Quantity (KG)],SalesDetail[Customer],$A11,SalesDetail[Year],2019)</f>
        <v>500</v>
      </c>
      <c r="M11" s="5">
        <f>SUMIFS(SalesDetail[Quantity (KG)],SalesDetail[Customer],$A11,SalesDetail[Year],2020)</f>
        <v>1466</v>
      </c>
      <c r="N11" s="5">
        <f>SUMIFS(SalesDetail[Quantity (KG)],SalesDetail[Customer],$A11,SalesDetail[Year],2021)</f>
        <v>175</v>
      </c>
      <c r="O11" s="6">
        <f>SUM(B11:N11)</f>
        <v>11667.5</v>
      </c>
    </row>
    <row r="12" spans="1:15" x14ac:dyDescent="0.3">
      <c r="A12" t="s">
        <v>1213</v>
      </c>
      <c r="B12" s="5">
        <f>SUMIFS(SalesDetail[Quantity (KG)],SalesDetail[Customer],$A12,SalesDetail[Year],2009)</f>
        <v>0</v>
      </c>
      <c r="C12" s="5">
        <f>SUMIFS(SalesDetail[Quantity (KG)],SalesDetail[Customer],$A12,SalesDetail[Year],2010)</f>
        <v>0</v>
      </c>
      <c r="D12" s="5">
        <f>SUMIFS(SalesDetail[Quantity (KG)],SalesDetail[Customer],$A12,SalesDetail[Year],2011)</f>
        <v>0</v>
      </c>
      <c r="E12" s="5">
        <f>SUMIFS(SalesDetail[Quantity (KG)],SalesDetail[Customer],$A12,SalesDetail[Year],2012)</f>
        <v>150</v>
      </c>
      <c r="F12" s="5">
        <f>SUMIFS(SalesDetail[Quantity (KG)],SalesDetail[Customer],$A12,SalesDetail[Year],2013)</f>
        <v>205</v>
      </c>
      <c r="G12" s="5">
        <f>SUMIFS(SalesDetail[Quantity (KG)],SalesDetail[Customer],$A12,SalesDetail[Year],2014)</f>
        <v>1150</v>
      </c>
      <c r="H12" s="5">
        <f>SUMIFS(SalesDetail[Quantity (KG)],SalesDetail[Customer],$A12,SalesDetail[Year],2015)</f>
        <v>1450</v>
      </c>
      <c r="I12" s="5">
        <f>SUMIFS(SalesDetail[Quantity (KG)],SalesDetail[Customer],$A12,SalesDetail[Year],2016)</f>
        <v>1550</v>
      </c>
      <c r="J12" s="5">
        <f>SUMIFS(SalesDetail[Quantity (KG)],SalesDetail[Customer],$A12,SalesDetail[Year],2017)</f>
        <v>2200</v>
      </c>
      <c r="K12" s="5">
        <f>SUMIFS(SalesDetail[Quantity (KG)],SalesDetail[Customer],$A12,SalesDetail[Year],2018)</f>
        <v>960</v>
      </c>
      <c r="L12" s="5">
        <f>SUMIFS(SalesDetail[Quantity (KG)],SalesDetail[Customer],$A12,SalesDetail[Year],2019)</f>
        <v>350</v>
      </c>
      <c r="M12" s="5">
        <f>SUMIFS(SalesDetail[Quantity (KG)],SalesDetail[Customer],$A12,SalesDetail[Year],2020)</f>
        <v>95</v>
      </c>
      <c r="N12" s="5">
        <f>SUMIFS(SalesDetail[Quantity (KG)],SalesDetail[Customer],$A12,SalesDetail[Year],2021)</f>
        <v>197</v>
      </c>
      <c r="O12" s="6">
        <f>SUM(B12:N12)</f>
        <v>8307</v>
      </c>
    </row>
    <row r="13" spans="1:15" x14ac:dyDescent="0.3">
      <c r="A13" t="s">
        <v>2451</v>
      </c>
      <c r="B13" s="5">
        <f>SUMIFS(SalesDetail[Quantity (KG)],SalesDetail[Customer],$A13,SalesDetail[Year],2009)</f>
        <v>300</v>
      </c>
      <c r="C13" s="5">
        <f>SUMIFS(SalesDetail[Quantity (KG)],SalesDetail[Customer],$A13,SalesDetail[Year],2010)</f>
        <v>0</v>
      </c>
      <c r="D13" s="5">
        <f>SUMIFS(SalesDetail[Quantity (KG)],SalesDetail[Customer],$A13,SalesDetail[Year],2011)</f>
        <v>300</v>
      </c>
      <c r="E13" s="5">
        <f>SUMIFS(SalesDetail[Quantity (KG)],SalesDetail[Customer],$A13,SalesDetail[Year],2012)</f>
        <v>0</v>
      </c>
      <c r="F13" s="5">
        <f>SUMIFS(SalesDetail[Quantity (KG)],SalesDetail[Customer],$A13,SalesDetail[Year],2013)</f>
        <v>150</v>
      </c>
      <c r="G13" s="5">
        <f>SUMIFS(SalesDetail[Quantity (KG)],SalesDetail[Customer],$A13,SalesDetail[Year],2014)</f>
        <v>550</v>
      </c>
      <c r="H13" s="5">
        <f>SUMIFS(SalesDetail[Quantity (KG)],SalesDetail[Customer],$A13,SalesDetail[Year],2015)</f>
        <v>375</v>
      </c>
      <c r="I13" s="5">
        <f>SUMIFS(SalesDetail[Quantity (KG)],SalesDetail[Customer],$A13,SalesDetail[Year],2016)</f>
        <v>800</v>
      </c>
      <c r="J13" s="5">
        <f>SUMIFS(SalesDetail[Quantity (KG)],SalesDetail[Customer],$A13,SalesDetail[Year],2017)</f>
        <v>1400</v>
      </c>
      <c r="K13" s="5">
        <f>SUMIFS(SalesDetail[Quantity (KG)],SalesDetail[Customer],$A13,SalesDetail[Year],2018)</f>
        <v>1060</v>
      </c>
      <c r="L13" s="5">
        <f>SUMIFS(SalesDetail[Quantity (KG)],SalesDetail[Customer],$A13,SalesDetail[Year],2019)</f>
        <v>1060</v>
      </c>
      <c r="M13" s="5">
        <f>SUMIFS(SalesDetail[Quantity (KG)],SalesDetail[Customer],$A13,SalesDetail[Year],2020)</f>
        <v>1800</v>
      </c>
      <c r="N13" s="5">
        <f>SUMIFS(SalesDetail[Quantity (KG)],SalesDetail[Customer],$A13,SalesDetail[Year],2021)</f>
        <v>500</v>
      </c>
      <c r="O13" s="6">
        <f>SUM(B13:N13)</f>
        <v>8295</v>
      </c>
    </row>
    <row r="14" spans="1:15" x14ac:dyDescent="0.3">
      <c r="A14" t="s">
        <v>2455</v>
      </c>
      <c r="B14" s="5">
        <f>SUMIFS(SalesDetail[Quantity (KG)],SalesDetail[Customer],$A14,SalesDetail[Year],2009)</f>
        <v>550</v>
      </c>
      <c r="C14" s="5">
        <f>SUMIFS(SalesDetail[Quantity (KG)],SalesDetail[Customer],$A14,SalesDetail[Year],2010)</f>
        <v>650</v>
      </c>
      <c r="D14" s="5">
        <f>SUMIFS(SalesDetail[Quantity (KG)],SalesDetail[Customer],$A14,SalesDetail[Year],2011)</f>
        <v>725</v>
      </c>
      <c r="E14" s="5">
        <f>SUMIFS(SalesDetail[Quantity (KG)],SalesDetail[Customer],$A14,SalesDetail[Year],2012)</f>
        <v>400</v>
      </c>
      <c r="F14" s="5">
        <f>SUMIFS(SalesDetail[Quantity (KG)],SalesDetail[Customer],$A14,SalesDetail[Year],2013)</f>
        <v>1350</v>
      </c>
      <c r="G14" s="5">
        <f>SUMIFS(SalesDetail[Quantity (KG)],SalesDetail[Customer],$A14,SalesDetail[Year],2014)</f>
        <v>650</v>
      </c>
      <c r="H14" s="5">
        <f>SUMIFS(SalesDetail[Quantity (KG)],SalesDetail[Customer],$A14,SalesDetail[Year],2015)</f>
        <v>150</v>
      </c>
      <c r="I14" s="5">
        <f>SUMIFS(SalesDetail[Quantity (KG)],SalesDetail[Customer],$A14,SalesDetail[Year],2016)</f>
        <v>450</v>
      </c>
      <c r="J14" s="5">
        <f>SUMIFS(SalesDetail[Quantity (KG)],SalesDetail[Customer],$A14,SalesDetail[Year],2017)</f>
        <v>1120</v>
      </c>
      <c r="K14" s="5">
        <f>SUMIFS(SalesDetail[Quantity (KG)],SalesDetail[Customer],$A14,SalesDetail[Year],2018)</f>
        <v>225</v>
      </c>
      <c r="L14" s="5">
        <f>SUMIFS(SalesDetail[Quantity (KG)],SalesDetail[Customer],$A14,SalesDetail[Year],2019)</f>
        <v>725</v>
      </c>
      <c r="M14" s="5">
        <f>SUMIFS(SalesDetail[Quantity (KG)],SalesDetail[Customer],$A14,SalesDetail[Year],2020)</f>
        <v>350</v>
      </c>
      <c r="N14" s="5">
        <f>SUMIFS(SalesDetail[Quantity (KG)],SalesDetail[Customer],$A14,SalesDetail[Year],2021)</f>
        <v>0</v>
      </c>
      <c r="O14" s="6">
        <f>SUM(B14:N14)</f>
        <v>7345</v>
      </c>
    </row>
    <row r="15" spans="1:15" x14ac:dyDescent="0.3">
      <c r="A15" t="s">
        <v>1116</v>
      </c>
      <c r="B15" s="5">
        <f>SUMIFS(SalesDetail[Quantity (KG)],SalesDetail[Customer],$A15,SalesDetail[Year],2009)</f>
        <v>250</v>
      </c>
      <c r="C15" s="5">
        <f>SUMIFS(SalesDetail[Quantity (KG)],SalesDetail[Customer],$A15,SalesDetail[Year],2010)</f>
        <v>0</v>
      </c>
      <c r="D15" s="5">
        <f>SUMIFS(SalesDetail[Quantity (KG)],SalesDetail[Customer],$A15,SalesDetail[Year],2011)</f>
        <v>0</v>
      </c>
      <c r="E15" s="5">
        <f>SUMIFS(SalesDetail[Quantity (KG)],SalesDetail[Customer],$A15,SalesDetail[Year],2012)</f>
        <v>400</v>
      </c>
      <c r="F15" s="5">
        <f>SUMIFS(SalesDetail[Quantity (KG)],SalesDetail[Customer],$A15,SalesDetail[Year],2013)</f>
        <v>250</v>
      </c>
      <c r="G15" s="5">
        <f>SUMIFS(SalesDetail[Quantity (KG)],SalesDetail[Customer],$A15,SalesDetail[Year],2014)</f>
        <v>2400</v>
      </c>
      <c r="H15" s="5">
        <f>SUMIFS(SalesDetail[Quantity (KG)],SalesDetail[Customer],$A15,SalesDetail[Year],2015)</f>
        <v>521.4</v>
      </c>
      <c r="I15" s="5">
        <f>SUMIFS(SalesDetail[Quantity (KG)],SalesDetail[Customer],$A15,SalesDetail[Year],2016)</f>
        <v>100</v>
      </c>
      <c r="J15" s="5">
        <f>SUMIFS(SalesDetail[Quantity (KG)],SalesDetail[Customer],$A15,SalesDetail[Year],2017)</f>
        <v>625</v>
      </c>
      <c r="K15" s="5">
        <f>SUMIFS(SalesDetail[Quantity (KG)],SalesDetail[Customer],$A15,SalesDetail[Year],2018)</f>
        <v>1125</v>
      </c>
      <c r="L15" s="5">
        <f>SUMIFS(SalesDetail[Quantity (KG)],SalesDetail[Customer],$A15,SalesDetail[Year],2019)</f>
        <v>100</v>
      </c>
      <c r="M15" s="5">
        <f>SUMIFS(SalesDetail[Quantity (KG)],SalesDetail[Customer],$A15,SalesDetail[Year],2020)</f>
        <v>1185</v>
      </c>
      <c r="N15" s="5">
        <f>SUMIFS(SalesDetail[Quantity (KG)],SalesDetail[Customer],$A15,SalesDetail[Year],2021)</f>
        <v>268</v>
      </c>
      <c r="O15" s="6">
        <f>SUM(B15:N15)</f>
        <v>7224.4</v>
      </c>
    </row>
    <row r="16" spans="1:15" x14ac:dyDescent="0.3">
      <c r="A16" t="s">
        <v>712</v>
      </c>
      <c r="B16" s="5">
        <f>SUMIFS(SalesDetail[Quantity (KG)],SalesDetail[Customer],$A16,SalesDetail[Year],2009)</f>
        <v>0</v>
      </c>
      <c r="C16" s="5">
        <f>SUMIFS(SalesDetail[Quantity (KG)],SalesDetail[Customer],$A16,SalesDetail[Year],2010)</f>
        <v>128</v>
      </c>
      <c r="D16" s="5">
        <f>SUMIFS(SalesDetail[Quantity (KG)],SalesDetail[Customer],$A16,SalesDetail[Year],2011)</f>
        <v>225</v>
      </c>
      <c r="E16" s="5">
        <f>SUMIFS(SalesDetail[Quantity (KG)],SalesDetail[Customer],$A16,SalesDetail[Year],2012)</f>
        <v>0</v>
      </c>
      <c r="F16" s="5">
        <f>SUMIFS(SalesDetail[Quantity (KG)],SalesDetail[Customer],$A16,SalesDetail[Year],2013)</f>
        <v>80</v>
      </c>
      <c r="G16" s="5">
        <f>SUMIFS(SalesDetail[Quantity (KG)],SalesDetail[Customer],$A16,SalesDetail[Year],2014)</f>
        <v>190</v>
      </c>
      <c r="H16" s="5">
        <f>SUMIFS(SalesDetail[Quantity (KG)],SalesDetail[Customer],$A16,SalesDetail[Year],2015)</f>
        <v>175</v>
      </c>
      <c r="I16" s="5">
        <f>SUMIFS(SalesDetail[Quantity (KG)],SalesDetail[Customer],$A16,SalesDetail[Year],2016)</f>
        <v>688</v>
      </c>
      <c r="J16" s="5">
        <f>SUMIFS(SalesDetail[Quantity (KG)],SalesDetail[Customer],$A16,SalesDetail[Year],2017)</f>
        <v>1133</v>
      </c>
      <c r="K16" s="5">
        <f>SUMIFS(SalesDetail[Quantity (KG)],SalesDetail[Customer],$A16,SalesDetail[Year],2018)</f>
        <v>750</v>
      </c>
      <c r="L16" s="5">
        <f>SUMIFS(SalesDetail[Quantity (KG)],SalesDetail[Customer],$A16,SalesDetail[Year],2019)</f>
        <v>1250</v>
      </c>
      <c r="M16" s="5">
        <f>SUMIFS(SalesDetail[Quantity (KG)],SalesDetail[Customer],$A16,SalesDetail[Year],2020)</f>
        <v>1235</v>
      </c>
      <c r="N16" s="5">
        <f>SUMIFS(SalesDetail[Quantity (KG)],SalesDetail[Customer],$A16,SalesDetail[Year],2021)</f>
        <v>975</v>
      </c>
      <c r="O16" s="6">
        <f>SUM(B16:N16)</f>
        <v>6829</v>
      </c>
    </row>
    <row r="17" spans="1:15" x14ac:dyDescent="0.3">
      <c r="A17" t="s">
        <v>40</v>
      </c>
      <c r="B17" s="5">
        <f>SUMIFS(SalesDetail[Quantity (KG)],SalesDetail[Customer],$A17,SalesDetail[Year],2009)</f>
        <v>0</v>
      </c>
      <c r="C17" s="5">
        <f>SUMIFS(SalesDetail[Quantity (KG)],SalesDetail[Customer],$A17,SalesDetail[Year],2010)</f>
        <v>40</v>
      </c>
      <c r="D17" s="5">
        <f>SUMIFS(SalesDetail[Quantity (KG)],SalesDetail[Customer],$A17,SalesDetail[Year],2011)</f>
        <v>0</v>
      </c>
      <c r="E17" s="5">
        <f>SUMIFS(SalesDetail[Quantity (KG)],SalesDetail[Customer],$A17,SalesDetail[Year],2012)</f>
        <v>200</v>
      </c>
      <c r="F17" s="5">
        <f>SUMIFS(SalesDetail[Quantity (KG)],SalesDetail[Customer],$A17,SalesDetail[Year],2013)</f>
        <v>0</v>
      </c>
      <c r="G17" s="5">
        <f>SUMIFS(SalesDetail[Quantity (KG)],SalesDetail[Customer],$A17,SalesDetail[Year],2014)</f>
        <v>300</v>
      </c>
      <c r="H17" s="5">
        <f>SUMIFS(SalesDetail[Quantity (KG)],SalesDetail[Customer],$A17,SalesDetail[Year],2015)</f>
        <v>0</v>
      </c>
      <c r="I17" s="5">
        <f>SUMIFS(SalesDetail[Quantity (KG)],SalesDetail[Customer],$A17,SalesDetail[Year],2016)</f>
        <v>1000</v>
      </c>
      <c r="J17" s="5">
        <f>SUMIFS(SalesDetail[Quantity (KG)],SalesDetail[Customer],$A17,SalesDetail[Year],2017)</f>
        <v>3260</v>
      </c>
      <c r="K17" s="5">
        <f>SUMIFS(SalesDetail[Quantity (KG)],SalesDetail[Customer],$A17,SalesDetail[Year],2018)</f>
        <v>2000</v>
      </c>
      <c r="L17" s="5">
        <f>SUMIFS(SalesDetail[Quantity (KG)],SalesDetail[Customer],$A17,SalesDetail[Year],2019)</f>
        <v>0</v>
      </c>
      <c r="M17" s="5">
        <f>SUMIFS(SalesDetail[Quantity (KG)],SalesDetail[Customer],$A17,SalesDetail[Year],2020)</f>
        <v>0</v>
      </c>
      <c r="N17" s="5">
        <f>SUMIFS(SalesDetail[Quantity (KG)],SalesDetail[Customer],$A17,SalesDetail[Year],2021)</f>
        <v>0</v>
      </c>
      <c r="O17" s="6">
        <f>SUM(B17:N17)</f>
        <v>6800</v>
      </c>
    </row>
    <row r="18" spans="1:15" x14ac:dyDescent="0.3">
      <c r="A18" t="s">
        <v>1838</v>
      </c>
      <c r="B18" s="5">
        <f>SUMIFS(SalesDetail[Quantity (KG)],SalesDetail[Customer],$A18,SalesDetail[Year],2009)</f>
        <v>0</v>
      </c>
      <c r="C18" s="5">
        <f>SUMIFS(SalesDetail[Quantity (KG)],SalesDetail[Customer],$A18,SalesDetail[Year],2010)</f>
        <v>0</v>
      </c>
      <c r="D18" s="5">
        <f>SUMIFS(SalesDetail[Quantity (KG)],SalesDetail[Customer],$A18,SalesDetail[Year],2011)</f>
        <v>0</v>
      </c>
      <c r="E18" s="5">
        <f>SUMIFS(SalesDetail[Quantity (KG)],SalesDetail[Customer],$A18,SalesDetail[Year],2012)</f>
        <v>0</v>
      </c>
      <c r="F18" s="5">
        <f>SUMIFS(SalesDetail[Quantity (KG)],SalesDetail[Customer],$A18,SalesDetail[Year],2013)</f>
        <v>105</v>
      </c>
      <c r="G18" s="5">
        <f>SUMIFS(SalesDetail[Quantity (KG)],SalesDetail[Customer],$A18,SalesDetail[Year],2014)</f>
        <v>65</v>
      </c>
      <c r="H18" s="5">
        <f>SUMIFS(SalesDetail[Quantity (KG)],SalesDetail[Customer],$A18,SalesDetail[Year],2015)</f>
        <v>135</v>
      </c>
      <c r="I18" s="5">
        <f>SUMIFS(SalesDetail[Quantity (KG)],SalesDetail[Customer],$A18,SalesDetail[Year],2016)</f>
        <v>245</v>
      </c>
      <c r="J18" s="5">
        <f>SUMIFS(SalesDetail[Quantity (KG)],SalesDetail[Customer],$A18,SalesDetail[Year],2017)</f>
        <v>770</v>
      </c>
      <c r="K18" s="5">
        <f>SUMIFS(SalesDetail[Quantity (KG)],SalesDetail[Customer],$A18,SalesDetail[Year],2018)</f>
        <v>1335</v>
      </c>
      <c r="L18" s="5">
        <f>SUMIFS(SalesDetail[Quantity (KG)],SalesDetail[Customer],$A18,SalesDetail[Year],2019)</f>
        <v>700</v>
      </c>
      <c r="M18" s="5">
        <f>SUMIFS(SalesDetail[Quantity (KG)],SalesDetail[Customer],$A18,SalesDetail[Year],2020)</f>
        <v>1100</v>
      </c>
      <c r="N18" s="5">
        <f>SUMIFS(SalesDetail[Quantity (KG)],SalesDetail[Customer],$A18,SalesDetail[Year],2021)</f>
        <v>1600</v>
      </c>
      <c r="O18" s="6">
        <f>SUM(B18:N18)</f>
        <v>6055</v>
      </c>
    </row>
    <row r="19" spans="1:15" x14ac:dyDescent="0.3">
      <c r="A19" t="s">
        <v>2498</v>
      </c>
      <c r="B19" s="5">
        <f>SUMIFS(SalesDetail[Quantity (KG)],SalesDetail[Customer],$A19,SalesDetail[Year],2009)</f>
        <v>1200</v>
      </c>
      <c r="C19" s="5">
        <f>SUMIFS(SalesDetail[Quantity (KG)],SalesDetail[Customer],$A19,SalesDetail[Year],2010)</f>
        <v>200</v>
      </c>
      <c r="D19" s="5">
        <f>SUMIFS(SalesDetail[Quantity (KG)],SalesDetail[Customer],$A19,SalesDetail[Year],2011)</f>
        <v>275</v>
      </c>
      <c r="E19" s="5">
        <f>SUMIFS(SalesDetail[Quantity (KG)],SalesDetail[Customer],$A19,SalesDetail[Year],2012)</f>
        <v>850</v>
      </c>
      <c r="F19" s="5">
        <f>SUMIFS(SalesDetail[Quantity (KG)],SalesDetail[Customer],$A19,SalesDetail[Year],2013)</f>
        <v>525</v>
      </c>
      <c r="G19" s="5">
        <f>SUMIFS(SalesDetail[Quantity (KG)],SalesDetail[Customer],$A19,SalesDetail[Year],2014)</f>
        <v>750</v>
      </c>
      <c r="H19" s="5">
        <f>SUMIFS(SalesDetail[Quantity (KG)],SalesDetail[Customer],$A19,SalesDetail[Year],2015)</f>
        <v>925</v>
      </c>
      <c r="I19" s="5">
        <f>SUMIFS(SalesDetail[Quantity (KG)],SalesDetail[Customer],$A19,SalesDetail[Year],2016)</f>
        <v>493</v>
      </c>
      <c r="J19" s="5">
        <f>SUMIFS(SalesDetail[Quantity (KG)],SalesDetail[Customer],$A19,SalesDetail[Year],2017)</f>
        <v>261</v>
      </c>
      <c r="K19" s="5">
        <f>SUMIFS(SalesDetail[Quantity (KG)],SalesDetail[Customer],$A19,SalesDetail[Year],2018)</f>
        <v>220</v>
      </c>
      <c r="L19" s="5">
        <f>SUMIFS(SalesDetail[Quantity (KG)],SalesDetail[Customer],$A19,SalesDetail[Year],2019)</f>
        <v>157</v>
      </c>
      <c r="M19" s="5">
        <f>SUMIFS(SalesDetail[Quantity (KG)],SalesDetail[Customer],$A19,SalesDetail[Year],2020)</f>
        <v>61</v>
      </c>
      <c r="N19" s="5">
        <f>SUMIFS(SalesDetail[Quantity (KG)],SalesDetail[Customer],$A19,SalesDetail[Year],2021)</f>
        <v>0</v>
      </c>
      <c r="O19" s="6">
        <f>SUM(B19:N19)</f>
        <v>5917</v>
      </c>
    </row>
    <row r="20" spans="1:15" x14ac:dyDescent="0.3">
      <c r="A20" t="s">
        <v>1832</v>
      </c>
      <c r="B20" s="5">
        <f>SUMIFS(SalesDetail[Quantity (KG)],SalesDetail[Customer],$A20,SalesDetail[Year],2009)</f>
        <v>0</v>
      </c>
      <c r="C20" s="5">
        <f>SUMIFS(SalesDetail[Quantity (KG)],SalesDetail[Customer],$A20,SalesDetail[Year],2010)</f>
        <v>0</v>
      </c>
      <c r="D20" s="5">
        <f>SUMIFS(SalesDetail[Quantity (KG)],SalesDetail[Customer],$A20,SalesDetail[Year],2011)</f>
        <v>0</v>
      </c>
      <c r="E20" s="5">
        <f>SUMIFS(SalesDetail[Quantity (KG)],SalesDetail[Customer],$A20,SalesDetail[Year],2012)</f>
        <v>150</v>
      </c>
      <c r="F20" s="5">
        <f>SUMIFS(SalesDetail[Quantity (KG)],SalesDetail[Customer],$A20,SalesDetail[Year],2013)</f>
        <v>0</v>
      </c>
      <c r="G20" s="5">
        <f>SUMIFS(SalesDetail[Quantity (KG)],SalesDetail[Customer],$A20,SalesDetail[Year],2014)</f>
        <v>89</v>
      </c>
      <c r="H20" s="5">
        <f>SUMIFS(SalesDetail[Quantity (KG)],SalesDetail[Customer],$A20,SalesDetail[Year],2015)</f>
        <v>2620</v>
      </c>
      <c r="I20" s="5">
        <f>SUMIFS(SalesDetail[Quantity (KG)],SalesDetail[Customer],$A20,SalesDetail[Year],2016)</f>
        <v>985</v>
      </c>
      <c r="J20" s="5">
        <f>SUMIFS(SalesDetail[Quantity (KG)],SalesDetail[Customer],$A20,SalesDetail[Year],2017)</f>
        <v>1205</v>
      </c>
      <c r="K20" s="5">
        <f>SUMIFS(SalesDetail[Quantity (KG)],SalesDetail[Customer],$A20,SalesDetail[Year],2018)</f>
        <v>465</v>
      </c>
      <c r="L20" s="5">
        <f>SUMIFS(SalesDetail[Quantity (KG)],SalesDetail[Customer],$A20,SalesDetail[Year],2019)</f>
        <v>0</v>
      </c>
      <c r="M20" s="5">
        <f>SUMIFS(SalesDetail[Quantity (KG)],SalesDetail[Customer],$A20,SalesDetail[Year],2020)</f>
        <v>400</v>
      </c>
      <c r="N20" s="5">
        <f>SUMIFS(SalesDetail[Quantity (KG)],SalesDetail[Customer],$A20,SalesDetail[Year],2021)</f>
        <v>0</v>
      </c>
      <c r="O20" s="6">
        <f>SUM(B20:N20)</f>
        <v>5914</v>
      </c>
    </row>
    <row r="21" spans="1:15" x14ac:dyDescent="0.3">
      <c r="A21" t="s">
        <v>1906</v>
      </c>
      <c r="B21" s="5">
        <f>SUMIFS(SalesDetail[Quantity (KG)],SalesDetail[Customer],$A21,SalesDetail[Year],2009)</f>
        <v>0</v>
      </c>
      <c r="C21" s="5">
        <f>SUMIFS(SalesDetail[Quantity (KG)],SalesDetail[Customer],$A21,SalesDetail[Year],2010)</f>
        <v>0</v>
      </c>
      <c r="D21" s="5">
        <f>SUMIFS(SalesDetail[Quantity (KG)],SalesDetail[Customer],$A21,SalesDetail[Year],2011)</f>
        <v>493</v>
      </c>
      <c r="E21" s="5">
        <f>SUMIFS(SalesDetail[Quantity (KG)],SalesDetail[Customer],$A21,SalesDetail[Year],2012)</f>
        <v>750</v>
      </c>
      <c r="F21" s="5">
        <f>SUMIFS(SalesDetail[Quantity (KG)],SalesDetail[Customer],$A21,SalesDetail[Year],2013)</f>
        <v>445</v>
      </c>
      <c r="G21" s="5">
        <f>SUMIFS(SalesDetail[Quantity (KG)],SalesDetail[Customer],$A21,SalesDetail[Year],2014)</f>
        <v>700</v>
      </c>
      <c r="H21" s="5">
        <f>SUMIFS(SalesDetail[Quantity (KG)],SalesDetail[Customer],$A21,SalesDetail[Year],2015)</f>
        <v>500</v>
      </c>
      <c r="I21" s="5">
        <f>SUMIFS(SalesDetail[Quantity (KG)],SalesDetail[Customer],$A21,SalesDetail[Year],2016)</f>
        <v>450</v>
      </c>
      <c r="J21" s="5">
        <f>SUMIFS(SalesDetail[Quantity (KG)],SalesDetail[Customer],$A21,SalesDetail[Year],2017)</f>
        <v>560</v>
      </c>
      <c r="K21" s="5">
        <f>SUMIFS(SalesDetail[Quantity (KG)],SalesDetail[Customer],$A21,SalesDetail[Year],2018)</f>
        <v>615</v>
      </c>
      <c r="L21" s="5">
        <f>SUMIFS(SalesDetail[Quantity (KG)],SalesDetail[Customer],$A21,SalesDetail[Year],2019)</f>
        <v>797.25</v>
      </c>
      <c r="M21" s="5">
        <f>SUMIFS(SalesDetail[Quantity (KG)],SalesDetail[Customer],$A21,SalesDetail[Year],2020)</f>
        <v>370</v>
      </c>
      <c r="N21" s="5">
        <f>SUMIFS(SalesDetail[Quantity (KG)],SalesDetail[Customer],$A21,SalesDetail[Year],2021)</f>
        <v>225</v>
      </c>
      <c r="O21" s="6">
        <f>SUM(B21:N21)</f>
        <v>5905.25</v>
      </c>
    </row>
    <row r="22" spans="1:15" x14ac:dyDescent="0.3">
      <c r="A22" t="s">
        <v>1463</v>
      </c>
      <c r="B22" s="5">
        <f>SUMIFS(SalesDetail[Quantity (KG)],SalesDetail[Customer],$A22,SalesDetail[Year],2009)</f>
        <v>0</v>
      </c>
      <c r="C22" s="5">
        <f>SUMIFS(SalesDetail[Quantity (KG)],SalesDetail[Customer],$A22,SalesDetail[Year],2010)</f>
        <v>0</v>
      </c>
      <c r="D22" s="5">
        <f>SUMIFS(SalesDetail[Quantity (KG)],SalesDetail[Customer],$A22,SalesDetail[Year],2011)</f>
        <v>60</v>
      </c>
      <c r="E22" s="5">
        <f>SUMIFS(SalesDetail[Quantity (KG)],SalesDetail[Customer],$A22,SalesDetail[Year],2012)</f>
        <v>1802</v>
      </c>
      <c r="F22" s="5">
        <f>SUMIFS(SalesDetail[Quantity (KG)],SalesDetail[Customer],$A22,SalesDetail[Year],2013)</f>
        <v>2968</v>
      </c>
      <c r="G22" s="5">
        <f>SUMIFS(SalesDetail[Quantity (KG)],SalesDetail[Customer],$A22,SalesDetail[Year],2014)</f>
        <v>600</v>
      </c>
      <c r="H22" s="5">
        <f>SUMIFS(SalesDetail[Quantity (KG)],SalesDetail[Customer],$A22,SalesDetail[Year],2015)</f>
        <v>17</v>
      </c>
      <c r="I22" s="5">
        <f>SUMIFS(SalesDetail[Quantity (KG)],SalesDetail[Customer],$A22,SalesDetail[Year],2016)</f>
        <v>10</v>
      </c>
      <c r="J22" s="5">
        <f>SUMIFS(SalesDetail[Quantity (KG)],SalesDetail[Customer],$A22,SalesDetail[Year],2017)</f>
        <v>50</v>
      </c>
      <c r="K22" s="5">
        <f>SUMIFS(SalesDetail[Quantity (KG)],SalesDetail[Customer],$A22,SalesDetail[Year],2018)</f>
        <v>0</v>
      </c>
      <c r="L22" s="5">
        <f>SUMIFS(SalesDetail[Quantity (KG)],SalesDetail[Customer],$A22,SalesDetail[Year],2019)</f>
        <v>0</v>
      </c>
      <c r="M22" s="5">
        <f>SUMIFS(SalesDetail[Quantity (KG)],SalesDetail[Customer],$A22,SalesDetail[Year],2020)</f>
        <v>0</v>
      </c>
      <c r="N22" s="5">
        <f>SUMIFS(SalesDetail[Quantity (KG)],SalesDetail[Customer],$A22,SalesDetail[Year],2021)</f>
        <v>0</v>
      </c>
      <c r="O22" s="6">
        <f>SUM(B22:N22)</f>
        <v>5507</v>
      </c>
    </row>
    <row r="23" spans="1:15" x14ac:dyDescent="0.3">
      <c r="A23" t="s">
        <v>2496</v>
      </c>
      <c r="B23" s="5">
        <f>SUMIFS(SalesDetail[Quantity (KG)],SalesDetail[Customer],$A23,SalesDetail[Year],2009)</f>
        <v>0</v>
      </c>
      <c r="C23" s="5">
        <f>SUMIFS(SalesDetail[Quantity (KG)],SalesDetail[Customer],$A23,SalesDetail[Year],2010)</f>
        <v>50</v>
      </c>
      <c r="D23" s="5">
        <f>SUMIFS(SalesDetail[Quantity (KG)],SalesDetail[Customer],$A23,SalesDetail[Year],2011)</f>
        <v>350</v>
      </c>
      <c r="E23" s="5">
        <f>SUMIFS(SalesDetail[Quantity (KG)],SalesDetail[Customer],$A23,SalesDetail[Year],2012)</f>
        <v>625</v>
      </c>
      <c r="F23" s="5">
        <f>SUMIFS(SalesDetail[Quantity (KG)],SalesDetail[Customer],$A23,SalesDetail[Year],2013)</f>
        <v>360</v>
      </c>
      <c r="G23" s="5">
        <f>SUMIFS(SalesDetail[Quantity (KG)],SalesDetail[Customer],$A23,SalesDetail[Year],2014)</f>
        <v>500</v>
      </c>
      <c r="H23" s="5">
        <f>SUMIFS(SalesDetail[Quantity (KG)],SalesDetail[Customer],$A23,SalesDetail[Year],2015)</f>
        <v>625</v>
      </c>
      <c r="I23" s="5">
        <f>SUMIFS(SalesDetail[Quantity (KG)],SalesDetail[Customer],$A23,SalesDetail[Year],2016)</f>
        <v>788</v>
      </c>
      <c r="J23" s="5">
        <f>SUMIFS(SalesDetail[Quantity (KG)],SalesDetail[Customer],$A23,SalesDetail[Year],2017)</f>
        <v>885</v>
      </c>
      <c r="K23" s="5">
        <f>SUMIFS(SalesDetail[Quantity (KG)],SalesDetail[Customer],$A23,SalesDetail[Year],2018)</f>
        <v>380</v>
      </c>
      <c r="L23" s="5">
        <f>SUMIFS(SalesDetail[Quantity (KG)],SalesDetail[Customer],$A23,SalesDetail[Year],2019)</f>
        <v>520</v>
      </c>
      <c r="M23" s="5">
        <f>SUMIFS(SalesDetail[Quantity (KG)],SalesDetail[Customer],$A23,SalesDetail[Year],2020)</f>
        <v>232</v>
      </c>
      <c r="N23" s="5">
        <f>SUMIFS(SalesDetail[Quantity (KG)],SalesDetail[Customer],$A23,SalesDetail[Year],2021)</f>
        <v>100</v>
      </c>
      <c r="O23" s="6">
        <f>SUM(B23:N23)</f>
        <v>5415</v>
      </c>
    </row>
    <row r="24" spans="1:15" x14ac:dyDescent="0.3">
      <c r="A24" t="s">
        <v>2538</v>
      </c>
      <c r="B24" s="5">
        <f>SUMIFS(SalesDetail[Quantity (KG)],SalesDetail[Customer],$A24,SalesDetail[Year],2009)</f>
        <v>0</v>
      </c>
      <c r="C24" s="5">
        <f>SUMIFS(SalesDetail[Quantity (KG)],SalesDetail[Customer],$A24,SalesDetail[Year],2010)</f>
        <v>0</v>
      </c>
      <c r="D24" s="5">
        <f>SUMIFS(SalesDetail[Quantity (KG)],SalesDetail[Customer],$A24,SalesDetail[Year],2011)</f>
        <v>0</v>
      </c>
      <c r="E24" s="5">
        <f>SUMIFS(SalesDetail[Quantity (KG)],SalesDetail[Customer],$A24,SalesDetail[Year],2012)</f>
        <v>0</v>
      </c>
      <c r="F24" s="5">
        <f>SUMIFS(SalesDetail[Quantity (KG)],SalesDetail[Customer],$A24,SalesDetail[Year],2013)</f>
        <v>0</v>
      </c>
      <c r="G24" s="5">
        <f>SUMIFS(SalesDetail[Quantity (KG)],SalesDetail[Customer],$A24,SalesDetail[Year],2014)</f>
        <v>0</v>
      </c>
      <c r="H24" s="5">
        <f>SUMIFS(SalesDetail[Quantity (KG)],SalesDetail[Customer],$A24,SalesDetail[Year],2015)</f>
        <v>0</v>
      </c>
      <c r="I24" s="5">
        <f>SUMIFS(SalesDetail[Quantity (KG)],SalesDetail[Customer],$A24,SalesDetail[Year],2016)</f>
        <v>0</v>
      </c>
      <c r="J24" s="5">
        <f>SUMIFS(SalesDetail[Quantity (KG)],SalesDetail[Customer],$A24,SalesDetail[Year],2017)</f>
        <v>175</v>
      </c>
      <c r="K24" s="5">
        <f>SUMIFS(SalesDetail[Quantity (KG)],SalesDetail[Customer],$A24,SalesDetail[Year],2018)</f>
        <v>225</v>
      </c>
      <c r="L24" s="5">
        <f>SUMIFS(SalesDetail[Quantity (KG)],SalesDetail[Customer],$A24,SalesDetail[Year],2019)</f>
        <v>1968</v>
      </c>
      <c r="M24" s="5">
        <f>SUMIFS(SalesDetail[Quantity (KG)],SalesDetail[Customer],$A24,SalesDetail[Year],2020)</f>
        <v>2500</v>
      </c>
      <c r="N24" s="5">
        <f>SUMIFS(SalesDetail[Quantity (KG)],SalesDetail[Customer],$A24,SalesDetail[Year],2021)</f>
        <v>325</v>
      </c>
      <c r="O24" s="6">
        <f>SUM(B24:N24)</f>
        <v>5193</v>
      </c>
    </row>
    <row r="25" spans="1:15" x14ac:dyDescent="0.3">
      <c r="A25" t="s">
        <v>1799</v>
      </c>
      <c r="B25" s="5">
        <f>SUMIFS(SalesDetail[Quantity (KG)],SalesDetail[Customer],$A25,SalesDetail[Year],2009)</f>
        <v>0</v>
      </c>
      <c r="C25" s="5">
        <f>SUMIFS(SalesDetail[Quantity (KG)],SalesDetail[Customer],$A25,SalesDetail[Year],2010)</f>
        <v>0</v>
      </c>
      <c r="D25" s="5">
        <f>SUMIFS(SalesDetail[Quantity (KG)],SalesDetail[Customer],$A25,SalesDetail[Year],2011)</f>
        <v>0</v>
      </c>
      <c r="E25" s="5">
        <f>SUMIFS(SalesDetail[Quantity (KG)],SalesDetail[Customer],$A25,SalesDetail[Year],2012)</f>
        <v>0</v>
      </c>
      <c r="F25" s="5">
        <f>SUMIFS(SalesDetail[Quantity (KG)],SalesDetail[Customer],$A25,SalesDetail[Year],2013)</f>
        <v>0</v>
      </c>
      <c r="G25" s="5">
        <f>SUMIFS(SalesDetail[Quantity (KG)],SalesDetail[Customer],$A25,SalesDetail[Year],2014)</f>
        <v>402.2</v>
      </c>
      <c r="H25" s="5">
        <f>SUMIFS(SalesDetail[Quantity (KG)],SalesDetail[Customer],$A25,SalesDetail[Year],2015)</f>
        <v>545</v>
      </c>
      <c r="I25" s="5">
        <f>SUMIFS(SalesDetail[Quantity (KG)],SalesDetail[Customer],$A25,SalesDetail[Year],2016)</f>
        <v>596</v>
      </c>
      <c r="J25" s="5">
        <f>SUMIFS(SalesDetail[Quantity (KG)],SalesDetail[Customer],$A25,SalesDetail[Year],2017)</f>
        <v>1060</v>
      </c>
      <c r="K25" s="5">
        <f>SUMIFS(SalesDetail[Quantity (KG)],SalesDetail[Customer],$A25,SalesDetail[Year],2018)</f>
        <v>486</v>
      </c>
      <c r="L25" s="5">
        <f>SUMIFS(SalesDetail[Quantity (KG)],SalesDetail[Customer],$A25,SalesDetail[Year],2019)</f>
        <v>765</v>
      </c>
      <c r="M25" s="5">
        <f>SUMIFS(SalesDetail[Quantity (KG)],SalesDetail[Customer],$A25,SalesDetail[Year],2020)</f>
        <v>746</v>
      </c>
      <c r="N25" s="5">
        <f>SUMIFS(SalesDetail[Quantity (KG)],SalesDetail[Customer],$A25,SalesDetail[Year],2021)</f>
        <v>205</v>
      </c>
      <c r="O25" s="6">
        <f>SUM(B25:N25)</f>
        <v>4805.2</v>
      </c>
    </row>
    <row r="26" spans="1:15" x14ac:dyDescent="0.3">
      <c r="A26" t="s">
        <v>1937</v>
      </c>
      <c r="B26" s="5">
        <f>SUMIFS(SalesDetail[Quantity (KG)],SalesDetail[Customer],$A26,SalesDetail[Year],2009)</f>
        <v>0</v>
      </c>
      <c r="C26" s="5">
        <f>SUMIFS(SalesDetail[Quantity (KG)],SalesDetail[Customer],$A26,SalesDetail[Year],2010)</f>
        <v>0</v>
      </c>
      <c r="D26" s="5">
        <f>SUMIFS(SalesDetail[Quantity (KG)],SalesDetail[Customer],$A26,SalesDetail[Year],2011)</f>
        <v>0</v>
      </c>
      <c r="E26" s="5">
        <f>SUMIFS(SalesDetail[Quantity (KG)],SalesDetail[Customer],$A26,SalesDetail[Year],2012)</f>
        <v>0</v>
      </c>
      <c r="F26" s="5">
        <f>SUMIFS(SalesDetail[Quantity (KG)],SalesDetail[Customer],$A26,SalesDetail[Year],2013)</f>
        <v>0</v>
      </c>
      <c r="G26" s="5">
        <f>SUMIFS(SalesDetail[Quantity (KG)],SalesDetail[Customer],$A26,SalesDetail[Year],2014)</f>
        <v>0</v>
      </c>
      <c r="H26" s="5">
        <f>SUMIFS(SalesDetail[Quantity (KG)],SalesDetail[Customer],$A26,SalesDetail[Year],2015)</f>
        <v>0</v>
      </c>
      <c r="I26" s="5">
        <f>SUMIFS(SalesDetail[Quantity (KG)],SalesDetail[Customer],$A26,SalesDetail[Year],2016)</f>
        <v>0</v>
      </c>
      <c r="J26" s="5">
        <f>SUMIFS(SalesDetail[Quantity (KG)],SalesDetail[Customer],$A26,SalesDetail[Year],2017)</f>
        <v>0</v>
      </c>
      <c r="K26" s="5">
        <f>SUMIFS(SalesDetail[Quantity (KG)],SalesDetail[Customer],$A26,SalesDetail[Year],2018)</f>
        <v>0</v>
      </c>
      <c r="L26" s="5">
        <f>SUMIFS(SalesDetail[Quantity (KG)],SalesDetail[Customer],$A26,SalesDetail[Year],2019)</f>
        <v>0</v>
      </c>
      <c r="M26" s="5">
        <f>SUMIFS(SalesDetail[Quantity (KG)],SalesDetail[Customer],$A26,SalesDetail[Year],2020)</f>
        <v>3000</v>
      </c>
      <c r="N26" s="5">
        <f>SUMIFS(SalesDetail[Quantity (KG)],SalesDetail[Customer],$A26,SalesDetail[Year],2021)</f>
        <v>1700</v>
      </c>
      <c r="O26" s="6">
        <f>SUM(B26:N26)</f>
        <v>4700</v>
      </c>
    </row>
    <row r="27" spans="1:15" x14ac:dyDescent="0.3">
      <c r="A27" t="s">
        <v>1895</v>
      </c>
      <c r="B27" s="5">
        <f>SUMIFS(SalesDetail[Quantity (KG)],SalesDetail[Customer],$A27,SalesDetail[Year],2009)</f>
        <v>0</v>
      </c>
      <c r="C27" s="5">
        <f>SUMIFS(SalesDetail[Quantity (KG)],SalesDetail[Customer],$A27,SalesDetail[Year],2010)</f>
        <v>0</v>
      </c>
      <c r="D27" s="5">
        <f>SUMIFS(SalesDetail[Quantity (KG)],SalesDetail[Customer],$A27,SalesDetail[Year],2011)</f>
        <v>775</v>
      </c>
      <c r="E27" s="5">
        <f>SUMIFS(SalesDetail[Quantity (KG)],SalesDetail[Customer],$A27,SalesDetail[Year],2012)</f>
        <v>863</v>
      </c>
      <c r="F27" s="5">
        <f>SUMIFS(SalesDetail[Quantity (KG)],SalesDetail[Customer],$A27,SalesDetail[Year],2013)</f>
        <v>525</v>
      </c>
      <c r="G27" s="5">
        <f>SUMIFS(SalesDetail[Quantity (KG)],SalesDetail[Customer],$A27,SalesDetail[Year],2014)</f>
        <v>600</v>
      </c>
      <c r="H27" s="5">
        <f>SUMIFS(SalesDetail[Quantity (KG)],SalesDetail[Customer],$A27,SalesDetail[Year],2015)</f>
        <v>450</v>
      </c>
      <c r="I27" s="5">
        <f>SUMIFS(SalesDetail[Quantity (KG)],SalesDetail[Customer],$A27,SalesDetail[Year],2016)</f>
        <v>175</v>
      </c>
      <c r="J27" s="5">
        <f>SUMIFS(SalesDetail[Quantity (KG)],SalesDetail[Customer],$A27,SalesDetail[Year],2017)</f>
        <v>400</v>
      </c>
      <c r="K27" s="5">
        <f>SUMIFS(SalesDetail[Quantity (KG)],SalesDetail[Customer],$A27,SalesDetail[Year],2018)</f>
        <v>163</v>
      </c>
      <c r="L27" s="5">
        <f>SUMIFS(SalesDetail[Quantity (KG)],SalesDetail[Customer],$A27,SalesDetail[Year],2019)</f>
        <v>320</v>
      </c>
      <c r="M27" s="5">
        <f>SUMIFS(SalesDetail[Quantity (KG)],SalesDetail[Customer],$A27,SalesDetail[Year],2020)</f>
        <v>270</v>
      </c>
      <c r="N27" s="5">
        <f>SUMIFS(SalesDetail[Quantity (KG)],SalesDetail[Customer],$A27,SalesDetail[Year],2021)</f>
        <v>50</v>
      </c>
      <c r="O27" s="6">
        <f>SUM(B27:N27)</f>
        <v>4591</v>
      </c>
    </row>
    <row r="28" spans="1:15" x14ac:dyDescent="0.3">
      <c r="A28" t="s">
        <v>1871</v>
      </c>
      <c r="B28" s="5">
        <f>SUMIFS(SalesDetail[Quantity (KG)],SalesDetail[Customer],$A28,SalesDetail[Year],2009)</f>
        <v>0</v>
      </c>
      <c r="C28" s="5">
        <f>SUMIFS(SalesDetail[Quantity (KG)],SalesDetail[Customer],$A28,SalesDetail[Year],2010)</f>
        <v>0</v>
      </c>
      <c r="D28" s="5">
        <f>SUMIFS(SalesDetail[Quantity (KG)],SalesDetail[Customer],$A28,SalesDetail[Year],2011)</f>
        <v>0</v>
      </c>
      <c r="E28" s="5">
        <f>SUMIFS(SalesDetail[Quantity (KG)],SalesDetail[Customer],$A28,SalesDetail[Year],2012)</f>
        <v>0</v>
      </c>
      <c r="F28" s="5">
        <f>SUMIFS(SalesDetail[Quantity (KG)],SalesDetail[Customer],$A28,SalesDetail[Year],2013)</f>
        <v>0</v>
      </c>
      <c r="G28" s="5">
        <f>SUMIFS(SalesDetail[Quantity (KG)],SalesDetail[Customer],$A28,SalesDetail[Year],2014)</f>
        <v>0</v>
      </c>
      <c r="H28" s="5">
        <f>SUMIFS(SalesDetail[Quantity (KG)],SalesDetail[Customer],$A28,SalesDetail[Year],2015)</f>
        <v>69</v>
      </c>
      <c r="I28" s="5">
        <f>SUMIFS(SalesDetail[Quantity (KG)],SalesDetail[Customer],$A28,SalesDetail[Year],2016)</f>
        <v>1194.7</v>
      </c>
      <c r="J28" s="5">
        <f>SUMIFS(SalesDetail[Quantity (KG)],SalesDetail[Customer],$A28,SalesDetail[Year],2017)</f>
        <v>634</v>
      </c>
      <c r="K28" s="5">
        <f>SUMIFS(SalesDetail[Quantity (KG)],SalesDetail[Customer],$A28,SalesDetail[Year],2018)</f>
        <v>890</v>
      </c>
      <c r="L28" s="5">
        <f>SUMIFS(SalesDetail[Quantity (KG)],SalesDetail[Customer],$A28,SalesDetail[Year],2019)</f>
        <v>1170</v>
      </c>
      <c r="M28" s="5">
        <f>SUMIFS(SalesDetail[Quantity (KG)],SalesDetail[Customer],$A28,SalesDetail[Year],2020)</f>
        <v>250</v>
      </c>
      <c r="N28" s="5">
        <f>SUMIFS(SalesDetail[Quantity (KG)],SalesDetail[Customer],$A28,SalesDetail[Year],2021)</f>
        <v>245</v>
      </c>
      <c r="O28" s="6">
        <f>SUM(B28:N28)</f>
        <v>4452.7</v>
      </c>
    </row>
    <row r="29" spans="1:15" x14ac:dyDescent="0.3">
      <c r="A29" t="s">
        <v>2209</v>
      </c>
      <c r="B29" s="5">
        <f>SUMIFS(SalesDetail[Quantity (KG)],SalesDetail[Customer],$A29,SalesDetail[Year],2009)</f>
        <v>0</v>
      </c>
      <c r="C29" s="5">
        <f>SUMIFS(SalesDetail[Quantity (KG)],SalesDetail[Customer],$A29,SalesDetail[Year],2010)</f>
        <v>0</v>
      </c>
      <c r="D29" s="5">
        <f>SUMIFS(SalesDetail[Quantity (KG)],SalesDetail[Customer],$A29,SalesDetail[Year],2011)</f>
        <v>0</v>
      </c>
      <c r="E29" s="5">
        <f>SUMIFS(SalesDetail[Quantity (KG)],SalesDetail[Customer],$A29,SalesDetail[Year],2012)</f>
        <v>0</v>
      </c>
      <c r="F29" s="5">
        <f>SUMIFS(SalesDetail[Quantity (KG)],SalesDetail[Customer],$A29,SalesDetail[Year],2013)</f>
        <v>0</v>
      </c>
      <c r="G29" s="5">
        <f>SUMIFS(SalesDetail[Quantity (KG)],SalesDetail[Customer],$A29,SalesDetail[Year],2014)</f>
        <v>0</v>
      </c>
      <c r="H29" s="5">
        <f>SUMIFS(SalesDetail[Quantity (KG)],SalesDetail[Customer],$A29,SalesDetail[Year],2015)</f>
        <v>0</v>
      </c>
      <c r="I29" s="5">
        <f>SUMIFS(SalesDetail[Quantity (KG)],SalesDetail[Customer],$A29,SalesDetail[Year],2016)</f>
        <v>0</v>
      </c>
      <c r="J29" s="5">
        <f>SUMIFS(SalesDetail[Quantity (KG)],SalesDetail[Customer],$A29,SalesDetail[Year],2017)</f>
        <v>0</v>
      </c>
      <c r="K29" s="5">
        <f>SUMIFS(SalesDetail[Quantity (KG)],SalesDetail[Customer],$A29,SalesDetail[Year],2018)</f>
        <v>0</v>
      </c>
      <c r="L29" s="5">
        <f>SUMIFS(SalesDetail[Quantity (KG)],SalesDetail[Customer],$A29,SalesDetail[Year],2019)</f>
        <v>1590</v>
      </c>
      <c r="M29" s="5">
        <f>SUMIFS(SalesDetail[Quantity (KG)],SalesDetail[Customer],$A29,SalesDetail[Year],2020)</f>
        <v>1745</v>
      </c>
      <c r="N29" s="5">
        <f>SUMIFS(SalesDetail[Quantity (KG)],SalesDetail[Customer],$A29,SalesDetail[Year],2021)</f>
        <v>1077</v>
      </c>
      <c r="O29" s="6">
        <f>SUM(B29:N29)</f>
        <v>4412</v>
      </c>
    </row>
    <row r="30" spans="1:15" x14ac:dyDescent="0.3">
      <c r="A30" t="s">
        <v>2020</v>
      </c>
      <c r="B30" s="5">
        <f>SUMIFS(SalesDetail[Quantity (KG)],SalesDetail[Customer],$A30,SalesDetail[Year],2009)</f>
        <v>0</v>
      </c>
      <c r="C30" s="5">
        <f>SUMIFS(SalesDetail[Quantity (KG)],SalesDetail[Customer],$A30,SalesDetail[Year],2010)</f>
        <v>0</v>
      </c>
      <c r="D30" s="5">
        <f>SUMIFS(SalesDetail[Quantity (KG)],SalesDetail[Customer],$A30,SalesDetail[Year],2011)</f>
        <v>0</v>
      </c>
      <c r="E30" s="5">
        <f>SUMIFS(SalesDetail[Quantity (KG)],SalesDetail[Customer],$A30,SalesDetail[Year],2012)</f>
        <v>0</v>
      </c>
      <c r="F30" s="5">
        <f>SUMIFS(SalesDetail[Quantity (KG)],SalesDetail[Customer],$A30,SalesDetail[Year],2013)</f>
        <v>0</v>
      </c>
      <c r="G30" s="5">
        <f>SUMIFS(SalesDetail[Quantity (KG)],SalesDetail[Customer],$A30,SalesDetail[Year],2014)</f>
        <v>275</v>
      </c>
      <c r="H30" s="5">
        <f>SUMIFS(SalesDetail[Quantity (KG)],SalesDetail[Customer],$A30,SalesDetail[Year],2015)</f>
        <v>50</v>
      </c>
      <c r="I30" s="5">
        <f>SUMIFS(SalesDetail[Quantity (KG)],SalesDetail[Customer],$A30,SalesDetail[Year],2016)</f>
        <v>60</v>
      </c>
      <c r="J30" s="5">
        <f>SUMIFS(SalesDetail[Quantity (KG)],SalesDetail[Customer],$A30,SalesDetail[Year],2017)</f>
        <v>725</v>
      </c>
      <c r="K30" s="5">
        <f>SUMIFS(SalesDetail[Quantity (KG)],SalesDetail[Customer],$A30,SalesDetail[Year],2018)</f>
        <v>760</v>
      </c>
      <c r="L30" s="5">
        <f>SUMIFS(SalesDetail[Quantity (KG)],SalesDetail[Customer],$A30,SalesDetail[Year],2019)</f>
        <v>1921</v>
      </c>
      <c r="M30" s="5">
        <f>SUMIFS(SalesDetail[Quantity (KG)],SalesDetail[Customer],$A30,SalesDetail[Year],2020)</f>
        <v>265</v>
      </c>
      <c r="N30" s="5">
        <f>SUMIFS(SalesDetail[Quantity (KG)],SalesDetail[Customer],$A30,SalesDetail[Year],2021)</f>
        <v>60</v>
      </c>
      <c r="O30" s="6">
        <f>SUM(B30:N30)</f>
        <v>4116</v>
      </c>
    </row>
    <row r="31" spans="1:15" x14ac:dyDescent="0.3">
      <c r="A31" t="s">
        <v>2401</v>
      </c>
      <c r="B31" s="5">
        <f>SUMIFS(SalesDetail[Quantity (KG)],SalesDetail[Customer],$A31,SalesDetail[Year],2009)</f>
        <v>115</v>
      </c>
      <c r="C31" s="5">
        <f>SUMIFS(SalesDetail[Quantity (KG)],SalesDetail[Customer],$A31,SalesDetail[Year],2010)</f>
        <v>145</v>
      </c>
      <c r="D31" s="5">
        <f>SUMIFS(SalesDetail[Quantity (KG)],SalesDetail[Customer],$A31,SalesDetail[Year],2011)</f>
        <v>170</v>
      </c>
      <c r="E31" s="5">
        <f>SUMIFS(SalesDetail[Quantity (KG)],SalesDetail[Customer],$A31,SalesDetail[Year],2012)</f>
        <v>75</v>
      </c>
      <c r="F31" s="5">
        <f>SUMIFS(SalesDetail[Quantity (KG)],SalesDetail[Customer],$A31,SalesDetail[Year],2013)</f>
        <v>25</v>
      </c>
      <c r="G31" s="5">
        <f>SUMIFS(SalesDetail[Quantity (KG)],SalesDetail[Customer],$A31,SalesDetail[Year],2014)</f>
        <v>130</v>
      </c>
      <c r="H31" s="5">
        <f>SUMIFS(SalesDetail[Quantity (KG)],SalesDetail[Customer],$A31,SalesDetail[Year],2015)</f>
        <v>116</v>
      </c>
      <c r="I31" s="5">
        <f>SUMIFS(SalesDetail[Quantity (KG)],SalesDetail[Customer],$A31,SalesDetail[Year],2016)</f>
        <v>80</v>
      </c>
      <c r="J31" s="5">
        <f>SUMIFS(SalesDetail[Quantity (KG)],SalesDetail[Customer],$A31,SalesDetail[Year],2017)</f>
        <v>295</v>
      </c>
      <c r="K31" s="5">
        <f>SUMIFS(SalesDetail[Quantity (KG)],SalesDetail[Customer],$A31,SalesDetail[Year],2018)</f>
        <v>280</v>
      </c>
      <c r="L31" s="5">
        <f>SUMIFS(SalesDetail[Quantity (KG)],SalesDetail[Customer],$A31,SalesDetail[Year],2019)</f>
        <v>465</v>
      </c>
      <c r="M31" s="5">
        <f>SUMIFS(SalesDetail[Quantity (KG)],SalesDetail[Customer],$A31,SalesDetail[Year],2020)</f>
        <v>2045</v>
      </c>
      <c r="N31" s="5">
        <f>SUMIFS(SalesDetail[Quantity (KG)],SalesDetail[Customer],$A31,SalesDetail[Year],2021)</f>
        <v>85</v>
      </c>
      <c r="O31" s="6">
        <f>SUM(B31:N31)</f>
        <v>4026</v>
      </c>
    </row>
    <row r="32" spans="1:15" x14ac:dyDescent="0.3">
      <c r="A32" t="s">
        <v>2069</v>
      </c>
      <c r="B32" s="5">
        <f>SUMIFS(SalesDetail[Quantity (KG)],SalesDetail[Customer],$A32,SalesDetail[Year],2009)</f>
        <v>0</v>
      </c>
      <c r="C32" s="5">
        <f>SUMIFS(SalesDetail[Quantity (KG)],SalesDetail[Customer],$A32,SalesDetail[Year],2010)</f>
        <v>0</v>
      </c>
      <c r="D32" s="5">
        <f>SUMIFS(SalesDetail[Quantity (KG)],SalesDetail[Customer],$A32,SalesDetail[Year],2011)</f>
        <v>0</v>
      </c>
      <c r="E32" s="5">
        <f>SUMIFS(SalesDetail[Quantity (KG)],SalesDetail[Customer],$A32,SalesDetail[Year],2012)</f>
        <v>0</v>
      </c>
      <c r="F32" s="5">
        <f>SUMIFS(SalesDetail[Quantity (KG)],SalesDetail[Customer],$A32,SalesDetail[Year],2013)</f>
        <v>0</v>
      </c>
      <c r="G32" s="5">
        <f>SUMIFS(SalesDetail[Quantity (KG)],SalesDetail[Customer],$A32,SalesDetail[Year],2014)</f>
        <v>0</v>
      </c>
      <c r="H32" s="5">
        <f>SUMIFS(SalesDetail[Quantity (KG)],SalesDetail[Customer],$A32,SalesDetail[Year],2015)</f>
        <v>0</v>
      </c>
      <c r="I32" s="5">
        <f>SUMIFS(SalesDetail[Quantity (KG)],SalesDetail[Customer],$A32,SalesDetail[Year],2016)</f>
        <v>350</v>
      </c>
      <c r="J32" s="5">
        <f>SUMIFS(SalesDetail[Quantity (KG)],SalesDetail[Customer],$A32,SalesDetail[Year],2017)</f>
        <v>780</v>
      </c>
      <c r="K32" s="5">
        <f>SUMIFS(SalesDetail[Quantity (KG)],SalesDetail[Customer],$A32,SalesDetail[Year],2018)</f>
        <v>850</v>
      </c>
      <c r="L32" s="5">
        <f>SUMIFS(SalesDetail[Quantity (KG)],SalesDetail[Customer],$A32,SalesDetail[Year],2019)</f>
        <v>1040</v>
      </c>
      <c r="M32" s="5">
        <f>SUMIFS(SalesDetail[Quantity (KG)],SalesDetail[Customer],$A32,SalesDetail[Year],2020)</f>
        <v>295</v>
      </c>
      <c r="N32" s="5">
        <f>SUMIFS(SalesDetail[Quantity (KG)],SalesDetail[Customer],$A32,SalesDetail[Year],2021)</f>
        <v>300</v>
      </c>
      <c r="O32" s="6">
        <f>SUM(B32:N32)</f>
        <v>3615</v>
      </c>
    </row>
    <row r="33" spans="1:15" x14ac:dyDescent="0.3">
      <c r="A33" t="s">
        <v>1668</v>
      </c>
      <c r="B33" s="5">
        <f>SUMIFS(SalesDetail[Quantity (KG)],SalesDetail[Customer],$A33,SalesDetail[Year],2009)</f>
        <v>0</v>
      </c>
      <c r="C33" s="5">
        <f>SUMIFS(SalesDetail[Quantity (KG)],SalesDetail[Customer],$A33,SalesDetail[Year],2010)</f>
        <v>0</v>
      </c>
      <c r="D33" s="5">
        <f>SUMIFS(SalesDetail[Quantity (KG)],SalesDetail[Customer],$A33,SalesDetail[Year],2011)</f>
        <v>0</v>
      </c>
      <c r="E33" s="5">
        <f>SUMIFS(SalesDetail[Quantity (KG)],SalesDetail[Customer],$A33,SalesDetail[Year],2012)</f>
        <v>0</v>
      </c>
      <c r="F33" s="5">
        <f>SUMIFS(SalesDetail[Quantity (KG)],SalesDetail[Customer],$A33,SalesDetail[Year],2013)</f>
        <v>0</v>
      </c>
      <c r="G33" s="5">
        <f>SUMIFS(SalesDetail[Quantity (KG)],SalesDetail[Customer],$A33,SalesDetail[Year],2014)</f>
        <v>0</v>
      </c>
      <c r="H33" s="5">
        <f>SUMIFS(SalesDetail[Quantity (KG)],SalesDetail[Customer],$A33,SalesDetail[Year],2015)</f>
        <v>60</v>
      </c>
      <c r="I33" s="5">
        <f>SUMIFS(SalesDetail[Quantity (KG)],SalesDetail[Customer],$A33,SalesDetail[Year],2016)</f>
        <v>335</v>
      </c>
      <c r="J33" s="5">
        <f>SUMIFS(SalesDetail[Quantity (KG)],SalesDetail[Customer],$A33,SalesDetail[Year],2017)</f>
        <v>705</v>
      </c>
      <c r="K33" s="5">
        <f>SUMIFS(SalesDetail[Quantity (KG)],SalesDetail[Customer],$A33,SalesDetail[Year],2018)</f>
        <v>505</v>
      </c>
      <c r="L33" s="5">
        <f>SUMIFS(SalesDetail[Quantity (KG)],SalesDetail[Customer],$A33,SalesDetail[Year],2019)</f>
        <v>585</v>
      </c>
      <c r="M33" s="5">
        <f>SUMIFS(SalesDetail[Quantity (KG)],SalesDetail[Customer],$A33,SalesDetail[Year],2020)</f>
        <v>1000</v>
      </c>
      <c r="N33" s="5">
        <f>SUMIFS(SalesDetail[Quantity (KG)],SalesDetail[Customer],$A33,SalesDetail[Year],2021)</f>
        <v>420</v>
      </c>
      <c r="O33" s="6">
        <f>SUM(B33:N33)</f>
        <v>3610</v>
      </c>
    </row>
    <row r="34" spans="1:15" x14ac:dyDescent="0.3">
      <c r="A34" t="s">
        <v>2095</v>
      </c>
      <c r="B34" s="5">
        <f>SUMIFS(SalesDetail[Quantity (KG)],SalesDetail[Customer],$A34,SalesDetail[Year],2009)</f>
        <v>0</v>
      </c>
      <c r="C34" s="5">
        <f>SUMIFS(SalesDetail[Quantity (KG)],SalesDetail[Customer],$A34,SalesDetail[Year],2010)</f>
        <v>0</v>
      </c>
      <c r="D34" s="5">
        <f>SUMIFS(SalesDetail[Quantity (KG)],SalesDetail[Customer],$A34,SalesDetail[Year],2011)</f>
        <v>0</v>
      </c>
      <c r="E34" s="5">
        <f>SUMIFS(SalesDetail[Quantity (KG)],SalesDetail[Customer],$A34,SalesDetail[Year],2012)</f>
        <v>0</v>
      </c>
      <c r="F34" s="5">
        <f>SUMIFS(SalesDetail[Quantity (KG)],SalesDetail[Customer],$A34,SalesDetail[Year],2013)</f>
        <v>0</v>
      </c>
      <c r="G34" s="5">
        <f>SUMIFS(SalesDetail[Quantity (KG)],SalesDetail[Customer],$A34,SalesDetail[Year],2014)</f>
        <v>0</v>
      </c>
      <c r="H34" s="5">
        <f>SUMIFS(SalesDetail[Quantity (KG)],SalesDetail[Customer],$A34,SalesDetail[Year],2015)</f>
        <v>1245</v>
      </c>
      <c r="I34" s="5">
        <f>SUMIFS(SalesDetail[Quantity (KG)],SalesDetail[Customer],$A34,SalesDetail[Year],2016)</f>
        <v>367</v>
      </c>
      <c r="J34" s="5">
        <f>SUMIFS(SalesDetail[Quantity (KG)],SalesDetail[Customer],$A34,SalesDetail[Year],2017)</f>
        <v>50</v>
      </c>
      <c r="K34" s="5">
        <f>SUMIFS(SalesDetail[Quantity (KG)],SalesDetail[Customer],$A34,SalesDetail[Year],2018)</f>
        <v>151</v>
      </c>
      <c r="L34" s="5">
        <f>SUMIFS(SalesDetail[Quantity (KG)],SalesDetail[Customer],$A34,SalesDetail[Year],2019)</f>
        <v>476</v>
      </c>
      <c r="M34" s="5">
        <f>SUMIFS(SalesDetail[Quantity (KG)],SalesDetail[Customer],$A34,SalesDetail[Year],2020)</f>
        <v>755</v>
      </c>
      <c r="N34" s="5">
        <f>SUMIFS(SalesDetail[Quantity (KG)],SalesDetail[Customer],$A34,SalesDetail[Year],2021)</f>
        <v>560</v>
      </c>
      <c r="O34" s="6">
        <f>SUM(B34:N34)</f>
        <v>3604</v>
      </c>
    </row>
    <row r="35" spans="1:15" x14ac:dyDescent="0.3">
      <c r="A35" t="s">
        <v>1102</v>
      </c>
      <c r="B35" s="5">
        <f>SUMIFS(SalesDetail[Quantity (KG)],SalesDetail[Customer],$A35,SalesDetail[Year],2009)</f>
        <v>0</v>
      </c>
      <c r="C35" s="5">
        <f>SUMIFS(SalesDetail[Quantity (KG)],SalesDetail[Customer],$A35,SalesDetail[Year],2010)</f>
        <v>0</v>
      </c>
      <c r="D35" s="5">
        <f>SUMIFS(SalesDetail[Quantity (KG)],SalesDetail[Customer],$A35,SalesDetail[Year],2011)</f>
        <v>0</v>
      </c>
      <c r="E35" s="5">
        <f>SUMIFS(SalesDetail[Quantity (KG)],SalesDetail[Customer],$A35,SalesDetail[Year],2012)</f>
        <v>0</v>
      </c>
      <c r="F35" s="5">
        <f>SUMIFS(SalesDetail[Quantity (KG)],SalesDetail[Customer],$A35,SalesDetail[Year],2013)</f>
        <v>0</v>
      </c>
      <c r="G35" s="5">
        <f>SUMIFS(SalesDetail[Quantity (KG)],SalesDetail[Customer],$A35,SalesDetail[Year],2014)</f>
        <v>0</v>
      </c>
      <c r="H35" s="5">
        <f>SUMIFS(SalesDetail[Quantity (KG)],SalesDetail[Customer],$A35,SalesDetail[Year],2015)</f>
        <v>0</v>
      </c>
      <c r="I35" s="5">
        <f>SUMIFS(SalesDetail[Quantity (KG)],SalesDetail[Customer],$A35,SalesDetail[Year],2016)</f>
        <v>0</v>
      </c>
      <c r="J35" s="5">
        <f>SUMIFS(SalesDetail[Quantity (KG)],SalesDetail[Customer],$A35,SalesDetail[Year],2017)</f>
        <v>0</v>
      </c>
      <c r="K35" s="5">
        <f>SUMIFS(SalesDetail[Quantity (KG)],SalesDetail[Customer],$A35,SalesDetail[Year],2018)</f>
        <v>0</v>
      </c>
      <c r="L35" s="5">
        <f>SUMIFS(SalesDetail[Quantity (KG)],SalesDetail[Customer],$A35,SalesDetail[Year],2019)</f>
        <v>3110</v>
      </c>
      <c r="M35" s="5">
        <f>SUMIFS(SalesDetail[Quantity (KG)],SalesDetail[Customer],$A35,SalesDetail[Year],2020)</f>
        <v>470</v>
      </c>
      <c r="N35" s="5">
        <f>SUMIFS(SalesDetail[Quantity (KG)],SalesDetail[Customer],$A35,SalesDetail[Year],2021)</f>
        <v>0</v>
      </c>
      <c r="O35" s="6">
        <f>SUM(B35:N35)</f>
        <v>3580</v>
      </c>
    </row>
    <row r="36" spans="1:15" x14ac:dyDescent="0.3">
      <c r="A36" t="s">
        <v>2330</v>
      </c>
      <c r="B36" s="5">
        <f>SUMIFS(SalesDetail[Quantity (KG)],SalesDetail[Customer],$A36,SalesDetail[Year],2009)</f>
        <v>0</v>
      </c>
      <c r="C36" s="5">
        <f>SUMIFS(SalesDetail[Quantity (KG)],SalesDetail[Customer],$A36,SalesDetail[Year],2010)</f>
        <v>0</v>
      </c>
      <c r="D36" s="5">
        <f>SUMIFS(SalesDetail[Quantity (KG)],SalesDetail[Customer],$A36,SalesDetail[Year],2011)</f>
        <v>0</v>
      </c>
      <c r="E36" s="5">
        <f>SUMIFS(SalesDetail[Quantity (KG)],SalesDetail[Customer],$A36,SalesDetail[Year],2012)</f>
        <v>0</v>
      </c>
      <c r="F36" s="5">
        <f>SUMIFS(SalesDetail[Quantity (KG)],SalesDetail[Customer],$A36,SalesDetail[Year],2013)</f>
        <v>0</v>
      </c>
      <c r="G36" s="5">
        <f>SUMIFS(SalesDetail[Quantity (KG)],SalesDetail[Customer],$A36,SalesDetail[Year],2014)</f>
        <v>0</v>
      </c>
      <c r="H36" s="5">
        <f>SUMIFS(SalesDetail[Quantity (KG)],SalesDetail[Customer],$A36,SalesDetail[Year],2015)</f>
        <v>120</v>
      </c>
      <c r="I36" s="5">
        <f>SUMIFS(SalesDetail[Quantity (KG)],SalesDetail[Customer],$A36,SalesDetail[Year],2016)</f>
        <v>437</v>
      </c>
      <c r="J36" s="5">
        <f>SUMIFS(SalesDetail[Quantity (KG)],SalesDetail[Customer],$A36,SalesDetail[Year],2017)</f>
        <v>830</v>
      </c>
      <c r="K36" s="5">
        <f>SUMIFS(SalesDetail[Quantity (KG)],SalesDetail[Customer],$A36,SalesDetail[Year],2018)</f>
        <v>757</v>
      </c>
      <c r="L36" s="5">
        <f>SUMIFS(SalesDetail[Quantity (KG)],SalesDetail[Customer],$A36,SalesDetail[Year],2019)</f>
        <v>478</v>
      </c>
      <c r="M36" s="5">
        <f>SUMIFS(SalesDetail[Quantity (KG)],SalesDetail[Customer],$A36,SalesDetail[Year],2020)</f>
        <v>529</v>
      </c>
      <c r="N36" s="5">
        <f>SUMIFS(SalesDetail[Quantity (KG)],SalesDetail[Customer],$A36,SalesDetail[Year],2021)</f>
        <v>235</v>
      </c>
      <c r="O36" s="6">
        <f>SUM(B36:N36)</f>
        <v>3386</v>
      </c>
    </row>
    <row r="37" spans="1:15" x14ac:dyDescent="0.3">
      <c r="A37" t="s">
        <v>273</v>
      </c>
      <c r="B37" s="5">
        <f>SUMIFS(SalesDetail[Quantity (KG)],SalesDetail[Customer],$A37,SalesDetail[Year],2009)</f>
        <v>0</v>
      </c>
      <c r="C37" s="5">
        <f>SUMIFS(SalesDetail[Quantity (KG)],SalesDetail[Customer],$A37,SalesDetail[Year],2010)</f>
        <v>0</v>
      </c>
      <c r="D37" s="5">
        <f>SUMIFS(SalesDetail[Quantity (KG)],SalesDetail[Customer],$A37,SalesDetail[Year],2011)</f>
        <v>25</v>
      </c>
      <c r="E37" s="5">
        <f>SUMIFS(SalesDetail[Quantity (KG)],SalesDetail[Customer],$A37,SalesDetail[Year],2012)</f>
        <v>340</v>
      </c>
      <c r="F37" s="5">
        <f>SUMIFS(SalesDetail[Quantity (KG)],SalesDetail[Customer],$A37,SalesDetail[Year],2013)</f>
        <v>992</v>
      </c>
      <c r="G37" s="5">
        <f>SUMIFS(SalesDetail[Quantity (KG)],SalesDetail[Customer],$A37,SalesDetail[Year],2014)</f>
        <v>1082</v>
      </c>
      <c r="H37" s="5">
        <f>SUMIFS(SalesDetail[Quantity (KG)],SalesDetail[Customer],$A37,SalesDetail[Year],2015)</f>
        <v>359</v>
      </c>
      <c r="I37" s="5">
        <f>SUMIFS(SalesDetail[Quantity (KG)],SalesDetail[Customer],$A37,SalesDetail[Year],2016)</f>
        <v>467.5</v>
      </c>
      <c r="J37" s="5">
        <f>SUMIFS(SalesDetail[Quantity (KG)],SalesDetail[Customer],$A37,SalesDetail[Year],2017)</f>
        <v>0</v>
      </c>
      <c r="K37" s="5">
        <f>SUMIFS(SalesDetail[Quantity (KG)],SalesDetail[Customer],$A37,SalesDetail[Year],2018)</f>
        <v>0</v>
      </c>
      <c r="L37" s="5">
        <f>SUMIFS(SalesDetail[Quantity (KG)],SalesDetail[Customer],$A37,SalesDetail[Year],2019)</f>
        <v>0</v>
      </c>
      <c r="M37" s="5">
        <f>SUMIFS(SalesDetail[Quantity (KG)],SalesDetail[Customer],$A37,SalesDetail[Year],2020)</f>
        <v>0</v>
      </c>
      <c r="N37" s="5">
        <f>SUMIFS(SalesDetail[Quantity (KG)],SalesDetail[Customer],$A37,SalesDetail[Year],2021)</f>
        <v>0</v>
      </c>
      <c r="O37" s="6">
        <f>SUM(B37:N37)</f>
        <v>3265.5</v>
      </c>
    </row>
    <row r="38" spans="1:15" x14ac:dyDescent="0.3">
      <c r="A38" t="s">
        <v>861</v>
      </c>
      <c r="B38" s="5">
        <f>SUMIFS(SalesDetail[Quantity (KG)],SalesDetail[Customer],$A38,SalesDetail[Year],2009)</f>
        <v>0</v>
      </c>
      <c r="C38" s="5">
        <f>SUMIFS(SalesDetail[Quantity (KG)],SalesDetail[Customer],$A38,SalesDetail[Year],2010)</f>
        <v>0</v>
      </c>
      <c r="D38" s="5">
        <f>SUMIFS(SalesDetail[Quantity (KG)],SalesDetail[Customer],$A38,SalesDetail[Year],2011)</f>
        <v>50</v>
      </c>
      <c r="E38" s="5">
        <f>SUMIFS(SalesDetail[Quantity (KG)],SalesDetail[Customer],$A38,SalesDetail[Year],2012)</f>
        <v>650</v>
      </c>
      <c r="F38" s="5">
        <f>SUMIFS(SalesDetail[Quantity (KG)],SalesDetail[Customer],$A38,SalesDetail[Year],2013)</f>
        <v>508</v>
      </c>
      <c r="G38" s="5">
        <f>SUMIFS(SalesDetail[Quantity (KG)],SalesDetail[Customer],$A38,SalesDetail[Year],2014)</f>
        <v>615</v>
      </c>
      <c r="H38" s="5">
        <f>SUMIFS(SalesDetail[Quantity (KG)],SalesDetail[Customer],$A38,SalesDetail[Year],2015)</f>
        <v>452</v>
      </c>
      <c r="I38" s="5">
        <f>SUMIFS(SalesDetail[Quantity (KG)],SalesDetail[Customer],$A38,SalesDetail[Year],2016)</f>
        <v>330</v>
      </c>
      <c r="J38" s="5">
        <f>SUMIFS(SalesDetail[Quantity (KG)],SalesDetail[Customer],$A38,SalesDetail[Year],2017)</f>
        <v>300</v>
      </c>
      <c r="K38" s="5">
        <f>SUMIFS(SalesDetail[Quantity (KG)],SalesDetail[Customer],$A38,SalesDetail[Year],2018)</f>
        <v>0</v>
      </c>
      <c r="L38" s="5">
        <f>SUMIFS(SalesDetail[Quantity (KG)],SalesDetail[Customer],$A38,SalesDetail[Year],2019)</f>
        <v>80</v>
      </c>
      <c r="M38" s="5">
        <f>SUMIFS(SalesDetail[Quantity (KG)],SalesDetail[Customer],$A38,SalesDetail[Year],2020)</f>
        <v>100</v>
      </c>
      <c r="N38" s="5">
        <f>SUMIFS(SalesDetail[Quantity (KG)],SalesDetail[Customer],$A38,SalesDetail[Year],2021)</f>
        <v>20</v>
      </c>
      <c r="O38" s="6">
        <f>SUM(B38:N38)</f>
        <v>3105</v>
      </c>
    </row>
    <row r="39" spans="1:15" x14ac:dyDescent="0.3">
      <c r="A39" t="s">
        <v>2354</v>
      </c>
      <c r="B39" s="5">
        <f>SUMIFS(SalesDetail[Quantity (KG)],SalesDetail[Customer],$A39,SalesDetail[Year],2009)</f>
        <v>0</v>
      </c>
      <c r="C39" s="5">
        <f>SUMIFS(SalesDetail[Quantity (KG)],SalesDetail[Customer],$A39,SalesDetail[Year],2010)</f>
        <v>0</v>
      </c>
      <c r="D39" s="5">
        <f>SUMIFS(SalesDetail[Quantity (KG)],SalesDetail[Customer],$A39,SalesDetail[Year],2011)</f>
        <v>0</v>
      </c>
      <c r="E39" s="5">
        <f>SUMIFS(SalesDetail[Quantity (KG)],SalesDetail[Customer],$A39,SalesDetail[Year],2012)</f>
        <v>0</v>
      </c>
      <c r="F39" s="5">
        <f>SUMIFS(SalesDetail[Quantity (KG)],SalesDetail[Customer],$A39,SalesDetail[Year],2013)</f>
        <v>0</v>
      </c>
      <c r="G39" s="5">
        <f>SUMIFS(SalesDetail[Quantity (KG)],SalesDetail[Customer],$A39,SalesDetail[Year],2014)</f>
        <v>0</v>
      </c>
      <c r="H39" s="5">
        <f>SUMIFS(SalesDetail[Quantity (KG)],SalesDetail[Customer],$A39,SalesDetail[Year],2015)</f>
        <v>0</v>
      </c>
      <c r="I39" s="5">
        <f>SUMIFS(SalesDetail[Quantity (KG)],SalesDetail[Customer],$A39,SalesDetail[Year],2016)</f>
        <v>55</v>
      </c>
      <c r="J39" s="5">
        <f>SUMIFS(SalesDetail[Quantity (KG)],SalesDetail[Customer],$A39,SalesDetail[Year],2017)</f>
        <v>239</v>
      </c>
      <c r="K39" s="5">
        <f>SUMIFS(SalesDetail[Quantity (KG)],SalesDetail[Customer],$A39,SalesDetail[Year],2018)</f>
        <v>665</v>
      </c>
      <c r="L39" s="5">
        <f>SUMIFS(SalesDetail[Quantity (KG)],SalesDetail[Customer],$A39,SalesDetail[Year],2019)</f>
        <v>529</v>
      </c>
      <c r="M39" s="5">
        <f>SUMIFS(SalesDetail[Quantity (KG)],SalesDetail[Customer],$A39,SalesDetail[Year],2020)</f>
        <v>1098</v>
      </c>
      <c r="N39" s="5">
        <f>SUMIFS(SalesDetail[Quantity (KG)],SalesDetail[Customer],$A39,SalesDetail[Year],2021)</f>
        <v>485</v>
      </c>
      <c r="O39" s="6">
        <f>SUM(B39:N39)</f>
        <v>3071</v>
      </c>
    </row>
    <row r="40" spans="1:15" x14ac:dyDescent="0.3">
      <c r="A40" t="s">
        <v>2592</v>
      </c>
      <c r="B40" s="5">
        <f>SUMIFS(SalesDetail[Quantity (KG)],SalesDetail[Customer],$A40,SalesDetail[Year],2009)</f>
        <v>0</v>
      </c>
      <c r="C40" s="5">
        <f>SUMIFS(SalesDetail[Quantity (KG)],SalesDetail[Customer],$A40,SalesDetail[Year],2010)</f>
        <v>0</v>
      </c>
      <c r="D40" s="5">
        <f>SUMIFS(SalesDetail[Quantity (KG)],SalesDetail[Customer],$A40,SalesDetail[Year],2011)</f>
        <v>0</v>
      </c>
      <c r="E40" s="5">
        <f>SUMIFS(SalesDetail[Quantity (KG)],SalesDetail[Customer],$A40,SalesDetail[Year],2012)</f>
        <v>0</v>
      </c>
      <c r="F40" s="5">
        <f>SUMIFS(SalesDetail[Quantity (KG)],SalesDetail[Customer],$A40,SalesDetail[Year],2013)</f>
        <v>0</v>
      </c>
      <c r="G40" s="5">
        <f>SUMIFS(SalesDetail[Quantity (KG)],SalesDetail[Customer],$A40,SalesDetail[Year],2014)</f>
        <v>0</v>
      </c>
      <c r="H40" s="5">
        <f>SUMIFS(SalesDetail[Quantity (KG)],SalesDetail[Customer],$A40,SalesDetail[Year],2015)</f>
        <v>0</v>
      </c>
      <c r="I40" s="5">
        <f>SUMIFS(SalesDetail[Quantity (KG)],SalesDetail[Customer],$A40,SalesDetail[Year],2016)</f>
        <v>0</v>
      </c>
      <c r="J40" s="5">
        <f>SUMIFS(SalesDetail[Quantity (KG)],SalesDetail[Customer],$A40,SalesDetail[Year],2017)</f>
        <v>50</v>
      </c>
      <c r="K40" s="5">
        <f>SUMIFS(SalesDetail[Quantity (KG)],SalesDetail[Customer],$A40,SalesDetail[Year],2018)</f>
        <v>0</v>
      </c>
      <c r="L40" s="5">
        <f>SUMIFS(SalesDetail[Quantity (KG)],SalesDetail[Customer],$A40,SalesDetail[Year],2019)</f>
        <v>220</v>
      </c>
      <c r="M40" s="5">
        <f>SUMIFS(SalesDetail[Quantity (KG)],SalesDetail[Customer],$A40,SalesDetail[Year],2020)</f>
        <v>2225</v>
      </c>
      <c r="N40" s="5">
        <f>SUMIFS(SalesDetail[Quantity (KG)],SalesDetail[Customer],$A40,SalesDetail[Year],2021)</f>
        <v>550</v>
      </c>
      <c r="O40" s="6">
        <f>SUM(B40:N40)</f>
        <v>3045</v>
      </c>
    </row>
    <row r="41" spans="1:15" x14ac:dyDescent="0.3">
      <c r="A41" t="s">
        <v>1833</v>
      </c>
      <c r="B41" s="5">
        <f>SUMIFS(SalesDetail[Quantity (KG)],SalesDetail[Customer],$A41,SalesDetail[Year],2009)</f>
        <v>200</v>
      </c>
      <c r="C41" s="5">
        <f>SUMIFS(SalesDetail[Quantity (KG)],SalesDetail[Customer],$A41,SalesDetail[Year],2010)</f>
        <v>100</v>
      </c>
      <c r="D41" s="5">
        <f>SUMIFS(SalesDetail[Quantity (KG)],SalesDetail[Customer],$A41,SalesDetail[Year],2011)</f>
        <v>605</v>
      </c>
      <c r="E41" s="5">
        <f>SUMIFS(SalesDetail[Quantity (KG)],SalesDetail[Customer],$A41,SalesDetail[Year],2012)</f>
        <v>750</v>
      </c>
      <c r="F41" s="5">
        <f>SUMIFS(SalesDetail[Quantity (KG)],SalesDetail[Customer],$A41,SalesDetail[Year],2013)</f>
        <v>400</v>
      </c>
      <c r="G41" s="5">
        <f>SUMIFS(SalesDetail[Quantity (KG)],SalesDetail[Customer],$A41,SalesDetail[Year],2014)</f>
        <v>550</v>
      </c>
      <c r="H41" s="5">
        <f>SUMIFS(SalesDetail[Quantity (KG)],SalesDetail[Customer],$A41,SalesDetail[Year],2015)</f>
        <v>150</v>
      </c>
      <c r="I41" s="5">
        <f>SUMIFS(SalesDetail[Quantity (KG)],SalesDetail[Customer],$A41,SalesDetail[Year],2016)</f>
        <v>75</v>
      </c>
      <c r="J41" s="5">
        <f>SUMIFS(SalesDetail[Quantity (KG)],SalesDetail[Customer],$A41,SalesDetail[Year],2017)</f>
        <v>35</v>
      </c>
      <c r="K41" s="5">
        <f>SUMIFS(SalesDetail[Quantity (KG)],SalesDetail[Customer],$A41,SalesDetail[Year],2018)</f>
        <v>25</v>
      </c>
      <c r="L41" s="5">
        <f>SUMIFS(SalesDetail[Quantity (KG)],SalesDetail[Customer],$A41,SalesDetail[Year],2019)</f>
        <v>45</v>
      </c>
      <c r="M41" s="5">
        <f>SUMIFS(SalesDetail[Quantity (KG)],SalesDetail[Customer],$A41,SalesDetail[Year],2020)</f>
        <v>60</v>
      </c>
      <c r="N41" s="5">
        <f>SUMIFS(SalesDetail[Quantity (KG)],SalesDetail[Customer],$A41,SalesDetail[Year],2021)</f>
        <v>0</v>
      </c>
      <c r="O41" s="6">
        <f>SUM(B41:N41)</f>
        <v>2995</v>
      </c>
    </row>
    <row r="42" spans="1:15" x14ac:dyDescent="0.3">
      <c r="A42" t="s">
        <v>2465</v>
      </c>
      <c r="B42" s="5">
        <f>SUMIFS(SalesDetail[Quantity (KG)],SalesDetail[Customer],$A42,SalesDetail[Year],2009)</f>
        <v>0</v>
      </c>
      <c r="C42" s="5">
        <f>SUMIFS(SalesDetail[Quantity (KG)],SalesDetail[Customer],$A42,SalesDetail[Year],2010)</f>
        <v>0</v>
      </c>
      <c r="D42" s="5">
        <f>SUMIFS(SalesDetail[Quantity (KG)],SalesDetail[Customer],$A42,SalesDetail[Year],2011)</f>
        <v>150</v>
      </c>
      <c r="E42" s="5">
        <f>SUMIFS(SalesDetail[Quantity (KG)],SalesDetail[Customer],$A42,SalesDetail[Year],2012)</f>
        <v>83</v>
      </c>
      <c r="F42" s="5">
        <f>SUMIFS(SalesDetail[Quantity (KG)],SalesDetail[Customer],$A42,SalesDetail[Year],2013)</f>
        <v>80</v>
      </c>
      <c r="G42" s="5">
        <f>SUMIFS(SalesDetail[Quantity (KG)],SalesDetail[Customer],$A42,SalesDetail[Year],2014)</f>
        <v>80</v>
      </c>
      <c r="H42" s="5">
        <f>SUMIFS(SalesDetail[Quantity (KG)],SalesDetail[Customer],$A42,SalesDetail[Year],2015)</f>
        <v>0</v>
      </c>
      <c r="I42" s="5">
        <f>SUMIFS(SalesDetail[Quantity (KG)],SalesDetail[Customer],$A42,SalesDetail[Year],2016)</f>
        <v>50</v>
      </c>
      <c r="J42" s="5">
        <f>SUMIFS(SalesDetail[Quantity (KG)],SalesDetail[Customer],$A42,SalesDetail[Year],2017)</f>
        <v>75</v>
      </c>
      <c r="K42" s="5">
        <f>SUMIFS(SalesDetail[Quantity (KG)],SalesDetail[Customer],$A42,SalesDetail[Year],2018)</f>
        <v>650</v>
      </c>
      <c r="L42" s="5">
        <f>SUMIFS(SalesDetail[Quantity (KG)],SalesDetail[Customer],$A42,SalesDetail[Year],2019)</f>
        <v>275</v>
      </c>
      <c r="M42" s="5">
        <f>SUMIFS(SalesDetail[Quantity (KG)],SalesDetail[Customer],$A42,SalesDetail[Year],2020)</f>
        <v>974</v>
      </c>
      <c r="N42" s="5">
        <f>SUMIFS(SalesDetail[Quantity (KG)],SalesDetail[Customer],$A42,SalesDetail[Year],2021)</f>
        <v>500</v>
      </c>
      <c r="O42" s="6">
        <f>SUM(B42:N42)</f>
        <v>2917</v>
      </c>
    </row>
    <row r="43" spans="1:15" x14ac:dyDescent="0.3">
      <c r="A43" t="s">
        <v>2569</v>
      </c>
      <c r="B43" s="5">
        <f>SUMIFS(SalesDetail[Quantity (KG)],SalesDetail[Customer],$A43,SalesDetail[Year],2009)</f>
        <v>0</v>
      </c>
      <c r="C43" s="5">
        <f>SUMIFS(SalesDetail[Quantity (KG)],SalesDetail[Customer],$A43,SalesDetail[Year],2010)</f>
        <v>0</v>
      </c>
      <c r="D43" s="5">
        <f>SUMIFS(SalesDetail[Quantity (KG)],SalesDetail[Customer],$A43,SalesDetail[Year],2011)</f>
        <v>0</v>
      </c>
      <c r="E43" s="5">
        <f>SUMIFS(SalesDetail[Quantity (KG)],SalesDetail[Customer],$A43,SalesDetail[Year],2012)</f>
        <v>0</v>
      </c>
      <c r="F43" s="5">
        <f>SUMIFS(SalesDetail[Quantity (KG)],SalesDetail[Customer],$A43,SalesDetail[Year],2013)</f>
        <v>0</v>
      </c>
      <c r="G43" s="5">
        <f>SUMIFS(SalesDetail[Quantity (KG)],SalesDetail[Customer],$A43,SalesDetail[Year],2014)</f>
        <v>6</v>
      </c>
      <c r="H43" s="5">
        <f>SUMIFS(SalesDetail[Quantity (KG)],SalesDetail[Customer],$A43,SalesDetail[Year],2015)</f>
        <v>276</v>
      </c>
      <c r="I43" s="5">
        <f>SUMIFS(SalesDetail[Quantity (KG)],SalesDetail[Customer],$A43,SalesDetail[Year],2016)</f>
        <v>87</v>
      </c>
      <c r="J43" s="5">
        <f>SUMIFS(SalesDetail[Quantity (KG)],SalesDetail[Customer],$A43,SalesDetail[Year],2017)</f>
        <v>560</v>
      </c>
      <c r="K43" s="5">
        <f>SUMIFS(SalesDetail[Quantity (KG)],SalesDetail[Customer],$A43,SalesDetail[Year],2018)</f>
        <v>520</v>
      </c>
      <c r="L43" s="5">
        <f>SUMIFS(SalesDetail[Quantity (KG)],SalesDetail[Customer],$A43,SalesDetail[Year],2019)</f>
        <v>630</v>
      </c>
      <c r="M43" s="5">
        <f>SUMIFS(SalesDetail[Quantity (KG)],SalesDetail[Customer],$A43,SalesDetail[Year],2020)</f>
        <v>590</v>
      </c>
      <c r="N43" s="5">
        <f>SUMIFS(SalesDetail[Quantity (KG)],SalesDetail[Customer],$A43,SalesDetail[Year],2021)</f>
        <v>225</v>
      </c>
      <c r="O43" s="6">
        <f>SUM(B43:N43)</f>
        <v>2894</v>
      </c>
    </row>
    <row r="44" spans="1:15" x14ac:dyDescent="0.3">
      <c r="A44" t="s">
        <v>2610</v>
      </c>
      <c r="B44" s="5">
        <f>SUMIFS(SalesDetail[Quantity (KG)],SalesDetail[Customer],$A44,SalesDetail[Year],2009)</f>
        <v>0</v>
      </c>
      <c r="C44" s="5">
        <f>SUMIFS(SalesDetail[Quantity (KG)],SalesDetail[Customer],$A44,SalesDetail[Year],2010)</f>
        <v>0</v>
      </c>
      <c r="D44" s="5">
        <f>SUMIFS(SalesDetail[Quantity (KG)],SalesDetail[Customer],$A44,SalesDetail[Year],2011)</f>
        <v>0</v>
      </c>
      <c r="E44" s="5">
        <f>SUMIFS(SalesDetail[Quantity (KG)],SalesDetail[Customer],$A44,SalesDetail[Year],2012)</f>
        <v>0</v>
      </c>
      <c r="F44" s="5">
        <f>SUMIFS(SalesDetail[Quantity (KG)],SalesDetail[Customer],$A44,SalesDetail[Year],2013)</f>
        <v>0</v>
      </c>
      <c r="G44" s="5">
        <f>SUMIFS(SalesDetail[Quantity (KG)],SalesDetail[Customer],$A44,SalesDetail[Year],2014)</f>
        <v>6</v>
      </c>
      <c r="H44" s="5">
        <f>SUMIFS(SalesDetail[Quantity (KG)],SalesDetail[Customer],$A44,SalesDetail[Year],2015)</f>
        <v>276</v>
      </c>
      <c r="I44" s="5">
        <f>SUMIFS(SalesDetail[Quantity (KG)],SalesDetail[Customer],$A44,SalesDetail[Year],2016)</f>
        <v>87</v>
      </c>
      <c r="J44" s="5">
        <f>SUMIFS(SalesDetail[Quantity (KG)],SalesDetail[Customer],$A44,SalesDetail[Year],2017)</f>
        <v>560</v>
      </c>
      <c r="K44" s="5">
        <f>SUMIFS(SalesDetail[Quantity (KG)],SalesDetail[Customer],$A44,SalesDetail[Year],2018)</f>
        <v>520</v>
      </c>
      <c r="L44" s="5">
        <f>SUMIFS(SalesDetail[Quantity (KG)],SalesDetail[Customer],$A44,SalesDetail[Year],2019)</f>
        <v>630</v>
      </c>
      <c r="M44" s="5">
        <f>SUMIFS(SalesDetail[Quantity (KG)],SalesDetail[Customer],$A44,SalesDetail[Year],2020)</f>
        <v>590</v>
      </c>
      <c r="N44" s="5">
        <f>SUMIFS(SalesDetail[Quantity (KG)],SalesDetail[Customer],$A44,SalesDetail[Year],2021)</f>
        <v>225</v>
      </c>
      <c r="O44" s="6">
        <f>SUM(B44:N44)</f>
        <v>2894</v>
      </c>
    </row>
    <row r="45" spans="1:15" x14ac:dyDescent="0.3">
      <c r="A45" t="s">
        <v>2461</v>
      </c>
      <c r="B45" s="5">
        <f>SUMIFS(SalesDetail[Quantity (KG)],SalesDetail[Customer],$A45,SalesDetail[Year],2009)</f>
        <v>0</v>
      </c>
      <c r="C45" s="5">
        <f>SUMIFS(SalesDetail[Quantity (KG)],SalesDetail[Customer],$A45,SalesDetail[Year],2010)</f>
        <v>0</v>
      </c>
      <c r="D45" s="5">
        <f>SUMIFS(SalesDetail[Quantity (KG)],SalesDetail[Customer],$A45,SalesDetail[Year],2011)</f>
        <v>0</v>
      </c>
      <c r="E45" s="5">
        <f>SUMIFS(SalesDetail[Quantity (KG)],SalesDetail[Customer],$A45,SalesDetail[Year],2012)</f>
        <v>0</v>
      </c>
      <c r="F45" s="5">
        <f>SUMIFS(SalesDetail[Quantity (KG)],SalesDetail[Customer],$A45,SalesDetail[Year],2013)</f>
        <v>0</v>
      </c>
      <c r="G45" s="5">
        <f>SUMIFS(SalesDetail[Quantity (KG)],SalesDetail[Customer],$A45,SalesDetail[Year],2014)</f>
        <v>0</v>
      </c>
      <c r="H45" s="5">
        <f>SUMIFS(SalesDetail[Quantity (KG)],SalesDetail[Customer],$A45,SalesDetail[Year],2015)</f>
        <v>212</v>
      </c>
      <c r="I45" s="5">
        <f>SUMIFS(SalesDetail[Quantity (KG)],SalesDetail[Customer],$A45,SalesDetail[Year],2016)</f>
        <v>626</v>
      </c>
      <c r="J45" s="5">
        <f>SUMIFS(SalesDetail[Quantity (KG)],SalesDetail[Customer],$A45,SalesDetail[Year],2017)</f>
        <v>775</v>
      </c>
      <c r="K45" s="5">
        <f>SUMIFS(SalesDetail[Quantity (KG)],SalesDetail[Customer],$A45,SalesDetail[Year],2018)</f>
        <v>286</v>
      </c>
      <c r="L45" s="5">
        <f>SUMIFS(SalesDetail[Quantity (KG)],SalesDetail[Customer],$A45,SalesDetail[Year],2019)</f>
        <v>791</v>
      </c>
      <c r="M45" s="5">
        <f>SUMIFS(SalesDetail[Quantity (KG)],SalesDetail[Customer],$A45,SalesDetail[Year],2020)</f>
        <v>60</v>
      </c>
      <c r="N45" s="5">
        <f>SUMIFS(SalesDetail[Quantity (KG)],SalesDetail[Customer],$A45,SalesDetail[Year],2021)</f>
        <v>0</v>
      </c>
      <c r="O45" s="6">
        <f>SUM(B45:N45)</f>
        <v>2750</v>
      </c>
    </row>
    <row r="46" spans="1:15" x14ac:dyDescent="0.3">
      <c r="A46" t="s">
        <v>1010</v>
      </c>
      <c r="B46" s="5">
        <f>SUMIFS(SalesDetail[Quantity (KG)],SalesDetail[Customer],$A46,SalesDetail[Year],2009)</f>
        <v>20</v>
      </c>
      <c r="C46" s="5">
        <f>SUMIFS(SalesDetail[Quantity (KG)],SalesDetail[Customer],$A46,SalesDetail[Year],2010)</f>
        <v>20</v>
      </c>
      <c r="D46" s="5">
        <f>SUMIFS(SalesDetail[Quantity (KG)],SalesDetail[Customer],$A46,SalesDetail[Year],2011)</f>
        <v>25</v>
      </c>
      <c r="E46" s="5">
        <f>SUMIFS(SalesDetail[Quantity (KG)],SalesDetail[Customer],$A46,SalesDetail[Year],2012)</f>
        <v>0</v>
      </c>
      <c r="F46" s="5">
        <f>SUMIFS(SalesDetail[Quantity (KG)],SalesDetail[Customer],$A46,SalesDetail[Year],2013)</f>
        <v>0</v>
      </c>
      <c r="G46" s="5">
        <f>SUMIFS(SalesDetail[Quantity (KG)],SalesDetail[Customer],$A46,SalesDetail[Year],2014)</f>
        <v>100</v>
      </c>
      <c r="H46" s="5">
        <f>SUMIFS(SalesDetail[Quantity (KG)],SalesDetail[Customer],$A46,SalesDetail[Year],2015)</f>
        <v>479</v>
      </c>
      <c r="I46" s="5">
        <f>SUMIFS(SalesDetail[Quantity (KG)],SalesDetail[Customer],$A46,SalesDetail[Year],2016)</f>
        <v>435</v>
      </c>
      <c r="J46" s="5">
        <f>SUMIFS(SalesDetail[Quantity (KG)],SalesDetail[Customer],$A46,SalesDetail[Year],2017)</f>
        <v>80</v>
      </c>
      <c r="K46" s="5">
        <f>SUMIFS(SalesDetail[Quantity (KG)],SalesDetail[Customer],$A46,SalesDetail[Year],2018)</f>
        <v>135</v>
      </c>
      <c r="L46" s="5">
        <f>SUMIFS(SalesDetail[Quantity (KG)],SalesDetail[Customer],$A46,SalesDetail[Year],2019)</f>
        <v>205</v>
      </c>
      <c r="M46" s="5">
        <f>SUMIFS(SalesDetail[Quantity (KG)],SalesDetail[Customer],$A46,SalesDetail[Year],2020)</f>
        <v>1120</v>
      </c>
      <c r="N46" s="5">
        <f>SUMIFS(SalesDetail[Quantity (KG)],SalesDetail[Customer],$A46,SalesDetail[Year],2021)</f>
        <v>0</v>
      </c>
      <c r="O46" s="6">
        <f>SUM(B46:N46)</f>
        <v>2619</v>
      </c>
    </row>
    <row r="47" spans="1:15" x14ac:dyDescent="0.3">
      <c r="A47" t="s">
        <v>2041</v>
      </c>
      <c r="B47" s="5">
        <f>SUMIFS(SalesDetail[Quantity (KG)],SalesDetail[Customer],$A47,SalesDetail[Year],2009)</f>
        <v>0</v>
      </c>
      <c r="C47" s="5">
        <f>SUMIFS(SalesDetail[Quantity (KG)],SalesDetail[Customer],$A47,SalesDetail[Year],2010)</f>
        <v>0</v>
      </c>
      <c r="D47" s="5">
        <f>SUMIFS(SalesDetail[Quantity (KG)],SalesDetail[Customer],$A47,SalesDetail[Year],2011)</f>
        <v>0</v>
      </c>
      <c r="E47" s="5">
        <f>SUMIFS(SalesDetail[Quantity (KG)],SalesDetail[Customer],$A47,SalesDetail[Year],2012)</f>
        <v>1520</v>
      </c>
      <c r="F47" s="5">
        <f>SUMIFS(SalesDetail[Quantity (KG)],SalesDetail[Customer],$A47,SalesDetail[Year],2013)</f>
        <v>460</v>
      </c>
      <c r="G47" s="5">
        <f>SUMIFS(SalesDetail[Quantity (KG)],SalesDetail[Customer],$A47,SalesDetail[Year],2014)</f>
        <v>268.86799999999999</v>
      </c>
      <c r="H47" s="5">
        <f>SUMIFS(SalesDetail[Quantity (KG)],SalesDetail[Customer],$A47,SalesDetail[Year],2015)</f>
        <v>170</v>
      </c>
      <c r="I47" s="5">
        <f>SUMIFS(SalesDetail[Quantity (KG)],SalesDetail[Customer],$A47,SalesDetail[Year],2016)</f>
        <v>150</v>
      </c>
      <c r="J47" s="5">
        <f>SUMIFS(SalesDetail[Quantity (KG)],SalesDetail[Customer],$A47,SalesDetail[Year],2017)</f>
        <v>0</v>
      </c>
      <c r="K47" s="5">
        <f>SUMIFS(SalesDetail[Quantity (KG)],SalesDetail[Customer],$A47,SalesDetail[Year],2018)</f>
        <v>20</v>
      </c>
      <c r="L47" s="5">
        <f>SUMIFS(SalesDetail[Quantity (KG)],SalesDetail[Customer],$A47,SalesDetail[Year],2019)</f>
        <v>0</v>
      </c>
      <c r="M47" s="5">
        <f>SUMIFS(SalesDetail[Quantity (KG)],SalesDetail[Customer],$A47,SalesDetail[Year],2020)</f>
        <v>0</v>
      </c>
      <c r="N47" s="5">
        <f>SUMIFS(SalesDetail[Quantity (KG)],SalesDetail[Customer],$A47,SalesDetail[Year],2021)</f>
        <v>0</v>
      </c>
      <c r="O47" s="6">
        <f>SUM(B47:N47)</f>
        <v>2588.8679999999999</v>
      </c>
    </row>
    <row r="48" spans="1:15" x14ac:dyDescent="0.3">
      <c r="A48" t="s">
        <v>2563</v>
      </c>
      <c r="B48" s="5">
        <f>SUMIFS(SalesDetail[Quantity (KG)],SalesDetail[Customer],$A48,SalesDetail[Year],2009)</f>
        <v>100</v>
      </c>
      <c r="C48" s="5">
        <f>SUMIFS(SalesDetail[Quantity (KG)],SalesDetail[Customer],$A48,SalesDetail[Year],2010)</f>
        <v>440</v>
      </c>
      <c r="D48" s="5">
        <f>SUMIFS(SalesDetail[Quantity (KG)],SalesDetail[Customer],$A48,SalesDetail[Year],2011)</f>
        <v>570</v>
      </c>
      <c r="E48" s="5">
        <f>SUMIFS(SalesDetail[Quantity (KG)],SalesDetail[Customer],$A48,SalesDetail[Year],2012)</f>
        <v>581</v>
      </c>
      <c r="F48" s="5">
        <f>SUMIFS(SalesDetail[Quantity (KG)],SalesDetail[Customer],$A48,SalesDetail[Year],2013)</f>
        <v>266</v>
      </c>
      <c r="G48" s="5">
        <f>SUMIFS(SalesDetail[Quantity (KG)],SalesDetail[Customer],$A48,SalesDetail[Year],2014)</f>
        <v>177.4</v>
      </c>
      <c r="H48" s="5">
        <f>SUMIFS(SalesDetail[Quantity (KG)],SalesDetail[Customer],$A48,SalesDetail[Year],2015)</f>
        <v>295</v>
      </c>
      <c r="I48" s="5">
        <f>SUMIFS(SalesDetail[Quantity (KG)],SalesDetail[Customer],$A48,SalesDetail[Year],2016)</f>
        <v>50</v>
      </c>
      <c r="J48" s="5">
        <f>SUMIFS(SalesDetail[Quantity (KG)],SalesDetail[Customer],$A48,SalesDetail[Year],2017)</f>
        <v>0</v>
      </c>
      <c r="K48" s="5">
        <f>SUMIFS(SalesDetail[Quantity (KG)],SalesDetail[Customer],$A48,SalesDetail[Year],2018)</f>
        <v>0</v>
      </c>
      <c r="L48" s="5">
        <f>SUMIFS(SalesDetail[Quantity (KG)],SalesDetail[Customer],$A48,SalesDetail[Year],2019)</f>
        <v>0</v>
      </c>
      <c r="M48" s="5">
        <f>SUMIFS(SalesDetail[Quantity (KG)],SalesDetail[Customer],$A48,SalesDetail[Year],2020)</f>
        <v>0</v>
      </c>
      <c r="N48" s="5">
        <f>SUMIFS(SalesDetail[Quantity (KG)],SalesDetail[Customer],$A48,SalesDetail[Year],2021)</f>
        <v>0</v>
      </c>
      <c r="O48" s="6">
        <f>SUM(B48:N48)</f>
        <v>2479.4</v>
      </c>
    </row>
    <row r="49" spans="1:15" x14ac:dyDescent="0.3">
      <c r="A49" t="s">
        <v>2337</v>
      </c>
      <c r="B49" s="5">
        <f>SUMIFS(SalesDetail[Quantity (KG)],SalesDetail[Customer],$A49,SalesDetail[Year],2009)</f>
        <v>0</v>
      </c>
      <c r="C49" s="5">
        <f>SUMIFS(SalesDetail[Quantity (KG)],SalesDetail[Customer],$A49,SalesDetail[Year],2010)</f>
        <v>0</v>
      </c>
      <c r="D49" s="5">
        <f>SUMIFS(SalesDetail[Quantity (KG)],SalesDetail[Customer],$A49,SalesDetail[Year],2011)</f>
        <v>0</v>
      </c>
      <c r="E49" s="5">
        <f>SUMIFS(SalesDetail[Quantity (KG)],SalesDetail[Customer],$A49,SalesDetail[Year],2012)</f>
        <v>0</v>
      </c>
      <c r="F49" s="5">
        <f>SUMIFS(SalesDetail[Quantity (KG)],SalesDetail[Customer],$A49,SalesDetail[Year],2013)</f>
        <v>0</v>
      </c>
      <c r="G49" s="5">
        <f>SUMIFS(SalesDetail[Quantity (KG)],SalesDetail[Customer],$A49,SalesDetail[Year],2014)</f>
        <v>52</v>
      </c>
      <c r="H49" s="5">
        <f>SUMIFS(SalesDetail[Quantity (KG)],SalesDetail[Customer],$A49,SalesDetail[Year],2015)</f>
        <v>24</v>
      </c>
      <c r="I49" s="5">
        <f>SUMIFS(SalesDetail[Quantity (KG)],SalesDetail[Customer],$A49,SalesDetail[Year],2016)</f>
        <v>431</v>
      </c>
      <c r="J49" s="5">
        <f>SUMIFS(SalesDetail[Quantity (KG)],SalesDetail[Customer],$A49,SalesDetail[Year],2017)</f>
        <v>436</v>
      </c>
      <c r="K49" s="5">
        <f>SUMIFS(SalesDetail[Quantity (KG)],SalesDetail[Customer],$A49,SalesDetail[Year],2018)</f>
        <v>65</v>
      </c>
      <c r="L49" s="5">
        <f>SUMIFS(SalesDetail[Quantity (KG)],SalesDetail[Customer],$A49,SalesDetail[Year],2019)</f>
        <v>70</v>
      </c>
      <c r="M49" s="5">
        <f>SUMIFS(SalesDetail[Quantity (KG)],SalesDetail[Customer],$A49,SalesDetail[Year],2020)</f>
        <v>750</v>
      </c>
      <c r="N49" s="5">
        <f>SUMIFS(SalesDetail[Quantity (KG)],SalesDetail[Customer],$A49,SalesDetail[Year],2021)</f>
        <v>650</v>
      </c>
      <c r="O49" s="6">
        <f>SUM(B49:N49)</f>
        <v>2478</v>
      </c>
    </row>
    <row r="50" spans="1:15" x14ac:dyDescent="0.3">
      <c r="A50" t="s">
        <v>2595</v>
      </c>
      <c r="B50" s="5">
        <f>SUMIFS(SalesDetail[Quantity (KG)],SalesDetail[Customer],$A50,SalesDetail[Year],2009)</f>
        <v>0</v>
      </c>
      <c r="C50" s="5">
        <f>SUMIFS(SalesDetail[Quantity (KG)],SalesDetail[Customer],$A50,SalesDetail[Year],2010)</f>
        <v>0</v>
      </c>
      <c r="D50" s="5">
        <f>SUMIFS(SalesDetail[Quantity (KG)],SalesDetail[Customer],$A50,SalesDetail[Year],2011)</f>
        <v>0</v>
      </c>
      <c r="E50" s="5">
        <f>SUMIFS(SalesDetail[Quantity (KG)],SalesDetail[Customer],$A50,SalesDetail[Year],2012)</f>
        <v>0</v>
      </c>
      <c r="F50" s="5">
        <f>SUMIFS(SalesDetail[Quantity (KG)],SalesDetail[Customer],$A50,SalesDetail[Year],2013)</f>
        <v>0</v>
      </c>
      <c r="G50" s="5">
        <f>SUMIFS(SalesDetail[Quantity (KG)],SalesDetail[Customer],$A50,SalesDetail[Year],2014)</f>
        <v>0</v>
      </c>
      <c r="H50" s="5">
        <f>SUMIFS(SalesDetail[Quantity (KG)],SalesDetail[Customer],$A50,SalesDetail[Year],2015)</f>
        <v>0</v>
      </c>
      <c r="I50" s="5">
        <f>SUMIFS(SalesDetail[Quantity (KG)],SalesDetail[Customer],$A50,SalesDetail[Year],2016)</f>
        <v>0</v>
      </c>
      <c r="J50" s="5">
        <f>SUMIFS(SalesDetail[Quantity (KG)],SalesDetail[Customer],$A50,SalesDetail[Year],2017)</f>
        <v>0</v>
      </c>
      <c r="K50" s="5">
        <f>SUMIFS(SalesDetail[Quantity (KG)],SalesDetail[Customer],$A50,SalesDetail[Year],2018)</f>
        <v>0</v>
      </c>
      <c r="L50" s="5">
        <f>SUMIFS(SalesDetail[Quantity (KG)],SalesDetail[Customer],$A50,SalesDetail[Year],2019)</f>
        <v>0</v>
      </c>
      <c r="M50" s="5">
        <f>SUMIFS(SalesDetail[Quantity (KG)],SalesDetail[Customer],$A50,SalesDetail[Year],2020)</f>
        <v>1688</v>
      </c>
      <c r="N50" s="5">
        <f>SUMIFS(SalesDetail[Quantity (KG)],SalesDetail[Customer],$A50,SalesDetail[Year],2021)</f>
        <v>775</v>
      </c>
      <c r="O50" s="6">
        <f>SUM(B50:N50)</f>
        <v>2463</v>
      </c>
    </row>
    <row r="51" spans="1:15" x14ac:dyDescent="0.3">
      <c r="A51" t="s">
        <v>1675</v>
      </c>
      <c r="B51" s="5">
        <f>SUMIFS(SalesDetail[Quantity (KG)],SalesDetail[Customer],$A51,SalesDetail[Year],2009)</f>
        <v>0</v>
      </c>
      <c r="C51" s="5">
        <f>SUMIFS(SalesDetail[Quantity (KG)],SalesDetail[Customer],$A51,SalesDetail[Year],2010)</f>
        <v>0</v>
      </c>
      <c r="D51" s="5">
        <f>SUMIFS(SalesDetail[Quantity (KG)],SalesDetail[Customer],$A51,SalesDetail[Year],2011)</f>
        <v>0</v>
      </c>
      <c r="E51" s="5">
        <f>SUMIFS(SalesDetail[Quantity (KG)],SalesDetail[Customer],$A51,SalesDetail[Year],2012)</f>
        <v>0</v>
      </c>
      <c r="F51" s="5">
        <f>SUMIFS(SalesDetail[Quantity (KG)],SalesDetail[Customer],$A51,SalesDetail[Year],2013)</f>
        <v>0</v>
      </c>
      <c r="G51" s="5">
        <f>SUMIFS(SalesDetail[Quantity (KG)],SalesDetail[Customer],$A51,SalesDetail[Year],2014)</f>
        <v>0</v>
      </c>
      <c r="H51" s="5">
        <f>SUMIFS(SalesDetail[Quantity (KG)],SalesDetail[Customer],$A51,SalesDetail[Year],2015)</f>
        <v>393</v>
      </c>
      <c r="I51" s="5">
        <f>SUMIFS(SalesDetail[Quantity (KG)],SalesDetail[Customer],$A51,SalesDetail[Year],2016)</f>
        <v>1254</v>
      </c>
      <c r="J51" s="5">
        <f>SUMIFS(SalesDetail[Quantity (KG)],SalesDetail[Customer],$A51,SalesDetail[Year],2017)</f>
        <v>570</v>
      </c>
      <c r="K51" s="5">
        <f>SUMIFS(SalesDetail[Quantity (KG)],SalesDetail[Customer],$A51,SalesDetail[Year],2018)</f>
        <v>195</v>
      </c>
      <c r="L51" s="5">
        <f>SUMIFS(SalesDetail[Quantity (KG)],SalesDetail[Customer],$A51,SalesDetail[Year],2019)</f>
        <v>50</v>
      </c>
      <c r="M51" s="5">
        <f>SUMIFS(SalesDetail[Quantity (KG)],SalesDetail[Customer],$A51,SalesDetail[Year],2020)</f>
        <v>0</v>
      </c>
      <c r="N51" s="5">
        <f>SUMIFS(SalesDetail[Quantity (KG)],SalesDetail[Customer],$A51,SalesDetail[Year],2021)</f>
        <v>0</v>
      </c>
      <c r="O51" s="6">
        <f>SUM(B51:N51)</f>
        <v>2462</v>
      </c>
    </row>
    <row r="52" spans="1:15" x14ac:dyDescent="0.3">
      <c r="A52" t="s">
        <v>2574</v>
      </c>
      <c r="B52" s="5">
        <f>SUMIFS(SalesDetail[Quantity (KG)],SalesDetail[Customer],$A52,SalesDetail[Year],2009)</f>
        <v>0</v>
      </c>
      <c r="C52" s="5">
        <f>SUMIFS(SalesDetail[Quantity (KG)],SalesDetail[Customer],$A52,SalesDetail[Year],2010)</f>
        <v>0</v>
      </c>
      <c r="D52" s="5">
        <f>SUMIFS(SalesDetail[Quantity (KG)],SalesDetail[Customer],$A52,SalesDetail[Year],2011)</f>
        <v>0</v>
      </c>
      <c r="E52" s="5">
        <f>SUMIFS(SalesDetail[Quantity (KG)],SalesDetail[Customer],$A52,SalesDetail[Year],2012)</f>
        <v>0</v>
      </c>
      <c r="F52" s="5">
        <f>SUMIFS(SalesDetail[Quantity (KG)],SalesDetail[Customer],$A52,SalesDetail[Year],2013)</f>
        <v>0</v>
      </c>
      <c r="G52" s="5">
        <f>SUMIFS(SalesDetail[Quantity (KG)],SalesDetail[Customer],$A52,SalesDetail[Year],2014)</f>
        <v>0</v>
      </c>
      <c r="H52" s="5">
        <f>SUMIFS(SalesDetail[Quantity (KG)],SalesDetail[Customer],$A52,SalesDetail[Year],2015)</f>
        <v>25</v>
      </c>
      <c r="I52" s="5">
        <f>SUMIFS(SalesDetail[Quantity (KG)],SalesDetail[Customer],$A52,SalesDetail[Year],2016)</f>
        <v>119</v>
      </c>
      <c r="J52" s="5">
        <f>SUMIFS(SalesDetail[Quantity (KG)],SalesDetail[Customer],$A52,SalesDetail[Year],2017)</f>
        <v>481</v>
      </c>
      <c r="K52" s="5">
        <f>SUMIFS(SalesDetail[Quantity (KG)],SalesDetail[Customer],$A52,SalesDetail[Year],2018)</f>
        <v>490</v>
      </c>
      <c r="L52" s="5">
        <f>SUMIFS(SalesDetail[Quantity (KG)],SalesDetail[Customer],$A52,SalesDetail[Year],2019)</f>
        <v>590</v>
      </c>
      <c r="M52" s="5">
        <f>SUMIFS(SalesDetail[Quantity (KG)],SalesDetail[Customer],$A52,SalesDetail[Year],2020)</f>
        <v>596</v>
      </c>
      <c r="N52" s="5">
        <f>SUMIFS(SalesDetail[Quantity (KG)],SalesDetail[Customer],$A52,SalesDetail[Year],2021)</f>
        <v>145</v>
      </c>
      <c r="O52" s="6">
        <f>SUM(B52:N52)</f>
        <v>2446</v>
      </c>
    </row>
    <row r="53" spans="1:15" x14ac:dyDescent="0.3">
      <c r="A53" t="s">
        <v>2232</v>
      </c>
      <c r="B53" s="5">
        <f>SUMIFS(SalesDetail[Quantity (KG)],SalesDetail[Customer],$A53,SalesDetail[Year],2009)</f>
        <v>0</v>
      </c>
      <c r="C53" s="5">
        <f>SUMIFS(SalesDetail[Quantity (KG)],SalesDetail[Customer],$A53,SalesDetail[Year],2010)</f>
        <v>0</v>
      </c>
      <c r="D53" s="5">
        <f>SUMIFS(SalesDetail[Quantity (KG)],SalesDetail[Customer],$A53,SalesDetail[Year],2011)</f>
        <v>0</v>
      </c>
      <c r="E53" s="5">
        <f>SUMIFS(SalesDetail[Quantity (KG)],SalesDetail[Customer],$A53,SalesDetail[Year],2012)</f>
        <v>0</v>
      </c>
      <c r="F53" s="5">
        <f>SUMIFS(SalesDetail[Quantity (KG)],SalesDetail[Customer],$A53,SalesDetail[Year],2013)</f>
        <v>0</v>
      </c>
      <c r="G53" s="5">
        <f>SUMIFS(SalesDetail[Quantity (KG)],SalesDetail[Customer],$A53,SalesDetail[Year],2014)</f>
        <v>0</v>
      </c>
      <c r="H53" s="5">
        <f>SUMIFS(SalesDetail[Quantity (KG)],SalesDetail[Customer],$A53,SalesDetail[Year],2015)</f>
        <v>135</v>
      </c>
      <c r="I53" s="5">
        <f>SUMIFS(SalesDetail[Quantity (KG)],SalesDetail[Customer],$A53,SalesDetail[Year],2016)</f>
        <v>985</v>
      </c>
      <c r="J53" s="5">
        <f>SUMIFS(SalesDetail[Quantity (KG)],SalesDetail[Customer],$A53,SalesDetail[Year],2017)</f>
        <v>950</v>
      </c>
      <c r="K53" s="5">
        <f>SUMIFS(SalesDetail[Quantity (KG)],SalesDetail[Customer],$A53,SalesDetail[Year],2018)</f>
        <v>161</v>
      </c>
      <c r="L53" s="5">
        <f>SUMIFS(SalesDetail[Quantity (KG)],SalesDetail[Customer],$A53,SalesDetail[Year],2019)</f>
        <v>136</v>
      </c>
      <c r="M53" s="5">
        <f>SUMIFS(SalesDetail[Quantity (KG)],SalesDetail[Customer],$A53,SalesDetail[Year],2020)</f>
        <v>5</v>
      </c>
      <c r="N53" s="5">
        <f>SUMIFS(SalesDetail[Quantity (KG)],SalesDetail[Customer],$A53,SalesDetail[Year],2021)</f>
        <v>0</v>
      </c>
      <c r="O53" s="6">
        <f>SUM(B53:N53)</f>
        <v>2372</v>
      </c>
    </row>
    <row r="54" spans="1:15" x14ac:dyDescent="0.3">
      <c r="A54" t="s">
        <v>878</v>
      </c>
      <c r="B54" s="5">
        <f>SUMIFS(SalesDetail[Quantity (KG)],SalesDetail[Customer],$A54,SalesDetail[Year],2009)</f>
        <v>30</v>
      </c>
      <c r="C54" s="5">
        <f>SUMIFS(SalesDetail[Quantity (KG)],SalesDetail[Customer],$A54,SalesDetail[Year],2010)</f>
        <v>326.09999999999997</v>
      </c>
      <c r="D54" s="5">
        <f>SUMIFS(SalesDetail[Quantity (KG)],SalesDetail[Customer],$A54,SalesDetail[Year],2011)</f>
        <v>523.5</v>
      </c>
      <c r="E54" s="5">
        <f>SUMIFS(SalesDetail[Quantity (KG)],SalesDetail[Customer],$A54,SalesDetail[Year],2012)</f>
        <v>500</v>
      </c>
      <c r="F54" s="5">
        <f>SUMIFS(SalesDetail[Quantity (KG)],SalesDetail[Customer],$A54,SalesDetail[Year],2013)</f>
        <v>60</v>
      </c>
      <c r="G54" s="5">
        <f>SUMIFS(SalesDetail[Quantity (KG)],SalesDetail[Customer],$A54,SalesDetail[Year],2014)</f>
        <v>145</v>
      </c>
      <c r="H54" s="5">
        <f>SUMIFS(SalesDetail[Quantity (KG)],SalesDetail[Customer],$A54,SalesDetail[Year],2015)</f>
        <v>50</v>
      </c>
      <c r="I54" s="5">
        <f>SUMIFS(SalesDetail[Quantity (KG)],SalesDetail[Customer],$A54,SalesDetail[Year],2016)</f>
        <v>155</v>
      </c>
      <c r="J54" s="5">
        <f>SUMIFS(SalesDetail[Quantity (KG)],SalesDetail[Customer],$A54,SalesDetail[Year],2017)</f>
        <v>325</v>
      </c>
      <c r="K54" s="5">
        <f>SUMIFS(SalesDetail[Quantity (KG)],SalesDetail[Customer],$A54,SalesDetail[Year],2018)</f>
        <v>75</v>
      </c>
      <c r="L54" s="5">
        <f>SUMIFS(SalesDetail[Quantity (KG)],SalesDetail[Customer],$A54,SalesDetail[Year],2019)</f>
        <v>50</v>
      </c>
      <c r="M54" s="5">
        <f>SUMIFS(SalesDetail[Quantity (KG)],SalesDetail[Customer],$A54,SalesDetail[Year],2020)</f>
        <v>75</v>
      </c>
      <c r="N54" s="5">
        <f>SUMIFS(SalesDetail[Quantity (KG)],SalesDetail[Customer],$A54,SalesDetail[Year],2021)</f>
        <v>0</v>
      </c>
      <c r="O54" s="6">
        <f>SUM(B54:N54)</f>
        <v>2314.6</v>
      </c>
    </row>
    <row r="55" spans="1:15" x14ac:dyDescent="0.3">
      <c r="A55" t="s">
        <v>2043</v>
      </c>
      <c r="B55" s="5">
        <f>SUMIFS(SalesDetail[Quantity (KG)],SalesDetail[Customer],$A55,SalesDetail[Year],2009)</f>
        <v>0</v>
      </c>
      <c r="C55" s="5">
        <f>SUMIFS(SalesDetail[Quantity (KG)],SalesDetail[Customer],$A55,SalesDetail[Year],2010)</f>
        <v>20</v>
      </c>
      <c r="D55" s="5">
        <f>SUMIFS(SalesDetail[Quantity (KG)],SalesDetail[Customer],$A55,SalesDetail[Year],2011)</f>
        <v>0</v>
      </c>
      <c r="E55" s="5">
        <f>SUMIFS(SalesDetail[Quantity (KG)],SalesDetail[Customer],$A55,SalesDetail[Year],2012)</f>
        <v>0</v>
      </c>
      <c r="F55" s="5">
        <f>SUMIFS(SalesDetail[Quantity (KG)],SalesDetail[Customer],$A55,SalesDetail[Year],2013)</f>
        <v>0</v>
      </c>
      <c r="G55" s="5">
        <f>SUMIFS(SalesDetail[Quantity (KG)],SalesDetail[Customer],$A55,SalesDetail[Year],2014)</f>
        <v>0</v>
      </c>
      <c r="H55" s="5">
        <f>SUMIFS(SalesDetail[Quantity (KG)],SalesDetail[Customer],$A55,SalesDetail[Year],2015)</f>
        <v>100</v>
      </c>
      <c r="I55" s="5">
        <f>SUMIFS(SalesDetail[Quantity (KG)],SalesDetail[Customer],$A55,SalesDetail[Year],2016)</f>
        <v>1265</v>
      </c>
      <c r="J55" s="5">
        <f>SUMIFS(SalesDetail[Quantity (KG)],SalesDetail[Customer],$A55,SalesDetail[Year],2017)</f>
        <v>870</v>
      </c>
      <c r="K55" s="5">
        <f>SUMIFS(SalesDetail[Quantity (KG)],SalesDetail[Customer],$A55,SalesDetail[Year],2018)</f>
        <v>25</v>
      </c>
      <c r="L55" s="5">
        <f>SUMIFS(SalesDetail[Quantity (KG)],SalesDetail[Customer],$A55,SalesDetail[Year],2019)</f>
        <v>0</v>
      </c>
      <c r="M55" s="5">
        <f>SUMIFS(SalesDetail[Quantity (KG)],SalesDetail[Customer],$A55,SalesDetail[Year],2020)</f>
        <v>0</v>
      </c>
      <c r="N55" s="5">
        <f>SUMIFS(SalesDetail[Quantity (KG)],SalesDetail[Customer],$A55,SalesDetail[Year],2021)</f>
        <v>0</v>
      </c>
      <c r="O55" s="6">
        <f>SUM(B55:N55)</f>
        <v>2280</v>
      </c>
    </row>
    <row r="56" spans="1:15" x14ac:dyDescent="0.3">
      <c r="A56" t="s">
        <v>1810</v>
      </c>
      <c r="B56" s="5">
        <f>SUMIFS(SalesDetail[Quantity (KG)],SalesDetail[Customer],$A56,SalesDetail[Year],2009)</f>
        <v>0</v>
      </c>
      <c r="C56" s="5">
        <f>SUMIFS(SalesDetail[Quantity (KG)],SalesDetail[Customer],$A56,SalesDetail[Year],2010)</f>
        <v>0</v>
      </c>
      <c r="D56" s="5">
        <f>SUMIFS(SalesDetail[Quantity (KG)],SalesDetail[Customer],$A56,SalesDetail[Year],2011)</f>
        <v>0</v>
      </c>
      <c r="E56" s="5">
        <f>SUMIFS(SalesDetail[Quantity (KG)],SalesDetail[Customer],$A56,SalesDetail[Year],2012)</f>
        <v>0</v>
      </c>
      <c r="F56" s="5">
        <f>SUMIFS(SalesDetail[Quantity (KG)],SalesDetail[Customer],$A56,SalesDetail[Year],2013)</f>
        <v>0</v>
      </c>
      <c r="G56" s="5">
        <f>SUMIFS(SalesDetail[Quantity (KG)],SalesDetail[Customer],$A56,SalesDetail[Year],2014)</f>
        <v>70</v>
      </c>
      <c r="H56" s="5">
        <f>SUMIFS(SalesDetail[Quantity (KG)],SalesDetail[Customer],$A56,SalesDetail[Year],2015)</f>
        <v>250</v>
      </c>
      <c r="I56" s="5">
        <f>SUMIFS(SalesDetail[Quantity (KG)],SalesDetail[Customer],$A56,SalesDetail[Year],2016)</f>
        <v>1865</v>
      </c>
      <c r="J56" s="5">
        <f>SUMIFS(SalesDetail[Quantity (KG)],SalesDetail[Customer],$A56,SalesDetail[Year],2017)</f>
        <v>90</v>
      </c>
      <c r="K56" s="5">
        <f>SUMIFS(SalesDetail[Quantity (KG)],SalesDetail[Customer],$A56,SalesDetail[Year],2018)</f>
        <v>0</v>
      </c>
      <c r="L56" s="5">
        <f>SUMIFS(SalesDetail[Quantity (KG)],SalesDetail[Customer],$A56,SalesDetail[Year],2019)</f>
        <v>0</v>
      </c>
      <c r="M56" s="5">
        <f>SUMIFS(SalesDetail[Quantity (KG)],SalesDetail[Customer],$A56,SalesDetail[Year],2020)</f>
        <v>0</v>
      </c>
      <c r="N56" s="5">
        <f>SUMIFS(SalesDetail[Quantity (KG)],SalesDetail[Customer],$A56,SalesDetail[Year],2021)</f>
        <v>0</v>
      </c>
      <c r="O56" s="6">
        <f>SUM(B56:N56)</f>
        <v>2275</v>
      </c>
    </row>
    <row r="57" spans="1:15" x14ac:dyDescent="0.3">
      <c r="A57" t="s">
        <v>923</v>
      </c>
      <c r="B57" s="5">
        <f>SUMIFS(SalesDetail[Quantity (KG)],SalesDetail[Customer],$A57,SalesDetail[Year],2009)</f>
        <v>0</v>
      </c>
      <c r="C57" s="5">
        <f>SUMIFS(SalesDetail[Quantity (KG)],SalesDetail[Customer],$A57,SalesDetail[Year],2010)</f>
        <v>0</v>
      </c>
      <c r="D57" s="5">
        <f>SUMIFS(SalesDetail[Quantity (KG)],SalesDetail[Customer],$A57,SalesDetail[Year],2011)</f>
        <v>0</v>
      </c>
      <c r="E57" s="5">
        <f>SUMIFS(SalesDetail[Quantity (KG)],SalesDetail[Customer],$A57,SalesDetail[Year],2012)</f>
        <v>0</v>
      </c>
      <c r="F57" s="5">
        <f>SUMIFS(SalesDetail[Quantity (KG)],SalesDetail[Customer],$A57,SalesDetail[Year],2013)</f>
        <v>0</v>
      </c>
      <c r="G57" s="5">
        <f>SUMIFS(SalesDetail[Quantity (KG)],SalesDetail[Customer],$A57,SalesDetail[Year],2014)</f>
        <v>175</v>
      </c>
      <c r="H57" s="5">
        <f>SUMIFS(SalesDetail[Quantity (KG)],SalesDetail[Customer],$A57,SalesDetail[Year],2015)</f>
        <v>293</v>
      </c>
      <c r="I57" s="5">
        <f>SUMIFS(SalesDetail[Quantity (KG)],SalesDetail[Customer],$A57,SalesDetail[Year],2016)</f>
        <v>328</v>
      </c>
      <c r="J57" s="5">
        <f>SUMIFS(SalesDetail[Quantity (KG)],SalesDetail[Customer],$A57,SalesDetail[Year],2017)</f>
        <v>405</v>
      </c>
      <c r="K57" s="5">
        <f>SUMIFS(SalesDetail[Quantity (KG)],SalesDetail[Customer],$A57,SalesDetail[Year],2018)</f>
        <v>735</v>
      </c>
      <c r="L57" s="5">
        <f>SUMIFS(SalesDetail[Quantity (KG)],SalesDetail[Customer],$A57,SalesDetail[Year],2019)</f>
        <v>275</v>
      </c>
      <c r="M57" s="5">
        <f>SUMIFS(SalesDetail[Quantity (KG)],SalesDetail[Customer],$A57,SalesDetail[Year],2020)</f>
        <v>47</v>
      </c>
      <c r="N57" s="5">
        <f>SUMIFS(SalesDetail[Quantity (KG)],SalesDetail[Customer],$A57,SalesDetail[Year],2021)</f>
        <v>15</v>
      </c>
      <c r="O57" s="6">
        <f>SUM(B57:N57)</f>
        <v>2273</v>
      </c>
    </row>
    <row r="58" spans="1:15" x14ac:dyDescent="0.3">
      <c r="A58" t="s">
        <v>1028</v>
      </c>
      <c r="B58" s="5">
        <f>SUMIFS(SalesDetail[Quantity (KG)],SalesDetail[Customer],$A58,SalesDetail[Year],2009)</f>
        <v>620</v>
      </c>
      <c r="C58" s="5">
        <f>SUMIFS(SalesDetail[Quantity (KG)],SalesDetail[Customer],$A58,SalesDetail[Year],2010)</f>
        <v>874</v>
      </c>
      <c r="D58" s="5">
        <f>SUMIFS(SalesDetail[Quantity (KG)],SalesDetail[Customer],$A58,SalesDetail[Year],2011)</f>
        <v>234</v>
      </c>
      <c r="E58" s="5">
        <f>SUMIFS(SalesDetail[Quantity (KG)],SalesDetail[Customer],$A58,SalesDetail[Year],2012)</f>
        <v>0</v>
      </c>
      <c r="F58" s="5">
        <f>SUMIFS(SalesDetail[Quantity (KG)],SalesDetail[Customer],$A58,SalesDetail[Year],2013)</f>
        <v>0</v>
      </c>
      <c r="G58" s="5">
        <f>SUMIFS(SalesDetail[Quantity (KG)],SalesDetail[Customer],$A58,SalesDetail[Year],2014)</f>
        <v>0</v>
      </c>
      <c r="H58" s="5">
        <f>SUMIFS(SalesDetail[Quantity (KG)],SalesDetail[Customer],$A58,SalesDetail[Year],2015)</f>
        <v>0</v>
      </c>
      <c r="I58" s="5">
        <f>SUMIFS(SalesDetail[Quantity (KG)],SalesDetail[Customer],$A58,SalesDetail[Year],2016)</f>
        <v>525</v>
      </c>
      <c r="J58" s="5">
        <f>SUMIFS(SalesDetail[Quantity (KG)],SalesDetail[Customer],$A58,SalesDetail[Year],2017)</f>
        <v>0</v>
      </c>
      <c r="K58" s="5">
        <f>SUMIFS(SalesDetail[Quantity (KG)],SalesDetail[Customer],$A58,SalesDetail[Year],2018)</f>
        <v>0</v>
      </c>
      <c r="L58" s="5">
        <f>SUMIFS(SalesDetail[Quantity (KG)],SalesDetail[Customer],$A58,SalesDetail[Year],2019)</f>
        <v>0</v>
      </c>
      <c r="M58" s="5">
        <f>SUMIFS(SalesDetail[Quantity (KG)],SalesDetail[Customer],$A58,SalesDetail[Year],2020)</f>
        <v>0</v>
      </c>
      <c r="N58" s="5">
        <f>SUMIFS(SalesDetail[Quantity (KG)],SalesDetail[Customer],$A58,SalesDetail[Year],2021)</f>
        <v>0</v>
      </c>
      <c r="O58" s="6">
        <f>SUM(B58:N58)</f>
        <v>2253</v>
      </c>
    </row>
    <row r="59" spans="1:15" x14ac:dyDescent="0.3">
      <c r="A59" t="s">
        <v>1920</v>
      </c>
      <c r="B59" s="5">
        <f>SUMIFS(SalesDetail[Quantity (KG)],SalesDetail[Customer],$A59,SalesDetail[Year],2009)</f>
        <v>250</v>
      </c>
      <c r="C59" s="5">
        <f>SUMIFS(SalesDetail[Quantity (KG)],SalesDetail[Customer],$A59,SalesDetail[Year],2010)</f>
        <v>700</v>
      </c>
      <c r="D59" s="5">
        <f>SUMIFS(SalesDetail[Quantity (KG)],SalesDetail[Customer],$A59,SalesDetail[Year],2011)</f>
        <v>525</v>
      </c>
      <c r="E59" s="5">
        <f>SUMIFS(SalesDetail[Quantity (KG)],SalesDetail[Customer],$A59,SalesDetail[Year],2012)</f>
        <v>425</v>
      </c>
      <c r="F59" s="5">
        <f>SUMIFS(SalesDetail[Quantity (KG)],SalesDetail[Customer],$A59,SalesDetail[Year],2013)</f>
        <v>300</v>
      </c>
      <c r="G59" s="5">
        <f>SUMIFS(SalesDetail[Quantity (KG)],SalesDetail[Customer],$A59,SalesDetail[Year],2014)</f>
        <v>0</v>
      </c>
      <c r="H59" s="5">
        <f>SUMIFS(SalesDetail[Quantity (KG)],SalesDetail[Customer],$A59,SalesDetail[Year],2015)</f>
        <v>25</v>
      </c>
      <c r="I59" s="5">
        <f>SUMIFS(SalesDetail[Quantity (KG)],SalesDetail[Customer],$A59,SalesDetail[Year],2016)</f>
        <v>0</v>
      </c>
      <c r="J59" s="5">
        <f>SUMIFS(SalesDetail[Quantity (KG)],SalesDetail[Customer],$A59,SalesDetail[Year],2017)</f>
        <v>0</v>
      </c>
      <c r="K59" s="5">
        <f>SUMIFS(SalesDetail[Quantity (KG)],SalesDetail[Customer],$A59,SalesDetail[Year],2018)</f>
        <v>0</v>
      </c>
      <c r="L59" s="5">
        <f>SUMIFS(SalesDetail[Quantity (KG)],SalesDetail[Customer],$A59,SalesDetail[Year],2019)</f>
        <v>0</v>
      </c>
      <c r="M59" s="5">
        <f>SUMIFS(SalesDetail[Quantity (KG)],SalesDetail[Customer],$A59,SalesDetail[Year],2020)</f>
        <v>25</v>
      </c>
      <c r="N59" s="5">
        <f>SUMIFS(SalesDetail[Quantity (KG)],SalesDetail[Customer],$A59,SalesDetail[Year],2021)</f>
        <v>0</v>
      </c>
      <c r="O59" s="6">
        <f>SUM(B59:N59)</f>
        <v>2250</v>
      </c>
    </row>
    <row r="60" spans="1:15" x14ac:dyDescent="0.3">
      <c r="A60" t="s">
        <v>2412</v>
      </c>
      <c r="B60" s="5">
        <f>SUMIFS(SalesDetail[Quantity (KG)],SalesDetail[Customer],$A60,SalesDetail[Year],2009)</f>
        <v>0</v>
      </c>
      <c r="C60" s="5">
        <f>SUMIFS(SalesDetail[Quantity (KG)],SalesDetail[Customer],$A60,SalesDetail[Year],2010)</f>
        <v>0</v>
      </c>
      <c r="D60" s="5">
        <f>SUMIFS(SalesDetail[Quantity (KG)],SalesDetail[Customer],$A60,SalesDetail[Year],2011)</f>
        <v>0</v>
      </c>
      <c r="E60" s="5">
        <f>SUMIFS(SalesDetail[Quantity (KG)],SalesDetail[Customer],$A60,SalesDetail[Year],2012)</f>
        <v>0</v>
      </c>
      <c r="F60" s="5">
        <f>SUMIFS(SalesDetail[Quantity (KG)],SalesDetail[Customer],$A60,SalesDetail[Year],2013)</f>
        <v>0</v>
      </c>
      <c r="G60" s="5">
        <f>SUMIFS(SalesDetail[Quantity (KG)],SalesDetail[Customer],$A60,SalesDetail[Year],2014)</f>
        <v>50</v>
      </c>
      <c r="H60" s="5">
        <f>SUMIFS(SalesDetail[Quantity (KG)],SalesDetail[Customer],$A60,SalesDetail[Year],2015)</f>
        <v>20</v>
      </c>
      <c r="I60" s="5">
        <f>SUMIFS(SalesDetail[Quantity (KG)],SalesDetail[Customer],$A60,SalesDetail[Year],2016)</f>
        <v>200</v>
      </c>
      <c r="J60" s="5">
        <f>SUMIFS(SalesDetail[Quantity (KG)],SalesDetail[Customer],$A60,SalesDetail[Year],2017)</f>
        <v>1020</v>
      </c>
      <c r="K60" s="5">
        <f>SUMIFS(SalesDetail[Quantity (KG)],SalesDetail[Customer],$A60,SalesDetail[Year],2018)</f>
        <v>175</v>
      </c>
      <c r="L60" s="5">
        <f>SUMIFS(SalesDetail[Quantity (KG)],SalesDetail[Customer],$A60,SalesDetail[Year],2019)</f>
        <v>500</v>
      </c>
      <c r="M60" s="5">
        <f>SUMIFS(SalesDetail[Quantity (KG)],SalesDetail[Customer],$A60,SalesDetail[Year],2020)</f>
        <v>235</v>
      </c>
      <c r="N60" s="5">
        <f>SUMIFS(SalesDetail[Quantity (KG)],SalesDetail[Customer],$A60,SalesDetail[Year],2021)</f>
        <v>50</v>
      </c>
      <c r="O60" s="6">
        <f>SUM(B60:N60)</f>
        <v>2250</v>
      </c>
    </row>
    <row r="61" spans="1:15" x14ac:dyDescent="0.3">
      <c r="A61" t="s">
        <v>2097</v>
      </c>
      <c r="B61" s="5">
        <f>SUMIFS(SalesDetail[Quantity (KG)],SalesDetail[Customer],$A61,SalesDetail[Year],2009)</f>
        <v>0</v>
      </c>
      <c r="C61" s="5">
        <f>SUMIFS(SalesDetail[Quantity (KG)],SalesDetail[Customer],$A61,SalesDetail[Year],2010)</f>
        <v>0</v>
      </c>
      <c r="D61" s="5">
        <f>SUMIFS(SalesDetail[Quantity (KG)],SalesDetail[Customer],$A61,SalesDetail[Year],2011)</f>
        <v>0</v>
      </c>
      <c r="E61" s="5">
        <f>SUMIFS(SalesDetail[Quantity (KG)],SalesDetail[Customer],$A61,SalesDetail[Year],2012)</f>
        <v>0</v>
      </c>
      <c r="F61" s="5">
        <f>SUMIFS(SalesDetail[Quantity (KG)],SalesDetail[Customer],$A61,SalesDetail[Year],2013)</f>
        <v>0</v>
      </c>
      <c r="G61" s="5">
        <f>SUMIFS(SalesDetail[Quantity (KG)],SalesDetail[Customer],$A61,SalesDetail[Year],2014)</f>
        <v>0</v>
      </c>
      <c r="H61" s="5">
        <f>SUMIFS(SalesDetail[Quantity (KG)],SalesDetail[Customer],$A61,SalesDetail[Year],2015)</f>
        <v>0</v>
      </c>
      <c r="I61" s="5">
        <f>SUMIFS(SalesDetail[Quantity (KG)],SalesDetail[Customer],$A61,SalesDetail[Year],2016)</f>
        <v>5</v>
      </c>
      <c r="J61" s="5">
        <f>SUMIFS(SalesDetail[Quantity (KG)],SalesDetail[Customer],$A61,SalesDetail[Year],2017)</f>
        <v>385</v>
      </c>
      <c r="K61" s="5">
        <f>SUMIFS(SalesDetail[Quantity (KG)],SalesDetail[Customer],$A61,SalesDetail[Year],2018)</f>
        <v>345</v>
      </c>
      <c r="L61" s="5">
        <f>SUMIFS(SalesDetail[Quantity (KG)],SalesDetail[Customer],$A61,SalesDetail[Year],2019)</f>
        <v>685</v>
      </c>
      <c r="M61" s="5">
        <f>SUMIFS(SalesDetail[Quantity (KG)],SalesDetail[Customer],$A61,SalesDetail[Year],2020)</f>
        <v>733</v>
      </c>
      <c r="N61" s="5">
        <f>SUMIFS(SalesDetail[Quantity (KG)],SalesDetail[Customer],$A61,SalesDetail[Year],2021)</f>
        <v>53</v>
      </c>
      <c r="O61" s="6">
        <f>SUM(B61:N61)</f>
        <v>2206</v>
      </c>
    </row>
    <row r="62" spans="1:15" x14ac:dyDescent="0.3">
      <c r="A62" t="s">
        <v>887</v>
      </c>
      <c r="B62" s="5">
        <f>SUMIFS(SalesDetail[Quantity (KG)],SalesDetail[Customer],$A62,SalesDetail[Year],2009)</f>
        <v>0</v>
      </c>
      <c r="C62" s="5">
        <f>SUMIFS(SalesDetail[Quantity (KG)],SalesDetail[Customer],$A62,SalesDetail[Year],2010)</f>
        <v>207</v>
      </c>
      <c r="D62" s="5">
        <f>SUMIFS(SalesDetail[Quantity (KG)],SalesDetail[Customer],$A62,SalesDetail[Year],2011)</f>
        <v>220</v>
      </c>
      <c r="E62" s="5">
        <f>SUMIFS(SalesDetail[Quantity (KG)],SalesDetail[Customer],$A62,SalesDetail[Year],2012)</f>
        <v>288</v>
      </c>
      <c r="F62" s="5">
        <f>SUMIFS(SalesDetail[Quantity (KG)],SalesDetail[Customer],$A62,SalesDetail[Year],2013)</f>
        <v>370</v>
      </c>
      <c r="G62" s="5">
        <f>SUMIFS(SalesDetail[Quantity (KG)],SalesDetail[Customer],$A62,SalesDetail[Year],2014)</f>
        <v>125</v>
      </c>
      <c r="H62" s="5">
        <f>SUMIFS(SalesDetail[Quantity (KG)],SalesDetail[Customer],$A62,SalesDetail[Year],2015)</f>
        <v>300</v>
      </c>
      <c r="I62" s="5">
        <f>SUMIFS(SalesDetail[Quantity (KG)],SalesDetail[Customer],$A62,SalesDetail[Year],2016)</f>
        <v>145</v>
      </c>
      <c r="J62" s="5">
        <f>SUMIFS(SalesDetail[Quantity (KG)],SalesDetail[Customer],$A62,SalesDetail[Year],2017)</f>
        <v>270</v>
      </c>
      <c r="K62" s="5">
        <f>SUMIFS(SalesDetail[Quantity (KG)],SalesDetail[Customer],$A62,SalesDetail[Year],2018)</f>
        <v>242</v>
      </c>
      <c r="L62" s="5">
        <f>SUMIFS(SalesDetail[Quantity (KG)],SalesDetail[Customer],$A62,SalesDetail[Year],2019)</f>
        <v>0</v>
      </c>
      <c r="M62" s="5">
        <f>SUMIFS(SalesDetail[Quantity (KG)],SalesDetail[Customer],$A62,SalesDetail[Year],2020)</f>
        <v>10</v>
      </c>
      <c r="N62" s="5">
        <f>SUMIFS(SalesDetail[Quantity (KG)],SalesDetail[Customer],$A62,SalesDetail[Year],2021)</f>
        <v>0</v>
      </c>
      <c r="O62" s="6">
        <f>SUM(B62:N62)</f>
        <v>2177</v>
      </c>
    </row>
    <row r="63" spans="1:15" x14ac:dyDescent="0.3">
      <c r="A63" t="s">
        <v>941</v>
      </c>
      <c r="B63" s="5">
        <f>SUMIFS(SalesDetail[Quantity (KG)],SalesDetail[Customer],$A63,SalesDetail[Year],2009)</f>
        <v>0</v>
      </c>
      <c r="C63" s="5">
        <f>SUMIFS(SalesDetail[Quantity (KG)],SalesDetail[Customer],$A63,SalesDetail[Year],2010)</f>
        <v>0</v>
      </c>
      <c r="D63" s="5">
        <f>SUMIFS(SalesDetail[Quantity (KG)],SalesDetail[Customer],$A63,SalesDetail[Year],2011)</f>
        <v>0</v>
      </c>
      <c r="E63" s="5">
        <f>SUMIFS(SalesDetail[Quantity (KG)],SalesDetail[Customer],$A63,SalesDetail[Year],2012)</f>
        <v>0</v>
      </c>
      <c r="F63" s="5">
        <f>SUMIFS(SalesDetail[Quantity (KG)],SalesDetail[Customer],$A63,SalesDetail[Year],2013)</f>
        <v>0</v>
      </c>
      <c r="G63" s="5">
        <f>SUMIFS(SalesDetail[Quantity (KG)],SalesDetail[Customer],$A63,SalesDetail[Year],2014)</f>
        <v>0</v>
      </c>
      <c r="H63" s="5">
        <f>SUMIFS(SalesDetail[Quantity (KG)],SalesDetail[Customer],$A63,SalesDetail[Year],2015)</f>
        <v>0</v>
      </c>
      <c r="I63" s="5">
        <f>SUMIFS(SalesDetail[Quantity (KG)],SalesDetail[Customer],$A63,SalesDetail[Year],2016)</f>
        <v>275</v>
      </c>
      <c r="J63" s="5">
        <f>SUMIFS(SalesDetail[Quantity (KG)],SalesDetail[Customer],$A63,SalesDetail[Year],2017)</f>
        <v>1246.55</v>
      </c>
      <c r="K63" s="5">
        <f>SUMIFS(SalesDetail[Quantity (KG)],SalesDetail[Customer],$A63,SalesDetail[Year],2018)</f>
        <v>463</v>
      </c>
      <c r="L63" s="5">
        <f>SUMIFS(SalesDetail[Quantity (KG)],SalesDetail[Customer],$A63,SalesDetail[Year],2019)</f>
        <v>101</v>
      </c>
      <c r="M63" s="5">
        <f>SUMIFS(SalesDetail[Quantity (KG)],SalesDetail[Customer],$A63,SalesDetail[Year],2020)</f>
        <v>25</v>
      </c>
      <c r="N63" s="5">
        <f>SUMIFS(SalesDetail[Quantity (KG)],SalesDetail[Customer],$A63,SalesDetail[Year],2021)</f>
        <v>10</v>
      </c>
      <c r="O63" s="6">
        <f>SUM(B63:N63)</f>
        <v>2120.5500000000002</v>
      </c>
    </row>
    <row r="64" spans="1:15" x14ac:dyDescent="0.3">
      <c r="A64" t="s">
        <v>695</v>
      </c>
      <c r="B64" s="5">
        <f>SUMIFS(SalesDetail[Quantity (KG)],SalesDetail[Customer],$A64,SalesDetail[Year],2009)</f>
        <v>220</v>
      </c>
      <c r="C64" s="5">
        <f>SUMIFS(SalesDetail[Quantity (KG)],SalesDetail[Customer],$A64,SalesDetail[Year],2010)</f>
        <v>50</v>
      </c>
      <c r="D64" s="5">
        <f>SUMIFS(SalesDetail[Quantity (KG)],SalesDetail[Customer],$A64,SalesDetail[Year],2011)</f>
        <v>75</v>
      </c>
      <c r="E64" s="5">
        <f>SUMIFS(SalesDetail[Quantity (KG)],SalesDetail[Customer],$A64,SalesDetail[Year],2012)</f>
        <v>100</v>
      </c>
      <c r="F64" s="5">
        <f>SUMIFS(SalesDetail[Quantity (KG)],SalesDetail[Customer],$A64,SalesDetail[Year],2013)</f>
        <v>113</v>
      </c>
      <c r="G64" s="5">
        <f>SUMIFS(SalesDetail[Quantity (KG)],SalesDetail[Customer],$A64,SalesDetail[Year],2014)</f>
        <v>150</v>
      </c>
      <c r="H64" s="5">
        <f>SUMIFS(SalesDetail[Quantity (KG)],SalesDetail[Customer],$A64,SalesDetail[Year],2015)</f>
        <v>295</v>
      </c>
      <c r="I64" s="5">
        <f>SUMIFS(SalesDetail[Quantity (KG)],SalesDetail[Customer],$A64,SalesDetail[Year],2016)</f>
        <v>763</v>
      </c>
      <c r="J64" s="5">
        <f>SUMIFS(SalesDetail[Quantity (KG)],SalesDetail[Customer],$A64,SalesDetail[Year],2017)</f>
        <v>270</v>
      </c>
      <c r="K64" s="5">
        <f>SUMIFS(SalesDetail[Quantity (KG)],SalesDetail[Customer],$A64,SalesDetail[Year],2018)</f>
        <v>20</v>
      </c>
      <c r="L64" s="5">
        <f>SUMIFS(SalesDetail[Quantity (KG)],SalesDetail[Customer],$A64,SalesDetail[Year],2019)</f>
        <v>25</v>
      </c>
      <c r="M64" s="5">
        <f>SUMIFS(SalesDetail[Quantity (KG)],SalesDetail[Customer],$A64,SalesDetail[Year],2020)</f>
        <v>0</v>
      </c>
      <c r="N64" s="5">
        <f>SUMIFS(SalesDetail[Quantity (KG)],SalesDetail[Customer],$A64,SalesDetail[Year],2021)</f>
        <v>0</v>
      </c>
      <c r="O64" s="6">
        <f>SUM(B64:N64)</f>
        <v>2081</v>
      </c>
    </row>
    <row r="65" spans="1:15" x14ac:dyDescent="0.3">
      <c r="A65" t="s">
        <v>2030</v>
      </c>
      <c r="B65" s="5">
        <f>SUMIFS(SalesDetail[Quantity (KG)],SalesDetail[Customer],$A65,SalesDetail[Year],2009)</f>
        <v>60</v>
      </c>
      <c r="C65" s="5">
        <f>SUMIFS(SalesDetail[Quantity (KG)],SalesDetail[Customer],$A65,SalesDetail[Year],2010)</f>
        <v>218</v>
      </c>
      <c r="D65" s="5">
        <f>SUMIFS(SalesDetail[Quantity (KG)],SalesDetail[Customer],$A65,SalesDetail[Year],2011)</f>
        <v>0</v>
      </c>
      <c r="E65" s="5">
        <f>SUMIFS(SalesDetail[Quantity (KG)],SalesDetail[Customer],$A65,SalesDetail[Year],2012)</f>
        <v>0</v>
      </c>
      <c r="F65" s="5">
        <f>SUMIFS(SalesDetail[Quantity (KG)],SalesDetail[Customer],$A65,SalesDetail[Year],2013)</f>
        <v>0</v>
      </c>
      <c r="G65" s="5">
        <f>SUMIFS(SalesDetail[Quantity (KG)],SalesDetail[Customer],$A65,SalesDetail[Year],2014)</f>
        <v>0</v>
      </c>
      <c r="H65" s="5">
        <f>SUMIFS(SalesDetail[Quantity (KG)],SalesDetail[Customer],$A65,SalesDetail[Year],2015)</f>
        <v>0</v>
      </c>
      <c r="I65" s="5">
        <f>SUMIFS(SalesDetail[Quantity (KG)],SalesDetail[Customer],$A65,SalesDetail[Year],2016)</f>
        <v>175</v>
      </c>
      <c r="J65" s="5">
        <f>SUMIFS(SalesDetail[Quantity (KG)],SalesDetail[Customer],$A65,SalesDetail[Year],2017)</f>
        <v>332</v>
      </c>
      <c r="K65" s="5">
        <f>SUMIFS(SalesDetail[Quantity (KG)],SalesDetail[Customer],$A65,SalesDetail[Year],2018)</f>
        <v>490</v>
      </c>
      <c r="L65" s="5">
        <f>SUMIFS(SalesDetail[Quantity (KG)],SalesDetail[Customer],$A65,SalesDetail[Year],2019)</f>
        <v>228</v>
      </c>
      <c r="M65" s="5">
        <f>SUMIFS(SalesDetail[Quantity (KG)],SalesDetail[Customer],$A65,SalesDetail[Year],2020)</f>
        <v>568</v>
      </c>
      <c r="N65" s="5">
        <f>SUMIFS(SalesDetail[Quantity (KG)],SalesDetail[Customer],$A65,SalesDetail[Year],2021)</f>
        <v>0</v>
      </c>
      <c r="O65" s="6">
        <f>SUM(B65:N65)</f>
        <v>2071</v>
      </c>
    </row>
    <row r="66" spans="1:15" x14ac:dyDescent="0.3">
      <c r="A66" t="s">
        <v>1819</v>
      </c>
      <c r="B66" s="5">
        <f>SUMIFS(SalesDetail[Quantity (KG)],SalesDetail[Customer],$A66,SalesDetail[Year],2009)</f>
        <v>0</v>
      </c>
      <c r="C66" s="5">
        <f>SUMIFS(SalesDetail[Quantity (KG)],SalesDetail[Customer],$A66,SalesDetail[Year],2010)</f>
        <v>0</v>
      </c>
      <c r="D66" s="5">
        <f>SUMIFS(SalesDetail[Quantity (KG)],SalesDetail[Customer],$A66,SalesDetail[Year],2011)</f>
        <v>0</v>
      </c>
      <c r="E66" s="5">
        <f>SUMIFS(SalesDetail[Quantity (KG)],SalesDetail[Customer],$A66,SalesDetail[Year],2012)</f>
        <v>0</v>
      </c>
      <c r="F66" s="5">
        <f>SUMIFS(SalesDetail[Quantity (KG)],SalesDetail[Customer],$A66,SalesDetail[Year],2013)</f>
        <v>0</v>
      </c>
      <c r="G66" s="5">
        <f>SUMIFS(SalesDetail[Quantity (KG)],SalesDetail[Customer],$A66,SalesDetail[Year],2014)</f>
        <v>0</v>
      </c>
      <c r="H66" s="5">
        <f>SUMIFS(SalesDetail[Quantity (KG)],SalesDetail[Customer],$A66,SalesDetail[Year],2015)</f>
        <v>55</v>
      </c>
      <c r="I66" s="5">
        <f>SUMIFS(SalesDetail[Quantity (KG)],SalesDetail[Customer],$A66,SalesDetail[Year],2016)</f>
        <v>15</v>
      </c>
      <c r="J66" s="5">
        <f>SUMIFS(SalesDetail[Quantity (KG)],SalesDetail[Customer],$A66,SalesDetail[Year],2017)</f>
        <v>669.8</v>
      </c>
      <c r="K66" s="5">
        <f>SUMIFS(SalesDetail[Quantity (KG)],SalesDetail[Customer],$A66,SalesDetail[Year],2018)</f>
        <v>360</v>
      </c>
      <c r="L66" s="5">
        <f>SUMIFS(SalesDetail[Quantity (KG)],SalesDetail[Customer],$A66,SalesDetail[Year],2019)</f>
        <v>571</v>
      </c>
      <c r="M66" s="5">
        <f>SUMIFS(SalesDetail[Quantity (KG)],SalesDetail[Customer],$A66,SalesDetail[Year],2020)</f>
        <v>245</v>
      </c>
      <c r="N66" s="5">
        <f>SUMIFS(SalesDetail[Quantity (KG)],SalesDetail[Customer],$A66,SalesDetail[Year],2021)</f>
        <v>138</v>
      </c>
      <c r="O66" s="6">
        <f>SUM(B66:N66)</f>
        <v>2053.8000000000002</v>
      </c>
    </row>
    <row r="67" spans="1:15" x14ac:dyDescent="0.3">
      <c r="A67" t="s">
        <v>829</v>
      </c>
      <c r="B67" s="5">
        <f>SUMIFS(SalesDetail[Quantity (KG)],SalesDetail[Customer],$A67,SalesDetail[Year],2009)</f>
        <v>0</v>
      </c>
      <c r="C67" s="5">
        <f>SUMIFS(SalesDetail[Quantity (KG)],SalesDetail[Customer],$A67,SalesDetail[Year],2010)</f>
        <v>0</v>
      </c>
      <c r="D67" s="5">
        <f>SUMIFS(SalesDetail[Quantity (KG)],SalesDetail[Customer],$A67,SalesDetail[Year],2011)</f>
        <v>0</v>
      </c>
      <c r="E67" s="5">
        <f>SUMIFS(SalesDetail[Quantity (KG)],SalesDetail[Customer],$A67,SalesDetail[Year],2012)</f>
        <v>0</v>
      </c>
      <c r="F67" s="5">
        <f>SUMIFS(SalesDetail[Quantity (KG)],SalesDetail[Customer],$A67,SalesDetail[Year],2013)</f>
        <v>0</v>
      </c>
      <c r="G67" s="5">
        <f>SUMIFS(SalesDetail[Quantity (KG)],SalesDetail[Customer],$A67,SalesDetail[Year],2014)</f>
        <v>0</v>
      </c>
      <c r="H67" s="5">
        <f>SUMIFS(SalesDetail[Quantity (KG)],SalesDetail[Customer],$A67,SalesDetail[Year],2015)</f>
        <v>0</v>
      </c>
      <c r="I67" s="5">
        <f>SUMIFS(SalesDetail[Quantity (KG)],SalesDetail[Customer],$A67,SalesDetail[Year],2016)</f>
        <v>0</v>
      </c>
      <c r="J67" s="5">
        <f>SUMIFS(SalesDetail[Quantity (KG)],SalesDetail[Customer],$A67,SalesDetail[Year],2017)</f>
        <v>0</v>
      </c>
      <c r="K67" s="5">
        <f>SUMIFS(SalesDetail[Quantity (KG)],SalesDetail[Customer],$A67,SalesDetail[Year],2018)</f>
        <v>455</v>
      </c>
      <c r="L67" s="5">
        <f>SUMIFS(SalesDetail[Quantity (KG)],SalesDetail[Customer],$A67,SalesDetail[Year],2019)</f>
        <v>735</v>
      </c>
      <c r="M67" s="5">
        <f>SUMIFS(SalesDetail[Quantity (KG)],SalesDetail[Customer],$A67,SalesDetail[Year],2020)</f>
        <v>485</v>
      </c>
      <c r="N67" s="5">
        <f>SUMIFS(SalesDetail[Quantity (KG)],SalesDetail[Customer],$A67,SalesDetail[Year],2021)</f>
        <v>350</v>
      </c>
      <c r="O67" s="6">
        <f>SUM(B67:N67)</f>
        <v>2025</v>
      </c>
    </row>
    <row r="68" spans="1:15" x14ac:dyDescent="0.3">
      <c r="A68" t="s">
        <v>435</v>
      </c>
      <c r="B68" s="5">
        <f>SUMIFS(SalesDetail[Quantity (KG)],SalesDetail[Customer],$A68,SalesDetail[Year],2009)</f>
        <v>0</v>
      </c>
      <c r="C68" s="5">
        <f>SUMIFS(SalesDetail[Quantity (KG)],SalesDetail[Customer],$A68,SalesDetail[Year],2010)</f>
        <v>0</v>
      </c>
      <c r="D68" s="5">
        <f>SUMIFS(SalesDetail[Quantity (KG)],SalesDetail[Customer],$A68,SalesDetail[Year],2011)</f>
        <v>0</v>
      </c>
      <c r="E68" s="5">
        <f>SUMIFS(SalesDetail[Quantity (KG)],SalesDetail[Customer],$A68,SalesDetail[Year],2012)</f>
        <v>0</v>
      </c>
      <c r="F68" s="5">
        <f>SUMIFS(SalesDetail[Quantity (KG)],SalesDetail[Customer],$A68,SalesDetail[Year],2013)</f>
        <v>0</v>
      </c>
      <c r="G68" s="5">
        <f>SUMIFS(SalesDetail[Quantity (KG)],SalesDetail[Customer],$A68,SalesDetail[Year],2014)</f>
        <v>0</v>
      </c>
      <c r="H68" s="5">
        <f>SUMIFS(SalesDetail[Quantity (KG)],SalesDetail[Customer],$A68,SalesDetail[Year],2015)</f>
        <v>0</v>
      </c>
      <c r="I68" s="5">
        <f>SUMIFS(SalesDetail[Quantity (KG)],SalesDetail[Customer],$A68,SalesDetail[Year],2016)</f>
        <v>0</v>
      </c>
      <c r="J68" s="5">
        <f>SUMIFS(SalesDetail[Quantity (KG)],SalesDetail[Customer],$A68,SalesDetail[Year],2017)</f>
        <v>0</v>
      </c>
      <c r="K68" s="5">
        <f>SUMIFS(SalesDetail[Quantity (KG)],SalesDetail[Customer],$A68,SalesDetail[Year],2018)</f>
        <v>550</v>
      </c>
      <c r="L68" s="5">
        <f>SUMIFS(SalesDetail[Quantity (KG)],SalesDetail[Customer],$A68,SalesDetail[Year],2019)</f>
        <v>1400</v>
      </c>
      <c r="M68" s="5">
        <f>SUMIFS(SalesDetail[Quantity (KG)],SalesDetail[Customer],$A68,SalesDetail[Year],2020)</f>
        <v>0</v>
      </c>
      <c r="N68" s="5">
        <f>SUMIFS(SalesDetail[Quantity (KG)],SalesDetail[Customer],$A68,SalesDetail[Year],2021)</f>
        <v>0</v>
      </c>
      <c r="O68" s="6">
        <f>SUM(B68:N68)</f>
        <v>1950</v>
      </c>
    </row>
    <row r="69" spans="1:15" x14ac:dyDescent="0.3">
      <c r="A69" t="s">
        <v>1862</v>
      </c>
      <c r="B69" s="5">
        <f>SUMIFS(SalesDetail[Quantity (KG)],SalesDetail[Customer],$A69,SalesDetail[Year],2009)</f>
        <v>100</v>
      </c>
      <c r="C69" s="5">
        <f>SUMIFS(SalesDetail[Quantity (KG)],SalesDetail[Customer],$A69,SalesDetail[Year],2010)</f>
        <v>700</v>
      </c>
      <c r="D69" s="5">
        <f>SUMIFS(SalesDetail[Quantity (KG)],SalesDetail[Customer],$A69,SalesDetail[Year],2011)</f>
        <v>0</v>
      </c>
      <c r="E69" s="5">
        <f>SUMIFS(SalesDetail[Quantity (KG)],SalesDetail[Customer],$A69,SalesDetail[Year],2012)</f>
        <v>200</v>
      </c>
      <c r="F69" s="5">
        <f>SUMIFS(SalesDetail[Quantity (KG)],SalesDetail[Customer],$A69,SalesDetail[Year],2013)</f>
        <v>320</v>
      </c>
      <c r="G69" s="5">
        <f>SUMIFS(SalesDetail[Quantity (KG)],SalesDetail[Customer],$A69,SalesDetail[Year],2014)</f>
        <v>0</v>
      </c>
      <c r="H69" s="5">
        <f>SUMIFS(SalesDetail[Quantity (KG)],SalesDetail[Customer],$A69,SalesDetail[Year],2015)</f>
        <v>0</v>
      </c>
      <c r="I69" s="5">
        <f>SUMIFS(SalesDetail[Quantity (KG)],SalesDetail[Customer],$A69,SalesDetail[Year],2016)</f>
        <v>150</v>
      </c>
      <c r="J69" s="5">
        <f>SUMIFS(SalesDetail[Quantity (KG)],SalesDetail[Customer],$A69,SalesDetail[Year],2017)</f>
        <v>450</v>
      </c>
      <c r="K69" s="5">
        <f>SUMIFS(SalesDetail[Quantity (KG)],SalesDetail[Customer],$A69,SalesDetail[Year],2018)</f>
        <v>25</v>
      </c>
      <c r="L69" s="5">
        <f>SUMIFS(SalesDetail[Quantity (KG)],SalesDetail[Customer],$A69,SalesDetail[Year],2019)</f>
        <v>0</v>
      </c>
      <c r="M69" s="5">
        <f>SUMIFS(SalesDetail[Quantity (KG)],SalesDetail[Customer],$A69,SalesDetail[Year],2020)</f>
        <v>0</v>
      </c>
      <c r="N69" s="5">
        <f>SUMIFS(SalesDetail[Quantity (KG)],SalesDetail[Customer],$A69,SalesDetail[Year],2021)</f>
        <v>0</v>
      </c>
      <c r="O69" s="6">
        <f>SUM(B69:N69)</f>
        <v>1945</v>
      </c>
    </row>
    <row r="70" spans="1:15" x14ac:dyDescent="0.3">
      <c r="A70" t="s">
        <v>1743</v>
      </c>
      <c r="B70" s="5">
        <f>SUMIFS(SalesDetail[Quantity (KG)],SalesDetail[Customer],$A70,SalesDetail[Year],2009)</f>
        <v>0</v>
      </c>
      <c r="C70" s="5">
        <f>SUMIFS(SalesDetail[Quantity (KG)],SalesDetail[Customer],$A70,SalesDetail[Year],2010)</f>
        <v>0</v>
      </c>
      <c r="D70" s="5">
        <f>SUMIFS(SalesDetail[Quantity (KG)],SalesDetail[Customer],$A70,SalesDetail[Year],2011)</f>
        <v>0</v>
      </c>
      <c r="E70" s="5">
        <f>SUMIFS(SalesDetail[Quantity (KG)],SalesDetail[Customer],$A70,SalesDetail[Year],2012)</f>
        <v>0</v>
      </c>
      <c r="F70" s="5">
        <f>SUMIFS(SalesDetail[Quantity (KG)],SalesDetail[Customer],$A70,SalesDetail[Year],2013)</f>
        <v>0</v>
      </c>
      <c r="G70" s="5">
        <f>SUMIFS(SalesDetail[Quantity (KG)],SalesDetail[Customer],$A70,SalesDetail[Year],2014)</f>
        <v>0</v>
      </c>
      <c r="H70" s="5">
        <f>SUMIFS(SalesDetail[Quantity (KG)],SalesDetail[Customer],$A70,SalesDetail[Year],2015)</f>
        <v>0</v>
      </c>
      <c r="I70" s="5">
        <f>SUMIFS(SalesDetail[Quantity (KG)],SalesDetail[Customer],$A70,SalesDetail[Year],2016)</f>
        <v>0</v>
      </c>
      <c r="J70" s="5">
        <f>SUMIFS(SalesDetail[Quantity (KG)],SalesDetail[Customer],$A70,SalesDetail[Year],2017)</f>
        <v>75</v>
      </c>
      <c r="K70" s="5">
        <f>SUMIFS(SalesDetail[Quantity (KG)],SalesDetail[Customer],$A70,SalesDetail[Year],2018)</f>
        <v>315</v>
      </c>
      <c r="L70" s="5">
        <f>SUMIFS(SalesDetail[Quantity (KG)],SalesDetail[Customer],$A70,SalesDetail[Year],2019)</f>
        <v>835</v>
      </c>
      <c r="M70" s="5">
        <f>SUMIFS(SalesDetail[Quantity (KG)],SalesDetail[Customer],$A70,SalesDetail[Year],2020)</f>
        <v>290</v>
      </c>
      <c r="N70" s="5">
        <f>SUMIFS(SalesDetail[Quantity (KG)],SalesDetail[Customer],$A70,SalesDetail[Year],2021)</f>
        <v>370</v>
      </c>
      <c r="O70" s="6">
        <f>SUM(B70:N70)</f>
        <v>1885</v>
      </c>
    </row>
    <row r="71" spans="1:15" x14ac:dyDescent="0.3">
      <c r="A71" t="s">
        <v>1873</v>
      </c>
      <c r="B71" s="5">
        <f>SUMIFS(SalesDetail[Quantity (KG)],SalesDetail[Customer],$A71,SalesDetail[Year],2009)</f>
        <v>175</v>
      </c>
      <c r="C71" s="5">
        <f>SUMIFS(SalesDetail[Quantity (KG)],SalesDetail[Customer],$A71,SalesDetail[Year],2010)</f>
        <v>150</v>
      </c>
      <c r="D71" s="5">
        <f>SUMIFS(SalesDetail[Quantity (KG)],SalesDetail[Customer],$A71,SalesDetail[Year],2011)</f>
        <v>175</v>
      </c>
      <c r="E71" s="5">
        <f>SUMIFS(SalesDetail[Quantity (KG)],SalesDetail[Customer],$A71,SalesDetail[Year],2012)</f>
        <v>250</v>
      </c>
      <c r="F71" s="5">
        <f>SUMIFS(SalesDetail[Quantity (KG)],SalesDetail[Customer],$A71,SalesDetail[Year],2013)</f>
        <v>250</v>
      </c>
      <c r="G71" s="5">
        <f>SUMIFS(SalesDetail[Quantity (KG)],SalesDetail[Customer],$A71,SalesDetail[Year],2014)</f>
        <v>50</v>
      </c>
      <c r="H71" s="5">
        <f>SUMIFS(SalesDetail[Quantity (KG)],SalesDetail[Customer],$A71,SalesDetail[Year],2015)</f>
        <v>0</v>
      </c>
      <c r="I71" s="5">
        <f>SUMIFS(SalesDetail[Quantity (KG)],SalesDetail[Customer],$A71,SalesDetail[Year],2016)</f>
        <v>150</v>
      </c>
      <c r="J71" s="5">
        <f>SUMIFS(SalesDetail[Quantity (KG)],SalesDetail[Customer],$A71,SalesDetail[Year],2017)</f>
        <v>250</v>
      </c>
      <c r="K71" s="5">
        <f>SUMIFS(SalesDetail[Quantity (KG)],SalesDetail[Customer],$A71,SalesDetail[Year],2018)</f>
        <v>125</v>
      </c>
      <c r="L71" s="5">
        <f>SUMIFS(SalesDetail[Quantity (KG)],SalesDetail[Customer],$A71,SalesDetail[Year],2019)</f>
        <v>137</v>
      </c>
      <c r="M71" s="5">
        <f>SUMIFS(SalesDetail[Quantity (KG)],SalesDetail[Customer],$A71,SalesDetail[Year],2020)</f>
        <v>88</v>
      </c>
      <c r="N71" s="5">
        <f>SUMIFS(SalesDetail[Quantity (KG)],SalesDetail[Customer],$A71,SalesDetail[Year],2021)</f>
        <v>85</v>
      </c>
      <c r="O71" s="6">
        <f>SUM(B71:N71)</f>
        <v>1885</v>
      </c>
    </row>
    <row r="72" spans="1:15" x14ac:dyDescent="0.3">
      <c r="A72" t="s">
        <v>2577</v>
      </c>
      <c r="B72" s="5">
        <f>SUMIFS(SalesDetail[Quantity (KG)],SalesDetail[Customer],$A72,SalesDetail[Year],2009)</f>
        <v>0</v>
      </c>
      <c r="C72" s="5">
        <f>SUMIFS(SalesDetail[Quantity (KG)],SalesDetail[Customer],$A72,SalesDetail[Year],2010)</f>
        <v>0</v>
      </c>
      <c r="D72" s="5">
        <f>SUMIFS(SalesDetail[Quantity (KG)],SalesDetail[Customer],$A72,SalesDetail[Year],2011)</f>
        <v>0</v>
      </c>
      <c r="E72" s="5">
        <f>SUMIFS(SalesDetail[Quantity (KG)],SalesDetail[Customer],$A72,SalesDetail[Year],2012)</f>
        <v>0</v>
      </c>
      <c r="F72" s="5">
        <f>SUMIFS(SalesDetail[Quantity (KG)],SalesDetail[Customer],$A72,SalesDetail[Year],2013)</f>
        <v>0</v>
      </c>
      <c r="G72" s="5">
        <f>SUMIFS(SalesDetail[Quantity (KG)],SalesDetail[Customer],$A72,SalesDetail[Year],2014)</f>
        <v>0</v>
      </c>
      <c r="H72" s="5">
        <f>SUMIFS(SalesDetail[Quantity (KG)],SalesDetail[Customer],$A72,SalesDetail[Year],2015)</f>
        <v>15</v>
      </c>
      <c r="I72" s="5">
        <f>SUMIFS(SalesDetail[Quantity (KG)],SalesDetail[Customer],$A72,SalesDetail[Year],2016)</f>
        <v>215</v>
      </c>
      <c r="J72" s="5">
        <f>SUMIFS(SalesDetail[Quantity (KG)],SalesDetail[Customer],$A72,SalesDetail[Year],2017)</f>
        <v>675</v>
      </c>
      <c r="K72" s="5">
        <f>SUMIFS(SalesDetail[Quantity (KG)],SalesDetail[Customer],$A72,SalesDetail[Year],2018)</f>
        <v>885</v>
      </c>
      <c r="L72" s="5">
        <f>SUMIFS(SalesDetail[Quantity (KG)],SalesDetail[Customer],$A72,SalesDetail[Year],2019)</f>
        <v>0</v>
      </c>
      <c r="M72" s="5">
        <f>SUMIFS(SalesDetail[Quantity (KG)],SalesDetail[Customer],$A72,SalesDetail[Year],2020)</f>
        <v>0</v>
      </c>
      <c r="N72" s="5">
        <f>SUMIFS(SalesDetail[Quantity (KG)],SalesDetail[Customer],$A72,SalesDetail[Year],2021)</f>
        <v>0</v>
      </c>
      <c r="O72" s="6">
        <f>SUM(B72:N72)</f>
        <v>1790</v>
      </c>
    </row>
    <row r="73" spans="1:15" x14ac:dyDescent="0.3">
      <c r="A73" t="s">
        <v>2485</v>
      </c>
      <c r="B73" s="5">
        <f>SUMIFS(SalesDetail[Quantity (KG)],SalesDetail[Customer],$A73,SalesDetail[Year],2009)</f>
        <v>10</v>
      </c>
      <c r="C73" s="5">
        <f>SUMIFS(SalesDetail[Quantity (KG)],SalesDetail[Customer],$A73,SalesDetail[Year],2010)</f>
        <v>35</v>
      </c>
      <c r="D73" s="5">
        <f>SUMIFS(SalesDetail[Quantity (KG)],SalesDetail[Customer],$A73,SalesDetail[Year],2011)</f>
        <v>0</v>
      </c>
      <c r="E73" s="5">
        <f>SUMIFS(SalesDetail[Quantity (KG)],SalesDetail[Customer],$A73,SalesDetail[Year],2012)</f>
        <v>175</v>
      </c>
      <c r="F73" s="5">
        <f>SUMIFS(SalesDetail[Quantity (KG)],SalesDetail[Customer],$A73,SalesDetail[Year],2013)</f>
        <v>50</v>
      </c>
      <c r="G73" s="5">
        <f>SUMIFS(SalesDetail[Quantity (KG)],SalesDetail[Customer],$A73,SalesDetail[Year],2014)</f>
        <v>0</v>
      </c>
      <c r="H73" s="5">
        <f>SUMIFS(SalesDetail[Quantity (KG)],SalesDetail[Customer],$A73,SalesDetail[Year],2015)</f>
        <v>0</v>
      </c>
      <c r="I73" s="5">
        <f>SUMIFS(SalesDetail[Quantity (KG)],SalesDetail[Customer],$A73,SalesDetail[Year],2016)</f>
        <v>25</v>
      </c>
      <c r="J73" s="5">
        <f>SUMIFS(SalesDetail[Quantity (KG)],SalesDetail[Customer],$A73,SalesDetail[Year],2017)</f>
        <v>70</v>
      </c>
      <c r="K73" s="5">
        <f>SUMIFS(SalesDetail[Quantity (KG)],SalesDetail[Customer],$A73,SalesDetail[Year],2018)</f>
        <v>216</v>
      </c>
      <c r="L73" s="5">
        <f>SUMIFS(SalesDetail[Quantity (KG)],SalesDetail[Customer],$A73,SalesDetail[Year],2019)</f>
        <v>351</v>
      </c>
      <c r="M73" s="5">
        <f>SUMIFS(SalesDetail[Quantity (KG)],SalesDetail[Customer],$A73,SalesDetail[Year],2020)</f>
        <v>515</v>
      </c>
      <c r="N73" s="5">
        <f>SUMIFS(SalesDetail[Quantity (KG)],SalesDetail[Customer],$A73,SalesDetail[Year],2021)</f>
        <v>275</v>
      </c>
      <c r="O73" s="6">
        <f>SUM(B73:N73)</f>
        <v>1722</v>
      </c>
    </row>
    <row r="74" spans="1:15" x14ac:dyDescent="0.3">
      <c r="A74" t="s">
        <v>1673</v>
      </c>
      <c r="B74" s="5">
        <f>SUMIFS(SalesDetail[Quantity (KG)],SalesDetail[Customer],$A74,SalesDetail[Year],2009)</f>
        <v>0</v>
      </c>
      <c r="C74" s="5">
        <f>SUMIFS(SalesDetail[Quantity (KG)],SalesDetail[Customer],$A74,SalesDetail[Year],2010)</f>
        <v>0</v>
      </c>
      <c r="D74" s="5">
        <f>SUMIFS(SalesDetail[Quantity (KG)],SalesDetail[Customer],$A74,SalesDetail[Year],2011)</f>
        <v>0</v>
      </c>
      <c r="E74" s="5">
        <f>SUMIFS(SalesDetail[Quantity (KG)],SalesDetail[Customer],$A74,SalesDetail[Year],2012)</f>
        <v>0</v>
      </c>
      <c r="F74" s="5">
        <f>SUMIFS(SalesDetail[Quantity (KG)],SalesDetail[Customer],$A74,SalesDetail[Year],2013)</f>
        <v>0</v>
      </c>
      <c r="G74" s="5">
        <f>SUMIFS(SalesDetail[Quantity (KG)],SalesDetail[Customer],$A74,SalesDetail[Year],2014)</f>
        <v>0</v>
      </c>
      <c r="H74" s="5">
        <f>SUMIFS(SalesDetail[Quantity (KG)],SalesDetail[Customer],$A74,SalesDetail[Year],2015)</f>
        <v>0</v>
      </c>
      <c r="I74" s="5">
        <f>SUMIFS(SalesDetail[Quantity (KG)],SalesDetail[Customer],$A74,SalesDetail[Year],2016)</f>
        <v>0</v>
      </c>
      <c r="J74" s="5">
        <f>SUMIFS(SalesDetail[Quantity (KG)],SalesDetail[Customer],$A74,SalesDetail[Year],2017)</f>
        <v>0</v>
      </c>
      <c r="K74" s="5">
        <f>SUMIFS(SalesDetail[Quantity (KG)],SalesDetail[Customer],$A74,SalesDetail[Year],2018)</f>
        <v>75</v>
      </c>
      <c r="L74" s="5">
        <f>SUMIFS(SalesDetail[Quantity (KG)],SalesDetail[Customer],$A74,SalesDetail[Year],2019)</f>
        <v>800</v>
      </c>
      <c r="M74" s="5">
        <f>SUMIFS(SalesDetail[Quantity (KG)],SalesDetail[Customer],$A74,SalesDetail[Year],2020)</f>
        <v>396</v>
      </c>
      <c r="N74" s="5">
        <f>SUMIFS(SalesDetail[Quantity (KG)],SalesDetail[Customer],$A74,SalesDetail[Year],2021)</f>
        <v>400</v>
      </c>
      <c r="O74" s="6">
        <f>SUM(B74:N74)</f>
        <v>1671</v>
      </c>
    </row>
    <row r="75" spans="1:15" x14ac:dyDescent="0.3">
      <c r="A75" t="s">
        <v>531</v>
      </c>
      <c r="B75" s="5">
        <f>SUMIFS(SalesDetail[Quantity (KG)],SalesDetail[Customer],$A75,SalesDetail[Year],2009)</f>
        <v>0</v>
      </c>
      <c r="C75" s="5">
        <f>SUMIFS(SalesDetail[Quantity (KG)],SalesDetail[Customer],$A75,SalesDetail[Year],2010)</f>
        <v>0</v>
      </c>
      <c r="D75" s="5">
        <f>SUMIFS(SalesDetail[Quantity (KG)],SalesDetail[Customer],$A75,SalesDetail[Year],2011)</f>
        <v>0</v>
      </c>
      <c r="E75" s="5">
        <f>SUMIFS(SalesDetail[Quantity (KG)],SalesDetail[Customer],$A75,SalesDetail[Year],2012)</f>
        <v>0</v>
      </c>
      <c r="F75" s="5">
        <f>SUMIFS(SalesDetail[Quantity (KG)],SalesDetail[Customer],$A75,SalesDetail[Year],2013)</f>
        <v>0</v>
      </c>
      <c r="G75" s="5">
        <f>SUMIFS(SalesDetail[Quantity (KG)],SalesDetail[Customer],$A75,SalesDetail[Year],2014)</f>
        <v>0</v>
      </c>
      <c r="H75" s="5">
        <f>SUMIFS(SalesDetail[Quantity (KG)],SalesDetail[Customer],$A75,SalesDetail[Year],2015)</f>
        <v>0</v>
      </c>
      <c r="I75" s="5">
        <f>SUMIFS(SalesDetail[Quantity (KG)],SalesDetail[Customer],$A75,SalesDetail[Year],2016)</f>
        <v>17</v>
      </c>
      <c r="J75" s="5">
        <f>SUMIFS(SalesDetail[Quantity (KG)],SalesDetail[Customer],$A75,SalesDetail[Year],2017)</f>
        <v>130</v>
      </c>
      <c r="K75" s="5">
        <f>SUMIFS(SalesDetail[Quantity (KG)],SalesDetail[Customer],$A75,SalesDetail[Year],2018)</f>
        <v>425</v>
      </c>
      <c r="L75" s="5">
        <f>SUMIFS(SalesDetail[Quantity (KG)],SalesDetail[Customer],$A75,SalesDetail[Year],2019)</f>
        <v>300</v>
      </c>
      <c r="M75" s="5">
        <f>SUMIFS(SalesDetail[Quantity (KG)],SalesDetail[Customer],$A75,SalesDetail[Year],2020)</f>
        <v>465</v>
      </c>
      <c r="N75" s="5">
        <f>SUMIFS(SalesDetail[Quantity (KG)],SalesDetail[Customer],$A75,SalesDetail[Year],2021)</f>
        <v>305</v>
      </c>
      <c r="O75" s="6">
        <f>SUM(B75:N75)</f>
        <v>1642</v>
      </c>
    </row>
    <row r="76" spans="1:15" x14ac:dyDescent="0.3">
      <c r="A76" t="s">
        <v>1175</v>
      </c>
      <c r="B76" s="5">
        <f>SUMIFS(SalesDetail[Quantity (KG)],SalesDetail[Customer],$A76,SalesDetail[Year],2009)</f>
        <v>0</v>
      </c>
      <c r="C76" s="5">
        <f>SUMIFS(SalesDetail[Quantity (KG)],SalesDetail[Customer],$A76,SalesDetail[Year],2010)</f>
        <v>0</v>
      </c>
      <c r="D76" s="5">
        <f>SUMIFS(SalesDetail[Quantity (KG)],SalesDetail[Customer],$A76,SalesDetail[Year],2011)</f>
        <v>0</v>
      </c>
      <c r="E76" s="5">
        <f>SUMIFS(SalesDetail[Quantity (KG)],SalesDetail[Customer],$A76,SalesDetail[Year],2012)</f>
        <v>0</v>
      </c>
      <c r="F76" s="5">
        <f>SUMIFS(SalesDetail[Quantity (KG)],SalesDetail[Customer],$A76,SalesDetail[Year],2013)</f>
        <v>0</v>
      </c>
      <c r="G76" s="5">
        <f>SUMIFS(SalesDetail[Quantity (KG)],SalesDetail[Customer],$A76,SalesDetail[Year],2014)</f>
        <v>0</v>
      </c>
      <c r="H76" s="5">
        <f>SUMIFS(SalesDetail[Quantity (KG)],SalesDetail[Customer],$A76,SalesDetail[Year],2015)</f>
        <v>0</v>
      </c>
      <c r="I76" s="5">
        <f>SUMIFS(SalesDetail[Quantity (KG)],SalesDetail[Customer],$A76,SalesDetail[Year],2016)</f>
        <v>0</v>
      </c>
      <c r="J76" s="5">
        <f>SUMIFS(SalesDetail[Quantity (KG)],SalesDetail[Customer],$A76,SalesDetail[Year],2017)</f>
        <v>25</v>
      </c>
      <c r="K76" s="5">
        <f>SUMIFS(SalesDetail[Quantity (KG)],SalesDetail[Customer],$A76,SalesDetail[Year],2018)</f>
        <v>301</v>
      </c>
      <c r="L76" s="5">
        <f>SUMIFS(SalesDetail[Quantity (KG)],SalesDetail[Customer],$A76,SalesDetail[Year],2019)</f>
        <v>623</v>
      </c>
      <c r="M76" s="5">
        <f>SUMIFS(SalesDetail[Quantity (KG)],SalesDetail[Customer],$A76,SalesDetail[Year],2020)</f>
        <v>396</v>
      </c>
      <c r="N76" s="5">
        <f>SUMIFS(SalesDetail[Quantity (KG)],SalesDetail[Customer],$A76,SalesDetail[Year],2021)</f>
        <v>269</v>
      </c>
      <c r="O76" s="6">
        <f>SUM(B76:N76)</f>
        <v>1614</v>
      </c>
    </row>
    <row r="77" spans="1:15" x14ac:dyDescent="0.3">
      <c r="A77" t="s">
        <v>1881</v>
      </c>
      <c r="B77" s="5">
        <f>SUMIFS(SalesDetail[Quantity (KG)],SalesDetail[Customer],$A77,SalesDetail[Year],2009)</f>
        <v>0</v>
      </c>
      <c r="C77" s="5">
        <f>SUMIFS(SalesDetail[Quantity (KG)],SalesDetail[Customer],$A77,SalesDetail[Year],2010)</f>
        <v>0</v>
      </c>
      <c r="D77" s="5">
        <f>SUMIFS(SalesDetail[Quantity (KG)],SalesDetail[Customer],$A77,SalesDetail[Year],2011)</f>
        <v>0</v>
      </c>
      <c r="E77" s="5">
        <f>SUMIFS(SalesDetail[Quantity (KG)],SalesDetail[Customer],$A77,SalesDetail[Year],2012)</f>
        <v>0</v>
      </c>
      <c r="F77" s="5">
        <f>SUMIFS(SalesDetail[Quantity (KG)],SalesDetail[Customer],$A77,SalesDetail[Year],2013)</f>
        <v>0</v>
      </c>
      <c r="G77" s="5">
        <f>SUMIFS(SalesDetail[Quantity (KG)],SalesDetail[Customer],$A77,SalesDetail[Year],2014)</f>
        <v>600</v>
      </c>
      <c r="H77" s="5">
        <f>SUMIFS(SalesDetail[Quantity (KG)],SalesDetail[Customer],$A77,SalesDetail[Year],2015)</f>
        <v>400</v>
      </c>
      <c r="I77" s="5">
        <f>SUMIFS(SalesDetail[Quantity (KG)],SalesDetail[Customer],$A77,SalesDetail[Year],2016)</f>
        <v>0</v>
      </c>
      <c r="J77" s="5">
        <f>SUMIFS(SalesDetail[Quantity (KG)],SalesDetail[Customer],$A77,SalesDetail[Year],2017)</f>
        <v>0</v>
      </c>
      <c r="K77" s="5">
        <f>SUMIFS(SalesDetail[Quantity (KG)],SalesDetail[Customer],$A77,SalesDetail[Year],2018)</f>
        <v>0</v>
      </c>
      <c r="L77" s="5">
        <f>SUMIFS(SalesDetail[Quantity (KG)],SalesDetail[Customer],$A77,SalesDetail[Year],2019)</f>
        <v>0</v>
      </c>
      <c r="M77" s="5">
        <f>SUMIFS(SalesDetail[Quantity (KG)],SalesDetail[Customer],$A77,SalesDetail[Year],2020)</f>
        <v>600</v>
      </c>
      <c r="N77" s="5">
        <f>SUMIFS(SalesDetail[Quantity (KG)],SalesDetail[Customer],$A77,SalesDetail[Year],2021)</f>
        <v>0</v>
      </c>
      <c r="O77" s="6">
        <f>SUM(B77:N77)</f>
        <v>1600</v>
      </c>
    </row>
    <row r="78" spans="1:15" x14ac:dyDescent="0.3">
      <c r="A78" t="s">
        <v>1005</v>
      </c>
      <c r="B78" s="5">
        <f>SUMIFS(SalesDetail[Quantity (KG)],SalesDetail[Customer],$A78,SalesDetail[Year],2009)</f>
        <v>0</v>
      </c>
      <c r="C78" s="5">
        <f>SUMIFS(SalesDetail[Quantity (KG)],SalesDetail[Customer],$A78,SalesDetail[Year],2010)</f>
        <v>0</v>
      </c>
      <c r="D78" s="5">
        <f>SUMIFS(SalesDetail[Quantity (KG)],SalesDetail[Customer],$A78,SalesDetail[Year],2011)</f>
        <v>0</v>
      </c>
      <c r="E78" s="5">
        <f>SUMIFS(SalesDetail[Quantity (KG)],SalesDetail[Customer],$A78,SalesDetail[Year],2012)</f>
        <v>0</v>
      </c>
      <c r="F78" s="5">
        <f>SUMIFS(SalesDetail[Quantity (KG)],SalesDetail[Customer],$A78,SalesDetail[Year],2013)</f>
        <v>0</v>
      </c>
      <c r="G78" s="5">
        <f>SUMIFS(SalesDetail[Quantity (KG)],SalesDetail[Customer],$A78,SalesDetail[Year],2014)</f>
        <v>0</v>
      </c>
      <c r="H78" s="5">
        <f>SUMIFS(SalesDetail[Quantity (KG)],SalesDetail[Customer],$A78,SalesDetail[Year],2015)</f>
        <v>95</v>
      </c>
      <c r="I78" s="5">
        <f>SUMIFS(SalesDetail[Quantity (KG)],SalesDetail[Customer],$A78,SalesDetail[Year],2016)</f>
        <v>234</v>
      </c>
      <c r="J78" s="5">
        <f>SUMIFS(SalesDetail[Quantity (KG)],SalesDetail[Customer],$A78,SalesDetail[Year],2017)</f>
        <v>250</v>
      </c>
      <c r="K78" s="5">
        <f>SUMIFS(SalesDetail[Quantity (KG)],SalesDetail[Customer],$A78,SalesDetail[Year],2018)</f>
        <v>255</v>
      </c>
      <c r="L78" s="5">
        <f>SUMIFS(SalesDetail[Quantity (KG)],SalesDetail[Customer],$A78,SalesDetail[Year],2019)</f>
        <v>225</v>
      </c>
      <c r="M78" s="5">
        <f>SUMIFS(SalesDetail[Quantity (KG)],SalesDetail[Customer],$A78,SalesDetail[Year],2020)</f>
        <v>405</v>
      </c>
      <c r="N78" s="5">
        <f>SUMIFS(SalesDetail[Quantity (KG)],SalesDetail[Customer],$A78,SalesDetail[Year],2021)</f>
        <v>70</v>
      </c>
      <c r="O78" s="6">
        <f>SUM(B78:N78)</f>
        <v>1534</v>
      </c>
    </row>
    <row r="79" spans="1:15" x14ac:dyDescent="0.3">
      <c r="A79" t="s">
        <v>2220</v>
      </c>
      <c r="B79" s="5">
        <f>SUMIFS(SalesDetail[Quantity (KG)],SalesDetail[Customer],$A79,SalesDetail[Year],2009)</f>
        <v>0</v>
      </c>
      <c r="C79" s="5">
        <f>SUMIFS(SalesDetail[Quantity (KG)],SalesDetail[Customer],$A79,SalesDetail[Year],2010)</f>
        <v>0</v>
      </c>
      <c r="D79" s="5">
        <f>SUMIFS(SalesDetail[Quantity (KG)],SalesDetail[Customer],$A79,SalesDetail[Year],2011)</f>
        <v>0</v>
      </c>
      <c r="E79" s="5">
        <f>SUMIFS(SalesDetail[Quantity (KG)],SalesDetail[Customer],$A79,SalesDetail[Year],2012)</f>
        <v>0</v>
      </c>
      <c r="F79" s="5">
        <f>SUMIFS(SalesDetail[Quantity (KG)],SalesDetail[Customer],$A79,SalesDetail[Year],2013)</f>
        <v>0</v>
      </c>
      <c r="G79" s="5">
        <f>SUMIFS(SalesDetail[Quantity (KG)],SalesDetail[Customer],$A79,SalesDetail[Year],2014)</f>
        <v>289</v>
      </c>
      <c r="H79" s="5">
        <f>SUMIFS(SalesDetail[Quantity (KG)],SalesDetail[Customer],$A79,SalesDetail[Year],2015)</f>
        <v>225</v>
      </c>
      <c r="I79" s="5">
        <f>SUMIFS(SalesDetail[Quantity (KG)],SalesDetail[Customer],$A79,SalesDetail[Year],2016)</f>
        <v>55</v>
      </c>
      <c r="J79" s="5">
        <f>SUMIFS(SalesDetail[Quantity (KG)],SalesDetail[Customer],$A79,SalesDetail[Year],2017)</f>
        <v>370</v>
      </c>
      <c r="K79" s="5">
        <f>SUMIFS(SalesDetail[Quantity (KG)],SalesDetail[Customer],$A79,SalesDetail[Year],2018)</f>
        <v>275</v>
      </c>
      <c r="L79" s="5">
        <f>SUMIFS(SalesDetail[Quantity (KG)],SalesDetail[Customer],$A79,SalesDetail[Year],2019)</f>
        <v>100</v>
      </c>
      <c r="M79" s="5">
        <f>SUMIFS(SalesDetail[Quantity (KG)],SalesDetail[Customer],$A79,SalesDetail[Year],2020)</f>
        <v>125</v>
      </c>
      <c r="N79" s="5">
        <f>SUMIFS(SalesDetail[Quantity (KG)],SalesDetail[Customer],$A79,SalesDetail[Year],2021)</f>
        <v>55</v>
      </c>
      <c r="O79" s="6">
        <f>SUM(B79:N79)</f>
        <v>1494</v>
      </c>
    </row>
    <row r="80" spans="1:15" x14ac:dyDescent="0.3">
      <c r="A80" t="s">
        <v>2380</v>
      </c>
      <c r="B80" s="5">
        <f>SUMIFS(SalesDetail[Quantity (KG)],SalesDetail[Customer],$A80,SalesDetail[Year],2009)</f>
        <v>55</v>
      </c>
      <c r="C80" s="5">
        <f>SUMIFS(SalesDetail[Quantity (KG)],SalesDetail[Customer],$A80,SalesDetail[Year],2010)</f>
        <v>80</v>
      </c>
      <c r="D80" s="5">
        <f>SUMIFS(SalesDetail[Quantity (KG)],SalesDetail[Customer],$A80,SalesDetail[Year],2011)</f>
        <v>475.5</v>
      </c>
      <c r="E80" s="5">
        <f>SUMIFS(SalesDetail[Quantity (KG)],SalesDetail[Customer],$A80,SalesDetail[Year],2012)</f>
        <v>35</v>
      </c>
      <c r="F80" s="5">
        <f>SUMIFS(SalesDetail[Quantity (KG)],SalesDetail[Customer],$A80,SalesDetail[Year],2013)</f>
        <v>90</v>
      </c>
      <c r="G80" s="5">
        <f>SUMIFS(SalesDetail[Quantity (KG)],SalesDetail[Customer],$A80,SalesDetail[Year],2014)</f>
        <v>40</v>
      </c>
      <c r="H80" s="5">
        <f>SUMIFS(SalesDetail[Quantity (KG)],SalesDetail[Customer],$A80,SalesDetail[Year],2015)</f>
        <v>0</v>
      </c>
      <c r="I80" s="5">
        <f>SUMIFS(SalesDetail[Quantity (KG)],SalesDetail[Customer],$A80,SalesDetail[Year],2016)</f>
        <v>0</v>
      </c>
      <c r="J80" s="5">
        <f>SUMIFS(SalesDetail[Quantity (KG)],SalesDetail[Customer],$A80,SalesDetail[Year],2017)</f>
        <v>65</v>
      </c>
      <c r="K80" s="5">
        <f>SUMIFS(SalesDetail[Quantity (KG)],SalesDetail[Customer],$A80,SalesDetail[Year],2018)</f>
        <v>205</v>
      </c>
      <c r="L80" s="5">
        <f>SUMIFS(SalesDetail[Quantity (KG)],SalesDetail[Customer],$A80,SalesDetail[Year],2019)</f>
        <v>239</v>
      </c>
      <c r="M80" s="5">
        <f>SUMIFS(SalesDetail[Quantity (KG)],SalesDetail[Customer],$A80,SalesDetail[Year],2020)</f>
        <v>128</v>
      </c>
      <c r="N80" s="5">
        <f>SUMIFS(SalesDetail[Quantity (KG)],SalesDetail[Customer],$A80,SalesDetail[Year],2021)</f>
        <v>81</v>
      </c>
      <c r="O80" s="6">
        <f>SUM(B80:N80)</f>
        <v>1493.5</v>
      </c>
    </row>
    <row r="81" spans="1:15" x14ac:dyDescent="0.3">
      <c r="A81" t="s">
        <v>2529</v>
      </c>
      <c r="B81" s="5">
        <f>SUMIFS(SalesDetail[Quantity (KG)],SalesDetail[Customer],$A81,SalesDetail[Year],2009)</f>
        <v>0</v>
      </c>
      <c r="C81" s="5">
        <f>SUMIFS(SalesDetail[Quantity (KG)],SalesDetail[Customer],$A81,SalesDetail[Year],2010)</f>
        <v>0</v>
      </c>
      <c r="D81" s="5">
        <f>SUMIFS(SalesDetail[Quantity (KG)],SalesDetail[Customer],$A81,SalesDetail[Year],2011)</f>
        <v>0</v>
      </c>
      <c r="E81" s="5">
        <f>SUMIFS(SalesDetail[Quantity (KG)],SalesDetail[Customer],$A81,SalesDetail[Year],2012)</f>
        <v>0</v>
      </c>
      <c r="F81" s="5">
        <f>SUMIFS(SalesDetail[Quantity (KG)],SalesDetail[Customer],$A81,SalesDetail[Year],2013)</f>
        <v>0</v>
      </c>
      <c r="G81" s="5">
        <f>SUMIFS(SalesDetail[Quantity (KG)],SalesDetail[Customer],$A81,SalesDetail[Year],2014)</f>
        <v>0</v>
      </c>
      <c r="H81" s="5">
        <f>SUMIFS(SalesDetail[Quantity (KG)],SalesDetail[Customer],$A81,SalesDetail[Year],2015)</f>
        <v>0</v>
      </c>
      <c r="I81" s="5">
        <f>SUMIFS(SalesDetail[Quantity (KG)],SalesDetail[Customer],$A81,SalesDetail[Year],2016)</f>
        <v>0</v>
      </c>
      <c r="J81" s="5">
        <f>SUMIFS(SalesDetail[Quantity (KG)],SalesDetail[Customer],$A81,SalesDetail[Year],2017)</f>
        <v>0</v>
      </c>
      <c r="K81" s="5">
        <f>SUMIFS(SalesDetail[Quantity (KG)],SalesDetail[Customer],$A81,SalesDetail[Year],2018)</f>
        <v>0</v>
      </c>
      <c r="L81" s="5">
        <f>SUMIFS(SalesDetail[Quantity (KG)],SalesDetail[Customer],$A81,SalesDetail[Year],2019)</f>
        <v>0</v>
      </c>
      <c r="M81" s="5">
        <f>SUMIFS(SalesDetail[Quantity (KG)],SalesDetail[Customer],$A81,SalesDetail[Year],2020)</f>
        <v>1350</v>
      </c>
      <c r="N81" s="5">
        <f>SUMIFS(SalesDetail[Quantity (KG)],SalesDetail[Customer],$A81,SalesDetail[Year],2021)</f>
        <v>143</v>
      </c>
      <c r="O81" s="6">
        <f>SUM(B81:N81)</f>
        <v>1493</v>
      </c>
    </row>
    <row r="82" spans="1:15" x14ac:dyDescent="0.3">
      <c r="A82" t="s">
        <v>1866</v>
      </c>
      <c r="B82" s="5">
        <f>SUMIFS(SalesDetail[Quantity (KG)],SalesDetail[Customer],$A82,SalesDetail[Year],2009)</f>
        <v>0</v>
      </c>
      <c r="C82" s="5">
        <f>SUMIFS(SalesDetail[Quantity (KG)],SalesDetail[Customer],$A82,SalesDetail[Year],2010)</f>
        <v>0</v>
      </c>
      <c r="D82" s="5">
        <f>SUMIFS(SalesDetail[Quantity (KG)],SalesDetail[Customer],$A82,SalesDetail[Year],2011)</f>
        <v>0</v>
      </c>
      <c r="E82" s="5">
        <f>SUMIFS(SalesDetail[Quantity (KG)],SalesDetail[Customer],$A82,SalesDetail[Year],2012)</f>
        <v>140</v>
      </c>
      <c r="F82" s="5">
        <f>SUMIFS(SalesDetail[Quantity (KG)],SalesDetail[Customer],$A82,SalesDetail[Year],2013)</f>
        <v>140</v>
      </c>
      <c r="G82" s="5">
        <f>SUMIFS(SalesDetail[Quantity (KG)],SalesDetail[Customer],$A82,SalesDetail[Year],2014)</f>
        <v>265</v>
      </c>
      <c r="H82" s="5">
        <f>SUMIFS(SalesDetail[Quantity (KG)],SalesDetail[Customer],$A82,SalesDetail[Year],2015)</f>
        <v>85</v>
      </c>
      <c r="I82" s="5">
        <f>SUMIFS(SalesDetail[Quantity (KG)],SalesDetail[Customer],$A82,SalesDetail[Year],2016)</f>
        <v>62</v>
      </c>
      <c r="J82" s="5">
        <f>SUMIFS(SalesDetail[Quantity (KG)],SalesDetail[Customer],$A82,SalesDetail[Year],2017)</f>
        <v>475</v>
      </c>
      <c r="K82" s="5">
        <f>SUMIFS(SalesDetail[Quantity (KG)],SalesDetail[Customer],$A82,SalesDetail[Year],2018)</f>
        <v>40</v>
      </c>
      <c r="L82" s="5">
        <f>SUMIFS(SalesDetail[Quantity (KG)],SalesDetail[Customer],$A82,SalesDetail[Year],2019)</f>
        <v>260</v>
      </c>
      <c r="M82" s="5">
        <f>SUMIFS(SalesDetail[Quantity (KG)],SalesDetail[Customer],$A82,SalesDetail[Year],2020)</f>
        <v>20</v>
      </c>
      <c r="N82" s="5">
        <f>SUMIFS(SalesDetail[Quantity (KG)],SalesDetail[Customer],$A82,SalesDetail[Year],2021)</f>
        <v>0</v>
      </c>
      <c r="O82" s="6">
        <f>SUM(B82:N82)</f>
        <v>1487</v>
      </c>
    </row>
    <row r="83" spans="1:15" x14ac:dyDescent="0.3">
      <c r="A83" t="s">
        <v>781</v>
      </c>
      <c r="B83" s="5">
        <f>SUMIFS(SalesDetail[Quantity (KG)],SalesDetail[Customer],$A83,SalesDetail[Year],2009)</f>
        <v>0</v>
      </c>
      <c r="C83" s="5">
        <f>SUMIFS(SalesDetail[Quantity (KG)],SalesDetail[Customer],$A83,SalesDetail[Year],2010)</f>
        <v>0</v>
      </c>
      <c r="D83" s="5">
        <f>SUMIFS(SalesDetail[Quantity (KG)],SalesDetail[Customer],$A83,SalesDetail[Year],2011)</f>
        <v>0</v>
      </c>
      <c r="E83" s="5">
        <f>SUMIFS(SalesDetail[Quantity (KG)],SalesDetail[Customer],$A83,SalesDetail[Year],2012)</f>
        <v>0</v>
      </c>
      <c r="F83" s="5">
        <f>SUMIFS(SalesDetail[Quantity (KG)],SalesDetail[Customer],$A83,SalesDetail[Year],2013)</f>
        <v>0</v>
      </c>
      <c r="G83" s="5">
        <f>SUMIFS(SalesDetail[Quantity (KG)],SalesDetail[Customer],$A83,SalesDetail[Year],2014)</f>
        <v>0</v>
      </c>
      <c r="H83" s="5">
        <f>SUMIFS(SalesDetail[Quantity (KG)],SalesDetail[Customer],$A83,SalesDetail[Year],2015)</f>
        <v>0</v>
      </c>
      <c r="I83" s="5">
        <f>SUMIFS(SalesDetail[Quantity (KG)],SalesDetail[Customer],$A83,SalesDetail[Year],2016)</f>
        <v>0</v>
      </c>
      <c r="J83" s="5">
        <f>SUMIFS(SalesDetail[Quantity (KG)],SalesDetail[Customer],$A83,SalesDetail[Year],2017)</f>
        <v>0</v>
      </c>
      <c r="K83" s="5">
        <f>SUMIFS(SalesDetail[Quantity (KG)],SalesDetail[Customer],$A83,SalesDetail[Year],2018)</f>
        <v>0</v>
      </c>
      <c r="L83" s="5">
        <f>SUMIFS(SalesDetail[Quantity (KG)],SalesDetail[Customer],$A83,SalesDetail[Year],2019)</f>
        <v>355</v>
      </c>
      <c r="M83" s="5">
        <f>SUMIFS(SalesDetail[Quantity (KG)],SalesDetail[Customer],$A83,SalesDetail[Year],2020)</f>
        <v>705</v>
      </c>
      <c r="N83" s="5">
        <f>SUMIFS(SalesDetail[Quantity (KG)],SalesDetail[Customer],$A83,SalesDetail[Year],2021)</f>
        <v>397</v>
      </c>
      <c r="O83" s="6">
        <f>SUM(B83:N83)</f>
        <v>1457</v>
      </c>
    </row>
    <row r="84" spans="1:15" x14ac:dyDescent="0.3">
      <c r="A84" t="s">
        <v>1686</v>
      </c>
      <c r="B84" s="5">
        <f>SUMIFS(SalesDetail[Quantity (KG)],SalesDetail[Customer],$A84,SalesDetail[Year],2009)</f>
        <v>0</v>
      </c>
      <c r="C84" s="5">
        <f>SUMIFS(SalesDetail[Quantity (KG)],SalesDetail[Customer],$A84,SalesDetail[Year],2010)</f>
        <v>0</v>
      </c>
      <c r="D84" s="5">
        <f>SUMIFS(SalesDetail[Quantity (KG)],SalesDetail[Customer],$A84,SalesDetail[Year],2011)</f>
        <v>0</v>
      </c>
      <c r="E84" s="5">
        <f>SUMIFS(SalesDetail[Quantity (KG)],SalesDetail[Customer],$A84,SalesDetail[Year],2012)</f>
        <v>0</v>
      </c>
      <c r="F84" s="5">
        <f>SUMIFS(SalesDetail[Quantity (KG)],SalesDetail[Customer],$A84,SalesDetail[Year],2013)</f>
        <v>0</v>
      </c>
      <c r="G84" s="5">
        <f>SUMIFS(SalesDetail[Quantity (KG)],SalesDetail[Customer],$A84,SalesDetail[Year],2014)</f>
        <v>20</v>
      </c>
      <c r="H84" s="5">
        <f>SUMIFS(SalesDetail[Quantity (KG)],SalesDetail[Customer],$A84,SalesDetail[Year],2015)</f>
        <v>10</v>
      </c>
      <c r="I84" s="5">
        <f>SUMIFS(SalesDetail[Quantity (KG)],SalesDetail[Customer],$A84,SalesDetail[Year],2016)</f>
        <v>430</v>
      </c>
      <c r="J84" s="5">
        <f>SUMIFS(SalesDetail[Quantity (KG)],SalesDetail[Customer],$A84,SalesDetail[Year],2017)</f>
        <v>270</v>
      </c>
      <c r="K84" s="5">
        <f>SUMIFS(SalesDetail[Quantity (KG)],SalesDetail[Customer],$A84,SalesDetail[Year],2018)</f>
        <v>140</v>
      </c>
      <c r="L84" s="5">
        <f>SUMIFS(SalesDetail[Quantity (KG)],SalesDetail[Customer],$A84,SalesDetail[Year],2019)</f>
        <v>165</v>
      </c>
      <c r="M84" s="5">
        <f>SUMIFS(SalesDetail[Quantity (KG)],SalesDetail[Customer],$A84,SalesDetail[Year],2020)</f>
        <v>365</v>
      </c>
      <c r="N84" s="5">
        <f>SUMIFS(SalesDetail[Quantity (KG)],SalesDetail[Customer],$A84,SalesDetail[Year],2021)</f>
        <v>30</v>
      </c>
      <c r="O84" s="6">
        <f>SUM(B84:N84)</f>
        <v>1430</v>
      </c>
    </row>
    <row r="85" spans="1:15" x14ac:dyDescent="0.3">
      <c r="A85" t="s">
        <v>2345</v>
      </c>
      <c r="B85" s="5">
        <f>SUMIFS(SalesDetail[Quantity (KG)],SalesDetail[Customer],$A85,SalesDetail[Year],2009)</f>
        <v>0</v>
      </c>
      <c r="C85" s="5">
        <f>SUMIFS(SalesDetail[Quantity (KG)],SalesDetail[Customer],$A85,SalesDetail[Year],2010)</f>
        <v>0</v>
      </c>
      <c r="D85" s="5">
        <f>SUMIFS(SalesDetail[Quantity (KG)],SalesDetail[Customer],$A85,SalesDetail[Year],2011)</f>
        <v>0</v>
      </c>
      <c r="E85" s="5">
        <f>SUMIFS(SalesDetail[Quantity (KG)],SalesDetail[Customer],$A85,SalesDetail[Year],2012)</f>
        <v>0</v>
      </c>
      <c r="F85" s="5">
        <f>SUMIFS(SalesDetail[Quantity (KG)],SalesDetail[Customer],$A85,SalesDetail[Year],2013)</f>
        <v>229</v>
      </c>
      <c r="G85" s="5">
        <f>SUMIFS(SalesDetail[Quantity (KG)],SalesDetail[Customer],$A85,SalesDetail[Year],2014)</f>
        <v>50</v>
      </c>
      <c r="H85" s="5">
        <f>SUMIFS(SalesDetail[Quantity (KG)],SalesDetail[Customer],$A85,SalesDetail[Year],2015)</f>
        <v>95</v>
      </c>
      <c r="I85" s="5">
        <f>SUMIFS(SalesDetail[Quantity (KG)],SalesDetail[Customer],$A85,SalesDetail[Year],2016)</f>
        <v>75</v>
      </c>
      <c r="J85" s="5">
        <f>SUMIFS(SalesDetail[Quantity (KG)],SalesDetail[Customer],$A85,SalesDetail[Year],2017)</f>
        <v>440</v>
      </c>
      <c r="K85" s="5">
        <f>SUMIFS(SalesDetail[Quantity (KG)],SalesDetail[Customer],$A85,SalesDetail[Year],2018)</f>
        <v>440</v>
      </c>
      <c r="L85" s="5">
        <f>SUMIFS(SalesDetail[Quantity (KG)],SalesDetail[Customer],$A85,SalesDetail[Year],2019)</f>
        <v>50</v>
      </c>
      <c r="M85" s="5">
        <f>SUMIFS(SalesDetail[Quantity (KG)],SalesDetail[Customer],$A85,SalesDetail[Year],2020)</f>
        <v>35</v>
      </c>
      <c r="N85" s="5">
        <f>SUMIFS(SalesDetail[Quantity (KG)],SalesDetail[Customer],$A85,SalesDetail[Year],2021)</f>
        <v>0</v>
      </c>
      <c r="O85" s="6">
        <f>SUM(B85:N85)</f>
        <v>1414</v>
      </c>
    </row>
    <row r="86" spans="1:15" x14ac:dyDescent="0.3">
      <c r="A86" t="s">
        <v>2123</v>
      </c>
      <c r="B86" s="5">
        <f>SUMIFS(SalesDetail[Quantity (KG)],SalesDetail[Customer],$A86,SalesDetail[Year],2009)</f>
        <v>0</v>
      </c>
      <c r="C86" s="5">
        <f>SUMIFS(SalesDetail[Quantity (KG)],SalesDetail[Customer],$A86,SalesDetail[Year],2010)</f>
        <v>0</v>
      </c>
      <c r="D86" s="5">
        <f>SUMIFS(SalesDetail[Quantity (KG)],SalesDetail[Customer],$A86,SalesDetail[Year],2011)</f>
        <v>0</v>
      </c>
      <c r="E86" s="5">
        <f>SUMIFS(SalesDetail[Quantity (KG)],SalesDetail[Customer],$A86,SalesDetail[Year],2012)</f>
        <v>0</v>
      </c>
      <c r="F86" s="5">
        <f>SUMIFS(SalesDetail[Quantity (KG)],SalesDetail[Customer],$A86,SalesDetail[Year],2013)</f>
        <v>75</v>
      </c>
      <c r="G86" s="5">
        <f>SUMIFS(SalesDetail[Quantity (KG)],SalesDetail[Customer],$A86,SalesDetail[Year],2014)</f>
        <v>185</v>
      </c>
      <c r="H86" s="5">
        <f>SUMIFS(SalesDetail[Quantity (KG)],SalesDetail[Customer],$A86,SalesDetail[Year],2015)</f>
        <v>120</v>
      </c>
      <c r="I86" s="5">
        <f>SUMIFS(SalesDetail[Quantity (KG)],SalesDetail[Customer],$A86,SalesDetail[Year],2016)</f>
        <v>249</v>
      </c>
      <c r="J86" s="5">
        <f>SUMIFS(SalesDetail[Quantity (KG)],SalesDetail[Customer],$A86,SalesDetail[Year],2017)</f>
        <v>128</v>
      </c>
      <c r="K86" s="5">
        <f>SUMIFS(SalesDetail[Quantity (KG)],SalesDetail[Customer],$A86,SalesDetail[Year],2018)</f>
        <v>325</v>
      </c>
      <c r="L86" s="5">
        <f>SUMIFS(SalesDetail[Quantity (KG)],SalesDetail[Customer],$A86,SalesDetail[Year],2019)</f>
        <v>72</v>
      </c>
      <c r="M86" s="5">
        <f>SUMIFS(SalesDetail[Quantity (KG)],SalesDetail[Customer],$A86,SalesDetail[Year],2020)</f>
        <v>95</v>
      </c>
      <c r="N86" s="5">
        <f>SUMIFS(SalesDetail[Quantity (KG)],SalesDetail[Customer],$A86,SalesDetail[Year],2021)</f>
        <v>130</v>
      </c>
      <c r="O86" s="6">
        <f>SUM(B86:N86)</f>
        <v>1379</v>
      </c>
    </row>
    <row r="87" spans="1:15" x14ac:dyDescent="0.3">
      <c r="A87" t="s">
        <v>2290</v>
      </c>
      <c r="B87" s="5">
        <f>SUMIFS(SalesDetail[Quantity (KG)],SalesDetail[Customer],$A87,SalesDetail[Year],2009)</f>
        <v>50</v>
      </c>
      <c r="C87" s="5">
        <f>SUMIFS(SalesDetail[Quantity (KG)],SalesDetail[Customer],$A87,SalesDetail[Year],2010)</f>
        <v>195</v>
      </c>
      <c r="D87" s="5">
        <f>SUMIFS(SalesDetail[Quantity (KG)],SalesDetail[Customer],$A87,SalesDetail[Year],2011)</f>
        <v>164</v>
      </c>
      <c r="E87" s="5">
        <f>SUMIFS(SalesDetail[Quantity (KG)],SalesDetail[Customer],$A87,SalesDetail[Year],2012)</f>
        <v>145</v>
      </c>
      <c r="F87" s="5">
        <f>SUMIFS(SalesDetail[Quantity (KG)],SalesDetail[Customer],$A87,SalesDetail[Year],2013)</f>
        <v>80</v>
      </c>
      <c r="G87" s="5">
        <f>SUMIFS(SalesDetail[Quantity (KG)],SalesDetail[Customer],$A87,SalesDetail[Year],2014)</f>
        <v>100</v>
      </c>
      <c r="H87" s="5">
        <f>SUMIFS(SalesDetail[Quantity (KG)],SalesDetail[Customer],$A87,SalesDetail[Year],2015)</f>
        <v>0</v>
      </c>
      <c r="I87" s="5">
        <f>SUMIFS(SalesDetail[Quantity (KG)],SalesDetail[Customer],$A87,SalesDetail[Year],2016)</f>
        <v>79</v>
      </c>
      <c r="J87" s="5">
        <f>SUMIFS(SalesDetail[Quantity (KG)],SalesDetail[Customer],$A87,SalesDetail[Year],2017)</f>
        <v>65</v>
      </c>
      <c r="K87" s="5">
        <f>SUMIFS(SalesDetail[Quantity (KG)],SalesDetail[Customer],$A87,SalesDetail[Year],2018)</f>
        <v>155</v>
      </c>
      <c r="L87" s="5">
        <f>SUMIFS(SalesDetail[Quantity (KG)],SalesDetail[Customer],$A87,SalesDetail[Year],2019)</f>
        <v>40</v>
      </c>
      <c r="M87" s="5">
        <f>SUMIFS(SalesDetail[Quantity (KG)],SalesDetail[Customer],$A87,SalesDetail[Year],2020)</f>
        <v>86</v>
      </c>
      <c r="N87" s="5">
        <f>SUMIFS(SalesDetail[Quantity (KG)],SalesDetail[Customer],$A87,SalesDetail[Year],2021)</f>
        <v>200</v>
      </c>
      <c r="O87" s="6">
        <f>SUM(B87:N87)</f>
        <v>1359</v>
      </c>
    </row>
    <row r="88" spans="1:15" x14ac:dyDescent="0.3">
      <c r="A88" t="s">
        <v>2438</v>
      </c>
      <c r="B88" s="5">
        <f>SUMIFS(SalesDetail[Quantity (KG)],SalesDetail[Customer],$A88,SalesDetail[Year],2009)</f>
        <v>0</v>
      </c>
      <c r="C88" s="5">
        <f>SUMIFS(SalesDetail[Quantity (KG)],SalesDetail[Customer],$A88,SalesDetail[Year],2010)</f>
        <v>0</v>
      </c>
      <c r="D88" s="5">
        <f>SUMIFS(SalesDetail[Quantity (KG)],SalesDetail[Customer],$A88,SalesDetail[Year],2011)</f>
        <v>0</v>
      </c>
      <c r="E88" s="5">
        <f>SUMIFS(SalesDetail[Quantity (KG)],SalesDetail[Customer],$A88,SalesDetail[Year],2012)</f>
        <v>0</v>
      </c>
      <c r="F88" s="5">
        <f>SUMIFS(SalesDetail[Quantity (KG)],SalesDetail[Customer],$A88,SalesDetail[Year],2013)</f>
        <v>0</v>
      </c>
      <c r="G88" s="5">
        <f>SUMIFS(SalesDetail[Quantity (KG)],SalesDetail[Customer],$A88,SalesDetail[Year],2014)</f>
        <v>0</v>
      </c>
      <c r="H88" s="5">
        <f>SUMIFS(SalesDetail[Quantity (KG)],SalesDetail[Customer],$A88,SalesDetail[Year],2015)</f>
        <v>0</v>
      </c>
      <c r="I88" s="5">
        <f>SUMIFS(SalesDetail[Quantity (KG)],SalesDetail[Customer],$A88,SalesDetail[Year],2016)</f>
        <v>0</v>
      </c>
      <c r="J88" s="5">
        <f>SUMIFS(SalesDetail[Quantity (KG)],SalesDetail[Customer],$A88,SalesDetail[Year],2017)</f>
        <v>0</v>
      </c>
      <c r="K88" s="5">
        <f>SUMIFS(SalesDetail[Quantity (KG)],SalesDetail[Customer],$A88,SalesDetail[Year],2018)</f>
        <v>455</v>
      </c>
      <c r="L88" s="5">
        <f>SUMIFS(SalesDetail[Quantity (KG)],SalesDetail[Customer],$A88,SalesDetail[Year],2019)</f>
        <v>620</v>
      </c>
      <c r="M88" s="5">
        <f>SUMIFS(SalesDetail[Quantity (KG)],SalesDetail[Customer],$A88,SalesDetail[Year],2020)</f>
        <v>205</v>
      </c>
      <c r="N88" s="5">
        <f>SUMIFS(SalesDetail[Quantity (KG)],SalesDetail[Customer],$A88,SalesDetail[Year],2021)</f>
        <v>0</v>
      </c>
      <c r="O88" s="6">
        <f>SUM(B88:N88)</f>
        <v>1280</v>
      </c>
    </row>
    <row r="89" spans="1:15" x14ac:dyDescent="0.3">
      <c r="A89" t="s">
        <v>1693</v>
      </c>
      <c r="B89" s="5">
        <f>SUMIFS(SalesDetail[Quantity (KG)],SalesDetail[Customer],$A89,SalesDetail[Year],2009)</f>
        <v>0</v>
      </c>
      <c r="C89" s="5">
        <f>SUMIFS(SalesDetail[Quantity (KG)],SalesDetail[Customer],$A89,SalesDetail[Year],2010)</f>
        <v>0</v>
      </c>
      <c r="D89" s="5">
        <f>SUMIFS(SalesDetail[Quantity (KG)],SalesDetail[Customer],$A89,SalesDetail[Year],2011)</f>
        <v>0</v>
      </c>
      <c r="E89" s="5">
        <f>SUMIFS(SalesDetail[Quantity (KG)],SalesDetail[Customer],$A89,SalesDetail[Year],2012)</f>
        <v>0</v>
      </c>
      <c r="F89" s="5">
        <f>SUMIFS(SalesDetail[Quantity (KG)],SalesDetail[Customer],$A89,SalesDetail[Year],2013)</f>
        <v>0</v>
      </c>
      <c r="G89" s="5">
        <f>SUMIFS(SalesDetail[Quantity (KG)],SalesDetail[Customer],$A89,SalesDetail[Year],2014)</f>
        <v>0</v>
      </c>
      <c r="H89" s="5">
        <f>SUMIFS(SalesDetail[Quantity (KG)],SalesDetail[Customer],$A89,SalesDetail[Year],2015)</f>
        <v>0</v>
      </c>
      <c r="I89" s="5">
        <f>SUMIFS(SalesDetail[Quantity (KG)],SalesDetail[Customer],$A89,SalesDetail[Year],2016)</f>
        <v>0</v>
      </c>
      <c r="J89" s="5">
        <f>SUMIFS(SalesDetail[Quantity (KG)],SalesDetail[Customer],$A89,SalesDetail[Year],2017)</f>
        <v>875</v>
      </c>
      <c r="K89" s="5">
        <f>SUMIFS(SalesDetail[Quantity (KG)],SalesDetail[Customer],$A89,SalesDetail[Year],2018)</f>
        <v>145</v>
      </c>
      <c r="L89" s="5">
        <f>SUMIFS(SalesDetail[Quantity (KG)],SalesDetail[Customer],$A89,SalesDetail[Year],2019)</f>
        <v>110</v>
      </c>
      <c r="M89" s="5">
        <f>SUMIFS(SalesDetail[Quantity (KG)],SalesDetail[Customer],$A89,SalesDetail[Year],2020)</f>
        <v>0</v>
      </c>
      <c r="N89" s="5">
        <f>SUMIFS(SalesDetail[Quantity (KG)],SalesDetail[Customer],$A89,SalesDetail[Year],2021)</f>
        <v>130</v>
      </c>
      <c r="O89" s="6">
        <f>SUM(B89:N89)</f>
        <v>1260</v>
      </c>
    </row>
    <row r="90" spans="1:15" x14ac:dyDescent="0.3">
      <c r="A90" t="s">
        <v>2199</v>
      </c>
      <c r="B90" s="5">
        <f>SUMIFS(SalesDetail[Quantity (KG)],SalesDetail[Customer],$A90,SalesDetail[Year],2009)</f>
        <v>0</v>
      </c>
      <c r="C90" s="5">
        <f>SUMIFS(SalesDetail[Quantity (KG)],SalesDetail[Customer],$A90,SalesDetail[Year],2010)</f>
        <v>0</v>
      </c>
      <c r="D90" s="5">
        <f>SUMIFS(SalesDetail[Quantity (KG)],SalesDetail[Customer],$A90,SalesDetail[Year],2011)</f>
        <v>150</v>
      </c>
      <c r="E90" s="5">
        <f>SUMIFS(SalesDetail[Quantity (KG)],SalesDetail[Customer],$A90,SalesDetail[Year],2012)</f>
        <v>110</v>
      </c>
      <c r="F90" s="5">
        <f>SUMIFS(SalesDetail[Quantity (KG)],SalesDetail[Customer],$A90,SalesDetail[Year],2013)</f>
        <v>95</v>
      </c>
      <c r="G90" s="5">
        <f>SUMIFS(SalesDetail[Quantity (KG)],SalesDetail[Customer],$A90,SalesDetail[Year],2014)</f>
        <v>190</v>
      </c>
      <c r="H90" s="5">
        <f>SUMIFS(SalesDetail[Quantity (KG)],SalesDetail[Customer],$A90,SalesDetail[Year],2015)</f>
        <v>225</v>
      </c>
      <c r="I90" s="5">
        <f>SUMIFS(SalesDetail[Quantity (KG)],SalesDetail[Customer],$A90,SalesDetail[Year],2016)</f>
        <v>140</v>
      </c>
      <c r="J90" s="5">
        <f>SUMIFS(SalesDetail[Quantity (KG)],SalesDetail[Customer],$A90,SalesDetail[Year],2017)</f>
        <v>350</v>
      </c>
      <c r="K90" s="5">
        <f>SUMIFS(SalesDetail[Quantity (KG)],SalesDetail[Customer],$A90,SalesDetail[Year],2018)</f>
        <v>0</v>
      </c>
      <c r="L90" s="5">
        <f>SUMIFS(SalesDetail[Quantity (KG)],SalesDetail[Customer],$A90,SalesDetail[Year],2019)</f>
        <v>0</v>
      </c>
      <c r="M90" s="5">
        <f>SUMIFS(SalesDetail[Quantity (KG)],SalesDetail[Customer],$A90,SalesDetail[Year],2020)</f>
        <v>0</v>
      </c>
      <c r="N90" s="5">
        <f>SUMIFS(SalesDetail[Quantity (KG)],SalesDetail[Customer],$A90,SalesDetail[Year],2021)</f>
        <v>0</v>
      </c>
      <c r="O90" s="6">
        <f>SUM(B90:N90)</f>
        <v>1260</v>
      </c>
    </row>
    <row r="91" spans="1:15" x14ac:dyDescent="0.3">
      <c r="A91" t="s">
        <v>920</v>
      </c>
      <c r="B91" s="5">
        <f>SUMIFS(SalesDetail[Quantity (KG)],SalesDetail[Customer],$A91,SalesDetail[Year],2009)</f>
        <v>0</v>
      </c>
      <c r="C91" s="5">
        <f>SUMIFS(SalesDetail[Quantity (KG)],SalesDetail[Customer],$A91,SalesDetail[Year],2010)</f>
        <v>0</v>
      </c>
      <c r="D91" s="5">
        <f>SUMIFS(SalesDetail[Quantity (KG)],SalesDetail[Customer],$A91,SalesDetail[Year],2011)</f>
        <v>0</v>
      </c>
      <c r="E91" s="5">
        <f>SUMIFS(SalesDetail[Quantity (KG)],SalesDetail[Customer],$A91,SalesDetail[Year],2012)</f>
        <v>0</v>
      </c>
      <c r="F91" s="5">
        <f>SUMIFS(SalesDetail[Quantity (KG)],SalesDetail[Customer],$A91,SalesDetail[Year],2013)</f>
        <v>0</v>
      </c>
      <c r="G91" s="5">
        <f>SUMIFS(SalesDetail[Quantity (KG)],SalesDetail[Customer],$A91,SalesDetail[Year],2014)</f>
        <v>0</v>
      </c>
      <c r="H91" s="5">
        <f>SUMIFS(SalesDetail[Quantity (KG)],SalesDetail[Customer],$A91,SalesDetail[Year],2015)</f>
        <v>0</v>
      </c>
      <c r="I91" s="5">
        <f>SUMIFS(SalesDetail[Quantity (KG)],SalesDetail[Customer],$A91,SalesDetail[Year],2016)</f>
        <v>0</v>
      </c>
      <c r="J91" s="5">
        <f>SUMIFS(SalesDetail[Quantity (KG)],SalesDetail[Customer],$A91,SalesDetail[Year],2017)</f>
        <v>16</v>
      </c>
      <c r="K91" s="5">
        <f>SUMIFS(SalesDetail[Quantity (KG)],SalesDetail[Customer],$A91,SalesDetail[Year],2018)</f>
        <v>12</v>
      </c>
      <c r="L91" s="5">
        <f>SUMIFS(SalesDetail[Quantity (KG)],SalesDetail[Customer],$A91,SalesDetail[Year],2019)</f>
        <v>1217</v>
      </c>
      <c r="M91" s="5">
        <f>SUMIFS(SalesDetail[Quantity (KG)],SalesDetail[Customer],$A91,SalesDetail[Year],2020)</f>
        <v>0</v>
      </c>
      <c r="N91" s="5">
        <f>SUMIFS(SalesDetail[Quantity (KG)],SalesDetail[Customer],$A91,SalesDetail[Year],2021)</f>
        <v>5</v>
      </c>
      <c r="O91" s="6">
        <f>SUM(B91:N91)</f>
        <v>1250</v>
      </c>
    </row>
    <row r="92" spans="1:15" x14ac:dyDescent="0.3">
      <c r="A92" t="s">
        <v>2542</v>
      </c>
      <c r="B92" s="5">
        <f>SUMIFS(SalesDetail[Quantity (KG)],SalesDetail[Customer],$A92,SalesDetail[Year],2009)</f>
        <v>0</v>
      </c>
      <c r="C92" s="5">
        <f>SUMIFS(SalesDetail[Quantity (KG)],SalesDetail[Customer],$A92,SalesDetail[Year],2010)</f>
        <v>0</v>
      </c>
      <c r="D92" s="5">
        <f>SUMIFS(SalesDetail[Quantity (KG)],SalesDetail[Customer],$A92,SalesDetail[Year],2011)</f>
        <v>0</v>
      </c>
      <c r="E92" s="5">
        <f>SUMIFS(SalesDetail[Quantity (KG)],SalesDetail[Customer],$A92,SalesDetail[Year],2012)</f>
        <v>0</v>
      </c>
      <c r="F92" s="5">
        <f>SUMIFS(SalesDetail[Quantity (KG)],SalesDetail[Customer],$A92,SalesDetail[Year],2013)</f>
        <v>0</v>
      </c>
      <c r="G92" s="5">
        <f>SUMIFS(SalesDetail[Quantity (KG)],SalesDetail[Customer],$A92,SalesDetail[Year],2014)</f>
        <v>0</v>
      </c>
      <c r="H92" s="5">
        <f>SUMIFS(SalesDetail[Quantity (KG)],SalesDetail[Customer],$A92,SalesDetail[Year],2015)</f>
        <v>0</v>
      </c>
      <c r="I92" s="5">
        <f>SUMIFS(SalesDetail[Quantity (KG)],SalesDetail[Customer],$A92,SalesDetail[Year],2016)</f>
        <v>0</v>
      </c>
      <c r="J92" s="5">
        <f>SUMIFS(SalesDetail[Quantity (KG)],SalesDetail[Customer],$A92,SalesDetail[Year],2017)</f>
        <v>0</v>
      </c>
      <c r="K92" s="5">
        <f>SUMIFS(SalesDetail[Quantity (KG)],SalesDetail[Customer],$A92,SalesDetail[Year],2018)</f>
        <v>0</v>
      </c>
      <c r="L92" s="5">
        <f>SUMIFS(SalesDetail[Quantity (KG)],SalesDetail[Customer],$A92,SalesDetail[Year],2019)</f>
        <v>951</v>
      </c>
      <c r="M92" s="5">
        <f>SUMIFS(SalesDetail[Quantity (KG)],SalesDetail[Customer],$A92,SalesDetail[Year],2020)</f>
        <v>200</v>
      </c>
      <c r="N92" s="5">
        <f>SUMIFS(SalesDetail[Quantity (KG)],SalesDetail[Customer],$A92,SalesDetail[Year],2021)</f>
        <v>60</v>
      </c>
      <c r="O92" s="6">
        <f>SUM(B92:N92)</f>
        <v>1211</v>
      </c>
    </row>
    <row r="93" spans="1:15" x14ac:dyDescent="0.3">
      <c r="A93" t="s">
        <v>1658</v>
      </c>
      <c r="B93" s="5">
        <f>SUMIFS(SalesDetail[Quantity (KG)],SalesDetail[Customer],$A93,SalesDetail[Year],2009)</f>
        <v>0</v>
      </c>
      <c r="C93" s="5">
        <f>SUMIFS(SalesDetail[Quantity (KG)],SalesDetail[Customer],$A93,SalesDetail[Year],2010)</f>
        <v>0</v>
      </c>
      <c r="D93" s="5">
        <f>SUMIFS(SalesDetail[Quantity (KG)],SalesDetail[Customer],$A93,SalesDetail[Year],2011)</f>
        <v>0</v>
      </c>
      <c r="E93" s="5">
        <f>SUMIFS(SalesDetail[Quantity (KG)],SalesDetail[Customer],$A93,SalesDetail[Year],2012)</f>
        <v>0</v>
      </c>
      <c r="F93" s="5">
        <f>SUMIFS(SalesDetail[Quantity (KG)],SalesDetail[Customer],$A93,SalesDetail[Year],2013)</f>
        <v>55</v>
      </c>
      <c r="G93" s="5">
        <f>SUMIFS(SalesDetail[Quantity (KG)],SalesDetail[Customer],$A93,SalesDetail[Year],2014)</f>
        <v>110</v>
      </c>
      <c r="H93" s="5">
        <f>SUMIFS(SalesDetail[Quantity (KG)],SalesDetail[Customer],$A93,SalesDetail[Year],2015)</f>
        <v>90</v>
      </c>
      <c r="I93" s="5">
        <f>SUMIFS(SalesDetail[Quantity (KG)],SalesDetail[Customer],$A93,SalesDetail[Year],2016)</f>
        <v>835</v>
      </c>
      <c r="J93" s="5">
        <f>SUMIFS(SalesDetail[Quantity (KG)],SalesDetail[Customer],$A93,SalesDetail[Year],2017)</f>
        <v>115</v>
      </c>
      <c r="K93" s="5">
        <f>SUMIFS(SalesDetail[Quantity (KG)],SalesDetail[Customer],$A93,SalesDetail[Year],2018)</f>
        <v>0</v>
      </c>
      <c r="L93" s="5">
        <f>SUMIFS(SalesDetail[Quantity (KG)],SalesDetail[Customer],$A93,SalesDetail[Year],2019)</f>
        <v>0</v>
      </c>
      <c r="M93" s="5">
        <f>SUMIFS(SalesDetail[Quantity (KG)],SalesDetail[Customer],$A93,SalesDetail[Year],2020)</f>
        <v>0</v>
      </c>
      <c r="N93" s="5">
        <f>SUMIFS(SalesDetail[Quantity (KG)],SalesDetail[Customer],$A93,SalesDetail[Year],2021)</f>
        <v>0</v>
      </c>
      <c r="O93" s="6">
        <f>SUM(B93:N93)</f>
        <v>1205</v>
      </c>
    </row>
    <row r="94" spans="1:15" x14ac:dyDescent="0.3">
      <c r="A94" t="s">
        <v>865</v>
      </c>
      <c r="B94" s="5">
        <f>SUMIFS(SalesDetail[Quantity (KG)],SalesDetail[Customer],$A94,SalesDetail[Year],2009)</f>
        <v>0</v>
      </c>
      <c r="C94" s="5">
        <f>SUMIFS(SalesDetail[Quantity (KG)],SalesDetail[Customer],$A94,SalesDetail[Year],2010)</f>
        <v>0</v>
      </c>
      <c r="D94" s="5">
        <f>SUMIFS(SalesDetail[Quantity (KG)],SalesDetail[Customer],$A94,SalesDetail[Year],2011)</f>
        <v>0</v>
      </c>
      <c r="E94" s="5">
        <f>SUMIFS(SalesDetail[Quantity (KG)],SalesDetail[Customer],$A94,SalesDetail[Year],2012)</f>
        <v>0</v>
      </c>
      <c r="F94" s="5">
        <f>SUMIFS(SalesDetail[Quantity (KG)],SalesDetail[Customer],$A94,SalesDetail[Year],2013)</f>
        <v>0</v>
      </c>
      <c r="G94" s="5">
        <f>SUMIFS(SalesDetail[Quantity (KG)],SalesDetail[Customer],$A94,SalesDetail[Year],2014)</f>
        <v>0</v>
      </c>
      <c r="H94" s="5">
        <f>SUMIFS(SalesDetail[Quantity (KG)],SalesDetail[Customer],$A94,SalesDetail[Year],2015)</f>
        <v>0</v>
      </c>
      <c r="I94" s="5">
        <f>SUMIFS(SalesDetail[Quantity (KG)],SalesDetail[Customer],$A94,SalesDetail[Year],2016)</f>
        <v>0</v>
      </c>
      <c r="J94" s="5">
        <f>SUMIFS(SalesDetail[Quantity (KG)],SalesDetail[Customer],$A94,SalesDetail[Year],2017)</f>
        <v>0</v>
      </c>
      <c r="K94" s="5">
        <f>SUMIFS(SalesDetail[Quantity (KG)],SalesDetail[Customer],$A94,SalesDetail[Year],2018)</f>
        <v>0</v>
      </c>
      <c r="L94" s="5">
        <f>SUMIFS(SalesDetail[Quantity (KG)],SalesDetail[Customer],$A94,SalesDetail[Year],2019)</f>
        <v>239.25</v>
      </c>
      <c r="M94" s="5">
        <f>SUMIFS(SalesDetail[Quantity (KG)],SalesDetail[Customer],$A94,SalesDetail[Year],2020)</f>
        <v>750</v>
      </c>
      <c r="N94" s="5">
        <f>SUMIFS(SalesDetail[Quantity (KG)],SalesDetail[Customer],$A94,SalesDetail[Year],2021)</f>
        <v>200</v>
      </c>
      <c r="O94" s="6">
        <f>SUM(B94:N94)</f>
        <v>1189.25</v>
      </c>
    </row>
    <row r="95" spans="1:15" x14ac:dyDescent="0.3">
      <c r="A95" t="s">
        <v>2092</v>
      </c>
      <c r="B95" s="5">
        <f>SUMIFS(SalesDetail[Quantity (KG)],SalesDetail[Customer],$A95,SalesDetail[Year],2009)</f>
        <v>0</v>
      </c>
      <c r="C95" s="5">
        <f>SUMIFS(SalesDetail[Quantity (KG)],SalesDetail[Customer],$A95,SalesDetail[Year],2010)</f>
        <v>0</v>
      </c>
      <c r="D95" s="5">
        <f>SUMIFS(SalesDetail[Quantity (KG)],SalesDetail[Customer],$A95,SalesDetail[Year],2011)</f>
        <v>50</v>
      </c>
      <c r="E95" s="5">
        <f>SUMIFS(SalesDetail[Quantity (KG)],SalesDetail[Customer],$A95,SalesDetail[Year],2012)</f>
        <v>0</v>
      </c>
      <c r="F95" s="5">
        <f>SUMIFS(SalesDetail[Quantity (KG)],SalesDetail[Customer],$A95,SalesDetail[Year],2013)</f>
        <v>538</v>
      </c>
      <c r="G95" s="5">
        <f>SUMIFS(SalesDetail[Quantity (KG)],SalesDetail[Customer],$A95,SalesDetail[Year],2014)</f>
        <v>370</v>
      </c>
      <c r="H95" s="5">
        <f>SUMIFS(SalesDetail[Quantity (KG)],SalesDetail[Customer],$A95,SalesDetail[Year],2015)</f>
        <v>201</v>
      </c>
      <c r="I95" s="5">
        <f>SUMIFS(SalesDetail[Quantity (KG)],SalesDetail[Customer],$A95,SalesDetail[Year],2016)</f>
        <v>0</v>
      </c>
      <c r="J95" s="5">
        <f>SUMIFS(SalesDetail[Quantity (KG)],SalesDetail[Customer],$A95,SalesDetail[Year],2017)</f>
        <v>0</v>
      </c>
      <c r="K95" s="5">
        <f>SUMIFS(SalesDetail[Quantity (KG)],SalesDetail[Customer],$A95,SalesDetail[Year],2018)</f>
        <v>28</v>
      </c>
      <c r="L95" s="5">
        <f>SUMIFS(SalesDetail[Quantity (KG)],SalesDetail[Customer],$A95,SalesDetail[Year],2019)</f>
        <v>0</v>
      </c>
      <c r="M95" s="5">
        <f>SUMIFS(SalesDetail[Quantity (KG)],SalesDetail[Customer],$A95,SalesDetail[Year],2020)</f>
        <v>0</v>
      </c>
      <c r="N95" s="5">
        <f>SUMIFS(SalesDetail[Quantity (KG)],SalesDetail[Customer],$A95,SalesDetail[Year],2021)</f>
        <v>0</v>
      </c>
      <c r="O95" s="6">
        <f>SUM(B95:N95)</f>
        <v>1187</v>
      </c>
    </row>
    <row r="96" spans="1:15" x14ac:dyDescent="0.3">
      <c r="A96" t="s">
        <v>353</v>
      </c>
      <c r="B96" s="5">
        <f>SUMIFS(SalesDetail[Quantity (KG)],SalesDetail[Customer],$A96,SalesDetail[Year],2009)</f>
        <v>235</v>
      </c>
      <c r="C96" s="5">
        <f>SUMIFS(SalesDetail[Quantity (KG)],SalesDetail[Customer],$A96,SalesDetail[Year],2010)</f>
        <v>125</v>
      </c>
      <c r="D96" s="5">
        <f>SUMIFS(SalesDetail[Quantity (KG)],SalesDetail[Customer],$A96,SalesDetail[Year],2011)</f>
        <v>95</v>
      </c>
      <c r="E96" s="5">
        <f>SUMIFS(SalesDetail[Quantity (KG)],SalesDetail[Customer],$A96,SalesDetail[Year],2012)</f>
        <v>70</v>
      </c>
      <c r="F96" s="5">
        <f>SUMIFS(SalesDetail[Quantity (KG)],SalesDetail[Customer],$A96,SalesDetail[Year],2013)</f>
        <v>133</v>
      </c>
      <c r="G96" s="5">
        <f>SUMIFS(SalesDetail[Quantity (KG)],SalesDetail[Customer],$A96,SalesDetail[Year],2014)</f>
        <v>145</v>
      </c>
      <c r="H96" s="5">
        <f>SUMIFS(SalesDetail[Quantity (KG)],SalesDetail[Customer],$A96,SalesDetail[Year],2015)</f>
        <v>100</v>
      </c>
      <c r="I96" s="5">
        <f>SUMIFS(SalesDetail[Quantity (KG)],SalesDetail[Customer],$A96,SalesDetail[Year],2016)</f>
        <v>25</v>
      </c>
      <c r="J96" s="5">
        <f>SUMIFS(SalesDetail[Quantity (KG)],SalesDetail[Customer],$A96,SalesDetail[Year],2017)</f>
        <v>105</v>
      </c>
      <c r="K96" s="5">
        <f>SUMIFS(SalesDetail[Quantity (KG)],SalesDetail[Customer],$A96,SalesDetail[Year],2018)</f>
        <v>50</v>
      </c>
      <c r="L96" s="5">
        <f>SUMIFS(SalesDetail[Quantity (KG)],SalesDetail[Customer],$A96,SalesDetail[Year],2019)</f>
        <v>45</v>
      </c>
      <c r="M96" s="5">
        <f>SUMIFS(SalesDetail[Quantity (KG)],SalesDetail[Customer],$A96,SalesDetail[Year],2020)</f>
        <v>35</v>
      </c>
      <c r="N96" s="5">
        <f>SUMIFS(SalesDetail[Quantity (KG)],SalesDetail[Customer],$A96,SalesDetail[Year],2021)</f>
        <v>15</v>
      </c>
      <c r="O96" s="6">
        <f>SUM(B96:N96)</f>
        <v>1178</v>
      </c>
    </row>
    <row r="97" spans="1:15" x14ac:dyDescent="0.3">
      <c r="A97" t="s">
        <v>2392</v>
      </c>
      <c r="B97" s="5">
        <f>SUMIFS(SalesDetail[Quantity (KG)],SalesDetail[Customer],$A97,SalesDetail[Year],2009)</f>
        <v>260</v>
      </c>
      <c r="C97" s="5">
        <f>SUMIFS(SalesDetail[Quantity (KG)],SalesDetail[Customer],$A97,SalesDetail[Year],2010)</f>
        <v>915</v>
      </c>
      <c r="D97" s="5">
        <f>SUMIFS(SalesDetail[Quantity (KG)],SalesDetail[Customer],$A97,SalesDetail[Year],2011)</f>
        <v>0</v>
      </c>
      <c r="E97" s="5">
        <f>SUMIFS(SalesDetail[Quantity (KG)],SalesDetail[Customer],$A97,SalesDetail[Year],2012)</f>
        <v>0</v>
      </c>
      <c r="F97" s="5">
        <f>SUMIFS(SalesDetail[Quantity (KG)],SalesDetail[Customer],$A97,SalesDetail[Year],2013)</f>
        <v>0</v>
      </c>
      <c r="G97" s="5">
        <f>SUMIFS(SalesDetail[Quantity (KG)],SalesDetail[Customer],$A97,SalesDetail[Year],2014)</f>
        <v>0</v>
      </c>
      <c r="H97" s="5">
        <f>SUMIFS(SalesDetail[Quantity (KG)],SalesDetail[Customer],$A97,SalesDetail[Year],2015)</f>
        <v>0</v>
      </c>
      <c r="I97" s="5">
        <f>SUMIFS(SalesDetail[Quantity (KG)],SalesDetail[Customer],$A97,SalesDetail[Year],2016)</f>
        <v>0</v>
      </c>
      <c r="J97" s="5">
        <f>SUMIFS(SalesDetail[Quantity (KG)],SalesDetail[Customer],$A97,SalesDetail[Year],2017)</f>
        <v>0</v>
      </c>
      <c r="K97" s="5">
        <f>SUMIFS(SalesDetail[Quantity (KG)],SalesDetail[Customer],$A97,SalesDetail[Year],2018)</f>
        <v>0</v>
      </c>
      <c r="L97" s="5">
        <f>SUMIFS(SalesDetail[Quantity (KG)],SalesDetail[Customer],$A97,SalesDetail[Year],2019)</f>
        <v>0</v>
      </c>
      <c r="M97" s="5">
        <f>SUMIFS(SalesDetail[Quantity (KG)],SalesDetail[Customer],$A97,SalesDetail[Year],2020)</f>
        <v>0</v>
      </c>
      <c r="N97" s="5">
        <f>SUMIFS(SalesDetail[Quantity (KG)],SalesDetail[Customer],$A97,SalesDetail[Year],2021)</f>
        <v>0</v>
      </c>
      <c r="O97" s="6">
        <f>SUM(B97:N97)</f>
        <v>1175</v>
      </c>
    </row>
    <row r="98" spans="1:15" x14ac:dyDescent="0.3">
      <c r="A98" t="s">
        <v>1721</v>
      </c>
      <c r="B98" s="5">
        <f>SUMIFS(SalesDetail[Quantity (KG)],SalesDetail[Customer],$A98,SalesDetail[Year],2009)</f>
        <v>25</v>
      </c>
      <c r="C98" s="5">
        <f>SUMIFS(SalesDetail[Quantity (KG)],SalesDetail[Customer],$A98,SalesDetail[Year],2010)</f>
        <v>200</v>
      </c>
      <c r="D98" s="5">
        <f>SUMIFS(SalesDetail[Quantity (KG)],SalesDetail[Customer],$A98,SalesDetail[Year],2011)</f>
        <v>25</v>
      </c>
      <c r="E98" s="5">
        <f>SUMIFS(SalesDetail[Quantity (KG)],SalesDetail[Customer],$A98,SalesDetail[Year],2012)</f>
        <v>100</v>
      </c>
      <c r="F98" s="5">
        <f>SUMIFS(SalesDetail[Quantity (KG)],SalesDetail[Customer],$A98,SalesDetail[Year],2013)</f>
        <v>0</v>
      </c>
      <c r="G98" s="5">
        <f>SUMIFS(SalesDetail[Quantity (KG)],SalesDetail[Customer],$A98,SalesDetail[Year],2014)</f>
        <v>50</v>
      </c>
      <c r="H98" s="5">
        <f>SUMIFS(SalesDetail[Quantity (KG)],SalesDetail[Customer],$A98,SalesDetail[Year],2015)</f>
        <v>100</v>
      </c>
      <c r="I98" s="5">
        <f>SUMIFS(SalesDetail[Quantity (KG)],SalesDetail[Customer],$A98,SalesDetail[Year],2016)</f>
        <v>668</v>
      </c>
      <c r="J98" s="5">
        <f>SUMIFS(SalesDetail[Quantity (KG)],SalesDetail[Customer],$A98,SalesDetail[Year],2017)</f>
        <v>0</v>
      </c>
      <c r="K98" s="5">
        <f>SUMIFS(SalesDetail[Quantity (KG)],SalesDetail[Customer],$A98,SalesDetail[Year],2018)</f>
        <v>0</v>
      </c>
      <c r="L98" s="5">
        <f>SUMIFS(SalesDetail[Quantity (KG)],SalesDetail[Customer],$A98,SalesDetail[Year],2019)</f>
        <v>0</v>
      </c>
      <c r="M98" s="5">
        <f>SUMIFS(SalesDetail[Quantity (KG)],SalesDetail[Customer],$A98,SalesDetail[Year],2020)</f>
        <v>0</v>
      </c>
      <c r="N98" s="5">
        <f>SUMIFS(SalesDetail[Quantity (KG)],SalesDetail[Customer],$A98,SalesDetail[Year],2021)</f>
        <v>0</v>
      </c>
      <c r="O98" s="6">
        <f>SUM(B98:N98)</f>
        <v>1168</v>
      </c>
    </row>
    <row r="99" spans="1:15" x14ac:dyDescent="0.3">
      <c r="A99" t="s">
        <v>1697</v>
      </c>
      <c r="B99" s="5">
        <f>SUMIFS(SalesDetail[Quantity (KG)],SalesDetail[Customer],$A99,SalesDetail[Year],2009)</f>
        <v>0</v>
      </c>
      <c r="C99" s="5">
        <f>SUMIFS(SalesDetail[Quantity (KG)],SalesDetail[Customer],$A99,SalesDetail[Year],2010)</f>
        <v>50</v>
      </c>
      <c r="D99" s="5">
        <f>SUMIFS(SalesDetail[Quantity (KG)],SalesDetail[Customer],$A99,SalesDetail[Year],2011)</f>
        <v>75</v>
      </c>
      <c r="E99" s="5">
        <f>SUMIFS(SalesDetail[Quantity (KG)],SalesDetail[Customer],$A99,SalesDetail[Year],2012)</f>
        <v>75</v>
      </c>
      <c r="F99" s="5">
        <f>SUMIFS(SalesDetail[Quantity (KG)],SalesDetail[Customer],$A99,SalesDetail[Year],2013)</f>
        <v>75</v>
      </c>
      <c r="G99" s="5">
        <f>SUMIFS(SalesDetail[Quantity (KG)],SalesDetail[Customer],$A99,SalesDetail[Year],2014)</f>
        <v>0</v>
      </c>
      <c r="H99" s="5">
        <f>SUMIFS(SalesDetail[Quantity (KG)],SalesDetail[Customer],$A99,SalesDetail[Year],2015)</f>
        <v>0</v>
      </c>
      <c r="I99" s="5">
        <f>SUMIFS(SalesDetail[Quantity (KG)],SalesDetail[Customer],$A99,SalesDetail[Year],2016)</f>
        <v>75</v>
      </c>
      <c r="J99" s="5">
        <f>SUMIFS(SalesDetail[Quantity (KG)],SalesDetail[Customer],$A99,SalesDetail[Year],2017)</f>
        <v>0</v>
      </c>
      <c r="K99" s="5">
        <f>SUMIFS(SalesDetail[Quantity (KG)],SalesDetail[Customer],$A99,SalesDetail[Year],2018)</f>
        <v>225</v>
      </c>
      <c r="L99" s="5">
        <f>SUMIFS(SalesDetail[Quantity (KG)],SalesDetail[Customer],$A99,SalesDetail[Year],2019)</f>
        <v>150</v>
      </c>
      <c r="M99" s="5">
        <f>SUMIFS(SalesDetail[Quantity (KG)],SalesDetail[Customer],$A99,SalesDetail[Year],2020)</f>
        <v>250</v>
      </c>
      <c r="N99" s="5">
        <f>SUMIFS(SalesDetail[Quantity (KG)],SalesDetail[Customer],$A99,SalesDetail[Year],2021)</f>
        <v>125</v>
      </c>
      <c r="O99" s="6">
        <f>SUM(B99:N99)</f>
        <v>1100</v>
      </c>
    </row>
    <row r="100" spans="1:15" x14ac:dyDescent="0.3">
      <c r="A100" t="s">
        <v>1984</v>
      </c>
      <c r="B100" s="5">
        <f>SUMIFS(SalesDetail[Quantity (KG)],SalesDetail[Customer],$A100,SalesDetail[Year],2009)</f>
        <v>0</v>
      </c>
      <c r="C100" s="5">
        <f>SUMIFS(SalesDetail[Quantity (KG)],SalesDetail[Customer],$A100,SalesDetail[Year],2010)</f>
        <v>0</v>
      </c>
      <c r="D100" s="5">
        <f>SUMIFS(SalesDetail[Quantity (KG)],SalesDetail[Customer],$A100,SalesDetail[Year],2011)</f>
        <v>183</v>
      </c>
      <c r="E100" s="5">
        <f>SUMIFS(SalesDetail[Quantity (KG)],SalesDetail[Customer],$A100,SalesDetail[Year],2012)</f>
        <v>847</v>
      </c>
      <c r="F100" s="5">
        <f>SUMIFS(SalesDetail[Quantity (KG)],SalesDetail[Customer],$A100,SalesDetail[Year],2013)</f>
        <v>40</v>
      </c>
      <c r="G100" s="5">
        <f>SUMIFS(SalesDetail[Quantity (KG)],SalesDetail[Customer],$A100,SalesDetail[Year],2014)</f>
        <v>0</v>
      </c>
      <c r="H100" s="5">
        <f>SUMIFS(SalesDetail[Quantity (KG)],SalesDetail[Customer],$A100,SalesDetail[Year],2015)</f>
        <v>25</v>
      </c>
      <c r="I100" s="5">
        <f>SUMIFS(SalesDetail[Quantity (KG)],SalesDetail[Customer],$A100,SalesDetail[Year],2016)</f>
        <v>0</v>
      </c>
      <c r="J100" s="5">
        <f>SUMIFS(SalesDetail[Quantity (KG)],SalesDetail[Customer],$A100,SalesDetail[Year],2017)</f>
        <v>0</v>
      </c>
      <c r="K100" s="5">
        <f>SUMIFS(SalesDetail[Quantity (KG)],SalesDetail[Customer],$A100,SalesDetail[Year],2018)</f>
        <v>0</v>
      </c>
      <c r="L100" s="5">
        <f>SUMIFS(SalesDetail[Quantity (KG)],SalesDetail[Customer],$A100,SalesDetail[Year],2019)</f>
        <v>0</v>
      </c>
      <c r="M100" s="5">
        <f>SUMIFS(SalesDetail[Quantity (KG)],SalesDetail[Customer],$A100,SalesDetail[Year],2020)</f>
        <v>0</v>
      </c>
      <c r="N100" s="5">
        <f>SUMIFS(SalesDetail[Quantity (KG)],SalesDetail[Customer],$A100,SalesDetail[Year],2021)</f>
        <v>0</v>
      </c>
      <c r="O100" s="6">
        <f>SUM(B100:N100)</f>
        <v>1095</v>
      </c>
    </row>
    <row r="101" spans="1:15" x14ac:dyDescent="0.3">
      <c r="A101" t="s">
        <v>1972</v>
      </c>
      <c r="B101" s="5">
        <f>SUMIFS(SalesDetail[Quantity (KG)],SalesDetail[Customer],$A101,SalesDetail[Year],2009)</f>
        <v>0</v>
      </c>
      <c r="C101" s="5">
        <f>SUMIFS(SalesDetail[Quantity (KG)],SalesDetail[Customer],$A101,SalesDetail[Year],2010)</f>
        <v>0</v>
      </c>
      <c r="D101" s="5">
        <f>SUMIFS(SalesDetail[Quantity (KG)],SalesDetail[Customer],$A101,SalesDetail[Year],2011)</f>
        <v>0</v>
      </c>
      <c r="E101" s="5">
        <f>SUMIFS(SalesDetail[Quantity (KG)],SalesDetail[Customer],$A101,SalesDetail[Year],2012)</f>
        <v>0</v>
      </c>
      <c r="F101" s="5">
        <f>SUMIFS(SalesDetail[Quantity (KG)],SalesDetail[Customer],$A101,SalesDetail[Year],2013)</f>
        <v>77</v>
      </c>
      <c r="G101" s="5">
        <f>SUMIFS(SalesDetail[Quantity (KG)],SalesDetail[Customer],$A101,SalesDetail[Year],2014)</f>
        <v>170</v>
      </c>
      <c r="H101" s="5">
        <f>SUMIFS(SalesDetail[Quantity (KG)],SalesDetail[Customer],$A101,SalesDetail[Year],2015)</f>
        <v>107</v>
      </c>
      <c r="I101" s="5">
        <f>SUMIFS(SalesDetail[Quantity (KG)],SalesDetail[Customer],$A101,SalesDetail[Year],2016)</f>
        <v>115</v>
      </c>
      <c r="J101" s="5">
        <f>SUMIFS(SalesDetail[Quantity (KG)],SalesDetail[Customer],$A101,SalesDetail[Year],2017)</f>
        <v>121</v>
      </c>
      <c r="K101" s="5">
        <f>SUMIFS(SalesDetail[Quantity (KG)],SalesDetail[Customer],$A101,SalesDetail[Year],2018)</f>
        <v>100</v>
      </c>
      <c r="L101" s="5">
        <f>SUMIFS(SalesDetail[Quantity (KG)],SalesDetail[Customer],$A101,SalesDetail[Year],2019)</f>
        <v>134</v>
      </c>
      <c r="M101" s="5">
        <f>SUMIFS(SalesDetail[Quantity (KG)],SalesDetail[Customer],$A101,SalesDetail[Year],2020)</f>
        <v>250</v>
      </c>
      <c r="N101" s="5">
        <f>SUMIFS(SalesDetail[Quantity (KG)],SalesDetail[Customer],$A101,SalesDetail[Year],2021)</f>
        <v>10</v>
      </c>
      <c r="O101" s="6">
        <f>SUM(B101:N101)</f>
        <v>1084</v>
      </c>
    </row>
    <row r="102" spans="1:15" x14ac:dyDescent="0.3">
      <c r="A102" t="s">
        <v>1933</v>
      </c>
      <c r="B102" s="5">
        <f>SUMIFS(SalesDetail[Quantity (KG)],SalesDetail[Customer],$A102,SalesDetail[Year],2009)</f>
        <v>0</v>
      </c>
      <c r="C102" s="5">
        <f>SUMIFS(SalesDetail[Quantity (KG)],SalesDetail[Customer],$A102,SalesDetail[Year],2010)</f>
        <v>0</v>
      </c>
      <c r="D102" s="5">
        <f>SUMIFS(SalesDetail[Quantity (KG)],SalesDetail[Customer],$A102,SalesDetail[Year],2011)</f>
        <v>0</v>
      </c>
      <c r="E102" s="5">
        <f>SUMIFS(SalesDetail[Quantity (KG)],SalesDetail[Customer],$A102,SalesDetail[Year],2012)</f>
        <v>0</v>
      </c>
      <c r="F102" s="5">
        <f>SUMIFS(SalesDetail[Quantity (KG)],SalesDetail[Customer],$A102,SalesDetail[Year],2013)</f>
        <v>0</v>
      </c>
      <c r="G102" s="5">
        <f>SUMIFS(SalesDetail[Quantity (KG)],SalesDetail[Customer],$A102,SalesDetail[Year],2014)</f>
        <v>0</v>
      </c>
      <c r="H102" s="5">
        <f>SUMIFS(SalesDetail[Quantity (KG)],SalesDetail[Customer],$A102,SalesDetail[Year],2015)</f>
        <v>0</v>
      </c>
      <c r="I102" s="5">
        <f>SUMIFS(SalesDetail[Quantity (KG)],SalesDetail[Customer],$A102,SalesDetail[Year],2016)</f>
        <v>0</v>
      </c>
      <c r="J102" s="5">
        <f>SUMIFS(SalesDetail[Quantity (KG)],SalesDetail[Customer],$A102,SalesDetail[Year],2017)</f>
        <v>0</v>
      </c>
      <c r="K102" s="5">
        <f>SUMIFS(SalesDetail[Quantity (KG)],SalesDetail[Customer],$A102,SalesDetail[Year],2018)</f>
        <v>15</v>
      </c>
      <c r="L102" s="5">
        <f>SUMIFS(SalesDetail[Quantity (KG)],SalesDetail[Customer],$A102,SalesDetail[Year],2019)</f>
        <v>968</v>
      </c>
      <c r="M102" s="5">
        <f>SUMIFS(SalesDetail[Quantity (KG)],SalesDetail[Customer],$A102,SalesDetail[Year],2020)</f>
        <v>72</v>
      </c>
      <c r="N102" s="5">
        <f>SUMIFS(SalesDetail[Quantity (KG)],SalesDetail[Customer],$A102,SalesDetail[Year],2021)</f>
        <v>16</v>
      </c>
      <c r="O102" s="6">
        <f>SUM(B102:N102)</f>
        <v>1071</v>
      </c>
    </row>
    <row r="103" spans="1:15" x14ac:dyDescent="0.3">
      <c r="A103" t="s">
        <v>1400</v>
      </c>
      <c r="B103" s="5">
        <f>SUMIFS(SalesDetail[Quantity (KG)],SalesDetail[Customer],$A103,SalesDetail[Year],2009)</f>
        <v>0</v>
      </c>
      <c r="C103" s="5">
        <f>SUMIFS(SalesDetail[Quantity (KG)],SalesDetail[Customer],$A103,SalesDetail[Year],2010)</f>
        <v>0</v>
      </c>
      <c r="D103" s="5">
        <f>SUMIFS(SalesDetail[Quantity (KG)],SalesDetail[Customer],$A103,SalesDetail[Year],2011)</f>
        <v>0</v>
      </c>
      <c r="E103" s="5">
        <f>SUMIFS(SalesDetail[Quantity (KG)],SalesDetail[Customer],$A103,SalesDetail[Year],2012)</f>
        <v>240</v>
      </c>
      <c r="F103" s="5">
        <f>SUMIFS(SalesDetail[Quantity (KG)],SalesDetail[Customer],$A103,SalesDetail[Year],2013)</f>
        <v>280</v>
      </c>
      <c r="G103" s="5">
        <f>SUMIFS(SalesDetail[Quantity (KG)],SalesDetail[Customer],$A103,SalesDetail[Year],2014)</f>
        <v>155</v>
      </c>
      <c r="H103" s="5">
        <f>SUMIFS(SalesDetail[Quantity (KG)],SalesDetail[Customer],$A103,SalesDetail[Year],2015)</f>
        <v>120</v>
      </c>
      <c r="I103" s="5">
        <f>SUMIFS(SalesDetail[Quantity (KG)],SalesDetail[Customer],$A103,SalesDetail[Year],2016)</f>
        <v>100</v>
      </c>
      <c r="J103" s="5">
        <f>SUMIFS(SalesDetail[Quantity (KG)],SalesDetail[Customer],$A103,SalesDetail[Year],2017)</f>
        <v>150</v>
      </c>
      <c r="K103" s="5">
        <f>SUMIFS(SalesDetail[Quantity (KG)],SalesDetail[Customer],$A103,SalesDetail[Year],2018)</f>
        <v>20</v>
      </c>
      <c r="L103" s="5">
        <f>SUMIFS(SalesDetail[Quantity (KG)],SalesDetail[Customer],$A103,SalesDetail[Year],2019)</f>
        <v>0</v>
      </c>
      <c r="M103" s="5">
        <f>SUMIFS(SalesDetail[Quantity (KG)],SalesDetail[Customer],$A103,SalesDetail[Year],2020)</f>
        <v>0</v>
      </c>
      <c r="N103" s="5">
        <f>SUMIFS(SalesDetail[Quantity (KG)],SalesDetail[Customer],$A103,SalesDetail[Year],2021)</f>
        <v>0</v>
      </c>
      <c r="O103" s="6">
        <f>SUM(B103:N103)</f>
        <v>1065</v>
      </c>
    </row>
    <row r="104" spans="1:15" x14ac:dyDescent="0.3">
      <c r="A104" t="s">
        <v>1111</v>
      </c>
      <c r="B104" s="5">
        <f>SUMIFS(SalesDetail[Quantity (KG)],SalesDetail[Customer],$A104,SalesDetail[Year],2009)</f>
        <v>25</v>
      </c>
      <c r="C104" s="5">
        <f>SUMIFS(SalesDetail[Quantity (KG)],SalesDetail[Customer],$A104,SalesDetail[Year],2010)</f>
        <v>159.5</v>
      </c>
      <c r="D104" s="5">
        <f>SUMIFS(SalesDetail[Quantity (KG)],SalesDetail[Customer],$A104,SalesDetail[Year],2011)</f>
        <v>575</v>
      </c>
      <c r="E104" s="5">
        <f>SUMIFS(SalesDetail[Quantity (KG)],SalesDetail[Customer],$A104,SalesDetail[Year],2012)</f>
        <v>225</v>
      </c>
      <c r="F104" s="5">
        <f>SUMIFS(SalesDetail[Quantity (KG)],SalesDetail[Customer],$A104,SalesDetail[Year],2013)</f>
        <v>0</v>
      </c>
      <c r="G104" s="5">
        <f>SUMIFS(SalesDetail[Quantity (KG)],SalesDetail[Customer],$A104,SalesDetail[Year],2014)</f>
        <v>50</v>
      </c>
      <c r="H104" s="5">
        <f>SUMIFS(SalesDetail[Quantity (KG)],SalesDetail[Customer],$A104,SalesDetail[Year],2015)</f>
        <v>0</v>
      </c>
      <c r="I104" s="5">
        <f>SUMIFS(SalesDetail[Quantity (KG)],SalesDetail[Customer],$A104,SalesDetail[Year],2016)</f>
        <v>0</v>
      </c>
      <c r="J104" s="5">
        <f>SUMIFS(SalesDetail[Quantity (KG)],SalesDetail[Customer],$A104,SalesDetail[Year],2017)</f>
        <v>0</v>
      </c>
      <c r="K104" s="5">
        <f>SUMIFS(SalesDetail[Quantity (KG)],SalesDetail[Customer],$A104,SalesDetail[Year],2018)</f>
        <v>0</v>
      </c>
      <c r="L104" s="5">
        <f>SUMIFS(SalesDetail[Quantity (KG)],SalesDetail[Customer],$A104,SalesDetail[Year],2019)</f>
        <v>0</v>
      </c>
      <c r="M104" s="5">
        <f>SUMIFS(SalesDetail[Quantity (KG)],SalesDetail[Customer],$A104,SalesDetail[Year],2020)</f>
        <v>0</v>
      </c>
      <c r="N104" s="5">
        <f>SUMIFS(SalesDetail[Quantity (KG)],SalesDetail[Customer],$A104,SalesDetail[Year],2021)</f>
        <v>0</v>
      </c>
      <c r="O104" s="6">
        <f>SUM(B104:N104)</f>
        <v>1034.5</v>
      </c>
    </row>
    <row r="105" spans="1:15" x14ac:dyDescent="0.3">
      <c r="A105" t="s">
        <v>15</v>
      </c>
      <c r="B105" s="5">
        <f>SUMIFS(SalesDetail[Quantity (KG)],SalesDetail[Customer],$A105,SalesDetail[Year],2009)</f>
        <v>0</v>
      </c>
      <c r="C105" s="5">
        <f>SUMIFS(SalesDetail[Quantity (KG)],SalesDetail[Customer],$A105,SalesDetail[Year],2010)</f>
        <v>50</v>
      </c>
      <c r="D105" s="5">
        <f>SUMIFS(SalesDetail[Quantity (KG)],SalesDetail[Customer],$A105,SalesDetail[Year],2011)</f>
        <v>25</v>
      </c>
      <c r="E105" s="5">
        <f>SUMIFS(SalesDetail[Quantity (KG)],SalesDetail[Customer],$A105,SalesDetail[Year],2012)</f>
        <v>80</v>
      </c>
      <c r="F105" s="5">
        <f>SUMIFS(SalesDetail[Quantity (KG)],SalesDetail[Customer],$A105,SalesDetail[Year],2013)</f>
        <v>25</v>
      </c>
      <c r="G105" s="5">
        <f>SUMIFS(SalesDetail[Quantity (KG)],SalesDetail[Customer],$A105,SalesDetail[Year],2014)</f>
        <v>25</v>
      </c>
      <c r="H105" s="5">
        <f>SUMIFS(SalesDetail[Quantity (KG)],SalesDetail[Customer],$A105,SalesDetail[Year],2015)</f>
        <v>0</v>
      </c>
      <c r="I105" s="5">
        <f>SUMIFS(SalesDetail[Quantity (KG)],SalesDetail[Customer],$A105,SalesDetail[Year],2016)</f>
        <v>50</v>
      </c>
      <c r="J105" s="5">
        <f>SUMIFS(SalesDetail[Quantity (KG)],SalesDetail[Customer],$A105,SalesDetail[Year],2017)</f>
        <v>100</v>
      </c>
      <c r="K105" s="5">
        <f>SUMIFS(SalesDetail[Quantity (KG)],SalesDetail[Customer],$A105,SalesDetail[Year],2018)</f>
        <v>275</v>
      </c>
      <c r="L105" s="5">
        <f>SUMIFS(SalesDetail[Quantity (KG)],SalesDetail[Customer],$A105,SalesDetail[Year],2019)</f>
        <v>300</v>
      </c>
      <c r="M105" s="5">
        <f>SUMIFS(SalesDetail[Quantity (KG)],SalesDetail[Customer],$A105,SalesDetail[Year],2020)</f>
        <v>0</v>
      </c>
      <c r="N105" s="5">
        <f>SUMIFS(SalesDetail[Quantity (KG)],SalesDetail[Customer],$A105,SalesDetail[Year],2021)</f>
        <v>100</v>
      </c>
      <c r="O105" s="6">
        <f>SUM(B105:N105)</f>
        <v>1030</v>
      </c>
    </row>
    <row r="106" spans="1:15" x14ac:dyDescent="0.3">
      <c r="A106" t="s">
        <v>165</v>
      </c>
      <c r="B106" s="5">
        <f>SUMIFS(SalesDetail[Quantity (KG)],SalesDetail[Customer],$A106,SalesDetail[Year],2009)</f>
        <v>0</v>
      </c>
      <c r="C106" s="5">
        <f>SUMIFS(SalesDetail[Quantity (KG)],SalesDetail[Customer],$A106,SalesDetail[Year],2010)</f>
        <v>0</v>
      </c>
      <c r="D106" s="5">
        <f>SUMIFS(SalesDetail[Quantity (KG)],SalesDetail[Customer],$A106,SalesDetail[Year],2011)</f>
        <v>275</v>
      </c>
      <c r="E106" s="5">
        <f>SUMIFS(SalesDetail[Quantity (KG)],SalesDetail[Customer],$A106,SalesDetail[Year],2012)</f>
        <v>250</v>
      </c>
      <c r="F106" s="5">
        <f>SUMIFS(SalesDetail[Quantity (KG)],SalesDetail[Customer],$A106,SalesDetail[Year],2013)</f>
        <v>115</v>
      </c>
      <c r="G106" s="5">
        <f>SUMIFS(SalesDetail[Quantity (KG)],SalesDetail[Customer],$A106,SalesDetail[Year],2014)</f>
        <v>220</v>
      </c>
      <c r="H106" s="5">
        <f>SUMIFS(SalesDetail[Quantity (KG)],SalesDetail[Customer],$A106,SalesDetail[Year],2015)</f>
        <v>82</v>
      </c>
      <c r="I106" s="5">
        <f>SUMIFS(SalesDetail[Quantity (KG)],SalesDetail[Customer],$A106,SalesDetail[Year],2016)</f>
        <v>15</v>
      </c>
      <c r="J106" s="5">
        <f>SUMIFS(SalesDetail[Quantity (KG)],SalesDetail[Customer],$A106,SalesDetail[Year],2017)</f>
        <v>41</v>
      </c>
      <c r="K106" s="5">
        <f>SUMIFS(SalesDetail[Quantity (KG)],SalesDetail[Customer],$A106,SalesDetail[Year],2018)</f>
        <v>0</v>
      </c>
      <c r="L106" s="5">
        <f>SUMIFS(SalesDetail[Quantity (KG)],SalesDetail[Customer],$A106,SalesDetail[Year],2019)</f>
        <v>10</v>
      </c>
      <c r="M106" s="5">
        <f>SUMIFS(SalesDetail[Quantity (KG)],SalesDetail[Customer],$A106,SalesDetail[Year],2020)</f>
        <v>0</v>
      </c>
      <c r="N106" s="5">
        <f>SUMIFS(SalesDetail[Quantity (KG)],SalesDetail[Customer],$A106,SalesDetail[Year],2021)</f>
        <v>0</v>
      </c>
      <c r="O106" s="6">
        <f>SUM(B106:N106)</f>
        <v>1008</v>
      </c>
    </row>
    <row r="107" spans="1:15" x14ac:dyDescent="0.3">
      <c r="A107" t="s">
        <v>2483</v>
      </c>
      <c r="B107" s="5">
        <f>SUMIFS(SalesDetail[Quantity (KG)],SalesDetail[Customer],$A107,SalesDetail[Year],2009)</f>
        <v>0</v>
      </c>
      <c r="C107" s="5">
        <f>SUMIFS(SalesDetail[Quantity (KG)],SalesDetail[Customer],$A107,SalesDetail[Year],2010)</f>
        <v>0</v>
      </c>
      <c r="D107" s="5">
        <f>SUMIFS(SalesDetail[Quantity (KG)],SalesDetail[Customer],$A107,SalesDetail[Year],2011)</f>
        <v>13</v>
      </c>
      <c r="E107" s="5">
        <f>SUMIFS(SalesDetail[Quantity (KG)],SalesDetail[Customer],$A107,SalesDetail[Year],2012)</f>
        <v>0</v>
      </c>
      <c r="F107" s="5">
        <f>SUMIFS(SalesDetail[Quantity (KG)],SalesDetail[Customer],$A107,SalesDetail[Year],2013)</f>
        <v>0</v>
      </c>
      <c r="G107" s="5">
        <f>SUMIFS(SalesDetail[Quantity (KG)],SalesDetail[Customer],$A107,SalesDetail[Year],2014)</f>
        <v>0</v>
      </c>
      <c r="H107" s="5">
        <f>SUMIFS(SalesDetail[Quantity (KG)],SalesDetail[Customer],$A107,SalesDetail[Year],2015)</f>
        <v>0</v>
      </c>
      <c r="I107" s="5">
        <f>SUMIFS(SalesDetail[Quantity (KG)],SalesDetail[Customer],$A107,SalesDetail[Year],2016)</f>
        <v>0</v>
      </c>
      <c r="J107" s="5">
        <f>SUMIFS(SalesDetail[Quantity (KG)],SalesDetail[Customer],$A107,SalesDetail[Year],2017)</f>
        <v>0</v>
      </c>
      <c r="K107" s="5">
        <f>SUMIFS(SalesDetail[Quantity (KG)],SalesDetail[Customer],$A107,SalesDetail[Year],2018)</f>
        <v>0</v>
      </c>
      <c r="L107" s="5">
        <f>SUMIFS(SalesDetail[Quantity (KG)],SalesDetail[Customer],$A107,SalesDetail[Year],2019)</f>
        <v>247.25</v>
      </c>
      <c r="M107" s="5">
        <f>SUMIFS(SalesDetail[Quantity (KG)],SalesDetail[Customer],$A107,SalesDetail[Year],2020)</f>
        <v>704.3</v>
      </c>
      <c r="N107" s="5">
        <f>SUMIFS(SalesDetail[Quantity (KG)],SalesDetail[Customer],$A107,SalesDetail[Year],2021)</f>
        <v>40</v>
      </c>
      <c r="O107" s="6">
        <f>SUM(B107:N107)</f>
        <v>1004.55</v>
      </c>
    </row>
    <row r="108" spans="1:15" x14ac:dyDescent="0.3">
      <c r="A108" t="s">
        <v>659</v>
      </c>
      <c r="B108" s="5">
        <f>SUMIFS(SalesDetail[Quantity (KG)],SalesDetail[Customer],$A108,SalesDetail[Year],2009)</f>
        <v>0</v>
      </c>
      <c r="C108" s="5">
        <f>SUMIFS(SalesDetail[Quantity (KG)],SalesDetail[Customer],$A108,SalesDetail[Year],2010)</f>
        <v>0</v>
      </c>
      <c r="D108" s="5">
        <f>SUMIFS(SalesDetail[Quantity (KG)],SalesDetail[Customer],$A108,SalesDetail[Year],2011)</f>
        <v>0</v>
      </c>
      <c r="E108" s="5">
        <f>SUMIFS(SalesDetail[Quantity (KG)],SalesDetail[Customer],$A108,SalesDetail[Year],2012)</f>
        <v>0</v>
      </c>
      <c r="F108" s="5">
        <f>SUMIFS(SalesDetail[Quantity (KG)],SalesDetail[Customer],$A108,SalesDetail[Year],2013)</f>
        <v>0</v>
      </c>
      <c r="G108" s="5">
        <f>SUMIFS(SalesDetail[Quantity (KG)],SalesDetail[Customer],$A108,SalesDetail[Year],2014)</f>
        <v>0</v>
      </c>
      <c r="H108" s="5">
        <f>SUMIFS(SalesDetail[Quantity (KG)],SalesDetail[Customer],$A108,SalesDetail[Year],2015)</f>
        <v>0</v>
      </c>
      <c r="I108" s="5">
        <f>SUMIFS(SalesDetail[Quantity (KG)],SalesDetail[Customer],$A108,SalesDetail[Year],2016)</f>
        <v>0</v>
      </c>
      <c r="J108" s="5">
        <f>SUMIFS(SalesDetail[Quantity (KG)],SalesDetail[Customer],$A108,SalesDetail[Year],2017)</f>
        <v>0</v>
      </c>
      <c r="K108" s="5">
        <f>SUMIFS(SalesDetail[Quantity (KG)],SalesDetail[Customer],$A108,SalesDetail[Year],2018)</f>
        <v>0</v>
      </c>
      <c r="L108" s="5">
        <f>SUMIFS(SalesDetail[Quantity (KG)],SalesDetail[Customer],$A108,SalesDetail[Year],2019)</f>
        <v>626</v>
      </c>
      <c r="M108" s="5">
        <f>SUMIFS(SalesDetail[Quantity (KG)],SalesDetail[Customer],$A108,SalesDetail[Year],2020)</f>
        <v>375</v>
      </c>
      <c r="N108" s="5">
        <f>SUMIFS(SalesDetail[Quantity (KG)],SalesDetail[Customer],$A108,SalesDetail[Year],2021)</f>
        <v>0</v>
      </c>
      <c r="O108" s="6">
        <f>SUM(B108:N108)</f>
        <v>1001</v>
      </c>
    </row>
    <row r="109" spans="1:15" x14ac:dyDescent="0.3">
      <c r="A109" t="s">
        <v>2531</v>
      </c>
      <c r="B109" s="5">
        <f>SUMIFS(SalesDetail[Quantity (KG)],SalesDetail[Customer],$A109,SalesDetail[Year],2009)</f>
        <v>0</v>
      </c>
      <c r="C109" s="5">
        <f>SUMIFS(SalesDetail[Quantity (KG)],SalesDetail[Customer],$A109,SalesDetail[Year],2010)</f>
        <v>0</v>
      </c>
      <c r="D109" s="5">
        <f>SUMIFS(SalesDetail[Quantity (KG)],SalesDetail[Customer],$A109,SalesDetail[Year],2011)</f>
        <v>0</v>
      </c>
      <c r="E109" s="5">
        <f>SUMIFS(SalesDetail[Quantity (KG)],SalesDetail[Customer],$A109,SalesDetail[Year],2012)</f>
        <v>80</v>
      </c>
      <c r="F109" s="5">
        <f>SUMIFS(SalesDetail[Quantity (KG)],SalesDetail[Customer],$A109,SalesDetail[Year],2013)</f>
        <v>150</v>
      </c>
      <c r="G109" s="5">
        <f>SUMIFS(SalesDetail[Quantity (KG)],SalesDetail[Customer],$A109,SalesDetail[Year],2014)</f>
        <v>100</v>
      </c>
      <c r="H109" s="5">
        <f>SUMIFS(SalesDetail[Quantity (KG)],SalesDetail[Customer],$A109,SalesDetail[Year],2015)</f>
        <v>125</v>
      </c>
      <c r="I109" s="5">
        <f>SUMIFS(SalesDetail[Quantity (KG)],SalesDetail[Customer],$A109,SalesDetail[Year],2016)</f>
        <v>244</v>
      </c>
      <c r="J109" s="5">
        <f>SUMIFS(SalesDetail[Quantity (KG)],SalesDetail[Customer],$A109,SalesDetail[Year],2017)</f>
        <v>275</v>
      </c>
      <c r="K109" s="5">
        <f>SUMIFS(SalesDetail[Quantity (KG)],SalesDetail[Customer],$A109,SalesDetail[Year],2018)</f>
        <v>25</v>
      </c>
      <c r="L109" s="5">
        <f>SUMIFS(SalesDetail[Quantity (KG)],SalesDetail[Customer],$A109,SalesDetail[Year],2019)</f>
        <v>0</v>
      </c>
      <c r="M109" s="5">
        <f>SUMIFS(SalesDetail[Quantity (KG)],SalesDetail[Customer],$A109,SalesDetail[Year],2020)</f>
        <v>0</v>
      </c>
      <c r="N109" s="5">
        <f>SUMIFS(SalesDetail[Quantity (KG)],SalesDetail[Customer],$A109,SalesDetail[Year],2021)</f>
        <v>0</v>
      </c>
      <c r="O109" s="6">
        <f>SUM(B109:N109)</f>
        <v>999</v>
      </c>
    </row>
    <row r="110" spans="1:15" x14ac:dyDescent="0.3">
      <c r="A110" t="s">
        <v>2516</v>
      </c>
      <c r="B110" s="5">
        <f>SUMIFS(SalesDetail[Quantity (KG)],SalesDetail[Customer],$A110,SalesDetail[Year],2009)</f>
        <v>0</v>
      </c>
      <c r="C110" s="5">
        <f>SUMIFS(SalesDetail[Quantity (KG)],SalesDetail[Customer],$A110,SalesDetail[Year],2010)</f>
        <v>0</v>
      </c>
      <c r="D110" s="5">
        <f>SUMIFS(SalesDetail[Quantity (KG)],SalesDetail[Customer],$A110,SalesDetail[Year],2011)</f>
        <v>0</v>
      </c>
      <c r="E110" s="5">
        <f>SUMIFS(SalesDetail[Quantity (KG)],SalesDetail[Customer],$A110,SalesDetail[Year],2012)</f>
        <v>0</v>
      </c>
      <c r="F110" s="5">
        <f>SUMIFS(SalesDetail[Quantity (KG)],SalesDetail[Customer],$A110,SalesDetail[Year],2013)</f>
        <v>0</v>
      </c>
      <c r="G110" s="5">
        <f>SUMIFS(SalesDetail[Quantity (KG)],SalesDetail[Customer],$A110,SalesDetail[Year],2014)</f>
        <v>0</v>
      </c>
      <c r="H110" s="5">
        <f>SUMIFS(SalesDetail[Quantity (KG)],SalesDetail[Customer],$A110,SalesDetail[Year],2015)</f>
        <v>0</v>
      </c>
      <c r="I110" s="5">
        <f>SUMIFS(SalesDetail[Quantity (KG)],SalesDetail[Customer],$A110,SalesDetail[Year],2016)</f>
        <v>0</v>
      </c>
      <c r="J110" s="5">
        <f>SUMIFS(SalesDetail[Quantity (KG)],SalesDetail[Customer],$A110,SalesDetail[Year],2017)</f>
        <v>0</v>
      </c>
      <c r="K110" s="5">
        <f>SUMIFS(SalesDetail[Quantity (KG)],SalesDetail[Customer],$A110,SalesDetail[Year],2018)</f>
        <v>200</v>
      </c>
      <c r="L110" s="5">
        <f>SUMIFS(SalesDetail[Quantity (KG)],SalesDetail[Customer],$A110,SalesDetail[Year],2019)</f>
        <v>410</v>
      </c>
      <c r="M110" s="5">
        <f>SUMIFS(SalesDetail[Quantity (KG)],SalesDetail[Customer],$A110,SalesDetail[Year],2020)</f>
        <v>280</v>
      </c>
      <c r="N110" s="5">
        <f>SUMIFS(SalesDetail[Quantity (KG)],SalesDetail[Customer],$A110,SalesDetail[Year],2021)</f>
        <v>100</v>
      </c>
      <c r="O110" s="6">
        <f>SUM(B110:N110)</f>
        <v>990</v>
      </c>
    </row>
    <row r="111" spans="1:15" x14ac:dyDescent="0.3">
      <c r="A111" t="s">
        <v>2596</v>
      </c>
      <c r="B111" s="5">
        <f>SUMIFS(SalesDetail[Quantity (KG)],SalesDetail[Customer],$A111,SalesDetail[Year],2009)</f>
        <v>0</v>
      </c>
      <c r="C111" s="5">
        <f>SUMIFS(SalesDetail[Quantity (KG)],SalesDetail[Customer],$A111,SalesDetail[Year],2010)</f>
        <v>165</v>
      </c>
      <c r="D111" s="5">
        <f>SUMIFS(SalesDetail[Quantity (KG)],SalesDetail[Customer],$A111,SalesDetail[Year],2011)</f>
        <v>535</v>
      </c>
      <c r="E111" s="5">
        <f>SUMIFS(SalesDetail[Quantity (KG)],SalesDetail[Customer],$A111,SalesDetail[Year],2012)</f>
        <v>230</v>
      </c>
      <c r="F111" s="5">
        <f>SUMIFS(SalesDetail[Quantity (KG)],SalesDetail[Customer],$A111,SalesDetail[Year],2013)</f>
        <v>50</v>
      </c>
      <c r="G111" s="5">
        <f>SUMIFS(SalesDetail[Quantity (KG)],SalesDetail[Customer],$A111,SalesDetail[Year],2014)</f>
        <v>0</v>
      </c>
      <c r="H111" s="5">
        <f>SUMIFS(SalesDetail[Quantity (KG)],SalesDetail[Customer],$A111,SalesDetail[Year],2015)</f>
        <v>0</v>
      </c>
      <c r="I111" s="5">
        <f>SUMIFS(SalesDetail[Quantity (KG)],SalesDetail[Customer],$A111,SalesDetail[Year],2016)</f>
        <v>0</v>
      </c>
      <c r="J111" s="5">
        <f>SUMIFS(SalesDetail[Quantity (KG)],SalesDetail[Customer],$A111,SalesDetail[Year],2017)</f>
        <v>0</v>
      </c>
      <c r="K111" s="5">
        <f>SUMIFS(SalesDetail[Quantity (KG)],SalesDetail[Customer],$A111,SalesDetail[Year],2018)</f>
        <v>0</v>
      </c>
      <c r="L111" s="5">
        <f>SUMIFS(SalesDetail[Quantity (KG)],SalesDetail[Customer],$A111,SalesDetail[Year],2019)</f>
        <v>0</v>
      </c>
      <c r="M111" s="5">
        <f>SUMIFS(SalesDetail[Quantity (KG)],SalesDetail[Customer],$A111,SalesDetail[Year],2020)</f>
        <v>0</v>
      </c>
      <c r="N111" s="5">
        <f>SUMIFS(SalesDetail[Quantity (KG)],SalesDetail[Customer],$A111,SalesDetail[Year],2021)</f>
        <v>0</v>
      </c>
      <c r="O111" s="6">
        <f>SUM(B111:N111)</f>
        <v>980</v>
      </c>
    </row>
    <row r="112" spans="1:15" x14ac:dyDescent="0.3">
      <c r="A112" t="s">
        <v>2131</v>
      </c>
      <c r="B112" s="5">
        <f>SUMIFS(SalesDetail[Quantity (KG)],SalesDetail[Customer],$A112,SalesDetail[Year],2009)</f>
        <v>90</v>
      </c>
      <c r="C112" s="5">
        <f>SUMIFS(SalesDetail[Quantity (KG)],SalesDetail[Customer],$A112,SalesDetail[Year],2010)</f>
        <v>80</v>
      </c>
      <c r="D112" s="5">
        <f>SUMIFS(SalesDetail[Quantity (KG)],SalesDetail[Customer],$A112,SalesDetail[Year],2011)</f>
        <v>80</v>
      </c>
      <c r="E112" s="5">
        <f>SUMIFS(SalesDetail[Quantity (KG)],SalesDetail[Customer],$A112,SalesDetail[Year],2012)</f>
        <v>200</v>
      </c>
      <c r="F112" s="5">
        <f>SUMIFS(SalesDetail[Quantity (KG)],SalesDetail[Customer],$A112,SalesDetail[Year],2013)</f>
        <v>110</v>
      </c>
      <c r="G112" s="5">
        <f>SUMIFS(SalesDetail[Quantity (KG)],SalesDetail[Customer],$A112,SalesDetail[Year],2014)</f>
        <v>165</v>
      </c>
      <c r="H112" s="5">
        <f>SUMIFS(SalesDetail[Quantity (KG)],SalesDetail[Customer],$A112,SalesDetail[Year],2015)</f>
        <v>50</v>
      </c>
      <c r="I112" s="5">
        <f>SUMIFS(SalesDetail[Quantity (KG)],SalesDetail[Customer],$A112,SalesDetail[Year],2016)</f>
        <v>24</v>
      </c>
      <c r="J112" s="5">
        <f>SUMIFS(SalesDetail[Quantity (KG)],SalesDetail[Customer],$A112,SalesDetail[Year],2017)</f>
        <v>35</v>
      </c>
      <c r="K112" s="5">
        <f>SUMIFS(SalesDetail[Quantity (KG)],SalesDetail[Customer],$A112,SalesDetail[Year],2018)</f>
        <v>30</v>
      </c>
      <c r="L112" s="5">
        <f>SUMIFS(SalesDetail[Quantity (KG)],SalesDetail[Customer],$A112,SalesDetail[Year],2019)</f>
        <v>25</v>
      </c>
      <c r="M112" s="5">
        <f>SUMIFS(SalesDetail[Quantity (KG)],SalesDetail[Customer],$A112,SalesDetail[Year],2020)</f>
        <v>57</v>
      </c>
      <c r="N112" s="5">
        <f>SUMIFS(SalesDetail[Quantity (KG)],SalesDetail[Customer],$A112,SalesDetail[Year],2021)</f>
        <v>25</v>
      </c>
      <c r="O112" s="6">
        <f>SUM(B112:N112)</f>
        <v>971</v>
      </c>
    </row>
    <row r="113" spans="1:15" x14ac:dyDescent="0.3">
      <c r="A113" t="s">
        <v>1226</v>
      </c>
      <c r="B113" s="5">
        <f>SUMIFS(SalesDetail[Quantity (KG)],SalesDetail[Customer],$A113,SalesDetail[Year],2009)</f>
        <v>100</v>
      </c>
      <c r="C113" s="5">
        <f>SUMIFS(SalesDetail[Quantity (KG)],SalesDetail[Customer],$A113,SalesDetail[Year],2010)</f>
        <v>320</v>
      </c>
      <c r="D113" s="5">
        <f>SUMIFS(SalesDetail[Quantity (KG)],SalesDetail[Customer],$A113,SalesDetail[Year],2011)</f>
        <v>320</v>
      </c>
      <c r="E113" s="5">
        <f>SUMIFS(SalesDetail[Quantity (KG)],SalesDetail[Customer],$A113,SalesDetail[Year],2012)</f>
        <v>0</v>
      </c>
      <c r="F113" s="5">
        <f>SUMIFS(SalesDetail[Quantity (KG)],SalesDetail[Customer],$A113,SalesDetail[Year],2013)</f>
        <v>0</v>
      </c>
      <c r="G113" s="5">
        <f>SUMIFS(SalesDetail[Quantity (KG)],SalesDetail[Customer],$A113,SalesDetail[Year],2014)</f>
        <v>20</v>
      </c>
      <c r="H113" s="5">
        <f>SUMIFS(SalesDetail[Quantity (KG)],SalesDetail[Customer],$A113,SalesDetail[Year],2015)</f>
        <v>0</v>
      </c>
      <c r="I113" s="5">
        <f>SUMIFS(SalesDetail[Quantity (KG)],SalesDetail[Customer],$A113,SalesDetail[Year],2016)</f>
        <v>0</v>
      </c>
      <c r="J113" s="5">
        <f>SUMIFS(SalesDetail[Quantity (KG)],SalesDetail[Customer],$A113,SalesDetail[Year],2017)</f>
        <v>0</v>
      </c>
      <c r="K113" s="5">
        <f>SUMIFS(SalesDetail[Quantity (KG)],SalesDetail[Customer],$A113,SalesDetail[Year],2018)</f>
        <v>0</v>
      </c>
      <c r="L113" s="5">
        <f>SUMIFS(SalesDetail[Quantity (KG)],SalesDetail[Customer],$A113,SalesDetail[Year],2019)</f>
        <v>51</v>
      </c>
      <c r="M113" s="5">
        <f>SUMIFS(SalesDetail[Quantity (KG)],SalesDetail[Customer],$A113,SalesDetail[Year],2020)</f>
        <v>15</v>
      </c>
      <c r="N113" s="5">
        <f>SUMIFS(SalesDetail[Quantity (KG)],SalesDetail[Customer],$A113,SalesDetail[Year],2021)</f>
        <v>130</v>
      </c>
      <c r="O113" s="6">
        <f>SUM(B113:N113)</f>
        <v>956</v>
      </c>
    </row>
    <row r="114" spans="1:15" x14ac:dyDescent="0.3">
      <c r="A114" t="s">
        <v>1682</v>
      </c>
      <c r="B114" s="5">
        <f>SUMIFS(SalesDetail[Quantity (KG)],SalesDetail[Customer],$A114,SalesDetail[Year],2009)</f>
        <v>0</v>
      </c>
      <c r="C114" s="5">
        <f>SUMIFS(SalesDetail[Quantity (KG)],SalesDetail[Customer],$A114,SalesDetail[Year],2010)</f>
        <v>0</v>
      </c>
      <c r="D114" s="5">
        <f>SUMIFS(SalesDetail[Quantity (KG)],SalesDetail[Customer],$A114,SalesDetail[Year],2011)</f>
        <v>0</v>
      </c>
      <c r="E114" s="5">
        <f>SUMIFS(SalesDetail[Quantity (KG)],SalesDetail[Customer],$A114,SalesDetail[Year],2012)</f>
        <v>0</v>
      </c>
      <c r="F114" s="5">
        <f>SUMIFS(SalesDetail[Quantity (KG)],SalesDetail[Customer],$A114,SalesDetail[Year],2013)</f>
        <v>0</v>
      </c>
      <c r="G114" s="5">
        <f>SUMIFS(SalesDetail[Quantity (KG)],SalesDetail[Customer],$A114,SalesDetail[Year],2014)</f>
        <v>0</v>
      </c>
      <c r="H114" s="5">
        <f>SUMIFS(SalesDetail[Quantity (KG)],SalesDetail[Customer],$A114,SalesDetail[Year],2015)</f>
        <v>140</v>
      </c>
      <c r="I114" s="5">
        <f>SUMIFS(SalesDetail[Quantity (KG)],SalesDetail[Customer],$A114,SalesDetail[Year],2016)</f>
        <v>319</v>
      </c>
      <c r="J114" s="5">
        <f>SUMIFS(SalesDetail[Quantity (KG)],SalesDetail[Customer],$A114,SalesDetail[Year],2017)</f>
        <v>445</v>
      </c>
      <c r="K114" s="5">
        <f>SUMIFS(SalesDetail[Quantity (KG)],SalesDetail[Customer],$A114,SalesDetail[Year],2018)</f>
        <v>20</v>
      </c>
      <c r="L114" s="5">
        <f>SUMIFS(SalesDetail[Quantity (KG)],SalesDetail[Customer],$A114,SalesDetail[Year],2019)</f>
        <v>25</v>
      </c>
      <c r="M114" s="5">
        <f>SUMIFS(SalesDetail[Quantity (KG)],SalesDetail[Customer],$A114,SalesDetail[Year],2020)</f>
        <v>0</v>
      </c>
      <c r="N114" s="5">
        <f>SUMIFS(SalesDetail[Quantity (KG)],SalesDetail[Customer],$A114,SalesDetail[Year],2021)</f>
        <v>0</v>
      </c>
      <c r="O114" s="6">
        <f>SUM(B114:N114)</f>
        <v>949</v>
      </c>
    </row>
    <row r="115" spans="1:15" x14ac:dyDescent="0.3">
      <c r="A115" t="s">
        <v>2324</v>
      </c>
      <c r="B115" s="5">
        <f>SUMIFS(SalesDetail[Quantity (KG)],SalesDetail[Customer],$A115,SalesDetail[Year],2009)</f>
        <v>355</v>
      </c>
      <c r="C115" s="5">
        <f>SUMIFS(SalesDetail[Quantity (KG)],SalesDetail[Customer],$A115,SalesDetail[Year],2010)</f>
        <v>330</v>
      </c>
      <c r="D115" s="5">
        <f>SUMIFS(SalesDetail[Quantity (KG)],SalesDetail[Customer],$A115,SalesDetail[Year],2011)</f>
        <v>15</v>
      </c>
      <c r="E115" s="5">
        <f>SUMIFS(SalesDetail[Quantity (KG)],SalesDetail[Customer],$A115,SalesDetail[Year],2012)</f>
        <v>30</v>
      </c>
      <c r="F115" s="5">
        <f>SUMIFS(SalesDetail[Quantity (KG)],SalesDetail[Customer],$A115,SalesDetail[Year],2013)</f>
        <v>0</v>
      </c>
      <c r="G115" s="5">
        <f>SUMIFS(SalesDetail[Quantity (KG)],SalesDetail[Customer],$A115,SalesDetail[Year],2014)</f>
        <v>0</v>
      </c>
      <c r="H115" s="5">
        <f>SUMIFS(SalesDetail[Quantity (KG)],SalesDetail[Customer],$A115,SalesDetail[Year],2015)</f>
        <v>0</v>
      </c>
      <c r="I115" s="5">
        <f>SUMIFS(SalesDetail[Quantity (KG)],SalesDetail[Customer],$A115,SalesDetail[Year],2016)</f>
        <v>45</v>
      </c>
      <c r="J115" s="5">
        <f>SUMIFS(SalesDetail[Quantity (KG)],SalesDetail[Customer],$A115,SalesDetail[Year],2017)</f>
        <v>45</v>
      </c>
      <c r="K115" s="5">
        <f>SUMIFS(SalesDetail[Quantity (KG)],SalesDetail[Customer],$A115,SalesDetail[Year],2018)</f>
        <v>90</v>
      </c>
      <c r="L115" s="5">
        <f>SUMIFS(SalesDetail[Quantity (KG)],SalesDetail[Customer],$A115,SalesDetail[Year],2019)</f>
        <v>0</v>
      </c>
      <c r="M115" s="5">
        <f>SUMIFS(SalesDetail[Quantity (KG)],SalesDetail[Customer],$A115,SalesDetail[Year],2020)</f>
        <v>0</v>
      </c>
      <c r="N115" s="5">
        <f>SUMIFS(SalesDetail[Quantity (KG)],SalesDetail[Customer],$A115,SalesDetail[Year],2021)</f>
        <v>0</v>
      </c>
      <c r="O115" s="6">
        <f>SUM(B115:N115)</f>
        <v>910</v>
      </c>
    </row>
    <row r="116" spans="1:15" x14ac:dyDescent="0.3">
      <c r="A116" t="s">
        <v>327</v>
      </c>
      <c r="B116" s="5">
        <f>SUMIFS(SalesDetail[Quantity (KG)],SalesDetail[Customer],$A116,SalesDetail[Year],2009)</f>
        <v>0</v>
      </c>
      <c r="C116" s="5">
        <f>SUMIFS(SalesDetail[Quantity (KG)],SalesDetail[Customer],$A116,SalesDetail[Year],2010)</f>
        <v>0</v>
      </c>
      <c r="D116" s="5">
        <f>SUMIFS(SalesDetail[Quantity (KG)],SalesDetail[Customer],$A116,SalesDetail[Year],2011)</f>
        <v>0</v>
      </c>
      <c r="E116" s="5">
        <f>SUMIFS(SalesDetail[Quantity (KG)],SalesDetail[Customer],$A116,SalesDetail[Year],2012)</f>
        <v>0</v>
      </c>
      <c r="F116" s="5">
        <f>SUMIFS(SalesDetail[Quantity (KG)],SalesDetail[Customer],$A116,SalesDetail[Year],2013)</f>
        <v>4</v>
      </c>
      <c r="G116" s="5">
        <f>SUMIFS(SalesDetail[Quantity (KG)],SalesDetail[Customer],$A116,SalesDetail[Year],2014)</f>
        <v>405.4</v>
      </c>
      <c r="H116" s="5">
        <f>SUMIFS(SalesDetail[Quantity (KG)],SalesDetail[Customer],$A116,SalesDetail[Year],2015)</f>
        <v>500</v>
      </c>
      <c r="I116" s="5">
        <f>SUMIFS(SalesDetail[Quantity (KG)],SalesDetail[Customer],$A116,SalesDetail[Year],2016)</f>
        <v>0</v>
      </c>
      <c r="J116" s="5">
        <f>SUMIFS(SalesDetail[Quantity (KG)],SalesDetail[Customer],$A116,SalesDetail[Year],2017)</f>
        <v>0</v>
      </c>
      <c r="K116" s="5">
        <f>SUMIFS(SalesDetail[Quantity (KG)],SalesDetail[Customer],$A116,SalesDetail[Year],2018)</f>
        <v>0</v>
      </c>
      <c r="L116" s="5">
        <f>SUMIFS(SalesDetail[Quantity (KG)],SalesDetail[Customer],$A116,SalesDetail[Year],2019)</f>
        <v>0</v>
      </c>
      <c r="M116" s="5">
        <f>SUMIFS(SalesDetail[Quantity (KG)],SalesDetail[Customer],$A116,SalesDetail[Year],2020)</f>
        <v>0</v>
      </c>
      <c r="N116" s="5">
        <f>SUMIFS(SalesDetail[Quantity (KG)],SalesDetail[Customer],$A116,SalesDetail[Year],2021)</f>
        <v>0</v>
      </c>
      <c r="O116" s="6">
        <f>SUM(B116:N116)</f>
        <v>909.4</v>
      </c>
    </row>
    <row r="117" spans="1:15" x14ac:dyDescent="0.3">
      <c r="A117" t="s">
        <v>2436</v>
      </c>
      <c r="B117" s="5">
        <f>SUMIFS(SalesDetail[Quantity (KG)],SalesDetail[Customer],$A117,SalesDetail[Year],2009)</f>
        <v>0</v>
      </c>
      <c r="C117" s="5">
        <f>SUMIFS(SalesDetail[Quantity (KG)],SalesDetail[Customer],$A117,SalesDetail[Year],2010)</f>
        <v>0</v>
      </c>
      <c r="D117" s="5">
        <f>SUMIFS(SalesDetail[Quantity (KG)],SalesDetail[Customer],$A117,SalesDetail[Year],2011)</f>
        <v>0</v>
      </c>
      <c r="E117" s="5">
        <f>SUMIFS(SalesDetail[Quantity (KG)],SalesDetail[Customer],$A117,SalesDetail[Year],2012)</f>
        <v>0</v>
      </c>
      <c r="F117" s="5">
        <f>SUMIFS(SalesDetail[Quantity (KG)],SalesDetail[Customer],$A117,SalesDetail[Year],2013)</f>
        <v>0</v>
      </c>
      <c r="G117" s="5">
        <f>SUMIFS(SalesDetail[Quantity (KG)],SalesDetail[Customer],$A117,SalesDetail[Year],2014)</f>
        <v>0</v>
      </c>
      <c r="H117" s="5">
        <f>SUMIFS(SalesDetail[Quantity (KG)],SalesDetail[Customer],$A117,SalesDetail[Year],2015)</f>
        <v>0</v>
      </c>
      <c r="I117" s="5">
        <f>SUMIFS(SalesDetail[Quantity (KG)],SalesDetail[Customer],$A117,SalesDetail[Year],2016)</f>
        <v>0</v>
      </c>
      <c r="J117" s="5">
        <f>SUMIFS(SalesDetail[Quantity (KG)],SalesDetail[Customer],$A117,SalesDetail[Year],2017)</f>
        <v>110</v>
      </c>
      <c r="K117" s="5">
        <f>SUMIFS(SalesDetail[Quantity (KG)],SalesDetail[Customer],$A117,SalesDetail[Year],2018)</f>
        <v>745</v>
      </c>
      <c r="L117" s="5">
        <f>SUMIFS(SalesDetail[Quantity (KG)],SalesDetail[Customer],$A117,SalesDetail[Year],2019)</f>
        <v>25</v>
      </c>
      <c r="M117" s="5">
        <f>SUMIFS(SalesDetail[Quantity (KG)],SalesDetail[Customer],$A117,SalesDetail[Year],2020)</f>
        <v>10</v>
      </c>
      <c r="N117" s="5">
        <f>SUMIFS(SalesDetail[Quantity (KG)],SalesDetail[Customer],$A117,SalesDetail[Year],2021)</f>
        <v>0</v>
      </c>
      <c r="O117" s="6">
        <f>SUM(B117:N117)</f>
        <v>890</v>
      </c>
    </row>
    <row r="118" spans="1:15" x14ac:dyDescent="0.3">
      <c r="A118" t="s">
        <v>1460</v>
      </c>
      <c r="B118" s="5">
        <f>SUMIFS(SalesDetail[Quantity (KG)],SalesDetail[Customer],$A118,SalesDetail[Year],2009)</f>
        <v>0</v>
      </c>
      <c r="C118" s="5">
        <f>SUMIFS(SalesDetail[Quantity (KG)],SalesDetail[Customer],$A118,SalesDetail[Year],2010)</f>
        <v>0</v>
      </c>
      <c r="D118" s="5">
        <f>SUMIFS(SalesDetail[Quantity (KG)],SalesDetail[Customer],$A118,SalesDetail[Year],2011)</f>
        <v>0</v>
      </c>
      <c r="E118" s="5">
        <f>SUMIFS(SalesDetail[Quantity (KG)],SalesDetail[Customer],$A118,SalesDetail[Year],2012)</f>
        <v>0</v>
      </c>
      <c r="F118" s="5">
        <f>SUMIFS(SalesDetail[Quantity (KG)],SalesDetail[Customer],$A118,SalesDetail[Year],2013)</f>
        <v>0</v>
      </c>
      <c r="G118" s="5">
        <f>SUMIFS(SalesDetail[Quantity (KG)],SalesDetail[Customer],$A118,SalesDetail[Year],2014)</f>
        <v>0</v>
      </c>
      <c r="H118" s="5">
        <f>SUMIFS(SalesDetail[Quantity (KG)],SalesDetail[Customer],$A118,SalesDetail[Year],2015)</f>
        <v>195</v>
      </c>
      <c r="I118" s="5">
        <f>SUMIFS(SalesDetail[Quantity (KG)],SalesDetail[Customer],$A118,SalesDetail[Year],2016)</f>
        <v>365</v>
      </c>
      <c r="J118" s="5">
        <f>SUMIFS(SalesDetail[Quantity (KG)],SalesDetail[Customer],$A118,SalesDetail[Year],2017)</f>
        <v>250</v>
      </c>
      <c r="K118" s="5">
        <f>SUMIFS(SalesDetail[Quantity (KG)],SalesDetail[Customer],$A118,SalesDetail[Year],2018)</f>
        <v>60</v>
      </c>
      <c r="L118" s="5">
        <f>SUMIFS(SalesDetail[Quantity (KG)],SalesDetail[Customer],$A118,SalesDetail[Year],2019)</f>
        <v>0</v>
      </c>
      <c r="M118" s="5">
        <f>SUMIFS(SalesDetail[Quantity (KG)],SalesDetail[Customer],$A118,SalesDetail[Year],2020)</f>
        <v>0</v>
      </c>
      <c r="N118" s="5">
        <f>SUMIFS(SalesDetail[Quantity (KG)],SalesDetail[Customer],$A118,SalesDetail[Year],2021)</f>
        <v>0</v>
      </c>
      <c r="O118" s="6">
        <f>SUM(B118:N118)</f>
        <v>870</v>
      </c>
    </row>
    <row r="119" spans="1:15" x14ac:dyDescent="0.3">
      <c r="A119" t="s">
        <v>2302</v>
      </c>
      <c r="B119" s="5">
        <f>SUMIFS(SalesDetail[Quantity (KG)],SalesDetail[Customer],$A119,SalesDetail[Year],2009)</f>
        <v>260</v>
      </c>
      <c r="C119" s="5">
        <f>SUMIFS(SalesDetail[Quantity (KG)],SalesDetail[Customer],$A119,SalesDetail[Year],2010)</f>
        <v>10</v>
      </c>
      <c r="D119" s="5">
        <f>SUMIFS(SalesDetail[Quantity (KG)],SalesDetail[Customer],$A119,SalesDetail[Year],2011)</f>
        <v>20</v>
      </c>
      <c r="E119" s="5">
        <f>SUMIFS(SalesDetail[Quantity (KG)],SalesDetail[Customer],$A119,SalesDetail[Year],2012)</f>
        <v>0</v>
      </c>
      <c r="F119" s="5">
        <f>SUMIFS(SalesDetail[Quantity (KG)],SalesDetail[Customer],$A119,SalesDetail[Year],2013)</f>
        <v>75</v>
      </c>
      <c r="G119" s="5">
        <f>SUMIFS(SalesDetail[Quantity (KG)],SalesDetail[Customer],$A119,SalesDetail[Year],2014)</f>
        <v>0</v>
      </c>
      <c r="H119" s="5">
        <f>SUMIFS(SalesDetail[Quantity (KG)],SalesDetail[Customer],$A119,SalesDetail[Year],2015)</f>
        <v>150</v>
      </c>
      <c r="I119" s="5">
        <f>SUMIFS(SalesDetail[Quantity (KG)],SalesDetail[Customer],$A119,SalesDetail[Year],2016)</f>
        <v>145</v>
      </c>
      <c r="J119" s="5">
        <f>SUMIFS(SalesDetail[Quantity (KG)],SalesDetail[Customer],$A119,SalesDetail[Year],2017)</f>
        <v>40</v>
      </c>
      <c r="K119" s="5">
        <f>SUMIFS(SalesDetail[Quantity (KG)],SalesDetail[Customer],$A119,SalesDetail[Year],2018)</f>
        <v>45</v>
      </c>
      <c r="L119" s="5">
        <f>SUMIFS(SalesDetail[Quantity (KG)],SalesDetail[Customer],$A119,SalesDetail[Year],2019)</f>
        <v>75</v>
      </c>
      <c r="M119" s="5">
        <f>SUMIFS(SalesDetail[Quantity (KG)],SalesDetail[Customer],$A119,SalesDetail[Year],2020)</f>
        <v>15</v>
      </c>
      <c r="N119" s="5">
        <f>SUMIFS(SalesDetail[Quantity (KG)],SalesDetail[Customer],$A119,SalesDetail[Year],2021)</f>
        <v>5</v>
      </c>
      <c r="O119" s="6">
        <f>SUM(B119:N119)</f>
        <v>840</v>
      </c>
    </row>
    <row r="120" spans="1:15" x14ac:dyDescent="0.3">
      <c r="A120" t="s">
        <v>1808</v>
      </c>
      <c r="B120" s="5">
        <f>SUMIFS(SalesDetail[Quantity (KG)],SalesDetail[Customer],$A120,SalesDetail[Year],2009)</f>
        <v>0</v>
      </c>
      <c r="C120" s="5">
        <f>SUMIFS(SalesDetail[Quantity (KG)],SalesDetail[Customer],$A120,SalesDetail[Year],2010)</f>
        <v>0</v>
      </c>
      <c r="D120" s="5">
        <f>SUMIFS(SalesDetail[Quantity (KG)],SalesDetail[Customer],$A120,SalesDetail[Year],2011)</f>
        <v>0</v>
      </c>
      <c r="E120" s="5">
        <f>SUMIFS(SalesDetail[Quantity (KG)],SalesDetail[Customer],$A120,SalesDetail[Year],2012)</f>
        <v>0</v>
      </c>
      <c r="F120" s="5">
        <f>SUMIFS(SalesDetail[Quantity (KG)],SalesDetail[Customer],$A120,SalesDetail[Year],2013)</f>
        <v>0</v>
      </c>
      <c r="G120" s="5">
        <f>SUMIFS(SalesDetail[Quantity (KG)],SalesDetail[Customer],$A120,SalesDetail[Year],2014)</f>
        <v>0</v>
      </c>
      <c r="H120" s="5">
        <f>SUMIFS(SalesDetail[Quantity (KG)],SalesDetail[Customer],$A120,SalesDetail[Year],2015)</f>
        <v>0</v>
      </c>
      <c r="I120" s="5">
        <f>SUMIFS(SalesDetail[Quantity (KG)],SalesDetail[Customer],$A120,SalesDetail[Year],2016)</f>
        <v>539</v>
      </c>
      <c r="J120" s="5">
        <f>SUMIFS(SalesDetail[Quantity (KG)],SalesDetail[Customer],$A120,SalesDetail[Year],2017)</f>
        <v>300</v>
      </c>
      <c r="K120" s="5">
        <f>SUMIFS(SalesDetail[Quantity (KG)],SalesDetail[Customer],$A120,SalesDetail[Year],2018)</f>
        <v>0</v>
      </c>
      <c r="L120" s="5">
        <f>SUMIFS(SalesDetail[Quantity (KG)],SalesDetail[Customer],$A120,SalesDetail[Year],2019)</f>
        <v>0</v>
      </c>
      <c r="M120" s="5">
        <f>SUMIFS(SalesDetail[Quantity (KG)],SalesDetail[Customer],$A120,SalesDetail[Year],2020)</f>
        <v>0</v>
      </c>
      <c r="N120" s="5">
        <f>SUMIFS(SalesDetail[Quantity (KG)],SalesDetail[Customer],$A120,SalesDetail[Year],2021)</f>
        <v>0</v>
      </c>
      <c r="O120" s="6">
        <f>SUM(B120:N120)</f>
        <v>839</v>
      </c>
    </row>
    <row r="121" spans="1:15" x14ac:dyDescent="0.3">
      <c r="A121" t="s">
        <v>1784</v>
      </c>
      <c r="B121" s="5">
        <f>SUMIFS(SalesDetail[Quantity (KG)],SalesDetail[Customer],$A121,SalesDetail[Year],2009)</f>
        <v>0</v>
      </c>
      <c r="C121" s="5">
        <f>SUMIFS(SalesDetail[Quantity (KG)],SalesDetail[Customer],$A121,SalesDetail[Year],2010)</f>
        <v>0</v>
      </c>
      <c r="D121" s="5">
        <f>SUMIFS(SalesDetail[Quantity (KG)],SalesDetail[Customer],$A121,SalesDetail[Year],2011)</f>
        <v>0</v>
      </c>
      <c r="E121" s="5">
        <f>SUMIFS(SalesDetail[Quantity (KG)],SalesDetail[Customer],$A121,SalesDetail[Year],2012)</f>
        <v>6</v>
      </c>
      <c r="F121" s="5">
        <f>SUMIFS(SalesDetail[Quantity (KG)],SalesDetail[Customer],$A121,SalesDetail[Year],2013)</f>
        <v>125</v>
      </c>
      <c r="G121" s="5">
        <f>SUMIFS(SalesDetail[Quantity (KG)],SalesDetail[Customer],$A121,SalesDetail[Year],2014)</f>
        <v>280</v>
      </c>
      <c r="H121" s="5">
        <f>SUMIFS(SalesDetail[Quantity (KG)],SalesDetail[Customer],$A121,SalesDetail[Year],2015)</f>
        <v>141</v>
      </c>
      <c r="I121" s="5">
        <f>SUMIFS(SalesDetail[Quantity (KG)],SalesDetail[Customer],$A121,SalesDetail[Year],2016)</f>
        <v>99</v>
      </c>
      <c r="J121" s="5">
        <f>SUMIFS(SalesDetail[Quantity (KG)],SalesDetail[Customer],$A121,SalesDetail[Year],2017)</f>
        <v>77</v>
      </c>
      <c r="K121" s="5">
        <f>SUMIFS(SalesDetail[Quantity (KG)],SalesDetail[Customer],$A121,SalesDetail[Year],2018)</f>
        <v>52</v>
      </c>
      <c r="L121" s="5">
        <f>SUMIFS(SalesDetail[Quantity (KG)],SalesDetail[Customer],$A121,SalesDetail[Year],2019)</f>
        <v>33</v>
      </c>
      <c r="M121" s="5">
        <f>SUMIFS(SalesDetail[Quantity (KG)],SalesDetail[Customer],$A121,SalesDetail[Year],2020)</f>
        <v>16</v>
      </c>
      <c r="N121" s="5">
        <f>SUMIFS(SalesDetail[Quantity (KG)],SalesDetail[Customer],$A121,SalesDetail[Year],2021)</f>
        <v>0</v>
      </c>
      <c r="O121" s="6">
        <f>SUM(B121:N121)</f>
        <v>829</v>
      </c>
    </row>
    <row r="122" spans="1:15" x14ac:dyDescent="0.3">
      <c r="A122" t="s">
        <v>2294</v>
      </c>
      <c r="B122" s="5">
        <f>SUMIFS(SalesDetail[Quantity (KG)],SalesDetail[Customer],$A122,SalesDetail[Year],2009)</f>
        <v>0</v>
      </c>
      <c r="C122" s="5">
        <f>SUMIFS(SalesDetail[Quantity (KG)],SalesDetail[Customer],$A122,SalesDetail[Year],2010)</f>
        <v>0</v>
      </c>
      <c r="D122" s="5">
        <f>SUMIFS(SalesDetail[Quantity (KG)],SalesDetail[Customer],$A122,SalesDetail[Year],2011)</f>
        <v>0</v>
      </c>
      <c r="E122" s="5">
        <f>SUMIFS(SalesDetail[Quantity (KG)],SalesDetail[Customer],$A122,SalesDetail[Year],2012)</f>
        <v>0</v>
      </c>
      <c r="F122" s="5">
        <f>SUMIFS(SalesDetail[Quantity (KG)],SalesDetail[Customer],$A122,SalesDetail[Year],2013)</f>
        <v>0</v>
      </c>
      <c r="G122" s="5">
        <f>SUMIFS(SalesDetail[Quantity (KG)],SalesDetail[Customer],$A122,SalesDetail[Year],2014)</f>
        <v>0</v>
      </c>
      <c r="H122" s="5">
        <f>SUMIFS(SalesDetail[Quantity (KG)],SalesDetail[Customer],$A122,SalesDetail[Year],2015)</f>
        <v>0</v>
      </c>
      <c r="I122" s="5">
        <f>SUMIFS(SalesDetail[Quantity (KG)],SalesDetail[Customer],$A122,SalesDetail[Year],2016)</f>
        <v>0</v>
      </c>
      <c r="J122" s="5">
        <f>SUMIFS(SalesDetail[Quantity (KG)],SalesDetail[Customer],$A122,SalesDetail[Year],2017)</f>
        <v>45</v>
      </c>
      <c r="K122" s="5">
        <f>SUMIFS(SalesDetail[Quantity (KG)],SalesDetail[Customer],$A122,SalesDetail[Year],2018)</f>
        <v>80</v>
      </c>
      <c r="L122" s="5">
        <f>SUMIFS(SalesDetail[Quantity (KG)],SalesDetail[Customer],$A122,SalesDetail[Year],2019)</f>
        <v>700</v>
      </c>
      <c r="M122" s="5">
        <f>SUMIFS(SalesDetail[Quantity (KG)],SalesDetail[Customer],$A122,SalesDetail[Year],2020)</f>
        <v>0</v>
      </c>
      <c r="N122" s="5">
        <f>SUMIFS(SalesDetail[Quantity (KG)],SalesDetail[Customer],$A122,SalesDetail[Year],2021)</f>
        <v>1</v>
      </c>
      <c r="O122" s="6">
        <f>SUM(B122:N122)</f>
        <v>826</v>
      </c>
    </row>
    <row r="123" spans="1:15" x14ac:dyDescent="0.3">
      <c r="A123" t="s">
        <v>607</v>
      </c>
      <c r="B123" s="5">
        <f>SUMIFS(SalesDetail[Quantity (KG)],SalesDetail[Customer],$A123,SalesDetail[Year],2009)</f>
        <v>0</v>
      </c>
      <c r="C123" s="5">
        <f>SUMIFS(SalesDetail[Quantity (KG)],SalesDetail[Customer],$A123,SalesDetail[Year],2010)</f>
        <v>0</v>
      </c>
      <c r="D123" s="5">
        <f>SUMIFS(SalesDetail[Quantity (KG)],SalesDetail[Customer],$A123,SalesDetail[Year],2011)</f>
        <v>0</v>
      </c>
      <c r="E123" s="5">
        <f>SUMIFS(SalesDetail[Quantity (KG)],SalesDetail[Customer],$A123,SalesDetail[Year],2012)</f>
        <v>0</v>
      </c>
      <c r="F123" s="5">
        <f>SUMIFS(SalesDetail[Quantity (KG)],SalesDetail[Customer],$A123,SalesDetail[Year],2013)</f>
        <v>0</v>
      </c>
      <c r="G123" s="5">
        <f>SUMIFS(SalesDetail[Quantity (KG)],SalesDetail[Customer],$A123,SalesDetail[Year],2014)</f>
        <v>0</v>
      </c>
      <c r="H123" s="5">
        <f>SUMIFS(SalesDetail[Quantity (KG)],SalesDetail[Customer],$A123,SalesDetail[Year],2015)</f>
        <v>0</v>
      </c>
      <c r="I123" s="5">
        <f>SUMIFS(SalesDetail[Quantity (KG)],SalesDetail[Customer],$A123,SalesDetail[Year],2016)</f>
        <v>175</v>
      </c>
      <c r="J123" s="5">
        <f>SUMIFS(SalesDetail[Quantity (KG)],SalesDetail[Customer],$A123,SalesDetail[Year],2017)</f>
        <v>0</v>
      </c>
      <c r="K123" s="5">
        <f>SUMIFS(SalesDetail[Quantity (KG)],SalesDetail[Customer],$A123,SalesDetail[Year],2018)</f>
        <v>150</v>
      </c>
      <c r="L123" s="5">
        <f>SUMIFS(SalesDetail[Quantity (KG)],SalesDetail[Customer],$A123,SalesDetail[Year],2019)</f>
        <v>500</v>
      </c>
      <c r="M123" s="5">
        <f>SUMIFS(SalesDetail[Quantity (KG)],SalesDetail[Customer],$A123,SalesDetail[Year],2020)</f>
        <v>0</v>
      </c>
      <c r="N123" s="5">
        <f>SUMIFS(SalesDetail[Quantity (KG)],SalesDetail[Customer],$A123,SalesDetail[Year],2021)</f>
        <v>0</v>
      </c>
      <c r="O123" s="6">
        <f>SUM(B123:N123)</f>
        <v>825</v>
      </c>
    </row>
    <row r="124" spans="1:15" x14ac:dyDescent="0.3">
      <c r="A124" t="s">
        <v>1822</v>
      </c>
      <c r="B124" s="5">
        <f>SUMIFS(SalesDetail[Quantity (KG)],SalesDetail[Customer],$A124,SalesDetail[Year],2009)</f>
        <v>0</v>
      </c>
      <c r="C124" s="5">
        <f>SUMIFS(SalesDetail[Quantity (KG)],SalesDetail[Customer],$A124,SalesDetail[Year],2010)</f>
        <v>0</v>
      </c>
      <c r="D124" s="5">
        <f>SUMIFS(SalesDetail[Quantity (KG)],SalesDetail[Customer],$A124,SalesDetail[Year],2011)</f>
        <v>0</v>
      </c>
      <c r="E124" s="5">
        <f>SUMIFS(SalesDetail[Quantity (KG)],SalesDetail[Customer],$A124,SalesDetail[Year],2012)</f>
        <v>0</v>
      </c>
      <c r="F124" s="5">
        <f>SUMIFS(SalesDetail[Quantity (KG)],SalesDetail[Customer],$A124,SalesDetail[Year],2013)</f>
        <v>0</v>
      </c>
      <c r="G124" s="5">
        <f>SUMIFS(SalesDetail[Quantity (KG)],SalesDetail[Customer],$A124,SalesDetail[Year],2014)</f>
        <v>0</v>
      </c>
      <c r="H124" s="5">
        <f>SUMIFS(SalesDetail[Quantity (KG)],SalesDetail[Customer],$A124,SalesDetail[Year],2015)</f>
        <v>0</v>
      </c>
      <c r="I124" s="5">
        <f>SUMIFS(SalesDetail[Quantity (KG)],SalesDetail[Customer],$A124,SalesDetail[Year],2016)</f>
        <v>0</v>
      </c>
      <c r="J124" s="5">
        <f>SUMIFS(SalesDetail[Quantity (KG)],SalesDetail[Customer],$A124,SalesDetail[Year],2017)</f>
        <v>0</v>
      </c>
      <c r="K124" s="5">
        <f>SUMIFS(SalesDetail[Quantity (KG)],SalesDetail[Customer],$A124,SalesDetail[Year],2018)</f>
        <v>0</v>
      </c>
      <c r="L124" s="5">
        <f>SUMIFS(SalesDetail[Quantity (KG)],SalesDetail[Customer],$A124,SalesDetail[Year],2019)</f>
        <v>225</v>
      </c>
      <c r="M124" s="5">
        <f>SUMIFS(SalesDetail[Quantity (KG)],SalesDetail[Customer],$A124,SalesDetail[Year],2020)</f>
        <v>347</v>
      </c>
      <c r="N124" s="5">
        <f>SUMIFS(SalesDetail[Quantity (KG)],SalesDetail[Customer],$A124,SalesDetail[Year],2021)</f>
        <v>252</v>
      </c>
      <c r="O124" s="6">
        <f>SUM(B124:N124)</f>
        <v>824</v>
      </c>
    </row>
    <row r="125" spans="1:15" x14ac:dyDescent="0.3">
      <c r="A125" t="s">
        <v>1127</v>
      </c>
      <c r="B125" s="5">
        <f>SUMIFS(SalesDetail[Quantity (KG)],SalesDetail[Customer],$A125,SalesDetail[Year],2009)</f>
        <v>0</v>
      </c>
      <c r="C125" s="5">
        <f>SUMIFS(SalesDetail[Quantity (KG)],SalesDetail[Customer],$A125,SalesDetail[Year],2010)</f>
        <v>0</v>
      </c>
      <c r="D125" s="5">
        <f>SUMIFS(SalesDetail[Quantity (KG)],SalesDetail[Customer],$A125,SalesDetail[Year],2011)</f>
        <v>0</v>
      </c>
      <c r="E125" s="5">
        <f>SUMIFS(SalesDetail[Quantity (KG)],SalesDetail[Customer],$A125,SalesDetail[Year],2012)</f>
        <v>0</v>
      </c>
      <c r="F125" s="5">
        <f>SUMIFS(SalesDetail[Quantity (KG)],SalesDetail[Customer],$A125,SalesDetail[Year],2013)</f>
        <v>0</v>
      </c>
      <c r="G125" s="5">
        <f>SUMIFS(SalesDetail[Quantity (KG)],SalesDetail[Customer],$A125,SalesDetail[Year],2014)</f>
        <v>0</v>
      </c>
      <c r="H125" s="5">
        <f>SUMIFS(SalesDetail[Quantity (KG)],SalesDetail[Customer],$A125,SalesDetail[Year],2015)</f>
        <v>0</v>
      </c>
      <c r="I125" s="5">
        <f>SUMIFS(SalesDetail[Quantity (KG)],SalesDetail[Customer],$A125,SalesDetail[Year],2016)</f>
        <v>0</v>
      </c>
      <c r="J125" s="5">
        <f>SUMIFS(SalesDetail[Quantity (KG)],SalesDetail[Customer],$A125,SalesDetail[Year],2017)</f>
        <v>0</v>
      </c>
      <c r="K125" s="5">
        <f>SUMIFS(SalesDetail[Quantity (KG)],SalesDetail[Customer],$A125,SalesDetail[Year],2018)</f>
        <v>0</v>
      </c>
      <c r="L125" s="5">
        <f>SUMIFS(SalesDetail[Quantity (KG)],SalesDetail[Customer],$A125,SalesDetail[Year],2019)</f>
        <v>136</v>
      </c>
      <c r="M125" s="5">
        <f>SUMIFS(SalesDetail[Quantity (KG)],SalesDetail[Customer],$A125,SalesDetail[Year],2020)</f>
        <v>626</v>
      </c>
      <c r="N125" s="5">
        <f>SUMIFS(SalesDetail[Quantity (KG)],SalesDetail[Customer],$A125,SalesDetail[Year],2021)</f>
        <v>50</v>
      </c>
      <c r="O125" s="6">
        <f>SUM(B125:N125)</f>
        <v>812</v>
      </c>
    </row>
    <row r="126" spans="1:15" x14ac:dyDescent="0.3">
      <c r="A126" t="s">
        <v>1374</v>
      </c>
      <c r="B126" s="5">
        <f>SUMIFS(SalesDetail[Quantity (KG)],SalesDetail[Customer],$A126,SalesDetail[Year],2009)</f>
        <v>0</v>
      </c>
      <c r="C126" s="5">
        <f>SUMIFS(SalesDetail[Quantity (KG)],SalesDetail[Customer],$A126,SalesDetail[Year],2010)</f>
        <v>0</v>
      </c>
      <c r="D126" s="5">
        <f>SUMIFS(SalesDetail[Quantity (KG)],SalesDetail[Customer],$A126,SalesDetail[Year],2011)</f>
        <v>0</v>
      </c>
      <c r="E126" s="5">
        <f>SUMIFS(SalesDetail[Quantity (KG)],SalesDetail[Customer],$A126,SalesDetail[Year],2012)</f>
        <v>0</v>
      </c>
      <c r="F126" s="5">
        <f>SUMIFS(SalesDetail[Quantity (KG)],SalesDetail[Customer],$A126,SalesDetail[Year],2013)</f>
        <v>0</v>
      </c>
      <c r="G126" s="5">
        <f>SUMIFS(SalesDetail[Quantity (KG)],SalesDetail[Customer],$A126,SalesDetail[Year],2014)</f>
        <v>0</v>
      </c>
      <c r="H126" s="5">
        <f>SUMIFS(SalesDetail[Quantity (KG)],SalesDetail[Customer],$A126,SalesDetail[Year],2015)</f>
        <v>15</v>
      </c>
      <c r="I126" s="5">
        <f>SUMIFS(SalesDetail[Quantity (KG)],SalesDetail[Customer],$A126,SalesDetail[Year],2016)</f>
        <v>12</v>
      </c>
      <c r="J126" s="5">
        <f>SUMIFS(SalesDetail[Quantity (KG)],SalesDetail[Customer],$A126,SalesDetail[Year],2017)</f>
        <v>80</v>
      </c>
      <c r="K126" s="5">
        <f>SUMIFS(SalesDetail[Quantity (KG)],SalesDetail[Customer],$A126,SalesDetail[Year],2018)</f>
        <v>153</v>
      </c>
      <c r="L126" s="5">
        <f>SUMIFS(SalesDetail[Quantity (KG)],SalesDetail[Customer],$A126,SalesDetail[Year],2019)</f>
        <v>130</v>
      </c>
      <c r="M126" s="5">
        <f>SUMIFS(SalesDetail[Quantity (KG)],SalesDetail[Customer],$A126,SalesDetail[Year],2020)</f>
        <v>160</v>
      </c>
      <c r="N126" s="5">
        <f>SUMIFS(SalesDetail[Quantity (KG)],SalesDetail[Customer],$A126,SalesDetail[Year],2021)</f>
        <v>255</v>
      </c>
      <c r="O126" s="6">
        <f>SUM(B126:N126)</f>
        <v>805</v>
      </c>
    </row>
    <row r="127" spans="1:15" x14ac:dyDescent="0.3">
      <c r="A127" t="s">
        <v>2353</v>
      </c>
      <c r="B127" s="5">
        <f>SUMIFS(SalesDetail[Quantity (KG)],SalesDetail[Customer],$A127,SalesDetail[Year],2009)</f>
        <v>0</v>
      </c>
      <c r="C127" s="5">
        <f>SUMIFS(SalesDetail[Quantity (KG)],SalesDetail[Customer],$A127,SalesDetail[Year],2010)</f>
        <v>0</v>
      </c>
      <c r="D127" s="5">
        <f>SUMIFS(SalesDetail[Quantity (KG)],SalesDetail[Customer],$A127,SalesDetail[Year],2011)</f>
        <v>0</v>
      </c>
      <c r="E127" s="5">
        <f>SUMIFS(SalesDetail[Quantity (KG)],SalesDetail[Customer],$A127,SalesDetail[Year],2012)</f>
        <v>0</v>
      </c>
      <c r="F127" s="5">
        <f>SUMIFS(SalesDetail[Quantity (KG)],SalesDetail[Customer],$A127,SalesDetail[Year],2013)</f>
        <v>0</v>
      </c>
      <c r="G127" s="5">
        <f>SUMIFS(SalesDetail[Quantity (KG)],SalesDetail[Customer],$A127,SalesDetail[Year],2014)</f>
        <v>0</v>
      </c>
      <c r="H127" s="5">
        <f>SUMIFS(SalesDetail[Quantity (KG)],SalesDetail[Customer],$A127,SalesDetail[Year],2015)</f>
        <v>0</v>
      </c>
      <c r="I127" s="5">
        <f>SUMIFS(SalesDetail[Quantity (KG)],SalesDetail[Customer],$A127,SalesDetail[Year],2016)</f>
        <v>0</v>
      </c>
      <c r="J127" s="5">
        <f>SUMIFS(SalesDetail[Quantity (KG)],SalesDetail[Customer],$A127,SalesDetail[Year],2017)</f>
        <v>0</v>
      </c>
      <c r="K127" s="5">
        <f>SUMIFS(SalesDetail[Quantity (KG)],SalesDetail[Customer],$A127,SalesDetail[Year],2018)</f>
        <v>0</v>
      </c>
      <c r="L127" s="5">
        <f>SUMIFS(SalesDetail[Quantity (KG)],SalesDetail[Customer],$A127,SalesDetail[Year],2019)</f>
        <v>0</v>
      </c>
      <c r="M127" s="5">
        <f>SUMIFS(SalesDetail[Quantity (KG)],SalesDetail[Customer],$A127,SalesDetail[Year],2020)</f>
        <v>0</v>
      </c>
      <c r="N127" s="5">
        <f>SUMIFS(SalesDetail[Quantity (KG)],SalesDetail[Customer],$A127,SalesDetail[Year],2021)</f>
        <v>800</v>
      </c>
      <c r="O127" s="6">
        <f>SUM(B127:N127)</f>
        <v>800</v>
      </c>
    </row>
    <row r="128" spans="1:15" x14ac:dyDescent="0.3">
      <c r="A128" t="s">
        <v>2548</v>
      </c>
      <c r="B128" s="5">
        <f>SUMIFS(SalesDetail[Quantity (KG)],SalesDetail[Customer],$A128,SalesDetail[Year],2009)</f>
        <v>0</v>
      </c>
      <c r="C128" s="5">
        <f>SUMIFS(SalesDetail[Quantity (KG)],SalesDetail[Customer],$A128,SalesDetail[Year],2010)</f>
        <v>0</v>
      </c>
      <c r="D128" s="5">
        <f>SUMIFS(SalesDetail[Quantity (KG)],SalesDetail[Customer],$A128,SalesDetail[Year],2011)</f>
        <v>0</v>
      </c>
      <c r="E128" s="5">
        <f>SUMIFS(SalesDetail[Quantity (KG)],SalesDetail[Customer],$A128,SalesDetail[Year],2012)</f>
        <v>0</v>
      </c>
      <c r="F128" s="5">
        <f>SUMIFS(SalesDetail[Quantity (KG)],SalesDetail[Customer],$A128,SalesDetail[Year],2013)</f>
        <v>0</v>
      </c>
      <c r="G128" s="5">
        <f>SUMIFS(SalesDetail[Quantity (KG)],SalesDetail[Customer],$A128,SalesDetail[Year],2014)</f>
        <v>0</v>
      </c>
      <c r="H128" s="5">
        <f>SUMIFS(SalesDetail[Quantity (KG)],SalesDetail[Customer],$A128,SalesDetail[Year],2015)</f>
        <v>0</v>
      </c>
      <c r="I128" s="5">
        <f>SUMIFS(SalesDetail[Quantity (KG)],SalesDetail[Customer],$A128,SalesDetail[Year],2016)</f>
        <v>0</v>
      </c>
      <c r="J128" s="5">
        <f>SUMIFS(SalesDetail[Quantity (KG)],SalesDetail[Customer],$A128,SalesDetail[Year],2017)</f>
        <v>0</v>
      </c>
      <c r="K128" s="5">
        <f>SUMIFS(SalesDetail[Quantity (KG)],SalesDetail[Customer],$A128,SalesDetail[Year],2018)</f>
        <v>0</v>
      </c>
      <c r="L128" s="5">
        <f>SUMIFS(SalesDetail[Quantity (KG)],SalesDetail[Customer],$A128,SalesDetail[Year],2019)</f>
        <v>562</v>
      </c>
      <c r="M128" s="5">
        <f>SUMIFS(SalesDetail[Quantity (KG)],SalesDetail[Customer],$A128,SalesDetail[Year],2020)</f>
        <v>235</v>
      </c>
      <c r="N128" s="5">
        <f>SUMIFS(SalesDetail[Quantity (KG)],SalesDetail[Customer],$A128,SalesDetail[Year],2021)</f>
        <v>0</v>
      </c>
      <c r="O128" s="6">
        <f>SUM(B128:N128)</f>
        <v>797</v>
      </c>
    </row>
    <row r="129" spans="1:15" x14ac:dyDescent="0.3">
      <c r="A129" t="s">
        <v>2437</v>
      </c>
      <c r="B129" s="5">
        <f>SUMIFS(SalesDetail[Quantity (KG)],SalesDetail[Customer],$A129,SalesDetail[Year],2009)</f>
        <v>0</v>
      </c>
      <c r="C129" s="5">
        <f>SUMIFS(SalesDetail[Quantity (KG)],SalesDetail[Customer],$A129,SalesDetail[Year],2010)</f>
        <v>0</v>
      </c>
      <c r="D129" s="5">
        <f>SUMIFS(SalesDetail[Quantity (KG)],SalesDetail[Customer],$A129,SalesDetail[Year],2011)</f>
        <v>0</v>
      </c>
      <c r="E129" s="5">
        <f>SUMIFS(SalesDetail[Quantity (KG)],SalesDetail[Customer],$A129,SalesDetail[Year],2012)</f>
        <v>0</v>
      </c>
      <c r="F129" s="5">
        <f>SUMIFS(SalesDetail[Quantity (KG)],SalesDetail[Customer],$A129,SalesDetail[Year],2013)</f>
        <v>0</v>
      </c>
      <c r="G129" s="5">
        <f>SUMIFS(SalesDetail[Quantity (KG)],SalesDetail[Customer],$A129,SalesDetail[Year],2014)</f>
        <v>0</v>
      </c>
      <c r="H129" s="5">
        <f>SUMIFS(SalesDetail[Quantity (KG)],SalesDetail[Customer],$A129,SalesDetail[Year],2015)</f>
        <v>0</v>
      </c>
      <c r="I129" s="5">
        <f>SUMIFS(SalesDetail[Quantity (KG)],SalesDetail[Customer],$A129,SalesDetail[Year],2016)</f>
        <v>141</v>
      </c>
      <c r="J129" s="5">
        <f>SUMIFS(SalesDetail[Quantity (KG)],SalesDetail[Customer],$A129,SalesDetail[Year],2017)</f>
        <v>160</v>
      </c>
      <c r="K129" s="5">
        <f>SUMIFS(SalesDetail[Quantity (KG)],SalesDetail[Customer],$A129,SalesDetail[Year],2018)</f>
        <v>180</v>
      </c>
      <c r="L129" s="5">
        <f>SUMIFS(SalesDetail[Quantity (KG)],SalesDetail[Customer],$A129,SalesDetail[Year],2019)</f>
        <v>230</v>
      </c>
      <c r="M129" s="5">
        <f>SUMIFS(SalesDetail[Quantity (KG)],SalesDetail[Customer],$A129,SalesDetail[Year],2020)</f>
        <v>80</v>
      </c>
      <c r="N129" s="5">
        <f>SUMIFS(SalesDetail[Quantity (KG)],SalesDetail[Customer],$A129,SalesDetail[Year],2021)</f>
        <v>0</v>
      </c>
      <c r="O129" s="6">
        <f>SUM(B129:N129)</f>
        <v>791</v>
      </c>
    </row>
    <row r="130" spans="1:15" x14ac:dyDescent="0.3">
      <c r="A130" t="s">
        <v>2362</v>
      </c>
      <c r="B130" s="5">
        <f>SUMIFS(SalesDetail[Quantity (KG)],SalesDetail[Customer],$A130,SalesDetail[Year],2009)</f>
        <v>0</v>
      </c>
      <c r="C130" s="5">
        <f>SUMIFS(SalesDetail[Quantity (KG)],SalesDetail[Customer],$A130,SalesDetail[Year],2010)</f>
        <v>0</v>
      </c>
      <c r="D130" s="5">
        <f>SUMIFS(SalesDetail[Quantity (KG)],SalesDetail[Customer],$A130,SalesDetail[Year],2011)</f>
        <v>0</v>
      </c>
      <c r="E130" s="5">
        <f>SUMIFS(SalesDetail[Quantity (KG)],SalesDetail[Customer],$A130,SalesDetail[Year],2012)</f>
        <v>3</v>
      </c>
      <c r="F130" s="5">
        <f>SUMIFS(SalesDetail[Quantity (KG)],SalesDetail[Customer],$A130,SalesDetail[Year],2013)</f>
        <v>20</v>
      </c>
      <c r="G130" s="5">
        <f>SUMIFS(SalesDetail[Quantity (KG)],SalesDetail[Customer],$A130,SalesDetail[Year],2014)</f>
        <v>249.5</v>
      </c>
      <c r="H130" s="5">
        <f>SUMIFS(SalesDetail[Quantity (KG)],SalesDetail[Customer],$A130,SalesDetail[Year],2015)</f>
        <v>270</v>
      </c>
      <c r="I130" s="5">
        <f>SUMIFS(SalesDetail[Quantity (KG)],SalesDetail[Customer],$A130,SalesDetail[Year],2016)</f>
        <v>80</v>
      </c>
      <c r="J130" s="5">
        <f>SUMIFS(SalesDetail[Quantity (KG)],SalesDetail[Customer],$A130,SalesDetail[Year],2017)</f>
        <v>30</v>
      </c>
      <c r="K130" s="5">
        <f>SUMIFS(SalesDetail[Quantity (KG)],SalesDetail[Customer],$A130,SalesDetail[Year],2018)</f>
        <v>77</v>
      </c>
      <c r="L130" s="5">
        <f>SUMIFS(SalesDetail[Quantity (KG)],SalesDetail[Customer],$A130,SalesDetail[Year],2019)</f>
        <v>5</v>
      </c>
      <c r="M130" s="5">
        <f>SUMIFS(SalesDetail[Quantity (KG)],SalesDetail[Customer],$A130,SalesDetail[Year],2020)</f>
        <v>30</v>
      </c>
      <c r="N130" s="5">
        <f>SUMIFS(SalesDetail[Quantity (KG)],SalesDetail[Customer],$A130,SalesDetail[Year],2021)</f>
        <v>25</v>
      </c>
      <c r="O130" s="6">
        <f>SUM(B130:N130)</f>
        <v>789.5</v>
      </c>
    </row>
    <row r="131" spans="1:15" x14ac:dyDescent="0.3">
      <c r="A131" t="s">
        <v>1664</v>
      </c>
      <c r="B131" s="5">
        <f>SUMIFS(SalesDetail[Quantity (KG)],SalesDetail[Customer],$A131,SalesDetail[Year],2009)</f>
        <v>0</v>
      </c>
      <c r="C131" s="5">
        <f>SUMIFS(SalesDetail[Quantity (KG)],SalesDetail[Customer],$A131,SalesDetail[Year],2010)</f>
        <v>0</v>
      </c>
      <c r="D131" s="5">
        <f>SUMIFS(SalesDetail[Quantity (KG)],SalesDetail[Customer],$A131,SalesDetail[Year],2011)</f>
        <v>0</v>
      </c>
      <c r="E131" s="5">
        <f>SUMIFS(SalesDetail[Quantity (KG)],SalesDetail[Customer],$A131,SalesDetail[Year],2012)</f>
        <v>0</v>
      </c>
      <c r="F131" s="5">
        <f>SUMIFS(SalesDetail[Quantity (KG)],SalesDetail[Customer],$A131,SalesDetail[Year],2013)</f>
        <v>0</v>
      </c>
      <c r="G131" s="5">
        <f>SUMIFS(SalesDetail[Quantity (KG)],SalesDetail[Customer],$A131,SalesDetail[Year],2014)</f>
        <v>0</v>
      </c>
      <c r="H131" s="5">
        <f>SUMIFS(SalesDetail[Quantity (KG)],SalesDetail[Customer],$A131,SalesDetail[Year],2015)</f>
        <v>0</v>
      </c>
      <c r="I131" s="5">
        <f>SUMIFS(SalesDetail[Quantity (KG)],SalesDetail[Customer],$A131,SalesDetail[Year],2016)</f>
        <v>50</v>
      </c>
      <c r="J131" s="5">
        <f>SUMIFS(SalesDetail[Quantity (KG)],SalesDetail[Customer],$A131,SalesDetail[Year],2017)</f>
        <v>725</v>
      </c>
      <c r="K131" s="5">
        <f>SUMIFS(SalesDetail[Quantity (KG)],SalesDetail[Customer],$A131,SalesDetail[Year],2018)</f>
        <v>0</v>
      </c>
      <c r="L131" s="5">
        <f>SUMIFS(SalesDetail[Quantity (KG)],SalesDetail[Customer],$A131,SalesDetail[Year],2019)</f>
        <v>0</v>
      </c>
      <c r="M131" s="5">
        <f>SUMIFS(SalesDetail[Quantity (KG)],SalesDetail[Customer],$A131,SalesDetail[Year],2020)</f>
        <v>0</v>
      </c>
      <c r="N131" s="5">
        <f>SUMIFS(SalesDetail[Quantity (KG)],SalesDetail[Customer],$A131,SalesDetail[Year],2021)</f>
        <v>0</v>
      </c>
      <c r="O131" s="6">
        <f>SUM(B131:N131)</f>
        <v>775</v>
      </c>
    </row>
    <row r="132" spans="1:15" x14ac:dyDescent="0.3">
      <c r="A132" t="s">
        <v>2490</v>
      </c>
      <c r="B132" s="5">
        <f>SUMIFS(SalesDetail[Quantity (KG)],SalesDetail[Customer],$A132,SalesDetail[Year],2009)</f>
        <v>0</v>
      </c>
      <c r="C132" s="5">
        <f>SUMIFS(SalesDetail[Quantity (KG)],SalesDetail[Customer],$A132,SalesDetail[Year],2010)</f>
        <v>0</v>
      </c>
      <c r="D132" s="5">
        <f>SUMIFS(SalesDetail[Quantity (KG)],SalesDetail[Customer],$A132,SalesDetail[Year],2011)</f>
        <v>0</v>
      </c>
      <c r="E132" s="5">
        <f>SUMIFS(SalesDetail[Quantity (KG)],SalesDetail[Customer],$A132,SalesDetail[Year],2012)</f>
        <v>0</v>
      </c>
      <c r="F132" s="5">
        <f>SUMIFS(SalesDetail[Quantity (KG)],SalesDetail[Customer],$A132,SalesDetail[Year],2013)</f>
        <v>0</v>
      </c>
      <c r="G132" s="5">
        <f>SUMIFS(SalesDetail[Quantity (KG)],SalesDetail[Customer],$A132,SalesDetail[Year],2014)</f>
        <v>0</v>
      </c>
      <c r="H132" s="5">
        <f>SUMIFS(SalesDetail[Quantity (KG)],SalesDetail[Customer],$A132,SalesDetail[Year],2015)</f>
        <v>0</v>
      </c>
      <c r="I132" s="5">
        <f>SUMIFS(SalesDetail[Quantity (KG)],SalesDetail[Customer],$A132,SalesDetail[Year],2016)</f>
        <v>0</v>
      </c>
      <c r="J132" s="5">
        <f>SUMIFS(SalesDetail[Quantity (KG)],SalesDetail[Customer],$A132,SalesDetail[Year],2017)</f>
        <v>0</v>
      </c>
      <c r="K132" s="5">
        <f>SUMIFS(SalesDetail[Quantity (KG)],SalesDetail[Customer],$A132,SalesDetail[Year],2018)</f>
        <v>0</v>
      </c>
      <c r="L132" s="5">
        <f>SUMIFS(SalesDetail[Quantity (KG)],SalesDetail[Customer],$A132,SalesDetail[Year],2019)</f>
        <v>215</v>
      </c>
      <c r="M132" s="5">
        <f>SUMIFS(SalesDetail[Quantity (KG)],SalesDetail[Customer],$A132,SalesDetail[Year],2020)</f>
        <v>506</v>
      </c>
      <c r="N132" s="5">
        <f>SUMIFS(SalesDetail[Quantity (KG)],SalesDetail[Customer],$A132,SalesDetail[Year],2021)</f>
        <v>50</v>
      </c>
      <c r="O132" s="6">
        <f>SUM(B132:N132)</f>
        <v>771</v>
      </c>
    </row>
    <row r="133" spans="1:15" x14ac:dyDescent="0.3">
      <c r="A133" t="s">
        <v>1865</v>
      </c>
      <c r="B133" s="5">
        <f>SUMIFS(SalesDetail[Quantity (KG)],SalesDetail[Customer],$A133,SalesDetail[Year],2009)</f>
        <v>0</v>
      </c>
      <c r="C133" s="5">
        <f>SUMIFS(SalesDetail[Quantity (KG)],SalesDetail[Customer],$A133,SalesDetail[Year],2010)</f>
        <v>0</v>
      </c>
      <c r="D133" s="5">
        <f>SUMIFS(SalesDetail[Quantity (KG)],SalesDetail[Customer],$A133,SalesDetail[Year],2011)</f>
        <v>0</v>
      </c>
      <c r="E133" s="5">
        <f>SUMIFS(SalesDetail[Quantity (KG)],SalesDetail[Customer],$A133,SalesDetail[Year],2012)</f>
        <v>0</v>
      </c>
      <c r="F133" s="5">
        <f>SUMIFS(SalesDetail[Quantity (KG)],SalesDetail[Customer],$A133,SalesDetail[Year],2013)</f>
        <v>0</v>
      </c>
      <c r="G133" s="5">
        <f>SUMIFS(SalesDetail[Quantity (KG)],SalesDetail[Customer],$A133,SalesDetail[Year],2014)</f>
        <v>0</v>
      </c>
      <c r="H133" s="5">
        <f>SUMIFS(SalesDetail[Quantity (KG)],SalesDetail[Customer],$A133,SalesDetail[Year],2015)</f>
        <v>0</v>
      </c>
      <c r="I133" s="5">
        <f>SUMIFS(SalesDetail[Quantity (KG)],SalesDetail[Customer],$A133,SalesDetail[Year],2016)</f>
        <v>0</v>
      </c>
      <c r="J133" s="5">
        <f>SUMIFS(SalesDetail[Quantity (KG)],SalesDetail[Customer],$A133,SalesDetail[Year],2017)</f>
        <v>0</v>
      </c>
      <c r="K133" s="5">
        <f>SUMIFS(SalesDetail[Quantity (KG)],SalesDetail[Customer],$A133,SalesDetail[Year],2018)</f>
        <v>0</v>
      </c>
      <c r="L133" s="5">
        <f>SUMIFS(SalesDetail[Quantity (KG)],SalesDetail[Customer],$A133,SalesDetail[Year],2019)</f>
        <v>305</v>
      </c>
      <c r="M133" s="5">
        <f>SUMIFS(SalesDetail[Quantity (KG)],SalesDetail[Customer],$A133,SalesDetail[Year],2020)</f>
        <v>452</v>
      </c>
      <c r="N133" s="5">
        <f>SUMIFS(SalesDetail[Quantity (KG)],SalesDetail[Customer],$A133,SalesDetail[Year],2021)</f>
        <v>4</v>
      </c>
      <c r="O133" s="6">
        <f>SUM(B133:N133)</f>
        <v>761</v>
      </c>
    </row>
    <row r="134" spans="1:15" x14ac:dyDescent="0.3">
      <c r="A134" t="s">
        <v>1690</v>
      </c>
      <c r="B134" s="5">
        <f>SUMIFS(SalesDetail[Quantity (KG)],SalesDetail[Customer],$A134,SalesDetail[Year],2009)</f>
        <v>0</v>
      </c>
      <c r="C134" s="5">
        <f>SUMIFS(SalesDetail[Quantity (KG)],SalesDetail[Customer],$A134,SalesDetail[Year],2010)</f>
        <v>0</v>
      </c>
      <c r="D134" s="5">
        <f>SUMIFS(SalesDetail[Quantity (KG)],SalesDetail[Customer],$A134,SalesDetail[Year],2011)</f>
        <v>0</v>
      </c>
      <c r="E134" s="5">
        <f>SUMIFS(SalesDetail[Quantity (KG)],SalesDetail[Customer],$A134,SalesDetail[Year],2012)</f>
        <v>0</v>
      </c>
      <c r="F134" s="5">
        <f>SUMIFS(SalesDetail[Quantity (KG)],SalesDetail[Customer],$A134,SalesDetail[Year],2013)</f>
        <v>0</v>
      </c>
      <c r="G134" s="5">
        <f>SUMIFS(SalesDetail[Quantity (KG)],SalesDetail[Customer],$A134,SalesDetail[Year],2014)</f>
        <v>0</v>
      </c>
      <c r="H134" s="5">
        <f>SUMIFS(SalesDetail[Quantity (KG)],SalesDetail[Customer],$A134,SalesDetail[Year],2015)</f>
        <v>0</v>
      </c>
      <c r="I134" s="5">
        <f>SUMIFS(SalesDetail[Quantity (KG)],SalesDetail[Customer],$A134,SalesDetail[Year],2016)</f>
        <v>0</v>
      </c>
      <c r="J134" s="5">
        <f>SUMIFS(SalesDetail[Quantity (KG)],SalesDetail[Customer],$A134,SalesDetail[Year],2017)</f>
        <v>276</v>
      </c>
      <c r="K134" s="5">
        <f>SUMIFS(SalesDetail[Quantity (KG)],SalesDetail[Customer],$A134,SalesDetail[Year],2018)</f>
        <v>180</v>
      </c>
      <c r="L134" s="5">
        <f>SUMIFS(SalesDetail[Quantity (KG)],SalesDetail[Customer],$A134,SalesDetail[Year],2019)</f>
        <v>295</v>
      </c>
      <c r="M134" s="5">
        <f>SUMIFS(SalesDetail[Quantity (KG)],SalesDetail[Customer],$A134,SalesDetail[Year],2020)</f>
        <v>0</v>
      </c>
      <c r="N134" s="5">
        <f>SUMIFS(SalesDetail[Quantity (KG)],SalesDetail[Customer],$A134,SalesDetail[Year],2021)</f>
        <v>0</v>
      </c>
      <c r="O134" s="6">
        <f>SUM(B134:N134)</f>
        <v>751</v>
      </c>
    </row>
    <row r="135" spans="1:15" x14ac:dyDescent="0.3">
      <c r="A135" t="s">
        <v>2532</v>
      </c>
      <c r="B135" s="5">
        <f>SUMIFS(SalesDetail[Quantity (KG)],SalesDetail[Customer],$A135,SalesDetail[Year],2009)</f>
        <v>0</v>
      </c>
      <c r="C135" s="5">
        <f>SUMIFS(SalesDetail[Quantity (KG)],SalesDetail[Customer],$A135,SalesDetail[Year],2010)</f>
        <v>0</v>
      </c>
      <c r="D135" s="5">
        <f>SUMIFS(SalesDetail[Quantity (KG)],SalesDetail[Customer],$A135,SalesDetail[Year],2011)</f>
        <v>0</v>
      </c>
      <c r="E135" s="5">
        <f>SUMIFS(SalesDetail[Quantity (KG)],SalesDetail[Customer],$A135,SalesDetail[Year],2012)</f>
        <v>252</v>
      </c>
      <c r="F135" s="5">
        <f>SUMIFS(SalesDetail[Quantity (KG)],SalesDetail[Customer],$A135,SalesDetail[Year],2013)</f>
        <v>0</v>
      </c>
      <c r="G135" s="5">
        <f>SUMIFS(SalesDetail[Quantity (KG)],SalesDetail[Customer],$A135,SalesDetail[Year],2014)</f>
        <v>100</v>
      </c>
      <c r="H135" s="5">
        <f>SUMIFS(SalesDetail[Quantity (KG)],SalesDetail[Customer],$A135,SalesDetail[Year],2015)</f>
        <v>0</v>
      </c>
      <c r="I135" s="5">
        <f>SUMIFS(SalesDetail[Quantity (KG)],SalesDetail[Customer],$A135,SalesDetail[Year],2016)</f>
        <v>30</v>
      </c>
      <c r="J135" s="5">
        <f>SUMIFS(SalesDetail[Quantity (KG)],SalesDetail[Customer],$A135,SalesDetail[Year],2017)</f>
        <v>0</v>
      </c>
      <c r="K135" s="5">
        <f>SUMIFS(SalesDetail[Quantity (KG)],SalesDetail[Customer],$A135,SalesDetail[Year],2018)</f>
        <v>0</v>
      </c>
      <c r="L135" s="5">
        <f>SUMIFS(SalesDetail[Quantity (KG)],SalesDetail[Customer],$A135,SalesDetail[Year],2019)</f>
        <v>15</v>
      </c>
      <c r="M135" s="5">
        <f>SUMIFS(SalesDetail[Quantity (KG)],SalesDetail[Customer],$A135,SalesDetail[Year],2020)</f>
        <v>209</v>
      </c>
      <c r="N135" s="5">
        <f>SUMIFS(SalesDetail[Quantity (KG)],SalesDetail[Customer],$A135,SalesDetail[Year],2021)</f>
        <v>135</v>
      </c>
      <c r="O135" s="6">
        <f>SUM(B135:N135)</f>
        <v>741</v>
      </c>
    </row>
    <row r="136" spans="1:15" x14ac:dyDescent="0.3">
      <c r="A136" t="s">
        <v>622</v>
      </c>
      <c r="B136" s="5">
        <f>SUMIFS(SalesDetail[Quantity (KG)],SalesDetail[Customer],$A136,SalesDetail[Year],2009)</f>
        <v>0</v>
      </c>
      <c r="C136" s="5">
        <f>SUMIFS(SalesDetail[Quantity (KG)],SalesDetail[Customer],$A136,SalesDetail[Year],2010)</f>
        <v>0</v>
      </c>
      <c r="D136" s="5">
        <f>SUMIFS(SalesDetail[Quantity (KG)],SalesDetail[Customer],$A136,SalesDetail[Year],2011)</f>
        <v>0</v>
      </c>
      <c r="E136" s="5">
        <f>SUMIFS(SalesDetail[Quantity (KG)],SalesDetail[Customer],$A136,SalesDetail[Year],2012)</f>
        <v>0</v>
      </c>
      <c r="F136" s="5">
        <f>SUMIFS(SalesDetail[Quantity (KG)],SalesDetail[Customer],$A136,SalesDetail[Year],2013)</f>
        <v>0</v>
      </c>
      <c r="G136" s="5">
        <f>SUMIFS(SalesDetail[Quantity (KG)],SalesDetail[Customer],$A136,SalesDetail[Year],2014)</f>
        <v>0</v>
      </c>
      <c r="H136" s="5">
        <f>SUMIFS(SalesDetail[Quantity (KG)],SalesDetail[Customer],$A136,SalesDetail[Year],2015)</f>
        <v>0</v>
      </c>
      <c r="I136" s="5">
        <f>SUMIFS(SalesDetail[Quantity (KG)],SalesDetail[Customer],$A136,SalesDetail[Year],2016)</f>
        <v>0</v>
      </c>
      <c r="J136" s="5">
        <f>SUMIFS(SalesDetail[Quantity (KG)],SalesDetail[Customer],$A136,SalesDetail[Year],2017)</f>
        <v>0</v>
      </c>
      <c r="K136" s="5">
        <f>SUMIFS(SalesDetail[Quantity (KG)],SalesDetail[Customer],$A136,SalesDetail[Year],2018)</f>
        <v>0</v>
      </c>
      <c r="L136" s="5">
        <f>SUMIFS(SalesDetail[Quantity (KG)],SalesDetail[Customer],$A136,SalesDetail[Year],2019)</f>
        <v>640</v>
      </c>
      <c r="M136" s="5">
        <f>SUMIFS(SalesDetail[Quantity (KG)],SalesDetail[Customer],$A136,SalesDetail[Year],2020)</f>
        <v>88</v>
      </c>
      <c r="N136" s="5">
        <f>SUMIFS(SalesDetail[Quantity (KG)],SalesDetail[Customer],$A136,SalesDetail[Year],2021)</f>
        <v>0</v>
      </c>
      <c r="O136" s="6">
        <f>SUM(B136:N136)</f>
        <v>728</v>
      </c>
    </row>
    <row r="137" spans="1:15" x14ac:dyDescent="0.3">
      <c r="A137" t="s">
        <v>1139</v>
      </c>
      <c r="B137" s="5">
        <f>SUMIFS(SalesDetail[Quantity (KG)],SalesDetail[Customer],$A137,SalesDetail[Year],2009)</f>
        <v>25</v>
      </c>
      <c r="C137" s="5">
        <f>SUMIFS(SalesDetail[Quantity (KG)],SalesDetail[Customer],$A137,SalesDetail[Year],2010)</f>
        <v>180</v>
      </c>
      <c r="D137" s="5">
        <f>SUMIFS(SalesDetail[Quantity (KG)],SalesDetail[Customer],$A137,SalesDetail[Year],2011)</f>
        <v>20</v>
      </c>
      <c r="E137" s="5">
        <f>SUMIFS(SalesDetail[Quantity (KG)],SalesDetail[Customer],$A137,SalesDetail[Year],2012)</f>
        <v>150</v>
      </c>
      <c r="F137" s="5">
        <f>SUMIFS(SalesDetail[Quantity (KG)],SalesDetail[Customer],$A137,SalesDetail[Year],2013)</f>
        <v>45</v>
      </c>
      <c r="G137" s="5">
        <f>SUMIFS(SalesDetail[Quantity (KG)],SalesDetail[Customer],$A137,SalesDetail[Year],2014)</f>
        <v>139</v>
      </c>
      <c r="H137" s="5">
        <f>SUMIFS(SalesDetail[Quantity (KG)],SalesDetail[Customer],$A137,SalesDetail[Year],2015)</f>
        <v>70</v>
      </c>
      <c r="I137" s="5">
        <f>SUMIFS(SalesDetail[Quantity (KG)],SalesDetail[Customer],$A137,SalesDetail[Year],2016)</f>
        <v>75</v>
      </c>
      <c r="J137" s="5">
        <f>SUMIFS(SalesDetail[Quantity (KG)],SalesDetail[Customer],$A137,SalesDetail[Year],2017)</f>
        <v>20</v>
      </c>
      <c r="K137" s="5">
        <f>SUMIFS(SalesDetail[Quantity (KG)],SalesDetail[Customer],$A137,SalesDetail[Year],2018)</f>
        <v>0</v>
      </c>
      <c r="L137" s="5">
        <f>SUMIFS(SalesDetail[Quantity (KG)],SalesDetail[Customer],$A137,SalesDetail[Year],2019)</f>
        <v>0</v>
      </c>
      <c r="M137" s="5">
        <f>SUMIFS(SalesDetail[Quantity (KG)],SalesDetail[Customer],$A137,SalesDetail[Year],2020)</f>
        <v>0</v>
      </c>
      <c r="N137" s="5">
        <f>SUMIFS(SalesDetail[Quantity (KG)],SalesDetail[Customer],$A137,SalesDetail[Year],2021)</f>
        <v>0</v>
      </c>
      <c r="O137" s="6">
        <f>SUM(B137:N137)</f>
        <v>724</v>
      </c>
    </row>
    <row r="138" spans="1:15" x14ac:dyDescent="0.3">
      <c r="A138" t="s">
        <v>1356</v>
      </c>
      <c r="B138" s="5">
        <f>SUMIFS(SalesDetail[Quantity (KG)],SalesDetail[Customer],$A138,SalesDetail[Year],2009)</f>
        <v>0</v>
      </c>
      <c r="C138" s="5">
        <f>SUMIFS(SalesDetail[Quantity (KG)],SalesDetail[Customer],$A138,SalesDetail[Year],2010)</f>
        <v>0</v>
      </c>
      <c r="D138" s="5">
        <f>SUMIFS(SalesDetail[Quantity (KG)],SalesDetail[Customer],$A138,SalesDetail[Year],2011)</f>
        <v>55</v>
      </c>
      <c r="E138" s="5">
        <f>SUMIFS(SalesDetail[Quantity (KG)],SalesDetail[Customer],$A138,SalesDetail[Year],2012)</f>
        <v>0</v>
      </c>
      <c r="F138" s="5">
        <f>SUMIFS(SalesDetail[Quantity (KG)],SalesDetail[Customer],$A138,SalesDetail[Year],2013)</f>
        <v>0</v>
      </c>
      <c r="G138" s="5">
        <f>SUMIFS(SalesDetail[Quantity (KG)],SalesDetail[Customer],$A138,SalesDetail[Year],2014)</f>
        <v>0</v>
      </c>
      <c r="H138" s="5">
        <f>SUMIFS(SalesDetail[Quantity (KG)],SalesDetail[Customer],$A138,SalesDetail[Year],2015)</f>
        <v>13</v>
      </c>
      <c r="I138" s="5">
        <f>SUMIFS(SalesDetail[Quantity (KG)],SalesDetail[Customer],$A138,SalesDetail[Year],2016)</f>
        <v>210</v>
      </c>
      <c r="J138" s="5">
        <f>SUMIFS(SalesDetail[Quantity (KG)],SalesDetail[Customer],$A138,SalesDetail[Year],2017)</f>
        <v>107</v>
      </c>
      <c r="K138" s="5">
        <f>SUMIFS(SalesDetail[Quantity (KG)],SalesDetail[Customer],$A138,SalesDetail[Year],2018)</f>
        <v>105</v>
      </c>
      <c r="L138" s="5">
        <f>SUMIFS(SalesDetail[Quantity (KG)],SalesDetail[Customer],$A138,SalesDetail[Year],2019)</f>
        <v>95</v>
      </c>
      <c r="M138" s="5">
        <f>SUMIFS(SalesDetail[Quantity (KG)],SalesDetail[Customer],$A138,SalesDetail[Year],2020)</f>
        <v>85</v>
      </c>
      <c r="N138" s="5">
        <f>SUMIFS(SalesDetail[Quantity (KG)],SalesDetail[Customer],$A138,SalesDetail[Year],2021)</f>
        <v>40</v>
      </c>
      <c r="O138" s="6">
        <f>SUM(B138:N138)</f>
        <v>710</v>
      </c>
    </row>
    <row r="139" spans="1:15" x14ac:dyDescent="0.3">
      <c r="A139" t="s">
        <v>685</v>
      </c>
      <c r="B139" s="5">
        <f>SUMIFS(SalesDetail[Quantity (KG)],SalesDetail[Customer],$A139,SalesDetail[Year],2009)</f>
        <v>0</v>
      </c>
      <c r="C139" s="5">
        <f>SUMIFS(SalesDetail[Quantity (KG)],SalesDetail[Customer],$A139,SalesDetail[Year],2010)</f>
        <v>0</v>
      </c>
      <c r="D139" s="5">
        <f>SUMIFS(SalesDetail[Quantity (KG)],SalesDetail[Customer],$A139,SalesDetail[Year],2011)</f>
        <v>0</v>
      </c>
      <c r="E139" s="5">
        <f>SUMIFS(SalesDetail[Quantity (KG)],SalesDetail[Customer],$A139,SalesDetail[Year],2012)</f>
        <v>0</v>
      </c>
      <c r="F139" s="5">
        <f>SUMIFS(SalesDetail[Quantity (KG)],SalesDetail[Customer],$A139,SalesDetail[Year],2013)</f>
        <v>0</v>
      </c>
      <c r="G139" s="5">
        <f>SUMIFS(SalesDetail[Quantity (KG)],SalesDetail[Customer],$A139,SalesDetail[Year],2014)</f>
        <v>0</v>
      </c>
      <c r="H139" s="5">
        <f>SUMIFS(SalesDetail[Quantity (KG)],SalesDetail[Customer],$A139,SalesDetail[Year],2015)</f>
        <v>0</v>
      </c>
      <c r="I139" s="5">
        <f>SUMIFS(SalesDetail[Quantity (KG)],SalesDetail[Customer],$A139,SalesDetail[Year],2016)</f>
        <v>0</v>
      </c>
      <c r="J139" s="5">
        <f>SUMIFS(SalesDetail[Quantity (KG)],SalesDetail[Customer],$A139,SalesDetail[Year],2017)</f>
        <v>0</v>
      </c>
      <c r="K139" s="5">
        <f>SUMIFS(SalesDetail[Quantity (KG)],SalesDetail[Customer],$A139,SalesDetail[Year],2018)</f>
        <v>0</v>
      </c>
      <c r="L139" s="5">
        <f>SUMIFS(SalesDetail[Quantity (KG)],SalesDetail[Customer],$A139,SalesDetail[Year],2019)</f>
        <v>37</v>
      </c>
      <c r="M139" s="5">
        <f>SUMIFS(SalesDetail[Quantity (KG)],SalesDetail[Customer],$A139,SalesDetail[Year],2020)</f>
        <v>286</v>
      </c>
      <c r="N139" s="5">
        <f>SUMIFS(SalesDetail[Quantity (KG)],SalesDetail[Customer],$A139,SalesDetail[Year],2021)</f>
        <v>375</v>
      </c>
      <c r="O139" s="6">
        <f>SUM(B139:N139)</f>
        <v>698</v>
      </c>
    </row>
    <row r="140" spans="1:15" x14ac:dyDescent="0.3">
      <c r="A140" t="s">
        <v>904</v>
      </c>
      <c r="B140" s="5">
        <f>SUMIFS(SalesDetail[Quantity (KG)],SalesDetail[Customer],$A140,SalesDetail[Year],2009)</f>
        <v>0</v>
      </c>
      <c r="C140" s="5">
        <f>SUMIFS(SalesDetail[Quantity (KG)],SalesDetail[Customer],$A140,SalesDetail[Year],2010)</f>
        <v>0</v>
      </c>
      <c r="D140" s="5">
        <f>SUMIFS(SalesDetail[Quantity (KG)],SalesDetail[Customer],$A140,SalesDetail[Year],2011)</f>
        <v>0</v>
      </c>
      <c r="E140" s="5">
        <f>SUMIFS(SalesDetail[Quantity (KG)],SalesDetail[Customer],$A140,SalesDetail[Year],2012)</f>
        <v>125</v>
      </c>
      <c r="F140" s="5">
        <f>SUMIFS(SalesDetail[Quantity (KG)],SalesDetail[Customer],$A140,SalesDetail[Year],2013)</f>
        <v>250</v>
      </c>
      <c r="G140" s="5">
        <f>SUMIFS(SalesDetail[Quantity (KG)],SalesDetail[Customer],$A140,SalesDetail[Year],2014)</f>
        <v>65</v>
      </c>
      <c r="H140" s="5">
        <f>SUMIFS(SalesDetail[Quantity (KG)],SalesDetail[Customer],$A140,SalesDetail[Year],2015)</f>
        <v>50</v>
      </c>
      <c r="I140" s="5">
        <f>SUMIFS(SalesDetail[Quantity (KG)],SalesDetail[Customer],$A140,SalesDetail[Year],2016)</f>
        <v>0</v>
      </c>
      <c r="J140" s="5">
        <f>SUMIFS(SalesDetail[Quantity (KG)],SalesDetail[Customer],$A140,SalesDetail[Year],2017)</f>
        <v>0</v>
      </c>
      <c r="K140" s="5">
        <f>SUMIFS(SalesDetail[Quantity (KG)],SalesDetail[Customer],$A140,SalesDetail[Year],2018)</f>
        <v>25</v>
      </c>
      <c r="L140" s="5">
        <f>SUMIFS(SalesDetail[Quantity (KG)],SalesDetail[Customer],$A140,SalesDetail[Year],2019)</f>
        <v>80</v>
      </c>
      <c r="M140" s="5">
        <f>SUMIFS(SalesDetail[Quantity (KG)],SalesDetail[Customer],$A140,SalesDetail[Year],2020)</f>
        <v>35</v>
      </c>
      <c r="N140" s="5">
        <f>SUMIFS(SalesDetail[Quantity (KG)],SalesDetail[Customer],$A140,SalesDetail[Year],2021)</f>
        <v>52</v>
      </c>
      <c r="O140" s="6">
        <f>SUM(B140:N140)</f>
        <v>682</v>
      </c>
    </row>
    <row r="141" spans="1:15" x14ac:dyDescent="0.3">
      <c r="A141" t="s">
        <v>2372</v>
      </c>
      <c r="B141" s="5">
        <f>SUMIFS(SalesDetail[Quantity (KG)],SalesDetail[Customer],$A141,SalesDetail[Year],2009)</f>
        <v>0</v>
      </c>
      <c r="C141" s="5">
        <f>SUMIFS(SalesDetail[Quantity (KG)],SalesDetail[Customer],$A141,SalesDetail[Year],2010)</f>
        <v>0</v>
      </c>
      <c r="D141" s="5">
        <f>SUMIFS(SalesDetail[Quantity (KG)],SalesDetail[Customer],$A141,SalesDetail[Year],2011)</f>
        <v>105</v>
      </c>
      <c r="E141" s="5">
        <f>SUMIFS(SalesDetail[Quantity (KG)],SalesDetail[Customer],$A141,SalesDetail[Year],2012)</f>
        <v>165</v>
      </c>
      <c r="F141" s="5">
        <f>SUMIFS(SalesDetail[Quantity (KG)],SalesDetail[Customer],$A141,SalesDetail[Year],2013)</f>
        <v>110</v>
      </c>
      <c r="G141" s="5">
        <f>SUMIFS(SalesDetail[Quantity (KG)],SalesDetail[Customer],$A141,SalesDetail[Year],2014)</f>
        <v>105</v>
      </c>
      <c r="H141" s="5">
        <f>SUMIFS(SalesDetail[Quantity (KG)],SalesDetail[Customer],$A141,SalesDetail[Year],2015)</f>
        <v>94.5</v>
      </c>
      <c r="I141" s="5">
        <f>SUMIFS(SalesDetail[Quantity (KG)],SalesDetail[Customer],$A141,SalesDetail[Year],2016)</f>
        <v>74.5</v>
      </c>
      <c r="J141" s="5">
        <f>SUMIFS(SalesDetail[Quantity (KG)],SalesDetail[Customer],$A141,SalesDetail[Year],2017)</f>
        <v>15</v>
      </c>
      <c r="K141" s="5">
        <f>SUMIFS(SalesDetail[Quantity (KG)],SalesDetail[Customer],$A141,SalesDetail[Year],2018)</f>
        <v>10</v>
      </c>
      <c r="L141" s="5">
        <f>SUMIFS(SalesDetail[Quantity (KG)],SalesDetail[Customer],$A141,SalesDetail[Year],2019)</f>
        <v>0</v>
      </c>
      <c r="M141" s="5">
        <f>SUMIFS(SalesDetail[Quantity (KG)],SalesDetail[Customer],$A141,SalesDetail[Year],2020)</f>
        <v>0</v>
      </c>
      <c r="N141" s="5">
        <f>SUMIFS(SalesDetail[Quantity (KG)],SalesDetail[Customer],$A141,SalesDetail[Year],2021)</f>
        <v>0</v>
      </c>
      <c r="O141" s="6">
        <f>SUM(B141:N141)</f>
        <v>679</v>
      </c>
    </row>
    <row r="142" spans="1:15" x14ac:dyDescent="0.3">
      <c r="A142" t="s">
        <v>2368</v>
      </c>
      <c r="B142" s="5">
        <f>SUMIFS(SalesDetail[Quantity (KG)],SalesDetail[Customer],$A142,SalesDetail[Year],2009)</f>
        <v>0</v>
      </c>
      <c r="C142" s="5">
        <f>SUMIFS(SalesDetail[Quantity (KG)],SalesDetail[Customer],$A142,SalesDetail[Year],2010)</f>
        <v>0</v>
      </c>
      <c r="D142" s="5">
        <f>SUMIFS(SalesDetail[Quantity (KG)],SalesDetail[Customer],$A142,SalesDetail[Year],2011)</f>
        <v>0</v>
      </c>
      <c r="E142" s="5">
        <f>SUMIFS(SalesDetail[Quantity (KG)],SalesDetail[Customer],$A142,SalesDetail[Year],2012)</f>
        <v>0</v>
      </c>
      <c r="F142" s="5">
        <f>SUMIFS(SalesDetail[Quantity (KG)],SalesDetail[Customer],$A142,SalesDetail[Year],2013)</f>
        <v>0</v>
      </c>
      <c r="G142" s="5">
        <f>SUMIFS(SalesDetail[Quantity (KG)],SalesDetail[Customer],$A142,SalesDetail[Year],2014)</f>
        <v>0</v>
      </c>
      <c r="H142" s="5">
        <f>SUMIFS(SalesDetail[Quantity (KG)],SalesDetail[Customer],$A142,SalesDetail[Year],2015)</f>
        <v>0</v>
      </c>
      <c r="I142" s="5">
        <f>SUMIFS(SalesDetail[Quantity (KG)],SalesDetail[Customer],$A142,SalesDetail[Year],2016)</f>
        <v>0</v>
      </c>
      <c r="J142" s="5">
        <f>SUMIFS(SalesDetail[Quantity (KG)],SalesDetail[Customer],$A142,SalesDetail[Year],2017)</f>
        <v>0</v>
      </c>
      <c r="K142" s="5">
        <f>SUMIFS(SalesDetail[Quantity (KG)],SalesDetail[Customer],$A142,SalesDetail[Year],2018)</f>
        <v>0</v>
      </c>
      <c r="L142" s="5">
        <f>SUMIFS(SalesDetail[Quantity (KG)],SalesDetail[Customer],$A142,SalesDetail[Year],2019)</f>
        <v>250</v>
      </c>
      <c r="M142" s="5">
        <f>SUMIFS(SalesDetail[Quantity (KG)],SalesDetail[Customer],$A142,SalesDetail[Year],2020)</f>
        <v>425</v>
      </c>
      <c r="N142" s="5">
        <f>SUMIFS(SalesDetail[Quantity (KG)],SalesDetail[Customer],$A142,SalesDetail[Year],2021)</f>
        <v>0</v>
      </c>
      <c r="O142" s="6">
        <f>SUM(B142:N142)</f>
        <v>675</v>
      </c>
    </row>
    <row r="143" spans="1:15" x14ac:dyDescent="0.3">
      <c r="A143" t="s">
        <v>2112</v>
      </c>
      <c r="B143" s="5">
        <f>SUMIFS(SalesDetail[Quantity (KG)],SalesDetail[Customer],$A143,SalesDetail[Year],2009)</f>
        <v>0</v>
      </c>
      <c r="C143" s="5">
        <f>SUMIFS(SalesDetail[Quantity (KG)],SalesDetail[Customer],$A143,SalesDetail[Year],2010)</f>
        <v>0</v>
      </c>
      <c r="D143" s="5">
        <f>SUMIFS(SalesDetail[Quantity (KG)],SalesDetail[Customer],$A143,SalesDetail[Year],2011)</f>
        <v>0</v>
      </c>
      <c r="E143" s="5">
        <f>SUMIFS(SalesDetail[Quantity (KG)],SalesDetail[Customer],$A143,SalesDetail[Year],2012)</f>
        <v>0</v>
      </c>
      <c r="F143" s="5">
        <f>SUMIFS(SalesDetail[Quantity (KG)],SalesDetail[Customer],$A143,SalesDetail[Year],2013)</f>
        <v>0</v>
      </c>
      <c r="G143" s="5">
        <f>SUMIFS(SalesDetail[Quantity (KG)],SalesDetail[Customer],$A143,SalesDetail[Year],2014)</f>
        <v>0</v>
      </c>
      <c r="H143" s="5">
        <f>SUMIFS(SalesDetail[Quantity (KG)],SalesDetail[Customer],$A143,SalesDetail[Year],2015)</f>
        <v>0</v>
      </c>
      <c r="I143" s="5">
        <f>SUMIFS(SalesDetail[Quantity (KG)],SalesDetail[Customer],$A143,SalesDetail[Year],2016)</f>
        <v>0</v>
      </c>
      <c r="J143" s="5">
        <f>SUMIFS(SalesDetail[Quantity (KG)],SalesDetail[Customer],$A143,SalesDetail[Year],2017)</f>
        <v>450</v>
      </c>
      <c r="K143" s="5">
        <f>SUMIFS(SalesDetail[Quantity (KG)],SalesDetail[Customer],$A143,SalesDetail[Year],2018)</f>
        <v>200</v>
      </c>
      <c r="L143" s="5">
        <f>SUMIFS(SalesDetail[Quantity (KG)],SalesDetail[Customer],$A143,SalesDetail[Year],2019)</f>
        <v>0</v>
      </c>
      <c r="M143" s="5">
        <f>SUMIFS(SalesDetail[Quantity (KG)],SalesDetail[Customer],$A143,SalesDetail[Year],2020)</f>
        <v>0</v>
      </c>
      <c r="N143" s="5">
        <f>SUMIFS(SalesDetail[Quantity (KG)],SalesDetail[Customer],$A143,SalesDetail[Year],2021)</f>
        <v>0</v>
      </c>
      <c r="O143" s="6">
        <f>SUM(B143:N143)</f>
        <v>650</v>
      </c>
    </row>
    <row r="144" spans="1:15" x14ac:dyDescent="0.3">
      <c r="A144" t="s">
        <v>2012</v>
      </c>
      <c r="B144" s="5">
        <f>SUMIFS(SalesDetail[Quantity (KG)],SalesDetail[Customer],$A144,SalesDetail[Year],2009)</f>
        <v>125</v>
      </c>
      <c r="C144" s="5">
        <f>SUMIFS(SalesDetail[Quantity (KG)],SalesDetail[Customer],$A144,SalesDetail[Year],2010)</f>
        <v>75</v>
      </c>
      <c r="D144" s="5">
        <f>SUMIFS(SalesDetail[Quantity (KG)],SalesDetail[Customer],$A144,SalesDetail[Year],2011)</f>
        <v>100</v>
      </c>
      <c r="E144" s="5">
        <f>SUMIFS(SalesDetail[Quantity (KG)],SalesDetail[Customer],$A144,SalesDetail[Year],2012)</f>
        <v>75</v>
      </c>
      <c r="F144" s="5">
        <f>SUMIFS(SalesDetail[Quantity (KG)],SalesDetail[Customer],$A144,SalesDetail[Year],2013)</f>
        <v>245</v>
      </c>
      <c r="G144" s="5">
        <f>SUMIFS(SalesDetail[Quantity (KG)],SalesDetail[Customer],$A144,SalesDetail[Year],2014)</f>
        <v>0</v>
      </c>
      <c r="H144" s="5">
        <f>SUMIFS(SalesDetail[Quantity (KG)],SalesDetail[Customer],$A144,SalesDetail[Year],2015)</f>
        <v>25</v>
      </c>
      <c r="I144" s="5">
        <f>SUMIFS(SalesDetail[Quantity (KG)],SalesDetail[Customer],$A144,SalesDetail[Year],2016)</f>
        <v>0</v>
      </c>
      <c r="J144" s="5">
        <f>SUMIFS(SalesDetail[Quantity (KG)],SalesDetail[Customer],$A144,SalesDetail[Year],2017)</f>
        <v>0</v>
      </c>
      <c r="K144" s="5">
        <f>SUMIFS(SalesDetail[Quantity (KG)],SalesDetail[Customer],$A144,SalesDetail[Year],2018)</f>
        <v>0</v>
      </c>
      <c r="L144" s="5">
        <f>SUMIFS(SalesDetail[Quantity (KG)],SalesDetail[Customer],$A144,SalesDetail[Year],2019)</f>
        <v>0</v>
      </c>
      <c r="M144" s="5">
        <f>SUMIFS(SalesDetail[Quantity (KG)],SalesDetail[Customer],$A144,SalesDetail[Year],2020)</f>
        <v>0</v>
      </c>
      <c r="N144" s="5">
        <f>SUMIFS(SalesDetail[Quantity (KG)],SalesDetail[Customer],$A144,SalesDetail[Year],2021)</f>
        <v>0</v>
      </c>
      <c r="O144" s="6">
        <f>SUM(B144:N144)</f>
        <v>645</v>
      </c>
    </row>
    <row r="145" spans="1:15" x14ac:dyDescent="0.3">
      <c r="A145" t="s">
        <v>271</v>
      </c>
      <c r="B145" s="5">
        <f>SUMIFS(SalesDetail[Quantity (KG)],SalesDetail[Customer],$A145,SalesDetail[Year],2009)</f>
        <v>300</v>
      </c>
      <c r="C145" s="5">
        <f>SUMIFS(SalesDetail[Quantity (KG)],SalesDetail[Customer],$A145,SalesDetail[Year],2010)</f>
        <v>225</v>
      </c>
      <c r="D145" s="5">
        <f>SUMIFS(SalesDetail[Quantity (KG)],SalesDetail[Customer],$A145,SalesDetail[Year],2011)</f>
        <v>0</v>
      </c>
      <c r="E145" s="5">
        <f>SUMIFS(SalesDetail[Quantity (KG)],SalesDetail[Customer],$A145,SalesDetail[Year],2012)</f>
        <v>90</v>
      </c>
      <c r="F145" s="5">
        <f>SUMIFS(SalesDetail[Quantity (KG)],SalesDetail[Customer],$A145,SalesDetail[Year],2013)</f>
        <v>0</v>
      </c>
      <c r="G145" s="5">
        <f>SUMIFS(SalesDetail[Quantity (KG)],SalesDetail[Customer],$A145,SalesDetail[Year],2014)</f>
        <v>25</v>
      </c>
      <c r="H145" s="5">
        <f>SUMIFS(SalesDetail[Quantity (KG)],SalesDetail[Customer],$A145,SalesDetail[Year],2015)</f>
        <v>0</v>
      </c>
      <c r="I145" s="5">
        <f>SUMIFS(SalesDetail[Quantity (KG)],SalesDetail[Customer],$A145,SalesDetail[Year],2016)</f>
        <v>0</v>
      </c>
      <c r="J145" s="5">
        <f>SUMIFS(SalesDetail[Quantity (KG)],SalesDetail[Customer],$A145,SalesDetail[Year],2017)</f>
        <v>0</v>
      </c>
      <c r="K145" s="5">
        <f>SUMIFS(SalesDetail[Quantity (KG)],SalesDetail[Customer],$A145,SalesDetail[Year],2018)</f>
        <v>0</v>
      </c>
      <c r="L145" s="5">
        <f>SUMIFS(SalesDetail[Quantity (KG)],SalesDetail[Customer],$A145,SalesDetail[Year],2019)</f>
        <v>0</v>
      </c>
      <c r="M145" s="5">
        <f>SUMIFS(SalesDetail[Quantity (KG)],SalesDetail[Customer],$A145,SalesDetail[Year],2020)</f>
        <v>0</v>
      </c>
      <c r="N145" s="5">
        <f>SUMIFS(SalesDetail[Quantity (KG)],SalesDetail[Customer],$A145,SalesDetail[Year],2021)</f>
        <v>0</v>
      </c>
      <c r="O145" s="6">
        <f>SUM(B145:N145)</f>
        <v>640</v>
      </c>
    </row>
    <row r="146" spans="1:15" x14ac:dyDescent="0.3">
      <c r="A146" t="s">
        <v>1407</v>
      </c>
      <c r="B146" s="5">
        <f>SUMIFS(SalesDetail[Quantity (KG)],SalesDetail[Customer],$A146,SalesDetail[Year],2009)</f>
        <v>0</v>
      </c>
      <c r="C146" s="5">
        <f>SUMIFS(SalesDetail[Quantity (KG)],SalesDetail[Customer],$A146,SalesDetail[Year],2010)</f>
        <v>0</v>
      </c>
      <c r="D146" s="5">
        <f>SUMIFS(SalesDetail[Quantity (KG)],SalesDetail[Customer],$A146,SalesDetail[Year],2011)</f>
        <v>0</v>
      </c>
      <c r="E146" s="5">
        <f>SUMIFS(SalesDetail[Quantity (KG)],SalesDetail[Customer],$A146,SalesDetail[Year],2012)</f>
        <v>0</v>
      </c>
      <c r="F146" s="5">
        <f>SUMIFS(SalesDetail[Quantity (KG)],SalesDetail[Customer],$A146,SalesDetail[Year],2013)</f>
        <v>0</v>
      </c>
      <c r="G146" s="5">
        <f>SUMIFS(SalesDetail[Quantity (KG)],SalesDetail[Customer],$A146,SalesDetail[Year],2014)</f>
        <v>0</v>
      </c>
      <c r="H146" s="5">
        <f>SUMIFS(SalesDetail[Quantity (KG)],SalesDetail[Customer],$A146,SalesDetail[Year],2015)</f>
        <v>0</v>
      </c>
      <c r="I146" s="5">
        <f>SUMIFS(SalesDetail[Quantity (KG)],SalesDetail[Customer],$A146,SalesDetail[Year],2016)</f>
        <v>0</v>
      </c>
      <c r="J146" s="5">
        <f>SUMIFS(SalesDetail[Quantity (KG)],SalesDetail[Customer],$A146,SalesDetail[Year],2017)</f>
        <v>5</v>
      </c>
      <c r="K146" s="5">
        <f>SUMIFS(SalesDetail[Quantity (KG)],SalesDetail[Customer],$A146,SalesDetail[Year],2018)</f>
        <v>1</v>
      </c>
      <c r="L146" s="5">
        <f>SUMIFS(SalesDetail[Quantity (KG)],SalesDetail[Customer],$A146,SalesDetail[Year],2019)</f>
        <v>306</v>
      </c>
      <c r="M146" s="5">
        <f>SUMIFS(SalesDetail[Quantity (KG)],SalesDetail[Customer],$A146,SalesDetail[Year],2020)</f>
        <v>194</v>
      </c>
      <c r="N146" s="5">
        <f>SUMIFS(SalesDetail[Quantity (KG)],SalesDetail[Customer],$A146,SalesDetail[Year],2021)</f>
        <v>132.5</v>
      </c>
      <c r="O146" s="6">
        <f>SUM(B146:N146)</f>
        <v>638.5</v>
      </c>
    </row>
    <row r="147" spans="1:15" x14ac:dyDescent="0.3">
      <c r="A147" t="s">
        <v>2200</v>
      </c>
      <c r="B147" s="5">
        <f>SUMIFS(SalesDetail[Quantity (KG)],SalesDetail[Customer],$A147,SalesDetail[Year],2009)</f>
        <v>0</v>
      </c>
      <c r="C147" s="5">
        <f>SUMIFS(SalesDetail[Quantity (KG)],SalesDetail[Customer],$A147,SalesDetail[Year],2010)</f>
        <v>0</v>
      </c>
      <c r="D147" s="5">
        <f>SUMIFS(SalesDetail[Quantity (KG)],SalesDetail[Customer],$A147,SalesDetail[Year],2011)</f>
        <v>0</v>
      </c>
      <c r="E147" s="5">
        <f>SUMIFS(SalesDetail[Quantity (KG)],SalesDetail[Customer],$A147,SalesDetail[Year],2012)</f>
        <v>0</v>
      </c>
      <c r="F147" s="5">
        <f>SUMIFS(SalesDetail[Quantity (KG)],SalesDetail[Customer],$A147,SalesDetail[Year],2013)</f>
        <v>0</v>
      </c>
      <c r="G147" s="5">
        <f>SUMIFS(SalesDetail[Quantity (KG)],SalesDetail[Customer],$A147,SalesDetail[Year],2014)</f>
        <v>0</v>
      </c>
      <c r="H147" s="5">
        <f>SUMIFS(SalesDetail[Quantity (KG)],SalesDetail[Customer],$A147,SalesDetail[Year],2015)</f>
        <v>0</v>
      </c>
      <c r="I147" s="5">
        <f>SUMIFS(SalesDetail[Quantity (KG)],SalesDetail[Customer],$A147,SalesDetail[Year],2016)</f>
        <v>30</v>
      </c>
      <c r="J147" s="5">
        <f>SUMIFS(SalesDetail[Quantity (KG)],SalesDetail[Customer],$A147,SalesDetail[Year],2017)</f>
        <v>0</v>
      </c>
      <c r="K147" s="5">
        <f>SUMIFS(SalesDetail[Quantity (KG)],SalesDetail[Customer],$A147,SalesDetail[Year],2018)</f>
        <v>0</v>
      </c>
      <c r="L147" s="5">
        <f>SUMIFS(SalesDetail[Quantity (KG)],SalesDetail[Customer],$A147,SalesDetail[Year],2019)</f>
        <v>0</v>
      </c>
      <c r="M147" s="5">
        <f>SUMIFS(SalesDetail[Quantity (KG)],SalesDetail[Customer],$A147,SalesDetail[Year],2020)</f>
        <v>525</v>
      </c>
      <c r="N147" s="5">
        <f>SUMIFS(SalesDetail[Quantity (KG)],SalesDetail[Customer],$A147,SalesDetail[Year],2021)</f>
        <v>70</v>
      </c>
      <c r="O147" s="6">
        <f>SUM(B147:N147)</f>
        <v>625</v>
      </c>
    </row>
    <row r="148" spans="1:15" x14ac:dyDescent="0.3">
      <c r="A148" t="s">
        <v>2238</v>
      </c>
      <c r="B148" s="5">
        <f>SUMIFS(SalesDetail[Quantity (KG)],SalesDetail[Customer],$A148,SalesDetail[Year],2009)</f>
        <v>0</v>
      </c>
      <c r="C148" s="5">
        <f>SUMIFS(SalesDetail[Quantity (KG)],SalesDetail[Customer],$A148,SalesDetail[Year],2010)</f>
        <v>0</v>
      </c>
      <c r="D148" s="5">
        <f>SUMIFS(SalesDetail[Quantity (KG)],SalesDetail[Customer],$A148,SalesDetail[Year],2011)</f>
        <v>0</v>
      </c>
      <c r="E148" s="5">
        <f>SUMIFS(SalesDetail[Quantity (KG)],SalesDetail[Customer],$A148,SalesDetail[Year],2012)</f>
        <v>0</v>
      </c>
      <c r="F148" s="5">
        <f>SUMIFS(SalesDetail[Quantity (KG)],SalesDetail[Customer],$A148,SalesDetail[Year],2013)</f>
        <v>0</v>
      </c>
      <c r="G148" s="5">
        <f>SUMIFS(SalesDetail[Quantity (KG)],SalesDetail[Customer],$A148,SalesDetail[Year],2014)</f>
        <v>25</v>
      </c>
      <c r="H148" s="5">
        <f>SUMIFS(SalesDetail[Quantity (KG)],SalesDetail[Customer],$A148,SalesDetail[Year],2015)</f>
        <v>0</v>
      </c>
      <c r="I148" s="5">
        <f>SUMIFS(SalesDetail[Quantity (KG)],SalesDetail[Customer],$A148,SalesDetail[Year],2016)</f>
        <v>334</v>
      </c>
      <c r="J148" s="5">
        <f>SUMIFS(SalesDetail[Quantity (KG)],SalesDetail[Customer],$A148,SalesDetail[Year],2017)</f>
        <v>175</v>
      </c>
      <c r="K148" s="5">
        <f>SUMIFS(SalesDetail[Quantity (KG)],SalesDetail[Customer],$A148,SalesDetail[Year],2018)</f>
        <v>90</v>
      </c>
      <c r="L148" s="5">
        <f>SUMIFS(SalesDetail[Quantity (KG)],SalesDetail[Customer],$A148,SalesDetail[Year],2019)</f>
        <v>0</v>
      </c>
      <c r="M148" s="5">
        <f>SUMIFS(SalesDetail[Quantity (KG)],SalesDetail[Customer],$A148,SalesDetail[Year],2020)</f>
        <v>0</v>
      </c>
      <c r="N148" s="5">
        <f>SUMIFS(SalesDetail[Quantity (KG)],SalesDetail[Customer],$A148,SalesDetail[Year],2021)</f>
        <v>0</v>
      </c>
      <c r="O148" s="6">
        <f>SUM(B148:N148)</f>
        <v>624</v>
      </c>
    </row>
    <row r="149" spans="1:15" x14ac:dyDescent="0.3">
      <c r="A149" t="s">
        <v>775</v>
      </c>
      <c r="B149" s="5">
        <f>SUMIFS(SalesDetail[Quantity (KG)],SalesDetail[Customer],$A149,SalesDetail[Year],2009)</f>
        <v>0</v>
      </c>
      <c r="C149" s="5">
        <f>SUMIFS(SalesDetail[Quantity (KG)],SalesDetail[Customer],$A149,SalesDetail[Year],2010)</f>
        <v>0</v>
      </c>
      <c r="D149" s="5">
        <f>SUMIFS(SalesDetail[Quantity (KG)],SalesDetail[Customer],$A149,SalesDetail[Year],2011)</f>
        <v>0</v>
      </c>
      <c r="E149" s="5">
        <f>SUMIFS(SalesDetail[Quantity (KG)],SalesDetail[Customer],$A149,SalesDetail[Year],2012)</f>
        <v>0</v>
      </c>
      <c r="F149" s="5">
        <f>SUMIFS(SalesDetail[Quantity (KG)],SalesDetail[Customer],$A149,SalesDetail[Year],2013)</f>
        <v>0</v>
      </c>
      <c r="G149" s="5">
        <f>SUMIFS(SalesDetail[Quantity (KG)],SalesDetail[Customer],$A149,SalesDetail[Year],2014)</f>
        <v>0</v>
      </c>
      <c r="H149" s="5">
        <f>SUMIFS(SalesDetail[Quantity (KG)],SalesDetail[Customer],$A149,SalesDetail[Year],2015)</f>
        <v>100</v>
      </c>
      <c r="I149" s="5">
        <f>SUMIFS(SalesDetail[Quantity (KG)],SalesDetail[Customer],$A149,SalesDetail[Year],2016)</f>
        <v>195</v>
      </c>
      <c r="J149" s="5">
        <f>SUMIFS(SalesDetail[Quantity (KG)],SalesDetail[Customer],$A149,SalesDetail[Year],2017)</f>
        <v>260</v>
      </c>
      <c r="K149" s="5">
        <f>SUMIFS(SalesDetail[Quantity (KG)],SalesDetail[Customer],$A149,SalesDetail[Year],2018)</f>
        <v>45</v>
      </c>
      <c r="L149" s="5">
        <f>SUMIFS(SalesDetail[Quantity (KG)],SalesDetail[Customer],$A149,SalesDetail[Year],2019)</f>
        <v>0</v>
      </c>
      <c r="M149" s="5">
        <f>SUMIFS(SalesDetail[Quantity (KG)],SalesDetail[Customer],$A149,SalesDetail[Year],2020)</f>
        <v>0</v>
      </c>
      <c r="N149" s="5">
        <f>SUMIFS(SalesDetail[Quantity (KG)],SalesDetail[Customer],$A149,SalesDetail[Year],2021)</f>
        <v>0</v>
      </c>
      <c r="O149" s="6">
        <f>SUM(B149:N149)</f>
        <v>600</v>
      </c>
    </row>
    <row r="150" spans="1:15" x14ac:dyDescent="0.3">
      <c r="A150" t="s">
        <v>2301</v>
      </c>
      <c r="B150" s="5">
        <f>SUMIFS(SalesDetail[Quantity (KG)],SalesDetail[Customer],$A150,SalesDetail[Year],2009)</f>
        <v>0</v>
      </c>
      <c r="C150" s="5">
        <f>SUMIFS(SalesDetail[Quantity (KG)],SalesDetail[Customer],$A150,SalesDetail[Year],2010)</f>
        <v>0</v>
      </c>
      <c r="D150" s="5">
        <f>SUMIFS(SalesDetail[Quantity (KG)],SalesDetail[Customer],$A150,SalesDetail[Year],2011)</f>
        <v>0</v>
      </c>
      <c r="E150" s="5">
        <f>SUMIFS(SalesDetail[Quantity (KG)],SalesDetail[Customer],$A150,SalesDetail[Year],2012)</f>
        <v>0</v>
      </c>
      <c r="F150" s="5">
        <f>SUMIFS(SalesDetail[Quantity (KG)],SalesDetail[Customer],$A150,SalesDetail[Year],2013)</f>
        <v>0</v>
      </c>
      <c r="G150" s="5">
        <f>SUMIFS(SalesDetail[Quantity (KG)],SalesDetail[Customer],$A150,SalesDetail[Year],2014)</f>
        <v>0</v>
      </c>
      <c r="H150" s="5">
        <f>SUMIFS(SalesDetail[Quantity (KG)],SalesDetail[Customer],$A150,SalesDetail[Year],2015)</f>
        <v>0</v>
      </c>
      <c r="I150" s="5">
        <f>SUMIFS(SalesDetail[Quantity (KG)],SalesDetail[Customer],$A150,SalesDetail[Year],2016)</f>
        <v>0</v>
      </c>
      <c r="J150" s="5">
        <f>SUMIFS(SalesDetail[Quantity (KG)],SalesDetail[Customer],$A150,SalesDetail[Year],2017)</f>
        <v>102</v>
      </c>
      <c r="K150" s="5">
        <f>SUMIFS(SalesDetail[Quantity (KG)],SalesDetail[Customer],$A150,SalesDetail[Year],2018)</f>
        <v>425</v>
      </c>
      <c r="L150" s="5">
        <f>SUMIFS(SalesDetail[Quantity (KG)],SalesDetail[Customer],$A150,SalesDetail[Year],2019)</f>
        <v>53</v>
      </c>
      <c r="M150" s="5">
        <f>SUMIFS(SalesDetail[Quantity (KG)],SalesDetail[Customer],$A150,SalesDetail[Year],2020)</f>
        <v>0</v>
      </c>
      <c r="N150" s="5">
        <f>SUMIFS(SalesDetail[Quantity (KG)],SalesDetail[Customer],$A150,SalesDetail[Year],2021)</f>
        <v>6</v>
      </c>
      <c r="O150" s="6">
        <f>SUM(B150:N150)</f>
        <v>586</v>
      </c>
    </row>
    <row r="151" spans="1:15" x14ac:dyDescent="0.3">
      <c r="A151" t="s">
        <v>1331</v>
      </c>
      <c r="B151" s="5">
        <f>SUMIFS(SalesDetail[Quantity (KG)],SalesDetail[Customer],$A151,SalesDetail[Year],2009)</f>
        <v>0</v>
      </c>
      <c r="C151" s="5">
        <f>SUMIFS(SalesDetail[Quantity (KG)],SalesDetail[Customer],$A151,SalesDetail[Year],2010)</f>
        <v>0</v>
      </c>
      <c r="D151" s="5">
        <f>SUMIFS(SalesDetail[Quantity (KG)],SalesDetail[Customer],$A151,SalesDetail[Year],2011)</f>
        <v>0</v>
      </c>
      <c r="E151" s="5">
        <f>SUMIFS(SalesDetail[Quantity (KG)],SalesDetail[Customer],$A151,SalesDetail[Year],2012)</f>
        <v>0</v>
      </c>
      <c r="F151" s="5">
        <f>SUMIFS(SalesDetail[Quantity (KG)],SalesDetail[Customer],$A151,SalesDetail[Year],2013)</f>
        <v>0</v>
      </c>
      <c r="G151" s="5">
        <f>SUMIFS(SalesDetail[Quantity (KG)],SalesDetail[Customer],$A151,SalesDetail[Year],2014)</f>
        <v>0</v>
      </c>
      <c r="H151" s="5">
        <f>SUMIFS(SalesDetail[Quantity (KG)],SalesDetail[Customer],$A151,SalesDetail[Year],2015)</f>
        <v>0</v>
      </c>
      <c r="I151" s="5">
        <f>SUMIFS(SalesDetail[Quantity (KG)],SalesDetail[Customer],$A151,SalesDetail[Year],2016)</f>
        <v>0</v>
      </c>
      <c r="J151" s="5">
        <f>SUMIFS(SalesDetail[Quantity (KG)],SalesDetail[Customer],$A151,SalesDetail[Year],2017)</f>
        <v>0</v>
      </c>
      <c r="K151" s="5">
        <f>SUMIFS(SalesDetail[Quantity (KG)],SalesDetail[Customer],$A151,SalesDetail[Year],2018)</f>
        <v>0</v>
      </c>
      <c r="L151" s="5">
        <f>SUMIFS(SalesDetail[Quantity (KG)],SalesDetail[Customer],$A151,SalesDetail[Year],2019)</f>
        <v>0</v>
      </c>
      <c r="M151" s="5">
        <f>SUMIFS(SalesDetail[Quantity (KG)],SalesDetail[Customer],$A151,SalesDetail[Year],2020)</f>
        <v>225</v>
      </c>
      <c r="N151" s="5">
        <f>SUMIFS(SalesDetail[Quantity (KG)],SalesDetail[Customer],$A151,SalesDetail[Year],2021)</f>
        <v>360</v>
      </c>
      <c r="O151" s="6">
        <f>SUM(B151:N151)</f>
        <v>585</v>
      </c>
    </row>
    <row r="152" spans="1:15" x14ac:dyDescent="0.3">
      <c r="A152" t="s">
        <v>2534</v>
      </c>
      <c r="B152" s="5">
        <f>SUMIFS(SalesDetail[Quantity (KG)],SalesDetail[Customer],$A152,SalesDetail[Year],2009)</f>
        <v>0</v>
      </c>
      <c r="C152" s="5">
        <f>SUMIFS(SalesDetail[Quantity (KG)],SalesDetail[Customer],$A152,SalesDetail[Year],2010)</f>
        <v>0</v>
      </c>
      <c r="D152" s="5">
        <f>SUMIFS(SalesDetail[Quantity (KG)],SalesDetail[Customer],$A152,SalesDetail[Year],2011)</f>
        <v>0</v>
      </c>
      <c r="E152" s="5">
        <f>SUMIFS(SalesDetail[Quantity (KG)],SalesDetail[Customer],$A152,SalesDetail[Year],2012)</f>
        <v>0</v>
      </c>
      <c r="F152" s="5">
        <f>SUMIFS(SalesDetail[Quantity (KG)],SalesDetail[Customer],$A152,SalesDetail[Year],2013)</f>
        <v>0</v>
      </c>
      <c r="G152" s="5">
        <f>SUMIFS(SalesDetail[Quantity (KG)],SalesDetail[Customer],$A152,SalesDetail[Year],2014)</f>
        <v>0</v>
      </c>
      <c r="H152" s="5">
        <f>SUMIFS(SalesDetail[Quantity (KG)],SalesDetail[Customer],$A152,SalesDetail[Year],2015)</f>
        <v>0</v>
      </c>
      <c r="I152" s="5">
        <f>SUMIFS(SalesDetail[Quantity (KG)],SalesDetail[Customer],$A152,SalesDetail[Year],2016)</f>
        <v>0</v>
      </c>
      <c r="J152" s="5">
        <f>SUMIFS(SalesDetail[Quantity (KG)],SalesDetail[Customer],$A152,SalesDetail[Year],2017)</f>
        <v>0</v>
      </c>
      <c r="K152" s="5">
        <f>SUMIFS(SalesDetail[Quantity (KG)],SalesDetail[Customer],$A152,SalesDetail[Year],2018)</f>
        <v>115</v>
      </c>
      <c r="L152" s="5">
        <f>SUMIFS(SalesDetail[Quantity (KG)],SalesDetail[Customer],$A152,SalesDetail[Year],2019)</f>
        <v>225</v>
      </c>
      <c r="M152" s="5">
        <f>SUMIFS(SalesDetail[Quantity (KG)],SalesDetail[Customer],$A152,SalesDetail[Year],2020)</f>
        <v>162</v>
      </c>
      <c r="N152" s="5">
        <f>SUMIFS(SalesDetail[Quantity (KG)],SalesDetail[Customer],$A152,SalesDetail[Year],2021)</f>
        <v>50</v>
      </c>
      <c r="O152" s="6">
        <f>SUM(B152:N152)</f>
        <v>552</v>
      </c>
    </row>
    <row r="153" spans="1:15" x14ac:dyDescent="0.3">
      <c r="A153" t="s">
        <v>523</v>
      </c>
      <c r="B153" s="5">
        <f>SUMIFS(SalesDetail[Quantity (KG)],SalesDetail[Customer],$A153,SalesDetail[Year],2009)</f>
        <v>0</v>
      </c>
      <c r="C153" s="5">
        <f>SUMIFS(SalesDetail[Quantity (KG)],SalesDetail[Customer],$A153,SalesDetail[Year],2010)</f>
        <v>0</v>
      </c>
      <c r="D153" s="5">
        <f>SUMIFS(SalesDetail[Quantity (KG)],SalesDetail[Customer],$A153,SalesDetail[Year],2011)</f>
        <v>0</v>
      </c>
      <c r="E153" s="5">
        <f>SUMIFS(SalesDetail[Quantity (KG)],SalesDetail[Customer],$A153,SalesDetail[Year],2012)</f>
        <v>0</v>
      </c>
      <c r="F153" s="5">
        <f>SUMIFS(SalesDetail[Quantity (KG)],SalesDetail[Customer],$A153,SalesDetail[Year],2013)</f>
        <v>0</v>
      </c>
      <c r="G153" s="5">
        <f>SUMIFS(SalesDetail[Quantity (KG)],SalesDetail[Customer],$A153,SalesDetail[Year],2014)</f>
        <v>0</v>
      </c>
      <c r="H153" s="5">
        <f>SUMIFS(SalesDetail[Quantity (KG)],SalesDetail[Customer],$A153,SalesDetail[Year],2015)</f>
        <v>0</v>
      </c>
      <c r="I153" s="5">
        <f>SUMIFS(SalesDetail[Quantity (KG)],SalesDetail[Customer],$A153,SalesDetail[Year],2016)</f>
        <v>316</v>
      </c>
      <c r="J153" s="5">
        <f>SUMIFS(SalesDetail[Quantity (KG)],SalesDetail[Customer],$A153,SalesDetail[Year],2017)</f>
        <v>95</v>
      </c>
      <c r="K153" s="5">
        <f>SUMIFS(SalesDetail[Quantity (KG)],SalesDetail[Customer],$A153,SalesDetail[Year],2018)</f>
        <v>20</v>
      </c>
      <c r="L153" s="5">
        <f>SUMIFS(SalesDetail[Quantity (KG)],SalesDetail[Customer],$A153,SalesDetail[Year],2019)</f>
        <v>70</v>
      </c>
      <c r="M153" s="5">
        <f>SUMIFS(SalesDetail[Quantity (KG)],SalesDetail[Customer],$A153,SalesDetail[Year],2020)</f>
        <v>25</v>
      </c>
      <c r="N153" s="5">
        <f>SUMIFS(SalesDetail[Quantity (KG)],SalesDetail[Customer],$A153,SalesDetail[Year],2021)</f>
        <v>20</v>
      </c>
      <c r="O153" s="6">
        <f>SUM(B153:N153)</f>
        <v>546</v>
      </c>
    </row>
    <row r="154" spans="1:15" x14ac:dyDescent="0.3">
      <c r="A154" t="s">
        <v>2504</v>
      </c>
      <c r="B154" s="5">
        <f>SUMIFS(SalesDetail[Quantity (KG)],SalesDetail[Customer],$A154,SalesDetail[Year],2009)</f>
        <v>0</v>
      </c>
      <c r="C154" s="5">
        <f>SUMIFS(SalesDetail[Quantity (KG)],SalesDetail[Customer],$A154,SalesDetail[Year],2010)</f>
        <v>0</v>
      </c>
      <c r="D154" s="5">
        <f>SUMIFS(SalesDetail[Quantity (KG)],SalesDetail[Customer],$A154,SalesDetail[Year],2011)</f>
        <v>0</v>
      </c>
      <c r="E154" s="5">
        <f>SUMIFS(SalesDetail[Quantity (KG)],SalesDetail[Customer],$A154,SalesDetail[Year],2012)</f>
        <v>0</v>
      </c>
      <c r="F154" s="5">
        <f>SUMIFS(SalesDetail[Quantity (KG)],SalesDetail[Customer],$A154,SalesDetail[Year],2013)</f>
        <v>0</v>
      </c>
      <c r="G154" s="5">
        <f>SUMIFS(SalesDetail[Quantity (KG)],SalesDetail[Customer],$A154,SalesDetail[Year],2014)</f>
        <v>0</v>
      </c>
      <c r="H154" s="5">
        <f>SUMIFS(SalesDetail[Quantity (KG)],SalesDetail[Customer],$A154,SalesDetail[Year],2015)</f>
        <v>0</v>
      </c>
      <c r="I154" s="5">
        <f>SUMIFS(SalesDetail[Quantity (KG)],SalesDetail[Customer],$A154,SalesDetail[Year],2016)</f>
        <v>0</v>
      </c>
      <c r="J154" s="5">
        <f>SUMIFS(SalesDetail[Quantity (KG)],SalesDetail[Customer],$A154,SalesDetail[Year],2017)</f>
        <v>0</v>
      </c>
      <c r="K154" s="5">
        <f>SUMIFS(SalesDetail[Quantity (KG)],SalesDetail[Customer],$A154,SalesDetail[Year],2018)</f>
        <v>0</v>
      </c>
      <c r="L154" s="5">
        <f>SUMIFS(SalesDetail[Quantity (KG)],SalesDetail[Customer],$A154,SalesDetail[Year],2019)</f>
        <v>110</v>
      </c>
      <c r="M154" s="5">
        <f>SUMIFS(SalesDetail[Quantity (KG)],SalesDetail[Customer],$A154,SalesDetail[Year],2020)</f>
        <v>330</v>
      </c>
      <c r="N154" s="5">
        <f>SUMIFS(SalesDetail[Quantity (KG)],SalesDetail[Customer],$A154,SalesDetail[Year],2021)</f>
        <v>100</v>
      </c>
      <c r="O154" s="6">
        <f>SUM(B154:N154)</f>
        <v>540</v>
      </c>
    </row>
    <row r="155" spans="1:15" x14ac:dyDescent="0.3">
      <c r="A155" t="s">
        <v>2535</v>
      </c>
      <c r="B155" s="5">
        <f>SUMIFS(SalesDetail[Quantity (KG)],SalesDetail[Customer],$A155,SalesDetail[Year],2009)</f>
        <v>0</v>
      </c>
      <c r="C155" s="5">
        <f>SUMIFS(SalesDetail[Quantity (KG)],SalesDetail[Customer],$A155,SalesDetail[Year],2010)</f>
        <v>0</v>
      </c>
      <c r="D155" s="5">
        <f>SUMIFS(SalesDetail[Quantity (KG)],SalesDetail[Customer],$A155,SalesDetail[Year],2011)</f>
        <v>0</v>
      </c>
      <c r="E155" s="5">
        <f>SUMIFS(SalesDetail[Quantity (KG)],SalesDetail[Customer],$A155,SalesDetail[Year],2012)</f>
        <v>0</v>
      </c>
      <c r="F155" s="5">
        <f>SUMIFS(SalesDetail[Quantity (KG)],SalesDetail[Customer],$A155,SalesDetail[Year],2013)</f>
        <v>0</v>
      </c>
      <c r="G155" s="5">
        <f>SUMIFS(SalesDetail[Quantity (KG)],SalesDetail[Customer],$A155,SalesDetail[Year],2014)</f>
        <v>0</v>
      </c>
      <c r="H155" s="5">
        <f>SUMIFS(SalesDetail[Quantity (KG)],SalesDetail[Customer],$A155,SalesDetail[Year],2015)</f>
        <v>11</v>
      </c>
      <c r="I155" s="5">
        <f>SUMIFS(SalesDetail[Quantity (KG)],SalesDetail[Customer],$A155,SalesDetail[Year],2016)</f>
        <v>165</v>
      </c>
      <c r="J155" s="5">
        <f>SUMIFS(SalesDetail[Quantity (KG)],SalesDetail[Customer],$A155,SalesDetail[Year],2017)</f>
        <v>315</v>
      </c>
      <c r="K155" s="5">
        <f>SUMIFS(SalesDetail[Quantity (KG)],SalesDetail[Customer],$A155,SalesDetail[Year],2018)</f>
        <v>25</v>
      </c>
      <c r="L155" s="5">
        <f>SUMIFS(SalesDetail[Quantity (KG)],SalesDetail[Customer],$A155,SalesDetail[Year],2019)</f>
        <v>0</v>
      </c>
      <c r="M155" s="5">
        <f>SUMIFS(SalesDetail[Quantity (KG)],SalesDetail[Customer],$A155,SalesDetail[Year],2020)</f>
        <v>0</v>
      </c>
      <c r="N155" s="5">
        <f>SUMIFS(SalesDetail[Quantity (KG)],SalesDetail[Customer],$A155,SalesDetail[Year],2021)</f>
        <v>0</v>
      </c>
      <c r="O155" s="6">
        <f>SUM(B155:N155)</f>
        <v>516</v>
      </c>
    </row>
    <row r="156" spans="1:15" x14ac:dyDescent="0.3">
      <c r="A156" t="s">
        <v>1399</v>
      </c>
      <c r="B156" s="5">
        <f>SUMIFS(SalesDetail[Quantity (KG)],SalesDetail[Customer],$A156,SalesDetail[Year],2009)</f>
        <v>0</v>
      </c>
      <c r="C156" s="5">
        <f>SUMIFS(SalesDetail[Quantity (KG)],SalesDetail[Customer],$A156,SalesDetail[Year],2010)</f>
        <v>0</v>
      </c>
      <c r="D156" s="5">
        <f>SUMIFS(SalesDetail[Quantity (KG)],SalesDetail[Customer],$A156,SalesDetail[Year],2011)</f>
        <v>0</v>
      </c>
      <c r="E156" s="5">
        <f>SUMIFS(SalesDetail[Quantity (KG)],SalesDetail[Customer],$A156,SalesDetail[Year],2012)</f>
        <v>0</v>
      </c>
      <c r="F156" s="5">
        <f>SUMIFS(SalesDetail[Quantity (KG)],SalesDetail[Customer],$A156,SalesDetail[Year],2013)</f>
        <v>0</v>
      </c>
      <c r="G156" s="5">
        <f>SUMIFS(SalesDetail[Quantity (KG)],SalesDetail[Customer],$A156,SalesDetail[Year],2014)</f>
        <v>0</v>
      </c>
      <c r="H156" s="5">
        <f>SUMIFS(SalesDetail[Quantity (KG)],SalesDetail[Customer],$A156,SalesDetail[Year],2015)</f>
        <v>0</v>
      </c>
      <c r="I156" s="5">
        <f>SUMIFS(SalesDetail[Quantity (KG)],SalesDetail[Customer],$A156,SalesDetail[Year],2016)</f>
        <v>0</v>
      </c>
      <c r="J156" s="5">
        <f>SUMIFS(SalesDetail[Quantity (KG)],SalesDetail[Customer],$A156,SalesDetail[Year],2017)</f>
        <v>95</v>
      </c>
      <c r="K156" s="5">
        <f>SUMIFS(SalesDetail[Quantity (KG)],SalesDetail[Customer],$A156,SalesDetail[Year],2018)</f>
        <v>65</v>
      </c>
      <c r="L156" s="5">
        <f>SUMIFS(SalesDetail[Quantity (KG)],SalesDetail[Customer],$A156,SalesDetail[Year],2019)</f>
        <v>140</v>
      </c>
      <c r="M156" s="5">
        <f>SUMIFS(SalesDetail[Quantity (KG)],SalesDetail[Customer],$A156,SalesDetail[Year],2020)</f>
        <v>215</v>
      </c>
      <c r="N156" s="5">
        <f>SUMIFS(SalesDetail[Quantity (KG)],SalesDetail[Customer],$A156,SalesDetail[Year],2021)</f>
        <v>0</v>
      </c>
      <c r="O156" s="6">
        <f>SUM(B156:N156)</f>
        <v>515</v>
      </c>
    </row>
    <row r="157" spans="1:15" x14ac:dyDescent="0.3">
      <c r="A157" t="s">
        <v>2308</v>
      </c>
      <c r="B157" s="5">
        <f>SUMIFS(SalesDetail[Quantity (KG)],SalesDetail[Customer],$A157,SalesDetail[Year],2009)</f>
        <v>0</v>
      </c>
      <c r="C157" s="5">
        <f>SUMIFS(SalesDetail[Quantity (KG)],SalesDetail[Customer],$A157,SalesDetail[Year],2010)</f>
        <v>0</v>
      </c>
      <c r="D157" s="5">
        <f>SUMIFS(SalesDetail[Quantity (KG)],SalesDetail[Customer],$A157,SalesDetail[Year],2011)</f>
        <v>0</v>
      </c>
      <c r="E157" s="5">
        <f>SUMIFS(SalesDetail[Quantity (KG)],SalesDetail[Customer],$A157,SalesDetail[Year],2012)</f>
        <v>0</v>
      </c>
      <c r="F157" s="5">
        <f>SUMIFS(SalesDetail[Quantity (KG)],SalesDetail[Customer],$A157,SalesDetail[Year],2013)</f>
        <v>0</v>
      </c>
      <c r="G157" s="5">
        <f>SUMIFS(SalesDetail[Quantity (KG)],SalesDetail[Customer],$A157,SalesDetail[Year],2014)</f>
        <v>0</v>
      </c>
      <c r="H157" s="5">
        <f>SUMIFS(SalesDetail[Quantity (KG)],SalesDetail[Customer],$A157,SalesDetail[Year],2015)</f>
        <v>0</v>
      </c>
      <c r="I157" s="5">
        <f>SUMIFS(SalesDetail[Quantity (KG)],SalesDetail[Customer],$A157,SalesDetail[Year],2016)</f>
        <v>0</v>
      </c>
      <c r="J157" s="5">
        <f>SUMIFS(SalesDetail[Quantity (KG)],SalesDetail[Customer],$A157,SalesDetail[Year],2017)</f>
        <v>0</v>
      </c>
      <c r="K157" s="5">
        <f>SUMIFS(SalesDetail[Quantity (KG)],SalesDetail[Customer],$A157,SalesDetail[Year],2018)</f>
        <v>0</v>
      </c>
      <c r="L157" s="5">
        <f>SUMIFS(SalesDetail[Quantity (KG)],SalesDetail[Customer],$A157,SalesDetail[Year],2019)</f>
        <v>240</v>
      </c>
      <c r="M157" s="5">
        <f>SUMIFS(SalesDetail[Quantity (KG)],SalesDetail[Customer],$A157,SalesDetail[Year],2020)</f>
        <v>249</v>
      </c>
      <c r="N157" s="5">
        <f>SUMIFS(SalesDetail[Quantity (KG)],SalesDetail[Customer],$A157,SalesDetail[Year],2021)</f>
        <v>20</v>
      </c>
      <c r="O157" s="6">
        <f>SUM(B157:N157)</f>
        <v>509</v>
      </c>
    </row>
    <row r="158" spans="1:15" x14ac:dyDescent="0.3">
      <c r="A158" t="s">
        <v>1700</v>
      </c>
      <c r="B158" s="5">
        <f>SUMIFS(SalesDetail[Quantity (KG)],SalesDetail[Customer],$A158,SalesDetail[Year],2009)</f>
        <v>0</v>
      </c>
      <c r="C158" s="5">
        <f>SUMIFS(SalesDetail[Quantity (KG)],SalesDetail[Customer],$A158,SalesDetail[Year],2010)</f>
        <v>0</v>
      </c>
      <c r="D158" s="5">
        <f>SUMIFS(SalesDetail[Quantity (KG)],SalesDetail[Customer],$A158,SalesDetail[Year],2011)</f>
        <v>0</v>
      </c>
      <c r="E158" s="5">
        <f>SUMIFS(SalesDetail[Quantity (KG)],SalesDetail[Customer],$A158,SalesDetail[Year],2012)</f>
        <v>0</v>
      </c>
      <c r="F158" s="5">
        <f>SUMIFS(SalesDetail[Quantity (KG)],SalesDetail[Customer],$A158,SalesDetail[Year],2013)</f>
        <v>0</v>
      </c>
      <c r="G158" s="5">
        <f>SUMIFS(SalesDetail[Quantity (KG)],SalesDetail[Customer],$A158,SalesDetail[Year],2014)</f>
        <v>0</v>
      </c>
      <c r="H158" s="5">
        <f>SUMIFS(SalesDetail[Quantity (KG)],SalesDetail[Customer],$A158,SalesDetail[Year],2015)</f>
        <v>65</v>
      </c>
      <c r="I158" s="5">
        <f>SUMIFS(SalesDetail[Quantity (KG)],SalesDetail[Customer],$A158,SalesDetail[Year],2016)</f>
        <v>46</v>
      </c>
      <c r="J158" s="5">
        <f>SUMIFS(SalesDetail[Quantity (KG)],SalesDetail[Customer],$A158,SalesDetail[Year],2017)</f>
        <v>45</v>
      </c>
      <c r="K158" s="5">
        <f>SUMIFS(SalesDetail[Quantity (KG)],SalesDetail[Customer],$A158,SalesDetail[Year],2018)</f>
        <v>70</v>
      </c>
      <c r="L158" s="5">
        <f>SUMIFS(SalesDetail[Quantity (KG)],SalesDetail[Customer],$A158,SalesDetail[Year],2019)</f>
        <v>280</v>
      </c>
      <c r="M158" s="5">
        <f>SUMIFS(SalesDetail[Quantity (KG)],SalesDetail[Customer],$A158,SalesDetail[Year],2020)</f>
        <v>0</v>
      </c>
      <c r="N158" s="5">
        <f>SUMIFS(SalesDetail[Quantity (KG)],SalesDetail[Customer],$A158,SalesDetail[Year],2021)</f>
        <v>0</v>
      </c>
      <c r="O158" s="6">
        <f>SUM(B158:N158)</f>
        <v>506</v>
      </c>
    </row>
    <row r="159" spans="1:15" x14ac:dyDescent="0.3">
      <c r="A159" t="s">
        <v>2266</v>
      </c>
      <c r="B159" s="5">
        <f>SUMIFS(SalesDetail[Quantity (KG)],SalesDetail[Customer],$A159,SalesDetail[Year],2009)</f>
        <v>0</v>
      </c>
      <c r="C159" s="5">
        <f>SUMIFS(SalesDetail[Quantity (KG)],SalesDetail[Customer],$A159,SalesDetail[Year],2010)</f>
        <v>200</v>
      </c>
      <c r="D159" s="5">
        <f>SUMIFS(SalesDetail[Quantity (KG)],SalesDetail[Customer],$A159,SalesDetail[Year],2011)</f>
        <v>100</v>
      </c>
      <c r="E159" s="5">
        <f>SUMIFS(SalesDetail[Quantity (KG)],SalesDetail[Customer],$A159,SalesDetail[Year],2012)</f>
        <v>0</v>
      </c>
      <c r="F159" s="5">
        <f>SUMIFS(SalesDetail[Quantity (KG)],SalesDetail[Customer],$A159,SalesDetail[Year],2013)</f>
        <v>0</v>
      </c>
      <c r="G159" s="5">
        <f>SUMIFS(SalesDetail[Quantity (KG)],SalesDetail[Customer],$A159,SalesDetail[Year],2014)</f>
        <v>0</v>
      </c>
      <c r="H159" s="5">
        <f>SUMIFS(SalesDetail[Quantity (KG)],SalesDetail[Customer],$A159,SalesDetail[Year],2015)</f>
        <v>0</v>
      </c>
      <c r="I159" s="5">
        <f>SUMIFS(SalesDetail[Quantity (KG)],SalesDetail[Customer],$A159,SalesDetail[Year],2016)</f>
        <v>0</v>
      </c>
      <c r="J159" s="5">
        <f>SUMIFS(SalesDetail[Quantity (KG)],SalesDetail[Customer],$A159,SalesDetail[Year],2017)</f>
        <v>0</v>
      </c>
      <c r="K159" s="5">
        <f>SUMIFS(SalesDetail[Quantity (KG)],SalesDetail[Customer],$A159,SalesDetail[Year],2018)</f>
        <v>0</v>
      </c>
      <c r="L159" s="5">
        <f>SUMIFS(SalesDetail[Quantity (KG)],SalesDetail[Customer],$A159,SalesDetail[Year],2019)</f>
        <v>0</v>
      </c>
      <c r="M159" s="5">
        <f>SUMIFS(SalesDetail[Quantity (KG)],SalesDetail[Customer],$A159,SalesDetail[Year],2020)</f>
        <v>118</v>
      </c>
      <c r="N159" s="5">
        <f>SUMIFS(SalesDetail[Quantity (KG)],SalesDetail[Customer],$A159,SalesDetail[Year],2021)</f>
        <v>88</v>
      </c>
      <c r="O159" s="6">
        <f>SUM(B159:N159)</f>
        <v>506</v>
      </c>
    </row>
    <row r="160" spans="1:15" x14ac:dyDescent="0.3">
      <c r="A160" t="s">
        <v>2317</v>
      </c>
      <c r="B160" s="5">
        <f>SUMIFS(SalesDetail[Quantity (KG)],SalesDetail[Customer],$A160,SalesDetail[Year],2009)</f>
        <v>0</v>
      </c>
      <c r="C160" s="5">
        <f>SUMIFS(SalesDetail[Quantity (KG)],SalesDetail[Customer],$A160,SalesDetail[Year],2010)</f>
        <v>0</v>
      </c>
      <c r="D160" s="5">
        <f>SUMIFS(SalesDetail[Quantity (KG)],SalesDetail[Customer],$A160,SalesDetail[Year],2011)</f>
        <v>0</v>
      </c>
      <c r="E160" s="5">
        <f>SUMIFS(SalesDetail[Quantity (KG)],SalesDetail[Customer],$A160,SalesDetail[Year],2012)</f>
        <v>0</v>
      </c>
      <c r="F160" s="5">
        <f>SUMIFS(SalesDetail[Quantity (KG)],SalesDetail[Customer],$A160,SalesDetail[Year],2013)</f>
        <v>0</v>
      </c>
      <c r="G160" s="5">
        <f>SUMIFS(SalesDetail[Quantity (KG)],SalesDetail[Customer],$A160,SalesDetail[Year],2014)</f>
        <v>0</v>
      </c>
      <c r="H160" s="5">
        <f>SUMIFS(SalesDetail[Quantity (KG)],SalesDetail[Customer],$A160,SalesDetail[Year],2015)</f>
        <v>0</v>
      </c>
      <c r="I160" s="5">
        <f>SUMIFS(SalesDetail[Quantity (KG)],SalesDetail[Customer],$A160,SalesDetail[Year],2016)</f>
        <v>0</v>
      </c>
      <c r="J160" s="5">
        <f>SUMIFS(SalesDetail[Quantity (KG)],SalesDetail[Customer],$A160,SalesDetail[Year],2017)</f>
        <v>0</v>
      </c>
      <c r="K160" s="5">
        <f>SUMIFS(SalesDetail[Quantity (KG)],SalesDetail[Customer],$A160,SalesDetail[Year],2018)</f>
        <v>0</v>
      </c>
      <c r="L160" s="5">
        <f>SUMIFS(SalesDetail[Quantity (KG)],SalesDetail[Customer],$A160,SalesDetail[Year],2019)</f>
        <v>0</v>
      </c>
      <c r="M160" s="5">
        <f>SUMIFS(SalesDetail[Quantity (KG)],SalesDetail[Customer],$A160,SalesDetail[Year],2020)</f>
        <v>500</v>
      </c>
      <c r="N160" s="5">
        <f>SUMIFS(SalesDetail[Quantity (KG)],SalesDetail[Customer],$A160,SalesDetail[Year],2021)</f>
        <v>2</v>
      </c>
      <c r="O160" s="6">
        <f>SUM(B160:N160)</f>
        <v>502</v>
      </c>
    </row>
    <row r="161" spans="1:15" x14ac:dyDescent="0.3">
      <c r="A161" t="s">
        <v>547</v>
      </c>
      <c r="B161" s="5">
        <f>SUMIFS(SalesDetail[Quantity (KG)],SalesDetail[Customer],$A161,SalesDetail[Year],2009)</f>
        <v>0</v>
      </c>
      <c r="C161" s="5">
        <f>SUMIFS(SalesDetail[Quantity (KG)],SalesDetail[Customer],$A161,SalesDetail[Year],2010)</f>
        <v>0</v>
      </c>
      <c r="D161" s="5">
        <f>SUMIFS(SalesDetail[Quantity (KG)],SalesDetail[Customer],$A161,SalesDetail[Year],2011)</f>
        <v>0</v>
      </c>
      <c r="E161" s="5">
        <f>SUMIFS(SalesDetail[Quantity (KG)],SalesDetail[Customer],$A161,SalesDetail[Year],2012)</f>
        <v>0</v>
      </c>
      <c r="F161" s="5">
        <f>SUMIFS(SalesDetail[Quantity (KG)],SalesDetail[Customer],$A161,SalesDetail[Year],2013)</f>
        <v>0</v>
      </c>
      <c r="G161" s="5">
        <f>SUMIFS(SalesDetail[Quantity (KG)],SalesDetail[Customer],$A161,SalesDetail[Year],2014)</f>
        <v>0</v>
      </c>
      <c r="H161" s="5">
        <f>SUMIFS(SalesDetail[Quantity (KG)],SalesDetail[Customer],$A161,SalesDetail[Year],2015)</f>
        <v>0</v>
      </c>
      <c r="I161" s="5">
        <f>SUMIFS(SalesDetail[Quantity (KG)],SalesDetail[Customer],$A161,SalesDetail[Year],2016)</f>
        <v>0</v>
      </c>
      <c r="J161" s="5">
        <f>SUMIFS(SalesDetail[Quantity (KG)],SalesDetail[Customer],$A161,SalesDetail[Year],2017)</f>
        <v>0</v>
      </c>
      <c r="K161" s="5">
        <f>SUMIFS(SalesDetail[Quantity (KG)],SalesDetail[Customer],$A161,SalesDetail[Year],2018)</f>
        <v>0</v>
      </c>
      <c r="L161" s="5">
        <f>SUMIFS(SalesDetail[Quantity (KG)],SalesDetail[Customer],$A161,SalesDetail[Year],2019)</f>
        <v>0</v>
      </c>
      <c r="M161" s="5">
        <f>SUMIFS(SalesDetail[Quantity (KG)],SalesDetail[Customer],$A161,SalesDetail[Year],2020)</f>
        <v>500</v>
      </c>
      <c r="N161" s="5">
        <f>SUMIFS(SalesDetail[Quantity (KG)],SalesDetail[Customer],$A161,SalesDetail[Year],2021)</f>
        <v>0</v>
      </c>
      <c r="O161" s="6">
        <f>SUM(B161:N161)</f>
        <v>500</v>
      </c>
    </row>
    <row r="162" spans="1:15" x14ac:dyDescent="0.3">
      <c r="A162" t="s">
        <v>1187</v>
      </c>
      <c r="B162" s="5">
        <f>SUMIFS(SalesDetail[Quantity (KG)],SalesDetail[Customer],$A162,SalesDetail[Year],2009)</f>
        <v>75</v>
      </c>
      <c r="C162" s="5">
        <f>SUMIFS(SalesDetail[Quantity (KG)],SalesDetail[Customer],$A162,SalesDetail[Year],2010)</f>
        <v>125</v>
      </c>
      <c r="D162" s="5">
        <f>SUMIFS(SalesDetail[Quantity (KG)],SalesDetail[Customer],$A162,SalesDetail[Year],2011)</f>
        <v>155</v>
      </c>
      <c r="E162" s="5">
        <f>SUMIFS(SalesDetail[Quantity (KG)],SalesDetail[Customer],$A162,SalesDetail[Year],2012)</f>
        <v>20</v>
      </c>
      <c r="F162" s="5">
        <f>SUMIFS(SalesDetail[Quantity (KG)],SalesDetail[Customer],$A162,SalesDetail[Year],2013)</f>
        <v>0</v>
      </c>
      <c r="G162" s="5">
        <f>SUMIFS(SalesDetail[Quantity (KG)],SalesDetail[Customer],$A162,SalesDetail[Year],2014)</f>
        <v>70</v>
      </c>
      <c r="H162" s="5">
        <f>SUMIFS(SalesDetail[Quantity (KG)],SalesDetail[Customer],$A162,SalesDetail[Year],2015)</f>
        <v>0</v>
      </c>
      <c r="I162" s="5">
        <f>SUMIFS(SalesDetail[Quantity (KG)],SalesDetail[Customer],$A162,SalesDetail[Year],2016)</f>
        <v>10</v>
      </c>
      <c r="J162" s="5">
        <f>SUMIFS(SalesDetail[Quantity (KG)],SalesDetail[Customer],$A162,SalesDetail[Year],2017)</f>
        <v>25</v>
      </c>
      <c r="K162" s="5">
        <f>SUMIFS(SalesDetail[Quantity (KG)],SalesDetail[Customer],$A162,SalesDetail[Year],2018)</f>
        <v>0</v>
      </c>
      <c r="L162" s="5">
        <f>SUMIFS(SalesDetail[Quantity (KG)],SalesDetail[Customer],$A162,SalesDetail[Year],2019)</f>
        <v>10</v>
      </c>
      <c r="M162" s="5">
        <f>SUMIFS(SalesDetail[Quantity (KG)],SalesDetail[Customer],$A162,SalesDetail[Year],2020)</f>
        <v>0</v>
      </c>
      <c r="N162" s="5">
        <f>SUMIFS(SalesDetail[Quantity (KG)],SalesDetail[Customer],$A162,SalesDetail[Year],2021)</f>
        <v>0</v>
      </c>
      <c r="O162" s="6">
        <f>SUM(B162:N162)</f>
        <v>490</v>
      </c>
    </row>
    <row r="163" spans="1:15" x14ac:dyDescent="0.3">
      <c r="A163" t="s">
        <v>2309</v>
      </c>
      <c r="B163" s="5">
        <f>SUMIFS(SalesDetail[Quantity (KG)],SalesDetail[Customer],$A163,SalesDetail[Year],2009)</f>
        <v>0</v>
      </c>
      <c r="C163" s="5">
        <f>SUMIFS(SalesDetail[Quantity (KG)],SalesDetail[Customer],$A163,SalesDetail[Year],2010)</f>
        <v>0</v>
      </c>
      <c r="D163" s="5">
        <f>SUMIFS(SalesDetail[Quantity (KG)],SalesDetail[Customer],$A163,SalesDetail[Year],2011)</f>
        <v>25</v>
      </c>
      <c r="E163" s="5">
        <f>SUMIFS(SalesDetail[Quantity (KG)],SalesDetail[Customer],$A163,SalesDetail[Year],2012)</f>
        <v>0</v>
      </c>
      <c r="F163" s="5">
        <f>SUMIFS(SalesDetail[Quantity (KG)],SalesDetail[Customer],$A163,SalesDetail[Year],2013)</f>
        <v>0</v>
      </c>
      <c r="G163" s="5">
        <f>SUMIFS(SalesDetail[Quantity (KG)],SalesDetail[Customer],$A163,SalesDetail[Year],2014)</f>
        <v>0</v>
      </c>
      <c r="H163" s="5">
        <f>SUMIFS(SalesDetail[Quantity (KG)],SalesDetail[Customer],$A163,SalesDetail[Year],2015)</f>
        <v>40</v>
      </c>
      <c r="I163" s="5">
        <f>SUMIFS(SalesDetail[Quantity (KG)],SalesDetail[Customer],$A163,SalesDetail[Year],2016)</f>
        <v>99</v>
      </c>
      <c r="J163" s="5">
        <f>SUMIFS(SalesDetail[Quantity (KG)],SalesDetail[Customer],$A163,SalesDetail[Year],2017)</f>
        <v>80</v>
      </c>
      <c r="K163" s="5">
        <f>SUMIFS(SalesDetail[Quantity (KG)],SalesDetail[Customer],$A163,SalesDetail[Year],2018)</f>
        <v>105</v>
      </c>
      <c r="L163" s="5">
        <f>SUMIFS(SalesDetail[Quantity (KG)],SalesDetail[Customer],$A163,SalesDetail[Year],2019)</f>
        <v>84</v>
      </c>
      <c r="M163" s="5">
        <f>SUMIFS(SalesDetail[Quantity (KG)],SalesDetail[Customer],$A163,SalesDetail[Year],2020)</f>
        <v>20</v>
      </c>
      <c r="N163" s="5">
        <f>SUMIFS(SalesDetail[Quantity (KG)],SalesDetail[Customer],$A163,SalesDetail[Year],2021)</f>
        <v>30</v>
      </c>
      <c r="O163" s="6">
        <f>SUM(B163:N163)</f>
        <v>483</v>
      </c>
    </row>
    <row r="164" spans="1:15" x14ac:dyDescent="0.3">
      <c r="A164" t="s">
        <v>1953</v>
      </c>
      <c r="B164" s="5">
        <f>SUMIFS(SalesDetail[Quantity (KG)],SalesDetail[Customer],$A164,SalesDetail[Year],2009)</f>
        <v>0</v>
      </c>
      <c r="C164" s="5">
        <f>SUMIFS(SalesDetail[Quantity (KG)],SalesDetail[Customer],$A164,SalesDetail[Year],2010)</f>
        <v>0</v>
      </c>
      <c r="D164" s="5">
        <f>SUMIFS(SalesDetail[Quantity (KG)],SalesDetail[Customer],$A164,SalesDetail[Year],2011)</f>
        <v>0</v>
      </c>
      <c r="E164" s="5">
        <f>SUMIFS(SalesDetail[Quantity (KG)],SalesDetail[Customer],$A164,SalesDetail[Year],2012)</f>
        <v>0</v>
      </c>
      <c r="F164" s="5">
        <f>SUMIFS(SalesDetail[Quantity (KG)],SalesDetail[Customer],$A164,SalesDetail[Year],2013)</f>
        <v>0</v>
      </c>
      <c r="G164" s="5">
        <f>SUMIFS(SalesDetail[Quantity (KG)],SalesDetail[Customer],$A164,SalesDetail[Year],2014)</f>
        <v>0</v>
      </c>
      <c r="H164" s="5">
        <f>SUMIFS(SalesDetail[Quantity (KG)],SalesDetail[Customer],$A164,SalesDetail[Year],2015)</f>
        <v>0</v>
      </c>
      <c r="I164" s="5">
        <f>SUMIFS(SalesDetail[Quantity (KG)],SalesDetail[Customer],$A164,SalesDetail[Year],2016)</f>
        <v>0</v>
      </c>
      <c r="J164" s="5">
        <f>SUMIFS(SalesDetail[Quantity (KG)],SalesDetail[Customer],$A164,SalesDetail[Year],2017)</f>
        <v>0</v>
      </c>
      <c r="K164" s="5">
        <f>SUMIFS(SalesDetail[Quantity (KG)],SalesDetail[Customer],$A164,SalesDetail[Year],2018)</f>
        <v>151</v>
      </c>
      <c r="L164" s="5">
        <f>SUMIFS(SalesDetail[Quantity (KG)],SalesDetail[Customer],$A164,SalesDetail[Year],2019)</f>
        <v>300</v>
      </c>
      <c r="M164" s="5">
        <f>SUMIFS(SalesDetail[Quantity (KG)],SalesDetail[Customer],$A164,SalesDetail[Year],2020)</f>
        <v>0</v>
      </c>
      <c r="N164" s="5">
        <f>SUMIFS(SalesDetail[Quantity (KG)],SalesDetail[Customer],$A164,SalesDetail[Year],2021)</f>
        <v>25</v>
      </c>
      <c r="O164" s="6">
        <f>SUM(B164:N164)</f>
        <v>476</v>
      </c>
    </row>
    <row r="165" spans="1:15" x14ac:dyDescent="0.3">
      <c r="A165" t="s">
        <v>1913</v>
      </c>
      <c r="B165" s="5">
        <f>SUMIFS(SalesDetail[Quantity (KG)],SalesDetail[Customer],$A165,SalesDetail[Year],2009)</f>
        <v>0</v>
      </c>
      <c r="C165" s="5">
        <f>SUMIFS(SalesDetail[Quantity (KG)],SalesDetail[Customer],$A165,SalesDetail[Year],2010)</f>
        <v>0</v>
      </c>
      <c r="D165" s="5">
        <f>SUMIFS(SalesDetail[Quantity (KG)],SalesDetail[Customer],$A165,SalesDetail[Year],2011)</f>
        <v>30</v>
      </c>
      <c r="E165" s="5">
        <f>SUMIFS(SalesDetail[Quantity (KG)],SalesDetail[Customer],$A165,SalesDetail[Year],2012)</f>
        <v>425</v>
      </c>
      <c r="F165" s="5">
        <f>SUMIFS(SalesDetail[Quantity (KG)],SalesDetail[Customer],$A165,SalesDetail[Year],2013)</f>
        <v>0</v>
      </c>
      <c r="G165" s="5">
        <f>SUMIFS(SalesDetail[Quantity (KG)],SalesDetail[Customer],$A165,SalesDetail[Year],2014)</f>
        <v>0</v>
      </c>
      <c r="H165" s="5">
        <f>SUMIFS(SalesDetail[Quantity (KG)],SalesDetail[Customer],$A165,SalesDetail[Year],2015)</f>
        <v>0</v>
      </c>
      <c r="I165" s="5">
        <f>SUMIFS(SalesDetail[Quantity (KG)],SalesDetail[Customer],$A165,SalesDetail[Year],2016)</f>
        <v>0</v>
      </c>
      <c r="J165" s="5">
        <f>SUMIFS(SalesDetail[Quantity (KG)],SalesDetail[Customer],$A165,SalesDetail[Year],2017)</f>
        <v>0</v>
      </c>
      <c r="K165" s="5">
        <f>SUMIFS(SalesDetail[Quantity (KG)],SalesDetail[Customer],$A165,SalesDetail[Year],2018)</f>
        <v>0</v>
      </c>
      <c r="L165" s="5">
        <f>SUMIFS(SalesDetail[Quantity (KG)],SalesDetail[Customer],$A165,SalesDetail[Year],2019)</f>
        <v>0</v>
      </c>
      <c r="M165" s="5">
        <f>SUMIFS(SalesDetail[Quantity (KG)],SalesDetail[Customer],$A165,SalesDetail[Year],2020)</f>
        <v>0</v>
      </c>
      <c r="N165" s="5">
        <f>SUMIFS(SalesDetail[Quantity (KG)],SalesDetail[Customer],$A165,SalesDetail[Year],2021)</f>
        <v>0</v>
      </c>
      <c r="O165" s="6">
        <f>SUM(B165:N165)</f>
        <v>455</v>
      </c>
    </row>
    <row r="166" spans="1:15" x14ac:dyDescent="0.3">
      <c r="A166" t="s">
        <v>2216</v>
      </c>
      <c r="B166" s="5">
        <f>SUMIFS(SalesDetail[Quantity (KG)],SalesDetail[Customer],$A166,SalesDetail[Year],2009)</f>
        <v>0</v>
      </c>
      <c r="C166" s="5">
        <f>SUMIFS(SalesDetail[Quantity (KG)],SalesDetail[Customer],$A166,SalesDetail[Year],2010)</f>
        <v>0</v>
      </c>
      <c r="D166" s="5">
        <f>SUMIFS(SalesDetail[Quantity (KG)],SalesDetail[Customer],$A166,SalesDetail[Year],2011)</f>
        <v>0</v>
      </c>
      <c r="E166" s="5">
        <f>SUMIFS(SalesDetail[Quantity (KG)],SalesDetail[Customer],$A166,SalesDetail[Year],2012)</f>
        <v>0</v>
      </c>
      <c r="F166" s="5">
        <f>SUMIFS(SalesDetail[Quantity (KG)],SalesDetail[Customer],$A166,SalesDetail[Year],2013)</f>
        <v>0</v>
      </c>
      <c r="G166" s="5">
        <f>SUMIFS(SalesDetail[Quantity (KG)],SalesDetail[Customer],$A166,SalesDetail[Year],2014)</f>
        <v>0</v>
      </c>
      <c r="H166" s="5">
        <f>SUMIFS(SalesDetail[Quantity (KG)],SalesDetail[Customer],$A166,SalesDetail[Year],2015)</f>
        <v>0</v>
      </c>
      <c r="I166" s="5">
        <f>SUMIFS(SalesDetail[Quantity (KG)],SalesDetail[Customer],$A166,SalesDetail[Year],2016)</f>
        <v>0</v>
      </c>
      <c r="J166" s="5">
        <f>SUMIFS(SalesDetail[Quantity (KG)],SalesDetail[Customer],$A166,SalesDetail[Year],2017)</f>
        <v>0</v>
      </c>
      <c r="K166" s="5">
        <f>SUMIFS(SalesDetail[Quantity (KG)],SalesDetail[Customer],$A166,SalesDetail[Year],2018)</f>
        <v>0</v>
      </c>
      <c r="L166" s="5">
        <f>SUMIFS(SalesDetail[Quantity (KG)],SalesDetail[Customer],$A166,SalesDetail[Year],2019)</f>
        <v>10</v>
      </c>
      <c r="M166" s="5">
        <f>SUMIFS(SalesDetail[Quantity (KG)],SalesDetail[Customer],$A166,SalesDetail[Year],2020)</f>
        <v>145</v>
      </c>
      <c r="N166" s="5">
        <f>SUMIFS(SalesDetail[Quantity (KG)],SalesDetail[Customer],$A166,SalesDetail[Year],2021)</f>
        <v>300</v>
      </c>
      <c r="O166" s="6">
        <f>SUM(B166:N166)</f>
        <v>455</v>
      </c>
    </row>
    <row r="167" spans="1:15" x14ac:dyDescent="0.3">
      <c r="A167" t="s">
        <v>993</v>
      </c>
      <c r="B167" s="5">
        <f>SUMIFS(SalesDetail[Quantity (KG)],SalesDetail[Customer],$A167,SalesDetail[Year],2009)</f>
        <v>0</v>
      </c>
      <c r="C167" s="5">
        <f>SUMIFS(SalesDetail[Quantity (KG)],SalesDetail[Customer],$A167,SalesDetail[Year],2010)</f>
        <v>0</v>
      </c>
      <c r="D167" s="5">
        <f>SUMIFS(SalesDetail[Quantity (KG)],SalesDetail[Customer],$A167,SalesDetail[Year],2011)</f>
        <v>0</v>
      </c>
      <c r="E167" s="5">
        <f>SUMIFS(SalesDetail[Quantity (KG)],SalesDetail[Customer],$A167,SalesDetail[Year],2012)</f>
        <v>0</v>
      </c>
      <c r="F167" s="5">
        <f>SUMIFS(SalesDetail[Quantity (KG)],SalesDetail[Customer],$A167,SalesDetail[Year],2013)</f>
        <v>0</v>
      </c>
      <c r="G167" s="5">
        <f>SUMIFS(SalesDetail[Quantity (KG)],SalesDetail[Customer],$A167,SalesDetail[Year],2014)</f>
        <v>0</v>
      </c>
      <c r="H167" s="5">
        <f>SUMIFS(SalesDetail[Quantity (KG)],SalesDetail[Customer],$A167,SalesDetail[Year],2015)</f>
        <v>0</v>
      </c>
      <c r="I167" s="5">
        <f>SUMIFS(SalesDetail[Quantity (KG)],SalesDetail[Customer],$A167,SalesDetail[Year],2016)</f>
        <v>0</v>
      </c>
      <c r="J167" s="5">
        <f>SUMIFS(SalesDetail[Quantity (KG)],SalesDetail[Customer],$A167,SalesDetail[Year],2017)</f>
        <v>107</v>
      </c>
      <c r="K167" s="5">
        <f>SUMIFS(SalesDetail[Quantity (KG)],SalesDetail[Customer],$A167,SalesDetail[Year],2018)</f>
        <v>236</v>
      </c>
      <c r="L167" s="5">
        <f>SUMIFS(SalesDetail[Quantity (KG)],SalesDetail[Customer],$A167,SalesDetail[Year],2019)</f>
        <v>65</v>
      </c>
      <c r="M167" s="5">
        <f>SUMIFS(SalesDetail[Quantity (KG)],SalesDetail[Customer],$A167,SalesDetail[Year],2020)</f>
        <v>35</v>
      </c>
      <c r="N167" s="5">
        <f>SUMIFS(SalesDetail[Quantity (KG)],SalesDetail[Customer],$A167,SalesDetail[Year],2021)</f>
        <v>0</v>
      </c>
      <c r="O167" s="6">
        <f>SUM(B167:N167)</f>
        <v>443</v>
      </c>
    </row>
    <row r="168" spans="1:15" x14ac:dyDescent="0.3">
      <c r="A168" t="s">
        <v>842</v>
      </c>
      <c r="B168" s="5">
        <f>SUMIFS(SalesDetail[Quantity (KG)],SalesDetail[Customer],$A168,SalesDetail[Year],2009)</f>
        <v>0</v>
      </c>
      <c r="C168" s="5">
        <f>SUMIFS(SalesDetail[Quantity (KG)],SalesDetail[Customer],$A168,SalesDetail[Year],2010)</f>
        <v>250</v>
      </c>
      <c r="D168" s="5">
        <f>SUMIFS(SalesDetail[Quantity (KG)],SalesDetail[Customer],$A168,SalesDetail[Year],2011)</f>
        <v>171</v>
      </c>
      <c r="E168" s="5">
        <f>SUMIFS(SalesDetail[Quantity (KG)],SalesDetail[Customer],$A168,SalesDetail[Year],2012)</f>
        <v>0</v>
      </c>
      <c r="F168" s="5">
        <f>SUMIFS(SalesDetail[Quantity (KG)],SalesDetail[Customer],$A168,SalesDetail[Year],2013)</f>
        <v>0</v>
      </c>
      <c r="G168" s="5">
        <f>SUMIFS(SalesDetail[Quantity (KG)],SalesDetail[Customer],$A168,SalesDetail[Year],2014)</f>
        <v>0</v>
      </c>
      <c r="H168" s="5">
        <f>SUMIFS(SalesDetail[Quantity (KG)],SalesDetail[Customer],$A168,SalesDetail[Year],2015)</f>
        <v>0</v>
      </c>
      <c r="I168" s="5">
        <f>SUMIFS(SalesDetail[Quantity (KG)],SalesDetail[Customer],$A168,SalesDetail[Year],2016)</f>
        <v>0</v>
      </c>
      <c r="J168" s="5">
        <f>SUMIFS(SalesDetail[Quantity (KG)],SalesDetail[Customer],$A168,SalesDetail[Year],2017)</f>
        <v>0</v>
      </c>
      <c r="K168" s="5">
        <f>SUMIFS(SalesDetail[Quantity (KG)],SalesDetail[Customer],$A168,SalesDetail[Year],2018)</f>
        <v>0</v>
      </c>
      <c r="L168" s="5">
        <f>SUMIFS(SalesDetail[Quantity (KG)],SalesDetail[Customer],$A168,SalesDetail[Year],2019)</f>
        <v>0</v>
      </c>
      <c r="M168" s="5">
        <f>SUMIFS(SalesDetail[Quantity (KG)],SalesDetail[Customer],$A168,SalesDetail[Year],2020)</f>
        <v>0</v>
      </c>
      <c r="N168" s="5">
        <f>SUMIFS(SalesDetail[Quantity (KG)],SalesDetail[Customer],$A168,SalesDetail[Year],2021)</f>
        <v>0</v>
      </c>
      <c r="O168" s="6">
        <f>SUM(B168:N168)</f>
        <v>421</v>
      </c>
    </row>
    <row r="169" spans="1:15" x14ac:dyDescent="0.3">
      <c r="A169" t="s">
        <v>1353</v>
      </c>
      <c r="B169" s="5">
        <f>SUMIFS(SalesDetail[Quantity (KG)],SalesDetail[Customer],$A169,SalesDetail[Year],2009)</f>
        <v>0</v>
      </c>
      <c r="C169" s="5">
        <f>SUMIFS(SalesDetail[Quantity (KG)],SalesDetail[Customer],$A169,SalesDetail[Year],2010)</f>
        <v>0</v>
      </c>
      <c r="D169" s="5">
        <f>SUMIFS(SalesDetail[Quantity (KG)],SalesDetail[Customer],$A169,SalesDetail[Year],2011)</f>
        <v>0</v>
      </c>
      <c r="E169" s="5">
        <f>SUMIFS(SalesDetail[Quantity (KG)],SalesDetail[Customer],$A169,SalesDetail[Year],2012)</f>
        <v>0</v>
      </c>
      <c r="F169" s="5">
        <f>SUMIFS(SalesDetail[Quantity (KG)],SalesDetail[Customer],$A169,SalesDetail[Year],2013)</f>
        <v>15</v>
      </c>
      <c r="G169" s="5">
        <f>SUMIFS(SalesDetail[Quantity (KG)],SalesDetail[Customer],$A169,SalesDetail[Year],2014)</f>
        <v>20</v>
      </c>
      <c r="H169" s="5">
        <f>SUMIFS(SalesDetail[Quantity (KG)],SalesDetail[Customer],$A169,SalesDetail[Year],2015)</f>
        <v>12</v>
      </c>
      <c r="I169" s="5">
        <f>SUMIFS(SalesDetail[Quantity (KG)],SalesDetail[Customer],$A169,SalesDetail[Year],2016)</f>
        <v>35</v>
      </c>
      <c r="J169" s="5">
        <f>SUMIFS(SalesDetail[Quantity (KG)],SalesDetail[Customer],$A169,SalesDetail[Year],2017)</f>
        <v>128</v>
      </c>
      <c r="K169" s="5">
        <f>SUMIFS(SalesDetail[Quantity (KG)],SalesDetail[Customer],$A169,SalesDetail[Year],2018)</f>
        <v>50</v>
      </c>
      <c r="L169" s="5">
        <f>SUMIFS(SalesDetail[Quantity (KG)],SalesDetail[Customer],$A169,SalesDetail[Year],2019)</f>
        <v>46</v>
      </c>
      <c r="M169" s="5">
        <f>SUMIFS(SalesDetail[Quantity (KG)],SalesDetail[Customer],$A169,SalesDetail[Year],2020)</f>
        <v>60</v>
      </c>
      <c r="N169" s="5">
        <f>SUMIFS(SalesDetail[Quantity (KG)],SalesDetail[Customer],$A169,SalesDetail[Year],2021)</f>
        <v>45</v>
      </c>
      <c r="O169" s="6">
        <f>SUM(B169:N169)</f>
        <v>411</v>
      </c>
    </row>
    <row r="170" spans="1:15" x14ac:dyDescent="0.3">
      <c r="A170" t="s">
        <v>1082</v>
      </c>
      <c r="B170" s="5">
        <f>SUMIFS(SalesDetail[Quantity (KG)],SalesDetail[Customer],$A170,SalesDetail[Year],2009)</f>
        <v>70</v>
      </c>
      <c r="C170" s="5">
        <f>SUMIFS(SalesDetail[Quantity (KG)],SalesDetail[Customer],$A170,SalesDetail[Year],2010)</f>
        <v>240</v>
      </c>
      <c r="D170" s="5">
        <f>SUMIFS(SalesDetail[Quantity (KG)],SalesDetail[Customer],$A170,SalesDetail[Year],2011)</f>
        <v>0</v>
      </c>
      <c r="E170" s="5">
        <f>SUMIFS(SalesDetail[Quantity (KG)],SalesDetail[Customer],$A170,SalesDetail[Year],2012)</f>
        <v>90</v>
      </c>
      <c r="F170" s="5">
        <f>SUMIFS(SalesDetail[Quantity (KG)],SalesDetail[Customer],$A170,SalesDetail[Year],2013)</f>
        <v>0</v>
      </c>
      <c r="G170" s="5">
        <f>SUMIFS(SalesDetail[Quantity (KG)],SalesDetail[Customer],$A170,SalesDetail[Year],2014)</f>
        <v>0</v>
      </c>
      <c r="H170" s="5">
        <f>SUMIFS(SalesDetail[Quantity (KG)],SalesDetail[Customer],$A170,SalesDetail[Year],2015)</f>
        <v>0</v>
      </c>
      <c r="I170" s="5">
        <f>SUMIFS(SalesDetail[Quantity (KG)],SalesDetail[Customer],$A170,SalesDetail[Year],2016)</f>
        <v>0</v>
      </c>
      <c r="J170" s="5">
        <f>SUMIFS(SalesDetail[Quantity (KG)],SalesDetail[Customer],$A170,SalesDetail[Year],2017)</f>
        <v>0</v>
      </c>
      <c r="K170" s="5">
        <f>SUMIFS(SalesDetail[Quantity (KG)],SalesDetail[Customer],$A170,SalesDetail[Year],2018)</f>
        <v>0</v>
      </c>
      <c r="L170" s="5">
        <f>SUMIFS(SalesDetail[Quantity (KG)],SalesDetail[Customer],$A170,SalesDetail[Year],2019)</f>
        <v>0</v>
      </c>
      <c r="M170" s="5">
        <f>SUMIFS(SalesDetail[Quantity (KG)],SalesDetail[Customer],$A170,SalesDetail[Year],2020)</f>
        <v>0</v>
      </c>
      <c r="N170" s="5">
        <f>SUMIFS(SalesDetail[Quantity (KG)],SalesDetail[Customer],$A170,SalesDetail[Year],2021)</f>
        <v>0</v>
      </c>
      <c r="O170" s="6">
        <f>SUM(B170:N170)</f>
        <v>400</v>
      </c>
    </row>
    <row r="171" spans="1:15" x14ac:dyDescent="0.3">
      <c r="A171" t="s">
        <v>2425</v>
      </c>
      <c r="B171" s="5">
        <f>SUMIFS(SalesDetail[Quantity (KG)],SalesDetail[Customer],$A171,SalesDetail[Year],2009)</f>
        <v>0</v>
      </c>
      <c r="C171" s="5">
        <f>SUMIFS(SalesDetail[Quantity (KG)],SalesDetail[Customer],$A171,SalesDetail[Year],2010)</f>
        <v>0</v>
      </c>
      <c r="D171" s="5">
        <f>SUMIFS(SalesDetail[Quantity (KG)],SalesDetail[Customer],$A171,SalesDetail[Year],2011)</f>
        <v>30</v>
      </c>
      <c r="E171" s="5">
        <f>SUMIFS(SalesDetail[Quantity (KG)],SalesDetail[Customer],$A171,SalesDetail[Year],2012)</f>
        <v>20</v>
      </c>
      <c r="F171" s="5">
        <f>SUMIFS(SalesDetail[Quantity (KG)],SalesDetail[Customer],$A171,SalesDetail[Year],2013)</f>
        <v>90</v>
      </c>
      <c r="G171" s="5">
        <f>SUMIFS(SalesDetail[Quantity (KG)],SalesDetail[Customer],$A171,SalesDetail[Year],2014)</f>
        <v>88</v>
      </c>
      <c r="H171" s="5">
        <f>SUMIFS(SalesDetail[Quantity (KG)],SalesDetail[Customer],$A171,SalesDetail[Year],2015)</f>
        <v>149</v>
      </c>
      <c r="I171" s="5">
        <f>SUMIFS(SalesDetail[Quantity (KG)],SalesDetail[Customer],$A171,SalesDetail[Year],2016)</f>
        <v>20</v>
      </c>
      <c r="J171" s="5">
        <f>SUMIFS(SalesDetail[Quantity (KG)],SalesDetail[Customer],$A171,SalesDetail[Year],2017)</f>
        <v>0</v>
      </c>
      <c r="K171" s="5">
        <f>SUMIFS(SalesDetail[Quantity (KG)],SalesDetail[Customer],$A171,SalesDetail[Year],2018)</f>
        <v>0</v>
      </c>
      <c r="L171" s="5">
        <f>SUMIFS(SalesDetail[Quantity (KG)],SalesDetail[Customer],$A171,SalesDetail[Year],2019)</f>
        <v>0</v>
      </c>
      <c r="M171" s="5">
        <f>SUMIFS(SalesDetail[Quantity (KG)],SalesDetail[Customer],$A171,SalesDetail[Year],2020)</f>
        <v>0</v>
      </c>
      <c r="N171" s="5">
        <f>SUMIFS(SalesDetail[Quantity (KG)],SalesDetail[Customer],$A171,SalesDetail[Year],2021)</f>
        <v>0</v>
      </c>
      <c r="O171" s="6">
        <f>SUM(B171:N171)</f>
        <v>397</v>
      </c>
    </row>
    <row r="172" spans="1:15" x14ac:dyDescent="0.3">
      <c r="A172" t="s">
        <v>2316</v>
      </c>
      <c r="B172" s="5">
        <f>SUMIFS(SalesDetail[Quantity (KG)],SalesDetail[Customer],$A172,SalesDetail[Year],2009)</f>
        <v>0</v>
      </c>
      <c r="C172" s="5">
        <f>SUMIFS(SalesDetail[Quantity (KG)],SalesDetail[Customer],$A172,SalesDetail[Year],2010)</f>
        <v>0</v>
      </c>
      <c r="D172" s="5">
        <f>SUMIFS(SalesDetail[Quantity (KG)],SalesDetail[Customer],$A172,SalesDetail[Year],2011)</f>
        <v>0</v>
      </c>
      <c r="E172" s="5">
        <f>SUMIFS(SalesDetail[Quantity (KG)],SalesDetail[Customer],$A172,SalesDetail[Year],2012)</f>
        <v>0</v>
      </c>
      <c r="F172" s="5">
        <f>SUMIFS(SalesDetail[Quantity (KG)],SalesDetail[Customer],$A172,SalesDetail[Year],2013)</f>
        <v>0</v>
      </c>
      <c r="G172" s="5">
        <f>SUMIFS(SalesDetail[Quantity (KG)],SalesDetail[Customer],$A172,SalesDetail[Year],2014)</f>
        <v>0</v>
      </c>
      <c r="H172" s="5">
        <f>SUMIFS(SalesDetail[Quantity (KG)],SalesDetail[Customer],$A172,SalesDetail[Year],2015)</f>
        <v>0</v>
      </c>
      <c r="I172" s="5">
        <f>SUMIFS(SalesDetail[Quantity (KG)],SalesDetail[Customer],$A172,SalesDetail[Year],2016)</f>
        <v>0</v>
      </c>
      <c r="J172" s="5">
        <f>SUMIFS(SalesDetail[Quantity (KG)],SalesDetail[Customer],$A172,SalesDetail[Year],2017)</f>
        <v>0</v>
      </c>
      <c r="K172" s="5">
        <f>SUMIFS(SalesDetail[Quantity (KG)],SalesDetail[Customer],$A172,SalesDetail[Year],2018)</f>
        <v>0</v>
      </c>
      <c r="L172" s="5">
        <f>SUMIFS(SalesDetail[Quantity (KG)],SalesDetail[Customer],$A172,SalesDetail[Year],2019)</f>
        <v>20</v>
      </c>
      <c r="M172" s="5">
        <f>SUMIFS(SalesDetail[Quantity (KG)],SalesDetail[Customer],$A172,SalesDetail[Year],2020)</f>
        <v>370</v>
      </c>
      <c r="N172" s="5">
        <f>SUMIFS(SalesDetail[Quantity (KG)],SalesDetail[Customer],$A172,SalesDetail[Year],2021)</f>
        <v>0</v>
      </c>
      <c r="O172" s="6">
        <f>SUM(B172:N172)</f>
        <v>390</v>
      </c>
    </row>
    <row r="173" spans="1:15" x14ac:dyDescent="0.3">
      <c r="A173" t="s">
        <v>2442</v>
      </c>
      <c r="B173" s="5">
        <f>SUMIFS(SalesDetail[Quantity (KG)],SalesDetail[Customer],$A173,SalesDetail[Year],2009)</f>
        <v>0</v>
      </c>
      <c r="C173" s="5">
        <f>SUMIFS(SalesDetail[Quantity (KG)],SalesDetail[Customer],$A173,SalesDetail[Year],2010)</f>
        <v>0</v>
      </c>
      <c r="D173" s="5">
        <f>SUMIFS(SalesDetail[Quantity (KG)],SalesDetail[Customer],$A173,SalesDetail[Year],2011)</f>
        <v>0</v>
      </c>
      <c r="E173" s="5">
        <f>SUMIFS(SalesDetail[Quantity (KG)],SalesDetail[Customer],$A173,SalesDetail[Year],2012)</f>
        <v>0</v>
      </c>
      <c r="F173" s="5">
        <f>SUMIFS(SalesDetail[Quantity (KG)],SalesDetail[Customer],$A173,SalesDetail[Year],2013)</f>
        <v>0</v>
      </c>
      <c r="G173" s="5">
        <f>SUMIFS(SalesDetail[Quantity (KG)],SalesDetail[Customer],$A173,SalesDetail[Year],2014)</f>
        <v>0</v>
      </c>
      <c r="H173" s="5">
        <f>SUMIFS(SalesDetail[Quantity (KG)],SalesDetail[Customer],$A173,SalesDetail[Year],2015)</f>
        <v>0</v>
      </c>
      <c r="I173" s="5">
        <f>SUMIFS(SalesDetail[Quantity (KG)],SalesDetail[Customer],$A173,SalesDetail[Year],2016)</f>
        <v>15</v>
      </c>
      <c r="J173" s="5">
        <f>SUMIFS(SalesDetail[Quantity (KG)],SalesDetail[Customer],$A173,SalesDetail[Year],2017)</f>
        <v>125</v>
      </c>
      <c r="K173" s="5">
        <f>SUMIFS(SalesDetail[Quantity (KG)],SalesDetail[Customer],$A173,SalesDetail[Year],2018)</f>
        <v>250</v>
      </c>
      <c r="L173" s="5">
        <f>SUMIFS(SalesDetail[Quantity (KG)],SalesDetail[Customer],$A173,SalesDetail[Year],2019)</f>
        <v>0</v>
      </c>
      <c r="M173" s="5">
        <f>SUMIFS(SalesDetail[Quantity (KG)],SalesDetail[Customer],$A173,SalesDetail[Year],2020)</f>
        <v>0</v>
      </c>
      <c r="N173" s="5">
        <f>SUMIFS(SalesDetail[Quantity (KG)],SalesDetail[Customer],$A173,SalesDetail[Year],2021)</f>
        <v>0</v>
      </c>
      <c r="O173" s="6">
        <f>SUM(B173:N173)</f>
        <v>390</v>
      </c>
    </row>
    <row r="174" spans="1:15" x14ac:dyDescent="0.3">
      <c r="A174" t="s">
        <v>803</v>
      </c>
      <c r="B174" s="5">
        <f>SUMIFS(SalesDetail[Quantity (KG)],SalesDetail[Customer],$A174,SalesDetail[Year],2009)</f>
        <v>0</v>
      </c>
      <c r="C174" s="5">
        <f>SUMIFS(SalesDetail[Quantity (KG)],SalesDetail[Customer],$A174,SalesDetail[Year],2010)</f>
        <v>0</v>
      </c>
      <c r="D174" s="5">
        <f>SUMIFS(SalesDetail[Quantity (KG)],SalesDetail[Customer],$A174,SalesDetail[Year],2011)</f>
        <v>0</v>
      </c>
      <c r="E174" s="5">
        <f>SUMIFS(SalesDetail[Quantity (KG)],SalesDetail[Customer],$A174,SalesDetail[Year],2012)</f>
        <v>10</v>
      </c>
      <c r="F174" s="5">
        <f>SUMIFS(SalesDetail[Quantity (KG)],SalesDetail[Customer],$A174,SalesDetail[Year],2013)</f>
        <v>85</v>
      </c>
      <c r="G174" s="5">
        <f>SUMIFS(SalesDetail[Quantity (KG)],SalesDetail[Customer],$A174,SalesDetail[Year],2014)</f>
        <v>13.45</v>
      </c>
      <c r="H174" s="5">
        <f>SUMIFS(SalesDetail[Quantity (KG)],SalesDetail[Customer],$A174,SalesDetail[Year],2015)</f>
        <v>65</v>
      </c>
      <c r="I174" s="5">
        <f>SUMIFS(SalesDetail[Quantity (KG)],SalesDetail[Customer],$A174,SalesDetail[Year],2016)</f>
        <v>25</v>
      </c>
      <c r="J174" s="5">
        <f>SUMIFS(SalesDetail[Quantity (KG)],SalesDetail[Customer],$A174,SalesDetail[Year],2017)</f>
        <v>135</v>
      </c>
      <c r="K174" s="5">
        <f>SUMIFS(SalesDetail[Quantity (KG)],SalesDetail[Customer],$A174,SalesDetail[Year],2018)</f>
        <v>55</v>
      </c>
      <c r="L174" s="5">
        <f>SUMIFS(SalesDetail[Quantity (KG)],SalesDetail[Customer],$A174,SalesDetail[Year],2019)</f>
        <v>0</v>
      </c>
      <c r="M174" s="5">
        <f>SUMIFS(SalesDetail[Quantity (KG)],SalesDetail[Customer],$A174,SalesDetail[Year],2020)</f>
        <v>0</v>
      </c>
      <c r="N174" s="5">
        <f>SUMIFS(SalesDetail[Quantity (KG)],SalesDetail[Customer],$A174,SalesDetail[Year],2021)</f>
        <v>0</v>
      </c>
      <c r="O174" s="6">
        <f>SUM(B174:N174)</f>
        <v>388.45</v>
      </c>
    </row>
    <row r="175" spans="1:15" x14ac:dyDescent="0.3">
      <c r="A175" t="s">
        <v>2185</v>
      </c>
      <c r="B175" s="5">
        <f>SUMIFS(SalesDetail[Quantity (KG)],SalesDetail[Customer],$A175,SalesDetail[Year],2009)</f>
        <v>0</v>
      </c>
      <c r="C175" s="5">
        <f>SUMIFS(SalesDetail[Quantity (KG)],SalesDetail[Customer],$A175,SalesDetail[Year],2010)</f>
        <v>0</v>
      </c>
      <c r="D175" s="5">
        <f>SUMIFS(SalesDetail[Quantity (KG)],SalesDetail[Customer],$A175,SalesDetail[Year],2011)</f>
        <v>0</v>
      </c>
      <c r="E175" s="5">
        <f>SUMIFS(SalesDetail[Quantity (KG)],SalesDetail[Customer],$A175,SalesDetail[Year],2012)</f>
        <v>0</v>
      </c>
      <c r="F175" s="5">
        <f>SUMIFS(SalesDetail[Quantity (KG)],SalesDetail[Customer],$A175,SalesDetail[Year],2013)</f>
        <v>85</v>
      </c>
      <c r="G175" s="5">
        <f>SUMIFS(SalesDetail[Quantity (KG)],SalesDetail[Customer],$A175,SalesDetail[Year],2014)</f>
        <v>260</v>
      </c>
      <c r="H175" s="5">
        <f>SUMIFS(SalesDetail[Quantity (KG)],SalesDetail[Customer],$A175,SalesDetail[Year],2015)</f>
        <v>0</v>
      </c>
      <c r="I175" s="5">
        <f>SUMIFS(SalesDetail[Quantity (KG)],SalesDetail[Customer],$A175,SalesDetail[Year],2016)</f>
        <v>0</v>
      </c>
      <c r="J175" s="5">
        <f>SUMIFS(SalesDetail[Quantity (KG)],SalesDetail[Customer],$A175,SalesDetail[Year],2017)</f>
        <v>20</v>
      </c>
      <c r="K175" s="5">
        <f>SUMIFS(SalesDetail[Quantity (KG)],SalesDetail[Customer],$A175,SalesDetail[Year],2018)</f>
        <v>0</v>
      </c>
      <c r="L175" s="5">
        <f>SUMIFS(SalesDetail[Quantity (KG)],SalesDetail[Customer],$A175,SalesDetail[Year],2019)</f>
        <v>20</v>
      </c>
      <c r="M175" s="5">
        <f>SUMIFS(SalesDetail[Quantity (KG)],SalesDetail[Customer],$A175,SalesDetail[Year],2020)</f>
        <v>0</v>
      </c>
      <c r="N175" s="5">
        <f>SUMIFS(SalesDetail[Quantity (KG)],SalesDetail[Customer],$A175,SalesDetail[Year],2021)</f>
        <v>0</v>
      </c>
      <c r="O175" s="6">
        <f>SUM(B175:N175)</f>
        <v>385</v>
      </c>
    </row>
    <row r="176" spans="1:15" x14ac:dyDescent="0.3">
      <c r="A176" t="s">
        <v>1372</v>
      </c>
      <c r="B176" s="5">
        <f>SUMIFS(SalesDetail[Quantity (KG)],SalesDetail[Customer],$A176,SalesDetail[Year],2009)</f>
        <v>0</v>
      </c>
      <c r="C176" s="5">
        <f>SUMIFS(SalesDetail[Quantity (KG)],SalesDetail[Customer],$A176,SalesDetail[Year],2010)</f>
        <v>0</v>
      </c>
      <c r="D176" s="5">
        <f>SUMIFS(SalesDetail[Quantity (KG)],SalesDetail[Customer],$A176,SalesDetail[Year],2011)</f>
        <v>0</v>
      </c>
      <c r="E176" s="5">
        <f>SUMIFS(SalesDetail[Quantity (KG)],SalesDetail[Customer],$A176,SalesDetail[Year],2012)</f>
        <v>0</v>
      </c>
      <c r="F176" s="5">
        <f>SUMIFS(SalesDetail[Quantity (KG)],SalesDetail[Customer],$A176,SalesDetail[Year],2013)</f>
        <v>0</v>
      </c>
      <c r="G176" s="5">
        <f>SUMIFS(SalesDetail[Quantity (KG)],SalesDetail[Customer],$A176,SalesDetail[Year],2014)</f>
        <v>0</v>
      </c>
      <c r="H176" s="5">
        <f>SUMIFS(SalesDetail[Quantity (KG)],SalesDetail[Customer],$A176,SalesDetail[Year],2015)</f>
        <v>0</v>
      </c>
      <c r="I176" s="5">
        <f>SUMIFS(SalesDetail[Quantity (KG)],SalesDetail[Customer],$A176,SalesDetail[Year],2016)</f>
        <v>25</v>
      </c>
      <c r="J176" s="5">
        <f>SUMIFS(SalesDetail[Quantity (KG)],SalesDetail[Customer],$A176,SalesDetail[Year],2017)</f>
        <v>150</v>
      </c>
      <c r="K176" s="5">
        <f>SUMIFS(SalesDetail[Quantity (KG)],SalesDetail[Customer],$A176,SalesDetail[Year],2018)</f>
        <v>200</v>
      </c>
      <c r="L176" s="5">
        <f>SUMIFS(SalesDetail[Quantity (KG)],SalesDetail[Customer],$A176,SalesDetail[Year],2019)</f>
        <v>0</v>
      </c>
      <c r="M176" s="5">
        <f>SUMIFS(SalesDetail[Quantity (KG)],SalesDetail[Customer],$A176,SalesDetail[Year],2020)</f>
        <v>0</v>
      </c>
      <c r="N176" s="5">
        <f>SUMIFS(SalesDetail[Quantity (KG)],SalesDetail[Customer],$A176,SalesDetail[Year],2021)</f>
        <v>0</v>
      </c>
      <c r="O176" s="6">
        <f>SUM(B176:N176)</f>
        <v>375</v>
      </c>
    </row>
    <row r="177" spans="1:15" x14ac:dyDescent="0.3">
      <c r="A177" t="s">
        <v>2075</v>
      </c>
      <c r="B177" s="5">
        <f>SUMIFS(SalesDetail[Quantity (KG)],SalesDetail[Customer],$A177,SalesDetail[Year],2009)</f>
        <v>0</v>
      </c>
      <c r="C177" s="5">
        <f>SUMIFS(SalesDetail[Quantity (KG)],SalesDetail[Customer],$A177,SalesDetail[Year],2010)</f>
        <v>0</v>
      </c>
      <c r="D177" s="5">
        <f>SUMIFS(SalesDetail[Quantity (KG)],SalesDetail[Customer],$A177,SalesDetail[Year],2011)</f>
        <v>0</v>
      </c>
      <c r="E177" s="5">
        <f>SUMIFS(SalesDetail[Quantity (KG)],SalesDetail[Customer],$A177,SalesDetail[Year],2012)</f>
        <v>0</v>
      </c>
      <c r="F177" s="5">
        <f>SUMIFS(SalesDetail[Quantity (KG)],SalesDetail[Customer],$A177,SalesDetail[Year],2013)</f>
        <v>0</v>
      </c>
      <c r="G177" s="5">
        <f>SUMIFS(SalesDetail[Quantity (KG)],SalesDetail[Customer],$A177,SalesDetail[Year],2014)</f>
        <v>0</v>
      </c>
      <c r="H177" s="5">
        <f>SUMIFS(SalesDetail[Quantity (KG)],SalesDetail[Customer],$A177,SalesDetail[Year],2015)</f>
        <v>0</v>
      </c>
      <c r="I177" s="5">
        <f>SUMIFS(SalesDetail[Quantity (KG)],SalesDetail[Customer],$A177,SalesDetail[Year],2016)</f>
        <v>0</v>
      </c>
      <c r="J177" s="5">
        <f>SUMIFS(SalesDetail[Quantity (KG)],SalesDetail[Customer],$A177,SalesDetail[Year],2017)</f>
        <v>0</v>
      </c>
      <c r="K177" s="5">
        <f>SUMIFS(SalesDetail[Quantity (KG)],SalesDetail[Customer],$A177,SalesDetail[Year],2018)</f>
        <v>0</v>
      </c>
      <c r="L177" s="5">
        <f>SUMIFS(SalesDetail[Quantity (KG)],SalesDetail[Customer],$A177,SalesDetail[Year],2019)</f>
        <v>0</v>
      </c>
      <c r="M177" s="5">
        <f>SUMIFS(SalesDetail[Quantity (KG)],SalesDetail[Customer],$A177,SalesDetail[Year],2020)</f>
        <v>243</v>
      </c>
      <c r="N177" s="5">
        <f>SUMIFS(SalesDetail[Quantity (KG)],SalesDetail[Customer],$A177,SalesDetail[Year],2021)</f>
        <v>125</v>
      </c>
      <c r="O177" s="6">
        <f>SUM(B177:N177)</f>
        <v>368</v>
      </c>
    </row>
    <row r="178" spans="1:15" x14ac:dyDescent="0.3">
      <c r="A178" t="s">
        <v>2233</v>
      </c>
      <c r="B178" s="5">
        <f>SUMIFS(SalesDetail[Quantity (KG)],SalesDetail[Customer],$A178,SalesDetail[Year],2009)</f>
        <v>0</v>
      </c>
      <c r="C178" s="5">
        <f>SUMIFS(SalesDetail[Quantity (KG)],SalesDetail[Customer],$A178,SalesDetail[Year],2010)</f>
        <v>0</v>
      </c>
      <c r="D178" s="5">
        <f>SUMIFS(SalesDetail[Quantity (KG)],SalesDetail[Customer],$A178,SalesDetail[Year],2011)</f>
        <v>0</v>
      </c>
      <c r="E178" s="5">
        <f>SUMIFS(SalesDetail[Quantity (KG)],SalesDetail[Customer],$A178,SalesDetail[Year],2012)</f>
        <v>0</v>
      </c>
      <c r="F178" s="5">
        <f>SUMIFS(SalesDetail[Quantity (KG)],SalesDetail[Customer],$A178,SalesDetail[Year],2013)</f>
        <v>0</v>
      </c>
      <c r="G178" s="5">
        <f>SUMIFS(SalesDetail[Quantity (KG)],SalesDetail[Customer],$A178,SalesDetail[Year],2014)</f>
        <v>15</v>
      </c>
      <c r="H178" s="5">
        <f>SUMIFS(SalesDetail[Quantity (KG)],SalesDetail[Customer],$A178,SalesDetail[Year],2015)</f>
        <v>35</v>
      </c>
      <c r="I178" s="5">
        <f>SUMIFS(SalesDetail[Quantity (KG)],SalesDetail[Customer],$A178,SalesDetail[Year],2016)</f>
        <v>45</v>
      </c>
      <c r="J178" s="5">
        <f>SUMIFS(SalesDetail[Quantity (KG)],SalesDetail[Customer],$A178,SalesDetail[Year],2017)</f>
        <v>65</v>
      </c>
      <c r="K178" s="5">
        <f>SUMIFS(SalesDetail[Quantity (KG)],SalesDetail[Customer],$A178,SalesDetail[Year],2018)</f>
        <v>65</v>
      </c>
      <c r="L178" s="5">
        <f>SUMIFS(SalesDetail[Quantity (KG)],SalesDetail[Customer],$A178,SalesDetail[Year],2019)</f>
        <v>26</v>
      </c>
      <c r="M178" s="5">
        <f>SUMIFS(SalesDetail[Quantity (KG)],SalesDetail[Customer],$A178,SalesDetail[Year],2020)</f>
        <v>50</v>
      </c>
      <c r="N178" s="5">
        <f>SUMIFS(SalesDetail[Quantity (KG)],SalesDetail[Customer],$A178,SalesDetail[Year],2021)</f>
        <v>67</v>
      </c>
      <c r="O178" s="6">
        <f>SUM(B178:N178)</f>
        <v>368</v>
      </c>
    </row>
    <row r="179" spans="1:15" x14ac:dyDescent="0.3">
      <c r="A179" t="s">
        <v>1760</v>
      </c>
      <c r="B179" s="5">
        <f>SUMIFS(SalesDetail[Quantity (KG)],SalesDetail[Customer],$A179,SalesDetail[Year],2009)</f>
        <v>0</v>
      </c>
      <c r="C179" s="5">
        <f>SUMIFS(SalesDetail[Quantity (KG)],SalesDetail[Customer],$A179,SalesDetail[Year],2010)</f>
        <v>0</v>
      </c>
      <c r="D179" s="5">
        <f>SUMIFS(SalesDetail[Quantity (KG)],SalesDetail[Customer],$A179,SalesDetail[Year],2011)</f>
        <v>0</v>
      </c>
      <c r="E179" s="5">
        <f>SUMIFS(SalesDetail[Quantity (KG)],SalesDetail[Customer],$A179,SalesDetail[Year],2012)</f>
        <v>0</v>
      </c>
      <c r="F179" s="5">
        <f>SUMIFS(SalesDetail[Quantity (KG)],SalesDetail[Customer],$A179,SalesDetail[Year],2013)</f>
        <v>0</v>
      </c>
      <c r="G179" s="5">
        <f>SUMIFS(SalesDetail[Quantity (KG)],SalesDetail[Customer],$A179,SalesDetail[Year],2014)</f>
        <v>0</v>
      </c>
      <c r="H179" s="5">
        <f>SUMIFS(SalesDetail[Quantity (KG)],SalesDetail[Customer],$A179,SalesDetail[Year],2015)</f>
        <v>20</v>
      </c>
      <c r="I179" s="5">
        <f>SUMIFS(SalesDetail[Quantity (KG)],SalesDetail[Customer],$A179,SalesDetail[Year],2016)</f>
        <v>49</v>
      </c>
      <c r="J179" s="5">
        <f>SUMIFS(SalesDetail[Quantity (KG)],SalesDetail[Customer],$A179,SalesDetail[Year],2017)</f>
        <v>200</v>
      </c>
      <c r="K179" s="5">
        <f>SUMIFS(SalesDetail[Quantity (KG)],SalesDetail[Customer],$A179,SalesDetail[Year],2018)</f>
        <v>50</v>
      </c>
      <c r="L179" s="5">
        <f>SUMIFS(SalesDetail[Quantity (KG)],SalesDetail[Customer],$A179,SalesDetail[Year],2019)</f>
        <v>45</v>
      </c>
      <c r="M179" s="5">
        <f>SUMIFS(SalesDetail[Quantity (KG)],SalesDetail[Customer],$A179,SalesDetail[Year],2020)</f>
        <v>0</v>
      </c>
      <c r="N179" s="5">
        <f>SUMIFS(SalesDetail[Quantity (KG)],SalesDetail[Customer],$A179,SalesDetail[Year],2021)</f>
        <v>0</v>
      </c>
      <c r="O179" s="6">
        <f>SUM(B179:N179)</f>
        <v>364</v>
      </c>
    </row>
    <row r="180" spans="1:15" x14ac:dyDescent="0.3">
      <c r="A180" t="s">
        <v>2581</v>
      </c>
      <c r="B180" s="5">
        <f>SUMIFS(SalesDetail[Quantity (KG)],SalesDetail[Customer],$A180,SalesDetail[Year],2009)</f>
        <v>0</v>
      </c>
      <c r="C180" s="5">
        <f>SUMIFS(SalesDetail[Quantity (KG)],SalesDetail[Customer],$A180,SalesDetail[Year],2010)</f>
        <v>0</v>
      </c>
      <c r="D180" s="5">
        <f>SUMIFS(SalesDetail[Quantity (KG)],SalesDetail[Customer],$A180,SalesDetail[Year],2011)</f>
        <v>26</v>
      </c>
      <c r="E180" s="5">
        <f>SUMIFS(SalesDetail[Quantity (KG)],SalesDetail[Customer],$A180,SalesDetail[Year],2012)</f>
        <v>130</v>
      </c>
      <c r="F180" s="5">
        <f>SUMIFS(SalesDetail[Quantity (KG)],SalesDetail[Customer],$A180,SalesDetail[Year],2013)</f>
        <v>75</v>
      </c>
      <c r="G180" s="5">
        <f>SUMIFS(SalesDetail[Quantity (KG)],SalesDetail[Customer],$A180,SalesDetail[Year],2014)</f>
        <v>0</v>
      </c>
      <c r="H180" s="5">
        <f>SUMIFS(SalesDetail[Quantity (KG)],SalesDetail[Customer],$A180,SalesDetail[Year],2015)</f>
        <v>50</v>
      </c>
      <c r="I180" s="5">
        <f>SUMIFS(SalesDetail[Quantity (KG)],SalesDetail[Customer],$A180,SalesDetail[Year],2016)</f>
        <v>25</v>
      </c>
      <c r="J180" s="5">
        <f>SUMIFS(SalesDetail[Quantity (KG)],SalesDetail[Customer],$A180,SalesDetail[Year],2017)</f>
        <v>50</v>
      </c>
      <c r="K180" s="5">
        <f>SUMIFS(SalesDetail[Quantity (KG)],SalesDetail[Customer],$A180,SalesDetail[Year],2018)</f>
        <v>0</v>
      </c>
      <c r="L180" s="5">
        <f>SUMIFS(SalesDetail[Quantity (KG)],SalesDetail[Customer],$A180,SalesDetail[Year],2019)</f>
        <v>0</v>
      </c>
      <c r="M180" s="5">
        <f>SUMIFS(SalesDetail[Quantity (KG)],SalesDetail[Customer],$A180,SalesDetail[Year],2020)</f>
        <v>0</v>
      </c>
      <c r="N180" s="5">
        <f>SUMIFS(SalesDetail[Quantity (KG)],SalesDetail[Customer],$A180,SalesDetail[Year],2021)</f>
        <v>0</v>
      </c>
      <c r="O180" s="6">
        <f>SUM(B180:N180)</f>
        <v>356</v>
      </c>
    </row>
    <row r="181" spans="1:15" x14ac:dyDescent="0.3">
      <c r="A181" t="s">
        <v>1958</v>
      </c>
      <c r="B181" s="5">
        <f>SUMIFS(SalesDetail[Quantity (KG)],SalesDetail[Customer],$A181,SalesDetail[Year],2009)</f>
        <v>0</v>
      </c>
      <c r="C181" s="5">
        <f>SUMIFS(SalesDetail[Quantity (KG)],SalesDetail[Customer],$A181,SalesDetail[Year],2010)</f>
        <v>0</v>
      </c>
      <c r="D181" s="5">
        <f>SUMIFS(SalesDetail[Quantity (KG)],SalesDetail[Customer],$A181,SalesDetail[Year],2011)</f>
        <v>0</v>
      </c>
      <c r="E181" s="5">
        <f>SUMIFS(SalesDetail[Quantity (KG)],SalesDetail[Customer],$A181,SalesDetail[Year],2012)</f>
        <v>0</v>
      </c>
      <c r="F181" s="5">
        <f>SUMIFS(SalesDetail[Quantity (KG)],SalesDetail[Customer],$A181,SalesDetail[Year],2013)</f>
        <v>0</v>
      </c>
      <c r="G181" s="5">
        <f>SUMIFS(SalesDetail[Quantity (KG)],SalesDetail[Customer],$A181,SalesDetail[Year],2014)</f>
        <v>0</v>
      </c>
      <c r="H181" s="5">
        <f>SUMIFS(SalesDetail[Quantity (KG)],SalesDetail[Customer],$A181,SalesDetail[Year],2015)</f>
        <v>62</v>
      </c>
      <c r="I181" s="5">
        <f>SUMIFS(SalesDetail[Quantity (KG)],SalesDetail[Customer],$A181,SalesDetail[Year],2016)</f>
        <v>125</v>
      </c>
      <c r="J181" s="5">
        <f>SUMIFS(SalesDetail[Quantity (KG)],SalesDetail[Customer],$A181,SalesDetail[Year],2017)</f>
        <v>28</v>
      </c>
      <c r="K181" s="5">
        <f>SUMIFS(SalesDetail[Quantity (KG)],SalesDetail[Customer],$A181,SalesDetail[Year],2018)</f>
        <v>29</v>
      </c>
      <c r="L181" s="5">
        <f>SUMIFS(SalesDetail[Quantity (KG)],SalesDetail[Customer],$A181,SalesDetail[Year],2019)</f>
        <v>108</v>
      </c>
      <c r="M181" s="5">
        <f>SUMIFS(SalesDetail[Quantity (KG)],SalesDetail[Customer],$A181,SalesDetail[Year],2020)</f>
        <v>0</v>
      </c>
      <c r="N181" s="5">
        <f>SUMIFS(SalesDetail[Quantity (KG)],SalesDetail[Customer],$A181,SalesDetail[Year],2021)</f>
        <v>0</v>
      </c>
      <c r="O181" s="6">
        <f>SUM(B181:N181)</f>
        <v>352</v>
      </c>
    </row>
    <row r="182" spans="1:15" x14ac:dyDescent="0.3">
      <c r="A182" t="s">
        <v>1855</v>
      </c>
      <c r="B182" s="5">
        <f>SUMIFS(SalesDetail[Quantity (KG)],SalesDetail[Customer],$A182,SalesDetail[Year],2009)</f>
        <v>0</v>
      </c>
      <c r="C182" s="5">
        <f>SUMIFS(SalesDetail[Quantity (KG)],SalesDetail[Customer],$A182,SalesDetail[Year],2010)</f>
        <v>0</v>
      </c>
      <c r="D182" s="5">
        <f>SUMIFS(SalesDetail[Quantity (KG)],SalesDetail[Customer],$A182,SalesDetail[Year],2011)</f>
        <v>125</v>
      </c>
      <c r="E182" s="5">
        <f>SUMIFS(SalesDetail[Quantity (KG)],SalesDetail[Customer],$A182,SalesDetail[Year],2012)</f>
        <v>120</v>
      </c>
      <c r="F182" s="5">
        <f>SUMIFS(SalesDetail[Quantity (KG)],SalesDetail[Customer],$A182,SalesDetail[Year],2013)</f>
        <v>0</v>
      </c>
      <c r="G182" s="5">
        <f>SUMIFS(SalesDetail[Quantity (KG)],SalesDetail[Customer],$A182,SalesDetail[Year],2014)</f>
        <v>0</v>
      </c>
      <c r="H182" s="5">
        <f>SUMIFS(SalesDetail[Quantity (KG)],SalesDetail[Customer],$A182,SalesDetail[Year],2015)</f>
        <v>0</v>
      </c>
      <c r="I182" s="5">
        <f>SUMIFS(SalesDetail[Quantity (KG)],SalesDetail[Customer],$A182,SalesDetail[Year],2016)</f>
        <v>103</v>
      </c>
      <c r="J182" s="5">
        <f>SUMIFS(SalesDetail[Quantity (KG)],SalesDetail[Customer],$A182,SalesDetail[Year],2017)</f>
        <v>0</v>
      </c>
      <c r="K182" s="5">
        <f>SUMIFS(SalesDetail[Quantity (KG)],SalesDetail[Customer],$A182,SalesDetail[Year],2018)</f>
        <v>0</v>
      </c>
      <c r="L182" s="5">
        <f>SUMIFS(SalesDetail[Quantity (KG)],SalesDetail[Customer],$A182,SalesDetail[Year],2019)</f>
        <v>0</v>
      </c>
      <c r="M182" s="5">
        <f>SUMIFS(SalesDetail[Quantity (KG)],SalesDetail[Customer],$A182,SalesDetail[Year],2020)</f>
        <v>0</v>
      </c>
      <c r="N182" s="5">
        <f>SUMIFS(SalesDetail[Quantity (KG)],SalesDetail[Customer],$A182,SalesDetail[Year],2021)</f>
        <v>0</v>
      </c>
      <c r="O182" s="6">
        <f>SUM(B182:N182)</f>
        <v>348</v>
      </c>
    </row>
    <row r="183" spans="1:15" x14ac:dyDescent="0.3">
      <c r="A183" t="s">
        <v>1162</v>
      </c>
      <c r="B183" s="5">
        <f>SUMIFS(SalesDetail[Quantity (KG)],SalesDetail[Customer],$A183,SalesDetail[Year],2009)</f>
        <v>0</v>
      </c>
      <c r="C183" s="5">
        <f>SUMIFS(SalesDetail[Quantity (KG)],SalesDetail[Customer],$A183,SalesDetail[Year],2010)</f>
        <v>0</v>
      </c>
      <c r="D183" s="5">
        <f>SUMIFS(SalesDetail[Quantity (KG)],SalesDetail[Customer],$A183,SalesDetail[Year],2011)</f>
        <v>0</v>
      </c>
      <c r="E183" s="5">
        <f>SUMIFS(SalesDetail[Quantity (KG)],SalesDetail[Customer],$A183,SalesDetail[Year],2012)</f>
        <v>0</v>
      </c>
      <c r="F183" s="5">
        <f>SUMIFS(SalesDetail[Quantity (KG)],SalesDetail[Customer],$A183,SalesDetail[Year],2013)</f>
        <v>0</v>
      </c>
      <c r="G183" s="5">
        <f>SUMIFS(SalesDetail[Quantity (KG)],SalesDetail[Customer],$A183,SalesDetail[Year],2014)</f>
        <v>0</v>
      </c>
      <c r="H183" s="5">
        <f>SUMIFS(SalesDetail[Quantity (KG)],SalesDetail[Customer],$A183,SalesDetail[Year],2015)</f>
        <v>0</v>
      </c>
      <c r="I183" s="5">
        <f>SUMIFS(SalesDetail[Quantity (KG)],SalesDetail[Customer],$A183,SalesDetail[Year],2016)</f>
        <v>0</v>
      </c>
      <c r="J183" s="5">
        <f>SUMIFS(SalesDetail[Quantity (KG)],SalesDetail[Customer],$A183,SalesDetail[Year],2017)</f>
        <v>0</v>
      </c>
      <c r="K183" s="5">
        <f>SUMIFS(SalesDetail[Quantity (KG)],SalesDetail[Customer],$A183,SalesDetail[Year],2018)</f>
        <v>145</v>
      </c>
      <c r="L183" s="5">
        <f>SUMIFS(SalesDetail[Quantity (KG)],SalesDetail[Customer],$A183,SalesDetail[Year],2019)</f>
        <v>50</v>
      </c>
      <c r="M183" s="5">
        <f>SUMIFS(SalesDetail[Quantity (KG)],SalesDetail[Customer],$A183,SalesDetail[Year],2020)</f>
        <v>150</v>
      </c>
      <c r="N183" s="5">
        <f>SUMIFS(SalesDetail[Quantity (KG)],SalesDetail[Customer],$A183,SalesDetail[Year],2021)</f>
        <v>0</v>
      </c>
      <c r="O183" s="6">
        <f>SUM(B183:N183)</f>
        <v>345</v>
      </c>
    </row>
    <row r="184" spans="1:15" x14ac:dyDescent="0.3">
      <c r="A184" t="s">
        <v>2482</v>
      </c>
      <c r="B184" s="5">
        <f>SUMIFS(SalesDetail[Quantity (KG)],SalesDetail[Customer],$A184,SalesDetail[Year],2009)</f>
        <v>0</v>
      </c>
      <c r="C184" s="5">
        <f>SUMIFS(SalesDetail[Quantity (KG)],SalesDetail[Customer],$A184,SalesDetail[Year],2010)</f>
        <v>0</v>
      </c>
      <c r="D184" s="5">
        <f>SUMIFS(SalesDetail[Quantity (KG)],SalesDetail[Customer],$A184,SalesDetail[Year],2011)</f>
        <v>0</v>
      </c>
      <c r="E184" s="5">
        <f>SUMIFS(SalesDetail[Quantity (KG)],SalesDetail[Customer],$A184,SalesDetail[Year],2012)</f>
        <v>0</v>
      </c>
      <c r="F184" s="5">
        <f>SUMIFS(SalesDetail[Quantity (KG)],SalesDetail[Customer],$A184,SalesDetail[Year],2013)</f>
        <v>0</v>
      </c>
      <c r="G184" s="5">
        <f>SUMIFS(SalesDetail[Quantity (KG)],SalesDetail[Customer],$A184,SalesDetail[Year],2014)</f>
        <v>0</v>
      </c>
      <c r="H184" s="5">
        <f>SUMIFS(SalesDetail[Quantity (KG)],SalesDetail[Customer],$A184,SalesDetail[Year],2015)</f>
        <v>0</v>
      </c>
      <c r="I184" s="5">
        <f>SUMIFS(SalesDetail[Quantity (KG)],SalesDetail[Customer],$A184,SalesDetail[Year],2016)</f>
        <v>0</v>
      </c>
      <c r="J184" s="5">
        <f>SUMIFS(SalesDetail[Quantity (KG)],SalesDetail[Customer],$A184,SalesDetail[Year],2017)</f>
        <v>70</v>
      </c>
      <c r="K184" s="5">
        <f>SUMIFS(SalesDetail[Quantity (KG)],SalesDetail[Customer],$A184,SalesDetail[Year],2018)</f>
        <v>112.5</v>
      </c>
      <c r="L184" s="5">
        <f>SUMIFS(SalesDetail[Quantity (KG)],SalesDetail[Customer],$A184,SalesDetail[Year],2019)</f>
        <v>151</v>
      </c>
      <c r="M184" s="5">
        <f>SUMIFS(SalesDetail[Quantity (KG)],SalesDetail[Customer],$A184,SalesDetail[Year],2020)</f>
        <v>6</v>
      </c>
      <c r="N184" s="5">
        <f>SUMIFS(SalesDetail[Quantity (KG)],SalesDetail[Customer],$A184,SalesDetail[Year],2021)</f>
        <v>1</v>
      </c>
      <c r="O184" s="6">
        <f>SUM(B184:N184)</f>
        <v>340.5</v>
      </c>
    </row>
    <row r="185" spans="1:15" x14ac:dyDescent="0.3">
      <c r="A185" t="s">
        <v>1911</v>
      </c>
      <c r="B185" s="5">
        <f>SUMIFS(SalesDetail[Quantity (KG)],SalesDetail[Customer],$A185,SalesDetail[Year],2009)</f>
        <v>0</v>
      </c>
      <c r="C185" s="5">
        <f>SUMIFS(SalesDetail[Quantity (KG)],SalesDetail[Customer],$A185,SalesDetail[Year],2010)</f>
        <v>0</v>
      </c>
      <c r="D185" s="5">
        <f>SUMIFS(SalesDetail[Quantity (KG)],SalesDetail[Customer],$A185,SalesDetail[Year],2011)</f>
        <v>0</v>
      </c>
      <c r="E185" s="5">
        <f>SUMIFS(SalesDetail[Quantity (KG)],SalesDetail[Customer],$A185,SalesDetail[Year],2012)</f>
        <v>0</v>
      </c>
      <c r="F185" s="5">
        <f>SUMIFS(SalesDetail[Quantity (KG)],SalesDetail[Customer],$A185,SalesDetail[Year],2013)</f>
        <v>0</v>
      </c>
      <c r="G185" s="5">
        <f>SUMIFS(SalesDetail[Quantity (KG)],SalesDetail[Customer],$A185,SalesDetail[Year],2014)</f>
        <v>0</v>
      </c>
      <c r="H185" s="5">
        <f>SUMIFS(SalesDetail[Quantity (KG)],SalesDetail[Customer],$A185,SalesDetail[Year],2015)</f>
        <v>135</v>
      </c>
      <c r="I185" s="5">
        <f>SUMIFS(SalesDetail[Quantity (KG)],SalesDetail[Customer],$A185,SalesDetail[Year],2016)</f>
        <v>80</v>
      </c>
      <c r="J185" s="5">
        <f>SUMIFS(SalesDetail[Quantity (KG)],SalesDetail[Customer],$A185,SalesDetail[Year],2017)</f>
        <v>85</v>
      </c>
      <c r="K185" s="5">
        <f>SUMIFS(SalesDetail[Quantity (KG)],SalesDetail[Customer],$A185,SalesDetail[Year],2018)</f>
        <v>15</v>
      </c>
      <c r="L185" s="5">
        <f>SUMIFS(SalesDetail[Quantity (KG)],SalesDetail[Customer],$A185,SalesDetail[Year],2019)</f>
        <v>25</v>
      </c>
      <c r="M185" s="5">
        <f>SUMIFS(SalesDetail[Quantity (KG)],SalesDetail[Customer],$A185,SalesDetail[Year],2020)</f>
        <v>0</v>
      </c>
      <c r="N185" s="5">
        <f>SUMIFS(SalesDetail[Quantity (KG)],SalesDetail[Customer],$A185,SalesDetail[Year],2021)</f>
        <v>0</v>
      </c>
      <c r="O185" s="6">
        <f>SUM(B185:N185)</f>
        <v>340</v>
      </c>
    </row>
    <row r="186" spans="1:15" x14ac:dyDescent="0.3">
      <c r="A186" t="s">
        <v>2130</v>
      </c>
      <c r="B186" s="5">
        <f>SUMIFS(SalesDetail[Quantity (KG)],SalesDetail[Customer],$A186,SalesDetail[Year],2009)</f>
        <v>0</v>
      </c>
      <c r="C186" s="5">
        <f>SUMIFS(SalesDetail[Quantity (KG)],SalesDetail[Customer],$A186,SalesDetail[Year],2010)</f>
        <v>0</v>
      </c>
      <c r="D186" s="5">
        <f>SUMIFS(SalesDetail[Quantity (KG)],SalesDetail[Customer],$A186,SalesDetail[Year],2011)</f>
        <v>0</v>
      </c>
      <c r="E186" s="5">
        <f>SUMIFS(SalesDetail[Quantity (KG)],SalesDetail[Customer],$A186,SalesDetail[Year],2012)</f>
        <v>0</v>
      </c>
      <c r="F186" s="5">
        <f>SUMIFS(SalesDetail[Quantity (KG)],SalesDetail[Customer],$A186,SalesDetail[Year],2013)</f>
        <v>0</v>
      </c>
      <c r="G186" s="5">
        <f>SUMIFS(SalesDetail[Quantity (KG)],SalesDetail[Customer],$A186,SalesDetail[Year],2014)</f>
        <v>0</v>
      </c>
      <c r="H186" s="5">
        <f>SUMIFS(SalesDetail[Quantity (KG)],SalesDetail[Customer],$A186,SalesDetail[Year],2015)</f>
        <v>0</v>
      </c>
      <c r="I186" s="5">
        <f>SUMIFS(SalesDetail[Quantity (KG)],SalesDetail[Customer],$A186,SalesDetail[Year],2016)</f>
        <v>0</v>
      </c>
      <c r="J186" s="5">
        <f>SUMIFS(SalesDetail[Quantity (KG)],SalesDetail[Customer],$A186,SalesDetail[Year],2017)</f>
        <v>0</v>
      </c>
      <c r="K186" s="5">
        <f>SUMIFS(SalesDetail[Quantity (KG)],SalesDetail[Customer],$A186,SalesDetail[Year],2018)</f>
        <v>5</v>
      </c>
      <c r="L186" s="5">
        <f>SUMIFS(SalesDetail[Quantity (KG)],SalesDetail[Customer],$A186,SalesDetail[Year],2019)</f>
        <v>210</v>
      </c>
      <c r="M186" s="5">
        <f>SUMIFS(SalesDetail[Quantity (KG)],SalesDetail[Customer],$A186,SalesDetail[Year],2020)</f>
        <v>90</v>
      </c>
      <c r="N186" s="5">
        <f>SUMIFS(SalesDetail[Quantity (KG)],SalesDetail[Customer],$A186,SalesDetail[Year],2021)</f>
        <v>30</v>
      </c>
      <c r="O186" s="6">
        <f>SUM(B186:N186)</f>
        <v>335</v>
      </c>
    </row>
    <row r="187" spans="1:15" x14ac:dyDescent="0.3">
      <c r="A187" t="s">
        <v>2416</v>
      </c>
      <c r="B187" s="5">
        <f>SUMIFS(SalesDetail[Quantity (KG)],SalesDetail[Customer],$A187,SalesDetail[Year],2009)</f>
        <v>0</v>
      </c>
      <c r="C187" s="5">
        <f>SUMIFS(SalesDetail[Quantity (KG)],SalesDetail[Customer],$A187,SalesDetail[Year],2010)</f>
        <v>0</v>
      </c>
      <c r="D187" s="5">
        <f>SUMIFS(SalesDetail[Quantity (KG)],SalesDetail[Customer],$A187,SalesDetail[Year],2011)</f>
        <v>0</v>
      </c>
      <c r="E187" s="5">
        <f>SUMIFS(SalesDetail[Quantity (KG)],SalesDetail[Customer],$A187,SalesDetail[Year],2012)</f>
        <v>0</v>
      </c>
      <c r="F187" s="5">
        <f>SUMIFS(SalesDetail[Quantity (KG)],SalesDetail[Customer],$A187,SalesDetail[Year],2013)</f>
        <v>80.5</v>
      </c>
      <c r="G187" s="5">
        <f>SUMIFS(SalesDetail[Quantity (KG)],SalesDetail[Customer],$A187,SalesDetail[Year],2014)</f>
        <v>121.5</v>
      </c>
      <c r="H187" s="5">
        <f>SUMIFS(SalesDetail[Quantity (KG)],SalesDetail[Customer],$A187,SalesDetail[Year],2015)</f>
        <v>44</v>
      </c>
      <c r="I187" s="5">
        <f>SUMIFS(SalesDetail[Quantity (KG)],SalesDetail[Customer],$A187,SalesDetail[Year],2016)</f>
        <v>32</v>
      </c>
      <c r="J187" s="5">
        <f>SUMIFS(SalesDetail[Quantity (KG)],SalesDetail[Customer],$A187,SalesDetail[Year],2017)</f>
        <v>26</v>
      </c>
      <c r="K187" s="5">
        <f>SUMIFS(SalesDetail[Quantity (KG)],SalesDetail[Customer],$A187,SalesDetail[Year],2018)</f>
        <v>14</v>
      </c>
      <c r="L187" s="5">
        <f>SUMIFS(SalesDetail[Quantity (KG)],SalesDetail[Customer],$A187,SalesDetail[Year],2019)</f>
        <v>8</v>
      </c>
      <c r="M187" s="5">
        <f>SUMIFS(SalesDetail[Quantity (KG)],SalesDetail[Customer],$A187,SalesDetail[Year],2020)</f>
        <v>0</v>
      </c>
      <c r="N187" s="5">
        <f>SUMIFS(SalesDetail[Quantity (KG)],SalesDetail[Customer],$A187,SalesDetail[Year],2021)</f>
        <v>0</v>
      </c>
      <c r="O187" s="6">
        <f>SUM(B187:N187)</f>
        <v>326</v>
      </c>
    </row>
    <row r="188" spans="1:15" x14ac:dyDescent="0.3">
      <c r="A188" t="s">
        <v>345</v>
      </c>
      <c r="B188" s="5">
        <f>SUMIFS(SalesDetail[Quantity (KG)],SalesDetail[Customer],$A188,SalesDetail[Year],2009)</f>
        <v>0</v>
      </c>
      <c r="C188" s="5">
        <f>SUMIFS(SalesDetail[Quantity (KG)],SalesDetail[Customer],$A188,SalesDetail[Year],2010)</f>
        <v>0</v>
      </c>
      <c r="D188" s="5">
        <f>SUMIFS(SalesDetail[Quantity (KG)],SalesDetail[Customer],$A188,SalesDetail[Year],2011)</f>
        <v>0</v>
      </c>
      <c r="E188" s="5">
        <f>SUMIFS(SalesDetail[Quantity (KG)],SalesDetail[Customer],$A188,SalesDetail[Year],2012)</f>
        <v>0</v>
      </c>
      <c r="F188" s="5">
        <f>SUMIFS(SalesDetail[Quantity (KG)],SalesDetail[Customer],$A188,SalesDetail[Year],2013)</f>
        <v>0</v>
      </c>
      <c r="G188" s="5">
        <f>SUMIFS(SalesDetail[Quantity (KG)],SalesDetail[Customer],$A188,SalesDetail[Year],2014)</f>
        <v>0</v>
      </c>
      <c r="H188" s="5">
        <f>SUMIFS(SalesDetail[Quantity (KG)],SalesDetail[Customer],$A188,SalesDetail[Year],2015)</f>
        <v>0</v>
      </c>
      <c r="I188" s="5">
        <f>SUMIFS(SalesDetail[Quantity (KG)],SalesDetail[Customer],$A188,SalesDetail[Year],2016)</f>
        <v>0</v>
      </c>
      <c r="J188" s="5">
        <f>SUMIFS(SalesDetail[Quantity (KG)],SalesDetail[Customer],$A188,SalesDetail[Year],2017)</f>
        <v>0</v>
      </c>
      <c r="K188" s="5">
        <f>SUMIFS(SalesDetail[Quantity (KG)],SalesDetail[Customer],$A188,SalesDetail[Year],2018)</f>
        <v>0</v>
      </c>
      <c r="L188" s="5">
        <f>SUMIFS(SalesDetail[Quantity (KG)],SalesDetail[Customer],$A188,SalesDetail[Year],2019)</f>
        <v>0</v>
      </c>
      <c r="M188" s="5">
        <f>SUMIFS(SalesDetail[Quantity (KG)],SalesDetail[Customer],$A188,SalesDetail[Year],2020)</f>
        <v>309</v>
      </c>
      <c r="N188" s="5">
        <f>SUMIFS(SalesDetail[Quantity (KG)],SalesDetail[Customer],$A188,SalesDetail[Year],2021)</f>
        <v>16</v>
      </c>
      <c r="O188" s="6">
        <f>SUM(B188:N188)</f>
        <v>325</v>
      </c>
    </row>
    <row r="189" spans="1:15" x14ac:dyDescent="0.3">
      <c r="A189" t="s">
        <v>1174</v>
      </c>
      <c r="B189" s="5">
        <f>SUMIFS(SalesDetail[Quantity (KG)],SalesDetail[Customer],$A189,SalesDetail[Year],2009)</f>
        <v>0</v>
      </c>
      <c r="C189" s="5">
        <f>SUMIFS(SalesDetail[Quantity (KG)],SalesDetail[Customer],$A189,SalesDetail[Year],2010)</f>
        <v>0</v>
      </c>
      <c r="D189" s="5">
        <f>SUMIFS(SalesDetail[Quantity (KG)],SalesDetail[Customer],$A189,SalesDetail[Year],2011)</f>
        <v>0</v>
      </c>
      <c r="E189" s="5">
        <f>SUMIFS(SalesDetail[Quantity (KG)],SalesDetail[Customer],$A189,SalesDetail[Year],2012)</f>
        <v>0</v>
      </c>
      <c r="F189" s="5">
        <f>SUMIFS(SalesDetail[Quantity (KG)],SalesDetail[Customer],$A189,SalesDetail[Year],2013)</f>
        <v>0</v>
      </c>
      <c r="G189" s="5">
        <f>SUMIFS(SalesDetail[Quantity (KG)],SalesDetail[Customer],$A189,SalesDetail[Year],2014)</f>
        <v>0</v>
      </c>
      <c r="H189" s="5">
        <f>SUMIFS(SalesDetail[Quantity (KG)],SalesDetail[Customer],$A189,SalesDetail[Year],2015)</f>
        <v>0</v>
      </c>
      <c r="I189" s="5">
        <f>SUMIFS(SalesDetail[Quantity (KG)],SalesDetail[Customer],$A189,SalesDetail[Year],2016)</f>
        <v>0</v>
      </c>
      <c r="J189" s="5">
        <f>SUMIFS(SalesDetail[Quantity (KG)],SalesDetail[Customer],$A189,SalesDetail[Year],2017)</f>
        <v>85</v>
      </c>
      <c r="K189" s="5">
        <f>SUMIFS(SalesDetail[Quantity (KG)],SalesDetail[Customer],$A189,SalesDetail[Year],2018)</f>
        <v>85</v>
      </c>
      <c r="L189" s="5">
        <f>SUMIFS(SalesDetail[Quantity (KG)],SalesDetail[Customer],$A189,SalesDetail[Year],2019)</f>
        <v>100</v>
      </c>
      <c r="M189" s="5">
        <f>SUMIFS(SalesDetail[Quantity (KG)],SalesDetail[Customer],$A189,SalesDetail[Year],2020)</f>
        <v>50</v>
      </c>
      <c r="N189" s="5">
        <f>SUMIFS(SalesDetail[Quantity (KG)],SalesDetail[Customer],$A189,SalesDetail[Year],2021)</f>
        <v>0</v>
      </c>
      <c r="O189" s="6">
        <f>SUM(B189:N189)</f>
        <v>320</v>
      </c>
    </row>
    <row r="190" spans="1:15" x14ac:dyDescent="0.3">
      <c r="A190" t="s">
        <v>2287</v>
      </c>
      <c r="B190" s="5">
        <f>SUMIFS(SalesDetail[Quantity (KG)],SalesDetail[Customer],$A190,SalesDetail[Year],2009)</f>
        <v>0</v>
      </c>
      <c r="C190" s="5">
        <f>SUMIFS(SalesDetail[Quantity (KG)],SalesDetail[Customer],$A190,SalesDetail[Year],2010)</f>
        <v>0</v>
      </c>
      <c r="D190" s="5">
        <f>SUMIFS(SalesDetail[Quantity (KG)],SalesDetail[Customer],$A190,SalesDetail[Year],2011)</f>
        <v>0</v>
      </c>
      <c r="E190" s="5">
        <f>SUMIFS(SalesDetail[Quantity (KG)],SalesDetail[Customer],$A190,SalesDetail[Year],2012)</f>
        <v>0</v>
      </c>
      <c r="F190" s="5">
        <f>SUMIFS(SalesDetail[Quantity (KG)],SalesDetail[Customer],$A190,SalesDetail[Year],2013)</f>
        <v>320</v>
      </c>
      <c r="G190" s="5">
        <f>SUMIFS(SalesDetail[Quantity (KG)],SalesDetail[Customer],$A190,SalesDetail[Year],2014)</f>
        <v>0</v>
      </c>
      <c r="H190" s="5">
        <f>SUMIFS(SalesDetail[Quantity (KG)],SalesDetail[Customer],$A190,SalesDetail[Year],2015)</f>
        <v>0</v>
      </c>
      <c r="I190" s="5">
        <f>SUMIFS(SalesDetail[Quantity (KG)],SalesDetail[Customer],$A190,SalesDetail[Year],2016)</f>
        <v>0</v>
      </c>
      <c r="J190" s="5">
        <f>SUMIFS(SalesDetail[Quantity (KG)],SalesDetail[Customer],$A190,SalesDetail[Year],2017)</f>
        <v>0</v>
      </c>
      <c r="K190" s="5">
        <f>SUMIFS(SalesDetail[Quantity (KG)],SalesDetail[Customer],$A190,SalesDetail[Year],2018)</f>
        <v>0</v>
      </c>
      <c r="L190" s="5">
        <f>SUMIFS(SalesDetail[Quantity (KG)],SalesDetail[Customer],$A190,SalesDetail[Year],2019)</f>
        <v>0</v>
      </c>
      <c r="M190" s="5">
        <f>SUMIFS(SalesDetail[Quantity (KG)],SalesDetail[Customer],$A190,SalesDetail[Year],2020)</f>
        <v>0</v>
      </c>
      <c r="N190" s="5">
        <f>SUMIFS(SalesDetail[Quantity (KG)],SalesDetail[Customer],$A190,SalesDetail[Year],2021)</f>
        <v>0</v>
      </c>
      <c r="O190" s="6">
        <f>SUM(B190:N190)</f>
        <v>320</v>
      </c>
    </row>
    <row r="191" spans="1:15" x14ac:dyDescent="0.3">
      <c r="A191" t="s">
        <v>23</v>
      </c>
      <c r="B191" s="5">
        <f>SUMIFS(SalesDetail[Quantity (KG)],SalesDetail[Customer],$A191,SalesDetail[Year],2009)</f>
        <v>0</v>
      </c>
      <c r="C191" s="5">
        <f>SUMIFS(SalesDetail[Quantity (KG)],SalesDetail[Customer],$A191,SalesDetail[Year],2010)</f>
        <v>0</v>
      </c>
      <c r="D191" s="5">
        <f>SUMIFS(SalesDetail[Quantity (KG)],SalesDetail[Customer],$A191,SalesDetail[Year],2011)</f>
        <v>0</v>
      </c>
      <c r="E191" s="5">
        <f>SUMIFS(SalesDetail[Quantity (KG)],SalesDetail[Customer],$A191,SalesDetail[Year],2012)</f>
        <v>0</v>
      </c>
      <c r="F191" s="5">
        <f>SUMIFS(SalesDetail[Quantity (KG)],SalesDetail[Customer],$A191,SalesDetail[Year],2013)</f>
        <v>0</v>
      </c>
      <c r="G191" s="5">
        <f>SUMIFS(SalesDetail[Quantity (KG)],SalesDetail[Customer],$A191,SalesDetail[Year],2014)</f>
        <v>0</v>
      </c>
      <c r="H191" s="5">
        <f>SUMIFS(SalesDetail[Quantity (KG)],SalesDetail[Customer],$A191,SalesDetail[Year],2015)</f>
        <v>2</v>
      </c>
      <c r="I191" s="5">
        <f>SUMIFS(SalesDetail[Quantity (KG)],SalesDetail[Customer],$A191,SalesDetail[Year],2016)</f>
        <v>127</v>
      </c>
      <c r="J191" s="5">
        <f>SUMIFS(SalesDetail[Quantity (KG)],SalesDetail[Customer],$A191,SalesDetail[Year],2017)</f>
        <v>190</v>
      </c>
      <c r="K191" s="5">
        <f>SUMIFS(SalesDetail[Quantity (KG)],SalesDetail[Customer],$A191,SalesDetail[Year],2018)</f>
        <v>0</v>
      </c>
      <c r="L191" s="5">
        <f>SUMIFS(SalesDetail[Quantity (KG)],SalesDetail[Customer],$A191,SalesDetail[Year],2019)</f>
        <v>0</v>
      </c>
      <c r="M191" s="5">
        <f>SUMIFS(SalesDetail[Quantity (KG)],SalesDetail[Customer],$A191,SalesDetail[Year],2020)</f>
        <v>0</v>
      </c>
      <c r="N191" s="5">
        <f>SUMIFS(SalesDetail[Quantity (KG)],SalesDetail[Customer],$A191,SalesDetail[Year],2021)</f>
        <v>0</v>
      </c>
      <c r="O191" s="6">
        <f>SUM(B191:N191)</f>
        <v>319</v>
      </c>
    </row>
    <row r="192" spans="1:15" x14ac:dyDescent="0.3">
      <c r="A192" t="s">
        <v>806</v>
      </c>
      <c r="B192" s="5">
        <f>SUMIFS(SalesDetail[Quantity (KG)],SalesDetail[Customer],$A192,SalesDetail[Year],2009)</f>
        <v>0</v>
      </c>
      <c r="C192" s="5">
        <f>SUMIFS(SalesDetail[Quantity (KG)],SalesDetail[Customer],$A192,SalesDetail[Year],2010)</f>
        <v>0</v>
      </c>
      <c r="D192" s="5">
        <f>SUMIFS(SalesDetail[Quantity (KG)],SalesDetail[Customer],$A192,SalesDetail[Year],2011)</f>
        <v>0</v>
      </c>
      <c r="E192" s="5">
        <f>SUMIFS(SalesDetail[Quantity (KG)],SalesDetail[Customer],$A192,SalesDetail[Year],2012)</f>
        <v>0</v>
      </c>
      <c r="F192" s="5">
        <f>SUMIFS(SalesDetail[Quantity (KG)],SalesDetail[Customer],$A192,SalesDetail[Year],2013)</f>
        <v>0</v>
      </c>
      <c r="G192" s="5">
        <f>SUMIFS(SalesDetail[Quantity (KG)],SalesDetail[Customer],$A192,SalesDetail[Year],2014)</f>
        <v>0</v>
      </c>
      <c r="H192" s="5">
        <f>SUMIFS(SalesDetail[Quantity (KG)],SalesDetail[Customer],$A192,SalesDetail[Year],2015)</f>
        <v>25</v>
      </c>
      <c r="I192" s="5">
        <f>SUMIFS(SalesDetail[Quantity (KG)],SalesDetail[Customer],$A192,SalesDetail[Year],2016)</f>
        <v>55</v>
      </c>
      <c r="J192" s="5">
        <f>SUMIFS(SalesDetail[Quantity (KG)],SalesDetail[Customer],$A192,SalesDetail[Year],2017)</f>
        <v>50</v>
      </c>
      <c r="K192" s="5">
        <f>SUMIFS(SalesDetail[Quantity (KG)],SalesDetail[Customer],$A192,SalesDetail[Year],2018)</f>
        <v>80</v>
      </c>
      <c r="L192" s="5">
        <f>SUMIFS(SalesDetail[Quantity (KG)],SalesDetail[Customer],$A192,SalesDetail[Year],2019)</f>
        <v>35</v>
      </c>
      <c r="M192" s="5">
        <f>SUMIFS(SalesDetail[Quantity (KG)],SalesDetail[Customer],$A192,SalesDetail[Year],2020)</f>
        <v>45</v>
      </c>
      <c r="N192" s="5">
        <f>SUMIFS(SalesDetail[Quantity (KG)],SalesDetail[Customer],$A192,SalesDetail[Year],2021)</f>
        <v>25</v>
      </c>
      <c r="O192" s="6">
        <f>SUM(B192:N192)</f>
        <v>315</v>
      </c>
    </row>
    <row r="193" spans="1:15" x14ac:dyDescent="0.3">
      <c r="A193" t="s">
        <v>2533</v>
      </c>
      <c r="B193" s="5">
        <f>SUMIFS(SalesDetail[Quantity (KG)],SalesDetail[Customer],$A193,SalesDetail[Year],2009)</f>
        <v>0</v>
      </c>
      <c r="C193" s="5">
        <f>SUMIFS(SalesDetail[Quantity (KG)],SalesDetail[Customer],$A193,SalesDetail[Year],2010)</f>
        <v>0</v>
      </c>
      <c r="D193" s="5">
        <f>SUMIFS(SalesDetail[Quantity (KG)],SalesDetail[Customer],$A193,SalesDetail[Year],2011)</f>
        <v>0</v>
      </c>
      <c r="E193" s="5">
        <f>SUMIFS(SalesDetail[Quantity (KG)],SalesDetail[Customer],$A193,SalesDetail[Year],2012)</f>
        <v>0</v>
      </c>
      <c r="F193" s="5">
        <f>SUMIFS(SalesDetail[Quantity (KG)],SalesDetail[Customer],$A193,SalesDetail[Year],2013)</f>
        <v>0</v>
      </c>
      <c r="G193" s="5">
        <f>SUMIFS(SalesDetail[Quantity (KG)],SalesDetail[Customer],$A193,SalesDetail[Year],2014)</f>
        <v>0</v>
      </c>
      <c r="H193" s="5">
        <f>SUMIFS(SalesDetail[Quantity (KG)],SalesDetail[Customer],$A193,SalesDetail[Year],2015)</f>
        <v>0</v>
      </c>
      <c r="I193" s="5">
        <f>SUMIFS(SalesDetail[Quantity (KG)],SalesDetail[Customer],$A193,SalesDetail[Year],2016)</f>
        <v>0</v>
      </c>
      <c r="J193" s="5">
        <f>SUMIFS(SalesDetail[Quantity (KG)],SalesDetail[Customer],$A193,SalesDetail[Year],2017)</f>
        <v>0</v>
      </c>
      <c r="K193" s="5">
        <f>SUMIFS(SalesDetail[Quantity (KG)],SalesDetail[Customer],$A193,SalesDetail[Year],2018)</f>
        <v>0</v>
      </c>
      <c r="L193" s="5">
        <f>SUMIFS(SalesDetail[Quantity (KG)],SalesDetail[Customer],$A193,SalesDetail[Year],2019)</f>
        <v>170</v>
      </c>
      <c r="M193" s="5">
        <f>SUMIFS(SalesDetail[Quantity (KG)],SalesDetail[Customer],$A193,SalesDetail[Year],2020)</f>
        <v>145</v>
      </c>
      <c r="N193" s="5">
        <f>SUMIFS(SalesDetail[Quantity (KG)],SalesDetail[Customer],$A193,SalesDetail[Year],2021)</f>
        <v>0</v>
      </c>
      <c r="O193" s="6">
        <f>SUM(B193:N193)</f>
        <v>315</v>
      </c>
    </row>
    <row r="194" spans="1:15" x14ac:dyDescent="0.3">
      <c r="A194" t="s">
        <v>1027</v>
      </c>
      <c r="B194" s="5">
        <f>SUMIFS(SalesDetail[Quantity (KG)],SalesDetail[Customer],$A194,SalesDetail[Year],2009)</f>
        <v>0</v>
      </c>
      <c r="C194" s="5">
        <f>SUMIFS(SalesDetail[Quantity (KG)],SalesDetail[Customer],$A194,SalesDetail[Year],2010)</f>
        <v>0</v>
      </c>
      <c r="D194" s="5">
        <f>SUMIFS(SalesDetail[Quantity (KG)],SalesDetail[Customer],$A194,SalesDetail[Year],2011)</f>
        <v>0</v>
      </c>
      <c r="E194" s="5">
        <f>SUMIFS(SalesDetail[Quantity (KG)],SalesDetail[Customer],$A194,SalesDetail[Year],2012)</f>
        <v>0</v>
      </c>
      <c r="F194" s="5">
        <f>SUMIFS(SalesDetail[Quantity (KG)],SalesDetail[Customer],$A194,SalesDetail[Year],2013)</f>
        <v>0</v>
      </c>
      <c r="G194" s="5">
        <f>SUMIFS(SalesDetail[Quantity (KG)],SalesDetail[Customer],$A194,SalesDetail[Year],2014)</f>
        <v>0</v>
      </c>
      <c r="H194" s="5">
        <f>SUMIFS(SalesDetail[Quantity (KG)],SalesDetail[Customer],$A194,SalesDetail[Year],2015)</f>
        <v>0</v>
      </c>
      <c r="I194" s="5">
        <f>SUMIFS(SalesDetail[Quantity (KG)],SalesDetail[Customer],$A194,SalesDetail[Year],2016)</f>
        <v>0</v>
      </c>
      <c r="J194" s="5">
        <f>SUMIFS(SalesDetail[Quantity (KG)],SalesDetail[Customer],$A194,SalesDetail[Year],2017)</f>
        <v>0</v>
      </c>
      <c r="K194" s="5">
        <f>SUMIFS(SalesDetail[Quantity (KG)],SalesDetail[Customer],$A194,SalesDetail[Year],2018)</f>
        <v>70</v>
      </c>
      <c r="L194" s="5">
        <f>SUMIFS(SalesDetail[Quantity (KG)],SalesDetail[Customer],$A194,SalesDetail[Year],2019)</f>
        <v>120</v>
      </c>
      <c r="M194" s="5">
        <f>SUMIFS(SalesDetail[Quantity (KG)],SalesDetail[Customer],$A194,SalesDetail[Year],2020)</f>
        <v>100</v>
      </c>
      <c r="N194" s="5">
        <f>SUMIFS(SalesDetail[Quantity (KG)],SalesDetail[Customer],$A194,SalesDetail[Year],2021)</f>
        <v>20</v>
      </c>
      <c r="O194" s="6">
        <f>SUM(B194:N194)</f>
        <v>310</v>
      </c>
    </row>
    <row r="195" spans="1:15" x14ac:dyDescent="0.3">
      <c r="A195" t="s">
        <v>1459</v>
      </c>
      <c r="B195" s="5">
        <f>SUMIFS(SalesDetail[Quantity (KG)],SalesDetail[Customer],$A195,SalesDetail[Year],2009)</f>
        <v>0</v>
      </c>
      <c r="C195" s="5">
        <f>SUMIFS(SalesDetail[Quantity (KG)],SalesDetail[Customer],$A195,SalesDetail[Year],2010)</f>
        <v>0</v>
      </c>
      <c r="D195" s="5">
        <f>SUMIFS(SalesDetail[Quantity (KG)],SalesDetail[Customer],$A195,SalesDetail[Year],2011)</f>
        <v>0</v>
      </c>
      <c r="E195" s="5">
        <f>SUMIFS(SalesDetail[Quantity (KG)],SalesDetail[Customer],$A195,SalesDetail[Year],2012)</f>
        <v>0</v>
      </c>
      <c r="F195" s="5">
        <f>SUMIFS(SalesDetail[Quantity (KG)],SalesDetail[Customer],$A195,SalesDetail[Year],2013)</f>
        <v>100</v>
      </c>
      <c r="G195" s="5">
        <f>SUMIFS(SalesDetail[Quantity (KG)],SalesDetail[Customer],$A195,SalesDetail[Year],2014)</f>
        <v>50</v>
      </c>
      <c r="H195" s="5">
        <f>SUMIFS(SalesDetail[Quantity (KG)],SalesDetail[Customer],$A195,SalesDetail[Year],2015)</f>
        <v>110</v>
      </c>
      <c r="I195" s="5">
        <f>SUMIFS(SalesDetail[Quantity (KG)],SalesDetail[Customer],$A195,SalesDetail[Year],2016)</f>
        <v>50</v>
      </c>
      <c r="J195" s="5">
        <f>SUMIFS(SalesDetail[Quantity (KG)],SalesDetail[Customer],$A195,SalesDetail[Year],2017)</f>
        <v>0</v>
      </c>
      <c r="K195" s="5">
        <f>SUMIFS(SalesDetail[Quantity (KG)],SalesDetail[Customer],$A195,SalesDetail[Year],2018)</f>
        <v>0</v>
      </c>
      <c r="L195" s="5">
        <f>SUMIFS(SalesDetail[Quantity (KG)],SalesDetail[Customer],$A195,SalesDetail[Year],2019)</f>
        <v>0</v>
      </c>
      <c r="M195" s="5">
        <f>SUMIFS(SalesDetail[Quantity (KG)],SalesDetail[Customer],$A195,SalesDetail[Year],2020)</f>
        <v>0</v>
      </c>
      <c r="N195" s="5">
        <f>SUMIFS(SalesDetail[Quantity (KG)],SalesDetail[Customer],$A195,SalesDetail[Year],2021)</f>
        <v>0</v>
      </c>
      <c r="O195" s="6">
        <f>SUM(B195:N195)</f>
        <v>310</v>
      </c>
    </row>
    <row r="196" spans="1:15" x14ac:dyDescent="0.3">
      <c r="A196" t="s">
        <v>609</v>
      </c>
      <c r="B196" s="5">
        <f>SUMIFS(SalesDetail[Quantity (KG)],SalesDetail[Customer],$A196,SalesDetail[Year],2009)</f>
        <v>0</v>
      </c>
      <c r="C196" s="5">
        <f>SUMIFS(SalesDetail[Quantity (KG)],SalesDetail[Customer],$A196,SalesDetail[Year],2010)</f>
        <v>0</v>
      </c>
      <c r="D196" s="5">
        <f>SUMIFS(SalesDetail[Quantity (KG)],SalesDetail[Customer],$A196,SalesDetail[Year],2011)</f>
        <v>5</v>
      </c>
      <c r="E196" s="5">
        <f>SUMIFS(SalesDetail[Quantity (KG)],SalesDetail[Customer],$A196,SalesDetail[Year],2012)</f>
        <v>10</v>
      </c>
      <c r="F196" s="5">
        <f>SUMIFS(SalesDetail[Quantity (KG)],SalesDetail[Customer],$A196,SalesDetail[Year],2013)</f>
        <v>25</v>
      </c>
      <c r="G196" s="5">
        <f>SUMIFS(SalesDetail[Quantity (KG)],SalesDetail[Customer],$A196,SalesDetail[Year],2014)</f>
        <v>90</v>
      </c>
      <c r="H196" s="5">
        <f>SUMIFS(SalesDetail[Quantity (KG)],SalesDetail[Customer],$A196,SalesDetail[Year],2015)</f>
        <v>45</v>
      </c>
      <c r="I196" s="5">
        <f>SUMIFS(SalesDetail[Quantity (KG)],SalesDetail[Customer],$A196,SalesDetail[Year],2016)</f>
        <v>80</v>
      </c>
      <c r="J196" s="5">
        <f>SUMIFS(SalesDetail[Quantity (KG)],SalesDetail[Customer],$A196,SalesDetail[Year],2017)</f>
        <v>50</v>
      </c>
      <c r="K196" s="5">
        <f>SUMIFS(SalesDetail[Quantity (KG)],SalesDetail[Customer],$A196,SalesDetail[Year],2018)</f>
        <v>0</v>
      </c>
      <c r="L196" s="5">
        <f>SUMIFS(SalesDetail[Quantity (KG)],SalesDetail[Customer],$A196,SalesDetail[Year],2019)</f>
        <v>0</v>
      </c>
      <c r="M196" s="5">
        <f>SUMIFS(SalesDetail[Quantity (KG)],SalesDetail[Customer],$A196,SalesDetail[Year],2020)</f>
        <v>0</v>
      </c>
      <c r="N196" s="5">
        <f>SUMIFS(SalesDetail[Quantity (KG)],SalesDetail[Customer],$A196,SalesDetail[Year],2021)</f>
        <v>0</v>
      </c>
      <c r="O196" s="6">
        <f>SUM(B196:N196)</f>
        <v>305</v>
      </c>
    </row>
    <row r="197" spans="1:15" x14ac:dyDescent="0.3">
      <c r="A197" t="s">
        <v>2079</v>
      </c>
      <c r="B197" s="5">
        <f>SUMIFS(SalesDetail[Quantity (KG)],SalesDetail[Customer],$A197,SalesDetail[Year],2009)</f>
        <v>0</v>
      </c>
      <c r="C197" s="5">
        <f>SUMIFS(SalesDetail[Quantity (KG)],SalesDetail[Customer],$A197,SalesDetail[Year],2010)</f>
        <v>0</v>
      </c>
      <c r="D197" s="5">
        <f>SUMIFS(SalesDetail[Quantity (KG)],SalesDetail[Customer],$A197,SalesDetail[Year],2011)</f>
        <v>35</v>
      </c>
      <c r="E197" s="5">
        <f>SUMIFS(SalesDetail[Quantity (KG)],SalesDetail[Customer],$A197,SalesDetail[Year],2012)</f>
        <v>220</v>
      </c>
      <c r="F197" s="5">
        <f>SUMIFS(SalesDetail[Quantity (KG)],SalesDetail[Customer],$A197,SalesDetail[Year],2013)</f>
        <v>45</v>
      </c>
      <c r="G197" s="5">
        <f>SUMIFS(SalesDetail[Quantity (KG)],SalesDetail[Customer],$A197,SalesDetail[Year],2014)</f>
        <v>0</v>
      </c>
      <c r="H197" s="5">
        <f>SUMIFS(SalesDetail[Quantity (KG)],SalesDetail[Customer],$A197,SalesDetail[Year],2015)</f>
        <v>0</v>
      </c>
      <c r="I197" s="5">
        <f>SUMIFS(SalesDetail[Quantity (KG)],SalesDetail[Customer],$A197,SalesDetail[Year],2016)</f>
        <v>0</v>
      </c>
      <c r="J197" s="5">
        <f>SUMIFS(SalesDetail[Quantity (KG)],SalesDetail[Customer],$A197,SalesDetail[Year],2017)</f>
        <v>0</v>
      </c>
      <c r="K197" s="5">
        <f>SUMIFS(SalesDetail[Quantity (KG)],SalesDetail[Customer],$A197,SalesDetail[Year],2018)</f>
        <v>0</v>
      </c>
      <c r="L197" s="5">
        <f>SUMIFS(SalesDetail[Quantity (KG)],SalesDetail[Customer],$A197,SalesDetail[Year],2019)</f>
        <v>0</v>
      </c>
      <c r="M197" s="5">
        <f>SUMIFS(SalesDetail[Quantity (KG)],SalesDetail[Customer],$A197,SalesDetail[Year],2020)</f>
        <v>0</v>
      </c>
      <c r="N197" s="5">
        <f>SUMIFS(SalesDetail[Quantity (KG)],SalesDetail[Customer],$A197,SalesDetail[Year],2021)</f>
        <v>0</v>
      </c>
      <c r="O197" s="6">
        <f>SUM(B197:N197)</f>
        <v>300</v>
      </c>
    </row>
    <row r="198" spans="1:15" x14ac:dyDescent="0.3">
      <c r="A198" t="s">
        <v>2048</v>
      </c>
      <c r="B198" s="5">
        <f>SUMIFS(SalesDetail[Quantity (KG)],SalesDetail[Customer],$A198,SalesDetail[Year],2009)</f>
        <v>0</v>
      </c>
      <c r="C198" s="5">
        <f>SUMIFS(SalesDetail[Quantity (KG)],SalesDetail[Customer],$A198,SalesDetail[Year],2010)</f>
        <v>0</v>
      </c>
      <c r="D198" s="5">
        <f>SUMIFS(SalesDetail[Quantity (KG)],SalesDetail[Customer],$A198,SalesDetail[Year],2011)</f>
        <v>0</v>
      </c>
      <c r="E198" s="5">
        <f>SUMIFS(SalesDetail[Quantity (KG)],SalesDetail[Customer],$A198,SalesDetail[Year],2012)</f>
        <v>0</v>
      </c>
      <c r="F198" s="5">
        <f>SUMIFS(SalesDetail[Quantity (KG)],SalesDetail[Customer],$A198,SalesDetail[Year],2013)</f>
        <v>0</v>
      </c>
      <c r="G198" s="5">
        <f>SUMIFS(SalesDetail[Quantity (KG)],SalesDetail[Customer],$A198,SalesDetail[Year],2014)</f>
        <v>0</v>
      </c>
      <c r="H198" s="5">
        <f>SUMIFS(SalesDetail[Quantity (KG)],SalesDetail[Customer],$A198,SalesDetail[Year],2015)</f>
        <v>0</v>
      </c>
      <c r="I198" s="5">
        <f>SUMIFS(SalesDetail[Quantity (KG)],SalesDetail[Customer],$A198,SalesDetail[Year],2016)</f>
        <v>0</v>
      </c>
      <c r="J198" s="5">
        <f>SUMIFS(SalesDetail[Quantity (KG)],SalesDetail[Customer],$A198,SalesDetail[Year],2017)</f>
        <v>0</v>
      </c>
      <c r="K198" s="5">
        <f>SUMIFS(SalesDetail[Quantity (KG)],SalesDetail[Customer],$A198,SalesDetail[Year],2018)</f>
        <v>0</v>
      </c>
      <c r="L198" s="5">
        <f>SUMIFS(SalesDetail[Quantity (KG)],SalesDetail[Customer],$A198,SalesDetail[Year],2019)</f>
        <v>255</v>
      </c>
      <c r="M198" s="5">
        <f>SUMIFS(SalesDetail[Quantity (KG)],SalesDetail[Customer],$A198,SalesDetail[Year],2020)</f>
        <v>20</v>
      </c>
      <c r="N198" s="5">
        <f>SUMIFS(SalesDetail[Quantity (KG)],SalesDetail[Customer],$A198,SalesDetail[Year],2021)</f>
        <v>21</v>
      </c>
      <c r="O198" s="6">
        <f>SUM(B198:N198)</f>
        <v>296</v>
      </c>
    </row>
    <row r="199" spans="1:15" x14ac:dyDescent="0.3">
      <c r="A199" t="s">
        <v>1397</v>
      </c>
      <c r="B199" s="5">
        <f>SUMIFS(SalesDetail[Quantity (KG)],SalesDetail[Customer],$A199,SalesDetail[Year],2009)</f>
        <v>0</v>
      </c>
      <c r="C199" s="5">
        <f>SUMIFS(SalesDetail[Quantity (KG)],SalesDetail[Customer],$A199,SalesDetail[Year],2010)</f>
        <v>0</v>
      </c>
      <c r="D199" s="5">
        <f>SUMIFS(SalesDetail[Quantity (KG)],SalesDetail[Customer],$A199,SalesDetail[Year],2011)</f>
        <v>0</v>
      </c>
      <c r="E199" s="5">
        <f>SUMIFS(SalesDetail[Quantity (KG)],SalesDetail[Customer],$A199,SalesDetail[Year],2012)</f>
        <v>70</v>
      </c>
      <c r="F199" s="5">
        <f>SUMIFS(SalesDetail[Quantity (KG)],SalesDetail[Customer],$A199,SalesDetail[Year],2013)</f>
        <v>225</v>
      </c>
      <c r="G199" s="5">
        <f>SUMIFS(SalesDetail[Quantity (KG)],SalesDetail[Customer],$A199,SalesDetail[Year],2014)</f>
        <v>0</v>
      </c>
      <c r="H199" s="5">
        <f>SUMIFS(SalesDetail[Quantity (KG)],SalesDetail[Customer],$A199,SalesDetail[Year],2015)</f>
        <v>0</v>
      </c>
      <c r="I199" s="5">
        <f>SUMIFS(SalesDetail[Quantity (KG)],SalesDetail[Customer],$A199,SalesDetail[Year],2016)</f>
        <v>0</v>
      </c>
      <c r="J199" s="5">
        <f>SUMIFS(SalesDetail[Quantity (KG)],SalesDetail[Customer],$A199,SalesDetail[Year],2017)</f>
        <v>0</v>
      </c>
      <c r="K199" s="5">
        <f>SUMIFS(SalesDetail[Quantity (KG)],SalesDetail[Customer],$A199,SalesDetail[Year],2018)</f>
        <v>0</v>
      </c>
      <c r="L199" s="5">
        <f>SUMIFS(SalesDetail[Quantity (KG)],SalesDetail[Customer],$A199,SalesDetail[Year],2019)</f>
        <v>0</v>
      </c>
      <c r="M199" s="5">
        <f>SUMIFS(SalesDetail[Quantity (KG)],SalesDetail[Customer],$A199,SalesDetail[Year],2020)</f>
        <v>0</v>
      </c>
      <c r="N199" s="5">
        <f>SUMIFS(SalesDetail[Quantity (KG)],SalesDetail[Customer],$A199,SalesDetail[Year],2021)</f>
        <v>0</v>
      </c>
      <c r="O199" s="6">
        <f>SUM(B199:N199)</f>
        <v>295</v>
      </c>
    </row>
    <row r="200" spans="1:15" x14ac:dyDescent="0.3">
      <c r="A200" t="s">
        <v>2590</v>
      </c>
      <c r="B200" s="5">
        <f>SUMIFS(SalesDetail[Quantity (KG)],SalesDetail[Customer],$A200,SalesDetail[Year],2009)</f>
        <v>0</v>
      </c>
      <c r="C200" s="5">
        <f>SUMIFS(SalesDetail[Quantity (KG)],SalesDetail[Customer],$A200,SalesDetail[Year],2010)</f>
        <v>0</v>
      </c>
      <c r="D200" s="5">
        <f>SUMIFS(SalesDetail[Quantity (KG)],SalesDetail[Customer],$A200,SalesDetail[Year],2011)</f>
        <v>0</v>
      </c>
      <c r="E200" s="5">
        <f>SUMIFS(SalesDetail[Quantity (KG)],SalesDetail[Customer],$A200,SalesDetail[Year],2012)</f>
        <v>0</v>
      </c>
      <c r="F200" s="5">
        <f>SUMIFS(SalesDetail[Quantity (KG)],SalesDetail[Customer],$A200,SalesDetail[Year],2013)</f>
        <v>0</v>
      </c>
      <c r="G200" s="5">
        <f>SUMIFS(SalesDetail[Quantity (KG)],SalesDetail[Customer],$A200,SalesDetail[Year],2014)</f>
        <v>0</v>
      </c>
      <c r="H200" s="5">
        <f>SUMIFS(SalesDetail[Quantity (KG)],SalesDetail[Customer],$A200,SalesDetail[Year],2015)</f>
        <v>0</v>
      </c>
      <c r="I200" s="5">
        <f>SUMIFS(SalesDetail[Quantity (KG)],SalesDetail[Customer],$A200,SalesDetail[Year],2016)</f>
        <v>0</v>
      </c>
      <c r="J200" s="5">
        <f>SUMIFS(SalesDetail[Quantity (KG)],SalesDetail[Customer],$A200,SalesDetail[Year],2017)</f>
        <v>0</v>
      </c>
      <c r="K200" s="5">
        <f>SUMIFS(SalesDetail[Quantity (KG)],SalesDetail[Customer],$A200,SalesDetail[Year],2018)</f>
        <v>0</v>
      </c>
      <c r="L200" s="5">
        <f>SUMIFS(SalesDetail[Quantity (KG)],SalesDetail[Customer],$A200,SalesDetail[Year],2019)</f>
        <v>295</v>
      </c>
      <c r="M200" s="5">
        <f>SUMIFS(SalesDetail[Quantity (KG)],SalesDetail[Customer],$A200,SalesDetail[Year],2020)</f>
        <v>0</v>
      </c>
      <c r="N200" s="5">
        <f>SUMIFS(SalesDetail[Quantity (KG)],SalesDetail[Customer],$A200,SalesDetail[Year],2021)</f>
        <v>0</v>
      </c>
      <c r="O200" s="6">
        <f>SUM(B200:N200)</f>
        <v>295</v>
      </c>
    </row>
    <row r="201" spans="1:15" x14ac:dyDescent="0.3">
      <c r="A201" t="s">
        <v>2120</v>
      </c>
      <c r="B201" s="5">
        <f>SUMIFS(SalesDetail[Quantity (KG)],SalesDetail[Customer],$A201,SalesDetail[Year],2009)</f>
        <v>0</v>
      </c>
      <c r="C201" s="5">
        <f>SUMIFS(SalesDetail[Quantity (KG)],SalesDetail[Customer],$A201,SalesDetail[Year],2010)</f>
        <v>0</v>
      </c>
      <c r="D201" s="5">
        <f>SUMIFS(SalesDetail[Quantity (KG)],SalesDetail[Customer],$A201,SalesDetail[Year],2011)</f>
        <v>0</v>
      </c>
      <c r="E201" s="5">
        <f>SUMIFS(SalesDetail[Quantity (KG)],SalesDetail[Customer],$A201,SalesDetail[Year],2012)</f>
        <v>0</v>
      </c>
      <c r="F201" s="5">
        <f>SUMIFS(SalesDetail[Quantity (KG)],SalesDetail[Customer],$A201,SalesDetail[Year],2013)</f>
        <v>0</v>
      </c>
      <c r="G201" s="5">
        <f>SUMIFS(SalesDetail[Quantity (KG)],SalesDetail[Customer],$A201,SalesDetail[Year],2014)</f>
        <v>0</v>
      </c>
      <c r="H201" s="5">
        <f>SUMIFS(SalesDetail[Quantity (KG)],SalesDetail[Customer],$A201,SalesDetail[Year],2015)</f>
        <v>0</v>
      </c>
      <c r="I201" s="5">
        <f>SUMIFS(SalesDetail[Quantity (KG)],SalesDetail[Customer],$A201,SalesDetail[Year],2016)</f>
        <v>40</v>
      </c>
      <c r="J201" s="5">
        <f>SUMIFS(SalesDetail[Quantity (KG)],SalesDetail[Customer],$A201,SalesDetail[Year],2017)</f>
        <v>48</v>
      </c>
      <c r="K201" s="5">
        <f>SUMIFS(SalesDetail[Quantity (KG)],SalesDetail[Customer],$A201,SalesDetail[Year],2018)</f>
        <v>65</v>
      </c>
      <c r="L201" s="5">
        <f>SUMIFS(SalesDetail[Quantity (KG)],SalesDetail[Customer],$A201,SalesDetail[Year],2019)</f>
        <v>55</v>
      </c>
      <c r="M201" s="5">
        <f>SUMIFS(SalesDetail[Quantity (KG)],SalesDetail[Customer],$A201,SalesDetail[Year],2020)</f>
        <v>45</v>
      </c>
      <c r="N201" s="5">
        <f>SUMIFS(SalesDetail[Quantity (KG)],SalesDetail[Customer],$A201,SalesDetail[Year],2021)</f>
        <v>40</v>
      </c>
      <c r="O201" s="6">
        <f>SUM(B201:N201)</f>
        <v>293</v>
      </c>
    </row>
    <row r="202" spans="1:15" x14ac:dyDescent="0.3">
      <c r="A202" t="s">
        <v>2057</v>
      </c>
      <c r="B202" s="5">
        <f>SUMIFS(SalesDetail[Quantity (KG)],SalesDetail[Customer],$A202,SalesDetail[Year],2009)</f>
        <v>0</v>
      </c>
      <c r="C202" s="5">
        <f>SUMIFS(SalesDetail[Quantity (KG)],SalesDetail[Customer],$A202,SalesDetail[Year],2010)</f>
        <v>0</v>
      </c>
      <c r="D202" s="5">
        <f>SUMIFS(SalesDetail[Quantity (KG)],SalesDetail[Customer],$A202,SalesDetail[Year],2011)</f>
        <v>0</v>
      </c>
      <c r="E202" s="5">
        <f>SUMIFS(SalesDetail[Quantity (KG)],SalesDetail[Customer],$A202,SalesDetail[Year],2012)</f>
        <v>0</v>
      </c>
      <c r="F202" s="5">
        <f>SUMIFS(SalesDetail[Quantity (KG)],SalesDetail[Customer],$A202,SalesDetail[Year],2013)</f>
        <v>0</v>
      </c>
      <c r="G202" s="5">
        <f>SUMIFS(SalesDetail[Quantity (KG)],SalesDetail[Customer],$A202,SalesDetail[Year],2014)</f>
        <v>0</v>
      </c>
      <c r="H202" s="5">
        <f>SUMIFS(SalesDetail[Quantity (KG)],SalesDetail[Customer],$A202,SalesDetail[Year],2015)</f>
        <v>0</v>
      </c>
      <c r="I202" s="5">
        <f>SUMIFS(SalesDetail[Quantity (KG)],SalesDetail[Customer],$A202,SalesDetail[Year],2016)</f>
        <v>0</v>
      </c>
      <c r="J202" s="5">
        <f>SUMIFS(SalesDetail[Quantity (KG)],SalesDetail[Customer],$A202,SalesDetail[Year],2017)</f>
        <v>0</v>
      </c>
      <c r="K202" s="5">
        <f>SUMIFS(SalesDetail[Quantity (KG)],SalesDetail[Customer],$A202,SalesDetail[Year],2018)</f>
        <v>0</v>
      </c>
      <c r="L202" s="5">
        <f>SUMIFS(SalesDetail[Quantity (KG)],SalesDetail[Customer],$A202,SalesDetail[Year],2019)</f>
        <v>33</v>
      </c>
      <c r="M202" s="5">
        <f>SUMIFS(SalesDetail[Quantity (KG)],SalesDetail[Customer],$A202,SalesDetail[Year],2020)</f>
        <v>106</v>
      </c>
      <c r="N202" s="5">
        <f>SUMIFS(SalesDetail[Quantity (KG)],SalesDetail[Customer],$A202,SalesDetail[Year],2021)</f>
        <v>150</v>
      </c>
      <c r="O202" s="6">
        <f>SUM(B202:N202)</f>
        <v>289</v>
      </c>
    </row>
    <row r="203" spans="1:15" x14ac:dyDescent="0.3">
      <c r="A203" t="s">
        <v>1852</v>
      </c>
      <c r="B203" s="5">
        <f>SUMIFS(SalesDetail[Quantity (KG)],SalesDetail[Customer],$A203,SalesDetail[Year],2009)</f>
        <v>0</v>
      </c>
      <c r="C203" s="5">
        <f>SUMIFS(SalesDetail[Quantity (KG)],SalesDetail[Customer],$A203,SalesDetail[Year],2010)</f>
        <v>0</v>
      </c>
      <c r="D203" s="5">
        <f>SUMIFS(SalesDetail[Quantity (KG)],SalesDetail[Customer],$A203,SalesDetail[Year],2011)</f>
        <v>0</v>
      </c>
      <c r="E203" s="5">
        <f>SUMIFS(SalesDetail[Quantity (KG)],SalesDetail[Customer],$A203,SalesDetail[Year],2012)</f>
        <v>0</v>
      </c>
      <c r="F203" s="5">
        <f>SUMIFS(SalesDetail[Quantity (KG)],SalesDetail[Customer],$A203,SalesDetail[Year],2013)</f>
        <v>0</v>
      </c>
      <c r="G203" s="5">
        <f>SUMIFS(SalesDetail[Quantity (KG)],SalesDetail[Customer],$A203,SalesDetail[Year],2014)</f>
        <v>0</v>
      </c>
      <c r="H203" s="5">
        <f>SUMIFS(SalesDetail[Quantity (KG)],SalesDetail[Customer],$A203,SalesDetail[Year],2015)</f>
        <v>0</v>
      </c>
      <c r="I203" s="5">
        <f>SUMIFS(SalesDetail[Quantity (KG)],SalesDetail[Customer],$A203,SalesDetail[Year],2016)</f>
        <v>0</v>
      </c>
      <c r="J203" s="5">
        <f>SUMIFS(SalesDetail[Quantity (KG)],SalesDetail[Customer],$A203,SalesDetail[Year],2017)</f>
        <v>0</v>
      </c>
      <c r="K203" s="5">
        <f>SUMIFS(SalesDetail[Quantity (KG)],SalesDetail[Customer],$A203,SalesDetail[Year],2018)</f>
        <v>0</v>
      </c>
      <c r="L203" s="5">
        <f>SUMIFS(SalesDetail[Quantity (KG)],SalesDetail[Customer],$A203,SalesDetail[Year],2019)</f>
        <v>0</v>
      </c>
      <c r="M203" s="5">
        <f>SUMIFS(SalesDetail[Quantity (KG)],SalesDetail[Customer],$A203,SalesDetail[Year],2020)</f>
        <v>157</v>
      </c>
      <c r="N203" s="5">
        <f>SUMIFS(SalesDetail[Quantity (KG)],SalesDetail[Customer],$A203,SalesDetail[Year],2021)</f>
        <v>125</v>
      </c>
      <c r="O203" s="6">
        <f>SUM(B203:N203)</f>
        <v>282</v>
      </c>
    </row>
    <row r="204" spans="1:15" x14ac:dyDescent="0.3">
      <c r="A204" t="s">
        <v>2297</v>
      </c>
      <c r="B204" s="5">
        <f>SUMIFS(SalesDetail[Quantity (KG)],SalesDetail[Customer],$A204,SalesDetail[Year],2009)</f>
        <v>0</v>
      </c>
      <c r="C204" s="5">
        <f>SUMIFS(SalesDetail[Quantity (KG)],SalesDetail[Customer],$A204,SalesDetail[Year],2010)</f>
        <v>0</v>
      </c>
      <c r="D204" s="5">
        <f>SUMIFS(SalesDetail[Quantity (KG)],SalesDetail[Customer],$A204,SalesDetail[Year],2011)</f>
        <v>0</v>
      </c>
      <c r="E204" s="5">
        <f>SUMIFS(SalesDetail[Quantity (KG)],SalesDetail[Customer],$A204,SalesDetail[Year],2012)</f>
        <v>0</v>
      </c>
      <c r="F204" s="5">
        <f>SUMIFS(SalesDetail[Quantity (KG)],SalesDetail[Customer],$A204,SalesDetail[Year],2013)</f>
        <v>0</v>
      </c>
      <c r="G204" s="5">
        <f>SUMIFS(SalesDetail[Quantity (KG)],SalesDetail[Customer],$A204,SalesDetail[Year],2014)</f>
        <v>15</v>
      </c>
      <c r="H204" s="5">
        <f>SUMIFS(SalesDetail[Quantity (KG)],SalesDetail[Customer],$A204,SalesDetail[Year],2015)</f>
        <v>75</v>
      </c>
      <c r="I204" s="5">
        <f>SUMIFS(SalesDetail[Quantity (KG)],SalesDetail[Customer],$A204,SalesDetail[Year],2016)</f>
        <v>25</v>
      </c>
      <c r="J204" s="5">
        <f>SUMIFS(SalesDetail[Quantity (KG)],SalesDetail[Customer],$A204,SalesDetail[Year],2017)</f>
        <v>110</v>
      </c>
      <c r="K204" s="5">
        <f>SUMIFS(SalesDetail[Quantity (KG)],SalesDetail[Customer],$A204,SalesDetail[Year],2018)</f>
        <v>57</v>
      </c>
      <c r="L204" s="5">
        <f>SUMIFS(SalesDetail[Quantity (KG)],SalesDetail[Customer],$A204,SalesDetail[Year],2019)</f>
        <v>0</v>
      </c>
      <c r="M204" s="5">
        <f>SUMIFS(SalesDetail[Quantity (KG)],SalesDetail[Customer],$A204,SalesDetail[Year],2020)</f>
        <v>0</v>
      </c>
      <c r="N204" s="5">
        <f>SUMIFS(SalesDetail[Quantity (KG)],SalesDetail[Customer],$A204,SalesDetail[Year],2021)</f>
        <v>0</v>
      </c>
      <c r="O204" s="6">
        <f>SUM(B204:N204)</f>
        <v>282</v>
      </c>
    </row>
    <row r="205" spans="1:15" x14ac:dyDescent="0.3">
      <c r="A205" t="s">
        <v>1930</v>
      </c>
      <c r="B205" s="5">
        <f>SUMIFS(SalesDetail[Quantity (KG)],SalesDetail[Customer],$A205,SalesDetail[Year],2009)</f>
        <v>0</v>
      </c>
      <c r="C205" s="5">
        <f>SUMIFS(SalesDetail[Quantity (KG)],SalesDetail[Customer],$A205,SalesDetail[Year],2010)</f>
        <v>0</v>
      </c>
      <c r="D205" s="5">
        <f>SUMIFS(SalesDetail[Quantity (KG)],SalesDetail[Customer],$A205,SalesDetail[Year],2011)</f>
        <v>0</v>
      </c>
      <c r="E205" s="5">
        <f>SUMIFS(SalesDetail[Quantity (KG)],SalesDetail[Customer],$A205,SalesDetail[Year],2012)</f>
        <v>0</v>
      </c>
      <c r="F205" s="5">
        <f>SUMIFS(SalesDetail[Quantity (KG)],SalesDetail[Customer],$A205,SalesDetail[Year],2013)</f>
        <v>36</v>
      </c>
      <c r="G205" s="5">
        <f>SUMIFS(SalesDetail[Quantity (KG)],SalesDetail[Customer],$A205,SalesDetail[Year],2014)</f>
        <v>10</v>
      </c>
      <c r="H205" s="5">
        <f>SUMIFS(SalesDetail[Quantity (KG)],SalesDetail[Customer],$A205,SalesDetail[Year],2015)</f>
        <v>10</v>
      </c>
      <c r="I205" s="5">
        <f>SUMIFS(SalesDetail[Quantity (KG)],SalesDetail[Customer],$A205,SalesDetail[Year],2016)</f>
        <v>20</v>
      </c>
      <c r="J205" s="5">
        <f>SUMIFS(SalesDetail[Quantity (KG)],SalesDetail[Customer],$A205,SalesDetail[Year],2017)</f>
        <v>5</v>
      </c>
      <c r="K205" s="5">
        <f>SUMIFS(SalesDetail[Quantity (KG)],SalesDetail[Customer],$A205,SalesDetail[Year],2018)</f>
        <v>175</v>
      </c>
      <c r="L205" s="5">
        <f>SUMIFS(SalesDetail[Quantity (KG)],SalesDetail[Customer],$A205,SalesDetail[Year],2019)</f>
        <v>25</v>
      </c>
      <c r="M205" s="5">
        <f>SUMIFS(SalesDetail[Quantity (KG)],SalesDetail[Customer],$A205,SalesDetail[Year],2020)</f>
        <v>0</v>
      </c>
      <c r="N205" s="5">
        <f>SUMIFS(SalesDetail[Quantity (KG)],SalesDetail[Customer],$A205,SalesDetail[Year],2021)</f>
        <v>0</v>
      </c>
      <c r="O205" s="6">
        <f>SUM(B205:N205)</f>
        <v>281</v>
      </c>
    </row>
    <row r="206" spans="1:15" x14ac:dyDescent="0.3">
      <c r="A206" t="s">
        <v>2428</v>
      </c>
      <c r="B206" s="5">
        <f>SUMIFS(SalesDetail[Quantity (KG)],SalesDetail[Customer],$A206,SalesDetail[Year],2009)</f>
        <v>0</v>
      </c>
      <c r="C206" s="5">
        <f>SUMIFS(SalesDetail[Quantity (KG)],SalesDetail[Customer],$A206,SalesDetail[Year],2010)</f>
        <v>0</v>
      </c>
      <c r="D206" s="5">
        <f>SUMIFS(SalesDetail[Quantity (KG)],SalesDetail[Customer],$A206,SalesDetail[Year],2011)</f>
        <v>0</v>
      </c>
      <c r="E206" s="5">
        <f>SUMIFS(SalesDetail[Quantity (KG)],SalesDetail[Customer],$A206,SalesDetail[Year],2012)</f>
        <v>31</v>
      </c>
      <c r="F206" s="5">
        <f>SUMIFS(SalesDetail[Quantity (KG)],SalesDetail[Customer],$A206,SalesDetail[Year],2013)</f>
        <v>0</v>
      </c>
      <c r="G206" s="5">
        <f>SUMIFS(SalesDetail[Quantity (KG)],SalesDetail[Customer],$A206,SalesDetail[Year],2014)</f>
        <v>12</v>
      </c>
      <c r="H206" s="5">
        <f>SUMIFS(SalesDetail[Quantity (KG)],SalesDetail[Customer],$A206,SalesDetail[Year],2015)</f>
        <v>85</v>
      </c>
      <c r="I206" s="5">
        <f>SUMIFS(SalesDetail[Quantity (KG)],SalesDetail[Customer],$A206,SalesDetail[Year],2016)</f>
        <v>25</v>
      </c>
      <c r="J206" s="5">
        <f>SUMIFS(SalesDetail[Quantity (KG)],SalesDetail[Customer],$A206,SalesDetail[Year],2017)</f>
        <v>54</v>
      </c>
      <c r="K206" s="5">
        <f>SUMIFS(SalesDetail[Quantity (KG)],SalesDetail[Customer],$A206,SalesDetail[Year],2018)</f>
        <v>27</v>
      </c>
      <c r="L206" s="5">
        <f>SUMIFS(SalesDetail[Quantity (KG)],SalesDetail[Customer],$A206,SalesDetail[Year],2019)</f>
        <v>32</v>
      </c>
      <c r="M206" s="5">
        <f>SUMIFS(SalesDetail[Quantity (KG)],SalesDetail[Customer],$A206,SalesDetail[Year],2020)</f>
        <v>15</v>
      </c>
      <c r="N206" s="5">
        <f>SUMIFS(SalesDetail[Quantity (KG)],SalesDetail[Customer],$A206,SalesDetail[Year],2021)</f>
        <v>0</v>
      </c>
      <c r="O206" s="6">
        <f>SUM(B206:N206)</f>
        <v>281</v>
      </c>
    </row>
    <row r="207" spans="1:15" x14ac:dyDescent="0.3">
      <c r="A207" t="s">
        <v>1901</v>
      </c>
      <c r="B207" s="5">
        <f>SUMIFS(SalesDetail[Quantity (KG)],SalesDetail[Customer],$A207,SalesDetail[Year],2009)</f>
        <v>0</v>
      </c>
      <c r="C207" s="5">
        <f>SUMIFS(SalesDetail[Quantity (KG)],SalesDetail[Customer],$A207,SalesDetail[Year],2010)</f>
        <v>0</v>
      </c>
      <c r="D207" s="5">
        <f>SUMIFS(SalesDetail[Quantity (KG)],SalesDetail[Customer],$A207,SalesDetail[Year],2011)</f>
        <v>0</v>
      </c>
      <c r="E207" s="5">
        <f>SUMIFS(SalesDetail[Quantity (KG)],SalesDetail[Customer],$A207,SalesDetail[Year],2012)</f>
        <v>0</v>
      </c>
      <c r="F207" s="5">
        <f>SUMIFS(SalesDetail[Quantity (KG)],SalesDetail[Customer],$A207,SalesDetail[Year],2013)</f>
        <v>0</v>
      </c>
      <c r="G207" s="5">
        <f>SUMIFS(SalesDetail[Quantity (KG)],SalesDetail[Customer],$A207,SalesDetail[Year],2014)</f>
        <v>0</v>
      </c>
      <c r="H207" s="5">
        <f>SUMIFS(SalesDetail[Quantity (KG)],SalesDetail[Customer],$A207,SalesDetail[Year],2015)</f>
        <v>11</v>
      </c>
      <c r="I207" s="5">
        <f>SUMIFS(SalesDetail[Quantity (KG)],SalesDetail[Customer],$A207,SalesDetail[Year],2016)</f>
        <v>15</v>
      </c>
      <c r="J207" s="5">
        <f>SUMIFS(SalesDetail[Quantity (KG)],SalesDetail[Customer],$A207,SalesDetail[Year],2017)</f>
        <v>85</v>
      </c>
      <c r="K207" s="5">
        <f>SUMIFS(SalesDetail[Quantity (KG)],SalesDetail[Customer],$A207,SalesDetail[Year],2018)</f>
        <v>25</v>
      </c>
      <c r="L207" s="5">
        <f>SUMIFS(SalesDetail[Quantity (KG)],SalesDetail[Customer],$A207,SalesDetail[Year],2019)</f>
        <v>25</v>
      </c>
      <c r="M207" s="5">
        <f>SUMIFS(SalesDetail[Quantity (KG)],SalesDetail[Customer],$A207,SalesDetail[Year],2020)</f>
        <v>75</v>
      </c>
      <c r="N207" s="5">
        <f>SUMIFS(SalesDetail[Quantity (KG)],SalesDetail[Customer],$A207,SalesDetail[Year],2021)</f>
        <v>42</v>
      </c>
      <c r="O207" s="6">
        <f>SUM(B207:N207)</f>
        <v>278</v>
      </c>
    </row>
    <row r="208" spans="1:15" x14ac:dyDescent="0.3">
      <c r="A208" t="s">
        <v>2162</v>
      </c>
      <c r="B208" s="5">
        <f>SUMIFS(SalesDetail[Quantity (KG)],SalesDetail[Customer],$A208,SalesDetail[Year],2009)</f>
        <v>0</v>
      </c>
      <c r="C208" s="5">
        <f>SUMIFS(SalesDetail[Quantity (KG)],SalesDetail[Customer],$A208,SalesDetail[Year],2010)</f>
        <v>0</v>
      </c>
      <c r="D208" s="5">
        <f>SUMIFS(SalesDetail[Quantity (KG)],SalesDetail[Customer],$A208,SalesDetail[Year],2011)</f>
        <v>0</v>
      </c>
      <c r="E208" s="5">
        <f>SUMIFS(SalesDetail[Quantity (KG)],SalesDetail[Customer],$A208,SalesDetail[Year],2012)</f>
        <v>0</v>
      </c>
      <c r="F208" s="5">
        <f>SUMIFS(SalesDetail[Quantity (KG)],SalesDetail[Customer],$A208,SalesDetail[Year],2013)</f>
        <v>100</v>
      </c>
      <c r="G208" s="5">
        <f>SUMIFS(SalesDetail[Quantity (KG)],SalesDetail[Customer],$A208,SalesDetail[Year],2014)</f>
        <v>75</v>
      </c>
      <c r="H208" s="5">
        <f>SUMIFS(SalesDetail[Quantity (KG)],SalesDetail[Customer],$A208,SalesDetail[Year],2015)</f>
        <v>100</v>
      </c>
      <c r="I208" s="5">
        <f>SUMIFS(SalesDetail[Quantity (KG)],SalesDetail[Customer],$A208,SalesDetail[Year],2016)</f>
        <v>0</v>
      </c>
      <c r="J208" s="5">
        <f>SUMIFS(SalesDetail[Quantity (KG)],SalesDetail[Customer],$A208,SalesDetail[Year],2017)</f>
        <v>0</v>
      </c>
      <c r="K208" s="5">
        <f>SUMIFS(SalesDetail[Quantity (KG)],SalesDetail[Customer],$A208,SalesDetail[Year],2018)</f>
        <v>0</v>
      </c>
      <c r="L208" s="5">
        <f>SUMIFS(SalesDetail[Quantity (KG)],SalesDetail[Customer],$A208,SalesDetail[Year],2019)</f>
        <v>0</v>
      </c>
      <c r="M208" s="5">
        <f>SUMIFS(SalesDetail[Quantity (KG)],SalesDetail[Customer],$A208,SalesDetail[Year],2020)</f>
        <v>0</v>
      </c>
      <c r="N208" s="5">
        <f>SUMIFS(SalesDetail[Quantity (KG)],SalesDetail[Customer],$A208,SalesDetail[Year],2021)</f>
        <v>0</v>
      </c>
      <c r="O208" s="6">
        <f>SUM(B208:N208)</f>
        <v>275</v>
      </c>
    </row>
    <row r="209" spans="1:15" x14ac:dyDescent="0.3">
      <c r="A209" t="s">
        <v>215</v>
      </c>
      <c r="B209" s="5">
        <f>SUMIFS(SalesDetail[Quantity (KG)],SalesDetail[Customer],$A209,SalesDetail[Year],2009)</f>
        <v>0</v>
      </c>
      <c r="C209" s="5">
        <f>SUMIFS(SalesDetail[Quantity (KG)],SalesDetail[Customer],$A209,SalesDetail[Year],2010)</f>
        <v>0</v>
      </c>
      <c r="D209" s="5">
        <f>SUMIFS(SalesDetail[Quantity (KG)],SalesDetail[Customer],$A209,SalesDetail[Year],2011)</f>
        <v>30</v>
      </c>
      <c r="E209" s="5">
        <f>SUMIFS(SalesDetail[Quantity (KG)],SalesDetail[Customer],$A209,SalesDetail[Year],2012)</f>
        <v>138</v>
      </c>
      <c r="F209" s="5">
        <f>SUMIFS(SalesDetail[Quantity (KG)],SalesDetail[Customer],$A209,SalesDetail[Year],2013)</f>
        <v>55</v>
      </c>
      <c r="G209" s="5">
        <f>SUMIFS(SalesDetail[Quantity (KG)],SalesDetail[Customer],$A209,SalesDetail[Year],2014)</f>
        <v>15</v>
      </c>
      <c r="H209" s="5">
        <f>SUMIFS(SalesDetail[Quantity (KG)],SalesDetail[Customer],$A209,SalesDetail[Year],2015)</f>
        <v>0</v>
      </c>
      <c r="I209" s="5">
        <f>SUMIFS(SalesDetail[Quantity (KG)],SalesDetail[Customer],$A209,SalesDetail[Year],2016)</f>
        <v>0</v>
      </c>
      <c r="J209" s="5">
        <f>SUMIFS(SalesDetail[Quantity (KG)],SalesDetail[Customer],$A209,SalesDetail[Year],2017)</f>
        <v>21</v>
      </c>
      <c r="K209" s="5">
        <f>SUMIFS(SalesDetail[Quantity (KG)],SalesDetail[Customer],$A209,SalesDetail[Year],2018)</f>
        <v>15</v>
      </c>
      <c r="L209" s="5">
        <f>SUMIFS(SalesDetail[Quantity (KG)],SalesDetail[Customer],$A209,SalesDetail[Year],2019)</f>
        <v>0</v>
      </c>
      <c r="M209" s="5">
        <f>SUMIFS(SalesDetail[Quantity (KG)],SalesDetail[Customer],$A209,SalesDetail[Year],2020)</f>
        <v>0</v>
      </c>
      <c r="N209" s="5">
        <f>SUMIFS(SalesDetail[Quantity (KG)],SalesDetail[Customer],$A209,SalesDetail[Year],2021)</f>
        <v>0</v>
      </c>
      <c r="O209" s="6">
        <f>SUM(B209:N209)</f>
        <v>274</v>
      </c>
    </row>
    <row r="210" spans="1:15" x14ac:dyDescent="0.3">
      <c r="A210" t="s">
        <v>2088</v>
      </c>
      <c r="B210" s="5">
        <f>SUMIFS(SalesDetail[Quantity (KG)],SalesDetail[Customer],$A210,SalesDetail[Year],2009)</f>
        <v>0</v>
      </c>
      <c r="C210" s="5">
        <f>SUMIFS(SalesDetail[Quantity (KG)],SalesDetail[Customer],$A210,SalesDetail[Year],2010)</f>
        <v>0</v>
      </c>
      <c r="D210" s="5">
        <f>SUMIFS(SalesDetail[Quantity (KG)],SalesDetail[Customer],$A210,SalesDetail[Year],2011)</f>
        <v>0</v>
      </c>
      <c r="E210" s="5">
        <f>SUMIFS(SalesDetail[Quantity (KG)],SalesDetail[Customer],$A210,SalesDetail[Year],2012)</f>
        <v>0</v>
      </c>
      <c r="F210" s="5">
        <f>SUMIFS(SalesDetail[Quantity (KG)],SalesDetail[Customer],$A210,SalesDetail[Year],2013)</f>
        <v>0</v>
      </c>
      <c r="G210" s="5">
        <f>SUMIFS(SalesDetail[Quantity (KG)],SalesDetail[Customer],$A210,SalesDetail[Year],2014)</f>
        <v>0</v>
      </c>
      <c r="H210" s="5">
        <f>SUMIFS(SalesDetail[Quantity (KG)],SalesDetail[Customer],$A210,SalesDetail[Year],2015)</f>
        <v>75</v>
      </c>
      <c r="I210" s="5">
        <f>SUMIFS(SalesDetail[Quantity (KG)],SalesDetail[Customer],$A210,SalesDetail[Year],2016)</f>
        <v>137</v>
      </c>
      <c r="J210" s="5">
        <f>SUMIFS(SalesDetail[Quantity (KG)],SalesDetail[Customer],$A210,SalesDetail[Year],2017)</f>
        <v>60</v>
      </c>
      <c r="K210" s="5">
        <f>SUMIFS(SalesDetail[Quantity (KG)],SalesDetail[Customer],$A210,SalesDetail[Year],2018)</f>
        <v>0</v>
      </c>
      <c r="L210" s="5">
        <f>SUMIFS(SalesDetail[Quantity (KG)],SalesDetail[Customer],$A210,SalesDetail[Year],2019)</f>
        <v>0</v>
      </c>
      <c r="M210" s="5">
        <f>SUMIFS(SalesDetail[Quantity (KG)],SalesDetail[Customer],$A210,SalesDetail[Year],2020)</f>
        <v>0</v>
      </c>
      <c r="N210" s="5">
        <f>SUMIFS(SalesDetail[Quantity (KG)],SalesDetail[Customer],$A210,SalesDetail[Year],2021)</f>
        <v>0</v>
      </c>
      <c r="O210" s="6">
        <f>SUM(B210:N210)</f>
        <v>272</v>
      </c>
    </row>
    <row r="211" spans="1:15" x14ac:dyDescent="0.3">
      <c r="A211" t="s">
        <v>2550</v>
      </c>
      <c r="B211" s="5">
        <f>SUMIFS(SalesDetail[Quantity (KG)],SalesDetail[Customer],$A211,SalesDetail[Year],2009)</f>
        <v>40</v>
      </c>
      <c r="C211" s="5">
        <f>SUMIFS(SalesDetail[Quantity (KG)],SalesDetail[Customer],$A211,SalesDetail[Year],2010)</f>
        <v>25</v>
      </c>
      <c r="D211" s="5">
        <f>SUMIFS(SalesDetail[Quantity (KG)],SalesDetail[Customer],$A211,SalesDetail[Year],2011)</f>
        <v>200</v>
      </c>
      <c r="E211" s="5">
        <f>SUMIFS(SalesDetail[Quantity (KG)],SalesDetail[Customer],$A211,SalesDetail[Year],2012)</f>
        <v>0</v>
      </c>
      <c r="F211" s="5">
        <f>SUMIFS(SalesDetail[Quantity (KG)],SalesDetail[Customer],$A211,SalesDetail[Year],2013)</f>
        <v>0</v>
      </c>
      <c r="G211" s="5">
        <f>SUMIFS(SalesDetail[Quantity (KG)],SalesDetail[Customer],$A211,SalesDetail[Year],2014)</f>
        <v>0</v>
      </c>
      <c r="H211" s="5">
        <f>SUMIFS(SalesDetail[Quantity (KG)],SalesDetail[Customer],$A211,SalesDetail[Year],2015)</f>
        <v>0</v>
      </c>
      <c r="I211" s="5">
        <f>SUMIFS(SalesDetail[Quantity (KG)],SalesDetail[Customer],$A211,SalesDetail[Year],2016)</f>
        <v>0</v>
      </c>
      <c r="J211" s="5">
        <f>SUMIFS(SalesDetail[Quantity (KG)],SalesDetail[Customer],$A211,SalesDetail[Year],2017)</f>
        <v>0</v>
      </c>
      <c r="K211" s="5">
        <f>SUMIFS(SalesDetail[Quantity (KG)],SalesDetail[Customer],$A211,SalesDetail[Year],2018)</f>
        <v>0</v>
      </c>
      <c r="L211" s="5">
        <f>SUMIFS(SalesDetail[Quantity (KG)],SalesDetail[Customer],$A211,SalesDetail[Year],2019)</f>
        <v>0</v>
      </c>
      <c r="M211" s="5">
        <f>SUMIFS(SalesDetail[Quantity (KG)],SalesDetail[Customer],$A211,SalesDetail[Year],2020)</f>
        <v>0</v>
      </c>
      <c r="N211" s="5">
        <f>SUMIFS(SalesDetail[Quantity (KG)],SalesDetail[Customer],$A211,SalesDetail[Year],2021)</f>
        <v>0</v>
      </c>
      <c r="O211" s="6">
        <f>SUM(B211:N211)</f>
        <v>265</v>
      </c>
    </row>
    <row r="212" spans="1:15" x14ac:dyDescent="0.3">
      <c r="A212" t="s">
        <v>765</v>
      </c>
      <c r="B212" s="5">
        <f>SUMIFS(SalesDetail[Quantity (KG)],SalesDetail[Customer],$A212,SalesDetail[Year],2009)</f>
        <v>0</v>
      </c>
      <c r="C212" s="5">
        <f>SUMIFS(SalesDetail[Quantity (KG)],SalesDetail[Customer],$A212,SalesDetail[Year],2010)</f>
        <v>0</v>
      </c>
      <c r="D212" s="5">
        <f>SUMIFS(SalesDetail[Quantity (KG)],SalesDetail[Customer],$A212,SalesDetail[Year],2011)</f>
        <v>0</v>
      </c>
      <c r="E212" s="5">
        <f>SUMIFS(SalesDetail[Quantity (KG)],SalesDetail[Customer],$A212,SalesDetail[Year],2012)</f>
        <v>0</v>
      </c>
      <c r="F212" s="5">
        <f>SUMIFS(SalesDetail[Quantity (KG)],SalesDetail[Customer],$A212,SalesDetail[Year],2013)</f>
        <v>0</v>
      </c>
      <c r="G212" s="5">
        <f>SUMIFS(SalesDetail[Quantity (KG)],SalesDetail[Customer],$A212,SalesDetail[Year],2014)</f>
        <v>0</v>
      </c>
      <c r="H212" s="5">
        <f>SUMIFS(SalesDetail[Quantity (KG)],SalesDetail[Customer],$A212,SalesDetail[Year],2015)</f>
        <v>0</v>
      </c>
      <c r="I212" s="5">
        <f>SUMIFS(SalesDetail[Quantity (KG)],SalesDetail[Customer],$A212,SalesDetail[Year],2016)</f>
        <v>0</v>
      </c>
      <c r="J212" s="5">
        <f>SUMIFS(SalesDetail[Quantity (KG)],SalesDetail[Customer],$A212,SalesDetail[Year],2017)</f>
        <v>0</v>
      </c>
      <c r="K212" s="5">
        <f>SUMIFS(SalesDetail[Quantity (KG)],SalesDetail[Customer],$A212,SalesDetail[Year],2018)</f>
        <v>0</v>
      </c>
      <c r="L212" s="5">
        <f>SUMIFS(SalesDetail[Quantity (KG)],SalesDetail[Customer],$A212,SalesDetail[Year],2019)</f>
        <v>0</v>
      </c>
      <c r="M212" s="5">
        <f>SUMIFS(SalesDetail[Quantity (KG)],SalesDetail[Customer],$A212,SalesDetail[Year],2020)</f>
        <v>0</v>
      </c>
      <c r="N212" s="5">
        <f>SUMIFS(SalesDetail[Quantity (KG)],SalesDetail[Customer],$A212,SalesDetail[Year],2021)</f>
        <v>255</v>
      </c>
      <c r="O212" s="6">
        <f>SUM(B212:N212)</f>
        <v>255</v>
      </c>
    </row>
    <row r="213" spans="1:15" x14ac:dyDescent="0.3">
      <c r="A213" t="s">
        <v>2011</v>
      </c>
      <c r="B213" s="5">
        <f>SUMIFS(SalesDetail[Quantity (KG)],SalesDetail[Customer],$A213,SalesDetail[Year],2009)</f>
        <v>0</v>
      </c>
      <c r="C213" s="5">
        <f>SUMIFS(SalesDetail[Quantity (KG)],SalesDetail[Customer],$A213,SalesDetail[Year],2010)</f>
        <v>0</v>
      </c>
      <c r="D213" s="5">
        <f>SUMIFS(SalesDetail[Quantity (KG)],SalesDetail[Customer],$A213,SalesDetail[Year],2011)</f>
        <v>0</v>
      </c>
      <c r="E213" s="5">
        <f>SUMIFS(SalesDetail[Quantity (KG)],SalesDetail[Customer],$A213,SalesDetail[Year],2012)</f>
        <v>0</v>
      </c>
      <c r="F213" s="5">
        <f>SUMIFS(SalesDetail[Quantity (KG)],SalesDetail[Customer],$A213,SalesDetail[Year],2013)</f>
        <v>0</v>
      </c>
      <c r="G213" s="5">
        <f>SUMIFS(SalesDetail[Quantity (KG)],SalesDetail[Customer],$A213,SalesDetail[Year],2014)</f>
        <v>0</v>
      </c>
      <c r="H213" s="5">
        <f>SUMIFS(SalesDetail[Quantity (KG)],SalesDetail[Customer],$A213,SalesDetail[Year],2015)</f>
        <v>2</v>
      </c>
      <c r="I213" s="5">
        <f>SUMIFS(SalesDetail[Quantity (KG)],SalesDetail[Customer],$A213,SalesDetail[Year],2016)</f>
        <v>130</v>
      </c>
      <c r="J213" s="5">
        <f>SUMIFS(SalesDetail[Quantity (KG)],SalesDetail[Customer],$A213,SalesDetail[Year],2017)</f>
        <v>50</v>
      </c>
      <c r="K213" s="5">
        <f>SUMIFS(SalesDetail[Quantity (KG)],SalesDetail[Customer],$A213,SalesDetail[Year],2018)</f>
        <v>67</v>
      </c>
      <c r="L213" s="5">
        <f>SUMIFS(SalesDetail[Quantity (KG)],SalesDetail[Customer],$A213,SalesDetail[Year],2019)</f>
        <v>5</v>
      </c>
      <c r="M213" s="5">
        <f>SUMIFS(SalesDetail[Quantity (KG)],SalesDetail[Customer],$A213,SalesDetail[Year],2020)</f>
        <v>0</v>
      </c>
      <c r="N213" s="5">
        <f>SUMIFS(SalesDetail[Quantity (KG)],SalesDetail[Customer],$A213,SalesDetail[Year],2021)</f>
        <v>0</v>
      </c>
      <c r="O213" s="6">
        <f>SUM(B213:N213)</f>
        <v>254</v>
      </c>
    </row>
    <row r="214" spans="1:15" x14ac:dyDescent="0.3">
      <c r="A214" t="s">
        <v>268</v>
      </c>
      <c r="B214" s="5">
        <f>SUMIFS(SalesDetail[Quantity (KG)],SalesDetail[Customer],$A214,SalesDetail[Year],2009)</f>
        <v>0</v>
      </c>
      <c r="C214" s="5">
        <f>SUMIFS(SalesDetail[Quantity (KG)],SalesDetail[Customer],$A214,SalesDetail[Year],2010)</f>
        <v>0</v>
      </c>
      <c r="D214" s="5">
        <f>SUMIFS(SalesDetail[Quantity (KG)],SalesDetail[Customer],$A214,SalesDetail[Year],2011)</f>
        <v>0</v>
      </c>
      <c r="E214" s="5">
        <f>SUMIFS(SalesDetail[Quantity (KG)],SalesDetail[Customer],$A214,SalesDetail[Year],2012)</f>
        <v>0</v>
      </c>
      <c r="F214" s="5">
        <f>SUMIFS(SalesDetail[Quantity (KG)],SalesDetail[Customer],$A214,SalesDetail[Year],2013)</f>
        <v>0</v>
      </c>
      <c r="G214" s="5">
        <f>SUMIFS(SalesDetail[Quantity (KG)],SalesDetail[Customer],$A214,SalesDetail[Year],2014)</f>
        <v>0</v>
      </c>
      <c r="H214" s="5">
        <f>SUMIFS(SalesDetail[Quantity (KG)],SalesDetail[Customer],$A214,SalesDetail[Year],2015)</f>
        <v>0</v>
      </c>
      <c r="I214" s="5">
        <f>SUMIFS(SalesDetail[Quantity (KG)],SalesDetail[Customer],$A214,SalesDetail[Year],2016)</f>
        <v>0</v>
      </c>
      <c r="J214" s="5">
        <f>SUMIFS(SalesDetail[Quantity (KG)],SalesDetail[Customer],$A214,SalesDetail[Year],2017)</f>
        <v>0</v>
      </c>
      <c r="K214" s="5">
        <f>SUMIFS(SalesDetail[Quantity (KG)],SalesDetail[Customer],$A214,SalesDetail[Year],2018)</f>
        <v>251</v>
      </c>
      <c r="L214" s="5">
        <f>SUMIFS(SalesDetail[Quantity (KG)],SalesDetail[Customer],$A214,SalesDetail[Year],2019)</f>
        <v>0</v>
      </c>
      <c r="M214" s="5">
        <f>SUMIFS(SalesDetail[Quantity (KG)],SalesDetail[Customer],$A214,SalesDetail[Year],2020)</f>
        <v>0</v>
      </c>
      <c r="N214" s="5">
        <f>SUMIFS(SalesDetail[Quantity (KG)],SalesDetail[Customer],$A214,SalesDetail[Year],2021)</f>
        <v>0</v>
      </c>
      <c r="O214" s="6">
        <f>SUM(B214:N214)</f>
        <v>251</v>
      </c>
    </row>
    <row r="215" spans="1:15" x14ac:dyDescent="0.3">
      <c r="A215" t="s">
        <v>78</v>
      </c>
      <c r="B215" s="5">
        <f>SUMIFS(SalesDetail[Quantity (KG)],SalesDetail[Customer],$A215,SalesDetail[Year],2009)</f>
        <v>0</v>
      </c>
      <c r="C215" s="5">
        <f>SUMIFS(SalesDetail[Quantity (KG)],SalesDetail[Customer],$A215,SalesDetail[Year],2010)</f>
        <v>0</v>
      </c>
      <c r="D215" s="5">
        <f>SUMIFS(SalesDetail[Quantity (KG)],SalesDetail[Customer],$A215,SalesDetail[Year],2011)</f>
        <v>0</v>
      </c>
      <c r="E215" s="5">
        <f>SUMIFS(SalesDetail[Quantity (KG)],SalesDetail[Customer],$A215,SalesDetail[Year],2012)</f>
        <v>0</v>
      </c>
      <c r="F215" s="5">
        <f>SUMIFS(SalesDetail[Quantity (KG)],SalesDetail[Customer],$A215,SalesDetail[Year],2013)</f>
        <v>0</v>
      </c>
      <c r="G215" s="5">
        <f>SUMIFS(SalesDetail[Quantity (KG)],SalesDetail[Customer],$A215,SalesDetail[Year],2014)</f>
        <v>0</v>
      </c>
      <c r="H215" s="5">
        <f>SUMIFS(SalesDetail[Quantity (KG)],SalesDetail[Customer],$A215,SalesDetail[Year],2015)</f>
        <v>0</v>
      </c>
      <c r="I215" s="5">
        <f>SUMIFS(SalesDetail[Quantity (KG)],SalesDetail[Customer],$A215,SalesDetail[Year],2016)</f>
        <v>6</v>
      </c>
      <c r="J215" s="5">
        <f>SUMIFS(SalesDetail[Quantity (KG)],SalesDetail[Customer],$A215,SalesDetail[Year],2017)</f>
        <v>10</v>
      </c>
      <c r="K215" s="5">
        <f>SUMIFS(SalesDetail[Quantity (KG)],SalesDetail[Customer],$A215,SalesDetail[Year],2018)</f>
        <v>48.5</v>
      </c>
      <c r="L215" s="5">
        <f>SUMIFS(SalesDetail[Quantity (KG)],SalesDetail[Customer],$A215,SalesDetail[Year],2019)</f>
        <v>55</v>
      </c>
      <c r="M215" s="5">
        <f>SUMIFS(SalesDetail[Quantity (KG)],SalesDetail[Customer],$A215,SalesDetail[Year],2020)</f>
        <v>36</v>
      </c>
      <c r="N215" s="5">
        <f>SUMIFS(SalesDetail[Quantity (KG)],SalesDetail[Customer],$A215,SalesDetail[Year],2021)</f>
        <v>95</v>
      </c>
      <c r="O215" s="6">
        <f>SUM(B215:N215)</f>
        <v>250.5</v>
      </c>
    </row>
    <row r="216" spans="1:15" x14ac:dyDescent="0.3">
      <c r="A216" t="s">
        <v>1163</v>
      </c>
      <c r="B216" s="5">
        <f>SUMIFS(SalesDetail[Quantity (KG)],SalesDetail[Customer],$A216,SalesDetail[Year],2009)</f>
        <v>0</v>
      </c>
      <c r="C216" s="5">
        <f>SUMIFS(SalesDetail[Quantity (KG)],SalesDetail[Customer],$A216,SalesDetail[Year],2010)</f>
        <v>0</v>
      </c>
      <c r="D216" s="5">
        <f>SUMIFS(SalesDetail[Quantity (KG)],SalesDetail[Customer],$A216,SalesDetail[Year],2011)</f>
        <v>0</v>
      </c>
      <c r="E216" s="5">
        <f>SUMIFS(SalesDetail[Quantity (KG)],SalesDetail[Customer],$A216,SalesDetail[Year],2012)</f>
        <v>0</v>
      </c>
      <c r="F216" s="5">
        <f>SUMIFS(SalesDetail[Quantity (KG)],SalesDetail[Customer],$A216,SalesDetail[Year],2013)</f>
        <v>0</v>
      </c>
      <c r="G216" s="5">
        <f>SUMIFS(SalesDetail[Quantity (KG)],SalesDetail[Customer],$A216,SalesDetail[Year],2014)</f>
        <v>0</v>
      </c>
      <c r="H216" s="5">
        <f>SUMIFS(SalesDetail[Quantity (KG)],SalesDetail[Customer],$A216,SalesDetail[Year],2015)</f>
        <v>150</v>
      </c>
      <c r="I216" s="5">
        <f>SUMIFS(SalesDetail[Quantity (KG)],SalesDetail[Customer],$A216,SalesDetail[Year],2016)</f>
        <v>100</v>
      </c>
      <c r="J216" s="5">
        <f>SUMIFS(SalesDetail[Quantity (KG)],SalesDetail[Customer],$A216,SalesDetail[Year],2017)</f>
        <v>0</v>
      </c>
      <c r="K216" s="5">
        <f>SUMIFS(SalesDetail[Quantity (KG)],SalesDetail[Customer],$A216,SalesDetail[Year],2018)</f>
        <v>0</v>
      </c>
      <c r="L216" s="5">
        <f>SUMIFS(SalesDetail[Quantity (KG)],SalesDetail[Customer],$A216,SalesDetail[Year],2019)</f>
        <v>0</v>
      </c>
      <c r="M216" s="5">
        <f>SUMIFS(SalesDetail[Quantity (KG)],SalesDetail[Customer],$A216,SalesDetail[Year],2020)</f>
        <v>0</v>
      </c>
      <c r="N216" s="5">
        <f>SUMIFS(SalesDetail[Quantity (KG)],SalesDetail[Customer],$A216,SalesDetail[Year],2021)</f>
        <v>0</v>
      </c>
      <c r="O216" s="6">
        <f>SUM(B216:N216)</f>
        <v>250</v>
      </c>
    </row>
    <row r="217" spans="1:15" x14ac:dyDescent="0.3">
      <c r="A217" t="s">
        <v>1773</v>
      </c>
      <c r="B217" s="5">
        <f>SUMIFS(SalesDetail[Quantity (KG)],SalesDetail[Customer],$A217,SalesDetail[Year],2009)</f>
        <v>0</v>
      </c>
      <c r="C217" s="5">
        <f>SUMIFS(SalesDetail[Quantity (KG)],SalesDetail[Customer],$A217,SalesDetail[Year],2010)</f>
        <v>0</v>
      </c>
      <c r="D217" s="5">
        <f>SUMIFS(SalesDetail[Quantity (KG)],SalesDetail[Customer],$A217,SalesDetail[Year],2011)</f>
        <v>0</v>
      </c>
      <c r="E217" s="5">
        <f>SUMIFS(SalesDetail[Quantity (KG)],SalesDetail[Customer],$A217,SalesDetail[Year],2012)</f>
        <v>0</v>
      </c>
      <c r="F217" s="5">
        <f>SUMIFS(SalesDetail[Quantity (KG)],SalesDetail[Customer],$A217,SalesDetail[Year],2013)</f>
        <v>0</v>
      </c>
      <c r="G217" s="5">
        <f>SUMIFS(SalesDetail[Quantity (KG)],SalesDetail[Customer],$A217,SalesDetail[Year],2014)</f>
        <v>0</v>
      </c>
      <c r="H217" s="5">
        <f>SUMIFS(SalesDetail[Quantity (KG)],SalesDetail[Customer],$A217,SalesDetail[Year],2015)</f>
        <v>0</v>
      </c>
      <c r="I217" s="5">
        <f>SUMIFS(SalesDetail[Quantity (KG)],SalesDetail[Customer],$A217,SalesDetail[Year],2016)</f>
        <v>0</v>
      </c>
      <c r="J217" s="5">
        <f>SUMIFS(SalesDetail[Quantity (KG)],SalesDetail[Customer],$A217,SalesDetail[Year],2017)</f>
        <v>35</v>
      </c>
      <c r="K217" s="5">
        <f>SUMIFS(SalesDetail[Quantity (KG)],SalesDetail[Customer],$A217,SalesDetail[Year],2018)</f>
        <v>0</v>
      </c>
      <c r="L217" s="5">
        <f>SUMIFS(SalesDetail[Quantity (KG)],SalesDetail[Customer],$A217,SalesDetail[Year],2019)</f>
        <v>200</v>
      </c>
      <c r="M217" s="5">
        <f>SUMIFS(SalesDetail[Quantity (KG)],SalesDetail[Customer],$A217,SalesDetail[Year],2020)</f>
        <v>15</v>
      </c>
      <c r="N217" s="5">
        <f>SUMIFS(SalesDetail[Quantity (KG)],SalesDetail[Customer],$A217,SalesDetail[Year],2021)</f>
        <v>0</v>
      </c>
      <c r="O217" s="6">
        <f>SUM(B217:N217)</f>
        <v>250</v>
      </c>
    </row>
    <row r="218" spans="1:15" x14ac:dyDescent="0.3">
      <c r="A218" t="s">
        <v>2549</v>
      </c>
      <c r="B218" s="5">
        <f>SUMIFS(SalesDetail[Quantity (KG)],SalesDetail[Customer],$A218,SalesDetail[Year],2009)</f>
        <v>0</v>
      </c>
      <c r="C218" s="5">
        <f>SUMIFS(SalesDetail[Quantity (KG)],SalesDetail[Customer],$A218,SalesDetail[Year],2010)</f>
        <v>0</v>
      </c>
      <c r="D218" s="5">
        <f>SUMIFS(SalesDetail[Quantity (KG)],SalesDetail[Customer],$A218,SalesDetail[Year],2011)</f>
        <v>0</v>
      </c>
      <c r="E218" s="5">
        <f>SUMIFS(SalesDetail[Quantity (KG)],SalesDetail[Customer],$A218,SalesDetail[Year],2012)</f>
        <v>0</v>
      </c>
      <c r="F218" s="5">
        <f>SUMIFS(SalesDetail[Quantity (KG)],SalesDetail[Customer],$A218,SalesDetail[Year],2013)</f>
        <v>0</v>
      </c>
      <c r="G218" s="5">
        <f>SUMIFS(SalesDetail[Quantity (KG)],SalesDetail[Customer],$A218,SalesDetail[Year],2014)</f>
        <v>0</v>
      </c>
      <c r="H218" s="5">
        <f>SUMIFS(SalesDetail[Quantity (KG)],SalesDetail[Customer],$A218,SalesDetail[Year],2015)</f>
        <v>0</v>
      </c>
      <c r="I218" s="5">
        <f>SUMIFS(SalesDetail[Quantity (KG)],SalesDetail[Customer],$A218,SalesDetail[Year],2016)</f>
        <v>0</v>
      </c>
      <c r="J218" s="5">
        <f>SUMIFS(SalesDetail[Quantity (KG)],SalesDetail[Customer],$A218,SalesDetail[Year],2017)</f>
        <v>0</v>
      </c>
      <c r="K218" s="5">
        <f>SUMIFS(SalesDetail[Quantity (KG)],SalesDetail[Customer],$A218,SalesDetail[Year],2018)</f>
        <v>75</v>
      </c>
      <c r="L218" s="5">
        <f>SUMIFS(SalesDetail[Quantity (KG)],SalesDetail[Customer],$A218,SalesDetail[Year],2019)</f>
        <v>50</v>
      </c>
      <c r="M218" s="5">
        <f>SUMIFS(SalesDetail[Quantity (KG)],SalesDetail[Customer],$A218,SalesDetail[Year],2020)</f>
        <v>100</v>
      </c>
      <c r="N218" s="5">
        <f>SUMIFS(SalesDetail[Quantity (KG)],SalesDetail[Customer],$A218,SalesDetail[Year],2021)</f>
        <v>25</v>
      </c>
      <c r="O218" s="6">
        <f>SUM(B218:N218)</f>
        <v>250</v>
      </c>
    </row>
    <row r="219" spans="1:15" x14ac:dyDescent="0.3">
      <c r="A219" t="s">
        <v>2588</v>
      </c>
      <c r="B219" s="5">
        <f>SUMIFS(SalesDetail[Quantity (KG)],SalesDetail[Customer],$A219,SalesDetail[Year],2009)</f>
        <v>0</v>
      </c>
      <c r="C219" s="5">
        <f>SUMIFS(SalesDetail[Quantity (KG)],SalesDetail[Customer],$A219,SalesDetail[Year],2010)</f>
        <v>55</v>
      </c>
      <c r="D219" s="5">
        <f>SUMIFS(SalesDetail[Quantity (KG)],SalesDetail[Customer],$A219,SalesDetail[Year],2011)</f>
        <v>50</v>
      </c>
      <c r="E219" s="5">
        <f>SUMIFS(SalesDetail[Quantity (KG)],SalesDetail[Customer],$A219,SalesDetail[Year],2012)</f>
        <v>55</v>
      </c>
      <c r="F219" s="5">
        <f>SUMIFS(SalesDetail[Quantity (KG)],SalesDetail[Customer],$A219,SalesDetail[Year],2013)</f>
        <v>25</v>
      </c>
      <c r="G219" s="5">
        <f>SUMIFS(SalesDetail[Quantity (KG)],SalesDetail[Customer],$A219,SalesDetail[Year],2014)</f>
        <v>35</v>
      </c>
      <c r="H219" s="5">
        <f>SUMIFS(SalesDetail[Quantity (KG)],SalesDetail[Customer],$A219,SalesDetail[Year],2015)</f>
        <v>5</v>
      </c>
      <c r="I219" s="5">
        <f>SUMIFS(SalesDetail[Quantity (KG)],SalesDetail[Customer],$A219,SalesDetail[Year],2016)</f>
        <v>25</v>
      </c>
      <c r="J219" s="5">
        <f>SUMIFS(SalesDetail[Quantity (KG)],SalesDetail[Customer],$A219,SalesDetail[Year],2017)</f>
        <v>0</v>
      </c>
      <c r="K219" s="5">
        <f>SUMIFS(SalesDetail[Quantity (KG)],SalesDetail[Customer],$A219,SalesDetail[Year],2018)</f>
        <v>0</v>
      </c>
      <c r="L219" s="5">
        <f>SUMIFS(SalesDetail[Quantity (KG)],SalesDetail[Customer],$A219,SalesDetail[Year],2019)</f>
        <v>0</v>
      </c>
      <c r="M219" s="5">
        <f>SUMIFS(SalesDetail[Quantity (KG)],SalesDetail[Customer],$A219,SalesDetail[Year],2020)</f>
        <v>0</v>
      </c>
      <c r="N219" s="5">
        <f>SUMIFS(SalesDetail[Quantity (KG)],SalesDetail[Customer],$A219,SalesDetail[Year],2021)</f>
        <v>0</v>
      </c>
      <c r="O219" s="6">
        <f>SUM(B219:N219)</f>
        <v>250</v>
      </c>
    </row>
    <row r="220" spans="1:15" x14ac:dyDescent="0.3">
      <c r="A220" t="s">
        <v>2562</v>
      </c>
      <c r="B220" s="5">
        <f>SUMIFS(SalesDetail[Quantity (KG)],SalesDetail[Customer],$A220,SalesDetail[Year],2009)</f>
        <v>0</v>
      </c>
      <c r="C220" s="5">
        <f>SUMIFS(SalesDetail[Quantity (KG)],SalesDetail[Customer],$A220,SalesDetail[Year],2010)</f>
        <v>0</v>
      </c>
      <c r="D220" s="5">
        <f>SUMIFS(SalesDetail[Quantity (KG)],SalesDetail[Customer],$A220,SalesDetail[Year],2011)</f>
        <v>0</v>
      </c>
      <c r="E220" s="5">
        <f>SUMIFS(SalesDetail[Quantity (KG)],SalesDetail[Customer],$A220,SalesDetail[Year],2012)</f>
        <v>0</v>
      </c>
      <c r="F220" s="5">
        <f>SUMIFS(SalesDetail[Quantity (KG)],SalesDetail[Customer],$A220,SalesDetail[Year],2013)</f>
        <v>0</v>
      </c>
      <c r="G220" s="5">
        <f>SUMIFS(SalesDetail[Quantity (KG)],SalesDetail[Customer],$A220,SalesDetail[Year],2014)</f>
        <v>0</v>
      </c>
      <c r="H220" s="5">
        <f>SUMIFS(SalesDetail[Quantity (KG)],SalesDetail[Customer],$A220,SalesDetail[Year],2015)</f>
        <v>0</v>
      </c>
      <c r="I220" s="5">
        <f>SUMIFS(SalesDetail[Quantity (KG)],SalesDetail[Customer],$A220,SalesDetail[Year],2016)</f>
        <v>0</v>
      </c>
      <c r="J220" s="5">
        <f>SUMIFS(SalesDetail[Quantity (KG)],SalesDetail[Customer],$A220,SalesDetail[Year],2017)</f>
        <v>0</v>
      </c>
      <c r="K220" s="5">
        <f>SUMIFS(SalesDetail[Quantity (KG)],SalesDetail[Customer],$A220,SalesDetail[Year],2018)</f>
        <v>0</v>
      </c>
      <c r="L220" s="5">
        <f>SUMIFS(SalesDetail[Quantity (KG)],SalesDetail[Customer],$A220,SalesDetail[Year],2019)</f>
        <v>0</v>
      </c>
      <c r="M220" s="5">
        <f>SUMIFS(SalesDetail[Quantity (KG)],SalesDetail[Customer],$A220,SalesDetail[Year],2020)</f>
        <v>153</v>
      </c>
      <c r="N220" s="5">
        <f>SUMIFS(SalesDetail[Quantity (KG)],SalesDetail[Customer],$A220,SalesDetail[Year],2021)</f>
        <v>96</v>
      </c>
      <c r="O220" s="6">
        <f>SUM(B220:N220)</f>
        <v>249</v>
      </c>
    </row>
    <row r="221" spans="1:15" x14ac:dyDescent="0.3">
      <c r="A221" t="s">
        <v>812</v>
      </c>
      <c r="B221" s="5">
        <f>SUMIFS(SalesDetail[Quantity (KG)],SalesDetail[Customer],$A221,SalesDetail[Year],2009)</f>
        <v>0</v>
      </c>
      <c r="C221" s="5">
        <f>SUMIFS(SalesDetail[Quantity (KG)],SalesDetail[Customer],$A221,SalesDetail[Year],2010)</f>
        <v>0</v>
      </c>
      <c r="D221" s="5">
        <f>SUMIFS(SalesDetail[Quantity (KG)],SalesDetail[Customer],$A221,SalesDetail[Year],2011)</f>
        <v>0</v>
      </c>
      <c r="E221" s="5">
        <f>SUMIFS(SalesDetail[Quantity (KG)],SalesDetail[Customer],$A221,SalesDetail[Year],2012)</f>
        <v>0</v>
      </c>
      <c r="F221" s="5">
        <f>SUMIFS(SalesDetail[Quantity (KG)],SalesDetail[Customer],$A221,SalesDetail[Year],2013)</f>
        <v>0</v>
      </c>
      <c r="G221" s="5">
        <f>SUMIFS(SalesDetail[Quantity (KG)],SalesDetail[Customer],$A221,SalesDetail[Year],2014)</f>
        <v>0</v>
      </c>
      <c r="H221" s="5">
        <f>SUMIFS(SalesDetail[Quantity (KG)],SalesDetail[Customer],$A221,SalesDetail[Year],2015)</f>
        <v>0</v>
      </c>
      <c r="I221" s="5">
        <f>SUMIFS(SalesDetail[Quantity (KG)],SalesDetail[Customer],$A221,SalesDetail[Year],2016)</f>
        <v>0</v>
      </c>
      <c r="J221" s="5">
        <f>SUMIFS(SalesDetail[Quantity (KG)],SalesDetail[Customer],$A221,SalesDetail[Year],2017)</f>
        <v>0</v>
      </c>
      <c r="K221" s="5">
        <f>SUMIFS(SalesDetail[Quantity (KG)],SalesDetail[Customer],$A221,SalesDetail[Year],2018)</f>
        <v>0</v>
      </c>
      <c r="L221" s="5">
        <f>SUMIFS(SalesDetail[Quantity (KG)],SalesDetail[Customer],$A221,SalesDetail[Year],2019)</f>
        <v>0</v>
      </c>
      <c r="M221" s="5">
        <f>SUMIFS(SalesDetail[Quantity (KG)],SalesDetail[Customer],$A221,SalesDetail[Year],2020)</f>
        <v>50</v>
      </c>
      <c r="N221" s="5">
        <f>SUMIFS(SalesDetail[Quantity (KG)],SalesDetail[Customer],$A221,SalesDetail[Year],2021)</f>
        <v>197</v>
      </c>
      <c r="O221" s="6">
        <f>SUM(B221:N221)</f>
        <v>247</v>
      </c>
    </row>
    <row r="222" spans="1:15" x14ac:dyDescent="0.3">
      <c r="A222" t="s">
        <v>2519</v>
      </c>
      <c r="B222" s="5">
        <f>SUMIFS(SalesDetail[Quantity (KG)],SalesDetail[Customer],$A222,SalesDetail[Year],2009)</f>
        <v>0</v>
      </c>
      <c r="C222" s="5">
        <f>SUMIFS(SalesDetail[Quantity (KG)],SalesDetail[Customer],$A222,SalesDetail[Year],2010)</f>
        <v>0</v>
      </c>
      <c r="D222" s="5">
        <f>SUMIFS(SalesDetail[Quantity (KG)],SalesDetail[Customer],$A222,SalesDetail[Year],2011)</f>
        <v>0</v>
      </c>
      <c r="E222" s="5">
        <f>SUMIFS(SalesDetail[Quantity (KG)],SalesDetail[Customer],$A222,SalesDetail[Year],2012)</f>
        <v>0</v>
      </c>
      <c r="F222" s="5">
        <f>SUMIFS(SalesDetail[Quantity (KG)],SalesDetail[Customer],$A222,SalesDetail[Year],2013)</f>
        <v>0</v>
      </c>
      <c r="G222" s="5">
        <f>SUMIFS(SalesDetail[Quantity (KG)],SalesDetail[Customer],$A222,SalesDetail[Year],2014)</f>
        <v>0</v>
      </c>
      <c r="H222" s="5">
        <f>SUMIFS(SalesDetail[Quantity (KG)],SalesDetail[Customer],$A222,SalesDetail[Year],2015)</f>
        <v>0</v>
      </c>
      <c r="I222" s="5">
        <f>SUMIFS(SalesDetail[Quantity (KG)],SalesDetail[Customer],$A222,SalesDetail[Year],2016)</f>
        <v>0</v>
      </c>
      <c r="J222" s="5">
        <f>SUMIFS(SalesDetail[Quantity (KG)],SalesDetail[Customer],$A222,SalesDetail[Year],2017)</f>
        <v>6</v>
      </c>
      <c r="K222" s="5">
        <f>SUMIFS(SalesDetail[Quantity (KG)],SalesDetail[Customer],$A222,SalesDetail[Year],2018)</f>
        <v>42</v>
      </c>
      <c r="L222" s="5">
        <f>SUMIFS(SalesDetail[Quantity (KG)],SalesDetail[Customer],$A222,SalesDetail[Year],2019)</f>
        <v>85</v>
      </c>
      <c r="M222" s="5">
        <f>SUMIFS(SalesDetail[Quantity (KG)],SalesDetail[Customer],$A222,SalesDetail[Year],2020)</f>
        <v>98</v>
      </c>
      <c r="N222" s="5">
        <f>SUMIFS(SalesDetail[Quantity (KG)],SalesDetail[Customer],$A222,SalesDetail[Year],2021)</f>
        <v>15</v>
      </c>
      <c r="O222" s="6">
        <f>SUM(B222:N222)</f>
        <v>246</v>
      </c>
    </row>
    <row r="223" spans="1:15" x14ac:dyDescent="0.3">
      <c r="A223" t="s">
        <v>1898</v>
      </c>
      <c r="B223" s="5">
        <f>SUMIFS(SalesDetail[Quantity (KG)],SalesDetail[Customer],$A223,SalesDetail[Year],2009)</f>
        <v>0</v>
      </c>
      <c r="C223" s="5">
        <f>SUMIFS(SalesDetail[Quantity (KG)],SalesDetail[Customer],$A223,SalesDetail[Year],2010)</f>
        <v>0</v>
      </c>
      <c r="D223" s="5">
        <f>SUMIFS(SalesDetail[Quantity (KG)],SalesDetail[Customer],$A223,SalesDetail[Year],2011)</f>
        <v>0</v>
      </c>
      <c r="E223" s="5">
        <f>SUMIFS(SalesDetail[Quantity (KG)],SalesDetail[Customer],$A223,SalesDetail[Year],2012)</f>
        <v>0</v>
      </c>
      <c r="F223" s="5">
        <f>SUMIFS(SalesDetail[Quantity (KG)],SalesDetail[Customer],$A223,SalesDetail[Year],2013)</f>
        <v>0</v>
      </c>
      <c r="G223" s="5">
        <f>SUMIFS(SalesDetail[Quantity (KG)],SalesDetail[Customer],$A223,SalesDetail[Year],2014)</f>
        <v>0</v>
      </c>
      <c r="H223" s="5">
        <f>SUMIFS(SalesDetail[Quantity (KG)],SalesDetail[Customer],$A223,SalesDetail[Year],2015)</f>
        <v>0</v>
      </c>
      <c r="I223" s="5">
        <f>SUMIFS(SalesDetail[Quantity (KG)],SalesDetail[Customer],$A223,SalesDetail[Year],2016)</f>
        <v>85</v>
      </c>
      <c r="J223" s="5">
        <f>SUMIFS(SalesDetail[Quantity (KG)],SalesDetail[Customer],$A223,SalesDetail[Year],2017)</f>
        <v>90</v>
      </c>
      <c r="K223" s="5">
        <f>SUMIFS(SalesDetail[Quantity (KG)],SalesDetail[Customer],$A223,SalesDetail[Year],2018)</f>
        <v>60</v>
      </c>
      <c r="L223" s="5">
        <f>SUMIFS(SalesDetail[Quantity (KG)],SalesDetail[Customer],$A223,SalesDetail[Year],2019)</f>
        <v>10</v>
      </c>
      <c r="M223" s="5">
        <f>SUMIFS(SalesDetail[Quantity (KG)],SalesDetail[Customer],$A223,SalesDetail[Year],2020)</f>
        <v>0</v>
      </c>
      <c r="N223" s="5">
        <f>SUMIFS(SalesDetail[Quantity (KG)],SalesDetail[Customer],$A223,SalesDetail[Year],2021)</f>
        <v>0</v>
      </c>
      <c r="O223" s="6">
        <f>SUM(B223:N223)</f>
        <v>245</v>
      </c>
    </row>
    <row r="224" spans="1:15" x14ac:dyDescent="0.3">
      <c r="A224" t="s">
        <v>794</v>
      </c>
      <c r="B224" s="5">
        <f>SUMIFS(SalesDetail[Quantity (KG)],SalesDetail[Customer],$A224,SalesDetail[Year],2009)</f>
        <v>0</v>
      </c>
      <c r="C224" s="5">
        <f>SUMIFS(SalesDetail[Quantity (KG)],SalesDetail[Customer],$A224,SalesDetail[Year],2010)</f>
        <v>65</v>
      </c>
      <c r="D224" s="5">
        <f>SUMIFS(SalesDetail[Quantity (KG)],SalesDetail[Customer],$A224,SalesDetail[Year],2011)</f>
        <v>173.2</v>
      </c>
      <c r="E224" s="5">
        <f>SUMIFS(SalesDetail[Quantity (KG)],SalesDetail[Customer],$A224,SalesDetail[Year],2012)</f>
        <v>0</v>
      </c>
      <c r="F224" s="5">
        <f>SUMIFS(SalesDetail[Quantity (KG)],SalesDetail[Customer],$A224,SalesDetail[Year],2013)</f>
        <v>0</v>
      </c>
      <c r="G224" s="5">
        <f>SUMIFS(SalesDetail[Quantity (KG)],SalesDetail[Customer],$A224,SalesDetail[Year],2014)</f>
        <v>0</v>
      </c>
      <c r="H224" s="5">
        <f>SUMIFS(SalesDetail[Quantity (KG)],SalesDetail[Customer],$A224,SalesDetail[Year],2015)</f>
        <v>0</v>
      </c>
      <c r="I224" s="5">
        <f>SUMIFS(SalesDetail[Quantity (KG)],SalesDetail[Customer],$A224,SalesDetail[Year],2016)</f>
        <v>0</v>
      </c>
      <c r="J224" s="5">
        <f>SUMIFS(SalesDetail[Quantity (KG)],SalesDetail[Customer],$A224,SalesDetail[Year],2017)</f>
        <v>0</v>
      </c>
      <c r="K224" s="5">
        <f>SUMIFS(SalesDetail[Quantity (KG)],SalesDetail[Customer],$A224,SalesDetail[Year],2018)</f>
        <v>0</v>
      </c>
      <c r="L224" s="5">
        <f>SUMIFS(SalesDetail[Quantity (KG)],SalesDetail[Customer],$A224,SalesDetail[Year],2019)</f>
        <v>0</v>
      </c>
      <c r="M224" s="5">
        <f>SUMIFS(SalesDetail[Quantity (KG)],SalesDetail[Customer],$A224,SalesDetail[Year],2020)</f>
        <v>0</v>
      </c>
      <c r="N224" s="5">
        <f>SUMIFS(SalesDetail[Quantity (KG)],SalesDetail[Customer],$A224,SalesDetail[Year],2021)</f>
        <v>0</v>
      </c>
      <c r="O224" s="6">
        <f>SUM(B224:N224)</f>
        <v>238.2</v>
      </c>
    </row>
    <row r="225" spans="1:15" x14ac:dyDescent="0.3">
      <c r="A225" t="s">
        <v>1746</v>
      </c>
      <c r="B225" s="5">
        <f>SUMIFS(SalesDetail[Quantity (KG)],SalesDetail[Customer],$A225,SalesDetail[Year],2009)</f>
        <v>0</v>
      </c>
      <c r="C225" s="5">
        <f>SUMIFS(SalesDetail[Quantity (KG)],SalesDetail[Customer],$A225,SalesDetail[Year],2010)</f>
        <v>0</v>
      </c>
      <c r="D225" s="5">
        <f>SUMIFS(SalesDetail[Quantity (KG)],SalesDetail[Customer],$A225,SalesDetail[Year],2011)</f>
        <v>0</v>
      </c>
      <c r="E225" s="5">
        <f>SUMIFS(SalesDetail[Quantity (KG)],SalesDetail[Customer],$A225,SalesDetail[Year],2012)</f>
        <v>0</v>
      </c>
      <c r="F225" s="5">
        <f>SUMIFS(SalesDetail[Quantity (KG)],SalesDetail[Customer],$A225,SalesDetail[Year],2013)</f>
        <v>0</v>
      </c>
      <c r="G225" s="5">
        <f>SUMIFS(SalesDetail[Quantity (KG)],SalesDetail[Customer],$A225,SalesDetail[Year],2014)</f>
        <v>0</v>
      </c>
      <c r="H225" s="5">
        <f>SUMIFS(SalesDetail[Quantity (KG)],SalesDetail[Customer],$A225,SalesDetail[Year],2015)</f>
        <v>0</v>
      </c>
      <c r="I225" s="5">
        <f>SUMIFS(SalesDetail[Quantity (KG)],SalesDetail[Customer],$A225,SalesDetail[Year],2016)</f>
        <v>0</v>
      </c>
      <c r="J225" s="5">
        <f>SUMIFS(SalesDetail[Quantity (KG)],SalesDetail[Customer],$A225,SalesDetail[Year],2017)</f>
        <v>0</v>
      </c>
      <c r="K225" s="5">
        <f>SUMIFS(SalesDetail[Quantity (KG)],SalesDetail[Customer],$A225,SalesDetail[Year],2018)</f>
        <v>0</v>
      </c>
      <c r="L225" s="5">
        <f>SUMIFS(SalesDetail[Quantity (KG)],SalesDetail[Customer],$A225,SalesDetail[Year],2019)</f>
        <v>0</v>
      </c>
      <c r="M225" s="5">
        <f>SUMIFS(SalesDetail[Quantity (KG)],SalesDetail[Customer],$A225,SalesDetail[Year],2020)</f>
        <v>24</v>
      </c>
      <c r="N225" s="5">
        <f>SUMIFS(SalesDetail[Quantity (KG)],SalesDetail[Customer],$A225,SalesDetail[Year],2021)</f>
        <v>212</v>
      </c>
      <c r="O225" s="6">
        <f>SUM(B225:N225)</f>
        <v>236</v>
      </c>
    </row>
    <row r="226" spans="1:15" x14ac:dyDescent="0.3">
      <c r="A226" t="s">
        <v>2414</v>
      </c>
      <c r="B226" s="5">
        <f>SUMIFS(SalesDetail[Quantity (KG)],SalesDetail[Customer],$A226,SalesDetail[Year],2009)</f>
        <v>0</v>
      </c>
      <c r="C226" s="5">
        <f>SUMIFS(SalesDetail[Quantity (KG)],SalesDetail[Customer],$A226,SalesDetail[Year],2010)</f>
        <v>0</v>
      </c>
      <c r="D226" s="5">
        <f>SUMIFS(SalesDetail[Quantity (KG)],SalesDetail[Customer],$A226,SalesDetail[Year],2011)</f>
        <v>0</v>
      </c>
      <c r="E226" s="5">
        <f>SUMIFS(SalesDetail[Quantity (KG)],SalesDetail[Customer],$A226,SalesDetail[Year],2012)</f>
        <v>0</v>
      </c>
      <c r="F226" s="5">
        <f>SUMIFS(SalesDetail[Quantity (KG)],SalesDetail[Customer],$A226,SalesDetail[Year],2013)</f>
        <v>0</v>
      </c>
      <c r="G226" s="5">
        <f>SUMIFS(SalesDetail[Quantity (KG)],SalesDetail[Customer],$A226,SalesDetail[Year],2014)</f>
        <v>34</v>
      </c>
      <c r="H226" s="5">
        <f>SUMIFS(SalesDetail[Quantity (KG)],SalesDetail[Customer],$A226,SalesDetail[Year],2015)</f>
        <v>75</v>
      </c>
      <c r="I226" s="5">
        <f>SUMIFS(SalesDetail[Quantity (KG)],SalesDetail[Customer],$A226,SalesDetail[Year],2016)</f>
        <v>25</v>
      </c>
      <c r="J226" s="5">
        <f>SUMIFS(SalesDetail[Quantity (KG)],SalesDetail[Customer],$A226,SalesDetail[Year],2017)</f>
        <v>100</v>
      </c>
      <c r="K226" s="5">
        <f>SUMIFS(SalesDetail[Quantity (KG)],SalesDetail[Customer],$A226,SalesDetail[Year],2018)</f>
        <v>0</v>
      </c>
      <c r="L226" s="5">
        <f>SUMIFS(SalesDetail[Quantity (KG)],SalesDetail[Customer],$A226,SalesDetail[Year],2019)</f>
        <v>0</v>
      </c>
      <c r="M226" s="5">
        <f>SUMIFS(SalesDetail[Quantity (KG)],SalesDetail[Customer],$A226,SalesDetail[Year],2020)</f>
        <v>0</v>
      </c>
      <c r="N226" s="5">
        <f>SUMIFS(SalesDetail[Quantity (KG)],SalesDetail[Customer],$A226,SalesDetail[Year],2021)</f>
        <v>0</v>
      </c>
      <c r="O226" s="6">
        <f>SUM(B226:N226)</f>
        <v>234</v>
      </c>
    </row>
    <row r="227" spans="1:15" x14ac:dyDescent="0.3">
      <c r="A227" t="s">
        <v>585</v>
      </c>
      <c r="B227" s="5">
        <f>SUMIFS(SalesDetail[Quantity (KG)],SalesDetail[Customer],$A227,SalesDetail[Year],2009)</f>
        <v>0</v>
      </c>
      <c r="C227" s="5">
        <f>SUMIFS(SalesDetail[Quantity (KG)],SalesDetail[Customer],$A227,SalesDetail[Year],2010)</f>
        <v>0</v>
      </c>
      <c r="D227" s="5">
        <f>SUMIFS(SalesDetail[Quantity (KG)],SalesDetail[Customer],$A227,SalesDetail[Year],2011)</f>
        <v>0</v>
      </c>
      <c r="E227" s="5">
        <f>SUMIFS(SalesDetail[Quantity (KG)],SalesDetail[Customer],$A227,SalesDetail[Year],2012)</f>
        <v>0</v>
      </c>
      <c r="F227" s="5">
        <f>SUMIFS(SalesDetail[Quantity (KG)],SalesDetail[Customer],$A227,SalesDetail[Year],2013)</f>
        <v>0</v>
      </c>
      <c r="G227" s="5">
        <f>SUMIFS(SalesDetail[Quantity (KG)],SalesDetail[Customer],$A227,SalesDetail[Year],2014)</f>
        <v>0</v>
      </c>
      <c r="H227" s="5">
        <f>SUMIFS(SalesDetail[Quantity (KG)],SalesDetail[Customer],$A227,SalesDetail[Year],2015)</f>
        <v>0</v>
      </c>
      <c r="I227" s="5">
        <f>SUMIFS(SalesDetail[Quantity (KG)],SalesDetail[Customer],$A227,SalesDetail[Year],2016)</f>
        <v>0</v>
      </c>
      <c r="J227" s="5">
        <f>SUMIFS(SalesDetail[Quantity (KG)],SalesDetail[Customer],$A227,SalesDetail[Year],2017)</f>
        <v>0</v>
      </c>
      <c r="K227" s="5">
        <f>SUMIFS(SalesDetail[Quantity (KG)],SalesDetail[Customer],$A227,SalesDetail[Year],2018)</f>
        <v>0</v>
      </c>
      <c r="L227" s="5">
        <f>SUMIFS(SalesDetail[Quantity (KG)],SalesDetail[Customer],$A227,SalesDetail[Year],2019)</f>
        <v>94</v>
      </c>
      <c r="M227" s="5">
        <f>SUMIFS(SalesDetail[Quantity (KG)],SalesDetail[Customer],$A227,SalesDetail[Year],2020)</f>
        <v>35</v>
      </c>
      <c r="N227" s="5">
        <f>SUMIFS(SalesDetail[Quantity (KG)],SalesDetail[Customer],$A227,SalesDetail[Year],2021)</f>
        <v>98</v>
      </c>
      <c r="O227" s="6">
        <f>SUM(B227:N227)</f>
        <v>227</v>
      </c>
    </row>
    <row r="228" spans="1:15" x14ac:dyDescent="0.3">
      <c r="A228" t="s">
        <v>1926</v>
      </c>
      <c r="B228" s="5">
        <f>SUMIFS(SalesDetail[Quantity (KG)],SalesDetail[Customer],$A228,SalesDetail[Year],2009)</f>
        <v>0</v>
      </c>
      <c r="C228" s="5">
        <f>SUMIFS(SalesDetail[Quantity (KG)],SalesDetail[Customer],$A228,SalesDetail[Year],2010)</f>
        <v>0</v>
      </c>
      <c r="D228" s="5">
        <f>SUMIFS(SalesDetail[Quantity (KG)],SalesDetail[Customer],$A228,SalesDetail[Year],2011)</f>
        <v>0</v>
      </c>
      <c r="E228" s="5">
        <f>SUMIFS(SalesDetail[Quantity (KG)],SalesDetail[Customer],$A228,SalesDetail[Year],2012)</f>
        <v>0</v>
      </c>
      <c r="F228" s="5">
        <f>SUMIFS(SalesDetail[Quantity (KG)],SalesDetail[Customer],$A228,SalesDetail[Year],2013)</f>
        <v>0</v>
      </c>
      <c r="G228" s="5">
        <f>SUMIFS(SalesDetail[Quantity (KG)],SalesDetail[Customer],$A228,SalesDetail[Year],2014)</f>
        <v>0</v>
      </c>
      <c r="H228" s="5">
        <f>SUMIFS(SalesDetail[Quantity (KG)],SalesDetail[Customer],$A228,SalesDetail[Year],2015)</f>
        <v>0</v>
      </c>
      <c r="I228" s="5">
        <f>SUMIFS(SalesDetail[Quantity (KG)],SalesDetail[Customer],$A228,SalesDetail[Year],2016)</f>
        <v>0</v>
      </c>
      <c r="J228" s="5">
        <f>SUMIFS(SalesDetail[Quantity (KG)],SalesDetail[Customer],$A228,SalesDetail[Year],2017)</f>
        <v>0</v>
      </c>
      <c r="K228" s="5">
        <f>SUMIFS(SalesDetail[Quantity (KG)],SalesDetail[Customer],$A228,SalesDetail[Year],2018)</f>
        <v>0</v>
      </c>
      <c r="L228" s="5">
        <f>SUMIFS(SalesDetail[Quantity (KG)],SalesDetail[Customer],$A228,SalesDetail[Year],2019)</f>
        <v>0</v>
      </c>
      <c r="M228" s="5">
        <f>SUMIFS(SalesDetail[Quantity (KG)],SalesDetail[Customer],$A228,SalesDetail[Year],2020)</f>
        <v>88</v>
      </c>
      <c r="N228" s="5">
        <f>SUMIFS(SalesDetail[Quantity (KG)],SalesDetail[Customer],$A228,SalesDetail[Year],2021)</f>
        <v>138</v>
      </c>
      <c r="O228" s="6">
        <f>SUM(B228:N228)</f>
        <v>226</v>
      </c>
    </row>
    <row r="229" spans="1:15" x14ac:dyDescent="0.3">
      <c r="A229" t="s">
        <v>2328</v>
      </c>
      <c r="B229" s="5">
        <f>SUMIFS(SalesDetail[Quantity (KG)],SalesDetail[Customer],$A229,SalesDetail[Year],2009)</f>
        <v>0</v>
      </c>
      <c r="C229" s="5">
        <f>SUMIFS(SalesDetail[Quantity (KG)],SalesDetail[Customer],$A229,SalesDetail[Year],2010)</f>
        <v>0</v>
      </c>
      <c r="D229" s="5">
        <f>SUMIFS(SalesDetail[Quantity (KG)],SalesDetail[Customer],$A229,SalesDetail[Year],2011)</f>
        <v>0</v>
      </c>
      <c r="E229" s="5">
        <f>SUMIFS(SalesDetail[Quantity (KG)],SalesDetail[Customer],$A229,SalesDetail[Year],2012)</f>
        <v>0</v>
      </c>
      <c r="F229" s="5">
        <f>SUMIFS(SalesDetail[Quantity (KG)],SalesDetail[Customer],$A229,SalesDetail[Year],2013)</f>
        <v>0</v>
      </c>
      <c r="G229" s="5">
        <f>SUMIFS(SalesDetail[Quantity (KG)],SalesDetail[Customer],$A229,SalesDetail[Year],2014)</f>
        <v>0</v>
      </c>
      <c r="H229" s="5">
        <f>SUMIFS(SalesDetail[Quantity (KG)],SalesDetail[Customer],$A229,SalesDetail[Year],2015)</f>
        <v>0</v>
      </c>
      <c r="I229" s="5">
        <f>SUMIFS(SalesDetail[Quantity (KG)],SalesDetail[Customer],$A229,SalesDetail[Year],2016)</f>
        <v>65</v>
      </c>
      <c r="J229" s="5">
        <f>SUMIFS(SalesDetail[Quantity (KG)],SalesDetail[Customer],$A229,SalesDetail[Year],2017)</f>
        <v>85</v>
      </c>
      <c r="K229" s="5">
        <f>SUMIFS(SalesDetail[Quantity (KG)],SalesDetail[Customer],$A229,SalesDetail[Year],2018)</f>
        <v>59</v>
      </c>
      <c r="L229" s="5">
        <f>SUMIFS(SalesDetail[Quantity (KG)],SalesDetail[Customer],$A229,SalesDetail[Year],2019)</f>
        <v>17</v>
      </c>
      <c r="M229" s="5">
        <f>SUMIFS(SalesDetail[Quantity (KG)],SalesDetail[Customer],$A229,SalesDetail[Year],2020)</f>
        <v>0</v>
      </c>
      <c r="N229" s="5">
        <f>SUMIFS(SalesDetail[Quantity (KG)],SalesDetail[Customer],$A229,SalesDetail[Year],2021)</f>
        <v>0</v>
      </c>
      <c r="O229" s="6">
        <f>SUM(B229:N229)</f>
        <v>226</v>
      </c>
    </row>
    <row r="230" spans="1:15" x14ac:dyDescent="0.3">
      <c r="A230" t="s">
        <v>987</v>
      </c>
      <c r="B230" s="5">
        <f>SUMIFS(SalesDetail[Quantity (KG)],SalesDetail[Customer],$A230,SalesDetail[Year],2009)</f>
        <v>0</v>
      </c>
      <c r="C230" s="5">
        <f>SUMIFS(SalesDetail[Quantity (KG)],SalesDetail[Customer],$A230,SalesDetail[Year],2010)</f>
        <v>215</v>
      </c>
      <c r="D230" s="5">
        <f>SUMIFS(SalesDetail[Quantity (KG)],SalesDetail[Customer],$A230,SalesDetail[Year],2011)</f>
        <v>10</v>
      </c>
      <c r="E230" s="5">
        <f>SUMIFS(SalesDetail[Quantity (KG)],SalesDetail[Customer],$A230,SalesDetail[Year],2012)</f>
        <v>0</v>
      </c>
      <c r="F230" s="5">
        <f>SUMIFS(SalesDetail[Quantity (KG)],SalesDetail[Customer],$A230,SalesDetail[Year],2013)</f>
        <v>0</v>
      </c>
      <c r="G230" s="5">
        <f>SUMIFS(SalesDetail[Quantity (KG)],SalesDetail[Customer],$A230,SalesDetail[Year],2014)</f>
        <v>0</v>
      </c>
      <c r="H230" s="5">
        <f>SUMIFS(SalesDetail[Quantity (KG)],SalesDetail[Customer],$A230,SalesDetail[Year],2015)</f>
        <v>0</v>
      </c>
      <c r="I230" s="5">
        <f>SUMIFS(SalesDetail[Quantity (KG)],SalesDetail[Customer],$A230,SalesDetail[Year],2016)</f>
        <v>0</v>
      </c>
      <c r="J230" s="5">
        <f>SUMIFS(SalesDetail[Quantity (KG)],SalesDetail[Customer],$A230,SalesDetail[Year],2017)</f>
        <v>0</v>
      </c>
      <c r="K230" s="5">
        <f>SUMIFS(SalesDetail[Quantity (KG)],SalesDetail[Customer],$A230,SalesDetail[Year],2018)</f>
        <v>0</v>
      </c>
      <c r="L230" s="5">
        <f>SUMIFS(SalesDetail[Quantity (KG)],SalesDetail[Customer],$A230,SalesDetail[Year],2019)</f>
        <v>0</v>
      </c>
      <c r="M230" s="5">
        <f>SUMIFS(SalesDetail[Quantity (KG)],SalesDetail[Customer],$A230,SalesDetail[Year],2020)</f>
        <v>0</v>
      </c>
      <c r="N230" s="5">
        <f>SUMIFS(SalesDetail[Quantity (KG)],SalesDetail[Customer],$A230,SalesDetail[Year],2021)</f>
        <v>0</v>
      </c>
      <c r="O230" s="6">
        <f>SUM(B230:N230)</f>
        <v>225</v>
      </c>
    </row>
    <row r="231" spans="1:15" x14ac:dyDescent="0.3">
      <c r="A231" t="s">
        <v>1954</v>
      </c>
      <c r="B231" s="5">
        <f>SUMIFS(SalesDetail[Quantity (KG)],SalesDetail[Customer],$A231,SalesDetail[Year],2009)</f>
        <v>0</v>
      </c>
      <c r="C231" s="5">
        <f>SUMIFS(SalesDetail[Quantity (KG)],SalesDetail[Customer],$A231,SalesDetail[Year],2010)</f>
        <v>0</v>
      </c>
      <c r="D231" s="5">
        <f>SUMIFS(SalesDetail[Quantity (KG)],SalesDetail[Customer],$A231,SalesDetail[Year],2011)</f>
        <v>0</v>
      </c>
      <c r="E231" s="5">
        <f>SUMIFS(SalesDetail[Quantity (KG)],SalesDetail[Customer],$A231,SalesDetail[Year],2012)</f>
        <v>0</v>
      </c>
      <c r="F231" s="5">
        <f>SUMIFS(SalesDetail[Quantity (KG)],SalesDetail[Customer],$A231,SalesDetail[Year],2013)</f>
        <v>0</v>
      </c>
      <c r="G231" s="5">
        <f>SUMIFS(SalesDetail[Quantity (KG)],SalesDetail[Customer],$A231,SalesDetail[Year],2014)</f>
        <v>0</v>
      </c>
      <c r="H231" s="5">
        <f>SUMIFS(SalesDetail[Quantity (KG)],SalesDetail[Customer],$A231,SalesDetail[Year],2015)</f>
        <v>0</v>
      </c>
      <c r="I231" s="5">
        <f>SUMIFS(SalesDetail[Quantity (KG)],SalesDetail[Customer],$A231,SalesDetail[Year],2016)</f>
        <v>0</v>
      </c>
      <c r="J231" s="5">
        <f>SUMIFS(SalesDetail[Quantity (KG)],SalesDetail[Customer],$A231,SalesDetail[Year],2017)</f>
        <v>0</v>
      </c>
      <c r="K231" s="5">
        <f>SUMIFS(SalesDetail[Quantity (KG)],SalesDetail[Customer],$A231,SalesDetail[Year],2018)</f>
        <v>0</v>
      </c>
      <c r="L231" s="5">
        <f>SUMIFS(SalesDetail[Quantity (KG)],SalesDetail[Customer],$A231,SalesDetail[Year],2019)</f>
        <v>0</v>
      </c>
      <c r="M231" s="5">
        <f>SUMIFS(SalesDetail[Quantity (KG)],SalesDetail[Customer],$A231,SalesDetail[Year],2020)</f>
        <v>0</v>
      </c>
      <c r="N231" s="5">
        <f>SUMIFS(SalesDetail[Quantity (KG)],SalesDetail[Customer],$A231,SalesDetail[Year],2021)</f>
        <v>225</v>
      </c>
      <c r="O231" s="6">
        <f>SUM(B231:N231)</f>
        <v>225</v>
      </c>
    </row>
    <row r="232" spans="1:15" x14ac:dyDescent="0.3">
      <c r="A232" t="s">
        <v>2310</v>
      </c>
      <c r="B232" s="5">
        <f>SUMIFS(SalesDetail[Quantity (KG)],SalesDetail[Customer],$A232,SalesDetail[Year],2009)</f>
        <v>0</v>
      </c>
      <c r="C232" s="5">
        <f>SUMIFS(SalesDetail[Quantity (KG)],SalesDetail[Customer],$A232,SalesDetail[Year],2010)</f>
        <v>0</v>
      </c>
      <c r="D232" s="5">
        <f>SUMIFS(SalesDetail[Quantity (KG)],SalesDetail[Customer],$A232,SalesDetail[Year],2011)</f>
        <v>0</v>
      </c>
      <c r="E232" s="5">
        <f>SUMIFS(SalesDetail[Quantity (KG)],SalesDetail[Customer],$A232,SalesDetail[Year],2012)</f>
        <v>0</v>
      </c>
      <c r="F232" s="5">
        <f>SUMIFS(SalesDetail[Quantity (KG)],SalesDetail[Customer],$A232,SalesDetail[Year],2013)</f>
        <v>0</v>
      </c>
      <c r="G232" s="5">
        <f>SUMIFS(SalesDetail[Quantity (KG)],SalesDetail[Customer],$A232,SalesDetail[Year],2014)</f>
        <v>0</v>
      </c>
      <c r="H232" s="5">
        <f>SUMIFS(SalesDetail[Quantity (KG)],SalesDetail[Customer],$A232,SalesDetail[Year],2015)</f>
        <v>0</v>
      </c>
      <c r="I232" s="5">
        <f>SUMIFS(SalesDetail[Quantity (KG)],SalesDetail[Customer],$A232,SalesDetail[Year],2016)</f>
        <v>0</v>
      </c>
      <c r="J232" s="5">
        <f>SUMIFS(SalesDetail[Quantity (KG)],SalesDetail[Customer],$A232,SalesDetail[Year],2017)</f>
        <v>0</v>
      </c>
      <c r="K232" s="5">
        <f>SUMIFS(SalesDetail[Quantity (KG)],SalesDetail[Customer],$A232,SalesDetail[Year],2018)</f>
        <v>0</v>
      </c>
      <c r="L232" s="5">
        <f>SUMIFS(SalesDetail[Quantity (KG)],SalesDetail[Customer],$A232,SalesDetail[Year],2019)</f>
        <v>0</v>
      </c>
      <c r="M232" s="5">
        <f>SUMIFS(SalesDetail[Quantity (KG)],SalesDetail[Customer],$A232,SalesDetail[Year],2020)</f>
        <v>50</v>
      </c>
      <c r="N232" s="5">
        <f>SUMIFS(SalesDetail[Quantity (KG)],SalesDetail[Customer],$A232,SalesDetail[Year],2021)</f>
        <v>172</v>
      </c>
      <c r="O232" s="6">
        <f>SUM(B232:N232)</f>
        <v>222</v>
      </c>
    </row>
    <row r="233" spans="1:15" x14ac:dyDescent="0.3">
      <c r="A233" t="s">
        <v>2471</v>
      </c>
      <c r="B233" s="5">
        <f>SUMIFS(SalesDetail[Quantity (KG)],SalesDetail[Customer],$A233,SalesDetail[Year],2009)</f>
        <v>10</v>
      </c>
      <c r="C233" s="5">
        <f>SUMIFS(SalesDetail[Quantity (KG)],SalesDetail[Customer],$A233,SalesDetail[Year],2010)</f>
        <v>0</v>
      </c>
      <c r="D233" s="5">
        <f>SUMIFS(SalesDetail[Quantity (KG)],SalesDetail[Customer],$A233,SalesDetail[Year],2011)</f>
        <v>0</v>
      </c>
      <c r="E233" s="5">
        <f>SUMIFS(SalesDetail[Quantity (KG)],SalesDetail[Customer],$A233,SalesDetail[Year],2012)</f>
        <v>0</v>
      </c>
      <c r="F233" s="5">
        <f>SUMIFS(SalesDetail[Quantity (KG)],SalesDetail[Customer],$A233,SalesDetail[Year],2013)</f>
        <v>0</v>
      </c>
      <c r="G233" s="5">
        <f>SUMIFS(SalesDetail[Quantity (KG)],SalesDetail[Customer],$A233,SalesDetail[Year],2014)</f>
        <v>0</v>
      </c>
      <c r="H233" s="5">
        <f>SUMIFS(SalesDetail[Quantity (KG)],SalesDetail[Customer],$A233,SalesDetail[Year],2015)</f>
        <v>25</v>
      </c>
      <c r="I233" s="5">
        <f>SUMIFS(SalesDetail[Quantity (KG)],SalesDetail[Customer],$A233,SalesDetail[Year],2016)</f>
        <v>60</v>
      </c>
      <c r="J233" s="5">
        <f>SUMIFS(SalesDetail[Quantity (KG)],SalesDetail[Customer],$A233,SalesDetail[Year],2017)</f>
        <v>105</v>
      </c>
      <c r="K233" s="5">
        <f>SUMIFS(SalesDetail[Quantity (KG)],SalesDetail[Customer],$A233,SalesDetail[Year],2018)</f>
        <v>20</v>
      </c>
      <c r="L233" s="5">
        <f>SUMIFS(SalesDetail[Quantity (KG)],SalesDetail[Customer],$A233,SalesDetail[Year],2019)</f>
        <v>0</v>
      </c>
      <c r="M233" s="5">
        <f>SUMIFS(SalesDetail[Quantity (KG)],SalesDetail[Customer],$A233,SalesDetail[Year],2020)</f>
        <v>2</v>
      </c>
      <c r="N233" s="5">
        <f>SUMIFS(SalesDetail[Quantity (KG)],SalesDetail[Customer],$A233,SalesDetail[Year],2021)</f>
        <v>0</v>
      </c>
      <c r="O233" s="6">
        <f>SUM(B233:N233)</f>
        <v>222</v>
      </c>
    </row>
    <row r="234" spans="1:15" x14ac:dyDescent="0.3">
      <c r="A234" t="s">
        <v>1683</v>
      </c>
      <c r="B234" s="5">
        <f>SUMIFS(SalesDetail[Quantity (KG)],SalesDetail[Customer],$A234,SalesDetail[Year],2009)</f>
        <v>0</v>
      </c>
      <c r="C234" s="5">
        <f>SUMIFS(SalesDetail[Quantity (KG)],SalesDetail[Customer],$A234,SalesDetail[Year],2010)</f>
        <v>0</v>
      </c>
      <c r="D234" s="5">
        <f>SUMIFS(SalesDetail[Quantity (KG)],SalesDetail[Customer],$A234,SalesDetail[Year],2011)</f>
        <v>0</v>
      </c>
      <c r="E234" s="5">
        <f>SUMIFS(SalesDetail[Quantity (KG)],SalesDetail[Customer],$A234,SalesDetail[Year],2012)</f>
        <v>0</v>
      </c>
      <c r="F234" s="5">
        <f>SUMIFS(SalesDetail[Quantity (KG)],SalesDetail[Customer],$A234,SalesDetail[Year],2013)</f>
        <v>0</v>
      </c>
      <c r="G234" s="5">
        <f>SUMIFS(SalesDetail[Quantity (KG)],SalesDetail[Customer],$A234,SalesDetail[Year],2014)</f>
        <v>0</v>
      </c>
      <c r="H234" s="5">
        <f>SUMIFS(SalesDetail[Quantity (KG)],SalesDetail[Customer],$A234,SalesDetail[Year],2015)</f>
        <v>0</v>
      </c>
      <c r="I234" s="5">
        <f>SUMIFS(SalesDetail[Quantity (KG)],SalesDetail[Customer],$A234,SalesDetail[Year],2016)</f>
        <v>0</v>
      </c>
      <c r="J234" s="5">
        <f>SUMIFS(SalesDetail[Quantity (KG)],SalesDetail[Customer],$A234,SalesDetail[Year],2017)</f>
        <v>0</v>
      </c>
      <c r="K234" s="5">
        <f>SUMIFS(SalesDetail[Quantity (KG)],SalesDetail[Customer],$A234,SalesDetail[Year],2018)</f>
        <v>0</v>
      </c>
      <c r="L234" s="5">
        <f>SUMIFS(SalesDetail[Quantity (KG)],SalesDetail[Customer],$A234,SalesDetail[Year],2019)</f>
        <v>0</v>
      </c>
      <c r="M234" s="5">
        <f>SUMIFS(SalesDetail[Quantity (KG)],SalesDetail[Customer],$A234,SalesDetail[Year],2020)</f>
        <v>0</v>
      </c>
      <c r="N234" s="5">
        <f>SUMIFS(SalesDetail[Quantity (KG)],SalesDetail[Customer],$A234,SalesDetail[Year],2021)</f>
        <v>220</v>
      </c>
      <c r="O234" s="6">
        <f>SUM(B234:N234)</f>
        <v>220</v>
      </c>
    </row>
    <row r="235" spans="1:15" x14ac:dyDescent="0.3">
      <c r="A235" t="s">
        <v>2514</v>
      </c>
      <c r="B235" s="5">
        <f>SUMIFS(SalesDetail[Quantity (KG)],SalesDetail[Customer],$A235,SalesDetail[Year],2009)</f>
        <v>0</v>
      </c>
      <c r="C235" s="5">
        <f>SUMIFS(SalesDetail[Quantity (KG)],SalesDetail[Customer],$A235,SalesDetail[Year],2010)</f>
        <v>0</v>
      </c>
      <c r="D235" s="5">
        <f>SUMIFS(SalesDetail[Quantity (KG)],SalesDetail[Customer],$A235,SalesDetail[Year],2011)</f>
        <v>0</v>
      </c>
      <c r="E235" s="5">
        <f>SUMIFS(SalesDetail[Quantity (KG)],SalesDetail[Customer],$A235,SalesDetail[Year],2012)</f>
        <v>0</v>
      </c>
      <c r="F235" s="5">
        <f>SUMIFS(SalesDetail[Quantity (KG)],SalesDetail[Customer],$A235,SalesDetail[Year],2013)</f>
        <v>0</v>
      </c>
      <c r="G235" s="5">
        <f>SUMIFS(SalesDetail[Quantity (KG)],SalesDetail[Customer],$A235,SalesDetail[Year],2014)</f>
        <v>0</v>
      </c>
      <c r="H235" s="5">
        <f>SUMIFS(SalesDetail[Quantity (KG)],SalesDetail[Customer],$A235,SalesDetail[Year],2015)</f>
        <v>0</v>
      </c>
      <c r="I235" s="5">
        <f>SUMIFS(SalesDetail[Quantity (KG)],SalesDetail[Customer],$A235,SalesDetail[Year],2016)</f>
        <v>0</v>
      </c>
      <c r="J235" s="5">
        <f>SUMIFS(SalesDetail[Quantity (KG)],SalesDetail[Customer],$A235,SalesDetail[Year],2017)</f>
        <v>0</v>
      </c>
      <c r="K235" s="5">
        <f>SUMIFS(SalesDetail[Quantity (KG)],SalesDetail[Customer],$A235,SalesDetail[Year],2018)</f>
        <v>0</v>
      </c>
      <c r="L235" s="5">
        <f>SUMIFS(SalesDetail[Quantity (KG)],SalesDetail[Customer],$A235,SalesDetail[Year],2019)</f>
        <v>30</v>
      </c>
      <c r="M235" s="5">
        <f>SUMIFS(SalesDetail[Quantity (KG)],SalesDetail[Customer],$A235,SalesDetail[Year],2020)</f>
        <v>166</v>
      </c>
      <c r="N235" s="5">
        <f>SUMIFS(SalesDetail[Quantity (KG)],SalesDetail[Customer],$A235,SalesDetail[Year],2021)</f>
        <v>23</v>
      </c>
      <c r="O235" s="6">
        <f>SUM(B235:N235)</f>
        <v>219</v>
      </c>
    </row>
    <row r="236" spans="1:15" x14ac:dyDescent="0.3">
      <c r="A236" t="s">
        <v>550</v>
      </c>
      <c r="B236" s="5">
        <f>SUMIFS(SalesDetail[Quantity (KG)],SalesDetail[Customer],$A236,SalesDetail[Year],2009)</f>
        <v>0</v>
      </c>
      <c r="C236" s="5">
        <f>SUMIFS(SalesDetail[Quantity (KG)],SalesDetail[Customer],$A236,SalesDetail[Year],2010)</f>
        <v>0</v>
      </c>
      <c r="D236" s="5">
        <f>SUMIFS(SalesDetail[Quantity (KG)],SalesDetail[Customer],$A236,SalesDetail[Year],2011)</f>
        <v>0</v>
      </c>
      <c r="E236" s="5">
        <f>SUMIFS(SalesDetail[Quantity (KG)],SalesDetail[Customer],$A236,SalesDetail[Year],2012)</f>
        <v>0</v>
      </c>
      <c r="F236" s="5">
        <f>SUMIFS(SalesDetail[Quantity (KG)],SalesDetail[Customer],$A236,SalesDetail[Year],2013)</f>
        <v>0</v>
      </c>
      <c r="G236" s="5">
        <f>SUMIFS(SalesDetail[Quantity (KG)],SalesDetail[Customer],$A236,SalesDetail[Year],2014)</f>
        <v>0</v>
      </c>
      <c r="H236" s="5">
        <f>SUMIFS(SalesDetail[Quantity (KG)],SalesDetail[Customer],$A236,SalesDetail[Year],2015)</f>
        <v>0</v>
      </c>
      <c r="I236" s="5">
        <f>SUMIFS(SalesDetail[Quantity (KG)],SalesDetail[Customer],$A236,SalesDetail[Year],2016)</f>
        <v>0</v>
      </c>
      <c r="J236" s="5">
        <f>SUMIFS(SalesDetail[Quantity (KG)],SalesDetail[Customer],$A236,SalesDetail[Year],2017)</f>
        <v>0</v>
      </c>
      <c r="K236" s="5">
        <f>SUMIFS(SalesDetail[Quantity (KG)],SalesDetail[Customer],$A236,SalesDetail[Year],2018)</f>
        <v>217</v>
      </c>
      <c r="L236" s="5">
        <f>SUMIFS(SalesDetail[Quantity (KG)],SalesDetail[Customer],$A236,SalesDetail[Year],2019)</f>
        <v>0</v>
      </c>
      <c r="M236" s="5">
        <f>SUMIFS(SalesDetail[Quantity (KG)],SalesDetail[Customer],$A236,SalesDetail[Year],2020)</f>
        <v>0</v>
      </c>
      <c r="N236" s="5">
        <f>SUMIFS(SalesDetail[Quantity (KG)],SalesDetail[Customer],$A236,SalesDetail[Year],2021)</f>
        <v>0</v>
      </c>
      <c r="O236" s="6">
        <f>SUM(B236:N236)</f>
        <v>217</v>
      </c>
    </row>
    <row r="237" spans="1:15" x14ac:dyDescent="0.3">
      <c r="A237" t="s">
        <v>1220</v>
      </c>
      <c r="B237" s="5">
        <f>SUMIFS(SalesDetail[Quantity (KG)],SalesDetail[Customer],$A237,SalesDetail[Year],2009)</f>
        <v>0</v>
      </c>
      <c r="C237" s="5">
        <f>SUMIFS(SalesDetail[Quantity (KG)],SalesDetail[Customer],$A237,SalesDetail[Year],2010)</f>
        <v>0</v>
      </c>
      <c r="D237" s="5">
        <f>SUMIFS(SalesDetail[Quantity (KG)],SalesDetail[Customer],$A237,SalesDetail[Year],2011)</f>
        <v>0</v>
      </c>
      <c r="E237" s="5">
        <f>SUMIFS(SalesDetail[Quantity (KG)],SalesDetail[Customer],$A237,SalesDetail[Year],2012)</f>
        <v>0</v>
      </c>
      <c r="F237" s="5">
        <f>SUMIFS(SalesDetail[Quantity (KG)],SalesDetail[Customer],$A237,SalesDetail[Year],2013)</f>
        <v>96</v>
      </c>
      <c r="G237" s="5">
        <f>SUMIFS(SalesDetail[Quantity (KG)],SalesDetail[Customer],$A237,SalesDetail[Year],2014)</f>
        <v>60</v>
      </c>
      <c r="H237" s="5">
        <f>SUMIFS(SalesDetail[Quantity (KG)],SalesDetail[Customer],$A237,SalesDetail[Year],2015)</f>
        <v>60</v>
      </c>
      <c r="I237" s="5">
        <f>SUMIFS(SalesDetail[Quantity (KG)],SalesDetail[Customer],$A237,SalesDetail[Year],2016)</f>
        <v>0</v>
      </c>
      <c r="J237" s="5">
        <f>SUMIFS(SalesDetail[Quantity (KG)],SalesDetail[Customer],$A237,SalesDetail[Year],2017)</f>
        <v>0</v>
      </c>
      <c r="K237" s="5">
        <f>SUMIFS(SalesDetail[Quantity (KG)],SalesDetail[Customer],$A237,SalesDetail[Year],2018)</f>
        <v>0</v>
      </c>
      <c r="L237" s="5">
        <f>SUMIFS(SalesDetail[Quantity (KG)],SalesDetail[Customer],$A237,SalesDetail[Year],2019)</f>
        <v>0</v>
      </c>
      <c r="M237" s="5">
        <f>SUMIFS(SalesDetail[Quantity (KG)],SalesDetail[Customer],$A237,SalesDetail[Year],2020)</f>
        <v>0</v>
      </c>
      <c r="N237" s="5">
        <f>SUMIFS(SalesDetail[Quantity (KG)],SalesDetail[Customer],$A237,SalesDetail[Year],2021)</f>
        <v>0</v>
      </c>
      <c r="O237" s="6">
        <f>SUM(B237:N237)</f>
        <v>216</v>
      </c>
    </row>
    <row r="238" spans="1:15" x14ac:dyDescent="0.3">
      <c r="A238" t="s">
        <v>2450</v>
      </c>
      <c r="B238" s="5">
        <f>SUMIFS(SalesDetail[Quantity (KG)],SalesDetail[Customer],$A238,SalesDetail[Year],2009)</f>
        <v>0</v>
      </c>
      <c r="C238" s="5">
        <f>SUMIFS(SalesDetail[Quantity (KG)],SalesDetail[Customer],$A238,SalesDetail[Year],2010)</f>
        <v>0</v>
      </c>
      <c r="D238" s="5">
        <f>SUMIFS(SalesDetail[Quantity (KG)],SalesDetail[Customer],$A238,SalesDetail[Year],2011)</f>
        <v>0</v>
      </c>
      <c r="E238" s="5">
        <f>SUMIFS(SalesDetail[Quantity (KG)],SalesDetail[Customer],$A238,SalesDetail[Year],2012)</f>
        <v>0</v>
      </c>
      <c r="F238" s="5">
        <f>SUMIFS(SalesDetail[Quantity (KG)],SalesDetail[Customer],$A238,SalesDetail[Year],2013)</f>
        <v>115</v>
      </c>
      <c r="G238" s="5">
        <f>SUMIFS(SalesDetail[Quantity (KG)],SalesDetail[Customer],$A238,SalesDetail[Year],2014)</f>
        <v>0</v>
      </c>
      <c r="H238" s="5">
        <f>SUMIFS(SalesDetail[Quantity (KG)],SalesDetail[Customer],$A238,SalesDetail[Year],2015)</f>
        <v>100</v>
      </c>
      <c r="I238" s="5">
        <f>SUMIFS(SalesDetail[Quantity (KG)],SalesDetail[Customer],$A238,SalesDetail[Year],2016)</f>
        <v>0</v>
      </c>
      <c r="J238" s="5">
        <f>SUMIFS(SalesDetail[Quantity (KG)],SalesDetail[Customer],$A238,SalesDetail[Year],2017)</f>
        <v>0</v>
      </c>
      <c r="K238" s="5">
        <f>SUMIFS(SalesDetail[Quantity (KG)],SalesDetail[Customer],$A238,SalesDetail[Year],2018)</f>
        <v>0</v>
      </c>
      <c r="L238" s="5">
        <f>SUMIFS(SalesDetail[Quantity (KG)],SalesDetail[Customer],$A238,SalesDetail[Year],2019)</f>
        <v>0</v>
      </c>
      <c r="M238" s="5">
        <f>SUMIFS(SalesDetail[Quantity (KG)],SalesDetail[Customer],$A238,SalesDetail[Year],2020)</f>
        <v>0</v>
      </c>
      <c r="N238" s="5">
        <f>SUMIFS(SalesDetail[Quantity (KG)],SalesDetail[Customer],$A238,SalesDetail[Year],2021)</f>
        <v>0</v>
      </c>
      <c r="O238" s="6">
        <f>SUM(B238:N238)</f>
        <v>215</v>
      </c>
    </row>
    <row r="239" spans="1:15" x14ac:dyDescent="0.3">
      <c r="A239" t="s">
        <v>2411</v>
      </c>
      <c r="B239" s="5">
        <f>SUMIFS(SalesDetail[Quantity (KG)],SalesDetail[Customer],$A239,SalesDetail[Year],2009)</f>
        <v>0</v>
      </c>
      <c r="C239" s="5">
        <f>SUMIFS(SalesDetail[Quantity (KG)],SalesDetail[Customer],$A239,SalesDetail[Year],2010)</f>
        <v>0</v>
      </c>
      <c r="D239" s="5">
        <f>SUMIFS(SalesDetail[Quantity (KG)],SalesDetail[Customer],$A239,SalesDetail[Year],2011)</f>
        <v>0</v>
      </c>
      <c r="E239" s="5">
        <f>SUMIFS(SalesDetail[Quantity (KG)],SalesDetail[Customer],$A239,SalesDetail[Year],2012)</f>
        <v>0</v>
      </c>
      <c r="F239" s="5">
        <f>SUMIFS(SalesDetail[Quantity (KG)],SalesDetail[Customer],$A239,SalesDetail[Year],2013)</f>
        <v>0</v>
      </c>
      <c r="G239" s="5">
        <f>SUMIFS(SalesDetail[Quantity (KG)],SalesDetail[Customer],$A239,SalesDetail[Year],2014)</f>
        <v>0</v>
      </c>
      <c r="H239" s="5">
        <f>SUMIFS(SalesDetail[Quantity (KG)],SalesDetail[Customer],$A239,SalesDetail[Year],2015)</f>
        <v>0</v>
      </c>
      <c r="I239" s="5">
        <f>SUMIFS(SalesDetail[Quantity (KG)],SalesDetail[Customer],$A239,SalesDetail[Year],2016)</f>
        <v>0</v>
      </c>
      <c r="J239" s="5">
        <f>SUMIFS(SalesDetail[Quantity (KG)],SalesDetail[Customer],$A239,SalesDetail[Year],2017)</f>
        <v>0</v>
      </c>
      <c r="K239" s="5">
        <f>SUMIFS(SalesDetail[Quantity (KG)],SalesDetail[Customer],$A239,SalesDetail[Year],2018)</f>
        <v>0</v>
      </c>
      <c r="L239" s="5">
        <f>SUMIFS(SalesDetail[Quantity (KG)],SalesDetail[Customer],$A239,SalesDetail[Year],2019)</f>
        <v>25</v>
      </c>
      <c r="M239" s="5">
        <f>SUMIFS(SalesDetail[Quantity (KG)],SalesDetail[Customer],$A239,SalesDetail[Year],2020)</f>
        <v>10</v>
      </c>
      <c r="N239" s="5">
        <f>SUMIFS(SalesDetail[Quantity (KG)],SalesDetail[Customer],$A239,SalesDetail[Year],2021)</f>
        <v>179</v>
      </c>
      <c r="O239" s="6">
        <f>SUM(B239:N239)</f>
        <v>214</v>
      </c>
    </row>
    <row r="240" spans="1:15" x14ac:dyDescent="0.3">
      <c r="A240" t="s">
        <v>2176</v>
      </c>
      <c r="B240" s="5">
        <f>SUMIFS(SalesDetail[Quantity (KG)],SalesDetail[Customer],$A240,SalesDetail[Year],2009)</f>
        <v>0</v>
      </c>
      <c r="C240" s="5">
        <f>SUMIFS(SalesDetail[Quantity (KG)],SalesDetail[Customer],$A240,SalesDetail[Year],2010)</f>
        <v>0</v>
      </c>
      <c r="D240" s="5">
        <f>SUMIFS(SalesDetail[Quantity (KG)],SalesDetail[Customer],$A240,SalesDetail[Year],2011)</f>
        <v>0</v>
      </c>
      <c r="E240" s="5">
        <f>SUMIFS(SalesDetail[Quantity (KG)],SalesDetail[Customer],$A240,SalesDetail[Year],2012)</f>
        <v>0</v>
      </c>
      <c r="F240" s="5">
        <f>SUMIFS(SalesDetail[Quantity (KG)],SalesDetail[Customer],$A240,SalesDetail[Year],2013)</f>
        <v>0</v>
      </c>
      <c r="G240" s="5">
        <f>SUMIFS(SalesDetail[Quantity (KG)],SalesDetail[Customer],$A240,SalesDetail[Year],2014)</f>
        <v>0</v>
      </c>
      <c r="H240" s="5">
        <f>SUMIFS(SalesDetail[Quantity (KG)],SalesDetail[Customer],$A240,SalesDetail[Year],2015)</f>
        <v>0</v>
      </c>
      <c r="I240" s="5">
        <f>SUMIFS(SalesDetail[Quantity (KG)],SalesDetail[Customer],$A240,SalesDetail[Year],2016)</f>
        <v>0</v>
      </c>
      <c r="J240" s="5">
        <f>SUMIFS(SalesDetail[Quantity (KG)],SalesDetail[Customer],$A240,SalesDetail[Year],2017)</f>
        <v>0</v>
      </c>
      <c r="K240" s="5">
        <f>SUMIFS(SalesDetail[Quantity (KG)],SalesDetail[Customer],$A240,SalesDetail[Year],2018)</f>
        <v>0</v>
      </c>
      <c r="L240" s="5">
        <f>SUMIFS(SalesDetail[Quantity (KG)],SalesDetail[Customer],$A240,SalesDetail[Year],2019)</f>
        <v>19</v>
      </c>
      <c r="M240" s="5">
        <f>SUMIFS(SalesDetail[Quantity (KG)],SalesDetail[Customer],$A240,SalesDetail[Year],2020)</f>
        <v>99</v>
      </c>
      <c r="N240" s="5">
        <f>SUMIFS(SalesDetail[Quantity (KG)],SalesDetail[Customer],$A240,SalesDetail[Year],2021)</f>
        <v>93</v>
      </c>
      <c r="O240" s="6">
        <f>SUM(B240:N240)</f>
        <v>211</v>
      </c>
    </row>
    <row r="241" spans="1:15" x14ac:dyDescent="0.3">
      <c r="A241" t="s">
        <v>2253</v>
      </c>
      <c r="B241" s="5">
        <f>SUMIFS(SalesDetail[Quantity (KG)],SalesDetail[Customer],$A241,SalesDetail[Year],2009)</f>
        <v>0</v>
      </c>
      <c r="C241" s="5">
        <f>SUMIFS(SalesDetail[Quantity (KG)],SalesDetail[Customer],$A241,SalesDetail[Year],2010)</f>
        <v>0</v>
      </c>
      <c r="D241" s="5">
        <f>SUMIFS(SalesDetail[Quantity (KG)],SalesDetail[Customer],$A241,SalesDetail[Year],2011)</f>
        <v>0</v>
      </c>
      <c r="E241" s="5">
        <f>SUMIFS(SalesDetail[Quantity (KG)],SalesDetail[Customer],$A241,SalesDetail[Year],2012)</f>
        <v>0</v>
      </c>
      <c r="F241" s="5">
        <f>SUMIFS(SalesDetail[Quantity (KG)],SalesDetail[Customer],$A241,SalesDetail[Year],2013)</f>
        <v>0</v>
      </c>
      <c r="G241" s="5">
        <f>SUMIFS(SalesDetail[Quantity (KG)],SalesDetail[Customer],$A241,SalesDetail[Year],2014)</f>
        <v>0</v>
      </c>
      <c r="H241" s="5">
        <f>SUMIFS(SalesDetail[Quantity (KG)],SalesDetail[Customer],$A241,SalesDetail[Year],2015)</f>
        <v>30</v>
      </c>
      <c r="I241" s="5">
        <f>SUMIFS(SalesDetail[Quantity (KG)],SalesDetail[Customer],$A241,SalesDetail[Year],2016)</f>
        <v>80</v>
      </c>
      <c r="J241" s="5">
        <f>SUMIFS(SalesDetail[Quantity (KG)],SalesDetail[Customer],$A241,SalesDetail[Year],2017)</f>
        <v>20</v>
      </c>
      <c r="K241" s="5">
        <f>SUMIFS(SalesDetail[Quantity (KG)],SalesDetail[Customer],$A241,SalesDetail[Year],2018)</f>
        <v>80</v>
      </c>
      <c r="L241" s="5">
        <f>SUMIFS(SalesDetail[Quantity (KG)],SalesDetail[Customer],$A241,SalesDetail[Year],2019)</f>
        <v>0</v>
      </c>
      <c r="M241" s="5">
        <f>SUMIFS(SalesDetail[Quantity (KG)],SalesDetail[Customer],$A241,SalesDetail[Year],2020)</f>
        <v>0</v>
      </c>
      <c r="N241" s="5">
        <f>SUMIFS(SalesDetail[Quantity (KG)],SalesDetail[Customer],$A241,SalesDetail[Year],2021)</f>
        <v>0</v>
      </c>
      <c r="O241" s="6">
        <f>SUM(B241:N241)</f>
        <v>210</v>
      </c>
    </row>
    <row r="242" spans="1:15" x14ac:dyDescent="0.3">
      <c r="A242" t="s">
        <v>944</v>
      </c>
      <c r="B242" s="5">
        <f>SUMIFS(SalesDetail[Quantity (KG)],SalesDetail[Customer],$A242,SalesDetail[Year],2009)</f>
        <v>0</v>
      </c>
      <c r="C242" s="5">
        <f>SUMIFS(SalesDetail[Quantity (KG)],SalesDetail[Customer],$A242,SalesDetail[Year],2010)</f>
        <v>153</v>
      </c>
      <c r="D242" s="5">
        <f>SUMIFS(SalesDetail[Quantity (KG)],SalesDetail[Customer],$A242,SalesDetail[Year],2011)</f>
        <v>53</v>
      </c>
      <c r="E242" s="5">
        <f>SUMIFS(SalesDetail[Quantity (KG)],SalesDetail[Customer],$A242,SalesDetail[Year],2012)</f>
        <v>0</v>
      </c>
      <c r="F242" s="5">
        <f>SUMIFS(SalesDetail[Quantity (KG)],SalesDetail[Customer],$A242,SalesDetail[Year],2013)</f>
        <v>0</v>
      </c>
      <c r="G242" s="5">
        <f>SUMIFS(SalesDetail[Quantity (KG)],SalesDetail[Customer],$A242,SalesDetail[Year],2014)</f>
        <v>0</v>
      </c>
      <c r="H242" s="5">
        <f>SUMIFS(SalesDetail[Quantity (KG)],SalesDetail[Customer],$A242,SalesDetail[Year],2015)</f>
        <v>0</v>
      </c>
      <c r="I242" s="5">
        <f>SUMIFS(SalesDetail[Quantity (KG)],SalesDetail[Customer],$A242,SalesDetail[Year],2016)</f>
        <v>0</v>
      </c>
      <c r="J242" s="5">
        <f>SUMIFS(SalesDetail[Quantity (KG)],SalesDetail[Customer],$A242,SalesDetail[Year],2017)</f>
        <v>0</v>
      </c>
      <c r="K242" s="5">
        <f>SUMIFS(SalesDetail[Quantity (KG)],SalesDetail[Customer],$A242,SalesDetail[Year],2018)</f>
        <v>0</v>
      </c>
      <c r="L242" s="5">
        <f>SUMIFS(SalesDetail[Quantity (KG)],SalesDetail[Customer],$A242,SalesDetail[Year],2019)</f>
        <v>0</v>
      </c>
      <c r="M242" s="5">
        <f>SUMIFS(SalesDetail[Quantity (KG)],SalesDetail[Customer],$A242,SalesDetail[Year],2020)</f>
        <v>0</v>
      </c>
      <c r="N242" s="5">
        <f>SUMIFS(SalesDetail[Quantity (KG)],SalesDetail[Customer],$A242,SalesDetail[Year],2021)</f>
        <v>0</v>
      </c>
      <c r="O242" s="6">
        <f>SUM(B242:N242)</f>
        <v>206</v>
      </c>
    </row>
    <row r="243" spans="1:15" x14ac:dyDescent="0.3">
      <c r="A243" t="s">
        <v>1341</v>
      </c>
      <c r="B243" s="5">
        <f>SUMIFS(SalesDetail[Quantity (KG)],SalesDetail[Customer],$A243,SalesDetail[Year],2009)</f>
        <v>0</v>
      </c>
      <c r="C243" s="5">
        <f>SUMIFS(SalesDetail[Quantity (KG)],SalesDetail[Customer],$A243,SalesDetail[Year],2010)</f>
        <v>0</v>
      </c>
      <c r="D243" s="5">
        <f>SUMIFS(SalesDetail[Quantity (KG)],SalesDetail[Customer],$A243,SalesDetail[Year],2011)</f>
        <v>0</v>
      </c>
      <c r="E243" s="5">
        <f>SUMIFS(SalesDetail[Quantity (KG)],SalesDetail[Customer],$A243,SalesDetail[Year],2012)</f>
        <v>0</v>
      </c>
      <c r="F243" s="5">
        <f>SUMIFS(SalesDetail[Quantity (KG)],SalesDetail[Customer],$A243,SalesDetail[Year],2013)</f>
        <v>0</v>
      </c>
      <c r="G243" s="5">
        <f>SUMIFS(SalesDetail[Quantity (KG)],SalesDetail[Customer],$A243,SalesDetail[Year],2014)</f>
        <v>0</v>
      </c>
      <c r="H243" s="5">
        <f>SUMIFS(SalesDetail[Quantity (KG)],SalesDetail[Customer],$A243,SalesDetail[Year],2015)</f>
        <v>0</v>
      </c>
      <c r="I243" s="5">
        <f>SUMIFS(SalesDetail[Quantity (KG)],SalesDetail[Customer],$A243,SalesDetail[Year],2016)</f>
        <v>0</v>
      </c>
      <c r="J243" s="5">
        <f>SUMIFS(SalesDetail[Quantity (KG)],SalesDetail[Customer],$A243,SalesDetail[Year],2017)</f>
        <v>0</v>
      </c>
      <c r="K243" s="5">
        <f>SUMIFS(SalesDetail[Quantity (KG)],SalesDetail[Customer],$A243,SalesDetail[Year],2018)</f>
        <v>0</v>
      </c>
      <c r="L243" s="5">
        <f>SUMIFS(SalesDetail[Quantity (KG)],SalesDetail[Customer],$A243,SalesDetail[Year],2019)</f>
        <v>0</v>
      </c>
      <c r="M243" s="5">
        <f>SUMIFS(SalesDetail[Quantity (KG)],SalesDetail[Customer],$A243,SalesDetail[Year],2020)</f>
        <v>81</v>
      </c>
      <c r="N243" s="5">
        <f>SUMIFS(SalesDetail[Quantity (KG)],SalesDetail[Customer],$A243,SalesDetail[Year],2021)</f>
        <v>125</v>
      </c>
      <c r="O243" s="6">
        <f>SUM(B243:N243)</f>
        <v>206</v>
      </c>
    </row>
    <row r="244" spans="1:15" x14ac:dyDescent="0.3">
      <c r="A244" t="s">
        <v>489</v>
      </c>
      <c r="B244" s="5">
        <f>SUMIFS(SalesDetail[Quantity (KG)],SalesDetail[Customer],$A244,SalesDetail[Year],2009)</f>
        <v>0</v>
      </c>
      <c r="C244" s="5">
        <f>SUMIFS(SalesDetail[Quantity (KG)],SalesDetail[Customer],$A244,SalesDetail[Year],2010)</f>
        <v>0</v>
      </c>
      <c r="D244" s="5">
        <f>SUMIFS(SalesDetail[Quantity (KG)],SalesDetail[Customer],$A244,SalesDetail[Year],2011)</f>
        <v>0</v>
      </c>
      <c r="E244" s="5">
        <f>SUMIFS(SalesDetail[Quantity (KG)],SalesDetail[Customer],$A244,SalesDetail[Year],2012)</f>
        <v>0</v>
      </c>
      <c r="F244" s="5">
        <f>SUMIFS(SalesDetail[Quantity (KG)],SalesDetail[Customer],$A244,SalesDetail[Year],2013)</f>
        <v>0</v>
      </c>
      <c r="G244" s="5">
        <f>SUMIFS(SalesDetail[Quantity (KG)],SalesDetail[Customer],$A244,SalesDetail[Year],2014)</f>
        <v>0</v>
      </c>
      <c r="H244" s="5">
        <f>SUMIFS(SalesDetail[Quantity (KG)],SalesDetail[Customer],$A244,SalesDetail[Year],2015)</f>
        <v>0</v>
      </c>
      <c r="I244" s="5">
        <f>SUMIFS(SalesDetail[Quantity (KG)],SalesDetail[Customer],$A244,SalesDetail[Year],2016)</f>
        <v>0</v>
      </c>
      <c r="J244" s="5">
        <f>SUMIFS(SalesDetail[Quantity (KG)],SalesDetail[Customer],$A244,SalesDetail[Year],2017)</f>
        <v>0</v>
      </c>
      <c r="K244" s="5">
        <f>SUMIFS(SalesDetail[Quantity (KG)],SalesDetail[Customer],$A244,SalesDetail[Year],2018)</f>
        <v>175</v>
      </c>
      <c r="L244" s="5">
        <f>SUMIFS(SalesDetail[Quantity (KG)],SalesDetail[Customer],$A244,SalesDetail[Year],2019)</f>
        <v>0</v>
      </c>
      <c r="M244" s="5">
        <f>SUMIFS(SalesDetail[Quantity (KG)],SalesDetail[Customer],$A244,SalesDetail[Year],2020)</f>
        <v>25</v>
      </c>
      <c r="N244" s="5">
        <f>SUMIFS(SalesDetail[Quantity (KG)],SalesDetail[Customer],$A244,SalesDetail[Year],2021)</f>
        <v>0</v>
      </c>
      <c r="O244" s="6">
        <f>SUM(B244:N244)</f>
        <v>200</v>
      </c>
    </row>
    <row r="245" spans="1:15" x14ac:dyDescent="0.3">
      <c r="A245" t="s">
        <v>1225</v>
      </c>
      <c r="B245" s="5">
        <f>SUMIFS(SalesDetail[Quantity (KG)],SalesDetail[Customer],$A245,SalesDetail[Year],2009)</f>
        <v>0</v>
      </c>
      <c r="C245" s="5">
        <f>SUMIFS(SalesDetail[Quantity (KG)],SalesDetail[Customer],$A245,SalesDetail[Year],2010)</f>
        <v>0</v>
      </c>
      <c r="D245" s="5">
        <f>SUMIFS(SalesDetail[Quantity (KG)],SalesDetail[Customer],$A245,SalesDetail[Year],2011)</f>
        <v>0</v>
      </c>
      <c r="E245" s="5">
        <f>SUMIFS(SalesDetail[Quantity (KG)],SalesDetail[Customer],$A245,SalesDetail[Year],2012)</f>
        <v>0</v>
      </c>
      <c r="F245" s="5">
        <f>SUMIFS(SalesDetail[Quantity (KG)],SalesDetail[Customer],$A245,SalesDetail[Year],2013)</f>
        <v>0</v>
      </c>
      <c r="G245" s="5">
        <f>SUMIFS(SalesDetail[Quantity (KG)],SalesDetail[Customer],$A245,SalesDetail[Year],2014)</f>
        <v>0</v>
      </c>
      <c r="H245" s="5">
        <f>SUMIFS(SalesDetail[Quantity (KG)],SalesDetail[Customer],$A245,SalesDetail[Year],2015)</f>
        <v>0</v>
      </c>
      <c r="I245" s="5">
        <f>SUMIFS(SalesDetail[Quantity (KG)],SalesDetail[Customer],$A245,SalesDetail[Year],2016)</f>
        <v>0</v>
      </c>
      <c r="J245" s="5">
        <f>SUMIFS(SalesDetail[Quantity (KG)],SalesDetail[Customer],$A245,SalesDetail[Year],2017)</f>
        <v>0</v>
      </c>
      <c r="K245" s="5">
        <f>SUMIFS(SalesDetail[Quantity (KG)],SalesDetail[Customer],$A245,SalesDetail[Year],2018)</f>
        <v>0</v>
      </c>
      <c r="L245" s="5">
        <f>SUMIFS(SalesDetail[Quantity (KG)],SalesDetail[Customer],$A245,SalesDetail[Year],2019)</f>
        <v>0</v>
      </c>
      <c r="M245" s="5">
        <f>SUMIFS(SalesDetail[Quantity (KG)],SalesDetail[Customer],$A245,SalesDetail[Year],2020)</f>
        <v>200</v>
      </c>
      <c r="N245" s="5">
        <f>SUMIFS(SalesDetail[Quantity (KG)],SalesDetail[Customer],$A245,SalesDetail[Year],2021)</f>
        <v>0</v>
      </c>
      <c r="O245" s="6">
        <f>SUM(B245:N245)</f>
        <v>200</v>
      </c>
    </row>
    <row r="246" spans="1:15" x14ac:dyDescent="0.3">
      <c r="A246" t="s">
        <v>1650</v>
      </c>
      <c r="B246" s="5">
        <f>SUMIFS(SalesDetail[Quantity (KG)],SalesDetail[Customer],$A246,SalesDetail[Year],2009)</f>
        <v>0</v>
      </c>
      <c r="C246" s="5">
        <f>SUMIFS(SalesDetail[Quantity (KG)],SalesDetail[Customer],$A246,SalesDetail[Year],2010)</f>
        <v>0</v>
      </c>
      <c r="D246" s="5">
        <f>SUMIFS(SalesDetail[Quantity (KG)],SalesDetail[Customer],$A246,SalesDetail[Year],2011)</f>
        <v>0</v>
      </c>
      <c r="E246" s="5">
        <f>SUMIFS(SalesDetail[Quantity (KG)],SalesDetail[Customer],$A246,SalesDetail[Year],2012)</f>
        <v>0</v>
      </c>
      <c r="F246" s="5">
        <f>SUMIFS(SalesDetail[Quantity (KG)],SalesDetail[Customer],$A246,SalesDetail[Year],2013)</f>
        <v>0</v>
      </c>
      <c r="G246" s="5">
        <f>SUMIFS(SalesDetail[Quantity (KG)],SalesDetail[Customer],$A246,SalesDetail[Year],2014)</f>
        <v>0</v>
      </c>
      <c r="H246" s="5">
        <f>SUMIFS(SalesDetail[Quantity (KG)],SalesDetail[Customer],$A246,SalesDetail[Year],2015)</f>
        <v>0</v>
      </c>
      <c r="I246" s="5">
        <f>SUMIFS(SalesDetail[Quantity (KG)],SalesDetail[Customer],$A246,SalesDetail[Year],2016)</f>
        <v>0</v>
      </c>
      <c r="J246" s="5">
        <f>SUMIFS(SalesDetail[Quantity (KG)],SalesDetail[Customer],$A246,SalesDetail[Year],2017)</f>
        <v>0</v>
      </c>
      <c r="K246" s="5">
        <f>SUMIFS(SalesDetail[Quantity (KG)],SalesDetail[Customer],$A246,SalesDetail[Year],2018)</f>
        <v>0</v>
      </c>
      <c r="L246" s="5">
        <f>SUMIFS(SalesDetail[Quantity (KG)],SalesDetail[Customer],$A246,SalesDetail[Year],2019)</f>
        <v>0</v>
      </c>
      <c r="M246" s="5">
        <f>SUMIFS(SalesDetail[Quantity (KG)],SalesDetail[Customer],$A246,SalesDetail[Year],2020)</f>
        <v>0</v>
      </c>
      <c r="N246" s="5">
        <f>SUMIFS(SalesDetail[Quantity (KG)],SalesDetail[Customer],$A246,SalesDetail[Year],2021)</f>
        <v>200</v>
      </c>
      <c r="O246" s="6">
        <f>SUM(B246:N246)</f>
        <v>200</v>
      </c>
    </row>
    <row r="247" spans="1:15" x14ac:dyDescent="0.3">
      <c r="A247" t="s">
        <v>1660</v>
      </c>
      <c r="B247" s="5">
        <f>SUMIFS(SalesDetail[Quantity (KG)],SalesDetail[Customer],$A247,SalesDetail[Year],2009)</f>
        <v>0</v>
      </c>
      <c r="C247" s="5">
        <f>SUMIFS(SalesDetail[Quantity (KG)],SalesDetail[Customer],$A247,SalesDetail[Year],2010)</f>
        <v>0</v>
      </c>
      <c r="D247" s="5">
        <f>SUMIFS(SalesDetail[Quantity (KG)],SalesDetail[Customer],$A247,SalesDetail[Year],2011)</f>
        <v>0</v>
      </c>
      <c r="E247" s="5">
        <f>SUMIFS(SalesDetail[Quantity (KG)],SalesDetail[Customer],$A247,SalesDetail[Year],2012)</f>
        <v>0</v>
      </c>
      <c r="F247" s="5">
        <f>SUMIFS(SalesDetail[Quantity (KG)],SalesDetail[Customer],$A247,SalesDetail[Year],2013)</f>
        <v>0</v>
      </c>
      <c r="G247" s="5">
        <f>SUMIFS(SalesDetail[Quantity (KG)],SalesDetail[Customer],$A247,SalesDetail[Year],2014)</f>
        <v>0</v>
      </c>
      <c r="H247" s="5">
        <f>SUMIFS(SalesDetail[Quantity (KG)],SalesDetail[Customer],$A247,SalesDetail[Year],2015)</f>
        <v>0</v>
      </c>
      <c r="I247" s="5">
        <f>SUMIFS(SalesDetail[Quantity (KG)],SalesDetail[Customer],$A247,SalesDetail[Year],2016)</f>
        <v>0</v>
      </c>
      <c r="J247" s="5">
        <f>SUMIFS(SalesDetail[Quantity (KG)],SalesDetail[Customer],$A247,SalesDetail[Year],2017)</f>
        <v>0</v>
      </c>
      <c r="K247" s="5">
        <f>SUMIFS(SalesDetail[Quantity (KG)],SalesDetail[Customer],$A247,SalesDetail[Year],2018)</f>
        <v>0</v>
      </c>
      <c r="L247" s="5">
        <f>SUMIFS(SalesDetail[Quantity (KG)],SalesDetail[Customer],$A247,SalesDetail[Year],2019)</f>
        <v>0</v>
      </c>
      <c r="M247" s="5">
        <f>SUMIFS(SalesDetail[Quantity (KG)],SalesDetail[Customer],$A247,SalesDetail[Year],2020)</f>
        <v>200</v>
      </c>
      <c r="N247" s="5">
        <f>SUMIFS(SalesDetail[Quantity (KG)],SalesDetail[Customer],$A247,SalesDetail[Year],2021)</f>
        <v>0</v>
      </c>
      <c r="O247" s="6">
        <f>SUM(B247:N247)</f>
        <v>200</v>
      </c>
    </row>
    <row r="248" spans="1:15" x14ac:dyDescent="0.3">
      <c r="A248" t="s">
        <v>2505</v>
      </c>
      <c r="B248" s="5">
        <f>SUMIFS(SalesDetail[Quantity (KG)],SalesDetail[Customer],$A248,SalesDetail[Year],2009)</f>
        <v>0</v>
      </c>
      <c r="C248" s="5">
        <f>SUMIFS(SalesDetail[Quantity (KG)],SalesDetail[Customer],$A248,SalesDetail[Year],2010)</f>
        <v>0</v>
      </c>
      <c r="D248" s="5">
        <f>SUMIFS(SalesDetail[Quantity (KG)],SalesDetail[Customer],$A248,SalesDetail[Year],2011)</f>
        <v>0</v>
      </c>
      <c r="E248" s="5">
        <f>SUMIFS(SalesDetail[Quantity (KG)],SalesDetail[Customer],$A248,SalesDetail[Year],2012)</f>
        <v>0</v>
      </c>
      <c r="F248" s="5">
        <f>SUMIFS(SalesDetail[Quantity (KG)],SalesDetail[Customer],$A248,SalesDetail[Year],2013)</f>
        <v>0</v>
      </c>
      <c r="G248" s="5">
        <f>SUMIFS(SalesDetail[Quantity (KG)],SalesDetail[Customer],$A248,SalesDetail[Year],2014)</f>
        <v>0</v>
      </c>
      <c r="H248" s="5">
        <f>SUMIFS(SalesDetail[Quantity (KG)],SalesDetail[Customer],$A248,SalesDetail[Year],2015)</f>
        <v>0</v>
      </c>
      <c r="I248" s="5">
        <f>SUMIFS(SalesDetail[Quantity (KG)],SalesDetail[Customer],$A248,SalesDetail[Year],2016)</f>
        <v>0</v>
      </c>
      <c r="J248" s="5">
        <f>SUMIFS(SalesDetail[Quantity (KG)],SalesDetail[Customer],$A248,SalesDetail[Year],2017)</f>
        <v>0</v>
      </c>
      <c r="K248" s="5">
        <f>SUMIFS(SalesDetail[Quantity (KG)],SalesDetail[Customer],$A248,SalesDetail[Year],2018)</f>
        <v>113</v>
      </c>
      <c r="L248" s="5">
        <f>SUMIFS(SalesDetail[Quantity (KG)],SalesDetail[Customer],$A248,SalesDetail[Year],2019)</f>
        <v>74</v>
      </c>
      <c r="M248" s="5">
        <f>SUMIFS(SalesDetail[Quantity (KG)],SalesDetail[Customer],$A248,SalesDetail[Year],2020)</f>
        <v>10</v>
      </c>
      <c r="N248" s="5">
        <f>SUMIFS(SalesDetail[Quantity (KG)],SalesDetail[Customer],$A248,SalesDetail[Year],2021)</f>
        <v>0</v>
      </c>
      <c r="O248" s="6">
        <f>SUM(B248:N248)</f>
        <v>197</v>
      </c>
    </row>
    <row r="249" spans="1:15" x14ac:dyDescent="0.3">
      <c r="A249" t="s">
        <v>760</v>
      </c>
      <c r="B249" s="5">
        <f>SUMIFS(SalesDetail[Quantity (KG)],SalesDetail[Customer],$A249,SalesDetail[Year],2009)</f>
        <v>0</v>
      </c>
      <c r="C249" s="5">
        <f>SUMIFS(SalesDetail[Quantity (KG)],SalesDetail[Customer],$A249,SalesDetail[Year],2010)</f>
        <v>0</v>
      </c>
      <c r="D249" s="5">
        <f>SUMIFS(SalesDetail[Quantity (KG)],SalesDetail[Customer],$A249,SalesDetail[Year],2011)</f>
        <v>0</v>
      </c>
      <c r="E249" s="5">
        <f>SUMIFS(SalesDetail[Quantity (KG)],SalesDetail[Customer],$A249,SalesDetail[Year],2012)</f>
        <v>0</v>
      </c>
      <c r="F249" s="5">
        <f>SUMIFS(SalesDetail[Quantity (KG)],SalesDetail[Customer],$A249,SalesDetail[Year],2013)</f>
        <v>0</v>
      </c>
      <c r="G249" s="5">
        <f>SUMIFS(SalesDetail[Quantity (KG)],SalesDetail[Customer],$A249,SalesDetail[Year],2014)</f>
        <v>0</v>
      </c>
      <c r="H249" s="5">
        <f>SUMIFS(SalesDetail[Quantity (KG)],SalesDetail[Customer],$A249,SalesDetail[Year],2015)</f>
        <v>0</v>
      </c>
      <c r="I249" s="5">
        <f>SUMIFS(SalesDetail[Quantity (KG)],SalesDetail[Customer],$A249,SalesDetail[Year],2016)</f>
        <v>2.5</v>
      </c>
      <c r="J249" s="5">
        <f>SUMIFS(SalesDetail[Quantity (KG)],SalesDetail[Customer],$A249,SalesDetail[Year],2017)</f>
        <v>185</v>
      </c>
      <c r="K249" s="5">
        <f>SUMIFS(SalesDetail[Quantity (KG)],SalesDetail[Customer],$A249,SalesDetail[Year],2018)</f>
        <v>6</v>
      </c>
      <c r="L249" s="5">
        <f>SUMIFS(SalesDetail[Quantity (KG)],SalesDetail[Customer],$A249,SalesDetail[Year],2019)</f>
        <v>0</v>
      </c>
      <c r="M249" s="5">
        <f>SUMIFS(SalesDetail[Quantity (KG)],SalesDetail[Customer],$A249,SalesDetail[Year],2020)</f>
        <v>0</v>
      </c>
      <c r="N249" s="5">
        <f>SUMIFS(SalesDetail[Quantity (KG)],SalesDetail[Customer],$A249,SalesDetail[Year],2021)</f>
        <v>0</v>
      </c>
      <c r="O249" s="6">
        <f>SUM(B249:N249)</f>
        <v>193.5</v>
      </c>
    </row>
    <row r="250" spans="1:15" x14ac:dyDescent="0.3">
      <c r="A250" t="s">
        <v>1932</v>
      </c>
      <c r="B250" s="5">
        <f>SUMIFS(SalesDetail[Quantity (KG)],SalesDetail[Customer],$A250,SalesDetail[Year],2009)</f>
        <v>0</v>
      </c>
      <c r="C250" s="5">
        <f>SUMIFS(SalesDetail[Quantity (KG)],SalesDetail[Customer],$A250,SalesDetail[Year],2010)</f>
        <v>0</v>
      </c>
      <c r="D250" s="5">
        <f>SUMIFS(SalesDetail[Quantity (KG)],SalesDetail[Customer],$A250,SalesDetail[Year],2011)</f>
        <v>0</v>
      </c>
      <c r="E250" s="5">
        <f>SUMIFS(SalesDetail[Quantity (KG)],SalesDetail[Customer],$A250,SalesDetail[Year],2012)</f>
        <v>0</v>
      </c>
      <c r="F250" s="5">
        <f>SUMIFS(SalesDetail[Quantity (KG)],SalesDetail[Customer],$A250,SalesDetail[Year],2013)</f>
        <v>36</v>
      </c>
      <c r="G250" s="5">
        <f>SUMIFS(SalesDetail[Quantity (KG)],SalesDetail[Customer],$A250,SalesDetail[Year],2014)</f>
        <v>20</v>
      </c>
      <c r="H250" s="5">
        <f>SUMIFS(SalesDetail[Quantity (KG)],SalesDetail[Customer],$A250,SalesDetail[Year],2015)</f>
        <v>10</v>
      </c>
      <c r="I250" s="5">
        <f>SUMIFS(SalesDetail[Quantity (KG)],SalesDetail[Customer],$A250,SalesDetail[Year],2016)</f>
        <v>25</v>
      </c>
      <c r="J250" s="5">
        <f>SUMIFS(SalesDetail[Quantity (KG)],SalesDetail[Customer],$A250,SalesDetail[Year],2017)</f>
        <v>10</v>
      </c>
      <c r="K250" s="5">
        <f>SUMIFS(SalesDetail[Quantity (KG)],SalesDetail[Customer],$A250,SalesDetail[Year],2018)</f>
        <v>4</v>
      </c>
      <c r="L250" s="5">
        <f>SUMIFS(SalesDetail[Quantity (KG)],SalesDetail[Customer],$A250,SalesDetail[Year],2019)</f>
        <v>41</v>
      </c>
      <c r="M250" s="5">
        <f>SUMIFS(SalesDetail[Quantity (KG)],SalesDetail[Customer],$A250,SalesDetail[Year],2020)</f>
        <v>30</v>
      </c>
      <c r="N250" s="5">
        <f>SUMIFS(SalesDetail[Quantity (KG)],SalesDetail[Customer],$A250,SalesDetail[Year],2021)</f>
        <v>10</v>
      </c>
      <c r="O250" s="6">
        <f>SUM(B250:N250)</f>
        <v>186</v>
      </c>
    </row>
    <row r="251" spans="1:15" x14ac:dyDescent="0.3">
      <c r="A251" t="s">
        <v>2591</v>
      </c>
      <c r="B251" s="5">
        <f>SUMIFS(SalesDetail[Quantity (KG)],SalesDetail[Customer],$A251,SalesDetail[Year],2009)</f>
        <v>0</v>
      </c>
      <c r="C251" s="5">
        <f>SUMIFS(SalesDetail[Quantity (KG)],SalesDetail[Customer],$A251,SalesDetail[Year],2010)</f>
        <v>0</v>
      </c>
      <c r="D251" s="5">
        <f>SUMIFS(SalesDetail[Quantity (KG)],SalesDetail[Customer],$A251,SalesDetail[Year],2011)</f>
        <v>0</v>
      </c>
      <c r="E251" s="5">
        <f>SUMIFS(SalesDetail[Quantity (KG)],SalesDetail[Customer],$A251,SalesDetail[Year],2012)</f>
        <v>0</v>
      </c>
      <c r="F251" s="5">
        <f>SUMIFS(SalesDetail[Quantity (KG)],SalesDetail[Customer],$A251,SalesDetail[Year],2013)</f>
        <v>50</v>
      </c>
      <c r="G251" s="5">
        <f>SUMIFS(SalesDetail[Quantity (KG)],SalesDetail[Customer],$A251,SalesDetail[Year],2014)</f>
        <v>0</v>
      </c>
      <c r="H251" s="5">
        <f>SUMIFS(SalesDetail[Quantity (KG)],SalesDetail[Customer],$A251,SalesDetail[Year],2015)</f>
        <v>20</v>
      </c>
      <c r="I251" s="5">
        <f>SUMIFS(SalesDetail[Quantity (KG)],SalesDetail[Customer],$A251,SalesDetail[Year],2016)</f>
        <v>32</v>
      </c>
      <c r="J251" s="5">
        <f>SUMIFS(SalesDetail[Quantity (KG)],SalesDetail[Customer],$A251,SalesDetail[Year],2017)</f>
        <v>70</v>
      </c>
      <c r="K251" s="5">
        <f>SUMIFS(SalesDetail[Quantity (KG)],SalesDetail[Customer],$A251,SalesDetail[Year],2018)</f>
        <v>10</v>
      </c>
      <c r="L251" s="5">
        <f>SUMIFS(SalesDetail[Quantity (KG)],SalesDetail[Customer],$A251,SalesDetail[Year],2019)</f>
        <v>0</v>
      </c>
      <c r="M251" s="5">
        <f>SUMIFS(SalesDetail[Quantity (KG)],SalesDetail[Customer],$A251,SalesDetail[Year],2020)</f>
        <v>0</v>
      </c>
      <c r="N251" s="5">
        <f>SUMIFS(SalesDetail[Quantity (KG)],SalesDetail[Customer],$A251,SalesDetail[Year],2021)</f>
        <v>0</v>
      </c>
      <c r="O251" s="6">
        <f>SUM(B251:N251)</f>
        <v>182</v>
      </c>
    </row>
    <row r="252" spans="1:15" x14ac:dyDescent="0.3">
      <c r="A252" t="s">
        <v>822</v>
      </c>
      <c r="B252" s="5">
        <f>SUMIFS(SalesDetail[Quantity (KG)],SalesDetail[Customer],$A252,SalesDetail[Year],2009)</f>
        <v>0</v>
      </c>
      <c r="C252" s="5">
        <f>SUMIFS(SalesDetail[Quantity (KG)],SalesDetail[Customer],$A252,SalesDetail[Year],2010)</f>
        <v>0</v>
      </c>
      <c r="D252" s="5">
        <f>SUMIFS(SalesDetail[Quantity (KG)],SalesDetail[Customer],$A252,SalesDetail[Year],2011)</f>
        <v>0</v>
      </c>
      <c r="E252" s="5">
        <f>SUMIFS(SalesDetail[Quantity (KG)],SalesDetail[Customer],$A252,SalesDetail[Year],2012)</f>
        <v>0</v>
      </c>
      <c r="F252" s="5">
        <f>SUMIFS(SalesDetail[Quantity (KG)],SalesDetail[Customer],$A252,SalesDetail[Year],2013)</f>
        <v>120</v>
      </c>
      <c r="G252" s="5">
        <f>SUMIFS(SalesDetail[Quantity (KG)],SalesDetail[Customer],$A252,SalesDetail[Year],2014)</f>
        <v>0</v>
      </c>
      <c r="H252" s="5">
        <f>SUMIFS(SalesDetail[Quantity (KG)],SalesDetail[Customer],$A252,SalesDetail[Year],2015)</f>
        <v>0</v>
      </c>
      <c r="I252" s="5">
        <f>SUMIFS(SalesDetail[Quantity (KG)],SalesDetail[Customer],$A252,SalesDetail[Year],2016)</f>
        <v>14</v>
      </c>
      <c r="J252" s="5">
        <f>SUMIFS(SalesDetail[Quantity (KG)],SalesDetail[Customer],$A252,SalesDetail[Year],2017)</f>
        <v>32.799999999999997</v>
      </c>
      <c r="K252" s="5">
        <f>SUMIFS(SalesDetail[Quantity (KG)],SalesDetail[Customer],$A252,SalesDetail[Year],2018)</f>
        <v>10</v>
      </c>
      <c r="L252" s="5">
        <f>SUMIFS(SalesDetail[Quantity (KG)],SalesDetail[Customer],$A252,SalesDetail[Year],2019)</f>
        <v>0</v>
      </c>
      <c r="M252" s="5">
        <f>SUMIFS(SalesDetail[Quantity (KG)],SalesDetail[Customer],$A252,SalesDetail[Year],2020)</f>
        <v>0</v>
      </c>
      <c r="N252" s="5">
        <f>SUMIFS(SalesDetail[Quantity (KG)],SalesDetail[Customer],$A252,SalesDetail[Year],2021)</f>
        <v>0</v>
      </c>
      <c r="O252" s="6">
        <f>SUM(B252:N252)</f>
        <v>176.8</v>
      </c>
    </row>
    <row r="253" spans="1:15" x14ac:dyDescent="0.3">
      <c r="A253" t="s">
        <v>2251</v>
      </c>
      <c r="B253" s="5">
        <f>SUMIFS(SalesDetail[Quantity (KG)],SalesDetail[Customer],$A253,SalesDetail[Year],2009)</f>
        <v>0</v>
      </c>
      <c r="C253" s="5">
        <f>SUMIFS(SalesDetail[Quantity (KG)],SalesDetail[Customer],$A253,SalesDetail[Year],2010)</f>
        <v>0</v>
      </c>
      <c r="D253" s="5">
        <f>SUMIFS(SalesDetail[Quantity (KG)],SalesDetail[Customer],$A253,SalesDetail[Year],2011)</f>
        <v>0</v>
      </c>
      <c r="E253" s="5">
        <f>SUMIFS(SalesDetail[Quantity (KG)],SalesDetail[Customer],$A253,SalesDetail[Year],2012)</f>
        <v>0</v>
      </c>
      <c r="F253" s="5">
        <f>SUMIFS(SalesDetail[Quantity (KG)],SalesDetail[Customer],$A253,SalesDetail[Year],2013)</f>
        <v>0</v>
      </c>
      <c r="G253" s="5">
        <f>SUMIFS(SalesDetail[Quantity (KG)],SalesDetail[Customer],$A253,SalesDetail[Year],2014)</f>
        <v>0</v>
      </c>
      <c r="H253" s="5">
        <f>SUMIFS(SalesDetail[Quantity (KG)],SalesDetail[Customer],$A253,SalesDetail[Year],2015)</f>
        <v>0</v>
      </c>
      <c r="I253" s="5">
        <f>SUMIFS(SalesDetail[Quantity (KG)],SalesDetail[Customer],$A253,SalesDetail[Year],2016)</f>
        <v>0</v>
      </c>
      <c r="J253" s="5">
        <f>SUMIFS(SalesDetail[Quantity (KG)],SalesDetail[Customer],$A253,SalesDetail[Year],2017)</f>
        <v>0</v>
      </c>
      <c r="K253" s="5">
        <f>SUMIFS(SalesDetail[Quantity (KG)],SalesDetail[Customer],$A253,SalesDetail[Year],2018)</f>
        <v>25</v>
      </c>
      <c r="L253" s="5">
        <f>SUMIFS(SalesDetail[Quantity (KG)],SalesDetail[Customer],$A253,SalesDetail[Year],2019)</f>
        <v>75</v>
      </c>
      <c r="M253" s="5">
        <f>SUMIFS(SalesDetail[Quantity (KG)],SalesDetail[Customer],$A253,SalesDetail[Year],2020)</f>
        <v>75</v>
      </c>
      <c r="N253" s="5">
        <f>SUMIFS(SalesDetail[Quantity (KG)],SalesDetail[Customer],$A253,SalesDetail[Year],2021)</f>
        <v>0</v>
      </c>
      <c r="O253" s="6">
        <f>SUM(B253:N253)</f>
        <v>175</v>
      </c>
    </row>
    <row r="254" spans="1:15" x14ac:dyDescent="0.3">
      <c r="A254" t="s">
        <v>1945</v>
      </c>
      <c r="B254" s="5">
        <f>SUMIFS(SalesDetail[Quantity (KG)],SalesDetail[Customer],$A254,SalesDetail[Year],2009)</f>
        <v>0</v>
      </c>
      <c r="C254" s="5">
        <f>SUMIFS(SalesDetail[Quantity (KG)],SalesDetail[Customer],$A254,SalesDetail[Year],2010)</f>
        <v>0</v>
      </c>
      <c r="D254" s="5">
        <f>SUMIFS(SalesDetail[Quantity (KG)],SalesDetail[Customer],$A254,SalesDetail[Year],2011)</f>
        <v>0</v>
      </c>
      <c r="E254" s="5">
        <f>SUMIFS(SalesDetail[Quantity (KG)],SalesDetail[Customer],$A254,SalesDetail[Year],2012)</f>
        <v>0</v>
      </c>
      <c r="F254" s="5">
        <f>SUMIFS(SalesDetail[Quantity (KG)],SalesDetail[Customer],$A254,SalesDetail[Year],2013)</f>
        <v>0</v>
      </c>
      <c r="G254" s="5">
        <f>SUMIFS(SalesDetail[Quantity (KG)],SalesDetail[Customer],$A254,SalesDetail[Year],2014)</f>
        <v>0</v>
      </c>
      <c r="H254" s="5">
        <f>SUMIFS(SalesDetail[Quantity (KG)],SalesDetail[Customer],$A254,SalesDetail[Year],2015)</f>
        <v>0</v>
      </c>
      <c r="I254" s="5">
        <f>SUMIFS(SalesDetail[Quantity (KG)],SalesDetail[Customer],$A254,SalesDetail[Year],2016)</f>
        <v>0</v>
      </c>
      <c r="J254" s="5">
        <f>SUMIFS(SalesDetail[Quantity (KG)],SalesDetail[Customer],$A254,SalesDetail[Year],2017)</f>
        <v>0</v>
      </c>
      <c r="K254" s="5">
        <f>SUMIFS(SalesDetail[Quantity (KG)],SalesDetail[Customer],$A254,SalesDetail[Year],2018)</f>
        <v>49</v>
      </c>
      <c r="L254" s="5">
        <f>SUMIFS(SalesDetail[Quantity (KG)],SalesDetail[Customer],$A254,SalesDetail[Year],2019)</f>
        <v>84</v>
      </c>
      <c r="M254" s="5">
        <f>SUMIFS(SalesDetail[Quantity (KG)],SalesDetail[Customer],$A254,SalesDetail[Year],2020)</f>
        <v>27</v>
      </c>
      <c r="N254" s="5">
        <f>SUMIFS(SalesDetail[Quantity (KG)],SalesDetail[Customer],$A254,SalesDetail[Year],2021)</f>
        <v>14</v>
      </c>
      <c r="O254" s="6">
        <f>SUM(B254:N254)</f>
        <v>174</v>
      </c>
    </row>
    <row r="255" spans="1:15" x14ac:dyDescent="0.3">
      <c r="A255" t="s">
        <v>2262</v>
      </c>
      <c r="B255" s="5">
        <f>SUMIFS(SalesDetail[Quantity (KG)],SalesDetail[Customer],$A255,SalesDetail[Year],2009)</f>
        <v>0</v>
      </c>
      <c r="C255" s="5">
        <f>SUMIFS(SalesDetail[Quantity (KG)],SalesDetail[Customer],$A255,SalesDetail[Year],2010)</f>
        <v>0</v>
      </c>
      <c r="D255" s="5">
        <f>SUMIFS(SalesDetail[Quantity (KG)],SalesDetail[Customer],$A255,SalesDetail[Year],2011)</f>
        <v>0</v>
      </c>
      <c r="E255" s="5">
        <f>SUMIFS(SalesDetail[Quantity (KG)],SalesDetail[Customer],$A255,SalesDetail[Year],2012)</f>
        <v>0</v>
      </c>
      <c r="F255" s="5">
        <f>SUMIFS(SalesDetail[Quantity (KG)],SalesDetail[Customer],$A255,SalesDetail[Year],2013)</f>
        <v>0</v>
      </c>
      <c r="G255" s="5">
        <f>SUMIFS(SalesDetail[Quantity (KG)],SalesDetail[Customer],$A255,SalesDetail[Year],2014)</f>
        <v>0</v>
      </c>
      <c r="H255" s="5">
        <f>SUMIFS(SalesDetail[Quantity (KG)],SalesDetail[Customer],$A255,SalesDetail[Year],2015)</f>
        <v>0</v>
      </c>
      <c r="I255" s="5">
        <f>SUMIFS(SalesDetail[Quantity (KG)],SalesDetail[Customer],$A255,SalesDetail[Year],2016)</f>
        <v>0</v>
      </c>
      <c r="J255" s="5">
        <f>SUMIFS(SalesDetail[Quantity (KG)],SalesDetail[Customer],$A255,SalesDetail[Year],2017)</f>
        <v>56</v>
      </c>
      <c r="K255" s="5">
        <f>SUMIFS(SalesDetail[Quantity (KG)],SalesDetail[Customer],$A255,SalesDetail[Year],2018)</f>
        <v>48</v>
      </c>
      <c r="L255" s="5">
        <f>SUMIFS(SalesDetail[Quantity (KG)],SalesDetail[Customer],$A255,SalesDetail[Year],2019)</f>
        <v>39</v>
      </c>
      <c r="M255" s="5">
        <f>SUMIFS(SalesDetail[Quantity (KG)],SalesDetail[Customer],$A255,SalesDetail[Year],2020)</f>
        <v>14</v>
      </c>
      <c r="N255" s="5">
        <f>SUMIFS(SalesDetail[Quantity (KG)],SalesDetail[Customer],$A255,SalesDetail[Year],2021)</f>
        <v>15</v>
      </c>
      <c r="O255" s="6">
        <f>SUM(B255:N255)</f>
        <v>172</v>
      </c>
    </row>
    <row r="256" spans="1:15" x14ac:dyDescent="0.3">
      <c r="A256" t="s">
        <v>690</v>
      </c>
      <c r="B256" s="5">
        <f>SUMIFS(SalesDetail[Quantity (KG)],SalesDetail[Customer],$A256,SalesDetail[Year],2009)</f>
        <v>0</v>
      </c>
      <c r="C256" s="5">
        <f>SUMIFS(SalesDetail[Quantity (KG)],SalesDetail[Customer],$A256,SalesDetail[Year],2010)</f>
        <v>10</v>
      </c>
      <c r="D256" s="5">
        <f>SUMIFS(SalesDetail[Quantity (KG)],SalesDetail[Customer],$A256,SalesDetail[Year],2011)</f>
        <v>25</v>
      </c>
      <c r="E256" s="5">
        <f>SUMIFS(SalesDetail[Quantity (KG)],SalesDetail[Customer],$A256,SalesDetail[Year],2012)</f>
        <v>35</v>
      </c>
      <c r="F256" s="5">
        <f>SUMIFS(SalesDetail[Quantity (KG)],SalesDetail[Customer],$A256,SalesDetail[Year],2013)</f>
        <v>0</v>
      </c>
      <c r="G256" s="5">
        <f>SUMIFS(SalesDetail[Quantity (KG)],SalesDetail[Customer],$A256,SalesDetail[Year],2014)</f>
        <v>100</v>
      </c>
      <c r="H256" s="5">
        <f>SUMIFS(SalesDetail[Quantity (KG)],SalesDetail[Customer],$A256,SalesDetail[Year],2015)</f>
        <v>0</v>
      </c>
      <c r="I256" s="5">
        <f>SUMIFS(SalesDetail[Quantity (KG)],SalesDetail[Customer],$A256,SalesDetail[Year],2016)</f>
        <v>0</v>
      </c>
      <c r="J256" s="5">
        <f>SUMIFS(SalesDetail[Quantity (KG)],SalesDetail[Customer],$A256,SalesDetail[Year],2017)</f>
        <v>0</v>
      </c>
      <c r="K256" s="5">
        <f>SUMIFS(SalesDetail[Quantity (KG)],SalesDetail[Customer],$A256,SalesDetail[Year],2018)</f>
        <v>0</v>
      </c>
      <c r="L256" s="5">
        <f>SUMIFS(SalesDetail[Quantity (KG)],SalesDetail[Customer],$A256,SalesDetail[Year],2019)</f>
        <v>0</v>
      </c>
      <c r="M256" s="5">
        <f>SUMIFS(SalesDetail[Quantity (KG)],SalesDetail[Customer],$A256,SalesDetail[Year],2020)</f>
        <v>0</v>
      </c>
      <c r="N256" s="5">
        <f>SUMIFS(SalesDetail[Quantity (KG)],SalesDetail[Customer],$A256,SalesDetail[Year],2021)</f>
        <v>0</v>
      </c>
      <c r="O256" s="6">
        <f>SUM(B256:N256)</f>
        <v>170</v>
      </c>
    </row>
    <row r="257" spans="1:15" x14ac:dyDescent="0.3">
      <c r="A257" t="s">
        <v>2370</v>
      </c>
      <c r="B257" s="5">
        <f>SUMIFS(SalesDetail[Quantity (KG)],SalesDetail[Customer],$A257,SalesDetail[Year],2009)</f>
        <v>0</v>
      </c>
      <c r="C257" s="5">
        <f>SUMIFS(SalesDetail[Quantity (KG)],SalesDetail[Customer],$A257,SalesDetail[Year],2010)</f>
        <v>0</v>
      </c>
      <c r="D257" s="5">
        <f>SUMIFS(SalesDetail[Quantity (KG)],SalesDetail[Customer],$A257,SalesDetail[Year],2011)</f>
        <v>0</v>
      </c>
      <c r="E257" s="5">
        <f>SUMIFS(SalesDetail[Quantity (KG)],SalesDetail[Customer],$A257,SalesDetail[Year],2012)</f>
        <v>0</v>
      </c>
      <c r="F257" s="5">
        <f>SUMIFS(SalesDetail[Quantity (KG)],SalesDetail[Customer],$A257,SalesDetail[Year],2013)</f>
        <v>0</v>
      </c>
      <c r="G257" s="5">
        <f>SUMIFS(SalesDetail[Quantity (KG)],SalesDetail[Customer],$A257,SalesDetail[Year],2014)</f>
        <v>0</v>
      </c>
      <c r="H257" s="5">
        <f>SUMIFS(SalesDetail[Quantity (KG)],SalesDetail[Customer],$A257,SalesDetail[Year],2015)</f>
        <v>0</v>
      </c>
      <c r="I257" s="5">
        <f>SUMIFS(SalesDetail[Quantity (KG)],SalesDetail[Customer],$A257,SalesDetail[Year],2016)</f>
        <v>145</v>
      </c>
      <c r="J257" s="5">
        <f>SUMIFS(SalesDetail[Quantity (KG)],SalesDetail[Customer],$A257,SalesDetail[Year],2017)</f>
        <v>0</v>
      </c>
      <c r="K257" s="5">
        <f>SUMIFS(SalesDetail[Quantity (KG)],SalesDetail[Customer],$A257,SalesDetail[Year],2018)</f>
        <v>25</v>
      </c>
      <c r="L257" s="5">
        <f>SUMIFS(SalesDetail[Quantity (KG)],SalesDetail[Customer],$A257,SalesDetail[Year],2019)</f>
        <v>0</v>
      </c>
      <c r="M257" s="5">
        <f>SUMIFS(SalesDetail[Quantity (KG)],SalesDetail[Customer],$A257,SalesDetail[Year],2020)</f>
        <v>0</v>
      </c>
      <c r="N257" s="5">
        <f>SUMIFS(SalesDetail[Quantity (KG)],SalesDetail[Customer],$A257,SalesDetail[Year],2021)</f>
        <v>0</v>
      </c>
      <c r="O257" s="6">
        <f>SUM(B257:N257)</f>
        <v>170</v>
      </c>
    </row>
    <row r="258" spans="1:15" x14ac:dyDescent="0.3">
      <c r="A258" t="s">
        <v>1646</v>
      </c>
      <c r="B258" s="5">
        <f>SUMIFS(SalesDetail[Quantity (KG)],SalesDetail[Customer],$A258,SalesDetail[Year],2009)</f>
        <v>0</v>
      </c>
      <c r="C258" s="5">
        <f>SUMIFS(SalesDetail[Quantity (KG)],SalesDetail[Customer],$A258,SalesDetail[Year],2010)</f>
        <v>0</v>
      </c>
      <c r="D258" s="5">
        <f>SUMIFS(SalesDetail[Quantity (KG)],SalesDetail[Customer],$A258,SalesDetail[Year],2011)</f>
        <v>0</v>
      </c>
      <c r="E258" s="5">
        <f>SUMIFS(SalesDetail[Quantity (KG)],SalesDetail[Customer],$A258,SalesDetail[Year],2012)</f>
        <v>0</v>
      </c>
      <c r="F258" s="5">
        <f>SUMIFS(SalesDetail[Quantity (KG)],SalesDetail[Customer],$A258,SalesDetail[Year],2013)</f>
        <v>0</v>
      </c>
      <c r="G258" s="5">
        <f>SUMIFS(SalesDetail[Quantity (KG)],SalesDetail[Customer],$A258,SalesDetail[Year],2014)</f>
        <v>0</v>
      </c>
      <c r="H258" s="5">
        <f>SUMIFS(SalesDetail[Quantity (KG)],SalesDetail[Customer],$A258,SalesDetail[Year],2015)</f>
        <v>31.5</v>
      </c>
      <c r="I258" s="5">
        <f>SUMIFS(SalesDetail[Quantity (KG)],SalesDetail[Customer],$A258,SalesDetail[Year],2016)</f>
        <v>138</v>
      </c>
      <c r="J258" s="5">
        <f>SUMIFS(SalesDetail[Quantity (KG)],SalesDetail[Customer],$A258,SalesDetail[Year],2017)</f>
        <v>0</v>
      </c>
      <c r="K258" s="5">
        <f>SUMIFS(SalesDetail[Quantity (KG)],SalesDetail[Customer],$A258,SalesDetail[Year],2018)</f>
        <v>0</v>
      </c>
      <c r="L258" s="5">
        <f>SUMIFS(SalesDetail[Quantity (KG)],SalesDetail[Customer],$A258,SalesDetail[Year],2019)</f>
        <v>0</v>
      </c>
      <c r="M258" s="5">
        <f>SUMIFS(SalesDetail[Quantity (KG)],SalesDetail[Customer],$A258,SalesDetail[Year],2020)</f>
        <v>0</v>
      </c>
      <c r="N258" s="5">
        <f>SUMIFS(SalesDetail[Quantity (KG)],SalesDetail[Customer],$A258,SalesDetail[Year],2021)</f>
        <v>0</v>
      </c>
      <c r="O258" s="6">
        <f>SUM(B258:N258)</f>
        <v>169.5</v>
      </c>
    </row>
    <row r="259" spans="1:15" x14ac:dyDescent="0.3">
      <c r="A259" t="s">
        <v>1663</v>
      </c>
      <c r="B259" s="5">
        <f>SUMIFS(SalesDetail[Quantity (KG)],SalesDetail[Customer],$A259,SalesDetail[Year],2009)</f>
        <v>0</v>
      </c>
      <c r="C259" s="5">
        <f>SUMIFS(SalesDetail[Quantity (KG)],SalesDetail[Customer],$A259,SalesDetail[Year],2010)</f>
        <v>0</v>
      </c>
      <c r="D259" s="5">
        <f>SUMIFS(SalesDetail[Quantity (KG)],SalesDetail[Customer],$A259,SalesDetail[Year],2011)</f>
        <v>0</v>
      </c>
      <c r="E259" s="5">
        <f>SUMIFS(SalesDetail[Quantity (KG)],SalesDetail[Customer],$A259,SalesDetail[Year],2012)</f>
        <v>0</v>
      </c>
      <c r="F259" s="5">
        <f>SUMIFS(SalesDetail[Quantity (KG)],SalesDetail[Customer],$A259,SalesDetail[Year],2013)</f>
        <v>0</v>
      </c>
      <c r="G259" s="5">
        <f>SUMIFS(SalesDetail[Quantity (KG)],SalesDetail[Customer],$A259,SalesDetail[Year],2014)</f>
        <v>0</v>
      </c>
      <c r="H259" s="5">
        <f>SUMIFS(SalesDetail[Quantity (KG)],SalesDetail[Customer],$A259,SalesDetail[Year],2015)</f>
        <v>0</v>
      </c>
      <c r="I259" s="5">
        <f>SUMIFS(SalesDetail[Quantity (KG)],SalesDetail[Customer],$A259,SalesDetail[Year],2016)</f>
        <v>0</v>
      </c>
      <c r="J259" s="5">
        <f>SUMIFS(SalesDetail[Quantity (KG)],SalesDetail[Customer],$A259,SalesDetail[Year],2017)</f>
        <v>0</v>
      </c>
      <c r="K259" s="5">
        <f>SUMIFS(SalesDetail[Quantity (KG)],SalesDetail[Customer],$A259,SalesDetail[Year],2018)</f>
        <v>0</v>
      </c>
      <c r="L259" s="5">
        <f>SUMIFS(SalesDetail[Quantity (KG)],SalesDetail[Customer],$A259,SalesDetail[Year],2019)</f>
        <v>137</v>
      </c>
      <c r="M259" s="5">
        <f>SUMIFS(SalesDetail[Quantity (KG)],SalesDetail[Customer],$A259,SalesDetail[Year],2020)</f>
        <v>31</v>
      </c>
      <c r="N259" s="5">
        <f>SUMIFS(SalesDetail[Quantity (KG)],SalesDetail[Customer],$A259,SalesDetail[Year],2021)</f>
        <v>0</v>
      </c>
      <c r="O259" s="6">
        <f>SUM(B259:N259)</f>
        <v>168</v>
      </c>
    </row>
    <row r="260" spans="1:15" x14ac:dyDescent="0.3">
      <c r="A260" t="s">
        <v>1656</v>
      </c>
      <c r="B260" s="5">
        <f>SUMIFS(SalesDetail[Quantity (KG)],SalesDetail[Customer],$A260,SalesDetail[Year],2009)</f>
        <v>0</v>
      </c>
      <c r="C260" s="5">
        <f>SUMIFS(SalesDetail[Quantity (KG)],SalesDetail[Customer],$A260,SalesDetail[Year],2010)</f>
        <v>0</v>
      </c>
      <c r="D260" s="5">
        <f>SUMIFS(SalesDetail[Quantity (KG)],SalesDetail[Customer],$A260,SalesDetail[Year],2011)</f>
        <v>0</v>
      </c>
      <c r="E260" s="5">
        <f>SUMIFS(SalesDetail[Quantity (KG)],SalesDetail[Customer],$A260,SalesDetail[Year],2012)</f>
        <v>0</v>
      </c>
      <c r="F260" s="5">
        <f>SUMIFS(SalesDetail[Quantity (KG)],SalesDetail[Customer],$A260,SalesDetail[Year],2013)</f>
        <v>0</v>
      </c>
      <c r="G260" s="5">
        <f>SUMIFS(SalesDetail[Quantity (KG)],SalesDetail[Customer],$A260,SalesDetail[Year],2014)</f>
        <v>0</v>
      </c>
      <c r="H260" s="5">
        <f>SUMIFS(SalesDetail[Quantity (KG)],SalesDetail[Customer],$A260,SalesDetail[Year],2015)</f>
        <v>0</v>
      </c>
      <c r="I260" s="5">
        <f>SUMIFS(SalesDetail[Quantity (KG)],SalesDetail[Customer],$A260,SalesDetail[Year],2016)</f>
        <v>25</v>
      </c>
      <c r="J260" s="5">
        <f>SUMIFS(SalesDetail[Quantity (KG)],SalesDetail[Customer],$A260,SalesDetail[Year],2017)</f>
        <v>25</v>
      </c>
      <c r="K260" s="5">
        <f>SUMIFS(SalesDetail[Quantity (KG)],SalesDetail[Customer],$A260,SalesDetail[Year],2018)</f>
        <v>0</v>
      </c>
      <c r="L260" s="5">
        <f>SUMIFS(SalesDetail[Quantity (KG)],SalesDetail[Customer],$A260,SalesDetail[Year],2019)</f>
        <v>25</v>
      </c>
      <c r="M260" s="5">
        <f>SUMIFS(SalesDetail[Quantity (KG)],SalesDetail[Customer],$A260,SalesDetail[Year],2020)</f>
        <v>36</v>
      </c>
      <c r="N260" s="5">
        <f>SUMIFS(SalesDetail[Quantity (KG)],SalesDetail[Customer],$A260,SalesDetail[Year],2021)</f>
        <v>55</v>
      </c>
      <c r="O260" s="6">
        <f>SUM(B260:N260)</f>
        <v>166</v>
      </c>
    </row>
    <row r="261" spans="1:15" x14ac:dyDescent="0.3">
      <c r="A261" t="s">
        <v>2118</v>
      </c>
      <c r="B261" s="5">
        <f>SUMIFS(SalesDetail[Quantity (KG)],SalesDetail[Customer],$A261,SalesDetail[Year],2009)</f>
        <v>0</v>
      </c>
      <c r="C261" s="5">
        <f>SUMIFS(SalesDetail[Quantity (KG)],SalesDetail[Customer],$A261,SalesDetail[Year],2010)</f>
        <v>0</v>
      </c>
      <c r="D261" s="5">
        <f>SUMIFS(SalesDetail[Quantity (KG)],SalesDetail[Customer],$A261,SalesDetail[Year],2011)</f>
        <v>0</v>
      </c>
      <c r="E261" s="5">
        <f>SUMIFS(SalesDetail[Quantity (KG)],SalesDetail[Customer],$A261,SalesDetail[Year],2012)</f>
        <v>0</v>
      </c>
      <c r="F261" s="5">
        <f>SUMIFS(SalesDetail[Quantity (KG)],SalesDetail[Customer],$A261,SalesDetail[Year],2013)</f>
        <v>0</v>
      </c>
      <c r="G261" s="5">
        <f>SUMIFS(SalesDetail[Quantity (KG)],SalesDetail[Customer],$A261,SalesDetail[Year],2014)</f>
        <v>0</v>
      </c>
      <c r="H261" s="5">
        <f>SUMIFS(SalesDetail[Quantity (KG)],SalesDetail[Customer],$A261,SalesDetail[Year],2015)</f>
        <v>0</v>
      </c>
      <c r="I261" s="5">
        <f>SUMIFS(SalesDetail[Quantity (KG)],SalesDetail[Customer],$A261,SalesDetail[Year],2016)</f>
        <v>2</v>
      </c>
      <c r="J261" s="5">
        <f>SUMIFS(SalesDetail[Quantity (KG)],SalesDetail[Customer],$A261,SalesDetail[Year],2017)</f>
        <v>0</v>
      </c>
      <c r="K261" s="5">
        <f>SUMIFS(SalesDetail[Quantity (KG)],SalesDetail[Customer],$A261,SalesDetail[Year],2018)</f>
        <v>0</v>
      </c>
      <c r="L261" s="5">
        <f>SUMIFS(SalesDetail[Quantity (KG)],SalesDetail[Customer],$A261,SalesDetail[Year],2019)</f>
        <v>60</v>
      </c>
      <c r="M261" s="5">
        <f>SUMIFS(SalesDetail[Quantity (KG)],SalesDetail[Customer],$A261,SalesDetail[Year],2020)</f>
        <v>101</v>
      </c>
      <c r="N261" s="5">
        <f>SUMIFS(SalesDetail[Quantity (KG)],SalesDetail[Customer],$A261,SalesDetail[Year],2021)</f>
        <v>0</v>
      </c>
      <c r="O261" s="6">
        <f>SUM(B261:N261)</f>
        <v>163</v>
      </c>
    </row>
    <row r="262" spans="1:15" x14ac:dyDescent="0.3">
      <c r="A262" t="s">
        <v>2589</v>
      </c>
      <c r="B262" s="5">
        <f>SUMIFS(SalesDetail[Quantity (KG)],SalesDetail[Customer],$A262,SalesDetail[Year],2009)</f>
        <v>0</v>
      </c>
      <c r="C262" s="5">
        <f>SUMIFS(SalesDetail[Quantity (KG)],SalesDetail[Customer],$A262,SalesDetail[Year],2010)</f>
        <v>0</v>
      </c>
      <c r="D262" s="5">
        <f>SUMIFS(SalesDetail[Quantity (KG)],SalesDetail[Customer],$A262,SalesDetail[Year],2011)</f>
        <v>0</v>
      </c>
      <c r="E262" s="5">
        <f>SUMIFS(SalesDetail[Quantity (KG)],SalesDetail[Customer],$A262,SalesDetail[Year],2012)</f>
        <v>0</v>
      </c>
      <c r="F262" s="5">
        <f>SUMIFS(SalesDetail[Quantity (KG)],SalesDetail[Customer],$A262,SalesDetail[Year],2013)</f>
        <v>0</v>
      </c>
      <c r="G262" s="5">
        <f>SUMIFS(SalesDetail[Quantity (KG)],SalesDetail[Customer],$A262,SalesDetail[Year],2014)</f>
        <v>58</v>
      </c>
      <c r="H262" s="5">
        <f>SUMIFS(SalesDetail[Quantity (KG)],SalesDetail[Customer],$A262,SalesDetail[Year],2015)</f>
        <v>51</v>
      </c>
      <c r="I262" s="5">
        <f>SUMIFS(SalesDetail[Quantity (KG)],SalesDetail[Customer],$A262,SalesDetail[Year],2016)</f>
        <v>15</v>
      </c>
      <c r="J262" s="5">
        <f>SUMIFS(SalesDetail[Quantity (KG)],SalesDetail[Customer],$A262,SalesDetail[Year],2017)</f>
        <v>13</v>
      </c>
      <c r="K262" s="5">
        <f>SUMIFS(SalesDetail[Quantity (KG)],SalesDetail[Customer],$A262,SalesDetail[Year],2018)</f>
        <v>8</v>
      </c>
      <c r="L262" s="5">
        <f>SUMIFS(SalesDetail[Quantity (KG)],SalesDetail[Customer],$A262,SalesDetail[Year],2019)</f>
        <v>8</v>
      </c>
      <c r="M262" s="5">
        <f>SUMIFS(SalesDetail[Quantity (KG)],SalesDetail[Customer],$A262,SalesDetail[Year],2020)</f>
        <v>5.8</v>
      </c>
      <c r="N262" s="5">
        <f>SUMIFS(SalesDetail[Quantity (KG)],SalesDetail[Customer],$A262,SalesDetail[Year],2021)</f>
        <v>2</v>
      </c>
      <c r="O262" s="6">
        <f>SUM(B262:N262)</f>
        <v>160.80000000000001</v>
      </c>
    </row>
    <row r="263" spans="1:15" x14ac:dyDescent="0.3">
      <c r="A263" t="s">
        <v>2509</v>
      </c>
      <c r="B263" s="5">
        <f>SUMIFS(SalesDetail[Quantity (KG)],SalesDetail[Customer],$A263,SalesDetail[Year],2009)</f>
        <v>0</v>
      </c>
      <c r="C263" s="5">
        <f>SUMIFS(SalesDetail[Quantity (KG)],SalesDetail[Customer],$A263,SalesDetail[Year],2010)</f>
        <v>20</v>
      </c>
      <c r="D263" s="5">
        <f>SUMIFS(SalesDetail[Quantity (KG)],SalesDetail[Customer],$A263,SalesDetail[Year],2011)</f>
        <v>10</v>
      </c>
      <c r="E263" s="5">
        <f>SUMIFS(SalesDetail[Quantity (KG)],SalesDetail[Customer],$A263,SalesDetail[Year],2012)</f>
        <v>20</v>
      </c>
      <c r="F263" s="5">
        <f>SUMIFS(SalesDetail[Quantity (KG)],SalesDetail[Customer],$A263,SalesDetail[Year],2013)</f>
        <v>0</v>
      </c>
      <c r="G263" s="5">
        <f>SUMIFS(SalesDetail[Quantity (KG)],SalesDetail[Customer],$A263,SalesDetail[Year],2014)</f>
        <v>0</v>
      </c>
      <c r="H263" s="5">
        <f>SUMIFS(SalesDetail[Quantity (KG)],SalesDetail[Customer],$A263,SalesDetail[Year],2015)</f>
        <v>0</v>
      </c>
      <c r="I263" s="5">
        <f>SUMIFS(SalesDetail[Quantity (KG)],SalesDetail[Customer],$A263,SalesDetail[Year],2016)</f>
        <v>75</v>
      </c>
      <c r="J263" s="5">
        <f>SUMIFS(SalesDetail[Quantity (KG)],SalesDetail[Customer],$A263,SalesDetail[Year],2017)</f>
        <v>0</v>
      </c>
      <c r="K263" s="5">
        <f>SUMIFS(SalesDetail[Quantity (KG)],SalesDetail[Customer],$A263,SalesDetail[Year],2018)</f>
        <v>0</v>
      </c>
      <c r="L263" s="5">
        <f>SUMIFS(SalesDetail[Quantity (KG)],SalesDetail[Customer],$A263,SalesDetail[Year],2019)</f>
        <v>35</v>
      </c>
      <c r="M263" s="5">
        <f>SUMIFS(SalesDetail[Quantity (KG)],SalesDetail[Customer],$A263,SalesDetail[Year],2020)</f>
        <v>0</v>
      </c>
      <c r="N263" s="5">
        <f>SUMIFS(SalesDetail[Quantity (KG)],SalesDetail[Customer],$A263,SalesDetail[Year],2021)</f>
        <v>0</v>
      </c>
      <c r="O263" s="6">
        <f>SUM(B263:N263)</f>
        <v>160</v>
      </c>
    </row>
    <row r="264" spans="1:15" x14ac:dyDescent="0.3">
      <c r="A264" t="s">
        <v>704</v>
      </c>
      <c r="B264" s="5">
        <f>SUMIFS(SalesDetail[Quantity (KG)],SalesDetail[Customer],$A264,SalesDetail[Year],2009)</f>
        <v>0</v>
      </c>
      <c r="C264" s="5">
        <f>SUMIFS(SalesDetail[Quantity (KG)],SalesDetail[Customer],$A264,SalesDetail[Year],2010)</f>
        <v>0</v>
      </c>
      <c r="D264" s="5">
        <f>SUMIFS(SalesDetail[Quantity (KG)],SalesDetail[Customer],$A264,SalesDetail[Year],2011)</f>
        <v>0</v>
      </c>
      <c r="E264" s="5">
        <f>SUMIFS(SalesDetail[Quantity (KG)],SalesDetail[Customer],$A264,SalesDetail[Year],2012)</f>
        <v>0</v>
      </c>
      <c r="F264" s="5">
        <f>SUMIFS(SalesDetail[Quantity (KG)],SalesDetail[Customer],$A264,SalesDetail[Year],2013)</f>
        <v>0</v>
      </c>
      <c r="G264" s="5">
        <f>SUMIFS(SalesDetail[Quantity (KG)],SalesDetail[Customer],$A264,SalesDetail[Year],2014)</f>
        <v>0</v>
      </c>
      <c r="H264" s="5">
        <f>SUMIFS(SalesDetail[Quantity (KG)],SalesDetail[Customer],$A264,SalesDetail[Year],2015)</f>
        <v>0</v>
      </c>
      <c r="I264" s="5">
        <f>SUMIFS(SalesDetail[Quantity (KG)],SalesDetail[Customer],$A264,SalesDetail[Year],2016)</f>
        <v>0</v>
      </c>
      <c r="J264" s="5">
        <f>SUMIFS(SalesDetail[Quantity (KG)],SalesDetail[Customer],$A264,SalesDetail[Year],2017)</f>
        <v>0</v>
      </c>
      <c r="K264" s="5">
        <f>SUMIFS(SalesDetail[Quantity (KG)],SalesDetail[Customer],$A264,SalesDetail[Year],2018)</f>
        <v>3</v>
      </c>
      <c r="L264" s="5">
        <f>SUMIFS(SalesDetail[Quantity (KG)],SalesDetail[Customer],$A264,SalesDetail[Year],2019)</f>
        <v>94</v>
      </c>
      <c r="M264" s="5">
        <f>SUMIFS(SalesDetail[Quantity (KG)],SalesDetail[Customer],$A264,SalesDetail[Year],2020)</f>
        <v>60</v>
      </c>
      <c r="N264" s="5">
        <f>SUMIFS(SalesDetail[Quantity (KG)],SalesDetail[Customer],$A264,SalesDetail[Year],2021)</f>
        <v>0</v>
      </c>
      <c r="O264" s="6">
        <f>SUM(B264:N264)</f>
        <v>157</v>
      </c>
    </row>
    <row r="265" spans="1:15" x14ac:dyDescent="0.3">
      <c r="A265" t="s">
        <v>884</v>
      </c>
      <c r="B265" s="5">
        <f>SUMIFS(SalesDetail[Quantity (KG)],SalesDetail[Customer],$A265,SalesDetail[Year],2009)</f>
        <v>0</v>
      </c>
      <c r="C265" s="5">
        <f>SUMIFS(SalesDetail[Quantity (KG)],SalesDetail[Customer],$A265,SalesDetail[Year],2010)</f>
        <v>0</v>
      </c>
      <c r="D265" s="5">
        <f>SUMIFS(SalesDetail[Quantity (KG)],SalesDetail[Customer],$A265,SalesDetail[Year],2011)</f>
        <v>0</v>
      </c>
      <c r="E265" s="5">
        <f>SUMIFS(SalesDetail[Quantity (KG)],SalesDetail[Customer],$A265,SalesDetail[Year],2012)</f>
        <v>0</v>
      </c>
      <c r="F265" s="5">
        <f>SUMIFS(SalesDetail[Quantity (KG)],SalesDetail[Customer],$A265,SalesDetail[Year],2013)</f>
        <v>0</v>
      </c>
      <c r="G265" s="5">
        <f>SUMIFS(SalesDetail[Quantity (KG)],SalesDetail[Customer],$A265,SalesDetail[Year],2014)</f>
        <v>0</v>
      </c>
      <c r="H265" s="5">
        <f>SUMIFS(SalesDetail[Quantity (KG)],SalesDetail[Customer],$A265,SalesDetail[Year],2015)</f>
        <v>5</v>
      </c>
      <c r="I265" s="5">
        <f>SUMIFS(SalesDetail[Quantity (KG)],SalesDetail[Customer],$A265,SalesDetail[Year],2016)</f>
        <v>25</v>
      </c>
      <c r="J265" s="5">
        <f>SUMIFS(SalesDetail[Quantity (KG)],SalesDetail[Customer],$A265,SalesDetail[Year],2017)</f>
        <v>52</v>
      </c>
      <c r="K265" s="5">
        <f>SUMIFS(SalesDetail[Quantity (KG)],SalesDetail[Customer],$A265,SalesDetail[Year],2018)</f>
        <v>75</v>
      </c>
      <c r="L265" s="5">
        <f>SUMIFS(SalesDetail[Quantity (KG)],SalesDetail[Customer],$A265,SalesDetail[Year],2019)</f>
        <v>0</v>
      </c>
      <c r="M265" s="5">
        <f>SUMIFS(SalesDetail[Quantity (KG)],SalesDetail[Customer],$A265,SalesDetail[Year],2020)</f>
        <v>0</v>
      </c>
      <c r="N265" s="5">
        <f>SUMIFS(SalesDetail[Quantity (KG)],SalesDetail[Customer],$A265,SalesDetail[Year],2021)</f>
        <v>0</v>
      </c>
      <c r="O265" s="6">
        <f>SUM(B265:N265)</f>
        <v>157</v>
      </c>
    </row>
    <row r="266" spans="1:15" x14ac:dyDescent="0.3">
      <c r="A266" t="s">
        <v>1966</v>
      </c>
      <c r="B266" s="5">
        <f>SUMIFS(SalesDetail[Quantity (KG)],SalesDetail[Customer],$A266,SalesDetail[Year],2009)</f>
        <v>0</v>
      </c>
      <c r="C266" s="5">
        <f>SUMIFS(SalesDetail[Quantity (KG)],SalesDetail[Customer],$A266,SalesDetail[Year],2010)</f>
        <v>0</v>
      </c>
      <c r="D266" s="5">
        <f>SUMIFS(SalesDetail[Quantity (KG)],SalesDetail[Customer],$A266,SalesDetail[Year],2011)</f>
        <v>25</v>
      </c>
      <c r="E266" s="5">
        <f>SUMIFS(SalesDetail[Quantity (KG)],SalesDetail[Customer],$A266,SalesDetail[Year],2012)</f>
        <v>0</v>
      </c>
      <c r="F266" s="5">
        <f>SUMIFS(SalesDetail[Quantity (KG)],SalesDetail[Customer],$A266,SalesDetail[Year],2013)</f>
        <v>50</v>
      </c>
      <c r="G266" s="5">
        <f>SUMIFS(SalesDetail[Quantity (KG)],SalesDetail[Customer],$A266,SalesDetail[Year],2014)</f>
        <v>0</v>
      </c>
      <c r="H266" s="5">
        <f>SUMIFS(SalesDetail[Quantity (KG)],SalesDetail[Customer],$A266,SalesDetail[Year],2015)</f>
        <v>82</v>
      </c>
      <c r="I266" s="5">
        <f>SUMIFS(SalesDetail[Quantity (KG)],SalesDetail[Customer],$A266,SalesDetail[Year],2016)</f>
        <v>0</v>
      </c>
      <c r="J266" s="5">
        <f>SUMIFS(SalesDetail[Quantity (KG)],SalesDetail[Customer],$A266,SalesDetail[Year],2017)</f>
        <v>0</v>
      </c>
      <c r="K266" s="5">
        <f>SUMIFS(SalesDetail[Quantity (KG)],SalesDetail[Customer],$A266,SalesDetail[Year],2018)</f>
        <v>0</v>
      </c>
      <c r="L266" s="5">
        <f>SUMIFS(SalesDetail[Quantity (KG)],SalesDetail[Customer],$A266,SalesDetail[Year],2019)</f>
        <v>0</v>
      </c>
      <c r="M266" s="5">
        <f>SUMIFS(SalesDetail[Quantity (KG)],SalesDetail[Customer],$A266,SalesDetail[Year],2020)</f>
        <v>0</v>
      </c>
      <c r="N266" s="5">
        <f>SUMIFS(SalesDetail[Quantity (KG)],SalesDetail[Customer],$A266,SalesDetail[Year],2021)</f>
        <v>0</v>
      </c>
      <c r="O266" s="6">
        <f>SUM(B266:N266)</f>
        <v>157</v>
      </c>
    </row>
    <row r="267" spans="1:15" x14ac:dyDescent="0.3">
      <c r="A267" t="s">
        <v>1847</v>
      </c>
      <c r="B267" s="5">
        <f>SUMIFS(SalesDetail[Quantity (KG)],SalesDetail[Customer],$A267,SalesDetail[Year],2009)</f>
        <v>0</v>
      </c>
      <c r="C267" s="5">
        <f>SUMIFS(SalesDetail[Quantity (KG)],SalesDetail[Customer],$A267,SalesDetail[Year],2010)</f>
        <v>0</v>
      </c>
      <c r="D267" s="5">
        <f>SUMIFS(SalesDetail[Quantity (KG)],SalesDetail[Customer],$A267,SalesDetail[Year],2011)</f>
        <v>0</v>
      </c>
      <c r="E267" s="5">
        <f>SUMIFS(SalesDetail[Quantity (KG)],SalesDetail[Customer],$A267,SalesDetail[Year],2012)</f>
        <v>0</v>
      </c>
      <c r="F267" s="5">
        <f>SUMIFS(SalesDetail[Quantity (KG)],SalesDetail[Customer],$A267,SalesDetail[Year],2013)</f>
        <v>0</v>
      </c>
      <c r="G267" s="5">
        <f>SUMIFS(SalesDetail[Quantity (KG)],SalesDetail[Customer],$A267,SalesDetail[Year],2014)</f>
        <v>0</v>
      </c>
      <c r="H267" s="5">
        <f>SUMIFS(SalesDetail[Quantity (KG)],SalesDetail[Customer],$A267,SalesDetail[Year],2015)</f>
        <v>0</v>
      </c>
      <c r="I267" s="5">
        <f>SUMIFS(SalesDetail[Quantity (KG)],SalesDetail[Customer],$A267,SalesDetail[Year],2016)</f>
        <v>0</v>
      </c>
      <c r="J267" s="5">
        <f>SUMIFS(SalesDetail[Quantity (KG)],SalesDetail[Customer],$A267,SalesDetail[Year],2017)</f>
        <v>36</v>
      </c>
      <c r="K267" s="5">
        <f>SUMIFS(SalesDetail[Quantity (KG)],SalesDetail[Customer],$A267,SalesDetail[Year],2018)</f>
        <v>115</v>
      </c>
      <c r="L267" s="5">
        <f>SUMIFS(SalesDetail[Quantity (KG)],SalesDetail[Customer],$A267,SalesDetail[Year],2019)</f>
        <v>0</v>
      </c>
      <c r="M267" s="5">
        <f>SUMIFS(SalesDetail[Quantity (KG)],SalesDetail[Customer],$A267,SalesDetail[Year],2020)</f>
        <v>0</v>
      </c>
      <c r="N267" s="5">
        <f>SUMIFS(SalesDetail[Quantity (KG)],SalesDetail[Customer],$A267,SalesDetail[Year],2021)</f>
        <v>0</v>
      </c>
      <c r="O267" s="6">
        <f>SUM(B267:N267)</f>
        <v>151</v>
      </c>
    </row>
    <row r="268" spans="1:15" x14ac:dyDescent="0.3">
      <c r="A268" t="s">
        <v>1927</v>
      </c>
      <c r="B268" s="5">
        <f>SUMIFS(SalesDetail[Quantity (KG)],SalesDetail[Customer],$A268,SalesDetail[Year],2009)</f>
        <v>0</v>
      </c>
      <c r="C268" s="5">
        <f>SUMIFS(SalesDetail[Quantity (KG)],SalesDetail[Customer],$A268,SalesDetail[Year],2010)</f>
        <v>0</v>
      </c>
      <c r="D268" s="5">
        <f>SUMIFS(SalesDetail[Quantity (KG)],SalesDetail[Customer],$A268,SalesDetail[Year],2011)</f>
        <v>0</v>
      </c>
      <c r="E268" s="5">
        <f>SUMIFS(SalesDetail[Quantity (KG)],SalesDetail[Customer],$A268,SalesDetail[Year],2012)</f>
        <v>0</v>
      </c>
      <c r="F268" s="5">
        <f>SUMIFS(SalesDetail[Quantity (KG)],SalesDetail[Customer],$A268,SalesDetail[Year],2013)</f>
        <v>0</v>
      </c>
      <c r="G268" s="5">
        <f>SUMIFS(SalesDetail[Quantity (KG)],SalesDetail[Customer],$A268,SalesDetail[Year],2014)</f>
        <v>0</v>
      </c>
      <c r="H268" s="5">
        <f>SUMIFS(SalesDetail[Quantity (KG)],SalesDetail[Customer],$A268,SalesDetail[Year],2015)</f>
        <v>0</v>
      </c>
      <c r="I268" s="5">
        <f>SUMIFS(SalesDetail[Quantity (KG)],SalesDetail[Customer],$A268,SalesDetail[Year],2016)</f>
        <v>0</v>
      </c>
      <c r="J268" s="5">
        <f>SUMIFS(SalesDetail[Quantity (KG)],SalesDetail[Customer],$A268,SalesDetail[Year],2017)</f>
        <v>18</v>
      </c>
      <c r="K268" s="5">
        <f>SUMIFS(SalesDetail[Quantity (KG)],SalesDetail[Customer],$A268,SalesDetail[Year],2018)</f>
        <v>80</v>
      </c>
      <c r="L268" s="5">
        <f>SUMIFS(SalesDetail[Quantity (KG)],SalesDetail[Customer],$A268,SalesDetail[Year],2019)</f>
        <v>26</v>
      </c>
      <c r="M268" s="5">
        <f>SUMIFS(SalesDetail[Quantity (KG)],SalesDetail[Customer],$A268,SalesDetail[Year],2020)</f>
        <v>26</v>
      </c>
      <c r="N268" s="5">
        <f>SUMIFS(SalesDetail[Quantity (KG)],SalesDetail[Customer],$A268,SalesDetail[Year],2021)</f>
        <v>0</v>
      </c>
      <c r="O268" s="6">
        <f>SUM(B268:N268)</f>
        <v>150</v>
      </c>
    </row>
    <row r="269" spans="1:15" x14ac:dyDescent="0.3">
      <c r="A269" t="s">
        <v>2295</v>
      </c>
      <c r="B269" s="5">
        <f>SUMIFS(SalesDetail[Quantity (KG)],SalesDetail[Customer],$A269,SalesDetail[Year],2009)</f>
        <v>0</v>
      </c>
      <c r="C269" s="5">
        <f>SUMIFS(SalesDetail[Quantity (KG)],SalesDetail[Customer],$A269,SalesDetail[Year],2010)</f>
        <v>0</v>
      </c>
      <c r="D269" s="5">
        <f>SUMIFS(SalesDetail[Quantity (KG)],SalesDetail[Customer],$A269,SalesDetail[Year],2011)</f>
        <v>0</v>
      </c>
      <c r="E269" s="5">
        <f>SUMIFS(SalesDetail[Quantity (KG)],SalesDetail[Customer],$A269,SalesDetail[Year],2012)</f>
        <v>0</v>
      </c>
      <c r="F269" s="5">
        <f>SUMIFS(SalesDetail[Quantity (KG)],SalesDetail[Customer],$A269,SalesDetail[Year],2013)</f>
        <v>0</v>
      </c>
      <c r="G269" s="5">
        <f>SUMIFS(SalesDetail[Quantity (KG)],SalesDetail[Customer],$A269,SalesDetail[Year],2014)</f>
        <v>0</v>
      </c>
      <c r="H269" s="5">
        <f>SUMIFS(SalesDetail[Quantity (KG)],SalesDetail[Customer],$A269,SalesDetail[Year],2015)</f>
        <v>20</v>
      </c>
      <c r="I269" s="5">
        <f>SUMIFS(SalesDetail[Quantity (KG)],SalesDetail[Customer],$A269,SalesDetail[Year],2016)</f>
        <v>80</v>
      </c>
      <c r="J269" s="5">
        <f>SUMIFS(SalesDetail[Quantity (KG)],SalesDetail[Customer],$A269,SalesDetail[Year],2017)</f>
        <v>0</v>
      </c>
      <c r="K269" s="5">
        <f>SUMIFS(SalesDetail[Quantity (KG)],SalesDetail[Customer],$A269,SalesDetail[Year],2018)</f>
        <v>0</v>
      </c>
      <c r="L269" s="5">
        <f>SUMIFS(SalesDetail[Quantity (KG)],SalesDetail[Customer],$A269,SalesDetail[Year],2019)</f>
        <v>0</v>
      </c>
      <c r="M269" s="5">
        <f>SUMIFS(SalesDetail[Quantity (KG)],SalesDetail[Customer],$A269,SalesDetail[Year],2020)</f>
        <v>50</v>
      </c>
      <c r="N269" s="5">
        <f>SUMIFS(SalesDetail[Quantity (KG)],SalesDetail[Customer],$A269,SalesDetail[Year],2021)</f>
        <v>0</v>
      </c>
      <c r="O269" s="6">
        <f>SUM(B269:N269)</f>
        <v>150</v>
      </c>
    </row>
    <row r="270" spans="1:15" x14ac:dyDescent="0.3">
      <c r="A270" t="s">
        <v>2566</v>
      </c>
      <c r="B270" s="5">
        <f>SUMIFS(SalesDetail[Quantity (KG)],SalesDetail[Customer],$A270,SalesDetail[Year],2009)</f>
        <v>0</v>
      </c>
      <c r="C270" s="5">
        <f>SUMIFS(SalesDetail[Quantity (KG)],SalesDetail[Customer],$A270,SalesDetail[Year],2010)</f>
        <v>0</v>
      </c>
      <c r="D270" s="5">
        <f>SUMIFS(SalesDetail[Quantity (KG)],SalesDetail[Customer],$A270,SalesDetail[Year],2011)</f>
        <v>0</v>
      </c>
      <c r="E270" s="5">
        <f>SUMIFS(SalesDetail[Quantity (KG)],SalesDetail[Customer],$A270,SalesDetail[Year],2012)</f>
        <v>0</v>
      </c>
      <c r="F270" s="5">
        <f>SUMIFS(SalesDetail[Quantity (KG)],SalesDetail[Customer],$A270,SalesDetail[Year],2013)</f>
        <v>0</v>
      </c>
      <c r="G270" s="5">
        <f>SUMIFS(SalesDetail[Quantity (KG)],SalesDetail[Customer],$A270,SalesDetail[Year],2014)</f>
        <v>0</v>
      </c>
      <c r="H270" s="5">
        <f>SUMIFS(SalesDetail[Quantity (KG)],SalesDetail[Customer],$A270,SalesDetail[Year],2015)</f>
        <v>0</v>
      </c>
      <c r="I270" s="5">
        <f>SUMIFS(SalesDetail[Quantity (KG)],SalesDetail[Customer],$A270,SalesDetail[Year],2016)</f>
        <v>100</v>
      </c>
      <c r="J270" s="5">
        <f>SUMIFS(SalesDetail[Quantity (KG)],SalesDetail[Customer],$A270,SalesDetail[Year],2017)</f>
        <v>50</v>
      </c>
      <c r="K270" s="5">
        <f>SUMIFS(SalesDetail[Quantity (KG)],SalesDetail[Customer],$A270,SalesDetail[Year],2018)</f>
        <v>0</v>
      </c>
      <c r="L270" s="5">
        <f>SUMIFS(SalesDetail[Quantity (KG)],SalesDetail[Customer],$A270,SalesDetail[Year],2019)</f>
        <v>0</v>
      </c>
      <c r="M270" s="5">
        <f>SUMIFS(SalesDetail[Quantity (KG)],SalesDetail[Customer],$A270,SalesDetail[Year],2020)</f>
        <v>0</v>
      </c>
      <c r="N270" s="5">
        <f>SUMIFS(SalesDetail[Quantity (KG)],SalesDetail[Customer],$A270,SalesDetail[Year],2021)</f>
        <v>0</v>
      </c>
      <c r="O270" s="6">
        <f>SUM(B270:N270)</f>
        <v>150</v>
      </c>
    </row>
    <row r="271" spans="1:15" x14ac:dyDescent="0.3">
      <c r="A271" t="s">
        <v>2410</v>
      </c>
      <c r="B271" s="5">
        <f>SUMIFS(SalesDetail[Quantity (KG)],SalesDetail[Customer],$A271,SalesDetail[Year],2009)</f>
        <v>0</v>
      </c>
      <c r="C271" s="5">
        <f>SUMIFS(SalesDetail[Quantity (KG)],SalesDetail[Customer],$A271,SalesDetail[Year],2010)</f>
        <v>0</v>
      </c>
      <c r="D271" s="5">
        <f>SUMIFS(SalesDetail[Quantity (KG)],SalesDetail[Customer],$A271,SalesDetail[Year],2011)</f>
        <v>0</v>
      </c>
      <c r="E271" s="5">
        <f>SUMIFS(SalesDetail[Quantity (KG)],SalesDetail[Customer],$A271,SalesDetail[Year],2012)</f>
        <v>0</v>
      </c>
      <c r="F271" s="5">
        <f>SUMIFS(SalesDetail[Quantity (KG)],SalesDetail[Customer],$A271,SalesDetail[Year],2013)</f>
        <v>0</v>
      </c>
      <c r="G271" s="5">
        <f>SUMIFS(SalesDetail[Quantity (KG)],SalesDetail[Customer],$A271,SalesDetail[Year],2014)</f>
        <v>0</v>
      </c>
      <c r="H271" s="5">
        <f>SUMIFS(SalesDetail[Quantity (KG)],SalesDetail[Customer],$A271,SalesDetail[Year],2015)</f>
        <v>0</v>
      </c>
      <c r="I271" s="5">
        <f>SUMIFS(SalesDetail[Quantity (KG)],SalesDetail[Customer],$A271,SalesDetail[Year],2016)</f>
        <v>148</v>
      </c>
      <c r="J271" s="5">
        <f>SUMIFS(SalesDetail[Quantity (KG)],SalesDetail[Customer],$A271,SalesDetail[Year],2017)</f>
        <v>0</v>
      </c>
      <c r="K271" s="5">
        <f>SUMIFS(SalesDetail[Quantity (KG)],SalesDetail[Customer],$A271,SalesDetail[Year],2018)</f>
        <v>0</v>
      </c>
      <c r="L271" s="5">
        <f>SUMIFS(SalesDetail[Quantity (KG)],SalesDetail[Customer],$A271,SalesDetail[Year],2019)</f>
        <v>0</v>
      </c>
      <c r="M271" s="5">
        <f>SUMIFS(SalesDetail[Quantity (KG)],SalesDetail[Customer],$A271,SalesDetail[Year],2020)</f>
        <v>0</v>
      </c>
      <c r="N271" s="5">
        <f>SUMIFS(SalesDetail[Quantity (KG)],SalesDetail[Customer],$A271,SalesDetail[Year],2021)</f>
        <v>0</v>
      </c>
      <c r="O271" s="6">
        <f>SUM(B271:N271)</f>
        <v>148</v>
      </c>
    </row>
    <row r="272" spans="1:15" x14ac:dyDescent="0.3">
      <c r="A272" t="s">
        <v>1964</v>
      </c>
      <c r="B272" s="5">
        <f>SUMIFS(SalesDetail[Quantity (KG)],SalesDetail[Customer],$A272,SalesDetail[Year],2009)</f>
        <v>0</v>
      </c>
      <c r="C272" s="5">
        <f>SUMIFS(SalesDetail[Quantity (KG)],SalesDetail[Customer],$A272,SalesDetail[Year],2010)</f>
        <v>0</v>
      </c>
      <c r="D272" s="5">
        <f>SUMIFS(SalesDetail[Quantity (KG)],SalesDetail[Customer],$A272,SalesDetail[Year],2011)</f>
        <v>0</v>
      </c>
      <c r="E272" s="5">
        <f>SUMIFS(SalesDetail[Quantity (KG)],SalesDetail[Customer],$A272,SalesDetail[Year],2012)</f>
        <v>0</v>
      </c>
      <c r="F272" s="5">
        <f>SUMIFS(SalesDetail[Quantity (KG)],SalesDetail[Customer],$A272,SalesDetail[Year],2013)</f>
        <v>0</v>
      </c>
      <c r="G272" s="5">
        <f>SUMIFS(SalesDetail[Quantity (KG)],SalesDetail[Customer],$A272,SalesDetail[Year],2014)</f>
        <v>0</v>
      </c>
      <c r="H272" s="5">
        <f>SUMIFS(SalesDetail[Quantity (KG)],SalesDetail[Customer],$A272,SalesDetail[Year],2015)</f>
        <v>0</v>
      </c>
      <c r="I272" s="5">
        <f>SUMIFS(SalesDetail[Quantity (KG)],SalesDetail[Customer],$A272,SalesDetail[Year],2016)</f>
        <v>50</v>
      </c>
      <c r="J272" s="5">
        <f>SUMIFS(SalesDetail[Quantity (KG)],SalesDetail[Customer],$A272,SalesDetail[Year],2017)</f>
        <v>0</v>
      </c>
      <c r="K272" s="5">
        <f>SUMIFS(SalesDetail[Quantity (KG)],SalesDetail[Customer],$A272,SalesDetail[Year],2018)</f>
        <v>25</v>
      </c>
      <c r="L272" s="5">
        <f>SUMIFS(SalesDetail[Quantity (KG)],SalesDetail[Customer],$A272,SalesDetail[Year],2019)</f>
        <v>45</v>
      </c>
      <c r="M272" s="5">
        <f>SUMIFS(SalesDetail[Quantity (KG)],SalesDetail[Customer],$A272,SalesDetail[Year],2020)</f>
        <v>25</v>
      </c>
      <c r="N272" s="5">
        <f>SUMIFS(SalesDetail[Quantity (KG)],SalesDetail[Customer],$A272,SalesDetail[Year],2021)</f>
        <v>0</v>
      </c>
      <c r="O272" s="6">
        <f>SUM(B272:N272)</f>
        <v>145</v>
      </c>
    </row>
    <row r="273" spans="1:15" x14ac:dyDescent="0.3">
      <c r="A273" t="s">
        <v>2296</v>
      </c>
      <c r="B273" s="5">
        <f>SUMIFS(SalesDetail[Quantity (KG)],SalesDetail[Customer],$A273,SalesDetail[Year],2009)</f>
        <v>0</v>
      </c>
      <c r="C273" s="5">
        <f>SUMIFS(SalesDetail[Quantity (KG)],SalesDetail[Customer],$A273,SalesDetail[Year],2010)</f>
        <v>0</v>
      </c>
      <c r="D273" s="5">
        <f>SUMIFS(SalesDetail[Quantity (KG)],SalesDetail[Customer],$A273,SalesDetail[Year],2011)</f>
        <v>0</v>
      </c>
      <c r="E273" s="5">
        <f>SUMIFS(SalesDetail[Quantity (KG)],SalesDetail[Customer],$A273,SalesDetail[Year],2012)</f>
        <v>0</v>
      </c>
      <c r="F273" s="5">
        <f>SUMIFS(SalesDetail[Quantity (KG)],SalesDetail[Customer],$A273,SalesDetail[Year],2013)</f>
        <v>0</v>
      </c>
      <c r="G273" s="5">
        <f>SUMIFS(SalesDetail[Quantity (KG)],SalesDetail[Customer],$A273,SalesDetail[Year],2014)</f>
        <v>60</v>
      </c>
      <c r="H273" s="5">
        <f>SUMIFS(SalesDetail[Quantity (KG)],SalesDetail[Customer],$A273,SalesDetail[Year],2015)</f>
        <v>15</v>
      </c>
      <c r="I273" s="5">
        <f>SUMIFS(SalesDetail[Quantity (KG)],SalesDetail[Customer],$A273,SalesDetail[Year],2016)</f>
        <v>0</v>
      </c>
      <c r="J273" s="5">
        <f>SUMIFS(SalesDetail[Quantity (KG)],SalesDetail[Customer],$A273,SalesDetail[Year],2017)</f>
        <v>0</v>
      </c>
      <c r="K273" s="5">
        <f>SUMIFS(SalesDetail[Quantity (KG)],SalesDetail[Customer],$A273,SalesDetail[Year],2018)</f>
        <v>0</v>
      </c>
      <c r="L273" s="5">
        <f>SUMIFS(SalesDetail[Quantity (KG)],SalesDetail[Customer],$A273,SalesDetail[Year],2019)</f>
        <v>30</v>
      </c>
      <c r="M273" s="5">
        <f>SUMIFS(SalesDetail[Quantity (KG)],SalesDetail[Customer],$A273,SalesDetail[Year],2020)</f>
        <v>15</v>
      </c>
      <c r="N273" s="5">
        <f>SUMIFS(SalesDetail[Quantity (KG)],SalesDetail[Customer],$A273,SalesDetail[Year],2021)</f>
        <v>25</v>
      </c>
      <c r="O273" s="6">
        <f>SUM(B273:N273)</f>
        <v>145</v>
      </c>
    </row>
    <row r="274" spans="1:15" x14ac:dyDescent="0.3">
      <c r="A274" t="s">
        <v>601</v>
      </c>
      <c r="B274" s="5">
        <f>SUMIFS(SalesDetail[Quantity (KG)],SalesDetail[Customer],$A274,SalesDetail[Year],2009)</f>
        <v>0</v>
      </c>
      <c r="C274" s="5">
        <f>SUMIFS(SalesDetail[Quantity (KG)],SalesDetail[Customer],$A274,SalesDetail[Year],2010)</f>
        <v>0</v>
      </c>
      <c r="D274" s="5">
        <f>SUMIFS(SalesDetail[Quantity (KG)],SalesDetail[Customer],$A274,SalesDetail[Year],2011)</f>
        <v>0</v>
      </c>
      <c r="E274" s="5">
        <f>SUMIFS(SalesDetail[Quantity (KG)],SalesDetail[Customer],$A274,SalesDetail[Year],2012)</f>
        <v>0</v>
      </c>
      <c r="F274" s="5">
        <f>SUMIFS(SalesDetail[Quantity (KG)],SalesDetail[Customer],$A274,SalesDetail[Year],2013)</f>
        <v>0</v>
      </c>
      <c r="G274" s="5">
        <f>SUMIFS(SalesDetail[Quantity (KG)],SalesDetail[Customer],$A274,SalesDetail[Year],2014)</f>
        <v>0</v>
      </c>
      <c r="H274" s="5">
        <f>SUMIFS(SalesDetail[Quantity (KG)],SalesDetail[Customer],$A274,SalesDetail[Year],2015)</f>
        <v>0</v>
      </c>
      <c r="I274" s="5">
        <f>SUMIFS(SalesDetail[Quantity (KG)],SalesDetail[Customer],$A274,SalesDetail[Year],2016)</f>
        <v>0</v>
      </c>
      <c r="J274" s="5">
        <f>SUMIFS(SalesDetail[Quantity (KG)],SalesDetail[Customer],$A274,SalesDetail[Year],2017)</f>
        <v>0</v>
      </c>
      <c r="K274" s="5">
        <f>SUMIFS(SalesDetail[Quantity (KG)],SalesDetail[Customer],$A274,SalesDetail[Year],2018)</f>
        <v>0</v>
      </c>
      <c r="L274" s="5">
        <f>SUMIFS(SalesDetail[Quantity (KG)],SalesDetail[Customer],$A274,SalesDetail[Year],2019)</f>
        <v>0</v>
      </c>
      <c r="M274" s="5">
        <f>SUMIFS(SalesDetail[Quantity (KG)],SalesDetail[Customer],$A274,SalesDetail[Year],2020)</f>
        <v>86</v>
      </c>
      <c r="N274" s="5">
        <f>SUMIFS(SalesDetail[Quantity (KG)],SalesDetail[Customer],$A274,SalesDetail[Year],2021)</f>
        <v>56</v>
      </c>
      <c r="O274" s="6">
        <f>SUM(B274:N274)</f>
        <v>142</v>
      </c>
    </row>
    <row r="275" spans="1:15" x14ac:dyDescent="0.3">
      <c r="A275" t="s">
        <v>827</v>
      </c>
      <c r="B275" s="5">
        <f>SUMIFS(SalesDetail[Quantity (KG)],SalesDetail[Customer],$A275,SalesDetail[Year],2009)</f>
        <v>0</v>
      </c>
      <c r="C275" s="5">
        <f>SUMIFS(SalesDetail[Quantity (KG)],SalesDetail[Customer],$A275,SalesDetail[Year],2010)</f>
        <v>0</v>
      </c>
      <c r="D275" s="5">
        <f>SUMIFS(SalesDetail[Quantity (KG)],SalesDetail[Customer],$A275,SalesDetail[Year],2011)</f>
        <v>0</v>
      </c>
      <c r="E275" s="5">
        <f>SUMIFS(SalesDetail[Quantity (KG)],SalesDetail[Customer],$A275,SalesDetail[Year],2012)</f>
        <v>0</v>
      </c>
      <c r="F275" s="5">
        <f>SUMIFS(SalesDetail[Quantity (KG)],SalesDetail[Customer],$A275,SalesDetail[Year],2013)</f>
        <v>120</v>
      </c>
      <c r="G275" s="5">
        <f>SUMIFS(SalesDetail[Quantity (KG)],SalesDetail[Customer],$A275,SalesDetail[Year],2014)</f>
        <v>20</v>
      </c>
      <c r="H275" s="5">
        <f>SUMIFS(SalesDetail[Quantity (KG)],SalesDetail[Customer],$A275,SalesDetail[Year],2015)</f>
        <v>0</v>
      </c>
      <c r="I275" s="5">
        <f>SUMIFS(SalesDetail[Quantity (KG)],SalesDetail[Customer],$A275,SalesDetail[Year],2016)</f>
        <v>1</v>
      </c>
      <c r="J275" s="5">
        <f>SUMIFS(SalesDetail[Quantity (KG)],SalesDetail[Customer],$A275,SalesDetail[Year],2017)</f>
        <v>0</v>
      </c>
      <c r="K275" s="5">
        <f>SUMIFS(SalesDetail[Quantity (KG)],SalesDetail[Customer],$A275,SalesDetail[Year],2018)</f>
        <v>0</v>
      </c>
      <c r="L275" s="5">
        <f>SUMIFS(SalesDetail[Quantity (KG)],SalesDetail[Customer],$A275,SalesDetail[Year],2019)</f>
        <v>0</v>
      </c>
      <c r="M275" s="5">
        <f>SUMIFS(SalesDetail[Quantity (KG)],SalesDetail[Customer],$A275,SalesDetail[Year],2020)</f>
        <v>0</v>
      </c>
      <c r="N275" s="5">
        <f>SUMIFS(SalesDetail[Quantity (KG)],SalesDetail[Customer],$A275,SalesDetail[Year],2021)</f>
        <v>0</v>
      </c>
      <c r="O275" s="6">
        <f>SUM(B275:N275)</f>
        <v>141</v>
      </c>
    </row>
    <row r="276" spans="1:15" x14ac:dyDescent="0.3">
      <c r="A276" t="s">
        <v>2245</v>
      </c>
      <c r="B276" s="5">
        <f>SUMIFS(SalesDetail[Quantity (KG)],SalesDetail[Customer],$A276,SalesDetail[Year],2009)</f>
        <v>0</v>
      </c>
      <c r="C276" s="5">
        <f>SUMIFS(SalesDetail[Quantity (KG)],SalesDetail[Customer],$A276,SalesDetail[Year],2010)</f>
        <v>0</v>
      </c>
      <c r="D276" s="5">
        <f>SUMIFS(SalesDetail[Quantity (KG)],SalesDetail[Customer],$A276,SalesDetail[Year],2011)</f>
        <v>0</v>
      </c>
      <c r="E276" s="5">
        <f>SUMIFS(SalesDetail[Quantity (KG)],SalesDetail[Customer],$A276,SalesDetail[Year],2012)</f>
        <v>0</v>
      </c>
      <c r="F276" s="5">
        <f>SUMIFS(SalesDetail[Quantity (KG)],SalesDetail[Customer],$A276,SalesDetail[Year],2013)</f>
        <v>40</v>
      </c>
      <c r="G276" s="5">
        <f>SUMIFS(SalesDetail[Quantity (KG)],SalesDetail[Customer],$A276,SalesDetail[Year],2014)</f>
        <v>100</v>
      </c>
      <c r="H276" s="5">
        <f>SUMIFS(SalesDetail[Quantity (KG)],SalesDetail[Customer],$A276,SalesDetail[Year],2015)</f>
        <v>0</v>
      </c>
      <c r="I276" s="5">
        <f>SUMIFS(SalesDetail[Quantity (KG)],SalesDetail[Customer],$A276,SalesDetail[Year],2016)</f>
        <v>0</v>
      </c>
      <c r="J276" s="5">
        <f>SUMIFS(SalesDetail[Quantity (KG)],SalesDetail[Customer],$A276,SalesDetail[Year],2017)</f>
        <v>0</v>
      </c>
      <c r="K276" s="5">
        <f>SUMIFS(SalesDetail[Quantity (KG)],SalesDetail[Customer],$A276,SalesDetail[Year],2018)</f>
        <v>0</v>
      </c>
      <c r="L276" s="5">
        <f>SUMIFS(SalesDetail[Quantity (KG)],SalesDetail[Customer],$A276,SalesDetail[Year],2019)</f>
        <v>0</v>
      </c>
      <c r="M276" s="5">
        <f>SUMIFS(SalesDetail[Quantity (KG)],SalesDetail[Customer],$A276,SalesDetail[Year],2020)</f>
        <v>0</v>
      </c>
      <c r="N276" s="5">
        <f>SUMIFS(SalesDetail[Quantity (KG)],SalesDetail[Customer],$A276,SalesDetail[Year],2021)</f>
        <v>0</v>
      </c>
      <c r="O276" s="6">
        <f>SUM(B276:N276)</f>
        <v>140</v>
      </c>
    </row>
    <row r="277" spans="1:15" x14ac:dyDescent="0.3">
      <c r="A277" t="s">
        <v>50</v>
      </c>
      <c r="B277" s="5">
        <f>SUMIFS(SalesDetail[Quantity (KG)],SalesDetail[Customer],$A277,SalesDetail[Year],2009)</f>
        <v>0</v>
      </c>
      <c r="C277" s="5">
        <f>SUMIFS(SalesDetail[Quantity (KG)],SalesDetail[Customer],$A277,SalesDetail[Year],2010)</f>
        <v>0</v>
      </c>
      <c r="D277" s="5">
        <f>SUMIFS(SalesDetail[Quantity (KG)],SalesDetail[Customer],$A277,SalesDetail[Year],2011)</f>
        <v>0</v>
      </c>
      <c r="E277" s="5">
        <f>SUMIFS(SalesDetail[Quantity (KG)],SalesDetail[Customer],$A277,SalesDetail[Year],2012)</f>
        <v>0</v>
      </c>
      <c r="F277" s="5">
        <f>SUMIFS(SalesDetail[Quantity (KG)],SalesDetail[Customer],$A277,SalesDetail[Year],2013)</f>
        <v>0</v>
      </c>
      <c r="G277" s="5">
        <f>SUMIFS(SalesDetail[Quantity (KG)],SalesDetail[Customer],$A277,SalesDetail[Year],2014)</f>
        <v>0</v>
      </c>
      <c r="H277" s="5">
        <f>SUMIFS(SalesDetail[Quantity (KG)],SalesDetail[Customer],$A277,SalesDetail[Year],2015)</f>
        <v>0</v>
      </c>
      <c r="I277" s="5">
        <f>SUMIFS(SalesDetail[Quantity (KG)],SalesDetail[Customer],$A277,SalesDetail[Year],2016)</f>
        <v>0</v>
      </c>
      <c r="J277" s="5">
        <f>SUMIFS(SalesDetail[Quantity (KG)],SalesDetail[Customer],$A277,SalesDetail[Year],2017)</f>
        <v>0</v>
      </c>
      <c r="K277" s="5">
        <f>SUMIFS(SalesDetail[Quantity (KG)],SalesDetail[Customer],$A277,SalesDetail[Year],2018)</f>
        <v>11</v>
      </c>
      <c r="L277" s="5">
        <f>SUMIFS(SalesDetail[Quantity (KG)],SalesDetail[Customer],$A277,SalesDetail[Year],2019)</f>
        <v>80</v>
      </c>
      <c r="M277" s="5">
        <f>SUMIFS(SalesDetail[Quantity (KG)],SalesDetail[Customer],$A277,SalesDetail[Year],2020)</f>
        <v>31</v>
      </c>
      <c r="N277" s="5">
        <f>SUMIFS(SalesDetail[Quantity (KG)],SalesDetail[Customer],$A277,SalesDetail[Year],2021)</f>
        <v>15</v>
      </c>
      <c r="O277" s="6">
        <f>SUM(B277:N277)</f>
        <v>137</v>
      </c>
    </row>
    <row r="278" spans="1:15" x14ac:dyDescent="0.3">
      <c r="A278" t="s">
        <v>2252</v>
      </c>
      <c r="B278" s="5">
        <f>SUMIFS(SalesDetail[Quantity (KG)],SalesDetail[Customer],$A278,SalesDetail[Year],2009)</f>
        <v>0</v>
      </c>
      <c r="C278" s="5">
        <f>SUMIFS(SalesDetail[Quantity (KG)],SalesDetail[Customer],$A278,SalesDetail[Year],2010)</f>
        <v>0</v>
      </c>
      <c r="D278" s="5">
        <f>SUMIFS(SalesDetail[Quantity (KG)],SalesDetail[Customer],$A278,SalesDetail[Year],2011)</f>
        <v>0</v>
      </c>
      <c r="E278" s="5">
        <f>SUMIFS(SalesDetail[Quantity (KG)],SalesDetail[Customer],$A278,SalesDetail[Year],2012)</f>
        <v>0</v>
      </c>
      <c r="F278" s="5">
        <f>SUMIFS(SalesDetail[Quantity (KG)],SalesDetail[Customer],$A278,SalesDetail[Year],2013)</f>
        <v>65</v>
      </c>
      <c r="G278" s="5">
        <f>SUMIFS(SalesDetail[Quantity (KG)],SalesDetail[Customer],$A278,SalesDetail[Year],2014)</f>
        <v>0</v>
      </c>
      <c r="H278" s="5">
        <f>SUMIFS(SalesDetail[Quantity (KG)],SalesDetail[Customer],$A278,SalesDetail[Year],2015)</f>
        <v>0</v>
      </c>
      <c r="I278" s="5">
        <f>SUMIFS(SalesDetail[Quantity (KG)],SalesDetail[Customer],$A278,SalesDetail[Year],2016)</f>
        <v>25</v>
      </c>
      <c r="J278" s="5">
        <f>SUMIFS(SalesDetail[Quantity (KG)],SalesDetail[Customer],$A278,SalesDetail[Year],2017)</f>
        <v>0</v>
      </c>
      <c r="K278" s="5">
        <f>SUMIFS(SalesDetail[Quantity (KG)],SalesDetail[Customer],$A278,SalesDetail[Year],2018)</f>
        <v>27</v>
      </c>
      <c r="L278" s="5">
        <f>SUMIFS(SalesDetail[Quantity (KG)],SalesDetail[Customer],$A278,SalesDetail[Year],2019)</f>
        <v>20</v>
      </c>
      <c r="M278" s="5">
        <f>SUMIFS(SalesDetail[Quantity (KG)],SalesDetail[Customer],$A278,SalesDetail[Year],2020)</f>
        <v>0</v>
      </c>
      <c r="N278" s="5">
        <f>SUMIFS(SalesDetail[Quantity (KG)],SalesDetail[Customer],$A278,SalesDetail[Year],2021)</f>
        <v>0</v>
      </c>
      <c r="O278" s="6">
        <f>SUM(B278:N278)</f>
        <v>137</v>
      </c>
    </row>
    <row r="279" spans="1:15" x14ac:dyDescent="0.3">
      <c r="A279" t="s">
        <v>2250</v>
      </c>
      <c r="B279" s="5">
        <f>SUMIFS(SalesDetail[Quantity (KG)],SalesDetail[Customer],$A279,SalesDetail[Year],2009)</f>
        <v>0</v>
      </c>
      <c r="C279" s="5">
        <f>SUMIFS(SalesDetail[Quantity (KG)],SalesDetail[Customer],$A279,SalesDetail[Year],2010)</f>
        <v>0</v>
      </c>
      <c r="D279" s="5">
        <f>SUMIFS(SalesDetail[Quantity (KG)],SalesDetail[Customer],$A279,SalesDetail[Year],2011)</f>
        <v>135</v>
      </c>
      <c r="E279" s="5">
        <f>SUMIFS(SalesDetail[Quantity (KG)],SalesDetail[Customer],$A279,SalesDetail[Year],2012)</f>
        <v>0</v>
      </c>
      <c r="F279" s="5">
        <f>SUMIFS(SalesDetail[Quantity (KG)],SalesDetail[Customer],$A279,SalesDetail[Year],2013)</f>
        <v>0</v>
      </c>
      <c r="G279" s="5">
        <f>SUMIFS(SalesDetail[Quantity (KG)],SalesDetail[Customer],$A279,SalesDetail[Year],2014)</f>
        <v>0</v>
      </c>
      <c r="H279" s="5">
        <f>SUMIFS(SalesDetail[Quantity (KG)],SalesDetail[Customer],$A279,SalesDetail[Year],2015)</f>
        <v>0</v>
      </c>
      <c r="I279" s="5">
        <f>SUMIFS(SalesDetail[Quantity (KG)],SalesDetail[Customer],$A279,SalesDetail[Year],2016)</f>
        <v>0</v>
      </c>
      <c r="J279" s="5">
        <f>SUMIFS(SalesDetail[Quantity (KG)],SalesDetail[Customer],$A279,SalesDetail[Year],2017)</f>
        <v>0</v>
      </c>
      <c r="K279" s="5">
        <f>SUMIFS(SalesDetail[Quantity (KG)],SalesDetail[Customer],$A279,SalesDetail[Year],2018)</f>
        <v>0</v>
      </c>
      <c r="L279" s="5">
        <f>SUMIFS(SalesDetail[Quantity (KG)],SalesDetail[Customer],$A279,SalesDetail[Year],2019)</f>
        <v>0</v>
      </c>
      <c r="M279" s="5">
        <f>SUMIFS(SalesDetail[Quantity (KG)],SalesDetail[Customer],$A279,SalesDetail[Year],2020)</f>
        <v>0</v>
      </c>
      <c r="N279" s="5">
        <f>SUMIFS(SalesDetail[Quantity (KG)],SalesDetail[Customer],$A279,SalesDetail[Year],2021)</f>
        <v>0</v>
      </c>
      <c r="O279" s="6">
        <f>SUM(B279:N279)</f>
        <v>135</v>
      </c>
    </row>
    <row r="280" spans="1:15" x14ac:dyDescent="0.3">
      <c r="A280" t="s">
        <v>2206</v>
      </c>
      <c r="B280" s="5">
        <f>SUMIFS(SalesDetail[Quantity (KG)],SalesDetail[Customer],$A280,SalesDetail[Year],2009)</f>
        <v>0</v>
      </c>
      <c r="C280" s="5">
        <f>SUMIFS(SalesDetail[Quantity (KG)],SalesDetail[Customer],$A280,SalesDetail[Year],2010)</f>
        <v>0</v>
      </c>
      <c r="D280" s="5">
        <f>SUMIFS(SalesDetail[Quantity (KG)],SalesDetail[Customer],$A280,SalesDetail[Year],2011)</f>
        <v>0</v>
      </c>
      <c r="E280" s="5">
        <f>SUMIFS(SalesDetail[Quantity (KG)],SalesDetail[Customer],$A280,SalesDetail[Year],2012)</f>
        <v>0</v>
      </c>
      <c r="F280" s="5">
        <f>SUMIFS(SalesDetail[Quantity (KG)],SalesDetail[Customer],$A280,SalesDetail[Year],2013)</f>
        <v>0</v>
      </c>
      <c r="G280" s="5">
        <f>SUMIFS(SalesDetail[Quantity (KG)],SalesDetail[Customer],$A280,SalesDetail[Year],2014)</f>
        <v>0</v>
      </c>
      <c r="H280" s="5">
        <f>SUMIFS(SalesDetail[Quantity (KG)],SalesDetail[Customer],$A280,SalesDetail[Year],2015)</f>
        <v>0</v>
      </c>
      <c r="I280" s="5">
        <f>SUMIFS(SalesDetail[Quantity (KG)],SalesDetail[Customer],$A280,SalesDetail[Year],2016)</f>
        <v>80</v>
      </c>
      <c r="J280" s="5">
        <f>SUMIFS(SalesDetail[Quantity (KG)],SalesDetail[Customer],$A280,SalesDetail[Year],2017)</f>
        <v>50</v>
      </c>
      <c r="K280" s="5">
        <f>SUMIFS(SalesDetail[Quantity (KG)],SalesDetail[Customer],$A280,SalesDetail[Year],2018)</f>
        <v>0</v>
      </c>
      <c r="L280" s="5">
        <f>SUMIFS(SalesDetail[Quantity (KG)],SalesDetail[Customer],$A280,SalesDetail[Year],2019)</f>
        <v>0</v>
      </c>
      <c r="M280" s="5">
        <f>SUMIFS(SalesDetail[Quantity (KG)],SalesDetail[Customer],$A280,SalesDetail[Year],2020)</f>
        <v>0</v>
      </c>
      <c r="N280" s="5">
        <f>SUMIFS(SalesDetail[Quantity (KG)],SalesDetail[Customer],$A280,SalesDetail[Year],2021)</f>
        <v>0</v>
      </c>
      <c r="O280" s="6">
        <f>SUM(B280:N280)</f>
        <v>130</v>
      </c>
    </row>
    <row r="281" spans="1:15" x14ac:dyDescent="0.3">
      <c r="A281" t="s">
        <v>1150</v>
      </c>
      <c r="B281" s="5">
        <f>SUMIFS(SalesDetail[Quantity (KG)],SalesDetail[Customer],$A281,SalesDetail[Year],2009)</f>
        <v>0</v>
      </c>
      <c r="C281" s="5">
        <f>SUMIFS(SalesDetail[Quantity (KG)],SalesDetail[Customer],$A281,SalesDetail[Year],2010)</f>
        <v>0</v>
      </c>
      <c r="D281" s="5">
        <f>SUMIFS(SalesDetail[Quantity (KG)],SalesDetail[Customer],$A281,SalesDetail[Year],2011)</f>
        <v>0</v>
      </c>
      <c r="E281" s="5">
        <f>SUMIFS(SalesDetail[Quantity (KG)],SalesDetail[Customer],$A281,SalesDetail[Year],2012)</f>
        <v>0</v>
      </c>
      <c r="F281" s="5">
        <f>SUMIFS(SalesDetail[Quantity (KG)],SalesDetail[Customer],$A281,SalesDetail[Year],2013)</f>
        <v>0</v>
      </c>
      <c r="G281" s="5">
        <f>SUMIFS(SalesDetail[Quantity (KG)],SalesDetail[Customer],$A281,SalesDetail[Year],2014)</f>
        <v>0</v>
      </c>
      <c r="H281" s="5">
        <f>SUMIFS(SalesDetail[Quantity (KG)],SalesDetail[Customer],$A281,SalesDetail[Year],2015)</f>
        <v>0</v>
      </c>
      <c r="I281" s="5">
        <f>SUMIFS(SalesDetail[Quantity (KG)],SalesDetail[Customer],$A281,SalesDetail[Year],2016)</f>
        <v>0</v>
      </c>
      <c r="J281" s="5">
        <f>SUMIFS(SalesDetail[Quantity (KG)],SalesDetail[Customer],$A281,SalesDetail[Year],2017)</f>
        <v>0</v>
      </c>
      <c r="K281" s="5">
        <f>SUMIFS(SalesDetail[Quantity (KG)],SalesDetail[Customer],$A281,SalesDetail[Year],2018)</f>
        <v>25</v>
      </c>
      <c r="L281" s="5">
        <f>SUMIFS(SalesDetail[Quantity (KG)],SalesDetail[Customer],$A281,SalesDetail[Year],2019)</f>
        <v>75</v>
      </c>
      <c r="M281" s="5">
        <f>SUMIFS(SalesDetail[Quantity (KG)],SalesDetail[Customer],$A281,SalesDetail[Year],2020)</f>
        <v>0</v>
      </c>
      <c r="N281" s="5">
        <f>SUMIFS(SalesDetail[Quantity (KG)],SalesDetail[Customer],$A281,SalesDetail[Year],2021)</f>
        <v>26</v>
      </c>
      <c r="O281" s="6">
        <f>SUM(B281:N281)</f>
        <v>126</v>
      </c>
    </row>
    <row r="282" spans="1:15" x14ac:dyDescent="0.3">
      <c r="A282" t="s">
        <v>241</v>
      </c>
      <c r="B282" s="5">
        <f>SUMIFS(SalesDetail[Quantity (KG)],SalesDetail[Customer],$A282,SalesDetail[Year],2009)</f>
        <v>0</v>
      </c>
      <c r="C282" s="5">
        <f>SUMIFS(SalesDetail[Quantity (KG)],SalesDetail[Customer],$A282,SalesDetail[Year],2010)</f>
        <v>0</v>
      </c>
      <c r="D282" s="5">
        <f>SUMIFS(SalesDetail[Quantity (KG)],SalesDetail[Customer],$A282,SalesDetail[Year],2011)</f>
        <v>0</v>
      </c>
      <c r="E282" s="5">
        <f>SUMIFS(SalesDetail[Quantity (KG)],SalesDetail[Customer],$A282,SalesDetail[Year],2012)</f>
        <v>0</v>
      </c>
      <c r="F282" s="5">
        <f>SUMIFS(SalesDetail[Quantity (KG)],SalesDetail[Customer],$A282,SalesDetail[Year],2013)</f>
        <v>0</v>
      </c>
      <c r="G282" s="5">
        <f>SUMIFS(SalesDetail[Quantity (KG)],SalesDetail[Customer],$A282,SalesDetail[Year],2014)</f>
        <v>0</v>
      </c>
      <c r="H282" s="5">
        <f>SUMIFS(SalesDetail[Quantity (KG)],SalesDetail[Customer],$A282,SalesDetail[Year],2015)</f>
        <v>0</v>
      </c>
      <c r="I282" s="5">
        <f>SUMIFS(SalesDetail[Quantity (KG)],SalesDetail[Customer],$A282,SalesDetail[Year],2016)</f>
        <v>0</v>
      </c>
      <c r="J282" s="5">
        <f>SUMIFS(SalesDetail[Quantity (KG)],SalesDetail[Customer],$A282,SalesDetail[Year],2017)</f>
        <v>0</v>
      </c>
      <c r="K282" s="5">
        <f>SUMIFS(SalesDetail[Quantity (KG)],SalesDetail[Customer],$A282,SalesDetail[Year],2018)</f>
        <v>0</v>
      </c>
      <c r="L282" s="5">
        <f>SUMIFS(SalesDetail[Quantity (KG)],SalesDetail[Customer],$A282,SalesDetail[Year],2019)</f>
        <v>0</v>
      </c>
      <c r="M282" s="5">
        <f>SUMIFS(SalesDetail[Quantity (KG)],SalesDetail[Customer],$A282,SalesDetail[Year],2020)</f>
        <v>0</v>
      </c>
      <c r="N282" s="5">
        <f>SUMIFS(SalesDetail[Quantity (KG)],SalesDetail[Customer],$A282,SalesDetail[Year],2021)</f>
        <v>125</v>
      </c>
      <c r="O282" s="6">
        <f>SUM(B282:N282)</f>
        <v>125</v>
      </c>
    </row>
    <row r="283" spans="1:15" x14ac:dyDescent="0.3">
      <c r="A283" t="s">
        <v>2063</v>
      </c>
      <c r="B283" s="5">
        <f>SUMIFS(SalesDetail[Quantity (KG)],SalesDetail[Customer],$A283,SalesDetail[Year],2009)</f>
        <v>0</v>
      </c>
      <c r="C283" s="5">
        <f>SUMIFS(SalesDetail[Quantity (KG)],SalesDetail[Customer],$A283,SalesDetail[Year],2010)</f>
        <v>0</v>
      </c>
      <c r="D283" s="5">
        <f>SUMIFS(SalesDetail[Quantity (KG)],SalesDetail[Customer],$A283,SalesDetail[Year],2011)</f>
        <v>0</v>
      </c>
      <c r="E283" s="5">
        <f>SUMIFS(SalesDetail[Quantity (KG)],SalesDetail[Customer],$A283,SalesDetail[Year],2012)</f>
        <v>0</v>
      </c>
      <c r="F283" s="5">
        <f>SUMIFS(SalesDetail[Quantity (KG)],SalesDetail[Customer],$A283,SalesDetail[Year],2013)</f>
        <v>0</v>
      </c>
      <c r="G283" s="5">
        <f>SUMIFS(SalesDetail[Quantity (KG)],SalesDetail[Customer],$A283,SalesDetail[Year],2014)</f>
        <v>0</v>
      </c>
      <c r="H283" s="5">
        <f>SUMIFS(SalesDetail[Quantity (KG)],SalesDetail[Customer],$A283,SalesDetail[Year],2015)</f>
        <v>0</v>
      </c>
      <c r="I283" s="5">
        <f>SUMIFS(SalesDetail[Quantity (KG)],SalesDetail[Customer],$A283,SalesDetail[Year],2016)</f>
        <v>0</v>
      </c>
      <c r="J283" s="5">
        <f>SUMIFS(SalesDetail[Quantity (KG)],SalesDetail[Customer],$A283,SalesDetail[Year],2017)</f>
        <v>30</v>
      </c>
      <c r="K283" s="5">
        <f>SUMIFS(SalesDetail[Quantity (KG)],SalesDetail[Customer],$A283,SalesDetail[Year],2018)</f>
        <v>75</v>
      </c>
      <c r="L283" s="5">
        <f>SUMIFS(SalesDetail[Quantity (KG)],SalesDetail[Customer],$A283,SalesDetail[Year],2019)</f>
        <v>20</v>
      </c>
      <c r="M283" s="5">
        <f>SUMIFS(SalesDetail[Quantity (KG)],SalesDetail[Customer],$A283,SalesDetail[Year],2020)</f>
        <v>0</v>
      </c>
      <c r="N283" s="5">
        <f>SUMIFS(SalesDetail[Quantity (KG)],SalesDetail[Customer],$A283,SalesDetail[Year],2021)</f>
        <v>0</v>
      </c>
      <c r="O283" s="6">
        <f>SUM(B283:N283)</f>
        <v>125</v>
      </c>
    </row>
    <row r="284" spans="1:15" x14ac:dyDescent="0.3">
      <c r="A284" t="s">
        <v>2093</v>
      </c>
      <c r="B284" s="5">
        <f>SUMIFS(SalesDetail[Quantity (KG)],SalesDetail[Customer],$A284,SalesDetail[Year],2009)</f>
        <v>0</v>
      </c>
      <c r="C284" s="5">
        <f>SUMIFS(SalesDetail[Quantity (KG)],SalesDetail[Customer],$A284,SalesDetail[Year],2010)</f>
        <v>0</v>
      </c>
      <c r="D284" s="5">
        <f>SUMIFS(SalesDetail[Quantity (KG)],SalesDetail[Customer],$A284,SalesDetail[Year],2011)</f>
        <v>0</v>
      </c>
      <c r="E284" s="5">
        <f>SUMIFS(SalesDetail[Quantity (KG)],SalesDetail[Customer],$A284,SalesDetail[Year],2012)</f>
        <v>0</v>
      </c>
      <c r="F284" s="5">
        <f>SUMIFS(SalesDetail[Quantity (KG)],SalesDetail[Customer],$A284,SalesDetail[Year],2013)</f>
        <v>0</v>
      </c>
      <c r="G284" s="5">
        <f>SUMIFS(SalesDetail[Quantity (KG)],SalesDetail[Customer],$A284,SalesDetail[Year],2014)</f>
        <v>0</v>
      </c>
      <c r="H284" s="5">
        <f>SUMIFS(SalesDetail[Quantity (KG)],SalesDetail[Customer],$A284,SalesDetail[Year],2015)</f>
        <v>0</v>
      </c>
      <c r="I284" s="5">
        <f>SUMIFS(SalesDetail[Quantity (KG)],SalesDetail[Customer],$A284,SalesDetail[Year],2016)</f>
        <v>0</v>
      </c>
      <c r="J284" s="5">
        <f>SUMIFS(SalesDetail[Quantity (KG)],SalesDetail[Customer],$A284,SalesDetail[Year],2017)</f>
        <v>0</v>
      </c>
      <c r="K284" s="5">
        <f>SUMIFS(SalesDetail[Quantity (KG)],SalesDetail[Customer],$A284,SalesDetail[Year],2018)</f>
        <v>0</v>
      </c>
      <c r="L284" s="5">
        <f>SUMIFS(SalesDetail[Quantity (KG)],SalesDetail[Customer],$A284,SalesDetail[Year],2019)</f>
        <v>100</v>
      </c>
      <c r="M284" s="5">
        <f>SUMIFS(SalesDetail[Quantity (KG)],SalesDetail[Customer],$A284,SalesDetail[Year],2020)</f>
        <v>25</v>
      </c>
      <c r="N284" s="5">
        <f>SUMIFS(SalesDetail[Quantity (KG)],SalesDetail[Customer],$A284,SalesDetail[Year],2021)</f>
        <v>0</v>
      </c>
      <c r="O284" s="6">
        <f>SUM(B284:N284)</f>
        <v>125</v>
      </c>
    </row>
    <row r="285" spans="1:15" x14ac:dyDescent="0.3">
      <c r="A285" t="s">
        <v>2230</v>
      </c>
      <c r="B285" s="5">
        <f>SUMIFS(SalesDetail[Quantity (KG)],SalesDetail[Customer],$A285,SalesDetail[Year],2009)</f>
        <v>0</v>
      </c>
      <c r="C285" s="5">
        <f>SUMIFS(SalesDetail[Quantity (KG)],SalesDetail[Customer],$A285,SalesDetail[Year],2010)</f>
        <v>0</v>
      </c>
      <c r="D285" s="5">
        <f>SUMIFS(SalesDetail[Quantity (KG)],SalesDetail[Customer],$A285,SalesDetail[Year],2011)</f>
        <v>0</v>
      </c>
      <c r="E285" s="5">
        <f>SUMIFS(SalesDetail[Quantity (KG)],SalesDetail[Customer],$A285,SalesDetail[Year],2012)</f>
        <v>0</v>
      </c>
      <c r="F285" s="5">
        <f>SUMIFS(SalesDetail[Quantity (KG)],SalesDetail[Customer],$A285,SalesDetail[Year],2013)</f>
        <v>0</v>
      </c>
      <c r="G285" s="5">
        <f>SUMIFS(SalesDetail[Quantity (KG)],SalesDetail[Customer],$A285,SalesDetail[Year],2014)</f>
        <v>0</v>
      </c>
      <c r="H285" s="5">
        <f>SUMIFS(SalesDetail[Quantity (KG)],SalesDetail[Customer],$A285,SalesDetail[Year],2015)</f>
        <v>0</v>
      </c>
      <c r="I285" s="5">
        <f>SUMIFS(SalesDetail[Quantity (KG)],SalesDetail[Customer],$A285,SalesDetail[Year],2016)</f>
        <v>0</v>
      </c>
      <c r="J285" s="5">
        <f>SUMIFS(SalesDetail[Quantity (KG)],SalesDetail[Customer],$A285,SalesDetail[Year],2017)</f>
        <v>0</v>
      </c>
      <c r="K285" s="5">
        <f>SUMIFS(SalesDetail[Quantity (KG)],SalesDetail[Customer],$A285,SalesDetail[Year],2018)</f>
        <v>0</v>
      </c>
      <c r="L285" s="5">
        <f>SUMIFS(SalesDetail[Quantity (KG)],SalesDetail[Customer],$A285,SalesDetail[Year],2019)</f>
        <v>0</v>
      </c>
      <c r="M285" s="5">
        <f>SUMIFS(SalesDetail[Quantity (KG)],SalesDetail[Customer],$A285,SalesDetail[Year],2020)</f>
        <v>125</v>
      </c>
      <c r="N285" s="5">
        <f>SUMIFS(SalesDetail[Quantity (KG)],SalesDetail[Customer],$A285,SalesDetail[Year],2021)</f>
        <v>0</v>
      </c>
      <c r="O285" s="6">
        <f>SUM(B285:N285)</f>
        <v>125</v>
      </c>
    </row>
    <row r="286" spans="1:15" x14ac:dyDescent="0.3">
      <c r="A286" t="s">
        <v>2464</v>
      </c>
      <c r="B286" s="5">
        <f>SUMIFS(SalesDetail[Quantity (KG)],SalesDetail[Customer],$A286,SalesDetail[Year],2009)</f>
        <v>0</v>
      </c>
      <c r="C286" s="5">
        <f>SUMIFS(SalesDetail[Quantity (KG)],SalesDetail[Customer],$A286,SalesDetail[Year],2010)</f>
        <v>0</v>
      </c>
      <c r="D286" s="5">
        <f>SUMIFS(SalesDetail[Quantity (KG)],SalesDetail[Customer],$A286,SalesDetail[Year],2011)</f>
        <v>0</v>
      </c>
      <c r="E286" s="5">
        <f>SUMIFS(SalesDetail[Quantity (KG)],SalesDetail[Customer],$A286,SalesDetail[Year],2012)</f>
        <v>0</v>
      </c>
      <c r="F286" s="5">
        <f>SUMIFS(SalesDetail[Quantity (KG)],SalesDetail[Customer],$A286,SalesDetail[Year],2013)</f>
        <v>0</v>
      </c>
      <c r="G286" s="5">
        <f>SUMIFS(SalesDetail[Quantity (KG)],SalesDetail[Customer],$A286,SalesDetail[Year],2014)</f>
        <v>0</v>
      </c>
      <c r="H286" s="5">
        <f>SUMIFS(SalesDetail[Quantity (KG)],SalesDetail[Customer],$A286,SalesDetail[Year],2015)</f>
        <v>0</v>
      </c>
      <c r="I286" s="5">
        <f>SUMIFS(SalesDetail[Quantity (KG)],SalesDetail[Customer],$A286,SalesDetail[Year],2016)</f>
        <v>0</v>
      </c>
      <c r="J286" s="5">
        <f>SUMIFS(SalesDetail[Quantity (KG)],SalesDetail[Customer],$A286,SalesDetail[Year],2017)</f>
        <v>0</v>
      </c>
      <c r="K286" s="5">
        <f>SUMIFS(SalesDetail[Quantity (KG)],SalesDetail[Customer],$A286,SalesDetail[Year],2018)</f>
        <v>0</v>
      </c>
      <c r="L286" s="5">
        <f>SUMIFS(SalesDetail[Quantity (KG)],SalesDetail[Customer],$A286,SalesDetail[Year],2019)</f>
        <v>125</v>
      </c>
      <c r="M286" s="5">
        <f>SUMIFS(SalesDetail[Quantity (KG)],SalesDetail[Customer],$A286,SalesDetail[Year],2020)</f>
        <v>0</v>
      </c>
      <c r="N286" s="5">
        <f>SUMIFS(SalesDetail[Quantity (KG)],SalesDetail[Customer],$A286,SalesDetail[Year],2021)</f>
        <v>0</v>
      </c>
      <c r="O286" s="6">
        <f>SUM(B286:N286)</f>
        <v>125</v>
      </c>
    </row>
    <row r="287" spans="1:15" x14ac:dyDescent="0.3">
      <c r="A287" t="s">
        <v>2526</v>
      </c>
      <c r="B287" s="5">
        <f>SUMIFS(SalesDetail[Quantity (KG)],SalesDetail[Customer],$A287,SalesDetail[Year],2009)</f>
        <v>0</v>
      </c>
      <c r="C287" s="5">
        <f>SUMIFS(SalesDetail[Quantity (KG)],SalesDetail[Customer],$A287,SalesDetail[Year],2010)</f>
        <v>0</v>
      </c>
      <c r="D287" s="5">
        <f>SUMIFS(SalesDetail[Quantity (KG)],SalesDetail[Customer],$A287,SalesDetail[Year],2011)</f>
        <v>0</v>
      </c>
      <c r="E287" s="5">
        <f>SUMIFS(SalesDetail[Quantity (KG)],SalesDetail[Customer],$A287,SalesDetail[Year],2012)</f>
        <v>0</v>
      </c>
      <c r="F287" s="5">
        <f>SUMIFS(SalesDetail[Quantity (KG)],SalesDetail[Customer],$A287,SalesDetail[Year],2013)</f>
        <v>0</v>
      </c>
      <c r="G287" s="5">
        <f>SUMIFS(SalesDetail[Quantity (KG)],SalesDetail[Customer],$A287,SalesDetail[Year],2014)</f>
        <v>0</v>
      </c>
      <c r="H287" s="5">
        <f>SUMIFS(SalesDetail[Quantity (KG)],SalesDetail[Customer],$A287,SalesDetail[Year],2015)</f>
        <v>0</v>
      </c>
      <c r="I287" s="5">
        <f>SUMIFS(SalesDetail[Quantity (KG)],SalesDetail[Customer],$A287,SalesDetail[Year],2016)</f>
        <v>0</v>
      </c>
      <c r="J287" s="5">
        <f>SUMIFS(SalesDetail[Quantity (KG)],SalesDetail[Customer],$A287,SalesDetail[Year],2017)</f>
        <v>0</v>
      </c>
      <c r="K287" s="5">
        <f>SUMIFS(SalesDetail[Quantity (KG)],SalesDetail[Customer],$A287,SalesDetail[Year],2018)</f>
        <v>0</v>
      </c>
      <c r="L287" s="5">
        <f>SUMIFS(SalesDetail[Quantity (KG)],SalesDetail[Customer],$A287,SalesDetail[Year],2019)</f>
        <v>0</v>
      </c>
      <c r="M287" s="5">
        <f>SUMIFS(SalesDetail[Quantity (KG)],SalesDetail[Customer],$A287,SalesDetail[Year],2020)</f>
        <v>71</v>
      </c>
      <c r="N287" s="5">
        <f>SUMIFS(SalesDetail[Quantity (KG)],SalesDetail[Customer],$A287,SalesDetail[Year],2021)</f>
        <v>51</v>
      </c>
      <c r="O287" s="6">
        <f>SUM(B287:N287)</f>
        <v>122</v>
      </c>
    </row>
    <row r="288" spans="1:15" x14ac:dyDescent="0.3">
      <c r="A288" t="s">
        <v>1327</v>
      </c>
      <c r="B288" s="5">
        <f>SUMIFS(SalesDetail[Quantity (KG)],SalesDetail[Customer],$A288,SalesDetail[Year],2009)</f>
        <v>0</v>
      </c>
      <c r="C288" s="5">
        <f>SUMIFS(SalesDetail[Quantity (KG)],SalesDetail[Customer],$A288,SalesDetail[Year],2010)</f>
        <v>0</v>
      </c>
      <c r="D288" s="5">
        <f>SUMIFS(SalesDetail[Quantity (KG)],SalesDetail[Customer],$A288,SalesDetail[Year],2011)</f>
        <v>0</v>
      </c>
      <c r="E288" s="5">
        <f>SUMIFS(SalesDetail[Quantity (KG)],SalesDetail[Customer],$A288,SalesDetail[Year],2012)</f>
        <v>0</v>
      </c>
      <c r="F288" s="5">
        <f>SUMIFS(SalesDetail[Quantity (KG)],SalesDetail[Customer],$A288,SalesDetail[Year],2013)</f>
        <v>0</v>
      </c>
      <c r="G288" s="5">
        <f>SUMIFS(SalesDetail[Quantity (KG)],SalesDetail[Customer],$A288,SalesDetail[Year],2014)</f>
        <v>0</v>
      </c>
      <c r="H288" s="5">
        <f>SUMIFS(SalesDetail[Quantity (KG)],SalesDetail[Customer],$A288,SalesDetail[Year],2015)</f>
        <v>0</v>
      </c>
      <c r="I288" s="5">
        <f>SUMIFS(SalesDetail[Quantity (KG)],SalesDetail[Customer],$A288,SalesDetail[Year],2016)</f>
        <v>25</v>
      </c>
      <c r="J288" s="5">
        <f>SUMIFS(SalesDetail[Quantity (KG)],SalesDetail[Customer],$A288,SalesDetail[Year],2017)</f>
        <v>0</v>
      </c>
      <c r="K288" s="5">
        <f>SUMIFS(SalesDetail[Quantity (KG)],SalesDetail[Customer],$A288,SalesDetail[Year],2018)</f>
        <v>0</v>
      </c>
      <c r="L288" s="5">
        <f>SUMIFS(SalesDetail[Quantity (KG)],SalesDetail[Customer],$A288,SalesDetail[Year],2019)</f>
        <v>35</v>
      </c>
      <c r="M288" s="5">
        <f>SUMIFS(SalesDetail[Quantity (KG)],SalesDetail[Customer],$A288,SalesDetail[Year],2020)</f>
        <v>35</v>
      </c>
      <c r="N288" s="5">
        <f>SUMIFS(SalesDetail[Quantity (KG)],SalesDetail[Customer],$A288,SalesDetail[Year],2021)</f>
        <v>25</v>
      </c>
      <c r="O288" s="6">
        <f>SUM(B288:N288)</f>
        <v>120</v>
      </c>
    </row>
    <row r="289" spans="1:15" x14ac:dyDescent="0.3">
      <c r="A289" t="s">
        <v>2365</v>
      </c>
      <c r="B289" s="5">
        <f>SUMIFS(SalesDetail[Quantity (KG)],SalesDetail[Customer],$A289,SalesDetail[Year],2009)</f>
        <v>0</v>
      </c>
      <c r="C289" s="5">
        <f>SUMIFS(SalesDetail[Quantity (KG)],SalesDetail[Customer],$A289,SalesDetail[Year],2010)</f>
        <v>0</v>
      </c>
      <c r="D289" s="5">
        <f>SUMIFS(SalesDetail[Quantity (KG)],SalesDetail[Customer],$A289,SalesDetail[Year],2011)</f>
        <v>0</v>
      </c>
      <c r="E289" s="5">
        <f>SUMIFS(SalesDetail[Quantity (KG)],SalesDetail[Customer],$A289,SalesDetail[Year],2012)</f>
        <v>0</v>
      </c>
      <c r="F289" s="5">
        <f>SUMIFS(SalesDetail[Quantity (KG)],SalesDetail[Customer],$A289,SalesDetail[Year],2013)</f>
        <v>20</v>
      </c>
      <c r="G289" s="5">
        <f>SUMIFS(SalesDetail[Quantity (KG)],SalesDetail[Customer],$A289,SalesDetail[Year],2014)</f>
        <v>100</v>
      </c>
      <c r="H289" s="5">
        <f>SUMIFS(SalesDetail[Quantity (KG)],SalesDetail[Customer],$A289,SalesDetail[Year],2015)</f>
        <v>0</v>
      </c>
      <c r="I289" s="5">
        <f>SUMIFS(SalesDetail[Quantity (KG)],SalesDetail[Customer],$A289,SalesDetail[Year],2016)</f>
        <v>0</v>
      </c>
      <c r="J289" s="5">
        <f>SUMIFS(SalesDetail[Quantity (KG)],SalesDetail[Customer],$A289,SalesDetail[Year],2017)</f>
        <v>0</v>
      </c>
      <c r="K289" s="5">
        <f>SUMIFS(SalesDetail[Quantity (KG)],SalesDetail[Customer],$A289,SalesDetail[Year],2018)</f>
        <v>0</v>
      </c>
      <c r="L289" s="5">
        <f>SUMIFS(SalesDetail[Quantity (KG)],SalesDetail[Customer],$A289,SalesDetail[Year],2019)</f>
        <v>0</v>
      </c>
      <c r="M289" s="5">
        <f>SUMIFS(SalesDetail[Quantity (KG)],SalesDetail[Customer],$A289,SalesDetail[Year],2020)</f>
        <v>0</v>
      </c>
      <c r="N289" s="5">
        <f>SUMIFS(SalesDetail[Quantity (KG)],SalesDetail[Customer],$A289,SalesDetail[Year],2021)</f>
        <v>0</v>
      </c>
      <c r="O289" s="6">
        <f>SUM(B289:N289)</f>
        <v>120</v>
      </c>
    </row>
    <row r="290" spans="1:15" x14ac:dyDescent="0.3">
      <c r="A290" t="s">
        <v>2113</v>
      </c>
      <c r="B290" s="5">
        <f>SUMIFS(SalesDetail[Quantity (KG)],SalesDetail[Customer],$A290,SalesDetail[Year],2009)</f>
        <v>0</v>
      </c>
      <c r="C290" s="5">
        <f>SUMIFS(SalesDetail[Quantity (KG)],SalesDetail[Customer],$A290,SalesDetail[Year],2010)</f>
        <v>0</v>
      </c>
      <c r="D290" s="5">
        <f>SUMIFS(SalesDetail[Quantity (KG)],SalesDetail[Customer],$A290,SalesDetail[Year],2011)</f>
        <v>0</v>
      </c>
      <c r="E290" s="5">
        <f>SUMIFS(SalesDetail[Quantity (KG)],SalesDetail[Customer],$A290,SalesDetail[Year],2012)</f>
        <v>0</v>
      </c>
      <c r="F290" s="5">
        <f>SUMIFS(SalesDetail[Quantity (KG)],SalesDetail[Customer],$A290,SalesDetail[Year],2013)</f>
        <v>0</v>
      </c>
      <c r="G290" s="5">
        <f>SUMIFS(SalesDetail[Quantity (KG)],SalesDetail[Customer],$A290,SalesDetail[Year],2014)</f>
        <v>0</v>
      </c>
      <c r="H290" s="5">
        <f>SUMIFS(SalesDetail[Quantity (KG)],SalesDetail[Customer],$A290,SalesDetail[Year],2015)</f>
        <v>37</v>
      </c>
      <c r="I290" s="5">
        <f>SUMIFS(SalesDetail[Quantity (KG)],SalesDetail[Customer],$A290,SalesDetail[Year],2016)</f>
        <v>74.5</v>
      </c>
      <c r="J290" s="5">
        <f>SUMIFS(SalesDetail[Quantity (KG)],SalesDetail[Customer],$A290,SalesDetail[Year],2017)</f>
        <v>6</v>
      </c>
      <c r="K290" s="5">
        <f>SUMIFS(SalesDetail[Quantity (KG)],SalesDetail[Customer],$A290,SalesDetail[Year],2018)</f>
        <v>2</v>
      </c>
      <c r="L290" s="5">
        <f>SUMIFS(SalesDetail[Quantity (KG)],SalesDetail[Customer],$A290,SalesDetail[Year],2019)</f>
        <v>0</v>
      </c>
      <c r="M290" s="5">
        <f>SUMIFS(SalesDetail[Quantity (KG)],SalesDetail[Customer],$A290,SalesDetail[Year],2020)</f>
        <v>0</v>
      </c>
      <c r="N290" s="5">
        <f>SUMIFS(SalesDetail[Quantity (KG)],SalesDetail[Customer],$A290,SalesDetail[Year],2021)</f>
        <v>0</v>
      </c>
      <c r="O290" s="6">
        <f>SUM(B290:N290)</f>
        <v>119.5</v>
      </c>
    </row>
    <row r="291" spans="1:15" x14ac:dyDescent="0.3">
      <c r="A291" t="s">
        <v>2264</v>
      </c>
      <c r="B291" s="5">
        <f>SUMIFS(SalesDetail[Quantity (KG)],SalesDetail[Customer],$A291,SalesDetail[Year],2009)</f>
        <v>0</v>
      </c>
      <c r="C291" s="5">
        <f>SUMIFS(SalesDetail[Quantity (KG)],SalesDetail[Customer],$A291,SalesDetail[Year],2010)</f>
        <v>0</v>
      </c>
      <c r="D291" s="5">
        <f>SUMIFS(SalesDetail[Quantity (KG)],SalesDetail[Customer],$A291,SalesDetail[Year],2011)</f>
        <v>0</v>
      </c>
      <c r="E291" s="5">
        <f>SUMIFS(SalesDetail[Quantity (KG)],SalesDetail[Customer],$A291,SalesDetail[Year],2012)</f>
        <v>0</v>
      </c>
      <c r="F291" s="5">
        <f>SUMIFS(SalesDetail[Quantity (KG)],SalesDetail[Customer],$A291,SalesDetail[Year],2013)</f>
        <v>0</v>
      </c>
      <c r="G291" s="5">
        <f>SUMIFS(SalesDetail[Quantity (KG)],SalesDetail[Customer],$A291,SalesDetail[Year],2014)</f>
        <v>0</v>
      </c>
      <c r="H291" s="5">
        <f>SUMIFS(SalesDetail[Quantity (KG)],SalesDetail[Customer],$A291,SalesDetail[Year],2015)</f>
        <v>0</v>
      </c>
      <c r="I291" s="5">
        <f>SUMIFS(SalesDetail[Quantity (KG)],SalesDetail[Customer],$A291,SalesDetail[Year],2016)</f>
        <v>0</v>
      </c>
      <c r="J291" s="5">
        <f>SUMIFS(SalesDetail[Quantity (KG)],SalesDetail[Customer],$A291,SalesDetail[Year],2017)</f>
        <v>0</v>
      </c>
      <c r="K291" s="5">
        <f>SUMIFS(SalesDetail[Quantity (KG)],SalesDetail[Customer],$A291,SalesDetail[Year],2018)</f>
        <v>0</v>
      </c>
      <c r="L291" s="5">
        <f>SUMIFS(SalesDetail[Quantity (KG)],SalesDetail[Customer],$A291,SalesDetail[Year],2019)</f>
        <v>38</v>
      </c>
      <c r="M291" s="5">
        <f>SUMIFS(SalesDetail[Quantity (KG)],SalesDetail[Customer],$A291,SalesDetail[Year],2020)</f>
        <v>20</v>
      </c>
      <c r="N291" s="5">
        <f>SUMIFS(SalesDetail[Quantity (KG)],SalesDetail[Customer],$A291,SalesDetail[Year],2021)</f>
        <v>56</v>
      </c>
      <c r="O291" s="6">
        <f>SUM(B291:N291)</f>
        <v>114</v>
      </c>
    </row>
    <row r="292" spans="1:15" x14ac:dyDescent="0.3">
      <c r="A292" t="s">
        <v>1864</v>
      </c>
      <c r="B292" s="5">
        <f>SUMIFS(SalesDetail[Quantity (KG)],SalesDetail[Customer],$A292,SalesDetail[Year],2009)</f>
        <v>0</v>
      </c>
      <c r="C292" s="5">
        <f>SUMIFS(SalesDetail[Quantity (KG)],SalesDetail[Customer],$A292,SalesDetail[Year],2010)</f>
        <v>0</v>
      </c>
      <c r="D292" s="5">
        <f>SUMIFS(SalesDetail[Quantity (KG)],SalesDetail[Customer],$A292,SalesDetail[Year],2011)</f>
        <v>0</v>
      </c>
      <c r="E292" s="5">
        <f>SUMIFS(SalesDetail[Quantity (KG)],SalesDetail[Customer],$A292,SalesDetail[Year],2012)</f>
        <v>0</v>
      </c>
      <c r="F292" s="5">
        <f>SUMIFS(SalesDetail[Quantity (KG)],SalesDetail[Customer],$A292,SalesDetail[Year],2013)</f>
        <v>0</v>
      </c>
      <c r="G292" s="5">
        <f>SUMIFS(SalesDetail[Quantity (KG)],SalesDetail[Customer],$A292,SalesDetail[Year],2014)</f>
        <v>0</v>
      </c>
      <c r="H292" s="5">
        <f>SUMIFS(SalesDetail[Quantity (KG)],SalesDetail[Customer],$A292,SalesDetail[Year],2015)</f>
        <v>0</v>
      </c>
      <c r="I292" s="5">
        <f>SUMIFS(SalesDetail[Quantity (KG)],SalesDetail[Customer],$A292,SalesDetail[Year],2016)</f>
        <v>0</v>
      </c>
      <c r="J292" s="5">
        <f>SUMIFS(SalesDetail[Quantity (KG)],SalesDetail[Customer],$A292,SalesDetail[Year],2017)</f>
        <v>0</v>
      </c>
      <c r="K292" s="5">
        <f>SUMIFS(SalesDetail[Quantity (KG)],SalesDetail[Customer],$A292,SalesDetail[Year],2018)</f>
        <v>40</v>
      </c>
      <c r="L292" s="5">
        <f>SUMIFS(SalesDetail[Quantity (KG)],SalesDetail[Customer],$A292,SalesDetail[Year],2019)</f>
        <v>60</v>
      </c>
      <c r="M292" s="5">
        <f>SUMIFS(SalesDetail[Quantity (KG)],SalesDetail[Customer],$A292,SalesDetail[Year],2020)</f>
        <v>0</v>
      </c>
      <c r="N292" s="5">
        <f>SUMIFS(SalesDetail[Quantity (KG)],SalesDetail[Customer],$A292,SalesDetail[Year],2021)</f>
        <v>10</v>
      </c>
      <c r="O292" s="6">
        <f>SUM(B292:N292)</f>
        <v>110</v>
      </c>
    </row>
    <row r="293" spans="1:15" x14ac:dyDescent="0.3">
      <c r="A293" t="s">
        <v>2007</v>
      </c>
      <c r="B293" s="5">
        <f>SUMIFS(SalesDetail[Quantity (KG)],SalesDetail[Customer],$A293,SalesDetail[Year],2009)</f>
        <v>0</v>
      </c>
      <c r="C293" s="5">
        <f>SUMIFS(SalesDetail[Quantity (KG)],SalesDetail[Customer],$A293,SalesDetail[Year],2010)</f>
        <v>0</v>
      </c>
      <c r="D293" s="5">
        <f>SUMIFS(SalesDetail[Quantity (KG)],SalesDetail[Customer],$A293,SalesDetail[Year],2011)</f>
        <v>0</v>
      </c>
      <c r="E293" s="5">
        <f>SUMIFS(SalesDetail[Quantity (KG)],SalesDetail[Customer],$A293,SalesDetail[Year],2012)</f>
        <v>0</v>
      </c>
      <c r="F293" s="5">
        <f>SUMIFS(SalesDetail[Quantity (KG)],SalesDetail[Customer],$A293,SalesDetail[Year],2013)</f>
        <v>0</v>
      </c>
      <c r="G293" s="5">
        <f>SUMIFS(SalesDetail[Quantity (KG)],SalesDetail[Customer],$A293,SalesDetail[Year],2014)</f>
        <v>0</v>
      </c>
      <c r="H293" s="5">
        <f>SUMIFS(SalesDetail[Quantity (KG)],SalesDetail[Customer],$A293,SalesDetail[Year],2015)</f>
        <v>0</v>
      </c>
      <c r="I293" s="5">
        <f>SUMIFS(SalesDetail[Quantity (KG)],SalesDetail[Customer],$A293,SalesDetail[Year],2016)</f>
        <v>0</v>
      </c>
      <c r="J293" s="5">
        <f>SUMIFS(SalesDetail[Quantity (KG)],SalesDetail[Customer],$A293,SalesDetail[Year],2017)</f>
        <v>27</v>
      </c>
      <c r="K293" s="5">
        <f>SUMIFS(SalesDetail[Quantity (KG)],SalesDetail[Customer],$A293,SalesDetail[Year],2018)</f>
        <v>80</v>
      </c>
      <c r="L293" s="5">
        <f>SUMIFS(SalesDetail[Quantity (KG)],SalesDetail[Customer],$A293,SalesDetail[Year],2019)</f>
        <v>2</v>
      </c>
      <c r="M293" s="5">
        <f>SUMIFS(SalesDetail[Quantity (KG)],SalesDetail[Customer],$A293,SalesDetail[Year],2020)</f>
        <v>0</v>
      </c>
      <c r="N293" s="5">
        <f>SUMIFS(SalesDetail[Quantity (KG)],SalesDetail[Customer],$A293,SalesDetail[Year],2021)</f>
        <v>0</v>
      </c>
      <c r="O293" s="6">
        <f>SUM(B293:N293)</f>
        <v>109</v>
      </c>
    </row>
    <row r="294" spans="1:15" x14ac:dyDescent="0.3">
      <c r="A294" t="s">
        <v>1738</v>
      </c>
      <c r="B294" s="5">
        <f>SUMIFS(SalesDetail[Quantity (KG)],SalesDetail[Customer],$A294,SalesDetail[Year],2009)</f>
        <v>0</v>
      </c>
      <c r="C294" s="5">
        <f>SUMIFS(SalesDetail[Quantity (KG)],SalesDetail[Customer],$A294,SalesDetail[Year],2010)</f>
        <v>26</v>
      </c>
      <c r="D294" s="5">
        <f>SUMIFS(SalesDetail[Quantity (KG)],SalesDetail[Customer],$A294,SalesDetail[Year],2011)</f>
        <v>25</v>
      </c>
      <c r="E294" s="5">
        <f>SUMIFS(SalesDetail[Quantity (KG)],SalesDetail[Customer],$A294,SalesDetail[Year],2012)</f>
        <v>25</v>
      </c>
      <c r="F294" s="5">
        <f>SUMIFS(SalesDetail[Quantity (KG)],SalesDetail[Customer],$A294,SalesDetail[Year],2013)</f>
        <v>30</v>
      </c>
      <c r="G294" s="5">
        <f>SUMIFS(SalesDetail[Quantity (KG)],SalesDetail[Customer],$A294,SalesDetail[Year],2014)</f>
        <v>0</v>
      </c>
      <c r="H294" s="5">
        <f>SUMIFS(SalesDetail[Quantity (KG)],SalesDetail[Customer],$A294,SalesDetail[Year],2015)</f>
        <v>0</v>
      </c>
      <c r="I294" s="5">
        <f>SUMIFS(SalesDetail[Quantity (KG)],SalesDetail[Customer],$A294,SalesDetail[Year],2016)</f>
        <v>0</v>
      </c>
      <c r="J294" s="5">
        <f>SUMIFS(SalesDetail[Quantity (KG)],SalesDetail[Customer],$A294,SalesDetail[Year],2017)</f>
        <v>0</v>
      </c>
      <c r="K294" s="5">
        <f>SUMIFS(SalesDetail[Quantity (KG)],SalesDetail[Customer],$A294,SalesDetail[Year],2018)</f>
        <v>0</v>
      </c>
      <c r="L294" s="5">
        <f>SUMIFS(SalesDetail[Quantity (KG)],SalesDetail[Customer],$A294,SalesDetail[Year],2019)</f>
        <v>0</v>
      </c>
      <c r="M294" s="5">
        <f>SUMIFS(SalesDetail[Quantity (KG)],SalesDetail[Customer],$A294,SalesDetail[Year],2020)</f>
        <v>0</v>
      </c>
      <c r="N294" s="5">
        <f>SUMIFS(SalesDetail[Quantity (KG)],SalesDetail[Customer],$A294,SalesDetail[Year],2021)</f>
        <v>0</v>
      </c>
      <c r="O294" s="6">
        <f>SUM(B294:N294)</f>
        <v>106</v>
      </c>
    </row>
    <row r="295" spans="1:15" x14ac:dyDescent="0.3">
      <c r="A295" t="s">
        <v>2160</v>
      </c>
      <c r="B295" s="5">
        <f>SUMIFS(SalesDetail[Quantity (KG)],SalesDetail[Customer],$A295,SalesDetail[Year],2009)</f>
        <v>0</v>
      </c>
      <c r="C295" s="5">
        <f>SUMIFS(SalesDetail[Quantity (KG)],SalesDetail[Customer],$A295,SalesDetail[Year],2010)</f>
        <v>0</v>
      </c>
      <c r="D295" s="5">
        <f>SUMIFS(SalesDetail[Quantity (KG)],SalesDetail[Customer],$A295,SalesDetail[Year],2011)</f>
        <v>0</v>
      </c>
      <c r="E295" s="5">
        <f>SUMIFS(SalesDetail[Quantity (KG)],SalesDetail[Customer],$A295,SalesDetail[Year],2012)</f>
        <v>0</v>
      </c>
      <c r="F295" s="5">
        <f>SUMIFS(SalesDetail[Quantity (KG)],SalesDetail[Customer],$A295,SalesDetail[Year],2013)</f>
        <v>0</v>
      </c>
      <c r="G295" s="5">
        <f>SUMIFS(SalesDetail[Quantity (KG)],SalesDetail[Customer],$A295,SalesDetail[Year],2014)</f>
        <v>0</v>
      </c>
      <c r="H295" s="5">
        <f>SUMIFS(SalesDetail[Quantity (KG)],SalesDetail[Customer],$A295,SalesDetail[Year],2015)</f>
        <v>105</v>
      </c>
      <c r="I295" s="5">
        <f>SUMIFS(SalesDetail[Quantity (KG)],SalesDetail[Customer],$A295,SalesDetail[Year],2016)</f>
        <v>0</v>
      </c>
      <c r="J295" s="5">
        <f>SUMIFS(SalesDetail[Quantity (KG)],SalesDetail[Customer],$A295,SalesDetail[Year],2017)</f>
        <v>0</v>
      </c>
      <c r="K295" s="5">
        <f>SUMIFS(SalesDetail[Quantity (KG)],SalesDetail[Customer],$A295,SalesDetail[Year],2018)</f>
        <v>0</v>
      </c>
      <c r="L295" s="5">
        <f>SUMIFS(SalesDetail[Quantity (KG)],SalesDetail[Customer],$A295,SalesDetail[Year],2019)</f>
        <v>0</v>
      </c>
      <c r="M295" s="5">
        <f>SUMIFS(SalesDetail[Quantity (KG)],SalesDetail[Customer],$A295,SalesDetail[Year],2020)</f>
        <v>0</v>
      </c>
      <c r="N295" s="5">
        <f>SUMIFS(SalesDetail[Quantity (KG)],SalesDetail[Customer],$A295,SalesDetail[Year],2021)</f>
        <v>0</v>
      </c>
      <c r="O295" s="6">
        <f>SUM(B295:N295)</f>
        <v>105</v>
      </c>
    </row>
    <row r="296" spans="1:15" x14ac:dyDescent="0.3">
      <c r="A296" t="s">
        <v>1703</v>
      </c>
      <c r="B296" s="5">
        <f>SUMIFS(SalesDetail[Quantity (KG)],SalesDetail[Customer],$A296,SalesDetail[Year],2009)</f>
        <v>0</v>
      </c>
      <c r="C296" s="5">
        <f>SUMIFS(SalesDetail[Quantity (KG)],SalesDetail[Customer],$A296,SalesDetail[Year],2010)</f>
        <v>18</v>
      </c>
      <c r="D296" s="5">
        <f>SUMIFS(SalesDetail[Quantity (KG)],SalesDetail[Customer],$A296,SalesDetail[Year],2011)</f>
        <v>12</v>
      </c>
      <c r="E296" s="5">
        <f>SUMIFS(SalesDetail[Quantity (KG)],SalesDetail[Customer],$A296,SalesDetail[Year],2012)</f>
        <v>13.5</v>
      </c>
      <c r="F296" s="5">
        <f>SUMIFS(SalesDetail[Quantity (KG)],SalesDetail[Customer],$A296,SalesDetail[Year],2013)</f>
        <v>10</v>
      </c>
      <c r="G296" s="5">
        <f>SUMIFS(SalesDetail[Quantity (KG)],SalesDetail[Customer],$A296,SalesDetail[Year],2014)</f>
        <v>5</v>
      </c>
      <c r="H296" s="5">
        <f>SUMIFS(SalesDetail[Quantity (KG)],SalesDetail[Customer],$A296,SalesDetail[Year],2015)</f>
        <v>0</v>
      </c>
      <c r="I296" s="5">
        <f>SUMIFS(SalesDetail[Quantity (KG)],SalesDetail[Customer],$A296,SalesDetail[Year],2016)</f>
        <v>5</v>
      </c>
      <c r="J296" s="5">
        <f>SUMIFS(SalesDetail[Quantity (KG)],SalesDetail[Customer],$A296,SalesDetail[Year],2017)</f>
        <v>10</v>
      </c>
      <c r="K296" s="5">
        <f>SUMIFS(SalesDetail[Quantity (KG)],SalesDetail[Customer],$A296,SalesDetail[Year],2018)</f>
        <v>0</v>
      </c>
      <c r="L296" s="5">
        <f>SUMIFS(SalesDetail[Quantity (KG)],SalesDetail[Customer],$A296,SalesDetail[Year],2019)</f>
        <v>0</v>
      </c>
      <c r="M296" s="5">
        <f>SUMIFS(SalesDetail[Quantity (KG)],SalesDetail[Customer],$A296,SalesDetail[Year],2020)</f>
        <v>30</v>
      </c>
      <c r="N296" s="5">
        <f>SUMIFS(SalesDetail[Quantity (KG)],SalesDetail[Customer],$A296,SalesDetail[Year],2021)</f>
        <v>0</v>
      </c>
      <c r="O296" s="6">
        <f>SUM(B296:N296)</f>
        <v>103.5</v>
      </c>
    </row>
    <row r="297" spans="1:15" x14ac:dyDescent="0.3">
      <c r="A297" t="s">
        <v>1848</v>
      </c>
      <c r="B297" s="5">
        <f>SUMIFS(SalesDetail[Quantity (KG)],SalesDetail[Customer],$A297,SalesDetail[Year],2009)</f>
        <v>0</v>
      </c>
      <c r="C297" s="5">
        <f>SUMIFS(SalesDetail[Quantity (KG)],SalesDetail[Customer],$A297,SalesDetail[Year],2010)</f>
        <v>0</v>
      </c>
      <c r="D297" s="5">
        <f>SUMIFS(SalesDetail[Quantity (KG)],SalesDetail[Customer],$A297,SalesDetail[Year],2011)</f>
        <v>0</v>
      </c>
      <c r="E297" s="5">
        <f>SUMIFS(SalesDetail[Quantity (KG)],SalesDetail[Customer],$A297,SalesDetail[Year],2012)</f>
        <v>0</v>
      </c>
      <c r="F297" s="5">
        <f>SUMIFS(SalesDetail[Quantity (KG)],SalesDetail[Customer],$A297,SalesDetail[Year],2013)</f>
        <v>0</v>
      </c>
      <c r="G297" s="5">
        <f>SUMIFS(SalesDetail[Quantity (KG)],SalesDetail[Customer],$A297,SalesDetail[Year],2014)</f>
        <v>0</v>
      </c>
      <c r="H297" s="5">
        <f>SUMIFS(SalesDetail[Quantity (KG)],SalesDetail[Customer],$A297,SalesDetail[Year],2015)</f>
        <v>0</v>
      </c>
      <c r="I297" s="5">
        <f>SUMIFS(SalesDetail[Quantity (KG)],SalesDetail[Customer],$A297,SalesDetail[Year],2016)</f>
        <v>0</v>
      </c>
      <c r="J297" s="5">
        <f>SUMIFS(SalesDetail[Quantity (KG)],SalesDetail[Customer],$A297,SalesDetail[Year],2017)</f>
        <v>0</v>
      </c>
      <c r="K297" s="5">
        <f>SUMIFS(SalesDetail[Quantity (KG)],SalesDetail[Customer],$A297,SalesDetail[Year],2018)</f>
        <v>0</v>
      </c>
      <c r="L297" s="5">
        <f>SUMIFS(SalesDetail[Quantity (KG)],SalesDetail[Customer],$A297,SalesDetail[Year],2019)</f>
        <v>0</v>
      </c>
      <c r="M297" s="5">
        <f>SUMIFS(SalesDetail[Quantity (KG)],SalesDetail[Customer],$A297,SalesDetail[Year],2020)</f>
        <v>83</v>
      </c>
      <c r="N297" s="5">
        <f>SUMIFS(SalesDetail[Quantity (KG)],SalesDetail[Customer],$A297,SalesDetail[Year],2021)</f>
        <v>20</v>
      </c>
      <c r="O297" s="6">
        <f>SUM(B297:N297)</f>
        <v>103</v>
      </c>
    </row>
    <row r="298" spans="1:15" x14ac:dyDescent="0.3">
      <c r="A298" t="s">
        <v>2054</v>
      </c>
      <c r="B298" s="5">
        <f>SUMIFS(SalesDetail[Quantity (KG)],SalesDetail[Customer],$A298,SalesDetail[Year],2009)</f>
        <v>0</v>
      </c>
      <c r="C298" s="5">
        <f>SUMIFS(SalesDetail[Quantity (KG)],SalesDetail[Customer],$A298,SalesDetail[Year],2010)</f>
        <v>0</v>
      </c>
      <c r="D298" s="5">
        <f>SUMIFS(SalesDetail[Quantity (KG)],SalesDetail[Customer],$A298,SalesDetail[Year],2011)</f>
        <v>0</v>
      </c>
      <c r="E298" s="5">
        <f>SUMIFS(SalesDetail[Quantity (KG)],SalesDetail[Customer],$A298,SalesDetail[Year],2012)</f>
        <v>0</v>
      </c>
      <c r="F298" s="5">
        <f>SUMIFS(SalesDetail[Quantity (KG)],SalesDetail[Customer],$A298,SalesDetail[Year],2013)</f>
        <v>0</v>
      </c>
      <c r="G298" s="5">
        <f>SUMIFS(SalesDetail[Quantity (KG)],SalesDetail[Customer],$A298,SalesDetail[Year],2014)</f>
        <v>0</v>
      </c>
      <c r="H298" s="5">
        <f>SUMIFS(SalesDetail[Quantity (KG)],SalesDetail[Customer],$A298,SalesDetail[Year],2015)</f>
        <v>0</v>
      </c>
      <c r="I298" s="5">
        <f>SUMIFS(SalesDetail[Quantity (KG)],SalesDetail[Customer],$A298,SalesDetail[Year],2016)</f>
        <v>10</v>
      </c>
      <c r="J298" s="5">
        <f>SUMIFS(SalesDetail[Quantity (KG)],SalesDetail[Customer],$A298,SalesDetail[Year],2017)</f>
        <v>0</v>
      </c>
      <c r="K298" s="5">
        <f>SUMIFS(SalesDetail[Quantity (KG)],SalesDetail[Customer],$A298,SalesDetail[Year],2018)</f>
        <v>42</v>
      </c>
      <c r="L298" s="5">
        <f>SUMIFS(SalesDetail[Quantity (KG)],SalesDetail[Customer],$A298,SalesDetail[Year],2019)</f>
        <v>0</v>
      </c>
      <c r="M298" s="5">
        <f>SUMIFS(SalesDetail[Quantity (KG)],SalesDetail[Customer],$A298,SalesDetail[Year],2020)</f>
        <v>50</v>
      </c>
      <c r="N298" s="5">
        <f>SUMIFS(SalesDetail[Quantity (KG)],SalesDetail[Customer],$A298,SalesDetail[Year],2021)</f>
        <v>0</v>
      </c>
      <c r="O298" s="6">
        <f>SUM(B298:N298)</f>
        <v>102</v>
      </c>
    </row>
    <row r="299" spans="1:15" x14ac:dyDescent="0.3">
      <c r="A299" t="s">
        <v>2472</v>
      </c>
      <c r="B299" s="5">
        <f>SUMIFS(SalesDetail[Quantity (KG)],SalesDetail[Customer],$A299,SalesDetail[Year],2009)</f>
        <v>0</v>
      </c>
      <c r="C299" s="5">
        <f>SUMIFS(SalesDetail[Quantity (KG)],SalesDetail[Customer],$A299,SalesDetail[Year],2010)</f>
        <v>0</v>
      </c>
      <c r="D299" s="5">
        <f>SUMIFS(SalesDetail[Quantity (KG)],SalesDetail[Customer],$A299,SalesDetail[Year],2011)</f>
        <v>0</v>
      </c>
      <c r="E299" s="5">
        <f>SUMIFS(SalesDetail[Quantity (KG)],SalesDetail[Customer],$A299,SalesDetail[Year],2012)</f>
        <v>0</v>
      </c>
      <c r="F299" s="5">
        <f>SUMIFS(SalesDetail[Quantity (KG)],SalesDetail[Customer],$A299,SalesDetail[Year],2013)</f>
        <v>0</v>
      </c>
      <c r="G299" s="5">
        <f>SUMIFS(SalesDetail[Quantity (KG)],SalesDetail[Customer],$A299,SalesDetail[Year],2014)</f>
        <v>0</v>
      </c>
      <c r="H299" s="5">
        <f>SUMIFS(SalesDetail[Quantity (KG)],SalesDetail[Customer],$A299,SalesDetail[Year],2015)</f>
        <v>0</v>
      </c>
      <c r="I299" s="5">
        <f>SUMIFS(SalesDetail[Quantity (KG)],SalesDetail[Customer],$A299,SalesDetail[Year],2016)</f>
        <v>0</v>
      </c>
      <c r="J299" s="5">
        <f>SUMIFS(SalesDetail[Quantity (KG)],SalesDetail[Customer],$A299,SalesDetail[Year],2017)</f>
        <v>0</v>
      </c>
      <c r="K299" s="5">
        <f>SUMIFS(SalesDetail[Quantity (KG)],SalesDetail[Customer],$A299,SalesDetail[Year],2018)</f>
        <v>0</v>
      </c>
      <c r="L299" s="5">
        <f>SUMIFS(SalesDetail[Quantity (KG)],SalesDetail[Customer],$A299,SalesDetail[Year],2019)</f>
        <v>0</v>
      </c>
      <c r="M299" s="5">
        <f>SUMIFS(SalesDetail[Quantity (KG)],SalesDetail[Customer],$A299,SalesDetail[Year],2020)</f>
        <v>75.40000000000002</v>
      </c>
      <c r="N299" s="5">
        <f>SUMIFS(SalesDetail[Quantity (KG)],SalesDetail[Customer],$A299,SalesDetail[Year],2021)</f>
        <v>25</v>
      </c>
      <c r="O299" s="6">
        <f>SUM(B299:N299)</f>
        <v>100.40000000000002</v>
      </c>
    </row>
    <row r="300" spans="1:15" x14ac:dyDescent="0.3">
      <c r="A300" t="s">
        <v>1869</v>
      </c>
      <c r="B300" s="5">
        <f>SUMIFS(SalesDetail[Quantity (KG)],SalesDetail[Customer],$A300,SalesDetail[Year],2009)</f>
        <v>0</v>
      </c>
      <c r="C300" s="5">
        <f>SUMIFS(SalesDetail[Quantity (KG)],SalesDetail[Customer],$A300,SalesDetail[Year],2010)</f>
        <v>0</v>
      </c>
      <c r="D300" s="5">
        <f>SUMIFS(SalesDetail[Quantity (KG)],SalesDetail[Customer],$A300,SalesDetail[Year],2011)</f>
        <v>0</v>
      </c>
      <c r="E300" s="5">
        <f>SUMIFS(SalesDetail[Quantity (KG)],SalesDetail[Customer],$A300,SalesDetail[Year],2012)</f>
        <v>0</v>
      </c>
      <c r="F300" s="5">
        <f>SUMIFS(SalesDetail[Quantity (KG)],SalesDetail[Customer],$A300,SalesDetail[Year],2013)</f>
        <v>0</v>
      </c>
      <c r="G300" s="5">
        <f>SUMIFS(SalesDetail[Quantity (KG)],SalesDetail[Customer],$A300,SalesDetail[Year],2014)</f>
        <v>0</v>
      </c>
      <c r="H300" s="5">
        <f>SUMIFS(SalesDetail[Quantity (KG)],SalesDetail[Customer],$A300,SalesDetail[Year],2015)</f>
        <v>0</v>
      </c>
      <c r="I300" s="5">
        <f>SUMIFS(SalesDetail[Quantity (KG)],SalesDetail[Customer],$A300,SalesDetail[Year],2016)</f>
        <v>0</v>
      </c>
      <c r="J300" s="5">
        <f>SUMIFS(SalesDetail[Quantity (KG)],SalesDetail[Customer],$A300,SalesDetail[Year],2017)</f>
        <v>0</v>
      </c>
      <c r="K300" s="5">
        <f>SUMIFS(SalesDetail[Quantity (KG)],SalesDetail[Customer],$A300,SalesDetail[Year],2018)</f>
        <v>40</v>
      </c>
      <c r="L300" s="5">
        <f>SUMIFS(SalesDetail[Quantity (KG)],SalesDetail[Customer],$A300,SalesDetail[Year],2019)</f>
        <v>0</v>
      </c>
      <c r="M300" s="5">
        <f>SUMIFS(SalesDetail[Quantity (KG)],SalesDetail[Customer],$A300,SalesDetail[Year],2020)</f>
        <v>60</v>
      </c>
      <c r="N300" s="5">
        <f>SUMIFS(SalesDetail[Quantity (KG)],SalesDetail[Customer],$A300,SalesDetail[Year],2021)</f>
        <v>0</v>
      </c>
      <c r="O300" s="6">
        <f>SUM(B300:N300)</f>
        <v>100</v>
      </c>
    </row>
    <row r="301" spans="1:15" x14ac:dyDescent="0.3">
      <c r="A301" t="s">
        <v>2064</v>
      </c>
      <c r="B301" s="5">
        <f>SUMIFS(SalesDetail[Quantity (KG)],SalesDetail[Customer],$A301,SalesDetail[Year],2009)</f>
        <v>0</v>
      </c>
      <c r="C301" s="5">
        <f>SUMIFS(SalesDetail[Quantity (KG)],SalesDetail[Customer],$A301,SalesDetail[Year],2010)</f>
        <v>0</v>
      </c>
      <c r="D301" s="5">
        <f>SUMIFS(SalesDetail[Quantity (KG)],SalesDetail[Customer],$A301,SalesDetail[Year],2011)</f>
        <v>0</v>
      </c>
      <c r="E301" s="5">
        <f>SUMIFS(SalesDetail[Quantity (KG)],SalesDetail[Customer],$A301,SalesDetail[Year],2012)</f>
        <v>0</v>
      </c>
      <c r="F301" s="5">
        <f>SUMIFS(SalesDetail[Quantity (KG)],SalesDetail[Customer],$A301,SalesDetail[Year],2013)</f>
        <v>0</v>
      </c>
      <c r="G301" s="5">
        <f>SUMIFS(SalesDetail[Quantity (KG)],SalesDetail[Customer],$A301,SalesDetail[Year],2014)</f>
        <v>100</v>
      </c>
      <c r="H301" s="5">
        <f>SUMIFS(SalesDetail[Quantity (KG)],SalesDetail[Customer],$A301,SalesDetail[Year],2015)</f>
        <v>0</v>
      </c>
      <c r="I301" s="5">
        <f>SUMIFS(SalesDetail[Quantity (KG)],SalesDetail[Customer],$A301,SalesDetail[Year],2016)</f>
        <v>0</v>
      </c>
      <c r="J301" s="5">
        <f>SUMIFS(SalesDetail[Quantity (KG)],SalesDetail[Customer],$A301,SalesDetail[Year],2017)</f>
        <v>0</v>
      </c>
      <c r="K301" s="5">
        <f>SUMIFS(SalesDetail[Quantity (KG)],SalesDetail[Customer],$A301,SalesDetail[Year],2018)</f>
        <v>0</v>
      </c>
      <c r="L301" s="5">
        <f>SUMIFS(SalesDetail[Quantity (KG)],SalesDetail[Customer],$A301,SalesDetail[Year],2019)</f>
        <v>0</v>
      </c>
      <c r="M301" s="5">
        <f>SUMIFS(SalesDetail[Quantity (KG)],SalesDetail[Customer],$A301,SalesDetail[Year],2020)</f>
        <v>0</v>
      </c>
      <c r="N301" s="5">
        <f>SUMIFS(SalesDetail[Quantity (KG)],SalesDetail[Customer],$A301,SalesDetail[Year],2021)</f>
        <v>0</v>
      </c>
      <c r="O301" s="6">
        <f>SUM(B301:N301)</f>
        <v>100</v>
      </c>
    </row>
    <row r="302" spans="1:15" x14ac:dyDescent="0.3">
      <c r="A302" t="s">
        <v>2242</v>
      </c>
      <c r="B302" s="5">
        <f>SUMIFS(SalesDetail[Quantity (KG)],SalesDetail[Customer],$A302,SalesDetail[Year],2009)</f>
        <v>0</v>
      </c>
      <c r="C302" s="5">
        <f>SUMIFS(SalesDetail[Quantity (KG)],SalesDetail[Customer],$A302,SalesDetail[Year],2010)</f>
        <v>0</v>
      </c>
      <c r="D302" s="5">
        <f>SUMIFS(SalesDetail[Quantity (KG)],SalesDetail[Customer],$A302,SalesDetail[Year],2011)</f>
        <v>0</v>
      </c>
      <c r="E302" s="5">
        <f>SUMIFS(SalesDetail[Quantity (KG)],SalesDetail[Customer],$A302,SalesDetail[Year],2012)</f>
        <v>0</v>
      </c>
      <c r="F302" s="5">
        <f>SUMIFS(SalesDetail[Quantity (KG)],SalesDetail[Customer],$A302,SalesDetail[Year],2013)</f>
        <v>0</v>
      </c>
      <c r="G302" s="5">
        <f>SUMIFS(SalesDetail[Quantity (KG)],SalesDetail[Customer],$A302,SalesDetail[Year],2014)</f>
        <v>0</v>
      </c>
      <c r="H302" s="5">
        <f>SUMIFS(SalesDetail[Quantity (KG)],SalesDetail[Customer],$A302,SalesDetail[Year],2015)</f>
        <v>0</v>
      </c>
      <c r="I302" s="5">
        <f>SUMIFS(SalesDetail[Quantity (KG)],SalesDetail[Customer],$A302,SalesDetail[Year],2016)</f>
        <v>0</v>
      </c>
      <c r="J302" s="5">
        <f>SUMIFS(SalesDetail[Quantity (KG)],SalesDetail[Customer],$A302,SalesDetail[Year],2017)</f>
        <v>0</v>
      </c>
      <c r="K302" s="5">
        <f>SUMIFS(SalesDetail[Quantity (KG)],SalesDetail[Customer],$A302,SalesDetail[Year],2018)</f>
        <v>0</v>
      </c>
      <c r="L302" s="5">
        <f>SUMIFS(SalesDetail[Quantity (KG)],SalesDetail[Customer],$A302,SalesDetail[Year],2019)</f>
        <v>0</v>
      </c>
      <c r="M302" s="5">
        <f>SUMIFS(SalesDetail[Quantity (KG)],SalesDetail[Customer],$A302,SalesDetail[Year],2020)</f>
        <v>0</v>
      </c>
      <c r="N302" s="5">
        <f>SUMIFS(SalesDetail[Quantity (KG)],SalesDetail[Customer],$A302,SalesDetail[Year],2021)</f>
        <v>100</v>
      </c>
      <c r="O302" s="6">
        <f>SUM(B302:N302)</f>
        <v>100</v>
      </c>
    </row>
    <row r="303" spans="1:15" x14ac:dyDescent="0.3">
      <c r="A303" t="s">
        <v>2282</v>
      </c>
      <c r="B303" s="5">
        <f>SUMIFS(SalesDetail[Quantity (KG)],SalesDetail[Customer],$A303,SalesDetail[Year],2009)</f>
        <v>50</v>
      </c>
      <c r="C303" s="5">
        <f>SUMIFS(SalesDetail[Quantity (KG)],SalesDetail[Customer],$A303,SalesDetail[Year],2010)</f>
        <v>0</v>
      </c>
      <c r="D303" s="5">
        <f>SUMIFS(SalesDetail[Quantity (KG)],SalesDetail[Customer],$A303,SalesDetail[Year],2011)</f>
        <v>50</v>
      </c>
      <c r="E303" s="5">
        <f>SUMIFS(SalesDetail[Quantity (KG)],SalesDetail[Customer],$A303,SalesDetail[Year],2012)</f>
        <v>0</v>
      </c>
      <c r="F303" s="5">
        <f>SUMIFS(SalesDetail[Quantity (KG)],SalesDetail[Customer],$A303,SalesDetail[Year],2013)</f>
        <v>0</v>
      </c>
      <c r="G303" s="5">
        <f>SUMIFS(SalesDetail[Quantity (KG)],SalesDetail[Customer],$A303,SalesDetail[Year],2014)</f>
        <v>0</v>
      </c>
      <c r="H303" s="5">
        <f>SUMIFS(SalesDetail[Quantity (KG)],SalesDetail[Customer],$A303,SalesDetail[Year],2015)</f>
        <v>0</v>
      </c>
      <c r="I303" s="5">
        <f>SUMIFS(SalesDetail[Quantity (KG)],SalesDetail[Customer],$A303,SalesDetail[Year],2016)</f>
        <v>0</v>
      </c>
      <c r="J303" s="5">
        <f>SUMIFS(SalesDetail[Quantity (KG)],SalesDetail[Customer],$A303,SalesDetail[Year],2017)</f>
        <v>0</v>
      </c>
      <c r="K303" s="5">
        <f>SUMIFS(SalesDetail[Quantity (KG)],SalesDetail[Customer],$A303,SalesDetail[Year],2018)</f>
        <v>0</v>
      </c>
      <c r="L303" s="5">
        <f>SUMIFS(SalesDetail[Quantity (KG)],SalesDetail[Customer],$A303,SalesDetail[Year],2019)</f>
        <v>0</v>
      </c>
      <c r="M303" s="5">
        <f>SUMIFS(SalesDetail[Quantity (KG)],SalesDetail[Customer],$A303,SalesDetail[Year],2020)</f>
        <v>0</v>
      </c>
      <c r="N303" s="5">
        <f>SUMIFS(SalesDetail[Quantity (KG)],SalesDetail[Customer],$A303,SalesDetail[Year],2021)</f>
        <v>0</v>
      </c>
      <c r="O303" s="6">
        <f>SUM(B303:N303)</f>
        <v>100</v>
      </c>
    </row>
    <row r="304" spans="1:15" x14ac:dyDescent="0.3">
      <c r="A304" t="s">
        <v>2289</v>
      </c>
      <c r="B304" s="5">
        <f>SUMIFS(SalesDetail[Quantity (KG)],SalesDetail[Customer],$A304,SalesDetail[Year],2009)</f>
        <v>0</v>
      </c>
      <c r="C304" s="5">
        <f>SUMIFS(SalesDetail[Quantity (KG)],SalesDetail[Customer],$A304,SalesDetail[Year],2010)</f>
        <v>0</v>
      </c>
      <c r="D304" s="5">
        <f>SUMIFS(SalesDetail[Quantity (KG)],SalesDetail[Customer],$A304,SalesDetail[Year],2011)</f>
        <v>0</v>
      </c>
      <c r="E304" s="5">
        <f>SUMIFS(SalesDetail[Quantity (KG)],SalesDetail[Customer],$A304,SalesDetail[Year],2012)</f>
        <v>0</v>
      </c>
      <c r="F304" s="5">
        <f>SUMIFS(SalesDetail[Quantity (KG)],SalesDetail[Customer],$A304,SalesDetail[Year],2013)</f>
        <v>0</v>
      </c>
      <c r="G304" s="5">
        <f>SUMIFS(SalesDetail[Quantity (KG)],SalesDetail[Customer],$A304,SalesDetail[Year],2014)</f>
        <v>0</v>
      </c>
      <c r="H304" s="5">
        <f>SUMIFS(SalesDetail[Quantity (KG)],SalesDetail[Customer],$A304,SalesDetail[Year],2015)</f>
        <v>0</v>
      </c>
      <c r="I304" s="5">
        <f>SUMIFS(SalesDetail[Quantity (KG)],SalesDetail[Customer],$A304,SalesDetail[Year],2016)</f>
        <v>0</v>
      </c>
      <c r="J304" s="5">
        <f>SUMIFS(SalesDetail[Quantity (KG)],SalesDetail[Customer],$A304,SalesDetail[Year],2017)</f>
        <v>0</v>
      </c>
      <c r="K304" s="5">
        <f>SUMIFS(SalesDetail[Quantity (KG)],SalesDetail[Customer],$A304,SalesDetail[Year],2018)</f>
        <v>0</v>
      </c>
      <c r="L304" s="5">
        <f>SUMIFS(SalesDetail[Quantity (KG)],SalesDetail[Customer],$A304,SalesDetail[Year],2019)</f>
        <v>50</v>
      </c>
      <c r="M304" s="5">
        <f>SUMIFS(SalesDetail[Quantity (KG)],SalesDetail[Customer],$A304,SalesDetail[Year],2020)</f>
        <v>50</v>
      </c>
      <c r="N304" s="5">
        <f>SUMIFS(SalesDetail[Quantity (KG)],SalesDetail[Customer],$A304,SalesDetail[Year],2021)</f>
        <v>0</v>
      </c>
      <c r="O304" s="6">
        <f>SUM(B304:N304)</f>
        <v>100</v>
      </c>
    </row>
    <row r="305" spans="1:15" x14ac:dyDescent="0.3">
      <c r="A305" t="s">
        <v>2299</v>
      </c>
      <c r="B305" s="5">
        <f>SUMIFS(SalesDetail[Quantity (KG)],SalesDetail[Customer],$A305,SalesDetail[Year],2009)</f>
        <v>0</v>
      </c>
      <c r="C305" s="5">
        <f>SUMIFS(SalesDetail[Quantity (KG)],SalesDetail[Customer],$A305,SalesDetail[Year],2010)</f>
        <v>0</v>
      </c>
      <c r="D305" s="5">
        <f>SUMIFS(SalesDetail[Quantity (KG)],SalesDetail[Customer],$A305,SalesDetail[Year],2011)</f>
        <v>0</v>
      </c>
      <c r="E305" s="5">
        <f>SUMIFS(SalesDetail[Quantity (KG)],SalesDetail[Customer],$A305,SalesDetail[Year],2012)</f>
        <v>0</v>
      </c>
      <c r="F305" s="5">
        <f>SUMIFS(SalesDetail[Quantity (KG)],SalesDetail[Customer],$A305,SalesDetail[Year],2013)</f>
        <v>100</v>
      </c>
      <c r="G305" s="5">
        <f>SUMIFS(SalesDetail[Quantity (KG)],SalesDetail[Customer],$A305,SalesDetail[Year],2014)</f>
        <v>0</v>
      </c>
      <c r="H305" s="5">
        <f>SUMIFS(SalesDetail[Quantity (KG)],SalesDetail[Customer],$A305,SalesDetail[Year],2015)</f>
        <v>0</v>
      </c>
      <c r="I305" s="5">
        <f>SUMIFS(SalesDetail[Quantity (KG)],SalesDetail[Customer],$A305,SalesDetail[Year],2016)</f>
        <v>0</v>
      </c>
      <c r="J305" s="5">
        <f>SUMIFS(SalesDetail[Quantity (KG)],SalesDetail[Customer],$A305,SalesDetail[Year],2017)</f>
        <v>0</v>
      </c>
      <c r="K305" s="5">
        <f>SUMIFS(SalesDetail[Quantity (KG)],SalesDetail[Customer],$A305,SalesDetail[Year],2018)</f>
        <v>0</v>
      </c>
      <c r="L305" s="5">
        <f>SUMIFS(SalesDetail[Quantity (KG)],SalesDetail[Customer],$A305,SalesDetail[Year],2019)</f>
        <v>0</v>
      </c>
      <c r="M305" s="5">
        <f>SUMIFS(SalesDetail[Quantity (KG)],SalesDetail[Customer],$A305,SalesDetail[Year],2020)</f>
        <v>0</v>
      </c>
      <c r="N305" s="5">
        <f>SUMIFS(SalesDetail[Quantity (KG)],SalesDetail[Customer],$A305,SalesDetail[Year],2021)</f>
        <v>0</v>
      </c>
      <c r="O305" s="6">
        <f>SUM(B305:N305)</f>
        <v>100</v>
      </c>
    </row>
    <row r="306" spans="1:15" x14ac:dyDescent="0.3">
      <c r="A306" t="s">
        <v>2300</v>
      </c>
      <c r="B306" s="5">
        <f>SUMIFS(SalesDetail[Quantity (KG)],SalesDetail[Customer],$A306,SalesDetail[Year],2009)</f>
        <v>0</v>
      </c>
      <c r="C306" s="5">
        <f>SUMIFS(SalesDetail[Quantity (KG)],SalesDetail[Customer],$A306,SalesDetail[Year],2010)</f>
        <v>0</v>
      </c>
      <c r="D306" s="5">
        <f>SUMIFS(SalesDetail[Quantity (KG)],SalesDetail[Customer],$A306,SalesDetail[Year],2011)</f>
        <v>0</v>
      </c>
      <c r="E306" s="5">
        <f>SUMIFS(SalesDetail[Quantity (KG)],SalesDetail[Customer],$A306,SalesDetail[Year],2012)</f>
        <v>100</v>
      </c>
      <c r="F306" s="5">
        <f>SUMIFS(SalesDetail[Quantity (KG)],SalesDetail[Customer],$A306,SalesDetail[Year],2013)</f>
        <v>0</v>
      </c>
      <c r="G306" s="5">
        <f>SUMIFS(SalesDetail[Quantity (KG)],SalesDetail[Customer],$A306,SalesDetail[Year],2014)</f>
        <v>0</v>
      </c>
      <c r="H306" s="5">
        <f>SUMIFS(SalesDetail[Quantity (KG)],SalesDetail[Customer],$A306,SalesDetail[Year],2015)</f>
        <v>0</v>
      </c>
      <c r="I306" s="5">
        <f>SUMIFS(SalesDetail[Quantity (KG)],SalesDetail[Customer],$A306,SalesDetail[Year],2016)</f>
        <v>0</v>
      </c>
      <c r="J306" s="5">
        <f>SUMIFS(SalesDetail[Quantity (KG)],SalesDetail[Customer],$A306,SalesDetail[Year],2017)</f>
        <v>0</v>
      </c>
      <c r="K306" s="5">
        <f>SUMIFS(SalesDetail[Quantity (KG)],SalesDetail[Customer],$A306,SalesDetail[Year],2018)</f>
        <v>0</v>
      </c>
      <c r="L306" s="5">
        <f>SUMIFS(SalesDetail[Quantity (KG)],SalesDetail[Customer],$A306,SalesDetail[Year],2019)</f>
        <v>0</v>
      </c>
      <c r="M306" s="5">
        <f>SUMIFS(SalesDetail[Quantity (KG)],SalesDetail[Customer],$A306,SalesDetail[Year],2020)</f>
        <v>0</v>
      </c>
      <c r="N306" s="5">
        <f>SUMIFS(SalesDetail[Quantity (KG)],SalesDetail[Customer],$A306,SalesDetail[Year],2021)</f>
        <v>0</v>
      </c>
      <c r="O306" s="6">
        <f>SUM(B306:N306)</f>
        <v>100</v>
      </c>
    </row>
    <row r="307" spans="1:15" x14ac:dyDescent="0.3">
      <c r="A307" t="s">
        <v>2398</v>
      </c>
      <c r="B307" s="5">
        <f>SUMIFS(SalesDetail[Quantity (KG)],SalesDetail[Customer],$A307,SalesDetail[Year],2009)</f>
        <v>0</v>
      </c>
      <c r="C307" s="5">
        <f>SUMIFS(SalesDetail[Quantity (KG)],SalesDetail[Customer],$A307,SalesDetail[Year],2010)</f>
        <v>0</v>
      </c>
      <c r="D307" s="5">
        <f>SUMIFS(SalesDetail[Quantity (KG)],SalesDetail[Customer],$A307,SalesDetail[Year],2011)</f>
        <v>0</v>
      </c>
      <c r="E307" s="5">
        <f>SUMIFS(SalesDetail[Quantity (KG)],SalesDetail[Customer],$A307,SalesDetail[Year],2012)</f>
        <v>0</v>
      </c>
      <c r="F307" s="5">
        <f>SUMIFS(SalesDetail[Quantity (KG)],SalesDetail[Customer],$A307,SalesDetail[Year],2013)</f>
        <v>0</v>
      </c>
      <c r="G307" s="5">
        <f>SUMIFS(SalesDetail[Quantity (KG)],SalesDetail[Customer],$A307,SalesDetail[Year],2014)</f>
        <v>0</v>
      </c>
      <c r="H307" s="5">
        <f>SUMIFS(SalesDetail[Quantity (KG)],SalesDetail[Customer],$A307,SalesDetail[Year],2015)</f>
        <v>100</v>
      </c>
      <c r="I307" s="5">
        <f>SUMIFS(SalesDetail[Quantity (KG)],SalesDetail[Customer],$A307,SalesDetail[Year],2016)</f>
        <v>0</v>
      </c>
      <c r="J307" s="5">
        <f>SUMIFS(SalesDetail[Quantity (KG)],SalesDetail[Customer],$A307,SalesDetail[Year],2017)</f>
        <v>0</v>
      </c>
      <c r="K307" s="5">
        <f>SUMIFS(SalesDetail[Quantity (KG)],SalesDetail[Customer],$A307,SalesDetail[Year],2018)</f>
        <v>0</v>
      </c>
      <c r="L307" s="5">
        <f>SUMIFS(SalesDetail[Quantity (KG)],SalesDetail[Customer],$A307,SalesDetail[Year],2019)</f>
        <v>0</v>
      </c>
      <c r="M307" s="5">
        <f>SUMIFS(SalesDetail[Quantity (KG)],SalesDetail[Customer],$A307,SalesDetail[Year],2020)</f>
        <v>0</v>
      </c>
      <c r="N307" s="5">
        <f>SUMIFS(SalesDetail[Quantity (KG)],SalesDetail[Customer],$A307,SalesDetail[Year],2021)</f>
        <v>0</v>
      </c>
      <c r="O307" s="6">
        <f>SUM(B307:N307)</f>
        <v>100</v>
      </c>
    </row>
    <row r="308" spans="1:15" x14ac:dyDescent="0.3">
      <c r="A308" t="s">
        <v>1000</v>
      </c>
      <c r="B308" s="5">
        <f>SUMIFS(SalesDetail[Quantity (KG)],SalesDetail[Customer],$A308,SalesDetail[Year],2009)</f>
        <v>0</v>
      </c>
      <c r="C308" s="5">
        <f>SUMIFS(SalesDetail[Quantity (KG)],SalesDetail[Customer],$A308,SalesDetail[Year],2010)</f>
        <v>0</v>
      </c>
      <c r="D308" s="5">
        <f>SUMIFS(SalesDetail[Quantity (KG)],SalesDetail[Customer],$A308,SalesDetail[Year],2011)</f>
        <v>0</v>
      </c>
      <c r="E308" s="5">
        <f>SUMIFS(SalesDetail[Quantity (KG)],SalesDetail[Customer],$A308,SalesDetail[Year],2012)</f>
        <v>0</v>
      </c>
      <c r="F308" s="5">
        <f>SUMIFS(SalesDetail[Quantity (KG)],SalesDetail[Customer],$A308,SalesDetail[Year],2013)</f>
        <v>0</v>
      </c>
      <c r="G308" s="5">
        <f>SUMIFS(SalesDetail[Quantity (KG)],SalesDetail[Customer],$A308,SalesDetail[Year],2014)</f>
        <v>0</v>
      </c>
      <c r="H308" s="5">
        <f>SUMIFS(SalesDetail[Quantity (KG)],SalesDetail[Customer],$A308,SalesDetail[Year],2015)</f>
        <v>0</v>
      </c>
      <c r="I308" s="5">
        <f>SUMIFS(SalesDetail[Quantity (KG)],SalesDetail[Customer],$A308,SalesDetail[Year],2016)</f>
        <v>0</v>
      </c>
      <c r="J308" s="5">
        <f>SUMIFS(SalesDetail[Quantity (KG)],SalesDetail[Customer],$A308,SalesDetail[Year],2017)</f>
        <v>0</v>
      </c>
      <c r="K308" s="5">
        <f>SUMIFS(SalesDetail[Quantity (KG)],SalesDetail[Customer],$A308,SalesDetail[Year],2018)</f>
        <v>0</v>
      </c>
      <c r="L308" s="5">
        <f>SUMIFS(SalesDetail[Quantity (KG)],SalesDetail[Customer],$A308,SalesDetail[Year],2019)</f>
        <v>98</v>
      </c>
      <c r="M308" s="5">
        <f>SUMIFS(SalesDetail[Quantity (KG)],SalesDetail[Customer],$A308,SalesDetail[Year],2020)</f>
        <v>0</v>
      </c>
      <c r="N308" s="5">
        <f>SUMIFS(SalesDetail[Quantity (KG)],SalesDetail[Customer],$A308,SalesDetail[Year],2021)</f>
        <v>0</v>
      </c>
      <c r="O308" s="6">
        <f>SUM(B308:N308)</f>
        <v>98</v>
      </c>
    </row>
    <row r="309" spans="1:15" x14ac:dyDescent="0.3">
      <c r="A309" t="s">
        <v>1149</v>
      </c>
      <c r="B309" s="5">
        <f>SUMIFS(SalesDetail[Quantity (KG)],SalesDetail[Customer],$A309,SalesDetail[Year],2009)</f>
        <v>0</v>
      </c>
      <c r="C309" s="5">
        <f>SUMIFS(SalesDetail[Quantity (KG)],SalesDetail[Customer],$A309,SalesDetail[Year],2010)</f>
        <v>0</v>
      </c>
      <c r="D309" s="5">
        <f>SUMIFS(SalesDetail[Quantity (KG)],SalesDetail[Customer],$A309,SalesDetail[Year],2011)</f>
        <v>0</v>
      </c>
      <c r="E309" s="5">
        <f>SUMIFS(SalesDetail[Quantity (KG)],SalesDetail[Customer],$A309,SalesDetail[Year],2012)</f>
        <v>0</v>
      </c>
      <c r="F309" s="5">
        <f>SUMIFS(SalesDetail[Quantity (KG)],SalesDetail[Customer],$A309,SalesDetail[Year],2013)</f>
        <v>0</v>
      </c>
      <c r="G309" s="5">
        <f>SUMIFS(SalesDetail[Quantity (KG)],SalesDetail[Customer],$A309,SalesDetail[Year],2014)</f>
        <v>25</v>
      </c>
      <c r="H309" s="5">
        <f>SUMIFS(SalesDetail[Quantity (KG)],SalesDetail[Customer],$A309,SalesDetail[Year],2015)</f>
        <v>72</v>
      </c>
      <c r="I309" s="5">
        <f>SUMIFS(SalesDetail[Quantity (KG)],SalesDetail[Customer],$A309,SalesDetail[Year],2016)</f>
        <v>0</v>
      </c>
      <c r="J309" s="5">
        <f>SUMIFS(SalesDetail[Quantity (KG)],SalesDetail[Customer],$A309,SalesDetail[Year],2017)</f>
        <v>0</v>
      </c>
      <c r="K309" s="5">
        <f>SUMIFS(SalesDetail[Quantity (KG)],SalesDetail[Customer],$A309,SalesDetail[Year],2018)</f>
        <v>0</v>
      </c>
      <c r="L309" s="5">
        <f>SUMIFS(SalesDetail[Quantity (KG)],SalesDetail[Customer],$A309,SalesDetail[Year],2019)</f>
        <v>0</v>
      </c>
      <c r="M309" s="5">
        <f>SUMIFS(SalesDetail[Quantity (KG)],SalesDetail[Customer],$A309,SalesDetail[Year],2020)</f>
        <v>0</v>
      </c>
      <c r="N309" s="5">
        <f>SUMIFS(SalesDetail[Quantity (KG)],SalesDetail[Customer],$A309,SalesDetail[Year],2021)</f>
        <v>0</v>
      </c>
      <c r="O309" s="6">
        <f>SUM(B309:N309)</f>
        <v>97</v>
      </c>
    </row>
    <row r="310" spans="1:15" x14ac:dyDescent="0.3">
      <c r="A310" t="s">
        <v>762</v>
      </c>
      <c r="B310" s="5">
        <f>SUMIFS(SalesDetail[Quantity (KG)],SalesDetail[Customer],$A310,SalesDetail[Year],2009)</f>
        <v>0</v>
      </c>
      <c r="C310" s="5">
        <f>SUMIFS(SalesDetail[Quantity (KG)],SalesDetail[Customer],$A310,SalesDetail[Year],2010)</f>
        <v>0</v>
      </c>
      <c r="D310" s="5">
        <f>SUMIFS(SalesDetail[Quantity (KG)],SalesDetail[Customer],$A310,SalesDetail[Year],2011)</f>
        <v>0</v>
      </c>
      <c r="E310" s="5">
        <f>SUMIFS(SalesDetail[Quantity (KG)],SalesDetail[Customer],$A310,SalesDetail[Year],2012)</f>
        <v>0</v>
      </c>
      <c r="F310" s="5">
        <f>SUMIFS(SalesDetail[Quantity (KG)],SalesDetail[Customer],$A310,SalesDetail[Year],2013)</f>
        <v>0</v>
      </c>
      <c r="G310" s="5">
        <f>SUMIFS(SalesDetail[Quantity (KG)],SalesDetail[Customer],$A310,SalesDetail[Year],2014)</f>
        <v>80</v>
      </c>
      <c r="H310" s="5">
        <f>SUMIFS(SalesDetail[Quantity (KG)],SalesDetail[Customer],$A310,SalesDetail[Year],2015)</f>
        <v>15</v>
      </c>
      <c r="I310" s="5">
        <f>SUMIFS(SalesDetail[Quantity (KG)],SalesDetail[Customer],$A310,SalesDetail[Year],2016)</f>
        <v>0</v>
      </c>
      <c r="J310" s="5">
        <f>SUMIFS(SalesDetail[Quantity (KG)],SalesDetail[Customer],$A310,SalesDetail[Year],2017)</f>
        <v>0</v>
      </c>
      <c r="K310" s="5">
        <f>SUMIFS(SalesDetail[Quantity (KG)],SalesDetail[Customer],$A310,SalesDetail[Year],2018)</f>
        <v>0</v>
      </c>
      <c r="L310" s="5">
        <f>SUMIFS(SalesDetail[Quantity (KG)],SalesDetail[Customer],$A310,SalesDetail[Year],2019)</f>
        <v>0</v>
      </c>
      <c r="M310" s="5">
        <f>SUMIFS(SalesDetail[Quantity (KG)],SalesDetail[Customer],$A310,SalesDetail[Year],2020)</f>
        <v>0</v>
      </c>
      <c r="N310" s="5">
        <f>SUMIFS(SalesDetail[Quantity (KG)],SalesDetail[Customer],$A310,SalesDetail[Year],2021)</f>
        <v>0</v>
      </c>
      <c r="O310" s="6">
        <f>SUM(B310:N310)</f>
        <v>95</v>
      </c>
    </row>
    <row r="311" spans="1:15" x14ac:dyDescent="0.3">
      <c r="A311" t="s">
        <v>1872</v>
      </c>
      <c r="B311" s="5">
        <f>SUMIFS(SalesDetail[Quantity (KG)],SalesDetail[Customer],$A311,SalesDetail[Year],2009)</f>
        <v>0</v>
      </c>
      <c r="C311" s="5">
        <f>SUMIFS(SalesDetail[Quantity (KG)],SalesDetail[Customer],$A311,SalesDetail[Year],2010)</f>
        <v>0</v>
      </c>
      <c r="D311" s="5">
        <f>SUMIFS(SalesDetail[Quantity (KG)],SalesDetail[Customer],$A311,SalesDetail[Year],2011)</f>
        <v>0</v>
      </c>
      <c r="E311" s="5">
        <f>SUMIFS(SalesDetail[Quantity (KG)],SalesDetail[Customer],$A311,SalesDetail[Year],2012)</f>
        <v>0</v>
      </c>
      <c r="F311" s="5">
        <f>SUMIFS(SalesDetail[Quantity (KG)],SalesDetail[Customer],$A311,SalesDetail[Year],2013)</f>
        <v>0</v>
      </c>
      <c r="G311" s="5">
        <f>SUMIFS(SalesDetail[Quantity (KG)],SalesDetail[Customer],$A311,SalesDetail[Year],2014)</f>
        <v>0</v>
      </c>
      <c r="H311" s="5">
        <f>SUMIFS(SalesDetail[Quantity (KG)],SalesDetail[Customer],$A311,SalesDetail[Year],2015)</f>
        <v>0</v>
      </c>
      <c r="I311" s="5">
        <f>SUMIFS(SalesDetail[Quantity (KG)],SalesDetail[Customer],$A311,SalesDetail[Year],2016)</f>
        <v>0</v>
      </c>
      <c r="J311" s="5">
        <f>SUMIFS(SalesDetail[Quantity (KG)],SalesDetail[Customer],$A311,SalesDetail[Year],2017)</f>
        <v>0</v>
      </c>
      <c r="K311" s="5">
        <f>SUMIFS(SalesDetail[Quantity (KG)],SalesDetail[Customer],$A311,SalesDetail[Year],2018)</f>
        <v>0</v>
      </c>
      <c r="L311" s="5">
        <f>SUMIFS(SalesDetail[Quantity (KG)],SalesDetail[Customer],$A311,SalesDetail[Year],2019)</f>
        <v>65</v>
      </c>
      <c r="M311" s="5">
        <f>SUMIFS(SalesDetail[Quantity (KG)],SalesDetail[Customer],$A311,SalesDetail[Year],2020)</f>
        <v>25</v>
      </c>
      <c r="N311" s="5">
        <f>SUMIFS(SalesDetail[Quantity (KG)],SalesDetail[Customer],$A311,SalesDetail[Year],2021)</f>
        <v>0</v>
      </c>
      <c r="O311" s="6">
        <f>SUM(B311:N311)</f>
        <v>90</v>
      </c>
    </row>
    <row r="312" spans="1:15" x14ac:dyDescent="0.3">
      <c r="A312" t="s">
        <v>2010</v>
      </c>
      <c r="B312" s="5">
        <f>SUMIFS(SalesDetail[Quantity (KG)],SalesDetail[Customer],$A312,SalesDetail[Year],2009)</f>
        <v>0</v>
      </c>
      <c r="C312" s="5">
        <f>SUMIFS(SalesDetail[Quantity (KG)],SalesDetail[Customer],$A312,SalesDetail[Year],2010)</f>
        <v>0</v>
      </c>
      <c r="D312" s="5">
        <f>SUMIFS(SalesDetail[Quantity (KG)],SalesDetail[Customer],$A312,SalesDetail[Year],2011)</f>
        <v>0</v>
      </c>
      <c r="E312" s="5">
        <f>SUMIFS(SalesDetail[Quantity (KG)],SalesDetail[Customer],$A312,SalesDetail[Year],2012)</f>
        <v>0</v>
      </c>
      <c r="F312" s="5">
        <f>SUMIFS(SalesDetail[Quantity (KG)],SalesDetail[Customer],$A312,SalesDetail[Year],2013)</f>
        <v>0</v>
      </c>
      <c r="G312" s="5">
        <f>SUMIFS(SalesDetail[Quantity (KG)],SalesDetail[Customer],$A312,SalesDetail[Year],2014)</f>
        <v>0</v>
      </c>
      <c r="H312" s="5">
        <f>SUMIFS(SalesDetail[Quantity (KG)],SalesDetail[Customer],$A312,SalesDetail[Year],2015)</f>
        <v>0</v>
      </c>
      <c r="I312" s="5">
        <f>SUMIFS(SalesDetail[Quantity (KG)],SalesDetail[Customer],$A312,SalesDetail[Year],2016)</f>
        <v>0</v>
      </c>
      <c r="J312" s="5">
        <f>SUMIFS(SalesDetail[Quantity (KG)],SalesDetail[Customer],$A312,SalesDetail[Year],2017)</f>
        <v>45</v>
      </c>
      <c r="K312" s="5">
        <f>SUMIFS(SalesDetail[Quantity (KG)],SalesDetail[Customer],$A312,SalesDetail[Year],2018)</f>
        <v>45</v>
      </c>
      <c r="L312" s="5">
        <f>SUMIFS(SalesDetail[Quantity (KG)],SalesDetail[Customer],$A312,SalesDetail[Year],2019)</f>
        <v>0</v>
      </c>
      <c r="M312" s="5">
        <f>SUMIFS(SalesDetail[Quantity (KG)],SalesDetail[Customer],$A312,SalesDetail[Year],2020)</f>
        <v>0</v>
      </c>
      <c r="N312" s="5">
        <f>SUMIFS(SalesDetail[Quantity (KG)],SalesDetail[Customer],$A312,SalesDetail[Year],2021)</f>
        <v>0</v>
      </c>
      <c r="O312" s="6">
        <f>SUM(B312:N312)</f>
        <v>90</v>
      </c>
    </row>
    <row r="313" spans="1:15" x14ac:dyDescent="0.3">
      <c r="A313" t="s">
        <v>445</v>
      </c>
      <c r="B313" s="5">
        <f>SUMIFS(SalesDetail[Quantity (KG)],SalesDetail[Customer],$A313,SalesDetail[Year],2009)</f>
        <v>0</v>
      </c>
      <c r="C313" s="5">
        <f>SUMIFS(SalesDetail[Quantity (KG)],SalesDetail[Customer],$A313,SalesDetail[Year],2010)</f>
        <v>0</v>
      </c>
      <c r="D313" s="5">
        <f>SUMIFS(SalesDetail[Quantity (KG)],SalesDetail[Customer],$A313,SalesDetail[Year],2011)</f>
        <v>0</v>
      </c>
      <c r="E313" s="5">
        <f>SUMIFS(SalesDetail[Quantity (KG)],SalesDetail[Customer],$A313,SalesDetail[Year],2012)</f>
        <v>0</v>
      </c>
      <c r="F313" s="5">
        <f>SUMIFS(SalesDetail[Quantity (KG)],SalesDetail[Customer],$A313,SalesDetail[Year],2013)</f>
        <v>0</v>
      </c>
      <c r="G313" s="5">
        <f>SUMIFS(SalesDetail[Quantity (KG)],SalesDetail[Customer],$A313,SalesDetail[Year],2014)</f>
        <v>0</v>
      </c>
      <c r="H313" s="5">
        <f>SUMIFS(SalesDetail[Quantity (KG)],SalesDetail[Customer],$A313,SalesDetail[Year],2015)</f>
        <v>0</v>
      </c>
      <c r="I313" s="5">
        <f>SUMIFS(SalesDetail[Quantity (KG)],SalesDetail[Customer],$A313,SalesDetail[Year],2016)</f>
        <v>0</v>
      </c>
      <c r="J313" s="5">
        <f>SUMIFS(SalesDetail[Quantity (KG)],SalesDetail[Customer],$A313,SalesDetail[Year],2017)</f>
        <v>0</v>
      </c>
      <c r="K313" s="5">
        <f>SUMIFS(SalesDetail[Quantity (KG)],SalesDetail[Customer],$A313,SalesDetail[Year],2018)</f>
        <v>0</v>
      </c>
      <c r="L313" s="5">
        <f>SUMIFS(SalesDetail[Quantity (KG)],SalesDetail[Customer],$A313,SalesDetail[Year],2019)</f>
        <v>0</v>
      </c>
      <c r="M313" s="5">
        <f>SUMIFS(SalesDetail[Quantity (KG)],SalesDetail[Customer],$A313,SalesDetail[Year],2020)</f>
        <v>37</v>
      </c>
      <c r="N313" s="5">
        <f>SUMIFS(SalesDetail[Quantity (KG)],SalesDetail[Customer],$A313,SalesDetail[Year],2021)</f>
        <v>50</v>
      </c>
      <c r="O313" s="6">
        <f>SUM(B313:N313)</f>
        <v>87</v>
      </c>
    </row>
    <row r="314" spans="1:15" x14ac:dyDescent="0.3">
      <c r="A314" t="s">
        <v>860</v>
      </c>
      <c r="B314" s="5">
        <f>SUMIFS(SalesDetail[Quantity (KG)],SalesDetail[Customer],$A314,SalesDetail[Year],2009)</f>
        <v>0</v>
      </c>
      <c r="C314" s="5">
        <f>SUMIFS(SalesDetail[Quantity (KG)],SalesDetail[Customer],$A314,SalesDetail[Year],2010)</f>
        <v>0</v>
      </c>
      <c r="D314" s="5">
        <f>SUMIFS(SalesDetail[Quantity (KG)],SalesDetail[Customer],$A314,SalesDetail[Year],2011)</f>
        <v>0</v>
      </c>
      <c r="E314" s="5">
        <f>SUMIFS(SalesDetail[Quantity (KG)],SalesDetail[Customer],$A314,SalesDetail[Year],2012)</f>
        <v>0</v>
      </c>
      <c r="F314" s="5">
        <f>SUMIFS(SalesDetail[Quantity (KG)],SalesDetail[Customer],$A314,SalesDetail[Year],2013)</f>
        <v>0</v>
      </c>
      <c r="G314" s="5">
        <f>SUMIFS(SalesDetail[Quantity (KG)],SalesDetail[Customer],$A314,SalesDetail[Year],2014)</f>
        <v>0</v>
      </c>
      <c r="H314" s="5">
        <f>SUMIFS(SalesDetail[Quantity (KG)],SalesDetail[Customer],$A314,SalesDetail[Year],2015)</f>
        <v>0</v>
      </c>
      <c r="I314" s="5">
        <f>SUMIFS(SalesDetail[Quantity (KG)],SalesDetail[Customer],$A314,SalesDetail[Year],2016)</f>
        <v>0</v>
      </c>
      <c r="J314" s="5">
        <f>SUMIFS(SalesDetail[Quantity (KG)],SalesDetail[Customer],$A314,SalesDetail[Year],2017)</f>
        <v>0</v>
      </c>
      <c r="K314" s="5">
        <f>SUMIFS(SalesDetail[Quantity (KG)],SalesDetail[Customer],$A314,SalesDetail[Year],2018)</f>
        <v>0</v>
      </c>
      <c r="L314" s="5">
        <f>SUMIFS(SalesDetail[Quantity (KG)],SalesDetail[Customer],$A314,SalesDetail[Year],2019)</f>
        <v>0</v>
      </c>
      <c r="M314" s="5">
        <f>SUMIFS(SalesDetail[Quantity (KG)],SalesDetail[Customer],$A314,SalesDetail[Year],2020)</f>
        <v>75</v>
      </c>
      <c r="N314" s="5">
        <f>SUMIFS(SalesDetail[Quantity (KG)],SalesDetail[Customer],$A314,SalesDetail[Year],2021)</f>
        <v>10</v>
      </c>
      <c r="O314" s="6">
        <f>SUM(B314:N314)</f>
        <v>85</v>
      </c>
    </row>
    <row r="315" spans="1:15" x14ac:dyDescent="0.3">
      <c r="A315" t="s">
        <v>2094</v>
      </c>
      <c r="B315" s="5">
        <f>SUMIFS(SalesDetail[Quantity (KG)],SalesDetail[Customer],$A315,SalesDetail[Year],2009)</f>
        <v>0</v>
      </c>
      <c r="C315" s="5">
        <f>SUMIFS(SalesDetail[Quantity (KG)],SalesDetail[Customer],$A315,SalesDetail[Year],2010)</f>
        <v>0</v>
      </c>
      <c r="D315" s="5">
        <f>SUMIFS(SalesDetail[Quantity (KG)],SalesDetail[Customer],$A315,SalesDetail[Year],2011)</f>
        <v>0</v>
      </c>
      <c r="E315" s="5">
        <f>SUMIFS(SalesDetail[Quantity (KG)],SalesDetail[Customer],$A315,SalesDetail[Year],2012)</f>
        <v>0</v>
      </c>
      <c r="F315" s="5">
        <f>SUMIFS(SalesDetail[Quantity (KG)],SalesDetail[Customer],$A315,SalesDetail[Year],2013)</f>
        <v>0</v>
      </c>
      <c r="G315" s="5">
        <f>SUMIFS(SalesDetail[Quantity (KG)],SalesDetail[Customer],$A315,SalesDetail[Year],2014)</f>
        <v>0</v>
      </c>
      <c r="H315" s="5">
        <f>SUMIFS(SalesDetail[Quantity (KG)],SalesDetail[Customer],$A315,SalesDetail[Year],2015)</f>
        <v>0</v>
      </c>
      <c r="I315" s="5">
        <f>SUMIFS(SalesDetail[Quantity (KG)],SalesDetail[Customer],$A315,SalesDetail[Year],2016)</f>
        <v>0</v>
      </c>
      <c r="J315" s="5">
        <f>SUMIFS(SalesDetail[Quantity (KG)],SalesDetail[Customer],$A315,SalesDetail[Year],2017)</f>
        <v>0</v>
      </c>
      <c r="K315" s="5">
        <f>SUMIFS(SalesDetail[Quantity (KG)],SalesDetail[Customer],$A315,SalesDetail[Year],2018)</f>
        <v>0</v>
      </c>
      <c r="L315" s="5">
        <f>SUMIFS(SalesDetail[Quantity (KG)],SalesDetail[Customer],$A315,SalesDetail[Year],2019)</f>
        <v>0</v>
      </c>
      <c r="M315" s="5">
        <f>SUMIFS(SalesDetail[Quantity (KG)],SalesDetail[Customer],$A315,SalesDetail[Year],2020)</f>
        <v>82</v>
      </c>
      <c r="N315" s="5">
        <f>SUMIFS(SalesDetail[Quantity (KG)],SalesDetail[Customer],$A315,SalesDetail[Year],2021)</f>
        <v>0</v>
      </c>
      <c r="O315" s="6">
        <f>SUM(B315:N315)</f>
        <v>82</v>
      </c>
    </row>
    <row r="316" spans="1:15" x14ac:dyDescent="0.3">
      <c r="A316" t="s">
        <v>2235</v>
      </c>
      <c r="B316" s="5">
        <f>SUMIFS(SalesDetail[Quantity (KG)],SalesDetail[Customer],$A316,SalesDetail[Year],2009)</f>
        <v>0</v>
      </c>
      <c r="C316" s="5">
        <f>SUMIFS(SalesDetail[Quantity (KG)],SalesDetail[Customer],$A316,SalesDetail[Year],2010)</f>
        <v>0</v>
      </c>
      <c r="D316" s="5">
        <f>SUMIFS(SalesDetail[Quantity (KG)],SalesDetail[Customer],$A316,SalesDetail[Year],2011)</f>
        <v>0</v>
      </c>
      <c r="E316" s="5">
        <f>SUMIFS(SalesDetail[Quantity (KG)],SalesDetail[Customer],$A316,SalesDetail[Year],2012)</f>
        <v>0</v>
      </c>
      <c r="F316" s="5">
        <f>SUMIFS(SalesDetail[Quantity (KG)],SalesDetail[Customer],$A316,SalesDetail[Year],2013)</f>
        <v>0</v>
      </c>
      <c r="G316" s="5">
        <f>SUMIFS(SalesDetail[Quantity (KG)],SalesDetail[Customer],$A316,SalesDetail[Year],2014)</f>
        <v>0</v>
      </c>
      <c r="H316" s="5">
        <f>SUMIFS(SalesDetail[Quantity (KG)],SalesDetail[Customer],$A316,SalesDetail[Year],2015)</f>
        <v>0</v>
      </c>
      <c r="I316" s="5">
        <f>SUMIFS(SalesDetail[Quantity (KG)],SalesDetail[Customer],$A316,SalesDetail[Year],2016)</f>
        <v>0</v>
      </c>
      <c r="J316" s="5">
        <f>SUMIFS(SalesDetail[Quantity (KG)],SalesDetail[Customer],$A316,SalesDetail[Year],2017)</f>
        <v>0</v>
      </c>
      <c r="K316" s="5">
        <f>SUMIFS(SalesDetail[Quantity (KG)],SalesDetail[Customer],$A316,SalesDetail[Year],2018)</f>
        <v>80</v>
      </c>
      <c r="L316" s="5">
        <f>SUMIFS(SalesDetail[Quantity (KG)],SalesDetail[Customer],$A316,SalesDetail[Year],2019)</f>
        <v>0</v>
      </c>
      <c r="M316" s="5">
        <f>SUMIFS(SalesDetail[Quantity (KG)],SalesDetail[Customer],$A316,SalesDetail[Year],2020)</f>
        <v>0</v>
      </c>
      <c r="N316" s="5">
        <f>SUMIFS(SalesDetail[Quantity (KG)],SalesDetail[Customer],$A316,SalesDetail[Year],2021)</f>
        <v>0</v>
      </c>
      <c r="O316" s="6">
        <f>SUM(B316:N316)</f>
        <v>80</v>
      </c>
    </row>
    <row r="317" spans="1:15" x14ac:dyDescent="0.3">
      <c r="A317" t="s">
        <v>2559</v>
      </c>
      <c r="B317" s="5">
        <f>SUMIFS(SalesDetail[Quantity (KG)],SalesDetail[Customer],$A317,SalesDetail[Year],2009)</f>
        <v>0</v>
      </c>
      <c r="C317" s="5">
        <f>SUMIFS(SalesDetail[Quantity (KG)],SalesDetail[Customer],$A317,SalesDetail[Year],2010)</f>
        <v>0</v>
      </c>
      <c r="D317" s="5">
        <f>SUMIFS(SalesDetail[Quantity (KG)],SalesDetail[Customer],$A317,SalesDetail[Year],2011)</f>
        <v>0</v>
      </c>
      <c r="E317" s="5">
        <f>SUMIFS(SalesDetail[Quantity (KG)],SalesDetail[Customer],$A317,SalesDetail[Year],2012)</f>
        <v>0</v>
      </c>
      <c r="F317" s="5">
        <f>SUMIFS(SalesDetail[Quantity (KG)],SalesDetail[Customer],$A317,SalesDetail[Year],2013)</f>
        <v>40</v>
      </c>
      <c r="G317" s="5">
        <f>SUMIFS(SalesDetail[Quantity (KG)],SalesDetail[Customer],$A317,SalesDetail[Year],2014)</f>
        <v>40</v>
      </c>
      <c r="H317" s="5">
        <f>SUMIFS(SalesDetail[Quantity (KG)],SalesDetail[Customer],$A317,SalesDetail[Year],2015)</f>
        <v>0</v>
      </c>
      <c r="I317" s="5">
        <f>SUMIFS(SalesDetail[Quantity (KG)],SalesDetail[Customer],$A317,SalesDetail[Year],2016)</f>
        <v>0</v>
      </c>
      <c r="J317" s="5">
        <f>SUMIFS(SalesDetail[Quantity (KG)],SalesDetail[Customer],$A317,SalesDetail[Year],2017)</f>
        <v>0</v>
      </c>
      <c r="K317" s="5">
        <f>SUMIFS(SalesDetail[Quantity (KG)],SalesDetail[Customer],$A317,SalesDetail[Year],2018)</f>
        <v>0</v>
      </c>
      <c r="L317" s="5">
        <f>SUMIFS(SalesDetail[Quantity (KG)],SalesDetail[Customer],$A317,SalesDetail[Year],2019)</f>
        <v>0</v>
      </c>
      <c r="M317" s="5">
        <f>SUMIFS(SalesDetail[Quantity (KG)],SalesDetail[Customer],$A317,SalesDetail[Year],2020)</f>
        <v>0</v>
      </c>
      <c r="N317" s="5">
        <f>SUMIFS(SalesDetail[Quantity (KG)],SalesDetail[Customer],$A317,SalesDetail[Year],2021)</f>
        <v>0</v>
      </c>
      <c r="O317" s="6">
        <f>SUM(B317:N317)</f>
        <v>80</v>
      </c>
    </row>
    <row r="318" spans="1:15" x14ac:dyDescent="0.3">
      <c r="A318" t="s">
        <v>2090</v>
      </c>
      <c r="B318" s="5">
        <f>SUMIFS(SalesDetail[Quantity (KG)],SalesDetail[Customer],$A318,SalesDetail[Year],2009)</f>
        <v>0</v>
      </c>
      <c r="C318" s="5">
        <f>SUMIFS(SalesDetail[Quantity (KG)],SalesDetail[Customer],$A318,SalesDetail[Year],2010)</f>
        <v>0</v>
      </c>
      <c r="D318" s="5">
        <f>SUMIFS(SalesDetail[Quantity (KG)],SalesDetail[Customer],$A318,SalesDetail[Year],2011)</f>
        <v>0</v>
      </c>
      <c r="E318" s="5">
        <f>SUMIFS(SalesDetail[Quantity (KG)],SalesDetail[Customer],$A318,SalesDetail[Year],2012)</f>
        <v>0</v>
      </c>
      <c r="F318" s="5">
        <f>SUMIFS(SalesDetail[Quantity (KG)],SalesDetail[Customer],$A318,SalesDetail[Year],2013)</f>
        <v>0</v>
      </c>
      <c r="G318" s="5">
        <f>SUMIFS(SalesDetail[Quantity (KG)],SalesDetail[Customer],$A318,SalesDetail[Year],2014)</f>
        <v>0</v>
      </c>
      <c r="H318" s="5">
        <f>SUMIFS(SalesDetail[Quantity (KG)],SalesDetail[Customer],$A318,SalesDetail[Year],2015)</f>
        <v>0</v>
      </c>
      <c r="I318" s="5">
        <f>SUMIFS(SalesDetail[Quantity (KG)],SalesDetail[Customer],$A318,SalesDetail[Year],2016)</f>
        <v>0</v>
      </c>
      <c r="J318" s="5">
        <f>SUMIFS(SalesDetail[Quantity (KG)],SalesDetail[Customer],$A318,SalesDetail[Year],2017)</f>
        <v>0</v>
      </c>
      <c r="K318" s="5">
        <f>SUMIFS(SalesDetail[Quantity (KG)],SalesDetail[Customer],$A318,SalesDetail[Year],2018)</f>
        <v>0</v>
      </c>
      <c r="L318" s="5">
        <f>SUMIFS(SalesDetail[Quantity (KG)],SalesDetail[Customer],$A318,SalesDetail[Year],2019)</f>
        <v>0</v>
      </c>
      <c r="M318" s="5">
        <f>SUMIFS(SalesDetail[Quantity (KG)],SalesDetail[Customer],$A318,SalesDetail[Year],2020)</f>
        <v>25</v>
      </c>
      <c r="N318" s="5">
        <f>SUMIFS(SalesDetail[Quantity (KG)],SalesDetail[Customer],$A318,SalesDetail[Year],2021)</f>
        <v>53</v>
      </c>
      <c r="O318" s="6">
        <f>SUM(B318:N318)</f>
        <v>78</v>
      </c>
    </row>
    <row r="319" spans="1:15" x14ac:dyDescent="0.3">
      <c r="A319" t="s">
        <v>2167</v>
      </c>
      <c r="B319" s="5">
        <f>SUMIFS(SalesDetail[Quantity (KG)],SalesDetail[Customer],$A319,SalesDetail[Year],2009)</f>
        <v>0</v>
      </c>
      <c r="C319" s="5">
        <f>SUMIFS(SalesDetail[Quantity (KG)],SalesDetail[Customer],$A319,SalesDetail[Year],2010)</f>
        <v>0</v>
      </c>
      <c r="D319" s="5">
        <f>SUMIFS(SalesDetail[Quantity (KG)],SalesDetail[Customer],$A319,SalesDetail[Year],2011)</f>
        <v>0</v>
      </c>
      <c r="E319" s="5">
        <f>SUMIFS(SalesDetail[Quantity (KG)],SalesDetail[Customer],$A319,SalesDetail[Year],2012)</f>
        <v>0</v>
      </c>
      <c r="F319" s="5">
        <f>SUMIFS(SalesDetail[Quantity (KG)],SalesDetail[Customer],$A319,SalesDetail[Year],2013)</f>
        <v>30</v>
      </c>
      <c r="G319" s="5">
        <f>SUMIFS(SalesDetail[Quantity (KG)],SalesDetail[Customer],$A319,SalesDetail[Year],2014)</f>
        <v>25</v>
      </c>
      <c r="H319" s="5">
        <f>SUMIFS(SalesDetail[Quantity (KG)],SalesDetail[Customer],$A319,SalesDetail[Year],2015)</f>
        <v>20</v>
      </c>
      <c r="I319" s="5">
        <f>SUMIFS(SalesDetail[Quantity (KG)],SalesDetail[Customer],$A319,SalesDetail[Year],2016)</f>
        <v>0</v>
      </c>
      <c r="J319" s="5">
        <f>SUMIFS(SalesDetail[Quantity (KG)],SalesDetail[Customer],$A319,SalesDetail[Year],2017)</f>
        <v>2</v>
      </c>
      <c r="K319" s="5">
        <f>SUMIFS(SalesDetail[Quantity (KG)],SalesDetail[Customer],$A319,SalesDetail[Year],2018)</f>
        <v>0</v>
      </c>
      <c r="L319" s="5">
        <f>SUMIFS(SalesDetail[Quantity (KG)],SalesDetail[Customer],$A319,SalesDetail[Year],2019)</f>
        <v>0</v>
      </c>
      <c r="M319" s="5">
        <f>SUMIFS(SalesDetail[Quantity (KG)],SalesDetail[Customer],$A319,SalesDetail[Year],2020)</f>
        <v>0</v>
      </c>
      <c r="N319" s="5">
        <f>SUMIFS(SalesDetail[Quantity (KG)],SalesDetail[Customer],$A319,SalesDetail[Year],2021)</f>
        <v>0</v>
      </c>
      <c r="O319" s="6">
        <f>SUM(B319:N319)</f>
        <v>77</v>
      </c>
    </row>
    <row r="320" spans="1:15" x14ac:dyDescent="0.3">
      <c r="A320" t="s">
        <v>2547</v>
      </c>
      <c r="B320" s="5">
        <f>SUMIFS(SalesDetail[Quantity (KG)],SalesDetail[Customer],$A320,SalesDetail[Year],2009)</f>
        <v>0</v>
      </c>
      <c r="C320" s="5">
        <f>SUMIFS(SalesDetail[Quantity (KG)],SalesDetail[Customer],$A320,SalesDetail[Year],2010)</f>
        <v>0</v>
      </c>
      <c r="D320" s="5">
        <f>SUMIFS(SalesDetail[Quantity (KG)],SalesDetail[Customer],$A320,SalesDetail[Year],2011)</f>
        <v>0</v>
      </c>
      <c r="E320" s="5">
        <f>SUMIFS(SalesDetail[Quantity (KG)],SalesDetail[Customer],$A320,SalesDetail[Year],2012)</f>
        <v>0</v>
      </c>
      <c r="F320" s="5">
        <f>SUMIFS(SalesDetail[Quantity (KG)],SalesDetail[Customer],$A320,SalesDetail[Year],2013)</f>
        <v>0</v>
      </c>
      <c r="G320" s="5">
        <f>SUMIFS(SalesDetail[Quantity (KG)],SalesDetail[Customer],$A320,SalesDetail[Year],2014)</f>
        <v>0</v>
      </c>
      <c r="H320" s="5">
        <f>SUMIFS(SalesDetail[Quantity (KG)],SalesDetail[Customer],$A320,SalesDetail[Year],2015)</f>
        <v>0</v>
      </c>
      <c r="I320" s="5">
        <f>SUMIFS(SalesDetail[Quantity (KG)],SalesDetail[Customer],$A320,SalesDetail[Year],2016)</f>
        <v>0</v>
      </c>
      <c r="J320" s="5">
        <f>SUMIFS(SalesDetail[Quantity (KG)],SalesDetail[Customer],$A320,SalesDetail[Year],2017)</f>
        <v>0</v>
      </c>
      <c r="K320" s="5">
        <f>SUMIFS(SalesDetail[Quantity (KG)],SalesDetail[Customer],$A320,SalesDetail[Year],2018)</f>
        <v>0</v>
      </c>
      <c r="L320" s="5">
        <f>SUMIFS(SalesDetail[Quantity (KG)],SalesDetail[Customer],$A320,SalesDetail[Year],2019)</f>
        <v>0</v>
      </c>
      <c r="M320" s="5">
        <f>SUMIFS(SalesDetail[Quantity (KG)],SalesDetail[Customer],$A320,SalesDetail[Year],2020)</f>
        <v>75</v>
      </c>
      <c r="N320" s="5">
        <f>SUMIFS(SalesDetail[Quantity (KG)],SalesDetail[Customer],$A320,SalesDetail[Year],2021)</f>
        <v>1</v>
      </c>
      <c r="O320" s="6">
        <f>SUM(B320:N320)</f>
        <v>76</v>
      </c>
    </row>
    <row r="321" spans="1:15" x14ac:dyDescent="0.3">
      <c r="A321" t="s">
        <v>919</v>
      </c>
      <c r="B321" s="5">
        <f>SUMIFS(SalesDetail[Quantity (KG)],SalesDetail[Customer],$A321,SalesDetail[Year],2009)</f>
        <v>0</v>
      </c>
      <c r="C321" s="5">
        <f>SUMIFS(SalesDetail[Quantity (KG)],SalesDetail[Customer],$A321,SalesDetail[Year],2010)</f>
        <v>0</v>
      </c>
      <c r="D321" s="5">
        <f>SUMIFS(SalesDetail[Quantity (KG)],SalesDetail[Customer],$A321,SalesDetail[Year],2011)</f>
        <v>0</v>
      </c>
      <c r="E321" s="5">
        <f>SUMIFS(SalesDetail[Quantity (KG)],SalesDetail[Customer],$A321,SalesDetail[Year],2012)</f>
        <v>0</v>
      </c>
      <c r="F321" s="5">
        <f>SUMIFS(SalesDetail[Quantity (KG)],SalesDetail[Customer],$A321,SalesDetail[Year],2013)</f>
        <v>0</v>
      </c>
      <c r="G321" s="5">
        <f>SUMIFS(SalesDetail[Quantity (KG)],SalesDetail[Customer],$A321,SalesDetail[Year],2014)</f>
        <v>0</v>
      </c>
      <c r="H321" s="5">
        <f>SUMIFS(SalesDetail[Quantity (KG)],SalesDetail[Customer],$A321,SalesDetail[Year],2015)</f>
        <v>0</v>
      </c>
      <c r="I321" s="5">
        <f>SUMIFS(SalesDetail[Quantity (KG)],SalesDetail[Customer],$A321,SalesDetail[Year],2016)</f>
        <v>0</v>
      </c>
      <c r="J321" s="5">
        <f>SUMIFS(SalesDetail[Quantity (KG)],SalesDetail[Customer],$A321,SalesDetail[Year],2017)</f>
        <v>0</v>
      </c>
      <c r="K321" s="5">
        <f>SUMIFS(SalesDetail[Quantity (KG)],SalesDetail[Customer],$A321,SalesDetail[Year],2018)</f>
        <v>0</v>
      </c>
      <c r="L321" s="5">
        <f>SUMIFS(SalesDetail[Quantity (KG)],SalesDetail[Customer],$A321,SalesDetail[Year],2019)</f>
        <v>0</v>
      </c>
      <c r="M321" s="5">
        <f>SUMIFS(SalesDetail[Quantity (KG)],SalesDetail[Customer],$A321,SalesDetail[Year],2020)</f>
        <v>75</v>
      </c>
      <c r="N321" s="5">
        <f>SUMIFS(SalesDetail[Quantity (KG)],SalesDetail[Customer],$A321,SalesDetail[Year],2021)</f>
        <v>0</v>
      </c>
      <c r="O321" s="6">
        <f>SUM(B321:N321)</f>
        <v>75</v>
      </c>
    </row>
    <row r="322" spans="1:15" x14ac:dyDescent="0.3">
      <c r="A322" t="s">
        <v>1641</v>
      </c>
      <c r="B322" s="5">
        <f>SUMIFS(SalesDetail[Quantity (KG)],SalesDetail[Customer],$A322,SalesDetail[Year],2009)</f>
        <v>0</v>
      </c>
      <c r="C322" s="5">
        <f>SUMIFS(SalesDetail[Quantity (KG)],SalesDetail[Customer],$A322,SalesDetail[Year],2010)</f>
        <v>0</v>
      </c>
      <c r="D322" s="5">
        <f>SUMIFS(SalesDetail[Quantity (KG)],SalesDetail[Customer],$A322,SalesDetail[Year],2011)</f>
        <v>0</v>
      </c>
      <c r="E322" s="5">
        <f>SUMIFS(SalesDetail[Quantity (KG)],SalesDetail[Customer],$A322,SalesDetail[Year],2012)</f>
        <v>0</v>
      </c>
      <c r="F322" s="5">
        <f>SUMIFS(SalesDetail[Quantity (KG)],SalesDetail[Customer],$A322,SalesDetail[Year],2013)</f>
        <v>0</v>
      </c>
      <c r="G322" s="5">
        <f>SUMIFS(SalesDetail[Quantity (KG)],SalesDetail[Customer],$A322,SalesDetail[Year],2014)</f>
        <v>0</v>
      </c>
      <c r="H322" s="5">
        <f>SUMIFS(SalesDetail[Quantity (KG)],SalesDetail[Customer],$A322,SalesDetail[Year],2015)</f>
        <v>0</v>
      </c>
      <c r="I322" s="5">
        <f>SUMIFS(SalesDetail[Quantity (KG)],SalesDetail[Customer],$A322,SalesDetail[Year],2016)</f>
        <v>0</v>
      </c>
      <c r="J322" s="5">
        <f>SUMIFS(SalesDetail[Quantity (KG)],SalesDetail[Customer],$A322,SalesDetail[Year],2017)</f>
        <v>0</v>
      </c>
      <c r="K322" s="5">
        <f>SUMIFS(SalesDetail[Quantity (KG)],SalesDetail[Customer],$A322,SalesDetail[Year],2018)</f>
        <v>0</v>
      </c>
      <c r="L322" s="5">
        <f>SUMIFS(SalesDetail[Quantity (KG)],SalesDetail[Customer],$A322,SalesDetail[Year],2019)</f>
        <v>75</v>
      </c>
      <c r="M322" s="5">
        <f>SUMIFS(SalesDetail[Quantity (KG)],SalesDetail[Customer],$A322,SalesDetail[Year],2020)</f>
        <v>0</v>
      </c>
      <c r="N322" s="5">
        <f>SUMIFS(SalesDetail[Quantity (KG)],SalesDetail[Customer],$A322,SalesDetail[Year],2021)</f>
        <v>0</v>
      </c>
      <c r="O322" s="6">
        <f>SUM(B322:N322)</f>
        <v>75</v>
      </c>
    </row>
    <row r="323" spans="1:15" x14ac:dyDescent="0.3">
      <c r="A323" t="s">
        <v>1818</v>
      </c>
      <c r="B323" s="5">
        <f>SUMIFS(SalesDetail[Quantity (KG)],SalesDetail[Customer],$A323,SalesDetail[Year],2009)</f>
        <v>0</v>
      </c>
      <c r="C323" s="5">
        <f>SUMIFS(SalesDetail[Quantity (KG)],SalesDetail[Customer],$A323,SalesDetail[Year],2010)</f>
        <v>0</v>
      </c>
      <c r="D323" s="5">
        <f>SUMIFS(SalesDetail[Quantity (KG)],SalesDetail[Customer],$A323,SalesDetail[Year],2011)</f>
        <v>0</v>
      </c>
      <c r="E323" s="5">
        <f>SUMIFS(SalesDetail[Quantity (KG)],SalesDetail[Customer],$A323,SalesDetail[Year],2012)</f>
        <v>0</v>
      </c>
      <c r="F323" s="5">
        <f>SUMIFS(SalesDetail[Quantity (KG)],SalesDetail[Customer],$A323,SalesDetail[Year],2013)</f>
        <v>0</v>
      </c>
      <c r="G323" s="5">
        <f>SUMIFS(SalesDetail[Quantity (KG)],SalesDetail[Customer],$A323,SalesDetail[Year],2014)</f>
        <v>0</v>
      </c>
      <c r="H323" s="5">
        <f>SUMIFS(SalesDetail[Quantity (KG)],SalesDetail[Customer],$A323,SalesDetail[Year],2015)</f>
        <v>50</v>
      </c>
      <c r="I323" s="5">
        <f>SUMIFS(SalesDetail[Quantity (KG)],SalesDetail[Customer],$A323,SalesDetail[Year],2016)</f>
        <v>0</v>
      </c>
      <c r="J323" s="5">
        <f>SUMIFS(SalesDetail[Quantity (KG)],SalesDetail[Customer],$A323,SalesDetail[Year],2017)</f>
        <v>25</v>
      </c>
      <c r="K323" s="5">
        <f>SUMIFS(SalesDetail[Quantity (KG)],SalesDetail[Customer],$A323,SalesDetail[Year],2018)</f>
        <v>0</v>
      </c>
      <c r="L323" s="5">
        <f>SUMIFS(SalesDetail[Quantity (KG)],SalesDetail[Customer],$A323,SalesDetail[Year],2019)</f>
        <v>0</v>
      </c>
      <c r="M323" s="5">
        <f>SUMIFS(SalesDetail[Quantity (KG)],SalesDetail[Customer],$A323,SalesDetail[Year],2020)</f>
        <v>0</v>
      </c>
      <c r="N323" s="5">
        <f>SUMIFS(SalesDetail[Quantity (KG)],SalesDetail[Customer],$A323,SalesDetail[Year],2021)</f>
        <v>0</v>
      </c>
      <c r="O323" s="6">
        <f>SUM(B323:N323)</f>
        <v>75</v>
      </c>
    </row>
    <row r="324" spans="1:15" x14ac:dyDescent="0.3">
      <c r="A324" t="s">
        <v>1944</v>
      </c>
      <c r="B324" s="5">
        <f>SUMIFS(SalesDetail[Quantity (KG)],SalesDetail[Customer],$A324,SalesDetail[Year],2009)</f>
        <v>0</v>
      </c>
      <c r="C324" s="5">
        <f>SUMIFS(SalesDetail[Quantity (KG)],SalesDetail[Customer],$A324,SalesDetail[Year],2010)</f>
        <v>0</v>
      </c>
      <c r="D324" s="5">
        <f>SUMIFS(SalesDetail[Quantity (KG)],SalesDetail[Customer],$A324,SalesDetail[Year],2011)</f>
        <v>0</v>
      </c>
      <c r="E324" s="5">
        <f>SUMIFS(SalesDetail[Quantity (KG)],SalesDetail[Customer],$A324,SalesDetail[Year],2012)</f>
        <v>0</v>
      </c>
      <c r="F324" s="5">
        <f>SUMIFS(SalesDetail[Quantity (KG)],SalesDetail[Customer],$A324,SalesDetail[Year],2013)</f>
        <v>0</v>
      </c>
      <c r="G324" s="5">
        <f>SUMIFS(SalesDetail[Quantity (KG)],SalesDetail[Customer],$A324,SalesDetail[Year],2014)</f>
        <v>0</v>
      </c>
      <c r="H324" s="5">
        <f>SUMIFS(SalesDetail[Quantity (KG)],SalesDetail[Customer],$A324,SalesDetail[Year],2015)</f>
        <v>0</v>
      </c>
      <c r="I324" s="5">
        <f>SUMIFS(SalesDetail[Quantity (KG)],SalesDetail[Customer],$A324,SalesDetail[Year],2016)</f>
        <v>0</v>
      </c>
      <c r="J324" s="5">
        <f>SUMIFS(SalesDetail[Quantity (KG)],SalesDetail[Customer],$A324,SalesDetail[Year],2017)</f>
        <v>0</v>
      </c>
      <c r="K324" s="5">
        <f>SUMIFS(SalesDetail[Quantity (KG)],SalesDetail[Customer],$A324,SalesDetail[Year],2018)</f>
        <v>0</v>
      </c>
      <c r="L324" s="5">
        <f>SUMIFS(SalesDetail[Quantity (KG)],SalesDetail[Customer],$A324,SalesDetail[Year],2019)</f>
        <v>0</v>
      </c>
      <c r="M324" s="5">
        <f>SUMIFS(SalesDetail[Quantity (KG)],SalesDetail[Customer],$A324,SalesDetail[Year],2020)</f>
        <v>0</v>
      </c>
      <c r="N324" s="5">
        <f>SUMIFS(SalesDetail[Quantity (KG)],SalesDetail[Customer],$A324,SalesDetail[Year],2021)</f>
        <v>75</v>
      </c>
      <c r="O324" s="6">
        <f>SUM(B324:N324)</f>
        <v>75</v>
      </c>
    </row>
    <row r="325" spans="1:15" x14ac:dyDescent="0.3">
      <c r="A325" t="s">
        <v>1957</v>
      </c>
      <c r="B325" s="5">
        <f>SUMIFS(SalesDetail[Quantity (KG)],SalesDetail[Customer],$A325,SalesDetail[Year],2009)</f>
        <v>0</v>
      </c>
      <c r="C325" s="5">
        <f>SUMIFS(SalesDetail[Quantity (KG)],SalesDetail[Customer],$A325,SalesDetail[Year],2010)</f>
        <v>0</v>
      </c>
      <c r="D325" s="5">
        <f>SUMIFS(SalesDetail[Quantity (KG)],SalesDetail[Customer],$A325,SalesDetail[Year],2011)</f>
        <v>75</v>
      </c>
      <c r="E325" s="5">
        <f>SUMIFS(SalesDetail[Quantity (KG)],SalesDetail[Customer],$A325,SalesDetail[Year],2012)</f>
        <v>0</v>
      </c>
      <c r="F325" s="5">
        <f>SUMIFS(SalesDetail[Quantity (KG)],SalesDetail[Customer],$A325,SalesDetail[Year],2013)</f>
        <v>0</v>
      </c>
      <c r="G325" s="5">
        <f>SUMIFS(SalesDetail[Quantity (KG)],SalesDetail[Customer],$A325,SalesDetail[Year],2014)</f>
        <v>0</v>
      </c>
      <c r="H325" s="5">
        <f>SUMIFS(SalesDetail[Quantity (KG)],SalesDetail[Customer],$A325,SalesDetail[Year],2015)</f>
        <v>0</v>
      </c>
      <c r="I325" s="5">
        <f>SUMIFS(SalesDetail[Quantity (KG)],SalesDetail[Customer],$A325,SalesDetail[Year],2016)</f>
        <v>0</v>
      </c>
      <c r="J325" s="5">
        <f>SUMIFS(SalesDetail[Quantity (KG)],SalesDetail[Customer],$A325,SalesDetail[Year],2017)</f>
        <v>0</v>
      </c>
      <c r="K325" s="5">
        <f>SUMIFS(SalesDetail[Quantity (KG)],SalesDetail[Customer],$A325,SalesDetail[Year],2018)</f>
        <v>0</v>
      </c>
      <c r="L325" s="5">
        <f>SUMIFS(SalesDetail[Quantity (KG)],SalesDetail[Customer],$A325,SalesDetail[Year],2019)</f>
        <v>0</v>
      </c>
      <c r="M325" s="5">
        <f>SUMIFS(SalesDetail[Quantity (KG)],SalesDetail[Customer],$A325,SalesDetail[Year],2020)</f>
        <v>0</v>
      </c>
      <c r="N325" s="5">
        <f>SUMIFS(SalesDetail[Quantity (KG)],SalesDetail[Customer],$A325,SalesDetail[Year],2021)</f>
        <v>0</v>
      </c>
      <c r="O325" s="6">
        <f>SUM(B325:N325)</f>
        <v>75</v>
      </c>
    </row>
    <row r="326" spans="1:15" x14ac:dyDescent="0.3">
      <c r="A326" t="s">
        <v>2066</v>
      </c>
      <c r="B326" s="5">
        <f>SUMIFS(SalesDetail[Quantity (KG)],SalesDetail[Customer],$A326,SalesDetail[Year],2009)</f>
        <v>0</v>
      </c>
      <c r="C326" s="5">
        <f>SUMIFS(SalesDetail[Quantity (KG)],SalesDetail[Customer],$A326,SalesDetail[Year],2010)</f>
        <v>0</v>
      </c>
      <c r="D326" s="5">
        <f>SUMIFS(SalesDetail[Quantity (KG)],SalesDetail[Customer],$A326,SalesDetail[Year],2011)</f>
        <v>0</v>
      </c>
      <c r="E326" s="5">
        <f>SUMIFS(SalesDetail[Quantity (KG)],SalesDetail[Customer],$A326,SalesDetail[Year],2012)</f>
        <v>0</v>
      </c>
      <c r="F326" s="5">
        <f>SUMIFS(SalesDetail[Quantity (KG)],SalesDetail[Customer],$A326,SalesDetail[Year],2013)</f>
        <v>0</v>
      </c>
      <c r="G326" s="5">
        <f>SUMIFS(SalesDetail[Quantity (KG)],SalesDetail[Customer],$A326,SalesDetail[Year],2014)</f>
        <v>0</v>
      </c>
      <c r="H326" s="5">
        <f>SUMIFS(SalesDetail[Quantity (KG)],SalesDetail[Customer],$A326,SalesDetail[Year],2015)</f>
        <v>0</v>
      </c>
      <c r="I326" s="5">
        <f>SUMIFS(SalesDetail[Quantity (KG)],SalesDetail[Customer],$A326,SalesDetail[Year],2016)</f>
        <v>0</v>
      </c>
      <c r="J326" s="5">
        <f>SUMIFS(SalesDetail[Quantity (KG)],SalesDetail[Customer],$A326,SalesDetail[Year],2017)</f>
        <v>0</v>
      </c>
      <c r="K326" s="5">
        <f>SUMIFS(SalesDetail[Quantity (KG)],SalesDetail[Customer],$A326,SalesDetail[Year],2018)</f>
        <v>0</v>
      </c>
      <c r="L326" s="5">
        <f>SUMIFS(SalesDetail[Quantity (KG)],SalesDetail[Customer],$A326,SalesDetail[Year],2019)</f>
        <v>0</v>
      </c>
      <c r="M326" s="5">
        <f>SUMIFS(SalesDetail[Quantity (KG)],SalesDetail[Customer],$A326,SalesDetail[Year],2020)</f>
        <v>35</v>
      </c>
      <c r="N326" s="5">
        <f>SUMIFS(SalesDetail[Quantity (KG)],SalesDetail[Customer],$A326,SalesDetail[Year],2021)</f>
        <v>40</v>
      </c>
      <c r="O326" s="6">
        <f>SUM(B326:N326)</f>
        <v>75</v>
      </c>
    </row>
    <row r="327" spans="1:15" x14ac:dyDescent="0.3">
      <c r="A327" t="s">
        <v>2237</v>
      </c>
      <c r="B327" s="5">
        <f>SUMIFS(SalesDetail[Quantity (KG)],SalesDetail[Customer],$A327,SalesDetail[Year],2009)</f>
        <v>0</v>
      </c>
      <c r="C327" s="5">
        <f>SUMIFS(SalesDetail[Quantity (KG)],SalesDetail[Customer],$A327,SalesDetail[Year],2010)</f>
        <v>0</v>
      </c>
      <c r="D327" s="5">
        <f>SUMIFS(SalesDetail[Quantity (KG)],SalesDetail[Customer],$A327,SalesDetail[Year],2011)</f>
        <v>0</v>
      </c>
      <c r="E327" s="5">
        <f>SUMIFS(SalesDetail[Quantity (KG)],SalesDetail[Customer],$A327,SalesDetail[Year],2012)</f>
        <v>0</v>
      </c>
      <c r="F327" s="5">
        <f>SUMIFS(SalesDetail[Quantity (KG)],SalesDetail[Customer],$A327,SalesDetail[Year],2013)</f>
        <v>0</v>
      </c>
      <c r="G327" s="5">
        <f>SUMIFS(SalesDetail[Quantity (KG)],SalesDetail[Customer],$A327,SalesDetail[Year],2014)</f>
        <v>0</v>
      </c>
      <c r="H327" s="5">
        <f>SUMIFS(SalesDetail[Quantity (KG)],SalesDetail[Customer],$A327,SalesDetail[Year],2015)</f>
        <v>0</v>
      </c>
      <c r="I327" s="5">
        <f>SUMIFS(SalesDetail[Quantity (KG)],SalesDetail[Customer],$A327,SalesDetail[Year],2016)</f>
        <v>75</v>
      </c>
      <c r="J327" s="5">
        <f>SUMIFS(SalesDetail[Quantity (KG)],SalesDetail[Customer],$A327,SalesDetail[Year],2017)</f>
        <v>0</v>
      </c>
      <c r="K327" s="5">
        <f>SUMIFS(SalesDetail[Quantity (KG)],SalesDetail[Customer],$A327,SalesDetail[Year],2018)</f>
        <v>0</v>
      </c>
      <c r="L327" s="5">
        <f>SUMIFS(SalesDetail[Quantity (KG)],SalesDetail[Customer],$A327,SalesDetail[Year],2019)</f>
        <v>0</v>
      </c>
      <c r="M327" s="5">
        <f>SUMIFS(SalesDetail[Quantity (KG)],SalesDetail[Customer],$A327,SalesDetail[Year],2020)</f>
        <v>0</v>
      </c>
      <c r="N327" s="5">
        <f>SUMIFS(SalesDetail[Quantity (KG)],SalesDetail[Customer],$A327,SalesDetail[Year],2021)</f>
        <v>0</v>
      </c>
      <c r="O327" s="6">
        <f>SUM(B327:N327)</f>
        <v>75</v>
      </c>
    </row>
    <row r="328" spans="1:15" x14ac:dyDescent="0.3">
      <c r="A328" t="s">
        <v>2586</v>
      </c>
      <c r="B328" s="5">
        <f>SUMIFS(SalesDetail[Quantity (KG)],SalesDetail[Customer],$A328,SalesDetail[Year],2009)</f>
        <v>0</v>
      </c>
      <c r="C328" s="5">
        <f>SUMIFS(SalesDetail[Quantity (KG)],SalesDetail[Customer],$A328,SalesDetail[Year],2010)</f>
        <v>0</v>
      </c>
      <c r="D328" s="5">
        <f>SUMIFS(SalesDetail[Quantity (KG)],SalesDetail[Customer],$A328,SalesDetail[Year],2011)</f>
        <v>0</v>
      </c>
      <c r="E328" s="5">
        <f>SUMIFS(SalesDetail[Quantity (KG)],SalesDetail[Customer],$A328,SalesDetail[Year],2012)</f>
        <v>0</v>
      </c>
      <c r="F328" s="5">
        <f>SUMIFS(SalesDetail[Quantity (KG)],SalesDetail[Customer],$A328,SalesDetail[Year],2013)</f>
        <v>0</v>
      </c>
      <c r="G328" s="5">
        <f>SUMIFS(SalesDetail[Quantity (KG)],SalesDetail[Customer],$A328,SalesDetail[Year],2014)</f>
        <v>0</v>
      </c>
      <c r="H328" s="5">
        <f>SUMIFS(SalesDetail[Quantity (KG)],SalesDetail[Customer],$A328,SalesDetail[Year],2015)</f>
        <v>0</v>
      </c>
      <c r="I328" s="5">
        <f>SUMIFS(SalesDetail[Quantity (KG)],SalesDetail[Customer],$A328,SalesDetail[Year],2016)</f>
        <v>0</v>
      </c>
      <c r="J328" s="5">
        <f>SUMIFS(SalesDetail[Quantity (KG)],SalesDetail[Customer],$A328,SalesDetail[Year],2017)</f>
        <v>0</v>
      </c>
      <c r="K328" s="5">
        <f>SUMIFS(SalesDetail[Quantity (KG)],SalesDetail[Customer],$A328,SalesDetail[Year],2018)</f>
        <v>50</v>
      </c>
      <c r="L328" s="5">
        <f>SUMIFS(SalesDetail[Quantity (KG)],SalesDetail[Customer],$A328,SalesDetail[Year],2019)</f>
        <v>0</v>
      </c>
      <c r="M328" s="5">
        <f>SUMIFS(SalesDetail[Quantity (KG)],SalesDetail[Customer],$A328,SalesDetail[Year],2020)</f>
        <v>25</v>
      </c>
      <c r="N328" s="5">
        <f>SUMIFS(SalesDetail[Quantity (KG)],SalesDetail[Customer],$A328,SalesDetail[Year],2021)</f>
        <v>0</v>
      </c>
      <c r="O328" s="6">
        <f>SUM(B328:N328)</f>
        <v>75</v>
      </c>
    </row>
    <row r="329" spans="1:15" x14ac:dyDescent="0.3">
      <c r="A329" t="s">
        <v>1431</v>
      </c>
      <c r="B329" s="5">
        <f>SUMIFS(SalesDetail[Quantity (KG)],SalesDetail[Customer],$A329,SalesDetail[Year],2009)</f>
        <v>0</v>
      </c>
      <c r="C329" s="5">
        <f>SUMIFS(SalesDetail[Quantity (KG)],SalesDetail[Customer],$A329,SalesDetail[Year],2010)</f>
        <v>0</v>
      </c>
      <c r="D329" s="5">
        <f>SUMIFS(SalesDetail[Quantity (KG)],SalesDetail[Customer],$A329,SalesDetail[Year],2011)</f>
        <v>0</v>
      </c>
      <c r="E329" s="5">
        <f>SUMIFS(SalesDetail[Quantity (KG)],SalesDetail[Customer],$A329,SalesDetail[Year],2012)</f>
        <v>0</v>
      </c>
      <c r="F329" s="5">
        <f>SUMIFS(SalesDetail[Quantity (KG)],SalesDetail[Customer],$A329,SalesDetail[Year],2013)</f>
        <v>0</v>
      </c>
      <c r="G329" s="5">
        <f>SUMIFS(SalesDetail[Quantity (KG)],SalesDetail[Customer],$A329,SalesDetail[Year],2014)</f>
        <v>0</v>
      </c>
      <c r="H329" s="5">
        <f>SUMIFS(SalesDetail[Quantity (KG)],SalesDetail[Customer],$A329,SalesDetail[Year],2015)</f>
        <v>0</v>
      </c>
      <c r="I329" s="5">
        <f>SUMIFS(SalesDetail[Quantity (KG)],SalesDetail[Customer],$A329,SalesDetail[Year],2016)</f>
        <v>0</v>
      </c>
      <c r="J329" s="5">
        <f>SUMIFS(SalesDetail[Quantity (KG)],SalesDetail[Customer],$A329,SalesDetail[Year],2017)</f>
        <v>0</v>
      </c>
      <c r="K329" s="5">
        <f>SUMIFS(SalesDetail[Quantity (KG)],SalesDetail[Customer],$A329,SalesDetail[Year],2018)</f>
        <v>49.5</v>
      </c>
      <c r="L329" s="5">
        <f>SUMIFS(SalesDetail[Quantity (KG)],SalesDetail[Customer],$A329,SalesDetail[Year],2019)</f>
        <v>25</v>
      </c>
      <c r="M329" s="5">
        <f>SUMIFS(SalesDetail[Quantity (KG)],SalesDetail[Customer],$A329,SalesDetail[Year],2020)</f>
        <v>0</v>
      </c>
      <c r="N329" s="5">
        <f>SUMIFS(SalesDetail[Quantity (KG)],SalesDetail[Customer],$A329,SalesDetail[Year],2021)</f>
        <v>0</v>
      </c>
      <c r="O329" s="6">
        <f>SUM(B329:N329)</f>
        <v>74.5</v>
      </c>
    </row>
    <row r="330" spans="1:15" x14ac:dyDescent="0.3">
      <c r="A330" t="s">
        <v>2452</v>
      </c>
      <c r="B330" s="5">
        <f>SUMIFS(SalesDetail[Quantity (KG)],SalesDetail[Customer],$A330,SalesDetail[Year],2009)</f>
        <v>0</v>
      </c>
      <c r="C330" s="5">
        <f>SUMIFS(SalesDetail[Quantity (KG)],SalesDetail[Customer],$A330,SalesDetail[Year],2010)</f>
        <v>0</v>
      </c>
      <c r="D330" s="5">
        <f>SUMIFS(SalesDetail[Quantity (KG)],SalesDetail[Customer],$A330,SalesDetail[Year],2011)</f>
        <v>0</v>
      </c>
      <c r="E330" s="5">
        <f>SUMIFS(SalesDetail[Quantity (KG)],SalesDetail[Customer],$A330,SalesDetail[Year],2012)</f>
        <v>0</v>
      </c>
      <c r="F330" s="5">
        <f>SUMIFS(SalesDetail[Quantity (KG)],SalesDetail[Customer],$A330,SalesDetail[Year],2013)</f>
        <v>0</v>
      </c>
      <c r="G330" s="5">
        <f>SUMIFS(SalesDetail[Quantity (KG)],SalesDetail[Customer],$A330,SalesDetail[Year],2014)</f>
        <v>0</v>
      </c>
      <c r="H330" s="5">
        <f>SUMIFS(SalesDetail[Quantity (KG)],SalesDetail[Customer],$A330,SalesDetail[Year],2015)</f>
        <v>0</v>
      </c>
      <c r="I330" s="5">
        <f>SUMIFS(SalesDetail[Quantity (KG)],SalesDetail[Customer],$A330,SalesDetail[Year],2016)</f>
        <v>20</v>
      </c>
      <c r="J330" s="5">
        <f>SUMIFS(SalesDetail[Quantity (KG)],SalesDetail[Customer],$A330,SalesDetail[Year],2017)</f>
        <v>51</v>
      </c>
      <c r="K330" s="5">
        <f>SUMIFS(SalesDetail[Quantity (KG)],SalesDetail[Customer],$A330,SalesDetail[Year],2018)</f>
        <v>0</v>
      </c>
      <c r="L330" s="5">
        <f>SUMIFS(SalesDetail[Quantity (KG)],SalesDetail[Customer],$A330,SalesDetail[Year],2019)</f>
        <v>0</v>
      </c>
      <c r="M330" s="5">
        <f>SUMIFS(SalesDetail[Quantity (KG)],SalesDetail[Customer],$A330,SalesDetail[Year],2020)</f>
        <v>0</v>
      </c>
      <c r="N330" s="5">
        <f>SUMIFS(SalesDetail[Quantity (KG)],SalesDetail[Customer],$A330,SalesDetail[Year],2021)</f>
        <v>0</v>
      </c>
      <c r="O330" s="6">
        <f>SUM(B330:N330)</f>
        <v>71</v>
      </c>
    </row>
    <row r="331" spans="1:15" x14ac:dyDescent="0.3">
      <c r="A331" t="s">
        <v>1091</v>
      </c>
      <c r="B331" s="5">
        <f>SUMIFS(SalesDetail[Quantity (KG)],SalesDetail[Customer],$A331,SalesDetail[Year],2009)</f>
        <v>0</v>
      </c>
      <c r="C331" s="5">
        <f>SUMIFS(SalesDetail[Quantity (KG)],SalesDetail[Customer],$A331,SalesDetail[Year],2010)</f>
        <v>0</v>
      </c>
      <c r="D331" s="5">
        <f>SUMIFS(SalesDetail[Quantity (KG)],SalesDetail[Customer],$A331,SalesDetail[Year],2011)</f>
        <v>0</v>
      </c>
      <c r="E331" s="5">
        <f>SUMIFS(SalesDetail[Quantity (KG)],SalesDetail[Customer],$A331,SalesDetail[Year],2012)</f>
        <v>0</v>
      </c>
      <c r="F331" s="5">
        <f>SUMIFS(SalesDetail[Quantity (KG)],SalesDetail[Customer],$A331,SalesDetail[Year],2013)</f>
        <v>0</v>
      </c>
      <c r="G331" s="5">
        <f>SUMIFS(SalesDetail[Quantity (KG)],SalesDetail[Customer],$A331,SalesDetail[Year],2014)</f>
        <v>0</v>
      </c>
      <c r="H331" s="5">
        <f>SUMIFS(SalesDetail[Quantity (KG)],SalesDetail[Customer],$A331,SalesDetail[Year],2015)</f>
        <v>0</v>
      </c>
      <c r="I331" s="5">
        <f>SUMIFS(SalesDetail[Quantity (KG)],SalesDetail[Customer],$A331,SalesDetail[Year],2016)</f>
        <v>0</v>
      </c>
      <c r="J331" s="5">
        <f>SUMIFS(SalesDetail[Quantity (KG)],SalesDetail[Customer],$A331,SalesDetail[Year],2017)</f>
        <v>0</v>
      </c>
      <c r="K331" s="5">
        <f>SUMIFS(SalesDetail[Quantity (KG)],SalesDetail[Customer],$A331,SalesDetail[Year],2018)</f>
        <v>0</v>
      </c>
      <c r="L331" s="5">
        <f>SUMIFS(SalesDetail[Quantity (KG)],SalesDetail[Customer],$A331,SalesDetail[Year],2019)</f>
        <v>40</v>
      </c>
      <c r="M331" s="5">
        <f>SUMIFS(SalesDetail[Quantity (KG)],SalesDetail[Customer],$A331,SalesDetail[Year],2020)</f>
        <v>0</v>
      </c>
      <c r="N331" s="5">
        <f>SUMIFS(SalesDetail[Quantity (KG)],SalesDetail[Customer],$A331,SalesDetail[Year],2021)</f>
        <v>30</v>
      </c>
      <c r="O331" s="6">
        <f>SUM(B331:N331)</f>
        <v>70</v>
      </c>
    </row>
    <row r="332" spans="1:15" x14ac:dyDescent="0.3">
      <c r="A332" t="s">
        <v>1210</v>
      </c>
      <c r="B332" s="5">
        <f>SUMIFS(SalesDetail[Quantity (KG)],SalesDetail[Customer],$A332,SalesDetail[Year],2009)</f>
        <v>0</v>
      </c>
      <c r="C332" s="5">
        <f>SUMIFS(SalesDetail[Quantity (KG)],SalesDetail[Customer],$A332,SalesDetail[Year],2010)</f>
        <v>0</v>
      </c>
      <c r="D332" s="5">
        <f>SUMIFS(SalesDetail[Quantity (KG)],SalesDetail[Customer],$A332,SalesDetail[Year],2011)</f>
        <v>50</v>
      </c>
      <c r="E332" s="5">
        <f>SUMIFS(SalesDetail[Quantity (KG)],SalesDetail[Customer],$A332,SalesDetail[Year],2012)</f>
        <v>0</v>
      </c>
      <c r="F332" s="5">
        <f>SUMIFS(SalesDetail[Quantity (KG)],SalesDetail[Customer],$A332,SalesDetail[Year],2013)</f>
        <v>0</v>
      </c>
      <c r="G332" s="5">
        <f>SUMIFS(SalesDetail[Quantity (KG)],SalesDetail[Customer],$A332,SalesDetail[Year],2014)</f>
        <v>0</v>
      </c>
      <c r="H332" s="5">
        <f>SUMIFS(SalesDetail[Quantity (KG)],SalesDetail[Customer],$A332,SalesDetail[Year],2015)</f>
        <v>0</v>
      </c>
      <c r="I332" s="5">
        <f>SUMIFS(SalesDetail[Quantity (KG)],SalesDetail[Customer],$A332,SalesDetail[Year],2016)</f>
        <v>0</v>
      </c>
      <c r="J332" s="5">
        <f>SUMIFS(SalesDetail[Quantity (KG)],SalesDetail[Customer],$A332,SalesDetail[Year],2017)</f>
        <v>0</v>
      </c>
      <c r="K332" s="5">
        <f>SUMIFS(SalesDetail[Quantity (KG)],SalesDetail[Customer],$A332,SalesDetail[Year],2018)</f>
        <v>20</v>
      </c>
      <c r="L332" s="5">
        <f>SUMIFS(SalesDetail[Quantity (KG)],SalesDetail[Customer],$A332,SalesDetail[Year],2019)</f>
        <v>0</v>
      </c>
      <c r="M332" s="5">
        <f>SUMIFS(SalesDetail[Quantity (KG)],SalesDetail[Customer],$A332,SalesDetail[Year],2020)</f>
        <v>0</v>
      </c>
      <c r="N332" s="5">
        <f>SUMIFS(SalesDetail[Quantity (KG)],SalesDetail[Customer],$A332,SalesDetail[Year],2021)</f>
        <v>0</v>
      </c>
      <c r="O332" s="6">
        <f>SUM(B332:N332)</f>
        <v>70</v>
      </c>
    </row>
    <row r="333" spans="1:15" x14ac:dyDescent="0.3">
      <c r="A333" t="s">
        <v>2034</v>
      </c>
      <c r="B333" s="5">
        <f>SUMIFS(SalesDetail[Quantity (KG)],SalesDetail[Customer],$A333,SalesDetail[Year],2009)</f>
        <v>0</v>
      </c>
      <c r="C333" s="5">
        <f>SUMIFS(SalesDetail[Quantity (KG)],SalesDetail[Customer],$A333,SalesDetail[Year],2010)</f>
        <v>0</v>
      </c>
      <c r="D333" s="5">
        <f>SUMIFS(SalesDetail[Quantity (KG)],SalesDetail[Customer],$A333,SalesDetail[Year],2011)</f>
        <v>0</v>
      </c>
      <c r="E333" s="5">
        <f>SUMIFS(SalesDetail[Quantity (KG)],SalesDetail[Customer],$A333,SalesDetail[Year],2012)</f>
        <v>0</v>
      </c>
      <c r="F333" s="5">
        <f>SUMIFS(SalesDetail[Quantity (KG)],SalesDetail[Customer],$A333,SalesDetail[Year],2013)</f>
        <v>0</v>
      </c>
      <c r="G333" s="5">
        <f>SUMIFS(SalesDetail[Quantity (KG)],SalesDetail[Customer],$A333,SalesDetail[Year],2014)</f>
        <v>0</v>
      </c>
      <c r="H333" s="5">
        <f>SUMIFS(SalesDetail[Quantity (KG)],SalesDetail[Customer],$A333,SalesDetail[Year],2015)</f>
        <v>0</v>
      </c>
      <c r="I333" s="5">
        <f>SUMIFS(SalesDetail[Quantity (KG)],SalesDetail[Customer],$A333,SalesDetail[Year],2016)</f>
        <v>0</v>
      </c>
      <c r="J333" s="5">
        <f>SUMIFS(SalesDetail[Quantity (KG)],SalesDetail[Customer],$A333,SalesDetail[Year],2017)</f>
        <v>0</v>
      </c>
      <c r="K333" s="5">
        <f>SUMIFS(SalesDetail[Quantity (KG)],SalesDetail[Customer],$A333,SalesDetail[Year],2018)</f>
        <v>0</v>
      </c>
      <c r="L333" s="5">
        <f>SUMIFS(SalesDetail[Quantity (KG)],SalesDetail[Customer],$A333,SalesDetail[Year],2019)</f>
        <v>0</v>
      </c>
      <c r="M333" s="5">
        <f>SUMIFS(SalesDetail[Quantity (KG)],SalesDetail[Customer],$A333,SalesDetail[Year],2020)</f>
        <v>0</v>
      </c>
      <c r="N333" s="5">
        <f>SUMIFS(SalesDetail[Quantity (KG)],SalesDetail[Customer],$A333,SalesDetail[Year],2021)</f>
        <v>70</v>
      </c>
      <c r="O333" s="6">
        <f>SUM(B333:N333)</f>
        <v>70</v>
      </c>
    </row>
    <row r="334" spans="1:15" x14ac:dyDescent="0.3">
      <c r="A334" t="s">
        <v>2271</v>
      </c>
      <c r="B334" s="5">
        <f>SUMIFS(SalesDetail[Quantity (KG)],SalesDetail[Customer],$A334,SalesDetail[Year],2009)</f>
        <v>0</v>
      </c>
      <c r="C334" s="5">
        <f>SUMIFS(SalesDetail[Quantity (KG)],SalesDetail[Customer],$A334,SalesDetail[Year],2010)</f>
        <v>0</v>
      </c>
      <c r="D334" s="5">
        <f>SUMIFS(SalesDetail[Quantity (KG)],SalesDetail[Customer],$A334,SalesDetail[Year],2011)</f>
        <v>0</v>
      </c>
      <c r="E334" s="5">
        <f>SUMIFS(SalesDetail[Quantity (KG)],SalesDetail[Customer],$A334,SalesDetail[Year],2012)</f>
        <v>0</v>
      </c>
      <c r="F334" s="5">
        <f>SUMIFS(SalesDetail[Quantity (KG)],SalesDetail[Customer],$A334,SalesDetail[Year],2013)</f>
        <v>0</v>
      </c>
      <c r="G334" s="5">
        <f>SUMIFS(SalesDetail[Quantity (KG)],SalesDetail[Customer],$A334,SalesDetail[Year],2014)</f>
        <v>0</v>
      </c>
      <c r="H334" s="5">
        <f>SUMIFS(SalesDetail[Quantity (KG)],SalesDetail[Customer],$A334,SalesDetail[Year],2015)</f>
        <v>0</v>
      </c>
      <c r="I334" s="5">
        <f>SUMIFS(SalesDetail[Quantity (KG)],SalesDetail[Customer],$A334,SalesDetail[Year],2016)</f>
        <v>0</v>
      </c>
      <c r="J334" s="5">
        <f>SUMIFS(SalesDetail[Quantity (KG)],SalesDetail[Customer],$A334,SalesDetail[Year],2017)</f>
        <v>0</v>
      </c>
      <c r="K334" s="5">
        <f>SUMIFS(SalesDetail[Quantity (KG)],SalesDetail[Customer],$A334,SalesDetail[Year],2018)</f>
        <v>0</v>
      </c>
      <c r="L334" s="5">
        <f>SUMIFS(SalesDetail[Quantity (KG)],SalesDetail[Customer],$A334,SalesDetail[Year],2019)</f>
        <v>0</v>
      </c>
      <c r="M334" s="5">
        <f>SUMIFS(SalesDetail[Quantity (KG)],SalesDetail[Customer],$A334,SalesDetail[Year],2020)</f>
        <v>50</v>
      </c>
      <c r="N334" s="5">
        <f>SUMIFS(SalesDetail[Quantity (KG)],SalesDetail[Customer],$A334,SalesDetail[Year],2021)</f>
        <v>20</v>
      </c>
      <c r="O334" s="6">
        <f>SUM(B334:N334)</f>
        <v>70</v>
      </c>
    </row>
    <row r="335" spans="1:15" x14ac:dyDescent="0.3">
      <c r="A335" t="s">
        <v>338</v>
      </c>
      <c r="B335" s="5">
        <f>SUMIFS(SalesDetail[Quantity (KG)],SalesDetail[Customer],$A335,SalesDetail[Year],2009)</f>
        <v>0</v>
      </c>
      <c r="C335" s="5">
        <f>SUMIFS(SalesDetail[Quantity (KG)],SalesDetail[Customer],$A335,SalesDetail[Year],2010)</f>
        <v>68</v>
      </c>
      <c r="D335" s="5">
        <f>SUMIFS(SalesDetail[Quantity (KG)],SalesDetail[Customer],$A335,SalesDetail[Year],2011)</f>
        <v>0</v>
      </c>
      <c r="E335" s="5">
        <f>SUMIFS(SalesDetail[Quantity (KG)],SalesDetail[Customer],$A335,SalesDetail[Year],2012)</f>
        <v>0</v>
      </c>
      <c r="F335" s="5">
        <f>SUMIFS(SalesDetail[Quantity (KG)],SalesDetail[Customer],$A335,SalesDetail[Year],2013)</f>
        <v>0</v>
      </c>
      <c r="G335" s="5">
        <f>SUMIFS(SalesDetail[Quantity (KG)],SalesDetail[Customer],$A335,SalesDetail[Year],2014)</f>
        <v>0</v>
      </c>
      <c r="H335" s="5">
        <f>SUMIFS(SalesDetail[Quantity (KG)],SalesDetail[Customer],$A335,SalesDetail[Year],2015)</f>
        <v>0</v>
      </c>
      <c r="I335" s="5">
        <f>SUMIFS(SalesDetail[Quantity (KG)],SalesDetail[Customer],$A335,SalesDetail[Year],2016)</f>
        <v>0</v>
      </c>
      <c r="J335" s="5">
        <f>SUMIFS(SalesDetail[Quantity (KG)],SalesDetail[Customer],$A335,SalesDetail[Year],2017)</f>
        <v>0</v>
      </c>
      <c r="K335" s="5">
        <f>SUMIFS(SalesDetail[Quantity (KG)],SalesDetail[Customer],$A335,SalesDetail[Year],2018)</f>
        <v>0</v>
      </c>
      <c r="L335" s="5">
        <f>SUMIFS(SalesDetail[Quantity (KG)],SalesDetail[Customer],$A335,SalesDetail[Year],2019)</f>
        <v>0</v>
      </c>
      <c r="M335" s="5">
        <f>SUMIFS(SalesDetail[Quantity (KG)],SalesDetail[Customer],$A335,SalesDetail[Year],2020)</f>
        <v>0</v>
      </c>
      <c r="N335" s="5">
        <f>SUMIFS(SalesDetail[Quantity (KG)],SalesDetail[Customer],$A335,SalesDetail[Year],2021)</f>
        <v>0</v>
      </c>
      <c r="O335" s="6">
        <f>SUM(B335:N335)</f>
        <v>68</v>
      </c>
    </row>
    <row r="336" spans="1:15" x14ac:dyDescent="0.3">
      <c r="A336" t="s">
        <v>1665</v>
      </c>
      <c r="B336" s="5">
        <f>SUMIFS(SalesDetail[Quantity (KG)],SalesDetail[Customer],$A336,SalesDetail[Year],2009)</f>
        <v>0</v>
      </c>
      <c r="C336" s="5">
        <f>SUMIFS(SalesDetail[Quantity (KG)],SalesDetail[Customer],$A336,SalesDetail[Year],2010)</f>
        <v>0</v>
      </c>
      <c r="D336" s="5">
        <f>SUMIFS(SalesDetail[Quantity (KG)],SalesDetail[Customer],$A336,SalesDetail[Year],2011)</f>
        <v>0</v>
      </c>
      <c r="E336" s="5">
        <f>SUMIFS(SalesDetail[Quantity (KG)],SalesDetail[Customer],$A336,SalesDetail[Year],2012)</f>
        <v>0</v>
      </c>
      <c r="F336" s="5">
        <f>SUMIFS(SalesDetail[Quantity (KG)],SalesDetail[Customer],$A336,SalesDetail[Year],2013)</f>
        <v>0</v>
      </c>
      <c r="G336" s="5">
        <f>SUMIFS(SalesDetail[Quantity (KG)],SalesDetail[Customer],$A336,SalesDetail[Year],2014)</f>
        <v>0</v>
      </c>
      <c r="H336" s="5">
        <f>SUMIFS(SalesDetail[Quantity (KG)],SalesDetail[Customer],$A336,SalesDetail[Year],2015)</f>
        <v>0</v>
      </c>
      <c r="I336" s="5">
        <f>SUMIFS(SalesDetail[Quantity (KG)],SalesDetail[Customer],$A336,SalesDetail[Year],2016)</f>
        <v>0</v>
      </c>
      <c r="J336" s="5">
        <f>SUMIFS(SalesDetail[Quantity (KG)],SalesDetail[Customer],$A336,SalesDetail[Year],2017)</f>
        <v>0</v>
      </c>
      <c r="K336" s="5">
        <f>SUMIFS(SalesDetail[Quantity (KG)],SalesDetail[Customer],$A336,SalesDetail[Year],2018)</f>
        <v>10</v>
      </c>
      <c r="L336" s="5">
        <f>SUMIFS(SalesDetail[Quantity (KG)],SalesDetail[Customer],$A336,SalesDetail[Year],2019)</f>
        <v>0</v>
      </c>
      <c r="M336" s="5">
        <f>SUMIFS(SalesDetail[Quantity (KG)],SalesDetail[Customer],$A336,SalesDetail[Year],2020)</f>
        <v>51</v>
      </c>
      <c r="N336" s="5">
        <f>SUMIFS(SalesDetail[Quantity (KG)],SalesDetail[Customer],$A336,SalesDetail[Year],2021)</f>
        <v>5</v>
      </c>
      <c r="O336" s="6">
        <f>SUM(B336:N336)</f>
        <v>66</v>
      </c>
    </row>
    <row r="337" spans="1:15" x14ac:dyDescent="0.3">
      <c r="A337" t="s">
        <v>1373</v>
      </c>
      <c r="B337" s="5">
        <f>SUMIFS(SalesDetail[Quantity (KG)],SalesDetail[Customer],$A337,SalesDetail[Year],2009)</f>
        <v>0</v>
      </c>
      <c r="C337" s="5">
        <f>SUMIFS(SalesDetail[Quantity (KG)],SalesDetail[Customer],$A337,SalesDetail[Year],2010)</f>
        <v>0</v>
      </c>
      <c r="D337" s="5">
        <f>SUMIFS(SalesDetail[Quantity (KG)],SalesDetail[Customer],$A337,SalesDetail[Year],2011)</f>
        <v>0</v>
      </c>
      <c r="E337" s="5">
        <f>SUMIFS(SalesDetail[Quantity (KG)],SalesDetail[Customer],$A337,SalesDetail[Year],2012)</f>
        <v>0</v>
      </c>
      <c r="F337" s="5">
        <f>SUMIFS(SalesDetail[Quantity (KG)],SalesDetail[Customer],$A337,SalesDetail[Year],2013)</f>
        <v>0</v>
      </c>
      <c r="G337" s="5">
        <f>SUMIFS(SalesDetail[Quantity (KG)],SalesDetail[Customer],$A337,SalesDetail[Year],2014)</f>
        <v>0</v>
      </c>
      <c r="H337" s="5">
        <f>SUMIFS(SalesDetail[Quantity (KG)],SalesDetail[Customer],$A337,SalesDetail[Year],2015)</f>
        <v>65</v>
      </c>
      <c r="I337" s="5">
        <f>SUMIFS(SalesDetail[Quantity (KG)],SalesDetail[Customer],$A337,SalesDetail[Year],2016)</f>
        <v>0</v>
      </c>
      <c r="J337" s="5">
        <f>SUMIFS(SalesDetail[Quantity (KG)],SalesDetail[Customer],$A337,SalesDetail[Year],2017)</f>
        <v>0</v>
      </c>
      <c r="K337" s="5">
        <f>SUMIFS(SalesDetail[Quantity (KG)],SalesDetail[Customer],$A337,SalesDetail[Year],2018)</f>
        <v>0</v>
      </c>
      <c r="L337" s="5">
        <f>SUMIFS(SalesDetail[Quantity (KG)],SalesDetail[Customer],$A337,SalesDetail[Year],2019)</f>
        <v>0</v>
      </c>
      <c r="M337" s="5">
        <f>SUMIFS(SalesDetail[Quantity (KG)],SalesDetail[Customer],$A337,SalesDetail[Year],2020)</f>
        <v>0</v>
      </c>
      <c r="N337" s="5">
        <f>SUMIFS(SalesDetail[Quantity (KG)],SalesDetail[Customer],$A337,SalesDetail[Year],2021)</f>
        <v>0</v>
      </c>
      <c r="O337" s="6">
        <f>SUM(B337:N337)</f>
        <v>65</v>
      </c>
    </row>
    <row r="338" spans="1:15" x14ac:dyDescent="0.3">
      <c r="A338" t="s">
        <v>1674</v>
      </c>
      <c r="B338" s="5">
        <f>SUMIFS(SalesDetail[Quantity (KG)],SalesDetail[Customer],$A338,SalesDetail[Year],2009)</f>
        <v>0</v>
      </c>
      <c r="C338" s="5">
        <f>SUMIFS(SalesDetail[Quantity (KG)],SalesDetail[Customer],$A338,SalesDetail[Year],2010)</f>
        <v>0</v>
      </c>
      <c r="D338" s="5">
        <f>SUMIFS(SalesDetail[Quantity (KG)],SalesDetail[Customer],$A338,SalesDetail[Year],2011)</f>
        <v>0</v>
      </c>
      <c r="E338" s="5">
        <f>SUMIFS(SalesDetail[Quantity (KG)],SalesDetail[Customer],$A338,SalesDetail[Year],2012)</f>
        <v>0</v>
      </c>
      <c r="F338" s="5">
        <f>SUMIFS(SalesDetail[Quantity (KG)],SalesDetail[Customer],$A338,SalesDetail[Year],2013)</f>
        <v>0</v>
      </c>
      <c r="G338" s="5">
        <f>SUMIFS(SalesDetail[Quantity (KG)],SalesDetail[Customer],$A338,SalesDetail[Year],2014)</f>
        <v>0</v>
      </c>
      <c r="H338" s="5">
        <f>SUMIFS(SalesDetail[Quantity (KG)],SalesDetail[Customer],$A338,SalesDetail[Year],2015)</f>
        <v>0</v>
      </c>
      <c r="I338" s="5">
        <f>SUMIFS(SalesDetail[Quantity (KG)],SalesDetail[Customer],$A338,SalesDetail[Year],2016)</f>
        <v>45</v>
      </c>
      <c r="J338" s="5">
        <f>SUMIFS(SalesDetail[Quantity (KG)],SalesDetail[Customer],$A338,SalesDetail[Year],2017)</f>
        <v>20</v>
      </c>
      <c r="K338" s="5">
        <f>SUMIFS(SalesDetail[Quantity (KG)],SalesDetail[Customer],$A338,SalesDetail[Year],2018)</f>
        <v>0</v>
      </c>
      <c r="L338" s="5">
        <f>SUMIFS(SalesDetail[Quantity (KG)],SalesDetail[Customer],$A338,SalesDetail[Year],2019)</f>
        <v>0</v>
      </c>
      <c r="M338" s="5">
        <f>SUMIFS(SalesDetail[Quantity (KG)],SalesDetail[Customer],$A338,SalesDetail[Year],2020)</f>
        <v>0</v>
      </c>
      <c r="N338" s="5">
        <f>SUMIFS(SalesDetail[Quantity (KG)],SalesDetail[Customer],$A338,SalesDetail[Year],2021)</f>
        <v>0</v>
      </c>
      <c r="O338" s="6">
        <f>SUM(B338:N338)</f>
        <v>65</v>
      </c>
    </row>
    <row r="339" spans="1:15" x14ac:dyDescent="0.3">
      <c r="A339" t="s">
        <v>1867</v>
      </c>
      <c r="B339" s="5">
        <f>SUMIFS(SalesDetail[Quantity (KG)],SalesDetail[Customer],$A339,SalesDetail[Year],2009)</f>
        <v>0</v>
      </c>
      <c r="C339" s="5">
        <f>SUMIFS(SalesDetail[Quantity (KG)],SalesDetail[Customer],$A339,SalesDetail[Year],2010)</f>
        <v>0</v>
      </c>
      <c r="D339" s="5">
        <f>SUMIFS(SalesDetail[Quantity (KG)],SalesDetail[Customer],$A339,SalesDetail[Year],2011)</f>
        <v>0</v>
      </c>
      <c r="E339" s="5">
        <f>SUMIFS(SalesDetail[Quantity (KG)],SalesDetail[Customer],$A339,SalesDetail[Year],2012)</f>
        <v>0</v>
      </c>
      <c r="F339" s="5">
        <f>SUMIFS(SalesDetail[Quantity (KG)],SalesDetail[Customer],$A339,SalesDetail[Year],2013)</f>
        <v>0</v>
      </c>
      <c r="G339" s="5">
        <f>SUMIFS(SalesDetail[Quantity (KG)],SalesDetail[Customer],$A339,SalesDetail[Year],2014)</f>
        <v>25</v>
      </c>
      <c r="H339" s="5">
        <f>SUMIFS(SalesDetail[Quantity (KG)],SalesDetail[Customer],$A339,SalesDetail[Year],2015)</f>
        <v>0</v>
      </c>
      <c r="I339" s="5">
        <f>SUMIFS(SalesDetail[Quantity (KG)],SalesDetail[Customer],$A339,SalesDetail[Year],2016)</f>
        <v>0</v>
      </c>
      <c r="J339" s="5">
        <f>SUMIFS(SalesDetail[Quantity (KG)],SalesDetail[Customer],$A339,SalesDetail[Year],2017)</f>
        <v>20</v>
      </c>
      <c r="K339" s="5">
        <f>SUMIFS(SalesDetail[Quantity (KG)],SalesDetail[Customer],$A339,SalesDetail[Year],2018)</f>
        <v>0</v>
      </c>
      <c r="L339" s="5">
        <f>SUMIFS(SalesDetail[Quantity (KG)],SalesDetail[Customer],$A339,SalesDetail[Year],2019)</f>
        <v>20</v>
      </c>
      <c r="M339" s="5">
        <f>SUMIFS(SalesDetail[Quantity (KG)],SalesDetail[Customer],$A339,SalesDetail[Year],2020)</f>
        <v>0</v>
      </c>
      <c r="N339" s="5">
        <f>SUMIFS(SalesDetail[Quantity (KG)],SalesDetail[Customer],$A339,SalesDetail[Year],2021)</f>
        <v>0</v>
      </c>
      <c r="O339" s="6">
        <f>SUM(B339:N339)</f>
        <v>65</v>
      </c>
    </row>
    <row r="340" spans="1:15" x14ac:dyDescent="0.3">
      <c r="A340" t="s">
        <v>501</v>
      </c>
      <c r="B340" s="5">
        <f>SUMIFS(SalesDetail[Quantity (KG)],SalesDetail[Customer],$A340,SalesDetail[Year],2009)</f>
        <v>0</v>
      </c>
      <c r="C340" s="5">
        <f>SUMIFS(SalesDetail[Quantity (KG)],SalesDetail[Customer],$A340,SalesDetail[Year],2010)</f>
        <v>0</v>
      </c>
      <c r="D340" s="5">
        <f>SUMIFS(SalesDetail[Quantity (KG)],SalesDetail[Customer],$A340,SalesDetail[Year],2011)</f>
        <v>0</v>
      </c>
      <c r="E340" s="5">
        <f>SUMIFS(SalesDetail[Quantity (KG)],SalesDetail[Customer],$A340,SalesDetail[Year],2012)</f>
        <v>0</v>
      </c>
      <c r="F340" s="5">
        <f>SUMIFS(SalesDetail[Quantity (KG)],SalesDetail[Customer],$A340,SalesDetail[Year],2013)</f>
        <v>0</v>
      </c>
      <c r="G340" s="5">
        <f>SUMIFS(SalesDetail[Quantity (KG)],SalesDetail[Customer],$A340,SalesDetail[Year],2014)</f>
        <v>0</v>
      </c>
      <c r="H340" s="5">
        <f>SUMIFS(SalesDetail[Quantity (KG)],SalesDetail[Customer],$A340,SalesDetail[Year],2015)</f>
        <v>0</v>
      </c>
      <c r="I340" s="5">
        <f>SUMIFS(SalesDetail[Quantity (KG)],SalesDetail[Customer],$A340,SalesDetail[Year],2016)</f>
        <v>0</v>
      </c>
      <c r="J340" s="5">
        <f>SUMIFS(SalesDetail[Quantity (KG)],SalesDetail[Customer],$A340,SalesDetail[Year],2017)</f>
        <v>0</v>
      </c>
      <c r="K340" s="5">
        <f>SUMIFS(SalesDetail[Quantity (KG)],SalesDetail[Customer],$A340,SalesDetail[Year],2018)</f>
        <v>38</v>
      </c>
      <c r="L340" s="5">
        <f>SUMIFS(SalesDetail[Quantity (KG)],SalesDetail[Customer],$A340,SalesDetail[Year],2019)</f>
        <v>5</v>
      </c>
      <c r="M340" s="5">
        <f>SUMIFS(SalesDetail[Quantity (KG)],SalesDetail[Customer],$A340,SalesDetail[Year],2020)</f>
        <v>20</v>
      </c>
      <c r="N340" s="5">
        <f>SUMIFS(SalesDetail[Quantity (KG)],SalesDetail[Customer],$A340,SalesDetail[Year],2021)</f>
        <v>0</v>
      </c>
      <c r="O340" s="6">
        <f>SUM(B340:N340)</f>
        <v>63</v>
      </c>
    </row>
    <row r="341" spans="1:15" x14ac:dyDescent="0.3">
      <c r="A341" t="s">
        <v>2447</v>
      </c>
      <c r="B341" s="5">
        <f>SUMIFS(SalesDetail[Quantity (KG)],SalesDetail[Customer],$A341,SalesDetail[Year],2009)</f>
        <v>0</v>
      </c>
      <c r="C341" s="5">
        <f>SUMIFS(SalesDetail[Quantity (KG)],SalesDetail[Customer],$A341,SalesDetail[Year],2010)</f>
        <v>0</v>
      </c>
      <c r="D341" s="5">
        <f>SUMIFS(SalesDetail[Quantity (KG)],SalesDetail[Customer],$A341,SalesDetail[Year],2011)</f>
        <v>0</v>
      </c>
      <c r="E341" s="5">
        <f>SUMIFS(SalesDetail[Quantity (KG)],SalesDetail[Customer],$A341,SalesDetail[Year],2012)</f>
        <v>0</v>
      </c>
      <c r="F341" s="5">
        <f>SUMIFS(SalesDetail[Quantity (KG)],SalesDetail[Customer],$A341,SalesDetail[Year],2013)</f>
        <v>0</v>
      </c>
      <c r="G341" s="5">
        <f>SUMIFS(SalesDetail[Quantity (KG)],SalesDetail[Customer],$A341,SalesDetail[Year],2014)</f>
        <v>0</v>
      </c>
      <c r="H341" s="5">
        <f>SUMIFS(SalesDetail[Quantity (KG)],SalesDetail[Customer],$A341,SalesDetail[Year],2015)</f>
        <v>0</v>
      </c>
      <c r="I341" s="5">
        <f>SUMIFS(SalesDetail[Quantity (KG)],SalesDetail[Customer],$A341,SalesDetail[Year],2016)</f>
        <v>0</v>
      </c>
      <c r="J341" s="5">
        <f>SUMIFS(SalesDetail[Quantity (KG)],SalesDetail[Customer],$A341,SalesDetail[Year],2017)</f>
        <v>0</v>
      </c>
      <c r="K341" s="5">
        <f>SUMIFS(SalesDetail[Quantity (KG)],SalesDetail[Customer],$A341,SalesDetail[Year],2018)</f>
        <v>0</v>
      </c>
      <c r="L341" s="5">
        <f>SUMIFS(SalesDetail[Quantity (KG)],SalesDetail[Customer],$A341,SalesDetail[Year],2019)</f>
        <v>56</v>
      </c>
      <c r="M341" s="5">
        <f>SUMIFS(SalesDetail[Quantity (KG)],SalesDetail[Customer],$A341,SalesDetail[Year],2020)</f>
        <v>7</v>
      </c>
      <c r="N341" s="5">
        <f>SUMIFS(SalesDetail[Quantity (KG)],SalesDetail[Customer],$A341,SalesDetail[Year],2021)</f>
        <v>0</v>
      </c>
      <c r="O341" s="6">
        <f>SUM(B341:N341)</f>
        <v>63</v>
      </c>
    </row>
    <row r="342" spans="1:15" x14ac:dyDescent="0.3">
      <c r="A342" t="s">
        <v>1860</v>
      </c>
      <c r="B342" s="5">
        <f>SUMIFS(SalesDetail[Quantity (KG)],SalesDetail[Customer],$A342,SalesDetail[Year],2009)</f>
        <v>0</v>
      </c>
      <c r="C342" s="5">
        <f>SUMIFS(SalesDetail[Quantity (KG)],SalesDetail[Customer],$A342,SalesDetail[Year],2010)</f>
        <v>0</v>
      </c>
      <c r="D342" s="5">
        <f>SUMIFS(SalesDetail[Quantity (KG)],SalesDetail[Customer],$A342,SalesDetail[Year],2011)</f>
        <v>0</v>
      </c>
      <c r="E342" s="5">
        <f>SUMIFS(SalesDetail[Quantity (KG)],SalesDetail[Customer],$A342,SalesDetail[Year],2012)</f>
        <v>0</v>
      </c>
      <c r="F342" s="5">
        <f>SUMIFS(SalesDetail[Quantity (KG)],SalesDetail[Customer],$A342,SalesDetail[Year],2013)</f>
        <v>0</v>
      </c>
      <c r="G342" s="5">
        <f>SUMIFS(SalesDetail[Quantity (KG)],SalesDetail[Customer],$A342,SalesDetail[Year],2014)</f>
        <v>0</v>
      </c>
      <c r="H342" s="5">
        <f>SUMIFS(SalesDetail[Quantity (KG)],SalesDetail[Customer],$A342,SalesDetail[Year],2015)</f>
        <v>0</v>
      </c>
      <c r="I342" s="5">
        <f>SUMIFS(SalesDetail[Quantity (KG)],SalesDetail[Customer],$A342,SalesDetail[Year],2016)</f>
        <v>0</v>
      </c>
      <c r="J342" s="5">
        <f>SUMIFS(SalesDetail[Quantity (KG)],SalesDetail[Customer],$A342,SalesDetail[Year],2017)</f>
        <v>0</v>
      </c>
      <c r="K342" s="5">
        <f>SUMIFS(SalesDetail[Quantity (KG)],SalesDetail[Customer],$A342,SalesDetail[Year],2018)</f>
        <v>21</v>
      </c>
      <c r="L342" s="5">
        <f>SUMIFS(SalesDetail[Quantity (KG)],SalesDetail[Customer],$A342,SalesDetail[Year],2019)</f>
        <v>0</v>
      </c>
      <c r="M342" s="5">
        <f>SUMIFS(SalesDetail[Quantity (KG)],SalesDetail[Customer],$A342,SalesDetail[Year],2020)</f>
        <v>40</v>
      </c>
      <c r="N342" s="5">
        <f>SUMIFS(SalesDetail[Quantity (KG)],SalesDetail[Customer],$A342,SalesDetail[Year],2021)</f>
        <v>0</v>
      </c>
      <c r="O342" s="6">
        <f>SUM(B342:N342)</f>
        <v>61</v>
      </c>
    </row>
    <row r="343" spans="1:15" x14ac:dyDescent="0.3">
      <c r="A343" t="s">
        <v>683</v>
      </c>
      <c r="B343" s="5">
        <f>SUMIFS(SalesDetail[Quantity (KG)],SalesDetail[Customer],$A343,SalesDetail[Year],2009)</f>
        <v>0</v>
      </c>
      <c r="C343" s="5">
        <f>SUMIFS(SalesDetail[Quantity (KG)],SalesDetail[Customer],$A343,SalesDetail[Year],2010)</f>
        <v>35</v>
      </c>
      <c r="D343" s="5">
        <f>SUMIFS(SalesDetail[Quantity (KG)],SalesDetail[Customer],$A343,SalesDetail[Year],2011)</f>
        <v>0</v>
      </c>
      <c r="E343" s="5">
        <f>SUMIFS(SalesDetail[Quantity (KG)],SalesDetail[Customer],$A343,SalesDetail[Year],2012)</f>
        <v>0</v>
      </c>
      <c r="F343" s="5">
        <f>SUMIFS(SalesDetail[Quantity (KG)],SalesDetail[Customer],$A343,SalesDetail[Year],2013)</f>
        <v>25</v>
      </c>
      <c r="G343" s="5">
        <f>SUMIFS(SalesDetail[Quantity (KG)],SalesDetail[Customer],$A343,SalesDetail[Year],2014)</f>
        <v>0</v>
      </c>
      <c r="H343" s="5">
        <f>SUMIFS(SalesDetail[Quantity (KG)],SalesDetail[Customer],$A343,SalesDetail[Year],2015)</f>
        <v>0</v>
      </c>
      <c r="I343" s="5">
        <f>SUMIFS(SalesDetail[Quantity (KG)],SalesDetail[Customer],$A343,SalesDetail[Year],2016)</f>
        <v>0</v>
      </c>
      <c r="J343" s="5">
        <f>SUMIFS(SalesDetail[Quantity (KG)],SalesDetail[Customer],$A343,SalesDetail[Year],2017)</f>
        <v>0</v>
      </c>
      <c r="K343" s="5">
        <f>SUMIFS(SalesDetail[Quantity (KG)],SalesDetail[Customer],$A343,SalesDetail[Year],2018)</f>
        <v>0</v>
      </c>
      <c r="L343" s="5">
        <f>SUMIFS(SalesDetail[Quantity (KG)],SalesDetail[Customer],$A343,SalesDetail[Year],2019)</f>
        <v>0</v>
      </c>
      <c r="M343" s="5">
        <f>SUMIFS(SalesDetail[Quantity (KG)],SalesDetail[Customer],$A343,SalesDetail[Year],2020)</f>
        <v>0</v>
      </c>
      <c r="N343" s="5">
        <f>SUMIFS(SalesDetail[Quantity (KG)],SalesDetail[Customer],$A343,SalesDetail[Year],2021)</f>
        <v>0</v>
      </c>
      <c r="O343" s="6">
        <f>SUM(B343:N343)</f>
        <v>60</v>
      </c>
    </row>
    <row r="344" spans="1:15" x14ac:dyDescent="0.3">
      <c r="A344" t="s">
        <v>877</v>
      </c>
      <c r="B344" s="5">
        <f>SUMIFS(SalesDetail[Quantity (KG)],SalesDetail[Customer],$A344,SalesDetail[Year],2009)</f>
        <v>0</v>
      </c>
      <c r="C344" s="5">
        <f>SUMIFS(SalesDetail[Quantity (KG)],SalesDetail[Customer],$A344,SalesDetail[Year],2010)</f>
        <v>0</v>
      </c>
      <c r="D344" s="5">
        <f>SUMIFS(SalesDetail[Quantity (KG)],SalesDetail[Customer],$A344,SalesDetail[Year],2011)</f>
        <v>0</v>
      </c>
      <c r="E344" s="5">
        <f>SUMIFS(SalesDetail[Quantity (KG)],SalesDetail[Customer],$A344,SalesDetail[Year],2012)</f>
        <v>0</v>
      </c>
      <c r="F344" s="5">
        <f>SUMIFS(SalesDetail[Quantity (KG)],SalesDetail[Customer],$A344,SalesDetail[Year],2013)</f>
        <v>0</v>
      </c>
      <c r="G344" s="5">
        <f>SUMIFS(SalesDetail[Quantity (KG)],SalesDetail[Customer],$A344,SalesDetail[Year],2014)</f>
        <v>0</v>
      </c>
      <c r="H344" s="5">
        <f>SUMIFS(SalesDetail[Quantity (KG)],SalesDetail[Customer],$A344,SalesDetail[Year],2015)</f>
        <v>0</v>
      </c>
      <c r="I344" s="5">
        <f>SUMIFS(SalesDetail[Quantity (KG)],SalesDetail[Customer],$A344,SalesDetail[Year],2016)</f>
        <v>0</v>
      </c>
      <c r="J344" s="5">
        <f>SUMIFS(SalesDetail[Quantity (KG)],SalesDetail[Customer],$A344,SalesDetail[Year],2017)</f>
        <v>0</v>
      </c>
      <c r="K344" s="5">
        <f>SUMIFS(SalesDetail[Quantity (KG)],SalesDetail[Customer],$A344,SalesDetail[Year],2018)</f>
        <v>0</v>
      </c>
      <c r="L344" s="5">
        <f>SUMIFS(SalesDetail[Quantity (KG)],SalesDetail[Customer],$A344,SalesDetail[Year],2019)</f>
        <v>0</v>
      </c>
      <c r="M344" s="5">
        <f>SUMIFS(SalesDetail[Quantity (KG)],SalesDetail[Customer],$A344,SalesDetail[Year],2020)</f>
        <v>0</v>
      </c>
      <c r="N344" s="5">
        <f>SUMIFS(SalesDetail[Quantity (KG)],SalesDetail[Customer],$A344,SalesDetail[Year],2021)</f>
        <v>60</v>
      </c>
      <c r="O344" s="6">
        <f>SUM(B344:N344)</f>
        <v>60</v>
      </c>
    </row>
    <row r="345" spans="1:15" x14ac:dyDescent="0.3">
      <c r="A345" t="s">
        <v>1096</v>
      </c>
      <c r="B345" s="5">
        <f>SUMIFS(SalesDetail[Quantity (KG)],SalesDetail[Customer],$A345,SalesDetail[Year],2009)</f>
        <v>0</v>
      </c>
      <c r="C345" s="5">
        <f>SUMIFS(SalesDetail[Quantity (KG)],SalesDetail[Customer],$A345,SalesDetail[Year],2010)</f>
        <v>0</v>
      </c>
      <c r="D345" s="5">
        <f>SUMIFS(SalesDetail[Quantity (KG)],SalesDetail[Customer],$A345,SalesDetail[Year],2011)</f>
        <v>0</v>
      </c>
      <c r="E345" s="5">
        <f>SUMIFS(SalesDetail[Quantity (KG)],SalesDetail[Customer],$A345,SalesDetail[Year],2012)</f>
        <v>0</v>
      </c>
      <c r="F345" s="5">
        <f>SUMIFS(SalesDetail[Quantity (KG)],SalesDetail[Customer],$A345,SalesDetail[Year],2013)</f>
        <v>0</v>
      </c>
      <c r="G345" s="5">
        <f>SUMIFS(SalesDetail[Quantity (KG)],SalesDetail[Customer],$A345,SalesDetail[Year],2014)</f>
        <v>0</v>
      </c>
      <c r="H345" s="5">
        <f>SUMIFS(SalesDetail[Quantity (KG)],SalesDetail[Customer],$A345,SalesDetail[Year],2015)</f>
        <v>0</v>
      </c>
      <c r="I345" s="5">
        <f>SUMIFS(SalesDetail[Quantity (KG)],SalesDetail[Customer],$A345,SalesDetail[Year],2016)</f>
        <v>0</v>
      </c>
      <c r="J345" s="5">
        <f>SUMIFS(SalesDetail[Quantity (KG)],SalesDetail[Customer],$A345,SalesDetail[Year],2017)</f>
        <v>0</v>
      </c>
      <c r="K345" s="5">
        <f>SUMIFS(SalesDetail[Quantity (KG)],SalesDetail[Customer],$A345,SalesDetail[Year],2018)</f>
        <v>0</v>
      </c>
      <c r="L345" s="5">
        <f>SUMIFS(SalesDetail[Quantity (KG)],SalesDetail[Customer],$A345,SalesDetail[Year],2019)</f>
        <v>0</v>
      </c>
      <c r="M345" s="5">
        <f>SUMIFS(SalesDetail[Quantity (KG)],SalesDetail[Customer],$A345,SalesDetail[Year],2020)</f>
        <v>25</v>
      </c>
      <c r="N345" s="5">
        <f>SUMIFS(SalesDetail[Quantity (KG)],SalesDetail[Customer],$A345,SalesDetail[Year],2021)</f>
        <v>35</v>
      </c>
      <c r="O345" s="6">
        <f>SUM(B345:N345)</f>
        <v>60</v>
      </c>
    </row>
    <row r="346" spans="1:15" x14ac:dyDescent="0.3">
      <c r="A346" t="s">
        <v>1437</v>
      </c>
      <c r="B346" s="5">
        <f>SUMIFS(SalesDetail[Quantity (KG)],SalesDetail[Customer],$A346,SalesDetail[Year],2009)</f>
        <v>0</v>
      </c>
      <c r="C346" s="5">
        <f>SUMIFS(SalesDetail[Quantity (KG)],SalesDetail[Customer],$A346,SalesDetail[Year],2010)</f>
        <v>10</v>
      </c>
      <c r="D346" s="5">
        <f>SUMIFS(SalesDetail[Quantity (KG)],SalesDetail[Customer],$A346,SalesDetail[Year],2011)</f>
        <v>50</v>
      </c>
      <c r="E346" s="5">
        <f>SUMIFS(SalesDetail[Quantity (KG)],SalesDetail[Customer],$A346,SalesDetail[Year],2012)</f>
        <v>0</v>
      </c>
      <c r="F346" s="5">
        <f>SUMIFS(SalesDetail[Quantity (KG)],SalesDetail[Customer],$A346,SalesDetail[Year],2013)</f>
        <v>0</v>
      </c>
      <c r="G346" s="5">
        <f>SUMIFS(SalesDetail[Quantity (KG)],SalesDetail[Customer],$A346,SalesDetail[Year],2014)</f>
        <v>0</v>
      </c>
      <c r="H346" s="5">
        <f>SUMIFS(SalesDetail[Quantity (KG)],SalesDetail[Customer],$A346,SalesDetail[Year],2015)</f>
        <v>0</v>
      </c>
      <c r="I346" s="5">
        <f>SUMIFS(SalesDetail[Quantity (KG)],SalesDetail[Customer],$A346,SalesDetail[Year],2016)</f>
        <v>0</v>
      </c>
      <c r="J346" s="5">
        <f>SUMIFS(SalesDetail[Quantity (KG)],SalesDetail[Customer],$A346,SalesDetail[Year],2017)</f>
        <v>0</v>
      </c>
      <c r="K346" s="5">
        <f>SUMIFS(SalesDetail[Quantity (KG)],SalesDetail[Customer],$A346,SalesDetail[Year],2018)</f>
        <v>0</v>
      </c>
      <c r="L346" s="5">
        <f>SUMIFS(SalesDetail[Quantity (KG)],SalesDetail[Customer],$A346,SalesDetail[Year],2019)</f>
        <v>0</v>
      </c>
      <c r="M346" s="5">
        <f>SUMIFS(SalesDetail[Quantity (KG)],SalesDetail[Customer],$A346,SalesDetail[Year],2020)</f>
        <v>0</v>
      </c>
      <c r="N346" s="5">
        <f>SUMIFS(SalesDetail[Quantity (KG)],SalesDetail[Customer],$A346,SalesDetail[Year],2021)</f>
        <v>0</v>
      </c>
      <c r="O346" s="6">
        <f>SUM(B346:N346)</f>
        <v>60</v>
      </c>
    </row>
    <row r="347" spans="1:15" x14ac:dyDescent="0.3">
      <c r="A347" t="s">
        <v>1905</v>
      </c>
      <c r="B347" s="5">
        <f>SUMIFS(SalesDetail[Quantity (KG)],SalesDetail[Customer],$A347,SalesDetail[Year],2009)</f>
        <v>0</v>
      </c>
      <c r="C347" s="5">
        <f>SUMIFS(SalesDetail[Quantity (KG)],SalesDetail[Customer],$A347,SalesDetail[Year],2010)</f>
        <v>0</v>
      </c>
      <c r="D347" s="5">
        <f>SUMIFS(SalesDetail[Quantity (KG)],SalesDetail[Customer],$A347,SalesDetail[Year],2011)</f>
        <v>0</v>
      </c>
      <c r="E347" s="5">
        <f>SUMIFS(SalesDetail[Quantity (KG)],SalesDetail[Customer],$A347,SalesDetail[Year],2012)</f>
        <v>0</v>
      </c>
      <c r="F347" s="5">
        <f>SUMIFS(SalesDetail[Quantity (KG)],SalesDetail[Customer],$A347,SalesDetail[Year],2013)</f>
        <v>0</v>
      </c>
      <c r="G347" s="5">
        <f>SUMIFS(SalesDetail[Quantity (KG)],SalesDetail[Customer],$A347,SalesDetail[Year],2014)</f>
        <v>0</v>
      </c>
      <c r="H347" s="5">
        <f>SUMIFS(SalesDetail[Quantity (KG)],SalesDetail[Customer],$A347,SalesDetail[Year],2015)</f>
        <v>0</v>
      </c>
      <c r="I347" s="5">
        <f>SUMIFS(SalesDetail[Quantity (KG)],SalesDetail[Customer],$A347,SalesDetail[Year],2016)</f>
        <v>0</v>
      </c>
      <c r="J347" s="5">
        <f>SUMIFS(SalesDetail[Quantity (KG)],SalesDetail[Customer],$A347,SalesDetail[Year],2017)</f>
        <v>0</v>
      </c>
      <c r="K347" s="5">
        <f>SUMIFS(SalesDetail[Quantity (KG)],SalesDetail[Customer],$A347,SalesDetail[Year],2018)</f>
        <v>25</v>
      </c>
      <c r="L347" s="5">
        <f>SUMIFS(SalesDetail[Quantity (KG)],SalesDetail[Customer],$A347,SalesDetail[Year],2019)</f>
        <v>5</v>
      </c>
      <c r="M347" s="5">
        <f>SUMIFS(SalesDetail[Quantity (KG)],SalesDetail[Customer],$A347,SalesDetail[Year],2020)</f>
        <v>10</v>
      </c>
      <c r="N347" s="5">
        <f>SUMIFS(SalesDetail[Quantity (KG)],SalesDetail[Customer],$A347,SalesDetail[Year],2021)</f>
        <v>20</v>
      </c>
      <c r="O347" s="6">
        <f>SUM(B347:N347)</f>
        <v>60</v>
      </c>
    </row>
    <row r="348" spans="1:15" x14ac:dyDescent="0.3">
      <c r="A348" t="s">
        <v>2195</v>
      </c>
      <c r="B348" s="5">
        <f>SUMIFS(SalesDetail[Quantity (KG)],SalesDetail[Customer],$A348,SalesDetail[Year],2009)</f>
        <v>0</v>
      </c>
      <c r="C348" s="5">
        <f>SUMIFS(SalesDetail[Quantity (KG)],SalesDetail[Customer],$A348,SalesDetail[Year],2010)</f>
        <v>0</v>
      </c>
      <c r="D348" s="5">
        <f>SUMIFS(SalesDetail[Quantity (KG)],SalesDetail[Customer],$A348,SalesDetail[Year],2011)</f>
        <v>0</v>
      </c>
      <c r="E348" s="5">
        <f>SUMIFS(SalesDetail[Quantity (KG)],SalesDetail[Customer],$A348,SalesDetail[Year],2012)</f>
        <v>0</v>
      </c>
      <c r="F348" s="5">
        <f>SUMIFS(SalesDetail[Quantity (KG)],SalesDetail[Customer],$A348,SalesDetail[Year],2013)</f>
        <v>0</v>
      </c>
      <c r="G348" s="5">
        <f>SUMIFS(SalesDetail[Quantity (KG)],SalesDetail[Customer],$A348,SalesDetail[Year],2014)</f>
        <v>0</v>
      </c>
      <c r="H348" s="5">
        <f>SUMIFS(SalesDetail[Quantity (KG)],SalesDetail[Customer],$A348,SalesDetail[Year],2015)</f>
        <v>60</v>
      </c>
      <c r="I348" s="5">
        <f>SUMIFS(SalesDetail[Quantity (KG)],SalesDetail[Customer],$A348,SalesDetail[Year],2016)</f>
        <v>0</v>
      </c>
      <c r="J348" s="5">
        <f>SUMIFS(SalesDetail[Quantity (KG)],SalesDetail[Customer],$A348,SalesDetail[Year],2017)</f>
        <v>0</v>
      </c>
      <c r="K348" s="5">
        <f>SUMIFS(SalesDetail[Quantity (KG)],SalesDetail[Customer],$A348,SalesDetail[Year],2018)</f>
        <v>0</v>
      </c>
      <c r="L348" s="5">
        <f>SUMIFS(SalesDetail[Quantity (KG)],SalesDetail[Customer],$A348,SalesDetail[Year],2019)</f>
        <v>0</v>
      </c>
      <c r="M348" s="5">
        <f>SUMIFS(SalesDetail[Quantity (KG)],SalesDetail[Customer],$A348,SalesDetail[Year],2020)</f>
        <v>0</v>
      </c>
      <c r="N348" s="5">
        <f>SUMIFS(SalesDetail[Quantity (KG)],SalesDetail[Customer],$A348,SalesDetail[Year],2021)</f>
        <v>0</v>
      </c>
      <c r="O348" s="6">
        <f>SUM(B348:N348)</f>
        <v>60</v>
      </c>
    </row>
    <row r="349" spans="1:15" x14ac:dyDescent="0.3">
      <c r="A349" t="s">
        <v>2544</v>
      </c>
      <c r="B349" s="5">
        <f>SUMIFS(SalesDetail[Quantity (KG)],SalesDetail[Customer],$A349,SalesDetail[Year],2009)</f>
        <v>25</v>
      </c>
      <c r="C349" s="5">
        <f>SUMIFS(SalesDetail[Quantity (KG)],SalesDetail[Customer],$A349,SalesDetail[Year],2010)</f>
        <v>0</v>
      </c>
      <c r="D349" s="5">
        <f>SUMIFS(SalesDetail[Quantity (KG)],SalesDetail[Customer],$A349,SalesDetail[Year],2011)</f>
        <v>0</v>
      </c>
      <c r="E349" s="5">
        <f>SUMIFS(SalesDetail[Quantity (KG)],SalesDetail[Customer],$A349,SalesDetail[Year],2012)</f>
        <v>0</v>
      </c>
      <c r="F349" s="5">
        <f>SUMIFS(SalesDetail[Quantity (KG)],SalesDetail[Customer],$A349,SalesDetail[Year],2013)</f>
        <v>35</v>
      </c>
      <c r="G349" s="5">
        <f>SUMIFS(SalesDetail[Quantity (KG)],SalesDetail[Customer],$A349,SalesDetail[Year],2014)</f>
        <v>0</v>
      </c>
      <c r="H349" s="5">
        <f>SUMIFS(SalesDetail[Quantity (KG)],SalesDetail[Customer],$A349,SalesDetail[Year],2015)</f>
        <v>0</v>
      </c>
      <c r="I349" s="5">
        <f>SUMIFS(SalesDetail[Quantity (KG)],SalesDetail[Customer],$A349,SalesDetail[Year],2016)</f>
        <v>0</v>
      </c>
      <c r="J349" s="5">
        <f>SUMIFS(SalesDetail[Quantity (KG)],SalesDetail[Customer],$A349,SalesDetail[Year],2017)</f>
        <v>0</v>
      </c>
      <c r="K349" s="5">
        <f>SUMIFS(SalesDetail[Quantity (KG)],SalesDetail[Customer],$A349,SalesDetail[Year],2018)</f>
        <v>0</v>
      </c>
      <c r="L349" s="5">
        <f>SUMIFS(SalesDetail[Quantity (KG)],SalesDetail[Customer],$A349,SalesDetail[Year],2019)</f>
        <v>0</v>
      </c>
      <c r="M349" s="5">
        <f>SUMIFS(SalesDetail[Quantity (KG)],SalesDetail[Customer],$A349,SalesDetail[Year],2020)</f>
        <v>0</v>
      </c>
      <c r="N349" s="5">
        <f>SUMIFS(SalesDetail[Quantity (KG)],SalesDetail[Customer],$A349,SalesDetail[Year],2021)</f>
        <v>0</v>
      </c>
      <c r="O349" s="6">
        <f>SUM(B349:N349)</f>
        <v>60</v>
      </c>
    </row>
    <row r="350" spans="1:15" x14ac:dyDescent="0.3">
      <c r="A350" t="s">
        <v>2573</v>
      </c>
      <c r="B350" s="5">
        <f>SUMIFS(SalesDetail[Quantity (KG)],SalesDetail[Customer],$A350,SalesDetail[Year],2009)</f>
        <v>0</v>
      </c>
      <c r="C350" s="5">
        <f>SUMIFS(SalesDetail[Quantity (KG)],SalesDetail[Customer],$A350,SalesDetail[Year],2010)</f>
        <v>0</v>
      </c>
      <c r="D350" s="5">
        <f>SUMIFS(SalesDetail[Quantity (KG)],SalesDetail[Customer],$A350,SalesDetail[Year],2011)</f>
        <v>0</v>
      </c>
      <c r="E350" s="5">
        <f>SUMIFS(SalesDetail[Quantity (KG)],SalesDetail[Customer],$A350,SalesDetail[Year],2012)</f>
        <v>0</v>
      </c>
      <c r="F350" s="5">
        <f>SUMIFS(SalesDetail[Quantity (KG)],SalesDetail[Customer],$A350,SalesDetail[Year],2013)</f>
        <v>0</v>
      </c>
      <c r="G350" s="5">
        <f>SUMIFS(SalesDetail[Quantity (KG)],SalesDetail[Customer],$A350,SalesDetail[Year],2014)</f>
        <v>0</v>
      </c>
      <c r="H350" s="5">
        <f>SUMIFS(SalesDetail[Quantity (KG)],SalesDetail[Customer],$A350,SalesDetail[Year],2015)</f>
        <v>60</v>
      </c>
      <c r="I350" s="5">
        <f>SUMIFS(SalesDetail[Quantity (KG)],SalesDetail[Customer],$A350,SalesDetail[Year],2016)</f>
        <v>0</v>
      </c>
      <c r="J350" s="5">
        <f>SUMIFS(SalesDetail[Quantity (KG)],SalesDetail[Customer],$A350,SalesDetail[Year],2017)</f>
        <v>0</v>
      </c>
      <c r="K350" s="5">
        <f>SUMIFS(SalesDetail[Quantity (KG)],SalesDetail[Customer],$A350,SalesDetail[Year],2018)</f>
        <v>0</v>
      </c>
      <c r="L350" s="5">
        <f>SUMIFS(SalesDetail[Quantity (KG)],SalesDetail[Customer],$A350,SalesDetail[Year],2019)</f>
        <v>0</v>
      </c>
      <c r="M350" s="5">
        <f>SUMIFS(SalesDetail[Quantity (KG)],SalesDetail[Customer],$A350,SalesDetail[Year],2020)</f>
        <v>0</v>
      </c>
      <c r="N350" s="5">
        <f>SUMIFS(SalesDetail[Quantity (KG)],SalesDetail[Customer],$A350,SalesDetail[Year],2021)</f>
        <v>0</v>
      </c>
      <c r="O350" s="6">
        <f>SUM(B350:N350)</f>
        <v>60</v>
      </c>
    </row>
    <row r="351" spans="1:15" x14ac:dyDescent="0.3">
      <c r="A351" t="s">
        <v>2361</v>
      </c>
      <c r="B351" s="5">
        <f>SUMIFS(SalesDetail[Quantity (KG)],SalesDetail[Customer],$A351,SalesDetail[Year],2009)</f>
        <v>0</v>
      </c>
      <c r="C351" s="5">
        <f>SUMIFS(SalesDetail[Quantity (KG)],SalesDetail[Customer],$A351,SalesDetail[Year],2010)</f>
        <v>0</v>
      </c>
      <c r="D351" s="5">
        <f>SUMIFS(SalesDetail[Quantity (KG)],SalesDetail[Customer],$A351,SalesDetail[Year],2011)</f>
        <v>0</v>
      </c>
      <c r="E351" s="5">
        <f>SUMIFS(SalesDetail[Quantity (KG)],SalesDetail[Customer],$A351,SalesDetail[Year],2012)</f>
        <v>0</v>
      </c>
      <c r="F351" s="5">
        <f>SUMIFS(SalesDetail[Quantity (KG)],SalesDetail[Customer],$A351,SalesDetail[Year],2013)</f>
        <v>0</v>
      </c>
      <c r="G351" s="5">
        <f>SUMIFS(SalesDetail[Quantity (KG)],SalesDetail[Customer],$A351,SalesDetail[Year],2014)</f>
        <v>0</v>
      </c>
      <c r="H351" s="5">
        <f>SUMIFS(SalesDetail[Quantity (KG)],SalesDetail[Customer],$A351,SalesDetail[Year],2015)</f>
        <v>0</v>
      </c>
      <c r="I351" s="5">
        <f>SUMIFS(SalesDetail[Quantity (KG)],SalesDetail[Customer],$A351,SalesDetail[Year],2016)</f>
        <v>0</v>
      </c>
      <c r="J351" s="5">
        <f>SUMIFS(SalesDetail[Quantity (KG)],SalesDetail[Customer],$A351,SalesDetail[Year],2017)</f>
        <v>0</v>
      </c>
      <c r="K351" s="5">
        <f>SUMIFS(SalesDetail[Quantity (KG)],SalesDetail[Customer],$A351,SalesDetail[Year],2018)</f>
        <v>0</v>
      </c>
      <c r="L351" s="5">
        <f>SUMIFS(SalesDetail[Quantity (KG)],SalesDetail[Customer],$A351,SalesDetail[Year],2019)</f>
        <v>51</v>
      </c>
      <c r="M351" s="5">
        <f>SUMIFS(SalesDetail[Quantity (KG)],SalesDetail[Customer],$A351,SalesDetail[Year],2020)</f>
        <v>5</v>
      </c>
      <c r="N351" s="5">
        <f>SUMIFS(SalesDetail[Quantity (KG)],SalesDetail[Customer],$A351,SalesDetail[Year],2021)</f>
        <v>0</v>
      </c>
      <c r="O351" s="6">
        <f>SUM(B351:N351)</f>
        <v>56</v>
      </c>
    </row>
    <row r="352" spans="1:15" x14ac:dyDescent="0.3">
      <c r="A352" t="s">
        <v>1742</v>
      </c>
      <c r="B352" s="5">
        <f>SUMIFS(SalesDetail[Quantity (KG)],SalesDetail[Customer],$A352,SalesDetail[Year],2009)</f>
        <v>0</v>
      </c>
      <c r="C352" s="5">
        <f>SUMIFS(SalesDetail[Quantity (KG)],SalesDetail[Customer],$A352,SalesDetail[Year],2010)</f>
        <v>0</v>
      </c>
      <c r="D352" s="5">
        <f>SUMIFS(SalesDetail[Quantity (KG)],SalesDetail[Customer],$A352,SalesDetail[Year],2011)</f>
        <v>0</v>
      </c>
      <c r="E352" s="5">
        <f>SUMIFS(SalesDetail[Quantity (KG)],SalesDetail[Customer],$A352,SalesDetail[Year],2012)</f>
        <v>0</v>
      </c>
      <c r="F352" s="5">
        <f>SUMIFS(SalesDetail[Quantity (KG)],SalesDetail[Customer],$A352,SalesDetail[Year],2013)</f>
        <v>0</v>
      </c>
      <c r="G352" s="5">
        <f>SUMIFS(SalesDetail[Quantity (KG)],SalesDetail[Customer],$A352,SalesDetail[Year],2014)</f>
        <v>0</v>
      </c>
      <c r="H352" s="5">
        <f>SUMIFS(SalesDetail[Quantity (KG)],SalesDetail[Customer],$A352,SalesDetail[Year],2015)</f>
        <v>0</v>
      </c>
      <c r="I352" s="5">
        <f>SUMIFS(SalesDetail[Quantity (KG)],SalesDetail[Customer],$A352,SalesDetail[Year],2016)</f>
        <v>0</v>
      </c>
      <c r="J352" s="5">
        <f>SUMIFS(SalesDetail[Quantity (KG)],SalesDetail[Customer],$A352,SalesDetail[Year],2017)</f>
        <v>0</v>
      </c>
      <c r="K352" s="5">
        <f>SUMIFS(SalesDetail[Quantity (KG)],SalesDetail[Customer],$A352,SalesDetail[Year],2018)</f>
        <v>0</v>
      </c>
      <c r="L352" s="5">
        <f>SUMIFS(SalesDetail[Quantity (KG)],SalesDetail[Customer],$A352,SalesDetail[Year],2019)</f>
        <v>0</v>
      </c>
      <c r="M352" s="5">
        <f>SUMIFS(SalesDetail[Quantity (KG)],SalesDetail[Customer],$A352,SalesDetail[Year],2020)</f>
        <v>55</v>
      </c>
      <c r="N352" s="5">
        <f>SUMIFS(SalesDetail[Quantity (KG)],SalesDetail[Customer],$A352,SalesDetail[Year],2021)</f>
        <v>0</v>
      </c>
      <c r="O352" s="6">
        <f>SUM(B352:N352)</f>
        <v>55</v>
      </c>
    </row>
    <row r="353" spans="1:15" x14ac:dyDescent="0.3">
      <c r="A353" t="s">
        <v>2228</v>
      </c>
      <c r="B353" s="5">
        <f>SUMIFS(SalesDetail[Quantity (KG)],SalesDetail[Customer],$A353,SalesDetail[Year],2009)</f>
        <v>0</v>
      </c>
      <c r="C353" s="5">
        <f>SUMIFS(SalesDetail[Quantity (KG)],SalesDetail[Customer],$A353,SalesDetail[Year],2010)</f>
        <v>0</v>
      </c>
      <c r="D353" s="5">
        <f>SUMIFS(SalesDetail[Quantity (KG)],SalesDetail[Customer],$A353,SalesDetail[Year],2011)</f>
        <v>0</v>
      </c>
      <c r="E353" s="5">
        <f>SUMIFS(SalesDetail[Quantity (KG)],SalesDetail[Customer],$A353,SalesDetail[Year],2012)</f>
        <v>0</v>
      </c>
      <c r="F353" s="5">
        <f>SUMIFS(SalesDetail[Quantity (KG)],SalesDetail[Customer],$A353,SalesDetail[Year],2013)</f>
        <v>0</v>
      </c>
      <c r="G353" s="5">
        <f>SUMIFS(SalesDetail[Quantity (KG)],SalesDetail[Customer],$A353,SalesDetail[Year],2014)</f>
        <v>0</v>
      </c>
      <c r="H353" s="5">
        <f>SUMIFS(SalesDetail[Quantity (KG)],SalesDetail[Customer],$A353,SalesDetail[Year],2015)</f>
        <v>0</v>
      </c>
      <c r="I353" s="5">
        <f>SUMIFS(SalesDetail[Quantity (KG)],SalesDetail[Customer],$A353,SalesDetail[Year],2016)</f>
        <v>0</v>
      </c>
      <c r="J353" s="5">
        <f>SUMIFS(SalesDetail[Quantity (KG)],SalesDetail[Customer],$A353,SalesDetail[Year],2017)</f>
        <v>0</v>
      </c>
      <c r="K353" s="5">
        <f>SUMIFS(SalesDetail[Quantity (KG)],SalesDetail[Customer],$A353,SalesDetail[Year],2018)</f>
        <v>0</v>
      </c>
      <c r="L353" s="5">
        <f>SUMIFS(SalesDetail[Quantity (KG)],SalesDetail[Customer],$A353,SalesDetail[Year],2019)</f>
        <v>0</v>
      </c>
      <c r="M353" s="5">
        <f>SUMIFS(SalesDetail[Quantity (KG)],SalesDetail[Customer],$A353,SalesDetail[Year],2020)</f>
        <v>50</v>
      </c>
      <c r="N353" s="5">
        <f>SUMIFS(SalesDetail[Quantity (KG)],SalesDetail[Customer],$A353,SalesDetail[Year],2021)</f>
        <v>5</v>
      </c>
      <c r="O353" s="6">
        <f>SUM(B353:N353)</f>
        <v>55</v>
      </c>
    </row>
    <row r="354" spans="1:15" x14ac:dyDescent="0.3">
      <c r="A354" t="s">
        <v>2231</v>
      </c>
      <c r="B354" s="5">
        <f>SUMIFS(SalesDetail[Quantity (KG)],SalesDetail[Customer],$A354,SalesDetail[Year],2009)</f>
        <v>0</v>
      </c>
      <c r="C354" s="5">
        <f>SUMIFS(SalesDetail[Quantity (KG)],SalesDetail[Customer],$A354,SalesDetail[Year],2010)</f>
        <v>0</v>
      </c>
      <c r="D354" s="5">
        <f>SUMIFS(SalesDetail[Quantity (KG)],SalesDetail[Customer],$A354,SalesDetail[Year],2011)</f>
        <v>0</v>
      </c>
      <c r="E354" s="5">
        <f>SUMIFS(SalesDetail[Quantity (KG)],SalesDetail[Customer],$A354,SalesDetail[Year],2012)</f>
        <v>0</v>
      </c>
      <c r="F354" s="5">
        <f>SUMIFS(SalesDetail[Quantity (KG)],SalesDetail[Customer],$A354,SalesDetail[Year],2013)</f>
        <v>0</v>
      </c>
      <c r="G354" s="5">
        <f>SUMIFS(SalesDetail[Quantity (KG)],SalesDetail[Customer],$A354,SalesDetail[Year],2014)</f>
        <v>0</v>
      </c>
      <c r="H354" s="5">
        <f>SUMIFS(SalesDetail[Quantity (KG)],SalesDetail[Customer],$A354,SalesDetail[Year],2015)</f>
        <v>0</v>
      </c>
      <c r="I354" s="5">
        <f>SUMIFS(SalesDetail[Quantity (KG)],SalesDetail[Customer],$A354,SalesDetail[Year],2016)</f>
        <v>0</v>
      </c>
      <c r="J354" s="5">
        <f>SUMIFS(SalesDetail[Quantity (KG)],SalesDetail[Customer],$A354,SalesDetail[Year],2017)</f>
        <v>0</v>
      </c>
      <c r="K354" s="5">
        <f>SUMIFS(SalesDetail[Quantity (KG)],SalesDetail[Customer],$A354,SalesDetail[Year],2018)</f>
        <v>0</v>
      </c>
      <c r="L354" s="5">
        <f>SUMIFS(SalesDetail[Quantity (KG)],SalesDetail[Customer],$A354,SalesDetail[Year],2019)</f>
        <v>0</v>
      </c>
      <c r="M354" s="5">
        <f>SUMIFS(SalesDetail[Quantity (KG)],SalesDetail[Customer],$A354,SalesDetail[Year],2020)</f>
        <v>25</v>
      </c>
      <c r="N354" s="5">
        <f>SUMIFS(SalesDetail[Quantity (KG)],SalesDetail[Customer],$A354,SalesDetail[Year],2021)</f>
        <v>30</v>
      </c>
      <c r="O354" s="6">
        <f>SUM(B354:N354)</f>
        <v>55</v>
      </c>
    </row>
    <row r="355" spans="1:15" x14ac:dyDescent="0.3">
      <c r="A355" t="s">
        <v>869</v>
      </c>
      <c r="B355" s="5">
        <f>SUMIFS(SalesDetail[Quantity (KG)],SalesDetail[Customer],$A355,SalesDetail[Year],2009)</f>
        <v>0</v>
      </c>
      <c r="C355" s="5">
        <f>SUMIFS(SalesDetail[Quantity (KG)],SalesDetail[Customer],$A355,SalesDetail[Year],2010)</f>
        <v>0</v>
      </c>
      <c r="D355" s="5">
        <f>SUMIFS(SalesDetail[Quantity (KG)],SalesDetail[Customer],$A355,SalesDetail[Year],2011)</f>
        <v>0</v>
      </c>
      <c r="E355" s="5">
        <f>SUMIFS(SalesDetail[Quantity (KG)],SalesDetail[Customer],$A355,SalesDetail[Year],2012)</f>
        <v>0</v>
      </c>
      <c r="F355" s="5">
        <f>SUMIFS(SalesDetail[Quantity (KG)],SalesDetail[Customer],$A355,SalesDetail[Year],2013)</f>
        <v>0</v>
      </c>
      <c r="G355" s="5">
        <f>SUMIFS(SalesDetail[Quantity (KG)],SalesDetail[Customer],$A355,SalesDetail[Year],2014)</f>
        <v>0</v>
      </c>
      <c r="H355" s="5">
        <f>SUMIFS(SalesDetail[Quantity (KG)],SalesDetail[Customer],$A355,SalesDetail[Year],2015)</f>
        <v>0</v>
      </c>
      <c r="I355" s="5">
        <f>SUMIFS(SalesDetail[Quantity (KG)],SalesDetail[Customer],$A355,SalesDetail[Year],2016)</f>
        <v>0</v>
      </c>
      <c r="J355" s="5">
        <f>SUMIFS(SalesDetail[Quantity (KG)],SalesDetail[Customer],$A355,SalesDetail[Year],2017)</f>
        <v>0</v>
      </c>
      <c r="K355" s="5">
        <f>SUMIFS(SalesDetail[Quantity (KG)],SalesDetail[Customer],$A355,SalesDetail[Year],2018)</f>
        <v>0</v>
      </c>
      <c r="L355" s="5">
        <f>SUMIFS(SalesDetail[Quantity (KG)],SalesDetail[Customer],$A355,SalesDetail[Year],2019)</f>
        <v>53</v>
      </c>
      <c r="M355" s="5">
        <f>SUMIFS(SalesDetail[Quantity (KG)],SalesDetail[Customer],$A355,SalesDetail[Year],2020)</f>
        <v>0</v>
      </c>
      <c r="N355" s="5">
        <f>SUMIFS(SalesDetail[Quantity (KG)],SalesDetail[Customer],$A355,SalesDetail[Year],2021)</f>
        <v>0</v>
      </c>
      <c r="O355" s="6">
        <f>SUM(B355:N355)</f>
        <v>53</v>
      </c>
    </row>
    <row r="356" spans="1:15" x14ac:dyDescent="0.3">
      <c r="A356" t="s">
        <v>2561</v>
      </c>
      <c r="B356" s="5">
        <f>SUMIFS(SalesDetail[Quantity (KG)],SalesDetail[Customer],$A356,SalesDetail[Year],2009)</f>
        <v>0</v>
      </c>
      <c r="C356" s="5">
        <f>SUMIFS(SalesDetail[Quantity (KG)],SalesDetail[Customer],$A356,SalesDetail[Year],2010)</f>
        <v>0</v>
      </c>
      <c r="D356" s="5">
        <f>SUMIFS(SalesDetail[Quantity (KG)],SalesDetail[Customer],$A356,SalesDetail[Year],2011)</f>
        <v>0</v>
      </c>
      <c r="E356" s="5">
        <f>SUMIFS(SalesDetail[Quantity (KG)],SalesDetail[Customer],$A356,SalesDetail[Year],2012)</f>
        <v>0</v>
      </c>
      <c r="F356" s="5">
        <f>SUMIFS(SalesDetail[Quantity (KG)],SalesDetail[Customer],$A356,SalesDetail[Year],2013)</f>
        <v>0</v>
      </c>
      <c r="G356" s="5">
        <f>SUMIFS(SalesDetail[Quantity (KG)],SalesDetail[Customer],$A356,SalesDetail[Year],2014)</f>
        <v>0</v>
      </c>
      <c r="H356" s="5">
        <f>SUMIFS(SalesDetail[Quantity (KG)],SalesDetail[Customer],$A356,SalesDetail[Year],2015)</f>
        <v>0</v>
      </c>
      <c r="I356" s="5">
        <f>SUMIFS(SalesDetail[Quantity (KG)],SalesDetail[Customer],$A356,SalesDetail[Year],2016)</f>
        <v>0</v>
      </c>
      <c r="J356" s="5">
        <f>SUMIFS(SalesDetail[Quantity (KG)],SalesDetail[Customer],$A356,SalesDetail[Year],2017)</f>
        <v>0</v>
      </c>
      <c r="K356" s="5">
        <f>SUMIFS(SalesDetail[Quantity (KG)],SalesDetail[Customer],$A356,SalesDetail[Year],2018)</f>
        <v>52</v>
      </c>
      <c r="L356" s="5">
        <f>SUMIFS(SalesDetail[Quantity (KG)],SalesDetail[Customer],$A356,SalesDetail[Year],2019)</f>
        <v>0</v>
      </c>
      <c r="M356" s="5">
        <f>SUMIFS(SalesDetail[Quantity (KG)],SalesDetail[Customer],$A356,SalesDetail[Year],2020)</f>
        <v>0</v>
      </c>
      <c r="N356" s="5">
        <f>SUMIFS(SalesDetail[Quantity (KG)],SalesDetail[Customer],$A356,SalesDetail[Year],2021)</f>
        <v>0</v>
      </c>
      <c r="O356" s="6">
        <f>SUM(B356:N356)</f>
        <v>52</v>
      </c>
    </row>
    <row r="357" spans="1:15" x14ac:dyDescent="0.3">
      <c r="A357" t="s">
        <v>2435</v>
      </c>
      <c r="B357" s="5">
        <f>SUMIFS(SalesDetail[Quantity (KG)],SalesDetail[Customer],$A357,SalesDetail[Year],2009)</f>
        <v>0</v>
      </c>
      <c r="C357" s="5">
        <f>SUMIFS(SalesDetail[Quantity (KG)],SalesDetail[Customer],$A357,SalesDetail[Year],2010)</f>
        <v>0</v>
      </c>
      <c r="D357" s="5">
        <f>SUMIFS(SalesDetail[Quantity (KG)],SalesDetail[Customer],$A357,SalesDetail[Year],2011)</f>
        <v>0</v>
      </c>
      <c r="E357" s="5">
        <f>SUMIFS(SalesDetail[Quantity (KG)],SalesDetail[Customer],$A357,SalesDetail[Year],2012)</f>
        <v>0</v>
      </c>
      <c r="F357" s="5">
        <f>SUMIFS(SalesDetail[Quantity (KG)],SalesDetail[Customer],$A357,SalesDetail[Year],2013)</f>
        <v>0</v>
      </c>
      <c r="G357" s="5">
        <f>SUMIFS(SalesDetail[Quantity (KG)],SalesDetail[Customer],$A357,SalesDetail[Year],2014)</f>
        <v>0</v>
      </c>
      <c r="H357" s="5">
        <f>SUMIFS(SalesDetail[Quantity (KG)],SalesDetail[Customer],$A357,SalesDetail[Year],2015)</f>
        <v>0</v>
      </c>
      <c r="I357" s="5">
        <f>SUMIFS(SalesDetail[Quantity (KG)],SalesDetail[Customer],$A357,SalesDetail[Year],2016)</f>
        <v>2</v>
      </c>
      <c r="J357" s="5">
        <f>SUMIFS(SalesDetail[Quantity (KG)],SalesDetail[Customer],$A357,SalesDetail[Year],2017)</f>
        <v>21</v>
      </c>
      <c r="K357" s="5">
        <f>SUMIFS(SalesDetail[Quantity (KG)],SalesDetail[Customer],$A357,SalesDetail[Year],2018)</f>
        <v>20</v>
      </c>
      <c r="L357" s="5">
        <f>SUMIFS(SalesDetail[Quantity (KG)],SalesDetail[Customer],$A357,SalesDetail[Year],2019)</f>
        <v>0</v>
      </c>
      <c r="M357" s="5">
        <f>SUMIFS(SalesDetail[Quantity (KG)],SalesDetail[Customer],$A357,SalesDetail[Year],2020)</f>
        <v>8</v>
      </c>
      <c r="N357" s="5">
        <f>SUMIFS(SalesDetail[Quantity (KG)],SalesDetail[Customer],$A357,SalesDetail[Year],2021)</f>
        <v>0</v>
      </c>
      <c r="O357" s="6">
        <f>SUM(B357:N357)</f>
        <v>51</v>
      </c>
    </row>
    <row r="358" spans="1:15" x14ac:dyDescent="0.3">
      <c r="A358" t="s">
        <v>2557</v>
      </c>
      <c r="B358" s="5">
        <f>SUMIFS(SalesDetail[Quantity (KG)],SalesDetail[Customer],$A358,SalesDetail[Year],2009)</f>
        <v>0</v>
      </c>
      <c r="C358" s="5">
        <f>SUMIFS(SalesDetail[Quantity (KG)],SalesDetail[Customer],$A358,SalesDetail[Year],2010)</f>
        <v>0</v>
      </c>
      <c r="D358" s="5">
        <f>SUMIFS(SalesDetail[Quantity (KG)],SalesDetail[Customer],$A358,SalesDetail[Year],2011)</f>
        <v>0</v>
      </c>
      <c r="E358" s="5">
        <f>SUMIFS(SalesDetail[Quantity (KG)],SalesDetail[Customer],$A358,SalesDetail[Year],2012)</f>
        <v>0</v>
      </c>
      <c r="F358" s="5">
        <f>SUMIFS(SalesDetail[Quantity (KG)],SalesDetail[Customer],$A358,SalesDetail[Year],2013)</f>
        <v>0</v>
      </c>
      <c r="G358" s="5">
        <f>SUMIFS(SalesDetail[Quantity (KG)],SalesDetail[Customer],$A358,SalesDetail[Year],2014)</f>
        <v>0</v>
      </c>
      <c r="H358" s="5">
        <f>SUMIFS(SalesDetail[Quantity (KG)],SalesDetail[Customer],$A358,SalesDetail[Year],2015)</f>
        <v>0</v>
      </c>
      <c r="I358" s="5">
        <f>SUMIFS(SalesDetail[Quantity (KG)],SalesDetail[Customer],$A358,SalesDetail[Year],2016)</f>
        <v>0</v>
      </c>
      <c r="J358" s="5">
        <f>SUMIFS(SalesDetail[Quantity (KG)],SalesDetail[Customer],$A358,SalesDetail[Year],2017)</f>
        <v>0</v>
      </c>
      <c r="K358" s="5">
        <f>SUMIFS(SalesDetail[Quantity (KG)],SalesDetail[Customer],$A358,SalesDetail[Year],2018)</f>
        <v>0</v>
      </c>
      <c r="L358" s="5">
        <f>SUMIFS(SalesDetail[Quantity (KG)],SalesDetail[Customer],$A358,SalesDetail[Year],2019)</f>
        <v>0</v>
      </c>
      <c r="M358" s="5">
        <f>SUMIFS(SalesDetail[Quantity (KG)],SalesDetail[Customer],$A358,SalesDetail[Year],2020)</f>
        <v>51</v>
      </c>
      <c r="N358" s="5">
        <f>SUMIFS(SalesDetail[Quantity (KG)],SalesDetail[Customer],$A358,SalesDetail[Year],2021)</f>
        <v>0</v>
      </c>
      <c r="O358" s="6">
        <f>SUM(B358:N358)</f>
        <v>51</v>
      </c>
    </row>
    <row r="359" spans="1:15" x14ac:dyDescent="0.3">
      <c r="A359" t="s">
        <v>8</v>
      </c>
      <c r="B359" s="5">
        <f>SUMIFS(SalesDetail[Quantity (KG)],SalesDetail[Customer],$A359,SalesDetail[Year],2009)</f>
        <v>0</v>
      </c>
      <c r="C359" s="5">
        <f>SUMIFS(SalesDetail[Quantity (KG)],SalesDetail[Customer],$A359,SalesDetail[Year],2010)</f>
        <v>0</v>
      </c>
      <c r="D359" s="5">
        <f>SUMIFS(SalesDetail[Quantity (KG)],SalesDetail[Customer],$A359,SalesDetail[Year],2011)</f>
        <v>0</v>
      </c>
      <c r="E359" s="5">
        <f>SUMIFS(SalesDetail[Quantity (KG)],SalesDetail[Customer],$A359,SalesDetail[Year],2012)</f>
        <v>0</v>
      </c>
      <c r="F359" s="5">
        <f>SUMIFS(SalesDetail[Quantity (KG)],SalesDetail[Customer],$A359,SalesDetail[Year],2013)</f>
        <v>0</v>
      </c>
      <c r="G359" s="5">
        <f>SUMIFS(SalesDetail[Quantity (KG)],SalesDetail[Customer],$A359,SalesDetail[Year],2014)</f>
        <v>0</v>
      </c>
      <c r="H359" s="5">
        <f>SUMIFS(SalesDetail[Quantity (KG)],SalesDetail[Customer],$A359,SalesDetail[Year],2015)</f>
        <v>0</v>
      </c>
      <c r="I359" s="5">
        <f>SUMIFS(SalesDetail[Quantity (KG)],SalesDetail[Customer],$A359,SalesDetail[Year],2016)</f>
        <v>0</v>
      </c>
      <c r="J359" s="5">
        <f>SUMIFS(SalesDetail[Quantity (KG)],SalesDetail[Customer],$A359,SalesDetail[Year],2017)</f>
        <v>0</v>
      </c>
      <c r="K359" s="5">
        <f>SUMIFS(SalesDetail[Quantity (KG)],SalesDetail[Customer],$A359,SalesDetail[Year],2018)</f>
        <v>0</v>
      </c>
      <c r="L359" s="5">
        <f>SUMIFS(SalesDetail[Quantity (KG)],SalesDetail[Customer],$A359,SalesDetail[Year],2019)</f>
        <v>0</v>
      </c>
      <c r="M359" s="5">
        <f>SUMIFS(SalesDetail[Quantity (KG)],SalesDetail[Customer],$A359,SalesDetail[Year],2020)</f>
        <v>0</v>
      </c>
      <c r="N359" s="5">
        <f>SUMIFS(SalesDetail[Quantity (KG)],SalesDetail[Customer],$A359,SalesDetail[Year],2021)</f>
        <v>50</v>
      </c>
      <c r="O359" s="6">
        <f>SUM(B359:N359)</f>
        <v>50</v>
      </c>
    </row>
    <row r="360" spans="1:15" x14ac:dyDescent="0.3">
      <c r="A360" t="s">
        <v>564</v>
      </c>
      <c r="B360" s="5">
        <f>SUMIFS(SalesDetail[Quantity (KG)],SalesDetail[Customer],$A360,SalesDetail[Year],2009)</f>
        <v>0</v>
      </c>
      <c r="C360" s="5">
        <f>SUMIFS(SalesDetail[Quantity (KG)],SalesDetail[Customer],$A360,SalesDetail[Year],2010)</f>
        <v>0</v>
      </c>
      <c r="D360" s="5">
        <f>SUMIFS(SalesDetail[Quantity (KG)],SalesDetail[Customer],$A360,SalesDetail[Year],2011)</f>
        <v>0</v>
      </c>
      <c r="E360" s="5">
        <f>SUMIFS(SalesDetail[Quantity (KG)],SalesDetail[Customer],$A360,SalesDetail[Year],2012)</f>
        <v>0</v>
      </c>
      <c r="F360" s="5">
        <f>SUMIFS(SalesDetail[Quantity (KG)],SalesDetail[Customer],$A360,SalesDetail[Year],2013)</f>
        <v>50</v>
      </c>
      <c r="G360" s="5">
        <f>SUMIFS(SalesDetail[Quantity (KG)],SalesDetail[Customer],$A360,SalesDetail[Year],2014)</f>
        <v>0</v>
      </c>
      <c r="H360" s="5">
        <f>SUMIFS(SalesDetail[Quantity (KG)],SalesDetail[Customer],$A360,SalesDetail[Year],2015)</f>
        <v>0</v>
      </c>
      <c r="I360" s="5">
        <f>SUMIFS(SalesDetail[Quantity (KG)],SalesDetail[Customer],$A360,SalesDetail[Year],2016)</f>
        <v>0</v>
      </c>
      <c r="J360" s="5">
        <f>SUMIFS(SalesDetail[Quantity (KG)],SalesDetail[Customer],$A360,SalesDetail[Year],2017)</f>
        <v>0</v>
      </c>
      <c r="K360" s="5">
        <f>SUMIFS(SalesDetail[Quantity (KG)],SalesDetail[Customer],$A360,SalesDetail[Year],2018)</f>
        <v>0</v>
      </c>
      <c r="L360" s="5">
        <f>SUMIFS(SalesDetail[Quantity (KG)],SalesDetail[Customer],$A360,SalesDetail[Year],2019)</f>
        <v>0</v>
      </c>
      <c r="M360" s="5">
        <f>SUMIFS(SalesDetail[Quantity (KG)],SalesDetail[Customer],$A360,SalesDetail[Year],2020)</f>
        <v>0</v>
      </c>
      <c r="N360" s="5">
        <f>SUMIFS(SalesDetail[Quantity (KG)],SalesDetail[Customer],$A360,SalesDetail[Year],2021)</f>
        <v>0</v>
      </c>
      <c r="O360" s="6">
        <f>SUM(B360:N360)</f>
        <v>50</v>
      </c>
    </row>
    <row r="361" spans="1:15" x14ac:dyDescent="0.3">
      <c r="A361" t="s">
        <v>1355</v>
      </c>
      <c r="B361" s="5">
        <f>SUMIFS(SalesDetail[Quantity (KG)],SalesDetail[Customer],$A361,SalesDetail[Year],2009)</f>
        <v>0</v>
      </c>
      <c r="C361" s="5">
        <f>SUMIFS(SalesDetail[Quantity (KG)],SalesDetail[Customer],$A361,SalesDetail[Year],2010)</f>
        <v>0</v>
      </c>
      <c r="D361" s="5">
        <f>SUMIFS(SalesDetail[Quantity (KG)],SalesDetail[Customer],$A361,SalesDetail[Year],2011)</f>
        <v>0</v>
      </c>
      <c r="E361" s="5">
        <f>SUMIFS(SalesDetail[Quantity (KG)],SalesDetail[Customer],$A361,SalesDetail[Year],2012)</f>
        <v>0</v>
      </c>
      <c r="F361" s="5">
        <f>SUMIFS(SalesDetail[Quantity (KG)],SalesDetail[Customer],$A361,SalesDetail[Year],2013)</f>
        <v>0</v>
      </c>
      <c r="G361" s="5">
        <f>SUMIFS(SalesDetail[Quantity (KG)],SalesDetail[Customer],$A361,SalesDetail[Year],2014)</f>
        <v>0</v>
      </c>
      <c r="H361" s="5">
        <f>SUMIFS(SalesDetail[Quantity (KG)],SalesDetail[Customer],$A361,SalesDetail[Year],2015)</f>
        <v>0</v>
      </c>
      <c r="I361" s="5">
        <f>SUMIFS(SalesDetail[Quantity (KG)],SalesDetail[Customer],$A361,SalesDetail[Year],2016)</f>
        <v>0</v>
      </c>
      <c r="J361" s="5">
        <f>SUMIFS(SalesDetail[Quantity (KG)],SalesDetail[Customer],$A361,SalesDetail[Year],2017)</f>
        <v>0</v>
      </c>
      <c r="K361" s="5">
        <f>SUMIFS(SalesDetail[Quantity (KG)],SalesDetail[Customer],$A361,SalesDetail[Year],2018)</f>
        <v>0</v>
      </c>
      <c r="L361" s="5">
        <f>SUMIFS(SalesDetail[Quantity (KG)],SalesDetail[Customer],$A361,SalesDetail[Year],2019)</f>
        <v>0</v>
      </c>
      <c r="M361" s="5">
        <f>SUMIFS(SalesDetail[Quantity (KG)],SalesDetail[Customer],$A361,SalesDetail[Year],2020)</f>
        <v>30</v>
      </c>
      <c r="N361" s="5">
        <f>SUMIFS(SalesDetail[Quantity (KG)],SalesDetail[Customer],$A361,SalesDetail[Year],2021)</f>
        <v>20</v>
      </c>
      <c r="O361" s="6">
        <f>SUM(B361:N361)</f>
        <v>50</v>
      </c>
    </row>
    <row r="362" spans="1:15" x14ac:dyDescent="0.3">
      <c r="A362" t="s">
        <v>1398</v>
      </c>
      <c r="B362" s="5">
        <f>SUMIFS(SalesDetail[Quantity (KG)],SalesDetail[Customer],$A362,SalesDetail[Year],2009)</f>
        <v>0</v>
      </c>
      <c r="C362" s="5">
        <f>SUMIFS(SalesDetail[Quantity (KG)],SalesDetail[Customer],$A362,SalesDetail[Year],2010)</f>
        <v>0</v>
      </c>
      <c r="D362" s="5">
        <f>SUMIFS(SalesDetail[Quantity (KG)],SalesDetail[Customer],$A362,SalesDetail[Year],2011)</f>
        <v>0</v>
      </c>
      <c r="E362" s="5">
        <f>SUMIFS(SalesDetail[Quantity (KG)],SalesDetail[Customer],$A362,SalesDetail[Year],2012)</f>
        <v>0</v>
      </c>
      <c r="F362" s="5">
        <f>SUMIFS(SalesDetail[Quantity (KG)],SalesDetail[Customer],$A362,SalesDetail[Year],2013)</f>
        <v>0</v>
      </c>
      <c r="G362" s="5">
        <f>SUMIFS(SalesDetail[Quantity (KG)],SalesDetail[Customer],$A362,SalesDetail[Year],2014)</f>
        <v>0</v>
      </c>
      <c r="H362" s="5">
        <f>SUMIFS(SalesDetail[Quantity (KG)],SalesDetail[Customer],$A362,SalesDetail[Year],2015)</f>
        <v>0</v>
      </c>
      <c r="I362" s="5">
        <f>SUMIFS(SalesDetail[Quantity (KG)],SalesDetail[Customer],$A362,SalesDetail[Year],2016)</f>
        <v>0</v>
      </c>
      <c r="J362" s="5">
        <f>SUMIFS(SalesDetail[Quantity (KG)],SalesDetail[Customer],$A362,SalesDetail[Year],2017)</f>
        <v>0</v>
      </c>
      <c r="K362" s="5">
        <f>SUMIFS(SalesDetail[Quantity (KG)],SalesDetail[Customer],$A362,SalesDetail[Year],2018)</f>
        <v>0</v>
      </c>
      <c r="L362" s="5">
        <f>SUMIFS(SalesDetail[Quantity (KG)],SalesDetail[Customer],$A362,SalesDetail[Year],2019)</f>
        <v>0</v>
      </c>
      <c r="M362" s="5">
        <f>SUMIFS(SalesDetail[Quantity (KG)],SalesDetail[Customer],$A362,SalesDetail[Year],2020)</f>
        <v>0</v>
      </c>
      <c r="N362" s="5">
        <f>SUMIFS(SalesDetail[Quantity (KG)],SalesDetail[Customer],$A362,SalesDetail[Year],2021)</f>
        <v>50</v>
      </c>
      <c r="O362" s="6">
        <f>SUM(B362:N362)</f>
        <v>50</v>
      </c>
    </row>
    <row r="363" spans="1:15" x14ac:dyDescent="0.3">
      <c r="A363" t="s">
        <v>1402</v>
      </c>
      <c r="B363" s="5">
        <f>SUMIFS(SalesDetail[Quantity (KG)],SalesDetail[Customer],$A363,SalesDetail[Year],2009)</f>
        <v>0</v>
      </c>
      <c r="C363" s="5">
        <f>SUMIFS(SalesDetail[Quantity (KG)],SalesDetail[Customer],$A363,SalesDetail[Year],2010)</f>
        <v>0</v>
      </c>
      <c r="D363" s="5">
        <f>SUMIFS(SalesDetail[Quantity (KG)],SalesDetail[Customer],$A363,SalesDetail[Year],2011)</f>
        <v>0</v>
      </c>
      <c r="E363" s="5">
        <f>SUMIFS(SalesDetail[Quantity (KG)],SalesDetail[Customer],$A363,SalesDetail[Year],2012)</f>
        <v>0</v>
      </c>
      <c r="F363" s="5">
        <f>SUMIFS(SalesDetail[Quantity (KG)],SalesDetail[Customer],$A363,SalesDetail[Year],2013)</f>
        <v>0</v>
      </c>
      <c r="G363" s="5">
        <f>SUMIFS(SalesDetail[Quantity (KG)],SalesDetail[Customer],$A363,SalesDetail[Year],2014)</f>
        <v>0</v>
      </c>
      <c r="H363" s="5">
        <f>SUMIFS(SalesDetail[Quantity (KG)],SalesDetail[Customer],$A363,SalesDetail[Year],2015)</f>
        <v>0</v>
      </c>
      <c r="I363" s="5">
        <f>SUMIFS(SalesDetail[Quantity (KG)],SalesDetail[Customer],$A363,SalesDetail[Year],2016)</f>
        <v>0</v>
      </c>
      <c r="J363" s="5">
        <f>SUMIFS(SalesDetail[Quantity (KG)],SalesDetail[Customer],$A363,SalesDetail[Year],2017)</f>
        <v>0</v>
      </c>
      <c r="K363" s="5">
        <f>SUMIFS(SalesDetail[Quantity (KG)],SalesDetail[Customer],$A363,SalesDetail[Year],2018)</f>
        <v>0</v>
      </c>
      <c r="L363" s="5">
        <f>SUMIFS(SalesDetail[Quantity (KG)],SalesDetail[Customer],$A363,SalesDetail[Year],2019)</f>
        <v>50</v>
      </c>
      <c r="M363" s="5">
        <f>SUMIFS(SalesDetail[Quantity (KG)],SalesDetail[Customer],$A363,SalesDetail[Year],2020)</f>
        <v>0</v>
      </c>
      <c r="N363" s="5">
        <f>SUMIFS(SalesDetail[Quantity (KG)],SalesDetail[Customer],$A363,SalesDetail[Year],2021)</f>
        <v>0</v>
      </c>
      <c r="O363" s="6">
        <f>SUM(B363:N363)</f>
        <v>50</v>
      </c>
    </row>
    <row r="364" spans="1:15" x14ac:dyDescent="0.3">
      <c r="A364" t="s">
        <v>1640</v>
      </c>
      <c r="B364" s="5">
        <f>SUMIFS(SalesDetail[Quantity (KG)],SalesDetail[Customer],$A364,SalesDetail[Year],2009)</f>
        <v>0</v>
      </c>
      <c r="C364" s="5">
        <f>SUMIFS(SalesDetail[Quantity (KG)],SalesDetail[Customer],$A364,SalesDetail[Year],2010)</f>
        <v>0</v>
      </c>
      <c r="D364" s="5">
        <f>SUMIFS(SalesDetail[Quantity (KG)],SalesDetail[Customer],$A364,SalesDetail[Year],2011)</f>
        <v>0</v>
      </c>
      <c r="E364" s="5">
        <f>SUMIFS(SalesDetail[Quantity (KG)],SalesDetail[Customer],$A364,SalesDetail[Year],2012)</f>
        <v>0</v>
      </c>
      <c r="F364" s="5">
        <f>SUMIFS(SalesDetail[Quantity (KG)],SalesDetail[Customer],$A364,SalesDetail[Year],2013)</f>
        <v>0</v>
      </c>
      <c r="G364" s="5">
        <f>SUMIFS(SalesDetail[Quantity (KG)],SalesDetail[Customer],$A364,SalesDetail[Year],2014)</f>
        <v>50</v>
      </c>
      <c r="H364" s="5">
        <f>SUMIFS(SalesDetail[Quantity (KG)],SalesDetail[Customer],$A364,SalesDetail[Year],2015)</f>
        <v>0</v>
      </c>
      <c r="I364" s="5">
        <f>SUMIFS(SalesDetail[Quantity (KG)],SalesDetail[Customer],$A364,SalesDetail[Year],2016)</f>
        <v>0</v>
      </c>
      <c r="J364" s="5">
        <f>SUMIFS(SalesDetail[Quantity (KG)],SalesDetail[Customer],$A364,SalesDetail[Year],2017)</f>
        <v>0</v>
      </c>
      <c r="K364" s="5">
        <f>SUMIFS(SalesDetail[Quantity (KG)],SalesDetail[Customer],$A364,SalesDetail[Year],2018)</f>
        <v>0</v>
      </c>
      <c r="L364" s="5">
        <f>SUMIFS(SalesDetail[Quantity (KG)],SalesDetail[Customer],$A364,SalesDetail[Year],2019)</f>
        <v>0</v>
      </c>
      <c r="M364" s="5">
        <f>SUMIFS(SalesDetail[Quantity (KG)],SalesDetail[Customer],$A364,SalesDetail[Year],2020)</f>
        <v>0</v>
      </c>
      <c r="N364" s="5">
        <f>SUMIFS(SalesDetail[Quantity (KG)],SalesDetail[Customer],$A364,SalesDetail[Year],2021)</f>
        <v>0</v>
      </c>
      <c r="O364" s="6">
        <f>SUM(B364:N364)</f>
        <v>50</v>
      </c>
    </row>
    <row r="365" spans="1:15" x14ac:dyDescent="0.3">
      <c r="A365" t="s">
        <v>1696</v>
      </c>
      <c r="B365" s="5">
        <f>SUMIFS(SalesDetail[Quantity (KG)],SalesDetail[Customer],$A365,SalesDetail[Year],2009)</f>
        <v>0</v>
      </c>
      <c r="C365" s="5">
        <f>SUMIFS(SalesDetail[Quantity (KG)],SalesDetail[Customer],$A365,SalesDetail[Year],2010)</f>
        <v>0</v>
      </c>
      <c r="D365" s="5">
        <f>SUMIFS(SalesDetail[Quantity (KG)],SalesDetail[Customer],$A365,SalesDetail[Year],2011)</f>
        <v>0</v>
      </c>
      <c r="E365" s="5">
        <f>SUMIFS(SalesDetail[Quantity (KG)],SalesDetail[Customer],$A365,SalesDetail[Year],2012)</f>
        <v>0</v>
      </c>
      <c r="F365" s="5">
        <f>SUMIFS(SalesDetail[Quantity (KG)],SalesDetail[Customer],$A365,SalesDetail[Year],2013)</f>
        <v>0</v>
      </c>
      <c r="G365" s="5">
        <f>SUMIFS(SalesDetail[Quantity (KG)],SalesDetail[Customer],$A365,SalesDetail[Year],2014)</f>
        <v>0</v>
      </c>
      <c r="H365" s="5">
        <f>SUMIFS(SalesDetail[Quantity (KG)],SalesDetail[Customer],$A365,SalesDetail[Year],2015)</f>
        <v>0</v>
      </c>
      <c r="I365" s="5">
        <f>SUMIFS(SalesDetail[Quantity (KG)],SalesDetail[Customer],$A365,SalesDetail[Year],2016)</f>
        <v>0</v>
      </c>
      <c r="J365" s="5">
        <f>SUMIFS(SalesDetail[Quantity (KG)],SalesDetail[Customer],$A365,SalesDetail[Year],2017)</f>
        <v>0</v>
      </c>
      <c r="K365" s="5">
        <f>SUMIFS(SalesDetail[Quantity (KG)],SalesDetail[Customer],$A365,SalesDetail[Year],2018)</f>
        <v>0</v>
      </c>
      <c r="L365" s="5">
        <f>SUMIFS(SalesDetail[Quantity (KG)],SalesDetail[Customer],$A365,SalesDetail[Year],2019)</f>
        <v>0</v>
      </c>
      <c r="M365" s="5">
        <f>SUMIFS(SalesDetail[Quantity (KG)],SalesDetail[Customer],$A365,SalesDetail[Year],2020)</f>
        <v>0</v>
      </c>
      <c r="N365" s="5">
        <f>SUMIFS(SalesDetail[Quantity (KG)],SalesDetail[Customer],$A365,SalesDetail[Year],2021)</f>
        <v>50</v>
      </c>
      <c r="O365" s="6">
        <f>SUM(B365:N365)</f>
        <v>50</v>
      </c>
    </row>
    <row r="366" spans="1:15" x14ac:dyDescent="0.3">
      <c r="A366" t="s">
        <v>1807</v>
      </c>
      <c r="B366" s="5">
        <f>SUMIFS(SalesDetail[Quantity (KG)],SalesDetail[Customer],$A366,SalesDetail[Year],2009)</f>
        <v>0</v>
      </c>
      <c r="C366" s="5">
        <f>SUMIFS(SalesDetail[Quantity (KG)],SalesDetail[Customer],$A366,SalesDetail[Year],2010)</f>
        <v>0</v>
      </c>
      <c r="D366" s="5">
        <f>SUMIFS(SalesDetail[Quantity (KG)],SalesDetail[Customer],$A366,SalesDetail[Year],2011)</f>
        <v>0</v>
      </c>
      <c r="E366" s="5">
        <f>SUMIFS(SalesDetail[Quantity (KG)],SalesDetail[Customer],$A366,SalesDetail[Year],2012)</f>
        <v>0</v>
      </c>
      <c r="F366" s="5">
        <f>SUMIFS(SalesDetail[Quantity (KG)],SalesDetail[Customer],$A366,SalesDetail[Year],2013)</f>
        <v>0</v>
      </c>
      <c r="G366" s="5">
        <f>SUMIFS(SalesDetail[Quantity (KG)],SalesDetail[Customer],$A366,SalesDetail[Year],2014)</f>
        <v>0</v>
      </c>
      <c r="H366" s="5">
        <f>SUMIFS(SalesDetail[Quantity (KG)],SalesDetail[Customer],$A366,SalesDetail[Year],2015)</f>
        <v>0</v>
      </c>
      <c r="I366" s="5">
        <f>SUMIFS(SalesDetail[Quantity (KG)],SalesDetail[Customer],$A366,SalesDetail[Year],2016)</f>
        <v>0</v>
      </c>
      <c r="J366" s="5">
        <f>SUMIFS(SalesDetail[Quantity (KG)],SalesDetail[Customer],$A366,SalesDetail[Year],2017)</f>
        <v>50</v>
      </c>
      <c r="K366" s="5">
        <f>SUMIFS(SalesDetail[Quantity (KG)],SalesDetail[Customer],$A366,SalesDetail[Year],2018)</f>
        <v>0</v>
      </c>
      <c r="L366" s="5">
        <f>SUMIFS(SalesDetail[Quantity (KG)],SalesDetail[Customer],$A366,SalesDetail[Year],2019)</f>
        <v>0</v>
      </c>
      <c r="M366" s="5">
        <f>SUMIFS(SalesDetail[Quantity (KG)],SalesDetail[Customer],$A366,SalesDetail[Year],2020)</f>
        <v>0</v>
      </c>
      <c r="N366" s="5">
        <f>SUMIFS(SalesDetail[Quantity (KG)],SalesDetail[Customer],$A366,SalesDetail[Year],2021)</f>
        <v>0</v>
      </c>
      <c r="O366" s="6">
        <f>SUM(B366:N366)</f>
        <v>50</v>
      </c>
    </row>
    <row r="367" spans="1:15" x14ac:dyDescent="0.3">
      <c r="A367" t="s">
        <v>1845</v>
      </c>
      <c r="B367" s="5">
        <f>SUMIFS(SalesDetail[Quantity (KG)],SalesDetail[Customer],$A367,SalesDetail[Year],2009)</f>
        <v>0</v>
      </c>
      <c r="C367" s="5">
        <f>SUMIFS(SalesDetail[Quantity (KG)],SalesDetail[Customer],$A367,SalesDetail[Year],2010)</f>
        <v>0</v>
      </c>
      <c r="D367" s="5">
        <f>SUMIFS(SalesDetail[Quantity (KG)],SalesDetail[Customer],$A367,SalesDetail[Year],2011)</f>
        <v>0</v>
      </c>
      <c r="E367" s="5">
        <f>SUMIFS(SalesDetail[Quantity (KG)],SalesDetail[Customer],$A367,SalesDetail[Year],2012)</f>
        <v>0</v>
      </c>
      <c r="F367" s="5">
        <f>SUMIFS(SalesDetail[Quantity (KG)],SalesDetail[Customer],$A367,SalesDetail[Year],2013)</f>
        <v>0</v>
      </c>
      <c r="G367" s="5">
        <f>SUMIFS(SalesDetail[Quantity (KG)],SalesDetail[Customer],$A367,SalesDetail[Year],2014)</f>
        <v>0</v>
      </c>
      <c r="H367" s="5">
        <f>SUMIFS(SalesDetail[Quantity (KG)],SalesDetail[Customer],$A367,SalesDetail[Year],2015)</f>
        <v>50</v>
      </c>
      <c r="I367" s="5">
        <f>SUMIFS(SalesDetail[Quantity (KG)],SalesDetail[Customer],$A367,SalesDetail[Year],2016)</f>
        <v>0</v>
      </c>
      <c r="J367" s="5">
        <f>SUMIFS(SalesDetail[Quantity (KG)],SalesDetail[Customer],$A367,SalesDetail[Year],2017)</f>
        <v>0</v>
      </c>
      <c r="K367" s="5">
        <f>SUMIFS(SalesDetail[Quantity (KG)],SalesDetail[Customer],$A367,SalesDetail[Year],2018)</f>
        <v>0</v>
      </c>
      <c r="L367" s="5">
        <f>SUMIFS(SalesDetail[Quantity (KG)],SalesDetail[Customer],$A367,SalesDetail[Year],2019)</f>
        <v>0</v>
      </c>
      <c r="M367" s="5">
        <f>SUMIFS(SalesDetail[Quantity (KG)],SalesDetail[Customer],$A367,SalesDetail[Year],2020)</f>
        <v>0</v>
      </c>
      <c r="N367" s="5">
        <f>SUMIFS(SalesDetail[Quantity (KG)],SalesDetail[Customer],$A367,SalesDetail[Year],2021)</f>
        <v>0</v>
      </c>
      <c r="O367" s="6">
        <f>SUM(B367:N367)</f>
        <v>50</v>
      </c>
    </row>
    <row r="368" spans="1:15" x14ac:dyDescent="0.3">
      <c r="A368" t="s">
        <v>1919</v>
      </c>
      <c r="B368" s="5">
        <f>SUMIFS(SalesDetail[Quantity (KG)],SalesDetail[Customer],$A368,SalesDetail[Year],2009)</f>
        <v>0</v>
      </c>
      <c r="C368" s="5">
        <f>SUMIFS(SalesDetail[Quantity (KG)],SalesDetail[Customer],$A368,SalesDetail[Year],2010)</f>
        <v>0</v>
      </c>
      <c r="D368" s="5">
        <f>SUMIFS(SalesDetail[Quantity (KG)],SalesDetail[Customer],$A368,SalesDetail[Year],2011)</f>
        <v>0</v>
      </c>
      <c r="E368" s="5">
        <f>SUMIFS(SalesDetail[Quantity (KG)],SalesDetail[Customer],$A368,SalesDetail[Year],2012)</f>
        <v>0</v>
      </c>
      <c r="F368" s="5">
        <f>SUMIFS(SalesDetail[Quantity (KG)],SalesDetail[Customer],$A368,SalesDetail[Year],2013)</f>
        <v>0</v>
      </c>
      <c r="G368" s="5">
        <f>SUMIFS(SalesDetail[Quantity (KG)],SalesDetail[Customer],$A368,SalesDetail[Year],2014)</f>
        <v>0</v>
      </c>
      <c r="H368" s="5">
        <f>SUMIFS(SalesDetail[Quantity (KG)],SalesDetail[Customer],$A368,SalesDetail[Year],2015)</f>
        <v>0</v>
      </c>
      <c r="I368" s="5">
        <f>SUMIFS(SalesDetail[Quantity (KG)],SalesDetail[Customer],$A368,SalesDetail[Year],2016)</f>
        <v>0</v>
      </c>
      <c r="J368" s="5">
        <f>SUMIFS(SalesDetail[Quantity (KG)],SalesDetail[Customer],$A368,SalesDetail[Year],2017)</f>
        <v>0</v>
      </c>
      <c r="K368" s="5">
        <f>SUMIFS(SalesDetail[Quantity (KG)],SalesDetail[Customer],$A368,SalesDetail[Year],2018)</f>
        <v>0</v>
      </c>
      <c r="L368" s="5">
        <f>SUMIFS(SalesDetail[Quantity (KG)],SalesDetail[Customer],$A368,SalesDetail[Year],2019)</f>
        <v>50</v>
      </c>
      <c r="M368" s="5">
        <f>SUMIFS(SalesDetail[Quantity (KG)],SalesDetail[Customer],$A368,SalesDetail[Year],2020)</f>
        <v>0</v>
      </c>
      <c r="N368" s="5">
        <f>SUMIFS(SalesDetail[Quantity (KG)],SalesDetail[Customer],$A368,SalesDetail[Year],2021)</f>
        <v>0</v>
      </c>
      <c r="O368" s="6">
        <f>SUM(B368:N368)</f>
        <v>50</v>
      </c>
    </row>
    <row r="369" spans="1:15" x14ac:dyDescent="0.3">
      <c r="A369" t="s">
        <v>1956</v>
      </c>
      <c r="B369" s="5">
        <f>SUMIFS(SalesDetail[Quantity (KG)],SalesDetail[Customer],$A369,SalesDetail[Year],2009)</f>
        <v>0</v>
      </c>
      <c r="C369" s="5">
        <f>SUMIFS(SalesDetail[Quantity (KG)],SalesDetail[Customer],$A369,SalesDetail[Year],2010)</f>
        <v>0</v>
      </c>
      <c r="D369" s="5">
        <f>SUMIFS(SalesDetail[Quantity (KG)],SalesDetail[Customer],$A369,SalesDetail[Year],2011)</f>
        <v>0</v>
      </c>
      <c r="E369" s="5">
        <f>SUMIFS(SalesDetail[Quantity (KG)],SalesDetail[Customer],$A369,SalesDetail[Year],2012)</f>
        <v>0</v>
      </c>
      <c r="F369" s="5">
        <f>SUMIFS(SalesDetail[Quantity (KG)],SalesDetail[Customer],$A369,SalesDetail[Year],2013)</f>
        <v>0</v>
      </c>
      <c r="G369" s="5">
        <f>SUMIFS(SalesDetail[Quantity (KG)],SalesDetail[Customer],$A369,SalesDetail[Year],2014)</f>
        <v>0</v>
      </c>
      <c r="H369" s="5">
        <f>SUMIFS(SalesDetail[Quantity (KG)],SalesDetail[Customer],$A369,SalesDetail[Year],2015)</f>
        <v>0</v>
      </c>
      <c r="I369" s="5">
        <f>SUMIFS(SalesDetail[Quantity (KG)],SalesDetail[Customer],$A369,SalesDetail[Year],2016)</f>
        <v>0</v>
      </c>
      <c r="J369" s="5">
        <f>SUMIFS(SalesDetail[Quantity (KG)],SalesDetail[Customer],$A369,SalesDetail[Year],2017)</f>
        <v>0</v>
      </c>
      <c r="K369" s="5">
        <f>SUMIFS(SalesDetail[Quantity (KG)],SalesDetail[Customer],$A369,SalesDetail[Year],2018)</f>
        <v>0</v>
      </c>
      <c r="L369" s="5">
        <f>SUMIFS(SalesDetail[Quantity (KG)],SalesDetail[Customer],$A369,SalesDetail[Year],2019)</f>
        <v>0</v>
      </c>
      <c r="M369" s="5">
        <f>SUMIFS(SalesDetail[Quantity (KG)],SalesDetail[Customer],$A369,SalesDetail[Year],2020)</f>
        <v>0</v>
      </c>
      <c r="N369" s="5">
        <f>SUMIFS(SalesDetail[Quantity (KG)],SalesDetail[Customer],$A369,SalesDetail[Year],2021)</f>
        <v>50</v>
      </c>
      <c r="O369" s="6">
        <f>SUM(B369:N369)</f>
        <v>50</v>
      </c>
    </row>
    <row r="370" spans="1:15" x14ac:dyDescent="0.3">
      <c r="A370" t="s">
        <v>2159</v>
      </c>
      <c r="B370" s="5">
        <f>SUMIFS(SalesDetail[Quantity (KG)],SalesDetail[Customer],$A370,SalesDetail[Year],2009)</f>
        <v>0</v>
      </c>
      <c r="C370" s="5">
        <f>SUMIFS(SalesDetail[Quantity (KG)],SalesDetail[Customer],$A370,SalesDetail[Year],2010)</f>
        <v>0</v>
      </c>
      <c r="D370" s="5">
        <f>SUMIFS(SalesDetail[Quantity (KG)],SalesDetail[Customer],$A370,SalesDetail[Year],2011)</f>
        <v>0</v>
      </c>
      <c r="E370" s="5">
        <f>SUMIFS(SalesDetail[Quantity (KG)],SalesDetail[Customer],$A370,SalesDetail[Year],2012)</f>
        <v>0</v>
      </c>
      <c r="F370" s="5">
        <f>SUMIFS(SalesDetail[Quantity (KG)],SalesDetail[Customer],$A370,SalesDetail[Year],2013)</f>
        <v>0</v>
      </c>
      <c r="G370" s="5">
        <f>SUMIFS(SalesDetail[Quantity (KG)],SalesDetail[Customer],$A370,SalesDetail[Year],2014)</f>
        <v>0</v>
      </c>
      <c r="H370" s="5">
        <f>SUMIFS(SalesDetail[Quantity (KG)],SalesDetail[Customer],$A370,SalesDetail[Year],2015)</f>
        <v>0</v>
      </c>
      <c r="I370" s="5">
        <f>SUMIFS(SalesDetail[Quantity (KG)],SalesDetail[Customer],$A370,SalesDetail[Year],2016)</f>
        <v>0</v>
      </c>
      <c r="J370" s="5">
        <f>SUMIFS(SalesDetail[Quantity (KG)],SalesDetail[Customer],$A370,SalesDetail[Year],2017)</f>
        <v>0</v>
      </c>
      <c r="K370" s="5">
        <f>SUMIFS(SalesDetail[Quantity (KG)],SalesDetail[Customer],$A370,SalesDetail[Year],2018)</f>
        <v>0</v>
      </c>
      <c r="L370" s="5">
        <f>SUMIFS(SalesDetail[Quantity (KG)],SalesDetail[Customer],$A370,SalesDetail[Year],2019)</f>
        <v>0</v>
      </c>
      <c r="M370" s="5">
        <f>SUMIFS(SalesDetail[Quantity (KG)],SalesDetail[Customer],$A370,SalesDetail[Year],2020)</f>
        <v>0</v>
      </c>
      <c r="N370" s="5">
        <f>SUMIFS(SalesDetail[Quantity (KG)],SalesDetail[Customer],$A370,SalesDetail[Year],2021)</f>
        <v>50</v>
      </c>
      <c r="O370" s="6">
        <f>SUM(B370:N370)</f>
        <v>50</v>
      </c>
    </row>
    <row r="371" spans="1:15" x14ac:dyDescent="0.3">
      <c r="A371" t="s">
        <v>2175</v>
      </c>
      <c r="B371" s="5">
        <f>SUMIFS(SalesDetail[Quantity (KG)],SalesDetail[Customer],$A371,SalesDetail[Year],2009)</f>
        <v>0</v>
      </c>
      <c r="C371" s="5">
        <f>SUMIFS(SalesDetail[Quantity (KG)],SalesDetail[Customer],$A371,SalesDetail[Year],2010)</f>
        <v>0</v>
      </c>
      <c r="D371" s="5">
        <f>SUMIFS(SalesDetail[Quantity (KG)],SalesDetail[Customer],$A371,SalesDetail[Year],2011)</f>
        <v>0</v>
      </c>
      <c r="E371" s="5">
        <f>SUMIFS(SalesDetail[Quantity (KG)],SalesDetail[Customer],$A371,SalesDetail[Year],2012)</f>
        <v>0</v>
      </c>
      <c r="F371" s="5">
        <f>SUMIFS(SalesDetail[Quantity (KG)],SalesDetail[Customer],$A371,SalesDetail[Year],2013)</f>
        <v>0</v>
      </c>
      <c r="G371" s="5">
        <f>SUMIFS(SalesDetail[Quantity (KG)],SalesDetail[Customer],$A371,SalesDetail[Year],2014)</f>
        <v>0</v>
      </c>
      <c r="H371" s="5">
        <f>SUMIFS(SalesDetail[Quantity (KG)],SalesDetail[Customer],$A371,SalesDetail[Year],2015)</f>
        <v>50</v>
      </c>
      <c r="I371" s="5">
        <f>SUMIFS(SalesDetail[Quantity (KG)],SalesDetail[Customer],$A371,SalesDetail[Year],2016)</f>
        <v>0</v>
      </c>
      <c r="J371" s="5">
        <f>SUMIFS(SalesDetail[Quantity (KG)],SalesDetail[Customer],$A371,SalesDetail[Year],2017)</f>
        <v>0</v>
      </c>
      <c r="K371" s="5">
        <f>SUMIFS(SalesDetail[Quantity (KG)],SalesDetail[Customer],$A371,SalesDetail[Year],2018)</f>
        <v>0</v>
      </c>
      <c r="L371" s="5">
        <f>SUMIFS(SalesDetail[Quantity (KG)],SalesDetail[Customer],$A371,SalesDetail[Year],2019)</f>
        <v>0</v>
      </c>
      <c r="M371" s="5">
        <f>SUMIFS(SalesDetail[Quantity (KG)],SalesDetail[Customer],$A371,SalesDetail[Year],2020)</f>
        <v>0</v>
      </c>
      <c r="N371" s="5">
        <f>SUMIFS(SalesDetail[Quantity (KG)],SalesDetail[Customer],$A371,SalesDetail[Year],2021)</f>
        <v>0</v>
      </c>
      <c r="O371" s="6">
        <f>SUM(B371:N371)</f>
        <v>50</v>
      </c>
    </row>
    <row r="372" spans="1:15" x14ac:dyDescent="0.3">
      <c r="A372" t="s">
        <v>2218</v>
      </c>
      <c r="B372" s="5">
        <f>SUMIFS(SalesDetail[Quantity (KG)],SalesDetail[Customer],$A372,SalesDetail[Year],2009)</f>
        <v>0</v>
      </c>
      <c r="C372" s="5">
        <f>SUMIFS(SalesDetail[Quantity (KG)],SalesDetail[Customer],$A372,SalesDetail[Year],2010)</f>
        <v>0</v>
      </c>
      <c r="D372" s="5">
        <f>SUMIFS(SalesDetail[Quantity (KG)],SalesDetail[Customer],$A372,SalesDetail[Year],2011)</f>
        <v>30</v>
      </c>
      <c r="E372" s="5">
        <f>SUMIFS(SalesDetail[Quantity (KG)],SalesDetail[Customer],$A372,SalesDetail[Year],2012)</f>
        <v>10</v>
      </c>
      <c r="F372" s="5">
        <f>SUMIFS(SalesDetail[Quantity (KG)],SalesDetail[Customer],$A372,SalesDetail[Year],2013)</f>
        <v>10</v>
      </c>
      <c r="G372" s="5">
        <f>SUMIFS(SalesDetail[Quantity (KG)],SalesDetail[Customer],$A372,SalesDetail[Year],2014)</f>
        <v>0</v>
      </c>
      <c r="H372" s="5">
        <f>SUMIFS(SalesDetail[Quantity (KG)],SalesDetail[Customer],$A372,SalesDetail[Year],2015)</f>
        <v>0</v>
      </c>
      <c r="I372" s="5">
        <f>SUMIFS(SalesDetail[Quantity (KG)],SalesDetail[Customer],$A372,SalesDetail[Year],2016)</f>
        <v>0</v>
      </c>
      <c r="J372" s="5">
        <f>SUMIFS(SalesDetail[Quantity (KG)],SalesDetail[Customer],$A372,SalesDetail[Year],2017)</f>
        <v>0</v>
      </c>
      <c r="K372" s="5">
        <f>SUMIFS(SalesDetail[Quantity (KG)],SalesDetail[Customer],$A372,SalesDetail[Year],2018)</f>
        <v>0</v>
      </c>
      <c r="L372" s="5">
        <f>SUMIFS(SalesDetail[Quantity (KG)],SalesDetail[Customer],$A372,SalesDetail[Year],2019)</f>
        <v>0</v>
      </c>
      <c r="M372" s="5">
        <f>SUMIFS(SalesDetail[Quantity (KG)],SalesDetail[Customer],$A372,SalesDetail[Year],2020)</f>
        <v>0</v>
      </c>
      <c r="N372" s="5">
        <f>SUMIFS(SalesDetail[Quantity (KG)],SalesDetail[Customer],$A372,SalesDetail[Year],2021)</f>
        <v>0</v>
      </c>
      <c r="O372" s="6">
        <f>SUM(B372:N372)</f>
        <v>50</v>
      </c>
    </row>
    <row r="373" spans="1:15" x14ac:dyDescent="0.3">
      <c r="A373" t="s">
        <v>2555</v>
      </c>
      <c r="B373" s="5">
        <f>SUMIFS(SalesDetail[Quantity (KG)],SalesDetail[Customer],$A373,SalesDetail[Year],2009)</f>
        <v>0</v>
      </c>
      <c r="C373" s="5">
        <f>SUMIFS(SalesDetail[Quantity (KG)],SalesDetail[Customer],$A373,SalesDetail[Year],2010)</f>
        <v>0</v>
      </c>
      <c r="D373" s="5">
        <f>SUMIFS(SalesDetail[Quantity (KG)],SalesDetail[Customer],$A373,SalesDetail[Year],2011)</f>
        <v>0</v>
      </c>
      <c r="E373" s="5">
        <f>SUMIFS(SalesDetail[Quantity (KG)],SalesDetail[Customer],$A373,SalesDetail[Year],2012)</f>
        <v>0</v>
      </c>
      <c r="F373" s="5">
        <f>SUMIFS(SalesDetail[Quantity (KG)],SalesDetail[Customer],$A373,SalesDetail[Year],2013)</f>
        <v>0</v>
      </c>
      <c r="G373" s="5">
        <f>SUMIFS(SalesDetail[Quantity (KG)],SalesDetail[Customer],$A373,SalesDetail[Year],2014)</f>
        <v>0</v>
      </c>
      <c r="H373" s="5">
        <f>SUMIFS(SalesDetail[Quantity (KG)],SalesDetail[Customer],$A373,SalesDetail[Year],2015)</f>
        <v>0</v>
      </c>
      <c r="I373" s="5">
        <f>SUMIFS(SalesDetail[Quantity (KG)],SalesDetail[Customer],$A373,SalesDetail[Year],2016)</f>
        <v>0</v>
      </c>
      <c r="J373" s="5">
        <f>SUMIFS(SalesDetail[Quantity (KG)],SalesDetail[Customer],$A373,SalesDetail[Year],2017)</f>
        <v>0</v>
      </c>
      <c r="K373" s="5">
        <f>SUMIFS(SalesDetail[Quantity (KG)],SalesDetail[Customer],$A373,SalesDetail[Year],2018)</f>
        <v>0</v>
      </c>
      <c r="L373" s="5">
        <f>SUMIFS(SalesDetail[Quantity (KG)],SalesDetail[Customer],$A373,SalesDetail[Year],2019)</f>
        <v>50</v>
      </c>
      <c r="M373" s="5">
        <f>SUMIFS(SalesDetail[Quantity (KG)],SalesDetail[Customer],$A373,SalesDetail[Year],2020)</f>
        <v>0</v>
      </c>
      <c r="N373" s="5">
        <f>SUMIFS(SalesDetail[Quantity (KG)],SalesDetail[Customer],$A373,SalesDetail[Year],2021)</f>
        <v>0</v>
      </c>
      <c r="O373" s="6">
        <f>SUM(B373:N373)</f>
        <v>50</v>
      </c>
    </row>
    <row r="374" spans="1:15" x14ac:dyDescent="0.3">
      <c r="A374" t="s">
        <v>2055</v>
      </c>
      <c r="B374" s="5">
        <f>SUMIFS(SalesDetail[Quantity (KG)],SalesDetail[Customer],$A374,SalesDetail[Year],2009)</f>
        <v>0</v>
      </c>
      <c r="C374" s="5">
        <f>SUMIFS(SalesDetail[Quantity (KG)],SalesDetail[Customer],$A374,SalesDetail[Year],2010)</f>
        <v>0</v>
      </c>
      <c r="D374" s="5">
        <f>SUMIFS(SalesDetail[Quantity (KG)],SalesDetail[Customer],$A374,SalesDetail[Year],2011)</f>
        <v>0</v>
      </c>
      <c r="E374" s="5">
        <f>SUMIFS(SalesDetail[Quantity (KG)],SalesDetail[Customer],$A374,SalesDetail[Year],2012)</f>
        <v>0</v>
      </c>
      <c r="F374" s="5">
        <f>SUMIFS(SalesDetail[Quantity (KG)],SalesDetail[Customer],$A374,SalesDetail[Year],2013)</f>
        <v>0</v>
      </c>
      <c r="G374" s="5">
        <f>SUMIFS(SalesDetail[Quantity (KG)],SalesDetail[Customer],$A374,SalesDetail[Year],2014)</f>
        <v>0</v>
      </c>
      <c r="H374" s="5">
        <f>SUMIFS(SalesDetail[Quantity (KG)],SalesDetail[Customer],$A374,SalesDetail[Year],2015)</f>
        <v>0</v>
      </c>
      <c r="I374" s="5">
        <f>SUMIFS(SalesDetail[Quantity (KG)],SalesDetail[Customer],$A374,SalesDetail[Year],2016)</f>
        <v>0</v>
      </c>
      <c r="J374" s="5">
        <f>SUMIFS(SalesDetail[Quantity (KG)],SalesDetail[Customer],$A374,SalesDetail[Year],2017)</f>
        <v>0</v>
      </c>
      <c r="K374" s="5">
        <f>SUMIFS(SalesDetail[Quantity (KG)],SalesDetail[Customer],$A374,SalesDetail[Year],2018)</f>
        <v>5</v>
      </c>
      <c r="L374" s="5">
        <f>SUMIFS(SalesDetail[Quantity (KG)],SalesDetail[Customer],$A374,SalesDetail[Year],2019)</f>
        <v>39</v>
      </c>
      <c r="M374" s="5">
        <f>SUMIFS(SalesDetail[Quantity (KG)],SalesDetail[Customer],$A374,SalesDetail[Year],2020)</f>
        <v>0</v>
      </c>
      <c r="N374" s="5">
        <f>SUMIFS(SalesDetail[Quantity (KG)],SalesDetail[Customer],$A374,SalesDetail[Year],2021)</f>
        <v>5</v>
      </c>
      <c r="O374" s="6">
        <f>SUM(B374:N374)</f>
        <v>49</v>
      </c>
    </row>
    <row r="375" spans="1:15" x14ac:dyDescent="0.3">
      <c r="A375" t="s">
        <v>1893</v>
      </c>
      <c r="B375" s="5">
        <f>SUMIFS(SalesDetail[Quantity (KG)],SalesDetail[Customer],$A375,SalesDetail[Year],2009)</f>
        <v>0</v>
      </c>
      <c r="C375" s="5">
        <f>SUMIFS(SalesDetail[Quantity (KG)],SalesDetail[Customer],$A375,SalesDetail[Year],2010)</f>
        <v>0</v>
      </c>
      <c r="D375" s="5">
        <f>SUMIFS(SalesDetail[Quantity (KG)],SalesDetail[Customer],$A375,SalesDetail[Year],2011)</f>
        <v>0</v>
      </c>
      <c r="E375" s="5">
        <f>SUMIFS(SalesDetail[Quantity (KG)],SalesDetail[Customer],$A375,SalesDetail[Year],2012)</f>
        <v>0</v>
      </c>
      <c r="F375" s="5">
        <f>SUMIFS(SalesDetail[Quantity (KG)],SalesDetail[Customer],$A375,SalesDetail[Year],2013)</f>
        <v>0</v>
      </c>
      <c r="G375" s="5">
        <f>SUMIFS(SalesDetail[Quantity (KG)],SalesDetail[Customer],$A375,SalesDetail[Year],2014)</f>
        <v>0</v>
      </c>
      <c r="H375" s="5">
        <f>SUMIFS(SalesDetail[Quantity (KG)],SalesDetail[Customer],$A375,SalesDetail[Year],2015)</f>
        <v>0</v>
      </c>
      <c r="I375" s="5">
        <f>SUMIFS(SalesDetail[Quantity (KG)],SalesDetail[Customer],$A375,SalesDetail[Year],2016)</f>
        <v>0</v>
      </c>
      <c r="J375" s="5">
        <f>SUMIFS(SalesDetail[Quantity (KG)],SalesDetail[Customer],$A375,SalesDetail[Year],2017)</f>
        <v>0</v>
      </c>
      <c r="K375" s="5">
        <f>SUMIFS(SalesDetail[Quantity (KG)],SalesDetail[Customer],$A375,SalesDetail[Year],2018)</f>
        <v>0</v>
      </c>
      <c r="L375" s="5">
        <f>SUMIFS(SalesDetail[Quantity (KG)],SalesDetail[Customer],$A375,SalesDetail[Year],2019)</f>
        <v>0</v>
      </c>
      <c r="M375" s="5">
        <f>SUMIFS(SalesDetail[Quantity (KG)],SalesDetail[Customer],$A375,SalesDetail[Year],2020)</f>
        <v>0</v>
      </c>
      <c r="N375" s="5">
        <f>SUMIFS(SalesDetail[Quantity (KG)],SalesDetail[Customer],$A375,SalesDetail[Year],2021)</f>
        <v>46</v>
      </c>
      <c r="O375" s="6">
        <f>SUM(B375:N375)</f>
        <v>46</v>
      </c>
    </row>
    <row r="376" spans="1:15" x14ac:dyDescent="0.3">
      <c r="A376" t="s">
        <v>502</v>
      </c>
      <c r="B376" s="5">
        <f>SUMIFS(SalesDetail[Quantity (KG)],SalesDetail[Customer],$A376,SalesDetail[Year],2009)</f>
        <v>0</v>
      </c>
      <c r="C376" s="5">
        <f>SUMIFS(SalesDetail[Quantity (KG)],SalesDetail[Customer],$A376,SalesDetail[Year],2010)</f>
        <v>0</v>
      </c>
      <c r="D376" s="5">
        <f>SUMIFS(SalesDetail[Quantity (KG)],SalesDetail[Customer],$A376,SalesDetail[Year],2011)</f>
        <v>0</v>
      </c>
      <c r="E376" s="5">
        <f>SUMIFS(SalesDetail[Quantity (KG)],SalesDetail[Customer],$A376,SalesDetail[Year],2012)</f>
        <v>0</v>
      </c>
      <c r="F376" s="5">
        <f>SUMIFS(SalesDetail[Quantity (KG)],SalesDetail[Customer],$A376,SalesDetail[Year],2013)</f>
        <v>0</v>
      </c>
      <c r="G376" s="5">
        <f>SUMIFS(SalesDetail[Quantity (KG)],SalesDetail[Customer],$A376,SalesDetail[Year],2014)</f>
        <v>0</v>
      </c>
      <c r="H376" s="5">
        <f>SUMIFS(SalesDetail[Quantity (KG)],SalesDetail[Customer],$A376,SalesDetail[Year],2015)</f>
        <v>0</v>
      </c>
      <c r="I376" s="5">
        <f>SUMIFS(SalesDetail[Quantity (KG)],SalesDetail[Customer],$A376,SalesDetail[Year],2016)</f>
        <v>0</v>
      </c>
      <c r="J376" s="5">
        <f>SUMIFS(SalesDetail[Quantity (KG)],SalesDetail[Customer],$A376,SalesDetail[Year],2017)</f>
        <v>7</v>
      </c>
      <c r="K376" s="5">
        <f>SUMIFS(SalesDetail[Quantity (KG)],SalesDetail[Customer],$A376,SalesDetail[Year],2018)</f>
        <v>4</v>
      </c>
      <c r="L376" s="5">
        <f>SUMIFS(SalesDetail[Quantity (KG)],SalesDetail[Customer],$A376,SalesDetail[Year],2019)</f>
        <v>14</v>
      </c>
      <c r="M376" s="5">
        <f>SUMIFS(SalesDetail[Quantity (KG)],SalesDetail[Customer],$A376,SalesDetail[Year],2020)</f>
        <v>11.5</v>
      </c>
      <c r="N376" s="5">
        <f>SUMIFS(SalesDetail[Quantity (KG)],SalesDetail[Customer],$A376,SalesDetail[Year],2021)</f>
        <v>9</v>
      </c>
      <c r="O376" s="6">
        <f>SUM(B376:N376)</f>
        <v>45.5</v>
      </c>
    </row>
    <row r="377" spans="1:15" x14ac:dyDescent="0.3">
      <c r="A377" t="s">
        <v>427</v>
      </c>
      <c r="B377" s="5">
        <f>SUMIFS(SalesDetail[Quantity (KG)],SalesDetail[Customer],$A377,SalesDetail[Year],2009)</f>
        <v>0</v>
      </c>
      <c r="C377" s="5">
        <f>SUMIFS(SalesDetail[Quantity (KG)],SalesDetail[Customer],$A377,SalesDetail[Year],2010)</f>
        <v>0</v>
      </c>
      <c r="D377" s="5">
        <f>SUMIFS(SalesDetail[Quantity (KG)],SalesDetail[Customer],$A377,SalesDetail[Year],2011)</f>
        <v>0</v>
      </c>
      <c r="E377" s="5">
        <f>SUMIFS(SalesDetail[Quantity (KG)],SalesDetail[Customer],$A377,SalesDetail[Year],2012)</f>
        <v>0</v>
      </c>
      <c r="F377" s="5">
        <f>SUMIFS(SalesDetail[Quantity (KG)],SalesDetail[Customer],$A377,SalesDetail[Year],2013)</f>
        <v>0</v>
      </c>
      <c r="G377" s="5">
        <f>SUMIFS(SalesDetail[Quantity (KG)],SalesDetail[Customer],$A377,SalesDetail[Year],2014)</f>
        <v>0</v>
      </c>
      <c r="H377" s="5">
        <f>SUMIFS(SalesDetail[Quantity (KG)],SalesDetail[Customer],$A377,SalesDetail[Year],2015)</f>
        <v>0</v>
      </c>
      <c r="I377" s="5">
        <f>SUMIFS(SalesDetail[Quantity (KG)],SalesDetail[Customer],$A377,SalesDetail[Year],2016)</f>
        <v>0</v>
      </c>
      <c r="J377" s="5">
        <f>SUMIFS(SalesDetail[Quantity (KG)],SalesDetail[Customer],$A377,SalesDetail[Year],2017)</f>
        <v>0</v>
      </c>
      <c r="K377" s="5">
        <f>SUMIFS(SalesDetail[Quantity (KG)],SalesDetail[Customer],$A377,SalesDetail[Year],2018)</f>
        <v>0</v>
      </c>
      <c r="L377" s="5">
        <f>SUMIFS(SalesDetail[Quantity (KG)],SalesDetail[Customer],$A377,SalesDetail[Year],2019)</f>
        <v>0</v>
      </c>
      <c r="M377" s="5">
        <f>SUMIFS(SalesDetail[Quantity (KG)],SalesDetail[Customer],$A377,SalesDetail[Year],2020)</f>
        <v>45</v>
      </c>
      <c r="N377" s="5">
        <f>SUMIFS(SalesDetail[Quantity (KG)],SalesDetail[Customer],$A377,SalesDetail[Year],2021)</f>
        <v>0</v>
      </c>
      <c r="O377" s="6">
        <f>SUM(B377:N377)</f>
        <v>45</v>
      </c>
    </row>
    <row r="378" spans="1:15" x14ac:dyDescent="0.3">
      <c r="A378" t="s">
        <v>1168</v>
      </c>
      <c r="B378" s="5">
        <f>SUMIFS(SalesDetail[Quantity (KG)],SalesDetail[Customer],$A378,SalesDetail[Year],2009)</f>
        <v>0</v>
      </c>
      <c r="C378" s="5">
        <f>SUMIFS(SalesDetail[Quantity (KG)],SalesDetail[Customer],$A378,SalesDetail[Year],2010)</f>
        <v>0</v>
      </c>
      <c r="D378" s="5">
        <f>SUMIFS(SalesDetail[Quantity (KG)],SalesDetail[Customer],$A378,SalesDetail[Year],2011)</f>
        <v>0</v>
      </c>
      <c r="E378" s="5">
        <f>SUMIFS(SalesDetail[Quantity (KG)],SalesDetail[Customer],$A378,SalesDetail[Year],2012)</f>
        <v>0</v>
      </c>
      <c r="F378" s="5">
        <f>SUMIFS(SalesDetail[Quantity (KG)],SalesDetail[Customer],$A378,SalesDetail[Year],2013)</f>
        <v>20</v>
      </c>
      <c r="G378" s="5">
        <f>SUMIFS(SalesDetail[Quantity (KG)],SalesDetail[Customer],$A378,SalesDetail[Year],2014)</f>
        <v>25</v>
      </c>
      <c r="H378" s="5">
        <f>SUMIFS(SalesDetail[Quantity (KG)],SalesDetail[Customer],$A378,SalesDetail[Year],2015)</f>
        <v>0</v>
      </c>
      <c r="I378" s="5">
        <f>SUMIFS(SalesDetail[Quantity (KG)],SalesDetail[Customer],$A378,SalesDetail[Year],2016)</f>
        <v>0</v>
      </c>
      <c r="J378" s="5">
        <f>SUMIFS(SalesDetail[Quantity (KG)],SalesDetail[Customer],$A378,SalesDetail[Year],2017)</f>
        <v>0</v>
      </c>
      <c r="K378" s="5">
        <f>SUMIFS(SalesDetail[Quantity (KG)],SalesDetail[Customer],$A378,SalesDetail[Year],2018)</f>
        <v>0</v>
      </c>
      <c r="L378" s="5">
        <f>SUMIFS(SalesDetail[Quantity (KG)],SalesDetail[Customer],$A378,SalesDetail[Year],2019)</f>
        <v>0</v>
      </c>
      <c r="M378" s="5">
        <f>SUMIFS(SalesDetail[Quantity (KG)],SalesDetail[Customer],$A378,SalesDetail[Year],2020)</f>
        <v>0</v>
      </c>
      <c r="N378" s="5">
        <f>SUMIFS(SalesDetail[Quantity (KG)],SalesDetail[Customer],$A378,SalesDetail[Year],2021)</f>
        <v>0</v>
      </c>
      <c r="O378" s="6">
        <f>SUM(B378:N378)</f>
        <v>45</v>
      </c>
    </row>
    <row r="379" spans="1:15" x14ac:dyDescent="0.3">
      <c r="A379" t="s">
        <v>1894</v>
      </c>
      <c r="B379" s="5">
        <f>SUMIFS(SalesDetail[Quantity (KG)],SalesDetail[Customer],$A379,SalesDetail[Year],2009)</f>
        <v>0</v>
      </c>
      <c r="C379" s="5">
        <f>SUMIFS(SalesDetail[Quantity (KG)],SalesDetail[Customer],$A379,SalesDetail[Year],2010)</f>
        <v>0</v>
      </c>
      <c r="D379" s="5">
        <f>SUMIFS(SalesDetail[Quantity (KG)],SalesDetail[Customer],$A379,SalesDetail[Year],2011)</f>
        <v>0</v>
      </c>
      <c r="E379" s="5">
        <f>SUMIFS(SalesDetail[Quantity (KG)],SalesDetail[Customer],$A379,SalesDetail[Year],2012)</f>
        <v>0</v>
      </c>
      <c r="F379" s="5">
        <f>SUMIFS(SalesDetail[Quantity (KG)],SalesDetail[Customer],$A379,SalesDetail[Year],2013)</f>
        <v>0</v>
      </c>
      <c r="G379" s="5">
        <f>SUMIFS(SalesDetail[Quantity (KG)],SalesDetail[Customer],$A379,SalesDetail[Year],2014)</f>
        <v>0</v>
      </c>
      <c r="H379" s="5">
        <f>SUMIFS(SalesDetail[Quantity (KG)],SalesDetail[Customer],$A379,SalesDetail[Year],2015)</f>
        <v>0</v>
      </c>
      <c r="I379" s="5">
        <f>SUMIFS(SalesDetail[Quantity (KG)],SalesDetail[Customer],$A379,SalesDetail[Year],2016)</f>
        <v>0</v>
      </c>
      <c r="J379" s="5">
        <f>SUMIFS(SalesDetail[Quantity (KG)],SalesDetail[Customer],$A379,SalesDetail[Year],2017)</f>
        <v>0</v>
      </c>
      <c r="K379" s="5">
        <f>SUMIFS(SalesDetail[Quantity (KG)],SalesDetail[Customer],$A379,SalesDetail[Year],2018)</f>
        <v>0</v>
      </c>
      <c r="L379" s="5">
        <f>SUMIFS(SalesDetail[Quantity (KG)],SalesDetail[Customer],$A379,SalesDetail[Year],2019)</f>
        <v>45</v>
      </c>
      <c r="M379" s="5">
        <f>SUMIFS(SalesDetail[Quantity (KG)],SalesDetail[Customer],$A379,SalesDetail[Year],2020)</f>
        <v>0</v>
      </c>
      <c r="N379" s="5">
        <f>SUMIFS(SalesDetail[Quantity (KG)],SalesDetail[Customer],$A379,SalesDetail[Year],2021)</f>
        <v>0</v>
      </c>
      <c r="O379" s="6">
        <f>SUM(B379:N379)</f>
        <v>45</v>
      </c>
    </row>
    <row r="380" spans="1:15" x14ac:dyDescent="0.3">
      <c r="A380" t="s">
        <v>1931</v>
      </c>
      <c r="B380" s="5">
        <f>SUMIFS(SalesDetail[Quantity (KG)],SalesDetail[Customer],$A380,SalesDetail[Year],2009)</f>
        <v>0</v>
      </c>
      <c r="C380" s="5">
        <f>SUMIFS(SalesDetail[Quantity (KG)],SalesDetail[Customer],$A380,SalesDetail[Year],2010)</f>
        <v>0</v>
      </c>
      <c r="D380" s="5">
        <f>SUMIFS(SalesDetail[Quantity (KG)],SalesDetail[Customer],$A380,SalesDetail[Year],2011)</f>
        <v>0</v>
      </c>
      <c r="E380" s="5">
        <f>SUMIFS(SalesDetail[Quantity (KG)],SalesDetail[Customer],$A380,SalesDetail[Year],2012)</f>
        <v>0</v>
      </c>
      <c r="F380" s="5">
        <f>SUMIFS(SalesDetail[Quantity (KG)],SalesDetail[Customer],$A380,SalesDetail[Year],2013)</f>
        <v>0</v>
      </c>
      <c r="G380" s="5">
        <f>SUMIFS(SalesDetail[Quantity (KG)],SalesDetail[Customer],$A380,SalesDetail[Year],2014)</f>
        <v>0</v>
      </c>
      <c r="H380" s="5">
        <f>SUMIFS(SalesDetail[Quantity (KG)],SalesDetail[Customer],$A380,SalesDetail[Year],2015)</f>
        <v>0</v>
      </c>
      <c r="I380" s="5">
        <f>SUMIFS(SalesDetail[Quantity (KG)],SalesDetail[Customer],$A380,SalesDetail[Year],2016)</f>
        <v>0</v>
      </c>
      <c r="J380" s="5">
        <f>SUMIFS(SalesDetail[Quantity (KG)],SalesDetail[Customer],$A380,SalesDetail[Year],2017)</f>
        <v>0</v>
      </c>
      <c r="K380" s="5">
        <f>SUMIFS(SalesDetail[Quantity (KG)],SalesDetail[Customer],$A380,SalesDetail[Year],2018)</f>
        <v>0</v>
      </c>
      <c r="L380" s="5">
        <f>SUMIFS(SalesDetail[Quantity (KG)],SalesDetail[Customer],$A380,SalesDetail[Year],2019)</f>
        <v>20</v>
      </c>
      <c r="M380" s="5">
        <f>SUMIFS(SalesDetail[Quantity (KG)],SalesDetail[Customer],$A380,SalesDetail[Year],2020)</f>
        <v>25</v>
      </c>
      <c r="N380" s="5">
        <f>SUMIFS(SalesDetail[Quantity (KG)],SalesDetail[Customer],$A380,SalesDetail[Year],2021)</f>
        <v>0</v>
      </c>
      <c r="O380" s="6">
        <f>SUM(B380:N380)</f>
        <v>45</v>
      </c>
    </row>
    <row r="381" spans="1:15" x14ac:dyDescent="0.3">
      <c r="A381" t="s">
        <v>2241</v>
      </c>
      <c r="B381" s="5">
        <f>SUMIFS(SalesDetail[Quantity (KG)],SalesDetail[Customer],$A381,SalesDetail[Year],2009)</f>
        <v>0</v>
      </c>
      <c r="C381" s="5">
        <f>SUMIFS(SalesDetail[Quantity (KG)],SalesDetail[Customer],$A381,SalesDetail[Year],2010)</f>
        <v>0</v>
      </c>
      <c r="D381" s="5">
        <f>SUMIFS(SalesDetail[Quantity (KG)],SalesDetail[Customer],$A381,SalesDetail[Year],2011)</f>
        <v>0</v>
      </c>
      <c r="E381" s="5">
        <f>SUMIFS(SalesDetail[Quantity (KG)],SalesDetail[Customer],$A381,SalesDetail[Year],2012)</f>
        <v>0</v>
      </c>
      <c r="F381" s="5">
        <f>SUMIFS(SalesDetail[Quantity (KG)],SalesDetail[Customer],$A381,SalesDetail[Year],2013)</f>
        <v>20</v>
      </c>
      <c r="G381" s="5">
        <f>SUMIFS(SalesDetail[Quantity (KG)],SalesDetail[Customer],$A381,SalesDetail[Year],2014)</f>
        <v>0</v>
      </c>
      <c r="H381" s="5">
        <f>SUMIFS(SalesDetail[Quantity (KG)],SalesDetail[Customer],$A381,SalesDetail[Year],2015)</f>
        <v>0</v>
      </c>
      <c r="I381" s="5">
        <f>SUMIFS(SalesDetail[Quantity (KG)],SalesDetail[Customer],$A381,SalesDetail[Year],2016)</f>
        <v>25</v>
      </c>
      <c r="J381" s="5">
        <f>SUMIFS(SalesDetail[Quantity (KG)],SalesDetail[Customer],$A381,SalesDetail[Year],2017)</f>
        <v>0</v>
      </c>
      <c r="K381" s="5">
        <f>SUMIFS(SalesDetail[Quantity (KG)],SalesDetail[Customer],$A381,SalesDetail[Year],2018)</f>
        <v>0</v>
      </c>
      <c r="L381" s="5">
        <f>SUMIFS(SalesDetail[Quantity (KG)],SalesDetail[Customer],$A381,SalesDetail[Year],2019)</f>
        <v>0</v>
      </c>
      <c r="M381" s="5">
        <f>SUMIFS(SalesDetail[Quantity (KG)],SalesDetail[Customer],$A381,SalesDetail[Year],2020)</f>
        <v>0</v>
      </c>
      <c r="N381" s="5">
        <f>SUMIFS(SalesDetail[Quantity (KG)],SalesDetail[Customer],$A381,SalesDetail[Year],2021)</f>
        <v>0</v>
      </c>
      <c r="O381" s="6">
        <f>SUM(B381:N381)</f>
        <v>45</v>
      </c>
    </row>
    <row r="382" spans="1:15" x14ac:dyDescent="0.3">
      <c r="A382" t="s">
        <v>1147</v>
      </c>
      <c r="B382" s="5">
        <f>SUMIFS(SalesDetail[Quantity (KG)],SalesDetail[Customer],$A382,SalesDetail[Year],2009)</f>
        <v>0</v>
      </c>
      <c r="C382" s="5">
        <f>SUMIFS(SalesDetail[Quantity (KG)],SalesDetail[Customer],$A382,SalesDetail[Year],2010)</f>
        <v>0</v>
      </c>
      <c r="D382" s="5">
        <f>SUMIFS(SalesDetail[Quantity (KG)],SalesDetail[Customer],$A382,SalesDetail[Year],2011)</f>
        <v>0</v>
      </c>
      <c r="E382" s="5">
        <f>SUMIFS(SalesDetail[Quantity (KG)],SalesDetail[Customer],$A382,SalesDetail[Year],2012)</f>
        <v>0</v>
      </c>
      <c r="F382" s="5">
        <f>SUMIFS(SalesDetail[Quantity (KG)],SalesDetail[Customer],$A382,SalesDetail[Year],2013)</f>
        <v>0</v>
      </c>
      <c r="G382" s="5">
        <f>SUMIFS(SalesDetail[Quantity (KG)],SalesDetail[Customer],$A382,SalesDetail[Year],2014)</f>
        <v>0</v>
      </c>
      <c r="H382" s="5">
        <f>SUMIFS(SalesDetail[Quantity (KG)],SalesDetail[Customer],$A382,SalesDetail[Year],2015)</f>
        <v>0</v>
      </c>
      <c r="I382" s="5">
        <f>SUMIFS(SalesDetail[Quantity (KG)],SalesDetail[Customer],$A382,SalesDetail[Year],2016)</f>
        <v>0</v>
      </c>
      <c r="J382" s="5">
        <f>SUMIFS(SalesDetail[Quantity (KG)],SalesDetail[Customer],$A382,SalesDetail[Year],2017)</f>
        <v>0</v>
      </c>
      <c r="K382" s="5">
        <f>SUMIFS(SalesDetail[Quantity (KG)],SalesDetail[Customer],$A382,SalesDetail[Year],2018)</f>
        <v>39</v>
      </c>
      <c r="L382" s="5">
        <f>SUMIFS(SalesDetail[Quantity (KG)],SalesDetail[Customer],$A382,SalesDetail[Year],2019)</f>
        <v>5</v>
      </c>
      <c r="M382" s="5">
        <f>SUMIFS(SalesDetail[Quantity (KG)],SalesDetail[Customer],$A382,SalesDetail[Year],2020)</f>
        <v>0</v>
      </c>
      <c r="N382" s="5">
        <f>SUMIFS(SalesDetail[Quantity (KG)],SalesDetail[Customer],$A382,SalesDetail[Year],2021)</f>
        <v>0</v>
      </c>
      <c r="O382" s="6">
        <f>SUM(B382:N382)</f>
        <v>44</v>
      </c>
    </row>
    <row r="383" spans="1:15" x14ac:dyDescent="0.3">
      <c r="A383" t="s">
        <v>440</v>
      </c>
      <c r="B383" s="5">
        <f>SUMIFS(SalesDetail[Quantity (KG)],SalesDetail[Customer],$A383,SalesDetail[Year],2009)</f>
        <v>0</v>
      </c>
      <c r="C383" s="5">
        <f>SUMIFS(SalesDetail[Quantity (KG)],SalesDetail[Customer],$A383,SalesDetail[Year],2010)</f>
        <v>0</v>
      </c>
      <c r="D383" s="5">
        <f>SUMIFS(SalesDetail[Quantity (KG)],SalesDetail[Customer],$A383,SalesDetail[Year],2011)</f>
        <v>0</v>
      </c>
      <c r="E383" s="5">
        <f>SUMIFS(SalesDetail[Quantity (KG)],SalesDetail[Customer],$A383,SalesDetail[Year],2012)</f>
        <v>0</v>
      </c>
      <c r="F383" s="5">
        <f>SUMIFS(SalesDetail[Quantity (KG)],SalesDetail[Customer],$A383,SalesDetail[Year],2013)</f>
        <v>0</v>
      </c>
      <c r="G383" s="5">
        <f>SUMIFS(SalesDetail[Quantity (KG)],SalesDetail[Customer],$A383,SalesDetail[Year],2014)</f>
        <v>0</v>
      </c>
      <c r="H383" s="5">
        <f>SUMIFS(SalesDetail[Quantity (KG)],SalesDetail[Customer],$A383,SalesDetail[Year],2015)</f>
        <v>0</v>
      </c>
      <c r="I383" s="5">
        <f>SUMIFS(SalesDetail[Quantity (KG)],SalesDetail[Customer],$A383,SalesDetail[Year],2016)</f>
        <v>0</v>
      </c>
      <c r="J383" s="5">
        <f>SUMIFS(SalesDetail[Quantity (KG)],SalesDetail[Customer],$A383,SalesDetail[Year],2017)</f>
        <v>0</v>
      </c>
      <c r="K383" s="5">
        <f>SUMIFS(SalesDetail[Quantity (KG)],SalesDetail[Customer],$A383,SalesDetail[Year],2018)</f>
        <v>0</v>
      </c>
      <c r="L383" s="5">
        <f>SUMIFS(SalesDetail[Quantity (KG)],SalesDetail[Customer],$A383,SalesDetail[Year],2019)</f>
        <v>0</v>
      </c>
      <c r="M383" s="5">
        <f>SUMIFS(SalesDetail[Quantity (KG)],SalesDetail[Customer],$A383,SalesDetail[Year],2020)</f>
        <v>0</v>
      </c>
      <c r="N383" s="5">
        <f>SUMIFS(SalesDetail[Quantity (KG)],SalesDetail[Customer],$A383,SalesDetail[Year],2021)</f>
        <v>43</v>
      </c>
      <c r="O383" s="6">
        <f>SUM(B383:N383)</f>
        <v>43</v>
      </c>
    </row>
    <row r="384" spans="1:15" x14ac:dyDescent="0.3">
      <c r="A384" t="s">
        <v>2181</v>
      </c>
      <c r="B384" s="5">
        <f>SUMIFS(SalesDetail[Quantity (KG)],SalesDetail[Customer],$A384,SalesDetail[Year],2009)</f>
        <v>0</v>
      </c>
      <c r="C384" s="5">
        <f>SUMIFS(SalesDetail[Quantity (KG)],SalesDetail[Customer],$A384,SalesDetail[Year],2010)</f>
        <v>0</v>
      </c>
      <c r="D384" s="5">
        <f>SUMIFS(SalesDetail[Quantity (KG)],SalesDetail[Customer],$A384,SalesDetail[Year],2011)</f>
        <v>0</v>
      </c>
      <c r="E384" s="5">
        <f>SUMIFS(SalesDetail[Quantity (KG)],SalesDetail[Customer],$A384,SalesDetail[Year],2012)</f>
        <v>0</v>
      </c>
      <c r="F384" s="5">
        <f>SUMIFS(SalesDetail[Quantity (KG)],SalesDetail[Customer],$A384,SalesDetail[Year],2013)</f>
        <v>0</v>
      </c>
      <c r="G384" s="5">
        <f>SUMIFS(SalesDetail[Quantity (KG)],SalesDetail[Customer],$A384,SalesDetail[Year],2014)</f>
        <v>0</v>
      </c>
      <c r="H384" s="5">
        <f>SUMIFS(SalesDetail[Quantity (KG)],SalesDetail[Customer],$A384,SalesDetail[Year],2015)</f>
        <v>0</v>
      </c>
      <c r="I384" s="5">
        <f>SUMIFS(SalesDetail[Quantity (KG)],SalesDetail[Customer],$A384,SalesDetail[Year],2016)</f>
        <v>0</v>
      </c>
      <c r="J384" s="5">
        <f>SUMIFS(SalesDetail[Quantity (KG)],SalesDetail[Customer],$A384,SalesDetail[Year],2017)</f>
        <v>0</v>
      </c>
      <c r="K384" s="5">
        <f>SUMIFS(SalesDetail[Quantity (KG)],SalesDetail[Customer],$A384,SalesDetail[Year],2018)</f>
        <v>0</v>
      </c>
      <c r="L384" s="5">
        <f>SUMIFS(SalesDetail[Quantity (KG)],SalesDetail[Customer],$A384,SalesDetail[Year],2019)</f>
        <v>0</v>
      </c>
      <c r="M384" s="5">
        <f>SUMIFS(SalesDetail[Quantity (KG)],SalesDetail[Customer],$A384,SalesDetail[Year],2020)</f>
        <v>12</v>
      </c>
      <c r="N384" s="5">
        <f>SUMIFS(SalesDetail[Quantity (KG)],SalesDetail[Customer],$A384,SalesDetail[Year],2021)</f>
        <v>30</v>
      </c>
      <c r="O384" s="6">
        <f>SUM(B384:N384)</f>
        <v>42</v>
      </c>
    </row>
    <row r="385" spans="1:15" x14ac:dyDescent="0.3">
      <c r="A385" t="s">
        <v>2039</v>
      </c>
      <c r="B385" s="5">
        <f>SUMIFS(SalesDetail[Quantity (KG)],SalesDetail[Customer],$A385,SalesDetail[Year],2009)</f>
        <v>0</v>
      </c>
      <c r="C385" s="5">
        <f>SUMIFS(SalesDetail[Quantity (KG)],SalesDetail[Customer],$A385,SalesDetail[Year],2010)</f>
        <v>0</v>
      </c>
      <c r="D385" s="5">
        <f>SUMIFS(SalesDetail[Quantity (KG)],SalesDetail[Customer],$A385,SalesDetail[Year],2011)</f>
        <v>0</v>
      </c>
      <c r="E385" s="5">
        <f>SUMIFS(SalesDetail[Quantity (KG)],SalesDetail[Customer],$A385,SalesDetail[Year],2012)</f>
        <v>0</v>
      </c>
      <c r="F385" s="5">
        <f>SUMIFS(SalesDetail[Quantity (KG)],SalesDetail[Customer],$A385,SalesDetail[Year],2013)</f>
        <v>0</v>
      </c>
      <c r="G385" s="5">
        <f>SUMIFS(SalesDetail[Quantity (KG)],SalesDetail[Customer],$A385,SalesDetail[Year],2014)</f>
        <v>0</v>
      </c>
      <c r="H385" s="5">
        <f>SUMIFS(SalesDetail[Quantity (KG)],SalesDetail[Customer],$A385,SalesDetail[Year],2015)</f>
        <v>0</v>
      </c>
      <c r="I385" s="5">
        <f>SUMIFS(SalesDetail[Quantity (KG)],SalesDetail[Customer],$A385,SalesDetail[Year],2016)</f>
        <v>0</v>
      </c>
      <c r="J385" s="5">
        <f>SUMIFS(SalesDetail[Quantity (KG)],SalesDetail[Customer],$A385,SalesDetail[Year],2017)</f>
        <v>0</v>
      </c>
      <c r="K385" s="5">
        <f>SUMIFS(SalesDetail[Quantity (KG)],SalesDetail[Customer],$A385,SalesDetail[Year],2018)</f>
        <v>10</v>
      </c>
      <c r="L385" s="5">
        <f>SUMIFS(SalesDetail[Quantity (KG)],SalesDetail[Customer],$A385,SalesDetail[Year],2019)</f>
        <v>25</v>
      </c>
      <c r="M385" s="5">
        <f>SUMIFS(SalesDetail[Quantity (KG)],SalesDetail[Customer],$A385,SalesDetail[Year],2020)</f>
        <v>6</v>
      </c>
      <c r="N385" s="5">
        <f>SUMIFS(SalesDetail[Quantity (KG)],SalesDetail[Customer],$A385,SalesDetail[Year],2021)</f>
        <v>0</v>
      </c>
      <c r="O385" s="6">
        <f>SUM(B385:N385)</f>
        <v>41</v>
      </c>
    </row>
    <row r="386" spans="1:15" x14ac:dyDescent="0.3">
      <c r="A386" t="s">
        <v>1692</v>
      </c>
      <c r="B386" s="5">
        <f>SUMIFS(SalesDetail[Quantity (KG)],SalesDetail[Customer],$A386,SalesDetail[Year],2009)</f>
        <v>0</v>
      </c>
      <c r="C386" s="5">
        <f>SUMIFS(SalesDetail[Quantity (KG)],SalesDetail[Customer],$A386,SalesDetail[Year],2010)</f>
        <v>0</v>
      </c>
      <c r="D386" s="5">
        <f>SUMIFS(SalesDetail[Quantity (KG)],SalesDetail[Customer],$A386,SalesDetail[Year],2011)</f>
        <v>0</v>
      </c>
      <c r="E386" s="5">
        <f>SUMIFS(SalesDetail[Quantity (KG)],SalesDetail[Customer],$A386,SalesDetail[Year],2012)</f>
        <v>0</v>
      </c>
      <c r="F386" s="5">
        <f>SUMIFS(SalesDetail[Quantity (KG)],SalesDetail[Customer],$A386,SalesDetail[Year],2013)</f>
        <v>0</v>
      </c>
      <c r="G386" s="5">
        <f>SUMIFS(SalesDetail[Quantity (KG)],SalesDetail[Customer],$A386,SalesDetail[Year],2014)</f>
        <v>0</v>
      </c>
      <c r="H386" s="5">
        <f>SUMIFS(SalesDetail[Quantity (KG)],SalesDetail[Customer],$A386,SalesDetail[Year],2015)</f>
        <v>0</v>
      </c>
      <c r="I386" s="5">
        <f>SUMIFS(SalesDetail[Quantity (KG)],SalesDetail[Customer],$A386,SalesDetail[Year],2016)</f>
        <v>40</v>
      </c>
      <c r="J386" s="5">
        <f>SUMIFS(SalesDetail[Quantity (KG)],SalesDetail[Customer],$A386,SalesDetail[Year],2017)</f>
        <v>0</v>
      </c>
      <c r="K386" s="5">
        <f>SUMIFS(SalesDetail[Quantity (KG)],SalesDetail[Customer],$A386,SalesDetail[Year],2018)</f>
        <v>0</v>
      </c>
      <c r="L386" s="5">
        <f>SUMIFS(SalesDetail[Quantity (KG)],SalesDetail[Customer],$A386,SalesDetail[Year],2019)</f>
        <v>0</v>
      </c>
      <c r="M386" s="5">
        <f>SUMIFS(SalesDetail[Quantity (KG)],SalesDetail[Customer],$A386,SalesDetail[Year],2020)</f>
        <v>0</v>
      </c>
      <c r="N386" s="5">
        <f>SUMIFS(SalesDetail[Quantity (KG)],SalesDetail[Customer],$A386,SalesDetail[Year],2021)</f>
        <v>0</v>
      </c>
      <c r="O386" s="6">
        <f>SUM(B386:N386)</f>
        <v>40</v>
      </c>
    </row>
    <row r="387" spans="1:15" x14ac:dyDescent="0.3">
      <c r="A387" t="s">
        <v>2515</v>
      </c>
      <c r="B387" s="5">
        <f>SUMIFS(SalesDetail[Quantity (KG)],SalesDetail[Customer],$A387,SalesDetail[Year],2009)</f>
        <v>0</v>
      </c>
      <c r="C387" s="5">
        <f>SUMIFS(SalesDetail[Quantity (KG)],SalesDetail[Customer],$A387,SalesDetail[Year],2010)</f>
        <v>0</v>
      </c>
      <c r="D387" s="5">
        <f>SUMIFS(SalesDetail[Quantity (KG)],SalesDetail[Customer],$A387,SalesDetail[Year],2011)</f>
        <v>0</v>
      </c>
      <c r="E387" s="5">
        <f>SUMIFS(SalesDetail[Quantity (KG)],SalesDetail[Customer],$A387,SalesDetail[Year],2012)</f>
        <v>0</v>
      </c>
      <c r="F387" s="5">
        <f>SUMIFS(SalesDetail[Quantity (KG)],SalesDetail[Customer],$A387,SalesDetail[Year],2013)</f>
        <v>0</v>
      </c>
      <c r="G387" s="5">
        <f>SUMIFS(SalesDetail[Quantity (KG)],SalesDetail[Customer],$A387,SalesDetail[Year],2014)</f>
        <v>0</v>
      </c>
      <c r="H387" s="5">
        <f>SUMIFS(SalesDetail[Quantity (KG)],SalesDetail[Customer],$A387,SalesDetail[Year],2015)</f>
        <v>0</v>
      </c>
      <c r="I387" s="5">
        <f>SUMIFS(SalesDetail[Quantity (KG)],SalesDetail[Customer],$A387,SalesDetail[Year],2016)</f>
        <v>0</v>
      </c>
      <c r="J387" s="5">
        <f>SUMIFS(SalesDetail[Quantity (KG)],SalesDetail[Customer],$A387,SalesDetail[Year],2017)</f>
        <v>0</v>
      </c>
      <c r="K387" s="5">
        <f>SUMIFS(SalesDetail[Quantity (KG)],SalesDetail[Customer],$A387,SalesDetail[Year],2018)</f>
        <v>0</v>
      </c>
      <c r="L387" s="5">
        <f>SUMIFS(SalesDetail[Quantity (KG)],SalesDetail[Customer],$A387,SalesDetail[Year],2019)</f>
        <v>0</v>
      </c>
      <c r="M387" s="5">
        <f>SUMIFS(SalesDetail[Quantity (KG)],SalesDetail[Customer],$A387,SalesDetail[Year],2020)</f>
        <v>40</v>
      </c>
      <c r="N387" s="5">
        <f>SUMIFS(SalesDetail[Quantity (KG)],SalesDetail[Customer],$A387,SalesDetail[Year],2021)</f>
        <v>0</v>
      </c>
      <c r="O387" s="6">
        <f>SUM(B387:N387)</f>
        <v>40</v>
      </c>
    </row>
    <row r="388" spans="1:15" x14ac:dyDescent="0.3">
      <c r="A388" t="s">
        <v>390</v>
      </c>
      <c r="B388" s="5">
        <f>SUMIFS(SalesDetail[Quantity (KG)],SalesDetail[Customer],$A388,SalesDetail[Year],2009)</f>
        <v>0</v>
      </c>
      <c r="C388" s="5">
        <f>SUMIFS(SalesDetail[Quantity (KG)],SalesDetail[Customer],$A388,SalesDetail[Year],2010)</f>
        <v>0</v>
      </c>
      <c r="D388" s="5">
        <f>SUMIFS(SalesDetail[Quantity (KG)],SalesDetail[Customer],$A388,SalesDetail[Year],2011)</f>
        <v>0</v>
      </c>
      <c r="E388" s="5">
        <f>SUMIFS(SalesDetail[Quantity (KG)],SalesDetail[Customer],$A388,SalesDetail[Year],2012)</f>
        <v>0</v>
      </c>
      <c r="F388" s="5">
        <f>SUMIFS(SalesDetail[Quantity (KG)],SalesDetail[Customer],$A388,SalesDetail[Year],2013)</f>
        <v>0</v>
      </c>
      <c r="G388" s="5">
        <f>SUMIFS(SalesDetail[Quantity (KG)],SalesDetail[Customer],$A388,SalesDetail[Year],2014)</f>
        <v>0</v>
      </c>
      <c r="H388" s="5">
        <f>SUMIFS(SalesDetail[Quantity (KG)],SalesDetail[Customer],$A388,SalesDetail[Year],2015)</f>
        <v>0</v>
      </c>
      <c r="I388" s="5">
        <f>SUMIFS(SalesDetail[Quantity (KG)],SalesDetail[Customer],$A388,SalesDetail[Year],2016)</f>
        <v>9</v>
      </c>
      <c r="J388" s="5">
        <f>SUMIFS(SalesDetail[Quantity (KG)],SalesDetail[Customer],$A388,SalesDetail[Year],2017)</f>
        <v>13.5</v>
      </c>
      <c r="K388" s="5">
        <f>SUMIFS(SalesDetail[Quantity (KG)],SalesDetail[Customer],$A388,SalesDetail[Year],2018)</f>
        <v>3.5</v>
      </c>
      <c r="L388" s="5">
        <f>SUMIFS(SalesDetail[Quantity (KG)],SalesDetail[Customer],$A388,SalesDetail[Year],2019)</f>
        <v>8</v>
      </c>
      <c r="M388" s="5">
        <f>SUMIFS(SalesDetail[Quantity (KG)],SalesDetail[Customer],$A388,SalesDetail[Year],2020)</f>
        <v>0</v>
      </c>
      <c r="N388" s="5">
        <f>SUMIFS(SalesDetail[Quantity (KG)],SalesDetail[Customer],$A388,SalesDetail[Year],2021)</f>
        <v>4</v>
      </c>
      <c r="O388" s="6">
        <f>SUM(B388:N388)</f>
        <v>38</v>
      </c>
    </row>
    <row r="389" spans="1:15" x14ac:dyDescent="0.3">
      <c r="A389" t="s">
        <v>2174</v>
      </c>
      <c r="B389" s="5">
        <f>SUMIFS(SalesDetail[Quantity (KG)],SalesDetail[Customer],$A389,SalesDetail[Year],2009)</f>
        <v>0</v>
      </c>
      <c r="C389" s="5">
        <f>SUMIFS(SalesDetail[Quantity (KG)],SalesDetail[Customer],$A389,SalesDetail[Year],2010)</f>
        <v>0</v>
      </c>
      <c r="D389" s="5">
        <f>SUMIFS(SalesDetail[Quantity (KG)],SalesDetail[Customer],$A389,SalesDetail[Year],2011)</f>
        <v>0</v>
      </c>
      <c r="E389" s="5">
        <f>SUMIFS(SalesDetail[Quantity (KG)],SalesDetail[Customer],$A389,SalesDetail[Year],2012)</f>
        <v>0</v>
      </c>
      <c r="F389" s="5">
        <f>SUMIFS(SalesDetail[Quantity (KG)],SalesDetail[Customer],$A389,SalesDetail[Year],2013)</f>
        <v>0</v>
      </c>
      <c r="G389" s="5">
        <f>SUMIFS(SalesDetail[Quantity (KG)],SalesDetail[Customer],$A389,SalesDetail[Year],2014)</f>
        <v>0</v>
      </c>
      <c r="H389" s="5">
        <f>SUMIFS(SalesDetail[Quantity (KG)],SalesDetail[Customer],$A389,SalesDetail[Year],2015)</f>
        <v>0</v>
      </c>
      <c r="I389" s="5">
        <f>SUMIFS(SalesDetail[Quantity (KG)],SalesDetail[Customer],$A389,SalesDetail[Year],2016)</f>
        <v>0</v>
      </c>
      <c r="J389" s="5">
        <f>SUMIFS(SalesDetail[Quantity (KG)],SalesDetail[Customer],$A389,SalesDetail[Year],2017)</f>
        <v>0</v>
      </c>
      <c r="K389" s="5">
        <f>SUMIFS(SalesDetail[Quantity (KG)],SalesDetail[Customer],$A389,SalesDetail[Year],2018)</f>
        <v>0</v>
      </c>
      <c r="L389" s="5">
        <f>SUMIFS(SalesDetail[Quantity (KG)],SalesDetail[Customer],$A389,SalesDetail[Year],2019)</f>
        <v>0</v>
      </c>
      <c r="M389" s="5">
        <f>SUMIFS(SalesDetail[Quantity (KG)],SalesDetail[Customer],$A389,SalesDetail[Year],2020)</f>
        <v>38</v>
      </c>
      <c r="N389" s="5">
        <f>SUMIFS(SalesDetail[Quantity (KG)],SalesDetail[Customer],$A389,SalesDetail[Year],2021)</f>
        <v>0</v>
      </c>
      <c r="O389" s="6">
        <f>SUM(B389:N389)</f>
        <v>38</v>
      </c>
    </row>
    <row r="390" spans="1:15" x14ac:dyDescent="0.3">
      <c r="A390" t="s">
        <v>2261</v>
      </c>
      <c r="B390" s="5">
        <f>SUMIFS(SalesDetail[Quantity (KG)],SalesDetail[Customer],$A390,SalesDetail[Year],2009)</f>
        <v>0</v>
      </c>
      <c r="C390" s="5">
        <f>SUMIFS(SalesDetail[Quantity (KG)],SalesDetail[Customer],$A390,SalesDetail[Year],2010)</f>
        <v>0</v>
      </c>
      <c r="D390" s="5">
        <f>SUMIFS(SalesDetail[Quantity (KG)],SalesDetail[Customer],$A390,SalesDetail[Year],2011)</f>
        <v>0</v>
      </c>
      <c r="E390" s="5">
        <f>SUMIFS(SalesDetail[Quantity (KG)],SalesDetail[Customer],$A390,SalesDetail[Year],2012)</f>
        <v>0</v>
      </c>
      <c r="F390" s="5">
        <f>SUMIFS(SalesDetail[Quantity (KG)],SalesDetail[Customer],$A390,SalesDetail[Year],2013)</f>
        <v>0</v>
      </c>
      <c r="G390" s="5">
        <f>SUMIFS(SalesDetail[Quantity (KG)],SalesDetail[Customer],$A390,SalesDetail[Year],2014)</f>
        <v>25</v>
      </c>
      <c r="H390" s="5">
        <f>SUMIFS(SalesDetail[Quantity (KG)],SalesDetail[Customer],$A390,SalesDetail[Year],2015)</f>
        <v>13</v>
      </c>
      <c r="I390" s="5">
        <f>SUMIFS(SalesDetail[Quantity (KG)],SalesDetail[Customer],$A390,SalesDetail[Year],2016)</f>
        <v>0</v>
      </c>
      <c r="J390" s="5">
        <f>SUMIFS(SalesDetail[Quantity (KG)],SalesDetail[Customer],$A390,SalesDetail[Year],2017)</f>
        <v>0</v>
      </c>
      <c r="K390" s="5">
        <f>SUMIFS(SalesDetail[Quantity (KG)],SalesDetail[Customer],$A390,SalesDetail[Year],2018)</f>
        <v>0</v>
      </c>
      <c r="L390" s="5">
        <f>SUMIFS(SalesDetail[Quantity (KG)],SalesDetail[Customer],$A390,SalesDetail[Year],2019)</f>
        <v>0</v>
      </c>
      <c r="M390" s="5">
        <f>SUMIFS(SalesDetail[Quantity (KG)],SalesDetail[Customer],$A390,SalesDetail[Year],2020)</f>
        <v>0</v>
      </c>
      <c r="N390" s="5">
        <f>SUMIFS(SalesDetail[Quantity (KG)],SalesDetail[Customer],$A390,SalesDetail[Year],2021)</f>
        <v>0</v>
      </c>
      <c r="O390" s="6">
        <f>SUM(B390:N390)</f>
        <v>38</v>
      </c>
    </row>
    <row r="391" spans="1:15" x14ac:dyDescent="0.3">
      <c r="A391" t="s">
        <v>2587</v>
      </c>
      <c r="B391" s="5">
        <f>SUMIFS(SalesDetail[Quantity (KG)],SalesDetail[Customer],$A391,SalesDetail[Year],2009)</f>
        <v>0</v>
      </c>
      <c r="C391" s="5">
        <f>SUMIFS(SalesDetail[Quantity (KG)],SalesDetail[Customer],$A391,SalesDetail[Year],2010)</f>
        <v>0</v>
      </c>
      <c r="D391" s="5">
        <f>SUMIFS(SalesDetail[Quantity (KG)],SalesDetail[Customer],$A391,SalesDetail[Year],2011)</f>
        <v>0</v>
      </c>
      <c r="E391" s="5">
        <f>SUMIFS(SalesDetail[Quantity (KG)],SalesDetail[Customer],$A391,SalesDetail[Year],2012)</f>
        <v>0</v>
      </c>
      <c r="F391" s="5">
        <f>SUMIFS(SalesDetail[Quantity (KG)],SalesDetail[Customer],$A391,SalesDetail[Year],2013)</f>
        <v>2</v>
      </c>
      <c r="G391" s="5">
        <f>SUMIFS(SalesDetail[Quantity (KG)],SalesDetail[Customer],$A391,SalesDetail[Year],2014)</f>
        <v>20</v>
      </c>
      <c r="H391" s="5">
        <f>SUMIFS(SalesDetail[Quantity (KG)],SalesDetail[Customer],$A391,SalesDetail[Year],2015)</f>
        <v>0</v>
      </c>
      <c r="I391" s="5">
        <f>SUMIFS(SalesDetail[Quantity (KG)],SalesDetail[Customer],$A391,SalesDetail[Year],2016)</f>
        <v>0</v>
      </c>
      <c r="J391" s="5">
        <f>SUMIFS(SalesDetail[Quantity (KG)],SalesDetail[Customer],$A391,SalesDetail[Year],2017)</f>
        <v>0</v>
      </c>
      <c r="K391" s="5">
        <f>SUMIFS(SalesDetail[Quantity (KG)],SalesDetail[Customer],$A391,SalesDetail[Year],2018)</f>
        <v>0</v>
      </c>
      <c r="L391" s="5">
        <f>SUMIFS(SalesDetail[Quantity (KG)],SalesDetail[Customer],$A391,SalesDetail[Year],2019)</f>
        <v>0</v>
      </c>
      <c r="M391" s="5">
        <f>SUMIFS(SalesDetail[Quantity (KG)],SalesDetail[Customer],$A391,SalesDetail[Year],2020)</f>
        <v>0</v>
      </c>
      <c r="N391" s="5">
        <f>SUMIFS(SalesDetail[Quantity (KG)],SalesDetail[Customer],$A391,SalesDetail[Year],2021)</f>
        <v>15</v>
      </c>
      <c r="O391" s="6">
        <f>SUM(B391:N391)</f>
        <v>37</v>
      </c>
    </row>
    <row r="392" spans="1:15" x14ac:dyDescent="0.3">
      <c r="A392" t="s">
        <v>2052</v>
      </c>
      <c r="B392" s="5">
        <f>SUMIFS(SalesDetail[Quantity (KG)],SalesDetail[Customer],$A392,SalesDetail[Year],2009)</f>
        <v>0</v>
      </c>
      <c r="C392" s="5">
        <f>SUMIFS(SalesDetail[Quantity (KG)],SalesDetail[Customer],$A392,SalesDetail[Year],2010)</f>
        <v>0</v>
      </c>
      <c r="D392" s="5">
        <f>SUMIFS(SalesDetail[Quantity (KG)],SalesDetail[Customer],$A392,SalesDetail[Year],2011)</f>
        <v>0</v>
      </c>
      <c r="E392" s="5">
        <f>SUMIFS(SalesDetail[Quantity (KG)],SalesDetail[Customer],$A392,SalesDetail[Year],2012)</f>
        <v>0</v>
      </c>
      <c r="F392" s="5">
        <f>SUMIFS(SalesDetail[Quantity (KG)],SalesDetail[Customer],$A392,SalesDetail[Year],2013)</f>
        <v>0</v>
      </c>
      <c r="G392" s="5">
        <f>SUMIFS(SalesDetail[Quantity (KG)],SalesDetail[Customer],$A392,SalesDetail[Year],2014)</f>
        <v>0</v>
      </c>
      <c r="H392" s="5">
        <f>SUMIFS(SalesDetail[Quantity (KG)],SalesDetail[Customer],$A392,SalesDetail[Year],2015)</f>
        <v>0</v>
      </c>
      <c r="I392" s="5">
        <f>SUMIFS(SalesDetail[Quantity (KG)],SalesDetail[Customer],$A392,SalesDetail[Year],2016)</f>
        <v>0</v>
      </c>
      <c r="J392" s="5">
        <f>SUMIFS(SalesDetail[Quantity (KG)],SalesDetail[Customer],$A392,SalesDetail[Year],2017)</f>
        <v>0</v>
      </c>
      <c r="K392" s="5">
        <f>SUMIFS(SalesDetail[Quantity (KG)],SalesDetail[Customer],$A392,SalesDetail[Year],2018)</f>
        <v>0</v>
      </c>
      <c r="L392" s="5">
        <f>SUMIFS(SalesDetail[Quantity (KG)],SalesDetail[Customer],$A392,SalesDetail[Year],2019)</f>
        <v>36</v>
      </c>
      <c r="M392" s="5">
        <f>SUMIFS(SalesDetail[Quantity (KG)],SalesDetail[Customer],$A392,SalesDetail[Year],2020)</f>
        <v>0</v>
      </c>
      <c r="N392" s="5">
        <f>SUMIFS(SalesDetail[Quantity (KG)],SalesDetail[Customer],$A392,SalesDetail[Year],2021)</f>
        <v>0</v>
      </c>
      <c r="O392" s="6">
        <f>SUM(B392:N392)</f>
        <v>36</v>
      </c>
    </row>
    <row r="393" spans="1:15" x14ac:dyDescent="0.3">
      <c r="A393" t="s">
        <v>2453</v>
      </c>
      <c r="B393" s="5">
        <f>SUMIFS(SalesDetail[Quantity (KG)],SalesDetail[Customer],$A393,SalesDetail[Year],2009)</f>
        <v>0</v>
      </c>
      <c r="C393" s="5">
        <f>SUMIFS(SalesDetail[Quantity (KG)],SalesDetail[Customer],$A393,SalesDetail[Year],2010)</f>
        <v>0</v>
      </c>
      <c r="D393" s="5">
        <f>SUMIFS(SalesDetail[Quantity (KG)],SalesDetail[Customer],$A393,SalesDetail[Year],2011)</f>
        <v>0</v>
      </c>
      <c r="E393" s="5">
        <f>SUMIFS(SalesDetail[Quantity (KG)],SalesDetail[Customer],$A393,SalesDetail[Year],2012)</f>
        <v>0</v>
      </c>
      <c r="F393" s="5">
        <f>SUMIFS(SalesDetail[Quantity (KG)],SalesDetail[Customer],$A393,SalesDetail[Year],2013)</f>
        <v>0</v>
      </c>
      <c r="G393" s="5">
        <f>SUMIFS(SalesDetail[Quantity (KG)],SalesDetail[Customer],$A393,SalesDetail[Year],2014)</f>
        <v>0</v>
      </c>
      <c r="H393" s="5">
        <f>SUMIFS(SalesDetail[Quantity (KG)],SalesDetail[Customer],$A393,SalesDetail[Year],2015)</f>
        <v>0</v>
      </c>
      <c r="I393" s="5">
        <f>SUMIFS(SalesDetail[Quantity (KG)],SalesDetail[Customer],$A393,SalesDetail[Year],2016)</f>
        <v>0</v>
      </c>
      <c r="J393" s="5">
        <f>SUMIFS(SalesDetail[Quantity (KG)],SalesDetail[Customer],$A393,SalesDetail[Year],2017)</f>
        <v>0</v>
      </c>
      <c r="K393" s="5">
        <f>SUMIFS(SalesDetail[Quantity (KG)],SalesDetail[Customer],$A393,SalesDetail[Year],2018)</f>
        <v>0</v>
      </c>
      <c r="L393" s="5">
        <f>SUMIFS(SalesDetail[Quantity (KG)],SalesDetail[Customer],$A393,SalesDetail[Year],2019)</f>
        <v>36</v>
      </c>
      <c r="M393" s="5">
        <f>SUMIFS(SalesDetail[Quantity (KG)],SalesDetail[Customer],$A393,SalesDetail[Year],2020)</f>
        <v>0</v>
      </c>
      <c r="N393" s="5">
        <f>SUMIFS(SalesDetail[Quantity (KG)],SalesDetail[Customer],$A393,SalesDetail[Year],2021)</f>
        <v>0</v>
      </c>
      <c r="O393" s="6">
        <f>SUM(B393:N393)</f>
        <v>36</v>
      </c>
    </row>
    <row r="394" spans="1:15" x14ac:dyDescent="0.3">
      <c r="A394" t="s">
        <v>1164</v>
      </c>
      <c r="B394" s="5">
        <f>SUMIFS(SalesDetail[Quantity (KG)],SalesDetail[Customer],$A394,SalesDetail[Year],2009)</f>
        <v>0</v>
      </c>
      <c r="C394" s="5">
        <f>SUMIFS(SalesDetail[Quantity (KG)],SalesDetail[Customer],$A394,SalesDetail[Year],2010)</f>
        <v>0</v>
      </c>
      <c r="D394" s="5">
        <f>SUMIFS(SalesDetail[Quantity (KG)],SalesDetail[Customer],$A394,SalesDetail[Year],2011)</f>
        <v>0</v>
      </c>
      <c r="E394" s="5">
        <f>SUMIFS(SalesDetail[Quantity (KG)],SalesDetail[Customer],$A394,SalesDetail[Year],2012)</f>
        <v>0</v>
      </c>
      <c r="F394" s="5">
        <f>SUMIFS(SalesDetail[Quantity (KG)],SalesDetail[Customer],$A394,SalesDetail[Year],2013)</f>
        <v>0</v>
      </c>
      <c r="G394" s="5">
        <f>SUMIFS(SalesDetail[Quantity (KG)],SalesDetail[Customer],$A394,SalesDetail[Year],2014)</f>
        <v>0</v>
      </c>
      <c r="H394" s="5">
        <f>SUMIFS(SalesDetail[Quantity (KG)],SalesDetail[Customer],$A394,SalesDetail[Year],2015)</f>
        <v>0</v>
      </c>
      <c r="I394" s="5">
        <f>SUMIFS(SalesDetail[Quantity (KG)],SalesDetail[Customer],$A394,SalesDetail[Year],2016)</f>
        <v>0</v>
      </c>
      <c r="J394" s="5">
        <f>SUMIFS(SalesDetail[Quantity (KG)],SalesDetail[Customer],$A394,SalesDetail[Year],2017)</f>
        <v>0</v>
      </c>
      <c r="K394" s="5">
        <f>SUMIFS(SalesDetail[Quantity (KG)],SalesDetail[Customer],$A394,SalesDetail[Year],2018)</f>
        <v>0</v>
      </c>
      <c r="L394" s="5">
        <f>SUMIFS(SalesDetail[Quantity (KG)],SalesDetail[Customer],$A394,SalesDetail[Year],2019)</f>
        <v>10</v>
      </c>
      <c r="M394" s="5">
        <f>SUMIFS(SalesDetail[Quantity (KG)],SalesDetail[Customer],$A394,SalesDetail[Year],2020)</f>
        <v>5</v>
      </c>
      <c r="N394" s="5">
        <f>SUMIFS(SalesDetail[Quantity (KG)],SalesDetail[Customer],$A394,SalesDetail[Year],2021)</f>
        <v>20</v>
      </c>
      <c r="O394" s="6">
        <f>SUM(B394:N394)</f>
        <v>35</v>
      </c>
    </row>
    <row r="395" spans="1:15" x14ac:dyDescent="0.3">
      <c r="A395" t="s">
        <v>1750</v>
      </c>
      <c r="B395" s="5">
        <f>SUMIFS(SalesDetail[Quantity (KG)],SalesDetail[Customer],$A395,SalesDetail[Year],2009)</f>
        <v>0</v>
      </c>
      <c r="C395" s="5">
        <f>SUMIFS(SalesDetail[Quantity (KG)],SalesDetail[Customer],$A395,SalesDetail[Year],2010)</f>
        <v>0</v>
      </c>
      <c r="D395" s="5">
        <f>SUMIFS(SalesDetail[Quantity (KG)],SalesDetail[Customer],$A395,SalesDetail[Year],2011)</f>
        <v>0</v>
      </c>
      <c r="E395" s="5">
        <f>SUMIFS(SalesDetail[Quantity (KG)],SalesDetail[Customer],$A395,SalesDetail[Year],2012)</f>
        <v>0</v>
      </c>
      <c r="F395" s="5">
        <f>SUMIFS(SalesDetail[Quantity (KG)],SalesDetail[Customer],$A395,SalesDetail[Year],2013)</f>
        <v>0</v>
      </c>
      <c r="G395" s="5">
        <f>SUMIFS(SalesDetail[Quantity (KG)],SalesDetail[Customer],$A395,SalesDetail[Year],2014)</f>
        <v>0</v>
      </c>
      <c r="H395" s="5">
        <f>SUMIFS(SalesDetail[Quantity (KG)],SalesDetail[Customer],$A395,SalesDetail[Year],2015)</f>
        <v>0</v>
      </c>
      <c r="I395" s="5">
        <f>SUMIFS(SalesDetail[Quantity (KG)],SalesDetail[Customer],$A395,SalesDetail[Year],2016)</f>
        <v>0</v>
      </c>
      <c r="J395" s="5">
        <f>SUMIFS(SalesDetail[Quantity (KG)],SalesDetail[Customer],$A395,SalesDetail[Year],2017)</f>
        <v>35</v>
      </c>
      <c r="K395" s="5">
        <f>SUMIFS(SalesDetail[Quantity (KG)],SalesDetail[Customer],$A395,SalesDetail[Year],2018)</f>
        <v>0</v>
      </c>
      <c r="L395" s="5">
        <f>SUMIFS(SalesDetail[Quantity (KG)],SalesDetail[Customer],$A395,SalesDetail[Year],2019)</f>
        <v>0</v>
      </c>
      <c r="M395" s="5">
        <f>SUMIFS(SalesDetail[Quantity (KG)],SalesDetail[Customer],$A395,SalesDetail[Year],2020)</f>
        <v>0</v>
      </c>
      <c r="N395" s="5">
        <f>SUMIFS(SalesDetail[Quantity (KG)],SalesDetail[Customer],$A395,SalesDetail[Year],2021)</f>
        <v>0</v>
      </c>
      <c r="O395" s="6">
        <f>SUM(B395:N395)</f>
        <v>35</v>
      </c>
    </row>
    <row r="396" spans="1:15" x14ac:dyDescent="0.3">
      <c r="A396" t="s">
        <v>2256</v>
      </c>
      <c r="B396" s="5">
        <f>SUMIFS(SalesDetail[Quantity (KG)],SalesDetail[Customer],$A396,SalesDetail[Year],2009)</f>
        <v>0</v>
      </c>
      <c r="C396" s="5">
        <f>SUMIFS(SalesDetail[Quantity (KG)],SalesDetail[Customer],$A396,SalesDetail[Year],2010)</f>
        <v>0</v>
      </c>
      <c r="D396" s="5">
        <f>SUMIFS(SalesDetail[Quantity (KG)],SalesDetail[Customer],$A396,SalesDetail[Year],2011)</f>
        <v>0</v>
      </c>
      <c r="E396" s="5">
        <f>SUMIFS(SalesDetail[Quantity (KG)],SalesDetail[Customer],$A396,SalesDetail[Year],2012)</f>
        <v>25</v>
      </c>
      <c r="F396" s="5">
        <f>SUMIFS(SalesDetail[Quantity (KG)],SalesDetail[Customer],$A396,SalesDetail[Year],2013)</f>
        <v>10</v>
      </c>
      <c r="G396" s="5">
        <f>SUMIFS(SalesDetail[Quantity (KG)],SalesDetail[Customer],$A396,SalesDetail[Year],2014)</f>
        <v>0</v>
      </c>
      <c r="H396" s="5">
        <f>SUMIFS(SalesDetail[Quantity (KG)],SalesDetail[Customer],$A396,SalesDetail[Year],2015)</f>
        <v>0</v>
      </c>
      <c r="I396" s="5">
        <f>SUMIFS(SalesDetail[Quantity (KG)],SalesDetail[Customer],$A396,SalesDetail[Year],2016)</f>
        <v>0</v>
      </c>
      <c r="J396" s="5">
        <f>SUMIFS(SalesDetail[Quantity (KG)],SalesDetail[Customer],$A396,SalesDetail[Year],2017)</f>
        <v>0</v>
      </c>
      <c r="K396" s="5">
        <f>SUMIFS(SalesDetail[Quantity (KG)],SalesDetail[Customer],$A396,SalesDetail[Year],2018)</f>
        <v>0</v>
      </c>
      <c r="L396" s="5">
        <f>SUMIFS(SalesDetail[Quantity (KG)],SalesDetail[Customer],$A396,SalesDetail[Year],2019)</f>
        <v>0</v>
      </c>
      <c r="M396" s="5">
        <f>SUMIFS(SalesDetail[Quantity (KG)],SalesDetail[Customer],$A396,SalesDetail[Year],2020)</f>
        <v>0</v>
      </c>
      <c r="N396" s="5">
        <f>SUMIFS(SalesDetail[Quantity (KG)],SalesDetail[Customer],$A396,SalesDetail[Year],2021)</f>
        <v>0</v>
      </c>
      <c r="O396" s="6">
        <f>SUM(B396:N396)</f>
        <v>35</v>
      </c>
    </row>
    <row r="397" spans="1:15" x14ac:dyDescent="0.3">
      <c r="A397" t="s">
        <v>2187</v>
      </c>
      <c r="B397" s="5">
        <f>SUMIFS(SalesDetail[Quantity (KG)],SalesDetail[Customer],$A397,SalesDetail[Year],2009)</f>
        <v>0</v>
      </c>
      <c r="C397" s="5">
        <f>SUMIFS(SalesDetail[Quantity (KG)],SalesDetail[Customer],$A397,SalesDetail[Year],2010)</f>
        <v>0</v>
      </c>
      <c r="D397" s="5">
        <f>SUMIFS(SalesDetail[Quantity (KG)],SalesDetail[Customer],$A397,SalesDetail[Year],2011)</f>
        <v>0</v>
      </c>
      <c r="E397" s="5">
        <f>SUMIFS(SalesDetail[Quantity (KG)],SalesDetail[Customer],$A397,SalesDetail[Year],2012)</f>
        <v>0</v>
      </c>
      <c r="F397" s="5">
        <f>SUMIFS(SalesDetail[Quantity (KG)],SalesDetail[Customer],$A397,SalesDetail[Year],2013)</f>
        <v>0</v>
      </c>
      <c r="G397" s="5">
        <f>SUMIFS(SalesDetail[Quantity (KG)],SalesDetail[Customer],$A397,SalesDetail[Year],2014)</f>
        <v>0</v>
      </c>
      <c r="H397" s="5">
        <f>SUMIFS(SalesDetail[Quantity (KG)],SalesDetail[Customer],$A397,SalesDetail[Year],2015)</f>
        <v>0</v>
      </c>
      <c r="I397" s="5">
        <f>SUMIFS(SalesDetail[Quantity (KG)],SalesDetail[Customer],$A397,SalesDetail[Year],2016)</f>
        <v>0</v>
      </c>
      <c r="J397" s="5">
        <f>SUMIFS(SalesDetail[Quantity (KG)],SalesDetail[Customer],$A397,SalesDetail[Year],2017)</f>
        <v>0</v>
      </c>
      <c r="K397" s="5">
        <f>SUMIFS(SalesDetail[Quantity (KG)],SalesDetail[Customer],$A397,SalesDetail[Year],2018)</f>
        <v>0</v>
      </c>
      <c r="L397" s="5">
        <f>SUMIFS(SalesDetail[Quantity (KG)],SalesDetail[Customer],$A397,SalesDetail[Year],2019)</f>
        <v>0</v>
      </c>
      <c r="M397" s="5">
        <f>SUMIFS(SalesDetail[Quantity (KG)],SalesDetail[Customer],$A397,SalesDetail[Year],2020)</f>
        <v>0</v>
      </c>
      <c r="N397" s="5">
        <f>SUMIFS(SalesDetail[Quantity (KG)],SalesDetail[Customer],$A397,SalesDetail[Year],2021)</f>
        <v>32.799999999999997</v>
      </c>
      <c r="O397" s="6">
        <f>SUM(B397:N397)</f>
        <v>32.799999999999997</v>
      </c>
    </row>
    <row r="398" spans="1:15" x14ac:dyDescent="0.3">
      <c r="A398" t="s">
        <v>1323</v>
      </c>
      <c r="B398" s="5">
        <f>SUMIFS(SalesDetail[Quantity (KG)],SalesDetail[Customer],$A398,SalesDetail[Year],2009)</f>
        <v>0</v>
      </c>
      <c r="C398" s="5">
        <f>SUMIFS(SalesDetail[Quantity (KG)],SalesDetail[Customer],$A398,SalesDetail[Year],2010)</f>
        <v>0</v>
      </c>
      <c r="D398" s="5">
        <f>SUMIFS(SalesDetail[Quantity (KG)],SalesDetail[Customer],$A398,SalesDetail[Year],2011)</f>
        <v>0</v>
      </c>
      <c r="E398" s="5">
        <f>SUMIFS(SalesDetail[Quantity (KG)],SalesDetail[Customer],$A398,SalesDetail[Year],2012)</f>
        <v>0</v>
      </c>
      <c r="F398" s="5">
        <f>SUMIFS(SalesDetail[Quantity (KG)],SalesDetail[Customer],$A398,SalesDetail[Year],2013)</f>
        <v>0</v>
      </c>
      <c r="G398" s="5">
        <f>SUMIFS(SalesDetail[Quantity (KG)],SalesDetail[Customer],$A398,SalesDetail[Year],2014)</f>
        <v>0</v>
      </c>
      <c r="H398" s="5">
        <f>SUMIFS(SalesDetail[Quantity (KG)],SalesDetail[Customer],$A398,SalesDetail[Year],2015)</f>
        <v>0</v>
      </c>
      <c r="I398" s="5">
        <f>SUMIFS(SalesDetail[Quantity (KG)],SalesDetail[Customer],$A398,SalesDetail[Year],2016)</f>
        <v>0</v>
      </c>
      <c r="J398" s="5">
        <f>SUMIFS(SalesDetail[Quantity (KG)],SalesDetail[Customer],$A398,SalesDetail[Year],2017)</f>
        <v>0</v>
      </c>
      <c r="K398" s="5">
        <f>SUMIFS(SalesDetail[Quantity (KG)],SalesDetail[Customer],$A398,SalesDetail[Year],2018)</f>
        <v>21.5</v>
      </c>
      <c r="L398" s="5">
        <f>SUMIFS(SalesDetail[Quantity (KG)],SalesDetail[Customer],$A398,SalesDetail[Year],2019)</f>
        <v>11</v>
      </c>
      <c r="M398" s="5">
        <f>SUMIFS(SalesDetail[Quantity (KG)],SalesDetail[Customer],$A398,SalesDetail[Year],2020)</f>
        <v>0</v>
      </c>
      <c r="N398" s="5">
        <f>SUMIFS(SalesDetail[Quantity (KG)],SalesDetail[Customer],$A398,SalesDetail[Year],2021)</f>
        <v>0</v>
      </c>
      <c r="O398" s="6">
        <f>SUM(B398:N398)</f>
        <v>32.5</v>
      </c>
    </row>
    <row r="399" spans="1:15" x14ac:dyDescent="0.3">
      <c r="A399" t="s">
        <v>578</v>
      </c>
      <c r="B399" s="5">
        <f>SUMIFS(SalesDetail[Quantity (KG)],SalesDetail[Customer],$A399,SalesDetail[Year],2009)</f>
        <v>0</v>
      </c>
      <c r="C399" s="5">
        <f>SUMIFS(SalesDetail[Quantity (KG)],SalesDetail[Customer],$A399,SalesDetail[Year],2010)</f>
        <v>0</v>
      </c>
      <c r="D399" s="5">
        <f>SUMIFS(SalesDetail[Quantity (KG)],SalesDetail[Customer],$A399,SalesDetail[Year],2011)</f>
        <v>0</v>
      </c>
      <c r="E399" s="5">
        <f>SUMIFS(SalesDetail[Quantity (KG)],SalesDetail[Customer],$A399,SalesDetail[Year],2012)</f>
        <v>0</v>
      </c>
      <c r="F399" s="5">
        <f>SUMIFS(SalesDetail[Quantity (KG)],SalesDetail[Customer],$A399,SalesDetail[Year],2013)</f>
        <v>0</v>
      </c>
      <c r="G399" s="5">
        <f>SUMIFS(SalesDetail[Quantity (KG)],SalesDetail[Customer],$A399,SalesDetail[Year],2014)</f>
        <v>0</v>
      </c>
      <c r="H399" s="5">
        <f>SUMIFS(SalesDetail[Quantity (KG)],SalesDetail[Customer],$A399,SalesDetail[Year],2015)</f>
        <v>0</v>
      </c>
      <c r="I399" s="5">
        <f>SUMIFS(SalesDetail[Quantity (KG)],SalesDetail[Customer],$A399,SalesDetail[Year],2016)</f>
        <v>0</v>
      </c>
      <c r="J399" s="5">
        <f>SUMIFS(SalesDetail[Quantity (KG)],SalesDetail[Customer],$A399,SalesDetail[Year],2017)</f>
        <v>20</v>
      </c>
      <c r="K399" s="5">
        <f>SUMIFS(SalesDetail[Quantity (KG)],SalesDetail[Customer],$A399,SalesDetail[Year],2018)</f>
        <v>10</v>
      </c>
      <c r="L399" s="5">
        <f>SUMIFS(SalesDetail[Quantity (KG)],SalesDetail[Customer],$A399,SalesDetail[Year],2019)</f>
        <v>1</v>
      </c>
      <c r="M399" s="5">
        <f>SUMIFS(SalesDetail[Quantity (KG)],SalesDetail[Customer],$A399,SalesDetail[Year],2020)</f>
        <v>0</v>
      </c>
      <c r="N399" s="5">
        <f>SUMIFS(SalesDetail[Quantity (KG)],SalesDetail[Customer],$A399,SalesDetail[Year],2021)</f>
        <v>0</v>
      </c>
      <c r="O399" s="6">
        <f>SUM(B399:N399)</f>
        <v>31</v>
      </c>
    </row>
    <row r="400" spans="1:15" x14ac:dyDescent="0.3">
      <c r="A400" t="s">
        <v>815</v>
      </c>
      <c r="B400" s="5">
        <f>SUMIFS(SalesDetail[Quantity (KG)],SalesDetail[Customer],$A400,SalesDetail[Year],2009)</f>
        <v>0</v>
      </c>
      <c r="C400" s="5">
        <f>SUMIFS(SalesDetail[Quantity (KG)],SalesDetail[Customer],$A400,SalesDetail[Year],2010)</f>
        <v>0</v>
      </c>
      <c r="D400" s="5">
        <f>SUMIFS(SalesDetail[Quantity (KG)],SalesDetail[Customer],$A400,SalesDetail[Year],2011)</f>
        <v>0</v>
      </c>
      <c r="E400" s="5">
        <f>SUMIFS(SalesDetail[Quantity (KG)],SalesDetail[Customer],$A400,SalesDetail[Year],2012)</f>
        <v>0</v>
      </c>
      <c r="F400" s="5">
        <f>SUMIFS(SalesDetail[Quantity (KG)],SalesDetail[Customer],$A400,SalesDetail[Year],2013)</f>
        <v>0</v>
      </c>
      <c r="G400" s="5">
        <f>SUMIFS(SalesDetail[Quantity (KG)],SalesDetail[Customer],$A400,SalesDetail[Year],2014)</f>
        <v>0</v>
      </c>
      <c r="H400" s="5">
        <f>SUMIFS(SalesDetail[Quantity (KG)],SalesDetail[Customer],$A400,SalesDetail[Year],2015)</f>
        <v>0</v>
      </c>
      <c r="I400" s="5">
        <f>SUMIFS(SalesDetail[Quantity (KG)],SalesDetail[Customer],$A400,SalesDetail[Year],2016)</f>
        <v>0</v>
      </c>
      <c r="J400" s="5">
        <f>SUMIFS(SalesDetail[Quantity (KG)],SalesDetail[Customer],$A400,SalesDetail[Year],2017)</f>
        <v>0</v>
      </c>
      <c r="K400" s="5">
        <f>SUMIFS(SalesDetail[Quantity (KG)],SalesDetail[Customer],$A400,SalesDetail[Year],2018)</f>
        <v>0</v>
      </c>
      <c r="L400" s="5">
        <f>SUMIFS(SalesDetail[Quantity (KG)],SalesDetail[Customer],$A400,SalesDetail[Year],2019)</f>
        <v>0</v>
      </c>
      <c r="M400" s="5">
        <f>SUMIFS(SalesDetail[Quantity (KG)],SalesDetail[Customer],$A400,SalesDetail[Year],2020)</f>
        <v>25</v>
      </c>
      <c r="N400" s="5">
        <f>SUMIFS(SalesDetail[Quantity (KG)],SalesDetail[Customer],$A400,SalesDetail[Year],2021)</f>
        <v>5</v>
      </c>
      <c r="O400" s="6">
        <f>SUM(B400:N400)</f>
        <v>30</v>
      </c>
    </row>
    <row r="401" spans="1:15" x14ac:dyDescent="0.3">
      <c r="A401" t="s">
        <v>1207</v>
      </c>
      <c r="B401" s="5">
        <f>SUMIFS(SalesDetail[Quantity (KG)],SalesDetail[Customer],$A401,SalesDetail[Year],2009)</f>
        <v>0</v>
      </c>
      <c r="C401" s="5">
        <f>SUMIFS(SalesDetail[Quantity (KG)],SalesDetail[Customer],$A401,SalesDetail[Year],2010)</f>
        <v>0</v>
      </c>
      <c r="D401" s="5">
        <f>SUMIFS(SalesDetail[Quantity (KG)],SalesDetail[Customer],$A401,SalesDetail[Year],2011)</f>
        <v>0</v>
      </c>
      <c r="E401" s="5">
        <f>SUMIFS(SalesDetail[Quantity (KG)],SalesDetail[Customer],$A401,SalesDetail[Year],2012)</f>
        <v>0</v>
      </c>
      <c r="F401" s="5">
        <f>SUMIFS(SalesDetail[Quantity (KG)],SalesDetail[Customer],$A401,SalesDetail[Year],2013)</f>
        <v>0</v>
      </c>
      <c r="G401" s="5">
        <f>SUMIFS(SalesDetail[Quantity (KG)],SalesDetail[Customer],$A401,SalesDetail[Year],2014)</f>
        <v>0</v>
      </c>
      <c r="H401" s="5">
        <f>SUMIFS(SalesDetail[Quantity (KG)],SalesDetail[Customer],$A401,SalesDetail[Year],2015)</f>
        <v>0</v>
      </c>
      <c r="I401" s="5">
        <f>SUMIFS(SalesDetail[Quantity (KG)],SalesDetail[Customer],$A401,SalesDetail[Year],2016)</f>
        <v>0</v>
      </c>
      <c r="J401" s="5">
        <f>SUMIFS(SalesDetail[Quantity (KG)],SalesDetail[Customer],$A401,SalesDetail[Year],2017)</f>
        <v>0</v>
      </c>
      <c r="K401" s="5">
        <f>SUMIFS(SalesDetail[Quantity (KG)],SalesDetail[Customer],$A401,SalesDetail[Year],2018)</f>
        <v>0</v>
      </c>
      <c r="L401" s="5">
        <f>SUMIFS(SalesDetail[Quantity (KG)],SalesDetail[Customer],$A401,SalesDetail[Year],2019)</f>
        <v>15</v>
      </c>
      <c r="M401" s="5">
        <f>SUMIFS(SalesDetail[Quantity (KG)],SalesDetail[Customer],$A401,SalesDetail[Year],2020)</f>
        <v>15</v>
      </c>
      <c r="N401" s="5">
        <f>SUMIFS(SalesDetail[Quantity (KG)],SalesDetail[Customer],$A401,SalesDetail[Year],2021)</f>
        <v>0</v>
      </c>
      <c r="O401" s="6">
        <f>SUM(B401:N401)</f>
        <v>30</v>
      </c>
    </row>
    <row r="402" spans="1:15" x14ac:dyDescent="0.3">
      <c r="A402" t="s">
        <v>1868</v>
      </c>
      <c r="B402" s="5">
        <f>SUMIFS(SalesDetail[Quantity (KG)],SalesDetail[Customer],$A402,SalesDetail[Year],2009)</f>
        <v>0</v>
      </c>
      <c r="C402" s="5">
        <f>SUMIFS(SalesDetail[Quantity (KG)],SalesDetail[Customer],$A402,SalesDetail[Year],2010)</f>
        <v>0</v>
      </c>
      <c r="D402" s="5">
        <f>SUMIFS(SalesDetail[Quantity (KG)],SalesDetail[Customer],$A402,SalesDetail[Year],2011)</f>
        <v>0</v>
      </c>
      <c r="E402" s="5">
        <f>SUMIFS(SalesDetail[Quantity (KG)],SalesDetail[Customer],$A402,SalesDetail[Year],2012)</f>
        <v>0</v>
      </c>
      <c r="F402" s="5">
        <f>SUMIFS(SalesDetail[Quantity (KG)],SalesDetail[Customer],$A402,SalesDetail[Year],2013)</f>
        <v>0</v>
      </c>
      <c r="G402" s="5">
        <f>SUMIFS(SalesDetail[Quantity (KG)],SalesDetail[Customer],$A402,SalesDetail[Year],2014)</f>
        <v>0</v>
      </c>
      <c r="H402" s="5">
        <f>SUMIFS(SalesDetail[Quantity (KG)],SalesDetail[Customer],$A402,SalesDetail[Year],2015)</f>
        <v>20</v>
      </c>
      <c r="I402" s="5">
        <f>SUMIFS(SalesDetail[Quantity (KG)],SalesDetail[Customer],$A402,SalesDetail[Year],2016)</f>
        <v>10</v>
      </c>
      <c r="J402" s="5">
        <f>SUMIFS(SalesDetail[Quantity (KG)],SalesDetail[Customer],$A402,SalesDetail[Year],2017)</f>
        <v>0</v>
      </c>
      <c r="K402" s="5">
        <f>SUMIFS(SalesDetail[Quantity (KG)],SalesDetail[Customer],$A402,SalesDetail[Year],2018)</f>
        <v>0</v>
      </c>
      <c r="L402" s="5">
        <f>SUMIFS(SalesDetail[Quantity (KG)],SalesDetail[Customer],$A402,SalesDetail[Year],2019)</f>
        <v>0</v>
      </c>
      <c r="M402" s="5">
        <f>SUMIFS(SalesDetail[Quantity (KG)],SalesDetail[Customer],$A402,SalesDetail[Year],2020)</f>
        <v>0</v>
      </c>
      <c r="N402" s="5">
        <f>SUMIFS(SalesDetail[Quantity (KG)],SalesDetail[Customer],$A402,SalesDetail[Year],2021)</f>
        <v>0</v>
      </c>
      <c r="O402" s="6">
        <f>SUM(B402:N402)</f>
        <v>30</v>
      </c>
    </row>
    <row r="403" spans="1:15" x14ac:dyDescent="0.3">
      <c r="A403" t="s">
        <v>2173</v>
      </c>
      <c r="B403" s="5">
        <f>SUMIFS(SalesDetail[Quantity (KG)],SalesDetail[Customer],$A403,SalesDetail[Year],2009)</f>
        <v>0</v>
      </c>
      <c r="C403" s="5">
        <f>SUMIFS(SalesDetail[Quantity (KG)],SalesDetail[Customer],$A403,SalesDetail[Year],2010)</f>
        <v>0</v>
      </c>
      <c r="D403" s="5">
        <f>SUMIFS(SalesDetail[Quantity (KG)],SalesDetail[Customer],$A403,SalesDetail[Year],2011)</f>
        <v>0</v>
      </c>
      <c r="E403" s="5">
        <f>SUMIFS(SalesDetail[Quantity (KG)],SalesDetail[Customer],$A403,SalesDetail[Year],2012)</f>
        <v>0</v>
      </c>
      <c r="F403" s="5">
        <f>SUMIFS(SalesDetail[Quantity (KG)],SalesDetail[Customer],$A403,SalesDetail[Year],2013)</f>
        <v>0</v>
      </c>
      <c r="G403" s="5">
        <f>SUMIFS(SalesDetail[Quantity (KG)],SalesDetail[Customer],$A403,SalesDetail[Year],2014)</f>
        <v>0</v>
      </c>
      <c r="H403" s="5">
        <f>SUMIFS(SalesDetail[Quantity (KG)],SalesDetail[Customer],$A403,SalesDetail[Year],2015)</f>
        <v>0</v>
      </c>
      <c r="I403" s="5">
        <f>SUMIFS(SalesDetail[Quantity (KG)],SalesDetail[Customer],$A403,SalesDetail[Year],2016)</f>
        <v>0</v>
      </c>
      <c r="J403" s="5">
        <f>SUMIFS(SalesDetail[Quantity (KG)],SalesDetail[Customer],$A403,SalesDetail[Year],2017)</f>
        <v>0</v>
      </c>
      <c r="K403" s="5">
        <f>SUMIFS(SalesDetail[Quantity (KG)],SalesDetail[Customer],$A403,SalesDetail[Year],2018)</f>
        <v>0</v>
      </c>
      <c r="L403" s="5">
        <f>SUMIFS(SalesDetail[Quantity (KG)],SalesDetail[Customer],$A403,SalesDetail[Year],2019)</f>
        <v>0</v>
      </c>
      <c r="M403" s="5">
        <f>SUMIFS(SalesDetail[Quantity (KG)],SalesDetail[Customer],$A403,SalesDetail[Year],2020)</f>
        <v>30</v>
      </c>
      <c r="N403" s="5">
        <f>SUMIFS(SalesDetail[Quantity (KG)],SalesDetail[Customer],$A403,SalesDetail[Year],2021)</f>
        <v>0</v>
      </c>
      <c r="O403" s="6">
        <f>SUM(B403:N403)</f>
        <v>30</v>
      </c>
    </row>
    <row r="404" spans="1:15" x14ac:dyDescent="0.3">
      <c r="A404" t="s">
        <v>2441</v>
      </c>
      <c r="B404" s="5">
        <f>SUMIFS(SalesDetail[Quantity (KG)],SalesDetail[Customer],$A404,SalesDetail[Year],2009)</f>
        <v>0</v>
      </c>
      <c r="C404" s="5">
        <f>SUMIFS(SalesDetail[Quantity (KG)],SalesDetail[Customer],$A404,SalesDetail[Year],2010)</f>
        <v>0</v>
      </c>
      <c r="D404" s="5">
        <f>SUMIFS(SalesDetail[Quantity (KG)],SalesDetail[Customer],$A404,SalesDetail[Year],2011)</f>
        <v>0</v>
      </c>
      <c r="E404" s="5">
        <f>SUMIFS(SalesDetail[Quantity (KG)],SalesDetail[Customer],$A404,SalesDetail[Year],2012)</f>
        <v>0</v>
      </c>
      <c r="F404" s="5">
        <f>SUMIFS(SalesDetail[Quantity (KG)],SalesDetail[Customer],$A404,SalesDetail[Year],2013)</f>
        <v>0</v>
      </c>
      <c r="G404" s="5">
        <f>SUMIFS(SalesDetail[Quantity (KG)],SalesDetail[Customer],$A404,SalesDetail[Year],2014)</f>
        <v>0</v>
      </c>
      <c r="H404" s="5">
        <f>SUMIFS(SalesDetail[Quantity (KG)],SalesDetail[Customer],$A404,SalesDetail[Year],2015)</f>
        <v>0</v>
      </c>
      <c r="I404" s="5">
        <f>SUMIFS(SalesDetail[Quantity (KG)],SalesDetail[Customer],$A404,SalesDetail[Year],2016)</f>
        <v>0</v>
      </c>
      <c r="J404" s="5">
        <f>SUMIFS(SalesDetail[Quantity (KG)],SalesDetail[Customer],$A404,SalesDetail[Year],2017)</f>
        <v>0</v>
      </c>
      <c r="K404" s="5">
        <f>SUMIFS(SalesDetail[Quantity (KG)],SalesDetail[Customer],$A404,SalesDetail[Year],2018)</f>
        <v>0</v>
      </c>
      <c r="L404" s="5">
        <f>SUMIFS(SalesDetail[Quantity (KG)],SalesDetail[Customer],$A404,SalesDetail[Year],2019)</f>
        <v>30</v>
      </c>
      <c r="M404" s="5">
        <f>SUMIFS(SalesDetail[Quantity (KG)],SalesDetail[Customer],$A404,SalesDetail[Year],2020)</f>
        <v>0</v>
      </c>
      <c r="N404" s="5">
        <f>SUMIFS(SalesDetail[Quantity (KG)],SalesDetail[Customer],$A404,SalesDetail[Year],2021)</f>
        <v>0</v>
      </c>
      <c r="O404" s="6">
        <f>SUM(B404:N404)</f>
        <v>30</v>
      </c>
    </row>
    <row r="405" spans="1:15" x14ac:dyDescent="0.3">
      <c r="A405" t="s">
        <v>1679</v>
      </c>
      <c r="B405" s="5">
        <f>SUMIFS(SalesDetail[Quantity (KG)],SalesDetail[Customer],$A405,SalesDetail[Year],2009)</f>
        <v>0</v>
      </c>
      <c r="C405" s="5">
        <f>SUMIFS(SalesDetail[Quantity (KG)],SalesDetail[Customer],$A405,SalesDetail[Year],2010)</f>
        <v>0</v>
      </c>
      <c r="D405" s="5">
        <f>SUMIFS(SalesDetail[Quantity (KG)],SalesDetail[Customer],$A405,SalesDetail[Year],2011)</f>
        <v>0</v>
      </c>
      <c r="E405" s="5">
        <f>SUMIFS(SalesDetail[Quantity (KG)],SalesDetail[Customer],$A405,SalesDetail[Year],2012)</f>
        <v>25</v>
      </c>
      <c r="F405" s="5">
        <f>SUMIFS(SalesDetail[Quantity (KG)],SalesDetail[Customer],$A405,SalesDetail[Year],2013)</f>
        <v>0</v>
      </c>
      <c r="G405" s="5">
        <f>SUMIFS(SalesDetail[Quantity (KG)],SalesDetail[Customer],$A405,SalesDetail[Year],2014)</f>
        <v>0</v>
      </c>
      <c r="H405" s="5">
        <f>SUMIFS(SalesDetail[Quantity (KG)],SalesDetail[Customer],$A405,SalesDetail[Year],2015)</f>
        <v>0</v>
      </c>
      <c r="I405" s="5">
        <f>SUMIFS(SalesDetail[Quantity (KG)],SalesDetail[Customer],$A405,SalesDetail[Year],2016)</f>
        <v>0</v>
      </c>
      <c r="J405" s="5">
        <f>SUMIFS(SalesDetail[Quantity (KG)],SalesDetail[Customer],$A405,SalesDetail[Year],2017)</f>
        <v>0</v>
      </c>
      <c r="K405" s="5">
        <f>SUMIFS(SalesDetail[Quantity (KG)],SalesDetail[Customer],$A405,SalesDetail[Year],2018)</f>
        <v>0</v>
      </c>
      <c r="L405" s="5">
        <f>SUMIFS(SalesDetail[Quantity (KG)],SalesDetail[Customer],$A405,SalesDetail[Year],2019)</f>
        <v>0</v>
      </c>
      <c r="M405" s="5">
        <f>SUMIFS(SalesDetail[Quantity (KG)],SalesDetail[Customer],$A405,SalesDetail[Year],2020)</f>
        <v>4</v>
      </c>
      <c r="N405" s="5">
        <f>SUMIFS(SalesDetail[Quantity (KG)],SalesDetail[Customer],$A405,SalesDetail[Year],2021)</f>
        <v>0</v>
      </c>
      <c r="O405" s="6">
        <f>SUM(B405:N405)</f>
        <v>29</v>
      </c>
    </row>
    <row r="406" spans="1:15" x14ac:dyDescent="0.3">
      <c r="A406" t="s">
        <v>2275</v>
      </c>
      <c r="B406" s="5">
        <f>SUMIFS(SalesDetail[Quantity (KG)],SalesDetail[Customer],$A406,SalesDetail[Year],2009)</f>
        <v>0</v>
      </c>
      <c r="C406" s="5">
        <f>SUMIFS(SalesDetail[Quantity (KG)],SalesDetail[Customer],$A406,SalesDetail[Year],2010)</f>
        <v>0</v>
      </c>
      <c r="D406" s="5">
        <f>SUMIFS(SalesDetail[Quantity (KG)],SalesDetail[Customer],$A406,SalesDetail[Year],2011)</f>
        <v>0</v>
      </c>
      <c r="E406" s="5">
        <f>SUMIFS(SalesDetail[Quantity (KG)],SalesDetail[Customer],$A406,SalesDetail[Year],2012)</f>
        <v>0</v>
      </c>
      <c r="F406" s="5">
        <f>SUMIFS(SalesDetail[Quantity (KG)],SalesDetail[Customer],$A406,SalesDetail[Year],2013)</f>
        <v>0</v>
      </c>
      <c r="G406" s="5">
        <f>SUMIFS(SalesDetail[Quantity (KG)],SalesDetail[Customer],$A406,SalesDetail[Year],2014)</f>
        <v>0</v>
      </c>
      <c r="H406" s="5">
        <f>SUMIFS(SalesDetail[Quantity (KG)],SalesDetail[Customer],$A406,SalesDetail[Year],2015)</f>
        <v>0</v>
      </c>
      <c r="I406" s="5">
        <f>SUMIFS(SalesDetail[Quantity (KG)],SalesDetail[Customer],$A406,SalesDetail[Year],2016)</f>
        <v>0</v>
      </c>
      <c r="J406" s="5">
        <f>SUMIFS(SalesDetail[Quantity (KG)],SalesDetail[Customer],$A406,SalesDetail[Year],2017)</f>
        <v>0</v>
      </c>
      <c r="K406" s="5">
        <f>SUMIFS(SalesDetail[Quantity (KG)],SalesDetail[Customer],$A406,SalesDetail[Year],2018)</f>
        <v>0</v>
      </c>
      <c r="L406" s="5">
        <f>SUMIFS(SalesDetail[Quantity (KG)],SalesDetail[Customer],$A406,SalesDetail[Year],2019)</f>
        <v>29</v>
      </c>
      <c r="M406" s="5">
        <f>SUMIFS(SalesDetail[Quantity (KG)],SalesDetail[Customer],$A406,SalesDetail[Year],2020)</f>
        <v>0</v>
      </c>
      <c r="N406" s="5">
        <f>SUMIFS(SalesDetail[Quantity (KG)],SalesDetail[Customer],$A406,SalesDetail[Year],2021)</f>
        <v>0</v>
      </c>
      <c r="O406" s="6">
        <f>SUM(B406:N406)</f>
        <v>29</v>
      </c>
    </row>
    <row r="407" spans="1:15" x14ac:dyDescent="0.3">
      <c r="A407" t="s">
        <v>2333</v>
      </c>
      <c r="B407" s="5">
        <f>SUMIFS(SalesDetail[Quantity (KG)],SalesDetail[Customer],$A407,SalesDetail[Year],2009)</f>
        <v>0</v>
      </c>
      <c r="C407" s="5">
        <f>SUMIFS(SalesDetail[Quantity (KG)],SalesDetail[Customer],$A407,SalesDetail[Year],2010)</f>
        <v>0</v>
      </c>
      <c r="D407" s="5">
        <f>SUMIFS(SalesDetail[Quantity (KG)],SalesDetail[Customer],$A407,SalesDetail[Year],2011)</f>
        <v>0</v>
      </c>
      <c r="E407" s="5">
        <f>SUMIFS(SalesDetail[Quantity (KG)],SalesDetail[Customer],$A407,SalesDetail[Year],2012)</f>
        <v>0</v>
      </c>
      <c r="F407" s="5">
        <f>SUMIFS(SalesDetail[Quantity (KG)],SalesDetail[Customer],$A407,SalesDetail[Year],2013)</f>
        <v>0</v>
      </c>
      <c r="G407" s="5">
        <f>SUMIFS(SalesDetail[Quantity (KG)],SalesDetail[Customer],$A407,SalesDetail[Year],2014)</f>
        <v>0</v>
      </c>
      <c r="H407" s="5">
        <f>SUMIFS(SalesDetail[Quantity (KG)],SalesDetail[Customer],$A407,SalesDetail[Year],2015)</f>
        <v>0</v>
      </c>
      <c r="I407" s="5">
        <f>SUMIFS(SalesDetail[Quantity (KG)],SalesDetail[Customer],$A407,SalesDetail[Year],2016)</f>
        <v>0</v>
      </c>
      <c r="J407" s="5">
        <f>SUMIFS(SalesDetail[Quantity (KG)],SalesDetail[Customer],$A407,SalesDetail[Year],2017)</f>
        <v>0</v>
      </c>
      <c r="K407" s="5">
        <f>SUMIFS(SalesDetail[Quantity (KG)],SalesDetail[Customer],$A407,SalesDetail[Year],2018)</f>
        <v>0</v>
      </c>
      <c r="L407" s="5">
        <f>SUMIFS(SalesDetail[Quantity (KG)],SalesDetail[Customer],$A407,SalesDetail[Year],2019)</f>
        <v>28.5</v>
      </c>
      <c r="M407" s="5">
        <f>SUMIFS(SalesDetail[Quantity (KG)],SalesDetail[Customer],$A407,SalesDetail[Year],2020)</f>
        <v>0</v>
      </c>
      <c r="N407" s="5">
        <f>SUMIFS(SalesDetail[Quantity (KG)],SalesDetail[Customer],$A407,SalesDetail[Year],2021)</f>
        <v>0</v>
      </c>
      <c r="O407" s="6">
        <f>SUM(B407:N407)</f>
        <v>28.5</v>
      </c>
    </row>
    <row r="408" spans="1:15" x14ac:dyDescent="0.3">
      <c r="A408" t="s">
        <v>2423</v>
      </c>
      <c r="B408" s="5">
        <f>SUMIFS(SalesDetail[Quantity (KG)],SalesDetail[Customer],$A408,SalesDetail[Year],2009)</f>
        <v>0</v>
      </c>
      <c r="C408" s="5">
        <f>SUMIFS(SalesDetail[Quantity (KG)],SalesDetail[Customer],$A408,SalesDetail[Year],2010)</f>
        <v>0</v>
      </c>
      <c r="D408" s="5">
        <f>SUMIFS(SalesDetail[Quantity (KG)],SalesDetail[Customer],$A408,SalesDetail[Year],2011)</f>
        <v>0</v>
      </c>
      <c r="E408" s="5">
        <f>SUMIFS(SalesDetail[Quantity (KG)],SalesDetail[Customer],$A408,SalesDetail[Year],2012)</f>
        <v>0</v>
      </c>
      <c r="F408" s="5">
        <f>SUMIFS(SalesDetail[Quantity (KG)],SalesDetail[Customer],$A408,SalesDetail[Year],2013)</f>
        <v>0</v>
      </c>
      <c r="G408" s="5">
        <f>SUMIFS(SalesDetail[Quantity (KG)],SalesDetail[Customer],$A408,SalesDetail[Year],2014)</f>
        <v>0</v>
      </c>
      <c r="H408" s="5">
        <f>SUMIFS(SalesDetail[Quantity (KG)],SalesDetail[Customer],$A408,SalesDetail[Year],2015)</f>
        <v>0</v>
      </c>
      <c r="I408" s="5">
        <f>SUMIFS(SalesDetail[Quantity (KG)],SalesDetail[Customer],$A408,SalesDetail[Year],2016)</f>
        <v>0</v>
      </c>
      <c r="J408" s="5">
        <f>SUMIFS(SalesDetail[Quantity (KG)],SalesDetail[Customer],$A408,SalesDetail[Year],2017)</f>
        <v>6</v>
      </c>
      <c r="K408" s="5">
        <f>SUMIFS(SalesDetail[Quantity (KG)],SalesDetail[Customer],$A408,SalesDetail[Year],2018)</f>
        <v>10</v>
      </c>
      <c r="L408" s="5">
        <f>SUMIFS(SalesDetail[Quantity (KG)],SalesDetail[Customer],$A408,SalesDetail[Year],2019)</f>
        <v>9.5</v>
      </c>
      <c r="M408" s="5">
        <f>SUMIFS(SalesDetail[Quantity (KG)],SalesDetail[Customer],$A408,SalesDetail[Year],2020)</f>
        <v>3</v>
      </c>
      <c r="N408" s="5">
        <f>SUMIFS(SalesDetail[Quantity (KG)],SalesDetail[Customer],$A408,SalesDetail[Year],2021)</f>
        <v>0</v>
      </c>
      <c r="O408" s="6">
        <f>SUM(B408:N408)</f>
        <v>28.5</v>
      </c>
    </row>
    <row r="409" spans="1:15" x14ac:dyDescent="0.3">
      <c r="A409" t="s">
        <v>2454</v>
      </c>
      <c r="B409" s="5">
        <f>SUMIFS(SalesDetail[Quantity (KG)],SalesDetail[Customer],$A409,SalesDetail[Year],2009)</f>
        <v>0</v>
      </c>
      <c r="C409" s="5">
        <f>SUMIFS(SalesDetail[Quantity (KG)],SalesDetail[Customer],$A409,SalesDetail[Year],2010)</f>
        <v>0</v>
      </c>
      <c r="D409" s="5">
        <f>SUMIFS(SalesDetail[Quantity (KG)],SalesDetail[Customer],$A409,SalesDetail[Year],2011)</f>
        <v>0</v>
      </c>
      <c r="E409" s="5">
        <f>SUMIFS(SalesDetail[Quantity (KG)],SalesDetail[Customer],$A409,SalesDetail[Year],2012)</f>
        <v>0</v>
      </c>
      <c r="F409" s="5">
        <f>SUMIFS(SalesDetail[Quantity (KG)],SalesDetail[Customer],$A409,SalesDetail[Year],2013)</f>
        <v>0</v>
      </c>
      <c r="G409" s="5">
        <f>SUMIFS(SalesDetail[Quantity (KG)],SalesDetail[Customer],$A409,SalesDetail[Year],2014)</f>
        <v>0</v>
      </c>
      <c r="H409" s="5">
        <f>SUMIFS(SalesDetail[Quantity (KG)],SalesDetail[Customer],$A409,SalesDetail[Year],2015)</f>
        <v>0</v>
      </c>
      <c r="I409" s="5">
        <f>SUMIFS(SalesDetail[Quantity (KG)],SalesDetail[Customer],$A409,SalesDetail[Year],2016)</f>
        <v>28.1</v>
      </c>
      <c r="J409" s="5">
        <f>SUMIFS(SalesDetail[Quantity (KG)],SalesDetail[Customer],$A409,SalesDetail[Year],2017)</f>
        <v>0</v>
      </c>
      <c r="K409" s="5">
        <f>SUMIFS(SalesDetail[Quantity (KG)],SalesDetail[Customer],$A409,SalesDetail[Year],2018)</f>
        <v>0</v>
      </c>
      <c r="L409" s="5">
        <f>SUMIFS(SalesDetail[Quantity (KG)],SalesDetail[Customer],$A409,SalesDetail[Year],2019)</f>
        <v>0</v>
      </c>
      <c r="M409" s="5">
        <f>SUMIFS(SalesDetail[Quantity (KG)],SalesDetail[Customer],$A409,SalesDetail[Year],2020)</f>
        <v>0</v>
      </c>
      <c r="N409" s="5">
        <f>SUMIFS(SalesDetail[Quantity (KG)],SalesDetail[Customer],$A409,SalesDetail[Year],2021)</f>
        <v>0</v>
      </c>
      <c r="O409" s="6">
        <f>SUM(B409:N409)</f>
        <v>28.1</v>
      </c>
    </row>
    <row r="410" spans="1:15" x14ac:dyDescent="0.3">
      <c r="A410" t="s">
        <v>873</v>
      </c>
      <c r="B410" s="5">
        <f>SUMIFS(SalesDetail[Quantity (KG)],SalesDetail[Customer],$A410,SalesDetail[Year],2009)</f>
        <v>0</v>
      </c>
      <c r="C410" s="5">
        <f>SUMIFS(SalesDetail[Quantity (KG)],SalesDetail[Customer],$A410,SalesDetail[Year],2010)</f>
        <v>0</v>
      </c>
      <c r="D410" s="5">
        <f>SUMIFS(SalesDetail[Quantity (KG)],SalesDetail[Customer],$A410,SalesDetail[Year],2011)</f>
        <v>0</v>
      </c>
      <c r="E410" s="5">
        <f>SUMIFS(SalesDetail[Quantity (KG)],SalesDetail[Customer],$A410,SalesDetail[Year],2012)</f>
        <v>2</v>
      </c>
      <c r="F410" s="5">
        <f>SUMIFS(SalesDetail[Quantity (KG)],SalesDetail[Customer],$A410,SalesDetail[Year],2013)</f>
        <v>25</v>
      </c>
      <c r="G410" s="5">
        <f>SUMIFS(SalesDetail[Quantity (KG)],SalesDetail[Customer],$A410,SalesDetail[Year],2014)</f>
        <v>0</v>
      </c>
      <c r="H410" s="5">
        <f>SUMIFS(SalesDetail[Quantity (KG)],SalesDetail[Customer],$A410,SalesDetail[Year],2015)</f>
        <v>0</v>
      </c>
      <c r="I410" s="5">
        <f>SUMIFS(SalesDetail[Quantity (KG)],SalesDetail[Customer],$A410,SalesDetail[Year],2016)</f>
        <v>0</v>
      </c>
      <c r="J410" s="5">
        <f>SUMIFS(SalesDetail[Quantity (KG)],SalesDetail[Customer],$A410,SalesDetail[Year],2017)</f>
        <v>0</v>
      </c>
      <c r="K410" s="5">
        <f>SUMIFS(SalesDetail[Quantity (KG)],SalesDetail[Customer],$A410,SalesDetail[Year],2018)</f>
        <v>0</v>
      </c>
      <c r="L410" s="5">
        <f>SUMIFS(SalesDetail[Quantity (KG)],SalesDetail[Customer],$A410,SalesDetail[Year],2019)</f>
        <v>0</v>
      </c>
      <c r="M410" s="5">
        <f>SUMIFS(SalesDetail[Quantity (KG)],SalesDetail[Customer],$A410,SalesDetail[Year],2020)</f>
        <v>0</v>
      </c>
      <c r="N410" s="5">
        <f>SUMIFS(SalesDetail[Quantity (KG)],SalesDetail[Customer],$A410,SalesDetail[Year],2021)</f>
        <v>0</v>
      </c>
      <c r="O410" s="6">
        <f>SUM(B410:N410)</f>
        <v>27</v>
      </c>
    </row>
    <row r="411" spans="1:15" x14ac:dyDescent="0.3">
      <c r="A411" t="s">
        <v>1678</v>
      </c>
      <c r="B411" s="5">
        <f>SUMIFS(SalesDetail[Quantity (KG)],SalesDetail[Customer],$A411,SalesDetail[Year],2009)</f>
        <v>0</v>
      </c>
      <c r="C411" s="5">
        <f>SUMIFS(SalesDetail[Quantity (KG)],SalesDetail[Customer],$A411,SalesDetail[Year],2010)</f>
        <v>0</v>
      </c>
      <c r="D411" s="5">
        <f>SUMIFS(SalesDetail[Quantity (KG)],SalesDetail[Customer],$A411,SalesDetail[Year],2011)</f>
        <v>0</v>
      </c>
      <c r="E411" s="5">
        <f>SUMIFS(SalesDetail[Quantity (KG)],SalesDetail[Customer],$A411,SalesDetail[Year],2012)</f>
        <v>0</v>
      </c>
      <c r="F411" s="5">
        <f>SUMIFS(SalesDetail[Quantity (KG)],SalesDetail[Customer],$A411,SalesDetail[Year],2013)</f>
        <v>0</v>
      </c>
      <c r="G411" s="5">
        <f>SUMIFS(SalesDetail[Quantity (KG)],SalesDetail[Customer],$A411,SalesDetail[Year],2014)</f>
        <v>0</v>
      </c>
      <c r="H411" s="5">
        <f>SUMIFS(SalesDetail[Quantity (KG)],SalesDetail[Customer],$A411,SalesDetail[Year],2015)</f>
        <v>0</v>
      </c>
      <c r="I411" s="5">
        <f>SUMIFS(SalesDetail[Quantity (KG)],SalesDetail[Customer],$A411,SalesDetail[Year],2016)</f>
        <v>0</v>
      </c>
      <c r="J411" s="5">
        <f>SUMIFS(SalesDetail[Quantity (KG)],SalesDetail[Customer],$A411,SalesDetail[Year],2017)</f>
        <v>25</v>
      </c>
      <c r="K411" s="5">
        <f>SUMIFS(SalesDetail[Quantity (KG)],SalesDetail[Customer],$A411,SalesDetail[Year],2018)</f>
        <v>2</v>
      </c>
      <c r="L411" s="5">
        <f>SUMIFS(SalesDetail[Quantity (KG)],SalesDetail[Customer],$A411,SalesDetail[Year],2019)</f>
        <v>0</v>
      </c>
      <c r="M411" s="5">
        <f>SUMIFS(SalesDetail[Quantity (KG)],SalesDetail[Customer],$A411,SalesDetail[Year],2020)</f>
        <v>0</v>
      </c>
      <c r="N411" s="5">
        <f>SUMIFS(SalesDetail[Quantity (KG)],SalesDetail[Customer],$A411,SalesDetail[Year],2021)</f>
        <v>0</v>
      </c>
      <c r="O411" s="6">
        <f>SUM(B411:N411)</f>
        <v>27</v>
      </c>
    </row>
    <row r="412" spans="1:15" x14ac:dyDescent="0.3">
      <c r="A412" t="s">
        <v>1092</v>
      </c>
      <c r="B412" s="5">
        <f>SUMIFS(SalesDetail[Quantity (KG)],SalesDetail[Customer],$A412,SalesDetail[Year],2009)</f>
        <v>0</v>
      </c>
      <c r="C412" s="5">
        <f>SUMIFS(SalesDetail[Quantity (KG)],SalesDetail[Customer],$A412,SalesDetail[Year],2010)</f>
        <v>0</v>
      </c>
      <c r="D412" s="5">
        <f>SUMIFS(SalesDetail[Quantity (KG)],SalesDetail[Customer],$A412,SalesDetail[Year],2011)</f>
        <v>0</v>
      </c>
      <c r="E412" s="5">
        <f>SUMIFS(SalesDetail[Quantity (KG)],SalesDetail[Customer],$A412,SalesDetail[Year],2012)</f>
        <v>0</v>
      </c>
      <c r="F412" s="5">
        <f>SUMIFS(SalesDetail[Quantity (KG)],SalesDetail[Customer],$A412,SalesDetail[Year],2013)</f>
        <v>0</v>
      </c>
      <c r="G412" s="5">
        <f>SUMIFS(SalesDetail[Quantity (KG)],SalesDetail[Customer],$A412,SalesDetail[Year],2014)</f>
        <v>0</v>
      </c>
      <c r="H412" s="5">
        <f>SUMIFS(SalesDetail[Quantity (KG)],SalesDetail[Customer],$A412,SalesDetail[Year],2015)</f>
        <v>0</v>
      </c>
      <c r="I412" s="5">
        <f>SUMIFS(SalesDetail[Quantity (KG)],SalesDetail[Customer],$A412,SalesDetail[Year],2016)</f>
        <v>0</v>
      </c>
      <c r="J412" s="5">
        <f>SUMIFS(SalesDetail[Quantity (KG)],SalesDetail[Customer],$A412,SalesDetail[Year],2017)</f>
        <v>0</v>
      </c>
      <c r="K412" s="5">
        <f>SUMIFS(SalesDetail[Quantity (KG)],SalesDetail[Customer],$A412,SalesDetail[Year],2018)</f>
        <v>26</v>
      </c>
      <c r="L412" s="5">
        <f>SUMIFS(SalesDetail[Quantity (KG)],SalesDetail[Customer],$A412,SalesDetail[Year],2019)</f>
        <v>0</v>
      </c>
      <c r="M412" s="5">
        <f>SUMIFS(SalesDetail[Quantity (KG)],SalesDetail[Customer],$A412,SalesDetail[Year],2020)</f>
        <v>0</v>
      </c>
      <c r="N412" s="5">
        <f>SUMIFS(SalesDetail[Quantity (KG)],SalesDetail[Customer],$A412,SalesDetail[Year],2021)</f>
        <v>0</v>
      </c>
      <c r="O412" s="6">
        <f>SUM(B412:N412)</f>
        <v>26</v>
      </c>
    </row>
    <row r="413" spans="1:15" x14ac:dyDescent="0.3">
      <c r="A413" t="s">
        <v>49</v>
      </c>
      <c r="B413" s="5">
        <f>SUMIFS(SalesDetail[Quantity (KG)],SalesDetail[Customer],$A413,SalesDetail[Year],2009)</f>
        <v>0</v>
      </c>
      <c r="C413" s="5">
        <f>SUMIFS(SalesDetail[Quantity (KG)],SalesDetail[Customer],$A413,SalesDetail[Year],2010)</f>
        <v>0</v>
      </c>
      <c r="D413" s="5">
        <f>SUMIFS(SalesDetail[Quantity (KG)],SalesDetail[Customer],$A413,SalesDetail[Year],2011)</f>
        <v>0</v>
      </c>
      <c r="E413" s="5">
        <f>SUMIFS(SalesDetail[Quantity (KG)],SalesDetail[Customer],$A413,SalesDetail[Year],2012)</f>
        <v>0</v>
      </c>
      <c r="F413" s="5">
        <f>SUMIFS(SalesDetail[Quantity (KG)],SalesDetail[Customer],$A413,SalesDetail[Year],2013)</f>
        <v>0</v>
      </c>
      <c r="G413" s="5">
        <f>SUMIFS(SalesDetail[Quantity (KG)],SalesDetail[Customer],$A413,SalesDetail[Year],2014)</f>
        <v>0</v>
      </c>
      <c r="H413" s="5">
        <f>SUMIFS(SalesDetail[Quantity (KG)],SalesDetail[Customer],$A413,SalesDetail[Year],2015)</f>
        <v>25</v>
      </c>
      <c r="I413" s="5">
        <f>SUMIFS(SalesDetail[Quantity (KG)],SalesDetail[Customer],$A413,SalesDetail[Year],2016)</f>
        <v>0</v>
      </c>
      <c r="J413" s="5">
        <f>SUMIFS(SalesDetail[Quantity (KG)],SalesDetail[Customer],$A413,SalesDetail[Year],2017)</f>
        <v>0</v>
      </c>
      <c r="K413" s="5">
        <f>SUMIFS(SalesDetail[Quantity (KG)],SalesDetail[Customer],$A413,SalesDetail[Year],2018)</f>
        <v>0</v>
      </c>
      <c r="L413" s="5">
        <f>SUMIFS(SalesDetail[Quantity (KG)],SalesDetail[Customer],$A413,SalesDetail[Year],2019)</f>
        <v>0</v>
      </c>
      <c r="M413" s="5">
        <f>SUMIFS(SalesDetail[Quantity (KG)],SalesDetail[Customer],$A413,SalesDetail[Year],2020)</f>
        <v>0</v>
      </c>
      <c r="N413" s="5">
        <f>SUMIFS(SalesDetail[Quantity (KG)],SalesDetail[Customer],$A413,SalesDetail[Year],2021)</f>
        <v>0</v>
      </c>
      <c r="O413" s="6">
        <f>SUM(B413:N413)</f>
        <v>25</v>
      </c>
    </row>
    <row r="414" spans="1:15" x14ac:dyDescent="0.3">
      <c r="A414" t="s">
        <v>416</v>
      </c>
      <c r="B414" s="5">
        <f>SUMIFS(SalesDetail[Quantity (KG)],SalesDetail[Customer],$A414,SalesDetail[Year],2009)</f>
        <v>25</v>
      </c>
      <c r="C414" s="5">
        <f>SUMIFS(SalesDetail[Quantity (KG)],SalesDetail[Customer],$A414,SalesDetail[Year],2010)</f>
        <v>0</v>
      </c>
      <c r="D414" s="5">
        <f>SUMIFS(SalesDetail[Quantity (KG)],SalesDetail[Customer],$A414,SalesDetail[Year],2011)</f>
        <v>0</v>
      </c>
      <c r="E414" s="5">
        <f>SUMIFS(SalesDetail[Quantity (KG)],SalesDetail[Customer],$A414,SalesDetail[Year],2012)</f>
        <v>0</v>
      </c>
      <c r="F414" s="5">
        <f>SUMIFS(SalesDetail[Quantity (KG)],SalesDetail[Customer],$A414,SalesDetail[Year],2013)</f>
        <v>0</v>
      </c>
      <c r="G414" s="5">
        <f>SUMIFS(SalesDetail[Quantity (KG)],SalesDetail[Customer],$A414,SalesDetail[Year],2014)</f>
        <v>0</v>
      </c>
      <c r="H414" s="5">
        <f>SUMIFS(SalesDetail[Quantity (KG)],SalesDetail[Customer],$A414,SalesDetail[Year],2015)</f>
        <v>0</v>
      </c>
      <c r="I414" s="5">
        <f>SUMIFS(SalesDetail[Quantity (KG)],SalesDetail[Customer],$A414,SalesDetail[Year],2016)</f>
        <v>0</v>
      </c>
      <c r="J414" s="5">
        <f>SUMIFS(SalesDetail[Quantity (KG)],SalesDetail[Customer],$A414,SalesDetail[Year],2017)</f>
        <v>0</v>
      </c>
      <c r="K414" s="5">
        <f>SUMIFS(SalesDetail[Quantity (KG)],SalesDetail[Customer],$A414,SalesDetail[Year],2018)</f>
        <v>0</v>
      </c>
      <c r="L414" s="5">
        <f>SUMIFS(SalesDetail[Quantity (KG)],SalesDetail[Customer],$A414,SalesDetail[Year],2019)</f>
        <v>0</v>
      </c>
      <c r="M414" s="5">
        <f>SUMIFS(SalesDetail[Quantity (KG)],SalesDetail[Customer],$A414,SalesDetail[Year],2020)</f>
        <v>0</v>
      </c>
      <c r="N414" s="5">
        <f>SUMIFS(SalesDetail[Quantity (KG)],SalesDetail[Customer],$A414,SalesDetail[Year],2021)</f>
        <v>0</v>
      </c>
      <c r="O414" s="6">
        <f>SUM(B414:N414)</f>
        <v>25</v>
      </c>
    </row>
    <row r="415" spans="1:15" x14ac:dyDescent="0.3">
      <c r="A415" t="s">
        <v>436</v>
      </c>
      <c r="B415" s="5">
        <f>SUMIFS(SalesDetail[Quantity (KG)],SalesDetail[Customer],$A415,SalesDetail[Year],2009)</f>
        <v>0</v>
      </c>
      <c r="C415" s="5">
        <f>SUMIFS(SalesDetail[Quantity (KG)],SalesDetail[Customer],$A415,SalesDetail[Year],2010)</f>
        <v>0</v>
      </c>
      <c r="D415" s="5">
        <f>SUMIFS(SalesDetail[Quantity (KG)],SalesDetail[Customer],$A415,SalesDetail[Year],2011)</f>
        <v>0</v>
      </c>
      <c r="E415" s="5">
        <f>SUMIFS(SalesDetail[Quantity (KG)],SalesDetail[Customer],$A415,SalesDetail[Year],2012)</f>
        <v>0</v>
      </c>
      <c r="F415" s="5">
        <f>SUMIFS(SalesDetail[Quantity (KG)],SalesDetail[Customer],$A415,SalesDetail[Year],2013)</f>
        <v>0</v>
      </c>
      <c r="G415" s="5">
        <f>SUMIFS(SalesDetail[Quantity (KG)],SalesDetail[Customer],$A415,SalesDetail[Year],2014)</f>
        <v>0</v>
      </c>
      <c r="H415" s="5">
        <f>SUMIFS(SalesDetail[Quantity (KG)],SalesDetail[Customer],$A415,SalesDetail[Year],2015)</f>
        <v>0</v>
      </c>
      <c r="I415" s="5">
        <f>SUMIFS(SalesDetail[Quantity (KG)],SalesDetail[Customer],$A415,SalesDetail[Year],2016)</f>
        <v>0</v>
      </c>
      <c r="J415" s="5">
        <f>SUMIFS(SalesDetail[Quantity (KG)],SalesDetail[Customer],$A415,SalesDetail[Year],2017)</f>
        <v>0</v>
      </c>
      <c r="K415" s="5">
        <f>SUMIFS(SalesDetail[Quantity (KG)],SalesDetail[Customer],$A415,SalesDetail[Year],2018)</f>
        <v>0</v>
      </c>
      <c r="L415" s="5">
        <f>SUMIFS(SalesDetail[Quantity (KG)],SalesDetail[Customer],$A415,SalesDetail[Year],2019)</f>
        <v>25</v>
      </c>
      <c r="M415" s="5">
        <f>SUMIFS(SalesDetail[Quantity (KG)],SalesDetail[Customer],$A415,SalesDetail[Year],2020)</f>
        <v>0</v>
      </c>
      <c r="N415" s="5">
        <f>SUMIFS(SalesDetail[Quantity (KG)],SalesDetail[Customer],$A415,SalesDetail[Year],2021)</f>
        <v>0</v>
      </c>
      <c r="O415" s="6">
        <f>SUM(B415:N415)</f>
        <v>25</v>
      </c>
    </row>
    <row r="416" spans="1:15" x14ac:dyDescent="0.3">
      <c r="A416" t="s">
        <v>437</v>
      </c>
      <c r="B416" s="5">
        <f>SUMIFS(SalesDetail[Quantity (KG)],SalesDetail[Customer],$A416,SalesDetail[Year],2009)</f>
        <v>0</v>
      </c>
      <c r="C416" s="5">
        <f>SUMIFS(SalesDetail[Quantity (KG)],SalesDetail[Customer],$A416,SalesDetail[Year],2010)</f>
        <v>0</v>
      </c>
      <c r="D416" s="5">
        <f>SUMIFS(SalesDetail[Quantity (KG)],SalesDetail[Customer],$A416,SalesDetail[Year],2011)</f>
        <v>0</v>
      </c>
      <c r="E416" s="5">
        <f>SUMIFS(SalesDetail[Quantity (KG)],SalesDetail[Customer],$A416,SalesDetail[Year],2012)</f>
        <v>0</v>
      </c>
      <c r="F416" s="5">
        <f>SUMIFS(SalesDetail[Quantity (KG)],SalesDetail[Customer],$A416,SalesDetail[Year],2013)</f>
        <v>0</v>
      </c>
      <c r="G416" s="5">
        <f>SUMIFS(SalesDetail[Quantity (KG)],SalesDetail[Customer],$A416,SalesDetail[Year],2014)</f>
        <v>0</v>
      </c>
      <c r="H416" s="5">
        <f>SUMIFS(SalesDetail[Quantity (KG)],SalesDetail[Customer],$A416,SalesDetail[Year],2015)</f>
        <v>0</v>
      </c>
      <c r="I416" s="5">
        <f>SUMIFS(SalesDetail[Quantity (KG)],SalesDetail[Customer],$A416,SalesDetail[Year],2016)</f>
        <v>25</v>
      </c>
      <c r="J416" s="5">
        <f>SUMIFS(SalesDetail[Quantity (KG)],SalesDetail[Customer],$A416,SalesDetail[Year],2017)</f>
        <v>0</v>
      </c>
      <c r="K416" s="5">
        <f>SUMIFS(SalesDetail[Quantity (KG)],SalesDetail[Customer],$A416,SalesDetail[Year],2018)</f>
        <v>0</v>
      </c>
      <c r="L416" s="5">
        <f>SUMIFS(SalesDetail[Quantity (KG)],SalesDetail[Customer],$A416,SalesDetail[Year],2019)</f>
        <v>0</v>
      </c>
      <c r="M416" s="5">
        <f>SUMIFS(SalesDetail[Quantity (KG)],SalesDetail[Customer],$A416,SalesDetail[Year],2020)</f>
        <v>0</v>
      </c>
      <c r="N416" s="5">
        <f>SUMIFS(SalesDetail[Quantity (KG)],SalesDetail[Customer],$A416,SalesDetail[Year],2021)</f>
        <v>0</v>
      </c>
      <c r="O416" s="6">
        <f>SUM(B416:N416)</f>
        <v>25</v>
      </c>
    </row>
    <row r="417" spans="1:15" x14ac:dyDescent="0.3">
      <c r="A417" t="s">
        <v>808</v>
      </c>
      <c r="B417" s="5">
        <f>SUMIFS(SalesDetail[Quantity (KG)],SalesDetail[Customer],$A417,SalesDetail[Year],2009)</f>
        <v>0</v>
      </c>
      <c r="C417" s="5">
        <f>SUMIFS(SalesDetail[Quantity (KG)],SalesDetail[Customer],$A417,SalesDetail[Year],2010)</f>
        <v>0</v>
      </c>
      <c r="D417" s="5">
        <f>SUMIFS(SalesDetail[Quantity (KG)],SalesDetail[Customer],$A417,SalesDetail[Year],2011)</f>
        <v>0</v>
      </c>
      <c r="E417" s="5">
        <f>SUMIFS(SalesDetail[Quantity (KG)],SalesDetail[Customer],$A417,SalesDetail[Year],2012)</f>
        <v>0</v>
      </c>
      <c r="F417" s="5">
        <f>SUMIFS(SalesDetail[Quantity (KG)],SalesDetail[Customer],$A417,SalesDetail[Year],2013)</f>
        <v>0</v>
      </c>
      <c r="G417" s="5">
        <f>SUMIFS(SalesDetail[Quantity (KG)],SalesDetail[Customer],$A417,SalesDetail[Year],2014)</f>
        <v>0</v>
      </c>
      <c r="H417" s="5">
        <f>SUMIFS(SalesDetail[Quantity (KG)],SalesDetail[Customer],$A417,SalesDetail[Year],2015)</f>
        <v>0</v>
      </c>
      <c r="I417" s="5">
        <f>SUMIFS(SalesDetail[Quantity (KG)],SalesDetail[Customer],$A417,SalesDetail[Year],2016)</f>
        <v>0</v>
      </c>
      <c r="J417" s="5">
        <f>SUMIFS(SalesDetail[Quantity (KG)],SalesDetail[Customer],$A417,SalesDetail[Year],2017)</f>
        <v>0</v>
      </c>
      <c r="K417" s="5">
        <f>SUMIFS(SalesDetail[Quantity (KG)],SalesDetail[Customer],$A417,SalesDetail[Year],2018)</f>
        <v>25</v>
      </c>
      <c r="L417" s="5">
        <f>SUMIFS(SalesDetail[Quantity (KG)],SalesDetail[Customer],$A417,SalesDetail[Year],2019)</f>
        <v>0</v>
      </c>
      <c r="M417" s="5">
        <f>SUMIFS(SalesDetail[Quantity (KG)],SalesDetail[Customer],$A417,SalesDetail[Year],2020)</f>
        <v>0</v>
      </c>
      <c r="N417" s="5">
        <f>SUMIFS(SalesDetail[Quantity (KG)],SalesDetail[Customer],$A417,SalesDetail[Year],2021)</f>
        <v>0</v>
      </c>
      <c r="O417" s="6">
        <f>SUM(B417:N417)</f>
        <v>25</v>
      </c>
    </row>
    <row r="418" spans="1:15" x14ac:dyDescent="0.3">
      <c r="A418" t="s">
        <v>874</v>
      </c>
      <c r="B418" s="5">
        <f>SUMIFS(SalesDetail[Quantity (KG)],SalesDetail[Customer],$A418,SalesDetail[Year],2009)</f>
        <v>0</v>
      </c>
      <c r="C418" s="5">
        <f>SUMIFS(SalesDetail[Quantity (KG)],SalesDetail[Customer],$A418,SalesDetail[Year],2010)</f>
        <v>0</v>
      </c>
      <c r="D418" s="5">
        <f>SUMIFS(SalesDetail[Quantity (KG)],SalesDetail[Customer],$A418,SalesDetail[Year],2011)</f>
        <v>0</v>
      </c>
      <c r="E418" s="5">
        <f>SUMIFS(SalesDetail[Quantity (KG)],SalesDetail[Customer],$A418,SalesDetail[Year],2012)</f>
        <v>0</v>
      </c>
      <c r="F418" s="5">
        <f>SUMIFS(SalesDetail[Quantity (KG)],SalesDetail[Customer],$A418,SalesDetail[Year],2013)</f>
        <v>0</v>
      </c>
      <c r="G418" s="5">
        <f>SUMIFS(SalesDetail[Quantity (KG)],SalesDetail[Customer],$A418,SalesDetail[Year],2014)</f>
        <v>0</v>
      </c>
      <c r="H418" s="5">
        <f>SUMIFS(SalesDetail[Quantity (KG)],SalesDetail[Customer],$A418,SalesDetail[Year],2015)</f>
        <v>0</v>
      </c>
      <c r="I418" s="5">
        <f>SUMIFS(SalesDetail[Quantity (KG)],SalesDetail[Customer],$A418,SalesDetail[Year],2016)</f>
        <v>0</v>
      </c>
      <c r="J418" s="5">
        <f>SUMIFS(SalesDetail[Quantity (KG)],SalesDetail[Customer],$A418,SalesDetail[Year],2017)</f>
        <v>0</v>
      </c>
      <c r="K418" s="5">
        <f>SUMIFS(SalesDetail[Quantity (KG)],SalesDetail[Customer],$A418,SalesDetail[Year],2018)</f>
        <v>0</v>
      </c>
      <c r="L418" s="5">
        <f>SUMIFS(SalesDetail[Quantity (KG)],SalesDetail[Customer],$A418,SalesDetail[Year],2019)</f>
        <v>0</v>
      </c>
      <c r="M418" s="5">
        <f>SUMIFS(SalesDetail[Quantity (KG)],SalesDetail[Customer],$A418,SalesDetail[Year],2020)</f>
        <v>0</v>
      </c>
      <c r="N418" s="5">
        <f>SUMIFS(SalesDetail[Quantity (KG)],SalesDetail[Customer],$A418,SalesDetail[Year],2021)</f>
        <v>25</v>
      </c>
      <c r="O418" s="6">
        <f>SUM(B418:N418)</f>
        <v>25</v>
      </c>
    </row>
    <row r="419" spans="1:15" x14ac:dyDescent="0.3">
      <c r="A419" t="s">
        <v>917</v>
      </c>
      <c r="B419" s="5">
        <f>SUMIFS(SalesDetail[Quantity (KG)],SalesDetail[Customer],$A419,SalesDetail[Year],2009)</f>
        <v>0</v>
      </c>
      <c r="C419" s="5">
        <f>SUMIFS(SalesDetail[Quantity (KG)],SalesDetail[Customer],$A419,SalesDetail[Year],2010)</f>
        <v>0</v>
      </c>
      <c r="D419" s="5">
        <f>SUMIFS(SalesDetail[Quantity (KG)],SalesDetail[Customer],$A419,SalesDetail[Year],2011)</f>
        <v>25</v>
      </c>
      <c r="E419" s="5">
        <f>SUMIFS(SalesDetail[Quantity (KG)],SalesDetail[Customer],$A419,SalesDetail[Year],2012)</f>
        <v>0</v>
      </c>
      <c r="F419" s="5">
        <f>SUMIFS(SalesDetail[Quantity (KG)],SalesDetail[Customer],$A419,SalesDetail[Year],2013)</f>
        <v>0</v>
      </c>
      <c r="G419" s="5">
        <f>SUMIFS(SalesDetail[Quantity (KG)],SalesDetail[Customer],$A419,SalesDetail[Year],2014)</f>
        <v>0</v>
      </c>
      <c r="H419" s="5">
        <f>SUMIFS(SalesDetail[Quantity (KG)],SalesDetail[Customer],$A419,SalesDetail[Year],2015)</f>
        <v>0</v>
      </c>
      <c r="I419" s="5">
        <f>SUMIFS(SalesDetail[Quantity (KG)],SalesDetail[Customer],$A419,SalesDetail[Year],2016)</f>
        <v>0</v>
      </c>
      <c r="J419" s="5">
        <f>SUMIFS(SalesDetail[Quantity (KG)],SalesDetail[Customer],$A419,SalesDetail[Year],2017)</f>
        <v>0</v>
      </c>
      <c r="K419" s="5">
        <f>SUMIFS(SalesDetail[Quantity (KG)],SalesDetail[Customer],$A419,SalesDetail[Year],2018)</f>
        <v>0</v>
      </c>
      <c r="L419" s="5">
        <f>SUMIFS(SalesDetail[Quantity (KG)],SalesDetail[Customer],$A419,SalesDetail[Year],2019)</f>
        <v>0</v>
      </c>
      <c r="M419" s="5">
        <f>SUMIFS(SalesDetail[Quantity (KG)],SalesDetail[Customer],$A419,SalesDetail[Year],2020)</f>
        <v>0</v>
      </c>
      <c r="N419" s="5">
        <f>SUMIFS(SalesDetail[Quantity (KG)],SalesDetail[Customer],$A419,SalesDetail[Year],2021)</f>
        <v>0</v>
      </c>
      <c r="O419" s="6">
        <f>SUM(B419:N419)</f>
        <v>25</v>
      </c>
    </row>
    <row r="420" spans="1:15" x14ac:dyDescent="0.3">
      <c r="A420" t="s">
        <v>996</v>
      </c>
      <c r="B420" s="5">
        <f>SUMIFS(SalesDetail[Quantity (KG)],SalesDetail[Customer],$A420,SalesDetail[Year],2009)</f>
        <v>0</v>
      </c>
      <c r="C420" s="5">
        <f>SUMIFS(SalesDetail[Quantity (KG)],SalesDetail[Customer],$A420,SalesDetail[Year],2010)</f>
        <v>0</v>
      </c>
      <c r="D420" s="5">
        <f>SUMIFS(SalesDetail[Quantity (KG)],SalesDetail[Customer],$A420,SalesDetail[Year],2011)</f>
        <v>0</v>
      </c>
      <c r="E420" s="5">
        <f>SUMIFS(SalesDetail[Quantity (KG)],SalesDetail[Customer],$A420,SalesDetail[Year],2012)</f>
        <v>0</v>
      </c>
      <c r="F420" s="5">
        <f>SUMIFS(SalesDetail[Quantity (KG)],SalesDetail[Customer],$A420,SalesDetail[Year],2013)</f>
        <v>0</v>
      </c>
      <c r="G420" s="5">
        <f>SUMIFS(SalesDetail[Quantity (KG)],SalesDetail[Customer],$A420,SalesDetail[Year],2014)</f>
        <v>25</v>
      </c>
      <c r="H420" s="5">
        <f>SUMIFS(SalesDetail[Quantity (KG)],SalesDetail[Customer],$A420,SalesDetail[Year],2015)</f>
        <v>0</v>
      </c>
      <c r="I420" s="5">
        <f>SUMIFS(SalesDetail[Quantity (KG)],SalesDetail[Customer],$A420,SalesDetail[Year],2016)</f>
        <v>0</v>
      </c>
      <c r="J420" s="5">
        <f>SUMIFS(SalesDetail[Quantity (KG)],SalesDetail[Customer],$A420,SalesDetail[Year],2017)</f>
        <v>0</v>
      </c>
      <c r="K420" s="5">
        <f>SUMIFS(SalesDetail[Quantity (KG)],SalesDetail[Customer],$A420,SalesDetail[Year],2018)</f>
        <v>0</v>
      </c>
      <c r="L420" s="5">
        <f>SUMIFS(SalesDetail[Quantity (KG)],SalesDetail[Customer],$A420,SalesDetail[Year],2019)</f>
        <v>0</v>
      </c>
      <c r="M420" s="5">
        <f>SUMIFS(SalesDetail[Quantity (KG)],SalesDetail[Customer],$A420,SalesDetail[Year],2020)</f>
        <v>0</v>
      </c>
      <c r="N420" s="5">
        <f>SUMIFS(SalesDetail[Quantity (KG)],SalesDetail[Customer],$A420,SalesDetail[Year],2021)</f>
        <v>0</v>
      </c>
      <c r="O420" s="6">
        <f>SUM(B420:N420)</f>
        <v>25</v>
      </c>
    </row>
    <row r="421" spans="1:15" x14ac:dyDescent="0.3">
      <c r="A421" t="s">
        <v>1219</v>
      </c>
      <c r="B421" s="5">
        <f>SUMIFS(SalesDetail[Quantity (KG)],SalesDetail[Customer],$A421,SalesDetail[Year],2009)</f>
        <v>0</v>
      </c>
      <c r="C421" s="5">
        <f>SUMIFS(SalesDetail[Quantity (KG)],SalesDetail[Customer],$A421,SalesDetail[Year],2010)</f>
        <v>0</v>
      </c>
      <c r="D421" s="5">
        <f>SUMIFS(SalesDetail[Quantity (KG)],SalesDetail[Customer],$A421,SalesDetail[Year],2011)</f>
        <v>0</v>
      </c>
      <c r="E421" s="5">
        <f>SUMIFS(SalesDetail[Quantity (KG)],SalesDetail[Customer],$A421,SalesDetail[Year],2012)</f>
        <v>0</v>
      </c>
      <c r="F421" s="5">
        <f>SUMIFS(SalesDetail[Quantity (KG)],SalesDetail[Customer],$A421,SalesDetail[Year],2013)</f>
        <v>0</v>
      </c>
      <c r="G421" s="5">
        <f>SUMIFS(SalesDetail[Quantity (KG)],SalesDetail[Customer],$A421,SalesDetail[Year],2014)</f>
        <v>0</v>
      </c>
      <c r="H421" s="5">
        <f>SUMIFS(SalesDetail[Quantity (KG)],SalesDetail[Customer],$A421,SalesDetail[Year],2015)</f>
        <v>0</v>
      </c>
      <c r="I421" s="5">
        <f>SUMIFS(SalesDetail[Quantity (KG)],SalesDetail[Customer],$A421,SalesDetail[Year],2016)</f>
        <v>0</v>
      </c>
      <c r="J421" s="5">
        <f>SUMIFS(SalesDetail[Quantity (KG)],SalesDetail[Customer],$A421,SalesDetail[Year],2017)</f>
        <v>25</v>
      </c>
      <c r="K421" s="5">
        <f>SUMIFS(SalesDetail[Quantity (KG)],SalesDetail[Customer],$A421,SalesDetail[Year],2018)</f>
        <v>0</v>
      </c>
      <c r="L421" s="5">
        <f>SUMIFS(SalesDetail[Quantity (KG)],SalesDetail[Customer],$A421,SalesDetail[Year],2019)</f>
        <v>0</v>
      </c>
      <c r="M421" s="5">
        <f>SUMIFS(SalesDetail[Quantity (KG)],SalesDetail[Customer],$A421,SalesDetail[Year],2020)</f>
        <v>0</v>
      </c>
      <c r="N421" s="5">
        <f>SUMIFS(SalesDetail[Quantity (KG)],SalesDetail[Customer],$A421,SalesDetail[Year],2021)</f>
        <v>0</v>
      </c>
      <c r="O421" s="6">
        <f>SUM(B421:N421)</f>
        <v>25</v>
      </c>
    </row>
    <row r="422" spans="1:15" x14ac:dyDescent="0.3">
      <c r="A422" t="s">
        <v>1343</v>
      </c>
      <c r="B422" s="5">
        <f>SUMIFS(SalesDetail[Quantity (KG)],SalesDetail[Customer],$A422,SalesDetail[Year],2009)</f>
        <v>0</v>
      </c>
      <c r="C422" s="5">
        <f>SUMIFS(SalesDetail[Quantity (KG)],SalesDetail[Customer],$A422,SalesDetail[Year],2010)</f>
        <v>0</v>
      </c>
      <c r="D422" s="5">
        <f>SUMIFS(SalesDetail[Quantity (KG)],SalesDetail[Customer],$A422,SalesDetail[Year],2011)</f>
        <v>0</v>
      </c>
      <c r="E422" s="5">
        <f>SUMIFS(SalesDetail[Quantity (KG)],SalesDetail[Customer],$A422,SalesDetail[Year],2012)</f>
        <v>0</v>
      </c>
      <c r="F422" s="5">
        <f>SUMIFS(SalesDetail[Quantity (KG)],SalesDetail[Customer],$A422,SalesDetail[Year],2013)</f>
        <v>0</v>
      </c>
      <c r="G422" s="5">
        <f>SUMIFS(SalesDetail[Quantity (KG)],SalesDetail[Customer],$A422,SalesDetail[Year],2014)</f>
        <v>0</v>
      </c>
      <c r="H422" s="5">
        <f>SUMIFS(SalesDetail[Quantity (KG)],SalesDetail[Customer],$A422,SalesDetail[Year],2015)</f>
        <v>0</v>
      </c>
      <c r="I422" s="5">
        <f>SUMIFS(SalesDetail[Quantity (KG)],SalesDetail[Customer],$A422,SalesDetail[Year],2016)</f>
        <v>0</v>
      </c>
      <c r="J422" s="5">
        <f>SUMIFS(SalesDetail[Quantity (KG)],SalesDetail[Customer],$A422,SalesDetail[Year],2017)</f>
        <v>0</v>
      </c>
      <c r="K422" s="5">
        <f>SUMIFS(SalesDetail[Quantity (KG)],SalesDetail[Customer],$A422,SalesDetail[Year],2018)</f>
        <v>25</v>
      </c>
      <c r="L422" s="5">
        <f>SUMIFS(SalesDetail[Quantity (KG)],SalesDetail[Customer],$A422,SalesDetail[Year],2019)</f>
        <v>0</v>
      </c>
      <c r="M422" s="5">
        <f>SUMIFS(SalesDetail[Quantity (KG)],SalesDetail[Customer],$A422,SalesDetail[Year],2020)</f>
        <v>0</v>
      </c>
      <c r="N422" s="5">
        <f>SUMIFS(SalesDetail[Quantity (KG)],SalesDetail[Customer],$A422,SalesDetail[Year],2021)</f>
        <v>0</v>
      </c>
      <c r="O422" s="6">
        <f>SUM(B422:N422)</f>
        <v>25</v>
      </c>
    </row>
    <row r="423" spans="1:15" x14ac:dyDescent="0.3">
      <c r="A423" t="s">
        <v>1430</v>
      </c>
      <c r="B423" s="5">
        <f>SUMIFS(SalesDetail[Quantity (KG)],SalesDetail[Customer],$A423,SalesDetail[Year],2009)</f>
        <v>0</v>
      </c>
      <c r="C423" s="5">
        <f>SUMIFS(SalesDetail[Quantity (KG)],SalesDetail[Customer],$A423,SalesDetail[Year],2010)</f>
        <v>0</v>
      </c>
      <c r="D423" s="5">
        <f>SUMIFS(SalesDetail[Quantity (KG)],SalesDetail[Customer],$A423,SalesDetail[Year],2011)</f>
        <v>0</v>
      </c>
      <c r="E423" s="5">
        <f>SUMIFS(SalesDetail[Quantity (KG)],SalesDetail[Customer],$A423,SalesDetail[Year],2012)</f>
        <v>0</v>
      </c>
      <c r="F423" s="5">
        <f>SUMIFS(SalesDetail[Quantity (KG)],SalesDetail[Customer],$A423,SalesDetail[Year],2013)</f>
        <v>0</v>
      </c>
      <c r="G423" s="5">
        <f>SUMIFS(SalesDetail[Quantity (KG)],SalesDetail[Customer],$A423,SalesDetail[Year],2014)</f>
        <v>0</v>
      </c>
      <c r="H423" s="5">
        <f>SUMIFS(SalesDetail[Quantity (KG)],SalesDetail[Customer],$A423,SalesDetail[Year],2015)</f>
        <v>0</v>
      </c>
      <c r="I423" s="5">
        <f>SUMIFS(SalesDetail[Quantity (KG)],SalesDetail[Customer],$A423,SalesDetail[Year],2016)</f>
        <v>0</v>
      </c>
      <c r="J423" s="5">
        <f>SUMIFS(SalesDetail[Quantity (KG)],SalesDetail[Customer],$A423,SalesDetail[Year],2017)</f>
        <v>0</v>
      </c>
      <c r="K423" s="5">
        <f>SUMIFS(SalesDetail[Quantity (KG)],SalesDetail[Customer],$A423,SalesDetail[Year],2018)</f>
        <v>25</v>
      </c>
      <c r="L423" s="5">
        <f>SUMIFS(SalesDetail[Quantity (KG)],SalesDetail[Customer],$A423,SalesDetail[Year],2019)</f>
        <v>0</v>
      </c>
      <c r="M423" s="5">
        <f>SUMIFS(SalesDetail[Quantity (KG)],SalesDetail[Customer],$A423,SalesDetail[Year],2020)</f>
        <v>0</v>
      </c>
      <c r="N423" s="5">
        <f>SUMIFS(SalesDetail[Quantity (KG)],SalesDetail[Customer],$A423,SalesDetail[Year],2021)</f>
        <v>0</v>
      </c>
      <c r="O423" s="6">
        <f>SUM(B423:N423)</f>
        <v>25</v>
      </c>
    </row>
    <row r="424" spans="1:15" x14ac:dyDescent="0.3">
      <c r="A424" t="s">
        <v>1642</v>
      </c>
      <c r="B424" s="5">
        <f>SUMIFS(SalesDetail[Quantity (KG)],SalesDetail[Customer],$A424,SalesDetail[Year],2009)</f>
        <v>0</v>
      </c>
      <c r="C424" s="5">
        <f>SUMIFS(SalesDetail[Quantity (KG)],SalesDetail[Customer],$A424,SalesDetail[Year],2010)</f>
        <v>0</v>
      </c>
      <c r="D424" s="5">
        <f>SUMIFS(SalesDetail[Quantity (KG)],SalesDetail[Customer],$A424,SalesDetail[Year],2011)</f>
        <v>0</v>
      </c>
      <c r="E424" s="5">
        <f>SUMIFS(SalesDetail[Quantity (KG)],SalesDetail[Customer],$A424,SalesDetail[Year],2012)</f>
        <v>0</v>
      </c>
      <c r="F424" s="5">
        <f>SUMIFS(SalesDetail[Quantity (KG)],SalesDetail[Customer],$A424,SalesDetail[Year],2013)</f>
        <v>0</v>
      </c>
      <c r="G424" s="5">
        <f>SUMIFS(SalesDetail[Quantity (KG)],SalesDetail[Customer],$A424,SalesDetail[Year],2014)</f>
        <v>0</v>
      </c>
      <c r="H424" s="5">
        <f>SUMIFS(SalesDetail[Quantity (KG)],SalesDetail[Customer],$A424,SalesDetail[Year],2015)</f>
        <v>0</v>
      </c>
      <c r="I424" s="5">
        <f>SUMIFS(SalesDetail[Quantity (KG)],SalesDetail[Customer],$A424,SalesDetail[Year],2016)</f>
        <v>0</v>
      </c>
      <c r="J424" s="5">
        <f>SUMIFS(SalesDetail[Quantity (KG)],SalesDetail[Customer],$A424,SalesDetail[Year],2017)</f>
        <v>0</v>
      </c>
      <c r="K424" s="5">
        <f>SUMIFS(SalesDetail[Quantity (KG)],SalesDetail[Customer],$A424,SalesDetail[Year],2018)</f>
        <v>20</v>
      </c>
      <c r="L424" s="5">
        <f>SUMIFS(SalesDetail[Quantity (KG)],SalesDetail[Customer],$A424,SalesDetail[Year],2019)</f>
        <v>0</v>
      </c>
      <c r="M424" s="5">
        <f>SUMIFS(SalesDetail[Quantity (KG)],SalesDetail[Customer],$A424,SalesDetail[Year],2020)</f>
        <v>0</v>
      </c>
      <c r="N424" s="5">
        <f>SUMIFS(SalesDetail[Quantity (KG)],SalesDetail[Customer],$A424,SalesDetail[Year],2021)</f>
        <v>5</v>
      </c>
      <c r="O424" s="6">
        <f>SUM(B424:N424)</f>
        <v>25</v>
      </c>
    </row>
    <row r="425" spans="1:15" x14ac:dyDescent="0.3">
      <c r="A425" t="s">
        <v>1702</v>
      </c>
      <c r="B425" s="5">
        <f>SUMIFS(SalesDetail[Quantity (KG)],SalesDetail[Customer],$A425,SalesDetail[Year],2009)</f>
        <v>0</v>
      </c>
      <c r="C425" s="5">
        <f>SUMIFS(SalesDetail[Quantity (KG)],SalesDetail[Customer],$A425,SalesDetail[Year],2010)</f>
        <v>0</v>
      </c>
      <c r="D425" s="5">
        <f>SUMIFS(SalesDetail[Quantity (KG)],SalesDetail[Customer],$A425,SalesDetail[Year],2011)</f>
        <v>0</v>
      </c>
      <c r="E425" s="5">
        <f>SUMIFS(SalesDetail[Quantity (KG)],SalesDetail[Customer],$A425,SalesDetail[Year],2012)</f>
        <v>0</v>
      </c>
      <c r="F425" s="5">
        <f>SUMIFS(SalesDetail[Quantity (KG)],SalesDetail[Customer],$A425,SalesDetail[Year],2013)</f>
        <v>0</v>
      </c>
      <c r="G425" s="5">
        <f>SUMIFS(SalesDetail[Quantity (KG)],SalesDetail[Customer],$A425,SalesDetail[Year],2014)</f>
        <v>0</v>
      </c>
      <c r="H425" s="5">
        <f>SUMIFS(SalesDetail[Quantity (KG)],SalesDetail[Customer],$A425,SalesDetail[Year],2015)</f>
        <v>0</v>
      </c>
      <c r="I425" s="5">
        <f>SUMIFS(SalesDetail[Quantity (KG)],SalesDetail[Customer],$A425,SalesDetail[Year],2016)</f>
        <v>0</v>
      </c>
      <c r="J425" s="5">
        <f>SUMIFS(SalesDetail[Quantity (KG)],SalesDetail[Customer],$A425,SalesDetail[Year],2017)</f>
        <v>0</v>
      </c>
      <c r="K425" s="5">
        <f>SUMIFS(SalesDetail[Quantity (KG)],SalesDetail[Customer],$A425,SalesDetail[Year],2018)</f>
        <v>0</v>
      </c>
      <c r="L425" s="5">
        <f>SUMIFS(SalesDetail[Quantity (KG)],SalesDetail[Customer],$A425,SalesDetail[Year],2019)</f>
        <v>0</v>
      </c>
      <c r="M425" s="5">
        <f>SUMIFS(SalesDetail[Quantity (KG)],SalesDetail[Customer],$A425,SalesDetail[Year],2020)</f>
        <v>25</v>
      </c>
      <c r="N425" s="5">
        <f>SUMIFS(SalesDetail[Quantity (KG)],SalesDetail[Customer],$A425,SalesDetail[Year],2021)</f>
        <v>0</v>
      </c>
      <c r="O425" s="6">
        <f>SUM(B425:N425)</f>
        <v>25</v>
      </c>
    </row>
    <row r="426" spans="1:15" x14ac:dyDescent="0.3">
      <c r="A426" t="s">
        <v>1783</v>
      </c>
      <c r="B426" s="5">
        <f>SUMIFS(SalesDetail[Quantity (KG)],SalesDetail[Customer],$A426,SalesDetail[Year],2009)</f>
        <v>0</v>
      </c>
      <c r="C426" s="5">
        <f>SUMIFS(SalesDetail[Quantity (KG)],SalesDetail[Customer],$A426,SalesDetail[Year],2010)</f>
        <v>0</v>
      </c>
      <c r="D426" s="5">
        <f>SUMIFS(SalesDetail[Quantity (KG)],SalesDetail[Customer],$A426,SalesDetail[Year],2011)</f>
        <v>0</v>
      </c>
      <c r="E426" s="5">
        <f>SUMIFS(SalesDetail[Quantity (KG)],SalesDetail[Customer],$A426,SalesDetail[Year],2012)</f>
        <v>0</v>
      </c>
      <c r="F426" s="5">
        <f>SUMIFS(SalesDetail[Quantity (KG)],SalesDetail[Customer],$A426,SalesDetail[Year],2013)</f>
        <v>0</v>
      </c>
      <c r="G426" s="5">
        <f>SUMIFS(SalesDetail[Quantity (KG)],SalesDetail[Customer],$A426,SalesDetail[Year],2014)</f>
        <v>0</v>
      </c>
      <c r="H426" s="5">
        <f>SUMIFS(SalesDetail[Quantity (KG)],SalesDetail[Customer],$A426,SalesDetail[Year],2015)</f>
        <v>0</v>
      </c>
      <c r="I426" s="5">
        <f>SUMIFS(SalesDetail[Quantity (KG)],SalesDetail[Customer],$A426,SalesDetail[Year],2016)</f>
        <v>25</v>
      </c>
      <c r="J426" s="5">
        <f>SUMIFS(SalesDetail[Quantity (KG)],SalesDetail[Customer],$A426,SalesDetail[Year],2017)</f>
        <v>0</v>
      </c>
      <c r="K426" s="5">
        <f>SUMIFS(SalesDetail[Quantity (KG)],SalesDetail[Customer],$A426,SalesDetail[Year],2018)</f>
        <v>0</v>
      </c>
      <c r="L426" s="5">
        <f>SUMIFS(SalesDetail[Quantity (KG)],SalesDetail[Customer],$A426,SalesDetail[Year],2019)</f>
        <v>0</v>
      </c>
      <c r="M426" s="5">
        <f>SUMIFS(SalesDetail[Quantity (KG)],SalesDetail[Customer],$A426,SalesDetail[Year],2020)</f>
        <v>0</v>
      </c>
      <c r="N426" s="5">
        <f>SUMIFS(SalesDetail[Quantity (KG)],SalesDetail[Customer],$A426,SalesDetail[Year],2021)</f>
        <v>0</v>
      </c>
      <c r="O426" s="6">
        <f>SUM(B426:N426)</f>
        <v>25</v>
      </c>
    </row>
    <row r="427" spans="1:15" x14ac:dyDescent="0.3">
      <c r="A427" t="s">
        <v>1831</v>
      </c>
      <c r="B427" s="5">
        <f>SUMIFS(SalesDetail[Quantity (KG)],SalesDetail[Customer],$A427,SalesDetail[Year],2009)</f>
        <v>0</v>
      </c>
      <c r="C427" s="5">
        <f>SUMIFS(SalesDetail[Quantity (KG)],SalesDetail[Customer],$A427,SalesDetail[Year],2010)</f>
        <v>0</v>
      </c>
      <c r="D427" s="5">
        <f>SUMIFS(SalesDetail[Quantity (KG)],SalesDetail[Customer],$A427,SalesDetail[Year],2011)</f>
        <v>0</v>
      </c>
      <c r="E427" s="5">
        <f>SUMIFS(SalesDetail[Quantity (KG)],SalesDetail[Customer],$A427,SalesDetail[Year],2012)</f>
        <v>0</v>
      </c>
      <c r="F427" s="5">
        <f>SUMIFS(SalesDetail[Quantity (KG)],SalesDetail[Customer],$A427,SalesDetail[Year],2013)</f>
        <v>0</v>
      </c>
      <c r="G427" s="5">
        <f>SUMIFS(SalesDetail[Quantity (KG)],SalesDetail[Customer],$A427,SalesDetail[Year],2014)</f>
        <v>0</v>
      </c>
      <c r="H427" s="5">
        <f>SUMIFS(SalesDetail[Quantity (KG)],SalesDetail[Customer],$A427,SalesDetail[Year],2015)</f>
        <v>0</v>
      </c>
      <c r="I427" s="5">
        <f>SUMIFS(SalesDetail[Quantity (KG)],SalesDetail[Customer],$A427,SalesDetail[Year],2016)</f>
        <v>0</v>
      </c>
      <c r="J427" s="5">
        <f>SUMIFS(SalesDetail[Quantity (KG)],SalesDetail[Customer],$A427,SalesDetail[Year],2017)</f>
        <v>25</v>
      </c>
      <c r="K427" s="5">
        <f>SUMIFS(SalesDetail[Quantity (KG)],SalesDetail[Customer],$A427,SalesDetail[Year],2018)</f>
        <v>0</v>
      </c>
      <c r="L427" s="5">
        <f>SUMIFS(SalesDetail[Quantity (KG)],SalesDetail[Customer],$A427,SalesDetail[Year],2019)</f>
        <v>0</v>
      </c>
      <c r="M427" s="5">
        <f>SUMIFS(SalesDetail[Quantity (KG)],SalesDetail[Customer],$A427,SalesDetail[Year],2020)</f>
        <v>0</v>
      </c>
      <c r="N427" s="5">
        <f>SUMIFS(SalesDetail[Quantity (KG)],SalesDetail[Customer],$A427,SalesDetail[Year],2021)</f>
        <v>0</v>
      </c>
      <c r="O427" s="6">
        <f>SUM(B427:N427)</f>
        <v>25</v>
      </c>
    </row>
    <row r="428" spans="1:15" x14ac:dyDescent="0.3">
      <c r="A428" t="s">
        <v>1880</v>
      </c>
      <c r="B428" s="5">
        <f>SUMIFS(SalesDetail[Quantity (KG)],SalesDetail[Customer],$A428,SalesDetail[Year],2009)</f>
        <v>0</v>
      </c>
      <c r="C428" s="5">
        <f>SUMIFS(SalesDetail[Quantity (KG)],SalesDetail[Customer],$A428,SalesDetail[Year],2010)</f>
        <v>0</v>
      </c>
      <c r="D428" s="5">
        <f>SUMIFS(SalesDetail[Quantity (KG)],SalesDetail[Customer],$A428,SalesDetail[Year],2011)</f>
        <v>0</v>
      </c>
      <c r="E428" s="5">
        <f>SUMIFS(SalesDetail[Quantity (KG)],SalesDetail[Customer],$A428,SalesDetail[Year],2012)</f>
        <v>0</v>
      </c>
      <c r="F428" s="5">
        <f>SUMIFS(SalesDetail[Quantity (KG)],SalesDetail[Customer],$A428,SalesDetail[Year],2013)</f>
        <v>0</v>
      </c>
      <c r="G428" s="5">
        <f>SUMIFS(SalesDetail[Quantity (KG)],SalesDetail[Customer],$A428,SalesDetail[Year],2014)</f>
        <v>0</v>
      </c>
      <c r="H428" s="5">
        <f>SUMIFS(SalesDetail[Quantity (KG)],SalesDetail[Customer],$A428,SalesDetail[Year],2015)</f>
        <v>0</v>
      </c>
      <c r="I428" s="5">
        <f>SUMIFS(SalesDetail[Quantity (KG)],SalesDetail[Customer],$A428,SalesDetail[Year],2016)</f>
        <v>0</v>
      </c>
      <c r="J428" s="5">
        <f>SUMIFS(SalesDetail[Quantity (KG)],SalesDetail[Customer],$A428,SalesDetail[Year],2017)</f>
        <v>0</v>
      </c>
      <c r="K428" s="5">
        <f>SUMIFS(SalesDetail[Quantity (KG)],SalesDetail[Customer],$A428,SalesDetail[Year],2018)</f>
        <v>0</v>
      </c>
      <c r="L428" s="5">
        <f>SUMIFS(SalesDetail[Quantity (KG)],SalesDetail[Customer],$A428,SalesDetail[Year],2019)</f>
        <v>0</v>
      </c>
      <c r="M428" s="5">
        <f>SUMIFS(SalesDetail[Quantity (KG)],SalesDetail[Customer],$A428,SalesDetail[Year],2020)</f>
        <v>0</v>
      </c>
      <c r="N428" s="5">
        <f>SUMIFS(SalesDetail[Quantity (KG)],SalesDetail[Customer],$A428,SalesDetail[Year],2021)</f>
        <v>25</v>
      </c>
      <c r="O428" s="6">
        <f>SUM(B428:N428)</f>
        <v>25</v>
      </c>
    </row>
    <row r="429" spans="1:15" x14ac:dyDescent="0.3">
      <c r="A429" t="s">
        <v>1968</v>
      </c>
      <c r="B429" s="5">
        <f>SUMIFS(SalesDetail[Quantity (KG)],SalesDetail[Customer],$A429,SalesDetail[Year],2009)</f>
        <v>0</v>
      </c>
      <c r="C429" s="5">
        <f>SUMIFS(SalesDetail[Quantity (KG)],SalesDetail[Customer],$A429,SalesDetail[Year],2010)</f>
        <v>0</v>
      </c>
      <c r="D429" s="5">
        <f>SUMIFS(SalesDetail[Quantity (KG)],SalesDetail[Customer],$A429,SalesDetail[Year],2011)</f>
        <v>0</v>
      </c>
      <c r="E429" s="5">
        <f>SUMIFS(SalesDetail[Quantity (KG)],SalesDetail[Customer],$A429,SalesDetail[Year],2012)</f>
        <v>0</v>
      </c>
      <c r="F429" s="5">
        <f>SUMIFS(SalesDetail[Quantity (KG)],SalesDetail[Customer],$A429,SalesDetail[Year],2013)</f>
        <v>0</v>
      </c>
      <c r="G429" s="5">
        <f>SUMIFS(SalesDetail[Quantity (KG)],SalesDetail[Customer],$A429,SalesDetail[Year],2014)</f>
        <v>0</v>
      </c>
      <c r="H429" s="5">
        <f>SUMIFS(SalesDetail[Quantity (KG)],SalesDetail[Customer],$A429,SalesDetail[Year],2015)</f>
        <v>0</v>
      </c>
      <c r="I429" s="5">
        <f>SUMIFS(SalesDetail[Quantity (KG)],SalesDetail[Customer],$A429,SalesDetail[Year],2016)</f>
        <v>0</v>
      </c>
      <c r="J429" s="5">
        <f>SUMIFS(SalesDetail[Quantity (KG)],SalesDetail[Customer],$A429,SalesDetail[Year],2017)</f>
        <v>0</v>
      </c>
      <c r="K429" s="5">
        <f>SUMIFS(SalesDetail[Quantity (KG)],SalesDetail[Customer],$A429,SalesDetail[Year],2018)</f>
        <v>0</v>
      </c>
      <c r="L429" s="5">
        <f>SUMIFS(SalesDetail[Quantity (KG)],SalesDetail[Customer],$A429,SalesDetail[Year],2019)</f>
        <v>25</v>
      </c>
      <c r="M429" s="5">
        <f>SUMIFS(SalesDetail[Quantity (KG)],SalesDetail[Customer],$A429,SalesDetail[Year],2020)</f>
        <v>0</v>
      </c>
      <c r="N429" s="5">
        <f>SUMIFS(SalesDetail[Quantity (KG)],SalesDetail[Customer],$A429,SalesDetail[Year],2021)</f>
        <v>0</v>
      </c>
      <c r="O429" s="6">
        <f>SUM(B429:N429)</f>
        <v>25</v>
      </c>
    </row>
    <row r="430" spans="1:15" x14ac:dyDescent="0.3">
      <c r="A430" t="s">
        <v>2067</v>
      </c>
      <c r="B430" s="5">
        <f>SUMIFS(SalesDetail[Quantity (KG)],SalesDetail[Customer],$A430,SalesDetail[Year],2009)</f>
        <v>0</v>
      </c>
      <c r="C430" s="5">
        <f>SUMIFS(SalesDetail[Quantity (KG)],SalesDetail[Customer],$A430,SalesDetail[Year],2010)</f>
        <v>0</v>
      </c>
      <c r="D430" s="5">
        <f>SUMIFS(SalesDetail[Quantity (KG)],SalesDetail[Customer],$A430,SalesDetail[Year],2011)</f>
        <v>0</v>
      </c>
      <c r="E430" s="5">
        <f>SUMIFS(SalesDetail[Quantity (KG)],SalesDetail[Customer],$A430,SalesDetail[Year],2012)</f>
        <v>0</v>
      </c>
      <c r="F430" s="5">
        <f>SUMIFS(SalesDetail[Quantity (KG)],SalesDetail[Customer],$A430,SalesDetail[Year],2013)</f>
        <v>0</v>
      </c>
      <c r="G430" s="5">
        <f>SUMIFS(SalesDetail[Quantity (KG)],SalesDetail[Customer],$A430,SalesDetail[Year],2014)</f>
        <v>0</v>
      </c>
      <c r="H430" s="5">
        <f>SUMIFS(SalesDetail[Quantity (KG)],SalesDetail[Customer],$A430,SalesDetail[Year],2015)</f>
        <v>0</v>
      </c>
      <c r="I430" s="5">
        <f>SUMIFS(SalesDetail[Quantity (KG)],SalesDetail[Customer],$A430,SalesDetail[Year],2016)</f>
        <v>0</v>
      </c>
      <c r="J430" s="5">
        <f>SUMIFS(SalesDetail[Quantity (KG)],SalesDetail[Customer],$A430,SalesDetail[Year],2017)</f>
        <v>0</v>
      </c>
      <c r="K430" s="5">
        <f>SUMIFS(SalesDetail[Quantity (KG)],SalesDetail[Customer],$A430,SalesDetail[Year],2018)</f>
        <v>0</v>
      </c>
      <c r="L430" s="5">
        <f>SUMIFS(SalesDetail[Quantity (KG)],SalesDetail[Customer],$A430,SalesDetail[Year],2019)</f>
        <v>0</v>
      </c>
      <c r="M430" s="5">
        <f>SUMIFS(SalesDetail[Quantity (KG)],SalesDetail[Customer],$A430,SalesDetail[Year],2020)</f>
        <v>0</v>
      </c>
      <c r="N430" s="5">
        <f>SUMIFS(SalesDetail[Quantity (KG)],SalesDetail[Customer],$A430,SalesDetail[Year],2021)</f>
        <v>25</v>
      </c>
      <c r="O430" s="6">
        <f>SUM(B430:N430)</f>
        <v>25</v>
      </c>
    </row>
    <row r="431" spans="1:15" x14ac:dyDescent="0.3">
      <c r="A431" t="s">
        <v>2191</v>
      </c>
      <c r="B431" s="5">
        <f>SUMIFS(SalesDetail[Quantity (KG)],SalesDetail[Customer],$A431,SalesDetail[Year],2009)</f>
        <v>0</v>
      </c>
      <c r="C431" s="5">
        <f>SUMIFS(SalesDetail[Quantity (KG)],SalesDetail[Customer],$A431,SalesDetail[Year],2010)</f>
        <v>0</v>
      </c>
      <c r="D431" s="5">
        <f>SUMIFS(SalesDetail[Quantity (KG)],SalesDetail[Customer],$A431,SalesDetail[Year],2011)</f>
        <v>0</v>
      </c>
      <c r="E431" s="5">
        <f>SUMIFS(SalesDetail[Quantity (KG)],SalesDetail[Customer],$A431,SalesDetail[Year],2012)</f>
        <v>0</v>
      </c>
      <c r="F431" s="5">
        <f>SUMIFS(SalesDetail[Quantity (KG)],SalesDetail[Customer],$A431,SalesDetail[Year],2013)</f>
        <v>25</v>
      </c>
      <c r="G431" s="5">
        <f>SUMIFS(SalesDetail[Quantity (KG)],SalesDetail[Customer],$A431,SalesDetail[Year],2014)</f>
        <v>0</v>
      </c>
      <c r="H431" s="5">
        <f>SUMIFS(SalesDetail[Quantity (KG)],SalesDetail[Customer],$A431,SalesDetail[Year],2015)</f>
        <v>0</v>
      </c>
      <c r="I431" s="5">
        <f>SUMIFS(SalesDetail[Quantity (KG)],SalesDetail[Customer],$A431,SalesDetail[Year],2016)</f>
        <v>0</v>
      </c>
      <c r="J431" s="5">
        <f>SUMIFS(SalesDetail[Quantity (KG)],SalesDetail[Customer],$A431,SalesDetail[Year],2017)</f>
        <v>0</v>
      </c>
      <c r="K431" s="5">
        <f>SUMIFS(SalesDetail[Quantity (KG)],SalesDetail[Customer],$A431,SalesDetail[Year],2018)</f>
        <v>0</v>
      </c>
      <c r="L431" s="5">
        <f>SUMIFS(SalesDetail[Quantity (KG)],SalesDetail[Customer],$A431,SalesDetail[Year],2019)</f>
        <v>0</v>
      </c>
      <c r="M431" s="5">
        <f>SUMIFS(SalesDetail[Quantity (KG)],SalesDetail[Customer],$A431,SalesDetail[Year],2020)</f>
        <v>0</v>
      </c>
      <c r="N431" s="5">
        <f>SUMIFS(SalesDetail[Quantity (KG)],SalesDetail[Customer],$A431,SalesDetail[Year],2021)</f>
        <v>0</v>
      </c>
      <c r="O431" s="6">
        <f>SUM(B431:N431)</f>
        <v>25</v>
      </c>
    </row>
    <row r="432" spans="1:15" x14ac:dyDescent="0.3">
      <c r="A432" t="s">
        <v>2193</v>
      </c>
      <c r="B432" s="5">
        <f>SUMIFS(SalesDetail[Quantity (KG)],SalesDetail[Customer],$A432,SalesDetail[Year],2009)</f>
        <v>0</v>
      </c>
      <c r="C432" s="5">
        <f>SUMIFS(SalesDetail[Quantity (KG)],SalesDetail[Customer],$A432,SalesDetail[Year],2010)</f>
        <v>0</v>
      </c>
      <c r="D432" s="5">
        <f>SUMIFS(SalesDetail[Quantity (KG)],SalesDetail[Customer],$A432,SalesDetail[Year],2011)</f>
        <v>0</v>
      </c>
      <c r="E432" s="5">
        <f>SUMIFS(SalesDetail[Quantity (KG)],SalesDetail[Customer],$A432,SalesDetail[Year],2012)</f>
        <v>0</v>
      </c>
      <c r="F432" s="5">
        <f>SUMIFS(SalesDetail[Quantity (KG)],SalesDetail[Customer],$A432,SalesDetail[Year],2013)</f>
        <v>0</v>
      </c>
      <c r="G432" s="5">
        <f>SUMIFS(SalesDetail[Quantity (KG)],SalesDetail[Customer],$A432,SalesDetail[Year],2014)</f>
        <v>0</v>
      </c>
      <c r="H432" s="5">
        <f>SUMIFS(SalesDetail[Quantity (KG)],SalesDetail[Customer],$A432,SalesDetail[Year],2015)</f>
        <v>0</v>
      </c>
      <c r="I432" s="5">
        <f>SUMIFS(SalesDetail[Quantity (KG)],SalesDetail[Customer],$A432,SalesDetail[Year],2016)</f>
        <v>0</v>
      </c>
      <c r="J432" s="5">
        <f>SUMIFS(SalesDetail[Quantity (KG)],SalesDetail[Customer],$A432,SalesDetail[Year],2017)</f>
        <v>25</v>
      </c>
      <c r="K432" s="5">
        <f>SUMIFS(SalesDetail[Quantity (KG)],SalesDetail[Customer],$A432,SalesDetail[Year],2018)</f>
        <v>0</v>
      </c>
      <c r="L432" s="5">
        <f>SUMIFS(SalesDetail[Quantity (KG)],SalesDetail[Customer],$A432,SalesDetail[Year],2019)</f>
        <v>0</v>
      </c>
      <c r="M432" s="5">
        <f>SUMIFS(SalesDetail[Quantity (KG)],SalesDetail[Customer],$A432,SalesDetail[Year],2020)</f>
        <v>0</v>
      </c>
      <c r="N432" s="5">
        <f>SUMIFS(SalesDetail[Quantity (KG)],SalesDetail[Customer],$A432,SalesDetail[Year],2021)</f>
        <v>0</v>
      </c>
      <c r="O432" s="6">
        <f>SUM(B432:N432)</f>
        <v>25</v>
      </c>
    </row>
    <row r="433" spans="1:15" x14ac:dyDescent="0.3">
      <c r="A433" t="s">
        <v>2246</v>
      </c>
      <c r="B433" s="5">
        <f>SUMIFS(SalesDetail[Quantity (KG)],SalesDetail[Customer],$A433,SalesDetail[Year],2009)</f>
        <v>0</v>
      </c>
      <c r="C433" s="5">
        <f>SUMIFS(SalesDetail[Quantity (KG)],SalesDetail[Customer],$A433,SalesDetail[Year],2010)</f>
        <v>0</v>
      </c>
      <c r="D433" s="5">
        <f>SUMIFS(SalesDetail[Quantity (KG)],SalesDetail[Customer],$A433,SalesDetail[Year],2011)</f>
        <v>0</v>
      </c>
      <c r="E433" s="5">
        <f>SUMIFS(SalesDetail[Quantity (KG)],SalesDetail[Customer],$A433,SalesDetail[Year],2012)</f>
        <v>0</v>
      </c>
      <c r="F433" s="5">
        <f>SUMIFS(SalesDetail[Quantity (KG)],SalesDetail[Customer],$A433,SalesDetail[Year],2013)</f>
        <v>0</v>
      </c>
      <c r="G433" s="5">
        <f>SUMIFS(SalesDetail[Quantity (KG)],SalesDetail[Customer],$A433,SalesDetail[Year],2014)</f>
        <v>0</v>
      </c>
      <c r="H433" s="5">
        <f>SUMIFS(SalesDetail[Quantity (KG)],SalesDetail[Customer],$A433,SalesDetail[Year],2015)</f>
        <v>0</v>
      </c>
      <c r="I433" s="5">
        <f>SUMIFS(SalesDetail[Quantity (KG)],SalesDetail[Customer],$A433,SalesDetail[Year],2016)</f>
        <v>0</v>
      </c>
      <c r="J433" s="5">
        <f>SUMIFS(SalesDetail[Quantity (KG)],SalesDetail[Customer],$A433,SalesDetail[Year],2017)</f>
        <v>0</v>
      </c>
      <c r="K433" s="5">
        <f>SUMIFS(SalesDetail[Quantity (KG)],SalesDetail[Customer],$A433,SalesDetail[Year],2018)</f>
        <v>0</v>
      </c>
      <c r="L433" s="5">
        <f>SUMIFS(SalesDetail[Quantity (KG)],SalesDetail[Customer],$A433,SalesDetail[Year],2019)</f>
        <v>25</v>
      </c>
      <c r="M433" s="5">
        <f>SUMIFS(SalesDetail[Quantity (KG)],SalesDetail[Customer],$A433,SalesDetail[Year],2020)</f>
        <v>0</v>
      </c>
      <c r="N433" s="5">
        <f>SUMIFS(SalesDetail[Quantity (KG)],SalesDetail[Customer],$A433,SalesDetail[Year],2021)</f>
        <v>0</v>
      </c>
      <c r="O433" s="6">
        <f>SUM(B433:N433)</f>
        <v>25</v>
      </c>
    </row>
    <row r="434" spans="1:15" x14ac:dyDescent="0.3">
      <c r="A434" t="s">
        <v>2247</v>
      </c>
      <c r="B434" s="5">
        <f>SUMIFS(SalesDetail[Quantity (KG)],SalesDetail[Customer],$A434,SalesDetail[Year],2009)</f>
        <v>0</v>
      </c>
      <c r="C434" s="5">
        <f>SUMIFS(SalesDetail[Quantity (KG)],SalesDetail[Customer],$A434,SalesDetail[Year],2010)</f>
        <v>0</v>
      </c>
      <c r="D434" s="5">
        <f>SUMIFS(SalesDetail[Quantity (KG)],SalesDetail[Customer],$A434,SalesDetail[Year],2011)</f>
        <v>0</v>
      </c>
      <c r="E434" s="5">
        <f>SUMIFS(SalesDetail[Quantity (KG)],SalesDetail[Customer],$A434,SalesDetail[Year],2012)</f>
        <v>0</v>
      </c>
      <c r="F434" s="5">
        <f>SUMIFS(SalesDetail[Quantity (KG)],SalesDetail[Customer],$A434,SalesDetail[Year],2013)</f>
        <v>0</v>
      </c>
      <c r="G434" s="5">
        <f>SUMIFS(SalesDetail[Quantity (KG)],SalesDetail[Customer],$A434,SalesDetail[Year],2014)</f>
        <v>0</v>
      </c>
      <c r="H434" s="5">
        <f>SUMIFS(SalesDetail[Quantity (KG)],SalesDetail[Customer],$A434,SalesDetail[Year],2015)</f>
        <v>0</v>
      </c>
      <c r="I434" s="5">
        <f>SUMIFS(SalesDetail[Quantity (KG)],SalesDetail[Customer],$A434,SalesDetail[Year],2016)</f>
        <v>25</v>
      </c>
      <c r="J434" s="5">
        <f>SUMIFS(SalesDetail[Quantity (KG)],SalesDetail[Customer],$A434,SalesDetail[Year],2017)</f>
        <v>0</v>
      </c>
      <c r="K434" s="5">
        <f>SUMIFS(SalesDetail[Quantity (KG)],SalesDetail[Customer],$A434,SalesDetail[Year],2018)</f>
        <v>0</v>
      </c>
      <c r="L434" s="5">
        <f>SUMIFS(SalesDetail[Quantity (KG)],SalesDetail[Customer],$A434,SalesDetail[Year],2019)</f>
        <v>0</v>
      </c>
      <c r="M434" s="5">
        <f>SUMIFS(SalesDetail[Quantity (KG)],SalesDetail[Customer],$A434,SalesDetail[Year],2020)</f>
        <v>0</v>
      </c>
      <c r="N434" s="5">
        <f>SUMIFS(SalesDetail[Quantity (KG)],SalesDetail[Customer],$A434,SalesDetail[Year],2021)</f>
        <v>0</v>
      </c>
      <c r="O434" s="6">
        <f>SUM(B434:N434)</f>
        <v>25</v>
      </c>
    </row>
    <row r="435" spans="1:15" x14ac:dyDescent="0.3">
      <c r="A435" t="s">
        <v>2260</v>
      </c>
      <c r="B435" s="5">
        <f>SUMIFS(SalesDetail[Quantity (KG)],SalesDetail[Customer],$A435,SalesDetail[Year],2009)</f>
        <v>0</v>
      </c>
      <c r="C435" s="5">
        <f>SUMIFS(SalesDetail[Quantity (KG)],SalesDetail[Customer],$A435,SalesDetail[Year],2010)</f>
        <v>0</v>
      </c>
      <c r="D435" s="5">
        <f>SUMIFS(SalesDetail[Quantity (KG)],SalesDetail[Customer],$A435,SalesDetail[Year],2011)</f>
        <v>0</v>
      </c>
      <c r="E435" s="5">
        <f>SUMIFS(SalesDetail[Quantity (KG)],SalesDetail[Customer],$A435,SalesDetail[Year],2012)</f>
        <v>0</v>
      </c>
      <c r="F435" s="5">
        <f>SUMIFS(SalesDetail[Quantity (KG)],SalesDetail[Customer],$A435,SalesDetail[Year],2013)</f>
        <v>0</v>
      </c>
      <c r="G435" s="5">
        <f>SUMIFS(SalesDetail[Quantity (KG)],SalesDetail[Customer],$A435,SalesDetail[Year],2014)</f>
        <v>0</v>
      </c>
      <c r="H435" s="5">
        <f>SUMIFS(SalesDetail[Quantity (KG)],SalesDetail[Customer],$A435,SalesDetail[Year],2015)</f>
        <v>0</v>
      </c>
      <c r="I435" s="5">
        <f>SUMIFS(SalesDetail[Quantity (KG)],SalesDetail[Customer],$A435,SalesDetail[Year],2016)</f>
        <v>0</v>
      </c>
      <c r="J435" s="5">
        <f>SUMIFS(SalesDetail[Quantity (KG)],SalesDetail[Customer],$A435,SalesDetail[Year],2017)</f>
        <v>0</v>
      </c>
      <c r="K435" s="5">
        <f>SUMIFS(SalesDetail[Quantity (KG)],SalesDetail[Customer],$A435,SalesDetail[Year],2018)</f>
        <v>0</v>
      </c>
      <c r="L435" s="5">
        <f>SUMIFS(SalesDetail[Quantity (KG)],SalesDetail[Customer],$A435,SalesDetail[Year],2019)</f>
        <v>25</v>
      </c>
      <c r="M435" s="5">
        <f>SUMIFS(SalesDetail[Quantity (KG)],SalesDetail[Customer],$A435,SalesDetail[Year],2020)</f>
        <v>0</v>
      </c>
      <c r="N435" s="5">
        <f>SUMIFS(SalesDetail[Quantity (KG)],SalesDetail[Customer],$A435,SalesDetail[Year],2021)</f>
        <v>0</v>
      </c>
      <c r="O435" s="6">
        <f>SUM(B435:N435)</f>
        <v>25</v>
      </c>
    </row>
    <row r="436" spans="1:15" x14ac:dyDescent="0.3">
      <c r="A436" t="s">
        <v>2263</v>
      </c>
      <c r="B436" s="5">
        <f>SUMIFS(SalesDetail[Quantity (KG)],SalesDetail[Customer],$A436,SalesDetail[Year],2009)</f>
        <v>0</v>
      </c>
      <c r="C436" s="5">
        <f>SUMIFS(SalesDetail[Quantity (KG)],SalesDetail[Customer],$A436,SalesDetail[Year],2010)</f>
        <v>0</v>
      </c>
      <c r="D436" s="5">
        <f>SUMIFS(SalesDetail[Quantity (KG)],SalesDetail[Customer],$A436,SalesDetail[Year],2011)</f>
        <v>0</v>
      </c>
      <c r="E436" s="5">
        <f>SUMIFS(SalesDetail[Quantity (KG)],SalesDetail[Customer],$A436,SalesDetail[Year],2012)</f>
        <v>0</v>
      </c>
      <c r="F436" s="5">
        <f>SUMIFS(SalesDetail[Quantity (KG)],SalesDetail[Customer],$A436,SalesDetail[Year],2013)</f>
        <v>0</v>
      </c>
      <c r="G436" s="5">
        <f>SUMIFS(SalesDetail[Quantity (KG)],SalesDetail[Customer],$A436,SalesDetail[Year],2014)</f>
        <v>0</v>
      </c>
      <c r="H436" s="5">
        <f>SUMIFS(SalesDetail[Quantity (KG)],SalesDetail[Customer],$A436,SalesDetail[Year],2015)</f>
        <v>0</v>
      </c>
      <c r="I436" s="5">
        <f>SUMIFS(SalesDetail[Quantity (KG)],SalesDetail[Customer],$A436,SalesDetail[Year],2016)</f>
        <v>0</v>
      </c>
      <c r="J436" s="5">
        <f>SUMIFS(SalesDetail[Quantity (KG)],SalesDetail[Customer],$A436,SalesDetail[Year],2017)</f>
        <v>0</v>
      </c>
      <c r="K436" s="5">
        <f>SUMIFS(SalesDetail[Quantity (KG)],SalesDetail[Customer],$A436,SalesDetail[Year],2018)</f>
        <v>25</v>
      </c>
      <c r="L436" s="5">
        <f>SUMIFS(SalesDetail[Quantity (KG)],SalesDetail[Customer],$A436,SalesDetail[Year],2019)</f>
        <v>0</v>
      </c>
      <c r="M436" s="5">
        <f>SUMIFS(SalesDetail[Quantity (KG)],SalesDetail[Customer],$A436,SalesDetail[Year],2020)</f>
        <v>0</v>
      </c>
      <c r="N436" s="5">
        <f>SUMIFS(SalesDetail[Quantity (KG)],SalesDetail[Customer],$A436,SalesDetail[Year],2021)</f>
        <v>0</v>
      </c>
      <c r="O436" s="6">
        <f>SUM(B436:N436)</f>
        <v>25</v>
      </c>
    </row>
    <row r="437" spans="1:15" x14ac:dyDescent="0.3">
      <c r="A437" t="s">
        <v>2446</v>
      </c>
      <c r="B437" s="5">
        <f>SUMIFS(SalesDetail[Quantity (KG)],SalesDetail[Customer],$A437,SalesDetail[Year],2009)</f>
        <v>0</v>
      </c>
      <c r="C437" s="5">
        <f>SUMIFS(SalesDetail[Quantity (KG)],SalesDetail[Customer],$A437,SalesDetail[Year],2010)</f>
        <v>0</v>
      </c>
      <c r="D437" s="5">
        <f>SUMIFS(SalesDetail[Quantity (KG)],SalesDetail[Customer],$A437,SalesDetail[Year],2011)</f>
        <v>0</v>
      </c>
      <c r="E437" s="5">
        <f>SUMIFS(SalesDetail[Quantity (KG)],SalesDetail[Customer],$A437,SalesDetail[Year],2012)</f>
        <v>0</v>
      </c>
      <c r="F437" s="5">
        <f>SUMIFS(SalesDetail[Quantity (KG)],SalesDetail[Customer],$A437,SalesDetail[Year],2013)</f>
        <v>0</v>
      </c>
      <c r="G437" s="5">
        <f>SUMIFS(SalesDetail[Quantity (KG)],SalesDetail[Customer],$A437,SalesDetail[Year],2014)</f>
        <v>0</v>
      </c>
      <c r="H437" s="5">
        <f>SUMIFS(SalesDetail[Quantity (KG)],SalesDetail[Customer],$A437,SalesDetail[Year],2015)</f>
        <v>0</v>
      </c>
      <c r="I437" s="5">
        <f>SUMIFS(SalesDetail[Quantity (KG)],SalesDetail[Customer],$A437,SalesDetail[Year],2016)</f>
        <v>0</v>
      </c>
      <c r="J437" s="5">
        <f>SUMIFS(SalesDetail[Quantity (KG)],SalesDetail[Customer],$A437,SalesDetail[Year],2017)</f>
        <v>0</v>
      </c>
      <c r="K437" s="5">
        <f>SUMIFS(SalesDetail[Quantity (KG)],SalesDetail[Customer],$A437,SalesDetail[Year],2018)</f>
        <v>25</v>
      </c>
      <c r="L437" s="5">
        <f>SUMIFS(SalesDetail[Quantity (KG)],SalesDetail[Customer],$A437,SalesDetail[Year],2019)</f>
        <v>0</v>
      </c>
      <c r="M437" s="5">
        <f>SUMIFS(SalesDetail[Quantity (KG)],SalesDetail[Customer],$A437,SalesDetail[Year],2020)</f>
        <v>0</v>
      </c>
      <c r="N437" s="5">
        <f>SUMIFS(SalesDetail[Quantity (KG)],SalesDetail[Customer],$A437,SalesDetail[Year],2021)</f>
        <v>0</v>
      </c>
      <c r="O437" s="6">
        <f>SUM(B437:N437)</f>
        <v>25</v>
      </c>
    </row>
    <row r="438" spans="1:15" x14ac:dyDescent="0.3">
      <c r="A438" t="s">
        <v>2462</v>
      </c>
      <c r="B438" s="5">
        <f>SUMIFS(SalesDetail[Quantity (KG)],SalesDetail[Customer],$A438,SalesDetail[Year],2009)</f>
        <v>0</v>
      </c>
      <c r="C438" s="5">
        <f>SUMIFS(SalesDetail[Quantity (KG)],SalesDetail[Customer],$A438,SalesDetail[Year],2010)</f>
        <v>0</v>
      </c>
      <c r="D438" s="5">
        <f>SUMIFS(SalesDetail[Quantity (KG)],SalesDetail[Customer],$A438,SalesDetail[Year],2011)</f>
        <v>0</v>
      </c>
      <c r="E438" s="5">
        <f>SUMIFS(SalesDetail[Quantity (KG)],SalesDetail[Customer],$A438,SalesDetail[Year],2012)</f>
        <v>0</v>
      </c>
      <c r="F438" s="5">
        <f>SUMIFS(SalesDetail[Quantity (KG)],SalesDetail[Customer],$A438,SalesDetail[Year],2013)</f>
        <v>0</v>
      </c>
      <c r="G438" s="5">
        <f>SUMIFS(SalesDetail[Quantity (KG)],SalesDetail[Customer],$A438,SalesDetail[Year],2014)</f>
        <v>0</v>
      </c>
      <c r="H438" s="5">
        <f>SUMIFS(SalesDetail[Quantity (KG)],SalesDetail[Customer],$A438,SalesDetail[Year],2015)</f>
        <v>0</v>
      </c>
      <c r="I438" s="5">
        <f>SUMIFS(SalesDetail[Quantity (KG)],SalesDetail[Customer],$A438,SalesDetail[Year],2016)</f>
        <v>0</v>
      </c>
      <c r="J438" s="5">
        <f>SUMIFS(SalesDetail[Quantity (KG)],SalesDetail[Customer],$A438,SalesDetail[Year],2017)</f>
        <v>0</v>
      </c>
      <c r="K438" s="5">
        <f>SUMIFS(SalesDetail[Quantity (KG)],SalesDetail[Customer],$A438,SalesDetail[Year],2018)</f>
        <v>25</v>
      </c>
      <c r="L438" s="5">
        <f>SUMIFS(SalesDetail[Quantity (KG)],SalesDetail[Customer],$A438,SalesDetail[Year],2019)</f>
        <v>0</v>
      </c>
      <c r="M438" s="5">
        <f>SUMIFS(SalesDetail[Quantity (KG)],SalesDetail[Customer],$A438,SalesDetail[Year],2020)</f>
        <v>0</v>
      </c>
      <c r="N438" s="5">
        <f>SUMIFS(SalesDetail[Quantity (KG)],SalesDetail[Customer],$A438,SalesDetail[Year],2021)</f>
        <v>0</v>
      </c>
      <c r="O438" s="6">
        <f>SUM(B438:N438)</f>
        <v>25</v>
      </c>
    </row>
    <row r="439" spans="1:15" x14ac:dyDescent="0.3">
      <c r="A439" t="s">
        <v>500</v>
      </c>
      <c r="B439" s="5">
        <f>SUMIFS(SalesDetail[Quantity (KG)],SalesDetail[Customer],$A439,SalesDetail[Year],2009)</f>
        <v>0</v>
      </c>
      <c r="C439" s="5">
        <f>SUMIFS(SalesDetail[Quantity (KG)],SalesDetail[Customer],$A439,SalesDetail[Year],2010)</f>
        <v>0</v>
      </c>
      <c r="D439" s="5">
        <f>SUMIFS(SalesDetail[Quantity (KG)],SalesDetail[Customer],$A439,SalesDetail[Year],2011)</f>
        <v>0</v>
      </c>
      <c r="E439" s="5">
        <f>SUMIFS(SalesDetail[Quantity (KG)],SalesDetail[Customer],$A439,SalesDetail[Year],2012)</f>
        <v>0</v>
      </c>
      <c r="F439" s="5">
        <f>SUMIFS(SalesDetail[Quantity (KG)],SalesDetail[Customer],$A439,SalesDetail[Year],2013)</f>
        <v>0</v>
      </c>
      <c r="G439" s="5">
        <f>SUMIFS(SalesDetail[Quantity (KG)],SalesDetail[Customer],$A439,SalesDetail[Year],2014)</f>
        <v>24</v>
      </c>
      <c r="H439" s="5">
        <f>SUMIFS(SalesDetail[Quantity (KG)],SalesDetail[Customer],$A439,SalesDetail[Year],2015)</f>
        <v>0</v>
      </c>
      <c r="I439" s="5">
        <f>SUMIFS(SalesDetail[Quantity (KG)],SalesDetail[Customer],$A439,SalesDetail[Year],2016)</f>
        <v>0</v>
      </c>
      <c r="J439" s="5">
        <f>SUMIFS(SalesDetail[Quantity (KG)],SalesDetail[Customer],$A439,SalesDetail[Year],2017)</f>
        <v>0</v>
      </c>
      <c r="K439" s="5">
        <f>SUMIFS(SalesDetail[Quantity (KG)],SalesDetail[Customer],$A439,SalesDetail[Year],2018)</f>
        <v>0</v>
      </c>
      <c r="L439" s="5">
        <f>SUMIFS(SalesDetail[Quantity (KG)],SalesDetail[Customer],$A439,SalesDetail[Year],2019)</f>
        <v>0</v>
      </c>
      <c r="M439" s="5">
        <f>SUMIFS(SalesDetail[Quantity (KG)],SalesDetail[Customer],$A439,SalesDetail[Year],2020)</f>
        <v>0</v>
      </c>
      <c r="N439" s="5">
        <f>SUMIFS(SalesDetail[Quantity (KG)],SalesDetail[Customer],$A439,SalesDetail[Year],2021)</f>
        <v>0</v>
      </c>
      <c r="O439" s="6">
        <f>SUM(B439:N439)</f>
        <v>24</v>
      </c>
    </row>
    <row r="440" spans="1:15" x14ac:dyDescent="0.3">
      <c r="A440" t="s">
        <v>840</v>
      </c>
      <c r="B440" s="5">
        <f>SUMIFS(SalesDetail[Quantity (KG)],SalesDetail[Customer],$A440,SalesDetail[Year],2009)</f>
        <v>0</v>
      </c>
      <c r="C440" s="5">
        <f>SUMIFS(SalesDetail[Quantity (KG)],SalesDetail[Customer],$A440,SalesDetail[Year],2010)</f>
        <v>0</v>
      </c>
      <c r="D440" s="5">
        <f>SUMIFS(SalesDetail[Quantity (KG)],SalesDetail[Customer],$A440,SalesDetail[Year],2011)</f>
        <v>0</v>
      </c>
      <c r="E440" s="5">
        <f>SUMIFS(SalesDetail[Quantity (KG)],SalesDetail[Customer],$A440,SalesDetail[Year],2012)</f>
        <v>0</v>
      </c>
      <c r="F440" s="5">
        <f>SUMIFS(SalesDetail[Quantity (KG)],SalesDetail[Customer],$A440,SalesDetail[Year],2013)</f>
        <v>0</v>
      </c>
      <c r="G440" s="5">
        <f>SUMIFS(SalesDetail[Quantity (KG)],SalesDetail[Customer],$A440,SalesDetail[Year],2014)</f>
        <v>0</v>
      </c>
      <c r="H440" s="5">
        <f>SUMIFS(SalesDetail[Quantity (KG)],SalesDetail[Customer],$A440,SalesDetail[Year],2015)</f>
        <v>0</v>
      </c>
      <c r="I440" s="5">
        <f>SUMIFS(SalesDetail[Quantity (KG)],SalesDetail[Customer],$A440,SalesDetail[Year],2016)</f>
        <v>0</v>
      </c>
      <c r="J440" s="5">
        <f>SUMIFS(SalesDetail[Quantity (KG)],SalesDetail[Customer],$A440,SalesDetail[Year],2017)</f>
        <v>0</v>
      </c>
      <c r="K440" s="5">
        <f>SUMIFS(SalesDetail[Quantity (KG)],SalesDetail[Customer],$A440,SalesDetail[Year],2018)</f>
        <v>0</v>
      </c>
      <c r="L440" s="5">
        <f>SUMIFS(SalesDetail[Quantity (KG)],SalesDetail[Customer],$A440,SalesDetail[Year],2019)</f>
        <v>0</v>
      </c>
      <c r="M440" s="5">
        <f>SUMIFS(SalesDetail[Quantity (KG)],SalesDetail[Customer],$A440,SalesDetail[Year],2020)</f>
        <v>20</v>
      </c>
      <c r="N440" s="5">
        <f>SUMIFS(SalesDetail[Quantity (KG)],SalesDetail[Customer],$A440,SalesDetail[Year],2021)</f>
        <v>3</v>
      </c>
      <c r="O440" s="6">
        <f>SUM(B440:N440)</f>
        <v>23</v>
      </c>
    </row>
    <row r="441" spans="1:15" x14ac:dyDescent="0.3">
      <c r="A441" t="s">
        <v>1844</v>
      </c>
      <c r="B441" s="5">
        <f>SUMIFS(SalesDetail[Quantity (KG)],SalesDetail[Customer],$A441,SalesDetail[Year],2009)</f>
        <v>0</v>
      </c>
      <c r="C441" s="5">
        <f>SUMIFS(SalesDetail[Quantity (KG)],SalesDetail[Customer],$A441,SalesDetail[Year],2010)</f>
        <v>0</v>
      </c>
      <c r="D441" s="5">
        <f>SUMIFS(SalesDetail[Quantity (KG)],SalesDetail[Customer],$A441,SalesDetail[Year],2011)</f>
        <v>0</v>
      </c>
      <c r="E441" s="5">
        <f>SUMIFS(SalesDetail[Quantity (KG)],SalesDetail[Customer],$A441,SalesDetail[Year],2012)</f>
        <v>0</v>
      </c>
      <c r="F441" s="5">
        <f>SUMIFS(SalesDetail[Quantity (KG)],SalesDetail[Customer],$A441,SalesDetail[Year],2013)</f>
        <v>0</v>
      </c>
      <c r="G441" s="5">
        <f>SUMIFS(SalesDetail[Quantity (KG)],SalesDetail[Customer],$A441,SalesDetail[Year],2014)</f>
        <v>0</v>
      </c>
      <c r="H441" s="5">
        <f>SUMIFS(SalesDetail[Quantity (KG)],SalesDetail[Customer],$A441,SalesDetail[Year],2015)</f>
        <v>23</v>
      </c>
      <c r="I441" s="5">
        <f>SUMIFS(SalesDetail[Quantity (KG)],SalesDetail[Customer],$A441,SalesDetail[Year],2016)</f>
        <v>0</v>
      </c>
      <c r="J441" s="5">
        <f>SUMIFS(SalesDetail[Quantity (KG)],SalesDetail[Customer],$A441,SalesDetail[Year],2017)</f>
        <v>0</v>
      </c>
      <c r="K441" s="5">
        <f>SUMIFS(SalesDetail[Quantity (KG)],SalesDetail[Customer],$A441,SalesDetail[Year],2018)</f>
        <v>0</v>
      </c>
      <c r="L441" s="5">
        <f>SUMIFS(SalesDetail[Quantity (KG)],SalesDetail[Customer],$A441,SalesDetail[Year],2019)</f>
        <v>0</v>
      </c>
      <c r="M441" s="5">
        <f>SUMIFS(SalesDetail[Quantity (KG)],SalesDetail[Customer],$A441,SalesDetail[Year],2020)</f>
        <v>0</v>
      </c>
      <c r="N441" s="5">
        <f>SUMIFS(SalesDetail[Quantity (KG)],SalesDetail[Customer],$A441,SalesDetail[Year],2021)</f>
        <v>0</v>
      </c>
      <c r="O441" s="6">
        <f>SUM(B441:N441)</f>
        <v>23</v>
      </c>
    </row>
    <row r="442" spans="1:15" x14ac:dyDescent="0.3">
      <c r="A442" t="s">
        <v>2571</v>
      </c>
      <c r="B442" s="5">
        <f>SUMIFS(SalesDetail[Quantity (KG)],SalesDetail[Customer],$A442,SalesDetail[Year],2009)</f>
        <v>0</v>
      </c>
      <c r="C442" s="5">
        <f>SUMIFS(SalesDetail[Quantity (KG)],SalesDetail[Customer],$A442,SalesDetail[Year],2010)</f>
        <v>0</v>
      </c>
      <c r="D442" s="5">
        <f>SUMIFS(SalesDetail[Quantity (KG)],SalesDetail[Customer],$A442,SalesDetail[Year],2011)</f>
        <v>0</v>
      </c>
      <c r="E442" s="5">
        <f>SUMIFS(SalesDetail[Quantity (KG)],SalesDetail[Customer],$A442,SalesDetail[Year],2012)</f>
        <v>0</v>
      </c>
      <c r="F442" s="5">
        <f>SUMIFS(SalesDetail[Quantity (KG)],SalesDetail[Customer],$A442,SalesDetail[Year],2013)</f>
        <v>0</v>
      </c>
      <c r="G442" s="5">
        <f>SUMIFS(SalesDetail[Quantity (KG)],SalesDetail[Customer],$A442,SalesDetail[Year],2014)</f>
        <v>0</v>
      </c>
      <c r="H442" s="5">
        <f>SUMIFS(SalesDetail[Quantity (KG)],SalesDetail[Customer],$A442,SalesDetail[Year],2015)</f>
        <v>0</v>
      </c>
      <c r="I442" s="5">
        <f>SUMIFS(SalesDetail[Quantity (KG)],SalesDetail[Customer],$A442,SalesDetail[Year],2016)</f>
        <v>0</v>
      </c>
      <c r="J442" s="5">
        <f>SUMIFS(SalesDetail[Quantity (KG)],SalesDetail[Customer],$A442,SalesDetail[Year],2017)</f>
        <v>0</v>
      </c>
      <c r="K442" s="5">
        <f>SUMIFS(SalesDetail[Quantity (KG)],SalesDetail[Customer],$A442,SalesDetail[Year],2018)</f>
        <v>0</v>
      </c>
      <c r="L442" s="5">
        <f>SUMIFS(SalesDetail[Quantity (KG)],SalesDetail[Customer],$A442,SalesDetail[Year],2019)</f>
        <v>18</v>
      </c>
      <c r="M442" s="5">
        <f>SUMIFS(SalesDetail[Quantity (KG)],SalesDetail[Customer],$A442,SalesDetail[Year],2020)</f>
        <v>5</v>
      </c>
      <c r="N442" s="5">
        <f>SUMIFS(SalesDetail[Quantity (KG)],SalesDetail[Customer],$A442,SalesDetail[Year],2021)</f>
        <v>0</v>
      </c>
      <c r="O442" s="6">
        <f>SUM(B442:N442)</f>
        <v>23</v>
      </c>
    </row>
    <row r="443" spans="1:15" x14ac:dyDescent="0.3">
      <c r="A443" t="s">
        <v>580</v>
      </c>
      <c r="B443" s="5">
        <f>SUMIFS(SalesDetail[Quantity (KG)],SalesDetail[Customer],$A443,SalesDetail[Year],2009)</f>
        <v>0</v>
      </c>
      <c r="C443" s="5">
        <f>SUMIFS(SalesDetail[Quantity (KG)],SalesDetail[Customer],$A443,SalesDetail[Year],2010)</f>
        <v>0</v>
      </c>
      <c r="D443" s="5">
        <f>SUMIFS(SalesDetail[Quantity (KG)],SalesDetail[Customer],$A443,SalesDetail[Year],2011)</f>
        <v>0</v>
      </c>
      <c r="E443" s="5">
        <f>SUMIFS(SalesDetail[Quantity (KG)],SalesDetail[Customer],$A443,SalesDetail[Year],2012)</f>
        <v>0</v>
      </c>
      <c r="F443" s="5">
        <f>SUMIFS(SalesDetail[Quantity (KG)],SalesDetail[Customer],$A443,SalesDetail[Year],2013)</f>
        <v>0</v>
      </c>
      <c r="G443" s="5">
        <f>SUMIFS(SalesDetail[Quantity (KG)],SalesDetail[Customer],$A443,SalesDetail[Year],2014)</f>
        <v>0</v>
      </c>
      <c r="H443" s="5">
        <f>SUMIFS(SalesDetail[Quantity (KG)],SalesDetail[Customer],$A443,SalesDetail[Year],2015)</f>
        <v>0</v>
      </c>
      <c r="I443" s="5">
        <f>SUMIFS(SalesDetail[Quantity (KG)],SalesDetail[Customer],$A443,SalesDetail[Year],2016)</f>
        <v>0</v>
      </c>
      <c r="J443" s="5">
        <f>SUMIFS(SalesDetail[Quantity (KG)],SalesDetail[Customer],$A443,SalesDetail[Year],2017)</f>
        <v>0</v>
      </c>
      <c r="K443" s="5">
        <f>SUMIFS(SalesDetail[Quantity (KG)],SalesDetail[Customer],$A443,SalesDetail[Year],2018)</f>
        <v>12.5</v>
      </c>
      <c r="L443" s="5">
        <f>SUMIFS(SalesDetail[Quantity (KG)],SalesDetail[Customer],$A443,SalesDetail[Year],2019)</f>
        <v>10</v>
      </c>
      <c r="M443" s="5">
        <f>SUMIFS(SalesDetail[Quantity (KG)],SalesDetail[Customer],$A443,SalesDetail[Year],2020)</f>
        <v>0</v>
      </c>
      <c r="N443" s="5">
        <f>SUMIFS(SalesDetail[Quantity (KG)],SalesDetail[Customer],$A443,SalesDetail[Year],2021)</f>
        <v>0</v>
      </c>
      <c r="O443" s="6">
        <f>SUM(B443:N443)</f>
        <v>22.5</v>
      </c>
    </row>
    <row r="444" spans="1:15" x14ac:dyDescent="0.3">
      <c r="A444" t="s">
        <v>1837</v>
      </c>
      <c r="B444" s="5">
        <f>SUMIFS(SalesDetail[Quantity (KG)],SalesDetail[Customer],$A444,SalesDetail[Year],2009)</f>
        <v>0</v>
      </c>
      <c r="C444" s="5">
        <f>SUMIFS(SalesDetail[Quantity (KG)],SalesDetail[Customer],$A444,SalesDetail[Year],2010)</f>
        <v>0</v>
      </c>
      <c r="D444" s="5">
        <f>SUMIFS(SalesDetail[Quantity (KG)],SalesDetail[Customer],$A444,SalesDetail[Year],2011)</f>
        <v>0</v>
      </c>
      <c r="E444" s="5">
        <f>SUMIFS(SalesDetail[Quantity (KG)],SalesDetail[Customer],$A444,SalesDetail[Year],2012)</f>
        <v>0</v>
      </c>
      <c r="F444" s="5">
        <f>SUMIFS(SalesDetail[Quantity (KG)],SalesDetail[Customer],$A444,SalesDetail[Year],2013)</f>
        <v>0</v>
      </c>
      <c r="G444" s="5">
        <f>SUMIFS(SalesDetail[Quantity (KG)],SalesDetail[Customer],$A444,SalesDetail[Year],2014)</f>
        <v>0</v>
      </c>
      <c r="H444" s="5">
        <f>SUMIFS(SalesDetail[Quantity (KG)],SalesDetail[Customer],$A444,SalesDetail[Year],2015)</f>
        <v>0</v>
      </c>
      <c r="I444" s="5">
        <f>SUMIFS(SalesDetail[Quantity (KG)],SalesDetail[Customer],$A444,SalesDetail[Year],2016)</f>
        <v>0</v>
      </c>
      <c r="J444" s="5">
        <f>SUMIFS(SalesDetail[Quantity (KG)],SalesDetail[Customer],$A444,SalesDetail[Year],2017)</f>
        <v>0</v>
      </c>
      <c r="K444" s="5">
        <f>SUMIFS(SalesDetail[Quantity (KG)],SalesDetail[Customer],$A444,SalesDetail[Year],2018)</f>
        <v>22</v>
      </c>
      <c r="L444" s="5">
        <f>SUMIFS(SalesDetail[Quantity (KG)],SalesDetail[Customer],$A444,SalesDetail[Year],2019)</f>
        <v>0</v>
      </c>
      <c r="M444" s="5">
        <f>SUMIFS(SalesDetail[Quantity (KG)],SalesDetail[Customer],$A444,SalesDetail[Year],2020)</f>
        <v>0</v>
      </c>
      <c r="N444" s="5">
        <f>SUMIFS(SalesDetail[Quantity (KG)],SalesDetail[Customer],$A444,SalesDetail[Year],2021)</f>
        <v>0</v>
      </c>
      <c r="O444" s="6">
        <f>SUM(B444:N444)</f>
        <v>22</v>
      </c>
    </row>
    <row r="445" spans="1:15" x14ac:dyDescent="0.3">
      <c r="A445" t="s">
        <v>2042</v>
      </c>
      <c r="B445" s="5">
        <f>SUMIFS(SalesDetail[Quantity (KG)],SalesDetail[Customer],$A445,SalesDetail[Year],2009)</f>
        <v>0</v>
      </c>
      <c r="C445" s="5">
        <f>SUMIFS(SalesDetail[Quantity (KG)],SalesDetail[Customer],$A445,SalesDetail[Year],2010)</f>
        <v>0</v>
      </c>
      <c r="D445" s="5">
        <f>SUMIFS(SalesDetail[Quantity (KG)],SalesDetail[Customer],$A445,SalesDetail[Year],2011)</f>
        <v>0</v>
      </c>
      <c r="E445" s="5">
        <f>SUMIFS(SalesDetail[Quantity (KG)],SalesDetail[Customer],$A445,SalesDetail[Year],2012)</f>
        <v>0</v>
      </c>
      <c r="F445" s="5">
        <f>SUMIFS(SalesDetail[Quantity (KG)],SalesDetail[Customer],$A445,SalesDetail[Year],2013)</f>
        <v>0</v>
      </c>
      <c r="G445" s="5">
        <f>SUMIFS(SalesDetail[Quantity (KG)],SalesDetail[Customer],$A445,SalesDetail[Year],2014)</f>
        <v>0</v>
      </c>
      <c r="H445" s="5">
        <f>SUMIFS(SalesDetail[Quantity (KG)],SalesDetail[Customer],$A445,SalesDetail[Year],2015)</f>
        <v>22</v>
      </c>
      <c r="I445" s="5">
        <f>SUMIFS(SalesDetail[Quantity (KG)],SalesDetail[Customer],$A445,SalesDetail[Year],2016)</f>
        <v>0</v>
      </c>
      <c r="J445" s="5">
        <f>SUMIFS(SalesDetail[Quantity (KG)],SalesDetail[Customer],$A445,SalesDetail[Year],2017)</f>
        <v>0</v>
      </c>
      <c r="K445" s="5">
        <f>SUMIFS(SalesDetail[Quantity (KG)],SalesDetail[Customer],$A445,SalesDetail[Year],2018)</f>
        <v>0</v>
      </c>
      <c r="L445" s="5">
        <f>SUMIFS(SalesDetail[Quantity (KG)],SalesDetail[Customer],$A445,SalesDetail[Year],2019)</f>
        <v>0</v>
      </c>
      <c r="M445" s="5">
        <f>SUMIFS(SalesDetail[Quantity (KG)],SalesDetail[Customer],$A445,SalesDetail[Year],2020)</f>
        <v>0</v>
      </c>
      <c r="N445" s="5">
        <f>SUMIFS(SalesDetail[Quantity (KG)],SalesDetail[Customer],$A445,SalesDetail[Year],2021)</f>
        <v>0</v>
      </c>
      <c r="O445" s="6">
        <f>SUM(B445:N445)</f>
        <v>22</v>
      </c>
    </row>
    <row r="446" spans="1:15" x14ac:dyDescent="0.3">
      <c r="A446" t="s">
        <v>2249</v>
      </c>
      <c r="B446" s="5">
        <f>SUMIFS(SalesDetail[Quantity (KG)],SalesDetail[Customer],$A446,SalesDetail[Year],2009)</f>
        <v>0</v>
      </c>
      <c r="C446" s="5">
        <f>SUMIFS(SalesDetail[Quantity (KG)],SalesDetail[Customer],$A446,SalesDetail[Year],2010)</f>
        <v>0</v>
      </c>
      <c r="D446" s="5">
        <f>SUMIFS(SalesDetail[Quantity (KG)],SalesDetail[Customer],$A446,SalesDetail[Year],2011)</f>
        <v>0</v>
      </c>
      <c r="E446" s="5">
        <f>SUMIFS(SalesDetail[Quantity (KG)],SalesDetail[Customer],$A446,SalesDetail[Year],2012)</f>
        <v>0</v>
      </c>
      <c r="F446" s="5">
        <f>SUMIFS(SalesDetail[Quantity (KG)],SalesDetail[Customer],$A446,SalesDetail[Year],2013)</f>
        <v>0</v>
      </c>
      <c r="G446" s="5">
        <f>SUMIFS(SalesDetail[Quantity (KG)],SalesDetail[Customer],$A446,SalesDetail[Year],2014)</f>
        <v>0</v>
      </c>
      <c r="H446" s="5">
        <f>SUMIFS(SalesDetail[Quantity (KG)],SalesDetail[Customer],$A446,SalesDetail[Year],2015)</f>
        <v>0</v>
      </c>
      <c r="I446" s="5">
        <f>SUMIFS(SalesDetail[Quantity (KG)],SalesDetail[Customer],$A446,SalesDetail[Year],2016)</f>
        <v>1</v>
      </c>
      <c r="J446" s="5">
        <f>SUMIFS(SalesDetail[Quantity (KG)],SalesDetail[Customer],$A446,SalesDetail[Year],2017)</f>
        <v>21</v>
      </c>
      <c r="K446" s="5">
        <f>SUMIFS(SalesDetail[Quantity (KG)],SalesDetail[Customer],$A446,SalesDetail[Year],2018)</f>
        <v>0</v>
      </c>
      <c r="L446" s="5">
        <f>SUMIFS(SalesDetail[Quantity (KG)],SalesDetail[Customer],$A446,SalesDetail[Year],2019)</f>
        <v>0</v>
      </c>
      <c r="M446" s="5">
        <f>SUMIFS(SalesDetail[Quantity (KG)],SalesDetail[Customer],$A446,SalesDetail[Year],2020)</f>
        <v>0</v>
      </c>
      <c r="N446" s="5">
        <f>SUMIFS(SalesDetail[Quantity (KG)],SalesDetail[Customer],$A446,SalesDetail[Year],2021)</f>
        <v>0</v>
      </c>
      <c r="O446" s="6">
        <f>SUM(B446:N446)</f>
        <v>22</v>
      </c>
    </row>
    <row r="447" spans="1:15" x14ac:dyDescent="0.3">
      <c r="A447" t="s">
        <v>2579</v>
      </c>
      <c r="B447" s="5">
        <f>SUMIFS(SalesDetail[Quantity (KG)],SalesDetail[Customer],$A447,SalesDetail[Year],2009)</f>
        <v>0</v>
      </c>
      <c r="C447" s="5">
        <f>SUMIFS(SalesDetail[Quantity (KG)],SalesDetail[Customer],$A447,SalesDetail[Year],2010)</f>
        <v>0</v>
      </c>
      <c r="D447" s="5">
        <f>SUMIFS(SalesDetail[Quantity (KG)],SalesDetail[Customer],$A447,SalesDetail[Year],2011)</f>
        <v>0</v>
      </c>
      <c r="E447" s="5">
        <f>SUMIFS(SalesDetail[Quantity (KG)],SalesDetail[Customer],$A447,SalesDetail[Year],2012)</f>
        <v>0</v>
      </c>
      <c r="F447" s="5">
        <f>SUMIFS(SalesDetail[Quantity (KG)],SalesDetail[Customer],$A447,SalesDetail[Year],2013)</f>
        <v>0</v>
      </c>
      <c r="G447" s="5">
        <f>SUMIFS(SalesDetail[Quantity (KG)],SalesDetail[Customer],$A447,SalesDetail[Year],2014)</f>
        <v>0</v>
      </c>
      <c r="H447" s="5">
        <f>SUMIFS(SalesDetail[Quantity (KG)],SalesDetail[Customer],$A447,SalesDetail[Year],2015)</f>
        <v>0</v>
      </c>
      <c r="I447" s="5">
        <f>SUMIFS(SalesDetail[Quantity (KG)],SalesDetail[Customer],$A447,SalesDetail[Year],2016)</f>
        <v>0</v>
      </c>
      <c r="J447" s="5">
        <f>SUMIFS(SalesDetail[Quantity (KG)],SalesDetail[Customer],$A447,SalesDetail[Year],2017)</f>
        <v>15</v>
      </c>
      <c r="K447" s="5">
        <f>SUMIFS(SalesDetail[Quantity (KG)],SalesDetail[Customer],$A447,SalesDetail[Year],2018)</f>
        <v>4</v>
      </c>
      <c r="L447" s="5">
        <f>SUMIFS(SalesDetail[Quantity (KG)],SalesDetail[Customer],$A447,SalesDetail[Year],2019)</f>
        <v>3</v>
      </c>
      <c r="M447" s="5">
        <f>SUMIFS(SalesDetail[Quantity (KG)],SalesDetail[Customer],$A447,SalesDetail[Year],2020)</f>
        <v>0</v>
      </c>
      <c r="N447" s="5">
        <f>SUMIFS(SalesDetail[Quantity (KG)],SalesDetail[Customer],$A447,SalesDetail[Year],2021)</f>
        <v>0</v>
      </c>
      <c r="O447" s="6">
        <f>SUM(B447:N447)</f>
        <v>22</v>
      </c>
    </row>
    <row r="448" spans="1:15" x14ac:dyDescent="0.3">
      <c r="A448" t="s">
        <v>2467</v>
      </c>
      <c r="B448" s="5">
        <f>SUMIFS(SalesDetail[Quantity (KG)],SalesDetail[Customer],$A448,SalesDetail[Year],2009)</f>
        <v>0</v>
      </c>
      <c r="C448" s="5">
        <f>SUMIFS(SalesDetail[Quantity (KG)],SalesDetail[Customer],$A448,SalesDetail[Year],2010)</f>
        <v>0</v>
      </c>
      <c r="D448" s="5">
        <f>SUMIFS(SalesDetail[Quantity (KG)],SalesDetail[Customer],$A448,SalesDetail[Year],2011)</f>
        <v>0</v>
      </c>
      <c r="E448" s="5">
        <f>SUMIFS(SalesDetail[Quantity (KG)],SalesDetail[Customer],$A448,SalesDetail[Year],2012)</f>
        <v>0</v>
      </c>
      <c r="F448" s="5">
        <f>SUMIFS(SalesDetail[Quantity (KG)],SalesDetail[Customer],$A448,SalesDetail[Year],2013)</f>
        <v>0</v>
      </c>
      <c r="G448" s="5">
        <f>SUMIFS(SalesDetail[Quantity (KG)],SalesDetail[Customer],$A448,SalesDetail[Year],2014)</f>
        <v>0</v>
      </c>
      <c r="H448" s="5">
        <f>SUMIFS(SalesDetail[Quantity (KG)],SalesDetail[Customer],$A448,SalesDetail[Year],2015)</f>
        <v>0</v>
      </c>
      <c r="I448" s="5">
        <f>SUMIFS(SalesDetail[Quantity (KG)],SalesDetail[Customer],$A448,SalesDetail[Year],2016)</f>
        <v>0</v>
      </c>
      <c r="J448" s="5">
        <f>SUMIFS(SalesDetail[Quantity (KG)],SalesDetail[Customer],$A448,SalesDetail[Year],2017)</f>
        <v>0</v>
      </c>
      <c r="K448" s="5">
        <f>SUMIFS(SalesDetail[Quantity (KG)],SalesDetail[Customer],$A448,SalesDetail[Year],2018)</f>
        <v>0</v>
      </c>
      <c r="L448" s="5">
        <f>SUMIFS(SalesDetail[Quantity (KG)],SalesDetail[Customer],$A448,SalesDetail[Year],2019)</f>
        <v>0</v>
      </c>
      <c r="M448" s="5">
        <f>SUMIFS(SalesDetail[Quantity (KG)],SalesDetail[Customer],$A448,SalesDetail[Year],2020)</f>
        <v>0</v>
      </c>
      <c r="N448" s="5">
        <f>SUMIFS(SalesDetail[Quantity (KG)],SalesDetail[Customer],$A448,SalesDetail[Year],2021)</f>
        <v>21</v>
      </c>
      <c r="O448" s="6">
        <f>SUM(B448:N448)</f>
        <v>21</v>
      </c>
    </row>
    <row r="449" spans="1:15" x14ac:dyDescent="0.3">
      <c r="A449" t="s">
        <v>2556</v>
      </c>
      <c r="B449" s="5">
        <f>SUMIFS(SalesDetail[Quantity (KG)],SalesDetail[Customer],$A449,SalesDetail[Year],2009)</f>
        <v>0</v>
      </c>
      <c r="C449" s="5">
        <f>SUMIFS(SalesDetail[Quantity (KG)],SalesDetail[Customer],$A449,SalesDetail[Year],2010)</f>
        <v>0</v>
      </c>
      <c r="D449" s="5">
        <f>SUMIFS(SalesDetail[Quantity (KG)],SalesDetail[Customer],$A449,SalesDetail[Year],2011)</f>
        <v>0</v>
      </c>
      <c r="E449" s="5">
        <f>SUMIFS(SalesDetail[Quantity (KG)],SalesDetail[Customer],$A449,SalesDetail[Year],2012)</f>
        <v>0</v>
      </c>
      <c r="F449" s="5">
        <f>SUMIFS(SalesDetail[Quantity (KG)],SalesDetail[Customer],$A449,SalesDetail[Year],2013)</f>
        <v>0</v>
      </c>
      <c r="G449" s="5">
        <f>SUMIFS(SalesDetail[Quantity (KG)],SalesDetail[Customer],$A449,SalesDetail[Year],2014)</f>
        <v>0</v>
      </c>
      <c r="H449" s="5">
        <f>SUMIFS(SalesDetail[Quantity (KG)],SalesDetail[Customer],$A449,SalesDetail[Year],2015)</f>
        <v>0</v>
      </c>
      <c r="I449" s="5">
        <f>SUMIFS(SalesDetail[Quantity (KG)],SalesDetail[Customer],$A449,SalesDetail[Year],2016)</f>
        <v>0</v>
      </c>
      <c r="J449" s="5">
        <f>SUMIFS(SalesDetail[Quantity (KG)],SalesDetail[Customer],$A449,SalesDetail[Year],2017)</f>
        <v>0</v>
      </c>
      <c r="K449" s="5">
        <f>SUMIFS(SalesDetail[Quantity (KG)],SalesDetail[Customer],$A449,SalesDetail[Year],2018)</f>
        <v>0</v>
      </c>
      <c r="L449" s="5">
        <f>SUMIFS(SalesDetail[Quantity (KG)],SalesDetail[Customer],$A449,SalesDetail[Year],2019)</f>
        <v>0</v>
      </c>
      <c r="M449" s="5">
        <f>SUMIFS(SalesDetail[Quantity (KG)],SalesDetail[Customer],$A449,SalesDetail[Year],2020)</f>
        <v>21</v>
      </c>
      <c r="N449" s="5">
        <f>SUMIFS(SalesDetail[Quantity (KG)],SalesDetail[Customer],$A449,SalesDetail[Year],2021)</f>
        <v>0</v>
      </c>
      <c r="O449" s="6">
        <f>SUM(B449:N449)</f>
        <v>21</v>
      </c>
    </row>
    <row r="450" spans="1:15" x14ac:dyDescent="0.3">
      <c r="A450" t="s">
        <v>239</v>
      </c>
      <c r="B450" s="5">
        <f>SUMIFS(SalesDetail[Quantity (KG)],SalesDetail[Customer],$A450,SalesDetail[Year],2009)</f>
        <v>0</v>
      </c>
      <c r="C450" s="5">
        <f>SUMIFS(SalesDetail[Quantity (KG)],SalesDetail[Customer],$A450,SalesDetail[Year],2010)</f>
        <v>0</v>
      </c>
      <c r="D450" s="5">
        <f>SUMIFS(SalesDetail[Quantity (KG)],SalesDetail[Customer],$A450,SalesDetail[Year],2011)</f>
        <v>0</v>
      </c>
      <c r="E450" s="5">
        <f>SUMIFS(SalesDetail[Quantity (KG)],SalesDetail[Customer],$A450,SalesDetail[Year],2012)</f>
        <v>0</v>
      </c>
      <c r="F450" s="5">
        <f>SUMIFS(SalesDetail[Quantity (KG)],SalesDetail[Customer],$A450,SalesDetail[Year],2013)</f>
        <v>0</v>
      </c>
      <c r="G450" s="5">
        <f>SUMIFS(SalesDetail[Quantity (KG)],SalesDetail[Customer],$A450,SalesDetail[Year],2014)</f>
        <v>0</v>
      </c>
      <c r="H450" s="5">
        <f>SUMIFS(SalesDetail[Quantity (KG)],SalesDetail[Customer],$A450,SalesDetail[Year],2015)</f>
        <v>0</v>
      </c>
      <c r="I450" s="5">
        <f>SUMIFS(SalesDetail[Quantity (KG)],SalesDetail[Customer],$A450,SalesDetail[Year],2016)</f>
        <v>0</v>
      </c>
      <c r="J450" s="5">
        <f>SUMIFS(SalesDetail[Quantity (KG)],SalesDetail[Customer],$A450,SalesDetail[Year],2017)</f>
        <v>0</v>
      </c>
      <c r="K450" s="5">
        <f>SUMIFS(SalesDetail[Quantity (KG)],SalesDetail[Customer],$A450,SalesDetail[Year],2018)</f>
        <v>20</v>
      </c>
      <c r="L450" s="5">
        <f>SUMIFS(SalesDetail[Quantity (KG)],SalesDetail[Customer],$A450,SalesDetail[Year],2019)</f>
        <v>0</v>
      </c>
      <c r="M450" s="5">
        <f>SUMIFS(SalesDetail[Quantity (KG)],SalesDetail[Customer],$A450,SalesDetail[Year],2020)</f>
        <v>0</v>
      </c>
      <c r="N450" s="5">
        <f>SUMIFS(SalesDetail[Quantity (KG)],SalesDetail[Customer],$A450,SalesDetail[Year],2021)</f>
        <v>0</v>
      </c>
      <c r="O450" s="6">
        <f>SUM(B450:N450)</f>
        <v>20</v>
      </c>
    </row>
    <row r="451" spans="1:15" x14ac:dyDescent="0.3">
      <c r="A451" t="s">
        <v>1458</v>
      </c>
      <c r="B451" s="5">
        <f>SUMIFS(SalesDetail[Quantity (KG)],SalesDetail[Customer],$A451,SalesDetail[Year],2009)</f>
        <v>0</v>
      </c>
      <c r="C451" s="5">
        <f>SUMIFS(SalesDetail[Quantity (KG)],SalesDetail[Customer],$A451,SalesDetail[Year],2010)</f>
        <v>0</v>
      </c>
      <c r="D451" s="5">
        <f>SUMIFS(SalesDetail[Quantity (KG)],SalesDetail[Customer],$A451,SalesDetail[Year],2011)</f>
        <v>0</v>
      </c>
      <c r="E451" s="5">
        <f>SUMIFS(SalesDetail[Quantity (KG)],SalesDetail[Customer],$A451,SalesDetail[Year],2012)</f>
        <v>0</v>
      </c>
      <c r="F451" s="5">
        <f>SUMIFS(SalesDetail[Quantity (KG)],SalesDetail[Customer],$A451,SalesDetail[Year],2013)</f>
        <v>0</v>
      </c>
      <c r="G451" s="5">
        <f>SUMIFS(SalesDetail[Quantity (KG)],SalesDetail[Customer],$A451,SalesDetail[Year],2014)</f>
        <v>0</v>
      </c>
      <c r="H451" s="5">
        <f>SUMIFS(SalesDetail[Quantity (KG)],SalesDetail[Customer],$A451,SalesDetail[Year],2015)</f>
        <v>20</v>
      </c>
      <c r="I451" s="5">
        <f>SUMIFS(SalesDetail[Quantity (KG)],SalesDetail[Customer],$A451,SalesDetail[Year],2016)</f>
        <v>0</v>
      </c>
      <c r="J451" s="5">
        <f>SUMIFS(SalesDetail[Quantity (KG)],SalesDetail[Customer],$A451,SalesDetail[Year],2017)</f>
        <v>0</v>
      </c>
      <c r="K451" s="5">
        <f>SUMIFS(SalesDetail[Quantity (KG)],SalesDetail[Customer],$A451,SalesDetail[Year],2018)</f>
        <v>0</v>
      </c>
      <c r="L451" s="5">
        <f>SUMIFS(SalesDetail[Quantity (KG)],SalesDetail[Customer],$A451,SalesDetail[Year],2019)</f>
        <v>0</v>
      </c>
      <c r="M451" s="5">
        <f>SUMIFS(SalesDetail[Quantity (KG)],SalesDetail[Customer],$A451,SalesDetail[Year],2020)</f>
        <v>0</v>
      </c>
      <c r="N451" s="5">
        <f>SUMIFS(SalesDetail[Quantity (KG)],SalesDetail[Customer],$A451,SalesDetail[Year],2021)</f>
        <v>0</v>
      </c>
      <c r="O451" s="6">
        <f>SUM(B451:N451)</f>
        <v>20</v>
      </c>
    </row>
    <row r="452" spans="1:15" x14ac:dyDescent="0.3">
      <c r="A452" t="s">
        <v>2336</v>
      </c>
      <c r="B452" s="5">
        <f>SUMIFS(SalesDetail[Quantity (KG)],SalesDetail[Customer],$A452,SalesDetail[Year],2009)</f>
        <v>0</v>
      </c>
      <c r="C452" s="5">
        <f>SUMIFS(SalesDetail[Quantity (KG)],SalesDetail[Customer],$A452,SalesDetail[Year],2010)</f>
        <v>0</v>
      </c>
      <c r="D452" s="5">
        <f>SUMIFS(SalesDetail[Quantity (KG)],SalesDetail[Customer],$A452,SalesDetail[Year],2011)</f>
        <v>0</v>
      </c>
      <c r="E452" s="5">
        <f>SUMIFS(SalesDetail[Quantity (KG)],SalesDetail[Customer],$A452,SalesDetail[Year],2012)</f>
        <v>0</v>
      </c>
      <c r="F452" s="5">
        <f>SUMIFS(SalesDetail[Quantity (KG)],SalesDetail[Customer],$A452,SalesDetail[Year],2013)</f>
        <v>0</v>
      </c>
      <c r="G452" s="5">
        <f>SUMIFS(SalesDetail[Quantity (KG)],SalesDetail[Customer],$A452,SalesDetail[Year],2014)</f>
        <v>0</v>
      </c>
      <c r="H452" s="5">
        <f>SUMIFS(SalesDetail[Quantity (KG)],SalesDetail[Customer],$A452,SalesDetail[Year],2015)</f>
        <v>0</v>
      </c>
      <c r="I452" s="5">
        <f>SUMIFS(SalesDetail[Quantity (KG)],SalesDetail[Customer],$A452,SalesDetail[Year],2016)</f>
        <v>0</v>
      </c>
      <c r="J452" s="5">
        <f>SUMIFS(SalesDetail[Quantity (KG)],SalesDetail[Customer],$A452,SalesDetail[Year],2017)</f>
        <v>0</v>
      </c>
      <c r="K452" s="5">
        <f>SUMIFS(SalesDetail[Quantity (KG)],SalesDetail[Customer],$A452,SalesDetail[Year],2018)</f>
        <v>20</v>
      </c>
      <c r="L452" s="5">
        <f>SUMIFS(SalesDetail[Quantity (KG)],SalesDetail[Customer],$A452,SalesDetail[Year],2019)</f>
        <v>0</v>
      </c>
      <c r="M452" s="5">
        <f>SUMIFS(SalesDetail[Quantity (KG)],SalesDetail[Customer],$A452,SalesDetail[Year],2020)</f>
        <v>0</v>
      </c>
      <c r="N452" s="5">
        <f>SUMIFS(SalesDetail[Quantity (KG)],SalesDetail[Customer],$A452,SalesDetail[Year],2021)</f>
        <v>0</v>
      </c>
      <c r="O452" s="6">
        <f>SUM(B452:N452)</f>
        <v>20</v>
      </c>
    </row>
    <row r="453" spans="1:15" x14ac:dyDescent="0.3">
      <c r="A453" t="s">
        <v>2459</v>
      </c>
      <c r="B453" s="5">
        <f>SUMIFS(SalesDetail[Quantity (KG)],SalesDetail[Customer],$A453,SalesDetail[Year],2009)</f>
        <v>0</v>
      </c>
      <c r="C453" s="5">
        <f>SUMIFS(SalesDetail[Quantity (KG)],SalesDetail[Customer],$A453,SalesDetail[Year],2010)</f>
        <v>0</v>
      </c>
      <c r="D453" s="5">
        <f>SUMIFS(SalesDetail[Quantity (KG)],SalesDetail[Customer],$A453,SalesDetail[Year],2011)</f>
        <v>0</v>
      </c>
      <c r="E453" s="5">
        <f>SUMIFS(SalesDetail[Quantity (KG)],SalesDetail[Customer],$A453,SalesDetail[Year],2012)</f>
        <v>0</v>
      </c>
      <c r="F453" s="5">
        <f>SUMIFS(SalesDetail[Quantity (KG)],SalesDetail[Customer],$A453,SalesDetail[Year],2013)</f>
        <v>0</v>
      </c>
      <c r="G453" s="5">
        <f>SUMIFS(SalesDetail[Quantity (KG)],SalesDetail[Customer],$A453,SalesDetail[Year],2014)</f>
        <v>0</v>
      </c>
      <c r="H453" s="5">
        <f>SUMIFS(SalesDetail[Quantity (KG)],SalesDetail[Customer],$A453,SalesDetail[Year],2015)</f>
        <v>0</v>
      </c>
      <c r="I453" s="5">
        <f>SUMIFS(SalesDetail[Quantity (KG)],SalesDetail[Customer],$A453,SalesDetail[Year],2016)</f>
        <v>0</v>
      </c>
      <c r="J453" s="5">
        <f>SUMIFS(SalesDetail[Quantity (KG)],SalesDetail[Customer],$A453,SalesDetail[Year],2017)</f>
        <v>0</v>
      </c>
      <c r="K453" s="5">
        <f>SUMIFS(SalesDetail[Quantity (KG)],SalesDetail[Customer],$A453,SalesDetail[Year],2018)</f>
        <v>0</v>
      </c>
      <c r="L453" s="5">
        <f>SUMIFS(SalesDetail[Quantity (KG)],SalesDetail[Customer],$A453,SalesDetail[Year],2019)</f>
        <v>0</v>
      </c>
      <c r="M453" s="5">
        <f>SUMIFS(SalesDetail[Quantity (KG)],SalesDetail[Customer],$A453,SalesDetail[Year],2020)</f>
        <v>20</v>
      </c>
      <c r="N453" s="5">
        <f>SUMIFS(SalesDetail[Quantity (KG)],SalesDetail[Customer],$A453,SalesDetail[Year],2021)</f>
        <v>0</v>
      </c>
      <c r="O453" s="6">
        <f>SUM(B453:N453)</f>
        <v>20</v>
      </c>
    </row>
    <row r="454" spans="1:15" x14ac:dyDescent="0.3">
      <c r="A454" t="s">
        <v>2527</v>
      </c>
      <c r="B454" s="5">
        <f>SUMIFS(SalesDetail[Quantity (KG)],SalesDetail[Customer],$A454,SalesDetail[Year],2009)</f>
        <v>0</v>
      </c>
      <c r="C454" s="5">
        <f>SUMIFS(SalesDetail[Quantity (KG)],SalesDetail[Customer],$A454,SalesDetail[Year],2010)</f>
        <v>0</v>
      </c>
      <c r="D454" s="5">
        <f>SUMIFS(SalesDetail[Quantity (KG)],SalesDetail[Customer],$A454,SalesDetail[Year],2011)</f>
        <v>0</v>
      </c>
      <c r="E454" s="5">
        <f>SUMIFS(SalesDetail[Quantity (KG)],SalesDetail[Customer],$A454,SalesDetail[Year],2012)</f>
        <v>0</v>
      </c>
      <c r="F454" s="5">
        <f>SUMIFS(SalesDetail[Quantity (KG)],SalesDetail[Customer],$A454,SalesDetail[Year],2013)</f>
        <v>0</v>
      </c>
      <c r="G454" s="5">
        <f>SUMIFS(SalesDetail[Quantity (KG)],SalesDetail[Customer],$A454,SalesDetail[Year],2014)</f>
        <v>0</v>
      </c>
      <c r="H454" s="5">
        <f>SUMIFS(SalesDetail[Quantity (KG)],SalesDetail[Customer],$A454,SalesDetail[Year],2015)</f>
        <v>0</v>
      </c>
      <c r="I454" s="5">
        <f>SUMIFS(SalesDetail[Quantity (KG)],SalesDetail[Customer],$A454,SalesDetail[Year],2016)</f>
        <v>0</v>
      </c>
      <c r="J454" s="5">
        <f>SUMIFS(SalesDetail[Quantity (KG)],SalesDetail[Customer],$A454,SalesDetail[Year],2017)</f>
        <v>0</v>
      </c>
      <c r="K454" s="5">
        <f>SUMIFS(SalesDetail[Quantity (KG)],SalesDetail[Customer],$A454,SalesDetail[Year],2018)</f>
        <v>0</v>
      </c>
      <c r="L454" s="5">
        <f>SUMIFS(SalesDetail[Quantity (KG)],SalesDetail[Customer],$A454,SalesDetail[Year],2019)</f>
        <v>0</v>
      </c>
      <c r="M454" s="5">
        <f>SUMIFS(SalesDetail[Quantity (KG)],SalesDetail[Customer],$A454,SalesDetail[Year],2020)</f>
        <v>20</v>
      </c>
      <c r="N454" s="5">
        <f>SUMIFS(SalesDetail[Quantity (KG)],SalesDetail[Customer],$A454,SalesDetail[Year],2021)</f>
        <v>0</v>
      </c>
      <c r="O454" s="6">
        <f>SUM(B454:N454)</f>
        <v>20</v>
      </c>
    </row>
    <row r="455" spans="1:15" x14ac:dyDescent="0.3">
      <c r="A455" t="s">
        <v>2528</v>
      </c>
      <c r="B455" s="5">
        <f>SUMIFS(SalesDetail[Quantity (KG)],SalesDetail[Customer],$A455,SalesDetail[Year],2009)</f>
        <v>0</v>
      </c>
      <c r="C455" s="5">
        <f>SUMIFS(SalesDetail[Quantity (KG)],SalesDetail[Customer],$A455,SalesDetail[Year],2010)</f>
        <v>0</v>
      </c>
      <c r="D455" s="5">
        <f>SUMIFS(SalesDetail[Quantity (KG)],SalesDetail[Customer],$A455,SalesDetail[Year],2011)</f>
        <v>0</v>
      </c>
      <c r="E455" s="5">
        <f>SUMIFS(SalesDetail[Quantity (KG)],SalesDetail[Customer],$A455,SalesDetail[Year],2012)</f>
        <v>0</v>
      </c>
      <c r="F455" s="5">
        <f>SUMIFS(SalesDetail[Quantity (KG)],SalesDetail[Customer],$A455,SalesDetail[Year],2013)</f>
        <v>0</v>
      </c>
      <c r="G455" s="5">
        <f>SUMIFS(SalesDetail[Quantity (KG)],SalesDetail[Customer],$A455,SalesDetail[Year],2014)</f>
        <v>20</v>
      </c>
      <c r="H455" s="5">
        <f>SUMIFS(SalesDetail[Quantity (KG)],SalesDetail[Customer],$A455,SalesDetail[Year],2015)</f>
        <v>0</v>
      </c>
      <c r="I455" s="5">
        <f>SUMIFS(SalesDetail[Quantity (KG)],SalesDetail[Customer],$A455,SalesDetail[Year],2016)</f>
        <v>0</v>
      </c>
      <c r="J455" s="5">
        <f>SUMIFS(SalesDetail[Quantity (KG)],SalesDetail[Customer],$A455,SalesDetail[Year],2017)</f>
        <v>0</v>
      </c>
      <c r="K455" s="5">
        <f>SUMIFS(SalesDetail[Quantity (KG)],SalesDetail[Customer],$A455,SalesDetail[Year],2018)</f>
        <v>0</v>
      </c>
      <c r="L455" s="5">
        <f>SUMIFS(SalesDetail[Quantity (KG)],SalesDetail[Customer],$A455,SalesDetail[Year],2019)</f>
        <v>0</v>
      </c>
      <c r="M455" s="5">
        <f>SUMIFS(SalesDetail[Quantity (KG)],SalesDetail[Customer],$A455,SalesDetail[Year],2020)</f>
        <v>0</v>
      </c>
      <c r="N455" s="5">
        <f>SUMIFS(SalesDetail[Quantity (KG)],SalesDetail[Customer],$A455,SalesDetail[Year],2021)</f>
        <v>0</v>
      </c>
      <c r="O455" s="6">
        <f>SUM(B455:N455)</f>
        <v>20</v>
      </c>
    </row>
    <row r="456" spans="1:15" x14ac:dyDescent="0.3">
      <c r="A456" t="s">
        <v>2554</v>
      </c>
      <c r="B456" s="5">
        <f>SUMIFS(SalesDetail[Quantity (KG)],SalesDetail[Customer],$A456,SalesDetail[Year],2009)</f>
        <v>0</v>
      </c>
      <c r="C456" s="5">
        <f>SUMIFS(SalesDetail[Quantity (KG)],SalesDetail[Customer],$A456,SalesDetail[Year],2010)</f>
        <v>0</v>
      </c>
      <c r="D456" s="5">
        <f>SUMIFS(SalesDetail[Quantity (KG)],SalesDetail[Customer],$A456,SalesDetail[Year],2011)</f>
        <v>0</v>
      </c>
      <c r="E456" s="5">
        <f>SUMIFS(SalesDetail[Quantity (KG)],SalesDetail[Customer],$A456,SalesDetail[Year],2012)</f>
        <v>0</v>
      </c>
      <c r="F456" s="5">
        <f>SUMIFS(SalesDetail[Quantity (KG)],SalesDetail[Customer],$A456,SalesDetail[Year],2013)</f>
        <v>0</v>
      </c>
      <c r="G456" s="5">
        <f>SUMIFS(SalesDetail[Quantity (KG)],SalesDetail[Customer],$A456,SalesDetail[Year],2014)</f>
        <v>0</v>
      </c>
      <c r="H456" s="5">
        <f>SUMIFS(SalesDetail[Quantity (KG)],SalesDetail[Customer],$A456,SalesDetail[Year],2015)</f>
        <v>0</v>
      </c>
      <c r="I456" s="5">
        <f>SUMIFS(SalesDetail[Quantity (KG)],SalesDetail[Customer],$A456,SalesDetail[Year],2016)</f>
        <v>0</v>
      </c>
      <c r="J456" s="5">
        <f>SUMIFS(SalesDetail[Quantity (KG)],SalesDetail[Customer],$A456,SalesDetail[Year],2017)</f>
        <v>0</v>
      </c>
      <c r="K456" s="5">
        <f>SUMIFS(SalesDetail[Quantity (KG)],SalesDetail[Customer],$A456,SalesDetail[Year],2018)</f>
        <v>10</v>
      </c>
      <c r="L456" s="5">
        <f>SUMIFS(SalesDetail[Quantity (KG)],SalesDetail[Customer],$A456,SalesDetail[Year],2019)</f>
        <v>10</v>
      </c>
      <c r="M456" s="5">
        <f>SUMIFS(SalesDetail[Quantity (KG)],SalesDetail[Customer],$A456,SalesDetail[Year],2020)</f>
        <v>0</v>
      </c>
      <c r="N456" s="5">
        <f>SUMIFS(SalesDetail[Quantity (KG)],SalesDetail[Customer],$A456,SalesDetail[Year],2021)</f>
        <v>0</v>
      </c>
      <c r="O456" s="6">
        <f>SUM(B456:N456)</f>
        <v>20</v>
      </c>
    </row>
    <row r="457" spans="1:15" x14ac:dyDescent="0.3">
      <c r="A457" t="s">
        <v>2567</v>
      </c>
      <c r="B457" s="5">
        <f>SUMIFS(SalesDetail[Quantity (KG)],SalesDetail[Customer],$A457,SalesDetail[Year],2009)</f>
        <v>0</v>
      </c>
      <c r="C457" s="5">
        <f>SUMIFS(SalesDetail[Quantity (KG)],SalesDetail[Customer],$A457,SalesDetail[Year],2010)</f>
        <v>0</v>
      </c>
      <c r="D457" s="5">
        <f>SUMIFS(SalesDetail[Quantity (KG)],SalesDetail[Customer],$A457,SalesDetail[Year],2011)</f>
        <v>0</v>
      </c>
      <c r="E457" s="5">
        <f>SUMIFS(SalesDetail[Quantity (KG)],SalesDetail[Customer],$A457,SalesDetail[Year],2012)</f>
        <v>0</v>
      </c>
      <c r="F457" s="5">
        <f>SUMIFS(SalesDetail[Quantity (KG)],SalesDetail[Customer],$A457,SalesDetail[Year],2013)</f>
        <v>0</v>
      </c>
      <c r="G457" s="5">
        <f>SUMIFS(SalesDetail[Quantity (KG)],SalesDetail[Customer],$A457,SalesDetail[Year],2014)</f>
        <v>0</v>
      </c>
      <c r="H457" s="5">
        <f>SUMIFS(SalesDetail[Quantity (KG)],SalesDetail[Customer],$A457,SalesDetail[Year],2015)</f>
        <v>0</v>
      </c>
      <c r="I457" s="5">
        <f>SUMIFS(SalesDetail[Quantity (KG)],SalesDetail[Customer],$A457,SalesDetail[Year],2016)</f>
        <v>20</v>
      </c>
      <c r="J457" s="5">
        <f>SUMIFS(SalesDetail[Quantity (KG)],SalesDetail[Customer],$A457,SalesDetail[Year],2017)</f>
        <v>0</v>
      </c>
      <c r="K457" s="5">
        <f>SUMIFS(SalesDetail[Quantity (KG)],SalesDetail[Customer],$A457,SalesDetail[Year],2018)</f>
        <v>0</v>
      </c>
      <c r="L457" s="5">
        <f>SUMIFS(SalesDetail[Quantity (KG)],SalesDetail[Customer],$A457,SalesDetail[Year],2019)</f>
        <v>0</v>
      </c>
      <c r="M457" s="5">
        <f>SUMIFS(SalesDetail[Quantity (KG)],SalesDetail[Customer],$A457,SalesDetail[Year],2020)</f>
        <v>0</v>
      </c>
      <c r="N457" s="5">
        <f>SUMIFS(SalesDetail[Quantity (KG)],SalesDetail[Customer],$A457,SalesDetail[Year],2021)</f>
        <v>0</v>
      </c>
      <c r="O457" s="6">
        <f>SUM(B457:N457)</f>
        <v>20</v>
      </c>
    </row>
    <row r="458" spans="1:15" x14ac:dyDescent="0.3">
      <c r="A458" t="s">
        <v>2570</v>
      </c>
      <c r="B458" s="5">
        <f>SUMIFS(SalesDetail[Quantity (KG)],SalesDetail[Customer],$A458,SalesDetail[Year],2009)</f>
        <v>0</v>
      </c>
      <c r="C458" s="5">
        <f>SUMIFS(SalesDetail[Quantity (KG)],SalesDetail[Customer],$A458,SalesDetail[Year],2010)</f>
        <v>0</v>
      </c>
      <c r="D458" s="5">
        <f>SUMIFS(SalesDetail[Quantity (KG)],SalesDetail[Customer],$A458,SalesDetail[Year],2011)</f>
        <v>0</v>
      </c>
      <c r="E458" s="5">
        <f>SUMIFS(SalesDetail[Quantity (KG)],SalesDetail[Customer],$A458,SalesDetail[Year],2012)</f>
        <v>0</v>
      </c>
      <c r="F458" s="5">
        <f>SUMIFS(SalesDetail[Quantity (KG)],SalesDetail[Customer],$A458,SalesDetail[Year],2013)</f>
        <v>0</v>
      </c>
      <c r="G458" s="5">
        <f>SUMIFS(SalesDetail[Quantity (KG)],SalesDetail[Customer],$A458,SalesDetail[Year],2014)</f>
        <v>0</v>
      </c>
      <c r="H458" s="5">
        <f>SUMIFS(SalesDetail[Quantity (KG)],SalesDetail[Customer],$A458,SalesDetail[Year],2015)</f>
        <v>0</v>
      </c>
      <c r="I458" s="5">
        <f>SUMIFS(SalesDetail[Quantity (KG)],SalesDetail[Customer],$A458,SalesDetail[Year],2016)</f>
        <v>0</v>
      </c>
      <c r="J458" s="5">
        <f>SUMIFS(SalesDetail[Quantity (KG)],SalesDetail[Customer],$A458,SalesDetail[Year],2017)</f>
        <v>20</v>
      </c>
      <c r="K458" s="5">
        <f>SUMIFS(SalesDetail[Quantity (KG)],SalesDetail[Customer],$A458,SalesDetail[Year],2018)</f>
        <v>0</v>
      </c>
      <c r="L458" s="5">
        <f>SUMIFS(SalesDetail[Quantity (KG)],SalesDetail[Customer],$A458,SalesDetail[Year],2019)</f>
        <v>0</v>
      </c>
      <c r="M458" s="5">
        <f>SUMIFS(SalesDetail[Quantity (KG)],SalesDetail[Customer],$A458,SalesDetail[Year],2020)</f>
        <v>0</v>
      </c>
      <c r="N458" s="5">
        <f>SUMIFS(SalesDetail[Quantity (KG)],SalesDetail[Customer],$A458,SalesDetail[Year],2021)</f>
        <v>0</v>
      </c>
      <c r="O458" s="6">
        <f>SUM(B458:N458)</f>
        <v>20</v>
      </c>
    </row>
    <row r="459" spans="1:15" x14ac:dyDescent="0.3">
      <c r="A459" t="s">
        <v>2572</v>
      </c>
      <c r="B459" s="5">
        <f>SUMIFS(SalesDetail[Quantity (KG)],SalesDetail[Customer],$A459,SalesDetail[Year],2009)</f>
        <v>0</v>
      </c>
      <c r="C459" s="5">
        <f>SUMIFS(SalesDetail[Quantity (KG)],SalesDetail[Customer],$A459,SalesDetail[Year],2010)</f>
        <v>0</v>
      </c>
      <c r="D459" s="5">
        <f>SUMIFS(SalesDetail[Quantity (KG)],SalesDetail[Customer],$A459,SalesDetail[Year],2011)</f>
        <v>0</v>
      </c>
      <c r="E459" s="5">
        <f>SUMIFS(SalesDetail[Quantity (KG)],SalesDetail[Customer],$A459,SalesDetail[Year],2012)</f>
        <v>0</v>
      </c>
      <c r="F459" s="5">
        <f>SUMIFS(SalesDetail[Quantity (KG)],SalesDetail[Customer],$A459,SalesDetail[Year],2013)</f>
        <v>0</v>
      </c>
      <c r="G459" s="5">
        <f>SUMIFS(SalesDetail[Quantity (KG)],SalesDetail[Customer],$A459,SalesDetail[Year],2014)</f>
        <v>0</v>
      </c>
      <c r="H459" s="5">
        <f>SUMIFS(SalesDetail[Quantity (KG)],SalesDetail[Customer],$A459,SalesDetail[Year],2015)</f>
        <v>15</v>
      </c>
      <c r="I459" s="5">
        <f>SUMIFS(SalesDetail[Quantity (KG)],SalesDetail[Customer],$A459,SalesDetail[Year],2016)</f>
        <v>5</v>
      </c>
      <c r="J459" s="5">
        <f>SUMIFS(SalesDetail[Quantity (KG)],SalesDetail[Customer],$A459,SalesDetail[Year],2017)</f>
        <v>0</v>
      </c>
      <c r="K459" s="5">
        <f>SUMIFS(SalesDetail[Quantity (KG)],SalesDetail[Customer],$A459,SalesDetail[Year],2018)</f>
        <v>0</v>
      </c>
      <c r="L459" s="5">
        <f>SUMIFS(SalesDetail[Quantity (KG)],SalesDetail[Customer],$A459,SalesDetail[Year],2019)</f>
        <v>0</v>
      </c>
      <c r="M459" s="5">
        <f>SUMIFS(SalesDetail[Quantity (KG)],SalesDetail[Customer],$A459,SalesDetail[Year],2020)</f>
        <v>0</v>
      </c>
      <c r="N459" s="5">
        <f>SUMIFS(SalesDetail[Quantity (KG)],SalesDetail[Customer],$A459,SalesDetail[Year],2021)</f>
        <v>0</v>
      </c>
      <c r="O459" s="6">
        <f>SUM(B459:N459)</f>
        <v>20</v>
      </c>
    </row>
    <row r="460" spans="1:15" x14ac:dyDescent="0.3">
      <c r="A460" t="s">
        <v>1321</v>
      </c>
      <c r="B460" s="5">
        <f>SUMIFS(SalesDetail[Quantity (KG)],SalesDetail[Customer],$A460,SalesDetail[Year],2009)</f>
        <v>0</v>
      </c>
      <c r="C460" s="5">
        <f>SUMIFS(SalesDetail[Quantity (KG)],SalesDetail[Customer],$A460,SalesDetail[Year],2010)</f>
        <v>0</v>
      </c>
      <c r="D460" s="5">
        <f>SUMIFS(SalesDetail[Quantity (KG)],SalesDetail[Customer],$A460,SalesDetail[Year],2011)</f>
        <v>0</v>
      </c>
      <c r="E460" s="5">
        <f>SUMIFS(SalesDetail[Quantity (KG)],SalesDetail[Customer],$A460,SalesDetail[Year],2012)</f>
        <v>0</v>
      </c>
      <c r="F460" s="5">
        <f>SUMIFS(SalesDetail[Quantity (KG)],SalesDetail[Customer],$A460,SalesDetail[Year],2013)</f>
        <v>0</v>
      </c>
      <c r="G460" s="5">
        <f>SUMIFS(SalesDetail[Quantity (KG)],SalesDetail[Customer],$A460,SalesDetail[Year],2014)</f>
        <v>0</v>
      </c>
      <c r="H460" s="5">
        <f>SUMIFS(SalesDetail[Quantity (KG)],SalesDetail[Customer],$A460,SalesDetail[Year],2015)</f>
        <v>0</v>
      </c>
      <c r="I460" s="5">
        <f>SUMIFS(SalesDetail[Quantity (KG)],SalesDetail[Customer],$A460,SalesDetail[Year],2016)</f>
        <v>0</v>
      </c>
      <c r="J460" s="5">
        <f>SUMIFS(SalesDetail[Quantity (KG)],SalesDetail[Customer],$A460,SalesDetail[Year],2017)</f>
        <v>0</v>
      </c>
      <c r="K460" s="5">
        <f>SUMIFS(SalesDetail[Quantity (KG)],SalesDetail[Customer],$A460,SalesDetail[Year],2018)</f>
        <v>0</v>
      </c>
      <c r="L460" s="5">
        <f>SUMIFS(SalesDetail[Quantity (KG)],SalesDetail[Customer],$A460,SalesDetail[Year],2019)</f>
        <v>14</v>
      </c>
      <c r="M460" s="5">
        <f>SUMIFS(SalesDetail[Quantity (KG)],SalesDetail[Customer],$A460,SalesDetail[Year],2020)</f>
        <v>5</v>
      </c>
      <c r="N460" s="5">
        <f>SUMIFS(SalesDetail[Quantity (KG)],SalesDetail[Customer],$A460,SalesDetail[Year],2021)</f>
        <v>0</v>
      </c>
      <c r="O460" s="6">
        <f>SUM(B460:N460)</f>
        <v>19</v>
      </c>
    </row>
    <row r="461" spans="1:15" x14ac:dyDescent="0.3">
      <c r="A461" t="s">
        <v>1212</v>
      </c>
      <c r="B461" s="5">
        <f>SUMIFS(SalesDetail[Quantity (KG)],SalesDetail[Customer],$A461,SalesDetail[Year],2009)</f>
        <v>0</v>
      </c>
      <c r="C461" s="5">
        <f>SUMIFS(SalesDetail[Quantity (KG)],SalesDetail[Customer],$A461,SalesDetail[Year],2010)</f>
        <v>0</v>
      </c>
      <c r="D461" s="5">
        <f>SUMIFS(SalesDetail[Quantity (KG)],SalesDetail[Customer],$A461,SalesDetail[Year],2011)</f>
        <v>0</v>
      </c>
      <c r="E461" s="5">
        <f>SUMIFS(SalesDetail[Quantity (KG)],SalesDetail[Customer],$A461,SalesDetail[Year],2012)</f>
        <v>0</v>
      </c>
      <c r="F461" s="5">
        <f>SUMIFS(SalesDetail[Quantity (KG)],SalesDetail[Customer],$A461,SalesDetail[Year],2013)</f>
        <v>0</v>
      </c>
      <c r="G461" s="5">
        <f>SUMIFS(SalesDetail[Quantity (KG)],SalesDetail[Customer],$A461,SalesDetail[Year],2014)</f>
        <v>0</v>
      </c>
      <c r="H461" s="5">
        <f>SUMIFS(SalesDetail[Quantity (KG)],SalesDetail[Customer],$A461,SalesDetail[Year],2015)</f>
        <v>0</v>
      </c>
      <c r="I461" s="5">
        <f>SUMIFS(SalesDetail[Quantity (KG)],SalesDetail[Customer],$A461,SalesDetail[Year],2016)</f>
        <v>0</v>
      </c>
      <c r="J461" s="5">
        <f>SUMIFS(SalesDetail[Quantity (KG)],SalesDetail[Customer],$A461,SalesDetail[Year],2017)</f>
        <v>0</v>
      </c>
      <c r="K461" s="5">
        <f>SUMIFS(SalesDetail[Quantity (KG)],SalesDetail[Customer],$A461,SalesDetail[Year],2018)</f>
        <v>0</v>
      </c>
      <c r="L461" s="5">
        <f>SUMIFS(SalesDetail[Quantity (KG)],SalesDetail[Customer],$A461,SalesDetail[Year],2019)</f>
        <v>0</v>
      </c>
      <c r="M461" s="5">
        <f>SUMIFS(SalesDetail[Quantity (KG)],SalesDetail[Customer],$A461,SalesDetail[Year],2020)</f>
        <v>18</v>
      </c>
      <c r="N461" s="5">
        <f>SUMIFS(SalesDetail[Quantity (KG)],SalesDetail[Customer],$A461,SalesDetail[Year],2021)</f>
        <v>0</v>
      </c>
      <c r="O461" s="6">
        <f>SUM(B461:N461)</f>
        <v>18</v>
      </c>
    </row>
    <row r="462" spans="1:15" x14ac:dyDescent="0.3">
      <c r="A462" t="s">
        <v>1662</v>
      </c>
      <c r="B462" s="5">
        <f>SUMIFS(SalesDetail[Quantity (KG)],SalesDetail[Customer],$A462,SalesDetail[Year],2009)</f>
        <v>0</v>
      </c>
      <c r="C462" s="5">
        <f>SUMIFS(SalesDetail[Quantity (KG)],SalesDetail[Customer],$A462,SalesDetail[Year],2010)</f>
        <v>0</v>
      </c>
      <c r="D462" s="5">
        <f>SUMIFS(SalesDetail[Quantity (KG)],SalesDetail[Customer],$A462,SalesDetail[Year],2011)</f>
        <v>0</v>
      </c>
      <c r="E462" s="5">
        <f>SUMIFS(SalesDetail[Quantity (KG)],SalesDetail[Customer],$A462,SalesDetail[Year],2012)</f>
        <v>0</v>
      </c>
      <c r="F462" s="5">
        <f>SUMIFS(SalesDetail[Quantity (KG)],SalesDetail[Customer],$A462,SalesDetail[Year],2013)</f>
        <v>0</v>
      </c>
      <c r="G462" s="5">
        <f>SUMIFS(SalesDetail[Quantity (KG)],SalesDetail[Customer],$A462,SalesDetail[Year],2014)</f>
        <v>0</v>
      </c>
      <c r="H462" s="5">
        <f>SUMIFS(SalesDetail[Quantity (KG)],SalesDetail[Customer],$A462,SalesDetail[Year],2015)</f>
        <v>0</v>
      </c>
      <c r="I462" s="5">
        <f>SUMIFS(SalesDetail[Quantity (KG)],SalesDetail[Customer],$A462,SalesDetail[Year],2016)</f>
        <v>0</v>
      </c>
      <c r="J462" s="5">
        <f>SUMIFS(SalesDetail[Quantity (KG)],SalesDetail[Customer],$A462,SalesDetail[Year],2017)</f>
        <v>1</v>
      </c>
      <c r="K462" s="5">
        <f>SUMIFS(SalesDetail[Quantity (KG)],SalesDetail[Customer],$A462,SalesDetail[Year],2018)</f>
        <v>3</v>
      </c>
      <c r="L462" s="5">
        <f>SUMIFS(SalesDetail[Quantity (KG)],SalesDetail[Customer],$A462,SalesDetail[Year],2019)</f>
        <v>5</v>
      </c>
      <c r="M462" s="5">
        <f>SUMIFS(SalesDetail[Quantity (KG)],SalesDetail[Customer],$A462,SalesDetail[Year],2020)</f>
        <v>7</v>
      </c>
      <c r="N462" s="5">
        <f>SUMIFS(SalesDetail[Quantity (KG)],SalesDetail[Customer],$A462,SalesDetail[Year],2021)</f>
        <v>1</v>
      </c>
      <c r="O462" s="6">
        <f>SUM(B462:N462)</f>
        <v>17</v>
      </c>
    </row>
    <row r="463" spans="1:15" x14ac:dyDescent="0.3">
      <c r="A463" t="s">
        <v>243</v>
      </c>
      <c r="B463" s="5">
        <f>SUMIFS(SalesDetail[Quantity (KG)],SalesDetail[Customer],$A463,SalesDetail[Year],2009)</f>
        <v>0</v>
      </c>
      <c r="C463" s="5">
        <f>SUMIFS(SalesDetail[Quantity (KG)],SalesDetail[Customer],$A463,SalesDetail[Year],2010)</f>
        <v>0</v>
      </c>
      <c r="D463" s="5">
        <f>SUMIFS(SalesDetail[Quantity (KG)],SalesDetail[Customer],$A463,SalesDetail[Year],2011)</f>
        <v>0</v>
      </c>
      <c r="E463" s="5">
        <f>SUMIFS(SalesDetail[Quantity (KG)],SalesDetail[Customer],$A463,SalesDetail[Year],2012)</f>
        <v>0</v>
      </c>
      <c r="F463" s="5">
        <f>SUMIFS(SalesDetail[Quantity (KG)],SalesDetail[Customer],$A463,SalesDetail[Year],2013)</f>
        <v>0</v>
      </c>
      <c r="G463" s="5">
        <f>SUMIFS(SalesDetail[Quantity (KG)],SalesDetail[Customer],$A463,SalesDetail[Year],2014)</f>
        <v>0</v>
      </c>
      <c r="H463" s="5">
        <f>SUMIFS(SalesDetail[Quantity (KG)],SalesDetail[Customer],$A463,SalesDetail[Year],2015)</f>
        <v>0</v>
      </c>
      <c r="I463" s="5">
        <f>SUMIFS(SalesDetail[Quantity (KG)],SalesDetail[Customer],$A463,SalesDetail[Year],2016)</f>
        <v>0</v>
      </c>
      <c r="J463" s="5">
        <f>SUMIFS(SalesDetail[Quantity (KG)],SalesDetail[Customer],$A463,SalesDetail[Year],2017)</f>
        <v>0</v>
      </c>
      <c r="K463" s="5">
        <f>SUMIFS(SalesDetail[Quantity (KG)],SalesDetail[Customer],$A463,SalesDetail[Year],2018)</f>
        <v>0</v>
      </c>
      <c r="L463" s="5">
        <f>SUMIFS(SalesDetail[Quantity (KG)],SalesDetail[Customer],$A463,SalesDetail[Year],2019)</f>
        <v>16</v>
      </c>
      <c r="M463" s="5">
        <f>SUMIFS(SalesDetail[Quantity (KG)],SalesDetail[Customer],$A463,SalesDetail[Year],2020)</f>
        <v>0</v>
      </c>
      <c r="N463" s="5">
        <f>SUMIFS(SalesDetail[Quantity (KG)],SalesDetail[Customer],$A463,SalesDetail[Year],2021)</f>
        <v>0</v>
      </c>
      <c r="O463" s="6">
        <f>SUM(B463:N463)</f>
        <v>16</v>
      </c>
    </row>
    <row r="464" spans="1:15" x14ac:dyDescent="0.3">
      <c r="A464" t="s">
        <v>816</v>
      </c>
      <c r="B464" s="5">
        <f>SUMIFS(SalesDetail[Quantity (KG)],SalesDetail[Customer],$A464,SalesDetail[Year],2009)</f>
        <v>0</v>
      </c>
      <c r="C464" s="5">
        <f>SUMIFS(SalesDetail[Quantity (KG)],SalesDetail[Customer],$A464,SalesDetail[Year],2010)</f>
        <v>0</v>
      </c>
      <c r="D464" s="5">
        <f>SUMIFS(SalesDetail[Quantity (KG)],SalesDetail[Customer],$A464,SalesDetail[Year],2011)</f>
        <v>0</v>
      </c>
      <c r="E464" s="5">
        <f>SUMIFS(SalesDetail[Quantity (KG)],SalesDetail[Customer],$A464,SalesDetail[Year],2012)</f>
        <v>0</v>
      </c>
      <c r="F464" s="5">
        <f>SUMIFS(SalesDetail[Quantity (KG)],SalesDetail[Customer],$A464,SalesDetail[Year],2013)</f>
        <v>0</v>
      </c>
      <c r="G464" s="5">
        <f>SUMIFS(SalesDetail[Quantity (KG)],SalesDetail[Customer],$A464,SalesDetail[Year],2014)</f>
        <v>0</v>
      </c>
      <c r="H464" s="5">
        <f>SUMIFS(SalesDetail[Quantity (KG)],SalesDetail[Customer],$A464,SalesDetail[Year],2015)</f>
        <v>0</v>
      </c>
      <c r="I464" s="5">
        <f>SUMIFS(SalesDetail[Quantity (KG)],SalesDetail[Customer],$A464,SalesDetail[Year],2016)</f>
        <v>0</v>
      </c>
      <c r="J464" s="5">
        <f>SUMIFS(SalesDetail[Quantity (KG)],SalesDetail[Customer],$A464,SalesDetail[Year],2017)</f>
        <v>0</v>
      </c>
      <c r="K464" s="5">
        <f>SUMIFS(SalesDetail[Quantity (KG)],SalesDetail[Customer],$A464,SalesDetail[Year],2018)</f>
        <v>0</v>
      </c>
      <c r="L464" s="5">
        <f>SUMIFS(SalesDetail[Quantity (KG)],SalesDetail[Customer],$A464,SalesDetail[Year],2019)</f>
        <v>0</v>
      </c>
      <c r="M464" s="5">
        <f>SUMIFS(SalesDetail[Quantity (KG)],SalesDetail[Customer],$A464,SalesDetail[Year],2020)</f>
        <v>6</v>
      </c>
      <c r="N464" s="5">
        <f>SUMIFS(SalesDetail[Quantity (KG)],SalesDetail[Customer],$A464,SalesDetail[Year],2021)</f>
        <v>10</v>
      </c>
      <c r="O464" s="6">
        <f>SUM(B464:N464)</f>
        <v>16</v>
      </c>
    </row>
    <row r="465" spans="1:15" x14ac:dyDescent="0.3">
      <c r="A465" t="s">
        <v>818</v>
      </c>
      <c r="B465" s="5">
        <f>SUMIFS(SalesDetail[Quantity (KG)],SalesDetail[Customer],$A465,SalesDetail[Year],2009)</f>
        <v>0</v>
      </c>
      <c r="C465" s="5">
        <f>SUMIFS(SalesDetail[Quantity (KG)],SalesDetail[Customer],$A465,SalesDetail[Year],2010)</f>
        <v>0</v>
      </c>
      <c r="D465" s="5">
        <f>SUMIFS(SalesDetail[Quantity (KG)],SalesDetail[Customer],$A465,SalesDetail[Year],2011)</f>
        <v>0</v>
      </c>
      <c r="E465" s="5">
        <f>SUMIFS(SalesDetail[Quantity (KG)],SalesDetail[Customer],$A465,SalesDetail[Year],2012)</f>
        <v>0</v>
      </c>
      <c r="F465" s="5">
        <f>SUMIFS(SalesDetail[Quantity (KG)],SalesDetail[Customer],$A465,SalesDetail[Year],2013)</f>
        <v>0</v>
      </c>
      <c r="G465" s="5">
        <f>SUMIFS(SalesDetail[Quantity (KG)],SalesDetail[Customer],$A465,SalesDetail[Year],2014)</f>
        <v>0</v>
      </c>
      <c r="H465" s="5">
        <f>SUMIFS(SalesDetail[Quantity (KG)],SalesDetail[Customer],$A465,SalesDetail[Year],2015)</f>
        <v>0</v>
      </c>
      <c r="I465" s="5">
        <f>SUMIFS(SalesDetail[Quantity (KG)],SalesDetail[Customer],$A465,SalesDetail[Year],2016)</f>
        <v>5</v>
      </c>
      <c r="J465" s="5">
        <f>SUMIFS(SalesDetail[Quantity (KG)],SalesDetail[Customer],$A465,SalesDetail[Year],2017)</f>
        <v>4</v>
      </c>
      <c r="K465" s="5">
        <f>SUMIFS(SalesDetail[Quantity (KG)],SalesDetail[Customer],$A465,SalesDetail[Year],2018)</f>
        <v>5</v>
      </c>
      <c r="L465" s="5">
        <f>SUMIFS(SalesDetail[Quantity (KG)],SalesDetail[Customer],$A465,SalesDetail[Year],2019)</f>
        <v>2</v>
      </c>
      <c r="M465" s="5">
        <f>SUMIFS(SalesDetail[Quantity (KG)],SalesDetail[Customer],$A465,SalesDetail[Year],2020)</f>
        <v>0</v>
      </c>
      <c r="N465" s="5">
        <f>SUMIFS(SalesDetail[Quantity (KG)],SalesDetail[Customer],$A465,SalesDetail[Year],2021)</f>
        <v>0</v>
      </c>
      <c r="O465" s="6">
        <f>SUM(B465:N465)</f>
        <v>16</v>
      </c>
    </row>
    <row r="466" spans="1:15" x14ac:dyDescent="0.3">
      <c r="A466" t="s">
        <v>1211</v>
      </c>
      <c r="B466" s="5">
        <f>SUMIFS(SalesDetail[Quantity (KG)],SalesDetail[Customer],$A466,SalesDetail[Year],2009)</f>
        <v>0</v>
      </c>
      <c r="C466" s="5">
        <f>SUMIFS(SalesDetail[Quantity (KG)],SalesDetail[Customer],$A466,SalesDetail[Year],2010)</f>
        <v>0</v>
      </c>
      <c r="D466" s="5">
        <f>SUMIFS(SalesDetail[Quantity (KG)],SalesDetail[Customer],$A466,SalesDetail[Year],2011)</f>
        <v>0</v>
      </c>
      <c r="E466" s="5">
        <f>SUMIFS(SalesDetail[Quantity (KG)],SalesDetail[Customer],$A466,SalesDetail[Year],2012)</f>
        <v>0</v>
      </c>
      <c r="F466" s="5">
        <f>SUMIFS(SalesDetail[Quantity (KG)],SalesDetail[Customer],$A466,SalesDetail[Year],2013)</f>
        <v>0</v>
      </c>
      <c r="G466" s="5">
        <f>SUMIFS(SalesDetail[Quantity (KG)],SalesDetail[Customer],$A466,SalesDetail[Year],2014)</f>
        <v>0</v>
      </c>
      <c r="H466" s="5">
        <f>SUMIFS(SalesDetail[Quantity (KG)],SalesDetail[Customer],$A466,SalesDetail[Year],2015)</f>
        <v>0</v>
      </c>
      <c r="I466" s="5">
        <f>SUMIFS(SalesDetail[Quantity (KG)],SalesDetail[Customer],$A466,SalesDetail[Year],2016)</f>
        <v>0</v>
      </c>
      <c r="J466" s="5">
        <f>SUMIFS(SalesDetail[Quantity (KG)],SalesDetail[Customer],$A466,SalesDetail[Year],2017)</f>
        <v>0</v>
      </c>
      <c r="K466" s="5">
        <f>SUMIFS(SalesDetail[Quantity (KG)],SalesDetail[Customer],$A466,SalesDetail[Year],2018)</f>
        <v>0</v>
      </c>
      <c r="L466" s="5">
        <f>SUMIFS(SalesDetail[Quantity (KG)],SalesDetail[Customer],$A466,SalesDetail[Year],2019)</f>
        <v>1</v>
      </c>
      <c r="M466" s="5">
        <f>SUMIFS(SalesDetail[Quantity (KG)],SalesDetail[Customer],$A466,SalesDetail[Year],2020)</f>
        <v>15</v>
      </c>
      <c r="N466" s="5">
        <f>SUMIFS(SalesDetail[Quantity (KG)],SalesDetail[Customer],$A466,SalesDetail[Year],2021)</f>
        <v>0</v>
      </c>
      <c r="O466" s="6">
        <f>SUM(B466:N466)</f>
        <v>16</v>
      </c>
    </row>
    <row r="467" spans="1:15" x14ac:dyDescent="0.3">
      <c r="A467" t="s">
        <v>2040</v>
      </c>
      <c r="B467" s="5">
        <f>SUMIFS(SalesDetail[Quantity (KG)],SalesDetail[Customer],$A467,SalesDetail[Year],2009)</f>
        <v>0</v>
      </c>
      <c r="C467" s="5">
        <f>SUMIFS(SalesDetail[Quantity (KG)],SalesDetail[Customer],$A467,SalesDetail[Year],2010)</f>
        <v>0</v>
      </c>
      <c r="D467" s="5">
        <f>SUMIFS(SalesDetail[Quantity (KG)],SalesDetail[Customer],$A467,SalesDetail[Year],2011)</f>
        <v>0</v>
      </c>
      <c r="E467" s="5">
        <f>SUMIFS(SalesDetail[Quantity (KG)],SalesDetail[Customer],$A467,SalesDetail[Year],2012)</f>
        <v>0</v>
      </c>
      <c r="F467" s="5">
        <f>SUMIFS(SalesDetail[Quantity (KG)],SalesDetail[Customer],$A467,SalesDetail[Year],2013)</f>
        <v>0</v>
      </c>
      <c r="G467" s="5">
        <f>SUMIFS(SalesDetail[Quantity (KG)],SalesDetail[Customer],$A467,SalesDetail[Year],2014)</f>
        <v>0</v>
      </c>
      <c r="H467" s="5">
        <f>SUMIFS(SalesDetail[Quantity (KG)],SalesDetail[Customer],$A467,SalesDetail[Year],2015)</f>
        <v>0</v>
      </c>
      <c r="I467" s="5">
        <f>SUMIFS(SalesDetail[Quantity (KG)],SalesDetail[Customer],$A467,SalesDetail[Year],2016)</f>
        <v>0</v>
      </c>
      <c r="J467" s="5">
        <f>SUMIFS(SalesDetail[Quantity (KG)],SalesDetail[Customer],$A467,SalesDetail[Year],2017)</f>
        <v>0</v>
      </c>
      <c r="K467" s="5">
        <f>SUMIFS(SalesDetail[Quantity (KG)],SalesDetail[Customer],$A467,SalesDetail[Year],2018)</f>
        <v>0</v>
      </c>
      <c r="L467" s="5">
        <f>SUMIFS(SalesDetail[Quantity (KG)],SalesDetail[Customer],$A467,SalesDetail[Year],2019)</f>
        <v>6</v>
      </c>
      <c r="M467" s="5">
        <f>SUMIFS(SalesDetail[Quantity (KG)],SalesDetail[Customer],$A467,SalesDetail[Year],2020)</f>
        <v>10</v>
      </c>
      <c r="N467" s="5">
        <f>SUMIFS(SalesDetail[Quantity (KG)],SalesDetail[Customer],$A467,SalesDetail[Year],2021)</f>
        <v>0</v>
      </c>
      <c r="O467" s="6">
        <f>SUM(B467:N467)</f>
        <v>16</v>
      </c>
    </row>
    <row r="468" spans="1:15" x14ac:dyDescent="0.3">
      <c r="A468" t="s">
        <v>494</v>
      </c>
      <c r="B468" s="5">
        <f>SUMIFS(SalesDetail[Quantity (KG)],SalesDetail[Customer],$A468,SalesDetail[Year],2009)</f>
        <v>0</v>
      </c>
      <c r="C468" s="5">
        <f>SUMIFS(SalesDetail[Quantity (KG)],SalesDetail[Customer],$A468,SalesDetail[Year],2010)</f>
        <v>0</v>
      </c>
      <c r="D468" s="5">
        <f>SUMIFS(SalesDetail[Quantity (KG)],SalesDetail[Customer],$A468,SalesDetail[Year],2011)</f>
        <v>0</v>
      </c>
      <c r="E468" s="5">
        <f>SUMIFS(SalesDetail[Quantity (KG)],SalesDetail[Customer],$A468,SalesDetail[Year],2012)</f>
        <v>0</v>
      </c>
      <c r="F468" s="5">
        <f>SUMIFS(SalesDetail[Quantity (KG)],SalesDetail[Customer],$A468,SalesDetail[Year],2013)</f>
        <v>0</v>
      </c>
      <c r="G468" s="5">
        <f>SUMIFS(SalesDetail[Quantity (KG)],SalesDetail[Customer],$A468,SalesDetail[Year],2014)</f>
        <v>0</v>
      </c>
      <c r="H468" s="5">
        <f>SUMIFS(SalesDetail[Quantity (KG)],SalesDetail[Customer],$A468,SalesDetail[Year],2015)</f>
        <v>0</v>
      </c>
      <c r="I468" s="5">
        <f>SUMIFS(SalesDetail[Quantity (KG)],SalesDetail[Customer],$A468,SalesDetail[Year],2016)</f>
        <v>0</v>
      </c>
      <c r="J468" s="5">
        <f>SUMIFS(SalesDetail[Quantity (KG)],SalesDetail[Customer],$A468,SalesDetail[Year],2017)</f>
        <v>0</v>
      </c>
      <c r="K468" s="5">
        <f>SUMIFS(SalesDetail[Quantity (KG)],SalesDetail[Customer],$A468,SalesDetail[Year],2018)</f>
        <v>0</v>
      </c>
      <c r="L468" s="5">
        <f>SUMIFS(SalesDetail[Quantity (KG)],SalesDetail[Customer],$A468,SalesDetail[Year],2019)</f>
        <v>0</v>
      </c>
      <c r="M468" s="5">
        <f>SUMIFS(SalesDetail[Quantity (KG)],SalesDetail[Customer],$A468,SalesDetail[Year],2020)</f>
        <v>0</v>
      </c>
      <c r="N468" s="5">
        <f>SUMIFS(SalesDetail[Quantity (KG)],SalesDetail[Customer],$A468,SalesDetail[Year],2021)</f>
        <v>15</v>
      </c>
      <c r="O468" s="6">
        <f>SUM(B468:N468)</f>
        <v>15</v>
      </c>
    </row>
    <row r="469" spans="1:15" x14ac:dyDescent="0.3">
      <c r="A469" t="s">
        <v>1846</v>
      </c>
      <c r="B469" s="5">
        <f>SUMIFS(SalesDetail[Quantity (KG)],SalesDetail[Customer],$A469,SalesDetail[Year],2009)</f>
        <v>0</v>
      </c>
      <c r="C469" s="5">
        <f>SUMIFS(SalesDetail[Quantity (KG)],SalesDetail[Customer],$A469,SalesDetail[Year],2010)</f>
        <v>0</v>
      </c>
      <c r="D469" s="5">
        <f>SUMIFS(SalesDetail[Quantity (KG)],SalesDetail[Customer],$A469,SalesDetail[Year],2011)</f>
        <v>0</v>
      </c>
      <c r="E469" s="5">
        <f>SUMIFS(SalesDetail[Quantity (KG)],SalesDetail[Customer],$A469,SalesDetail[Year],2012)</f>
        <v>0</v>
      </c>
      <c r="F469" s="5">
        <f>SUMIFS(SalesDetail[Quantity (KG)],SalesDetail[Customer],$A469,SalesDetail[Year],2013)</f>
        <v>0</v>
      </c>
      <c r="G469" s="5">
        <f>SUMIFS(SalesDetail[Quantity (KG)],SalesDetail[Customer],$A469,SalesDetail[Year],2014)</f>
        <v>0</v>
      </c>
      <c r="H469" s="5">
        <f>SUMIFS(SalesDetail[Quantity (KG)],SalesDetail[Customer],$A469,SalesDetail[Year],2015)</f>
        <v>0</v>
      </c>
      <c r="I469" s="5">
        <f>SUMIFS(SalesDetail[Quantity (KG)],SalesDetail[Customer],$A469,SalesDetail[Year],2016)</f>
        <v>0</v>
      </c>
      <c r="J469" s="5">
        <f>SUMIFS(SalesDetail[Quantity (KG)],SalesDetail[Customer],$A469,SalesDetail[Year],2017)</f>
        <v>0</v>
      </c>
      <c r="K469" s="5">
        <f>SUMIFS(SalesDetail[Quantity (KG)],SalesDetail[Customer],$A469,SalesDetail[Year],2018)</f>
        <v>0</v>
      </c>
      <c r="L469" s="5">
        <f>SUMIFS(SalesDetail[Quantity (KG)],SalesDetail[Customer],$A469,SalesDetail[Year],2019)</f>
        <v>0</v>
      </c>
      <c r="M469" s="5">
        <f>SUMIFS(SalesDetail[Quantity (KG)],SalesDetail[Customer],$A469,SalesDetail[Year],2020)</f>
        <v>13</v>
      </c>
      <c r="N469" s="5">
        <f>SUMIFS(SalesDetail[Quantity (KG)],SalesDetail[Customer],$A469,SalesDetail[Year],2021)</f>
        <v>2</v>
      </c>
      <c r="O469" s="6">
        <f>SUM(B469:N469)</f>
        <v>15</v>
      </c>
    </row>
    <row r="470" spans="1:15" x14ac:dyDescent="0.3">
      <c r="A470" t="s">
        <v>1851</v>
      </c>
      <c r="B470" s="5">
        <f>SUMIFS(SalesDetail[Quantity (KG)],SalesDetail[Customer],$A470,SalesDetail[Year],2009)</f>
        <v>0</v>
      </c>
      <c r="C470" s="5">
        <f>SUMIFS(SalesDetail[Quantity (KG)],SalesDetail[Customer],$A470,SalesDetail[Year],2010)</f>
        <v>0</v>
      </c>
      <c r="D470" s="5">
        <f>SUMIFS(SalesDetail[Quantity (KG)],SalesDetail[Customer],$A470,SalesDetail[Year],2011)</f>
        <v>0</v>
      </c>
      <c r="E470" s="5">
        <f>SUMIFS(SalesDetail[Quantity (KG)],SalesDetail[Customer],$A470,SalesDetail[Year],2012)</f>
        <v>0</v>
      </c>
      <c r="F470" s="5">
        <f>SUMIFS(SalesDetail[Quantity (KG)],SalesDetail[Customer],$A470,SalesDetail[Year],2013)</f>
        <v>0</v>
      </c>
      <c r="G470" s="5">
        <f>SUMIFS(SalesDetail[Quantity (KG)],SalesDetail[Customer],$A470,SalesDetail[Year],2014)</f>
        <v>0</v>
      </c>
      <c r="H470" s="5">
        <f>SUMIFS(SalesDetail[Quantity (KG)],SalesDetail[Customer],$A470,SalesDetail[Year],2015)</f>
        <v>15</v>
      </c>
      <c r="I470" s="5">
        <f>SUMIFS(SalesDetail[Quantity (KG)],SalesDetail[Customer],$A470,SalesDetail[Year],2016)</f>
        <v>0</v>
      </c>
      <c r="J470" s="5">
        <f>SUMIFS(SalesDetail[Quantity (KG)],SalesDetail[Customer],$A470,SalesDetail[Year],2017)</f>
        <v>0</v>
      </c>
      <c r="K470" s="5">
        <f>SUMIFS(SalesDetail[Quantity (KG)],SalesDetail[Customer],$A470,SalesDetail[Year],2018)</f>
        <v>0</v>
      </c>
      <c r="L470" s="5">
        <f>SUMIFS(SalesDetail[Quantity (KG)],SalesDetail[Customer],$A470,SalesDetail[Year],2019)</f>
        <v>0</v>
      </c>
      <c r="M470" s="5">
        <f>SUMIFS(SalesDetail[Quantity (KG)],SalesDetail[Customer],$A470,SalesDetail[Year],2020)</f>
        <v>0</v>
      </c>
      <c r="N470" s="5">
        <f>SUMIFS(SalesDetail[Quantity (KG)],SalesDetail[Customer],$A470,SalesDetail[Year],2021)</f>
        <v>0</v>
      </c>
      <c r="O470" s="6">
        <f>SUM(B470:N470)</f>
        <v>15</v>
      </c>
    </row>
    <row r="471" spans="1:15" x14ac:dyDescent="0.3">
      <c r="A471" t="s">
        <v>2190</v>
      </c>
      <c r="B471" s="5">
        <f>SUMIFS(SalesDetail[Quantity (KG)],SalesDetail[Customer],$A471,SalesDetail[Year],2009)</f>
        <v>0</v>
      </c>
      <c r="C471" s="5">
        <f>SUMIFS(SalesDetail[Quantity (KG)],SalesDetail[Customer],$A471,SalesDetail[Year],2010)</f>
        <v>0</v>
      </c>
      <c r="D471" s="5">
        <f>SUMIFS(SalesDetail[Quantity (KG)],SalesDetail[Customer],$A471,SalesDetail[Year],2011)</f>
        <v>0</v>
      </c>
      <c r="E471" s="5">
        <f>SUMIFS(SalesDetail[Quantity (KG)],SalesDetail[Customer],$A471,SalesDetail[Year],2012)</f>
        <v>0</v>
      </c>
      <c r="F471" s="5">
        <f>SUMIFS(SalesDetail[Quantity (KG)],SalesDetail[Customer],$A471,SalesDetail[Year],2013)</f>
        <v>0</v>
      </c>
      <c r="G471" s="5">
        <f>SUMIFS(SalesDetail[Quantity (KG)],SalesDetail[Customer],$A471,SalesDetail[Year],2014)</f>
        <v>0</v>
      </c>
      <c r="H471" s="5">
        <f>SUMIFS(SalesDetail[Quantity (KG)],SalesDetail[Customer],$A471,SalesDetail[Year],2015)</f>
        <v>0</v>
      </c>
      <c r="I471" s="5">
        <f>SUMIFS(SalesDetail[Quantity (KG)],SalesDetail[Customer],$A471,SalesDetail[Year],2016)</f>
        <v>0</v>
      </c>
      <c r="J471" s="5">
        <f>SUMIFS(SalesDetail[Quantity (KG)],SalesDetail[Customer],$A471,SalesDetail[Year],2017)</f>
        <v>0</v>
      </c>
      <c r="K471" s="5">
        <f>SUMIFS(SalesDetail[Quantity (KG)],SalesDetail[Customer],$A471,SalesDetail[Year],2018)</f>
        <v>0</v>
      </c>
      <c r="L471" s="5">
        <f>SUMIFS(SalesDetail[Quantity (KG)],SalesDetail[Customer],$A471,SalesDetail[Year],2019)</f>
        <v>0</v>
      </c>
      <c r="M471" s="5">
        <f>SUMIFS(SalesDetail[Quantity (KG)],SalesDetail[Customer],$A471,SalesDetail[Year],2020)</f>
        <v>15</v>
      </c>
      <c r="N471" s="5">
        <f>SUMIFS(SalesDetail[Quantity (KG)],SalesDetail[Customer],$A471,SalesDetail[Year],2021)</f>
        <v>0</v>
      </c>
      <c r="O471" s="6">
        <f>SUM(B471:N471)</f>
        <v>15</v>
      </c>
    </row>
    <row r="472" spans="1:15" x14ac:dyDescent="0.3">
      <c r="A472" t="s">
        <v>2196</v>
      </c>
      <c r="B472" s="5">
        <f>SUMIFS(SalesDetail[Quantity (KG)],SalesDetail[Customer],$A472,SalesDetail[Year],2009)</f>
        <v>0</v>
      </c>
      <c r="C472" s="5">
        <f>SUMIFS(SalesDetail[Quantity (KG)],SalesDetail[Customer],$A472,SalesDetail[Year],2010)</f>
        <v>0</v>
      </c>
      <c r="D472" s="5">
        <f>SUMIFS(SalesDetail[Quantity (KG)],SalesDetail[Customer],$A472,SalesDetail[Year],2011)</f>
        <v>0</v>
      </c>
      <c r="E472" s="5">
        <f>SUMIFS(SalesDetail[Quantity (KG)],SalesDetail[Customer],$A472,SalesDetail[Year],2012)</f>
        <v>0</v>
      </c>
      <c r="F472" s="5">
        <f>SUMIFS(SalesDetail[Quantity (KG)],SalesDetail[Customer],$A472,SalesDetail[Year],2013)</f>
        <v>15</v>
      </c>
      <c r="G472" s="5">
        <f>SUMIFS(SalesDetail[Quantity (KG)],SalesDetail[Customer],$A472,SalesDetail[Year],2014)</f>
        <v>0</v>
      </c>
      <c r="H472" s="5">
        <f>SUMIFS(SalesDetail[Quantity (KG)],SalesDetail[Customer],$A472,SalesDetail[Year],2015)</f>
        <v>0</v>
      </c>
      <c r="I472" s="5">
        <f>SUMIFS(SalesDetail[Quantity (KG)],SalesDetail[Customer],$A472,SalesDetail[Year],2016)</f>
        <v>0</v>
      </c>
      <c r="J472" s="5">
        <f>SUMIFS(SalesDetail[Quantity (KG)],SalesDetail[Customer],$A472,SalesDetail[Year],2017)</f>
        <v>0</v>
      </c>
      <c r="K472" s="5">
        <f>SUMIFS(SalesDetail[Quantity (KG)],SalesDetail[Customer],$A472,SalesDetail[Year],2018)</f>
        <v>0</v>
      </c>
      <c r="L472" s="5">
        <f>SUMIFS(SalesDetail[Quantity (KG)],SalesDetail[Customer],$A472,SalesDetail[Year],2019)</f>
        <v>0</v>
      </c>
      <c r="M472" s="5">
        <f>SUMIFS(SalesDetail[Quantity (KG)],SalesDetail[Customer],$A472,SalesDetail[Year],2020)</f>
        <v>0</v>
      </c>
      <c r="N472" s="5">
        <f>SUMIFS(SalesDetail[Quantity (KG)],SalesDetail[Customer],$A472,SalesDetail[Year],2021)</f>
        <v>0</v>
      </c>
      <c r="O472" s="6">
        <f>SUM(B472:N472)</f>
        <v>15</v>
      </c>
    </row>
    <row r="473" spans="1:15" x14ac:dyDescent="0.3">
      <c r="A473" t="s">
        <v>2445</v>
      </c>
      <c r="B473" s="5">
        <f>SUMIFS(SalesDetail[Quantity (KG)],SalesDetail[Customer],$A473,SalesDetail[Year],2009)</f>
        <v>0</v>
      </c>
      <c r="C473" s="5">
        <f>SUMIFS(SalesDetail[Quantity (KG)],SalesDetail[Customer],$A473,SalesDetail[Year],2010)</f>
        <v>0</v>
      </c>
      <c r="D473" s="5">
        <f>SUMIFS(SalesDetail[Quantity (KG)],SalesDetail[Customer],$A473,SalesDetail[Year],2011)</f>
        <v>0</v>
      </c>
      <c r="E473" s="5">
        <f>SUMIFS(SalesDetail[Quantity (KG)],SalesDetail[Customer],$A473,SalesDetail[Year],2012)</f>
        <v>0</v>
      </c>
      <c r="F473" s="5">
        <f>SUMIFS(SalesDetail[Quantity (KG)],SalesDetail[Customer],$A473,SalesDetail[Year],2013)</f>
        <v>0</v>
      </c>
      <c r="G473" s="5">
        <f>SUMIFS(SalesDetail[Quantity (KG)],SalesDetail[Customer],$A473,SalesDetail[Year],2014)</f>
        <v>0</v>
      </c>
      <c r="H473" s="5">
        <f>SUMIFS(SalesDetail[Quantity (KG)],SalesDetail[Customer],$A473,SalesDetail[Year],2015)</f>
        <v>0</v>
      </c>
      <c r="I473" s="5">
        <f>SUMIFS(SalesDetail[Quantity (KG)],SalesDetail[Customer],$A473,SalesDetail[Year],2016)</f>
        <v>0</v>
      </c>
      <c r="J473" s="5">
        <f>SUMIFS(SalesDetail[Quantity (KG)],SalesDetail[Customer],$A473,SalesDetail[Year],2017)</f>
        <v>0</v>
      </c>
      <c r="K473" s="5">
        <f>SUMIFS(SalesDetail[Quantity (KG)],SalesDetail[Customer],$A473,SalesDetail[Year],2018)</f>
        <v>0</v>
      </c>
      <c r="L473" s="5">
        <f>SUMIFS(SalesDetail[Quantity (KG)],SalesDetail[Customer],$A473,SalesDetail[Year],2019)</f>
        <v>5</v>
      </c>
      <c r="M473" s="5">
        <f>SUMIFS(SalesDetail[Quantity (KG)],SalesDetail[Customer],$A473,SalesDetail[Year],2020)</f>
        <v>10</v>
      </c>
      <c r="N473" s="5">
        <f>SUMIFS(SalesDetail[Quantity (KG)],SalesDetail[Customer],$A473,SalesDetail[Year],2021)</f>
        <v>0</v>
      </c>
      <c r="O473" s="6">
        <f>SUM(B473:N473)</f>
        <v>15</v>
      </c>
    </row>
    <row r="474" spans="1:15" x14ac:dyDescent="0.3">
      <c r="A474" t="s">
        <v>2025</v>
      </c>
      <c r="B474" s="5">
        <f>SUMIFS(SalesDetail[Quantity (KG)],SalesDetail[Customer],$A474,SalesDetail[Year],2009)</f>
        <v>0</v>
      </c>
      <c r="C474" s="5">
        <f>SUMIFS(SalesDetail[Quantity (KG)],SalesDetail[Customer],$A474,SalesDetail[Year],2010)</f>
        <v>0</v>
      </c>
      <c r="D474" s="5">
        <f>SUMIFS(SalesDetail[Quantity (KG)],SalesDetail[Customer],$A474,SalesDetail[Year],2011)</f>
        <v>0</v>
      </c>
      <c r="E474" s="5">
        <f>SUMIFS(SalesDetail[Quantity (KG)],SalesDetail[Customer],$A474,SalesDetail[Year],2012)</f>
        <v>0</v>
      </c>
      <c r="F474" s="5">
        <f>SUMIFS(SalesDetail[Quantity (KG)],SalesDetail[Customer],$A474,SalesDetail[Year],2013)</f>
        <v>0</v>
      </c>
      <c r="G474" s="5">
        <f>SUMIFS(SalesDetail[Quantity (KG)],SalesDetail[Customer],$A474,SalesDetail[Year],2014)</f>
        <v>0</v>
      </c>
      <c r="H474" s="5">
        <f>SUMIFS(SalesDetail[Quantity (KG)],SalesDetail[Customer],$A474,SalesDetail[Year],2015)</f>
        <v>0</v>
      </c>
      <c r="I474" s="5">
        <f>SUMIFS(SalesDetail[Quantity (KG)],SalesDetail[Customer],$A474,SalesDetail[Year],2016)</f>
        <v>0</v>
      </c>
      <c r="J474" s="5">
        <f>SUMIFS(SalesDetail[Quantity (KG)],SalesDetail[Customer],$A474,SalesDetail[Year],2017)</f>
        <v>0</v>
      </c>
      <c r="K474" s="5">
        <f>SUMIFS(SalesDetail[Quantity (KG)],SalesDetail[Customer],$A474,SalesDetail[Year],2018)</f>
        <v>0</v>
      </c>
      <c r="L474" s="5">
        <f>SUMIFS(SalesDetail[Quantity (KG)],SalesDetail[Customer],$A474,SalesDetail[Year],2019)</f>
        <v>0</v>
      </c>
      <c r="M474" s="5">
        <f>SUMIFS(SalesDetail[Quantity (KG)],SalesDetail[Customer],$A474,SalesDetail[Year],2020)</f>
        <v>0</v>
      </c>
      <c r="N474" s="5">
        <f>SUMIFS(SalesDetail[Quantity (KG)],SalesDetail[Customer],$A474,SalesDetail[Year],2021)</f>
        <v>14</v>
      </c>
      <c r="O474" s="6">
        <f>SUM(B474:N474)</f>
        <v>14</v>
      </c>
    </row>
    <row r="475" spans="1:15" x14ac:dyDescent="0.3">
      <c r="A475" t="s">
        <v>1166</v>
      </c>
      <c r="B475" s="5">
        <f>SUMIFS(SalesDetail[Quantity (KG)],SalesDetail[Customer],$A475,SalesDetail[Year],2009)</f>
        <v>0</v>
      </c>
      <c r="C475" s="5">
        <f>SUMIFS(SalesDetail[Quantity (KG)],SalesDetail[Customer],$A475,SalesDetail[Year],2010)</f>
        <v>0</v>
      </c>
      <c r="D475" s="5">
        <f>SUMIFS(SalesDetail[Quantity (KG)],SalesDetail[Customer],$A475,SalesDetail[Year],2011)</f>
        <v>0</v>
      </c>
      <c r="E475" s="5">
        <f>SUMIFS(SalesDetail[Quantity (KG)],SalesDetail[Customer],$A475,SalesDetail[Year],2012)</f>
        <v>0</v>
      </c>
      <c r="F475" s="5">
        <f>SUMIFS(SalesDetail[Quantity (KG)],SalesDetail[Customer],$A475,SalesDetail[Year],2013)</f>
        <v>0</v>
      </c>
      <c r="G475" s="5">
        <f>SUMIFS(SalesDetail[Quantity (KG)],SalesDetail[Customer],$A475,SalesDetail[Year],2014)</f>
        <v>0</v>
      </c>
      <c r="H475" s="5">
        <f>SUMIFS(SalesDetail[Quantity (KG)],SalesDetail[Customer],$A475,SalesDetail[Year],2015)</f>
        <v>2</v>
      </c>
      <c r="I475" s="5">
        <f>SUMIFS(SalesDetail[Quantity (KG)],SalesDetail[Customer],$A475,SalesDetail[Year],2016)</f>
        <v>0</v>
      </c>
      <c r="J475" s="5">
        <f>SUMIFS(SalesDetail[Quantity (KG)],SalesDetail[Customer],$A475,SalesDetail[Year],2017)</f>
        <v>0</v>
      </c>
      <c r="K475" s="5">
        <f>SUMIFS(SalesDetail[Quantity (KG)],SalesDetail[Customer],$A475,SalesDetail[Year],2018)</f>
        <v>3</v>
      </c>
      <c r="L475" s="5">
        <f>SUMIFS(SalesDetail[Quantity (KG)],SalesDetail[Customer],$A475,SalesDetail[Year],2019)</f>
        <v>0</v>
      </c>
      <c r="M475" s="5">
        <f>SUMIFS(SalesDetail[Quantity (KG)],SalesDetail[Customer],$A475,SalesDetail[Year],2020)</f>
        <v>8</v>
      </c>
      <c r="N475" s="5">
        <f>SUMIFS(SalesDetail[Quantity (KG)],SalesDetail[Customer],$A475,SalesDetail[Year],2021)</f>
        <v>0</v>
      </c>
      <c r="O475" s="6">
        <f>SUM(B475:N475)</f>
        <v>13</v>
      </c>
    </row>
    <row r="476" spans="1:15" x14ac:dyDescent="0.3">
      <c r="A476" t="s">
        <v>2117</v>
      </c>
      <c r="B476" s="5">
        <f>SUMIFS(SalesDetail[Quantity (KG)],SalesDetail[Customer],$A476,SalesDetail[Year],2009)</f>
        <v>0</v>
      </c>
      <c r="C476" s="5">
        <f>SUMIFS(SalesDetail[Quantity (KG)],SalesDetail[Customer],$A476,SalesDetail[Year],2010)</f>
        <v>0</v>
      </c>
      <c r="D476" s="5">
        <f>SUMIFS(SalesDetail[Quantity (KG)],SalesDetail[Customer],$A476,SalesDetail[Year],2011)</f>
        <v>0</v>
      </c>
      <c r="E476" s="5">
        <f>SUMIFS(SalesDetail[Quantity (KG)],SalesDetail[Customer],$A476,SalesDetail[Year],2012)</f>
        <v>0</v>
      </c>
      <c r="F476" s="5">
        <f>SUMIFS(SalesDetail[Quantity (KG)],SalesDetail[Customer],$A476,SalesDetail[Year],2013)</f>
        <v>0</v>
      </c>
      <c r="G476" s="5">
        <f>SUMIFS(SalesDetail[Quantity (KG)],SalesDetail[Customer],$A476,SalesDetail[Year],2014)</f>
        <v>0</v>
      </c>
      <c r="H476" s="5">
        <f>SUMIFS(SalesDetail[Quantity (KG)],SalesDetail[Customer],$A476,SalesDetail[Year],2015)</f>
        <v>0</v>
      </c>
      <c r="I476" s="5">
        <f>SUMIFS(SalesDetail[Quantity (KG)],SalesDetail[Customer],$A476,SalesDetail[Year],2016)</f>
        <v>0</v>
      </c>
      <c r="J476" s="5">
        <f>SUMIFS(SalesDetail[Quantity (KG)],SalesDetail[Customer],$A476,SalesDetail[Year],2017)</f>
        <v>0</v>
      </c>
      <c r="K476" s="5">
        <f>SUMIFS(SalesDetail[Quantity (KG)],SalesDetail[Customer],$A476,SalesDetail[Year],2018)</f>
        <v>0</v>
      </c>
      <c r="L476" s="5">
        <f>SUMIFS(SalesDetail[Quantity (KG)],SalesDetail[Customer],$A476,SalesDetail[Year],2019)</f>
        <v>0</v>
      </c>
      <c r="M476" s="5">
        <f>SUMIFS(SalesDetail[Quantity (KG)],SalesDetail[Customer],$A476,SalesDetail[Year],2020)</f>
        <v>13</v>
      </c>
      <c r="N476" s="5">
        <f>SUMIFS(SalesDetail[Quantity (KG)],SalesDetail[Customer],$A476,SalesDetail[Year],2021)</f>
        <v>0</v>
      </c>
      <c r="O476" s="6">
        <f>SUM(B476:N476)</f>
        <v>13</v>
      </c>
    </row>
    <row r="477" spans="1:15" x14ac:dyDescent="0.3">
      <c r="A477" t="s">
        <v>2163</v>
      </c>
      <c r="B477" s="5">
        <f>SUMIFS(SalesDetail[Quantity (KG)],SalesDetail[Customer],$A477,SalesDetail[Year],2009)</f>
        <v>0</v>
      </c>
      <c r="C477" s="5">
        <f>SUMIFS(SalesDetail[Quantity (KG)],SalesDetail[Customer],$A477,SalesDetail[Year],2010)</f>
        <v>0</v>
      </c>
      <c r="D477" s="5">
        <f>SUMIFS(SalesDetail[Quantity (KG)],SalesDetail[Customer],$A477,SalesDetail[Year],2011)</f>
        <v>0</v>
      </c>
      <c r="E477" s="5">
        <f>SUMIFS(SalesDetail[Quantity (KG)],SalesDetail[Customer],$A477,SalesDetail[Year],2012)</f>
        <v>11</v>
      </c>
      <c r="F477" s="5">
        <f>SUMIFS(SalesDetail[Quantity (KG)],SalesDetail[Customer],$A477,SalesDetail[Year],2013)</f>
        <v>0</v>
      </c>
      <c r="G477" s="5">
        <f>SUMIFS(SalesDetail[Quantity (KG)],SalesDetail[Customer],$A477,SalesDetail[Year],2014)</f>
        <v>0</v>
      </c>
      <c r="H477" s="5">
        <f>SUMIFS(SalesDetail[Quantity (KG)],SalesDetail[Customer],$A477,SalesDetail[Year],2015)</f>
        <v>0</v>
      </c>
      <c r="I477" s="5">
        <f>SUMIFS(SalesDetail[Quantity (KG)],SalesDetail[Customer],$A477,SalesDetail[Year],2016)</f>
        <v>0</v>
      </c>
      <c r="J477" s="5">
        <f>SUMIFS(SalesDetail[Quantity (KG)],SalesDetail[Customer],$A477,SalesDetail[Year],2017)</f>
        <v>0</v>
      </c>
      <c r="K477" s="5">
        <f>SUMIFS(SalesDetail[Quantity (KG)],SalesDetail[Customer],$A477,SalesDetail[Year],2018)</f>
        <v>0</v>
      </c>
      <c r="L477" s="5">
        <f>SUMIFS(SalesDetail[Quantity (KG)],SalesDetail[Customer],$A477,SalesDetail[Year],2019)</f>
        <v>0</v>
      </c>
      <c r="M477" s="5">
        <f>SUMIFS(SalesDetail[Quantity (KG)],SalesDetail[Customer],$A477,SalesDetail[Year],2020)</f>
        <v>0</v>
      </c>
      <c r="N477" s="5">
        <f>SUMIFS(SalesDetail[Quantity (KG)],SalesDetail[Customer],$A477,SalesDetail[Year],2021)</f>
        <v>2</v>
      </c>
      <c r="O477" s="6">
        <f>SUM(B477:N477)</f>
        <v>13</v>
      </c>
    </row>
    <row r="478" spans="1:15" x14ac:dyDescent="0.3">
      <c r="A478" t="s">
        <v>2335</v>
      </c>
      <c r="B478" s="5">
        <f>SUMIFS(SalesDetail[Quantity (KG)],SalesDetail[Customer],$A478,SalesDetail[Year],2009)</f>
        <v>0</v>
      </c>
      <c r="C478" s="5">
        <f>SUMIFS(SalesDetail[Quantity (KG)],SalesDetail[Customer],$A478,SalesDetail[Year],2010)</f>
        <v>0</v>
      </c>
      <c r="D478" s="5">
        <f>SUMIFS(SalesDetail[Quantity (KG)],SalesDetail[Customer],$A478,SalesDetail[Year],2011)</f>
        <v>0</v>
      </c>
      <c r="E478" s="5">
        <f>SUMIFS(SalesDetail[Quantity (KG)],SalesDetail[Customer],$A478,SalesDetail[Year],2012)</f>
        <v>0</v>
      </c>
      <c r="F478" s="5">
        <f>SUMIFS(SalesDetail[Quantity (KG)],SalesDetail[Customer],$A478,SalesDetail[Year],2013)</f>
        <v>0</v>
      </c>
      <c r="G478" s="5">
        <f>SUMIFS(SalesDetail[Quantity (KG)],SalesDetail[Customer],$A478,SalesDetail[Year],2014)</f>
        <v>0</v>
      </c>
      <c r="H478" s="5">
        <f>SUMIFS(SalesDetail[Quantity (KG)],SalesDetail[Customer],$A478,SalesDetail[Year],2015)</f>
        <v>0</v>
      </c>
      <c r="I478" s="5">
        <f>SUMIFS(SalesDetail[Quantity (KG)],SalesDetail[Customer],$A478,SalesDetail[Year],2016)</f>
        <v>0</v>
      </c>
      <c r="J478" s="5">
        <f>SUMIFS(SalesDetail[Quantity (KG)],SalesDetail[Customer],$A478,SalesDetail[Year],2017)</f>
        <v>0</v>
      </c>
      <c r="K478" s="5">
        <f>SUMIFS(SalesDetail[Quantity (KG)],SalesDetail[Customer],$A478,SalesDetail[Year],2018)</f>
        <v>0</v>
      </c>
      <c r="L478" s="5">
        <f>SUMIFS(SalesDetail[Quantity (KG)],SalesDetail[Customer],$A478,SalesDetail[Year],2019)</f>
        <v>3</v>
      </c>
      <c r="M478" s="5">
        <f>SUMIFS(SalesDetail[Quantity (KG)],SalesDetail[Customer],$A478,SalesDetail[Year],2020)</f>
        <v>8</v>
      </c>
      <c r="N478" s="5">
        <f>SUMIFS(SalesDetail[Quantity (KG)],SalesDetail[Customer],$A478,SalesDetail[Year],2021)</f>
        <v>2</v>
      </c>
      <c r="O478" s="6">
        <f>SUM(B478:N478)</f>
        <v>13</v>
      </c>
    </row>
    <row r="479" spans="1:15" x14ac:dyDescent="0.3">
      <c r="A479" t="s">
        <v>2078</v>
      </c>
      <c r="B479" s="5">
        <f>SUMIFS(SalesDetail[Quantity (KG)],SalesDetail[Customer],$A479,SalesDetail[Year],2009)</f>
        <v>0</v>
      </c>
      <c r="C479" s="5">
        <f>SUMIFS(SalesDetail[Quantity (KG)],SalesDetail[Customer],$A479,SalesDetail[Year],2010)</f>
        <v>0</v>
      </c>
      <c r="D479" s="5">
        <f>SUMIFS(SalesDetail[Quantity (KG)],SalesDetail[Customer],$A479,SalesDetail[Year],2011)</f>
        <v>0</v>
      </c>
      <c r="E479" s="5">
        <f>SUMIFS(SalesDetail[Quantity (KG)],SalesDetail[Customer],$A479,SalesDetail[Year],2012)</f>
        <v>0</v>
      </c>
      <c r="F479" s="5">
        <f>SUMIFS(SalesDetail[Quantity (KG)],SalesDetail[Customer],$A479,SalesDetail[Year],2013)</f>
        <v>0</v>
      </c>
      <c r="G479" s="5">
        <f>SUMIFS(SalesDetail[Quantity (KG)],SalesDetail[Customer],$A479,SalesDetail[Year],2014)</f>
        <v>0</v>
      </c>
      <c r="H479" s="5">
        <f>SUMIFS(SalesDetail[Quantity (KG)],SalesDetail[Customer],$A479,SalesDetail[Year],2015)</f>
        <v>0</v>
      </c>
      <c r="I479" s="5">
        <f>SUMIFS(SalesDetail[Quantity (KG)],SalesDetail[Customer],$A479,SalesDetail[Year],2016)</f>
        <v>0</v>
      </c>
      <c r="J479" s="5">
        <f>SUMIFS(SalesDetail[Quantity (KG)],SalesDetail[Customer],$A479,SalesDetail[Year],2017)</f>
        <v>0</v>
      </c>
      <c r="K479" s="5">
        <f>SUMIFS(SalesDetail[Quantity (KG)],SalesDetail[Customer],$A479,SalesDetail[Year],2018)</f>
        <v>0</v>
      </c>
      <c r="L479" s="5">
        <f>SUMIFS(SalesDetail[Quantity (KG)],SalesDetail[Customer],$A479,SalesDetail[Year],2019)</f>
        <v>0</v>
      </c>
      <c r="M479" s="5">
        <f>SUMIFS(SalesDetail[Quantity (KG)],SalesDetail[Customer],$A479,SalesDetail[Year],2020)</f>
        <v>12</v>
      </c>
      <c r="N479" s="5">
        <f>SUMIFS(SalesDetail[Quantity (KG)],SalesDetail[Customer],$A479,SalesDetail[Year],2021)</f>
        <v>0</v>
      </c>
      <c r="O479" s="6">
        <f>SUM(B479:N479)</f>
        <v>12</v>
      </c>
    </row>
    <row r="480" spans="1:15" x14ac:dyDescent="0.3">
      <c r="A480" t="s">
        <v>1403</v>
      </c>
      <c r="B480" s="5">
        <f>SUMIFS(SalesDetail[Quantity (KG)],SalesDetail[Customer],$A480,SalesDetail[Year],2009)</f>
        <v>0</v>
      </c>
      <c r="C480" s="5">
        <f>SUMIFS(SalesDetail[Quantity (KG)],SalesDetail[Customer],$A480,SalesDetail[Year],2010)</f>
        <v>0</v>
      </c>
      <c r="D480" s="5">
        <f>SUMIFS(SalesDetail[Quantity (KG)],SalesDetail[Customer],$A480,SalesDetail[Year],2011)</f>
        <v>0</v>
      </c>
      <c r="E480" s="5">
        <f>SUMIFS(SalesDetail[Quantity (KG)],SalesDetail[Customer],$A480,SalesDetail[Year],2012)</f>
        <v>0</v>
      </c>
      <c r="F480" s="5">
        <f>SUMIFS(SalesDetail[Quantity (KG)],SalesDetail[Customer],$A480,SalesDetail[Year],2013)</f>
        <v>0</v>
      </c>
      <c r="G480" s="5">
        <f>SUMIFS(SalesDetail[Quantity (KG)],SalesDetail[Customer],$A480,SalesDetail[Year],2014)</f>
        <v>0</v>
      </c>
      <c r="H480" s="5">
        <f>SUMIFS(SalesDetail[Quantity (KG)],SalesDetail[Customer],$A480,SalesDetail[Year],2015)</f>
        <v>0</v>
      </c>
      <c r="I480" s="5">
        <f>SUMIFS(SalesDetail[Quantity (KG)],SalesDetail[Customer],$A480,SalesDetail[Year],2016)</f>
        <v>0</v>
      </c>
      <c r="J480" s="5">
        <f>SUMIFS(SalesDetail[Quantity (KG)],SalesDetail[Customer],$A480,SalesDetail[Year],2017)</f>
        <v>0</v>
      </c>
      <c r="K480" s="5">
        <f>SUMIFS(SalesDetail[Quantity (KG)],SalesDetail[Customer],$A480,SalesDetail[Year],2018)</f>
        <v>0</v>
      </c>
      <c r="L480" s="5">
        <f>SUMIFS(SalesDetail[Quantity (KG)],SalesDetail[Customer],$A480,SalesDetail[Year],2019)</f>
        <v>0</v>
      </c>
      <c r="M480" s="5">
        <f>SUMIFS(SalesDetail[Quantity (KG)],SalesDetail[Customer],$A480,SalesDetail[Year],2020)</f>
        <v>11</v>
      </c>
      <c r="N480" s="5">
        <f>SUMIFS(SalesDetail[Quantity (KG)],SalesDetail[Customer],$A480,SalesDetail[Year],2021)</f>
        <v>0</v>
      </c>
      <c r="O480" s="6">
        <f>SUM(B480:N480)</f>
        <v>11</v>
      </c>
    </row>
    <row r="481" spans="1:15" x14ac:dyDescent="0.3">
      <c r="A481" t="s">
        <v>2194</v>
      </c>
      <c r="B481" s="5">
        <f>SUMIFS(SalesDetail[Quantity (KG)],SalesDetail[Customer],$A481,SalesDetail[Year],2009)</f>
        <v>0</v>
      </c>
      <c r="C481" s="5">
        <f>SUMIFS(SalesDetail[Quantity (KG)],SalesDetail[Customer],$A481,SalesDetail[Year],2010)</f>
        <v>0</v>
      </c>
      <c r="D481" s="5">
        <f>SUMIFS(SalesDetail[Quantity (KG)],SalesDetail[Customer],$A481,SalesDetail[Year],2011)</f>
        <v>0</v>
      </c>
      <c r="E481" s="5">
        <f>SUMIFS(SalesDetail[Quantity (KG)],SalesDetail[Customer],$A481,SalesDetail[Year],2012)</f>
        <v>0</v>
      </c>
      <c r="F481" s="5">
        <f>SUMIFS(SalesDetail[Quantity (KG)],SalesDetail[Customer],$A481,SalesDetail[Year],2013)</f>
        <v>0</v>
      </c>
      <c r="G481" s="5">
        <f>SUMIFS(SalesDetail[Quantity (KG)],SalesDetail[Customer],$A481,SalesDetail[Year],2014)</f>
        <v>0</v>
      </c>
      <c r="H481" s="5">
        <f>SUMIFS(SalesDetail[Quantity (KG)],SalesDetail[Customer],$A481,SalesDetail[Year],2015)</f>
        <v>0</v>
      </c>
      <c r="I481" s="5">
        <f>SUMIFS(SalesDetail[Quantity (KG)],SalesDetail[Customer],$A481,SalesDetail[Year],2016)</f>
        <v>0</v>
      </c>
      <c r="J481" s="5">
        <f>SUMIFS(SalesDetail[Quantity (KG)],SalesDetail[Customer],$A481,SalesDetail[Year],2017)</f>
        <v>9</v>
      </c>
      <c r="K481" s="5">
        <f>SUMIFS(SalesDetail[Quantity (KG)],SalesDetail[Customer],$A481,SalesDetail[Year],2018)</f>
        <v>2</v>
      </c>
      <c r="L481" s="5">
        <f>SUMIFS(SalesDetail[Quantity (KG)],SalesDetail[Customer],$A481,SalesDetail[Year],2019)</f>
        <v>0</v>
      </c>
      <c r="M481" s="5">
        <f>SUMIFS(SalesDetail[Quantity (KG)],SalesDetail[Customer],$A481,SalesDetail[Year],2020)</f>
        <v>0</v>
      </c>
      <c r="N481" s="5">
        <f>SUMIFS(SalesDetail[Quantity (KG)],SalesDetail[Customer],$A481,SalesDetail[Year],2021)</f>
        <v>0</v>
      </c>
      <c r="O481" s="6">
        <f>SUM(B481:N481)</f>
        <v>11</v>
      </c>
    </row>
    <row r="482" spans="1:15" x14ac:dyDescent="0.3">
      <c r="A482" t="s">
        <v>2312</v>
      </c>
      <c r="B482" s="5">
        <f>SUMIFS(SalesDetail[Quantity (KG)],SalesDetail[Customer],$A482,SalesDetail[Year],2009)</f>
        <v>0</v>
      </c>
      <c r="C482" s="5">
        <f>SUMIFS(SalesDetail[Quantity (KG)],SalesDetail[Customer],$A482,SalesDetail[Year],2010)</f>
        <v>0</v>
      </c>
      <c r="D482" s="5">
        <f>SUMIFS(SalesDetail[Quantity (KG)],SalesDetail[Customer],$A482,SalesDetail[Year],2011)</f>
        <v>0</v>
      </c>
      <c r="E482" s="5">
        <f>SUMIFS(SalesDetail[Quantity (KG)],SalesDetail[Customer],$A482,SalesDetail[Year],2012)</f>
        <v>0</v>
      </c>
      <c r="F482" s="5">
        <f>SUMIFS(SalesDetail[Quantity (KG)],SalesDetail[Customer],$A482,SalesDetail[Year],2013)</f>
        <v>0</v>
      </c>
      <c r="G482" s="5">
        <f>SUMIFS(SalesDetail[Quantity (KG)],SalesDetail[Customer],$A482,SalesDetail[Year],2014)</f>
        <v>0</v>
      </c>
      <c r="H482" s="5">
        <f>SUMIFS(SalesDetail[Quantity (KG)],SalesDetail[Customer],$A482,SalesDetail[Year],2015)</f>
        <v>0</v>
      </c>
      <c r="I482" s="5">
        <f>SUMIFS(SalesDetail[Quantity (KG)],SalesDetail[Customer],$A482,SalesDetail[Year],2016)</f>
        <v>1</v>
      </c>
      <c r="J482" s="5">
        <f>SUMIFS(SalesDetail[Quantity (KG)],SalesDetail[Customer],$A482,SalesDetail[Year],2017)</f>
        <v>10</v>
      </c>
      <c r="K482" s="5">
        <f>SUMIFS(SalesDetail[Quantity (KG)],SalesDetail[Customer],$A482,SalesDetail[Year],2018)</f>
        <v>0</v>
      </c>
      <c r="L482" s="5">
        <f>SUMIFS(SalesDetail[Quantity (KG)],SalesDetail[Customer],$A482,SalesDetail[Year],2019)</f>
        <v>0</v>
      </c>
      <c r="M482" s="5">
        <f>SUMIFS(SalesDetail[Quantity (KG)],SalesDetail[Customer],$A482,SalesDetail[Year],2020)</f>
        <v>0</v>
      </c>
      <c r="N482" s="5">
        <f>SUMIFS(SalesDetail[Quantity (KG)],SalesDetail[Customer],$A482,SalesDetail[Year],2021)</f>
        <v>0</v>
      </c>
      <c r="O482" s="6">
        <f>SUM(B482:N482)</f>
        <v>11</v>
      </c>
    </row>
    <row r="483" spans="1:15" x14ac:dyDescent="0.3">
      <c r="A483" t="s">
        <v>2517</v>
      </c>
      <c r="B483" s="5">
        <f>SUMIFS(SalesDetail[Quantity (KG)],SalesDetail[Customer],$A483,SalesDetail[Year],2009)</f>
        <v>0</v>
      </c>
      <c r="C483" s="5">
        <f>SUMIFS(SalesDetail[Quantity (KG)],SalesDetail[Customer],$A483,SalesDetail[Year],2010)</f>
        <v>0</v>
      </c>
      <c r="D483" s="5">
        <f>SUMIFS(SalesDetail[Quantity (KG)],SalesDetail[Customer],$A483,SalesDetail[Year],2011)</f>
        <v>0</v>
      </c>
      <c r="E483" s="5">
        <f>SUMIFS(SalesDetail[Quantity (KG)],SalesDetail[Customer],$A483,SalesDetail[Year],2012)</f>
        <v>0</v>
      </c>
      <c r="F483" s="5">
        <f>SUMIFS(SalesDetail[Quantity (KG)],SalesDetail[Customer],$A483,SalesDetail[Year],2013)</f>
        <v>0</v>
      </c>
      <c r="G483" s="5">
        <f>SUMIFS(SalesDetail[Quantity (KG)],SalesDetail[Customer],$A483,SalesDetail[Year],2014)</f>
        <v>0</v>
      </c>
      <c r="H483" s="5">
        <f>SUMIFS(SalesDetail[Quantity (KG)],SalesDetail[Customer],$A483,SalesDetail[Year],2015)</f>
        <v>0</v>
      </c>
      <c r="I483" s="5">
        <f>SUMIFS(SalesDetail[Quantity (KG)],SalesDetail[Customer],$A483,SalesDetail[Year],2016)</f>
        <v>0</v>
      </c>
      <c r="J483" s="5">
        <f>SUMIFS(SalesDetail[Quantity (KG)],SalesDetail[Customer],$A483,SalesDetail[Year],2017)</f>
        <v>0</v>
      </c>
      <c r="K483" s="5">
        <f>SUMIFS(SalesDetail[Quantity (KG)],SalesDetail[Customer],$A483,SalesDetail[Year],2018)</f>
        <v>0</v>
      </c>
      <c r="L483" s="5">
        <f>SUMIFS(SalesDetail[Quantity (KG)],SalesDetail[Customer],$A483,SalesDetail[Year],2019)</f>
        <v>11</v>
      </c>
      <c r="M483" s="5">
        <f>SUMIFS(SalesDetail[Quantity (KG)],SalesDetail[Customer],$A483,SalesDetail[Year],2020)</f>
        <v>0</v>
      </c>
      <c r="N483" s="5">
        <f>SUMIFS(SalesDetail[Quantity (KG)],SalesDetail[Customer],$A483,SalesDetail[Year],2021)</f>
        <v>0</v>
      </c>
      <c r="O483" s="6">
        <f>SUM(B483:N483)</f>
        <v>11</v>
      </c>
    </row>
    <row r="484" spans="1:15" x14ac:dyDescent="0.3">
      <c r="A484" t="s">
        <v>419</v>
      </c>
      <c r="B484" s="5">
        <f>SUMIFS(SalesDetail[Quantity (KG)],SalesDetail[Customer],$A484,SalesDetail[Year],2009)</f>
        <v>0</v>
      </c>
      <c r="C484" s="5">
        <f>SUMIFS(SalesDetail[Quantity (KG)],SalesDetail[Customer],$A484,SalesDetail[Year],2010)</f>
        <v>0</v>
      </c>
      <c r="D484" s="5">
        <f>SUMIFS(SalesDetail[Quantity (KG)],SalesDetail[Customer],$A484,SalesDetail[Year],2011)</f>
        <v>0</v>
      </c>
      <c r="E484" s="5">
        <f>SUMIFS(SalesDetail[Quantity (KG)],SalesDetail[Customer],$A484,SalesDetail[Year],2012)</f>
        <v>0</v>
      </c>
      <c r="F484" s="5">
        <f>SUMIFS(SalesDetail[Quantity (KG)],SalesDetail[Customer],$A484,SalesDetail[Year],2013)</f>
        <v>0</v>
      </c>
      <c r="G484" s="5">
        <f>SUMIFS(SalesDetail[Quantity (KG)],SalesDetail[Customer],$A484,SalesDetail[Year],2014)</f>
        <v>0</v>
      </c>
      <c r="H484" s="5">
        <f>SUMIFS(SalesDetail[Quantity (KG)],SalesDetail[Customer],$A484,SalesDetail[Year],2015)</f>
        <v>10</v>
      </c>
      <c r="I484" s="5">
        <f>SUMIFS(SalesDetail[Quantity (KG)],SalesDetail[Customer],$A484,SalesDetail[Year],2016)</f>
        <v>0</v>
      </c>
      <c r="J484" s="5">
        <f>SUMIFS(SalesDetail[Quantity (KG)],SalesDetail[Customer],$A484,SalesDetail[Year],2017)</f>
        <v>0</v>
      </c>
      <c r="K484" s="5">
        <f>SUMIFS(SalesDetail[Quantity (KG)],SalesDetail[Customer],$A484,SalesDetail[Year],2018)</f>
        <v>0</v>
      </c>
      <c r="L484" s="5">
        <f>SUMIFS(SalesDetail[Quantity (KG)],SalesDetail[Customer],$A484,SalesDetail[Year],2019)</f>
        <v>0</v>
      </c>
      <c r="M484" s="5">
        <f>SUMIFS(SalesDetail[Quantity (KG)],SalesDetail[Customer],$A484,SalesDetail[Year],2020)</f>
        <v>0</v>
      </c>
      <c r="N484" s="5">
        <f>SUMIFS(SalesDetail[Quantity (KG)],SalesDetail[Customer],$A484,SalesDetail[Year],2021)</f>
        <v>0</v>
      </c>
      <c r="O484" s="6">
        <f>SUM(B484:N484)</f>
        <v>10</v>
      </c>
    </row>
    <row r="485" spans="1:15" x14ac:dyDescent="0.3">
      <c r="A485" t="s">
        <v>424</v>
      </c>
      <c r="B485" s="5">
        <f>SUMIFS(SalesDetail[Quantity (KG)],SalesDetail[Customer],$A485,SalesDetail[Year],2009)</f>
        <v>0</v>
      </c>
      <c r="C485" s="5">
        <f>SUMIFS(SalesDetail[Quantity (KG)],SalesDetail[Customer],$A485,SalesDetail[Year],2010)</f>
        <v>0</v>
      </c>
      <c r="D485" s="5">
        <f>SUMIFS(SalesDetail[Quantity (KG)],SalesDetail[Customer],$A485,SalesDetail[Year],2011)</f>
        <v>0</v>
      </c>
      <c r="E485" s="5">
        <f>SUMIFS(SalesDetail[Quantity (KG)],SalesDetail[Customer],$A485,SalesDetail[Year],2012)</f>
        <v>0</v>
      </c>
      <c r="F485" s="5">
        <f>SUMIFS(SalesDetail[Quantity (KG)],SalesDetail[Customer],$A485,SalesDetail[Year],2013)</f>
        <v>10</v>
      </c>
      <c r="G485" s="5">
        <f>SUMIFS(SalesDetail[Quantity (KG)],SalesDetail[Customer],$A485,SalesDetail[Year],2014)</f>
        <v>0</v>
      </c>
      <c r="H485" s="5">
        <f>SUMIFS(SalesDetail[Quantity (KG)],SalesDetail[Customer],$A485,SalesDetail[Year],2015)</f>
        <v>0</v>
      </c>
      <c r="I485" s="5">
        <f>SUMIFS(SalesDetail[Quantity (KG)],SalesDetail[Customer],$A485,SalesDetail[Year],2016)</f>
        <v>0</v>
      </c>
      <c r="J485" s="5">
        <f>SUMIFS(SalesDetail[Quantity (KG)],SalesDetail[Customer],$A485,SalesDetail[Year],2017)</f>
        <v>0</v>
      </c>
      <c r="K485" s="5">
        <f>SUMIFS(SalesDetail[Quantity (KG)],SalesDetail[Customer],$A485,SalesDetail[Year],2018)</f>
        <v>0</v>
      </c>
      <c r="L485" s="5">
        <f>SUMIFS(SalesDetail[Quantity (KG)],SalesDetail[Customer],$A485,SalesDetail[Year],2019)</f>
        <v>0</v>
      </c>
      <c r="M485" s="5">
        <f>SUMIFS(SalesDetail[Quantity (KG)],SalesDetail[Customer],$A485,SalesDetail[Year],2020)</f>
        <v>0</v>
      </c>
      <c r="N485" s="5">
        <f>SUMIFS(SalesDetail[Quantity (KG)],SalesDetail[Customer],$A485,SalesDetail[Year],2021)</f>
        <v>0</v>
      </c>
      <c r="O485" s="6">
        <f>SUM(B485:N485)</f>
        <v>10</v>
      </c>
    </row>
    <row r="486" spans="1:15" x14ac:dyDescent="0.3">
      <c r="A486" t="s">
        <v>811</v>
      </c>
      <c r="B486" s="5">
        <f>SUMIFS(SalesDetail[Quantity (KG)],SalesDetail[Customer],$A486,SalesDetail[Year],2009)</f>
        <v>0</v>
      </c>
      <c r="C486" s="5">
        <f>SUMIFS(SalesDetail[Quantity (KG)],SalesDetail[Customer],$A486,SalesDetail[Year],2010)</f>
        <v>10</v>
      </c>
      <c r="D486" s="5">
        <f>SUMIFS(SalesDetail[Quantity (KG)],SalesDetail[Customer],$A486,SalesDetail[Year],2011)</f>
        <v>0</v>
      </c>
      <c r="E486" s="5">
        <f>SUMIFS(SalesDetail[Quantity (KG)],SalesDetail[Customer],$A486,SalesDetail[Year],2012)</f>
        <v>0</v>
      </c>
      <c r="F486" s="5">
        <f>SUMIFS(SalesDetail[Quantity (KG)],SalesDetail[Customer],$A486,SalesDetail[Year],2013)</f>
        <v>0</v>
      </c>
      <c r="G486" s="5">
        <f>SUMIFS(SalesDetail[Quantity (KG)],SalesDetail[Customer],$A486,SalesDetail[Year],2014)</f>
        <v>0</v>
      </c>
      <c r="H486" s="5">
        <f>SUMIFS(SalesDetail[Quantity (KG)],SalesDetail[Customer],$A486,SalesDetail[Year],2015)</f>
        <v>0</v>
      </c>
      <c r="I486" s="5">
        <f>SUMIFS(SalesDetail[Quantity (KG)],SalesDetail[Customer],$A486,SalesDetail[Year],2016)</f>
        <v>0</v>
      </c>
      <c r="J486" s="5">
        <f>SUMIFS(SalesDetail[Quantity (KG)],SalesDetail[Customer],$A486,SalesDetail[Year],2017)</f>
        <v>0</v>
      </c>
      <c r="K486" s="5">
        <f>SUMIFS(SalesDetail[Quantity (KG)],SalesDetail[Customer],$A486,SalesDetail[Year],2018)</f>
        <v>0</v>
      </c>
      <c r="L486" s="5">
        <f>SUMIFS(SalesDetail[Quantity (KG)],SalesDetail[Customer],$A486,SalesDetail[Year],2019)</f>
        <v>0</v>
      </c>
      <c r="M486" s="5">
        <f>SUMIFS(SalesDetail[Quantity (KG)],SalesDetail[Customer],$A486,SalesDetail[Year],2020)</f>
        <v>0</v>
      </c>
      <c r="N486" s="5">
        <f>SUMIFS(SalesDetail[Quantity (KG)],SalesDetail[Customer],$A486,SalesDetail[Year],2021)</f>
        <v>0</v>
      </c>
      <c r="O486" s="6">
        <f>SUM(B486:N486)</f>
        <v>10</v>
      </c>
    </row>
    <row r="487" spans="1:15" x14ac:dyDescent="0.3">
      <c r="A487" t="s">
        <v>859</v>
      </c>
      <c r="B487" s="5">
        <f>SUMIFS(SalesDetail[Quantity (KG)],SalesDetail[Customer],$A487,SalesDetail[Year],2009)</f>
        <v>0</v>
      </c>
      <c r="C487" s="5">
        <f>SUMIFS(SalesDetail[Quantity (KG)],SalesDetail[Customer],$A487,SalesDetail[Year],2010)</f>
        <v>0</v>
      </c>
      <c r="D487" s="5">
        <f>SUMIFS(SalesDetail[Quantity (KG)],SalesDetail[Customer],$A487,SalesDetail[Year],2011)</f>
        <v>0</v>
      </c>
      <c r="E487" s="5">
        <f>SUMIFS(SalesDetail[Quantity (KG)],SalesDetail[Customer],$A487,SalesDetail[Year],2012)</f>
        <v>0</v>
      </c>
      <c r="F487" s="5">
        <f>SUMIFS(SalesDetail[Quantity (KG)],SalesDetail[Customer],$A487,SalesDetail[Year],2013)</f>
        <v>0</v>
      </c>
      <c r="G487" s="5">
        <f>SUMIFS(SalesDetail[Quantity (KG)],SalesDetail[Customer],$A487,SalesDetail[Year],2014)</f>
        <v>0</v>
      </c>
      <c r="H487" s="5">
        <f>SUMIFS(SalesDetail[Quantity (KG)],SalesDetail[Customer],$A487,SalesDetail[Year],2015)</f>
        <v>0</v>
      </c>
      <c r="I487" s="5">
        <f>SUMIFS(SalesDetail[Quantity (KG)],SalesDetail[Customer],$A487,SalesDetail[Year],2016)</f>
        <v>0</v>
      </c>
      <c r="J487" s="5">
        <f>SUMIFS(SalesDetail[Quantity (KG)],SalesDetail[Customer],$A487,SalesDetail[Year],2017)</f>
        <v>0</v>
      </c>
      <c r="K487" s="5">
        <f>SUMIFS(SalesDetail[Quantity (KG)],SalesDetail[Customer],$A487,SalesDetail[Year],2018)</f>
        <v>0</v>
      </c>
      <c r="L487" s="5">
        <f>SUMIFS(SalesDetail[Quantity (KG)],SalesDetail[Customer],$A487,SalesDetail[Year],2019)</f>
        <v>0</v>
      </c>
      <c r="M487" s="5">
        <f>SUMIFS(SalesDetail[Quantity (KG)],SalesDetail[Customer],$A487,SalesDetail[Year],2020)</f>
        <v>10</v>
      </c>
      <c r="N487" s="5">
        <f>SUMIFS(SalesDetail[Quantity (KG)],SalesDetail[Customer],$A487,SalesDetail[Year],2021)</f>
        <v>0</v>
      </c>
      <c r="O487" s="6">
        <f>SUM(B487:N487)</f>
        <v>10</v>
      </c>
    </row>
    <row r="488" spans="1:15" x14ac:dyDescent="0.3">
      <c r="A488" t="s">
        <v>1329</v>
      </c>
      <c r="B488" s="5">
        <f>SUMIFS(SalesDetail[Quantity (KG)],SalesDetail[Customer],$A488,SalesDetail[Year],2009)</f>
        <v>0</v>
      </c>
      <c r="C488" s="5">
        <f>SUMIFS(SalesDetail[Quantity (KG)],SalesDetail[Customer],$A488,SalesDetail[Year],2010)</f>
        <v>0</v>
      </c>
      <c r="D488" s="5">
        <f>SUMIFS(SalesDetail[Quantity (KG)],SalesDetail[Customer],$A488,SalesDetail[Year],2011)</f>
        <v>0</v>
      </c>
      <c r="E488" s="5">
        <f>SUMIFS(SalesDetail[Quantity (KG)],SalesDetail[Customer],$A488,SalesDetail[Year],2012)</f>
        <v>0</v>
      </c>
      <c r="F488" s="5">
        <f>SUMIFS(SalesDetail[Quantity (KG)],SalesDetail[Customer],$A488,SalesDetail[Year],2013)</f>
        <v>0</v>
      </c>
      <c r="G488" s="5">
        <f>SUMIFS(SalesDetail[Quantity (KG)],SalesDetail[Customer],$A488,SalesDetail[Year],2014)</f>
        <v>0</v>
      </c>
      <c r="H488" s="5">
        <f>SUMIFS(SalesDetail[Quantity (KG)],SalesDetail[Customer],$A488,SalesDetail[Year],2015)</f>
        <v>0</v>
      </c>
      <c r="I488" s="5">
        <f>SUMIFS(SalesDetail[Quantity (KG)],SalesDetail[Customer],$A488,SalesDetail[Year],2016)</f>
        <v>0</v>
      </c>
      <c r="J488" s="5">
        <f>SUMIFS(SalesDetail[Quantity (KG)],SalesDetail[Customer],$A488,SalesDetail[Year],2017)</f>
        <v>0</v>
      </c>
      <c r="K488" s="5">
        <f>SUMIFS(SalesDetail[Quantity (KG)],SalesDetail[Customer],$A488,SalesDetail[Year],2018)</f>
        <v>0</v>
      </c>
      <c r="L488" s="5">
        <f>SUMIFS(SalesDetail[Quantity (KG)],SalesDetail[Customer],$A488,SalesDetail[Year],2019)</f>
        <v>0</v>
      </c>
      <c r="M488" s="5">
        <f>SUMIFS(SalesDetail[Quantity (KG)],SalesDetail[Customer],$A488,SalesDetail[Year],2020)</f>
        <v>0</v>
      </c>
      <c r="N488" s="5">
        <f>SUMIFS(SalesDetail[Quantity (KG)],SalesDetail[Customer],$A488,SalesDetail[Year],2021)</f>
        <v>10</v>
      </c>
      <c r="O488" s="6">
        <f>SUM(B488:N488)</f>
        <v>10</v>
      </c>
    </row>
    <row r="489" spans="1:15" x14ac:dyDescent="0.3">
      <c r="A489" t="s">
        <v>1436</v>
      </c>
      <c r="B489" s="5">
        <f>SUMIFS(SalesDetail[Quantity (KG)],SalesDetail[Customer],$A489,SalesDetail[Year],2009)</f>
        <v>0</v>
      </c>
      <c r="C489" s="5">
        <f>SUMIFS(SalesDetail[Quantity (KG)],SalesDetail[Customer],$A489,SalesDetail[Year],2010)</f>
        <v>0</v>
      </c>
      <c r="D489" s="5">
        <f>SUMIFS(SalesDetail[Quantity (KG)],SalesDetail[Customer],$A489,SalesDetail[Year],2011)</f>
        <v>0</v>
      </c>
      <c r="E489" s="5">
        <f>SUMIFS(SalesDetail[Quantity (KG)],SalesDetail[Customer],$A489,SalesDetail[Year],2012)</f>
        <v>0</v>
      </c>
      <c r="F489" s="5">
        <f>SUMIFS(SalesDetail[Quantity (KG)],SalesDetail[Customer],$A489,SalesDetail[Year],2013)</f>
        <v>0</v>
      </c>
      <c r="G489" s="5">
        <f>SUMIFS(SalesDetail[Quantity (KG)],SalesDetail[Customer],$A489,SalesDetail[Year],2014)</f>
        <v>0</v>
      </c>
      <c r="H489" s="5">
        <f>SUMIFS(SalesDetail[Quantity (KG)],SalesDetail[Customer],$A489,SalesDetail[Year],2015)</f>
        <v>0</v>
      </c>
      <c r="I489" s="5">
        <f>SUMIFS(SalesDetail[Quantity (KG)],SalesDetail[Customer],$A489,SalesDetail[Year],2016)</f>
        <v>0</v>
      </c>
      <c r="J489" s="5">
        <f>SUMIFS(SalesDetail[Quantity (KG)],SalesDetail[Customer],$A489,SalesDetail[Year],2017)</f>
        <v>0</v>
      </c>
      <c r="K489" s="5">
        <f>SUMIFS(SalesDetail[Quantity (KG)],SalesDetail[Customer],$A489,SalesDetail[Year],2018)</f>
        <v>10</v>
      </c>
      <c r="L489" s="5">
        <f>SUMIFS(SalesDetail[Quantity (KG)],SalesDetail[Customer],$A489,SalesDetail[Year],2019)</f>
        <v>0</v>
      </c>
      <c r="M489" s="5">
        <f>SUMIFS(SalesDetail[Quantity (KG)],SalesDetail[Customer],$A489,SalesDetail[Year],2020)</f>
        <v>0</v>
      </c>
      <c r="N489" s="5">
        <f>SUMIFS(SalesDetail[Quantity (KG)],SalesDetail[Customer],$A489,SalesDetail[Year],2021)</f>
        <v>0</v>
      </c>
      <c r="O489" s="6">
        <f>SUM(B489:N489)</f>
        <v>10</v>
      </c>
    </row>
    <row r="490" spans="1:15" x14ac:dyDescent="0.3">
      <c r="A490" t="s">
        <v>1644</v>
      </c>
      <c r="B490" s="5">
        <f>SUMIFS(SalesDetail[Quantity (KG)],SalesDetail[Customer],$A490,SalesDetail[Year],2009)</f>
        <v>0</v>
      </c>
      <c r="C490" s="5">
        <f>SUMIFS(SalesDetail[Quantity (KG)],SalesDetail[Customer],$A490,SalesDetail[Year],2010)</f>
        <v>0</v>
      </c>
      <c r="D490" s="5">
        <f>SUMIFS(SalesDetail[Quantity (KG)],SalesDetail[Customer],$A490,SalesDetail[Year],2011)</f>
        <v>0</v>
      </c>
      <c r="E490" s="5">
        <f>SUMIFS(SalesDetail[Quantity (KG)],SalesDetail[Customer],$A490,SalesDetail[Year],2012)</f>
        <v>0</v>
      </c>
      <c r="F490" s="5">
        <f>SUMIFS(SalesDetail[Quantity (KG)],SalesDetail[Customer],$A490,SalesDetail[Year],2013)</f>
        <v>0</v>
      </c>
      <c r="G490" s="5">
        <f>SUMIFS(SalesDetail[Quantity (KG)],SalesDetail[Customer],$A490,SalesDetail[Year],2014)</f>
        <v>0</v>
      </c>
      <c r="H490" s="5">
        <f>SUMIFS(SalesDetail[Quantity (KG)],SalesDetail[Customer],$A490,SalesDetail[Year],2015)</f>
        <v>0</v>
      </c>
      <c r="I490" s="5">
        <f>SUMIFS(SalesDetail[Quantity (KG)],SalesDetail[Customer],$A490,SalesDetail[Year],2016)</f>
        <v>0</v>
      </c>
      <c r="J490" s="5">
        <f>SUMIFS(SalesDetail[Quantity (KG)],SalesDetail[Customer],$A490,SalesDetail[Year],2017)</f>
        <v>10</v>
      </c>
      <c r="K490" s="5">
        <f>SUMIFS(SalesDetail[Quantity (KG)],SalesDetail[Customer],$A490,SalesDetail[Year],2018)</f>
        <v>0</v>
      </c>
      <c r="L490" s="5">
        <f>SUMIFS(SalesDetail[Quantity (KG)],SalesDetail[Customer],$A490,SalesDetail[Year],2019)</f>
        <v>0</v>
      </c>
      <c r="M490" s="5">
        <f>SUMIFS(SalesDetail[Quantity (KG)],SalesDetail[Customer],$A490,SalesDetail[Year],2020)</f>
        <v>0</v>
      </c>
      <c r="N490" s="5">
        <f>SUMIFS(SalesDetail[Quantity (KG)],SalesDetail[Customer],$A490,SalesDetail[Year],2021)</f>
        <v>0</v>
      </c>
      <c r="O490" s="6">
        <f>SUM(B490:N490)</f>
        <v>10</v>
      </c>
    </row>
    <row r="491" spans="1:15" x14ac:dyDescent="0.3">
      <c r="A491" t="s">
        <v>1969</v>
      </c>
      <c r="B491" s="5">
        <f>SUMIFS(SalesDetail[Quantity (KG)],SalesDetail[Customer],$A491,SalesDetail[Year],2009)</f>
        <v>0</v>
      </c>
      <c r="C491" s="5">
        <f>SUMIFS(SalesDetail[Quantity (KG)],SalesDetail[Customer],$A491,SalesDetail[Year],2010)</f>
        <v>10</v>
      </c>
      <c r="D491" s="5">
        <f>SUMIFS(SalesDetail[Quantity (KG)],SalesDetail[Customer],$A491,SalesDetail[Year],2011)</f>
        <v>0</v>
      </c>
      <c r="E491" s="5">
        <f>SUMIFS(SalesDetail[Quantity (KG)],SalesDetail[Customer],$A491,SalesDetail[Year],2012)</f>
        <v>0</v>
      </c>
      <c r="F491" s="5">
        <f>SUMIFS(SalesDetail[Quantity (KG)],SalesDetail[Customer],$A491,SalesDetail[Year],2013)</f>
        <v>0</v>
      </c>
      <c r="G491" s="5">
        <f>SUMIFS(SalesDetail[Quantity (KG)],SalesDetail[Customer],$A491,SalesDetail[Year],2014)</f>
        <v>0</v>
      </c>
      <c r="H491" s="5">
        <f>SUMIFS(SalesDetail[Quantity (KG)],SalesDetail[Customer],$A491,SalesDetail[Year],2015)</f>
        <v>0</v>
      </c>
      <c r="I491" s="5">
        <f>SUMIFS(SalesDetail[Quantity (KG)],SalesDetail[Customer],$A491,SalesDetail[Year],2016)</f>
        <v>0</v>
      </c>
      <c r="J491" s="5">
        <f>SUMIFS(SalesDetail[Quantity (KG)],SalesDetail[Customer],$A491,SalesDetail[Year],2017)</f>
        <v>0</v>
      </c>
      <c r="K491" s="5">
        <f>SUMIFS(SalesDetail[Quantity (KG)],SalesDetail[Customer],$A491,SalesDetail[Year],2018)</f>
        <v>0</v>
      </c>
      <c r="L491" s="5">
        <f>SUMIFS(SalesDetail[Quantity (KG)],SalesDetail[Customer],$A491,SalesDetail[Year],2019)</f>
        <v>0</v>
      </c>
      <c r="M491" s="5">
        <f>SUMIFS(SalesDetail[Quantity (KG)],SalesDetail[Customer],$A491,SalesDetail[Year],2020)</f>
        <v>0</v>
      </c>
      <c r="N491" s="5">
        <f>SUMIFS(SalesDetail[Quantity (KG)],SalesDetail[Customer],$A491,SalesDetail[Year],2021)</f>
        <v>0</v>
      </c>
      <c r="O491" s="6">
        <f>SUM(B491:N491)</f>
        <v>10</v>
      </c>
    </row>
    <row r="492" spans="1:15" x14ac:dyDescent="0.3">
      <c r="A492" t="s">
        <v>2009</v>
      </c>
      <c r="B492" s="5">
        <f>SUMIFS(SalesDetail[Quantity (KG)],SalesDetail[Customer],$A492,SalesDetail[Year],2009)</f>
        <v>0</v>
      </c>
      <c r="C492" s="5">
        <f>SUMIFS(SalesDetail[Quantity (KG)],SalesDetail[Customer],$A492,SalesDetail[Year],2010)</f>
        <v>0</v>
      </c>
      <c r="D492" s="5">
        <f>SUMIFS(SalesDetail[Quantity (KG)],SalesDetail[Customer],$A492,SalesDetail[Year],2011)</f>
        <v>0</v>
      </c>
      <c r="E492" s="5">
        <f>SUMIFS(SalesDetail[Quantity (KG)],SalesDetail[Customer],$A492,SalesDetail[Year],2012)</f>
        <v>0</v>
      </c>
      <c r="F492" s="5">
        <f>SUMIFS(SalesDetail[Quantity (KG)],SalesDetail[Customer],$A492,SalesDetail[Year],2013)</f>
        <v>0</v>
      </c>
      <c r="G492" s="5">
        <f>SUMIFS(SalesDetail[Quantity (KG)],SalesDetail[Customer],$A492,SalesDetail[Year],2014)</f>
        <v>0</v>
      </c>
      <c r="H492" s="5">
        <f>SUMIFS(SalesDetail[Quantity (KG)],SalesDetail[Customer],$A492,SalesDetail[Year],2015)</f>
        <v>0</v>
      </c>
      <c r="I492" s="5">
        <f>SUMIFS(SalesDetail[Quantity (KG)],SalesDetail[Customer],$A492,SalesDetail[Year],2016)</f>
        <v>0</v>
      </c>
      <c r="J492" s="5">
        <f>SUMIFS(SalesDetail[Quantity (KG)],SalesDetail[Customer],$A492,SalesDetail[Year],2017)</f>
        <v>0</v>
      </c>
      <c r="K492" s="5">
        <f>SUMIFS(SalesDetail[Quantity (KG)],SalesDetail[Customer],$A492,SalesDetail[Year],2018)</f>
        <v>0</v>
      </c>
      <c r="L492" s="5">
        <f>SUMIFS(SalesDetail[Quantity (KG)],SalesDetail[Customer],$A492,SalesDetail[Year],2019)</f>
        <v>0</v>
      </c>
      <c r="M492" s="5">
        <f>SUMIFS(SalesDetail[Quantity (KG)],SalesDetail[Customer],$A492,SalesDetail[Year],2020)</f>
        <v>10</v>
      </c>
      <c r="N492" s="5">
        <f>SUMIFS(SalesDetail[Quantity (KG)],SalesDetail[Customer],$A492,SalesDetail[Year],2021)</f>
        <v>0</v>
      </c>
      <c r="O492" s="6">
        <f>SUM(B492:N492)</f>
        <v>10</v>
      </c>
    </row>
    <row r="493" spans="1:15" x14ac:dyDescent="0.3">
      <c r="A493" t="s">
        <v>2038</v>
      </c>
      <c r="B493" s="5">
        <f>SUMIFS(SalesDetail[Quantity (KG)],SalesDetail[Customer],$A493,SalesDetail[Year],2009)</f>
        <v>0</v>
      </c>
      <c r="C493" s="5">
        <f>SUMIFS(SalesDetail[Quantity (KG)],SalesDetail[Customer],$A493,SalesDetail[Year],2010)</f>
        <v>0</v>
      </c>
      <c r="D493" s="5">
        <f>SUMIFS(SalesDetail[Quantity (KG)],SalesDetail[Customer],$A493,SalesDetail[Year],2011)</f>
        <v>0</v>
      </c>
      <c r="E493" s="5">
        <f>SUMIFS(SalesDetail[Quantity (KG)],SalesDetail[Customer],$A493,SalesDetail[Year],2012)</f>
        <v>0</v>
      </c>
      <c r="F493" s="5">
        <f>SUMIFS(SalesDetail[Quantity (KG)],SalesDetail[Customer],$A493,SalesDetail[Year],2013)</f>
        <v>0</v>
      </c>
      <c r="G493" s="5">
        <f>SUMIFS(SalesDetail[Quantity (KG)],SalesDetail[Customer],$A493,SalesDetail[Year],2014)</f>
        <v>0</v>
      </c>
      <c r="H493" s="5">
        <f>SUMIFS(SalesDetail[Quantity (KG)],SalesDetail[Customer],$A493,SalesDetail[Year],2015)</f>
        <v>0</v>
      </c>
      <c r="I493" s="5">
        <f>SUMIFS(SalesDetail[Quantity (KG)],SalesDetail[Customer],$A493,SalesDetail[Year],2016)</f>
        <v>0</v>
      </c>
      <c r="J493" s="5">
        <f>SUMIFS(SalesDetail[Quantity (KG)],SalesDetail[Customer],$A493,SalesDetail[Year],2017)</f>
        <v>0</v>
      </c>
      <c r="K493" s="5">
        <f>SUMIFS(SalesDetail[Quantity (KG)],SalesDetail[Customer],$A493,SalesDetail[Year],2018)</f>
        <v>0</v>
      </c>
      <c r="L493" s="5">
        <f>SUMIFS(SalesDetail[Quantity (KG)],SalesDetail[Customer],$A493,SalesDetail[Year],2019)</f>
        <v>0</v>
      </c>
      <c r="M493" s="5">
        <f>SUMIFS(SalesDetail[Quantity (KG)],SalesDetail[Customer],$A493,SalesDetail[Year],2020)</f>
        <v>10</v>
      </c>
      <c r="N493" s="5">
        <f>SUMIFS(SalesDetail[Quantity (KG)],SalesDetail[Customer],$A493,SalesDetail[Year],2021)</f>
        <v>0</v>
      </c>
      <c r="O493" s="6">
        <f>SUM(B493:N493)</f>
        <v>10</v>
      </c>
    </row>
    <row r="494" spans="1:15" x14ac:dyDescent="0.3">
      <c r="A494" t="s">
        <v>2166</v>
      </c>
      <c r="B494" s="5">
        <f>SUMIFS(SalesDetail[Quantity (KG)],SalesDetail[Customer],$A494,SalesDetail[Year],2009)</f>
        <v>0</v>
      </c>
      <c r="C494" s="5">
        <f>SUMIFS(SalesDetail[Quantity (KG)],SalesDetail[Customer],$A494,SalesDetail[Year],2010)</f>
        <v>0</v>
      </c>
      <c r="D494" s="5">
        <f>SUMIFS(SalesDetail[Quantity (KG)],SalesDetail[Customer],$A494,SalesDetail[Year],2011)</f>
        <v>0</v>
      </c>
      <c r="E494" s="5">
        <f>SUMIFS(SalesDetail[Quantity (KG)],SalesDetail[Customer],$A494,SalesDetail[Year],2012)</f>
        <v>0</v>
      </c>
      <c r="F494" s="5">
        <f>SUMIFS(SalesDetail[Quantity (KG)],SalesDetail[Customer],$A494,SalesDetail[Year],2013)</f>
        <v>0</v>
      </c>
      <c r="G494" s="5">
        <f>SUMIFS(SalesDetail[Quantity (KG)],SalesDetail[Customer],$A494,SalesDetail[Year],2014)</f>
        <v>10</v>
      </c>
      <c r="H494" s="5">
        <f>SUMIFS(SalesDetail[Quantity (KG)],SalesDetail[Customer],$A494,SalesDetail[Year],2015)</f>
        <v>0</v>
      </c>
      <c r="I494" s="5">
        <f>SUMIFS(SalesDetail[Quantity (KG)],SalesDetail[Customer],$A494,SalesDetail[Year],2016)</f>
        <v>0</v>
      </c>
      <c r="J494" s="5">
        <f>SUMIFS(SalesDetail[Quantity (KG)],SalesDetail[Customer],$A494,SalesDetail[Year],2017)</f>
        <v>0</v>
      </c>
      <c r="K494" s="5">
        <f>SUMIFS(SalesDetail[Quantity (KG)],SalesDetail[Customer],$A494,SalesDetail[Year],2018)</f>
        <v>0</v>
      </c>
      <c r="L494" s="5">
        <f>SUMIFS(SalesDetail[Quantity (KG)],SalesDetail[Customer],$A494,SalesDetail[Year],2019)</f>
        <v>0</v>
      </c>
      <c r="M494" s="5">
        <f>SUMIFS(SalesDetail[Quantity (KG)],SalesDetail[Customer],$A494,SalesDetail[Year],2020)</f>
        <v>0</v>
      </c>
      <c r="N494" s="5">
        <f>SUMIFS(SalesDetail[Quantity (KG)],SalesDetail[Customer],$A494,SalesDetail[Year],2021)</f>
        <v>0</v>
      </c>
      <c r="O494" s="6">
        <f>SUM(B494:N494)</f>
        <v>10</v>
      </c>
    </row>
    <row r="495" spans="1:15" x14ac:dyDescent="0.3">
      <c r="A495" t="s">
        <v>2186</v>
      </c>
      <c r="B495" s="5">
        <f>SUMIFS(SalesDetail[Quantity (KG)],SalesDetail[Customer],$A495,SalesDetail[Year],2009)</f>
        <v>0</v>
      </c>
      <c r="C495" s="5">
        <f>SUMIFS(SalesDetail[Quantity (KG)],SalesDetail[Customer],$A495,SalesDetail[Year],2010)</f>
        <v>5</v>
      </c>
      <c r="D495" s="5">
        <f>SUMIFS(SalesDetail[Quantity (KG)],SalesDetail[Customer],$A495,SalesDetail[Year],2011)</f>
        <v>0</v>
      </c>
      <c r="E495" s="5">
        <f>SUMIFS(SalesDetail[Quantity (KG)],SalesDetail[Customer],$A495,SalesDetail[Year],2012)</f>
        <v>0</v>
      </c>
      <c r="F495" s="5">
        <f>SUMIFS(SalesDetail[Quantity (KG)],SalesDetail[Customer],$A495,SalesDetail[Year],2013)</f>
        <v>0</v>
      </c>
      <c r="G495" s="5">
        <f>SUMIFS(SalesDetail[Quantity (KG)],SalesDetail[Customer],$A495,SalesDetail[Year],2014)</f>
        <v>5</v>
      </c>
      <c r="H495" s="5">
        <f>SUMIFS(SalesDetail[Quantity (KG)],SalesDetail[Customer],$A495,SalesDetail[Year],2015)</f>
        <v>0</v>
      </c>
      <c r="I495" s="5">
        <f>SUMIFS(SalesDetail[Quantity (KG)],SalesDetail[Customer],$A495,SalesDetail[Year],2016)</f>
        <v>0</v>
      </c>
      <c r="J495" s="5">
        <f>SUMIFS(SalesDetail[Quantity (KG)],SalesDetail[Customer],$A495,SalesDetail[Year],2017)</f>
        <v>0</v>
      </c>
      <c r="K495" s="5">
        <f>SUMIFS(SalesDetail[Quantity (KG)],SalesDetail[Customer],$A495,SalesDetail[Year],2018)</f>
        <v>0</v>
      </c>
      <c r="L495" s="5">
        <f>SUMIFS(SalesDetail[Quantity (KG)],SalesDetail[Customer],$A495,SalesDetail[Year],2019)</f>
        <v>0</v>
      </c>
      <c r="M495" s="5">
        <f>SUMIFS(SalesDetail[Quantity (KG)],SalesDetail[Customer],$A495,SalesDetail[Year],2020)</f>
        <v>0</v>
      </c>
      <c r="N495" s="5">
        <f>SUMIFS(SalesDetail[Quantity (KG)],SalesDetail[Customer],$A495,SalesDetail[Year],2021)</f>
        <v>0</v>
      </c>
      <c r="O495" s="6">
        <f>SUM(B495:N495)</f>
        <v>10</v>
      </c>
    </row>
    <row r="496" spans="1:15" x14ac:dyDescent="0.3">
      <c r="A496" t="s">
        <v>2198</v>
      </c>
      <c r="B496" s="5">
        <f>SUMIFS(SalesDetail[Quantity (KG)],SalesDetail[Customer],$A496,SalesDetail[Year],2009)</f>
        <v>0</v>
      </c>
      <c r="C496" s="5">
        <f>SUMIFS(SalesDetail[Quantity (KG)],SalesDetail[Customer],$A496,SalesDetail[Year],2010)</f>
        <v>0</v>
      </c>
      <c r="D496" s="5">
        <f>SUMIFS(SalesDetail[Quantity (KG)],SalesDetail[Customer],$A496,SalesDetail[Year],2011)</f>
        <v>0</v>
      </c>
      <c r="E496" s="5">
        <f>SUMIFS(SalesDetail[Quantity (KG)],SalesDetail[Customer],$A496,SalesDetail[Year],2012)</f>
        <v>0</v>
      </c>
      <c r="F496" s="5">
        <f>SUMIFS(SalesDetail[Quantity (KG)],SalesDetail[Customer],$A496,SalesDetail[Year],2013)</f>
        <v>0</v>
      </c>
      <c r="G496" s="5">
        <f>SUMIFS(SalesDetail[Quantity (KG)],SalesDetail[Customer],$A496,SalesDetail[Year],2014)</f>
        <v>0</v>
      </c>
      <c r="H496" s="5">
        <f>SUMIFS(SalesDetail[Quantity (KG)],SalesDetail[Customer],$A496,SalesDetail[Year],2015)</f>
        <v>0</v>
      </c>
      <c r="I496" s="5">
        <f>SUMIFS(SalesDetail[Quantity (KG)],SalesDetail[Customer],$A496,SalesDetail[Year],2016)</f>
        <v>10</v>
      </c>
      <c r="J496" s="5">
        <f>SUMIFS(SalesDetail[Quantity (KG)],SalesDetail[Customer],$A496,SalesDetail[Year],2017)</f>
        <v>0</v>
      </c>
      <c r="K496" s="5">
        <f>SUMIFS(SalesDetail[Quantity (KG)],SalesDetail[Customer],$A496,SalesDetail[Year],2018)</f>
        <v>0</v>
      </c>
      <c r="L496" s="5">
        <f>SUMIFS(SalesDetail[Quantity (KG)],SalesDetail[Customer],$A496,SalesDetail[Year],2019)</f>
        <v>0</v>
      </c>
      <c r="M496" s="5">
        <f>SUMIFS(SalesDetail[Quantity (KG)],SalesDetail[Customer],$A496,SalesDetail[Year],2020)</f>
        <v>0</v>
      </c>
      <c r="N496" s="5">
        <f>SUMIFS(SalesDetail[Quantity (KG)],SalesDetail[Customer],$A496,SalesDetail[Year],2021)</f>
        <v>0</v>
      </c>
      <c r="O496" s="6">
        <f>SUM(B496:N496)</f>
        <v>10</v>
      </c>
    </row>
    <row r="497" spans="1:15" x14ac:dyDescent="0.3">
      <c r="A497" t="s">
        <v>2272</v>
      </c>
      <c r="B497" s="5">
        <f>SUMIFS(SalesDetail[Quantity (KG)],SalesDetail[Customer],$A497,SalesDetail[Year],2009)</f>
        <v>0</v>
      </c>
      <c r="C497" s="5">
        <f>SUMIFS(SalesDetail[Quantity (KG)],SalesDetail[Customer],$A497,SalesDetail[Year],2010)</f>
        <v>0</v>
      </c>
      <c r="D497" s="5">
        <f>SUMIFS(SalesDetail[Quantity (KG)],SalesDetail[Customer],$A497,SalesDetail[Year],2011)</f>
        <v>0</v>
      </c>
      <c r="E497" s="5">
        <f>SUMIFS(SalesDetail[Quantity (KG)],SalesDetail[Customer],$A497,SalesDetail[Year],2012)</f>
        <v>0</v>
      </c>
      <c r="F497" s="5">
        <f>SUMIFS(SalesDetail[Quantity (KG)],SalesDetail[Customer],$A497,SalesDetail[Year],2013)</f>
        <v>0</v>
      </c>
      <c r="G497" s="5">
        <f>SUMIFS(SalesDetail[Quantity (KG)],SalesDetail[Customer],$A497,SalesDetail[Year],2014)</f>
        <v>0</v>
      </c>
      <c r="H497" s="5">
        <f>SUMIFS(SalesDetail[Quantity (KG)],SalesDetail[Customer],$A497,SalesDetail[Year],2015)</f>
        <v>0</v>
      </c>
      <c r="I497" s="5">
        <f>SUMIFS(SalesDetail[Quantity (KG)],SalesDetail[Customer],$A497,SalesDetail[Year],2016)</f>
        <v>0</v>
      </c>
      <c r="J497" s="5">
        <f>SUMIFS(SalesDetail[Quantity (KG)],SalesDetail[Customer],$A497,SalesDetail[Year],2017)</f>
        <v>0</v>
      </c>
      <c r="K497" s="5">
        <f>SUMIFS(SalesDetail[Quantity (KG)],SalesDetail[Customer],$A497,SalesDetail[Year],2018)</f>
        <v>0</v>
      </c>
      <c r="L497" s="5">
        <f>SUMIFS(SalesDetail[Quantity (KG)],SalesDetail[Customer],$A497,SalesDetail[Year],2019)</f>
        <v>0</v>
      </c>
      <c r="M497" s="5">
        <f>SUMIFS(SalesDetail[Quantity (KG)],SalesDetail[Customer],$A497,SalesDetail[Year],2020)</f>
        <v>10</v>
      </c>
      <c r="N497" s="5">
        <f>SUMIFS(SalesDetail[Quantity (KG)],SalesDetail[Customer],$A497,SalesDetail[Year],2021)</f>
        <v>0</v>
      </c>
      <c r="O497" s="6">
        <f>SUM(B497:N497)</f>
        <v>10</v>
      </c>
    </row>
    <row r="498" spans="1:15" x14ac:dyDescent="0.3">
      <c r="A498" t="s">
        <v>2313</v>
      </c>
      <c r="B498" s="5">
        <f>SUMIFS(SalesDetail[Quantity (KG)],SalesDetail[Customer],$A498,SalesDetail[Year],2009)</f>
        <v>0</v>
      </c>
      <c r="C498" s="5">
        <f>SUMIFS(SalesDetail[Quantity (KG)],SalesDetail[Customer],$A498,SalesDetail[Year],2010)</f>
        <v>0</v>
      </c>
      <c r="D498" s="5">
        <f>SUMIFS(SalesDetail[Quantity (KG)],SalesDetail[Customer],$A498,SalesDetail[Year],2011)</f>
        <v>0</v>
      </c>
      <c r="E498" s="5">
        <f>SUMIFS(SalesDetail[Quantity (KG)],SalesDetail[Customer],$A498,SalesDetail[Year],2012)</f>
        <v>10</v>
      </c>
      <c r="F498" s="5">
        <f>SUMIFS(SalesDetail[Quantity (KG)],SalesDetail[Customer],$A498,SalesDetail[Year],2013)</f>
        <v>0</v>
      </c>
      <c r="G498" s="5">
        <f>SUMIFS(SalesDetail[Quantity (KG)],SalesDetail[Customer],$A498,SalesDetail[Year],2014)</f>
        <v>0</v>
      </c>
      <c r="H498" s="5">
        <f>SUMIFS(SalesDetail[Quantity (KG)],SalesDetail[Customer],$A498,SalesDetail[Year],2015)</f>
        <v>0</v>
      </c>
      <c r="I498" s="5">
        <f>SUMIFS(SalesDetail[Quantity (KG)],SalesDetail[Customer],$A498,SalesDetail[Year],2016)</f>
        <v>0</v>
      </c>
      <c r="J498" s="5">
        <f>SUMIFS(SalesDetail[Quantity (KG)],SalesDetail[Customer],$A498,SalesDetail[Year],2017)</f>
        <v>0</v>
      </c>
      <c r="K498" s="5">
        <f>SUMIFS(SalesDetail[Quantity (KG)],SalesDetail[Customer],$A498,SalesDetail[Year],2018)</f>
        <v>0</v>
      </c>
      <c r="L498" s="5">
        <f>SUMIFS(SalesDetail[Quantity (KG)],SalesDetail[Customer],$A498,SalesDetail[Year],2019)</f>
        <v>0</v>
      </c>
      <c r="M498" s="5">
        <f>SUMIFS(SalesDetail[Quantity (KG)],SalesDetail[Customer],$A498,SalesDetail[Year],2020)</f>
        <v>0</v>
      </c>
      <c r="N498" s="5">
        <f>SUMIFS(SalesDetail[Quantity (KG)],SalesDetail[Customer],$A498,SalesDetail[Year],2021)</f>
        <v>0</v>
      </c>
      <c r="O498" s="6">
        <f>SUM(B498:N498)</f>
        <v>10</v>
      </c>
    </row>
    <row r="499" spans="1:15" x14ac:dyDescent="0.3">
      <c r="A499" t="s">
        <v>2439</v>
      </c>
      <c r="B499" s="5">
        <f>SUMIFS(SalesDetail[Quantity (KG)],SalesDetail[Customer],$A499,SalesDetail[Year],2009)</f>
        <v>0</v>
      </c>
      <c r="C499" s="5">
        <f>SUMIFS(SalesDetail[Quantity (KG)],SalesDetail[Customer],$A499,SalesDetail[Year],2010)</f>
        <v>0</v>
      </c>
      <c r="D499" s="5">
        <f>SUMIFS(SalesDetail[Quantity (KG)],SalesDetail[Customer],$A499,SalesDetail[Year],2011)</f>
        <v>0</v>
      </c>
      <c r="E499" s="5">
        <f>SUMIFS(SalesDetail[Quantity (KG)],SalesDetail[Customer],$A499,SalesDetail[Year],2012)</f>
        <v>0</v>
      </c>
      <c r="F499" s="5">
        <f>SUMIFS(SalesDetail[Quantity (KG)],SalesDetail[Customer],$A499,SalesDetail[Year],2013)</f>
        <v>0</v>
      </c>
      <c r="G499" s="5">
        <f>SUMIFS(SalesDetail[Quantity (KG)],SalesDetail[Customer],$A499,SalesDetail[Year],2014)</f>
        <v>0</v>
      </c>
      <c r="H499" s="5">
        <f>SUMIFS(SalesDetail[Quantity (KG)],SalesDetail[Customer],$A499,SalesDetail[Year],2015)</f>
        <v>0</v>
      </c>
      <c r="I499" s="5">
        <f>SUMIFS(SalesDetail[Quantity (KG)],SalesDetail[Customer],$A499,SalesDetail[Year],2016)</f>
        <v>0</v>
      </c>
      <c r="J499" s="5">
        <f>SUMIFS(SalesDetail[Quantity (KG)],SalesDetail[Customer],$A499,SalesDetail[Year],2017)</f>
        <v>0</v>
      </c>
      <c r="K499" s="5">
        <f>SUMIFS(SalesDetail[Quantity (KG)],SalesDetail[Customer],$A499,SalesDetail[Year],2018)</f>
        <v>0</v>
      </c>
      <c r="L499" s="5">
        <f>SUMIFS(SalesDetail[Quantity (KG)],SalesDetail[Customer],$A499,SalesDetail[Year],2019)</f>
        <v>0</v>
      </c>
      <c r="M499" s="5">
        <f>SUMIFS(SalesDetail[Quantity (KG)],SalesDetail[Customer],$A499,SalesDetail[Year],2020)</f>
        <v>10</v>
      </c>
      <c r="N499" s="5">
        <f>SUMIFS(SalesDetail[Quantity (KG)],SalesDetail[Customer],$A499,SalesDetail[Year],2021)</f>
        <v>0</v>
      </c>
      <c r="O499" s="6">
        <f>SUM(B499:N499)</f>
        <v>10</v>
      </c>
    </row>
    <row r="500" spans="1:15" x14ac:dyDescent="0.3">
      <c r="A500" t="s">
        <v>2463</v>
      </c>
      <c r="B500" s="5">
        <f>SUMIFS(SalesDetail[Quantity (KG)],SalesDetail[Customer],$A500,SalesDetail[Year],2009)</f>
        <v>0</v>
      </c>
      <c r="C500" s="5">
        <f>SUMIFS(SalesDetail[Quantity (KG)],SalesDetail[Customer],$A500,SalesDetail[Year],2010)</f>
        <v>0</v>
      </c>
      <c r="D500" s="5">
        <f>SUMIFS(SalesDetail[Quantity (KG)],SalesDetail[Customer],$A500,SalesDetail[Year],2011)</f>
        <v>0</v>
      </c>
      <c r="E500" s="5">
        <f>SUMIFS(SalesDetail[Quantity (KG)],SalesDetail[Customer],$A500,SalesDetail[Year],2012)</f>
        <v>0</v>
      </c>
      <c r="F500" s="5">
        <f>SUMIFS(SalesDetail[Quantity (KG)],SalesDetail[Customer],$A500,SalesDetail[Year],2013)</f>
        <v>0</v>
      </c>
      <c r="G500" s="5">
        <f>SUMIFS(SalesDetail[Quantity (KG)],SalesDetail[Customer],$A500,SalesDetail[Year],2014)</f>
        <v>0</v>
      </c>
      <c r="H500" s="5">
        <f>SUMIFS(SalesDetail[Quantity (KG)],SalesDetail[Customer],$A500,SalesDetail[Year],2015)</f>
        <v>10</v>
      </c>
      <c r="I500" s="5">
        <f>SUMIFS(SalesDetail[Quantity (KG)],SalesDetail[Customer],$A500,SalesDetail[Year],2016)</f>
        <v>0</v>
      </c>
      <c r="J500" s="5">
        <f>SUMIFS(SalesDetail[Quantity (KG)],SalesDetail[Customer],$A500,SalesDetail[Year],2017)</f>
        <v>0</v>
      </c>
      <c r="K500" s="5">
        <f>SUMIFS(SalesDetail[Quantity (KG)],SalesDetail[Customer],$A500,SalesDetail[Year],2018)</f>
        <v>0</v>
      </c>
      <c r="L500" s="5">
        <f>SUMIFS(SalesDetail[Quantity (KG)],SalesDetail[Customer],$A500,SalesDetail[Year],2019)</f>
        <v>0</v>
      </c>
      <c r="M500" s="5">
        <f>SUMIFS(SalesDetail[Quantity (KG)],SalesDetail[Customer],$A500,SalesDetail[Year],2020)</f>
        <v>0</v>
      </c>
      <c r="N500" s="5">
        <f>SUMIFS(SalesDetail[Quantity (KG)],SalesDetail[Customer],$A500,SalesDetail[Year],2021)</f>
        <v>0</v>
      </c>
      <c r="O500" s="6">
        <f>SUM(B500:N500)</f>
        <v>10</v>
      </c>
    </row>
    <row r="501" spans="1:15" x14ac:dyDescent="0.3">
      <c r="A501" t="s">
        <v>2468</v>
      </c>
      <c r="B501" s="5">
        <f>SUMIFS(SalesDetail[Quantity (KG)],SalesDetail[Customer],$A501,SalesDetail[Year],2009)</f>
        <v>0</v>
      </c>
      <c r="C501" s="5">
        <f>SUMIFS(SalesDetail[Quantity (KG)],SalesDetail[Customer],$A501,SalesDetail[Year],2010)</f>
        <v>0</v>
      </c>
      <c r="D501" s="5">
        <f>SUMIFS(SalesDetail[Quantity (KG)],SalesDetail[Customer],$A501,SalesDetail[Year],2011)</f>
        <v>0</v>
      </c>
      <c r="E501" s="5">
        <f>SUMIFS(SalesDetail[Quantity (KG)],SalesDetail[Customer],$A501,SalesDetail[Year],2012)</f>
        <v>0</v>
      </c>
      <c r="F501" s="5">
        <f>SUMIFS(SalesDetail[Quantity (KG)],SalesDetail[Customer],$A501,SalesDetail[Year],2013)</f>
        <v>0</v>
      </c>
      <c r="G501" s="5">
        <f>SUMIFS(SalesDetail[Quantity (KG)],SalesDetail[Customer],$A501,SalesDetail[Year],2014)</f>
        <v>0</v>
      </c>
      <c r="H501" s="5">
        <f>SUMIFS(SalesDetail[Quantity (KG)],SalesDetail[Customer],$A501,SalesDetail[Year],2015)</f>
        <v>0</v>
      </c>
      <c r="I501" s="5">
        <f>SUMIFS(SalesDetail[Quantity (KG)],SalesDetail[Customer],$A501,SalesDetail[Year],2016)</f>
        <v>0</v>
      </c>
      <c r="J501" s="5">
        <f>SUMIFS(SalesDetail[Quantity (KG)],SalesDetail[Customer],$A501,SalesDetail[Year],2017)</f>
        <v>0</v>
      </c>
      <c r="K501" s="5">
        <f>SUMIFS(SalesDetail[Quantity (KG)],SalesDetail[Customer],$A501,SalesDetail[Year],2018)</f>
        <v>0</v>
      </c>
      <c r="L501" s="5">
        <f>SUMIFS(SalesDetail[Quantity (KG)],SalesDetail[Customer],$A501,SalesDetail[Year],2019)</f>
        <v>0</v>
      </c>
      <c r="M501" s="5">
        <f>SUMIFS(SalesDetail[Quantity (KG)],SalesDetail[Customer],$A501,SalesDetail[Year],2020)</f>
        <v>0</v>
      </c>
      <c r="N501" s="5">
        <f>SUMIFS(SalesDetail[Quantity (KG)],SalesDetail[Customer],$A501,SalesDetail[Year],2021)</f>
        <v>10</v>
      </c>
      <c r="O501" s="6">
        <f>SUM(B501:N501)</f>
        <v>10</v>
      </c>
    </row>
    <row r="502" spans="1:15" x14ac:dyDescent="0.3">
      <c r="A502" t="s">
        <v>2470</v>
      </c>
      <c r="B502" s="5">
        <f>SUMIFS(SalesDetail[Quantity (KG)],SalesDetail[Customer],$A502,SalesDetail[Year],2009)</f>
        <v>0</v>
      </c>
      <c r="C502" s="5">
        <f>SUMIFS(SalesDetail[Quantity (KG)],SalesDetail[Customer],$A502,SalesDetail[Year],2010)</f>
        <v>0</v>
      </c>
      <c r="D502" s="5">
        <f>SUMIFS(SalesDetail[Quantity (KG)],SalesDetail[Customer],$A502,SalesDetail[Year],2011)</f>
        <v>0</v>
      </c>
      <c r="E502" s="5">
        <f>SUMIFS(SalesDetail[Quantity (KG)],SalesDetail[Customer],$A502,SalesDetail[Year],2012)</f>
        <v>0</v>
      </c>
      <c r="F502" s="5">
        <f>SUMIFS(SalesDetail[Quantity (KG)],SalesDetail[Customer],$A502,SalesDetail[Year],2013)</f>
        <v>0</v>
      </c>
      <c r="G502" s="5">
        <f>SUMIFS(SalesDetail[Quantity (KG)],SalesDetail[Customer],$A502,SalesDetail[Year],2014)</f>
        <v>0</v>
      </c>
      <c r="H502" s="5">
        <f>SUMIFS(SalesDetail[Quantity (KG)],SalesDetail[Customer],$A502,SalesDetail[Year],2015)</f>
        <v>5</v>
      </c>
      <c r="I502" s="5">
        <f>SUMIFS(SalesDetail[Quantity (KG)],SalesDetail[Customer],$A502,SalesDetail[Year],2016)</f>
        <v>5</v>
      </c>
      <c r="J502" s="5">
        <f>SUMIFS(SalesDetail[Quantity (KG)],SalesDetail[Customer],$A502,SalesDetail[Year],2017)</f>
        <v>0</v>
      </c>
      <c r="K502" s="5">
        <f>SUMIFS(SalesDetail[Quantity (KG)],SalesDetail[Customer],$A502,SalesDetail[Year],2018)</f>
        <v>0</v>
      </c>
      <c r="L502" s="5">
        <f>SUMIFS(SalesDetail[Quantity (KG)],SalesDetail[Customer],$A502,SalesDetail[Year],2019)</f>
        <v>0</v>
      </c>
      <c r="M502" s="5">
        <f>SUMIFS(SalesDetail[Quantity (KG)],SalesDetail[Customer],$A502,SalesDetail[Year],2020)</f>
        <v>0</v>
      </c>
      <c r="N502" s="5">
        <f>SUMIFS(SalesDetail[Quantity (KG)],SalesDetail[Customer],$A502,SalesDetail[Year],2021)</f>
        <v>0</v>
      </c>
      <c r="O502" s="6">
        <f>SUM(B502:N502)</f>
        <v>10</v>
      </c>
    </row>
    <row r="503" spans="1:15" x14ac:dyDescent="0.3">
      <c r="A503" t="s">
        <v>2553</v>
      </c>
      <c r="B503" s="5">
        <f>SUMIFS(SalesDetail[Quantity (KG)],SalesDetail[Customer],$A503,SalesDetail[Year],2009)</f>
        <v>0</v>
      </c>
      <c r="C503" s="5">
        <f>SUMIFS(SalesDetail[Quantity (KG)],SalesDetail[Customer],$A503,SalesDetail[Year],2010)</f>
        <v>0</v>
      </c>
      <c r="D503" s="5">
        <f>SUMIFS(SalesDetail[Quantity (KG)],SalesDetail[Customer],$A503,SalesDetail[Year],2011)</f>
        <v>0</v>
      </c>
      <c r="E503" s="5">
        <f>SUMIFS(SalesDetail[Quantity (KG)],SalesDetail[Customer],$A503,SalesDetail[Year],2012)</f>
        <v>0</v>
      </c>
      <c r="F503" s="5">
        <f>SUMIFS(SalesDetail[Quantity (KG)],SalesDetail[Customer],$A503,SalesDetail[Year],2013)</f>
        <v>0</v>
      </c>
      <c r="G503" s="5">
        <f>SUMIFS(SalesDetail[Quantity (KG)],SalesDetail[Customer],$A503,SalesDetail[Year],2014)</f>
        <v>0</v>
      </c>
      <c r="H503" s="5">
        <f>SUMIFS(SalesDetail[Quantity (KG)],SalesDetail[Customer],$A503,SalesDetail[Year],2015)</f>
        <v>10</v>
      </c>
      <c r="I503" s="5">
        <f>SUMIFS(SalesDetail[Quantity (KG)],SalesDetail[Customer],$A503,SalesDetail[Year],2016)</f>
        <v>0</v>
      </c>
      <c r="J503" s="5">
        <f>SUMIFS(SalesDetail[Quantity (KG)],SalesDetail[Customer],$A503,SalesDetail[Year],2017)</f>
        <v>0</v>
      </c>
      <c r="K503" s="5">
        <f>SUMIFS(SalesDetail[Quantity (KG)],SalesDetail[Customer],$A503,SalesDetail[Year],2018)</f>
        <v>0</v>
      </c>
      <c r="L503" s="5">
        <f>SUMIFS(SalesDetail[Quantity (KG)],SalesDetail[Customer],$A503,SalesDetail[Year],2019)</f>
        <v>0</v>
      </c>
      <c r="M503" s="5">
        <f>SUMIFS(SalesDetail[Quantity (KG)],SalesDetail[Customer],$A503,SalesDetail[Year],2020)</f>
        <v>0</v>
      </c>
      <c r="N503" s="5">
        <f>SUMIFS(SalesDetail[Quantity (KG)],SalesDetail[Customer],$A503,SalesDetail[Year],2021)</f>
        <v>0</v>
      </c>
      <c r="O503" s="6">
        <f>SUM(B503:N503)</f>
        <v>10</v>
      </c>
    </row>
    <row r="504" spans="1:15" x14ac:dyDescent="0.3">
      <c r="A504" t="s">
        <v>2171</v>
      </c>
      <c r="B504" s="5">
        <f>SUMIFS(SalesDetail[Quantity (KG)],SalesDetail[Customer],$A504,SalesDetail[Year],2009)</f>
        <v>0</v>
      </c>
      <c r="C504" s="5">
        <f>SUMIFS(SalesDetail[Quantity (KG)],SalesDetail[Customer],$A504,SalesDetail[Year],2010)</f>
        <v>0</v>
      </c>
      <c r="D504" s="5">
        <f>SUMIFS(SalesDetail[Quantity (KG)],SalesDetail[Customer],$A504,SalesDetail[Year],2011)</f>
        <v>0</v>
      </c>
      <c r="E504" s="5">
        <f>SUMIFS(SalesDetail[Quantity (KG)],SalesDetail[Customer],$A504,SalesDetail[Year],2012)</f>
        <v>0</v>
      </c>
      <c r="F504" s="5">
        <f>SUMIFS(SalesDetail[Quantity (KG)],SalesDetail[Customer],$A504,SalesDetail[Year],2013)</f>
        <v>0</v>
      </c>
      <c r="G504" s="5">
        <f>SUMIFS(SalesDetail[Quantity (KG)],SalesDetail[Customer],$A504,SalesDetail[Year],2014)</f>
        <v>0</v>
      </c>
      <c r="H504" s="5">
        <f>SUMIFS(SalesDetail[Quantity (KG)],SalesDetail[Customer],$A504,SalesDetail[Year],2015)</f>
        <v>9</v>
      </c>
      <c r="I504" s="5">
        <f>SUMIFS(SalesDetail[Quantity (KG)],SalesDetail[Customer],$A504,SalesDetail[Year],2016)</f>
        <v>0</v>
      </c>
      <c r="J504" s="5">
        <f>SUMIFS(SalesDetail[Quantity (KG)],SalesDetail[Customer],$A504,SalesDetail[Year],2017)</f>
        <v>0</v>
      </c>
      <c r="K504" s="5">
        <f>SUMIFS(SalesDetail[Quantity (KG)],SalesDetail[Customer],$A504,SalesDetail[Year],2018)</f>
        <v>0</v>
      </c>
      <c r="L504" s="5">
        <f>SUMIFS(SalesDetail[Quantity (KG)],SalesDetail[Customer],$A504,SalesDetail[Year],2019)</f>
        <v>0</v>
      </c>
      <c r="M504" s="5">
        <f>SUMIFS(SalesDetail[Quantity (KG)],SalesDetail[Customer],$A504,SalesDetail[Year],2020)</f>
        <v>0</v>
      </c>
      <c r="N504" s="5">
        <f>SUMIFS(SalesDetail[Quantity (KG)],SalesDetail[Customer],$A504,SalesDetail[Year],2021)</f>
        <v>0</v>
      </c>
      <c r="O504" s="6">
        <f>SUM(B504:N504)</f>
        <v>9</v>
      </c>
    </row>
    <row r="505" spans="1:15" x14ac:dyDescent="0.3">
      <c r="A505" t="s">
        <v>205</v>
      </c>
      <c r="B505" s="5">
        <f>SUMIFS(SalesDetail[Quantity (KG)],SalesDetail[Customer],$A505,SalesDetail[Year],2009)</f>
        <v>0</v>
      </c>
      <c r="C505" s="5">
        <f>SUMIFS(SalesDetail[Quantity (KG)],SalesDetail[Customer],$A505,SalesDetail[Year],2010)</f>
        <v>0</v>
      </c>
      <c r="D505" s="5">
        <f>SUMIFS(SalesDetail[Quantity (KG)],SalesDetail[Customer],$A505,SalesDetail[Year],2011)</f>
        <v>0</v>
      </c>
      <c r="E505" s="5">
        <f>SUMIFS(SalesDetail[Quantity (KG)],SalesDetail[Customer],$A505,SalesDetail[Year],2012)</f>
        <v>0</v>
      </c>
      <c r="F505" s="5">
        <f>SUMIFS(SalesDetail[Quantity (KG)],SalesDetail[Customer],$A505,SalesDetail[Year],2013)</f>
        <v>0</v>
      </c>
      <c r="G505" s="5">
        <f>SUMIFS(SalesDetail[Quantity (KG)],SalesDetail[Customer],$A505,SalesDetail[Year],2014)</f>
        <v>0</v>
      </c>
      <c r="H505" s="5">
        <f>SUMIFS(SalesDetail[Quantity (KG)],SalesDetail[Customer],$A505,SalesDetail[Year],2015)</f>
        <v>0</v>
      </c>
      <c r="I505" s="5">
        <f>SUMIFS(SalesDetail[Quantity (KG)],SalesDetail[Customer],$A505,SalesDetail[Year],2016)</f>
        <v>0</v>
      </c>
      <c r="J505" s="5">
        <f>SUMIFS(SalesDetail[Quantity (KG)],SalesDetail[Customer],$A505,SalesDetail[Year],2017)</f>
        <v>2</v>
      </c>
      <c r="K505" s="5">
        <f>SUMIFS(SalesDetail[Quantity (KG)],SalesDetail[Customer],$A505,SalesDetail[Year],2018)</f>
        <v>0</v>
      </c>
      <c r="L505" s="5">
        <f>SUMIFS(SalesDetail[Quantity (KG)],SalesDetail[Customer],$A505,SalesDetail[Year],2019)</f>
        <v>6</v>
      </c>
      <c r="M505" s="5">
        <f>SUMIFS(SalesDetail[Quantity (KG)],SalesDetail[Customer],$A505,SalesDetail[Year],2020)</f>
        <v>0</v>
      </c>
      <c r="N505" s="5">
        <f>SUMIFS(SalesDetail[Quantity (KG)],SalesDetail[Customer],$A505,SalesDetail[Year],2021)</f>
        <v>0</v>
      </c>
      <c r="O505" s="6">
        <f>SUM(B505:N505)</f>
        <v>8</v>
      </c>
    </row>
    <row r="506" spans="1:15" x14ac:dyDescent="0.3">
      <c r="A506" t="s">
        <v>2413</v>
      </c>
      <c r="B506" s="5">
        <f>SUMIFS(SalesDetail[Quantity (KG)],SalesDetail[Customer],$A506,SalesDetail[Year],2009)</f>
        <v>0</v>
      </c>
      <c r="C506" s="5">
        <f>SUMIFS(SalesDetail[Quantity (KG)],SalesDetail[Customer],$A506,SalesDetail[Year],2010)</f>
        <v>0</v>
      </c>
      <c r="D506" s="5">
        <f>SUMIFS(SalesDetail[Quantity (KG)],SalesDetail[Customer],$A506,SalesDetail[Year],2011)</f>
        <v>0</v>
      </c>
      <c r="E506" s="5">
        <f>SUMIFS(SalesDetail[Quantity (KG)],SalesDetail[Customer],$A506,SalesDetail[Year],2012)</f>
        <v>0</v>
      </c>
      <c r="F506" s="5">
        <f>SUMIFS(SalesDetail[Quantity (KG)],SalesDetail[Customer],$A506,SalesDetail[Year],2013)</f>
        <v>0</v>
      </c>
      <c r="G506" s="5">
        <f>SUMIFS(SalesDetail[Quantity (KG)],SalesDetail[Customer],$A506,SalesDetail[Year],2014)</f>
        <v>0</v>
      </c>
      <c r="H506" s="5">
        <f>SUMIFS(SalesDetail[Quantity (KG)],SalesDetail[Customer],$A506,SalesDetail[Year],2015)</f>
        <v>0</v>
      </c>
      <c r="I506" s="5">
        <f>SUMIFS(SalesDetail[Quantity (KG)],SalesDetail[Customer],$A506,SalesDetail[Year],2016)</f>
        <v>0</v>
      </c>
      <c r="J506" s="5">
        <f>SUMIFS(SalesDetail[Quantity (KG)],SalesDetail[Customer],$A506,SalesDetail[Year],2017)</f>
        <v>0</v>
      </c>
      <c r="K506" s="5">
        <f>SUMIFS(SalesDetail[Quantity (KG)],SalesDetail[Customer],$A506,SalesDetail[Year],2018)</f>
        <v>0</v>
      </c>
      <c r="L506" s="5">
        <f>SUMIFS(SalesDetail[Quantity (KG)],SalesDetail[Customer],$A506,SalesDetail[Year],2019)</f>
        <v>0</v>
      </c>
      <c r="M506" s="5">
        <f>SUMIFS(SalesDetail[Quantity (KG)],SalesDetail[Customer],$A506,SalesDetail[Year],2020)</f>
        <v>0</v>
      </c>
      <c r="N506" s="5">
        <f>SUMIFS(SalesDetail[Quantity (KG)],SalesDetail[Customer],$A506,SalesDetail[Year],2021)</f>
        <v>7.5</v>
      </c>
      <c r="O506" s="6">
        <f>SUM(B506:N506)</f>
        <v>7.5</v>
      </c>
    </row>
    <row r="507" spans="1:15" x14ac:dyDescent="0.3">
      <c r="A507" t="s">
        <v>344</v>
      </c>
      <c r="B507" s="5">
        <f>SUMIFS(SalesDetail[Quantity (KG)],SalesDetail[Customer],$A507,SalesDetail[Year],2009)</f>
        <v>0</v>
      </c>
      <c r="C507" s="5">
        <f>SUMIFS(SalesDetail[Quantity (KG)],SalesDetail[Customer],$A507,SalesDetail[Year],2010)</f>
        <v>0</v>
      </c>
      <c r="D507" s="5">
        <f>SUMIFS(SalesDetail[Quantity (KG)],SalesDetail[Customer],$A507,SalesDetail[Year],2011)</f>
        <v>0</v>
      </c>
      <c r="E507" s="5">
        <f>SUMIFS(SalesDetail[Quantity (KG)],SalesDetail[Customer],$A507,SalesDetail[Year],2012)</f>
        <v>0</v>
      </c>
      <c r="F507" s="5">
        <f>SUMIFS(SalesDetail[Quantity (KG)],SalesDetail[Customer],$A507,SalesDetail[Year],2013)</f>
        <v>0</v>
      </c>
      <c r="G507" s="5">
        <f>SUMIFS(SalesDetail[Quantity (KG)],SalesDetail[Customer],$A507,SalesDetail[Year],2014)</f>
        <v>0</v>
      </c>
      <c r="H507" s="5">
        <f>SUMIFS(SalesDetail[Quantity (KG)],SalesDetail[Customer],$A507,SalesDetail[Year],2015)</f>
        <v>0</v>
      </c>
      <c r="I507" s="5">
        <f>SUMIFS(SalesDetail[Quantity (KG)],SalesDetail[Customer],$A507,SalesDetail[Year],2016)</f>
        <v>0</v>
      </c>
      <c r="J507" s="5">
        <f>SUMIFS(SalesDetail[Quantity (KG)],SalesDetail[Customer],$A507,SalesDetail[Year],2017)</f>
        <v>5</v>
      </c>
      <c r="K507" s="5">
        <f>SUMIFS(SalesDetail[Quantity (KG)],SalesDetail[Customer],$A507,SalesDetail[Year],2018)</f>
        <v>0</v>
      </c>
      <c r="L507" s="5">
        <f>SUMIFS(SalesDetail[Quantity (KG)],SalesDetail[Customer],$A507,SalesDetail[Year],2019)</f>
        <v>2</v>
      </c>
      <c r="M507" s="5">
        <f>SUMIFS(SalesDetail[Quantity (KG)],SalesDetail[Customer],$A507,SalesDetail[Year],2020)</f>
        <v>0</v>
      </c>
      <c r="N507" s="5">
        <f>SUMIFS(SalesDetail[Quantity (KG)],SalesDetail[Customer],$A507,SalesDetail[Year],2021)</f>
        <v>0</v>
      </c>
      <c r="O507" s="6">
        <f>SUM(B507:N507)</f>
        <v>7</v>
      </c>
    </row>
    <row r="508" spans="1:15" x14ac:dyDescent="0.3">
      <c r="A508" t="s">
        <v>556</v>
      </c>
      <c r="B508" s="5">
        <f>SUMIFS(SalesDetail[Quantity (KG)],SalesDetail[Customer],$A508,SalesDetail[Year],2009)</f>
        <v>0</v>
      </c>
      <c r="C508" s="5">
        <f>SUMIFS(SalesDetail[Quantity (KG)],SalesDetail[Customer],$A508,SalesDetail[Year],2010)</f>
        <v>0</v>
      </c>
      <c r="D508" s="5">
        <f>SUMIFS(SalesDetail[Quantity (KG)],SalesDetail[Customer],$A508,SalesDetail[Year],2011)</f>
        <v>0</v>
      </c>
      <c r="E508" s="5">
        <f>SUMIFS(SalesDetail[Quantity (KG)],SalesDetail[Customer],$A508,SalesDetail[Year],2012)</f>
        <v>0</v>
      </c>
      <c r="F508" s="5">
        <f>SUMIFS(SalesDetail[Quantity (KG)],SalesDetail[Customer],$A508,SalesDetail[Year],2013)</f>
        <v>0</v>
      </c>
      <c r="G508" s="5">
        <f>SUMIFS(SalesDetail[Quantity (KG)],SalesDetail[Customer],$A508,SalesDetail[Year],2014)</f>
        <v>0</v>
      </c>
      <c r="H508" s="5">
        <f>SUMIFS(SalesDetail[Quantity (KG)],SalesDetail[Customer],$A508,SalesDetail[Year],2015)</f>
        <v>0</v>
      </c>
      <c r="I508" s="5">
        <f>SUMIFS(SalesDetail[Quantity (KG)],SalesDetail[Customer],$A508,SalesDetail[Year],2016)</f>
        <v>0</v>
      </c>
      <c r="J508" s="5">
        <f>SUMIFS(SalesDetail[Quantity (KG)],SalesDetail[Customer],$A508,SalesDetail[Year],2017)</f>
        <v>7</v>
      </c>
      <c r="K508" s="5">
        <f>SUMIFS(SalesDetail[Quantity (KG)],SalesDetail[Customer],$A508,SalesDetail[Year],2018)</f>
        <v>0</v>
      </c>
      <c r="L508" s="5">
        <f>SUMIFS(SalesDetail[Quantity (KG)],SalesDetail[Customer],$A508,SalesDetail[Year],2019)</f>
        <v>0</v>
      </c>
      <c r="M508" s="5">
        <f>SUMIFS(SalesDetail[Quantity (KG)],SalesDetail[Customer],$A508,SalesDetail[Year],2020)</f>
        <v>0</v>
      </c>
      <c r="N508" s="5">
        <f>SUMIFS(SalesDetail[Quantity (KG)],SalesDetail[Customer],$A508,SalesDetail[Year],2021)</f>
        <v>0</v>
      </c>
      <c r="O508" s="6">
        <f>SUM(B508:N508)</f>
        <v>7</v>
      </c>
    </row>
    <row r="509" spans="1:15" x14ac:dyDescent="0.3">
      <c r="A509" t="s">
        <v>1652</v>
      </c>
      <c r="B509" s="5">
        <f>SUMIFS(SalesDetail[Quantity (KG)],SalesDetail[Customer],$A509,SalesDetail[Year],2009)</f>
        <v>0</v>
      </c>
      <c r="C509" s="5">
        <f>SUMIFS(SalesDetail[Quantity (KG)],SalesDetail[Customer],$A509,SalesDetail[Year],2010)</f>
        <v>0</v>
      </c>
      <c r="D509" s="5">
        <f>SUMIFS(SalesDetail[Quantity (KG)],SalesDetail[Customer],$A509,SalesDetail[Year],2011)</f>
        <v>0</v>
      </c>
      <c r="E509" s="5">
        <f>SUMIFS(SalesDetail[Quantity (KG)],SalesDetail[Customer],$A509,SalesDetail[Year],2012)</f>
        <v>0</v>
      </c>
      <c r="F509" s="5">
        <f>SUMIFS(SalesDetail[Quantity (KG)],SalesDetail[Customer],$A509,SalesDetail[Year],2013)</f>
        <v>0</v>
      </c>
      <c r="G509" s="5">
        <f>SUMIFS(SalesDetail[Quantity (KG)],SalesDetail[Customer],$A509,SalesDetail[Year],2014)</f>
        <v>0</v>
      </c>
      <c r="H509" s="5">
        <f>SUMIFS(SalesDetail[Quantity (KG)],SalesDetail[Customer],$A509,SalesDetail[Year],2015)</f>
        <v>0</v>
      </c>
      <c r="I509" s="5">
        <f>SUMIFS(SalesDetail[Quantity (KG)],SalesDetail[Customer],$A509,SalesDetail[Year],2016)</f>
        <v>0</v>
      </c>
      <c r="J509" s="5">
        <f>SUMIFS(SalesDetail[Quantity (KG)],SalesDetail[Customer],$A509,SalesDetail[Year],2017)</f>
        <v>0</v>
      </c>
      <c r="K509" s="5">
        <f>SUMIFS(SalesDetail[Quantity (KG)],SalesDetail[Customer],$A509,SalesDetail[Year],2018)</f>
        <v>0</v>
      </c>
      <c r="L509" s="5">
        <f>SUMIFS(SalesDetail[Quantity (KG)],SalesDetail[Customer],$A509,SalesDetail[Year],2019)</f>
        <v>0</v>
      </c>
      <c r="M509" s="5">
        <f>SUMIFS(SalesDetail[Quantity (KG)],SalesDetail[Customer],$A509,SalesDetail[Year],2020)</f>
        <v>5</v>
      </c>
      <c r="N509" s="5">
        <f>SUMIFS(SalesDetail[Quantity (KG)],SalesDetail[Customer],$A509,SalesDetail[Year],2021)</f>
        <v>2</v>
      </c>
      <c r="O509" s="6">
        <f>SUM(B509:N509)</f>
        <v>7</v>
      </c>
    </row>
    <row r="510" spans="1:15" x14ac:dyDescent="0.3">
      <c r="A510" t="s">
        <v>1843</v>
      </c>
      <c r="B510" s="5">
        <f>SUMIFS(SalesDetail[Quantity (KG)],SalesDetail[Customer],$A510,SalesDetail[Year],2009)</f>
        <v>0</v>
      </c>
      <c r="C510" s="5">
        <f>SUMIFS(SalesDetail[Quantity (KG)],SalesDetail[Customer],$A510,SalesDetail[Year],2010)</f>
        <v>0</v>
      </c>
      <c r="D510" s="5">
        <f>SUMIFS(SalesDetail[Quantity (KG)],SalesDetail[Customer],$A510,SalesDetail[Year],2011)</f>
        <v>0</v>
      </c>
      <c r="E510" s="5">
        <f>SUMIFS(SalesDetail[Quantity (KG)],SalesDetail[Customer],$A510,SalesDetail[Year],2012)</f>
        <v>0</v>
      </c>
      <c r="F510" s="5">
        <f>SUMIFS(SalesDetail[Quantity (KG)],SalesDetail[Customer],$A510,SalesDetail[Year],2013)</f>
        <v>0</v>
      </c>
      <c r="G510" s="5">
        <f>SUMIFS(SalesDetail[Quantity (KG)],SalesDetail[Customer],$A510,SalesDetail[Year],2014)</f>
        <v>0</v>
      </c>
      <c r="H510" s="5">
        <f>SUMIFS(SalesDetail[Quantity (KG)],SalesDetail[Customer],$A510,SalesDetail[Year],2015)</f>
        <v>0</v>
      </c>
      <c r="I510" s="5">
        <f>SUMIFS(SalesDetail[Quantity (KG)],SalesDetail[Customer],$A510,SalesDetail[Year],2016)</f>
        <v>0</v>
      </c>
      <c r="J510" s="5">
        <f>SUMIFS(SalesDetail[Quantity (KG)],SalesDetail[Customer],$A510,SalesDetail[Year],2017)</f>
        <v>0</v>
      </c>
      <c r="K510" s="5">
        <f>SUMIFS(SalesDetail[Quantity (KG)],SalesDetail[Customer],$A510,SalesDetail[Year],2018)</f>
        <v>0</v>
      </c>
      <c r="L510" s="5">
        <f>SUMIFS(SalesDetail[Quantity (KG)],SalesDetail[Customer],$A510,SalesDetail[Year],2019)</f>
        <v>7</v>
      </c>
      <c r="M510" s="5">
        <f>SUMIFS(SalesDetail[Quantity (KG)],SalesDetail[Customer],$A510,SalesDetail[Year],2020)</f>
        <v>0</v>
      </c>
      <c r="N510" s="5">
        <f>SUMIFS(SalesDetail[Quantity (KG)],SalesDetail[Customer],$A510,SalesDetail[Year],2021)</f>
        <v>0</v>
      </c>
      <c r="O510" s="6">
        <f>SUM(B510:N510)</f>
        <v>7</v>
      </c>
    </row>
    <row r="511" spans="1:15" x14ac:dyDescent="0.3">
      <c r="A511" t="s">
        <v>1859</v>
      </c>
      <c r="B511" s="5">
        <f>SUMIFS(SalesDetail[Quantity (KG)],SalesDetail[Customer],$A511,SalesDetail[Year],2009)</f>
        <v>0</v>
      </c>
      <c r="C511" s="5">
        <f>SUMIFS(SalesDetail[Quantity (KG)],SalesDetail[Customer],$A511,SalesDetail[Year],2010)</f>
        <v>0</v>
      </c>
      <c r="D511" s="5">
        <f>SUMIFS(SalesDetail[Quantity (KG)],SalesDetail[Customer],$A511,SalesDetail[Year],2011)</f>
        <v>0</v>
      </c>
      <c r="E511" s="5">
        <f>SUMIFS(SalesDetail[Quantity (KG)],SalesDetail[Customer],$A511,SalesDetail[Year],2012)</f>
        <v>0</v>
      </c>
      <c r="F511" s="5">
        <f>SUMIFS(SalesDetail[Quantity (KG)],SalesDetail[Customer],$A511,SalesDetail[Year],2013)</f>
        <v>0</v>
      </c>
      <c r="G511" s="5">
        <f>SUMIFS(SalesDetail[Quantity (KG)],SalesDetail[Customer],$A511,SalesDetail[Year],2014)</f>
        <v>0</v>
      </c>
      <c r="H511" s="5">
        <f>SUMIFS(SalesDetail[Quantity (KG)],SalesDetail[Customer],$A511,SalesDetail[Year],2015)</f>
        <v>0</v>
      </c>
      <c r="I511" s="5">
        <f>SUMIFS(SalesDetail[Quantity (KG)],SalesDetail[Customer],$A511,SalesDetail[Year],2016)</f>
        <v>0</v>
      </c>
      <c r="J511" s="5">
        <f>SUMIFS(SalesDetail[Quantity (KG)],SalesDetail[Customer],$A511,SalesDetail[Year],2017)</f>
        <v>0</v>
      </c>
      <c r="K511" s="5">
        <f>SUMIFS(SalesDetail[Quantity (KG)],SalesDetail[Customer],$A511,SalesDetail[Year],2018)</f>
        <v>0</v>
      </c>
      <c r="L511" s="5">
        <f>SUMIFS(SalesDetail[Quantity (KG)],SalesDetail[Customer],$A511,SalesDetail[Year],2019)</f>
        <v>7</v>
      </c>
      <c r="M511" s="5">
        <f>SUMIFS(SalesDetail[Quantity (KG)],SalesDetail[Customer],$A511,SalesDetail[Year],2020)</f>
        <v>0</v>
      </c>
      <c r="N511" s="5">
        <f>SUMIFS(SalesDetail[Quantity (KG)],SalesDetail[Customer],$A511,SalesDetail[Year],2021)</f>
        <v>0</v>
      </c>
      <c r="O511" s="6">
        <f>SUM(B511:N511)</f>
        <v>7</v>
      </c>
    </row>
    <row r="512" spans="1:15" x14ac:dyDescent="0.3">
      <c r="A512" t="s">
        <v>2026</v>
      </c>
      <c r="B512" s="5">
        <f>SUMIFS(SalesDetail[Quantity (KG)],SalesDetail[Customer],$A512,SalesDetail[Year],2009)</f>
        <v>0</v>
      </c>
      <c r="C512" s="5">
        <f>SUMIFS(SalesDetail[Quantity (KG)],SalesDetail[Customer],$A512,SalesDetail[Year],2010)</f>
        <v>0</v>
      </c>
      <c r="D512" s="5">
        <f>SUMIFS(SalesDetail[Quantity (KG)],SalesDetail[Customer],$A512,SalesDetail[Year],2011)</f>
        <v>0</v>
      </c>
      <c r="E512" s="5">
        <f>SUMIFS(SalesDetail[Quantity (KG)],SalesDetail[Customer],$A512,SalesDetail[Year],2012)</f>
        <v>0</v>
      </c>
      <c r="F512" s="5">
        <f>SUMIFS(SalesDetail[Quantity (KG)],SalesDetail[Customer],$A512,SalesDetail[Year],2013)</f>
        <v>0</v>
      </c>
      <c r="G512" s="5">
        <f>SUMIFS(SalesDetail[Quantity (KG)],SalesDetail[Customer],$A512,SalesDetail[Year],2014)</f>
        <v>0</v>
      </c>
      <c r="H512" s="5">
        <f>SUMIFS(SalesDetail[Quantity (KG)],SalesDetail[Customer],$A512,SalesDetail[Year],2015)</f>
        <v>0</v>
      </c>
      <c r="I512" s="5">
        <f>SUMIFS(SalesDetail[Quantity (KG)],SalesDetail[Customer],$A512,SalesDetail[Year],2016)</f>
        <v>0</v>
      </c>
      <c r="J512" s="5">
        <f>SUMIFS(SalesDetail[Quantity (KG)],SalesDetail[Customer],$A512,SalesDetail[Year],2017)</f>
        <v>0</v>
      </c>
      <c r="K512" s="5">
        <f>SUMIFS(SalesDetail[Quantity (KG)],SalesDetail[Customer],$A512,SalesDetail[Year],2018)</f>
        <v>0</v>
      </c>
      <c r="L512" s="5">
        <f>SUMIFS(SalesDetail[Quantity (KG)],SalesDetail[Customer],$A512,SalesDetail[Year],2019)</f>
        <v>7</v>
      </c>
      <c r="M512" s="5">
        <f>SUMIFS(SalesDetail[Quantity (KG)],SalesDetail[Customer],$A512,SalesDetail[Year],2020)</f>
        <v>0</v>
      </c>
      <c r="N512" s="5">
        <f>SUMIFS(SalesDetail[Quantity (KG)],SalesDetail[Customer],$A512,SalesDetail[Year],2021)</f>
        <v>0</v>
      </c>
      <c r="O512" s="6">
        <f>SUM(B512:N512)</f>
        <v>7</v>
      </c>
    </row>
    <row r="513" spans="1:15" x14ac:dyDescent="0.3">
      <c r="A513" t="s">
        <v>2236</v>
      </c>
      <c r="B513" s="5">
        <f>SUMIFS(SalesDetail[Quantity (KG)],SalesDetail[Customer],$A513,SalesDetail[Year],2009)</f>
        <v>0</v>
      </c>
      <c r="C513" s="5">
        <f>SUMIFS(SalesDetail[Quantity (KG)],SalesDetail[Customer],$A513,SalesDetail[Year],2010)</f>
        <v>0</v>
      </c>
      <c r="D513" s="5">
        <f>SUMIFS(SalesDetail[Quantity (KG)],SalesDetail[Customer],$A513,SalesDetail[Year],2011)</f>
        <v>0</v>
      </c>
      <c r="E513" s="5">
        <f>SUMIFS(SalesDetail[Quantity (KG)],SalesDetail[Customer],$A513,SalesDetail[Year],2012)</f>
        <v>0</v>
      </c>
      <c r="F513" s="5">
        <f>SUMIFS(SalesDetail[Quantity (KG)],SalesDetail[Customer],$A513,SalesDetail[Year],2013)</f>
        <v>0</v>
      </c>
      <c r="G513" s="5">
        <f>SUMIFS(SalesDetail[Quantity (KG)],SalesDetail[Customer],$A513,SalesDetail[Year],2014)</f>
        <v>0</v>
      </c>
      <c r="H513" s="5">
        <f>SUMIFS(SalesDetail[Quantity (KG)],SalesDetail[Customer],$A513,SalesDetail[Year],2015)</f>
        <v>0</v>
      </c>
      <c r="I513" s="5">
        <f>SUMIFS(SalesDetail[Quantity (KG)],SalesDetail[Customer],$A513,SalesDetail[Year],2016)</f>
        <v>0</v>
      </c>
      <c r="J513" s="5">
        <f>SUMIFS(SalesDetail[Quantity (KG)],SalesDetail[Customer],$A513,SalesDetail[Year],2017)</f>
        <v>7</v>
      </c>
      <c r="K513" s="5">
        <f>SUMIFS(SalesDetail[Quantity (KG)],SalesDetail[Customer],$A513,SalesDetail[Year],2018)</f>
        <v>0</v>
      </c>
      <c r="L513" s="5">
        <f>SUMIFS(SalesDetail[Quantity (KG)],SalesDetail[Customer],$A513,SalesDetail[Year],2019)</f>
        <v>0</v>
      </c>
      <c r="M513" s="5">
        <f>SUMIFS(SalesDetail[Quantity (KG)],SalesDetail[Customer],$A513,SalesDetail[Year],2020)</f>
        <v>0</v>
      </c>
      <c r="N513" s="5">
        <f>SUMIFS(SalesDetail[Quantity (KG)],SalesDetail[Customer],$A513,SalesDetail[Year],2021)</f>
        <v>0</v>
      </c>
      <c r="O513" s="6">
        <f>SUM(B513:N513)</f>
        <v>7</v>
      </c>
    </row>
    <row r="514" spans="1:15" x14ac:dyDescent="0.3">
      <c r="A514" t="s">
        <v>1173</v>
      </c>
      <c r="B514" s="5">
        <f>SUMIFS(SalesDetail[Quantity (KG)],SalesDetail[Customer],$A514,SalesDetail[Year],2009)</f>
        <v>0</v>
      </c>
      <c r="C514" s="5">
        <f>SUMIFS(SalesDetail[Quantity (KG)],SalesDetail[Customer],$A514,SalesDetail[Year],2010)</f>
        <v>0</v>
      </c>
      <c r="D514" s="5">
        <f>SUMIFS(SalesDetail[Quantity (KG)],SalesDetail[Customer],$A514,SalesDetail[Year],2011)</f>
        <v>0</v>
      </c>
      <c r="E514" s="5">
        <f>SUMIFS(SalesDetail[Quantity (KG)],SalesDetail[Customer],$A514,SalesDetail[Year],2012)</f>
        <v>0</v>
      </c>
      <c r="F514" s="5">
        <f>SUMIFS(SalesDetail[Quantity (KG)],SalesDetail[Customer],$A514,SalesDetail[Year],2013)</f>
        <v>0</v>
      </c>
      <c r="G514" s="5">
        <f>SUMIFS(SalesDetail[Quantity (KG)],SalesDetail[Customer],$A514,SalesDetail[Year],2014)</f>
        <v>0</v>
      </c>
      <c r="H514" s="5">
        <f>SUMIFS(SalesDetail[Quantity (KG)],SalesDetail[Customer],$A514,SalesDetail[Year],2015)</f>
        <v>0</v>
      </c>
      <c r="I514" s="5">
        <f>SUMIFS(SalesDetail[Quantity (KG)],SalesDetail[Customer],$A514,SalesDetail[Year],2016)</f>
        <v>0</v>
      </c>
      <c r="J514" s="5">
        <f>SUMIFS(SalesDetail[Quantity (KG)],SalesDetail[Customer],$A514,SalesDetail[Year],2017)</f>
        <v>0</v>
      </c>
      <c r="K514" s="5">
        <f>SUMIFS(SalesDetail[Quantity (KG)],SalesDetail[Customer],$A514,SalesDetail[Year],2018)</f>
        <v>0</v>
      </c>
      <c r="L514" s="5">
        <f>SUMIFS(SalesDetail[Quantity (KG)],SalesDetail[Customer],$A514,SalesDetail[Year],2019)</f>
        <v>2</v>
      </c>
      <c r="M514" s="5">
        <f>SUMIFS(SalesDetail[Quantity (KG)],SalesDetail[Customer],$A514,SalesDetail[Year],2020)</f>
        <v>3</v>
      </c>
      <c r="N514" s="5">
        <f>SUMIFS(SalesDetail[Quantity (KG)],SalesDetail[Customer],$A514,SalesDetail[Year],2021)</f>
        <v>1</v>
      </c>
      <c r="O514" s="6">
        <f>SUM(B514:N514)</f>
        <v>6</v>
      </c>
    </row>
    <row r="515" spans="1:15" x14ac:dyDescent="0.3">
      <c r="A515" t="s">
        <v>1753</v>
      </c>
      <c r="B515" s="5">
        <f>SUMIFS(SalesDetail[Quantity (KG)],SalesDetail[Customer],$A515,SalesDetail[Year],2009)</f>
        <v>0</v>
      </c>
      <c r="C515" s="5">
        <f>SUMIFS(SalesDetail[Quantity (KG)],SalesDetail[Customer],$A515,SalesDetail[Year],2010)</f>
        <v>0</v>
      </c>
      <c r="D515" s="5">
        <f>SUMIFS(SalesDetail[Quantity (KG)],SalesDetail[Customer],$A515,SalesDetail[Year],2011)</f>
        <v>0</v>
      </c>
      <c r="E515" s="5">
        <f>SUMIFS(SalesDetail[Quantity (KG)],SalesDetail[Customer],$A515,SalesDetail[Year],2012)</f>
        <v>0</v>
      </c>
      <c r="F515" s="5">
        <f>SUMIFS(SalesDetail[Quantity (KG)],SalesDetail[Customer],$A515,SalesDetail[Year],2013)</f>
        <v>0</v>
      </c>
      <c r="G515" s="5">
        <f>SUMIFS(SalesDetail[Quantity (KG)],SalesDetail[Customer],$A515,SalesDetail[Year],2014)</f>
        <v>2</v>
      </c>
      <c r="H515" s="5">
        <f>SUMIFS(SalesDetail[Quantity (KG)],SalesDetail[Customer],$A515,SalesDetail[Year],2015)</f>
        <v>4</v>
      </c>
      <c r="I515" s="5">
        <f>SUMIFS(SalesDetail[Quantity (KG)],SalesDetail[Customer],$A515,SalesDetail[Year],2016)</f>
        <v>0</v>
      </c>
      <c r="J515" s="5">
        <f>SUMIFS(SalesDetail[Quantity (KG)],SalesDetail[Customer],$A515,SalesDetail[Year],2017)</f>
        <v>0</v>
      </c>
      <c r="K515" s="5">
        <f>SUMIFS(SalesDetail[Quantity (KG)],SalesDetail[Customer],$A515,SalesDetail[Year],2018)</f>
        <v>0</v>
      </c>
      <c r="L515" s="5">
        <f>SUMIFS(SalesDetail[Quantity (KG)],SalesDetail[Customer],$A515,SalesDetail[Year],2019)</f>
        <v>0</v>
      </c>
      <c r="M515" s="5">
        <f>SUMIFS(SalesDetail[Quantity (KG)],SalesDetail[Customer],$A515,SalesDetail[Year],2020)</f>
        <v>0</v>
      </c>
      <c r="N515" s="5">
        <f>SUMIFS(SalesDetail[Quantity (KG)],SalesDetail[Customer],$A515,SalesDetail[Year],2021)</f>
        <v>0</v>
      </c>
      <c r="O515" s="6">
        <f>SUM(B515:N515)</f>
        <v>6</v>
      </c>
    </row>
    <row r="516" spans="1:15" x14ac:dyDescent="0.3">
      <c r="A516" t="s">
        <v>1870</v>
      </c>
      <c r="B516" s="5">
        <f>SUMIFS(SalesDetail[Quantity (KG)],SalesDetail[Customer],$A516,SalesDetail[Year],2009)</f>
        <v>0</v>
      </c>
      <c r="C516" s="5">
        <f>SUMIFS(SalesDetail[Quantity (KG)],SalesDetail[Customer],$A516,SalesDetail[Year],2010)</f>
        <v>0</v>
      </c>
      <c r="D516" s="5">
        <f>SUMIFS(SalesDetail[Quantity (KG)],SalesDetail[Customer],$A516,SalesDetail[Year],2011)</f>
        <v>0</v>
      </c>
      <c r="E516" s="5">
        <f>SUMIFS(SalesDetail[Quantity (KG)],SalesDetail[Customer],$A516,SalesDetail[Year],2012)</f>
        <v>0</v>
      </c>
      <c r="F516" s="5">
        <f>SUMIFS(SalesDetail[Quantity (KG)],SalesDetail[Customer],$A516,SalesDetail[Year],2013)</f>
        <v>0</v>
      </c>
      <c r="G516" s="5">
        <f>SUMIFS(SalesDetail[Quantity (KG)],SalesDetail[Customer],$A516,SalesDetail[Year],2014)</f>
        <v>0</v>
      </c>
      <c r="H516" s="5">
        <f>SUMIFS(SalesDetail[Quantity (KG)],SalesDetail[Customer],$A516,SalesDetail[Year],2015)</f>
        <v>0</v>
      </c>
      <c r="I516" s="5">
        <f>SUMIFS(SalesDetail[Quantity (KG)],SalesDetail[Customer],$A516,SalesDetail[Year],2016)</f>
        <v>0</v>
      </c>
      <c r="J516" s="5">
        <f>SUMIFS(SalesDetail[Quantity (KG)],SalesDetail[Customer],$A516,SalesDetail[Year],2017)</f>
        <v>0</v>
      </c>
      <c r="K516" s="5">
        <f>SUMIFS(SalesDetail[Quantity (KG)],SalesDetail[Customer],$A516,SalesDetail[Year],2018)</f>
        <v>0</v>
      </c>
      <c r="L516" s="5">
        <f>SUMIFS(SalesDetail[Quantity (KG)],SalesDetail[Customer],$A516,SalesDetail[Year],2019)</f>
        <v>6</v>
      </c>
      <c r="M516" s="5">
        <f>SUMIFS(SalesDetail[Quantity (KG)],SalesDetail[Customer],$A516,SalesDetail[Year],2020)</f>
        <v>0</v>
      </c>
      <c r="N516" s="5">
        <f>SUMIFS(SalesDetail[Quantity (KG)],SalesDetail[Customer],$A516,SalesDetail[Year],2021)</f>
        <v>0</v>
      </c>
      <c r="O516" s="6">
        <f>SUM(B516:N516)</f>
        <v>6</v>
      </c>
    </row>
    <row r="517" spans="1:15" x14ac:dyDescent="0.3">
      <c r="A517" t="s">
        <v>2074</v>
      </c>
      <c r="B517" s="5">
        <f>SUMIFS(SalesDetail[Quantity (KG)],SalesDetail[Customer],$A517,SalesDetail[Year],2009)</f>
        <v>0</v>
      </c>
      <c r="C517" s="5">
        <f>SUMIFS(SalesDetail[Quantity (KG)],SalesDetail[Customer],$A517,SalesDetail[Year],2010)</f>
        <v>0</v>
      </c>
      <c r="D517" s="5">
        <f>SUMIFS(SalesDetail[Quantity (KG)],SalesDetail[Customer],$A517,SalesDetail[Year],2011)</f>
        <v>0</v>
      </c>
      <c r="E517" s="5">
        <f>SUMIFS(SalesDetail[Quantity (KG)],SalesDetail[Customer],$A517,SalesDetail[Year],2012)</f>
        <v>0</v>
      </c>
      <c r="F517" s="5">
        <f>SUMIFS(SalesDetail[Quantity (KG)],SalesDetail[Customer],$A517,SalesDetail[Year],2013)</f>
        <v>0</v>
      </c>
      <c r="G517" s="5">
        <f>SUMIFS(SalesDetail[Quantity (KG)],SalesDetail[Customer],$A517,SalesDetail[Year],2014)</f>
        <v>0</v>
      </c>
      <c r="H517" s="5">
        <f>SUMIFS(SalesDetail[Quantity (KG)],SalesDetail[Customer],$A517,SalesDetail[Year],2015)</f>
        <v>0</v>
      </c>
      <c r="I517" s="5">
        <f>SUMIFS(SalesDetail[Quantity (KG)],SalesDetail[Customer],$A517,SalesDetail[Year],2016)</f>
        <v>0</v>
      </c>
      <c r="J517" s="5">
        <f>SUMIFS(SalesDetail[Quantity (KG)],SalesDetail[Customer],$A517,SalesDetail[Year],2017)</f>
        <v>6</v>
      </c>
      <c r="K517" s="5">
        <f>SUMIFS(SalesDetail[Quantity (KG)],SalesDetail[Customer],$A517,SalesDetail[Year],2018)</f>
        <v>0</v>
      </c>
      <c r="L517" s="5">
        <f>SUMIFS(SalesDetail[Quantity (KG)],SalesDetail[Customer],$A517,SalesDetail[Year],2019)</f>
        <v>0</v>
      </c>
      <c r="M517" s="5">
        <f>SUMIFS(SalesDetail[Quantity (KG)],SalesDetail[Customer],$A517,SalesDetail[Year],2020)</f>
        <v>0</v>
      </c>
      <c r="N517" s="5">
        <f>SUMIFS(SalesDetail[Quantity (KG)],SalesDetail[Customer],$A517,SalesDetail[Year],2021)</f>
        <v>0</v>
      </c>
      <c r="O517" s="6">
        <f>SUM(B517:N517)</f>
        <v>6</v>
      </c>
    </row>
    <row r="518" spans="1:15" x14ac:dyDescent="0.3">
      <c r="A518" t="s">
        <v>2170</v>
      </c>
      <c r="B518" s="5">
        <f>SUMIFS(SalesDetail[Quantity (KG)],SalesDetail[Customer],$A518,SalesDetail[Year],2009)</f>
        <v>0</v>
      </c>
      <c r="C518" s="5">
        <f>SUMIFS(SalesDetail[Quantity (KG)],SalesDetail[Customer],$A518,SalesDetail[Year],2010)</f>
        <v>0</v>
      </c>
      <c r="D518" s="5">
        <f>SUMIFS(SalesDetail[Quantity (KG)],SalesDetail[Customer],$A518,SalesDetail[Year],2011)</f>
        <v>0</v>
      </c>
      <c r="E518" s="5">
        <f>SUMIFS(SalesDetail[Quantity (KG)],SalesDetail[Customer],$A518,SalesDetail[Year],2012)</f>
        <v>0</v>
      </c>
      <c r="F518" s="5">
        <f>SUMIFS(SalesDetail[Quantity (KG)],SalesDetail[Customer],$A518,SalesDetail[Year],2013)</f>
        <v>0</v>
      </c>
      <c r="G518" s="5">
        <f>SUMIFS(SalesDetail[Quantity (KG)],SalesDetail[Customer],$A518,SalesDetail[Year],2014)</f>
        <v>0</v>
      </c>
      <c r="H518" s="5">
        <f>SUMIFS(SalesDetail[Quantity (KG)],SalesDetail[Customer],$A518,SalesDetail[Year],2015)</f>
        <v>0</v>
      </c>
      <c r="I518" s="5">
        <f>SUMIFS(SalesDetail[Quantity (KG)],SalesDetail[Customer],$A518,SalesDetail[Year],2016)</f>
        <v>6</v>
      </c>
      <c r="J518" s="5">
        <f>SUMIFS(SalesDetail[Quantity (KG)],SalesDetail[Customer],$A518,SalesDetail[Year],2017)</f>
        <v>0</v>
      </c>
      <c r="K518" s="5">
        <f>SUMIFS(SalesDetail[Quantity (KG)],SalesDetail[Customer],$A518,SalesDetail[Year],2018)</f>
        <v>0</v>
      </c>
      <c r="L518" s="5">
        <f>SUMIFS(SalesDetail[Quantity (KG)],SalesDetail[Customer],$A518,SalesDetail[Year],2019)</f>
        <v>0</v>
      </c>
      <c r="M518" s="5">
        <f>SUMIFS(SalesDetail[Quantity (KG)],SalesDetail[Customer],$A518,SalesDetail[Year],2020)</f>
        <v>0</v>
      </c>
      <c r="N518" s="5">
        <f>SUMIFS(SalesDetail[Quantity (KG)],SalesDetail[Customer],$A518,SalesDetail[Year],2021)</f>
        <v>0</v>
      </c>
      <c r="O518" s="6">
        <f>SUM(B518:N518)</f>
        <v>6</v>
      </c>
    </row>
    <row r="519" spans="1:15" x14ac:dyDescent="0.3">
      <c r="A519" t="s">
        <v>2189</v>
      </c>
      <c r="B519" s="5">
        <f>SUMIFS(SalesDetail[Quantity (KG)],SalesDetail[Customer],$A519,SalesDetail[Year],2009)</f>
        <v>0</v>
      </c>
      <c r="C519" s="5">
        <f>SUMIFS(SalesDetail[Quantity (KG)],SalesDetail[Customer],$A519,SalesDetail[Year],2010)</f>
        <v>0</v>
      </c>
      <c r="D519" s="5">
        <f>SUMIFS(SalesDetail[Quantity (KG)],SalesDetail[Customer],$A519,SalesDetail[Year],2011)</f>
        <v>0</v>
      </c>
      <c r="E519" s="5">
        <f>SUMIFS(SalesDetail[Quantity (KG)],SalesDetail[Customer],$A519,SalesDetail[Year],2012)</f>
        <v>0</v>
      </c>
      <c r="F519" s="5">
        <f>SUMIFS(SalesDetail[Quantity (KG)],SalesDetail[Customer],$A519,SalesDetail[Year],2013)</f>
        <v>0</v>
      </c>
      <c r="G519" s="5">
        <f>SUMIFS(SalesDetail[Quantity (KG)],SalesDetail[Customer],$A519,SalesDetail[Year],2014)</f>
        <v>0</v>
      </c>
      <c r="H519" s="5">
        <f>SUMIFS(SalesDetail[Quantity (KG)],SalesDetail[Customer],$A519,SalesDetail[Year],2015)</f>
        <v>6</v>
      </c>
      <c r="I519" s="5">
        <f>SUMIFS(SalesDetail[Quantity (KG)],SalesDetail[Customer],$A519,SalesDetail[Year],2016)</f>
        <v>0</v>
      </c>
      <c r="J519" s="5">
        <f>SUMIFS(SalesDetail[Quantity (KG)],SalesDetail[Customer],$A519,SalesDetail[Year],2017)</f>
        <v>0</v>
      </c>
      <c r="K519" s="5">
        <f>SUMIFS(SalesDetail[Quantity (KG)],SalesDetail[Customer],$A519,SalesDetail[Year],2018)</f>
        <v>0</v>
      </c>
      <c r="L519" s="5">
        <f>SUMIFS(SalesDetail[Quantity (KG)],SalesDetail[Customer],$A519,SalesDetail[Year],2019)</f>
        <v>0</v>
      </c>
      <c r="M519" s="5">
        <f>SUMIFS(SalesDetail[Quantity (KG)],SalesDetail[Customer],$A519,SalesDetail[Year],2020)</f>
        <v>0</v>
      </c>
      <c r="N519" s="5">
        <f>SUMIFS(SalesDetail[Quantity (KG)],SalesDetail[Customer],$A519,SalesDetail[Year],2021)</f>
        <v>0</v>
      </c>
      <c r="O519" s="6">
        <f>SUM(B519:N519)</f>
        <v>6</v>
      </c>
    </row>
    <row r="520" spans="1:15" x14ac:dyDescent="0.3">
      <c r="A520" t="s">
        <v>2217</v>
      </c>
      <c r="B520" s="5">
        <f>SUMIFS(SalesDetail[Quantity (KG)],SalesDetail[Customer],$A520,SalesDetail[Year],2009)</f>
        <v>0</v>
      </c>
      <c r="C520" s="5">
        <f>SUMIFS(SalesDetail[Quantity (KG)],SalesDetail[Customer],$A520,SalesDetail[Year],2010)</f>
        <v>0</v>
      </c>
      <c r="D520" s="5">
        <f>SUMIFS(SalesDetail[Quantity (KG)],SalesDetail[Customer],$A520,SalesDetail[Year],2011)</f>
        <v>0</v>
      </c>
      <c r="E520" s="5">
        <f>SUMIFS(SalesDetail[Quantity (KG)],SalesDetail[Customer],$A520,SalesDetail[Year],2012)</f>
        <v>0</v>
      </c>
      <c r="F520" s="5">
        <f>SUMIFS(SalesDetail[Quantity (KG)],SalesDetail[Customer],$A520,SalesDetail[Year],2013)</f>
        <v>0</v>
      </c>
      <c r="G520" s="5">
        <f>SUMIFS(SalesDetail[Quantity (KG)],SalesDetail[Customer],$A520,SalesDetail[Year],2014)</f>
        <v>0</v>
      </c>
      <c r="H520" s="5">
        <f>SUMIFS(SalesDetail[Quantity (KG)],SalesDetail[Customer],$A520,SalesDetail[Year],2015)</f>
        <v>2</v>
      </c>
      <c r="I520" s="5">
        <f>SUMIFS(SalesDetail[Quantity (KG)],SalesDetail[Customer],$A520,SalesDetail[Year],2016)</f>
        <v>4</v>
      </c>
      <c r="J520" s="5">
        <f>SUMIFS(SalesDetail[Quantity (KG)],SalesDetail[Customer],$A520,SalesDetail[Year],2017)</f>
        <v>0</v>
      </c>
      <c r="K520" s="5">
        <f>SUMIFS(SalesDetail[Quantity (KG)],SalesDetail[Customer],$A520,SalesDetail[Year],2018)</f>
        <v>0</v>
      </c>
      <c r="L520" s="5">
        <f>SUMIFS(SalesDetail[Quantity (KG)],SalesDetail[Customer],$A520,SalesDetail[Year],2019)</f>
        <v>0</v>
      </c>
      <c r="M520" s="5">
        <f>SUMIFS(SalesDetail[Quantity (KG)],SalesDetail[Customer],$A520,SalesDetail[Year],2020)</f>
        <v>0</v>
      </c>
      <c r="N520" s="5">
        <f>SUMIFS(SalesDetail[Quantity (KG)],SalesDetail[Customer],$A520,SalesDetail[Year],2021)</f>
        <v>0</v>
      </c>
      <c r="O520" s="6">
        <f>SUM(B520:N520)</f>
        <v>6</v>
      </c>
    </row>
    <row r="521" spans="1:15" x14ac:dyDescent="0.3">
      <c r="A521" t="s">
        <v>434</v>
      </c>
      <c r="B521" s="5">
        <f>SUMIFS(SalesDetail[Quantity (KG)],SalesDetail[Customer],$A521,SalesDetail[Year],2009)</f>
        <v>0</v>
      </c>
      <c r="C521" s="5">
        <f>SUMIFS(SalesDetail[Quantity (KG)],SalesDetail[Customer],$A521,SalesDetail[Year],2010)</f>
        <v>0</v>
      </c>
      <c r="D521" s="5">
        <f>SUMIFS(SalesDetail[Quantity (KG)],SalesDetail[Customer],$A521,SalesDetail[Year],2011)</f>
        <v>0</v>
      </c>
      <c r="E521" s="5">
        <f>SUMIFS(SalesDetail[Quantity (KG)],SalesDetail[Customer],$A521,SalesDetail[Year],2012)</f>
        <v>0</v>
      </c>
      <c r="F521" s="5">
        <f>SUMIFS(SalesDetail[Quantity (KG)],SalesDetail[Customer],$A521,SalesDetail[Year],2013)</f>
        <v>0</v>
      </c>
      <c r="G521" s="5">
        <f>SUMIFS(SalesDetail[Quantity (KG)],SalesDetail[Customer],$A521,SalesDetail[Year],2014)</f>
        <v>0</v>
      </c>
      <c r="H521" s="5">
        <f>SUMIFS(SalesDetail[Quantity (KG)],SalesDetail[Customer],$A521,SalesDetail[Year],2015)</f>
        <v>0</v>
      </c>
      <c r="I521" s="5">
        <f>SUMIFS(SalesDetail[Quantity (KG)],SalesDetail[Customer],$A521,SalesDetail[Year],2016)</f>
        <v>0</v>
      </c>
      <c r="J521" s="5">
        <f>SUMIFS(SalesDetail[Quantity (KG)],SalesDetail[Customer],$A521,SalesDetail[Year],2017)</f>
        <v>0</v>
      </c>
      <c r="K521" s="5">
        <f>SUMIFS(SalesDetail[Quantity (KG)],SalesDetail[Customer],$A521,SalesDetail[Year],2018)</f>
        <v>0</v>
      </c>
      <c r="L521" s="5">
        <f>SUMIFS(SalesDetail[Quantity (KG)],SalesDetail[Customer],$A521,SalesDetail[Year],2019)</f>
        <v>5</v>
      </c>
      <c r="M521" s="5">
        <f>SUMIFS(SalesDetail[Quantity (KG)],SalesDetail[Customer],$A521,SalesDetail[Year],2020)</f>
        <v>0</v>
      </c>
      <c r="N521" s="5">
        <f>SUMIFS(SalesDetail[Quantity (KG)],SalesDetail[Customer],$A521,SalesDetail[Year],2021)</f>
        <v>0</v>
      </c>
      <c r="O521" s="6">
        <f>SUM(B521:N521)</f>
        <v>5</v>
      </c>
    </row>
    <row r="522" spans="1:15" x14ac:dyDescent="0.3">
      <c r="A522" t="s">
        <v>999</v>
      </c>
      <c r="B522" s="5">
        <f>SUMIFS(SalesDetail[Quantity (KG)],SalesDetail[Customer],$A522,SalesDetail[Year],2009)</f>
        <v>0</v>
      </c>
      <c r="C522" s="5">
        <f>SUMIFS(SalesDetail[Quantity (KG)],SalesDetail[Customer],$A522,SalesDetail[Year],2010)</f>
        <v>0</v>
      </c>
      <c r="D522" s="5">
        <f>SUMIFS(SalesDetail[Quantity (KG)],SalesDetail[Customer],$A522,SalesDetail[Year],2011)</f>
        <v>0</v>
      </c>
      <c r="E522" s="5">
        <f>SUMIFS(SalesDetail[Quantity (KG)],SalesDetail[Customer],$A522,SalesDetail[Year],2012)</f>
        <v>0</v>
      </c>
      <c r="F522" s="5">
        <f>SUMIFS(SalesDetail[Quantity (KG)],SalesDetail[Customer],$A522,SalesDetail[Year],2013)</f>
        <v>0</v>
      </c>
      <c r="G522" s="5">
        <f>SUMIFS(SalesDetail[Quantity (KG)],SalesDetail[Customer],$A522,SalesDetail[Year],2014)</f>
        <v>0</v>
      </c>
      <c r="H522" s="5">
        <f>SUMIFS(SalesDetail[Quantity (KG)],SalesDetail[Customer],$A522,SalesDetail[Year],2015)</f>
        <v>0</v>
      </c>
      <c r="I522" s="5">
        <f>SUMIFS(SalesDetail[Quantity (KG)],SalesDetail[Customer],$A522,SalesDetail[Year],2016)</f>
        <v>0</v>
      </c>
      <c r="J522" s="5">
        <f>SUMIFS(SalesDetail[Quantity (KG)],SalesDetail[Customer],$A522,SalesDetail[Year],2017)</f>
        <v>0</v>
      </c>
      <c r="K522" s="5">
        <f>SUMIFS(SalesDetail[Quantity (KG)],SalesDetail[Customer],$A522,SalesDetail[Year],2018)</f>
        <v>0</v>
      </c>
      <c r="L522" s="5">
        <f>SUMIFS(SalesDetail[Quantity (KG)],SalesDetail[Customer],$A522,SalesDetail[Year],2019)</f>
        <v>0</v>
      </c>
      <c r="M522" s="5">
        <f>SUMIFS(SalesDetail[Quantity (KG)],SalesDetail[Customer],$A522,SalesDetail[Year],2020)</f>
        <v>5</v>
      </c>
      <c r="N522" s="5">
        <f>SUMIFS(SalesDetail[Quantity (KG)],SalesDetail[Customer],$A522,SalesDetail[Year],2021)</f>
        <v>0</v>
      </c>
      <c r="O522" s="6">
        <f>SUM(B522:N522)</f>
        <v>5</v>
      </c>
    </row>
    <row r="523" spans="1:15" x14ac:dyDescent="0.3">
      <c r="A523" t="s">
        <v>1146</v>
      </c>
      <c r="B523" s="5">
        <f>SUMIFS(SalesDetail[Quantity (KG)],SalesDetail[Customer],$A523,SalesDetail[Year],2009)</f>
        <v>0</v>
      </c>
      <c r="C523" s="5">
        <f>SUMIFS(SalesDetail[Quantity (KG)],SalesDetail[Customer],$A523,SalesDetail[Year],2010)</f>
        <v>0</v>
      </c>
      <c r="D523" s="5">
        <f>SUMIFS(SalesDetail[Quantity (KG)],SalesDetail[Customer],$A523,SalesDetail[Year],2011)</f>
        <v>0</v>
      </c>
      <c r="E523" s="5">
        <f>SUMIFS(SalesDetail[Quantity (KG)],SalesDetail[Customer],$A523,SalesDetail[Year],2012)</f>
        <v>0</v>
      </c>
      <c r="F523" s="5">
        <f>SUMIFS(SalesDetail[Quantity (KG)],SalesDetail[Customer],$A523,SalesDetail[Year],2013)</f>
        <v>0</v>
      </c>
      <c r="G523" s="5">
        <f>SUMIFS(SalesDetail[Quantity (KG)],SalesDetail[Customer],$A523,SalesDetail[Year],2014)</f>
        <v>0</v>
      </c>
      <c r="H523" s="5">
        <f>SUMIFS(SalesDetail[Quantity (KG)],SalesDetail[Customer],$A523,SalesDetail[Year],2015)</f>
        <v>0</v>
      </c>
      <c r="I523" s="5">
        <f>SUMIFS(SalesDetail[Quantity (KG)],SalesDetail[Customer],$A523,SalesDetail[Year],2016)</f>
        <v>0</v>
      </c>
      <c r="J523" s="5">
        <f>SUMIFS(SalesDetail[Quantity (KG)],SalesDetail[Customer],$A523,SalesDetail[Year],2017)</f>
        <v>0</v>
      </c>
      <c r="K523" s="5">
        <f>SUMIFS(SalesDetail[Quantity (KG)],SalesDetail[Customer],$A523,SalesDetail[Year],2018)</f>
        <v>0</v>
      </c>
      <c r="L523" s="5">
        <f>SUMIFS(SalesDetail[Quantity (KG)],SalesDetail[Customer],$A523,SalesDetail[Year],2019)</f>
        <v>0</v>
      </c>
      <c r="M523" s="5">
        <f>SUMIFS(SalesDetail[Quantity (KG)],SalesDetail[Customer],$A523,SalesDetail[Year],2020)</f>
        <v>0</v>
      </c>
      <c r="N523" s="5">
        <f>SUMIFS(SalesDetail[Quantity (KG)],SalesDetail[Customer],$A523,SalesDetail[Year],2021)</f>
        <v>5</v>
      </c>
      <c r="O523" s="6">
        <f>SUM(B523:N523)</f>
        <v>5</v>
      </c>
    </row>
    <row r="524" spans="1:15" x14ac:dyDescent="0.3">
      <c r="A524" t="s">
        <v>1148</v>
      </c>
      <c r="B524" s="5">
        <f>SUMIFS(SalesDetail[Quantity (KG)],SalesDetail[Customer],$A524,SalesDetail[Year],2009)</f>
        <v>0</v>
      </c>
      <c r="C524" s="5">
        <f>SUMIFS(SalesDetail[Quantity (KG)],SalesDetail[Customer],$A524,SalesDetail[Year],2010)</f>
        <v>0</v>
      </c>
      <c r="D524" s="5">
        <f>SUMIFS(SalesDetail[Quantity (KG)],SalesDetail[Customer],$A524,SalesDetail[Year],2011)</f>
        <v>0</v>
      </c>
      <c r="E524" s="5">
        <f>SUMIFS(SalesDetail[Quantity (KG)],SalesDetail[Customer],$A524,SalesDetail[Year],2012)</f>
        <v>0</v>
      </c>
      <c r="F524" s="5">
        <f>SUMIFS(SalesDetail[Quantity (KG)],SalesDetail[Customer],$A524,SalesDetail[Year],2013)</f>
        <v>0</v>
      </c>
      <c r="G524" s="5">
        <f>SUMIFS(SalesDetail[Quantity (KG)],SalesDetail[Customer],$A524,SalesDetail[Year],2014)</f>
        <v>0</v>
      </c>
      <c r="H524" s="5">
        <f>SUMIFS(SalesDetail[Quantity (KG)],SalesDetail[Customer],$A524,SalesDetail[Year],2015)</f>
        <v>0</v>
      </c>
      <c r="I524" s="5">
        <f>SUMIFS(SalesDetail[Quantity (KG)],SalesDetail[Customer],$A524,SalesDetail[Year],2016)</f>
        <v>0</v>
      </c>
      <c r="J524" s="5">
        <f>SUMIFS(SalesDetail[Quantity (KG)],SalesDetail[Customer],$A524,SalesDetail[Year],2017)</f>
        <v>0</v>
      </c>
      <c r="K524" s="5">
        <f>SUMIFS(SalesDetail[Quantity (KG)],SalesDetail[Customer],$A524,SalesDetail[Year],2018)</f>
        <v>0</v>
      </c>
      <c r="L524" s="5">
        <f>SUMIFS(SalesDetail[Quantity (KG)],SalesDetail[Customer],$A524,SalesDetail[Year],2019)</f>
        <v>0</v>
      </c>
      <c r="M524" s="5">
        <f>SUMIFS(SalesDetail[Quantity (KG)],SalesDetail[Customer],$A524,SalesDetail[Year],2020)</f>
        <v>0</v>
      </c>
      <c r="N524" s="5">
        <f>SUMIFS(SalesDetail[Quantity (KG)],SalesDetail[Customer],$A524,SalesDetail[Year],2021)</f>
        <v>5</v>
      </c>
      <c r="O524" s="6">
        <f>SUM(B524:N524)</f>
        <v>5</v>
      </c>
    </row>
    <row r="525" spans="1:15" x14ac:dyDescent="0.3">
      <c r="A525" t="s">
        <v>1224</v>
      </c>
      <c r="B525" s="5">
        <f>SUMIFS(SalesDetail[Quantity (KG)],SalesDetail[Customer],$A525,SalesDetail[Year],2009)</f>
        <v>0</v>
      </c>
      <c r="C525" s="5">
        <f>SUMIFS(SalesDetail[Quantity (KG)],SalesDetail[Customer],$A525,SalesDetail[Year],2010)</f>
        <v>0</v>
      </c>
      <c r="D525" s="5">
        <f>SUMIFS(SalesDetail[Quantity (KG)],SalesDetail[Customer],$A525,SalesDetail[Year],2011)</f>
        <v>0</v>
      </c>
      <c r="E525" s="5">
        <f>SUMIFS(SalesDetail[Quantity (KG)],SalesDetail[Customer],$A525,SalesDetail[Year],2012)</f>
        <v>0</v>
      </c>
      <c r="F525" s="5">
        <f>SUMIFS(SalesDetail[Quantity (KG)],SalesDetail[Customer],$A525,SalesDetail[Year],2013)</f>
        <v>0</v>
      </c>
      <c r="G525" s="5">
        <f>SUMIFS(SalesDetail[Quantity (KG)],SalesDetail[Customer],$A525,SalesDetail[Year],2014)</f>
        <v>0</v>
      </c>
      <c r="H525" s="5">
        <f>SUMIFS(SalesDetail[Quantity (KG)],SalesDetail[Customer],$A525,SalesDetail[Year],2015)</f>
        <v>0</v>
      </c>
      <c r="I525" s="5">
        <f>SUMIFS(SalesDetail[Quantity (KG)],SalesDetail[Customer],$A525,SalesDetail[Year],2016)</f>
        <v>0</v>
      </c>
      <c r="J525" s="5">
        <f>SUMIFS(SalesDetail[Quantity (KG)],SalesDetail[Customer],$A525,SalesDetail[Year],2017)</f>
        <v>0</v>
      </c>
      <c r="K525" s="5">
        <f>SUMIFS(SalesDetail[Quantity (KG)],SalesDetail[Customer],$A525,SalesDetail[Year],2018)</f>
        <v>0</v>
      </c>
      <c r="L525" s="5">
        <f>SUMIFS(SalesDetail[Quantity (KG)],SalesDetail[Customer],$A525,SalesDetail[Year],2019)</f>
        <v>5</v>
      </c>
      <c r="M525" s="5">
        <f>SUMIFS(SalesDetail[Quantity (KG)],SalesDetail[Customer],$A525,SalesDetail[Year],2020)</f>
        <v>0</v>
      </c>
      <c r="N525" s="5">
        <f>SUMIFS(SalesDetail[Quantity (KG)],SalesDetail[Customer],$A525,SalesDetail[Year],2021)</f>
        <v>0</v>
      </c>
      <c r="O525" s="6">
        <f>SUM(B525:N525)</f>
        <v>5</v>
      </c>
    </row>
    <row r="526" spans="1:15" x14ac:dyDescent="0.3">
      <c r="A526" t="s">
        <v>1352</v>
      </c>
      <c r="B526" s="5">
        <f>SUMIFS(SalesDetail[Quantity (KG)],SalesDetail[Customer],$A526,SalesDetail[Year],2009)</f>
        <v>0</v>
      </c>
      <c r="C526" s="5">
        <f>SUMIFS(SalesDetail[Quantity (KG)],SalesDetail[Customer],$A526,SalesDetail[Year],2010)</f>
        <v>0</v>
      </c>
      <c r="D526" s="5">
        <f>SUMIFS(SalesDetail[Quantity (KG)],SalesDetail[Customer],$A526,SalesDetail[Year],2011)</f>
        <v>0</v>
      </c>
      <c r="E526" s="5">
        <f>SUMIFS(SalesDetail[Quantity (KG)],SalesDetail[Customer],$A526,SalesDetail[Year],2012)</f>
        <v>0</v>
      </c>
      <c r="F526" s="5">
        <f>SUMIFS(SalesDetail[Quantity (KG)],SalesDetail[Customer],$A526,SalesDetail[Year],2013)</f>
        <v>0</v>
      </c>
      <c r="G526" s="5">
        <f>SUMIFS(SalesDetail[Quantity (KG)],SalesDetail[Customer],$A526,SalesDetail[Year],2014)</f>
        <v>0</v>
      </c>
      <c r="H526" s="5">
        <f>SUMIFS(SalesDetail[Quantity (KG)],SalesDetail[Customer],$A526,SalesDetail[Year],2015)</f>
        <v>0</v>
      </c>
      <c r="I526" s="5">
        <f>SUMIFS(SalesDetail[Quantity (KG)],SalesDetail[Customer],$A526,SalesDetail[Year],2016)</f>
        <v>0</v>
      </c>
      <c r="J526" s="5">
        <f>SUMIFS(SalesDetail[Quantity (KG)],SalesDetail[Customer],$A526,SalesDetail[Year],2017)</f>
        <v>0</v>
      </c>
      <c r="K526" s="5">
        <f>SUMIFS(SalesDetail[Quantity (KG)],SalesDetail[Customer],$A526,SalesDetail[Year],2018)</f>
        <v>0</v>
      </c>
      <c r="L526" s="5">
        <f>SUMIFS(SalesDetail[Quantity (KG)],SalesDetail[Customer],$A526,SalesDetail[Year],2019)</f>
        <v>0</v>
      </c>
      <c r="M526" s="5">
        <f>SUMIFS(SalesDetail[Quantity (KG)],SalesDetail[Customer],$A526,SalesDetail[Year],2020)</f>
        <v>0</v>
      </c>
      <c r="N526" s="5">
        <f>SUMIFS(SalesDetail[Quantity (KG)],SalesDetail[Customer],$A526,SalesDetail[Year],2021)</f>
        <v>5</v>
      </c>
      <c r="O526" s="6">
        <f>SUM(B526:N526)</f>
        <v>5</v>
      </c>
    </row>
    <row r="527" spans="1:15" x14ac:dyDescent="0.3">
      <c r="A527" t="s">
        <v>1655</v>
      </c>
      <c r="B527" s="5">
        <f>SUMIFS(SalesDetail[Quantity (KG)],SalesDetail[Customer],$A527,SalesDetail[Year],2009)</f>
        <v>0</v>
      </c>
      <c r="C527" s="5">
        <f>SUMIFS(SalesDetail[Quantity (KG)],SalesDetail[Customer],$A527,SalesDetail[Year],2010)</f>
        <v>0</v>
      </c>
      <c r="D527" s="5">
        <f>SUMIFS(SalesDetail[Quantity (KG)],SalesDetail[Customer],$A527,SalesDetail[Year],2011)</f>
        <v>0</v>
      </c>
      <c r="E527" s="5">
        <f>SUMIFS(SalesDetail[Quantity (KG)],SalesDetail[Customer],$A527,SalesDetail[Year],2012)</f>
        <v>0</v>
      </c>
      <c r="F527" s="5">
        <f>SUMIFS(SalesDetail[Quantity (KG)],SalesDetail[Customer],$A527,SalesDetail[Year],2013)</f>
        <v>0</v>
      </c>
      <c r="G527" s="5">
        <f>SUMIFS(SalesDetail[Quantity (KG)],SalesDetail[Customer],$A527,SalesDetail[Year],2014)</f>
        <v>0</v>
      </c>
      <c r="H527" s="5">
        <f>SUMIFS(SalesDetail[Quantity (KG)],SalesDetail[Customer],$A527,SalesDetail[Year],2015)</f>
        <v>0</v>
      </c>
      <c r="I527" s="5">
        <f>SUMIFS(SalesDetail[Quantity (KG)],SalesDetail[Customer],$A527,SalesDetail[Year],2016)</f>
        <v>0</v>
      </c>
      <c r="J527" s="5">
        <f>SUMIFS(SalesDetail[Quantity (KG)],SalesDetail[Customer],$A527,SalesDetail[Year],2017)</f>
        <v>4</v>
      </c>
      <c r="K527" s="5">
        <f>SUMIFS(SalesDetail[Quantity (KG)],SalesDetail[Customer],$A527,SalesDetail[Year],2018)</f>
        <v>0</v>
      </c>
      <c r="L527" s="5">
        <f>SUMIFS(SalesDetail[Quantity (KG)],SalesDetail[Customer],$A527,SalesDetail[Year],2019)</f>
        <v>0</v>
      </c>
      <c r="M527" s="5">
        <f>SUMIFS(SalesDetail[Quantity (KG)],SalesDetail[Customer],$A527,SalesDetail[Year],2020)</f>
        <v>1</v>
      </c>
      <c r="N527" s="5">
        <f>SUMIFS(SalesDetail[Quantity (KG)],SalesDetail[Customer],$A527,SalesDetail[Year],2021)</f>
        <v>0</v>
      </c>
      <c r="O527" s="6">
        <f>SUM(B527:N527)</f>
        <v>5</v>
      </c>
    </row>
    <row r="528" spans="1:15" x14ac:dyDescent="0.3">
      <c r="A528" t="s">
        <v>1806</v>
      </c>
      <c r="B528" s="5">
        <f>SUMIFS(SalesDetail[Quantity (KG)],SalesDetail[Customer],$A528,SalesDetail[Year],2009)</f>
        <v>0</v>
      </c>
      <c r="C528" s="5">
        <f>SUMIFS(SalesDetail[Quantity (KG)],SalesDetail[Customer],$A528,SalesDetail[Year],2010)</f>
        <v>0</v>
      </c>
      <c r="D528" s="5">
        <f>SUMIFS(SalesDetail[Quantity (KG)],SalesDetail[Customer],$A528,SalesDetail[Year],2011)</f>
        <v>0</v>
      </c>
      <c r="E528" s="5">
        <f>SUMIFS(SalesDetail[Quantity (KG)],SalesDetail[Customer],$A528,SalesDetail[Year],2012)</f>
        <v>0</v>
      </c>
      <c r="F528" s="5">
        <f>SUMIFS(SalesDetail[Quantity (KG)],SalesDetail[Customer],$A528,SalesDetail[Year],2013)</f>
        <v>0</v>
      </c>
      <c r="G528" s="5">
        <f>SUMIFS(SalesDetail[Quantity (KG)],SalesDetail[Customer],$A528,SalesDetail[Year],2014)</f>
        <v>0</v>
      </c>
      <c r="H528" s="5">
        <f>SUMIFS(SalesDetail[Quantity (KG)],SalesDetail[Customer],$A528,SalesDetail[Year],2015)</f>
        <v>0</v>
      </c>
      <c r="I528" s="5">
        <f>SUMIFS(SalesDetail[Quantity (KG)],SalesDetail[Customer],$A528,SalesDetail[Year],2016)</f>
        <v>0</v>
      </c>
      <c r="J528" s="5">
        <f>SUMIFS(SalesDetail[Quantity (KG)],SalesDetail[Customer],$A528,SalesDetail[Year],2017)</f>
        <v>0</v>
      </c>
      <c r="K528" s="5">
        <f>SUMIFS(SalesDetail[Quantity (KG)],SalesDetail[Customer],$A528,SalesDetail[Year],2018)</f>
        <v>0</v>
      </c>
      <c r="L528" s="5">
        <f>SUMIFS(SalesDetail[Quantity (KG)],SalesDetail[Customer],$A528,SalesDetail[Year],2019)</f>
        <v>0</v>
      </c>
      <c r="M528" s="5">
        <f>SUMIFS(SalesDetail[Quantity (KG)],SalesDetail[Customer],$A528,SalesDetail[Year],2020)</f>
        <v>0</v>
      </c>
      <c r="N528" s="5">
        <f>SUMIFS(SalesDetail[Quantity (KG)],SalesDetail[Customer],$A528,SalesDetail[Year],2021)</f>
        <v>5</v>
      </c>
      <c r="O528" s="6">
        <f>SUM(B528:N528)</f>
        <v>5</v>
      </c>
    </row>
    <row r="529" spans="1:15" x14ac:dyDescent="0.3">
      <c r="A529" t="s">
        <v>1955</v>
      </c>
      <c r="B529" s="5">
        <f>SUMIFS(SalesDetail[Quantity (KG)],SalesDetail[Customer],$A529,SalesDetail[Year],2009)</f>
        <v>0</v>
      </c>
      <c r="C529" s="5">
        <f>SUMIFS(SalesDetail[Quantity (KG)],SalesDetail[Customer],$A529,SalesDetail[Year],2010)</f>
        <v>0</v>
      </c>
      <c r="D529" s="5">
        <f>SUMIFS(SalesDetail[Quantity (KG)],SalesDetail[Customer],$A529,SalesDetail[Year],2011)</f>
        <v>0</v>
      </c>
      <c r="E529" s="5">
        <f>SUMIFS(SalesDetail[Quantity (KG)],SalesDetail[Customer],$A529,SalesDetail[Year],2012)</f>
        <v>0</v>
      </c>
      <c r="F529" s="5">
        <f>SUMIFS(SalesDetail[Quantity (KG)],SalesDetail[Customer],$A529,SalesDetail[Year],2013)</f>
        <v>5</v>
      </c>
      <c r="G529" s="5">
        <f>SUMIFS(SalesDetail[Quantity (KG)],SalesDetail[Customer],$A529,SalesDetail[Year],2014)</f>
        <v>0</v>
      </c>
      <c r="H529" s="5">
        <f>SUMIFS(SalesDetail[Quantity (KG)],SalesDetail[Customer],$A529,SalesDetail[Year],2015)</f>
        <v>0</v>
      </c>
      <c r="I529" s="5">
        <f>SUMIFS(SalesDetail[Quantity (KG)],SalesDetail[Customer],$A529,SalesDetail[Year],2016)</f>
        <v>0</v>
      </c>
      <c r="J529" s="5">
        <f>SUMIFS(SalesDetail[Quantity (KG)],SalesDetail[Customer],$A529,SalesDetail[Year],2017)</f>
        <v>0</v>
      </c>
      <c r="K529" s="5">
        <f>SUMIFS(SalesDetail[Quantity (KG)],SalesDetail[Customer],$A529,SalesDetail[Year],2018)</f>
        <v>0</v>
      </c>
      <c r="L529" s="5">
        <f>SUMIFS(SalesDetail[Quantity (KG)],SalesDetail[Customer],$A529,SalesDetail[Year],2019)</f>
        <v>0</v>
      </c>
      <c r="M529" s="5">
        <f>SUMIFS(SalesDetail[Quantity (KG)],SalesDetail[Customer],$A529,SalesDetail[Year],2020)</f>
        <v>0</v>
      </c>
      <c r="N529" s="5">
        <f>SUMIFS(SalesDetail[Quantity (KG)],SalesDetail[Customer],$A529,SalesDetail[Year],2021)</f>
        <v>0</v>
      </c>
      <c r="O529" s="6">
        <f>SUM(B529:N529)</f>
        <v>5</v>
      </c>
    </row>
    <row r="530" spans="1:15" x14ac:dyDescent="0.3">
      <c r="A530" t="s">
        <v>2008</v>
      </c>
      <c r="B530" s="5">
        <f>SUMIFS(SalesDetail[Quantity (KG)],SalesDetail[Customer],$A530,SalesDetail[Year],2009)</f>
        <v>0</v>
      </c>
      <c r="C530" s="5">
        <f>SUMIFS(SalesDetail[Quantity (KG)],SalesDetail[Customer],$A530,SalesDetail[Year],2010)</f>
        <v>0</v>
      </c>
      <c r="D530" s="5">
        <f>SUMIFS(SalesDetail[Quantity (KG)],SalesDetail[Customer],$A530,SalesDetail[Year],2011)</f>
        <v>0</v>
      </c>
      <c r="E530" s="5">
        <f>SUMIFS(SalesDetail[Quantity (KG)],SalesDetail[Customer],$A530,SalesDetail[Year],2012)</f>
        <v>0</v>
      </c>
      <c r="F530" s="5">
        <f>SUMIFS(SalesDetail[Quantity (KG)],SalesDetail[Customer],$A530,SalesDetail[Year],2013)</f>
        <v>0</v>
      </c>
      <c r="G530" s="5">
        <f>SUMIFS(SalesDetail[Quantity (KG)],SalesDetail[Customer],$A530,SalesDetail[Year],2014)</f>
        <v>0</v>
      </c>
      <c r="H530" s="5">
        <f>SUMIFS(SalesDetail[Quantity (KG)],SalesDetail[Customer],$A530,SalesDetail[Year],2015)</f>
        <v>0</v>
      </c>
      <c r="I530" s="5">
        <f>SUMIFS(SalesDetail[Quantity (KG)],SalesDetail[Customer],$A530,SalesDetail[Year],2016)</f>
        <v>0</v>
      </c>
      <c r="J530" s="5">
        <f>SUMIFS(SalesDetail[Quantity (KG)],SalesDetail[Customer],$A530,SalesDetail[Year],2017)</f>
        <v>0</v>
      </c>
      <c r="K530" s="5">
        <f>SUMIFS(SalesDetail[Quantity (KG)],SalesDetail[Customer],$A530,SalesDetail[Year],2018)</f>
        <v>0</v>
      </c>
      <c r="L530" s="5">
        <f>SUMIFS(SalesDetail[Quantity (KG)],SalesDetail[Customer],$A530,SalesDetail[Year],2019)</f>
        <v>0</v>
      </c>
      <c r="M530" s="5">
        <f>SUMIFS(SalesDetail[Quantity (KG)],SalesDetail[Customer],$A530,SalesDetail[Year],2020)</f>
        <v>0</v>
      </c>
      <c r="N530" s="5">
        <f>SUMIFS(SalesDetail[Quantity (KG)],SalesDetail[Customer],$A530,SalesDetail[Year],2021)</f>
        <v>5</v>
      </c>
      <c r="O530" s="6">
        <f>SUM(B530:N530)</f>
        <v>5</v>
      </c>
    </row>
    <row r="531" spans="1:15" x14ac:dyDescent="0.3">
      <c r="A531" t="s">
        <v>2161</v>
      </c>
      <c r="B531" s="5">
        <f>SUMIFS(SalesDetail[Quantity (KG)],SalesDetail[Customer],$A531,SalesDetail[Year],2009)</f>
        <v>0</v>
      </c>
      <c r="C531" s="5">
        <f>SUMIFS(SalesDetail[Quantity (KG)],SalesDetail[Customer],$A531,SalesDetail[Year],2010)</f>
        <v>0</v>
      </c>
      <c r="D531" s="5">
        <f>SUMIFS(SalesDetail[Quantity (KG)],SalesDetail[Customer],$A531,SalesDetail[Year],2011)</f>
        <v>0</v>
      </c>
      <c r="E531" s="5">
        <f>SUMIFS(SalesDetail[Quantity (KG)],SalesDetail[Customer],$A531,SalesDetail[Year],2012)</f>
        <v>0</v>
      </c>
      <c r="F531" s="5">
        <f>SUMIFS(SalesDetail[Quantity (KG)],SalesDetail[Customer],$A531,SalesDetail[Year],2013)</f>
        <v>0</v>
      </c>
      <c r="G531" s="5">
        <f>SUMIFS(SalesDetail[Quantity (KG)],SalesDetail[Customer],$A531,SalesDetail[Year],2014)</f>
        <v>0</v>
      </c>
      <c r="H531" s="5">
        <f>SUMIFS(SalesDetail[Quantity (KG)],SalesDetail[Customer],$A531,SalesDetail[Year],2015)</f>
        <v>0</v>
      </c>
      <c r="I531" s="5">
        <f>SUMIFS(SalesDetail[Quantity (KG)],SalesDetail[Customer],$A531,SalesDetail[Year],2016)</f>
        <v>0</v>
      </c>
      <c r="J531" s="5">
        <f>SUMIFS(SalesDetail[Quantity (KG)],SalesDetail[Customer],$A531,SalesDetail[Year],2017)</f>
        <v>0</v>
      </c>
      <c r="K531" s="5">
        <f>SUMIFS(SalesDetail[Quantity (KG)],SalesDetail[Customer],$A531,SalesDetail[Year],2018)</f>
        <v>0</v>
      </c>
      <c r="L531" s="5">
        <f>SUMIFS(SalesDetail[Quantity (KG)],SalesDetail[Customer],$A531,SalesDetail[Year],2019)</f>
        <v>3</v>
      </c>
      <c r="M531" s="5">
        <f>SUMIFS(SalesDetail[Quantity (KG)],SalesDetail[Customer],$A531,SalesDetail[Year],2020)</f>
        <v>0</v>
      </c>
      <c r="N531" s="5">
        <f>SUMIFS(SalesDetail[Quantity (KG)],SalesDetail[Customer],$A531,SalesDetail[Year],2021)</f>
        <v>2</v>
      </c>
      <c r="O531" s="6">
        <f>SUM(B531:N531)</f>
        <v>5</v>
      </c>
    </row>
    <row r="532" spans="1:15" x14ac:dyDescent="0.3">
      <c r="A532" t="s">
        <v>2192</v>
      </c>
      <c r="B532" s="5">
        <f>SUMIFS(SalesDetail[Quantity (KG)],SalesDetail[Customer],$A532,SalesDetail[Year],2009)</f>
        <v>0</v>
      </c>
      <c r="C532" s="5">
        <f>SUMIFS(SalesDetail[Quantity (KG)],SalesDetail[Customer],$A532,SalesDetail[Year],2010)</f>
        <v>0</v>
      </c>
      <c r="D532" s="5">
        <f>SUMIFS(SalesDetail[Quantity (KG)],SalesDetail[Customer],$A532,SalesDetail[Year],2011)</f>
        <v>0</v>
      </c>
      <c r="E532" s="5">
        <f>SUMIFS(SalesDetail[Quantity (KG)],SalesDetail[Customer],$A532,SalesDetail[Year],2012)</f>
        <v>0</v>
      </c>
      <c r="F532" s="5">
        <f>SUMIFS(SalesDetail[Quantity (KG)],SalesDetail[Customer],$A532,SalesDetail[Year],2013)</f>
        <v>0</v>
      </c>
      <c r="G532" s="5">
        <f>SUMIFS(SalesDetail[Quantity (KG)],SalesDetail[Customer],$A532,SalesDetail[Year],2014)</f>
        <v>0</v>
      </c>
      <c r="H532" s="5">
        <f>SUMIFS(SalesDetail[Quantity (KG)],SalesDetail[Customer],$A532,SalesDetail[Year],2015)</f>
        <v>0</v>
      </c>
      <c r="I532" s="5">
        <f>SUMIFS(SalesDetail[Quantity (KG)],SalesDetail[Customer],$A532,SalesDetail[Year],2016)</f>
        <v>0</v>
      </c>
      <c r="J532" s="5">
        <f>SUMIFS(SalesDetail[Quantity (KG)],SalesDetail[Customer],$A532,SalesDetail[Year],2017)</f>
        <v>0</v>
      </c>
      <c r="K532" s="5">
        <f>SUMIFS(SalesDetail[Quantity (KG)],SalesDetail[Customer],$A532,SalesDetail[Year],2018)</f>
        <v>0</v>
      </c>
      <c r="L532" s="5">
        <f>SUMIFS(SalesDetail[Quantity (KG)],SalesDetail[Customer],$A532,SalesDetail[Year],2019)</f>
        <v>0</v>
      </c>
      <c r="M532" s="5">
        <f>SUMIFS(SalesDetail[Quantity (KG)],SalesDetail[Customer],$A532,SalesDetail[Year],2020)</f>
        <v>0</v>
      </c>
      <c r="N532" s="5">
        <f>SUMIFS(SalesDetail[Quantity (KG)],SalesDetail[Customer],$A532,SalesDetail[Year],2021)</f>
        <v>5</v>
      </c>
      <c r="O532" s="6">
        <f>SUM(B532:N532)</f>
        <v>5</v>
      </c>
    </row>
    <row r="533" spans="1:15" x14ac:dyDescent="0.3">
      <c r="A533" t="s">
        <v>2229</v>
      </c>
      <c r="B533" s="5">
        <f>SUMIFS(SalesDetail[Quantity (KG)],SalesDetail[Customer],$A533,SalesDetail[Year],2009)</f>
        <v>0</v>
      </c>
      <c r="C533" s="5">
        <f>SUMIFS(SalesDetail[Quantity (KG)],SalesDetail[Customer],$A533,SalesDetail[Year],2010)</f>
        <v>0</v>
      </c>
      <c r="D533" s="5">
        <f>SUMIFS(SalesDetail[Quantity (KG)],SalesDetail[Customer],$A533,SalesDetail[Year],2011)</f>
        <v>0</v>
      </c>
      <c r="E533" s="5">
        <f>SUMIFS(SalesDetail[Quantity (KG)],SalesDetail[Customer],$A533,SalesDetail[Year],2012)</f>
        <v>0</v>
      </c>
      <c r="F533" s="5">
        <f>SUMIFS(SalesDetail[Quantity (KG)],SalesDetail[Customer],$A533,SalesDetail[Year],2013)</f>
        <v>0</v>
      </c>
      <c r="G533" s="5">
        <f>SUMIFS(SalesDetail[Quantity (KG)],SalesDetail[Customer],$A533,SalesDetail[Year],2014)</f>
        <v>0</v>
      </c>
      <c r="H533" s="5">
        <f>SUMIFS(SalesDetail[Quantity (KG)],SalesDetail[Customer],$A533,SalesDetail[Year],2015)</f>
        <v>5</v>
      </c>
      <c r="I533" s="5">
        <f>SUMIFS(SalesDetail[Quantity (KG)],SalesDetail[Customer],$A533,SalesDetail[Year],2016)</f>
        <v>0</v>
      </c>
      <c r="J533" s="5">
        <f>SUMIFS(SalesDetail[Quantity (KG)],SalesDetail[Customer],$A533,SalesDetail[Year],2017)</f>
        <v>0</v>
      </c>
      <c r="K533" s="5">
        <f>SUMIFS(SalesDetail[Quantity (KG)],SalesDetail[Customer],$A533,SalesDetail[Year],2018)</f>
        <v>0</v>
      </c>
      <c r="L533" s="5">
        <f>SUMIFS(SalesDetail[Quantity (KG)],SalesDetail[Customer],$A533,SalesDetail[Year],2019)</f>
        <v>0</v>
      </c>
      <c r="M533" s="5">
        <f>SUMIFS(SalesDetail[Quantity (KG)],SalesDetail[Customer],$A533,SalesDetail[Year],2020)</f>
        <v>0</v>
      </c>
      <c r="N533" s="5">
        <f>SUMIFS(SalesDetail[Quantity (KG)],SalesDetail[Customer],$A533,SalesDetail[Year],2021)</f>
        <v>0</v>
      </c>
      <c r="O533" s="6">
        <f>SUM(B533:N533)</f>
        <v>5</v>
      </c>
    </row>
    <row r="534" spans="1:15" x14ac:dyDescent="0.3">
      <c r="A534" t="s">
        <v>2259</v>
      </c>
      <c r="B534" s="5">
        <f>SUMIFS(SalesDetail[Quantity (KG)],SalesDetail[Customer],$A534,SalesDetail[Year],2009)</f>
        <v>0</v>
      </c>
      <c r="C534" s="5">
        <f>SUMIFS(SalesDetail[Quantity (KG)],SalesDetail[Customer],$A534,SalesDetail[Year],2010)</f>
        <v>0</v>
      </c>
      <c r="D534" s="5">
        <f>SUMIFS(SalesDetail[Quantity (KG)],SalesDetail[Customer],$A534,SalesDetail[Year],2011)</f>
        <v>0</v>
      </c>
      <c r="E534" s="5">
        <f>SUMIFS(SalesDetail[Quantity (KG)],SalesDetail[Customer],$A534,SalesDetail[Year],2012)</f>
        <v>0</v>
      </c>
      <c r="F534" s="5">
        <f>SUMIFS(SalesDetail[Quantity (KG)],SalesDetail[Customer],$A534,SalesDetail[Year],2013)</f>
        <v>0</v>
      </c>
      <c r="G534" s="5">
        <f>SUMIFS(SalesDetail[Quantity (KG)],SalesDetail[Customer],$A534,SalesDetail[Year],2014)</f>
        <v>0</v>
      </c>
      <c r="H534" s="5">
        <f>SUMIFS(SalesDetail[Quantity (KG)],SalesDetail[Customer],$A534,SalesDetail[Year],2015)</f>
        <v>0</v>
      </c>
      <c r="I534" s="5">
        <f>SUMIFS(SalesDetail[Quantity (KG)],SalesDetail[Customer],$A534,SalesDetail[Year],2016)</f>
        <v>0</v>
      </c>
      <c r="J534" s="5">
        <f>SUMIFS(SalesDetail[Quantity (KG)],SalesDetail[Customer],$A534,SalesDetail[Year],2017)</f>
        <v>0</v>
      </c>
      <c r="K534" s="5">
        <f>SUMIFS(SalesDetail[Quantity (KG)],SalesDetail[Customer],$A534,SalesDetail[Year],2018)</f>
        <v>0</v>
      </c>
      <c r="L534" s="5">
        <f>SUMIFS(SalesDetail[Quantity (KG)],SalesDetail[Customer],$A534,SalesDetail[Year],2019)</f>
        <v>5</v>
      </c>
      <c r="M534" s="5">
        <f>SUMIFS(SalesDetail[Quantity (KG)],SalesDetail[Customer],$A534,SalesDetail[Year],2020)</f>
        <v>0</v>
      </c>
      <c r="N534" s="5">
        <f>SUMIFS(SalesDetail[Quantity (KG)],SalesDetail[Customer],$A534,SalesDetail[Year],2021)</f>
        <v>0</v>
      </c>
      <c r="O534" s="6">
        <f>SUM(B534:N534)</f>
        <v>5</v>
      </c>
    </row>
    <row r="535" spans="1:15" x14ac:dyDescent="0.3">
      <c r="A535" t="s">
        <v>2329</v>
      </c>
      <c r="B535" s="5">
        <f>SUMIFS(SalesDetail[Quantity (KG)],SalesDetail[Customer],$A535,SalesDetail[Year],2009)</f>
        <v>0</v>
      </c>
      <c r="C535" s="5">
        <f>SUMIFS(SalesDetail[Quantity (KG)],SalesDetail[Customer],$A535,SalesDetail[Year],2010)</f>
        <v>0</v>
      </c>
      <c r="D535" s="5">
        <f>SUMIFS(SalesDetail[Quantity (KG)],SalesDetail[Customer],$A535,SalesDetail[Year],2011)</f>
        <v>0</v>
      </c>
      <c r="E535" s="5">
        <f>SUMIFS(SalesDetail[Quantity (KG)],SalesDetail[Customer],$A535,SalesDetail[Year],2012)</f>
        <v>0</v>
      </c>
      <c r="F535" s="5">
        <f>SUMIFS(SalesDetail[Quantity (KG)],SalesDetail[Customer],$A535,SalesDetail[Year],2013)</f>
        <v>0</v>
      </c>
      <c r="G535" s="5">
        <f>SUMIFS(SalesDetail[Quantity (KG)],SalesDetail[Customer],$A535,SalesDetail[Year],2014)</f>
        <v>0</v>
      </c>
      <c r="H535" s="5">
        <f>SUMIFS(SalesDetail[Quantity (KG)],SalesDetail[Customer],$A535,SalesDetail[Year],2015)</f>
        <v>0</v>
      </c>
      <c r="I535" s="5">
        <f>SUMIFS(SalesDetail[Quantity (KG)],SalesDetail[Customer],$A535,SalesDetail[Year],2016)</f>
        <v>0</v>
      </c>
      <c r="J535" s="5">
        <f>SUMIFS(SalesDetail[Quantity (KG)],SalesDetail[Customer],$A535,SalesDetail[Year],2017)</f>
        <v>0</v>
      </c>
      <c r="K535" s="5">
        <f>SUMIFS(SalesDetail[Quantity (KG)],SalesDetail[Customer],$A535,SalesDetail[Year],2018)</f>
        <v>0</v>
      </c>
      <c r="L535" s="5">
        <f>SUMIFS(SalesDetail[Quantity (KG)],SalesDetail[Customer],$A535,SalesDetail[Year],2019)</f>
        <v>0</v>
      </c>
      <c r="M535" s="5">
        <f>SUMIFS(SalesDetail[Quantity (KG)],SalesDetail[Customer],$A535,SalesDetail[Year],2020)</f>
        <v>5</v>
      </c>
      <c r="N535" s="5">
        <f>SUMIFS(SalesDetail[Quantity (KG)],SalesDetail[Customer],$A535,SalesDetail[Year],2021)</f>
        <v>0</v>
      </c>
      <c r="O535" s="6">
        <f>SUM(B535:N535)</f>
        <v>5</v>
      </c>
    </row>
    <row r="536" spans="1:15" x14ac:dyDescent="0.3">
      <c r="A536" t="s">
        <v>2489</v>
      </c>
      <c r="B536" s="5">
        <f>SUMIFS(SalesDetail[Quantity (KG)],SalesDetail[Customer],$A536,SalesDetail[Year],2009)</f>
        <v>0</v>
      </c>
      <c r="C536" s="5">
        <f>SUMIFS(SalesDetail[Quantity (KG)],SalesDetail[Customer],$A536,SalesDetail[Year],2010)</f>
        <v>0</v>
      </c>
      <c r="D536" s="5">
        <f>SUMIFS(SalesDetail[Quantity (KG)],SalesDetail[Customer],$A536,SalesDetail[Year],2011)</f>
        <v>0</v>
      </c>
      <c r="E536" s="5">
        <f>SUMIFS(SalesDetail[Quantity (KG)],SalesDetail[Customer],$A536,SalesDetail[Year],2012)</f>
        <v>0</v>
      </c>
      <c r="F536" s="5">
        <f>SUMIFS(SalesDetail[Quantity (KG)],SalesDetail[Customer],$A536,SalesDetail[Year],2013)</f>
        <v>0</v>
      </c>
      <c r="G536" s="5">
        <f>SUMIFS(SalesDetail[Quantity (KG)],SalesDetail[Customer],$A536,SalesDetail[Year],2014)</f>
        <v>0</v>
      </c>
      <c r="H536" s="5">
        <f>SUMIFS(SalesDetail[Quantity (KG)],SalesDetail[Customer],$A536,SalesDetail[Year],2015)</f>
        <v>0</v>
      </c>
      <c r="I536" s="5">
        <f>SUMIFS(SalesDetail[Quantity (KG)],SalesDetail[Customer],$A536,SalesDetail[Year],2016)</f>
        <v>0</v>
      </c>
      <c r="J536" s="5">
        <f>SUMIFS(SalesDetail[Quantity (KG)],SalesDetail[Customer],$A536,SalesDetail[Year],2017)</f>
        <v>5</v>
      </c>
      <c r="K536" s="5">
        <f>SUMIFS(SalesDetail[Quantity (KG)],SalesDetail[Customer],$A536,SalesDetail[Year],2018)</f>
        <v>0</v>
      </c>
      <c r="L536" s="5">
        <f>SUMIFS(SalesDetail[Quantity (KG)],SalesDetail[Customer],$A536,SalesDetail[Year],2019)</f>
        <v>0</v>
      </c>
      <c r="M536" s="5">
        <f>SUMIFS(SalesDetail[Quantity (KG)],SalesDetail[Customer],$A536,SalesDetail[Year],2020)</f>
        <v>0</v>
      </c>
      <c r="N536" s="5">
        <f>SUMIFS(SalesDetail[Quantity (KG)],SalesDetail[Customer],$A536,SalesDetail[Year],2021)</f>
        <v>0</v>
      </c>
      <c r="O536" s="6">
        <f>SUM(B536:N536)</f>
        <v>5</v>
      </c>
    </row>
    <row r="537" spans="1:15" x14ac:dyDescent="0.3">
      <c r="A537" t="s">
        <v>2568</v>
      </c>
      <c r="B537" s="5">
        <f>SUMIFS(SalesDetail[Quantity (KG)],SalesDetail[Customer],$A537,SalesDetail[Year],2009)</f>
        <v>0</v>
      </c>
      <c r="C537" s="5">
        <f>SUMIFS(SalesDetail[Quantity (KG)],SalesDetail[Customer],$A537,SalesDetail[Year],2010)</f>
        <v>0</v>
      </c>
      <c r="D537" s="5">
        <f>SUMIFS(SalesDetail[Quantity (KG)],SalesDetail[Customer],$A537,SalesDetail[Year],2011)</f>
        <v>0</v>
      </c>
      <c r="E537" s="5">
        <f>SUMIFS(SalesDetail[Quantity (KG)],SalesDetail[Customer],$A537,SalesDetail[Year],2012)</f>
        <v>0</v>
      </c>
      <c r="F537" s="5">
        <f>SUMIFS(SalesDetail[Quantity (KG)],SalesDetail[Customer],$A537,SalesDetail[Year],2013)</f>
        <v>0</v>
      </c>
      <c r="G537" s="5">
        <f>SUMIFS(SalesDetail[Quantity (KG)],SalesDetail[Customer],$A537,SalesDetail[Year],2014)</f>
        <v>0</v>
      </c>
      <c r="H537" s="5">
        <f>SUMIFS(SalesDetail[Quantity (KG)],SalesDetail[Customer],$A537,SalesDetail[Year],2015)</f>
        <v>0</v>
      </c>
      <c r="I537" s="5">
        <f>SUMIFS(SalesDetail[Quantity (KG)],SalesDetail[Customer],$A537,SalesDetail[Year],2016)</f>
        <v>0</v>
      </c>
      <c r="J537" s="5">
        <f>SUMIFS(SalesDetail[Quantity (KG)],SalesDetail[Customer],$A537,SalesDetail[Year],2017)</f>
        <v>0</v>
      </c>
      <c r="K537" s="5">
        <f>SUMIFS(SalesDetail[Quantity (KG)],SalesDetail[Customer],$A537,SalesDetail[Year],2018)</f>
        <v>5</v>
      </c>
      <c r="L537" s="5">
        <f>SUMIFS(SalesDetail[Quantity (KG)],SalesDetail[Customer],$A537,SalesDetail[Year],2019)</f>
        <v>0</v>
      </c>
      <c r="M537" s="5">
        <f>SUMIFS(SalesDetail[Quantity (KG)],SalesDetail[Customer],$A537,SalesDetail[Year],2020)</f>
        <v>0</v>
      </c>
      <c r="N537" s="5">
        <f>SUMIFS(SalesDetail[Quantity (KG)],SalesDetail[Customer],$A537,SalesDetail[Year],2021)</f>
        <v>0</v>
      </c>
      <c r="O537" s="6">
        <f>SUM(B537:N537)</f>
        <v>5</v>
      </c>
    </row>
    <row r="538" spans="1:15" x14ac:dyDescent="0.3">
      <c r="A538" t="s">
        <v>33</v>
      </c>
      <c r="B538" s="5">
        <f>SUMIFS(SalesDetail[Quantity (KG)],SalesDetail[Customer],$A538,SalesDetail[Year],2009)</f>
        <v>0</v>
      </c>
      <c r="C538" s="5">
        <f>SUMIFS(SalesDetail[Quantity (KG)],SalesDetail[Customer],$A538,SalesDetail[Year],2010)</f>
        <v>0</v>
      </c>
      <c r="D538" s="5">
        <f>SUMIFS(SalesDetail[Quantity (KG)],SalesDetail[Customer],$A538,SalesDetail[Year],2011)</f>
        <v>0</v>
      </c>
      <c r="E538" s="5">
        <f>SUMIFS(SalesDetail[Quantity (KG)],SalesDetail[Customer],$A538,SalesDetail[Year],2012)</f>
        <v>0</v>
      </c>
      <c r="F538" s="5">
        <f>SUMIFS(SalesDetail[Quantity (KG)],SalesDetail[Customer],$A538,SalesDetail[Year],2013)</f>
        <v>0</v>
      </c>
      <c r="G538" s="5">
        <f>SUMIFS(SalesDetail[Quantity (KG)],SalesDetail[Customer],$A538,SalesDetail[Year],2014)</f>
        <v>0</v>
      </c>
      <c r="H538" s="5">
        <f>SUMIFS(SalesDetail[Quantity (KG)],SalesDetail[Customer],$A538,SalesDetail[Year],2015)</f>
        <v>0</v>
      </c>
      <c r="I538" s="5">
        <f>SUMIFS(SalesDetail[Quantity (KG)],SalesDetail[Customer],$A538,SalesDetail[Year],2016)</f>
        <v>0</v>
      </c>
      <c r="J538" s="5">
        <f>SUMIFS(SalesDetail[Quantity (KG)],SalesDetail[Customer],$A538,SalesDetail[Year],2017)</f>
        <v>0</v>
      </c>
      <c r="K538" s="5">
        <f>SUMIFS(SalesDetail[Quantity (KG)],SalesDetail[Customer],$A538,SalesDetail[Year],2018)</f>
        <v>0</v>
      </c>
      <c r="L538" s="5">
        <f>SUMIFS(SalesDetail[Quantity (KG)],SalesDetail[Customer],$A538,SalesDetail[Year],2019)</f>
        <v>0</v>
      </c>
      <c r="M538" s="5">
        <f>SUMIFS(SalesDetail[Quantity (KG)],SalesDetail[Customer],$A538,SalesDetail[Year],2020)</f>
        <v>0</v>
      </c>
      <c r="N538" s="5">
        <f>SUMIFS(SalesDetail[Quantity (KG)],SalesDetail[Customer],$A538,SalesDetail[Year],2021)</f>
        <v>4</v>
      </c>
      <c r="O538" s="6">
        <f>SUM(B538:N538)</f>
        <v>4</v>
      </c>
    </row>
    <row r="539" spans="1:15" x14ac:dyDescent="0.3">
      <c r="A539" t="s">
        <v>938</v>
      </c>
      <c r="B539" s="5">
        <f>SUMIFS(SalesDetail[Quantity (KG)],SalesDetail[Customer],$A539,SalesDetail[Year],2009)</f>
        <v>0</v>
      </c>
      <c r="C539" s="5">
        <f>SUMIFS(SalesDetail[Quantity (KG)],SalesDetail[Customer],$A539,SalesDetail[Year],2010)</f>
        <v>0</v>
      </c>
      <c r="D539" s="5">
        <f>SUMIFS(SalesDetail[Quantity (KG)],SalesDetail[Customer],$A539,SalesDetail[Year],2011)</f>
        <v>0</v>
      </c>
      <c r="E539" s="5">
        <f>SUMIFS(SalesDetail[Quantity (KG)],SalesDetail[Customer],$A539,SalesDetail[Year],2012)</f>
        <v>0</v>
      </c>
      <c r="F539" s="5">
        <f>SUMIFS(SalesDetail[Quantity (KG)],SalesDetail[Customer],$A539,SalesDetail[Year],2013)</f>
        <v>0</v>
      </c>
      <c r="G539" s="5">
        <f>SUMIFS(SalesDetail[Quantity (KG)],SalesDetail[Customer],$A539,SalesDetail[Year],2014)</f>
        <v>0</v>
      </c>
      <c r="H539" s="5">
        <f>SUMIFS(SalesDetail[Quantity (KG)],SalesDetail[Customer],$A539,SalesDetail[Year],2015)</f>
        <v>0</v>
      </c>
      <c r="I539" s="5">
        <f>SUMIFS(SalesDetail[Quantity (KG)],SalesDetail[Customer],$A539,SalesDetail[Year],2016)</f>
        <v>0</v>
      </c>
      <c r="J539" s="5">
        <f>SUMIFS(SalesDetail[Quantity (KG)],SalesDetail[Customer],$A539,SalesDetail[Year],2017)</f>
        <v>0</v>
      </c>
      <c r="K539" s="5">
        <f>SUMIFS(SalesDetail[Quantity (KG)],SalesDetail[Customer],$A539,SalesDetail[Year],2018)</f>
        <v>0</v>
      </c>
      <c r="L539" s="5">
        <f>SUMIFS(SalesDetail[Quantity (KG)],SalesDetail[Customer],$A539,SalesDetail[Year],2019)</f>
        <v>0</v>
      </c>
      <c r="M539" s="5">
        <f>SUMIFS(SalesDetail[Quantity (KG)],SalesDetail[Customer],$A539,SalesDetail[Year],2020)</f>
        <v>0</v>
      </c>
      <c r="N539" s="5">
        <f>SUMIFS(SalesDetail[Quantity (KG)],SalesDetail[Customer],$A539,SalesDetail[Year],2021)</f>
        <v>4</v>
      </c>
      <c r="O539" s="6">
        <f>SUM(B539:N539)</f>
        <v>4</v>
      </c>
    </row>
    <row r="540" spans="1:15" x14ac:dyDescent="0.3">
      <c r="A540" t="s">
        <v>1809</v>
      </c>
      <c r="B540" s="5">
        <f>SUMIFS(SalesDetail[Quantity (KG)],SalesDetail[Customer],$A540,SalesDetail[Year],2009)</f>
        <v>0</v>
      </c>
      <c r="C540" s="5">
        <f>SUMIFS(SalesDetail[Quantity (KG)],SalesDetail[Customer],$A540,SalesDetail[Year],2010)</f>
        <v>0</v>
      </c>
      <c r="D540" s="5">
        <f>SUMIFS(SalesDetail[Quantity (KG)],SalesDetail[Customer],$A540,SalesDetail[Year],2011)</f>
        <v>0</v>
      </c>
      <c r="E540" s="5">
        <f>SUMIFS(SalesDetail[Quantity (KG)],SalesDetail[Customer],$A540,SalesDetail[Year],2012)</f>
        <v>0</v>
      </c>
      <c r="F540" s="5">
        <f>SUMIFS(SalesDetail[Quantity (KG)],SalesDetail[Customer],$A540,SalesDetail[Year],2013)</f>
        <v>0</v>
      </c>
      <c r="G540" s="5">
        <f>SUMIFS(SalesDetail[Quantity (KG)],SalesDetail[Customer],$A540,SalesDetail[Year],2014)</f>
        <v>0</v>
      </c>
      <c r="H540" s="5">
        <f>SUMIFS(SalesDetail[Quantity (KG)],SalesDetail[Customer],$A540,SalesDetail[Year],2015)</f>
        <v>0</v>
      </c>
      <c r="I540" s="5">
        <f>SUMIFS(SalesDetail[Quantity (KG)],SalesDetail[Customer],$A540,SalesDetail[Year],2016)</f>
        <v>0</v>
      </c>
      <c r="J540" s="5">
        <f>SUMIFS(SalesDetail[Quantity (KG)],SalesDetail[Customer],$A540,SalesDetail[Year],2017)</f>
        <v>0</v>
      </c>
      <c r="K540" s="5">
        <f>SUMIFS(SalesDetail[Quantity (KG)],SalesDetail[Customer],$A540,SalesDetail[Year],2018)</f>
        <v>0</v>
      </c>
      <c r="L540" s="5">
        <f>SUMIFS(SalesDetail[Quantity (KG)],SalesDetail[Customer],$A540,SalesDetail[Year],2019)</f>
        <v>0</v>
      </c>
      <c r="M540" s="5">
        <f>SUMIFS(SalesDetail[Quantity (KG)],SalesDetail[Customer],$A540,SalesDetail[Year],2020)</f>
        <v>4</v>
      </c>
      <c r="N540" s="5">
        <f>SUMIFS(SalesDetail[Quantity (KG)],SalesDetail[Customer],$A540,SalesDetail[Year],2021)</f>
        <v>0</v>
      </c>
      <c r="O540" s="6">
        <f>SUM(B540:N540)</f>
        <v>4</v>
      </c>
    </row>
    <row r="541" spans="1:15" x14ac:dyDescent="0.3">
      <c r="A541" t="s">
        <v>1941</v>
      </c>
      <c r="B541" s="5">
        <f>SUMIFS(SalesDetail[Quantity (KG)],SalesDetail[Customer],$A541,SalesDetail[Year],2009)</f>
        <v>0</v>
      </c>
      <c r="C541" s="5">
        <f>SUMIFS(SalesDetail[Quantity (KG)],SalesDetail[Customer],$A541,SalesDetail[Year],2010)</f>
        <v>0</v>
      </c>
      <c r="D541" s="5">
        <f>SUMIFS(SalesDetail[Quantity (KG)],SalesDetail[Customer],$A541,SalesDetail[Year],2011)</f>
        <v>0</v>
      </c>
      <c r="E541" s="5">
        <f>SUMIFS(SalesDetail[Quantity (KG)],SalesDetail[Customer],$A541,SalesDetail[Year],2012)</f>
        <v>0</v>
      </c>
      <c r="F541" s="5">
        <f>SUMIFS(SalesDetail[Quantity (KG)],SalesDetail[Customer],$A541,SalesDetail[Year],2013)</f>
        <v>0</v>
      </c>
      <c r="G541" s="5">
        <f>SUMIFS(SalesDetail[Quantity (KG)],SalesDetail[Customer],$A541,SalesDetail[Year],2014)</f>
        <v>0</v>
      </c>
      <c r="H541" s="5">
        <f>SUMIFS(SalesDetail[Quantity (KG)],SalesDetail[Customer],$A541,SalesDetail[Year],2015)</f>
        <v>0</v>
      </c>
      <c r="I541" s="5">
        <f>SUMIFS(SalesDetail[Quantity (KG)],SalesDetail[Customer],$A541,SalesDetail[Year],2016)</f>
        <v>4</v>
      </c>
      <c r="J541" s="5">
        <f>SUMIFS(SalesDetail[Quantity (KG)],SalesDetail[Customer],$A541,SalesDetail[Year],2017)</f>
        <v>0</v>
      </c>
      <c r="K541" s="5">
        <f>SUMIFS(SalesDetail[Quantity (KG)],SalesDetail[Customer],$A541,SalesDetail[Year],2018)</f>
        <v>0</v>
      </c>
      <c r="L541" s="5">
        <f>SUMIFS(SalesDetail[Quantity (KG)],SalesDetail[Customer],$A541,SalesDetail[Year],2019)</f>
        <v>0</v>
      </c>
      <c r="M541" s="5">
        <f>SUMIFS(SalesDetail[Quantity (KG)],SalesDetail[Customer],$A541,SalesDetail[Year],2020)</f>
        <v>0</v>
      </c>
      <c r="N541" s="5">
        <f>SUMIFS(SalesDetail[Quantity (KG)],SalesDetail[Customer],$A541,SalesDetail[Year],2021)</f>
        <v>0</v>
      </c>
      <c r="O541" s="6">
        <f>SUM(B541:N541)</f>
        <v>4</v>
      </c>
    </row>
    <row r="542" spans="1:15" x14ac:dyDescent="0.3">
      <c r="A542" t="s">
        <v>2197</v>
      </c>
      <c r="B542" s="5">
        <f>SUMIFS(SalesDetail[Quantity (KG)],SalesDetail[Customer],$A542,SalesDetail[Year],2009)</f>
        <v>0</v>
      </c>
      <c r="C542" s="5">
        <f>SUMIFS(SalesDetail[Quantity (KG)],SalesDetail[Customer],$A542,SalesDetail[Year],2010)</f>
        <v>0</v>
      </c>
      <c r="D542" s="5">
        <f>SUMIFS(SalesDetail[Quantity (KG)],SalesDetail[Customer],$A542,SalesDetail[Year],2011)</f>
        <v>0</v>
      </c>
      <c r="E542" s="5">
        <f>SUMIFS(SalesDetail[Quantity (KG)],SalesDetail[Customer],$A542,SalesDetail[Year],2012)</f>
        <v>0</v>
      </c>
      <c r="F542" s="5">
        <f>SUMIFS(SalesDetail[Quantity (KG)],SalesDetail[Customer],$A542,SalesDetail[Year],2013)</f>
        <v>0</v>
      </c>
      <c r="G542" s="5">
        <f>SUMIFS(SalesDetail[Quantity (KG)],SalesDetail[Customer],$A542,SalesDetail[Year],2014)</f>
        <v>0</v>
      </c>
      <c r="H542" s="5">
        <f>SUMIFS(SalesDetail[Quantity (KG)],SalesDetail[Customer],$A542,SalesDetail[Year],2015)</f>
        <v>1</v>
      </c>
      <c r="I542" s="5">
        <f>SUMIFS(SalesDetail[Quantity (KG)],SalesDetail[Customer],$A542,SalesDetail[Year],2016)</f>
        <v>0</v>
      </c>
      <c r="J542" s="5">
        <f>SUMIFS(SalesDetail[Quantity (KG)],SalesDetail[Customer],$A542,SalesDetail[Year],2017)</f>
        <v>0</v>
      </c>
      <c r="K542" s="5">
        <f>SUMIFS(SalesDetail[Quantity (KG)],SalesDetail[Customer],$A542,SalesDetail[Year],2018)</f>
        <v>0</v>
      </c>
      <c r="L542" s="5">
        <f>SUMIFS(SalesDetail[Quantity (KG)],SalesDetail[Customer],$A542,SalesDetail[Year],2019)</f>
        <v>3</v>
      </c>
      <c r="M542" s="5">
        <f>SUMIFS(SalesDetail[Quantity (KG)],SalesDetail[Customer],$A542,SalesDetail[Year],2020)</f>
        <v>0</v>
      </c>
      <c r="N542" s="5">
        <f>SUMIFS(SalesDetail[Quantity (KG)],SalesDetail[Customer],$A542,SalesDetail[Year],2021)</f>
        <v>0</v>
      </c>
      <c r="O542" s="6">
        <f>SUM(B542:N542)</f>
        <v>4</v>
      </c>
    </row>
    <row r="543" spans="1:15" x14ac:dyDescent="0.3">
      <c r="A543" t="s">
        <v>2265</v>
      </c>
      <c r="B543" s="5">
        <f>SUMIFS(SalesDetail[Quantity (KG)],SalesDetail[Customer],$A543,SalesDetail[Year],2009)</f>
        <v>0</v>
      </c>
      <c r="C543" s="5">
        <f>SUMIFS(SalesDetail[Quantity (KG)],SalesDetail[Customer],$A543,SalesDetail[Year],2010)</f>
        <v>0</v>
      </c>
      <c r="D543" s="5">
        <f>SUMIFS(SalesDetail[Quantity (KG)],SalesDetail[Customer],$A543,SalesDetail[Year],2011)</f>
        <v>0</v>
      </c>
      <c r="E543" s="5">
        <f>SUMIFS(SalesDetail[Quantity (KG)],SalesDetail[Customer],$A543,SalesDetail[Year],2012)</f>
        <v>0</v>
      </c>
      <c r="F543" s="5">
        <f>SUMIFS(SalesDetail[Quantity (KG)],SalesDetail[Customer],$A543,SalesDetail[Year],2013)</f>
        <v>0</v>
      </c>
      <c r="G543" s="5">
        <f>SUMIFS(SalesDetail[Quantity (KG)],SalesDetail[Customer],$A543,SalesDetail[Year],2014)</f>
        <v>0</v>
      </c>
      <c r="H543" s="5">
        <f>SUMIFS(SalesDetail[Quantity (KG)],SalesDetail[Customer],$A543,SalesDetail[Year],2015)</f>
        <v>0</v>
      </c>
      <c r="I543" s="5">
        <f>SUMIFS(SalesDetail[Quantity (KG)],SalesDetail[Customer],$A543,SalesDetail[Year],2016)</f>
        <v>0</v>
      </c>
      <c r="J543" s="5">
        <f>SUMIFS(SalesDetail[Quantity (KG)],SalesDetail[Customer],$A543,SalesDetail[Year],2017)</f>
        <v>4</v>
      </c>
      <c r="K543" s="5">
        <f>SUMIFS(SalesDetail[Quantity (KG)],SalesDetail[Customer],$A543,SalesDetail[Year],2018)</f>
        <v>0</v>
      </c>
      <c r="L543" s="5">
        <f>SUMIFS(SalesDetail[Quantity (KG)],SalesDetail[Customer],$A543,SalesDetail[Year],2019)</f>
        <v>0</v>
      </c>
      <c r="M543" s="5">
        <f>SUMIFS(SalesDetail[Quantity (KG)],SalesDetail[Customer],$A543,SalesDetail[Year],2020)</f>
        <v>0</v>
      </c>
      <c r="N543" s="5">
        <f>SUMIFS(SalesDetail[Quantity (KG)],SalesDetail[Customer],$A543,SalesDetail[Year],2021)</f>
        <v>0</v>
      </c>
      <c r="O543" s="6">
        <f>SUM(B543:N543)</f>
        <v>4</v>
      </c>
    </row>
    <row r="544" spans="1:15" x14ac:dyDescent="0.3">
      <c r="A544" t="s">
        <v>2469</v>
      </c>
      <c r="B544" s="5">
        <f>SUMIFS(SalesDetail[Quantity (KG)],SalesDetail[Customer],$A544,SalesDetail[Year],2009)</f>
        <v>0</v>
      </c>
      <c r="C544" s="5">
        <f>SUMIFS(SalesDetail[Quantity (KG)],SalesDetail[Customer],$A544,SalesDetail[Year],2010)</f>
        <v>0</v>
      </c>
      <c r="D544" s="5">
        <f>SUMIFS(SalesDetail[Quantity (KG)],SalesDetail[Customer],$A544,SalesDetail[Year],2011)</f>
        <v>0</v>
      </c>
      <c r="E544" s="5">
        <f>SUMIFS(SalesDetail[Quantity (KG)],SalesDetail[Customer],$A544,SalesDetail[Year],2012)</f>
        <v>0</v>
      </c>
      <c r="F544" s="5">
        <f>SUMIFS(SalesDetail[Quantity (KG)],SalesDetail[Customer],$A544,SalesDetail[Year],2013)</f>
        <v>0</v>
      </c>
      <c r="G544" s="5">
        <f>SUMIFS(SalesDetail[Quantity (KG)],SalesDetail[Customer],$A544,SalesDetail[Year],2014)</f>
        <v>0</v>
      </c>
      <c r="H544" s="5">
        <f>SUMIFS(SalesDetail[Quantity (KG)],SalesDetail[Customer],$A544,SalesDetail[Year],2015)</f>
        <v>0</v>
      </c>
      <c r="I544" s="5">
        <f>SUMIFS(SalesDetail[Quantity (KG)],SalesDetail[Customer],$A544,SalesDetail[Year],2016)</f>
        <v>0</v>
      </c>
      <c r="J544" s="5">
        <f>SUMIFS(SalesDetail[Quantity (KG)],SalesDetail[Customer],$A544,SalesDetail[Year],2017)</f>
        <v>0</v>
      </c>
      <c r="K544" s="5">
        <f>SUMIFS(SalesDetail[Quantity (KG)],SalesDetail[Customer],$A544,SalesDetail[Year],2018)</f>
        <v>0</v>
      </c>
      <c r="L544" s="5">
        <f>SUMIFS(SalesDetail[Quantity (KG)],SalesDetail[Customer],$A544,SalesDetail[Year],2019)</f>
        <v>4</v>
      </c>
      <c r="M544" s="5">
        <f>SUMIFS(SalesDetail[Quantity (KG)],SalesDetail[Customer],$A544,SalesDetail[Year],2020)</f>
        <v>0</v>
      </c>
      <c r="N544" s="5">
        <f>SUMIFS(SalesDetail[Quantity (KG)],SalesDetail[Customer],$A544,SalesDetail[Year],2021)</f>
        <v>0</v>
      </c>
      <c r="O544" s="6">
        <f>SUM(B544:N544)</f>
        <v>4</v>
      </c>
    </row>
    <row r="545" spans="1:15" x14ac:dyDescent="0.3">
      <c r="A545" t="s">
        <v>936</v>
      </c>
      <c r="B545" s="5">
        <f>SUMIFS(SalesDetail[Quantity (KG)],SalesDetail[Customer],$A545,SalesDetail[Year],2009)</f>
        <v>0</v>
      </c>
      <c r="C545" s="5">
        <f>SUMIFS(SalesDetail[Quantity (KG)],SalesDetail[Customer],$A545,SalesDetail[Year],2010)</f>
        <v>0</v>
      </c>
      <c r="D545" s="5">
        <f>SUMIFS(SalesDetail[Quantity (KG)],SalesDetail[Customer],$A545,SalesDetail[Year],2011)</f>
        <v>0</v>
      </c>
      <c r="E545" s="5">
        <f>SUMIFS(SalesDetail[Quantity (KG)],SalesDetail[Customer],$A545,SalesDetail[Year],2012)</f>
        <v>0</v>
      </c>
      <c r="F545" s="5">
        <f>SUMIFS(SalesDetail[Quantity (KG)],SalesDetail[Customer],$A545,SalesDetail[Year],2013)</f>
        <v>0</v>
      </c>
      <c r="G545" s="5">
        <f>SUMIFS(SalesDetail[Quantity (KG)],SalesDetail[Customer],$A545,SalesDetail[Year],2014)</f>
        <v>0</v>
      </c>
      <c r="H545" s="5">
        <f>SUMIFS(SalesDetail[Quantity (KG)],SalesDetail[Customer],$A545,SalesDetail[Year],2015)</f>
        <v>0</v>
      </c>
      <c r="I545" s="5">
        <f>SUMIFS(SalesDetail[Quantity (KG)],SalesDetail[Customer],$A545,SalesDetail[Year],2016)</f>
        <v>3</v>
      </c>
      <c r="J545" s="5">
        <f>SUMIFS(SalesDetail[Quantity (KG)],SalesDetail[Customer],$A545,SalesDetail[Year],2017)</f>
        <v>0</v>
      </c>
      <c r="K545" s="5">
        <f>SUMIFS(SalesDetail[Quantity (KG)],SalesDetail[Customer],$A545,SalesDetail[Year],2018)</f>
        <v>0</v>
      </c>
      <c r="L545" s="5">
        <f>SUMIFS(SalesDetail[Quantity (KG)],SalesDetail[Customer],$A545,SalesDetail[Year],2019)</f>
        <v>0</v>
      </c>
      <c r="M545" s="5">
        <f>SUMIFS(SalesDetail[Quantity (KG)],SalesDetail[Customer],$A545,SalesDetail[Year],2020)</f>
        <v>0</v>
      </c>
      <c r="N545" s="5">
        <f>SUMIFS(SalesDetail[Quantity (KG)],SalesDetail[Customer],$A545,SalesDetail[Year],2021)</f>
        <v>0</v>
      </c>
      <c r="O545" s="6">
        <f>SUM(B545:N545)</f>
        <v>3</v>
      </c>
    </row>
    <row r="546" spans="1:15" x14ac:dyDescent="0.3">
      <c r="A546" t="s">
        <v>1645</v>
      </c>
      <c r="B546" s="5">
        <f>SUMIFS(SalesDetail[Quantity (KG)],SalesDetail[Customer],$A546,SalesDetail[Year],2009)</f>
        <v>0</v>
      </c>
      <c r="C546" s="5">
        <f>SUMIFS(SalesDetail[Quantity (KG)],SalesDetail[Customer],$A546,SalesDetail[Year],2010)</f>
        <v>0</v>
      </c>
      <c r="D546" s="5">
        <f>SUMIFS(SalesDetail[Quantity (KG)],SalesDetail[Customer],$A546,SalesDetail[Year],2011)</f>
        <v>0</v>
      </c>
      <c r="E546" s="5">
        <f>SUMIFS(SalesDetail[Quantity (KG)],SalesDetail[Customer],$A546,SalesDetail[Year],2012)</f>
        <v>0</v>
      </c>
      <c r="F546" s="5">
        <f>SUMIFS(SalesDetail[Quantity (KG)],SalesDetail[Customer],$A546,SalesDetail[Year],2013)</f>
        <v>0</v>
      </c>
      <c r="G546" s="5">
        <f>SUMIFS(SalesDetail[Quantity (KG)],SalesDetail[Customer],$A546,SalesDetail[Year],2014)</f>
        <v>0</v>
      </c>
      <c r="H546" s="5">
        <f>SUMIFS(SalesDetail[Quantity (KG)],SalesDetail[Customer],$A546,SalesDetail[Year],2015)</f>
        <v>0</v>
      </c>
      <c r="I546" s="5">
        <f>SUMIFS(SalesDetail[Quantity (KG)],SalesDetail[Customer],$A546,SalesDetail[Year],2016)</f>
        <v>0</v>
      </c>
      <c r="J546" s="5">
        <f>SUMIFS(SalesDetail[Quantity (KG)],SalesDetail[Customer],$A546,SalesDetail[Year],2017)</f>
        <v>0</v>
      </c>
      <c r="K546" s="5">
        <f>SUMIFS(SalesDetail[Quantity (KG)],SalesDetail[Customer],$A546,SalesDetail[Year],2018)</f>
        <v>0</v>
      </c>
      <c r="L546" s="5">
        <f>SUMIFS(SalesDetail[Quantity (KG)],SalesDetail[Customer],$A546,SalesDetail[Year],2019)</f>
        <v>3</v>
      </c>
      <c r="M546" s="5">
        <f>SUMIFS(SalesDetail[Quantity (KG)],SalesDetail[Customer],$A546,SalesDetail[Year],2020)</f>
        <v>0</v>
      </c>
      <c r="N546" s="5">
        <f>SUMIFS(SalesDetail[Quantity (KG)],SalesDetail[Customer],$A546,SalesDetail[Year],2021)</f>
        <v>0</v>
      </c>
      <c r="O546" s="6">
        <f>SUM(B546:N546)</f>
        <v>3</v>
      </c>
    </row>
    <row r="547" spans="1:15" x14ac:dyDescent="0.3">
      <c r="A547" t="s">
        <v>1882</v>
      </c>
      <c r="B547" s="5">
        <f>SUMIFS(SalesDetail[Quantity (KG)],SalesDetail[Customer],$A547,SalesDetail[Year],2009)</f>
        <v>0</v>
      </c>
      <c r="C547" s="5">
        <f>SUMIFS(SalesDetail[Quantity (KG)],SalesDetail[Customer],$A547,SalesDetail[Year],2010)</f>
        <v>0</v>
      </c>
      <c r="D547" s="5">
        <f>SUMIFS(SalesDetail[Quantity (KG)],SalesDetail[Customer],$A547,SalesDetail[Year],2011)</f>
        <v>0</v>
      </c>
      <c r="E547" s="5">
        <f>SUMIFS(SalesDetail[Quantity (KG)],SalesDetail[Customer],$A547,SalesDetail[Year],2012)</f>
        <v>1</v>
      </c>
      <c r="F547" s="5">
        <f>SUMIFS(SalesDetail[Quantity (KG)],SalesDetail[Customer],$A547,SalesDetail[Year],2013)</f>
        <v>2</v>
      </c>
      <c r="G547" s="5">
        <f>SUMIFS(SalesDetail[Quantity (KG)],SalesDetail[Customer],$A547,SalesDetail[Year],2014)</f>
        <v>0</v>
      </c>
      <c r="H547" s="5">
        <f>SUMIFS(SalesDetail[Quantity (KG)],SalesDetail[Customer],$A547,SalesDetail[Year],2015)</f>
        <v>0</v>
      </c>
      <c r="I547" s="5">
        <f>SUMIFS(SalesDetail[Quantity (KG)],SalesDetail[Customer],$A547,SalesDetail[Year],2016)</f>
        <v>0</v>
      </c>
      <c r="J547" s="5">
        <f>SUMIFS(SalesDetail[Quantity (KG)],SalesDetail[Customer],$A547,SalesDetail[Year],2017)</f>
        <v>0</v>
      </c>
      <c r="K547" s="5">
        <f>SUMIFS(SalesDetail[Quantity (KG)],SalesDetail[Customer],$A547,SalesDetail[Year],2018)</f>
        <v>0</v>
      </c>
      <c r="L547" s="5">
        <f>SUMIFS(SalesDetail[Quantity (KG)],SalesDetail[Customer],$A547,SalesDetail[Year],2019)</f>
        <v>0</v>
      </c>
      <c r="M547" s="5">
        <f>SUMIFS(SalesDetail[Quantity (KG)],SalesDetail[Customer],$A547,SalesDetail[Year],2020)</f>
        <v>0</v>
      </c>
      <c r="N547" s="5">
        <f>SUMIFS(SalesDetail[Quantity (KG)],SalesDetail[Customer],$A547,SalesDetail[Year],2021)</f>
        <v>0</v>
      </c>
      <c r="O547" s="6">
        <f>SUM(B547:N547)</f>
        <v>3</v>
      </c>
    </row>
    <row r="548" spans="1:15" x14ac:dyDescent="0.3">
      <c r="A548" t="s">
        <v>1952</v>
      </c>
      <c r="B548" s="5">
        <f>SUMIFS(SalesDetail[Quantity (KG)],SalesDetail[Customer],$A548,SalesDetail[Year],2009)</f>
        <v>0</v>
      </c>
      <c r="C548" s="5">
        <f>SUMIFS(SalesDetail[Quantity (KG)],SalesDetail[Customer],$A548,SalesDetail[Year],2010)</f>
        <v>0</v>
      </c>
      <c r="D548" s="5">
        <f>SUMIFS(SalesDetail[Quantity (KG)],SalesDetail[Customer],$A548,SalesDetail[Year],2011)</f>
        <v>0</v>
      </c>
      <c r="E548" s="5">
        <f>SUMIFS(SalesDetail[Quantity (KG)],SalesDetail[Customer],$A548,SalesDetail[Year],2012)</f>
        <v>0</v>
      </c>
      <c r="F548" s="5">
        <f>SUMIFS(SalesDetail[Quantity (KG)],SalesDetail[Customer],$A548,SalesDetail[Year],2013)</f>
        <v>0</v>
      </c>
      <c r="G548" s="5">
        <f>SUMIFS(SalesDetail[Quantity (KG)],SalesDetail[Customer],$A548,SalesDetail[Year],2014)</f>
        <v>0</v>
      </c>
      <c r="H548" s="5">
        <f>SUMIFS(SalesDetail[Quantity (KG)],SalesDetail[Customer],$A548,SalesDetail[Year],2015)</f>
        <v>0</v>
      </c>
      <c r="I548" s="5">
        <f>SUMIFS(SalesDetail[Quantity (KG)],SalesDetail[Customer],$A548,SalesDetail[Year],2016)</f>
        <v>0</v>
      </c>
      <c r="J548" s="5">
        <f>SUMIFS(SalesDetail[Quantity (KG)],SalesDetail[Customer],$A548,SalesDetail[Year],2017)</f>
        <v>0</v>
      </c>
      <c r="K548" s="5">
        <f>SUMIFS(SalesDetail[Quantity (KG)],SalesDetail[Customer],$A548,SalesDetail[Year],2018)</f>
        <v>0</v>
      </c>
      <c r="L548" s="5">
        <f>SUMIFS(SalesDetail[Quantity (KG)],SalesDetail[Customer],$A548,SalesDetail[Year],2019)</f>
        <v>0</v>
      </c>
      <c r="M548" s="5">
        <f>SUMIFS(SalesDetail[Quantity (KG)],SalesDetail[Customer],$A548,SalesDetail[Year],2020)</f>
        <v>3</v>
      </c>
      <c r="N548" s="5">
        <f>SUMIFS(SalesDetail[Quantity (KG)],SalesDetail[Customer],$A548,SalesDetail[Year],2021)</f>
        <v>0</v>
      </c>
      <c r="O548" s="6">
        <f>SUM(B548:N548)</f>
        <v>3</v>
      </c>
    </row>
    <row r="549" spans="1:15" x14ac:dyDescent="0.3">
      <c r="A549" t="s">
        <v>2248</v>
      </c>
      <c r="B549" s="5">
        <f>SUMIFS(SalesDetail[Quantity (KG)],SalesDetail[Customer],$A549,SalesDetail[Year],2009)</f>
        <v>0</v>
      </c>
      <c r="C549" s="5">
        <f>SUMIFS(SalesDetail[Quantity (KG)],SalesDetail[Customer],$A549,SalesDetail[Year],2010)</f>
        <v>0</v>
      </c>
      <c r="D549" s="5">
        <f>SUMIFS(SalesDetail[Quantity (KG)],SalesDetail[Customer],$A549,SalesDetail[Year],2011)</f>
        <v>0</v>
      </c>
      <c r="E549" s="5">
        <f>SUMIFS(SalesDetail[Quantity (KG)],SalesDetail[Customer],$A549,SalesDetail[Year],2012)</f>
        <v>0</v>
      </c>
      <c r="F549" s="5">
        <f>SUMIFS(SalesDetail[Quantity (KG)],SalesDetail[Customer],$A549,SalesDetail[Year],2013)</f>
        <v>0</v>
      </c>
      <c r="G549" s="5">
        <f>SUMIFS(SalesDetail[Quantity (KG)],SalesDetail[Customer],$A549,SalesDetail[Year],2014)</f>
        <v>0</v>
      </c>
      <c r="H549" s="5">
        <f>SUMIFS(SalesDetail[Quantity (KG)],SalesDetail[Customer],$A549,SalesDetail[Year],2015)</f>
        <v>0</v>
      </c>
      <c r="I549" s="5">
        <f>SUMIFS(SalesDetail[Quantity (KG)],SalesDetail[Customer],$A549,SalesDetail[Year],2016)</f>
        <v>1</v>
      </c>
      <c r="J549" s="5">
        <f>SUMIFS(SalesDetail[Quantity (KG)],SalesDetail[Customer],$A549,SalesDetail[Year],2017)</f>
        <v>2</v>
      </c>
      <c r="K549" s="5">
        <f>SUMIFS(SalesDetail[Quantity (KG)],SalesDetail[Customer],$A549,SalesDetail[Year],2018)</f>
        <v>0</v>
      </c>
      <c r="L549" s="5">
        <f>SUMIFS(SalesDetail[Quantity (KG)],SalesDetail[Customer],$A549,SalesDetail[Year],2019)</f>
        <v>0</v>
      </c>
      <c r="M549" s="5">
        <f>SUMIFS(SalesDetail[Quantity (KG)],SalesDetail[Customer],$A549,SalesDetail[Year],2020)</f>
        <v>0</v>
      </c>
      <c r="N549" s="5">
        <f>SUMIFS(SalesDetail[Quantity (KG)],SalesDetail[Customer],$A549,SalesDetail[Year],2021)</f>
        <v>0</v>
      </c>
      <c r="O549" s="6">
        <f>SUM(B549:N549)</f>
        <v>3</v>
      </c>
    </row>
    <row r="550" spans="1:15" x14ac:dyDescent="0.3">
      <c r="A550" t="s">
        <v>2525</v>
      </c>
      <c r="B550" s="5">
        <f>SUMIFS(SalesDetail[Quantity (KG)],SalesDetail[Customer],$A550,SalesDetail[Year],2009)</f>
        <v>0</v>
      </c>
      <c r="C550" s="5">
        <f>SUMIFS(SalesDetail[Quantity (KG)],SalesDetail[Customer],$A550,SalesDetail[Year],2010)</f>
        <v>0</v>
      </c>
      <c r="D550" s="5">
        <f>SUMIFS(SalesDetail[Quantity (KG)],SalesDetail[Customer],$A550,SalesDetail[Year],2011)</f>
        <v>0</v>
      </c>
      <c r="E550" s="5">
        <f>SUMIFS(SalesDetail[Quantity (KG)],SalesDetail[Customer],$A550,SalesDetail[Year],2012)</f>
        <v>0</v>
      </c>
      <c r="F550" s="5">
        <f>SUMIFS(SalesDetail[Quantity (KG)],SalesDetail[Customer],$A550,SalesDetail[Year],2013)</f>
        <v>0</v>
      </c>
      <c r="G550" s="5">
        <f>SUMIFS(SalesDetail[Quantity (KG)],SalesDetail[Customer],$A550,SalesDetail[Year],2014)</f>
        <v>0</v>
      </c>
      <c r="H550" s="5">
        <f>SUMIFS(SalesDetail[Quantity (KG)],SalesDetail[Customer],$A550,SalesDetail[Year],2015)</f>
        <v>0</v>
      </c>
      <c r="I550" s="5">
        <f>SUMIFS(SalesDetail[Quantity (KG)],SalesDetail[Customer],$A550,SalesDetail[Year],2016)</f>
        <v>0</v>
      </c>
      <c r="J550" s="5">
        <f>SUMIFS(SalesDetail[Quantity (KG)],SalesDetail[Customer],$A550,SalesDetail[Year],2017)</f>
        <v>0</v>
      </c>
      <c r="K550" s="5">
        <f>SUMIFS(SalesDetail[Quantity (KG)],SalesDetail[Customer],$A550,SalesDetail[Year],2018)</f>
        <v>0</v>
      </c>
      <c r="L550" s="5">
        <f>SUMIFS(SalesDetail[Quantity (KG)],SalesDetail[Customer],$A550,SalesDetail[Year],2019)</f>
        <v>0</v>
      </c>
      <c r="M550" s="5">
        <f>SUMIFS(SalesDetail[Quantity (KG)],SalesDetail[Customer],$A550,SalesDetail[Year],2020)</f>
        <v>3</v>
      </c>
      <c r="N550" s="5">
        <f>SUMIFS(SalesDetail[Quantity (KG)],SalesDetail[Customer],$A550,SalesDetail[Year],2021)</f>
        <v>0</v>
      </c>
      <c r="O550" s="6">
        <f>SUM(B550:N550)</f>
        <v>3</v>
      </c>
    </row>
    <row r="551" spans="1:15" x14ac:dyDescent="0.3">
      <c r="A551" t="s">
        <v>2121</v>
      </c>
      <c r="B551" s="5">
        <f>SUMIFS(SalesDetail[Quantity (KG)],SalesDetail[Customer],$A551,SalesDetail[Year],2009)</f>
        <v>0</v>
      </c>
      <c r="C551" s="5">
        <f>SUMIFS(SalesDetail[Quantity (KG)],SalesDetail[Customer],$A551,SalesDetail[Year],2010)</f>
        <v>0</v>
      </c>
      <c r="D551" s="5">
        <f>SUMIFS(SalesDetail[Quantity (KG)],SalesDetail[Customer],$A551,SalesDetail[Year],2011)</f>
        <v>0</v>
      </c>
      <c r="E551" s="5">
        <f>SUMIFS(SalesDetail[Quantity (KG)],SalesDetail[Customer],$A551,SalesDetail[Year],2012)</f>
        <v>0</v>
      </c>
      <c r="F551" s="5">
        <f>SUMIFS(SalesDetail[Quantity (KG)],SalesDetail[Customer],$A551,SalesDetail[Year],2013)</f>
        <v>0</v>
      </c>
      <c r="G551" s="5">
        <f>SUMIFS(SalesDetail[Quantity (KG)],SalesDetail[Customer],$A551,SalesDetail[Year],2014)</f>
        <v>0</v>
      </c>
      <c r="H551" s="5">
        <f>SUMIFS(SalesDetail[Quantity (KG)],SalesDetail[Customer],$A551,SalesDetail[Year],2015)</f>
        <v>0</v>
      </c>
      <c r="I551" s="5">
        <f>SUMIFS(SalesDetail[Quantity (KG)],SalesDetail[Customer],$A551,SalesDetail[Year],2016)</f>
        <v>2.5</v>
      </c>
      <c r="J551" s="5">
        <f>SUMIFS(SalesDetail[Quantity (KG)],SalesDetail[Customer],$A551,SalesDetail[Year],2017)</f>
        <v>0</v>
      </c>
      <c r="K551" s="5">
        <f>SUMIFS(SalesDetail[Quantity (KG)],SalesDetail[Customer],$A551,SalesDetail[Year],2018)</f>
        <v>0</v>
      </c>
      <c r="L551" s="5">
        <f>SUMIFS(SalesDetail[Quantity (KG)],SalesDetail[Customer],$A551,SalesDetail[Year],2019)</f>
        <v>0</v>
      </c>
      <c r="M551" s="5">
        <f>SUMIFS(SalesDetail[Quantity (KG)],SalesDetail[Customer],$A551,SalesDetail[Year],2020)</f>
        <v>0</v>
      </c>
      <c r="N551" s="5">
        <f>SUMIFS(SalesDetail[Quantity (KG)],SalesDetail[Customer],$A551,SalesDetail[Year],2021)</f>
        <v>0</v>
      </c>
      <c r="O551" s="6">
        <f>SUM(B551:N551)</f>
        <v>2.5</v>
      </c>
    </row>
    <row r="552" spans="1:15" x14ac:dyDescent="0.3">
      <c r="A552" t="s">
        <v>1157</v>
      </c>
      <c r="B552" s="5">
        <f>SUMIFS(SalesDetail[Quantity (KG)],SalesDetail[Customer],$A552,SalesDetail[Year],2009)</f>
        <v>0</v>
      </c>
      <c r="C552" s="5">
        <f>SUMIFS(SalesDetail[Quantity (KG)],SalesDetail[Customer],$A552,SalesDetail[Year],2010)</f>
        <v>0</v>
      </c>
      <c r="D552" s="5">
        <f>SUMIFS(SalesDetail[Quantity (KG)],SalesDetail[Customer],$A552,SalesDetail[Year],2011)</f>
        <v>0</v>
      </c>
      <c r="E552" s="5">
        <f>SUMIFS(SalesDetail[Quantity (KG)],SalesDetail[Customer],$A552,SalesDetail[Year],2012)</f>
        <v>0</v>
      </c>
      <c r="F552" s="5">
        <f>SUMIFS(SalesDetail[Quantity (KG)],SalesDetail[Customer],$A552,SalesDetail[Year],2013)</f>
        <v>0</v>
      </c>
      <c r="G552" s="5">
        <f>SUMIFS(SalesDetail[Quantity (KG)],SalesDetail[Customer],$A552,SalesDetail[Year],2014)</f>
        <v>2</v>
      </c>
      <c r="H552" s="5">
        <f>SUMIFS(SalesDetail[Quantity (KG)],SalesDetail[Customer],$A552,SalesDetail[Year],2015)</f>
        <v>0</v>
      </c>
      <c r="I552" s="5">
        <f>SUMIFS(SalesDetail[Quantity (KG)],SalesDetail[Customer],$A552,SalesDetail[Year],2016)</f>
        <v>0</v>
      </c>
      <c r="J552" s="5">
        <f>SUMIFS(SalesDetail[Quantity (KG)],SalesDetail[Customer],$A552,SalesDetail[Year],2017)</f>
        <v>0</v>
      </c>
      <c r="K552" s="5">
        <f>SUMIFS(SalesDetail[Quantity (KG)],SalesDetail[Customer],$A552,SalesDetail[Year],2018)</f>
        <v>0</v>
      </c>
      <c r="L552" s="5">
        <f>SUMIFS(SalesDetail[Quantity (KG)],SalesDetail[Customer],$A552,SalesDetail[Year],2019)</f>
        <v>0</v>
      </c>
      <c r="M552" s="5">
        <f>SUMIFS(SalesDetail[Quantity (KG)],SalesDetail[Customer],$A552,SalesDetail[Year],2020)</f>
        <v>0</v>
      </c>
      <c r="N552" s="5">
        <f>SUMIFS(SalesDetail[Quantity (KG)],SalesDetail[Customer],$A552,SalesDetail[Year],2021)</f>
        <v>0</v>
      </c>
      <c r="O552" s="6">
        <f>SUM(B552:N552)</f>
        <v>2</v>
      </c>
    </row>
    <row r="553" spans="1:15" x14ac:dyDescent="0.3">
      <c r="A553" t="s">
        <v>1330</v>
      </c>
      <c r="B553" s="5">
        <f>SUMIFS(SalesDetail[Quantity (KG)],SalesDetail[Customer],$A553,SalesDetail[Year],2009)</f>
        <v>0</v>
      </c>
      <c r="C553" s="5">
        <f>SUMIFS(SalesDetail[Quantity (KG)],SalesDetail[Customer],$A553,SalesDetail[Year],2010)</f>
        <v>0</v>
      </c>
      <c r="D553" s="5">
        <f>SUMIFS(SalesDetail[Quantity (KG)],SalesDetail[Customer],$A553,SalesDetail[Year],2011)</f>
        <v>0</v>
      </c>
      <c r="E553" s="5">
        <f>SUMIFS(SalesDetail[Quantity (KG)],SalesDetail[Customer],$A553,SalesDetail[Year],2012)</f>
        <v>0</v>
      </c>
      <c r="F553" s="5">
        <f>SUMIFS(SalesDetail[Quantity (KG)],SalesDetail[Customer],$A553,SalesDetail[Year],2013)</f>
        <v>0</v>
      </c>
      <c r="G553" s="5">
        <f>SUMIFS(SalesDetail[Quantity (KG)],SalesDetail[Customer],$A553,SalesDetail[Year],2014)</f>
        <v>0</v>
      </c>
      <c r="H553" s="5">
        <f>SUMIFS(SalesDetail[Quantity (KG)],SalesDetail[Customer],$A553,SalesDetail[Year],2015)</f>
        <v>0</v>
      </c>
      <c r="I553" s="5">
        <f>SUMIFS(SalesDetail[Quantity (KG)],SalesDetail[Customer],$A553,SalesDetail[Year],2016)</f>
        <v>2</v>
      </c>
      <c r="J553" s="5">
        <f>SUMIFS(SalesDetail[Quantity (KG)],SalesDetail[Customer],$A553,SalesDetail[Year],2017)</f>
        <v>0</v>
      </c>
      <c r="K553" s="5">
        <f>SUMIFS(SalesDetail[Quantity (KG)],SalesDetail[Customer],$A553,SalesDetail[Year],2018)</f>
        <v>0</v>
      </c>
      <c r="L553" s="5">
        <f>SUMIFS(SalesDetail[Quantity (KG)],SalesDetail[Customer],$A553,SalesDetail[Year],2019)</f>
        <v>0</v>
      </c>
      <c r="M553" s="5">
        <f>SUMIFS(SalesDetail[Quantity (KG)],SalesDetail[Customer],$A553,SalesDetail[Year],2020)</f>
        <v>0</v>
      </c>
      <c r="N553" s="5">
        <f>SUMIFS(SalesDetail[Quantity (KG)],SalesDetail[Customer],$A553,SalesDetail[Year],2021)</f>
        <v>0</v>
      </c>
      <c r="O553" s="6">
        <f>SUM(B553:N553)</f>
        <v>2</v>
      </c>
    </row>
    <row r="554" spans="1:15" x14ac:dyDescent="0.3">
      <c r="A554" t="s">
        <v>1772</v>
      </c>
      <c r="B554" s="5">
        <f>SUMIFS(SalesDetail[Quantity (KG)],SalesDetail[Customer],$A554,SalesDetail[Year],2009)</f>
        <v>0</v>
      </c>
      <c r="C554" s="5">
        <f>SUMIFS(SalesDetail[Quantity (KG)],SalesDetail[Customer],$A554,SalesDetail[Year],2010)</f>
        <v>0</v>
      </c>
      <c r="D554" s="5">
        <f>SUMIFS(SalesDetail[Quantity (KG)],SalesDetail[Customer],$A554,SalesDetail[Year],2011)</f>
        <v>0</v>
      </c>
      <c r="E554" s="5">
        <f>SUMIFS(SalesDetail[Quantity (KG)],SalesDetail[Customer],$A554,SalesDetail[Year],2012)</f>
        <v>0</v>
      </c>
      <c r="F554" s="5">
        <f>SUMIFS(SalesDetail[Quantity (KG)],SalesDetail[Customer],$A554,SalesDetail[Year],2013)</f>
        <v>0</v>
      </c>
      <c r="G554" s="5">
        <f>SUMIFS(SalesDetail[Quantity (KG)],SalesDetail[Customer],$A554,SalesDetail[Year],2014)</f>
        <v>0</v>
      </c>
      <c r="H554" s="5">
        <f>SUMIFS(SalesDetail[Quantity (KG)],SalesDetail[Customer],$A554,SalesDetail[Year],2015)</f>
        <v>0</v>
      </c>
      <c r="I554" s="5">
        <f>SUMIFS(SalesDetail[Quantity (KG)],SalesDetail[Customer],$A554,SalesDetail[Year],2016)</f>
        <v>2</v>
      </c>
      <c r="J554" s="5">
        <f>SUMIFS(SalesDetail[Quantity (KG)],SalesDetail[Customer],$A554,SalesDetail[Year],2017)</f>
        <v>0</v>
      </c>
      <c r="K554" s="5">
        <f>SUMIFS(SalesDetail[Quantity (KG)],SalesDetail[Customer],$A554,SalesDetail[Year],2018)</f>
        <v>0</v>
      </c>
      <c r="L554" s="5">
        <f>SUMIFS(SalesDetail[Quantity (KG)],SalesDetail[Customer],$A554,SalesDetail[Year],2019)</f>
        <v>0</v>
      </c>
      <c r="M554" s="5">
        <f>SUMIFS(SalesDetail[Quantity (KG)],SalesDetail[Customer],$A554,SalesDetail[Year],2020)</f>
        <v>0</v>
      </c>
      <c r="N554" s="5">
        <f>SUMIFS(SalesDetail[Quantity (KG)],SalesDetail[Customer],$A554,SalesDetail[Year],2021)</f>
        <v>0</v>
      </c>
      <c r="O554" s="6">
        <f>SUM(B554:N554)</f>
        <v>2</v>
      </c>
    </row>
    <row r="555" spans="1:15" x14ac:dyDescent="0.3">
      <c r="A555" t="s">
        <v>2073</v>
      </c>
      <c r="B555" s="5">
        <f>SUMIFS(SalesDetail[Quantity (KG)],SalesDetail[Customer],$A555,SalesDetail[Year],2009)</f>
        <v>0</v>
      </c>
      <c r="C555" s="5">
        <f>SUMIFS(SalesDetail[Quantity (KG)],SalesDetail[Customer],$A555,SalesDetail[Year],2010)</f>
        <v>0</v>
      </c>
      <c r="D555" s="5">
        <f>SUMIFS(SalesDetail[Quantity (KG)],SalesDetail[Customer],$A555,SalesDetail[Year],2011)</f>
        <v>0</v>
      </c>
      <c r="E555" s="5">
        <f>SUMIFS(SalesDetail[Quantity (KG)],SalesDetail[Customer],$A555,SalesDetail[Year],2012)</f>
        <v>0</v>
      </c>
      <c r="F555" s="5">
        <f>SUMIFS(SalesDetail[Quantity (KG)],SalesDetail[Customer],$A555,SalesDetail[Year],2013)</f>
        <v>0</v>
      </c>
      <c r="G555" s="5">
        <f>SUMIFS(SalesDetail[Quantity (KG)],SalesDetail[Customer],$A555,SalesDetail[Year],2014)</f>
        <v>0</v>
      </c>
      <c r="H555" s="5">
        <f>SUMIFS(SalesDetail[Quantity (KG)],SalesDetail[Customer],$A555,SalesDetail[Year],2015)</f>
        <v>0</v>
      </c>
      <c r="I555" s="5">
        <f>SUMIFS(SalesDetail[Quantity (KG)],SalesDetail[Customer],$A555,SalesDetail[Year],2016)</f>
        <v>0</v>
      </c>
      <c r="J555" s="5">
        <f>SUMIFS(SalesDetail[Quantity (KG)],SalesDetail[Customer],$A555,SalesDetail[Year],2017)</f>
        <v>0</v>
      </c>
      <c r="K555" s="5">
        <f>SUMIFS(SalesDetail[Quantity (KG)],SalesDetail[Customer],$A555,SalesDetail[Year],2018)</f>
        <v>0</v>
      </c>
      <c r="L555" s="5">
        <f>SUMIFS(SalesDetail[Quantity (KG)],SalesDetail[Customer],$A555,SalesDetail[Year],2019)</f>
        <v>0</v>
      </c>
      <c r="M555" s="5">
        <f>SUMIFS(SalesDetail[Quantity (KG)],SalesDetail[Customer],$A555,SalesDetail[Year],2020)</f>
        <v>0</v>
      </c>
      <c r="N555" s="5">
        <f>SUMIFS(SalesDetail[Quantity (KG)],SalesDetail[Customer],$A555,SalesDetail[Year],2021)</f>
        <v>2</v>
      </c>
      <c r="O555" s="6">
        <f>SUM(B555:N555)</f>
        <v>2</v>
      </c>
    </row>
    <row r="556" spans="1:15" x14ac:dyDescent="0.3">
      <c r="A556" t="s">
        <v>2172</v>
      </c>
      <c r="B556" s="5">
        <f>SUMIFS(SalesDetail[Quantity (KG)],SalesDetail[Customer],$A556,SalesDetail[Year],2009)</f>
        <v>0</v>
      </c>
      <c r="C556" s="5">
        <f>SUMIFS(SalesDetail[Quantity (KG)],SalesDetail[Customer],$A556,SalesDetail[Year],2010)</f>
        <v>0</v>
      </c>
      <c r="D556" s="5">
        <f>SUMIFS(SalesDetail[Quantity (KG)],SalesDetail[Customer],$A556,SalesDetail[Year],2011)</f>
        <v>0</v>
      </c>
      <c r="E556" s="5">
        <f>SUMIFS(SalesDetail[Quantity (KG)],SalesDetail[Customer],$A556,SalesDetail[Year],2012)</f>
        <v>0</v>
      </c>
      <c r="F556" s="5">
        <f>SUMIFS(SalesDetail[Quantity (KG)],SalesDetail[Customer],$A556,SalesDetail[Year],2013)</f>
        <v>0</v>
      </c>
      <c r="G556" s="5">
        <f>SUMIFS(SalesDetail[Quantity (KG)],SalesDetail[Customer],$A556,SalesDetail[Year],2014)</f>
        <v>0</v>
      </c>
      <c r="H556" s="5">
        <f>SUMIFS(SalesDetail[Quantity (KG)],SalesDetail[Customer],$A556,SalesDetail[Year],2015)</f>
        <v>0</v>
      </c>
      <c r="I556" s="5">
        <f>SUMIFS(SalesDetail[Quantity (KG)],SalesDetail[Customer],$A556,SalesDetail[Year],2016)</f>
        <v>0</v>
      </c>
      <c r="J556" s="5">
        <f>SUMIFS(SalesDetail[Quantity (KG)],SalesDetail[Customer],$A556,SalesDetail[Year],2017)</f>
        <v>2</v>
      </c>
      <c r="K556" s="5">
        <f>SUMIFS(SalesDetail[Quantity (KG)],SalesDetail[Customer],$A556,SalesDetail[Year],2018)</f>
        <v>0</v>
      </c>
      <c r="L556" s="5">
        <f>SUMIFS(SalesDetail[Quantity (KG)],SalesDetail[Customer],$A556,SalesDetail[Year],2019)</f>
        <v>0</v>
      </c>
      <c r="M556" s="5">
        <f>SUMIFS(SalesDetail[Quantity (KG)],SalesDetail[Customer],$A556,SalesDetail[Year],2020)</f>
        <v>0</v>
      </c>
      <c r="N556" s="5">
        <f>SUMIFS(SalesDetail[Quantity (KG)],SalesDetail[Customer],$A556,SalesDetail[Year],2021)</f>
        <v>0</v>
      </c>
      <c r="O556" s="6">
        <f>SUM(B556:N556)</f>
        <v>2</v>
      </c>
    </row>
    <row r="557" spans="1:15" x14ac:dyDescent="0.3">
      <c r="A557" t="s">
        <v>2440</v>
      </c>
      <c r="B557" s="5">
        <f>SUMIFS(SalesDetail[Quantity (KG)],SalesDetail[Customer],$A557,SalesDetail[Year],2009)</f>
        <v>0</v>
      </c>
      <c r="C557" s="5">
        <f>SUMIFS(SalesDetail[Quantity (KG)],SalesDetail[Customer],$A557,SalesDetail[Year],2010)</f>
        <v>0</v>
      </c>
      <c r="D557" s="5">
        <f>SUMIFS(SalesDetail[Quantity (KG)],SalesDetail[Customer],$A557,SalesDetail[Year],2011)</f>
        <v>0</v>
      </c>
      <c r="E557" s="5">
        <f>SUMIFS(SalesDetail[Quantity (KG)],SalesDetail[Customer],$A557,SalesDetail[Year],2012)</f>
        <v>0</v>
      </c>
      <c r="F557" s="5">
        <f>SUMIFS(SalesDetail[Quantity (KG)],SalesDetail[Customer],$A557,SalesDetail[Year],2013)</f>
        <v>0</v>
      </c>
      <c r="G557" s="5">
        <f>SUMIFS(SalesDetail[Quantity (KG)],SalesDetail[Customer],$A557,SalesDetail[Year],2014)</f>
        <v>0</v>
      </c>
      <c r="H557" s="5">
        <f>SUMIFS(SalesDetail[Quantity (KG)],SalesDetail[Customer],$A557,SalesDetail[Year],2015)</f>
        <v>0</v>
      </c>
      <c r="I557" s="5">
        <f>SUMIFS(SalesDetail[Quantity (KG)],SalesDetail[Customer],$A557,SalesDetail[Year],2016)</f>
        <v>0</v>
      </c>
      <c r="J557" s="5">
        <f>SUMIFS(SalesDetail[Quantity (KG)],SalesDetail[Customer],$A557,SalesDetail[Year],2017)</f>
        <v>0</v>
      </c>
      <c r="K557" s="5">
        <f>SUMIFS(SalesDetail[Quantity (KG)],SalesDetail[Customer],$A557,SalesDetail[Year],2018)</f>
        <v>0</v>
      </c>
      <c r="L557" s="5">
        <f>SUMIFS(SalesDetail[Quantity (KG)],SalesDetail[Customer],$A557,SalesDetail[Year],2019)</f>
        <v>0</v>
      </c>
      <c r="M557" s="5">
        <f>SUMIFS(SalesDetail[Quantity (KG)],SalesDetail[Customer],$A557,SalesDetail[Year],2020)</f>
        <v>2</v>
      </c>
      <c r="N557" s="5">
        <f>SUMIFS(SalesDetail[Quantity (KG)],SalesDetail[Customer],$A557,SalesDetail[Year],2021)</f>
        <v>0</v>
      </c>
      <c r="O557" s="6">
        <f>SUM(B557:N557)</f>
        <v>2</v>
      </c>
    </row>
    <row r="558" spans="1:15" x14ac:dyDescent="0.3">
      <c r="A558" t="s">
        <v>2537</v>
      </c>
      <c r="B558" s="5">
        <f>SUMIFS(SalesDetail[Quantity (KG)],SalesDetail[Customer],$A558,SalesDetail[Year],2009)</f>
        <v>0</v>
      </c>
      <c r="C558" s="5">
        <f>SUMIFS(SalesDetail[Quantity (KG)],SalesDetail[Customer],$A558,SalesDetail[Year],2010)</f>
        <v>0</v>
      </c>
      <c r="D558" s="5">
        <f>SUMIFS(SalesDetail[Quantity (KG)],SalesDetail[Customer],$A558,SalesDetail[Year],2011)</f>
        <v>0</v>
      </c>
      <c r="E558" s="5">
        <f>SUMIFS(SalesDetail[Quantity (KG)],SalesDetail[Customer],$A558,SalesDetail[Year],2012)</f>
        <v>0</v>
      </c>
      <c r="F558" s="5">
        <f>SUMIFS(SalesDetail[Quantity (KG)],SalesDetail[Customer],$A558,SalesDetail[Year],2013)</f>
        <v>0</v>
      </c>
      <c r="G558" s="5">
        <f>SUMIFS(SalesDetail[Quantity (KG)],SalesDetail[Customer],$A558,SalesDetail[Year],2014)</f>
        <v>0</v>
      </c>
      <c r="H558" s="5">
        <f>SUMIFS(SalesDetail[Quantity (KG)],SalesDetail[Customer],$A558,SalesDetail[Year],2015)</f>
        <v>0</v>
      </c>
      <c r="I558" s="5">
        <f>SUMIFS(SalesDetail[Quantity (KG)],SalesDetail[Customer],$A558,SalesDetail[Year],2016)</f>
        <v>0</v>
      </c>
      <c r="J558" s="5">
        <f>SUMIFS(SalesDetail[Quantity (KG)],SalesDetail[Customer],$A558,SalesDetail[Year],2017)</f>
        <v>2</v>
      </c>
      <c r="K558" s="5">
        <f>SUMIFS(SalesDetail[Quantity (KG)],SalesDetail[Customer],$A558,SalesDetail[Year],2018)</f>
        <v>0</v>
      </c>
      <c r="L558" s="5">
        <f>SUMIFS(SalesDetail[Quantity (KG)],SalesDetail[Customer],$A558,SalesDetail[Year],2019)</f>
        <v>0</v>
      </c>
      <c r="M558" s="5">
        <f>SUMIFS(SalesDetail[Quantity (KG)],SalesDetail[Customer],$A558,SalesDetail[Year],2020)</f>
        <v>0</v>
      </c>
      <c r="N558" s="5">
        <f>SUMIFS(SalesDetail[Quantity (KG)],SalesDetail[Customer],$A558,SalesDetail[Year],2021)</f>
        <v>0</v>
      </c>
      <c r="O558" s="6">
        <f>SUM(B558:N558)</f>
        <v>2</v>
      </c>
    </row>
    <row r="559" spans="1:15" x14ac:dyDescent="0.3">
      <c r="A559" t="s">
        <v>2560</v>
      </c>
      <c r="B559" s="5">
        <f>SUMIFS(SalesDetail[Quantity (KG)],SalesDetail[Customer],$A559,SalesDetail[Year],2009)</f>
        <v>0</v>
      </c>
      <c r="C559" s="5">
        <f>SUMIFS(SalesDetail[Quantity (KG)],SalesDetail[Customer],$A559,SalesDetail[Year],2010)</f>
        <v>0</v>
      </c>
      <c r="D559" s="5">
        <f>SUMIFS(SalesDetail[Quantity (KG)],SalesDetail[Customer],$A559,SalesDetail[Year],2011)</f>
        <v>0</v>
      </c>
      <c r="E559" s="5">
        <f>SUMIFS(SalesDetail[Quantity (KG)],SalesDetail[Customer],$A559,SalesDetail[Year],2012)</f>
        <v>0</v>
      </c>
      <c r="F559" s="5">
        <f>SUMIFS(SalesDetail[Quantity (KG)],SalesDetail[Customer],$A559,SalesDetail[Year],2013)</f>
        <v>0</v>
      </c>
      <c r="G559" s="5">
        <f>SUMIFS(SalesDetail[Quantity (KG)],SalesDetail[Customer],$A559,SalesDetail[Year],2014)</f>
        <v>0</v>
      </c>
      <c r="H559" s="5">
        <f>SUMIFS(SalesDetail[Quantity (KG)],SalesDetail[Customer],$A559,SalesDetail[Year],2015)</f>
        <v>2</v>
      </c>
      <c r="I559" s="5">
        <f>SUMIFS(SalesDetail[Quantity (KG)],SalesDetail[Customer],$A559,SalesDetail[Year],2016)</f>
        <v>0</v>
      </c>
      <c r="J559" s="5">
        <f>SUMIFS(SalesDetail[Quantity (KG)],SalesDetail[Customer],$A559,SalesDetail[Year],2017)</f>
        <v>0</v>
      </c>
      <c r="K559" s="5">
        <f>SUMIFS(SalesDetail[Quantity (KG)],SalesDetail[Customer],$A559,SalesDetail[Year],2018)</f>
        <v>0</v>
      </c>
      <c r="L559" s="5">
        <f>SUMIFS(SalesDetail[Quantity (KG)],SalesDetail[Customer],$A559,SalesDetail[Year],2019)</f>
        <v>0</v>
      </c>
      <c r="M559" s="5">
        <f>SUMIFS(SalesDetail[Quantity (KG)],SalesDetail[Customer],$A559,SalesDetail[Year],2020)</f>
        <v>0</v>
      </c>
      <c r="N559" s="5">
        <f>SUMIFS(SalesDetail[Quantity (KG)],SalesDetail[Customer],$A559,SalesDetail[Year],2021)</f>
        <v>0</v>
      </c>
      <c r="O559" s="6">
        <f>SUM(B559:N559)</f>
        <v>2</v>
      </c>
    </row>
    <row r="560" spans="1:15" x14ac:dyDescent="0.3">
      <c r="A560" t="s">
        <v>38</v>
      </c>
      <c r="B560" s="5">
        <f>SUMIFS(SalesDetail[Quantity (KG)],SalesDetail[Customer],$A560,SalesDetail[Year],2009)</f>
        <v>0</v>
      </c>
      <c r="C560" s="5">
        <f>SUMIFS(SalesDetail[Quantity (KG)],SalesDetail[Customer],$A560,SalesDetail[Year],2010)</f>
        <v>0</v>
      </c>
      <c r="D560" s="5">
        <f>SUMIFS(SalesDetail[Quantity (KG)],SalesDetail[Customer],$A560,SalesDetail[Year],2011)</f>
        <v>0</v>
      </c>
      <c r="E560" s="5">
        <f>SUMIFS(SalesDetail[Quantity (KG)],SalesDetail[Customer],$A560,SalesDetail[Year],2012)</f>
        <v>0</v>
      </c>
      <c r="F560" s="5">
        <f>SUMIFS(SalesDetail[Quantity (KG)],SalesDetail[Customer],$A560,SalesDetail[Year],2013)</f>
        <v>0</v>
      </c>
      <c r="G560" s="5">
        <f>SUMIFS(SalesDetail[Quantity (KG)],SalesDetail[Customer],$A560,SalesDetail[Year],2014)</f>
        <v>0</v>
      </c>
      <c r="H560" s="5">
        <f>SUMIFS(SalesDetail[Quantity (KG)],SalesDetail[Customer],$A560,SalesDetail[Year],2015)</f>
        <v>0</v>
      </c>
      <c r="I560" s="5">
        <f>SUMIFS(SalesDetail[Quantity (KG)],SalesDetail[Customer],$A560,SalesDetail[Year],2016)</f>
        <v>0</v>
      </c>
      <c r="J560" s="5">
        <f>SUMIFS(SalesDetail[Quantity (KG)],SalesDetail[Customer],$A560,SalesDetail[Year],2017)</f>
        <v>0</v>
      </c>
      <c r="K560" s="5">
        <f>SUMIFS(SalesDetail[Quantity (KG)],SalesDetail[Customer],$A560,SalesDetail[Year],2018)</f>
        <v>0</v>
      </c>
      <c r="L560" s="5">
        <f>SUMIFS(SalesDetail[Quantity (KG)],SalesDetail[Customer],$A560,SalesDetail[Year],2019)</f>
        <v>0</v>
      </c>
      <c r="M560" s="5">
        <f>SUMIFS(SalesDetail[Quantity (KG)],SalesDetail[Customer],$A560,SalesDetail[Year],2020)</f>
        <v>1</v>
      </c>
      <c r="N560" s="5">
        <f>SUMIFS(SalesDetail[Quantity (KG)],SalesDetail[Customer],$A560,SalesDetail[Year],2021)</f>
        <v>0</v>
      </c>
      <c r="O560" s="6">
        <f>SUM(B560:N560)</f>
        <v>1</v>
      </c>
    </row>
    <row r="561" spans="1:15" x14ac:dyDescent="0.3">
      <c r="A561" t="s">
        <v>493</v>
      </c>
      <c r="B561" s="5">
        <f>SUMIFS(SalesDetail[Quantity (KG)],SalesDetail[Customer],$A561,SalesDetail[Year],2009)</f>
        <v>0</v>
      </c>
      <c r="C561" s="5">
        <f>SUMIFS(SalesDetail[Quantity (KG)],SalesDetail[Customer],$A561,SalesDetail[Year],2010)</f>
        <v>0</v>
      </c>
      <c r="D561" s="5">
        <f>SUMIFS(SalesDetail[Quantity (KG)],SalesDetail[Customer],$A561,SalesDetail[Year],2011)</f>
        <v>0</v>
      </c>
      <c r="E561" s="5">
        <f>SUMIFS(SalesDetail[Quantity (KG)],SalesDetail[Customer],$A561,SalesDetail[Year],2012)</f>
        <v>0</v>
      </c>
      <c r="F561" s="5">
        <f>SUMIFS(SalesDetail[Quantity (KG)],SalesDetail[Customer],$A561,SalesDetail[Year],2013)</f>
        <v>0</v>
      </c>
      <c r="G561" s="5">
        <f>SUMIFS(SalesDetail[Quantity (KG)],SalesDetail[Customer],$A561,SalesDetail[Year],2014)</f>
        <v>0</v>
      </c>
      <c r="H561" s="5">
        <f>SUMIFS(SalesDetail[Quantity (KG)],SalesDetail[Customer],$A561,SalesDetail[Year],2015)</f>
        <v>0</v>
      </c>
      <c r="I561" s="5">
        <f>SUMIFS(SalesDetail[Quantity (KG)],SalesDetail[Customer],$A561,SalesDetail[Year],2016)</f>
        <v>0</v>
      </c>
      <c r="J561" s="5">
        <f>SUMIFS(SalesDetail[Quantity (KG)],SalesDetail[Customer],$A561,SalesDetail[Year],2017)</f>
        <v>0</v>
      </c>
      <c r="K561" s="5">
        <f>SUMIFS(SalesDetail[Quantity (KG)],SalesDetail[Customer],$A561,SalesDetail[Year],2018)</f>
        <v>0</v>
      </c>
      <c r="L561" s="5">
        <f>SUMIFS(SalesDetail[Quantity (KG)],SalesDetail[Customer],$A561,SalesDetail[Year],2019)</f>
        <v>1</v>
      </c>
      <c r="M561" s="5">
        <f>SUMIFS(SalesDetail[Quantity (KG)],SalesDetail[Customer],$A561,SalesDetail[Year],2020)</f>
        <v>0</v>
      </c>
      <c r="N561" s="5">
        <f>SUMIFS(SalesDetail[Quantity (KG)],SalesDetail[Customer],$A561,SalesDetail[Year],2021)</f>
        <v>0</v>
      </c>
      <c r="O561" s="6">
        <f>SUM(B561:N561)</f>
        <v>1</v>
      </c>
    </row>
    <row r="562" spans="1:15" x14ac:dyDescent="0.3">
      <c r="A562" t="s">
        <v>1342</v>
      </c>
      <c r="B562" s="5">
        <f>SUMIFS(SalesDetail[Quantity (KG)],SalesDetail[Customer],$A562,SalesDetail[Year],2009)</f>
        <v>0</v>
      </c>
      <c r="C562" s="5">
        <f>SUMIFS(SalesDetail[Quantity (KG)],SalesDetail[Customer],$A562,SalesDetail[Year],2010)</f>
        <v>0</v>
      </c>
      <c r="D562" s="5">
        <f>SUMIFS(SalesDetail[Quantity (KG)],SalesDetail[Customer],$A562,SalesDetail[Year],2011)</f>
        <v>0</v>
      </c>
      <c r="E562" s="5">
        <f>SUMIFS(SalesDetail[Quantity (KG)],SalesDetail[Customer],$A562,SalesDetail[Year],2012)</f>
        <v>0</v>
      </c>
      <c r="F562" s="5">
        <f>SUMIFS(SalesDetail[Quantity (KG)],SalesDetail[Customer],$A562,SalesDetail[Year],2013)</f>
        <v>0</v>
      </c>
      <c r="G562" s="5">
        <f>SUMIFS(SalesDetail[Quantity (KG)],SalesDetail[Customer],$A562,SalesDetail[Year],2014)</f>
        <v>0</v>
      </c>
      <c r="H562" s="5">
        <f>SUMIFS(SalesDetail[Quantity (KG)],SalesDetail[Customer],$A562,SalesDetail[Year],2015)</f>
        <v>0</v>
      </c>
      <c r="I562" s="5">
        <f>SUMIFS(SalesDetail[Quantity (KG)],SalesDetail[Customer],$A562,SalesDetail[Year],2016)</f>
        <v>0</v>
      </c>
      <c r="J562" s="5">
        <f>SUMIFS(SalesDetail[Quantity (KG)],SalesDetail[Customer],$A562,SalesDetail[Year],2017)</f>
        <v>0</v>
      </c>
      <c r="K562" s="5">
        <f>SUMIFS(SalesDetail[Quantity (KG)],SalesDetail[Customer],$A562,SalesDetail[Year],2018)</f>
        <v>0</v>
      </c>
      <c r="L562" s="5">
        <f>SUMIFS(SalesDetail[Quantity (KG)],SalesDetail[Customer],$A562,SalesDetail[Year],2019)</f>
        <v>1</v>
      </c>
      <c r="M562" s="5">
        <f>SUMIFS(SalesDetail[Quantity (KG)],SalesDetail[Customer],$A562,SalesDetail[Year],2020)</f>
        <v>0</v>
      </c>
      <c r="N562" s="5">
        <f>SUMIFS(SalesDetail[Quantity (KG)],SalesDetail[Customer],$A562,SalesDetail[Year],2021)</f>
        <v>0</v>
      </c>
      <c r="O562" s="6">
        <f>SUM(B562:N562)</f>
        <v>1</v>
      </c>
    </row>
    <row r="563" spans="1:15" x14ac:dyDescent="0.3">
      <c r="A563" t="s">
        <v>1771</v>
      </c>
      <c r="B563" s="5">
        <f>SUMIFS(SalesDetail[Quantity (KG)],SalesDetail[Customer],$A563,SalesDetail[Year],2009)</f>
        <v>0</v>
      </c>
      <c r="C563" s="5">
        <f>SUMIFS(SalesDetail[Quantity (KG)],SalesDetail[Customer],$A563,SalesDetail[Year],2010)</f>
        <v>0</v>
      </c>
      <c r="D563" s="5">
        <f>SUMIFS(SalesDetail[Quantity (KG)],SalesDetail[Customer],$A563,SalesDetail[Year],2011)</f>
        <v>0</v>
      </c>
      <c r="E563" s="5">
        <f>SUMIFS(SalesDetail[Quantity (KG)],SalesDetail[Customer],$A563,SalesDetail[Year],2012)</f>
        <v>0</v>
      </c>
      <c r="F563" s="5">
        <f>SUMIFS(SalesDetail[Quantity (KG)],SalesDetail[Customer],$A563,SalesDetail[Year],2013)</f>
        <v>0</v>
      </c>
      <c r="G563" s="5">
        <f>SUMIFS(SalesDetail[Quantity (KG)],SalesDetail[Customer],$A563,SalesDetail[Year],2014)</f>
        <v>0</v>
      </c>
      <c r="H563" s="5">
        <f>SUMIFS(SalesDetail[Quantity (KG)],SalesDetail[Customer],$A563,SalesDetail[Year],2015)</f>
        <v>0</v>
      </c>
      <c r="I563" s="5">
        <f>SUMIFS(SalesDetail[Quantity (KG)],SalesDetail[Customer],$A563,SalesDetail[Year],2016)</f>
        <v>0</v>
      </c>
      <c r="J563" s="5">
        <f>SUMIFS(SalesDetail[Quantity (KG)],SalesDetail[Customer],$A563,SalesDetail[Year],2017)</f>
        <v>0</v>
      </c>
      <c r="K563" s="5">
        <f>SUMIFS(SalesDetail[Quantity (KG)],SalesDetail[Customer],$A563,SalesDetail[Year],2018)</f>
        <v>0</v>
      </c>
      <c r="L563" s="5">
        <f>SUMIFS(SalesDetail[Quantity (KG)],SalesDetail[Customer],$A563,SalesDetail[Year],2019)</f>
        <v>0</v>
      </c>
      <c r="M563" s="5">
        <f>SUMIFS(SalesDetail[Quantity (KG)],SalesDetail[Customer],$A563,SalesDetail[Year],2020)</f>
        <v>1</v>
      </c>
      <c r="N563" s="5">
        <f>SUMIFS(SalesDetail[Quantity (KG)],SalesDetail[Customer],$A563,SalesDetail[Year],2021)</f>
        <v>0</v>
      </c>
      <c r="O563" s="6">
        <f>SUM(B563:N563)</f>
        <v>1</v>
      </c>
    </row>
    <row r="564" spans="1:15" x14ac:dyDescent="0.3">
      <c r="A564" t="s">
        <v>1830</v>
      </c>
      <c r="B564" s="5">
        <f>SUMIFS(SalesDetail[Quantity (KG)],SalesDetail[Customer],$A564,SalesDetail[Year],2009)</f>
        <v>0</v>
      </c>
      <c r="C564" s="5">
        <f>SUMIFS(SalesDetail[Quantity (KG)],SalesDetail[Customer],$A564,SalesDetail[Year],2010)</f>
        <v>0</v>
      </c>
      <c r="D564" s="5">
        <f>SUMIFS(SalesDetail[Quantity (KG)],SalesDetail[Customer],$A564,SalesDetail[Year],2011)</f>
        <v>0</v>
      </c>
      <c r="E564" s="5">
        <f>SUMIFS(SalesDetail[Quantity (KG)],SalesDetail[Customer],$A564,SalesDetail[Year],2012)</f>
        <v>0</v>
      </c>
      <c r="F564" s="5">
        <f>SUMIFS(SalesDetail[Quantity (KG)],SalesDetail[Customer],$A564,SalesDetail[Year],2013)</f>
        <v>0</v>
      </c>
      <c r="G564" s="5">
        <f>SUMIFS(SalesDetail[Quantity (KG)],SalesDetail[Customer],$A564,SalesDetail[Year],2014)</f>
        <v>0</v>
      </c>
      <c r="H564" s="5">
        <f>SUMIFS(SalesDetail[Quantity (KG)],SalesDetail[Customer],$A564,SalesDetail[Year],2015)</f>
        <v>0</v>
      </c>
      <c r="I564" s="5">
        <f>SUMIFS(SalesDetail[Quantity (KG)],SalesDetail[Customer],$A564,SalesDetail[Year],2016)</f>
        <v>0</v>
      </c>
      <c r="J564" s="5">
        <f>SUMIFS(SalesDetail[Quantity (KG)],SalesDetail[Customer],$A564,SalesDetail[Year],2017)</f>
        <v>0</v>
      </c>
      <c r="K564" s="5">
        <f>SUMIFS(SalesDetail[Quantity (KG)],SalesDetail[Customer],$A564,SalesDetail[Year],2018)</f>
        <v>1</v>
      </c>
      <c r="L564" s="5">
        <f>SUMIFS(SalesDetail[Quantity (KG)],SalesDetail[Customer],$A564,SalesDetail[Year],2019)</f>
        <v>0</v>
      </c>
      <c r="M564" s="5">
        <f>SUMIFS(SalesDetail[Quantity (KG)],SalesDetail[Customer],$A564,SalesDetail[Year],2020)</f>
        <v>0</v>
      </c>
      <c r="N564" s="5">
        <f>SUMIFS(SalesDetail[Quantity (KG)],SalesDetail[Customer],$A564,SalesDetail[Year],2021)</f>
        <v>0</v>
      </c>
      <c r="O564" s="6">
        <f>SUM(B564:N564)</f>
        <v>1</v>
      </c>
    </row>
    <row r="565" spans="1:15" x14ac:dyDescent="0.3">
      <c r="A565" t="s">
        <v>1910</v>
      </c>
      <c r="B565" s="5">
        <f>SUMIFS(SalesDetail[Quantity (KG)],SalesDetail[Customer],$A565,SalesDetail[Year],2009)</f>
        <v>0</v>
      </c>
      <c r="C565" s="5">
        <f>SUMIFS(SalesDetail[Quantity (KG)],SalesDetail[Customer],$A565,SalesDetail[Year],2010)</f>
        <v>0</v>
      </c>
      <c r="D565" s="5">
        <f>SUMIFS(SalesDetail[Quantity (KG)],SalesDetail[Customer],$A565,SalesDetail[Year],2011)</f>
        <v>0</v>
      </c>
      <c r="E565" s="5">
        <f>SUMIFS(SalesDetail[Quantity (KG)],SalesDetail[Customer],$A565,SalesDetail[Year],2012)</f>
        <v>0</v>
      </c>
      <c r="F565" s="5">
        <f>SUMIFS(SalesDetail[Quantity (KG)],SalesDetail[Customer],$A565,SalesDetail[Year],2013)</f>
        <v>0</v>
      </c>
      <c r="G565" s="5">
        <f>SUMIFS(SalesDetail[Quantity (KG)],SalesDetail[Customer],$A565,SalesDetail[Year],2014)</f>
        <v>0</v>
      </c>
      <c r="H565" s="5">
        <f>SUMIFS(SalesDetail[Quantity (KG)],SalesDetail[Customer],$A565,SalesDetail[Year],2015)</f>
        <v>0</v>
      </c>
      <c r="I565" s="5">
        <f>SUMIFS(SalesDetail[Quantity (KG)],SalesDetail[Customer],$A565,SalesDetail[Year],2016)</f>
        <v>0</v>
      </c>
      <c r="J565" s="5">
        <f>SUMIFS(SalesDetail[Quantity (KG)],SalesDetail[Customer],$A565,SalesDetail[Year],2017)</f>
        <v>1</v>
      </c>
      <c r="K565" s="5">
        <f>SUMIFS(SalesDetail[Quantity (KG)],SalesDetail[Customer],$A565,SalesDetail[Year],2018)</f>
        <v>0</v>
      </c>
      <c r="L565" s="5">
        <f>SUMIFS(SalesDetail[Quantity (KG)],SalesDetail[Customer],$A565,SalesDetail[Year],2019)</f>
        <v>0</v>
      </c>
      <c r="M565" s="5">
        <f>SUMIFS(SalesDetail[Quantity (KG)],SalesDetail[Customer],$A565,SalesDetail[Year],2020)</f>
        <v>0</v>
      </c>
      <c r="N565" s="5">
        <f>SUMIFS(SalesDetail[Quantity (KG)],SalesDetail[Customer],$A565,SalesDetail[Year],2021)</f>
        <v>0</v>
      </c>
      <c r="O565" s="6">
        <f>SUM(B565:N565)</f>
        <v>1</v>
      </c>
    </row>
    <row r="566" spans="1:15" x14ac:dyDescent="0.3">
      <c r="A566" t="s">
        <v>2129</v>
      </c>
      <c r="B566" s="5">
        <f>SUMIFS(SalesDetail[Quantity (KG)],SalesDetail[Customer],$A566,SalesDetail[Year],2009)</f>
        <v>0</v>
      </c>
      <c r="C566" s="5">
        <f>SUMIFS(SalesDetail[Quantity (KG)],SalesDetail[Customer],$A566,SalesDetail[Year],2010)</f>
        <v>0</v>
      </c>
      <c r="D566" s="5">
        <f>SUMIFS(SalesDetail[Quantity (KG)],SalesDetail[Customer],$A566,SalesDetail[Year],2011)</f>
        <v>0</v>
      </c>
      <c r="E566" s="5">
        <f>SUMIFS(SalesDetail[Quantity (KG)],SalesDetail[Customer],$A566,SalesDetail[Year],2012)</f>
        <v>0</v>
      </c>
      <c r="F566" s="5">
        <f>SUMIFS(SalesDetail[Quantity (KG)],SalesDetail[Customer],$A566,SalesDetail[Year],2013)</f>
        <v>0</v>
      </c>
      <c r="G566" s="5">
        <f>SUMIFS(SalesDetail[Quantity (KG)],SalesDetail[Customer],$A566,SalesDetail[Year],2014)</f>
        <v>0</v>
      </c>
      <c r="H566" s="5">
        <f>SUMIFS(SalesDetail[Quantity (KG)],SalesDetail[Customer],$A566,SalesDetail[Year],2015)</f>
        <v>0</v>
      </c>
      <c r="I566" s="5">
        <f>SUMIFS(SalesDetail[Quantity (KG)],SalesDetail[Customer],$A566,SalesDetail[Year],2016)</f>
        <v>0</v>
      </c>
      <c r="J566" s="5">
        <f>SUMIFS(SalesDetail[Quantity (KG)],SalesDetail[Customer],$A566,SalesDetail[Year],2017)</f>
        <v>0</v>
      </c>
      <c r="K566" s="5">
        <f>SUMIFS(SalesDetail[Quantity (KG)],SalesDetail[Customer],$A566,SalesDetail[Year],2018)</f>
        <v>0</v>
      </c>
      <c r="L566" s="5">
        <f>SUMIFS(SalesDetail[Quantity (KG)],SalesDetail[Customer],$A566,SalesDetail[Year],2019)</f>
        <v>0</v>
      </c>
      <c r="M566" s="5">
        <f>SUMIFS(SalesDetail[Quantity (KG)],SalesDetail[Customer],$A566,SalesDetail[Year],2020)</f>
        <v>1</v>
      </c>
      <c r="N566" s="5">
        <f>SUMIFS(SalesDetail[Quantity (KG)],SalesDetail[Customer],$A566,SalesDetail[Year],2021)</f>
        <v>0</v>
      </c>
      <c r="O566" s="6">
        <f>SUM(B566:N566)</f>
        <v>1</v>
      </c>
    </row>
    <row r="567" spans="1:15" x14ac:dyDescent="0.3">
      <c r="A567" t="s">
        <v>2169</v>
      </c>
      <c r="B567" s="5">
        <f>SUMIFS(SalesDetail[Quantity (KG)],SalesDetail[Customer],$A567,SalesDetail[Year],2009)</f>
        <v>0</v>
      </c>
      <c r="C567" s="5">
        <f>SUMIFS(SalesDetail[Quantity (KG)],SalesDetail[Customer],$A567,SalesDetail[Year],2010)</f>
        <v>0</v>
      </c>
      <c r="D567" s="5">
        <f>SUMIFS(SalesDetail[Quantity (KG)],SalesDetail[Customer],$A567,SalesDetail[Year],2011)</f>
        <v>0</v>
      </c>
      <c r="E567" s="5">
        <f>SUMIFS(SalesDetail[Quantity (KG)],SalesDetail[Customer],$A567,SalesDetail[Year],2012)</f>
        <v>0</v>
      </c>
      <c r="F567" s="5">
        <f>SUMIFS(SalesDetail[Quantity (KG)],SalesDetail[Customer],$A567,SalesDetail[Year],2013)</f>
        <v>0</v>
      </c>
      <c r="G567" s="5">
        <f>SUMIFS(SalesDetail[Quantity (KG)],SalesDetail[Customer],$A567,SalesDetail[Year],2014)</f>
        <v>0</v>
      </c>
      <c r="H567" s="5">
        <f>SUMIFS(SalesDetail[Quantity (KG)],SalesDetail[Customer],$A567,SalesDetail[Year],2015)</f>
        <v>0</v>
      </c>
      <c r="I567" s="5">
        <f>SUMIFS(SalesDetail[Quantity (KG)],SalesDetail[Customer],$A567,SalesDetail[Year],2016)</f>
        <v>1</v>
      </c>
      <c r="J567" s="5">
        <f>SUMIFS(SalesDetail[Quantity (KG)],SalesDetail[Customer],$A567,SalesDetail[Year],2017)</f>
        <v>0</v>
      </c>
      <c r="K567" s="5">
        <f>SUMIFS(SalesDetail[Quantity (KG)],SalesDetail[Customer],$A567,SalesDetail[Year],2018)</f>
        <v>0</v>
      </c>
      <c r="L567" s="5">
        <f>SUMIFS(SalesDetail[Quantity (KG)],SalesDetail[Customer],$A567,SalesDetail[Year],2019)</f>
        <v>0</v>
      </c>
      <c r="M567" s="5">
        <f>SUMIFS(SalesDetail[Quantity (KG)],SalesDetail[Customer],$A567,SalesDetail[Year],2020)</f>
        <v>0</v>
      </c>
      <c r="N567" s="5">
        <f>SUMIFS(SalesDetail[Quantity (KG)],SalesDetail[Customer],$A567,SalesDetail[Year],2021)</f>
        <v>0</v>
      </c>
      <c r="O567" s="6">
        <f>SUM(B567:N567)</f>
        <v>1</v>
      </c>
    </row>
    <row r="568" spans="1:15" x14ac:dyDescent="0.3">
      <c r="A568" t="s">
        <v>2424</v>
      </c>
      <c r="B568" s="5">
        <f>SUMIFS(SalesDetail[Quantity (KG)],SalesDetail[Customer],$A568,SalesDetail[Year],2009)</f>
        <v>0</v>
      </c>
      <c r="C568" s="5">
        <f>SUMIFS(SalesDetail[Quantity (KG)],SalesDetail[Customer],$A568,SalesDetail[Year],2010)</f>
        <v>0</v>
      </c>
      <c r="D568" s="5">
        <f>SUMIFS(SalesDetail[Quantity (KG)],SalesDetail[Customer],$A568,SalesDetail[Year],2011)</f>
        <v>0</v>
      </c>
      <c r="E568" s="5">
        <f>SUMIFS(SalesDetail[Quantity (KG)],SalesDetail[Customer],$A568,SalesDetail[Year],2012)</f>
        <v>0</v>
      </c>
      <c r="F568" s="5">
        <f>SUMIFS(SalesDetail[Quantity (KG)],SalesDetail[Customer],$A568,SalesDetail[Year],2013)</f>
        <v>0</v>
      </c>
      <c r="G568" s="5">
        <f>SUMIFS(SalesDetail[Quantity (KG)],SalesDetail[Customer],$A568,SalesDetail[Year],2014)</f>
        <v>0</v>
      </c>
      <c r="H568" s="5">
        <f>SUMIFS(SalesDetail[Quantity (KG)],SalesDetail[Customer],$A568,SalesDetail[Year],2015)</f>
        <v>0</v>
      </c>
      <c r="I568" s="5">
        <f>SUMIFS(SalesDetail[Quantity (KG)],SalesDetail[Customer],$A568,SalesDetail[Year],2016)</f>
        <v>0</v>
      </c>
      <c r="J568" s="5">
        <f>SUMIFS(SalesDetail[Quantity (KG)],SalesDetail[Customer],$A568,SalesDetail[Year],2017)</f>
        <v>0</v>
      </c>
      <c r="K568" s="5">
        <f>SUMIFS(SalesDetail[Quantity (KG)],SalesDetail[Customer],$A568,SalesDetail[Year],2018)</f>
        <v>0</v>
      </c>
      <c r="L568" s="5">
        <f>SUMIFS(SalesDetail[Quantity (KG)],SalesDetail[Customer],$A568,SalesDetail[Year],2019)</f>
        <v>0</v>
      </c>
      <c r="M568" s="5">
        <f>SUMIFS(SalesDetail[Quantity (KG)],SalesDetail[Customer],$A568,SalesDetail[Year],2020)</f>
        <v>0</v>
      </c>
      <c r="N568" s="5">
        <f>SUMIFS(SalesDetail[Quantity (KG)],SalesDetail[Customer],$A568,SalesDetail[Year],2021)</f>
        <v>1</v>
      </c>
      <c r="O568" s="6">
        <f>SUM(B568:N568)</f>
        <v>1</v>
      </c>
    </row>
    <row r="569" spans="1:15" x14ac:dyDescent="0.3">
      <c r="A569" t="s">
        <v>2358</v>
      </c>
      <c r="B569" s="5">
        <f>SUMIFS(SalesDetail[Quantity (KG)],SalesDetail[Customer],$A569,SalesDetail[Year],2009)</f>
        <v>0</v>
      </c>
      <c r="C569" s="5">
        <f>SUMIFS(SalesDetail[Quantity (KG)],SalesDetail[Customer],$A569,SalesDetail[Year],2010)</f>
        <v>0.6</v>
      </c>
      <c r="D569" s="5">
        <f>SUMIFS(SalesDetail[Quantity (KG)],SalesDetail[Customer],$A569,SalesDetail[Year],2011)</f>
        <v>0</v>
      </c>
      <c r="E569" s="5">
        <f>SUMIFS(SalesDetail[Quantity (KG)],SalesDetail[Customer],$A569,SalesDetail[Year],2012)</f>
        <v>0</v>
      </c>
      <c r="F569" s="5">
        <f>SUMIFS(SalesDetail[Quantity (KG)],SalesDetail[Customer],$A569,SalesDetail[Year],2013)</f>
        <v>0</v>
      </c>
      <c r="G569" s="5">
        <f>SUMIFS(SalesDetail[Quantity (KG)],SalesDetail[Customer],$A569,SalesDetail[Year],2014)</f>
        <v>0</v>
      </c>
      <c r="H569" s="5">
        <f>SUMIFS(SalesDetail[Quantity (KG)],SalesDetail[Customer],$A569,SalesDetail[Year],2015)</f>
        <v>0</v>
      </c>
      <c r="I569" s="5">
        <f>SUMIFS(SalesDetail[Quantity (KG)],SalesDetail[Customer],$A569,SalesDetail[Year],2016)</f>
        <v>0</v>
      </c>
      <c r="J569" s="5">
        <f>SUMIFS(SalesDetail[Quantity (KG)],SalesDetail[Customer],$A569,SalesDetail[Year],2017)</f>
        <v>0</v>
      </c>
      <c r="K569" s="5">
        <f>SUMIFS(SalesDetail[Quantity (KG)],SalesDetail[Customer],$A569,SalesDetail[Year],2018)</f>
        <v>0</v>
      </c>
      <c r="L569" s="5">
        <f>SUMIFS(SalesDetail[Quantity (KG)],SalesDetail[Customer],$A569,SalesDetail[Year],2019)</f>
        <v>0</v>
      </c>
      <c r="M569" s="5">
        <f>SUMIFS(SalesDetail[Quantity (KG)],SalesDetail[Customer],$A569,SalesDetail[Year],2020)</f>
        <v>0</v>
      </c>
      <c r="N569" s="5">
        <f>SUMIFS(SalesDetail[Quantity (KG)],SalesDetail[Customer],$A569,SalesDetail[Year],2021)</f>
        <v>0</v>
      </c>
      <c r="O569" s="6">
        <f>SUM(B569:N569)</f>
        <v>0.6</v>
      </c>
    </row>
    <row r="570" spans="1:15" x14ac:dyDescent="0.3">
      <c r="A570" t="s">
        <v>2624</v>
      </c>
      <c r="B570" s="12">
        <f>SUBTOTAL(109,B2:B569)</f>
        <v>8735</v>
      </c>
      <c r="C570" s="12">
        <f t="shared" ref="C570:O570" si="0">SUBTOTAL(109,C2:C569)</f>
        <v>14192.900000000001</v>
      </c>
      <c r="D570" s="12">
        <f t="shared" si="0"/>
        <v>20212.7</v>
      </c>
      <c r="E570" s="12">
        <f t="shared" si="0"/>
        <v>27253.5</v>
      </c>
      <c r="F570" s="12">
        <f t="shared" si="0"/>
        <v>50272</v>
      </c>
      <c r="G570" s="12">
        <f t="shared" si="0"/>
        <v>60161.917999999998</v>
      </c>
      <c r="H570" s="12">
        <f t="shared" si="0"/>
        <v>37788.400000000001</v>
      </c>
      <c r="I570" s="12">
        <f t="shared" si="0"/>
        <v>52058.299999999996</v>
      </c>
      <c r="J570" s="12">
        <f t="shared" si="0"/>
        <v>63210.650000000009</v>
      </c>
      <c r="K570" s="12">
        <f t="shared" si="0"/>
        <v>75730</v>
      </c>
      <c r="L570" s="12">
        <f t="shared" si="0"/>
        <v>80421.75</v>
      </c>
      <c r="M570" s="12">
        <f t="shared" si="0"/>
        <v>98897</v>
      </c>
      <c r="N570" s="12">
        <f t="shared" si="0"/>
        <v>41158.800000000003</v>
      </c>
      <c r="O570" s="12">
        <f t="shared" si="0"/>
        <v>630092.91800000018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31"/>
  <sheetViews>
    <sheetView zoomScaleNormal="100" workbookViewId="0">
      <pane ySplit="1" topLeftCell="A2" activePane="bottomLeft" state="frozen"/>
      <selection pane="bottomLeft" activeCell="D32" sqref="D32"/>
    </sheetView>
  </sheetViews>
  <sheetFormatPr defaultColWidth="8.6640625" defaultRowHeight="14.4" x14ac:dyDescent="0.3"/>
  <cols>
    <col min="1" max="1" width="28" customWidth="1"/>
    <col min="2" max="2" width="26" customWidth="1"/>
    <col min="3" max="3" width="14" customWidth="1"/>
    <col min="4" max="4" width="24" customWidth="1"/>
    <col min="5" max="6" width="16" customWidth="1"/>
    <col min="7" max="7" width="34" customWidth="1"/>
  </cols>
  <sheetData>
    <row r="1" spans="1:7" ht="27.6" x14ac:dyDescent="0.3">
      <c r="A1" s="4" t="s">
        <v>0</v>
      </c>
      <c r="B1" s="4" t="s">
        <v>1</v>
      </c>
      <c r="C1" s="4" t="s">
        <v>2</v>
      </c>
      <c r="D1" s="4" t="s">
        <v>2625</v>
      </c>
      <c r="E1" s="4" t="s">
        <v>2626</v>
      </c>
      <c r="F1" s="4" t="s">
        <v>2627</v>
      </c>
      <c r="G1" s="4" t="s">
        <v>7</v>
      </c>
    </row>
    <row r="2" spans="1:7" x14ac:dyDescent="0.3">
      <c r="A2" t="s">
        <v>2521</v>
      </c>
      <c r="B2" t="s">
        <v>1455</v>
      </c>
      <c r="D2" s="7">
        <v>82350</v>
      </c>
      <c r="E2">
        <v>2013</v>
      </c>
      <c r="F2">
        <v>2020</v>
      </c>
      <c r="G2" t="str">
        <f>IFERROR(INDEX(Formulations[Formulation],MATCH($C2,Formulations[Product Code],0)),"")</f>
        <v/>
      </c>
    </row>
    <row r="3" spans="1:7" x14ac:dyDescent="0.3">
      <c r="A3" t="s">
        <v>1439</v>
      </c>
      <c r="B3" t="s">
        <v>19</v>
      </c>
      <c r="C3" t="s">
        <v>20</v>
      </c>
      <c r="D3" s="7">
        <v>20508.150000000001</v>
      </c>
      <c r="E3">
        <v>2010</v>
      </c>
      <c r="F3">
        <v>2021</v>
      </c>
      <c r="G3" t="str">
        <f>IFERROR(INDEX(Formulations[Formulation],MATCH($C3,Formulations[Product Code],0)),"")</f>
        <v>80 % Oil AND 20 % DPG</v>
      </c>
    </row>
    <row r="4" spans="1:7" x14ac:dyDescent="0.3">
      <c r="A4" t="s">
        <v>1761</v>
      </c>
      <c r="B4" t="s">
        <v>19</v>
      </c>
      <c r="C4" t="s">
        <v>20</v>
      </c>
      <c r="D4" s="7">
        <v>13975</v>
      </c>
      <c r="E4">
        <v>2016</v>
      </c>
      <c r="F4">
        <v>2021</v>
      </c>
      <c r="G4" t="str">
        <f>IFERROR(INDEX(Formulations[Formulation],MATCH($C4,Formulations[Product Code],0)),"")</f>
        <v>80 % Oil AND 20 % DPG</v>
      </c>
    </row>
    <row r="5" spans="1:7" x14ac:dyDescent="0.3">
      <c r="A5" t="s">
        <v>1439</v>
      </c>
      <c r="B5" t="s">
        <v>21</v>
      </c>
      <c r="C5" t="s">
        <v>22</v>
      </c>
      <c r="D5" s="7">
        <v>10625</v>
      </c>
      <c r="E5">
        <v>2009</v>
      </c>
      <c r="F5">
        <v>2021</v>
      </c>
      <c r="G5" t="str">
        <f>IFERROR(INDEX(Formulations[Formulation],MATCH($C5,Formulations[Product Code],0)),"")</f>
        <v>Crystal</v>
      </c>
    </row>
    <row r="6" spans="1:7" x14ac:dyDescent="0.3">
      <c r="A6" t="s">
        <v>2475</v>
      </c>
      <c r="B6" t="s">
        <v>373</v>
      </c>
      <c r="C6" t="s">
        <v>331</v>
      </c>
      <c r="D6" s="7">
        <v>9441.6</v>
      </c>
      <c r="E6">
        <v>2010</v>
      </c>
      <c r="F6">
        <v>2021</v>
      </c>
      <c r="G6" t="str">
        <f>IFERROR(INDEX(Formulations[Formulation],MATCH($C6,Formulations[Product Code],0)),"")</f>
        <v>35% oil</v>
      </c>
    </row>
    <row r="7" spans="1:7" x14ac:dyDescent="0.3">
      <c r="A7" t="s">
        <v>2451</v>
      </c>
      <c r="B7" t="s">
        <v>19</v>
      </c>
      <c r="C7" t="s">
        <v>20</v>
      </c>
      <c r="D7" s="7">
        <v>7575</v>
      </c>
      <c r="E7">
        <v>2009</v>
      </c>
      <c r="F7">
        <v>2021</v>
      </c>
      <c r="G7" t="str">
        <f>IFERROR(INDEX(Formulations[Formulation],MATCH($C7,Formulations[Product Code],0)),"")</f>
        <v>80 % Oil AND 20 % DPG</v>
      </c>
    </row>
    <row r="8" spans="1:7" x14ac:dyDescent="0.3">
      <c r="A8" t="s">
        <v>1883</v>
      </c>
      <c r="B8" t="s">
        <v>1886</v>
      </c>
      <c r="D8" s="7">
        <v>7400</v>
      </c>
      <c r="E8">
        <v>2020</v>
      </c>
      <c r="F8">
        <v>2020</v>
      </c>
      <c r="G8" t="str">
        <f>IFERROR(INDEX(Formulations[Formulation],MATCH($C8,Formulations[Product Code],0)),"")</f>
        <v/>
      </c>
    </row>
    <row r="9" spans="1:7" x14ac:dyDescent="0.3">
      <c r="A9" t="s">
        <v>1213</v>
      </c>
      <c r="B9" t="s">
        <v>26</v>
      </c>
      <c r="C9" t="s">
        <v>27</v>
      </c>
      <c r="D9" s="7">
        <v>6975</v>
      </c>
      <c r="E9">
        <v>2012</v>
      </c>
      <c r="F9">
        <v>2019</v>
      </c>
      <c r="G9" t="str">
        <f>IFERROR(INDEX(Formulations[Formulation],MATCH($C9,Formulations[Product Code],0)),"")</f>
        <v>FLOURAMAX A270578/ P782894</v>
      </c>
    </row>
    <row r="10" spans="1:7" x14ac:dyDescent="0.3">
      <c r="A10" t="s">
        <v>449</v>
      </c>
      <c r="B10" t="s">
        <v>19</v>
      </c>
      <c r="C10" t="s">
        <v>20</v>
      </c>
      <c r="D10" s="7">
        <v>6750</v>
      </c>
      <c r="E10">
        <v>2011</v>
      </c>
      <c r="F10">
        <v>2021</v>
      </c>
      <c r="G10" t="str">
        <f>IFERROR(INDEX(Formulations[Formulation],MATCH($C10,Formulations[Product Code],0)),"")</f>
        <v>80 % Oil AND 20 % DPG</v>
      </c>
    </row>
    <row r="11" spans="1:7" x14ac:dyDescent="0.3">
      <c r="A11" t="s">
        <v>40</v>
      </c>
      <c r="B11" t="s">
        <v>48</v>
      </c>
      <c r="C11" t="s">
        <v>47</v>
      </c>
      <c r="D11" s="7">
        <v>6100</v>
      </c>
      <c r="E11">
        <v>2016</v>
      </c>
      <c r="F11">
        <v>2018</v>
      </c>
      <c r="G11" t="str">
        <f>IFERROR(INDEX(Formulations[Formulation],MATCH($C11,Formulations[Product Code],0)),"")</f>
        <v/>
      </c>
    </row>
    <row r="12" spans="1:7" x14ac:dyDescent="0.3">
      <c r="A12" t="s">
        <v>2346</v>
      </c>
      <c r="B12" t="s">
        <v>269</v>
      </c>
      <c r="C12" t="s">
        <v>270</v>
      </c>
      <c r="D12" s="7">
        <v>4630</v>
      </c>
      <c r="E12">
        <v>2012</v>
      </c>
      <c r="F12">
        <v>2021</v>
      </c>
      <c r="G12" t="str">
        <f>IFERROR(INDEX(Formulations[Formulation],MATCH($C12,Formulations[Product Code],0)),"")</f>
        <v>Pure</v>
      </c>
    </row>
    <row r="13" spans="1:7" x14ac:dyDescent="0.3">
      <c r="A13" t="s">
        <v>1346</v>
      </c>
      <c r="B13" t="s">
        <v>62</v>
      </c>
      <c r="C13" t="s">
        <v>63</v>
      </c>
      <c r="D13" s="7">
        <v>4575</v>
      </c>
      <c r="E13">
        <v>2014</v>
      </c>
      <c r="F13">
        <v>2021</v>
      </c>
      <c r="G13" t="str">
        <f>IFERROR(INDEX(Formulations[Formulation],MATCH($C13,Formulations[Product Code],0)),"")</f>
        <v>Crystal</v>
      </c>
    </row>
    <row r="14" spans="1:7" x14ac:dyDescent="0.3">
      <c r="A14" t="s">
        <v>1346</v>
      </c>
      <c r="B14" t="s">
        <v>64</v>
      </c>
      <c r="C14" t="s">
        <v>65</v>
      </c>
      <c r="D14" s="7">
        <v>3869</v>
      </c>
      <c r="E14">
        <v>2016</v>
      </c>
      <c r="F14">
        <v>2021</v>
      </c>
      <c r="G14" t="str">
        <f>IFERROR(INDEX(Formulations[Formulation],MATCH($C14,Formulations[Product Code],0)),"")</f>
        <v>Crystal</v>
      </c>
    </row>
    <row r="15" spans="1:7" x14ac:dyDescent="0.3">
      <c r="A15" t="s">
        <v>1754</v>
      </c>
      <c r="B15" t="s">
        <v>46</v>
      </c>
      <c r="C15" t="s">
        <v>47</v>
      </c>
      <c r="D15" s="7">
        <v>3736.5</v>
      </c>
      <c r="E15">
        <v>2013</v>
      </c>
      <c r="F15">
        <v>2018</v>
      </c>
      <c r="G15" t="str">
        <f>IFERROR(INDEX(Formulations[Formulation],MATCH($C15,Formulations[Product Code],0)),"")</f>
        <v/>
      </c>
    </row>
    <row r="16" spans="1:7" x14ac:dyDescent="0.3">
      <c r="A16" t="s">
        <v>1883</v>
      </c>
      <c r="B16" t="s">
        <v>26</v>
      </c>
      <c r="C16" t="s">
        <v>27</v>
      </c>
      <c r="D16" s="7">
        <v>3510</v>
      </c>
      <c r="E16">
        <v>2018</v>
      </c>
      <c r="F16">
        <v>2021</v>
      </c>
      <c r="G16" t="str">
        <f>IFERROR(INDEX(Formulations[Formulation],MATCH($C16,Formulations[Product Code],0)),"")</f>
        <v>FLOURAMAX A270578/ P782894</v>
      </c>
    </row>
    <row r="17" spans="1:7" x14ac:dyDescent="0.3">
      <c r="A17" t="s">
        <v>1883</v>
      </c>
      <c r="B17" t="s">
        <v>1887</v>
      </c>
      <c r="D17" s="7">
        <v>3400</v>
      </c>
      <c r="E17">
        <v>2021</v>
      </c>
      <c r="F17">
        <v>2021</v>
      </c>
      <c r="G17" t="str">
        <f>IFERROR(INDEX(Formulations[Formulation],MATCH($C17,Formulations[Product Code],0)),"")</f>
        <v/>
      </c>
    </row>
    <row r="18" spans="1:7" x14ac:dyDescent="0.3">
      <c r="A18" t="s">
        <v>2491</v>
      </c>
      <c r="B18" t="s">
        <v>26</v>
      </c>
      <c r="C18" t="s">
        <v>27</v>
      </c>
      <c r="D18" s="7">
        <v>3349</v>
      </c>
      <c r="E18">
        <v>2014</v>
      </c>
      <c r="F18">
        <v>2020</v>
      </c>
      <c r="G18" t="str">
        <f>IFERROR(INDEX(Formulations[Formulation],MATCH($C18,Formulations[Product Code],0)),"")</f>
        <v>FLOURAMAX A270578/ P782894</v>
      </c>
    </row>
    <row r="19" spans="1:7" x14ac:dyDescent="0.3">
      <c r="A19" t="s">
        <v>1883</v>
      </c>
      <c r="B19" t="s">
        <v>446</v>
      </c>
      <c r="C19" t="s">
        <v>447</v>
      </c>
      <c r="D19" s="7">
        <v>3250</v>
      </c>
      <c r="E19">
        <v>2019</v>
      </c>
      <c r="F19">
        <v>2021</v>
      </c>
      <c r="G19" t="str">
        <f>IFERROR(INDEX(Formulations[Formulation],MATCH($C19,Formulations[Product Code],0)),"")</f>
        <v>30% Key Oil</v>
      </c>
    </row>
    <row r="20" spans="1:7" x14ac:dyDescent="0.3">
      <c r="A20" t="s">
        <v>2491</v>
      </c>
      <c r="B20" t="s">
        <v>2492</v>
      </c>
      <c r="C20" t="s">
        <v>667</v>
      </c>
      <c r="D20" s="7">
        <v>3000</v>
      </c>
      <c r="E20">
        <v>2019</v>
      </c>
      <c r="F20">
        <v>2019</v>
      </c>
      <c r="G20" t="str">
        <f>IFERROR(INDEX(Formulations[Formulation],MATCH($C20,Formulations[Product Code],0)),"")</f>
        <v/>
      </c>
    </row>
    <row r="21" spans="1:7" x14ac:dyDescent="0.3">
      <c r="A21" t="s">
        <v>1754</v>
      </c>
      <c r="B21" t="s">
        <v>41</v>
      </c>
      <c r="C21" t="s">
        <v>63</v>
      </c>
      <c r="D21" s="7">
        <v>2900</v>
      </c>
      <c r="E21">
        <v>2012</v>
      </c>
      <c r="F21">
        <v>2018</v>
      </c>
      <c r="G21" t="str">
        <f>IFERROR(INDEX(Formulations[Formulation],MATCH($C21,Formulations[Product Code],0)),"")</f>
        <v>Crystal</v>
      </c>
    </row>
    <row r="22" spans="1:7" x14ac:dyDescent="0.3">
      <c r="A22" t="s">
        <v>1439</v>
      </c>
      <c r="B22" t="s">
        <v>314</v>
      </c>
      <c r="C22" t="s">
        <v>475</v>
      </c>
      <c r="D22" s="7">
        <v>2799.5</v>
      </c>
      <c r="E22">
        <v>2011</v>
      </c>
      <c r="F22">
        <v>2019</v>
      </c>
      <c r="G22" t="str">
        <f>IFERROR(INDEX(Formulations[Formulation],MATCH($C22,Formulations[Product Code],0)),"")</f>
        <v>Crystal</v>
      </c>
    </row>
    <row r="23" spans="1:7" x14ac:dyDescent="0.3">
      <c r="A23" t="s">
        <v>1883</v>
      </c>
      <c r="B23" t="s">
        <v>1885</v>
      </c>
      <c r="C23" t="s">
        <v>742</v>
      </c>
      <c r="D23" s="7">
        <v>2696</v>
      </c>
      <c r="E23">
        <v>2012</v>
      </c>
      <c r="F23">
        <v>2015</v>
      </c>
      <c r="G23" t="str">
        <f>IFERROR(INDEX(Formulations[Formulation],MATCH($C23,Formulations[Product Code],0)),"")</f>
        <v/>
      </c>
    </row>
    <row r="24" spans="1:7" x14ac:dyDescent="0.3">
      <c r="A24" t="s">
        <v>2455</v>
      </c>
      <c r="B24" t="s">
        <v>41</v>
      </c>
      <c r="C24" t="s">
        <v>63</v>
      </c>
      <c r="D24" s="7">
        <v>2650</v>
      </c>
      <c r="E24">
        <v>2012</v>
      </c>
      <c r="F24">
        <v>2017</v>
      </c>
      <c r="G24" t="str">
        <f>IFERROR(INDEX(Formulations[Formulation],MATCH($C24,Formulations[Product Code],0)),"")</f>
        <v>Crystal</v>
      </c>
    </row>
    <row r="25" spans="1:7" x14ac:dyDescent="0.3">
      <c r="A25" t="s">
        <v>2491</v>
      </c>
      <c r="B25" t="s">
        <v>702</v>
      </c>
      <c r="C25" t="s">
        <v>703</v>
      </c>
      <c r="D25" s="7">
        <v>2650</v>
      </c>
      <c r="E25">
        <v>2019</v>
      </c>
      <c r="F25">
        <v>2020</v>
      </c>
      <c r="G25" t="str">
        <f>IFERROR(INDEX(Formulations[Formulation],MATCH($C25,Formulations[Product Code],0)),"")</f>
        <v>flouramax 40%, green apple 30%, strwaberry 15%, cocoa butter 15%</v>
      </c>
    </row>
    <row r="26" spans="1:7" x14ac:dyDescent="0.3">
      <c r="A26" t="s">
        <v>1439</v>
      </c>
      <c r="B26" t="s">
        <v>41</v>
      </c>
      <c r="C26" t="s">
        <v>42</v>
      </c>
      <c r="D26" s="7">
        <v>2575</v>
      </c>
      <c r="E26">
        <v>2009</v>
      </c>
      <c r="F26">
        <v>2017</v>
      </c>
      <c r="G26" t="str">
        <f>IFERROR(INDEX(Formulations[Formulation],MATCH($C26,Formulations[Product Code],0)),"")</f>
        <v/>
      </c>
    </row>
    <row r="27" spans="1:7" x14ac:dyDescent="0.3">
      <c r="A27" t="s">
        <v>1838</v>
      </c>
      <c r="B27" t="s">
        <v>1841</v>
      </c>
      <c r="C27" t="s">
        <v>27</v>
      </c>
      <c r="D27" s="7">
        <v>2460</v>
      </c>
      <c r="E27">
        <v>2016</v>
      </c>
      <c r="F27">
        <v>2019</v>
      </c>
      <c r="G27" t="str">
        <f>IFERROR(INDEX(Formulations[Formulation],MATCH($C27,Formulations[Product Code],0)),"")</f>
        <v>FLOURAMAX A270578/ P782894</v>
      </c>
    </row>
    <row r="28" spans="1:7" x14ac:dyDescent="0.3">
      <c r="A28" t="s">
        <v>2346</v>
      </c>
      <c r="B28" t="s">
        <v>37</v>
      </c>
      <c r="D28" s="7">
        <v>2426</v>
      </c>
      <c r="E28">
        <v>2011</v>
      </c>
      <c r="F28">
        <v>2019</v>
      </c>
      <c r="G28" t="str">
        <f>IFERROR(INDEX(Formulations[Formulation],MATCH($C28,Formulations[Product Code],0)),"")</f>
        <v/>
      </c>
    </row>
    <row r="29" spans="1:7" x14ac:dyDescent="0.3">
      <c r="A29" t="s">
        <v>2498</v>
      </c>
      <c r="B29" t="s">
        <v>314</v>
      </c>
      <c r="C29" t="s">
        <v>475</v>
      </c>
      <c r="D29" s="7">
        <v>2415</v>
      </c>
      <c r="E29">
        <v>2009</v>
      </c>
      <c r="F29">
        <v>2017</v>
      </c>
      <c r="G29" t="str">
        <f>IFERROR(INDEX(Formulations[Formulation],MATCH($C29,Formulations[Product Code],0)),"")</f>
        <v>Crystal</v>
      </c>
    </row>
    <row r="30" spans="1:7" x14ac:dyDescent="0.3">
      <c r="A30" t="s">
        <v>1832</v>
      </c>
      <c r="B30" t="s">
        <v>863</v>
      </c>
      <c r="D30" s="7">
        <v>2280</v>
      </c>
      <c r="E30">
        <v>2014</v>
      </c>
      <c r="F30">
        <v>2020</v>
      </c>
      <c r="G30" t="str">
        <f>IFERROR(INDEX(Formulations[Formulation],MATCH($C30,Formulations[Product Code],0)),"")</f>
        <v/>
      </c>
    </row>
    <row r="31" spans="1:7" x14ac:dyDescent="0.3">
      <c r="A31" t="s">
        <v>2521</v>
      </c>
      <c r="B31" t="s">
        <v>184</v>
      </c>
      <c r="C31" t="s">
        <v>185</v>
      </c>
      <c r="D31" s="7">
        <v>2270</v>
      </c>
      <c r="E31">
        <v>2011</v>
      </c>
      <c r="F31">
        <v>2019</v>
      </c>
      <c r="G31" t="str">
        <f>IFERROR(INDEX(Formulations[Formulation],MATCH($C31,Formulations[Product Code],0)),"")</f>
        <v/>
      </c>
    </row>
    <row r="32" spans="1:7" x14ac:dyDescent="0.3">
      <c r="A32" t="s">
        <v>1116</v>
      </c>
      <c r="B32" t="s">
        <v>1125</v>
      </c>
      <c r="C32" t="s">
        <v>1126</v>
      </c>
      <c r="D32" s="7">
        <v>2250</v>
      </c>
      <c r="E32">
        <v>2009</v>
      </c>
      <c r="F32">
        <v>2014</v>
      </c>
      <c r="G32" t="str">
        <f>IFERROR(INDEX(Formulations[Formulation],MATCH($C32,Formulations[Product Code],0)),"")</f>
        <v/>
      </c>
    </row>
    <row r="33" spans="1:7" x14ac:dyDescent="0.3">
      <c r="A33" t="s">
        <v>449</v>
      </c>
      <c r="B33" t="s">
        <v>314</v>
      </c>
      <c r="C33" t="s">
        <v>475</v>
      </c>
      <c r="D33" s="7">
        <v>2185</v>
      </c>
      <c r="E33">
        <v>2011</v>
      </c>
      <c r="F33">
        <v>2019</v>
      </c>
      <c r="G33" t="str">
        <f>IFERROR(INDEX(Formulations[Formulation],MATCH($C33,Formulations[Product Code],0)),"")</f>
        <v>Crystal</v>
      </c>
    </row>
    <row r="34" spans="1:7" x14ac:dyDescent="0.3">
      <c r="A34" t="s">
        <v>2592</v>
      </c>
      <c r="B34" t="s">
        <v>841</v>
      </c>
      <c r="C34" t="s">
        <v>169</v>
      </c>
      <c r="D34" s="7">
        <v>2075</v>
      </c>
      <c r="E34">
        <v>2020</v>
      </c>
      <c r="F34">
        <v>2021</v>
      </c>
      <c r="G34" t="str">
        <f>IFERROR(INDEX(Formulations[Formulation],MATCH($C34,Formulations[Product Code],0)),"")</f>
        <v>Silver</v>
      </c>
    </row>
    <row r="35" spans="1:7" x14ac:dyDescent="0.3">
      <c r="A35" t="s">
        <v>2496</v>
      </c>
      <c r="B35" t="s">
        <v>184</v>
      </c>
      <c r="C35" t="s">
        <v>185</v>
      </c>
      <c r="D35" s="7">
        <v>2043</v>
      </c>
      <c r="E35">
        <v>2010</v>
      </c>
      <c r="F35">
        <v>2019</v>
      </c>
      <c r="G35" t="str">
        <f>IFERROR(INDEX(Formulations[Formulation],MATCH($C35,Formulations[Product Code],0)),"")</f>
        <v/>
      </c>
    </row>
    <row r="36" spans="1:7" x14ac:dyDescent="0.3">
      <c r="A36" t="s">
        <v>1116</v>
      </c>
      <c r="B36" t="s">
        <v>110</v>
      </c>
      <c r="C36" t="s">
        <v>111</v>
      </c>
      <c r="D36" s="7">
        <v>2025</v>
      </c>
      <c r="E36">
        <v>2016</v>
      </c>
      <c r="F36">
        <v>2020</v>
      </c>
      <c r="G36" t="str">
        <f>IFERROR(INDEX(Formulations[Formulation],MATCH($C36,Formulations[Product Code],0)),"")</f>
        <v>75% Lemon Zeste, 25% lemon Top &amp; the Gold DPG)</v>
      </c>
    </row>
    <row r="37" spans="1:7" x14ac:dyDescent="0.3">
      <c r="A37" t="s">
        <v>861</v>
      </c>
      <c r="B37" t="s">
        <v>24</v>
      </c>
      <c r="C37" t="s">
        <v>25</v>
      </c>
      <c r="D37" s="7">
        <v>2022</v>
      </c>
      <c r="E37">
        <v>2011</v>
      </c>
      <c r="F37">
        <v>2017</v>
      </c>
      <c r="G37" t="str">
        <f>IFERROR(INDEX(Formulations[Formulation],MATCH($C37,Formulations[Product Code],0)),"")</f>
        <v>citropine 85%/Pinefresh 15%</v>
      </c>
    </row>
    <row r="38" spans="1:7" x14ac:dyDescent="0.3">
      <c r="A38" t="s">
        <v>2491</v>
      </c>
      <c r="B38" t="s">
        <v>1671</v>
      </c>
      <c r="C38" t="s">
        <v>1672</v>
      </c>
      <c r="D38" s="7">
        <v>2000</v>
      </c>
      <c r="E38">
        <v>2018</v>
      </c>
      <c r="F38">
        <v>2021</v>
      </c>
      <c r="G38" t="str">
        <f>IFERROR(INDEX(Formulations[Formulation],MATCH($C38,Formulations[Product Code],0)),"")</f>
        <v/>
      </c>
    </row>
    <row r="39" spans="1:7" x14ac:dyDescent="0.3">
      <c r="A39" t="s">
        <v>1833</v>
      </c>
      <c r="B39" t="s">
        <v>417</v>
      </c>
      <c r="C39" t="s">
        <v>418</v>
      </c>
      <c r="D39" s="7">
        <v>1975</v>
      </c>
      <c r="E39">
        <v>2009</v>
      </c>
      <c r="F39">
        <v>2019</v>
      </c>
      <c r="G39" t="str">
        <f>IFERROR(INDEX(Formulations[Formulation],MATCH($C39,Formulations[Product Code],0)),"")</f>
        <v>Pure</v>
      </c>
    </row>
    <row r="40" spans="1:7" x14ac:dyDescent="0.3">
      <c r="A40" t="s">
        <v>435</v>
      </c>
      <c r="B40" t="s">
        <v>110</v>
      </c>
      <c r="C40" t="s">
        <v>111</v>
      </c>
      <c r="D40" s="7">
        <v>1950</v>
      </c>
      <c r="E40">
        <v>2018</v>
      </c>
      <c r="F40">
        <v>2019</v>
      </c>
      <c r="G40" t="str">
        <f>IFERROR(INDEX(Formulations[Formulation],MATCH($C40,Formulations[Product Code],0)),"")</f>
        <v>75% Lemon Zeste, 25% lemon Top &amp; the Gold DPG)</v>
      </c>
    </row>
    <row r="41" spans="1:7" x14ac:dyDescent="0.3">
      <c r="A41" t="s">
        <v>1920</v>
      </c>
      <c r="B41" t="s">
        <v>1452</v>
      </c>
      <c r="C41" t="s">
        <v>1453</v>
      </c>
      <c r="D41" s="7">
        <v>1950</v>
      </c>
      <c r="E41">
        <v>2009</v>
      </c>
      <c r="F41">
        <v>2013</v>
      </c>
      <c r="G41" t="str">
        <f>IFERROR(INDEX(Formulations[Formulation],MATCH($C41,Formulations[Product Code],0)),"")</f>
        <v/>
      </c>
    </row>
    <row r="42" spans="1:7" x14ac:dyDescent="0.3">
      <c r="A42" t="s">
        <v>1883</v>
      </c>
      <c r="B42" t="s">
        <v>702</v>
      </c>
      <c r="C42" t="s">
        <v>703</v>
      </c>
      <c r="D42" s="7">
        <v>1900</v>
      </c>
      <c r="E42">
        <v>2019</v>
      </c>
      <c r="F42">
        <v>2020</v>
      </c>
      <c r="G42" t="str">
        <f>IFERROR(INDEX(Formulations[Formulation],MATCH($C42,Formulations[Product Code],0)),"")</f>
        <v>flouramax 40%, green apple 30%, strwaberry 15%, cocoa butter 15%</v>
      </c>
    </row>
    <row r="43" spans="1:7" x14ac:dyDescent="0.3">
      <c r="A43" t="s">
        <v>1439</v>
      </c>
      <c r="B43" t="s">
        <v>1452</v>
      </c>
      <c r="C43" t="s">
        <v>1453</v>
      </c>
      <c r="D43" s="7">
        <v>1800</v>
      </c>
      <c r="E43">
        <v>2011</v>
      </c>
      <c r="F43">
        <v>2018</v>
      </c>
      <c r="G43" t="str">
        <f>IFERROR(INDEX(Formulations[Formulation],MATCH($C43,Formulations[Product Code],0)),"")</f>
        <v/>
      </c>
    </row>
    <row r="44" spans="1:7" x14ac:dyDescent="0.3">
      <c r="A44" t="s">
        <v>2475</v>
      </c>
      <c r="B44" t="s">
        <v>2477</v>
      </c>
      <c r="D44" s="7">
        <v>1750</v>
      </c>
      <c r="E44">
        <v>2021</v>
      </c>
      <c r="F44">
        <v>2021</v>
      </c>
      <c r="G44" t="str">
        <f>IFERROR(INDEX(Formulations[Formulation],MATCH($C44,Formulations[Product Code],0)),"")</f>
        <v/>
      </c>
    </row>
    <row r="45" spans="1:7" x14ac:dyDescent="0.3">
      <c r="A45" t="s">
        <v>1754</v>
      </c>
      <c r="B45" t="s">
        <v>68</v>
      </c>
      <c r="C45" t="s">
        <v>69</v>
      </c>
      <c r="D45" s="7">
        <v>1700</v>
      </c>
      <c r="E45">
        <v>2013</v>
      </c>
      <c r="F45">
        <v>2020</v>
      </c>
      <c r="G45" t="str">
        <f>IFERROR(INDEX(Formulations[Formulation],MATCH($C45,Formulations[Product Code],0)),"")</f>
        <v>Silver</v>
      </c>
    </row>
    <row r="46" spans="1:7" x14ac:dyDescent="0.3">
      <c r="A46" t="s">
        <v>1819</v>
      </c>
      <c r="B46" t="s">
        <v>649</v>
      </c>
      <c r="C46" t="s">
        <v>650</v>
      </c>
      <c r="D46" s="7">
        <v>1690</v>
      </c>
      <c r="E46">
        <v>2017</v>
      </c>
      <c r="F46">
        <v>2021</v>
      </c>
      <c r="G46" t="str">
        <f>IFERROR(INDEX(Formulations[Formulation],MATCH($C46,Formulations[Product Code],0)),"")</f>
        <v>Pure</v>
      </c>
    </row>
    <row r="47" spans="1:7" x14ac:dyDescent="0.3">
      <c r="A47" t="s">
        <v>449</v>
      </c>
      <c r="B47" t="s">
        <v>41</v>
      </c>
      <c r="C47" t="s">
        <v>42</v>
      </c>
      <c r="D47" s="7">
        <v>1650</v>
      </c>
      <c r="E47">
        <v>2011</v>
      </c>
      <c r="F47">
        <v>2019</v>
      </c>
      <c r="G47" t="str">
        <f>IFERROR(INDEX(Formulations[Formulation],MATCH($C47,Formulations[Product Code],0)),"")</f>
        <v/>
      </c>
    </row>
    <row r="48" spans="1:7" x14ac:dyDescent="0.3">
      <c r="A48" t="s">
        <v>1439</v>
      </c>
      <c r="B48" t="s">
        <v>459</v>
      </c>
      <c r="C48" t="s">
        <v>460</v>
      </c>
      <c r="D48" s="7">
        <v>1650</v>
      </c>
      <c r="E48">
        <v>2010</v>
      </c>
      <c r="F48">
        <v>2020</v>
      </c>
      <c r="G48" t="str">
        <f>IFERROR(INDEX(Formulations[Formulation],MATCH($C48,Formulations[Product Code],0)),"")</f>
        <v/>
      </c>
    </row>
    <row r="49" spans="1:7" x14ac:dyDescent="0.3">
      <c r="A49" t="s">
        <v>2491</v>
      </c>
      <c r="B49" t="s">
        <v>297</v>
      </c>
      <c r="C49" t="s">
        <v>298</v>
      </c>
      <c r="D49" s="7">
        <v>1550</v>
      </c>
      <c r="E49">
        <v>2015</v>
      </c>
      <c r="F49">
        <v>2017</v>
      </c>
      <c r="G49" t="str">
        <f>IFERROR(INDEX(Formulations[Formulation],MATCH($C49,Formulations[Product Code],0)),"")</f>
        <v>Pure</v>
      </c>
    </row>
    <row r="50" spans="1:7" x14ac:dyDescent="0.3">
      <c r="A50" t="s">
        <v>1439</v>
      </c>
      <c r="B50" t="s">
        <v>12</v>
      </c>
      <c r="C50" t="s">
        <v>13</v>
      </c>
      <c r="D50" s="7">
        <v>1545</v>
      </c>
      <c r="E50">
        <v>2009</v>
      </c>
      <c r="F50">
        <v>2019</v>
      </c>
      <c r="G50" t="str">
        <f>IFERROR(INDEX(Formulations[Formulation],MATCH($C50,Formulations[Product Code],0)),"")</f>
        <v>Crystal</v>
      </c>
    </row>
    <row r="51" spans="1:7" x14ac:dyDescent="0.3">
      <c r="A51" t="s">
        <v>1937</v>
      </c>
      <c r="B51" t="s">
        <v>19</v>
      </c>
      <c r="C51" t="s">
        <v>20</v>
      </c>
      <c r="D51" s="7">
        <v>1500</v>
      </c>
      <c r="E51">
        <v>2020</v>
      </c>
      <c r="F51">
        <v>2020</v>
      </c>
      <c r="G51" t="str">
        <f>IFERROR(INDEX(Formulations[Formulation],MATCH($C51,Formulations[Product Code],0)),"")</f>
        <v>80 % Oil AND 20 % DPG</v>
      </c>
    </row>
    <row r="52" spans="1:7" x14ac:dyDescent="0.3">
      <c r="A52" t="s">
        <v>1937</v>
      </c>
      <c r="B52" t="s">
        <v>1886</v>
      </c>
      <c r="D52" s="7">
        <v>1500</v>
      </c>
      <c r="E52">
        <v>2020</v>
      </c>
      <c r="F52">
        <v>2020</v>
      </c>
      <c r="G52" t="str">
        <f>IFERROR(INDEX(Formulations[Formulation],MATCH($C52,Formulations[Product Code],0)),"")</f>
        <v/>
      </c>
    </row>
    <row r="53" spans="1:7" x14ac:dyDescent="0.3">
      <c r="A53" t="s">
        <v>2475</v>
      </c>
      <c r="B53" t="s">
        <v>1135</v>
      </c>
      <c r="C53" t="s">
        <v>561</v>
      </c>
      <c r="D53" s="7">
        <v>1500</v>
      </c>
      <c r="E53">
        <v>2017</v>
      </c>
      <c r="F53">
        <v>2020</v>
      </c>
      <c r="G53" t="str">
        <f>IFERROR(INDEX(Formulations[Formulation],MATCH($C53,Formulations[Product Code],0)),"")</f>
        <v/>
      </c>
    </row>
    <row r="54" spans="1:7" x14ac:dyDescent="0.3">
      <c r="A54" t="s">
        <v>2498</v>
      </c>
      <c r="B54" t="s">
        <v>297</v>
      </c>
      <c r="C54" t="s">
        <v>298</v>
      </c>
      <c r="D54" s="7">
        <v>1448</v>
      </c>
      <c r="E54">
        <v>2009</v>
      </c>
      <c r="F54">
        <v>2019</v>
      </c>
      <c r="G54" t="str">
        <f>IFERROR(INDEX(Formulations[Formulation],MATCH($C54,Formulations[Product Code],0)),"")</f>
        <v>Pure</v>
      </c>
    </row>
    <row r="55" spans="1:7" x14ac:dyDescent="0.3">
      <c r="A55" t="s">
        <v>1439</v>
      </c>
      <c r="B55" t="s">
        <v>438</v>
      </c>
      <c r="C55" t="s">
        <v>439</v>
      </c>
      <c r="D55" s="7">
        <v>1445</v>
      </c>
      <c r="E55">
        <v>2017</v>
      </c>
      <c r="F55">
        <v>2020</v>
      </c>
      <c r="G55" t="str">
        <f>IFERROR(INDEX(Formulations[Formulation],MATCH($C55,Formulations[Product Code],0)),"")</f>
        <v>Pure</v>
      </c>
    </row>
    <row r="56" spans="1:7" x14ac:dyDescent="0.3">
      <c r="A56" t="s">
        <v>1439</v>
      </c>
      <c r="B56" t="s">
        <v>314</v>
      </c>
      <c r="C56" t="s">
        <v>315</v>
      </c>
      <c r="D56" s="7">
        <v>1444</v>
      </c>
      <c r="E56">
        <v>2009</v>
      </c>
      <c r="F56">
        <v>2016</v>
      </c>
      <c r="G56" t="str">
        <f>IFERROR(INDEX(Formulations[Formulation],MATCH($C56,Formulations[Product Code],0)),"")</f>
        <v/>
      </c>
    </row>
    <row r="57" spans="1:7" x14ac:dyDescent="0.3">
      <c r="A57" t="s">
        <v>1439</v>
      </c>
      <c r="B57" t="s">
        <v>473</v>
      </c>
      <c r="C57" t="s">
        <v>747</v>
      </c>
      <c r="D57" s="7">
        <v>1425</v>
      </c>
      <c r="E57">
        <v>2009</v>
      </c>
      <c r="F57">
        <v>2018</v>
      </c>
      <c r="G57" t="str">
        <f>IFERROR(INDEX(Formulations[Formulation],MATCH($C57,Formulations[Product Code],0)),"")</f>
        <v/>
      </c>
    </row>
    <row r="58" spans="1:7" x14ac:dyDescent="0.3">
      <c r="A58" t="s">
        <v>1895</v>
      </c>
      <c r="B58" t="s">
        <v>567</v>
      </c>
      <c r="C58" t="s">
        <v>698</v>
      </c>
      <c r="D58" s="7">
        <v>1425</v>
      </c>
      <c r="E58">
        <v>2011</v>
      </c>
      <c r="F58">
        <v>2020</v>
      </c>
      <c r="G58" t="str">
        <f>IFERROR(INDEX(Formulations[Formulation],MATCH($C58,Formulations[Product Code],0)),"")</f>
        <v>Crystal</v>
      </c>
    </row>
    <row r="59" spans="1:7" x14ac:dyDescent="0.3">
      <c r="A59" t="s">
        <v>1439</v>
      </c>
      <c r="B59" t="s">
        <v>184</v>
      </c>
      <c r="C59" t="s">
        <v>185</v>
      </c>
      <c r="D59" s="7">
        <v>1410</v>
      </c>
      <c r="E59">
        <v>2009</v>
      </c>
      <c r="F59">
        <v>2019</v>
      </c>
      <c r="G59" t="str">
        <f>IFERROR(INDEX(Formulations[Formulation],MATCH($C59,Formulations[Product Code],0)),"")</f>
        <v/>
      </c>
    </row>
    <row r="60" spans="1:7" x14ac:dyDescent="0.3">
      <c r="A60" t="s">
        <v>2041</v>
      </c>
      <c r="B60" t="s">
        <v>46</v>
      </c>
      <c r="C60" t="s">
        <v>47</v>
      </c>
      <c r="D60" s="7">
        <v>1410</v>
      </c>
      <c r="E60">
        <v>2012</v>
      </c>
      <c r="F60">
        <v>2016</v>
      </c>
      <c r="G60" t="str">
        <f>IFERROR(INDEX(Formulations[Formulation],MATCH($C60,Formulations[Product Code],0)),"")</f>
        <v/>
      </c>
    </row>
    <row r="61" spans="1:7" x14ac:dyDescent="0.3">
      <c r="A61" t="s">
        <v>2330</v>
      </c>
      <c r="B61" t="s">
        <v>656</v>
      </c>
      <c r="C61" t="s">
        <v>71</v>
      </c>
      <c r="D61" s="7">
        <v>1390</v>
      </c>
      <c r="E61">
        <v>2017</v>
      </c>
      <c r="F61">
        <v>2021</v>
      </c>
      <c r="G61" t="str">
        <f>IFERROR(INDEX(Formulations[Formulation],MATCH($C61,Formulations[Product Code],0)),"")</f>
        <v>40% Oil &amp; 60% DPG</v>
      </c>
    </row>
    <row r="62" spans="1:7" x14ac:dyDescent="0.3">
      <c r="A62" t="s">
        <v>2595</v>
      </c>
      <c r="B62" t="s">
        <v>110</v>
      </c>
      <c r="C62" t="s">
        <v>111</v>
      </c>
      <c r="D62" s="7">
        <v>1380</v>
      </c>
      <c r="E62">
        <v>2020</v>
      </c>
      <c r="F62">
        <v>2021</v>
      </c>
      <c r="G62" t="str">
        <f>IFERROR(INDEX(Formulations[Formulation],MATCH($C62,Formulations[Product Code],0)),"")</f>
        <v>75% Lemon Zeste, 25% lemon Top &amp; the Gold DPG)</v>
      </c>
    </row>
    <row r="63" spans="1:7" x14ac:dyDescent="0.3">
      <c r="A63" t="s">
        <v>2521</v>
      </c>
      <c r="B63" t="s">
        <v>314</v>
      </c>
      <c r="C63" t="s">
        <v>315</v>
      </c>
      <c r="D63" s="7">
        <v>1375</v>
      </c>
      <c r="E63">
        <v>2011</v>
      </c>
      <c r="F63">
        <v>2019</v>
      </c>
      <c r="G63" t="str">
        <f>IFERROR(INDEX(Formulations[Formulation],MATCH($C63,Formulations[Product Code],0)),"")</f>
        <v/>
      </c>
    </row>
    <row r="64" spans="1:7" x14ac:dyDescent="0.3">
      <c r="A64" t="s">
        <v>1906</v>
      </c>
      <c r="B64" t="s">
        <v>1687</v>
      </c>
      <c r="C64" t="s">
        <v>1688</v>
      </c>
      <c r="D64" s="7">
        <v>1370</v>
      </c>
      <c r="E64">
        <v>2014</v>
      </c>
      <c r="F64">
        <v>2021</v>
      </c>
      <c r="G64" t="str">
        <f>IFERROR(INDEX(Formulations[Formulation],MATCH($C64,Formulations[Product Code],0)),"")</f>
        <v>Floral 60% &amp; Gardenia 40%</v>
      </c>
    </row>
    <row r="65" spans="1:7" x14ac:dyDescent="0.3">
      <c r="A65" t="s">
        <v>1871</v>
      </c>
      <c r="B65" t="s">
        <v>110</v>
      </c>
      <c r="C65" t="s">
        <v>111</v>
      </c>
      <c r="D65" s="7">
        <v>1350</v>
      </c>
      <c r="E65">
        <v>2017</v>
      </c>
      <c r="F65">
        <v>2021</v>
      </c>
      <c r="G65" t="str">
        <f>IFERROR(INDEX(Formulations[Formulation],MATCH($C65,Formulations[Product Code],0)),"")</f>
        <v>75% Lemon Zeste, 25% lemon Top &amp; the Gold DPG)</v>
      </c>
    </row>
    <row r="66" spans="1:7" x14ac:dyDescent="0.3">
      <c r="A66" t="s">
        <v>2401</v>
      </c>
      <c r="B66" t="s">
        <v>19</v>
      </c>
      <c r="C66" t="s">
        <v>20</v>
      </c>
      <c r="D66" s="7">
        <v>1350</v>
      </c>
      <c r="E66">
        <v>2020</v>
      </c>
      <c r="F66">
        <v>2020</v>
      </c>
      <c r="G66" t="str">
        <f>IFERROR(INDEX(Formulations[Formulation],MATCH($C66,Formulations[Product Code],0)),"")</f>
        <v>80 % Oil AND 20 % DPG</v>
      </c>
    </row>
    <row r="67" spans="1:7" x14ac:dyDescent="0.3">
      <c r="A67" t="s">
        <v>2346</v>
      </c>
      <c r="B67" t="s">
        <v>16</v>
      </c>
      <c r="C67" t="s">
        <v>17</v>
      </c>
      <c r="D67" s="7">
        <v>1273</v>
      </c>
      <c r="E67">
        <v>2016</v>
      </c>
      <c r="F67">
        <v>2021</v>
      </c>
      <c r="G67" t="str">
        <f>IFERROR(INDEX(Formulations[Formulation],MATCH($C67,Formulations[Product Code],0)),"")</f>
        <v>Crystal</v>
      </c>
    </row>
    <row r="68" spans="1:7" x14ac:dyDescent="0.3">
      <c r="A68" t="s">
        <v>1673</v>
      </c>
      <c r="B68" t="s">
        <v>51</v>
      </c>
      <c r="C68" t="s">
        <v>52</v>
      </c>
      <c r="D68" s="7">
        <v>1270</v>
      </c>
      <c r="E68">
        <v>2018</v>
      </c>
      <c r="F68">
        <v>2020</v>
      </c>
      <c r="G68" t="str">
        <f>IFERROR(INDEX(Formulations[Formulation],MATCH($C68,Formulations[Product Code],0)),"")</f>
        <v>Silver</v>
      </c>
    </row>
    <row r="69" spans="1:7" x14ac:dyDescent="0.3">
      <c r="A69" t="s">
        <v>2043</v>
      </c>
      <c r="B69" t="s">
        <v>417</v>
      </c>
      <c r="C69" t="s">
        <v>418</v>
      </c>
      <c r="D69" s="7">
        <v>1250</v>
      </c>
      <c r="E69">
        <v>2016</v>
      </c>
      <c r="F69">
        <v>2017</v>
      </c>
      <c r="G69" t="str">
        <f>IFERROR(INDEX(Formulations[Formulation],MATCH($C69,Formulations[Product Code],0)),"")</f>
        <v>Pure</v>
      </c>
    </row>
    <row r="70" spans="1:7" x14ac:dyDescent="0.3">
      <c r="A70" t="s">
        <v>449</v>
      </c>
      <c r="B70" t="s">
        <v>479</v>
      </c>
      <c r="C70" t="s">
        <v>480</v>
      </c>
      <c r="D70" s="7">
        <v>1228</v>
      </c>
      <c r="E70">
        <v>2012</v>
      </c>
      <c r="F70">
        <v>2021</v>
      </c>
      <c r="G70" t="str">
        <f>IFERROR(INDEX(Formulations[Formulation],MATCH($C70,Formulations[Product Code],0)),"")</f>
        <v>Crystal</v>
      </c>
    </row>
    <row r="71" spans="1:7" x14ac:dyDescent="0.3">
      <c r="A71" t="s">
        <v>878</v>
      </c>
      <c r="B71" t="s">
        <v>528</v>
      </c>
      <c r="C71" t="s">
        <v>529</v>
      </c>
      <c r="D71" s="7">
        <v>1214.7</v>
      </c>
      <c r="E71">
        <v>2009</v>
      </c>
      <c r="F71">
        <v>2017</v>
      </c>
      <c r="G71" t="str">
        <f>IFERROR(INDEX(Formulations[Formulation],MATCH($C71,Formulations[Product Code],0)),"")</f>
        <v>Crystal</v>
      </c>
    </row>
    <row r="72" spans="1:7" x14ac:dyDescent="0.3">
      <c r="A72" t="s">
        <v>920</v>
      </c>
      <c r="B72" t="s">
        <v>677</v>
      </c>
      <c r="C72" t="s">
        <v>678</v>
      </c>
      <c r="D72" s="7">
        <v>1185</v>
      </c>
      <c r="E72">
        <v>2019</v>
      </c>
      <c r="F72">
        <v>2019</v>
      </c>
      <c r="G72" t="str">
        <f>IFERROR(INDEX(Formulations[Formulation],MATCH($C72,Formulations[Product Code],0)),"")</f>
        <v>Pure</v>
      </c>
    </row>
    <row r="73" spans="1:7" x14ac:dyDescent="0.3">
      <c r="A73" t="s">
        <v>2346</v>
      </c>
      <c r="B73" t="s">
        <v>471</v>
      </c>
      <c r="C73" t="s">
        <v>472</v>
      </c>
      <c r="D73" s="7">
        <v>1165</v>
      </c>
      <c r="E73">
        <v>2012</v>
      </c>
      <c r="F73">
        <v>2021</v>
      </c>
      <c r="G73" t="str">
        <f>IFERROR(INDEX(Formulations[Formulation],MATCH($C73,Formulations[Product Code],0)),"")</f>
        <v>Crystal</v>
      </c>
    </row>
    <row r="74" spans="1:7" x14ac:dyDescent="0.3">
      <c r="A74" t="s">
        <v>1439</v>
      </c>
      <c r="B74" t="s">
        <v>297</v>
      </c>
      <c r="C74" t="s">
        <v>298</v>
      </c>
      <c r="D74" s="7">
        <v>1155</v>
      </c>
      <c r="E74">
        <v>2009</v>
      </c>
      <c r="F74">
        <v>2020</v>
      </c>
      <c r="G74" t="str">
        <f>IFERROR(INDEX(Formulations[Formulation],MATCH($C74,Formulations[Product Code],0)),"")</f>
        <v>Pure</v>
      </c>
    </row>
    <row r="75" spans="1:7" x14ac:dyDescent="0.3">
      <c r="A75" t="s">
        <v>2455</v>
      </c>
      <c r="B75" t="s">
        <v>41</v>
      </c>
      <c r="C75" t="s">
        <v>530</v>
      </c>
      <c r="D75" s="7">
        <v>1150</v>
      </c>
      <c r="E75">
        <v>2009</v>
      </c>
      <c r="F75">
        <v>2011</v>
      </c>
      <c r="G75" t="str">
        <f>IFERROR(INDEX(Formulations[Formulation],MATCH($C75,Formulations[Product Code],0)),"")</f>
        <v/>
      </c>
    </row>
    <row r="76" spans="1:7" x14ac:dyDescent="0.3">
      <c r="A76" t="s">
        <v>2574</v>
      </c>
      <c r="B76" t="s">
        <v>19</v>
      </c>
      <c r="C76" t="s">
        <v>20</v>
      </c>
      <c r="D76" s="7">
        <v>1150</v>
      </c>
      <c r="E76">
        <v>2017</v>
      </c>
      <c r="F76">
        <v>2021</v>
      </c>
      <c r="G76" t="str">
        <f>IFERROR(INDEX(Formulations[Formulation],MATCH($C76,Formulations[Product Code],0)),"")</f>
        <v>80 % Oil AND 20 % DPG</v>
      </c>
    </row>
    <row r="77" spans="1:7" x14ac:dyDescent="0.3">
      <c r="A77" t="s">
        <v>712</v>
      </c>
      <c r="B77" t="s">
        <v>19</v>
      </c>
      <c r="C77" t="s">
        <v>20</v>
      </c>
      <c r="D77" s="7">
        <v>1142</v>
      </c>
      <c r="E77">
        <v>2011</v>
      </c>
      <c r="F77">
        <v>2021</v>
      </c>
      <c r="G77" t="str">
        <f>IFERROR(INDEX(Formulations[Formulation],MATCH($C77,Formulations[Product Code],0)),"")</f>
        <v>80 % Oil AND 20 % DPG</v>
      </c>
    </row>
    <row r="78" spans="1:7" x14ac:dyDescent="0.3">
      <c r="A78" t="s">
        <v>2569</v>
      </c>
      <c r="B78" t="s">
        <v>383</v>
      </c>
      <c r="C78" t="s">
        <v>384</v>
      </c>
      <c r="D78" s="7">
        <v>1135</v>
      </c>
      <c r="E78">
        <v>2015</v>
      </c>
      <c r="F78">
        <v>2020</v>
      </c>
      <c r="G78" t="str">
        <f>IFERROR(INDEX(Formulations[Formulation],MATCH($C78,Formulations[Product Code],0)),"")</f>
        <v>Pure</v>
      </c>
    </row>
    <row r="79" spans="1:7" x14ac:dyDescent="0.3">
      <c r="A79" t="s">
        <v>1832</v>
      </c>
      <c r="B79" t="s">
        <v>45</v>
      </c>
      <c r="D79" s="7">
        <v>1100</v>
      </c>
      <c r="E79">
        <v>2015</v>
      </c>
      <c r="F79">
        <v>2015</v>
      </c>
      <c r="G79" t="str">
        <f>IFERROR(INDEX(Formulations[Formulation],MATCH($C79,Formulations[Product Code],0)),"")</f>
        <v/>
      </c>
    </row>
    <row r="80" spans="1:7" x14ac:dyDescent="0.3">
      <c r="A80" t="s">
        <v>1761</v>
      </c>
      <c r="B80" t="s">
        <v>1762</v>
      </c>
      <c r="C80" t="s">
        <v>1763</v>
      </c>
      <c r="D80" s="7">
        <v>1075</v>
      </c>
      <c r="E80">
        <v>2016</v>
      </c>
      <c r="F80">
        <v>2021</v>
      </c>
      <c r="G80" t="str">
        <f>IFERROR(INDEX(Formulations[Formulation],MATCH($C80,Formulations[Product Code],0)),"")</f>
        <v>Crystal</v>
      </c>
    </row>
    <row r="81" spans="1:7" x14ac:dyDescent="0.3">
      <c r="A81" t="s">
        <v>531</v>
      </c>
      <c r="B81" t="s">
        <v>543</v>
      </c>
      <c r="C81" t="s">
        <v>544</v>
      </c>
      <c r="D81" s="7">
        <v>1071</v>
      </c>
      <c r="E81">
        <v>2016</v>
      </c>
      <c r="F81">
        <v>2021</v>
      </c>
      <c r="G81" t="str">
        <f>IFERROR(INDEX(Formulations[Formulation],MATCH($C81,Formulations[Product Code],0)),"")</f>
        <v>Crystal</v>
      </c>
    </row>
    <row r="82" spans="1:7" x14ac:dyDescent="0.3">
      <c r="A82" t="s">
        <v>1883</v>
      </c>
      <c r="B82" t="s">
        <v>666</v>
      </c>
      <c r="C82" t="s">
        <v>667</v>
      </c>
      <c r="D82" s="7">
        <v>1050</v>
      </c>
      <c r="E82">
        <v>2019</v>
      </c>
      <c r="F82">
        <v>2020</v>
      </c>
      <c r="G82" t="str">
        <f>IFERROR(INDEX(Formulations[Formulation],MATCH($C82,Formulations[Product Code],0)),"")</f>
        <v/>
      </c>
    </row>
    <row r="83" spans="1:7" x14ac:dyDescent="0.3">
      <c r="A83" t="s">
        <v>449</v>
      </c>
      <c r="B83" t="s">
        <v>110</v>
      </c>
      <c r="C83" t="s">
        <v>111</v>
      </c>
      <c r="D83" s="7">
        <v>1025</v>
      </c>
      <c r="E83">
        <v>2018</v>
      </c>
      <c r="F83">
        <v>2021</v>
      </c>
      <c r="G83" t="str">
        <f>IFERROR(INDEX(Formulations[Formulation],MATCH($C83,Formulations[Product Code],0)),"")</f>
        <v>75% Lemon Zeste, 25% lemon Top &amp; the Gold DPG)</v>
      </c>
    </row>
    <row r="84" spans="1:7" x14ac:dyDescent="0.3">
      <c r="A84" t="s">
        <v>2069</v>
      </c>
      <c r="B84" t="s">
        <v>51</v>
      </c>
      <c r="C84" t="s">
        <v>52</v>
      </c>
      <c r="D84" s="7">
        <v>1025</v>
      </c>
      <c r="E84">
        <v>2016</v>
      </c>
      <c r="F84">
        <v>2021</v>
      </c>
      <c r="G84" t="str">
        <f>IFERROR(INDEX(Formulations[Formulation],MATCH($C84,Formulations[Product Code],0)),"")</f>
        <v>Silver</v>
      </c>
    </row>
    <row r="85" spans="1:7" x14ac:dyDescent="0.3">
      <c r="A85" t="s">
        <v>1906</v>
      </c>
      <c r="B85" t="s">
        <v>46</v>
      </c>
      <c r="C85" t="s">
        <v>47</v>
      </c>
      <c r="D85" s="7">
        <v>1020</v>
      </c>
      <c r="E85">
        <v>2011</v>
      </c>
      <c r="F85">
        <v>2019</v>
      </c>
      <c r="G85" t="str">
        <f>IFERROR(INDEX(Formulations[Formulation],MATCH($C85,Formulations[Product Code],0)),"")</f>
        <v/>
      </c>
    </row>
    <row r="86" spans="1:7" x14ac:dyDescent="0.3">
      <c r="A86" t="s">
        <v>2095</v>
      </c>
      <c r="B86" t="s">
        <v>32</v>
      </c>
      <c r="D86" s="7">
        <v>1020</v>
      </c>
      <c r="E86">
        <v>2015</v>
      </c>
      <c r="F86">
        <v>2021</v>
      </c>
      <c r="G86" t="str">
        <f>IFERROR(INDEX(Formulations[Formulation],MATCH($C86,Formulations[Product Code],0)),"")</f>
        <v/>
      </c>
    </row>
    <row r="87" spans="1:7" x14ac:dyDescent="0.3">
      <c r="A87" t="s">
        <v>1838</v>
      </c>
      <c r="B87" t="s">
        <v>736</v>
      </c>
      <c r="C87" t="s">
        <v>737</v>
      </c>
      <c r="D87" s="7">
        <v>1000</v>
      </c>
      <c r="E87">
        <v>2021</v>
      </c>
      <c r="F87">
        <v>2021</v>
      </c>
      <c r="G87" t="str">
        <f>IFERROR(INDEX(Formulations[Formulation],MATCH($C87,Formulations[Product Code],0)),"")</f>
        <v>Flouramax40%, Strawberry 20%, Banana 20%g &amp; Cherry 20%</v>
      </c>
    </row>
    <row r="88" spans="1:7" x14ac:dyDescent="0.3">
      <c r="A88" t="s">
        <v>1895</v>
      </c>
      <c r="B88" t="s">
        <v>631</v>
      </c>
      <c r="C88" t="s">
        <v>1896</v>
      </c>
      <c r="D88" s="7">
        <v>1000</v>
      </c>
      <c r="E88">
        <v>2013</v>
      </c>
      <c r="F88">
        <v>2020</v>
      </c>
      <c r="G88" t="str">
        <f>IFERROR(INDEX(Formulations[Formulation],MATCH($C88,Formulations[Product Code],0)),"")</f>
        <v/>
      </c>
    </row>
    <row r="89" spans="1:7" x14ac:dyDescent="0.3">
      <c r="A89" t="s">
        <v>1937</v>
      </c>
      <c r="B89" t="s">
        <v>1938</v>
      </c>
      <c r="D89" s="7">
        <v>1000</v>
      </c>
      <c r="E89">
        <v>2021</v>
      </c>
      <c r="F89">
        <v>2021</v>
      </c>
      <c r="G89" t="str">
        <f>IFERROR(INDEX(Formulations[Formulation],MATCH($C89,Formulations[Product Code],0)),"")</f>
        <v/>
      </c>
    </row>
    <row r="90" spans="1:7" x14ac:dyDescent="0.3">
      <c r="A90" t="s">
        <v>2461</v>
      </c>
      <c r="B90" t="s">
        <v>26</v>
      </c>
      <c r="C90" t="s">
        <v>27</v>
      </c>
      <c r="D90" s="7">
        <v>1000</v>
      </c>
      <c r="E90">
        <v>2015</v>
      </c>
      <c r="F90">
        <v>2019</v>
      </c>
      <c r="G90" t="str">
        <f>IFERROR(INDEX(Formulations[Formulation],MATCH($C90,Formulations[Product Code],0)),"")</f>
        <v>FLOURAMAX A270578/ P782894</v>
      </c>
    </row>
    <row r="91" spans="1:7" x14ac:dyDescent="0.3">
      <c r="A91" t="s">
        <v>2491</v>
      </c>
      <c r="B91" t="s">
        <v>446</v>
      </c>
      <c r="C91" t="s">
        <v>447</v>
      </c>
      <c r="D91" s="7">
        <v>1000</v>
      </c>
      <c r="E91">
        <v>2020</v>
      </c>
      <c r="F91">
        <v>2020</v>
      </c>
      <c r="G91" t="str">
        <f>IFERROR(INDEX(Formulations[Formulation],MATCH($C91,Formulations[Product Code],0)),"")</f>
        <v>30% Key Oil</v>
      </c>
    </row>
    <row r="92" spans="1:7" x14ac:dyDescent="0.3">
      <c r="A92" t="s">
        <v>1346</v>
      </c>
      <c r="B92" t="s">
        <v>1231</v>
      </c>
      <c r="C92" t="s">
        <v>1232</v>
      </c>
      <c r="D92" s="7">
        <v>975</v>
      </c>
      <c r="E92">
        <v>2016</v>
      </c>
      <c r="F92">
        <v>2019</v>
      </c>
      <c r="G92" t="str">
        <f>IFERROR(INDEX(Formulations[Formulation],MATCH($C92,Formulations[Product Code],0)),"")</f>
        <v/>
      </c>
    </row>
    <row r="93" spans="1:7" x14ac:dyDescent="0.3">
      <c r="A93" t="s">
        <v>1761</v>
      </c>
      <c r="B93" t="s">
        <v>64</v>
      </c>
      <c r="C93" t="s">
        <v>65</v>
      </c>
      <c r="D93" s="7">
        <v>950</v>
      </c>
      <c r="E93">
        <v>2019</v>
      </c>
      <c r="F93">
        <v>2020</v>
      </c>
      <c r="G93" t="str">
        <f>IFERROR(INDEX(Formulations[Formulation],MATCH($C93,Formulations[Product Code],0)),"")</f>
        <v>Crystal</v>
      </c>
    </row>
    <row r="94" spans="1:7" x14ac:dyDescent="0.3">
      <c r="A94" t="s">
        <v>1883</v>
      </c>
      <c r="B94" t="s">
        <v>1671</v>
      </c>
      <c r="C94" t="s">
        <v>1672</v>
      </c>
      <c r="D94" s="7">
        <v>950</v>
      </c>
      <c r="E94">
        <v>2017</v>
      </c>
      <c r="F94">
        <v>2018</v>
      </c>
      <c r="G94" t="str">
        <f>IFERROR(INDEX(Formulations[Formulation],MATCH($C94,Formulations[Product Code],0)),"")</f>
        <v/>
      </c>
    </row>
    <row r="95" spans="1:7" x14ac:dyDescent="0.3">
      <c r="A95" t="s">
        <v>861</v>
      </c>
      <c r="B95" t="s">
        <v>32</v>
      </c>
      <c r="D95" s="7">
        <v>920</v>
      </c>
      <c r="E95">
        <v>2012</v>
      </c>
      <c r="F95">
        <v>2021</v>
      </c>
      <c r="G95" t="str">
        <f>IFERROR(INDEX(Formulations[Formulation],MATCH($C95,Formulations[Product Code],0)),"")</f>
        <v/>
      </c>
    </row>
    <row r="96" spans="1:7" x14ac:dyDescent="0.3">
      <c r="A96" t="s">
        <v>1862</v>
      </c>
      <c r="B96" t="s">
        <v>43</v>
      </c>
      <c r="C96" t="s">
        <v>44</v>
      </c>
      <c r="D96" s="7">
        <v>920</v>
      </c>
      <c r="E96">
        <v>2009</v>
      </c>
      <c r="F96">
        <v>2013</v>
      </c>
      <c r="G96" t="str">
        <f>IFERROR(INDEX(Formulations[Formulation],MATCH($C96,Formulations[Product Code],0)),"")</f>
        <v/>
      </c>
    </row>
    <row r="97" spans="1:7" x14ac:dyDescent="0.3">
      <c r="A97" t="s">
        <v>2330</v>
      </c>
      <c r="B97" t="s">
        <v>543</v>
      </c>
      <c r="C97" t="s">
        <v>544</v>
      </c>
      <c r="D97" s="7">
        <v>888</v>
      </c>
      <c r="E97">
        <v>2015</v>
      </c>
      <c r="F97">
        <v>2018</v>
      </c>
      <c r="G97" t="str">
        <f>IFERROR(INDEX(Formulations[Formulation],MATCH($C97,Formulations[Product Code],0)),"")</f>
        <v>Crystal</v>
      </c>
    </row>
    <row r="98" spans="1:7" x14ac:dyDescent="0.3">
      <c r="A98" t="s">
        <v>449</v>
      </c>
      <c r="B98" t="s">
        <v>467</v>
      </c>
      <c r="C98" t="s">
        <v>468</v>
      </c>
      <c r="D98" s="7">
        <v>875</v>
      </c>
      <c r="E98">
        <v>2018</v>
      </c>
      <c r="F98">
        <v>2021</v>
      </c>
      <c r="G98" t="str">
        <f>IFERROR(INDEX(Formulations[Formulation],MATCH($C98,Formulations[Product Code],0)),"")</f>
        <v>Crystal</v>
      </c>
    </row>
    <row r="99" spans="1:7" x14ac:dyDescent="0.3">
      <c r="A99" t="s">
        <v>1439</v>
      </c>
      <c r="B99" t="s">
        <v>1334</v>
      </c>
      <c r="C99" t="s">
        <v>1335</v>
      </c>
      <c r="D99" s="7">
        <v>875</v>
      </c>
      <c r="E99">
        <v>2015</v>
      </c>
      <c r="F99">
        <v>2021</v>
      </c>
      <c r="G99" t="str">
        <f>IFERROR(INDEX(Formulations[Formulation],MATCH($C99,Formulations[Product Code],0)),"")</f>
        <v>Crystal</v>
      </c>
    </row>
    <row r="100" spans="1:7" x14ac:dyDescent="0.3">
      <c r="A100" t="s">
        <v>2412</v>
      </c>
      <c r="B100" t="s">
        <v>417</v>
      </c>
      <c r="C100" t="s">
        <v>418</v>
      </c>
      <c r="D100" s="7">
        <v>875</v>
      </c>
      <c r="E100">
        <v>2017</v>
      </c>
      <c r="F100">
        <v>2018</v>
      </c>
      <c r="G100" t="str">
        <f>IFERROR(INDEX(Formulations[Formulation],MATCH($C100,Formulations[Product Code],0)),"")</f>
        <v>Pure</v>
      </c>
    </row>
    <row r="101" spans="1:7" x14ac:dyDescent="0.3">
      <c r="A101" t="s">
        <v>273</v>
      </c>
      <c r="B101" t="s">
        <v>196</v>
      </c>
      <c r="C101" t="s">
        <v>197</v>
      </c>
      <c r="D101" s="7">
        <v>870</v>
      </c>
      <c r="E101">
        <v>2012</v>
      </c>
      <c r="F101">
        <v>2016</v>
      </c>
      <c r="G101" t="str">
        <f>IFERROR(INDEX(Formulations[Formulation],MATCH($C101,Formulations[Product Code],0)),"")</f>
        <v/>
      </c>
    </row>
    <row r="102" spans="1:7" x14ac:dyDescent="0.3">
      <c r="A102" t="s">
        <v>2498</v>
      </c>
      <c r="B102" t="s">
        <v>41</v>
      </c>
      <c r="C102" t="s">
        <v>2503</v>
      </c>
      <c r="D102" s="7">
        <v>850</v>
      </c>
      <c r="E102">
        <v>2009</v>
      </c>
      <c r="F102">
        <v>2009</v>
      </c>
      <c r="G102" t="str">
        <f>IFERROR(INDEX(Formulations[Formulation],MATCH($C102,Formulations[Product Code],0)),"")</f>
        <v/>
      </c>
    </row>
    <row r="103" spans="1:7" x14ac:dyDescent="0.3">
      <c r="A103" t="s">
        <v>2455</v>
      </c>
      <c r="B103" t="s">
        <v>1457</v>
      </c>
      <c r="C103" t="s">
        <v>682</v>
      </c>
      <c r="D103" s="7">
        <v>845</v>
      </c>
      <c r="E103">
        <v>2009</v>
      </c>
      <c r="F103">
        <v>2020</v>
      </c>
      <c r="G103" t="str">
        <f>IFERROR(INDEX(Formulations[Formulation],MATCH($C103,Formulations[Product Code],0)),"")</f>
        <v/>
      </c>
    </row>
    <row r="104" spans="1:7" x14ac:dyDescent="0.3">
      <c r="A104" t="s">
        <v>607</v>
      </c>
      <c r="B104" t="s">
        <v>608</v>
      </c>
      <c r="D104" s="7">
        <v>825</v>
      </c>
      <c r="E104">
        <v>2016</v>
      </c>
      <c r="F104">
        <v>2019</v>
      </c>
      <c r="G104" t="str">
        <f>IFERROR(INDEX(Formulations[Formulation],MATCH($C104,Formulations[Product Code],0)),"")</f>
        <v/>
      </c>
    </row>
    <row r="105" spans="1:7" x14ac:dyDescent="0.3">
      <c r="A105" t="s">
        <v>1346</v>
      </c>
      <c r="B105" t="s">
        <v>830</v>
      </c>
      <c r="C105" t="s">
        <v>831</v>
      </c>
      <c r="D105" s="7">
        <v>825</v>
      </c>
      <c r="E105">
        <v>2018</v>
      </c>
      <c r="F105">
        <v>2021</v>
      </c>
      <c r="G105" t="str">
        <f>IFERROR(INDEX(Formulations[Formulation],MATCH($C105,Formulations[Product Code],0)),"")</f>
        <v>Crystal</v>
      </c>
    </row>
    <row r="106" spans="1:7" x14ac:dyDescent="0.3">
      <c r="A106" t="s">
        <v>1668</v>
      </c>
      <c r="B106" t="s">
        <v>446</v>
      </c>
      <c r="C106" t="s">
        <v>447</v>
      </c>
      <c r="D106" s="7">
        <v>825</v>
      </c>
      <c r="E106">
        <v>2020</v>
      </c>
      <c r="F106">
        <v>2021</v>
      </c>
      <c r="G106" t="str">
        <f>IFERROR(INDEX(Formulations[Formulation],MATCH($C106,Formulations[Product Code],0)),"")</f>
        <v>30% Key Oil</v>
      </c>
    </row>
    <row r="107" spans="1:7" x14ac:dyDescent="0.3">
      <c r="A107" t="s">
        <v>2538</v>
      </c>
      <c r="B107" t="s">
        <v>668</v>
      </c>
      <c r="C107" t="s">
        <v>669</v>
      </c>
      <c r="D107" s="7">
        <v>825</v>
      </c>
      <c r="E107">
        <v>2020</v>
      </c>
      <c r="F107">
        <v>2021</v>
      </c>
      <c r="G107" t="str">
        <f>IFERROR(INDEX(Formulations[Formulation],MATCH($C107,Formulations[Product Code],0)),"")</f>
        <v>Crystal</v>
      </c>
    </row>
    <row r="108" spans="1:7" x14ac:dyDescent="0.3">
      <c r="A108" t="s">
        <v>2092</v>
      </c>
      <c r="B108" t="s">
        <v>41</v>
      </c>
      <c r="C108" t="s">
        <v>42</v>
      </c>
      <c r="D108" s="7">
        <v>824</v>
      </c>
      <c r="E108">
        <v>2011</v>
      </c>
      <c r="F108">
        <v>2015</v>
      </c>
      <c r="G108" t="str">
        <f>IFERROR(INDEX(Formulations[Formulation],MATCH($C108,Formulations[Product Code],0)),"")</f>
        <v/>
      </c>
    </row>
    <row r="109" spans="1:7" x14ac:dyDescent="0.3">
      <c r="A109" t="s">
        <v>2569</v>
      </c>
      <c r="B109" t="s">
        <v>839</v>
      </c>
      <c r="C109" t="s">
        <v>138</v>
      </c>
      <c r="D109" s="7">
        <v>801</v>
      </c>
      <c r="E109">
        <v>2014</v>
      </c>
      <c r="F109">
        <v>2021</v>
      </c>
      <c r="G109" t="str">
        <f>IFERROR(INDEX(Formulations[Formulation],MATCH($C109,Formulations[Product Code],0)),"")</f>
        <v>WS</v>
      </c>
    </row>
    <row r="110" spans="1:7" x14ac:dyDescent="0.3">
      <c r="A110" t="s">
        <v>1881</v>
      </c>
      <c r="B110" t="s">
        <v>84</v>
      </c>
      <c r="C110" t="s">
        <v>85</v>
      </c>
      <c r="D110" s="7">
        <v>800</v>
      </c>
      <c r="E110">
        <v>2014</v>
      </c>
      <c r="F110">
        <v>2020</v>
      </c>
      <c r="G110" t="str">
        <f>IFERROR(INDEX(Formulations[Formulation],MATCH($C110,Formulations[Product Code],0)),"")</f>
        <v>Pure</v>
      </c>
    </row>
    <row r="111" spans="1:7" x14ac:dyDescent="0.3">
      <c r="A111" t="s">
        <v>923</v>
      </c>
      <c r="B111" t="s">
        <v>120</v>
      </c>
      <c r="C111" t="s">
        <v>121</v>
      </c>
      <c r="D111" s="7">
        <v>795</v>
      </c>
      <c r="E111">
        <v>2014</v>
      </c>
      <c r="F111">
        <v>2019</v>
      </c>
      <c r="G111" t="str">
        <f>IFERROR(INDEX(Formulations[Formulation],MATCH($C111,Formulations[Product Code],0)),"")</f>
        <v/>
      </c>
    </row>
    <row r="112" spans="1:7" x14ac:dyDescent="0.3">
      <c r="A112" t="s">
        <v>1668</v>
      </c>
      <c r="B112" t="s">
        <v>438</v>
      </c>
      <c r="C112" t="s">
        <v>439</v>
      </c>
      <c r="D112" s="7">
        <v>790</v>
      </c>
      <c r="E112">
        <v>2016</v>
      </c>
      <c r="F112">
        <v>2021</v>
      </c>
      <c r="G112" t="str">
        <f>IFERROR(INDEX(Formulations[Formulation],MATCH($C112,Formulations[Product Code],0)),"")</f>
        <v>Pure</v>
      </c>
    </row>
    <row r="113" spans="1:7" x14ac:dyDescent="0.3">
      <c r="A113" t="s">
        <v>2496</v>
      </c>
      <c r="B113" t="s">
        <v>297</v>
      </c>
      <c r="C113" t="s">
        <v>298</v>
      </c>
      <c r="D113" s="7">
        <v>790</v>
      </c>
      <c r="E113">
        <v>2011</v>
      </c>
      <c r="F113">
        <v>2018</v>
      </c>
      <c r="G113" t="str">
        <f>IFERROR(INDEX(Formulations[Formulation],MATCH($C113,Formulations[Product Code],0)),"")</f>
        <v>Pure</v>
      </c>
    </row>
    <row r="114" spans="1:7" x14ac:dyDescent="0.3">
      <c r="A114" t="s">
        <v>1838</v>
      </c>
      <c r="B114" t="s">
        <v>686</v>
      </c>
      <c r="C114" t="s">
        <v>687</v>
      </c>
      <c r="D114" s="7">
        <v>750</v>
      </c>
      <c r="E114">
        <v>2020</v>
      </c>
      <c r="F114">
        <v>2021</v>
      </c>
      <c r="G114" t="str">
        <f>IFERROR(INDEX(Formulations[Formulation],MATCH($C114,Formulations[Product Code],0)),"")</f>
        <v>Pure</v>
      </c>
    </row>
    <row r="115" spans="1:7" x14ac:dyDescent="0.3">
      <c r="A115" t="s">
        <v>1883</v>
      </c>
      <c r="B115" t="s">
        <v>46</v>
      </c>
      <c r="C115" t="s">
        <v>47</v>
      </c>
      <c r="D115" s="7">
        <v>750</v>
      </c>
      <c r="E115">
        <v>2013</v>
      </c>
      <c r="F115">
        <v>2015</v>
      </c>
      <c r="G115" t="str">
        <f>IFERROR(INDEX(Formulations[Formulation],MATCH($C115,Formulations[Product Code],0)),"")</f>
        <v/>
      </c>
    </row>
    <row r="116" spans="1:7" x14ac:dyDescent="0.3">
      <c r="A116" t="s">
        <v>2041</v>
      </c>
      <c r="B116" t="s">
        <v>41</v>
      </c>
      <c r="C116" t="s">
        <v>42</v>
      </c>
      <c r="D116" s="7">
        <v>750</v>
      </c>
      <c r="E116">
        <v>2012</v>
      </c>
      <c r="F116">
        <v>2012</v>
      </c>
      <c r="G116" t="str">
        <f>IFERROR(INDEX(Formulations[Formulation],MATCH($C116,Formulations[Product Code],0)),"")</f>
        <v/>
      </c>
    </row>
    <row r="117" spans="1:7" x14ac:dyDescent="0.3">
      <c r="A117" t="s">
        <v>2209</v>
      </c>
      <c r="B117" t="s">
        <v>635</v>
      </c>
      <c r="C117" t="s">
        <v>636</v>
      </c>
      <c r="D117" s="7">
        <v>750</v>
      </c>
      <c r="E117">
        <v>2019</v>
      </c>
      <c r="F117">
        <v>2021</v>
      </c>
      <c r="G117" t="str">
        <f>IFERROR(INDEX(Formulations[Formulation],MATCH($C117,Formulations[Product Code],0)),"")</f>
        <v>Pure</v>
      </c>
    </row>
    <row r="118" spans="1:7" x14ac:dyDescent="0.3">
      <c r="A118" t="s">
        <v>1460</v>
      </c>
      <c r="B118" t="s">
        <v>809</v>
      </c>
      <c r="C118" t="s">
        <v>810</v>
      </c>
      <c r="D118" s="7">
        <v>745</v>
      </c>
      <c r="E118">
        <v>2015</v>
      </c>
      <c r="F118">
        <v>2017</v>
      </c>
      <c r="G118" t="str">
        <f>IFERROR(INDEX(Formulations[Formulation],MATCH($C118,Formulations[Product Code],0)),"")</f>
        <v>Silver</v>
      </c>
    </row>
    <row r="119" spans="1:7" x14ac:dyDescent="0.3">
      <c r="A119" t="s">
        <v>1439</v>
      </c>
      <c r="B119" t="s">
        <v>907</v>
      </c>
      <c r="D119" s="7">
        <v>737</v>
      </c>
      <c r="E119">
        <v>2014</v>
      </c>
      <c r="F119">
        <v>2017</v>
      </c>
      <c r="G119" t="str">
        <f>IFERROR(INDEX(Formulations[Formulation],MATCH($C119,Formulations[Product Code],0)),"")</f>
        <v/>
      </c>
    </row>
    <row r="120" spans="1:7" x14ac:dyDescent="0.3">
      <c r="A120" t="s">
        <v>1346</v>
      </c>
      <c r="B120" t="s">
        <v>915</v>
      </c>
      <c r="C120" t="s">
        <v>916</v>
      </c>
      <c r="D120" s="7">
        <v>725</v>
      </c>
      <c r="E120">
        <v>2011</v>
      </c>
      <c r="F120">
        <v>2021</v>
      </c>
      <c r="G120" t="str">
        <f>IFERROR(INDEX(Formulations[Formulation],MATCH($C120,Formulations[Product Code],0)),"")</f>
        <v>Crystal</v>
      </c>
    </row>
    <row r="121" spans="1:7" x14ac:dyDescent="0.3">
      <c r="A121" t="s">
        <v>1761</v>
      </c>
      <c r="B121" t="s">
        <v>1767</v>
      </c>
      <c r="D121" s="7">
        <v>725</v>
      </c>
      <c r="E121">
        <v>2019</v>
      </c>
      <c r="F121">
        <v>2021</v>
      </c>
      <c r="G121" t="str">
        <f>IFERROR(INDEX(Formulations[Formulation],MATCH($C121,Formulations[Product Code],0)),"")</f>
        <v/>
      </c>
    </row>
    <row r="122" spans="1:7" x14ac:dyDescent="0.3">
      <c r="A122" t="s">
        <v>2451</v>
      </c>
      <c r="B122" t="s">
        <v>863</v>
      </c>
      <c r="D122" s="7">
        <v>720</v>
      </c>
      <c r="E122">
        <v>2018</v>
      </c>
      <c r="F122">
        <v>2019</v>
      </c>
      <c r="G122" t="str">
        <f>IFERROR(INDEX(Formulations[Formulation],MATCH($C122,Formulations[Product Code],0)),"")</f>
        <v/>
      </c>
    </row>
    <row r="123" spans="1:7" x14ac:dyDescent="0.3">
      <c r="A123" t="s">
        <v>2491</v>
      </c>
      <c r="B123" t="s">
        <v>46</v>
      </c>
      <c r="C123" t="s">
        <v>47</v>
      </c>
      <c r="D123" s="7">
        <v>710</v>
      </c>
      <c r="E123">
        <v>2015</v>
      </c>
      <c r="F123">
        <v>2017</v>
      </c>
      <c r="G123" t="str">
        <f>IFERROR(INDEX(Formulations[Formulation],MATCH($C123,Formulations[Product Code],0)),"")</f>
        <v/>
      </c>
    </row>
    <row r="124" spans="1:7" x14ac:dyDescent="0.3">
      <c r="A124" t="s">
        <v>2412</v>
      </c>
      <c r="B124" t="s">
        <v>26</v>
      </c>
      <c r="C124" t="s">
        <v>27</v>
      </c>
      <c r="D124" s="7">
        <v>705</v>
      </c>
      <c r="E124">
        <v>2016</v>
      </c>
      <c r="F124">
        <v>2020</v>
      </c>
      <c r="G124" t="str">
        <f>IFERROR(INDEX(Formulations[Formulation],MATCH($C124,Formulations[Product Code],0)),"")</f>
        <v>FLOURAMAX A270578/ P782894</v>
      </c>
    </row>
    <row r="125" spans="1:7" x14ac:dyDescent="0.3">
      <c r="A125" t="s">
        <v>829</v>
      </c>
      <c r="B125" t="s">
        <v>834</v>
      </c>
      <c r="D125" s="7">
        <v>700</v>
      </c>
      <c r="E125">
        <v>2018</v>
      </c>
      <c r="F125">
        <v>2021</v>
      </c>
      <c r="G125" t="str">
        <f>IFERROR(INDEX(Formulations[Formulation],MATCH($C125,Formulations[Product Code],0)),"")</f>
        <v/>
      </c>
    </row>
    <row r="126" spans="1:7" x14ac:dyDescent="0.3">
      <c r="A126" t="s">
        <v>1895</v>
      </c>
      <c r="B126" t="s">
        <v>41</v>
      </c>
      <c r="C126" t="s">
        <v>42</v>
      </c>
      <c r="D126" s="7">
        <v>700</v>
      </c>
      <c r="E126">
        <v>2011</v>
      </c>
      <c r="F126">
        <v>2016</v>
      </c>
      <c r="G126" t="str">
        <f>IFERROR(INDEX(Formulations[Formulation],MATCH($C126,Formulations[Product Code],0)),"")</f>
        <v/>
      </c>
    </row>
    <row r="127" spans="1:7" x14ac:dyDescent="0.3">
      <c r="A127" t="s">
        <v>1937</v>
      </c>
      <c r="B127" t="s">
        <v>1940</v>
      </c>
      <c r="D127" s="7">
        <v>700</v>
      </c>
      <c r="E127">
        <v>2021</v>
      </c>
      <c r="F127">
        <v>2021</v>
      </c>
      <c r="G127" t="str">
        <f>IFERROR(INDEX(Formulations[Formulation],MATCH($C127,Formulations[Product Code],0)),"")</f>
        <v/>
      </c>
    </row>
    <row r="128" spans="1:7" x14ac:dyDescent="0.3">
      <c r="A128" t="s">
        <v>2069</v>
      </c>
      <c r="B128" t="s">
        <v>196</v>
      </c>
      <c r="C128" t="s">
        <v>197</v>
      </c>
      <c r="D128" s="7">
        <v>700</v>
      </c>
      <c r="E128">
        <v>2017</v>
      </c>
      <c r="F128">
        <v>2019</v>
      </c>
      <c r="G128" t="str">
        <f>IFERROR(INDEX(Formulations[Formulation],MATCH($C128,Formulations[Product Code],0)),"")</f>
        <v/>
      </c>
    </row>
    <row r="129" spans="1:7" x14ac:dyDescent="0.3">
      <c r="A129" t="s">
        <v>2095</v>
      </c>
      <c r="B129" t="s">
        <v>46</v>
      </c>
      <c r="C129" t="s">
        <v>2096</v>
      </c>
      <c r="D129" s="7">
        <v>700</v>
      </c>
      <c r="E129">
        <v>2015</v>
      </c>
      <c r="F129">
        <v>2016</v>
      </c>
      <c r="G129" t="str">
        <f>IFERROR(INDEX(Formulations[Formulation],MATCH($C129,Formulations[Product Code],0)),"")</f>
        <v/>
      </c>
    </row>
    <row r="130" spans="1:7" x14ac:dyDescent="0.3">
      <c r="A130" t="s">
        <v>2465</v>
      </c>
      <c r="B130" t="s">
        <v>438</v>
      </c>
      <c r="C130" t="s">
        <v>439</v>
      </c>
      <c r="D130" s="7">
        <v>700</v>
      </c>
      <c r="E130">
        <v>2016</v>
      </c>
      <c r="F130">
        <v>2020</v>
      </c>
      <c r="G130" t="str">
        <f>IFERROR(INDEX(Formulations[Formulation],MATCH($C130,Formulations[Product Code],0)),"")</f>
        <v>Pure</v>
      </c>
    </row>
    <row r="131" spans="1:7" x14ac:dyDescent="0.3">
      <c r="A131" t="s">
        <v>1439</v>
      </c>
      <c r="B131" t="s">
        <v>425</v>
      </c>
      <c r="C131" t="s">
        <v>426</v>
      </c>
      <c r="D131" s="7">
        <v>685</v>
      </c>
      <c r="E131">
        <v>2010</v>
      </c>
      <c r="F131">
        <v>2017</v>
      </c>
      <c r="G131" t="str">
        <f>IFERROR(INDEX(Formulations[Formulation],MATCH($C131,Formulations[Product Code],0)),"")</f>
        <v/>
      </c>
    </row>
    <row r="132" spans="1:7" x14ac:dyDescent="0.3">
      <c r="A132" t="s">
        <v>2521</v>
      </c>
      <c r="B132" t="s">
        <v>19</v>
      </c>
      <c r="C132" t="s">
        <v>20</v>
      </c>
      <c r="D132" s="7">
        <v>685</v>
      </c>
      <c r="E132">
        <v>2011</v>
      </c>
      <c r="F132">
        <v>2020</v>
      </c>
      <c r="G132" t="str">
        <f>IFERROR(INDEX(Formulations[Formulation],MATCH($C132,Formulations[Product Code],0)),"")</f>
        <v>80 % Oil AND 20 % DPG</v>
      </c>
    </row>
    <row r="133" spans="1:7" x14ac:dyDescent="0.3">
      <c r="A133" t="s">
        <v>1346</v>
      </c>
      <c r="B133" t="s">
        <v>483</v>
      </c>
      <c r="C133" t="s">
        <v>484</v>
      </c>
      <c r="D133" s="7">
        <v>675</v>
      </c>
      <c r="E133">
        <v>2019</v>
      </c>
      <c r="F133">
        <v>2021</v>
      </c>
      <c r="G133" t="str">
        <f>IFERROR(INDEX(Formulations[Formulation],MATCH($C133,Formulations[Product Code],0)),"")</f>
        <v>Crystal</v>
      </c>
    </row>
    <row r="134" spans="1:7" x14ac:dyDescent="0.3">
      <c r="A134" t="s">
        <v>1871</v>
      </c>
      <c r="B134" t="s">
        <v>62</v>
      </c>
      <c r="C134" t="s">
        <v>63</v>
      </c>
      <c r="D134" s="7">
        <v>675</v>
      </c>
      <c r="E134">
        <v>2016</v>
      </c>
      <c r="F134">
        <v>2018</v>
      </c>
      <c r="G134" t="str">
        <f>IFERROR(INDEX(Formulations[Formulation],MATCH($C134,Formulations[Product Code],0)),"")</f>
        <v>Crystal</v>
      </c>
    </row>
    <row r="135" spans="1:7" x14ac:dyDescent="0.3">
      <c r="A135" t="s">
        <v>2337</v>
      </c>
      <c r="B135" t="s">
        <v>26</v>
      </c>
      <c r="C135" t="s">
        <v>27</v>
      </c>
      <c r="D135" s="7">
        <v>675</v>
      </c>
      <c r="E135">
        <v>2017</v>
      </c>
      <c r="F135">
        <v>2020</v>
      </c>
      <c r="G135" t="str">
        <f>IFERROR(INDEX(Formulations[Formulation],MATCH($C135,Formulations[Product Code],0)),"")</f>
        <v>FLOURAMAX A270578/ P782894</v>
      </c>
    </row>
    <row r="136" spans="1:7" x14ac:dyDescent="0.3">
      <c r="A136" t="s">
        <v>2491</v>
      </c>
      <c r="B136" t="s">
        <v>631</v>
      </c>
      <c r="C136" t="s">
        <v>632</v>
      </c>
      <c r="D136" s="7">
        <v>670</v>
      </c>
      <c r="E136">
        <v>2016</v>
      </c>
      <c r="F136">
        <v>2021</v>
      </c>
      <c r="G136" t="str">
        <f>IFERROR(INDEX(Formulations[Formulation],MATCH($C136,Formulations[Product Code],0)),"")</f>
        <v/>
      </c>
    </row>
    <row r="137" spans="1:7" x14ac:dyDescent="0.3">
      <c r="A137" t="s">
        <v>1832</v>
      </c>
      <c r="B137" t="s">
        <v>32</v>
      </c>
      <c r="D137" s="7">
        <v>660</v>
      </c>
      <c r="E137">
        <v>2015</v>
      </c>
      <c r="F137">
        <v>2020</v>
      </c>
      <c r="G137" t="str">
        <f>IFERROR(INDEX(Formulations[Formulation],MATCH($C137,Formulations[Product Code],0)),"")</f>
        <v/>
      </c>
    </row>
    <row r="138" spans="1:7" x14ac:dyDescent="0.3">
      <c r="A138" t="s">
        <v>2346</v>
      </c>
      <c r="B138" t="s">
        <v>647</v>
      </c>
      <c r="C138" t="s">
        <v>648</v>
      </c>
      <c r="D138" s="7">
        <v>660</v>
      </c>
      <c r="E138">
        <v>2017</v>
      </c>
      <c r="F138">
        <v>2019</v>
      </c>
      <c r="G138" t="str">
        <f>IFERROR(INDEX(Formulations[Formulation],MATCH($C138,Formulations[Product Code],0)),"")</f>
        <v/>
      </c>
    </row>
    <row r="139" spans="1:7" x14ac:dyDescent="0.3">
      <c r="A139" t="s">
        <v>1675</v>
      </c>
      <c r="B139" t="s">
        <v>696</v>
      </c>
      <c r="C139" t="s">
        <v>697</v>
      </c>
      <c r="D139" s="7">
        <v>650</v>
      </c>
      <c r="E139">
        <v>2016</v>
      </c>
      <c r="F139">
        <v>2017</v>
      </c>
      <c r="G139" t="str">
        <f>IFERROR(INDEX(Formulations[Formulation],MATCH($C139,Formulations[Product Code],0)),"")</f>
        <v/>
      </c>
    </row>
    <row r="140" spans="1:7" x14ac:dyDescent="0.3">
      <c r="A140" t="s">
        <v>273</v>
      </c>
      <c r="B140" t="s">
        <v>307</v>
      </c>
      <c r="C140" t="s">
        <v>132</v>
      </c>
      <c r="D140" s="7">
        <v>644</v>
      </c>
      <c r="E140">
        <v>2013</v>
      </c>
      <c r="F140">
        <v>2016</v>
      </c>
      <c r="G140" t="str">
        <f>IFERROR(INDEX(Formulations[Formulation],MATCH($C140,Formulations[Product Code],0)),"")</f>
        <v>Pure</v>
      </c>
    </row>
    <row r="141" spans="1:7" x14ac:dyDescent="0.3">
      <c r="A141" t="s">
        <v>1871</v>
      </c>
      <c r="B141" t="s">
        <v>12</v>
      </c>
      <c r="C141" t="s">
        <v>13</v>
      </c>
      <c r="D141" s="7">
        <v>641</v>
      </c>
      <c r="E141">
        <v>2016</v>
      </c>
      <c r="F141">
        <v>2021</v>
      </c>
      <c r="G141" t="str">
        <f>IFERROR(INDEX(Formulations[Formulation],MATCH($C141,Formulations[Product Code],0)),"")</f>
        <v>Crystal</v>
      </c>
    </row>
    <row r="142" spans="1:7" x14ac:dyDescent="0.3">
      <c r="A142" t="s">
        <v>1675</v>
      </c>
      <c r="B142" t="s">
        <v>26</v>
      </c>
      <c r="C142" t="s">
        <v>27</v>
      </c>
      <c r="D142" s="7">
        <v>625</v>
      </c>
      <c r="E142">
        <v>2015</v>
      </c>
      <c r="F142">
        <v>2018</v>
      </c>
      <c r="G142" t="str">
        <f>IFERROR(INDEX(Formulations[Formulation],MATCH($C142,Formulations[Product Code],0)),"")</f>
        <v>FLOURAMAX A270578/ P782894</v>
      </c>
    </row>
    <row r="143" spans="1:7" x14ac:dyDescent="0.3">
      <c r="A143" t="s">
        <v>1873</v>
      </c>
      <c r="B143" t="s">
        <v>163</v>
      </c>
      <c r="C143" t="s">
        <v>164</v>
      </c>
      <c r="D143" s="7">
        <v>625</v>
      </c>
      <c r="E143">
        <v>2009</v>
      </c>
      <c r="F143">
        <v>2021</v>
      </c>
      <c r="G143" t="str">
        <f>IFERROR(INDEX(Formulations[Formulation],MATCH($C143,Formulations[Product Code],0)),"")</f>
        <v>Pure</v>
      </c>
    </row>
    <row r="144" spans="1:7" x14ac:dyDescent="0.3">
      <c r="A144" t="s">
        <v>2563</v>
      </c>
      <c r="B144" t="s">
        <v>41</v>
      </c>
      <c r="C144" t="s">
        <v>42</v>
      </c>
      <c r="D144" s="7">
        <v>625</v>
      </c>
      <c r="E144">
        <v>2010</v>
      </c>
      <c r="F144">
        <v>2015</v>
      </c>
      <c r="G144" t="str">
        <f>IFERROR(INDEX(Formulations[Formulation],MATCH($C144,Formulations[Product Code],0)),"")</f>
        <v/>
      </c>
    </row>
    <row r="145" spans="1:7" x14ac:dyDescent="0.3">
      <c r="A145" t="s">
        <v>2232</v>
      </c>
      <c r="B145" t="s">
        <v>24</v>
      </c>
      <c r="C145" t="s">
        <v>25</v>
      </c>
      <c r="D145" s="7">
        <v>620</v>
      </c>
      <c r="E145">
        <v>2016</v>
      </c>
      <c r="F145">
        <v>2017</v>
      </c>
      <c r="G145" t="str">
        <f>IFERROR(INDEX(Formulations[Formulation],MATCH($C145,Formulations[Product Code],0)),"")</f>
        <v>citropine 85%/Pinefresh 15%</v>
      </c>
    </row>
    <row r="146" spans="1:7" x14ac:dyDescent="0.3">
      <c r="A146" t="s">
        <v>1743</v>
      </c>
      <c r="B146" t="s">
        <v>483</v>
      </c>
      <c r="C146" t="s">
        <v>484</v>
      </c>
      <c r="D146" s="7">
        <v>610</v>
      </c>
      <c r="E146">
        <v>2019</v>
      </c>
      <c r="F146">
        <v>2021</v>
      </c>
      <c r="G146" t="str">
        <f>IFERROR(INDEX(Formulations[Formulation],MATCH($C146,Formulations[Product Code],0)),"")</f>
        <v>Crystal</v>
      </c>
    </row>
    <row r="147" spans="1:7" x14ac:dyDescent="0.3">
      <c r="A147" t="s">
        <v>1213</v>
      </c>
      <c r="B147" t="s">
        <v>46</v>
      </c>
      <c r="C147" t="s">
        <v>47</v>
      </c>
      <c r="D147" s="7">
        <v>605</v>
      </c>
      <c r="E147">
        <v>2013</v>
      </c>
      <c r="F147">
        <v>2019</v>
      </c>
      <c r="G147" t="str">
        <f>IFERROR(INDEX(Formulations[Formulation],MATCH($C147,Formulations[Product Code],0)),"")</f>
        <v/>
      </c>
    </row>
    <row r="148" spans="1:7" x14ac:dyDescent="0.3">
      <c r="A148" t="s">
        <v>15</v>
      </c>
      <c r="B148" t="s">
        <v>16</v>
      </c>
      <c r="C148" t="s">
        <v>17</v>
      </c>
      <c r="D148" s="7">
        <v>600</v>
      </c>
      <c r="E148">
        <v>2018</v>
      </c>
      <c r="F148">
        <v>2021</v>
      </c>
      <c r="G148" t="str">
        <f>IFERROR(INDEX(Formulations[Formulation],MATCH($C148,Formulations[Product Code],0)),"")</f>
        <v>Crystal</v>
      </c>
    </row>
    <row r="149" spans="1:7" x14ac:dyDescent="0.3">
      <c r="A149" t="s">
        <v>1116</v>
      </c>
      <c r="B149" t="s">
        <v>30</v>
      </c>
      <c r="C149" t="s">
        <v>31</v>
      </c>
      <c r="D149" s="7">
        <v>600</v>
      </c>
      <c r="E149">
        <v>2014</v>
      </c>
      <c r="F149">
        <v>2021</v>
      </c>
      <c r="G149" t="str">
        <f>IFERROR(INDEX(Formulations[Formulation],MATCH($C149,Formulations[Product Code],0)),"")</f>
        <v>Pure</v>
      </c>
    </row>
    <row r="150" spans="1:7" x14ac:dyDescent="0.3">
      <c r="A150" t="s">
        <v>1668</v>
      </c>
      <c r="B150" t="s">
        <v>1669</v>
      </c>
      <c r="C150" t="s">
        <v>703</v>
      </c>
      <c r="D150" s="7">
        <v>600</v>
      </c>
      <c r="E150">
        <v>2019</v>
      </c>
      <c r="F150">
        <v>2020</v>
      </c>
      <c r="G150" t="str">
        <f>IFERROR(INDEX(Formulations[Formulation],MATCH($C150,Formulations[Product Code],0)),"")</f>
        <v>flouramax 40%, green apple 30%, strwaberry 15%, cocoa butter 15%</v>
      </c>
    </row>
    <row r="151" spans="1:7" x14ac:dyDescent="0.3">
      <c r="A151" t="s">
        <v>1761</v>
      </c>
      <c r="B151" t="s">
        <v>1765</v>
      </c>
      <c r="C151" t="s">
        <v>1766</v>
      </c>
      <c r="D151" s="7">
        <v>600</v>
      </c>
      <c r="E151">
        <v>2020</v>
      </c>
      <c r="F151">
        <v>2020</v>
      </c>
      <c r="G151" t="str">
        <f>IFERROR(INDEX(Formulations[Formulation],MATCH($C151,Formulations[Product Code],0)),"")</f>
        <v/>
      </c>
    </row>
    <row r="152" spans="1:7" x14ac:dyDescent="0.3">
      <c r="A152" t="s">
        <v>1833</v>
      </c>
      <c r="B152" t="s">
        <v>26</v>
      </c>
      <c r="C152" t="s">
        <v>27</v>
      </c>
      <c r="D152" s="7">
        <v>600</v>
      </c>
      <c r="E152">
        <v>2012</v>
      </c>
      <c r="F152">
        <v>2014</v>
      </c>
      <c r="G152" t="str">
        <f>IFERROR(INDEX(Formulations[Formulation],MATCH($C152,Formulations[Product Code],0)),"")</f>
        <v>FLOURAMAX A270578/ P782894</v>
      </c>
    </row>
    <row r="153" spans="1:7" x14ac:dyDescent="0.3">
      <c r="A153" t="s">
        <v>1862</v>
      </c>
      <c r="B153" t="s">
        <v>41</v>
      </c>
      <c r="C153" t="s">
        <v>44</v>
      </c>
      <c r="D153" s="7">
        <v>600</v>
      </c>
      <c r="E153">
        <v>2016</v>
      </c>
      <c r="F153">
        <v>2017</v>
      </c>
      <c r="G153" t="str">
        <f>IFERROR(INDEX(Formulations[Formulation],MATCH($C153,Formulations[Product Code],0)),"")</f>
        <v/>
      </c>
    </row>
    <row r="154" spans="1:7" x14ac:dyDescent="0.3">
      <c r="A154" t="s">
        <v>2199</v>
      </c>
      <c r="B154" t="s">
        <v>32</v>
      </c>
      <c r="D154" s="7">
        <v>600</v>
      </c>
      <c r="E154">
        <v>2013</v>
      </c>
      <c r="F154">
        <v>2017</v>
      </c>
      <c r="G154" t="str">
        <f>IFERROR(INDEX(Formulations[Formulation],MATCH($C154,Formulations[Product Code],0)),"")</f>
        <v/>
      </c>
    </row>
    <row r="155" spans="1:7" x14ac:dyDescent="0.3">
      <c r="A155" t="s">
        <v>2392</v>
      </c>
      <c r="B155" t="s">
        <v>312</v>
      </c>
      <c r="C155" t="s">
        <v>313</v>
      </c>
      <c r="D155" s="7">
        <v>600</v>
      </c>
      <c r="E155">
        <v>2009</v>
      </c>
      <c r="F155">
        <v>2010</v>
      </c>
      <c r="G155" t="str">
        <f>IFERROR(INDEX(Formulations[Formulation],MATCH($C155,Formulations[Product Code],0)),"")</f>
        <v/>
      </c>
    </row>
    <row r="156" spans="1:7" x14ac:dyDescent="0.3">
      <c r="A156" t="s">
        <v>2455</v>
      </c>
      <c r="B156" t="s">
        <v>671</v>
      </c>
      <c r="C156" t="s">
        <v>672</v>
      </c>
      <c r="D156" s="7">
        <v>600</v>
      </c>
      <c r="E156">
        <v>2019</v>
      </c>
      <c r="F156">
        <v>2020</v>
      </c>
      <c r="G156" t="str">
        <f>IFERROR(INDEX(Formulations[Formulation],MATCH($C156,Formulations[Product Code],0)),"")</f>
        <v>Pure</v>
      </c>
    </row>
    <row r="157" spans="1:7" x14ac:dyDescent="0.3">
      <c r="A157" t="s">
        <v>2461</v>
      </c>
      <c r="B157" t="s">
        <v>297</v>
      </c>
      <c r="C157" t="s">
        <v>298</v>
      </c>
      <c r="D157" s="7">
        <v>600</v>
      </c>
      <c r="E157">
        <v>2017</v>
      </c>
      <c r="F157">
        <v>2018</v>
      </c>
      <c r="G157" t="str">
        <f>IFERROR(INDEX(Formulations[Formulation],MATCH($C157,Formulations[Product Code],0)),"")</f>
        <v>Pure</v>
      </c>
    </row>
    <row r="158" spans="1:7" x14ac:dyDescent="0.3">
      <c r="A158" t="s">
        <v>2491</v>
      </c>
      <c r="B158" t="s">
        <v>19</v>
      </c>
      <c r="C158" t="s">
        <v>20</v>
      </c>
      <c r="D158" s="7">
        <v>600</v>
      </c>
      <c r="E158">
        <v>2012</v>
      </c>
      <c r="F158">
        <v>2021</v>
      </c>
      <c r="G158" t="str">
        <f>IFERROR(INDEX(Formulations[Formulation],MATCH($C158,Formulations[Product Code],0)),"")</f>
        <v>80 % Oil AND 20 % DPG</v>
      </c>
    </row>
    <row r="159" spans="1:7" x14ac:dyDescent="0.3">
      <c r="A159" t="s">
        <v>2475</v>
      </c>
      <c r="B159" t="s">
        <v>2476</v>
      </c>
      <c r="D159" s="7">
        <v>580</v>
      </c>
      <c r="E159">
        <v>2011</v>
      </c>
      <c r="F159">
        <v>2020</v>
      </c>
      <c r="G159" t="str">
        <f>IFERROR(INDEX(Formulations[Formulation],MATCH($C159,Formulations[Product Code],0)),"")</f>
        <v/>
      </c>
    </row>
    <row r="160" spans="1:7" x14ac:dyDescent="0.3">
      <c r="A160" t="s">
        <v>887</v>
      </c>
      <c r="B160" t="s">
        <v>99</v>
      </c>
      <c r="C160" t="s">
        <v>100</v>
      </c>
      <c r="D160" s="7">
        <v>578</v>
      </c>
      <c r="E160">
        <v>2012</v>
      </c>
      <c r="F160">
        <v>2020</v>
      </c>
      <c r="G160" t="str">
        <f>IFERROR(INDEX(Formulations[Formulation],MATCH($C160,Formulations[Product Code],0)),"")</f>
        <v>Crystal</v>
      </c>
    </row>
    <row r="161" spans="1:7" x14ac:dyDescent="0.3">
      <c r="A161" t="s">
        <v>2496</v>
      </c>
      <c r="B161" t="s">
        <v>21</v>
      </c>
      <c r="C161" t="s">
        <v>22</v>
      </c>
      <c r="D161" s="7">
        <v>575</v>
      </c>
      <c r="E161">
        <v>2015</v>
      </c>
      <c r="F161">
        <v>2019</v>
      </c>
      <c r="G161" t="str">
        <f>IFERROR(INDEX(Formulations[Formulation],MATCH($C161,Formulations[Product Code],0)),"")</f>
        <v>Crystal</v>
      </c>
    </row>
    <row r="162" spans="1:7" x14ac:dyDescent="0.3">
      <c r="A162" t="s">
        <v>1400</v>
      </c>
      <c r="B162" t="s">
        <v>32</v>
      </c>
      <c r="D162" s="7">
        <v>560</v>
      </c>
      <c r="E162">
        <v>2012</v>
      </c>
      <c r="F162">
        <v>2018</v>
      </c>
      <c r="G162" t="str">
        <f>IFERROR(INDEX(Formulations[Formulation],MATCH($C162,Formulations[Product Code],0)),"")</f>
        <v/>
      </c>
    </row>
    <row r="163" spans="1:7" x14ac:dyDescent="0.3">
      <c r="A163" t="s">
        <v>2209</v>
      </c>
      <c r="B163" t="s">
        <v>533</v>
      </c>
      <c r="C163" t="s">
        <v>534</v>
      </c>
      <c r="D163" s="7">
        <v>555</v>
      </c>
      <c r="E163">
        <v>2019</v>
      </c>
      <c r="F163">
        <v>2021</v>
      </c>
      <c r="G163" t="str">
        <f>IFERROR(INDEX(Formulations[Formulation],MATCH($C163,Formulations[Product Code],0)),"")</f>
        <v>Pure</v>
      </c>
    </row>
    <row r="164" spans="1:7" x14ac:dyDescent="0.3">
      <c r="A164" t="s">
        <v>2401</v>
      </c>
      <c r="B164" t="s">
        <v>514</v>
      </c>
      <c r="C164" t="s">
        <v>515</v>
      </c>
      <c r="D164" s="7">
        <v>555</v>
      </c>
      <c r="E164">
        <v>2017</v>
      </c>
      <c r="F164">
        <v>2021</v>
      </c>
      <c r="G164" t="str">
        <f>IFERROR(INDEX(Formulations[Formulation],MATCH($C164,Formulations[Product Code],0)),"")</f>
        <v>Crystal</v>
      </c>
    </row>
    <row r="165" spans="1:7" x14ac:dyDescent="0.3">
      <c r="A165" t="s">
        <v>1439</v>
      </c>
      <c r="B165" t="s">
        <v>19</v>
      </c>
      <c r="C165" t="s">
        <v>107</v>
      </c>
      <c r="D165" s="7">
        <v>550</v>
      </c>
      <c r="E165">
        <v>2019</v>
      </c>
      <c r="F165">
        <v>2020</v>
      </c>
      <c r="G165" t="str">
        <f>IFERROR(INDEX(Formulations[Formulation],MATCH($C165,Formulations[Product Code],0)),"")</f>
        <v>Pure</v>
      </c>
    </row>
    <row r="166" spans="1:7" x14ac:dyDescent="0.3">
      <c r="A166" t="s">
        <v>1883</v>
      </c>
      <c r="B166" t="s">
        <v>41</v>
      </c>
      <c r="C166" t="s">
        <v>42</v>
      </c>
      <c r="D166" s="7">
        <v>550</v>
      </c>
      <c r="E166">
        <v>2012</v>
      </c>
      <c r="F166">
        <v>2013</v>
      </c>
      <c r="G166" t="str">
        <f>IFERROR(INDEX(Formulations[Formulation],MATCH($C166,Formulations[Product Code],0)),"")</f>
        <v/>
      </c>
    </row>
    <row r="167" spans="1:7" x14ac:dyDescent="0.3">
      <c r="A167" t="s">
        <v>2516</v>
      </c>
      <c r="B167" t="s">
        <v>716</v>
      </c>
      <c r="C167" t="s">
        <v>717</v>
      </c>
      <c r="D167" s="7">
        <v>550</v>
      </c>
      <c r="E167">
        <v>2019</v>
      </c>
      <c r="F167">
        <v>2021</v>
      </c>
      <c r="G167" t="str">
        <f>IFERROR(INDEX(Formulations[Formulation],MATCH($C167,Formulations[Product Code],0)),"")</f>
        <v>Pure</v>
      </c>
    </row>
    <row r="168" spans="1:7" x14ac:dyDescent="0.3">
      <c r="A168" t="s">
        <v>2538</v>
      </c>
      <c r="B168" t="s">
        <v>532</v>
      </c>
      <c r="C168" t="s">
        <v>452</v>
      </c>
      <c r="D168" s="7">
        <v>540</v>
      </c>
      <c r="E168">
        <v>2019</v>
      </c>
      <c r="F168">
        <v>2021</v>
      </c>
      <c r="G168" t="str">
        <f>IFERROR(INDEX(Formulations[Formulation],MATCH($C168,Formulations[Product Code],0)),"")</f>
        <v>Crystal</v>
      </c>
    </row>
    <row r="169" spans="1:7" x14ac:dyDescent="0.3">
      <c r="A169" t="s">
        <v>1682</v>
      </c>
      <c r="B169" t="s">
        <v>26</v>
      </c>
      <c r="C169" t="s">
        <v>27</v>
      </c>
      <c r="D169" s="7">
        <v>539</v>
      </c>
      <c r="E169">
        <v>2015</v>
      </c>
      <c r="F169">
        <v>2017</v>
      </c>
      <c r="G169" t="str">
        <f>IFERROR(INDEX(Formulations[Formulation],MATCH($C169,Formulations[Product Code],0)),"")</f>
        <v>FLOURAMAX A270578/ P782894</v>
      </c>
    </row>
    <row r="170" spans="1:7" x14ac:dyDescent="0.3">
      <c r="A170" t="s">
        <v>1463</v>
      </c>
      <c r="B170" t="s">
        <v>196</v>
      </c>
      <c r="C170" t="s">
        <v>197</v>
      </c>
      <c r="D170" s="7">
        <v>535</v>
      </c>
      <c r="E170">
        <v>2012</v>
      </c>
      <c r="F170">
        <v>2017</v>
      </c>
      <c r="G170" t="str">
        <f>IFERROR(INDEX(Formulations[Formulation],MATCH($C170,Formulations[Product Code],0)),"")</f>
        <v/>
      </c>
    </row>
    <row r="171" spans="1:7" x14ac:dyDescent="0.3">
      <c r="A171" t="s">
        <v>2345</v>
      </c>
      <c r="B171" t="s">
        <v>26</v>
      </c>
      <c r="C171" t="s">
        <v>27</v>
      </c>
      <c r="D171" s="7">
        <v>535</v>
      </c>
      <c r="E171">
        <v>2016</v>
      </c>
      <c r="F171">
        <v>2020</v>
      </c>
      <c r="G171" t="str">
        <f>IFERROR(INDEX(Formulations[Formulation],MATCH($C171,Formulations[Product Code],0)),"")</f>
        <v>FLOURAMAX A270578/ P782894</v>
      </c>
    </row>
    <row r="172" spans="1:7" x14ac:dyDescent="0.3">
      <c r="A172" t="s">
        <v>1799</v>
      </c>
      <c r="B172" t="s">
        <v>602</v>
      </c>
      <c r="C172" t="s">
        <v>603</v>
      </c>
      <c r="D172" s="7">
        <v>525</v>
      </c>
      <c r="E172">
        <v>2016</v>
      </c>
      <c r="F172">
        <v>2021</v>
      </c>
      <c r="G172" t="str">
        <f>IFERROR(INDEX(Formulations[Formulation],MATCH($C172,Formulations[Product Code],0)),"")</f>
        <v>Crystal</v>
      </c>
    </row>
    <row r="173" spans="1:7" x14ac:dyDescent="0.3">
      <c r="A173" t="s">
        <v>1906</v>
      </c>
      <c r="B173" t="s">
        <v>269</v>
      </c>
      <c r="C173" t="s">
        <v>270</v>
      </c>
      <c r="D173" s="7">
        <v>525</v>
      </c>
      <c r="E173">
        <v>2011</v>
      </c>
      <c r="F173">
        <v>2019</v>
      </c>
      <c r="G173" t="str">
        <f>IFERROR(INDEX(Formulations[Formulation],MATCH($C173,Formulations[Product Code],0)),"")</f>
        <v>Pure</v>
      </c>
    </row>
    <row r="174" spans="1:7" x14ac:dyDescent="0.3">
      <c r="A174" t="s">
        <v>2465</v>
      </c>
      <c r="B174" t="s">
        <v>110</v>
      </c>
      <c r="C174" t="s">
        <v>111</v>
      </c>
      <c r="D174" s="7">
        <v>525</v>
      </c>
      <c r="E174">
        <v>2018</v>
      </c>
      <c r="F174">
        <v>2021</v>
      </c>
      <c r="G174" t="str">
        <f>IFERROR(INDEX(Formulations[Formulation],MATCH($C174,Formulations[Product Code],0)),"")</f>
        <v>75% Lemon Zeste, 25% lemon Top &amp; the Gold DPG)</v>
      </c>
    </row>
    <row r="175" spans="1:7" x14ac:dyDescent="0.3">
      <c r="A175" t="s">
        <v>2483</v>
      </c>
      <c r="B175" t="s">
        <v>110</v>
      </c>
      <c r="C175" t="s">
        <v>111</v>
      </c>
      <c r="D175" s="7">
        <v>525</v>
      </c>
      <c r="E175">
        <v>2019</v>
      </c>
      <c r="F175">
        <v>2021</v>
      </c>
      <c r="G175" t="str">
        <f>IFERROR(INDEX(Formulations[Formulation],MATCH($C175,Formulations[Product Code],0)),"")</f>
        <v>75% Lemon Zeste, 25% lemon Top &amp; the Gold DPG)</v>
      </c>
    </row>
    <row r="176" spans="1:7" x14ac:dyDescent="0.3">
      <c r="A176" t="s">
        <v>1866</v>
      </c>
      <c r="B176" t="s">
        <v>1461</v>
      </c>
      <c r="D176" s="7">
        <v>520</v>
      </c>
      <c r="E176">
        <v>2013</v>
      </c>
      <c r="F176">
        <v>2019</v>
      </c>
      <c r="G176" t="str">
        <f>IFERROR(INDEX(Formulations[Formulation],MATCH($C176,Formulations[Product Code],0)),"")</f>
        <v/>
      </c>
    </row>
    <row r="177" spans="1:7" x14ac:dyDescent="0.3">
      <c r="A177" t="s">
        <v>2592</v>
      </c>
      <c r="B177" t="s">
        <v>543</v>
      </c>
      <c r="C177" t="s">
        <v>544</v>
      </c>
      <c r="D177" s="7">
        <v>520</v>
      </c>
      <c r="E177">
        <v>2019</v>
      </c>
      <c r="F177">
        <v>2021</v>
      </c>
      <c r="G177" t="str">
        <f>IFERROR(INDEX(Formulations[Formulation],MATCH($C177,Formulations[Product Code],0)),"")</f>
        <v>Crystal</v>
      </c>
    </row>
    <row r="178" spans="1:7" x14ac:dyDescent="0.3">
      <c r="A178" t="s">
        <v>878</v>
      </c>
      <c r="B178" t="s">
        <v>879</v>
      </c>
      <c r="C178" t="s">
        <v>527</v>
      </c>
      <c r="D178" s="7">
        <v>510</v>
      </c>
      <c r="E178">
        <v>2011</v>
      </c>
      <c r="F178">
        <v>2020</v>
      </c>
      <c r="G178" t="str">
        <f>IFERROR(INDEX(Formulations[Formulation],MATCH($C178,Formulations[Product Code],0)),"")</f>
        <v/>
      </c>
    </row>
    <row r="179" spans="1:7" x14ac:dyDescent="0.3">
      <c r="A179" t="s">
        <v>1463</v>
      </c>
      <c r="B179" t="s">
        <v>1544</v>
      </c>
      <c r="C179" t="s">
        <v>102</v>
      </c>
      <c r="D179" s="7">
        <v>510</v>
      </c>
      <c r="E179">
        <v>2012</v>
      </c>
      <c r="F179">
        <v>2014</v>
      </c>
      <c r="G179" t="str">
        <f>IFERROR(INDEX(Formulations[Formulation],MATCH($C179,Formulations[Product Code],0)),"")</f>
        <v>Gold</v>
      </c>
    </row>
    <row r="180" spans="1:7" x14ac:dyDescent="0.3">
      <c r="A180" t="s">
        <v>1972</v>
      </c>
      <c r="B180" t="s">
        <v>72</v>
      </c>
      <c r="C180" t="s">
        <v>319</v>
      </c>
      <c r="D180" s="7">
        <v>501</v>
      </c>
      <c r="E180">
        <v>2014</v>
      </c>
      <c r="F180">
        <v>2020</v>
      </c>
      <c r="G180" t="str">
        <f>IFERROR(INDEX(Formulations[Formulation],MATCH($C180,Formulations[Product Code],0)),"")</f>
        <v>Pure</v>
      </c>
    </row>
    <row r="181" spans="1:7" x14ac:dyDescent="0.3">
      <c r="A181" t="s">
        <v>40</v>
      </c>
      <c r="B181" t="s">
        <v>41</v>
      </c>
      <c r="C181" t="s">
        <v>42</v>
      </c>
      <c r="D181" s="7">
        <v>500</v>
      </c>
      <c r="E181">
        <v>2012</v>
      </c>
      <c r="F181">
        <v>2014</v>
      </c>
      <c r="G181" t="str">
        <f>IFERROR(INDEX(Formulations[Formulation],MATCH($C181,Formulations[Product Code],0)),"")</f>
        <v/>
      </c>
    </row>
    <row r="182" spans="1:7" x14ac:dyDescent="0.3">
      <c r="A182" t="s">
        <v>271</v>
      </c>
      <c r="B182" t="s">
        <v>272</v>
      </c>
      <c r="D182" s="7">
        <v>500</v>
      </c>
      <c r="E182">
        <v>2009</v>
      </c>
      <c r="F182">
        <v>2010</v>
      </c>
      <c r="G182" t="str">
        <f>IFERROR(INDEX(Formulations[Formulation],MATCH($C182,Formulations[Product Code],0)),"")</f>
        <v/>
      </c>
    </row>
    <row r="183" spans="1:7" x14ac:dyDescent="0.3">
      <c r="A183" t="s">
        <v>865</v>
      </c>
      <c r="B183" t="s">
        <v>62</v>
      </c>
      <c r="C183" t="s">
        <v>63</v>
      </c>
      <c r="D183" s="7">
        <v>500</v>
      </c>
      <c r="E183">
        <v>2019</v>
      </c>
      <c r="F183">
        <v>2021</v>
      </c>
      <c r="G183" t="str">
        <f>IFERROR(INDEX(Formulations[Formulation],MATCH($C183,Formulations[Product Code],0)),"")</f>
        <v>Crystal</v>
      </c>
    </row>
    <row r="184" spans="1:7" x14ac:dyDescent="0.3">
      <c r="A184" t="s">
        <v>1668</v>
      </c>
      <c r="B184" t="s">
        <v>46</v>
      </c>
      <c r="C184" t="s">
        <v>47</v>
      </c>
      <c r="D184" s="7">
        <v>500</v>
      </c>
      <c r="E184">
        <v>2015</v>
      </c>
      <c r="F184">
        <v>2018</v>
      </c>
      <c r="G184" t="str">
        <f>IFERROR(INDEX(Formulations[Formulation],MATCH($C184,Formulations[Product Code],0)),"")</f>
        <v/>
      </c>
    </row>
    <row r="185" spans="1:7" x14ac:dyDescent="0.3">
      <c r="A185" t="s">
        <v>1693</v>
      </c>
      <c r="B185" t="s">
        <v>1694</v>
      </c>
      <c r="C185" t="s">
        <v>949</v>
      </c>
      <c r="D185" s="7">
        <v>500</v>
      </c>
      <c r="E185">
        <v>2017</v>
      </c>
      <c r="F185">
        <v>2017</v>
      </c>
      <c r="G185" t="str">
        <f>IFERROR(INDEX(Formulations[Formulation],MATCH($C185,Formulations[Product Code],0)),"")</f>
        <v/>
      </c>
    </row>
    <row r="186" spans="1:7" x14ac:dyDescent="0.3">
      <c r="A186" t="s">
        <v>1754</v>
      </c>
      <c r="B186" t="s">
        <v>473</v>
      </c>
      <c r="C186" t="s">
        <v>747</v>
      </c>
      <c r="D186" s="7">
        <v>500</v>
      </c>
      <c r="E186">
        <v>2011</v>
      </c>
      <c r="F186">
        <v>2013</v>
      </c>
      <c r="G186" t="str">
        <f>IFERROR(INDEX(Formulations[Formulation],MATCH($C186,Formulations[Product Code],0)),"")</f>
        <v/>
      </c>
    </row>
    <row r="187" spans="1:7" x14ac:dyDescent="0.3">
      <c r="A187" t="s">
        <v>1838</v>
      </c>
      <c r="B187" t="s">
        <v>446</v>
      </c>
      <c r="C187" t="s">
        <v>447</v>
      </c>
      <c r="D187" s="7">
        <v>500</v>
      </c>
      <c r="E187">
        <v>2020</v>
      </c>
      <c r="F187">
        <v>2021</v>
      </c>
      <c r="G187" t="str">
        <f>IFERROR(INDEX(Formulations[Formulation],MATCH($C187,Formulations[Product Code],0)),"")</f>
        <v>30% Key Oil</v>
      </c>
    </row>
    <row r="188" spans="1:7" x14ac:dyDescent="0.3">
      <c r="A188" t="s">
        <v>1881</v>
      </c>
      <c r="B188" t="s">
        <v>719</v>
      </c>
      <c r="C188" t="s">
        <v>925</v>
      </c>
      <c r="D188" s="7">
        <v>500</v>
      </c>
      <c r="E188">
        <v>2014</v>
      </c>
      <c r="F188">
        <v>2015</v>
      </c>
      <c r="G188" t="str">
        <f>IFERROR(INDEX(Formulations[Formulation],MATCH($C188,Formulations[Product Code],0)),"")</f>
        <v/>
      </c>
    </row>
    <row r="189" spans="1:7" x14ac:dyDescent="0.3">
      <c r="A189" t="s">
        <v>2401</v>
      </c>
      <c r="B189" t="s">
        <v>438</v>
      </c>
      <c r="C189" t="s">
        <v>439</v>
      </c>
      <c r="D189" s="7">
        <v>500</v>
      </c>
      <c r="E189">
        <v>2020</v>
      </c>
      <c r="F189">
        <v>2020</v>
      </c>
      <c r="G189" t="str">
        <f>IFERROR(INDEX(Formulations[Formulation],MATCH($C189,Formulations[Product Code],0)),"")</f>
        <v>Pure</v>
      </c>
    </row>
    <row r="190" spans="1:7" x14ac:dyDescent="0.3">
      <c r="A190" t="s">
        <v>2455</v>
      </c>
      <c r="B190" t="s">
        <v>1648</v>
      </c>
      <c r="C190" t="s">
        <v>1826</v>
      </c>
      <c r="D190" s="7">
        <v>500</v>
      </c>
      <c r="E190">
        <v>2009</v>
      </c>
      <c r="F190">
        <v>2019</v>
      </c>
      <c r="G190" t="str">
        <f>IFERROR(INDEX(Formulations[Formulation],MATCH($C190,Formulations[Product Code],0)),"")</f>
        <v/>
      </c>
    </row>
    <row r="191" spans="1:7" x14ac:dyDescent="0.3">
      <c r="A191" t="s">
        <v>2491</v>
      </c>
      <c r="B191" t="s">
        <v>483</v>
      </c>
      <c r="C191" t="s">
        <v>484</v>
      </c>
      <c r="D191" s="7">
        <v>500</v>
      </c>
      <c r="E191">
        <v>2020</v>
      </c>
      <c r="F191">
        <v>2020</v>
      </c>
      <c r="G191" t="str">
        <f>IFERROR(INDEX(Formulations[Formulation],MATCH($C191,Formulations[Product Code],0)),"")</f>
        <v>Crystal</v>
      </c>
    </row>
    <row r="192" spans="1:7" x14ac:dyDescent="0.3">
      <c r="A192" t="s">
        <v>2498</v>
      </c>
      <c r="B192" t="s">
        <v>184</v>
      </c>
      <c r="C192" t="s">
        <v>185</v>
      </c>
      <c r="D192" s="7">
        <v>500</v>
      </c>
      <c r="E192">
        <v>2009</v>
      </c>
      <c r="F192">
        <v>2018</v>
      </c>
      <c r="G192" t="str">
        <f>IFERROR(INDEX(Formulations[Formulation],MATCH($C192,Formulations[Product Code],0)),"")</f>
        <v/>
      </c>
    </row>
    <row r="193" spans="1:7" x14ac:dyDescent="0.3">
      <c r="A193" t="s">
        <v>2542</v>
      </c>
      <c r="B193" t="s">
        <v>19</v>
      </c>
      <c r="C193" t="s">
        <v>20</v>
      </c>
      <c r="D193" s="7">
        <v>500</v>
      </c>
      <c r="E193">
        <v>2019</v>
      </c>
      <c r="F193">
        <v>2020</v>
      </c>
      <c r="G193" t="str">
        <f>IFERROR(INDEX(Formulations[Formulation],MATCH($C193,Formulations[Product Code],0)),"")</f>
        <v>80 % Oil AND 20 % DPG</v>
      </c>
    </row>
    <row r="194" spans="1:7" x14ac:dyDescent="0.3">
      <c r="A194" t="s">
        <v>1761</v>
      </c>
      <c r="B194" t="s">
        <v>1764</v>
      </c>
      <c r="C194" t="s">
        <v>1681</v>
      </c>
      <c r="D194" s="7">
        <v>495</v>
      </c>
      <c r="E194">
        <v>2019</v>
      </c>
      <c r="F194">
        <v>2020</v>
      </c>
      <c r="G194" t="str">
        <f>IFERROR(INDEX(Formulations[Formulation],MATCH($C194,Formulations[Product Code],0)),"")</f>
        <v/>
      </c>
    </row>
    <row r="195" spans="1:7" x14ac:dyDescent="0.3">
      <c r="A195" t="s">
        <v>695</v>
      </c>
      <c r="B195" t="s">
        <v>24</v>
      </c>
      <c r="C195" t="s">
        <v>25</v>
      </c>
      <c r="D195" s="7">
        <v>475</v>
      </c>
      <c r="E195">
        <v>2011</v>
      </c>
      <c r="F195">
        <v>2017</v>
      </c>
      <c r="G195" t="str">
        <f>IFERROR(INDEX(Formulations[Formulation],MATCH($C195,Formulations[Product Code],0)),"")</f>
        <v>citropine 85%/Pinefresh 15%</v>
      </c>
    </row>
    <row r="196" spans="1:7" x14ac:dyDescent="0.3">
      <c r="A196" t="s">
        <v>1346</v>
      </c>
      <c r="B196" t="s">
        <v>110</v>
      </c>
      <c r="C196" t="s">
        <v>111</v>
      </c>
      <c r="D196" s="7">
        <v>475</v>
      </c>
      <c r="E196">
        <v>2017</v>
      </c>
      <c r="F196">
        <v>2020</v>
      </c>
      <c r="G196" t="str">
        <f>IFERROR(INDEX(Formulations[Formulation],MATCH($C196,Formulations[Product Code],0)),"")</f>
        <v>75% Lemon Zeste, 25% lemon Top &amp; the Gold DPG)</v>
      </c>
    </row>
    <row r="197" spans="1:7" x14ac:dyDescent="0.3">
      <c r="A197" t="s">
        <v>1883</v>
      </c>
      <c r="B197" t="s">
        <v>242</v>
      </c>
      <c r="D197" s="7">
        <v>475</v>
      </c>
      <c r="E197">
        <v>2019</v>
      </c>
      <c r="F197">
        <v>2020</v>
      </c>
      <c r="G197" t="str">
        <f>IFERROR(INDEX(Formulations[Formulation],MATCH($C197,Formulations[Product Code],0)),"")</f>
        <v/>
      </c>
    </row>
    <row r="198" spans="1:7" x14ac:dyDescent="0.3">
      <c r="A198" t="s">
        <v>2346</v>
      </c>
      <c r="B198" t="s">
        <v>1653</v>
      </c>
      <c r="C198" t="s">
        <v>1654</v>
      </c>
      <c r="D198" s="7">
        <v>475</v>
      </c>
      <c r="E198">
        <v>2018</v>
      </c>
      <c r="F198">
        <v>2021</v>
      </c>
      <c r="G198" t="str">
        <f>IFERROR(INDEX(Formulations[Formulation],MATCH($C198,Formulations[Product Code],0)),"")</f>
        <v>Pure</v>
      </c>
    </row>
    <row r="199" spans="1:7" x14ac:dyDescent="0.3">
      <c r="A199" t="s">
        <v>2346</v>
      </c>
      <c r="B199" t="s">
        <v>528</v>
      </c>
      <c r="C199" t="s">
        <v>475</v>
      </c>
      <c r="D199" s="7">
        <v>475</v>
      </c>
      <c r="E199">
        <v>2019</v>
      </c>
      <c r="F199">
        <v>2021</v>
      </c>
      <c r="G199" t="str">
        <f>IFERROR(INDEX(Formulations[Formulation],MATCH($C199,Formulations[Product Code],0)),"")</f>
        <v>Crystal</v>
      </c>
    </row>
    <row r="200" spans="1:7" x14ac:dyDescent="0.3">
      <c r="A200" t="s">
        <v>2330</v>
      </c>
      <c r="B200" t="s">
        <v>251</v>
      </c>
      <c r="C200" t="s">
        <v>207</v>
      </c>
      <c r="D200" s="7">
        <v>472</v>
      </c>
      <c r="E200">
        <v>2017</v>
      </c>
      <c r="F200">
        <v>2019</v>
      </c>
      <c r="G200" t="str">
        <f>IFERROR(INDEX(Formulations[Formulation],MATCH($C200,Formulations[Product Code],0)),"")</f>
        <v/>
      </c>
    </row>
    <row r="201" spans="1:7" x14ac:dyDescent="0.3">
      <c r="A201" t="s">
        <v>2538</v>
      </c>
      <c r="B201" t="s">
        <v>635</v>
      </c>
      <c r="C201" t="s">
        <v>636</v>
      </c>
      <c r="D201" s="7">
        <v>466</v>
      </c>
      <c r="E201">
        <v>2018</v>
      </c>
      <c r="F201">
        <v>2020</v>
      </c>
      <c r="G201" t="str">
        <f>IFERROR(INDEX(Formulations[Formulation],MATCH($C201,Formulations[Product Code],0)),"")</f>
        <v>Pure</v>
      </c>
    </row>
    <row r="202" spans="1:7" x14ac:dyDescent="0.3">
      <c r="A202" t="s">
        <v>353</v>
      </c>
      <c r="B202" t="s">
        <v>135</v>
      </c>
      <c r="C202" t="s">
        <v>136</v>
      </c>
      <c r="D202" s="7">
        <v>463</v>
      </c>
      <c r="E202">
        <v>2009</v>
      </c>
      <c r="F202">
        <v>2018</v>
      </c>
      <c r="G202" t="str">
        <f>IFERROR(INDEX(Formulations[Formulation],MATCH($C202,Formulations[Product Code],0)),"")</f>
        <v/>
      </c>
    </row>
    <row r="203" spans="1:7" x14ac:dyDescent="0.3">
      <c r="A203" t="s">
        <v>2535</v>
      </c>
      <c r="B203" t="s">
        <v>828</v>
      </c>
      <c r="D203" s="7">
        <v>460</v>
      </c>
      <c r="E203">
        <v>2016</v>
      </c>
      <c r="F203">
        <v>2018</v>
      </c>
      <c r="G203" t="str">
        <f>IFERROR(INDEX(Formulations[Formulation],MATCH($C203,Formulations[Product Code],0)),"")</f>
        <v/>
      </c>
    </row>
    <row r="204" spans="1:7" x14ac:dyDescent="0.3">
      <c r="A204" t="s">
        <v>2095</v>
      </c>
      <c r="B204" t="s">
        <v>41</v>
      </c>
      <c r="C204" t="s">
        <v>42</v>
      </c>
      <c r="D204" s="7">
        <v>455</v>
      </c>
      <c r="E204">
        <v>2015</v>
      </c>
      <c r="F204">
        <v>2020</v>
      </c>
      <c r="G204" t="str">
        <f>IFERROR(INDEX(Formulations[Formulation],MATCH($C204,Formulations[Product Code],0)),"")</f>
        <v/>
      </c>
    </row>
    <row r="205" spans="1:7" x14ac:dyDescent="0.3">
      <c r="A205" t="s">
        <v>2412</v>
      </c>
      <c r="B205" t="s">
        <v>483</v>
      </c>
      <c r="C205" t="s">
        <v>484</v>
      </c>
      <c r="D205" s="7">
        <v>455</v>
      </c>
      <c r="E205">
        <v>2019</v>
      </c>
      <c r="F205">
        <v>2021</v>
      </c>
      <c r="G205" t="str">
        <f>IFERROR(INDEX(Formulations[Formulation],MATCH($C205,Formulations[Product Code],0)),"")</f>
        <v>Crystal</v>
      </c>
    </row>
    <row r="206" spans="1:7" x14ac:dyDescent="0.3">
      <c r="A206" t="s">
        <v>1010</v>
      </c>
      <c r="B206" t="s">
        <v>41</v>
      </c>
      <c r="C206" t="s">
        <v>63</v>
      </c>
      <c r="D206" s="7">
        <v>450</v>
      </c>
      <c r="E206">
        <v>2014</v>
      </c>
      <c r="F206">
        <v>2016</v>
      </c>
      <c r="G206" t="str">
        <f>IFERROR(INDEX(Formulations[Formulation],MATCH($C206,Formulations[Product Code],0)),"")</f>
        <v>Crystal</v>
      </c>
    </row>
    <row r="207" spans="1:7" x14ac:dyDescent="0.3">
      <c r="A207" t="s">
        <v>1010</v>
      </c>
      <c r="B207" t="s">
        <v>110</v>
      </c>
      <c r="C207" t="s">
        <v>111</v>
      </c>
      <c r="D207" s="7">
        <v>450</v>
      </c>
      <c r="E207">
        <v>2018</v>
      </c>
      <c r="F207">
        <v>2020</v>
      </c>
      <c r="G207" t="str">
        <f>IFERROR(INDEX(Formulations[Formulation],MATCH($C207,Formulations[Product Code],0)),"")</f>
        <v>75% Lemon Zeste, 25% lemon Top &amp; the Gold DPG)</v>
      </c>
    </row>
    <row r="208" spans="1:7" x14ac:dyDescent="0.3">
      <c r="A208" t="s">
        <v>1102</v>
      </c>
      <c r="B208" t="s">
        <v>68</v>
      </c>
      <c r="C208" t="s">
        <v>69</v>
      </c>
      <c r="D208" s="7">
        <v>450</v>
      </c>
      <c r="E208">
        <v>2019</v>
      </c>
      <c r="F208">
        <v>2019</v>
      </c>
      <c r="G208" t="str">
        <f>IFERROR(INDEX(Formulations[Formulation],MATCH($C208,Formulations[Product Code],0)),"")</f>
        <v>Silver</v>
      </c>
    </row>
    <row r="209" spans="1:7" x14ac:dyDescent="0.3">
      <c r="A209" t="s">
        <v>1697</v>
      </c>
      <c r="B209" t="s">
        <v>1698</v>
      </c>
      <c r="C209" t="s">
        <v>1699</v>
      </c>
      <c r="D209" s="7">
        <v>450</v>
      </c>
      <c r="E209">
        <v>2010</v>
      </c>
      <c r="F209">
        <v>2020</v>
      </c>
      <c r="G209" t="str">
        <f>IFERROR(INDEX(Formulations[Formulation],MATCH($C209,Formulations[Product Code],0)),"")</f>
        <v/>
      </c>
    </row>
    <row r="210" spans="1:7" x14ac:dyDescent="0.3">
      <c r="A210" t="s">
        <v>2232</v>
      </c>
      <c r="B210" t="s">
        <v>41</v>
      </c>
      <c r="C210" t="s">
        <v>42</v>
      </c>
      <c r="D210" s="7">
        <v>450</v>
      </c>
      <c r="E210">
        <v>2016</v>
      </c>
      <c r="F210">
        <v>2016</v>
      </c>
      <c r="G210" t="str">
        <f>IFERROR(INDEX(Formulations[Formulation],MATCH($C210,Formulations[Product Code],0)),"")</f>
        <v/>
      </c>
    </row>
    <row r="211" spans="1:7" x14ac:dyDescent="0.3">
      <c r="A211" t="s">
        <v>2232</v>
      </c>
      <c r="B211" t="s">
        <v>32</v>
      </c>
      <c r="D211" s="7">
        <v>445</v>
      </c>
      <c r="E211">
        <v>2015</v>
      </c>
      <c r="F211">
        <v>2018</v>
      </c>
      <c r="G211" t="str">
        <f>IFERROR(INDEX(Formulations[Formulation],MATCH($C211,Formulations[Product Code],0)),"")</f>
        <v/>
      </c>
    </row>
    <row r="212" spans="1:7" x14ac:dyDescent="0.3">
      <c r="A212" t="s">
        <v>2069</v>
      </c>
      <c r="B212" t="s">
        <v>839</v>
      </c>
      <c r="C212" t="s">
        <v>138</v>
      </c>
      <c r="D212" s="7">
        <v>435</v>
      </c>
      <c r="E212">
        <v>2016</v>
      </c>
      <c r="F212">
        <v>2020</v>
      </c>
      <c r="G212" t="str">
        <f>IFERROR(INDEX(Formulations[Formulation],MATCH($C212,Formulations[Product Code],0)),"")</f>
        <v>WS</v>
      </c>
    </row>
    <row r="213" spans="1:7" x14ac:dyDescent="0.3">
      <c r="A213" t="s">
        <v>2346</v>
      </c>
      <c r="B213" t="s">
        <v>809</v>
      </c>
      <c r="C213" t="s">
        <v>810</v>
      </c>
      <c r="D213" s="7">
        <v>432</v>
      </c>
      <c r="E213">
        <v>2017</v>
      </c>
      <c r="F213">
        <v>2021</v>
      </c>
      <c r="G213" t="str">
        <f>IFERROR(INDEX(Formulations[Formulation],MATCH($C213,Formulations[Product Code],0)),"")</f>
        <v>Silver</v>
      </c>
    </row>
    <row r="214" spans="1:7" x14ac:dyDescent="0.3">
      <c r="A214" t="s">
        <v>685</v>
      </c>
      <c r="B214" t="s">
        <v>19</v>
      </c>
      <c r="C214" t="s">
        <v>20</v>
      </c>
      <c r="D214" s="7">
        <v>425</v>
      </c>
      <c r="E214">
        <v>2019</v>
      </c>
      <c r="F214">
        <v>2021</v>
      </c>
      <c r="G214" t="str">
        <f>IFERROR(INDEX(Formulations[Formulation],MATCH($C214,Formulations[Product Code],0)),"")</f>
        <v>80 % Oil AND 20 % DPG</v>
      </c>
    </row>
    <row r="215" spans="1:7" x14ac:dyDescent="0.3">
      <c r="A215" t="s">
        <v>1346</v>
      </c>
      <c r="B215" t="s">
        <v>490</v>
      </c>
      <c r="C215" t="s">
        <v>491</v>
      </c>
      <c r="D215" s="7">
        <v>425</v>
      </c>
      <c r="E215">
        <v>2012</v>
      </c>
      <c r="F215">
        <v>2016</v>
      </c>
      <c r="G215" t="str">
        <f>IFERROR(INDEX(Formulations[Formulation],MATCH($C215,Formulations[Product Code],0)),"")</f>
        <v/>
      </c>
    </row>
    <row r="216" spans="1:7" x14ac:dyDescent="0.3">
      <c r="A216" t="s">
        <v>1754</v>
      </c>
      <c r="B216" t="s">
        <v>939</v>
      </c>
      <c r="C216" t="s">
        <v>940</v>
      </c>
      <c r="D216" s="7">
        <v>425</v>
      </c>
      <c r="E216">
        <v>2020</v>
      </c>
      <c r="F216">
        <v>2020</v>
      </c>
      <c r="G216" t="str">
        <f>IFERROR(INDEX(Formulations[Formulation],MATCH($C216,Formulations[Product Code],0)),"")</f>
        <v>Crystal</v>
      </c>
    </row>
    <row r="217" spans="1:7" x14ac:dyDescent="0.3">
      <c r="A217" t="s">
        <v>1913</v>
      </c>
      <c r="B217" t="s">
        <v>1452</v>
      </c>
      <c r="C217" t="s">
        <v>1453</v>
      </c>
      <c r="D217" s="7">
        <v>425</v>
      </c>
      <c r="E217">
        <v>2012</v>
      </c>
      <c r="F217">
        <v>2012</v>
      </c>
      <c r="G217" t="str">
        <f>IFERROR(INDEX(Formulations[Formulation],MATCH($C217,Formulations[Product Code],0)),"")</f>
        <v/>
      </c>
    </row>
    <row r="218" spans="1:7" x14ac:dyDescent="0.3">
      <c r="A218" t="s">
        <v>2069</v>
      </c>
      <c r="B218" t="s">
        <v>135</v>
      </c>
      <c r="C218" t="s">
        <v>331</v>
      </c>
      <c r="D218" s="7">
        <v>425</v>
      </c>
      <c r="E218">
        <v>2018</v>
      </c>
      <c r="F218">
        <v>2019</v>
      </c>
      <c r="G218" t="str">
        <f>IFERROR(INDEX(Formulations[Formulation],MATCH($C218,Formulations[Product Code],0)),"")</f>
        <v>35% oil</v>
      </c>
    </row>
    <row r="219" spans="1:7" x14ac:dyDescent="0.3">
      <c r="A219" t="s">
        <v>2290</v>
      </c>
      <c r="B219" t="s">
        <v>32</v>
      </c>
      <c r="D219" s="7">
        <v>420</v>
      </c>
      <c r="E219">
        <v>2011</v>
      </c>
      <c r="F219">
        <v>2021</v>
      </c>
      <c r="G219" t="str">
        <f>IFERROR(INDEX(Formulations[Formulation],MATCH($C219,Formulations[Product Code],0)),"")</f>
        <v/>
      </c>
    </row>
    <row r="220" spans="1:7" x14ac:dyDescent="0.3">
      <c r="A220" t="s">
        <v>2346</v>
      </c>
      <c r="B220" t="s">
        <v>314</v>
      </c>
      <c r="C220" t="s">
        <v>475</v>
      </c>
      <c r="D220" s="7">
        <v>406</v>
      </c>
      <c r="E220">
        <v>2016</v>
      </c>
      <c r="F220">
        <v>2019</v>
      </c>
      <c r="G220" t="str">
        <f>IFERROR(INDEX(Formulations[Formulation],MATCH($C220,Formulations[Product Code],0)),"")</f>
        <v>Crystal</v>
      </c>
    </row>
    <row r="221" spans="1:7" x14ac:dyDescent="0.3">
      <c r="A221" t="s">
        <v>2531</v>
      </c>
      <c r="B221" t="s">
        <v>995</v>
      </c>
      <c r="C221" t="s">
        <v>672</v>
      </c>
      <c r="D221" s="7">
        <v>406</v>
      </c>
      <c r="E221">
        <v>2012</v>
      </c>
      <c r="F221">
        <v>2016</v>
      </c>
      <c r="G221" t="str">
        <f>IFERROR(INDEX(Formulations[Formulation],MATCH($C221,Formulations[Product Code],0)),"")</f>
        <v>Pure</v>
      </c>
    </row>
    <row r="222" spans="1:7" x14ac:dyDescent="0.3">
      <c r="A222" t="s">
        <v>15</v>
      </c>
      <c r="B222" t="s">
        <v>19</v>
      </c>
      <c r="C222" t="s">
        <v>20</v>
      </c>
      <c r="D222" s="7">
        <v>405</v>
      </c>
      <c r="E222">
        <v>2010</v>
      </c>
      <c r="F222">
        <v>2018</v>
      </c>
      <c r="G222" t="str">
        <f>IFERROR(INDEX(Formulations[Formulation],MATCH($C222,Formulations[Product Code],0)),"")</f>
        <v>80 % Oil AND 20 % DPG</v>
      </c>
    </row>
    <row r="223" spans="1:7" x14ac:dyDescent="0.3">
      <c r="A223" t="s">
        <v>165</v>
      </c>
      <c r="B223" t="s">
        <v>176</v>
      </c>
      <c r="C223" t="s">
        <v>177</v>
      </c>
      <c r="D223" s="7">
        <v>400</v>
      </c>
      <c r="E223">
        <v>2011</v>
      </c>
      <c r="F223">
        <v>2013</v>
      </c>
      <c r="G223" t="str">
        <f>IFERROR(INDEX(Formulations[Formulation],MATCH($C223,Formulations[Product Code],0)),"")</f>
        <v/>
      </c>
    </row>
    <row r="224" spans="1:7" x14ac:dyDescent="0.3">
      <c r="A224" t="s">
        <v>547</v>
      </c>
      <c r="B224" t="s">
        <v>19</v>
      </c>
      <c r="C224" t="s">
        <v>20</v>
      </c>
      <c r="D224" s="7">
        <v>400</v>
      </c>
      <c r="E224">
        <v>2020</v>
      </c>
      <c r="F224">
        <v>2020</v>
      </c>
      <c r="G224" t="str">
        <f>IFERROR(INDEX(Formulations[Formulation],MATCH($C224,Formulations[Product Code],0)),"")</f>
        <v>80 % Oil AND 20 % DPG</v>
      </c>
    </row>
    <row r="225" spans="1:7" x14ac:dyDescent="0.3">
      <c r="A225" t="s">
        <v>1010</v>
      </c>
      <c r="B225" t="s">
        <v>438</v>
      </c>
      <c r="C225" t="s">
        <v>439</v>
      </c>
      <c r="D225" s="7">
        <v>400</v>
      </c>
      <c r="E225">
        <v>2014</v>
      </c>
      <c r="F225">
        <v>2020</v>
      </c>
      <c r="G225" t="str">
        <f>IFERROR(INDEX(Formulations[Formulation],MATCH($C225,Formulations[Product Code],0)),"")</f>
        <v>Pure</v>
      </c>
    </row>
    <row r="226" spans="1:7" x14ac:dyDescent="0.3">
      <c r="A226" t="s">
        <v>1673</v>
      </c>
      <c r="B226" t="s">
        <v>593</v>
      </c>
      <c r="C226" t="s">
        <v>594</v>
      </c>
      <c r="D226" s="7">
        <v>400</v>
      </c>
      <c r="E226">
        <v>2021</v>
      </c>
      <c r="F226">
        <v>2021</v>
      </c>
      <c r="G226" t="str">
        <f>IFERROR(INDEX(Formulations[Formulation],MATCH($C226,Formulations[Product Code],0)),"")</f>
        <v>Oil 4.5kg</v>
      </c>
    </row>
    <row r="227" spans="1:7" x14ac:dyDescent="0.3">
      <c r="A227" t="s">
        <v>1810</v>
      </c>
      <c r="B227" t="s">
        <v>1811</v>
      </c>
      <c r="D227" s="7">
        <v>400</v>
      </c>
      <c r="E227">
        <v>2016</v>
      </c>
      <c r="F227">
        <v>2016</v>
      </c>
      <c r="G227" t="str">
        <f>IFERROR(INDEX(Formulations[Formulation],MATCH($C227,Formulations[Product Code],0)),"")</f>
        <v/>
      </c>
    </row>
    <row r="228" spans="1:7" x14ac:dyDescent="0.3">
      <c r="A228" t="s">
        <v>1810</v>
      </c>
      <c r="B228" t="s">
        <v>1814</v>
      </c>
      <c r="D228" s="7">
        <v>400</v>
      </c>
      <c r="E228">
        <v>2016</v>
      </c>
      <c r="F228">
        <v>2016</v>
      </c>
      <c r="G228" t="str">
        <f>IFERROR(INDEX(Formulations[Formulation],MATCH($C228,Formulations[Product Code],0)),"")</f>
        <v/>
      </c>
    </row>
    <row r="229" spans="1:7" x14ac:dyDescent="0.3">
      <c r="A229" t="s">
        <v>1871</v>
      </c>
      <c r="B229" t="s">
        <v>995</v>
      </c>
      <c r="C229" t="s">
        <v>672</v>
      </c>
      <c r="D229" s="7">
        <v>400</v>
      </c>
      <c r="E229">
        <v>2018</v>
      </c>
      <c r="F229">
        <v>2019</v>
      </c>
      <c r="G229" t="str">
        <f>IFERROR(INDEX(Formulations[Formulation],MATCH($C229,Formulations[Product Code],0)),"")</f>
        <v>Pure</v>
      </c>
    </row>
    <row r="230" spans="1:7" x14ac:dyDescent="0.3">
      <c r="A230" t="s">
        <v>1883</v>
      </c>
      <c r="B230" t="s">
        <v>45</v>
      </c>
      <c r="D230" s="7">
        <v>400</v>
      </c>
      <c r="E230">
        <v>2015</v>
      </c>
      <c r="F230">
        <v>2021</v>
      </c>
      <c r="G230" t="str">
        <f>IFERROR(INDEX(Formulations[Formulation],MATCH($C230,Formulations[Product Code],0)),"")</f>
        <v/>
      </c>
    </row>
    <row r="231" spans="1:7" x14ac:dyDescent="0.3">
      <c r="A231" t="s">
        <v>2112</v>
      </c>
      <c r="B231" t="s">
        <v>696</v>
      </c>
      <c r="C231" t="s">
        <v>697</v>
      </c>
      <c r="D231" s="7">
        <v>400</v>
      </c>
      <c r="E231">
        <v>2017</v>
      </c>
      <c r="F231">
        <v>2018</v>
      </c>
      <c r="G231" t="str">
        <f>IFERROR(INDEX(Formulations[Formulation],MATCH($C231,Formulations[Product Code],0)),"")</f>
        <v/>
      </c>
    </row>
    <row r="232" spans="1:7" x14ac:dyDescent="0.3">
      <c r="A232" t="s">
        <v>2209</v>
      </c>
      <c r="B232" t="s">
        <v>939</v>
      </c>
      <c r="C232" t="s">
        <v>940</v>
      </c>
      <c r="D232" s="7">
        <v>400</v>
      </c>
      <c r="E232">
        <v>2020</v>
      </c>
      <c r="F232">
        <v>2021</v>
      </c>
      <c r="G232" t="str">
        <f>IFERROR(INDEX(Formulations[Formulation],MATCH($C232,Formulations[Product Code],0)),"")</f>
        <v>Crystal</v>
      </c>
    </row>
    <row r="233" spans="1:7" x14ac:dyDescent="0.3">
      <c r="A233" t="s">
        <v>2353</v>
      </c>
      <c r="B233" t="s">
        <v>51</v>
      </c>
      <c r="C233" t="s">
        <v>52</v>
      </c>
      <c r="D233" s="7">
        <v>400</v>
      </c>
      <c r="E233">
        <v>2021</v>
      </c>
      <c r="F233">
        <v>2021</v>
      </c>
      <c r="G233" t="str">
        <f>IFERROR(INDEX(Formulations[Formulation],MATCH($C233,Formulations[Product Code],0)),"")</f>
        <v>Silver</v>
      </c>
    </row>
    <row r="234" spans="1:7" x14ac:dyDescent="0.3">
      <c r="A234" t="s">
        <v>2353</v>
      </c>
      <c r="B234" t="s">
        <v>593</v>
      </c>
      <c r="C234" t="s">
        <v>594</v>
      </c>
      <c r="D234" s="7">
        <v>400</v>
      </c>
      <c r="E234">
        <v>2021</v>
      </c>
      <c r="F234">
        <v>2021</v>
      </c>
      <c r="G234" t="str">
        <f>IFERROR(INDEX(Formulations[Formulation],MATCH($C234,Formulations[Product Code],0)),"")</f>
        <v>Oil 4.5kg</v>
      </c>
    </row>
    <row r="235" spans="1:7" x14ac:dyDescent="0.3">
      <c r="A235" t="s">
        <v>2436</v>
      </c>
      <c r="B235" t="s">
        <v>1457</v>
      </c>
      <c r="C235" t="s">
        <v>682</v>
      </c>
      <c r="D235" s="7">
        <v>400</v>
      </c>
      <c r="E235">
        <v>2018</v>
      </c>
      <c r="F235">
        <v>2018</v>
      </c>
      <c r="G235" t="str">
        <f>IFERROR(INDEX(Formulations[Formulation],MATCH($C235,Formulations[Product Code],0)),"")</f>
        <v/>
      </c>
    </row>
    <row r="236" spans="1:7" x14ac:dyDescent="0.3">
      <c r="A236" t="s">
        <v>2465</v>
      </c>
      <c r="B236" t="s">
        <v>64</v>
      </c>
      <c r="C236" t="s">
        <v>65</v>
      </c>
      <c r="D236" s="7">
        <v>400</v>
      </c>
      <c r="E236">
        <v>2021</v>
      </c>
      <c r="F236">
        <v>2021</v>
      </c>
      <c r="G236" t="str">
        <f>IFERROR(INDEX(Formulations[Formulation],MATCH($C236,Formulations[Product Code],0)),"")</f>
        <v>Crystal</v>
      </c>
    </row>
    <row r="237" spans="1:7" x14ac:dyDescent="0.3">
      <c r="A237" t="s">
        <v>2475</v>
      </c>
      <c r="B237" t="s">
        <v>92</v>
      </c>
      <c r="C237" t="s">
        <v>93</v>
      </c>
      <c r="D237" s="7">
        <v>400</v>
      </c>
      <c r="E237">
        <v>2017</v>
      </c>
      <c r="F237">
        <v>2018</v>
      </c>
      <c r="G237" t="str">
        <f>IFERROR(INDEX(Formulations[Formulation],MATCH($C237,Formulations[Product Code],0)),"")</f>
        <v>Gold</v>
      </c>
    </row>
    <row r="238" spans="1:7" x14ac:dyDescent="0.3">
      <c r="A238" t="s">
        <v>2521</v>
      </c>
      <c r="B238" t="s">
        <v>41</v>
      </c>
      <c r="C238" t="s">
        <v>530</v>
      </c>
      <c r="D238" s="7">
        <v>400</v>
      </c>
      <c r="E238">
        <v>2011</v>
      </c>
      <c r="F238">
        <v>2017</v>
      </c>
      <c r="G238" t="str">
        <f>IFERROR(INDEX(Formulations[Formulation],MATCH($C238,Formulations[Product Code],0)),"")</f>
        <v/>
      </c>
    </row>
    <row r="239" spans="1:7" x14ac:dyDescent="0.3">
      <c r="A239" t="s">
        <v>2380</v>
      </c>
      <c r="B239" t="s">
        <v>1103</v>
      </c>
      <c r="C239" t="s">
        <v>224</v>
      </c>
      <c r="D239" s="7">
        <v>395</v>
      </c>
      <c r="E239">
        <v>2010</v>
      </c>
      <c r="F239">
        <v>2020</v>
      </c>
      <c r="G239" t="str">
        <f>IFERROR(INDEX(Formulations[Formulation],MATCH($C239,Formulations[Product Code],0)),"")</f>
        <v/>
      </c>
    </row>
    <row r="240" spans="1:7" x14ac:dyDescent="0.3">
      <c r="A240" t="s">
        <v>449</v>
      </c>
      <c r="B240" t="s">
        <v>37</v>
      </c>
      <c r="D240" s="7">
        <v>390</v>
      </c>
      <c r="E240">
        <v>2017</v>
      </c>
      <c r="F240">
        <v>2020</v>
      </c>
      <c r="G240" t="str">
        <f>IFERROR(INDEX(Formulations[Formulation],MATCH($C240,Formulations[Product Code],0)),"")</f>
        <v/>
      </c>
    </row>
    <row r="241" spans="1:7" x14ac:dyDescent="0.3">
      <c r="A241" t="s">
        <v>2220</v>
      </c>
      <c r="B241" t="s">
        <v>1534</v>
      </c>
      <c r="C241" t="s">
        <v>96</v>
      </c>
      <c r="D241" s="7">
        <v>390</v>
      </c>
      <c r="E241">
        <v>2014</v>
      </c>
      <c r="F241">
        <v>2018</v>
      </c>
      <c r="G241" t="str">
        <f>IFERROR(INDEX(Formulations[Formulation],MATCH($C241,Formulations[Product Code],0)),"")</f>
        <v>9.2 kg oil and rest dpg</v>
      </c>
    </row>
    <row r="242" spans="1:7" x14ac:dyDescent="0.3">
      <c r="A242" t="s">
        <v>1799</v>
      </c>
      <c r="B242" t="s">
        <v>206</v>
      </c>
      <c r="C242" t="s">
        <v>207</v>
      </c>
      <c r="D242" s="7">
        <v>385</v>
      </c>
      <c r="E242">
        <v>2017</v>
      </c>
      <c r="F242">
        <v>2019</v>
      </c>
      <c r="G242" t="str">
        <f>IFERROR(INDEX(Formulations[Formulation],MATCH($C242,Formulations[Product Code],0)),"")</f>
        <v/>
      </c>
    </row>
    <row r="243" spans="1:7" x14ac:dyDescent="0.3">
      <c r="A243" t="s">
        <v>2020</v>
      </c>
      <c r="B243" t="s">
        <v>346</v>
      </c>
      <c r="C243" t="s">
        <v>347</v>
      </c>
      <c r="D243" s="7">
        <v>385</v>
      </c>
      <c r="E243">
        <v>2014</v>
      </c>
      <c r="F243">
        <v>2019</v>
      </c>
      <c r="G243" t="str">
        <f>IFERROR(INDEX(Formulations[Formulation],MATCH($C243,Formulations[Product Code],0)),"")</f>
        <v>Pure</v>
      </c>
    </row>
    <row r="244" spans="1:7" x14ac:dyDescent="0.3">
      <c r="A244" t="s">
        <v>2345</v>
      </c>
      <c r="B244" t="s">
        <v>741</v>
      </c>
      <c r="C244" t="s">
        <v>742</v>
      </c>
      <c r="D244" s="7">
        <v>385</v>
      </c>
      <c r="E244">
        <v>2014</v>
      </c>
      <c r="F244">
        <v>2018</v>
      </c>
      <c r="G244" t="str">
        <f>IFERROR(INDEX(Formulations[Formulation],MATCH($C244,Formulations[Product Code],0)),"")</f>
        <v/>
      </c>
    </row>
    <row r="245" spans="1:7" x14ac:dyDescent="0.3">
      <c r="A245" t="s">
        <v>2354</v>
      </c>
      <c r="B245" t="s">
        <v>656</v>
      </c>
      <c r="C245" t="s">
        <v>71</v>
      </c>
      <c r="D245" s="7">
        <v>385</v>
      </c>
      <c r="E245">
        <v>2019</v>
      </c>
      <c r="F245">
        <v>2021</v>
      </c>
      <c r="G245" t="str">
        <f>IFERROR(INDEX(Formulations[Formulation],MATCH($C245,Formulations[Product Code],0)),"")</f>
        <v>40% Oil &amp; 60% DPG</v>
      </c>
    </row>
    <row r="246" spans="1:7" x14ac:dyDescent="0.3">
      <c r="A246" t="s">
        <v>449</v>
      </c>
      <c r="B246" t="s">
        <v>453</v>
      </c>
      <c r="D246" s="7">
        <v>383</v>
      </c>
      <c r="E246">
        <v>2018</v>
      </c>
      <c r="F246">
        <v>2020</v>
      </c>
      <c r="G246" t="str">
        <f>IFERROR(INDEX(Formulations[Formulation],MATCH($C246,Formulations[Product Code],0)),"")</f>
        <v/>
      </c>
    </row>
    <row r="247" spans="1:7" x14ac:dyDescent="0.3">
      <c r="A247" t="s">
        <v>1028</v>
      </c>
      <c r="B247" t="s">
        <v>1030</v>
      </c>
      <c r="D247" s="7">
        <v>381</v>
      </c>
      <c r="E247">
        <v>2010</v>
      </c>
      <c r="F247">
        <v>2010</v>
      </c>
      <c r="G247" t="str">
        <f>IFERROR(INDEX(Formulations[Formulation],MATCH($C247,Formulations[Product Code],0)),"")</f>
        <v/>
      </c>
    </row>
    <row r="248" spans="1:7" x14ac:dyDescent="0.3">
      <c r="A248" t="s">
        <v>1658</v>
      </c>
      <c r="B248" t="s">
        <v>32</v>
      </c>
      <c r="D248" s="7">
        <v>380</v>
      </c>
      <c r="E248">
        <v>2013</v>
      </c>
      <c r="F248">
        <v>2017</v>
      </c>
      <c r="G248" t="str">
        <f>IFERROR(INDEX(Formulations[Formulation],MATCH($C248,Formulations[Product Code],0)),"")</f>
        <v/>
      </c>
    </row>
    <row r="249" spans="1:7" x14ac:dyDescent="0.3">
      <c r="A249" t="s">
        <v>1439</v>
      </c>
      <c r="B249" t="s">
        <v>476</v>
      </c>
      <c r="C249" t="s">
        <v>477</v>
      </c>
      <c r="D249" s="7">
        <v>375</v>
      </c>
      <c r="E249">
        <v>2018</v>
      </c>
      <c r="F249">
        <v>2020</v>
      </c>
      <c r="G249" t="str">
        <f>IFERROR(INDEX(Formulations[Formulation],MATCH($C249,Formulations[Product Code],0)),"")</f>
        <v/>
      </c>
    </row>
    <row r="250" spans="1:7" x14ac:dyDescent="0.3">
      <c r="A250" t="s">
        <v>1866</v>
      </c>
      <c r="B250" t="s">
        <v>41</v>
      </c>
      <c r="C250" t="s">
        <v>44</v>
      </c>
      <c r="D250" s="7">
        <v>375</v>
      </c>
      <c r="E250">
        <v>2017</v>
      </c>
      <c r="F250">
        <v>2017</v>
      </c>
      <c r="G250" t="str">
        <f>IFERROR(INDEX(Formulations[Formulation],MATCH($C250,Formulations[Product Code],0)),"")</f>
        <v/>
      </c>
    </row>
    <row r="251" spans="1:7" x14ac:dyDescent="0.3">
      <c r="A251" t="s">
        <v>1906</v>
      </c>
      <c r="B251" t="s">
        <v>314</v>
      </c>
      <c r="C251" t="s">
        <v>315</v>
      </c>
      <c r="D251" s="7">
        <v>375</v>
      </c>
      <c r="E251">
        <v>2011</v>
      </c>
      <c r="F251">
        <v>2016</v>
      </c>
      <c r="G251" t="str">
        <f>IFERROR(INDEX(Formulations[Formulation],MATCH($C251,Formulations[Product Code],0)),"")</f>
        <v/>
      </c>
    </row>
    <row r="252" spans="1:7" x14ac:dyDescent="0.3">
      <c r="A252" t="s">
        <v>2324</v>
      </c>
      <c r="B252" t="s">
        <v>103</v>
      </c>
      <c r="C252" t="s">
        <v>2325</v>
      </c>
      <c r="D252" s="7">
        <v>375</v>
      </c>
      <c r="E252">
        <v>2009</v>
      </c>
      <c r="F252">
        <v>2010</v>
      </c>
      <c r="G252" t="str">
        <f>IFERROR(INDEX(Formulations[Formulation],MATCH($C252,Formulations[Product Code],0)),"")</f>
        <v/>
      </c>
    </row>
    <row r="253" spans="1:7" x14ac:dyDescent="0.3">
      <c r="A253" t="s">
        <v>2337</v>
      </c>
      <c r="B253" t="s">
        <v>446</v>
      </c>
      <c r="C253" t="s">
        <v>447</v>
      </c>
      <c r="D253" s="7">
        <v>375</v>
      </c>
      <c r="E253">
        <v>2020</v>
      </c>
      <c r="F253">
        <v>2021</v>
      </c>
      <c r="G253" t="str">
        <f>IFERROR(INDEX(Formulations[Formulation],MATCH($C253,Formulations[Product Code],0)),"")</f>
        <v>30% Key Oil</v>
      </c>
    </row>
    <row r="254" spans="1:7" x14ac:dyDescent="0.3">
      <c r="A254" t="s">
        <v>2455</v>
      </c>
      <c r="B254" t="s">
        <v>1449</v>
      </c>
      <c r="C254" t="s">
        <v>1012</v>
      </c>
      <c r="D254" s="7">
        <v>375</v>
      </c>
      <c r="E254">
        <v>2011</v>
      </c>
      <c r="F254">
        <v>2018</v>
      </c>
      <c r="G254" t="str">
        <f>IFERROR(INDEX(Formulations[Formulation],MATCH($C254,Formulations[Product Code],0)),"")</f>
        <v/>
      </c>
    </row>
    <row r="255" spans="1:7" x14ac:dyDescent="0.3">
      <c r="A255" t="s">
        <v>2496</v>
      </c>
      <c r="B255" t="s">
        <v>19</v>
      </c>
      <c r="C255" t="s">
        <v>20</v>
      </c>
      <c r="D255" s="7">
        <v>375</v>
      </c>
      <c r="E255">
        <v>2014</v>
      </c>
      <c r="F255">
        <v>2021</v>
      </c>
      <c r="G255" t="str">
        <f>IFERROR(INDEX(Formulations[Formulation],MATCH($C255,Formulations[Product Code],0)),"")</f>
        <v>80 % Oil AND 20 % DPG</v>
      </c>
    </row>
    <row r="256" spans="1:7" x14ac:dyDescent="0.3">
      <c r="A256" t="s">
        <v>2521</v>
      </c>
      <c r="B256" t="s">
        <v>269</v>
      </c>
      <c r="C256" t="s">
        <v>270</v>
      </c>
      <c r="D256" s="7">
        <v>375</v>
      </c>
      <c r="E256">
        <v>2013</v>
      </c>
      <c r="F256">
        <v>2021</v>
      </c>
      <c r="G256" t="str">
        <f>IFERROR(INDEX(Formulations[Formulation],MATCH($C256,Formulations[Product Code],0)),"")</f>
        <v>Pure</v>
      </c>
    </row>
    <row r="257" spans="1:7" x14ac:dyDescent="0.3">
      <c r="A257" t="s">
        <v>1866</v>
      </c>
      <c r="B257" t="s">
        <v>32</v>
      </c>
      <c r="D257" s="7">
        <v>370</v>
      </c>
      <c r="E257">
        <v>2012</v>
      </c>
      <c r="F257">
        <v>2020</v>
      </c>
      <c r="G257" t="str">
        <f>IFERROR(INDEX(Formulations[Formulation],MATCH($C257,Formulations[Product Code],0)),"")</f>
        <v/>
      </c>
    </row>
    <row r="258" spans="1:7" x14ac:dyDescent="0.3">
      <c r="A258" t="s">
        <v>523</v>
      </c>
      <c r="B258" t="s">
        <v>528</v>
      </c>
      <c r="C258" t="s">
        <v>529</v>
      </c>
      <c r="D258" s="7">
        <v>365</v>
      </c>
      <c r="E258">
        <v>2016</v>
      </c>
      <c r="F258">
        <v>2021</v>
      </c>
      <c r="G258" t="str">
        <f>IFERROR(INDEX(Formulations[Formulation],MATCH($C258,Formulations[Product Code],0)),"")</f>
        <v>Crystal</v>
      </c>
    </row>
    <row r="259" spans="1:7" x14ac:dyDescent="0.3">
      <c r="A259" t="s">
        <v>887</v>
      </c>
      <c r="B259" t="s">
        <v>72</v>
      </c>
      <c r="C259" t="s">
        <v>73</v>
      </c>
      <c r="D259" s="7">
        <v>360</v>
      </c>
      <c r="E259">
        <v>2013</v>
      </c>
      <c r="F259">
        <v>2018</v>
      </c>
      <c r="G259" t="str">
        <f>IFERROR(INDEX(Formulations[Formulation],MATCH($C259,Formulations[Product Code],0)),"")</f>
        <v>Silver</v>
      </c>
    </row>
    <row r="260" spans="1:7" x14ac:dyDescent="0.3">
      <c r="A260" t="s">
        <v>2020</v>
      </c>
      <c r="B260" t="s">
        <v>498</v>
      </c>
      <c r="C260" t="s">
        <v>499</v>
      </c>
      <c r="D260" s="7">
        <v>360</v>
      </c>
      <c r="E260">
        <v>2017</v>
      </c>
      <c r="F260">
        <v>2020</v>
      </c>
      <c r="G260" t="str">
        <f>IFERROR(INDEX(Formulations[Formulation],MATCH($C260,Formulations[Product Code],0)),"")</f>
        <v>WS</v>
      </c>
    </row>
    <row r="261" spans="1:7" x14ac:dyDescent="0.3">
      <c r="A261" t="s">
        <v>2209</v>
      </c>
      <c r="B261" t="s">
        <v>643</v>
      </c>
      <c r="C261" t="s">
        <v>644</v>
      </c>
      <c r="D261" s="7">
        <v>360</v>
      </c>
      <c r="E261">
        <v>2019</v>
      </c>
      <c r="F261">
        <v>2021</v>
      </c>
      <c r="G261" t="str">
        <f>IFERROR(INDEX(Formulations[Formulation],MATCH($C261,Formulations[Product Code],0)),"")</f>
        <v>Crystal</v>
      </c>
    </row>
    <row r="262" spans="1:7" x14ac:dyDescent="0.3">
      <c r="A262" t="s">
        <v>712</v>
      </c>
      <c r="B262" t="s">
        <v>656</v>
      </c>
      <c r="C262" t="s">
        <v>71</v>
      </c>
      <c r="D262" s="7">
        <v>350</v>
      </c>
      <c r="E262">
        <v>2019</v>
      </c>
      <c r="F262">
        <v>2021</v>
      </c>
      <c r="G262" t="str">
        <f>IFERROR(INDEX(Formulations[Formulation],MATCH($C262,Formulations[Product Code],0)),"")</f>
        <v>40% Oil &amp; 60% DPG</v>
      </c>
    </row>
    <row r="263" spans="1:7" x14ac:dyDescent="0.3">
      <c r="A263" t="s">
        <v>1005</v>
      </c>
      <c r="B263" t="s">
        <v>62</v>
      </c>
      <c r="C263" t="s">
        <v>63</v>
      </c>
      <c r="D263" s="7">
        <v>350</v>
      </c>
      <c r="E263">
        <v>2016</v>
      </c>
      <c r="F263">
        <v>2021</v>
      </c>
      <c r="G263" t="str">
        <f>IFERROR(INDEX(Formulations[Formulation],MATCH($C263,Formulations[Product Code],0)),"")</f>
        <v>Crystal</v>
      </c>
    </row>
    <row r="264" spans="1:7" x14ac:dyDescent="0.3">
      <c r="A264" t="s">
        <v>1832</v>
      </c>
      <c r="B264" t="s">
        <v>761</v>
      </c>
      <c r="D264" s="7">
        <v>350</v>
      </c>
      <c r="E264">
        <v>2014</v>
      </c>
      <c r="F264">
        <v>2018</v>
      </c>
      <c r="G264" t="str">
        <f>IFERROR(INDEX(Formulations[Formulation],MATCH($C264,Formulations[Product Code],0)),"")</f>
        <v/>
      </c>
    </row>
    <row r="265" spans="1:7" x14ac:dyDescent="0.3">
      <c r="A265" t="s">
        <v>2020</v>
      </c>
      <c r="B265" t="s">
        <v>110</v>
      </c>
      <c r="C265" t="s">
        <v>111</v>
      </c>
      <c r="D265" s="7">
        <v>350</v>
      </c>
      <c r="E265">
        <v>2017</v>
      </c>
      <c r="F265">
        <v>2019</v>
      </c>
      <c r="G265" t="str">
        <f>IFERROR(INDEX(Formulations[Formulation],MATCH($C265,Formulations[Product Code],0)),"")</f>
        <v>75% Lemon Zeste, 25% lemon Top &amp; the Gold DPG)</v>
      </c>
    </row>
    <row r="266" spans="1:7" x14ac:dyDescent="0.3">
      <c r="A266" t="s">
        <v>2354</v>
      </c>
      <c r="B266" t="s">
        <v>548</v>
      </c>
      <c r="D266" s="7">
        <v>350</v>
      </c>
      <c r="E266">
        <v>2020</v>
      </c>
      <c r="F266">
        <v>2021</v>
      </c>
      <c r="G266" t="str">
        <f>IFERROR(INDEX(Formulations[Formulation],MATCH($C266,Formulations[Product Code],0)),"")</f>
        <v/>
      </c>
    </row>
    <row r="267" spans="1:7" x14ac:dyDescent="0.3">
      <c r="A267" t="s">
        <v>2521</v>
      </c>
      <c r="B267" t="s">
        <v>696</v>
      </c>
      <c r="C267" t="s">
        <v>697</v>
      </c>
      <c r="D267" s="7">
        <v>350</v>
      </c>
      <c r="E267">
        <v>2013</v>
      </c>
      <c r="F267">
        <v>2020</v>
      </c>
      <c r="G267" t="str">
        <f>IFERROR(INDEX(Formulations[Formulation],MATCH($C267,Formulations[Product Code],0)),"")</f>
        <v/>
      </c>
    </row>
    <row r="268" spans="1:7" x14ac:dyDescent="0.3">
      <c r="A268" t="s">
        <v>2538</v>
      </c>
      <c r="B268" t="s">
        <v>1349</v>
      </c>
      <c r="C268" t="s">
        <v>1350</v>
      </c>
      <c r="D268" s="7">
        <v>350</v>
      </c>
      <c r="E268">
        <v>2020</v>
      </c>
      <c r="F268">
        <v>2020</v>
      </c>
      <c r="G268" t="str">
        <f>IFERROR(INDEX(Formulations[Formulation],MATCH($C268,Formulations[Product Code],0)),"")</f>
        <v/>
      </c>
    </row>
    <row r="269" spans="1:7" x14ac:dyDescent="0.3">
      <c r="A269" t="s">
        <v>2563</v>
      </c>
      <c r="B269" t="s">
        <v>21</v>
      </c>
      <c r="C269" t="s">
        <v>22</v>
      </c>
      <c r="D269" s="7">
        <v>350</v>
      </c>
      <c r="E269">
        <v>2009</v>
      </c>
      <c r="F269">
        <v>2011</v>
      </c>
      <c r="G269" t="str">
        <f>IFERROR(INDEX(Formulations[Formulation],MATCH($C269,Formulations[Product Code],0)),"")</f>
        <v>Crystal</v>
      </c>
    </row>
    <row r="270" spans="1:7" x14ac:dyDescent="0.3">
      <c r="A270" t="s">
        <v>1400</v>
      </c>
      <c r="B270" t="s">
        <v>1401</v>
      </c>
      <c r="D270" s="7">
        <v>345</v>
      </c>
      <c r="E270">
        <v>2012</v>
      </c>
      <c r="F270">
        <v>2017</v>
      </c>
      <c r="G270" t="str">
        <f>IFERROR(INDEX(Formulations[Formulation],MATCH($C270,Formulations[Product Code],0)),"")</f>
        <v/>
      </c>
    </row>
    <row r="271" spans="1:7" x14ac:dyDescent="0.3">
      <c r="A271" t="s">
        <v>2123</v>
      </c>
      <c r="B271" t="s">
        <v>260</v>
      </c>
      <c r="C271" t="s">
        <v>109</v>
      </c>
      <c r="D271" s="7">
        <v>345</v>
      </c>
      <c r="E271">
        <v>2016</v>
      </c>
      <c r="F271">
        <v>2021</v>
      </c>
      <c r="G271" t="str">
        <f>IFERROR(INDEX(Formulations[Formulation],MATCH($C271,Formulations[Product Code],0)),"")</f>
        <v>Pure</v>
      </c>
    </row>
    <row r="272" spans="1:7" x14ac:dyDescent="0.3">
      <c r="A272" t="s">
        <v>2563</v>
      </c>
      <c r="B272" t="s">
        <v>32</v>
      </c>
      <c r="D272" s="7">
        <v>345</v>
      </c>
      <c r="E272">
        <v>2011</v>
      </c>
      <c r="F272">
        <v>2016</v>
      </c>
      <c r="G272" t="str">
        <f>IFERROR(INDEX(Formulations[Formulation],MATCH($C272,Formulations[Product Code],0)),"")</f>
        <v/>
      </c>
    </row>
    <row r="273" spans="1:7" x14ac:dyDescent="0.3">
      <c r="A273" t="s">
        <v>1799</v>
      </c>
      <c r="B273" t="s">
        <v>68</v>
      </c>
      <c r="C273" t="s">
        <v>69</v>
      </c>
      <c r="D273" s="7">
        <v>342.2</v>
      </c>
      <c r="E273">
        <v>2014</v>
      </c>
      <c r="F273">
        <v>2018</v>
      </c>
      <c r="G273" t="str">
        <f>IFERROR(INDEX(Formulations[Formulation],MATCH($C273,Formulations[Product Code],0)),"")</f>
        <v>Silver</v>
      </c>
    </row>
    <row r="274" spans="1:7" x14ac:dyDescent="0.3">
      <c r="A274" t="s">
        <v>887</v>
      </c>
      <c r="B274" t="s">
        <v>857</v>
      </c>
      <c r="C274" t="s">
        <v>858</v>
      </c>
      <c r="D274" s="7">
        <v>340</v>
      </c>
      <c r="E274">
        <v>2010</v>
      </c>
      <c r="F274">
        <v>2013</v>
      </c>
      <c r="G274" t="str">
        <f>IFERROR(INDEX(Formulations[Formulation],MATCH($C274,Formulations[Product Code],0)),"")</f>
        <v/>
      </c>
    </row>
    <row r="275" spans="1:7" x14ac:dyDescent="0.3">
      <c r="A275" t="s">
        <v>2354</v>
      </c>
      <c r="B275" t="s">
        <v>21</v>
      </c>
      <c r="C275" t="s">
        <v>22</v>
      </c>
      <c r="D275" s="7">
        <v>335</v>
      </c>
      <c r="E275">
        <v>2017</v>
      </c>
      <c r="F275">
        <v>2019</v>
      </c>
      <c r="G275" t="str">
        <f>IFERROR(INDEX(Formulations[Formulation],MATCH($C275,Formulations[Product Code],0)),"")</f>
        <v>Crystal</v>
      </c>
    </row>
    <row r="276" spans="1:7" x14ac:dyDescent="0.3">
      <c r="A276" t="s">
        <v>2483</v>
      </c>
      <c r="B276" t="s">
        <v>12</v>
      </c>
      <c r="C276" t="s">
        <v>13</v>
      </c>
      <c r="D276" s="7">
        <v>335</v>
      </c>
      <c r="E276">
        <v>2019</v>
      </c>
      <c r="F276">
        <v>2020</v>
      </c>
      <c r="G276" t="str">
        <f>IFERROR(INDEX(Formulations[Formulation],MATCH($C276,Formulations[Product Code],0)),"")</f>
        <v>Crystal</v>
      </c>
    </row>
    <row r="277" spans="1:7" x14ac:dyDescent="0.3">
      <c r="A277" t="s">
        <v>2020</v>
      </c>
      <c r="B277" t="s">
        <v>653</v>
      </c>
      <c r="C277" t="s">
        <v>2023</v>
      </c>
      <c r="D277" s="7">
        <v>330</v>
      </c>
      <c r="E277">
        <v>2016</v>
      </c>
      <c r="F277">
        <v>2020</v>
      </c>
      <c r="G277" t="str">
        <f>IFERROR(INDEX(Formulations[Formulation],MATCH($C277,Formulations[Product Code],0)),"")</f>
        <v/>
      </c>
    </row>
    <row r="278" spans="1:7" x14ac:dyDescent="0.3">
      <c r="A278" t="s">
        <v>2075</v>
      </c>
      <c r="B278" t="s">
        <v>2076</v>
      </c>
      <c r="D278" s="7">
        <v>330</v>
      </c>
      <c r="E278">
        <v>2020</v>
      </c>
      <c r="F278">
        <v>2021</v>
      </c>
      <c r="G278" t="str">
        <f>IFERROR(INDEX(Formulations[Formulation],MATCH($C278,Formulations[Product Code],0)),"")</f>
        <v/>
      </c>
    </row>
    <row r="279" spans="1:7" x14ac:dyDescent="0.3">
      <c r="A279" t="s">
        <v>449</v>
      </c>
      <c r="B279" t="s">
        <v>19</v>
      </c>
      <c r="C279" t="s">
        <v>107</v>
      </c>
      <c r="D279" s="7">
        <v>325</v>
      </c>
      <c r="E279">
        <v>2020</v>
      </c>
      <c r="F279">
        <v>2021</v>
      </c>
      <c r="G279" t="str">
        <f>IFERROR(INDEX(Formulations[Formulation],MATCH($C279,Formulations[Product Code],0)),"")</f>
        <v>Pure</v>
      </c>
    </row>
    <row r="280" spans="1:7" x14ac:dyDescent="0.3">
      <c r="A280" t="s">
        <v>449</v>
      </c>
      <c r="B280" t="s">
        <v>476</v>
      </c>
      <c r="C280" t="s">
        <v>478</v>
      </c>
      <c r="D280" s="7">
        <v>325</v>
      </c>
      <c r="E280">
        <v>2019</v>
      </c>
      <c r="F280">
        <v>2021</v>
      </c>
      <c r="G280" t="str">
        <f>IFERROR(INDEX(Formulations[Formulation],MATCH($C280,Formulations[Product Code],0)),"")</f>
        <v>Pure</v>
      </c>
    </row>
    <row r="281" spans="1:7" x14ac:dyDescent="0.3">
      <c r="A281" t="s">
        <v>1439</v>
      </c>
      <c r="B281" t="s">
        <v>64</v>
      </c>
      <c r="C281" t="s">
        <v>65</v>
      </c>
      <c r="D281" s="7">
        <v>325</v>
      </c>
      <c r="E281">
        <v>2016</v>
      </c>
      <c r="F281">
        <v>2020</v>
      </c>
      <c r="G281" t="str">
        <f>IFERROR(INDEX(Formulations[Formulation],MATCH($C281,Formulations[Product Code],0)),"")</f>
        <v>Crystal</v>
      </c>
    </row>
    <row r="282" spans="1:7" x14ac:dyDescent="0.3">
      <c r="A282" t="s">
        <v>1675</v>
      </c>
      <c r="B282" t="s">
        <v>438</v>
      </c>
      <c r="C282" t="s">
        <v>439</v>
      </c>
      <c r="D282" s="7">
        <v>325</v>
      </c>
      <c r="E282">
        <v>2016</v>
      </c>
      <c r="F282">
        <v>2017</v>
      </c>
      <c r="G282" t="str">
        <f>IFERROR(INDEX(Formulations[Formulation],MATCH($C282,Formulations[Product Code],0)),"")</f>
        <v>Pure</v>
      </c>
    </row>
    <row r="283" spans="1:7" x14ac:dyDescent="0.3">
      <c r="A283" t="s">
        <v>1895</v>
      </c>
      <c r="B283" t="s">
        <v>467</v>
      </c>
      <c r="C283" t="s">
        <v>468</v>
      </c>
      <c r="D283" s="7">
        <v>325</v>
      </c>
      <c r="E283">
        <v>2019</v>
      </c>
      <c r="F283">
        <v>2021</v>
      </c>
      <c r="G283" t="str">
        <f>IFERROR(INDEX(Formulations[Formulation],MATCH($C283,Formulations[Product Code],0)),"")</f>
        <v>Crystal</v>
      </c>
    </row>
    <row r="284" spans="1:7" x14ac:dyDescent="0.3">
      <c r="A284" t="s">
        <v>1906</v>
      </c>
      <c r="B284" t="s">
        <v>485</v>
      </c>
      <c r="C284" t="s">
        <v>486</v>
      </c>
      <c r="D284" s="7">
        <v>325</v>
      </c>
      <c r="E284">
        <v>2014</v>
      </c>
      <c r="F284">
        <v>2020</v>
      </c>
      <c r="G284" t="str">
        <f>IFERROR(INDEX(Formulations[Formulation],MATCH($C284,Formulations[Product Code],0)),"")</f>
        <v>Pure</v>
      </c>
    </row>
    <row r="285" spans="1:7" x14ac:dyDescent="0.3">
      <c r="A285" t="s">
        <v>2030</v>
      </c>
      <c r="B285" t="s">
        <v>777</v>
      </c>
      <c r="C285" t="s">
        <v>63</v>
      </c>
      <c r="D285" s="7">
        <v>325</v>
      </c>
      <c r="E285">
        <v>2016</v>
      </c>
      <c r="F285">
        <v>2020</v>
      </c>
      <c r="G285" t="str">
        <f>IFERROR(INDEX(Formulations[Formulation],MATCH($C285,Formulations[Product Code],0)),"")</f>
        <v>Crystal</v>
      </c>
    </row>
    <row r="286" spans="1:7" x14ac:dyDescent="0.3">
      <c r="A286" t="s">
        <v>2232</v>
      </c>
      <c r="B286" t="s">
        <v>26</v>
      </c>
      <c r="C286" t="s">
        <v>27</v>
      </c>
      <c r="D286" s="7">
        <v>325</v>
      </c>
      <c r="E286">
        <v>2016</v>
      </c>
      <c r="F286">
        <v>2017</v>
      </c>
      <c r="G286" t="str">
        <f>IFERROR(INDEX(Formulations[Formulation],MATCH($C286,Formulations[Product Code],0)),"")</f>
        <v>FLOURAMAX A270578/ P782894</v>
      </c>
    </row>
    <row r="287" spans="1:7" x14ac:dyDescent="0.3">
      <c r="A287" t="s">
        <v>2529</v>
      </c>
      <c r="B287" t="s">
        <v>12</v>
      </c>
      <c r="C287" t="s">
        <v>13</v>
      </c>
      <c r="D287" s="7">
        <v>325</v>
      </c>
      <c r="E287">
        <v>2020</v>
      </c>
      <c r="F287">
        <v>2020</v>
      </c>
      <c r="G287" t="str">
        <f>IFERROR(INDEX(Formulations[Formulation],MATCH($C287,Formulations[Product Code],0)),"")</f>
        <v>Crystal</v>
      </c>
    </row>
    <row r="288" spans="1:7" x14ac:dyDescent="0.3">
      <c r="A288" t="s">
        <v>2531</v>
      </c>
      <c r="B288" t="s">
        <v>68</v>
      </c>
      <c r="C288" t="s">
        <v>69</v>
      </c>
      <c r="D288" s="7">
        <v>325</v>
      </c>
      <c r="E288">
        <v>2013</v>
      </c>
      <c r="F288">
        <v>2017</v>
      </c>
      <c r="G288" t="str">
        <f>IFERROR(INDEX(Formulations[Formulation],MATCH($C288,Formulations[Product Code],0)),"")</f>
        <v>Silver</v>
      </c>
    </row>
    <row r="289" spans="1:7" x14ac:dyDescent="0.3">
      <c r="A289" t="s">
        <v>1871</v>
      </c>
      <c r="B289" t="s">
        <v>1821</v>
      </c>
      <c r="D289" s="7">
        <v>322.5</v>
      </c>
      <c r="E289">
        <v>2016</v>
      </c>
      <c r="F289">
        <v>2021</v>
      </c>
      <c r="G289" t="str">
        <f>IFERROR(INDEX(Formulations[Formulation],MATCH($C289,Formulations[Product Code],0)),"")</f>
        <v/>
      </c>
    </row>
    <row r="290" spans="1:7" x14ac:dyDescent="0.3">
      <c r="A290" t="s">
        <v>2461</v>
      </c>
      <c r="B290" t="s">
        <v>32</v>
      </c>
      <c r="D290" s="7">
        <v>321</v>
      </c>
      <c r="E290">
        <v>2015</v>
      </c>
      <c r="F290">
        <v>2020</v>
      </c>
      <c r="G290" t="str">
        <f>IFERROR(INDEX(Formulations[Formulation],MATCH($C290,Formulations[Product Code],0)),"")</f>
        <v/>
      </c>
    </row>
    <row r="291" spans="1:7" x14ac:dyDescent="0.3">
      <c r="A291" t="s">
        <v>1799</v>
      </c>
      <c r="B291" t="s">
        <v>624</v>
      </c>
      <c r="C291" t="s">
        <v>625</v>
      </c>
      <c r="D291" s="7">
        <v>320</v>
      </c>
      <c r="E291">
        <v>2014</v>
      </c>
      <c r="F291">
        <v>2020</v>
      </c>
      <c r="G291" t="str">
        <f>IFERROR(INDEX(Formulations[Formulation],MATCH($C291,Formulations[Product Code],0)),"")</f>
        <v>Crystal</v>
      </c>
    </row>
    <row r="292" spans="1:7" x14ac:dyDescent="0.3">
      <c r="A292" t="s">
        <v>2069</v>
      </c>
      <c r="B292" t="s">
        <v>2072</v>
      </c>
      <c r="C292" t="s">
        <v>136</v>
      </c>
      <c r="D292" s="7">
        <v>320</v>
      </c>
      <c r="E292">
        <v>2016</v>
      </c>
      <c r="F292">
        <v>2018</v>
      </c>
      <c r="G292" t="str">
        <f>IFERROR(INDEX(Formulations[Formulation],MATCH($C292,Formulations[Product Code],0)),"")</f>
        <v/>
      </c>
    </row>
    <row r="293" spans="1:7" x14ac:dyDescent="0.3">
      <c r="A293" t="s">
        <v>781</v>
      </c>
      <c r="B293" t="s">
        <v>117</v>
      </c>
      <c r="C293" t="s">
        <v>118</v>
      </c>
      <c r="D293" s="7">
        <v>310</v>
      </c>
      <c r="E293">
        <v>2019</v>
      </c>
      <c r="F293">
        <v>2021</v>
      </c>
      <c r="G293" t="str">
        <f>IFERROR(INDEX(Formulations[Formulation],MATCH($C293,Formulations[Product Code],0)),"")</f>
        <v>Silver</v>
      </c>
    </row>
    <row r="294" spans="1:7" x14ac:dyDescent="0.3">
      <c r="A294" t="s">
        <v>2130</v>
      </c>
      <c r="B294" t="s">
        <v>252</v>
      </c>
      <c r="C294" t="s">
        <v>191</v>
      </c>
      <c r="D294" s="7">
        <v>310</v>
      </c>
      <c r="E294">
        <v>2018</v>
      </c>
      <c r="F294">
        <v>2021</v>
      </c>
      <c r="G294" t="str">
        <f>IFERROR(INDEX(Formulations[Formulation],MATCH($C294,Formulations[Product Code],0)),"")</f>
        <v>Pure</v>
      </c>
    </row>
    <row r="295" spans="1:7" x14ac:dyDescent="0.3">
      <c r="A295" t="s">
        <v>695</v>
      </c>
      <c r="B295" t="s">
        <v>41</v>
      </c>
      <c r="C295" t="s">
        <v>42</v>
      </c>
      <c r="D295" s="7">
        <v>307</v>
      </c>
      <c r="E295">
        <v>2011</v>
      </c>
      <c r="F295">
        <v>2016</v>
      </c>
      <c r="G295" t="str">
        <f>IFERROR(INDEX(Formulations[Formulation],MATCH($C295,Formulations[Product Code],0)),"")</f>
        <v/>
      </c>
    </row>
    <row r="296" spans="1:7" x14ac:dyDescent="0.3">
      <c r="A296" t="s">
        <v>1675</v>
      </c>
      <c r="B296" t="s">
        <v>1454</v>
      </c>
      <c r="C296" t="s">
        <v>1126</v>
      </c>
      <c r="D296" s="7">
        <v>305</v>
      </c>
      <c r="E296">
        <v>2015</v>
      </c>
      <c r="F296">
        <v>2016</v>
      </c>
      <c r="G296" t="str">
        <f>IFERROR(INDEX(Formulations[Formulation],MATCH($C296,Formulations[Product Code],0)),"")</f>
        <v/>
      </c>
    </row>
    <row r="297" spans="1:7" x14ac:dyDescent="0.3">
      <c r="A297" t="s">
        <v>2043</v>
      </c>
      <c r="B297" t="s">
        <v>828</v>
      </c>
      <c r="D297" s="7">
        <v>305</v>
      </c>
      <c r="E297">
        <v>2016</v>
      </c>
      <c r="F297">
        <v>2017</v>
      </c>
      <c r="G297" t="str">
        <f>IFERROR(INDEX(Formulations[Formulation],MATCH($C297,Formulations[Product Code],0)),"")</f>
        <v/>
      </c>
    </row>
    <row r="298" spans="1:7" x14ac:dyDescent="0.3">
      <c r="A298" t="s">
        <v>1906</v>
      </c>
      <c r="B298" t="s">
        <v>37</v>
      </c>
      <c r="D298" s="7">
        <v>302.25</v>
      </c>
      <c r="E298">
        <v>2017</v>
      </c>
      <c r="F298">
        <v>2021</v>
      </c>
      <c r="G298" t="str">
        <f>IFERROR(INDEX(Formulations[Formulation],MATCH($C298,Formulations[Product Code],0)),"")</f>
        <v/>
      </c>
    </row>
    <row r="299" spans="1:7" x14ac:dyDescent="0.3">
      <c r="A299" t="s">
        <v>449</v>
      </c>
      <c r="B299" t="s">
        <v>16</v>
      </c>
      <c r="C299" t="s">
        <v>17</v>
      </c>
      <c r="D299" s="7">
        <v>300</v>
      </c>
      <c r="E299">
        <v>2015</v>
      </c>
      <c r="F299">
        <v>2017</v>
      </c>
      <c r="G299" t="str">
        <f>IFERROR(INDEX(Formulations[Formulation],MATCH($C299,Formulations[Product Code],0)),"")</f>
        <v>Crystal</v>
      </c>
    </row>
    <row r="300" spans="1:7" x14ac:dyDescent="0.3">
      <c r="A300" t="s">
        <v>695</v>
      </c>
      <c r="B300" t="s">
        <v>26</v>
      </c>
      <c r="C300" t="s">
        <v>27</v>
      </c>
      <c r="D300" s="7">
        <v>300</v>
      </c>
      <c r="E300">
        <v>2014</v>
      </c>
      <c r="F300">
        <v>2016</v>
      </c>
      <c r="G300" t="str">
        <f>IFERROR(INDEX(Formulations[Formulation],MATCH($C300,Formulations[Product Code],0)),"")</f>
        <v>FLOURAMAX A270578/ P782894</v>
      </c>
    </row>
    <row r="301" spans="1:7" x14ac:dyDescent="0.3">
      <c r="A301" t="s">
        <v>1102</v>
      </c>
      <c r="B301" t="s">
        <v>567</v>
      </c>
      <c r="C301" t="s">
        <v>698</v>
      </c>
      <c r="D301" s="7">
        <v>300</v>
      </c>
      <c r="E301">
        <v>2019</v>
      </c>
      <c r="F301">
        <v>2019</v>
      </c>
      <c r="G301" t="str">
        <f>IFERROR(INDEX(Formulations[Formulation],MATCH($C301,Formulations[Product Code],0)),"")</f>
        <v>Crystal</v>
      </c>
    </row>
    <row r="302" spans="1:7" x14ac:dyDescent="0.3">
      <c r="A302" t="s">
        <v>1102</v>
      </c>
      <c r="B302" t="s">
        <v>681</v>
      </c>
      <c r="C302" t="s">
        <v>682</v>
      </c>
      <c r="D302" s="7">
        <v>300</v>
      </c>
      <c r="E302">
        <v>2019</v>
      </c>
      <c r="F302">
        <v>2019</v>
      </c>
      <c r="G302" t="str">
        <f>IFERROR(INDEX(Formulations[Formulation],MATCH($C302,Formulations[Product Code],0)),"")</f>
        <v/>
      </c>
    </row>
    <row r="303" spans="1:7" x14ac:dyDescent="0.3">
      <c r="A303" t="s">
        <v>1116</v>
      </c>
      <c r="B303" t="s">
        <v>21</v>
      </c>
      <c r="C303" t="s">
        <v>22</v>
      </c>
      <c r="D303" s="7">
        <v>300</v>
      </c>
      <c r="E303">
        <v>2009</v>
      </c>
      <c r="F303">
        <v>2014</v>
      </c>
      <c r="G303" t="str">
        <f>IFERROR(INDEX(Formulations[Formulation],MATCH($C303,Formulations[Product Code],0)),"")</f>
        <v>Crystal</v>
      </c>
    </row>
    <row r="304" spans="1:7" x14ac:dyDescent="0.3">
      <c r="A304" t="s">
        <v>1439</v>
      </c>
      <c r="B304" t="s">
        <v>686</v>
      </c>
      <c r="C304" t="s">
        <v>687</v>
      </c>
      <c r="D304" s="7">
        <v>300</v>
      </c>
      <c r="E304">
        <v>2020</v>
      </c>
      <c r="F304">
        <v>2020</v>
      </c>
      <c r="G304" t="str">
        <f>IFERROR(INDEX(Formulations[Formulation],MATCH($C304,Formulations[Product Code],0)),"")</f>
        <v>Pure</v>
      </c>
    </row>
    <row r="305" spans="1:7" x14ac:dyDescent="0.3">
      <c r="A305" t="s">
        <v>1664</v>
      </c>
      <c r="B305" t="s">
        <v>314</v>
      </c>
      <c r="C305" t="s">
        <v>315</v>
      </c>
      <c r="D305" s="7">
        <v>300</v>
      </c>
      <c r="E305">
        <v>2017</v>
      </c>
      <c r="F305">
        <v>2017</v>
      </c>
      <c r="G305" t="str">
        <f>IFERROR(INDEX(Formulations[Formulation],MATCH($C305,Formulations[Product Code],0)),"")</f>
        <v/>
      </c>
    </row>
    <row r="306" spans="1:7" x14ac:dyDescent="0.3">
      <c r="A306" t="s">
        <v>1690</v>
      </c>
      <c r="B306" t="s">
        <v>41</v>
      </c>
      <c r="C306" t="s">
        <v>63</v>
      </c>
      <c r="D306" s="7">
        <v>300</v>
      </c>
      <c r="E306">
        <v>2017</v>
      </c>
      <c r="F306">
        <v>2018</v>
      </c>
      <c r="G306" t="str">
        <f>IFERROR(INDEX(Formulations[Formulation],MATCH($C306,Formulations[Product Code],0)),"")</f>
        <v>Crystal</v>
      </c>
    </row>
    <row r="307" spans="1:7" x14ac:dyDescent="0.3">
      <c r="A307" t="s">
        <v>1760</v>
      </c>
      <c r="B307" t="s">
        <v>631</v>
      </c>
      <c r="C307" t="s">
        <v>632</v>
      </c>
      <c r="D307" s="7">
        <v>300</v>
      </c>
      <c r="E307">
        <v>2016</v>
      </c>
      <c r="F307">
        <v>2019</v>
      </c>
      <c r="G307" t="str">
        <f>IFERROR(INDEX(Formulations[Formulation],MATCH($C307,Formulations[Product Code],0)),"")</f>
        <v/>
      </c>
    </row>
    <row r="308" spans="1:7" x14ac:dyDescent="0.3">
      <c r="A308" t="s">
        <v>1808</v>
      </c>
      <c r="B308" t="s">
        <v>777</v>
      </c>
      <c r="C308" t="s">
        <v>63</v>
      </c>
      <c r="D308" s="7">
        <v>300</v>
      </c>
      <c r="E308">
        <v>2016</v>
      </c>
      <c r="F308">
        <v>2016</v>
      </c>
      <c r="G308" t="str">
        <f>IFERROR(INDEX(Formulations[Formulation],MATCH($C308,Formulations[Product Code],0)),"")</f>
        <v>Crystal</v>
      </c>
    </row>
    <row r="309" spans="1:7" x14ac:dyDescent="0.3">
      <c r="A309" t="s">
        <v>1808</v>
      </c>
      <c r="B309" t="s">
        <v>1446</v>
      </c>
      <c r="C309" t="s">
        <v>814</v>
      </c>
      <c r="D309" s="7">
        <v>300</v>
      </c>
      <c r="E309">
        <v>2016</v>
      </c>
      <c r="F309">
        <v>2017</v>
      </c>
      <c r="G309" t="str">
        <f>IFERROR(INDEX(Formulations[Formulation],MATCH($C309,Formulations[Product Code],0)),"")</f>
        <v>WS</v>
      </c>
    </row>
    <row r="310" spans="1:7" x14ac:dyDescent="0.3">
      <c r="A310" t="s">
        <v>1881</v>
      </c>
      <c r="B310" t="s">
        <v>589</v>
      </c>
      <c r="C310" t="s">
        <v>590</v>
      </c>
      <c r="D310" s="7">
        <v>300</v>
      </c>
      <c r="E310">
        <v>2020</v>
      </c>
      <c r="F310">
        <v>2020</v>
      </c>
      <c r="G310" t="str">
        <f>IFERROR(INDEX(Formulations[Formulation],MATCH($C310,Formulations[Product Code],0)),"")</f>
        <v>Bakhur : A285878- 90%, A243761-10%</v>
      </c>
    </row>
    <row r="311" spans="1:7" x14ac:dyDescent="0.3">
      <c r="A311" t="s">
        <v>2020</v>
      </c>
      <c r="B311" t="s">
        <v>46</v>
      </c>
      <c r="C311" t="s">
        <v>47</v>
      </c>
      <c r="D311" s="7">
        <v>300</v>
      </c>
      <c r="E311">
        <v>2017</v>
      </c>
      <c r="F311">
        <v>2019</v>
      </c>
      <c r="G311" t="str">
        <f>IFERROR(INDEX(Formulations[Formulation],MATCH($C311,Formulations[Product Code],0)),"")</f>
        <v/>
      </c>
    </row>
    <row r="312" spans="1:7" x14ac:dyDescent="0.3">
      <c r="A312" t="s">
        <v>2043</v>
      </c>
      <c r="B312" t="s">
        <v>21</v>
      </c>
      <c r="C312" t="s">
        <v>22</v>
      </c>
      <c r="D312" s="7">
        <v>300</v>
      </c>
      <c r="E312">
        <v>2015</v>
      </c>
      <c r="F312">
        <v>2016</v>
      </c>
      <c r="G312" t="str">
        <f>IFERROR(INDEX(Formulations[Formulation],MATCH($C312,Formulations[Product Code],0)),"")</f>
        <v>Crystal</v>
      </c>
    </row>
    <row r="313" spans="1:7" x14ac:dyDescent="0.3">
      <c r="A313" t="s">
        <v>2095</v>
      </c>
      <c r="B313" t="s">
        <v>26</v>
      </c>
      <c r="C313" t="s">
        <v>27</v>
      </c>
      <c r="D313" s="7">
        <v>300</v>
      </c>
      <c r="E313">
        <v>2019</v>
      </c>
      <c r="F313">
        <v>2019</v>
      </c>
      <c r="G313" t="str">
        <f>IFERROR(INDEX(Formulations[Formulation],MATCH($C313,Formulations[Product Code],0)),"")</f>
        <v>FLOURAMAX A270578/ P782894</v>
      </c>
    </row>
    <row r="314" spans="1:7" x14ac:dyDescent="0.3">
      <c r="A314" t="s">
        <v>2185</v>
      </c>
      <c r="B314" t="s">
        <v>32</v>
      </c>
      <c r="D314" s="7">
        <v>300</v>
      </c>
      <c r="E314">
        <v>2013</v>
      </c>
      <c r="F314">
        <v>2019</v>
      </c>
      <c r="G314" t="str">
        <f>IFERROR(INDEX(Formulations[Formulation],MATCH($C314,Formulations[Product Code],0)),"")</f>
        <v/>
      </c>
    </row>
    <row r="315" spans="1:7" x14ac:dyDescent="0.3">
      <c r="A315" t="s">
        <v>2209</v>
      </c>
      <c r="B315" t="s">
        <v>674</v>
      </c>
      <c r="C315" t="s">
        <v>675</v>
      </c>
      <c r="D315" s="7">
        <v>300</v>
      </c>
      <c r="E315">
        <v>2020</v>
      </c>
      <c r="F315">
        <v>2021</v>
      </c>
      <c r="G315" t="str">
        <f>IFERROR(INDEX(Formulations[Formulation],MATCH($C315,Formulations[Product Code],0)),"")</f>
        <v>Crystal</v>
      </c>
    </row>
    <row r="316" spans="1:7" x14ac:dyDescent="0.3">
      <c r="A316" t="s">
        <v>2266</v>
      </c>
      <c r="B316" t="s">
        <v>278</v>
      </c>
      <c r="C316" t="s">
        <v>2269</v>
      </c>
      <c r="D316" s="7">
        <v>300</v>
      </c>
      <c r="E316">
        <v>2010</v>
      </c>
      <c r="F316">
        <v>2011</v>
      </c>
      <c r="G316" t="str">
        <f>IFERROR(INDEX(Formulations[Formulation],MATCH($C316,Formulations[Product Code],0)),"")</f>
        <v/>
      </c>
    </row>
    <row r="317" spans="1:7" x14ac:dyDescent="0.3">
      <c r="A317" t="s">
        <v>2294</v>
      </c>
      <c r="B317" t="s">
        <v>32</v>
      </c>
      <c r="D317" s="7">
        <v>300</v>
      </c>
      <c r="E317">
        <v>2017</v>
      </c>
      <c r="F317">
        <v>2019</v>
      </c>
      <c r="G317" t="str">
        <f>IFERROR(INDEX(Formulations[Formulation],MATCH($C317,Formulations[Product Code],0)),"")</f>
        <v/>
      </c>
    </row>
    <row r="318" spans="1:7" x14ac:dyDescent="0.3">
      <c r="A318" t="s">
        <v>2301</v>
      </c>
      <c r="B318" t="s">
        <v>269</v>
      </c>
      <c r="C318" t="s">
        <v>270</v>
      </c>
      <c r="D318" s="7">
        <v>300</v>
      </c>
      <c r="E318">
        <v>2017</v>
      </c>
      <c r="F318">
        <v>2019</v>
      </c>
      <c r="G318" t="str">
        <f>IFERROR(INDEX(Formulations[Formulation],MATCH($C318,Formulations[Product Code],0)),"")</f>
        <v>Pure</v>
      </c>
    </row>
    <row r="319" spans="1:7" x14ac:dyDescent="0.3">
      <c r="A319" t="s">
        <v>2563</v>
      </c>
      <c r="B319" t="s">
        <v>41</v>
      </c>
      <c r="C319" t="s">
        <v>908</v>
      </c>
      <c r="D319" s="7">
        <v>300</v>
      </c>
      <c r="E319">
        <v>2010</v>
      </c>
      <c r="F319">
        <v>2011</v>
      </c>
      <c r="G319" t="str">
        <f>IFERROR(INDEX(Formulations[Formulation],MATCH($C319,Formulations[Product Code],0)),"")</f>
        <v/>
      </c>
    </row>
    <row r="320" spans="1:7" x14ac:dyDescent="0.3">
      <c r="A320" t="s">
        <v>2577</v>
      </c>
      <c r="B320" t="s">
        <v>41</v>
      </c>
      <c r="C320" t="s">
        <v>63</v>
      </c>
      <c r="D320" s="7">
        <v>300</v>
      </c>
      <c r="E320">
        <v>2017</v>
      </c>
      <c r="F320">
        <v>2018</v>
      </c>
      <c r="G320" t="str">
        <f>IFERROR(INDEX(Formulations[Formulation],MATCH($C320,Formulations[Product Code],0)),"")</f>
        <v>Crystal</v>
      </c>
    </row>
    <row r="321" spans="1:7" x14ac:dyDescent="0.3">
      <c r="A321" t="s">
        <v>1374</v>
      </c>
      <c r="B321" t="s">
        <v>19</v>
      </c>
      <c r="C321" t="s">
        <v>20</v>
      </c>
      <c r="D321" s="7">
        <v>295</v>
      </c>
      <c r="E321">
        <v>2017</v>
      </c>
      <c r="F321">
        <v>2020</v>
      </c>
      <c r="G321" t="str">
        <f>IFERROR(INDEX(Formulations[Formulation],MATCH($C321,Formulations[Product Code],0)),"")</f>
        <v>80 % Oil AND 20 % DPG</v>
      </c>
    </row>
    <row r="322" spans="1:7" x14ac:dyDescent="0.3">
      <c r="A322" t="s">
        <v>2302</v>
      </c>
      <c r="B322" t="s">
        <v>297</v>
      </c>
      <c r="C322" t="s">
        <v>298</v>
      </c>
      <c r="D322" s="7">
        <v>295</v>
      </c>
      <c r="E322">
        <v>2013</v>
      </c>
      <c r="F322">
        <v>2019</v>
      </c>
      <c r="G322" t="str">
        <f>IFERROR(INDEX(Formulations[Formulation],MATCH($C322,Formulations[Product Code],0)),"")</f>
        <v>Pure</v>
      </c>
    </row>
    <row r="323" spans="1:7" x14ac:dyDescent="0.3">
      <c r="A323" t="s">
        <v>2346</v>
      </c>
      <c r="B323" t="s">
        <v>708</v>
      </c>
      <c r="C323" t="s">
        <v>477</v>
      </c>
      <c r="D323" s="7">
        <v>295</v>
      </c>
      <c r="E323">
        <v>2018</v>
      </c>
      <c r="F323">
        <v>2019</v>
      </c>
      <c r="G323" t="str">
        <f>IFERROR(INDEX(Formulations[Formulation],MATCH($C323,Formulations[Product Code],0)),"")</f>
        <v/>
      </c>
    </row>
    <row r="324" spans="1:7" x14ac:dyDescent="0.3">
      <c r="A324" t="s">
        <v>327</v>
      </c>
      <c r="B324" t="s">
        <v>135</v>
      </c>
      <c r="C324" t="s">
        <v>136</v>
      </c>
      <c r="D324" s="7">
        <v>290</v>
      </c>
      <c r="E324">
        <v>2014</v>
      </c>
      <c r="F324">
        <v>2015</v>
      </c>
      <c r="G324" t="str">
        <f>IFERROR(INDEX(Formulations[Formulation],MATCH($C324,Formulations[Product Code],0)),"")</f>
        <v/>
      </c>
    </row>
    <row r="325" spans="1:7" x14ac:dyDescent="0.3">
      <c r="A325" t="s">
        <v>1668</v>
      </c>
      <c r="B325" t="s">
        <v>828</v>
      </c>
      <c r="D325" s="7">
        <v>290</v>
      </c>
      <c r="E325">
        <v>2016</v>
      </c>
      <c r="F325">
        <v>2017</v>
      </c>
      <c r="G325" t="str">
        <f>IFERROR(INDEX(Formulations[Formulation],MATCH($C325,Formulations[Product Code],0)),"")</f>
        <v/>
      </c>
    </row>
    <row r="326" spans="1:7" x14ac:dyDescent="0.3">
      <c r="A326" t="s">
        <v>1832</v>
      </c>
      <c r="B326" t="s">
        <v>828</v>
      </c>
      <c r="D326" s="7">
        <v>290</v>
      </c>
      <c r="E326">
        <v>2016</v>
      </c>
      <c r="F326">
        <v>2018</v>
      </c>
      <c r="G326" t="str">
        <f>IFERROR(INDEX(Formulations[Formulation],MATCH($C326,Formulations[Product Code],0)),"")</f>
        <v/>
      </c>
    </row>
    <row r="327" spans="1:7" x14ac:dyDescent="0.3">
      <c r="A327" t="s">
        <v>1933</v>
      </c>
      <c r="B327" t="s">
        <v>196</v>
      </c>
      <c r="C327" t="s">
        <v>197</v>
      </c>
      <c r="D327" s="7">
        <v>290</v>
      </c>
      <c r="E327">
        <v>2018</v>
      </c>
      <c r="F327">
        <v>2019</v>
      </c>
      <c r="G327" t="str">
        <f>IFERROR(INDEX(Formulations[Formulation],MATCH($C327,Formulations[Product Code],0)),"")</f>
        <v/>
      </c>
    </row>
    <row r="328" spans="1:7" x14ac:dyDescent="0.3">
      <c r="A328" t="s">
        <v>2209</v>
      </c>
      <c r="B328" t="s">
        <v>567</v>
      </c>
      <c r="C328" t="s">
        <v>698</v>
      </c>
      <c r="D328" s="7">
        <v>290</v>
      </c>
      <c r="E328">
        <v>2019</v>
      </c>
      <c r="F328">
        <v>2021</v>
      </c>
      <c r="G328" t="str">
        <f>IFERROR(INDEX(Formulations[Formulation],MATCH($C328,Formulations[Product Code],0)),"")</f>
        <v>Crystal</v>
      </c>
    </row>
    <row r="329" spans="1:7" x14ac:dyDescent="0.3">
      <c r="A329" t="s">
        <v>2337</v>
      </c>
      <c r="B329" t="s">
        <v>19</v>
      </c>
      <c r="C329" t="s">
        <v>20</v>
      </c>
      <c r="D329" s="7">
        <v>290</v>
      </c>
      <c r="E329">
        <v>2016</v>
      </c>
      <c r="F329">
        <v>2016</v>
      </c>
      <c r="G329" t="str">
        <f>IFERROR(INDEX(Formulations[Formulation],MATCH($C329,Formulations[Product Code],0)),"")</f>
        <v>80 % Oil AND 20 % DPG</v>
      </c>
    </row>
    <row r="330" spans="1:7" x14ac:dyDescent="0.3">
      <c r="A330" t="s">
        <v>1116</v>
      </c>
      <c r="B330" t="s">
        <v>19</v>
      </c>
      <c r="C330" t="s">
        <v>20</v>
      </c>
      <c r="D330" s="7">
        <v>289.39999999999998</v>
      </c>
      <c r="E330">
        <v>2012</v>
      </c>
      <c r="F330">
        <v>2020</v>
      </c>
      <c r="G330" t="str">
        <f>IFERROR(INDEX(Formulations[Formulation],MATCH($C330,Formulations[Product Code],0)),"")</f>
        <v>80 % Oil AND 20 % DPG</v>
      </c>
    </row>
    <row r="331" spans="1:7" x14ac:dyDescent="0.3">
      <c r="A331" t="s">
        <v>1658</v>
      </c>
      <c r="B331" t="s">
        <v>26</v>
      </c>
      <c r="C331" t="s">
        <v>27</v>
      </c>
      <c r="D331" s="7">
        <v>285</v>
      </c>
      <c r="E331">
        <v>2016</v>
      </c>
      <c r="F331">
        <v>2016</v>
      </c>
      <c r="G331" t="str">
        <f>IFERROR(INDEX(Formulations[Formulation],MATCH($C331,Formulations[Product Code],0)),"")</f>
        <v>FLOURAMAX A270578/ P782894</v>
      </c>
    </row>
    <row r="332" spans="1:7" x14ac:dyDescent="0.3">
      <c r="A332" t="s">
        <v>1743</v>
      </c>
      <c r="B332" t="s">
        <v>46</v>
      </c>
      <c r="C332" t="s">
        <v>47</v>
      </c>
      <c r="D332" s="7">
        <v>285</v>
      </c>
      <c r="E332">
        <v>2017</v>
      </c>
      <c r="F332">
        <v>2019</v>
      </c>
      <c r="G332" t="str">
        <f>IFERROR(INDEX(Formulations[Formulation],MATCH($C332,Formulations[Product Code],0)),"")</f>
        <v/>
      </c>
    </row>
    <row r="333" spans="1:7" x14ac:dyDescent="0.3">
      <c r="A333" t="s">
        <v>2475</v>
      </c>
      <c r="B333" t="s">
        <v>2478</v>
      </c>
      <c r="C333" t="s">
        <v>2479</v>
      </c>
      <c r="D333" s="7">
        <v>285</v>
      </c>
      <c r="E333">
        <v>2010</v>
      </c>
      <c r="F333">
        <v>2015</v>
      </c>
      <c r="G333" t="str">
        <f>IFERROR(INDEX(Formulations[Formulation],MATCH($C333,Formulations[Product Code],0)),"")</f>
        <v/>
      </c>
    </row>
    <row r="334" spans="1:7" x14ac:dyDescent="0.3">
      <c r="A334" t="s">
        <v>712</v>
      </c>
      <c r="B334" t="s">
        <v>706</v>
      </c>
      <c r="C334" t="s">
        <v>707</v>
      </c>
      <c r="D334" s="7">
        <v>280</v>
      </c>
      <c r="E334">
        <v>2016</v>
      </c>
      <c r="F334">
        <v>2019</v>
      </c>
      <c r="G334" t="str">
        <f>IFERROR(INDEX(Formulations[Formulation],MATCH($C334,Formulations[Product Code],0)),"")</f>
        <v/>
      </c>
    </row>
    <row r="335" spans="1:7" x14ac:dyDescent="0.3">
      <c r="A335" t="s">
        <v>2309</v>
      </c>
      <c r="B335" t="s">
        <v>32</v>
      </c>
      <c r="D335" s="7">
        <v>280</v>
      </c>
      <c r="E335">
        <v>2016</v>
      </c>
      <c r="F335">
        <v>2019</v>
      </c>
      <c r="G335" t="str">
        <f>IFERROR(INDEX(Formulations[Formulation],MATCH($C335,Formulations[Product Code],0)),"")</f>
        <v/>
      </c>
    </row>
    <row r="336" spans="1:7" x14ac:dyDescent="0.3">
      <c r="A336" t="s">
        <v>2337</v>
      </c>
      <c r="B336" t="s">
        <v>32</v>
      </c>
      <c r="D336" s="7">
        <v>280</v>
      </c>
      <c r="E336">
        <v>2015</v>
      </c>
      <c r="F336">
        <v>2019</v>
      </c>
      <c r="G336" t="str">
        <f>IFERROR(INDEX(Formulations[Formulation],MATCH($C336,Formulations[Product Code],0)),"")</f>
        <v/>
      </c>
    </row>
    <row r="337" spans="1:7" x14ac:dyDescent="0.3">
      <c r="A337" t="s">
        <v>2354</v>
      </c>
      <c r="B337" t="s">
        <v>12</v>
      </c>
      <c r="C337" t="s">
        <v>13</v>
      </c>
      <c r="D337" s="7">
        <v>280</v>
      </c>
      <c r="E337">
        <v>2018</v>
      </c>
      <c r="F337">
        <v>2021</v>
      </c>
      <c r="G337" t="str">
        <f>IFERROR(INDEX(Formulations[Formulation],MATCH($C337,Formulations[Product Code],0)),"")</f>
        <v>Crystal</v>
      </c>
    </row>
    <row r="338" spans="1:7" x14ac:dyDescent="0.3">
      <c r="A338" t="s">
        <v>2581</v>
      </c>
      <c r="B338" t="s">
        <v>41</v>
      </c>
      <c r="C338" t="s">
        <v>42</v>
      </c>
      <c r="D338" s="7">
        <v>276</v>
      </c>
      <c r="E338">
        <v>2011</v>
      </c>
      <c r="F338">
        <v>2017</v>
      </c>
      <c r="G338" t="str">
        <f>IFERROR(INDEX(Formulations[Formulation],MATCH($C338,Formulations[Product Code],0)),"")</f>
        <v/>
      </c>
    </row>
    <row r="339" spans="1:7" x14ac:dyDescent="0.3">
      <c r="A339" t="s">
        <v>449</v>
      </c>
      <c r="B339" t="s">
        <v>314</v>
      </c>
      <c r="C339" t="s">
        <v>315</v>
      </c>
      <c r="D339" s="7">
        <v>275</v>
      </c>
      <c r="E339">
        <v>2011</v>
      </c>
      <c r="F339">
        <v>2014</v>
      </c>
      <c r="G339" t="str">
        <f>IFERROR(INDEX(Formulations[Formulation],MATCH($C339,Formulations[Product Code],0)),"")</f>
        <v/>
      </c>
    </row>
    <row r="340" spans="1:7" x14ac:dyDescent="0.3">
      <c r="A340" t="s">
        <v>712</v>
      </c>
      <c r="B340" t="s">
        <v>716</v>
      </c>
      <c r="C340" t="s">
        <v>717</v>
      </c>
      <c r="D340" s="7">
        <v>275</v>
      </c>
      <c r="E340">
        <v>2018</v>
      </c>
      <c r="F340">
        <v>2021</v>
      </c>
      <c r="G340" t="str">
        <f>IFERROR(INDEX(Formulations[Formulation],MATCH($C340,Formulations[Product Code],0)),"")</f>
        <v>Pure</v>
      </c>
    </row>
    <row r="341" spans="1:7" x14ac:dyDescent="0.3">
      <c r="A341" t="s">
        <v>941</v>
      </c>
      <c r="B341" t="s">
        <v>46</v>
      </c>
      <c r="C341" t="s">
        <v>47</v>
      </c>
      <c r="D341" s="7">
        <v>275</v>
      </c>
      <c r="E341">
        <v>2016</v>
      </c>
      <c r="F341">
        <v>2018</v>
      </c>
      <c r="G341" t="str">
        <f>IFERROR(INDEX(Formulations[Formulation],MATCH($C341,Formulations[Product Code],0)),"")</f>
        <v/>
      </c>
    </row>
    <row r="342" spans="1:7" x14ac:dyDescent="0.3">
      <c r="A342" t="s">
        <v>1799</v>
      </c>
      <c r="B342" t="s">
        <v>575</v>
      </c>
      <c r="C342" t="s">
        <v>673</v>
      </c>
      <c r="D342" s="7">
        <v>275</v>
      </c>
      <c r="E342">
        <v>2014</v>
      </c>
      <c r="F342">
        <v>2018</v>
      </c>
      <c r="G342" t="str">
        <f>IFERROR(INDEX(Formulations[Formulation],MATCH($C342,Formulations[Product Code],0)),"")</f>
        <v>Apricot 60 % oil and 40 % dpg</v>
      </c>
    </row>
    <row r="343" spans="1:7" x14ac:dyDescent="0.3">
      <c r="A343" t="s">
        <v>1883</v>
      </c>
      <c r="B343" t="s">
        <v>467</v>
      </c>
      <c r="C343" t="s">
        <v>468</v>
      </c>
      <c r="D343" s="7">
        <v>275</v>
      </c>
      <c r="E343">
        <v>2018</v>
      </c>
      <c r="F343">
        <v>2019</v>
      </c>
      <c r="G343" t="str">
        <f>IFERROR(INDEX(Formulations[Formulation],MATCH($C343,Formulations[Product Code],0)),"")</f>
        <v>Crystal</v>
      </c>
    </row>
    <row r="344" spans="1:7" x14ac:dyDescent="0.3">
      <c r="A344" t="s">
        <v>2012</v>
      </c>
      <c r="B344" t="s">
        <v>624</v>
      </c>
      <c r="C344" t="s">
        <v>625</v>
      </c>
      <c r="D344" s="7">
        <v>275</v>
      </c>
      <c r="E344">
        <v>2011</v>
      </c>
      <c r="F344">
        <v>2013</v>
      </c>
      <c r="G344" t="str">
        <f>IFERROR(INDEX(Formulations[Formulation],MATCH($C344,Formulations[Product Code],0)),"")</f>
        <v>Crystal</v>
      </c>
    </row>
    <row r="345" spans="1:7" x14ac:dyDescent="0.3">
      <c r="A345" t="s">
        <v>2030</v>
      </c>
      <c r="B345" t="s">
        <v>438</v>
      </c>
      <c r="C345" t="s">
        <v>439</v>
      </c>
      <c r="D345" s="7">
        <v>275</v>
      </c>
      <c r="E345">
        <v>2017</v>
      </c>
      <c r="F345">
        <v>2020</v>
      </c>
      <c r="G345" t="str">
        <f>IFERROR(INDEX(Formulations[Formulation],MATCH($C345,Formulations[Product Code],0)),"")</f>
        <v>Pure</v>
      </c>
    </row>
    <row r="346" spans="1:7" x14ac:dyDescent="0.3">
      <c r="A346" t="s">
        <v>2095</v>
      </c>
      <c r="B346" t="s">
        <v>41</v>
      </c>
      <c r="C346" t="s">
        <v>63</v>
      </c>
      <c r="D346" s="7">
        <v>275</v>
      </c>
      <c r="E346">
        <v>2015</v>
      </c>
      <c r="F346">
        <v>2015</v>
      </c>
      <c r="G346" t="str">
        <f>IFERROR(INDEX(Formulations[Formulation],MATCH($C346,Formulations[Product Code],0)),"")</f>
        <v>Crystal</v>
      </c>
    </row>
    <row r="347" spans="1:7" x14ac:dyDescent="0.3">
      <c r="A347" t="s">
        <v>2162</v>
      </c>
      <c r="B347" t="s">
        <v>163</v>
      </c>
      <c r="C347" t="s">
        <v>164</v>
      </c>
      <c r="D347" s="7">
        <v>275</v>
      </c>
      <c r="E347">
        <v>2013</v>
      </c>
      <c r="F347">
        <v>2015</v>
      </c>
      <c r="G347" t="str">
        <f>IFERROR(INDEX(Formulations[Formulation],MATCH($C347,Formulations[Product Code],0)),"")</f>
        <v>Pure</v>
      </c>
    </row>
    <row r="348" spans="1:7" x14ac:dyDescent="0.3">
      <c r="A348" t="s">
        <v>2401</v>
      </c>
      <c r="B348" t="s">
        <v>137</v>
      </c>
      <c r="C348" t="s">
        <v>138</v>
      </c>
      <c r="D348" s="7">
        <v>275</v>
      </c>
      <c r="E348">
        <v>2011</v>
      </c>
      <c r="F348">
        <v>2019</v>
      </c>
      <c r="G348" t="str">
        <f>IFERROR(INDEX(Formulations[Formulation],MATCH($C348,Formulations[Product Code],0)),"")</f>
        <v>WS</v>
      </c>
    </row>
    <row r="349" spans="1:7" x14ac:dyDescent="0.3">
      <c r="A349" t="s">
        <v>2548</v>
      </c>
      <c r="B349" t="s">
        <v>16</v>
      </c>
      <c r="C349" t="s">
        <v>17</v>
      </c>
      <c r="D349" s="7">
        <v>275</v>
      </c>
      <c r="E349">
        <v>2019</v>
      </c>
      <c r="F349">
        <v>2020</v>
      </c>
      <c r="G349" t="str">
        <f>IFERROR(INDEX(Formulations[Formulation],MATCH($C349,Formulations[Product Code],0)),"")</f>
        <v>Crystal</v>
      </c>
    </row>
    <row r="350" spans="1:7" x14ac:dyDescent="0.3">
      <c r="A350" t="s">
        <v>2596</v>
      </c>
      <c r="B350" t="s">
        <v>218</v>
      </c>
      <c r="C350" t="s">
        <v>212</v>
      </c>
      <c r="D350" s="7">
        <v>275</v>
      </c>
      <c r="E350">
        <v>2010</v>
      </c>
      <c r="F350">
        <v>2012</v>
      </c>
      <c r="G350" t="str">
        <f>IFERROR(INDEX(Formulations[Formulation],MATCH($C350,Formulations[Product Code],0)),"")</f>
        <v>Pure</v>
      </c>
    </row>
    <row r="351" spans="1:7" x14ac:dyDescent="0.3">
      <c r="A351" t="s">
        <v>829</v>
      </c>
      <c r="B351" t="s">
        <v>453</v>
      </c>
      <c r="D351" s="7">
        <v>269</v>
      </c>
      <c r="E351">
        <v>2018</v>
      </c>
      <c r="F351">
        <v>2020</v>
      </c>
      <c r="G351" t="str">
        <f>IFERROR(INDEX(Formulations[Formulation],MATCH($C351,Formulations[Product Code],0)),"")</f>
        <v/>
      </c>
    </row>
    <row r="352" spans="1:7" x14ac:dyDescent="0.3">
      <c r="A352" t="s">
        <v>941</v>
      </c>
      <c r="B352" t="s">
        <v>696</v>
      </c>
      <c r="C352" t="s">
        <v>697</v>
      </c>
      <c r="D352" s="7">
        <v>268</v>
      </c>
      <c r="E352">
        <v>2016</v>
      </c>
      <c r="F352">
        <v>2017</v>
      </c>
      <c r="G352" t="str">
        <f>IFERROR(INDEX(Formulations[Formulation],MATCH($C352,Formulations[Product Code],0)),"")</f>
        <v/>
      </c>
    </row>
    <row r="353" spans="1:7" x14ac:dyDescent="0.3">
      <c r="A353" t="s">
        <v>2030</v>
      </c>
      <c r="B353" t="s">
        <v>21</v>
      </c>
      <c r="C353" t="s">
        <v>22</v>
      </c>
      <c r="D353" s="7">
        <v>266</v>
      </c>
      <c r="E353">
        <v>2010</v>
      </c>
      <c r="F353">
        <v>2019</v>
      </c>
      <c r="G353" t="str">
        <f>IFERROR(INDEX(Formulations[Formulation],MATCH($C353,Formulations[Product Code],0)),"")</f>
        <v>Crystal</v>
      </c>
    </row>
    <row r="354" spans="1:7" x14ac:dyDescent="0.3">
      <c r="A354" t="s">
        <v>712</v>
      </c>
      <c r="B354" t="s">
        <v>314</v>
      </c>
      <c r="C354" t="s">
        <v>315</v>
      </c>
      <c r="D354" s="7">
        <v>265</v>
      </c>
      <c r="E354">
        <v>2016</v>
      </c>
      <c r="F354">
        <v>2019</v>
      </c>
      <c r="G354" t="str">
        <f>IFERROR(INDEX(Formulations[Formulation],MATCH($C354,Formulations[Product Code],0)),"")</f>
        <v/>
      </c>
    </row>
    <row r="355" spans="1:7" x14ac:dyDescent="0.3">
      <c r="A355" t="s">
        <v>923</v>
      </c>
      <c r="B355" t="s">
        <v>514</v>
      </c>
      <c r="C355" t="s">
        <v>515</v>
      </c>
      <c r="D355" s="7">
        <v>265</v>
      </c>
      <c r="E355">
        <v>2014</v>
      </c>
      <c r="F355">
        <v>2020</v>
      </c>
      <c r="G355" t="str">
        <f>IFERROR(INDEX(Formulations[Formulation],MATCH($C355,Formulations[Product Code],0)),"")</f>
        <v>Crystal</v>
      </c>
    </row>
    <row r="356" spans="1:7" x14ac:dyDescent="0.3">
      <c r="A356" t="s">
        <v>2346</v>
      </c>
      <c r="B356" t="s">
        <v>911</v>
      </c>
      <c r="C356" t="s">
        <v>912</v>
      </c>
      <c r="D356" s="7">
        <v>265</v>
      </c>
      <c r="E356">
        <v>2019</v>
      </c>
      <c r="F356">
        <v>2020</v>
      </c>
      <c r="G356" t="str">
        <f>IFERROR(INDEX(Formulations[Formulation],MATCH($C356,Formulations[Product Code],0)),"")</f>
        <v>Gold</v>
      </c>
    </row>
    <row r="357" spans="1:7" x14ac:dyDescent="0.3">
      <c r="A357" t="s">
        <v>2030</v>
      </c>
      <c r="B357" t="s">
        <v>64</v>
      </c>
      <c r="C357" t="s">
        <v>65</v>
      </c>
      <c r="D357" s="7">
        <v>263</v>
      </c>
      <c r="E357">
        <v>2009</v>
      </c>
      <c r="F357">
        <v>2020</v>
      </c>
      <c r="G357" t="str">
        <f>IFERROR(INDEX(Formulations[Formulation],MATCH($C357,Formulations[Product Code],0)),"")</f>
        <v>Crystal</v>
      </c>
    </row>
    <row r="358" spans="1:7" x14ac:dyDescent="0.3">
      <c r="A358" t="s">
        <v>273</v>
      </c>
      <c r="B358" t="s">
        <v>276</v>
      </c>
      <c r="C358" t="s">
        <v>277</v>
      </c>
      <c r="D358" s="7">
        <v>261.5</v>
      </c>
      <c r="E358">
        <v>2013</v>
      </c>
      <c r="F358">
        <v>2016</v>
      </c>
      <c r="G358" t="str">
        <f>IFERROR(INDEX(Formulations[Formulation],MATCH($C358,Formulations[Product Code],0)),"")</f>
        <v>Pure</v>
      </c>
    </row>
    <row r="359" spans="1:7" x14ac:dyDescent="0.3">
      <c r="A359" t="s">
        <v>1799</v>
      </c>
      <c r="B359" t="s">
        <v>441</v>
      </c>
      <c r="C359" t="s">
        <v>93</v>
      </c>
      <c r="D359" s="7">
        <v>260</v>
      </c>
      <c r="E359">
        <v>2015</v>
      </c>
      <c r="F359">
        <v>2019</v>
      </c>
      <c r="G359" t="str">
        <f>IFERROR(INDEX(Formulations[Formulation],MATCH($C359,Formulations[Product Code],0)),"")</f>
        <v>Gold</v>
      </c>
    </row>
    <row r="360" spans="1:7" x14ac:dyDescent="0.3">
      <c r="A360" t="s">
        <v>2401</v>
      </c>
      <c r="B360" t="s">
        <v>265</v>
      </c>
      <c r="C360" t="s">
        <v>197</v>
      </c>
      <c r="D360" s="7">
        <v>260</v>
      </c>
      <c r="E360">
        <v>2018</v>
      </c>
      <c r="F360">
        <v>2019</v>
      </c>
      <c r="G360" t="str">
        <f>IFERROR(INDEX(Formulations[Formulation],MATCH($C360,Formulations[Product Code],0)),"")</f>
        <v/>
      </c>
    </row>
    <row r="361" spans="1:7" x14ac:dyDescent="0.3">
      <c r="A361" t="s">
        <v>2354</v>
      </c>
      <c r="B361" t="s">
        <v>721</v>
      </c>
      <c r="C361" t="s">
        <v>722</v>
      </c>
      <c r="D361" s="7">
        <v>259</v>
      </c>
      <c r="E361">
        <v>2016</v>
      </c>
      <c r="F361">
        <v>2020</v>
      </c>
      <c r="G361" t="str">
        <f>IFERROR(INDEX(Formulations[Formulation],MATCH($C361,Formulations[Product Code],0)),"")</f>
        <v>Pure</v>
      </c>
    </row>
    <row r="362" spans="1:7" x14ac:dyDescent="0.3">
      <c r="A362" t="s">
        <v>1873</v>
      </c>
      <c r="B362" t="s">
        <v>99</v>
      </c>
      <c r="C362" t="s">
        <v>100</v>
      </c>
      <c r="D362" s="7">
        <v>255</v>
      </c>
      <c r="E362">
        <v>2009</v>
      </c>
      <c r="F362">
        <v>2013</v>
      </c>
      <c r="G362" t="str">
        <f>IFERROR(INDEX(Formulations[Formulation],MATCH($C362,Formulations[Product Code],0)),"")</f>
        <v>Crystal</v>
      </c>
    </row>
    <row r="363" spans="1:7" x14ac:dyDescent="0.3">
      <c r="A363" t="s">
        <v>2504</v>
      </c>
      <c r="B363" t="s">
        <v>12</v>
      </c>
      <c r="C363" t="s">
        <v>13</v>
      </c>
      <c r="D363" s="7">
        <v>255</v>
      </c>
      <c r="E363">
        <v>2019</v>
      </c>
      <c r="F363">
        <v>2021</v>
      </c>
      <c r="G363" t="str">
        <f>IFERROR(INDEX(Formulations[Formulation],MATCH($C363,Formulations[Product Code],0)),"")</f>
        <v>Crystal</v>
      </c>
    </row>
    <row r="364" spans="1:7" x14ac:dyDescent="0.3">
      <c r="A364" t="s">
        <v>941</v>
      </c>
      <c r="B364" t="s">
        <v>21</v>
      </c>
      <c r="C364" t="s">
        <v>22</v>
      </c>
      <c r="D364" s="7">
        <v>252.55</v>
      </c>
      <c r="E364">
        <v>2017</v>
      </c>
      <c r="F364">
        <v>2018</v>
      </c>
      <c r="G364" t="str">
        <f>IFERROR(INDEX(Formulations[Formulation],MATCH($C364,Formulations[Product Code],0)),"")</f>
        <v>Crystal</v>
      </c>
    </row>
    <row r="365" spans="1:7" x14ac:dyDescent="0.3">
      <c r="A365" t="s">
        <v>531</v>
      </c>
      <c r="B365" t="s">
        <v>542</v>
      </c>
      <c r="C365" t="s">
        <v>160</v>
      </c>
      <c r="D365" s="7">
        <v>250</v>
      </c>
      <c r="E365">
        <v>2018</v>
      </c>
      <c r="F365">
        <v>2021</v>
      </c>
      <c r="G365" t="str">
        <f>IFERROR(INDEX(Formulations[Formulation],MATCH($C365,Formulations[Product Code],0)),"")</f>
        <v>Silver</v>
      </c>
    </row>
    <row r="366" spans="1:7" x14ac:dyDescent="0.3">
      <c r="A366" t="s">
        <v>695</v>
      </c>
      <c r="B366" t="s">
        <v>41</v>
      </c>
      <c r="C366" t="s">
        <v>530</v>
      </c>
      <c r="D366" s="7">
        <v>250</v>
      </c>
      <c r="E366">
        <v>2016</v>
      </c>
      <c r="F366">
        <v>2017</v>
      </c>
      <c r="G366" t="str">
        <f>IFERROR(INDEX(Formulations[Formulation],MATCH($C366,Formulations[Product Code],0)),"")</f>
        <v/>
      </c>
    </row>
    <row r="367" spans="1:7" x14ac:dyDescent="0.3">
      <c r="A367" t="s">
        <v>712</v>
      </c>
      <c r="B367" t="s">
        <v>68</v>
      </c>
      <c r="C367" t="s">
        <v>69</v>
      </c>
      <c r="D367" s="7">
        <v>250</v>
      </c>
      <c r="E367">
        <v>2010</v>
      </c>
      <c r="F367">
        <v>2020</v>
      </c>
      <c r="G367" t="str">
        <f>IFERROR(INDEX(Formulations[Formulation],MATCH($C367,Formulations[Product Code],0)),"")</f>
        <v>Silver</v>
      </c>
    </row>
    <row r="368" spans="1:7" x14ac:dyDescent="0.3">
      <c r="A368" t="s">
        <v>1010</v>
      </c>
      <c r="B368" t="s">
        <v>528</v>
      </c>
      <c r="C368" t="s">
        <v>529</v>
      </c>
      <c r="D368" s="7">
        <v>250</v>
      </c>
      <c r="E368">
        <v>2020</v>
      </c>
      <c r="F368">
        <v>2020</v>
      </c>
      <c r="G368" t="str">
        <f>IFERROR(INDEX(Formulations[Formulation],MATCH($C368,Formulations[Product Code],0)),"")</f>
        <v>Crystal</v>
      </c>
    </row>
    <row r="369" spans="1:7" x14ac:dyDescent="0.3">
      <c r="A369" t="s">
        <v>1010</v>
      </c>
      <c r="B369" t="s">
        <v>19</v>
      </c>
      <c r="C369" t="s">
        <v>699</v>
      </c>
      <c r="D369" s="7">
        <v>250</v>
      </c>
      <c r="E369">
        <v>2014</v>
      </c>
      <c r="F369">
        <v>2019</v>
      </c>
      <c r="G369" t="str">
        <f>IFERROR(INDEX(Formulations[Formulation],MATCH($C369,Formulations[Product Code],0)),"")</f>
        <v/>
      </c>
    </row>
    <row r="370" spans="1:7" x14ac:dyDescent="0.3">
      <c r="A370" t="s">
        <v>1102</v>
      </c>
      <c r="B370" t="s">
        <v>110</v>
      </c>
      <c r="C370" t="s">
        <v>111</v>
      </c>
      <c r="D370" s="7">
        <v>250</v>
      </c>
      <c r="E370">
        <v>2019</v>
      </c>
      <c r="F370">
        <v>2019</v>
      </c>
      <c r="G370" t="str">
        <f>IFERROR(INDEX(Formulations[Formulation],MATCH($C370,Formulations[Product Code],0)),"")</f>
        <v>75% Lemon Zeste, 25% lemon Top &amp; the Gold DPG)</v>
      </c>
    </row>
    <row r="371" spans="1:7" x14ac:dyDescent="0.3">
      <c r="A371" t="s">
        <v>1102</v>
      </c>
      <c r="B371" t="s">
        <v>483</v>
      </c>
      <c r="C371" t="s">
        <v>484</v>
      </c>
      <c r="D371" s="7">
        <v>250</v>
      </c>
      <c r="E371">
        <v>2019</v>
      </c>
      <c r="F371">
        <v>2019</v>
      </c>
      <c r="G371" t="str">
        <f>IFERROR(INDEX(Formulations[Formulation],MATCH($C371,Formulations[Product Code],0)),"")</f>
        <v>Crystal</v>
      </c>
    </row>
    <row r="372" spans="1:7" x14ac:dyDescent="0.3">
      <c r="A372" t="s">
        <v>1111</v>
      </c>
      <c r="B372" t="s">
        <v>184</v>
      </c>
      <c r="C372" t="s">
        <v>185</v>
      </c>
      <c r="D372" s="7">
        <v>250</v>
      </c>
      <c r="E372">
        <v>2010</v>
      </c>
      <c r="F372">
        <v>2011</v>
      </c>
      <c r="G372" t="str">
        <f>IFERROR(INDEX(Formulations[Formulation],MATCH($C372,Formulations[Product Code],0)),"")</f>
        <v/>
      </c>
    </row>
    <row r="373" spans="1:7" x14ac:dyDescent="0.3">
      <c r="A373" t="s">
        <v>1174</v>
      </c>
      <c r="B373" t="s">
        <v>184</v>
      </c>
      <c r="C373" t="s">
        <v>185</v>
      </c>
      <c r="D373" s="7">
        <v>250</v>
      </c>
      <c r="E373">
        <v>2017</v>
      </c>
      <c r="F373">
        <v>2019</v>
      </c>
      <c r="G373" t="str">
        <f>IFERROR(INDEX(Formulations[Formulation],MATCH($C373,Formulations[Product Code],0)),"")</f>
        <v/>
      </c>
    </row>
    <row r="374" spans="1:7" x14ac:dyDescent="0.3">
      <c r="A374" t="s">
        <v>1346</v>
      </c>
      <c r="B374" t="s">
        <v>1347</v>
      </c>
      <c r="C374" t="s">
        <v>737</v>
      </c>
      <c r="D374" s="7">
        <v>250</v>
      </c>
      <c r="E374">
        <v>2021</v>
      </c>
      <c r="F374">
        <v>2021</v>
      </c>
      <c r="G374" t="str">
        <f>IFERROR(INDEX(Formulations[Formulation],MATCH($C374,Formulations[Product Code],0)),"")</f>
        <v>Flouramax40%, Strawberry 20%, Banana 20%g &amp; Cherry 20%</v>
      </c>
    </row>
    <row r="375" spans="1:7" x14ac:dyDescent="0.3">
      <c r="A375" t="s">
        <v>1346</v>
      </c>
      <c r="B375" t="s">
        <v>26</v>
      </c>
      <c r="C375" t="s">
        <v>27</v>
      </c>
      <c r="D375" s="7">
        <v>250</v>
      </c>
      <c r="E375">
        <v>2021</v>
      </c>
      <c r="F375">
        <v>2021</v>
      </c>
      <c r="G375" t="str">
        <f>IFERROR(INDEX(Formulations[Formulation],MATCH($C375,Formulations[Product Code],0)),"")</f>
        <v>FLOURAMAX A270578/ P782894</v>
      </c>
    </row>
    <row r="376" spans="1:7" x14ac:dyDescent="0.3">
      <c r="A376" t="s">
        <v>1463</v>
      </c>
      <c r="B376" t="s">
        <v>166</v>
      </c>
      <c r="C376" t="s">
        <v>167</v>
      </c>
      <c r="D376" s="7">
        <v>250</v>
      </c>
      <c r="E376">
        <v>2013</v>
      </c>
      <c r="F376">
        <v>2013</v>
      </c>
      <c r="G376" t="str">
        <f>IFERROR(INDEX(Formulations[Formulation],MATCH($C376,Formulations[Product Code],0)),"")</f>
        <v/>
      </c>
    </row>
    <row r="377" spans="1:7" x14ac:dyDescent="0.3">
      <c r="A377" t="s">
        <v>1883</v>
      </c>
      <c r="B377" t="s">
        <v>19</v>
      </c>
      <c r="C377" t="s">
        <v>20</v>
      </c>
      <c r="D377" s="7">
        <v>250</v>
      </c>
      <c r="E377">
        <v>2015</v>
      </c>
      <c r="F377">
        <v>2015</v>
      </c>
      <c r="G377" t="str">
        <f>IFERROR(INDEX(Formulations[Formulation],MATCH($C377,Formulations[Product Code],0)),"")</f>
        <v>80 % Oil AND 20 % DPG</v>
      </c>
    </row>
    <row r="378" spans="1:7" x14ac:dyDescent="0.3">
      <c r="A378" t="s">
        <v>1906</v>
      </c>
      <c r="B378" t="s">
        <v>64</v>
      </c>
      <c r="C378" t="s">
        <v>65</v>
      </c>
      <c r="D378" s="7">
        <v>250</v>
      </c>
      <c r="E378">
        <v>2012</v>
      </c>
      <c r="F378">
        <v>2014</v>
      </c>
      <c r="G378" t="str">
        <f>IFERROR(INDEX(Formulations[Formulation],MATCH($C378,Formulations[Product Code],0)),"")</f>
        <v>Crystal</v>
      </c>
    </row>
    <row r="379" spans="1:7" x14ac:dyDescent="0.3">
      <c r="A379" t="s">
        <v>1906</v>
      </c>
      <c r="B379" t="s">
        <v>483</v>
      </c>
      <c r="C379" t="s">
        <v>484</v>
      </c>
      <c r="D379" s="7">
        <v>250</v>
      </c>
      <c r="E379">
        <v>2019</v>
      </c>
      <c r="F379">
        <v>2021</v>
      </c>
      <c r="G379" t="str">
        <f>IFERROR(INDEX(Formulations[Formulation],MATCH($C379,Formulations[Product Code],0)),"")</f>
        <v>Crystal</v>
      </c>
    </row>
    <row r="380" spans="1:7" x14ac:dyDescent="0.3">
      <c r="A380" t="s">
        <v>2097</v>
      </c>
      <c r="B380" t="s">
        <v>155</v>
      </c>
      <c r="C380" t="s">
        <v>156</v>
      </c>
      <c r="D380" s="7">
        <v>250</v>
      </c>
      <c r="E380">
        <v>2017</v>
      </c>
      <c r="F380">
        <v>2020</v>
      </c>
      <c r="G380" t="str">
        <f>IFERROR(INDEX(Formulations[Formulation],MATCH($C380,Formulations[Product Code],0)),"")</f>
        <v>Pure</v>
      </c>
    </row>
    <row r="381" spans="1:7" x14ac:dyDescent="0.3">
      <c r="A381" t="s">
        <v>2199</v>
      </c>
      <c r="B381" t="s">
        <v>41</v>
      </c>
      <c r="C381" t="s">
        <v>42</v>
      </c>
      <c r="D381" s="7">
        <v>250</v>
      </c>
      <c r="E381">
        <v>2011</v>
      </c>
      <c r="F381">
        <v>2014</v>
      </c>
      <c r="G381" t="str">
        <f>IFERROR(INDEX(Formulations[Formulation],MATCH($C381,Formulations[Product Code],0)),"")</f>
        <v/>
      </c>
    </row>
    <row r="382" spans="1:7" x14ac:dyDescent="0.3">
      <c r="A382" t="s">
        <v>2301</v>
      </c>
      <c r="B382" t="s">
        <v>12</v>
      </c>
      <c r="C382" t="s">
        <v>13</v>
      </c>
      <c r="D382" s="7">
        <v>250</v>
      </c>
      <c r="E382">
        <v>2017</v>
      </c>
      <c r="F382">
        <v>2018</v>
      </c>
      <c r="G382" t="str">
        <f>IFERROR(INDEX(Formulations[Formulation],MATCH($C382,Formulations[Product Code],0)),"")</f>
        <v>Crystal</v>
      </c>
    </row>
    <row r="383" spans="1:7" x14ac:dyDescent="0.3">
      <c r="A383" t="s">
        <v>2401</v>
      </c>
      <c r="B383" t="s">
        <v>72</v>
      </c>
      <c r="C383" t="s">
        <v>319</v>
      </c>
      <c r="D383" s="7">
        <v>250</v>
      </c>
      <c r="E383">
        <v>2018</v>
      </c>
      <c r="F383">
        <v>2020</v>
      </c>
      <c r="G383" t="str">
        <f>IFERROR(INDEX(Formulations[Formulation],MATCH($C383,Formulations[Product Code],0)),"")</f>
        <v>Pure</v>
      </c>
    </row>
    <row r="384" spans="1:7" x14ac:dyDescent="0.3">
      <c r="A384" t="s">
        <v>2461</v>
      </c>
      <c r="B384" t="s">
        <v>46</v>
      </c>
      <c r="C384" t="s">
        <v>47</v>
      </c>
      <c r="D384" s="7">
        <v>250</v>
      </c>
      <c r="E384">
        <v>2018</v>
      </c>
      <c r="F384">
        <v>2018</v>
      </c>
      <c r="G384" t="str">
        <f>IFERROR(INDEX(Formulations[Formulation],MATCH($C384,Formulations[Product Code],0)),"")</f>
        <v/>
      </c>
    </row>
    <row r="385" spans="1:7" x14ac:dyDescent="0.3">
      <c r="A385" t="s">
        <v>2465</v>
      </c>
      <c r="B385" t="s">
        <v>26</v>
      </c>
      <c r="C385" t="s">
        <v>27</v>
      </c>
      <c r="D385" s="7">
        <v>250</v>
      </c>
      <c r="E385">
        <v>2018</v>
      </c>
      <c r="F385">
        <v>2018</v>
      </c>
      <c r="G385" t="str">
        <f>IFERROR(INDEX(Formulations[Formulation],MATCH($C385,Formulations[Product Code],0)),"")</f>
        <v>FLOURAMAX A270578/ P782894</v>
      </c>
    </row>
    <row r="386" spans="1:7" x14ac:dyDescent="0.3">
      <c r="A386" t="s">
        <v>2485</v>
      </c>
      <c r="B386" t="s">
        <v>269</v>
      </c>
      <c r="C386" t="s">
        <v>270</v>
      </c>
      <c r="D386" s="7">
        <v>250</v>
      </c>
      <c r="E386">
        <v>2018</v>
      </c>
      <c r="F386">
        <v>2020</v>
      </c>
      <c r="G386" t="str">
        <f>IFERROR(INDEX(Formulations[Formulation],MATCH($C386,Formulations[Product Code],0)),"")</f>
        <v>Pure</v>
      </c>
    </row>
    <row r="387" spans="1:7" x14ac:dyDescent="0.3">
      <c r="A387" t="s">
        <v>2485</v>
      </c>
      <c r="B387" t="s">
        <v>110</v>
      </c>
      <c r="C387" t="s">
        <v>111</v>
      </c>
      <c r="D387" s="7">
        <v>250</v>
      </c>
      <c r="E387">
        <v>2019</v>
      </c>
      <c r="F387">
        <v>2021</v>
      </c>
      <c r="G387" t="str">
        <f>IFERROR(INDEX(Formulations[Formulation],MATCH($C387,Formulations[Product Code],0)),"")</f>
        <v>75% Lemon Zeste, 25% lemon Top &amp; the Gold DPG)</v>
      </c>
    </row>
    <row r="388" spans="1:7" x14ac:dyDescent="0.3">
      <c r="A388" t="s">
        <v>2490</v>
      </c>
      <c r="B388" t="s">
        <v>446</v>
      </c>
      <c r="C388" t="s">
        <v>447</v>
      </c>
      <c r="D388" s="7">
        <v>250</v>
      </c>
      <c r="E388">
        <v>2020</v>
      </c>
      <c r="F388">
        <v>2021</v>
      </c>
      <c r="G388" t="str">
        <f>IFERROR(INDEX(Formulations[Formulation],MATCH($C388,Formulations[Product Code],0)),"")</f>
        <v>30% Key Oil</v>
      </c>
    </row>
    <row r="389" spans="1:7" x14ac:dyDescent="0.3">
      <c r="A389" t="s">
        <v>2496</v>
      </c>
      <c r="B389" t="s">
        <v>314</v>
      </c>
      <c r="C389" t="s">
        <v>315</v>
      </c>
      <c r="D389" s="7">
        <v>250</v>
      </c>
      <c r="E389">
        <v>2010</v>
      </c>
      <c r="F389">
        <v>2013</v>
      </c>
      <c r="G389" t="str">
        <f>IFERROR(INDEX(Formulations[Formulation],MATCH($C389,Formulations[Product Code],0)),"")</f>
        <v/>
      </c>
    </row>
    <row r="390" spans="1:7" x14ac:dyDescent="0.3">
      <c r="A390" t="s">
        <v>2521</v>
      </c>
      <c r="B390" t="s">
        <v>686</v>
      </c>
      <c r="C390" t="s">
        <v>687</v>
      </c>
      <c r="D390" s="7">
        <v>250</v>
      </c>
      <c r="E390">
        <v>2020</v>
      </c>
      <c r="F390">
        <v>2021</v>
      </c>
      <c r="G390" t="str">
        <f>IFERROR(INDEX(Formulations[Formulation],MATCH($C390,Formulations[Product Code],0)),"")</f>
        <v>Pure</v>
      </c>
    </row>
    <row r="391" spans="1:7" x14ac:dyDescent="0.3">
      <c r="A391" t="s">
        <v>2529</v>
      </c>
      <c r="B391" t="s">
        <v>365</v>
      </c>
      <c r="C391" t="s">
        <v>96</v>
      </c>
      <c r="D391" s="7">
        <v>250</v>
      </c>
      <c r="E391">
        <v>2020</v>
      </c>
      <c r="F391">
        <v>2021</v>
      </c>
      <c r="G391" t="str">
        <f>IFERROR(INDEX(Formulations[Formulation],MATCH($C391,Formulations[Product Code],0)),"")</f>
        <v>9.2 kg oil and rest dpg</v>
      </c>
    </row>
    <row r="392" spans="1:7" x14ac:dyDescent="0.3">
      <c r="A392" t="s">
        <v>2529</v>
      </c>
      <c r="B392" t="s">
        <v>2530</v>
      </c>
      <c r="C392" t="s">
        <v>392</v>
      </c>
      <c r="D392" s="7">
        <v>250</v>
      </c>
      <c r="E392">
        <v>2020</v>
      </c>
      <c r="F392">
        <v>2020</v>
      </c>
      <c r="G392" t="str">
        <f>IFERROR(INDEX(Formulations[Formulation],MATCH($C392,Formulations[Product Code],0)),"")</f>
        <v/>
      </c>
    </row>
    <row r="393" spans="1:7" x14ac:dyDescent="0.3">
      <c r="A393" t="s">
        <v>2542</v>
      </c>
      <c r="B393" t="s">
        <v>471</v>
      </c>
      <c r="C393" t="s">
        <v>472</v>
      </c>
      <c r="D393" s="7">
        <v>250</v>
      </c>
      <c r="E393">
        <v>2019</v>
      </c>
      <c r="F393">
        <v>2019</v>
      </c>
      <c r="G393" t="str">
        <f>IFERROR(INDEX(Formulations[Formulation],MATCH($C393,Formulations[Product Code],0)),"")</f>
        <v>Crystal</v>
      </c>
    </row>
    <row r="394" spans="1:7" x14ac:dyDescent="0.3">
      <c r="A394" t="s">
        <v>2548</v>
      </c>
      <c r="B394" t="s">
        <v>471</v>
      </c>
      <c r="C394" t="s">
        <v>472</v>
      </c>
      <c r="D394" s="7">
        <v>250</v>
      </c>
      <c r="E394">
        <v>2019</v>
      </c>
      <c r="F394">
        <v>2020</v>
      </c>
      <c r="G394" t="str">
        <f>IFERROR(INDEX(Formulations[Formulation],MATCH($C394,Formulations[Product Code],0)),"")</f>
        <v>Crystal</v>
      </c>
    </row>
    <row r="395" spans="1:7" x14ac:dyDescent="0.3">
      <c r="A395" t="s">
        <v>2577</v>
      </c>
      <c r="B395" t="s">
        <v>19</v>
      </c>
      <c r="C395" t="s">
        <v>20</v>
      </c>
      <c r="D395" s="7">
        <v>250</v>
      </c>
      <c r="E395">
        <v>2016</v>
      </c>
      <c r="F395">
        <v>2018</v>
      </c>
      <c r="G395" t="str">
        <f>IFERROR(INDEX(Formulations[Formulation],MATCH($C395,Formulations[Product Code],0)),"")</f>
        <v>80 % Oil AND 20 % DPG</v>
      </c>
    </row>
    <row r="396" spans="1:7" x14ac:dyDescent="0.3">
      <c r="A396" t="s">
        <v>865</v>
      </c>
      <c r="B396" t="s">
        <v>686</v>
      </c>
      <c r="C396" t="s">
        <v>866</v>
      </c>
      <c r="D396" s="7">
        <v>249.25</v>
      </c>
      <c r="E396">
        <v>2019</v>
      </c>
      <c r="F396">
        <v>2020</v>
      </c>
      <c r="G396" t="str">
        <f>IFERROR(INDEX(Formulations[Formulation],MATCH($C396,Formulations[Product Code],0)),"")</f>
        <v/>
      </c>
    </row>
    <row r="397" spans="1:7" x14ac:dyDescent="0.3">
      <c r="A397" t="s">
        <v>1139</v>
      </c>
      <c r="B397" t="s">
        <v>30</v>
      </c>
      <c r="C397" t="s">
        <v>31</v>
      </c>
      <c r="D397" s="7">
        <v>249</v>
      </c>
      <c r="E397">
        <v>2012</v>
      </c>
      <c r="F397">
        <v>2016</v>
      </c>
      <c r="G397" t="str">
        <f>IFERROR(INDEX(Formulations[Formulation],MATCH($C397,Formulations[Product Code],0)),"")</f>
        <v>Pure</v>
      </c>
    </row>
    <row r="398" spans="1:7" x14ac:dyDescent="0.3">
      <c r="A398" t="s">
        <v>2308</v>
      </c>
      <c r="B398" t="s">
        <v>242</v>
      </c>
      <c r="D398" s="7">
        <v>249</v>
      </c>
      <c r="E398">
        <v>2019</v>
      </c>
      <c r="F398">
        <v>2020</v>
      </c>
      <c r="G398" t="str">
        <f>IFERROR(INDEX(Formulations[Formulation],MATCH($C398,Formulations[Product Code],0)),"")</f>
        <v/>
      </c>
    </row>
    <row r="399" spans="1:7" x14ac:dyDescent="0.3">
      <c r="A399" t="s">
        <v>2465</v>
      </c>
      <c r="B399" t="s">
        <v>242</v>
      </c>
      <c r="D399" s="7">
        <v>249</v>
      </c>
      <c r="E399">
        <v>2020</v>
      </c>
      <c r="F399">
        <v>2020</v>
      </c>
      <c r="G399" t="str">
        <f>IFERROR(INDEX(Formulations[Formulation],MATCH($C399,Formulations[Product Code],0)),"")</f>
        <v/>
      </c>
    </row>
    <row r="400" spans="1:7" x14ac:dyDescent="0.3">
      <c r="A400" t="s">
        <v>1439</v>
      </c>
      <c r="B400" t="s">
        <v>192</v>
      </c>
      <c r="C400" t="s">
        <v>193</v>
      </c>
      <c r="D400" s="7">
        <v>244</v>
      </c>
      <c r="E400">
        <v>2014</v>
      </c>
      <c r="F400">
        <v>2021</v>
      </c>
      <c r="G400" t="str">
        <f>IFERROR(INDEX(Formulations[Formulation],MATCH($C400,Formulations[Product Code],0)),"")</f>
        <v>Red Grape 50%/ Fruity Smoothie 30% /Green Apple 20% /than make 60% oil</v>
      </c>
    </row>
    <row r="401" spans="1:7" x14ac:dyDescent="0.3">
      <c r="A401" t="s">
        <v>1906</v>
      </c>
      <c r="B401" t="s">
        <v>1452</v>
      </c>
      <c r="C401" t="s">
        <v>1453</v>
      </c>
      <c r="D401" s="7">
        <v>243</v>
      </c>
      <c r="E401">
        <v>2011</v>
      </c>
      <c r="F401">
        <v>2012</v>
      </c>
      <c r="G401" t="str">
        <f>IFERROR(INDEX(Formulations[Formulation],MATCH($C401,Formulations[Product Code],0)),"")</f>
        <v/>
      </c>
    </row>
    <row r="402" spans="1:7" x14ac:dyDescent="0.3">
      <c r="A402" t="s">
        <v>1439</v>
      </c>
      <c r="B402" t="s">
        <v>809</v>
      </c>
      <c r="C402" t="s">
        <v>810</v>
      </c>
      <c r="D402" s="7">
        <v>241</v>
      </c>
      <c r="E402">
        <v>2010</v>
      </c>
      <c r="F402">
        <v>2017</v>
      </c>
      <c r="G402" t="str">
        <f>IFERROR(INDEX(Formulations[Formulation],MATCH($C402,Formulations[Product Code],0)),"")</f>
        <v>Silver</v>
      </c>
    </row>
    <row r="403" spans="1:7" x14ac:dyDescent="0.3">
      <c r="A403" t="s">
        <v>1838</v>
      </c>
      <c r="B403" t="s">
        <v>32</v>
      </c>
      <c r="D403" s="7">
        <v>240</v>
      </c>
      <c r="E403">
        <v>2013</v>
      </c>
      <c r="F403">
        <v>2017</v>
      </c>
      <c r="G403" t="str">
        <f>IFERROR(INDEX(Formulations[Formulation],MATCH($C403,Formulations[Product Code],0)),"")</f>
        <v/>
      </c>
    </row>
    <row r="404" spans="1:7" x14ac:dyDescent="0.3">
      <c r="A404" t="s">
        <v>1883</v>
      </c>
      <c r="B404" t="s">
        <v>32</v>
      </c>
      <c r="D404" s="7">
        <v>240</v>
      </c>
      <c r="E404">
        <v>2015</v>
      </c>
      <c r="F404">
        <v>2021</v>
      </c>
      <c r="G404" t="str">
        <f>IFERROR(INDEX(Formulations[Formulation],MATCH($C404,Formulations[Product Code],0)),"")</f>
        <v/>
      </c>
    </row>
    <row r="405" spans="1:7" x14ac:dyDescent="0.3">
      <c r="A405" t="s">
        <v>2220</v>
      </c>
      <c r="B405" t="s">
        <v>51</v>
      </c>
      <c r="C405" t="s">
        <v>52</v>
      </c>
      <c r="D405" s="7">
        <v>240</v>
      </c>
      <c r="E405">
        <v>2016</v>
      </c>
      <c r="F405">
        <v>2020</v>
      </c>
      <c r="G405" t="str">
        <f>IFERROR(INDEX(Formulations[Formulation],MATCH($C405,Formulations[Product Code],0)),"")</f>
        <v>Silver</v>
      </c>
    </row>
    <row r="406" spans="1:7" x14ac:dyDescent="0.3">
      <c r="A406" t="s">
        <v>2516</v>
      </c>
      <c r="B406" t="s">
        <v>240</v>
      </c>
      <c r="D406" s="7">
        <v>240</v>
      </c>
      <c r="E406">
        <v>2019</v>
      </c>
      <c r="F406">
        <v>2020</v>
      </c>
      <c r="G406" t="str">
        <f>IFERROR(INDEX(Formulations[Formulation],MATCH($C406,Formulations[Product Code],0)),"")</f>
        <v/>
      </c>
    </row>
    <row r="407" spans="1:7" x14ac:dyDescent="0.3">
      <c r="A407" t="s">
        <v>2538</v>
      </c>
      <c r="B407" t="s">
        <v>651</v>
      </c>
      <c r="C407" t="s">
        <v>652</v>
      </c>
      <c r="D407" s="7">
        <v>239</v>
      </c>
      <c r="E407">
        <v>2019</v>
      </c>
      <c r="F407">
        <v>2020</v>
      </c>
      <c r="G407" t="str">
        <f>IFERROR(INDEX(Formulations[Formulation],MATCH($C407,Formulations[Product Code],0)),"")</f>
        <v/>
      </c>
    </row>
    <row r="408" spans="1:7" x14ac:dyDescent="0.3">
      <c r="A408" t="s">
        <v>2542</v>
      </c>
      <c r="B408" t="s">
        <v>16</v>
      </c>
      <c r="C408" t="s">
        <v>17</v>
      </c>
      <c r="D408" s="7">
        <v>239</v>
      </c>
      <c r="E408">
        <v>2019</v>
      </c>
      <c r="F408">
        <v>2021</v>
      </c>
      <c r="G408" t="str">
        <f>IFERROR(INDEX(Formulations[Formulation],MATCH($C408,Formulations[Product Code],0)),"")</f>
        <v>Crystal</v>
      </c>
    </row>
    <row r="409" spans="1:7" x14ac:dyDescent="0.3">
      <c r="A409" t="s">
        <v>1005</v>
      </c>
      <c r="B409" t="s">
        <v>721</v>
      </c>
      <c r="C409" t="s">
        <v>722</v>
      </c>
      <c r="D409" s="7">
        <v>236</v>
      </c>
      <c r="E409">
        <v>2015</v>
      </c>
      <c r="F409">
        <v>2020</v>
      </c>
      <c r="G409" t="str">
        <f>IFERROR(INDEX(Formulations[Formulation],MATCH($C409,Formulations[Product Code],0)),"")</f>
        <v>Pure</v>
      </c>
    </row>
    <row r="410" spans="1:7" x14ac:dyDescent="0.3">
      <c r="A410" t="s">
        <v>1005</v>
      </c>
      <c r="B410" t="s">
        <v>490</v>
      </c>
      <c r="C410" t="s">
        <v>491</v>
      </c>
      <c r="D410" s="7">
        <v>235</v>
      </c>
      <c r="E410">
        <v>2016</v>
      </c>
      <c r="F410">
        <v>2020</v>
      </c>
      <c r="G410" t="str">
        <f>IFERROR(INDEX(Formulations[Formulation],MATCH($C410,Formulations[Product Code],0)),"")</f>
        <v/>
      </c>
    </row>
    <row r="411" spans="1:7" x14ac:dyDescent="0.3">
      <c r="A411" t="s">
        <v>1439</v>
      </c>
      <c r="B411" t="s">
        <v>679</v>
      </c>
      <c r="C411" t="s">
        <v>680</v>
      </c>
      <c r="D411" s="7">
        <v>235</v>
      </c>
      <c r="E411">
        <v>2020</v>
      </c>
      <c r="F411">
        <v>2021</v>
      </c>
      <c r="G411" t="str">
        <f>IFERROR(INDEX(Formulations[Formulation],MATCH($C411,Formulations[Product Code],0)),"")</f>
        <v>Crystal</v>
      </c>
    </row>
    <row r="412" spans="1:7" x14ac:dyDescent="0.3">
      <c r="A412" t="s">
        <v>1799</v>
      </c>
      <c r="B412" t="s">
        <v>19</v>
      </c>
      <c r="C412" t="s">
        <v>20</v>
      </c>
      <c r="D412" s="7">
        <v>235</v>
      </c>
      <c r="E412">
        <v>2014</v>
      </c>
      <c r="F412">
        <v>2015</v>
      </c>
      <c r="G412" t="str">
        <f>IFERROR(INDEX(Formulations[Formulation],MATCH($C412,Formulations[Product Code],0)),"")</f>
        <v>80 % Oil AND 20 % DPG</v>
      </c>
    </row>
    <row r="413" spans="1:7" x14ac:dyDescent="0.3">
      <c r="A413" t="s">
        <v>1895</v>
      </c>
      <c r="B413" t="s">
        <v>1383</v>
      </c>
      <c r="C413" t="s">
        <v>1384</v>
      </c>
      <c r="D413" s="7">
        <v>235</v>
      </c>
      <c r="E413">
        <v>2013</v>
      </c>
      <c r="F413">
        <v>2020</v>
      </c>
      <c r="G413" t="str">
        <f>IFERROR(INDEX(Formulations[Formulation],MATCH($C413,Formulations[Product Code],0)),"")</f>
        <v>Pure</v>
      </c>
    </row>
    <row r="414" spans="1:7" x14ac:dyDescent="0.3">
      <c r="A414" t="s">
        <v>2496</v>
      </c>
      <c r="B414" t="s">
        <v>64</v>
      </c>
      <c r="C414" t="s">
        <v>65</v>
      </c>
      <c r="D414" s="7">
        <v>235</v>
      </c>
      <c r="E414">
        <v>2015</v>
      </c>
      <c r="F414">
        <v>2019</v>
      </c>
      <c r="G414" t="str">
        <f>IFERROR(INDEX(Formulations[Formulation],MATCH($C414,Formulations[Product Code],0)),"")</f>
        <v>Crystal</v>
      </c>
    </row>
    <row r="415" spans="1:7" x14ac:dyDescent="0.3">
      <c r="A415" t="s">
        <v>1832</v>
      </c>
      <c r="B415" t="s">
        <v>39</v>
      </c>
      <c r="D415" s="7">
        <v>233</v>
      </c>
      <c r="E415">
        <v>2014</v>
      </c>
      <c r="F415">
        <v>2018</v>
      </c>
      <c r="G415" t="str">
        <f>IFERROR(INDEX(Formulations[Formulation],MATCH($C415,Formulations[Product Code],0)),"")</f>
        <v/>
      </c>
    </row>
    <row r="416" spans="1:7" x14ac:dyDescent="0.3">
      <c r="A416" t="s">
        <v>1439</v>
      </c>
      <c r="B416" t="s">
        <v>46</v>
      </c>
      <c r="C416" t="s">
        <v>47</v>
      </c>
      <c r="D416" s="7">
        <v>230</v>
      </c>
      <c r="E416">
        <v>2012</v>
      </c>
      <c r="F416">
        <v>2017</v>
      </c>
      <c r="G416" t="str">
        <f>IFERROR(INDEX(Formulations[Formulation],MATCH($C416,Formulations[Product Code],0)),"")</f>
        <v/>
      </c>
    </row>
    <row r="417" spans="1:7" x14ac:dyDescent="0.3">
      <c r="A417" t="s">
        <v>1754</v>
      </c>
      <c r="B417" t="s">
        <v>36</v>
      </c>
      <c r="D417" s="7">
        <v>230</v>
      </c>
      <c r="E417">
        <v>2016</v>
      </c>
      <c r="F417">
        <v>2020</v>
      </c>
      <c r="G417" t="str">
        <f>IFERROR(INDEX(Formulations[Formulation],MATCH($C417,Formulations[Product Code],0)),"")</f>
        <v/>
      </c>
    </row>
    <row r="418" spans="1:7" x14ac:dyDescent="0.3">
      <c r="A418" t="s">
        <v>1761</v>
      </c>
      <c r="B418" t="s">
        <v>913</v>
      </c>
      <c r="C418" t="s">
        <v>914</v>
      </c>
      <c r="D418" s="7">
        <v>230</v>
      </c>
      <c r="E418">
        <v>2014</v>
      </c>
      <c r="F418">
        <v>2020</v>
      </c>
      <c r="G418" t="str">
        <f>IFERROR(INDEX(Formulations[Formulation],MATCH($C418,Formulations[Product Code],0)),"")</f>
        <v/>
      </c>
    </row>
    <row r="419" spans="1:7" x14ac:dyDescent="0.3">
      <c r="A419" t="s">
        <v>2209</v>
      </c>
      <c r="B419" t="s">
        <v>671</v>
      </c>
      <c r="C419" t="s">
        <v>672</v>
      </c>
      <c r="D419" s="7">
        <v>230</v>
      </c>
      <c r="E419">
        <v>2019</v>
      </c>
      <c r="F419">
        <v>2020</v>
      </c>
      <c r="G419" t="str">
        <f>IFERROR(INDEX(Formulations[Formulation],MATCH($C419,Formulations[Product Code],0)),"")</f>
        <v>Pure</v>
      </c>
    </row>
    <row r="420" spans="1:7" x14ac:dyDescent="0.3">
      <c r="A420" t="s">
        <v>2346</v>
      </c>
      <c r="B420" t="s">
        <v>867</v>
      </c>
      <c r="C420" t="s">
        <v>868</v>
      </c>
      <c r="D420" s="7">
        <v>229</v>
      </c>
      <c r="E420">
        <v>2017</v>
      </c>
      <c r="F420">
        <v>2020</v>
      </c>
      <c r="G420" t="str">
        <f>IFERROR(INDEX(Formulations[Formulation],MATCH($C420,Formulations[Product Code],0)),"")</f>
        <v>Crystal</v>
      </c>
    </row>
    <row r="421" spans="1:7" x14ac:dyDescent="0.3">
      <c r="A421" t="s">
        <v>165</v>
      </c>
      <c r="B421" t="s">
        <v>196</v>
      </c>
      <c r="C421" t="s">
        <v>197</v>
      </c>
      <c r="D421" s="7">
        <v>225</v>
      </c>
      <c r="E421">
        <v>2013</v>
      </c>
      <c r="F421">
        <v>2017</v>
      </c>
      <c r="G421" t="str">
        <f>IFERROR(INDEX(Formulations[Formulation],MATCH($C421,Formulations[Product Code],0)),"")</f>
        <v/>
      </c>
    </row>
    <row r="422" spans="1:7" x14ac:dyDescent="0.3">
      <c r="A422" t="s">
        <v>712</v>
      </c>
      <c r="B422" t="s">
        <v>26</v>
      </c>
      <c r="C422" t="s">
        <v>27</v>
      </c>
      <c r="D422" s="7">
        <v>225</v>
      </c>
      <c r="E422">
        <v>2018</v>
      </c>
      <c r="F422">
        <v>2020</v>
      </c>
      <c r="G422" t="str">
        <f>IFERROR(INDEX(Formulations[Formulation],MATCH($C422,Formulations[Product Code],0)),"")</f>
        <v>FLOURAMAX A270578/ P782894</v>
      </c>
    </row>
    <row r="423" spans="1:7" x14ac:dyDescent="0.3">
      <c r="A423" t="s">
        <v>712</v>
      </c>
      <c r="B423" t="s">
        <v>46</v>
      </c>
      <c r="C423" t="s">
        <v>47</v>
      </c>
      <c r="D423" s="7">
        <v>225</v>
      </c>
      <c r="E423">
        <v>2010</v>
      </c>
      <c r="F423">
        <v>2017</v>
      </c>
      <c r="G423" t="str">
        <f>IFERROR(INDEX(Formulations[Formulation],MATCH($C423,Formulations[Product Code],0)),"")</f>
        <v/>
      </c>
    </row>
    <row r="424" spans="1:7" x14ac:dyDescent="0.3">
      <c r="A424" t="s">
        <v>904</v>
      </c>
      <c r="B424" t="s">
        <v>696</v>
      </c>
      <c r="C424" t="s">
        <v>697</v>
      </c>
      <c r="D424" s="7">
        <v>225</v>
      </c>
      <c r="E424">
        <v>2012</v>
      </c>
      <c r="F424">
        <v>2015</v>
      </c>
      <c r="G424" t="str">
        <f>IFERROR(INDEX(Formulations[Formulation],MATCH($C424,Formulations[Product Code],0)),"")</f>
        <v/>
      </c>
    </row>
    <row r="425" spans="1:7" x14ac:dyDescent="0.3">
      <c r="A425" t="s">
        <v>1116</v>
      </c>
      <c r="B425" t="s">
        <v>297</v>
      </c>
      <c r="C425" t="s">
        <v>298</v>
      </c>
      <c r="D425" s="7">
        <v>225</v>
      </c>
      <c r="E425">
        <v>2012</v>
      </c>
      <c r="F425">
        <v>2016</v>
      </c>
      <c r="G425" t="str">
        <f>IFERROR(INDEX(Formulations[Formulation],MATCH($C425,Formulations[Product Code],0)),"")</f>
        <v>Pure</v>
      </c>
    </row>
    <row r="426" spans="1:7" x14ac:dyDescent="0.3">
      <c r="A426" t="s">
        <v>1116</v>
      </c>
      <c r="B426" t="s">
        <v>314</v>
      </c>
      <c r="C426" t="s">
        <v>315</v>
      </c>
      <c r="D426" s="7">
        <v>225</v>
      </c>
      <c r="E426">
        <v>2012</v>
      </c>
      <c r="F426">
        <v>2015</v>
      </c>
      <c r="G426" t="str">
        <f>IFERROR(INDEX(Formulations[Formulation],MATCH($C426,Formulations[Product Code],0)),"")</f>
        <v/>
      </c>
    </row>
    <row r="427" spans="1:7" x14ac:dyDescent="0.3">
      <c r="A427" t="s">
        <v>1372</v>
      </c>
      <c r="B427" t="s">
        <v>647</v>
      </c>
      <c r="C427" t="s">
        <v>648</v>
      </c>
      <c r="D427" s="7">
        <v>225</v>
      </c>
      <c r="E427">
        <v>2016</v>
      </c>
      <c r="F427">
        <v>2018</v>
      </c>
      <c r="G427" t="str">
        <f>IFERROR(INDEX(Formulations[Formulation],MATCH($C427,Formulations[Product Code],0)),"")</f>
        <v/>
      </c>
    </row>
    <row r="428" spans="1:7" x14ac:dyDescent="0.3">
      <c r="A428" t="s">
        <v>1397</v>
      </c>
      <c r="B428" t="s">
        <v>46</v>
      </c>
      <c r="C428" t="s">
        <v>47</v>
      </c>
      <c r="D428" s="7">
        <v>225</v>
      </c>
      <c r="E428">
        <v>2013</v>
      </c>
      <c r="F428">
        <v>2013</v>
      </c>
      <c r="G428" t="str">
        <f>IFERROR(INDEX(Formulations[Formulation],MATCH($C428,Formulations[Product Code],0)),"")</f>
        <v/>
      </c>
    </row>
    <row r="429" spans="1:7" x14ac:dyDescent="0.3">
      <c r="A429" t="s">
        <v>1439</v>
      </c>
      <c r="B429" t="s">
        <v>1441</v>
      </c>
      <c r="C429" t="s">
        <v>1442</v>
      </c>
      <c r="D429" s="7">
        <v>225</v>
      </c>
      <c r="E429">
        <v>2019</v>
      </c>
      <c r="F429">
        <v>2019</v>
      </c>
      <c r="G429" t="str">
        <f>IFERROR(INDEX(Formulations[Formulation],MATCH($C429,Formulations[Product Code],0)),"")</f>
        <v/>
      </c>
    </row>
    <row r="430" spans="1:7" x14ac:dyDescent="0.3">
      <c r="A430" t="s">
        <v>1439</v>
      </c>
      <c r="B430" t="s">
        <v>476</v>
      </c>
      <c r="C430" t="s">
        <v>478</v>
      </c>
      <c r="D430" s="7">
        <v>225</v>
      </c>
      <c r="E430">
        <v>2020</v>
      </c>
      <c r="F430">
        <v>2020</v>
      </c>
      <c r="G430" t="str">
        <f>IFERROR(INDEX(Formulations[Formulation],MATCH($C430,Formulations[Product Code],0)),"")</f>
        <v>Pure</v>
      </c>
    </row>
    <row r="431" spans="1:7" x14ac:dyDescent="0.3">
      <c r="A431" t="s">
        <v>1439</v>
      </c>
      <c r="B431" t="s">
        <v>1455</v>
      </c>
      <c r="D431" s="7">
        <v>225</v>
      </c>
      <c r="E431">
        <v>2013</v>
      </c>
      <c r="F431">
        <v>2013</v>
      </c>
      <c r="G431" t="str">
        <f>IFERROR(INDEX(Formulations[Formulation],MATCH($C431,Formulations[Product Code],0)),"")</f>
        <v/>
      </c>
    </row>
    <row r="432" spans="1:7" x14ac:dyDescent="0.3">
      <c r="A432" t="s">
        <v>1754</v>
      </c>
      <c r="B432" t="s">
        <v>490</v>
      </c>
      <c r="C432" t="s">
        <v>491</v>
      </c>
      <c r="D432" s="7">
        <v>225</v>
      </c>
      <c r="E432">
        <v>2016</v>
      </c>
      <c r="F432">
        <v>2020</v>
      </c>
      <c r="G432" t="str">
        <f>IFERROR(INDEX(Formulations[Formulation],MATCH($C432,Formulations[Product Code],0)),"")</f>
        <v/>
      </c>
    </row>
    <row r="433" spans="1:7" x14ac:dyDescent="0.3">
      <c r="A433" t="s">
        <v>1799</v>
      </c>
      <c r="B433" t="s">
        <v>184</v>
      </c>
      <c r="C433" t="s">
        <v>185</v>
      </c>
      <c r="D433" s="7">
        <v>225</v>
      </c>
      <c r="E433">
        <v>2014</v>
      </c>
      <c r="F433">
        <v>2017</v>
      </c>
      <c r="G433" t="str">
        <f>IFERROR(INDEX(Formulations[Formulation],MATCH($C433,Formulations[Product Code],0)),"")</f>
        <v/>
      </c>
    </row>
    <row r="434" spans="1:7" x14ac:dyDescent="0.3">
      <c r="A434" t="s">
        <v>1810</v>
      </c>
      <c r="B434" t="s">
        <v>1214</v>
      </c>
      <c r="C434" t="s">
        <v>1215</v>
      </c>
      <c r="D434" s="7">
        <v>225</v>
      </c>
      <c r="E434">
        <v>2015</v>
      </c>
      <c r="F434">
        <v>2016</v>
      </c>
      <c r="G434" t="str">
        <f>IFERROR(INDEX(Formulations[Formulation],MATCH($C434,Formulations[Product Code],0)),"")</f>
        <v/>
      </c>
    </row>
    <row r="435" spans="1:7" x14ac:dyDescent="0.3">
      <c r="A435" t="s">
        <v>1984</v>
      </c>
      <c r="B435" t="s">
        <v>1985</v>
      </c>
      <c r="C435" t="s">
        <v>1239</v>
      </c>
      <c r="D435" s="7">
        <v>225</v>
      </c>
      <c r="E435">
        <v>2012</v>
      </c>
      <c r="F435">
        <v>2015</v>
      </c>
      <c r="G435" t="str">
        <f>IFERROR(INDEX(Formulations[Formulation],MATCH($C435,Formulations[Product Code],0)),"")</f>
        <v/>
      </c>
    </row>
    <row r="436" spans="1:7" x14ac:dyDescent="0.3">
      <c r="A436" t="s">
        <v>2346</v>
      </c>
      <c r="B436" t="s">
        <v>662</v>
      </c>
      <c r="C436" t="s">
        <v>525</v>
      </c>
      <c r="D436" s="7">
        <v>225</v>
      </c>
      <c r="E436">
        <v>2019</v>
      </c>
      <c r="F436">
        <v>2020</v>
      </c>
      <c r="G436" t="str">
        <f>IFERROR(INDEX(Formulations[Formulation],MATCH($C436,Formulations[Product Code],0)),"")</f>
        <v/>
      </c>
    </row>
    <row r="437" spans="1:7" x14ac:dyDescent="0.3">
      <c r="A437" t="s">
        <v>2461</v>
      </c>
      <c r="B437" t="s">
        <v>24</v>
      </c>
      <c r="C437" t="s">
        <v>25</v>
      </c>
      <c r="D437" s="7">
        <v>225</v>
      </c>
      <c r="E437">
        <v>2016</v>
      </c>
      <c r="F437">
        <v>2016</v>
      </c>
      <c r="G437" t="str">
        <f>IFERROR(INDEX(Formulations[Formulation],MATCH($C437,Formulations[Product Code],0)),"")</f>
        <v>citropine 85%/Pinefresh 15%</v>
      </c>
    </row>
    <row r="438" spans="1:7" x14ac:dyDescent="0.3">
      <c r="A438" t="s">
        <v>2491</v>
      </c>
      <c r="B438" t="s">
        <v>41</v>
      </c>
      <c r="C438" t="s">
        <v>42</v>
      </c>
      <c r="D438" s="7">
        <v>225</v>
      </c>
      <c r="E438">
        <v>2011</v>
      </c>
      <c r="F438">
        <v>2017</v>
      </c>
      <c r="G438" t="str">
        <f>IFERROR(INDEX(Formulations[Formulation],MATCH($C438,Formulations[Product Code],0)),"")</f>
        <v/>
      </c>
    </row>
    <row r="439" spans="1:7" x14ac:dyDescent="0.3">
      <c r="A439" t="s">
        <v>2574</v>
      </c>
      <c r="B439" t="s">
        <v>46</v>
      </c>
      <c r="C439" t="s">
        <v>47</v>
      </c>
      <c r="D439" s="7">
        <v>225</v>
      </c>
      <c r="E439">
        <v>2017</v>
      </c>
      <c r="F439">
        <v>2019</v>
      </c>
      <c r="G439" t="str">
        <f>IFERROR(INDEX(Formulations[Formulation],MATCH($C439,Formulations[Product Code],0)),"")</f>
        <v/>
      </c>
    </row>
    <row r="440" spans="1:7" x14ac:dyDescent="0.3">
      <c r="A440" t="s">
        <v>2372</v>
      </c>
      <c r="B440" t="s">
        <v>60</v>
      </c>
      <c r="C440" t="s">
        <v>61</v>
      </c>
      <c r="D440" s="7">
        <v>224.5</v>
      </c>
      <c r="E440">
        <v>2013</v>
      </c>
      <c r="F440">
        <v>2018</v>
      </c>
      <c r="G440" t="str">
        <f>IFERROR(INDEX(Formulations[Formulation],MATCH($C440,Formulations[Product Code],0)),"")</f>
        <v>Pure</v>
      </c>
    </row>
    <row r="441" spans="1:7" x14ac:dyDescent="0.3">
      <c r="A441" t="s">
        <v>1784</v>
      </c>
      <c r="B441" t="s">
        <v>581</v>
      </c>
      <c r="C441" t="s">
        <v>582</v>
      </c>
      <c r="D441" s="7">
        <v>220</v>
      </c>
      <c r="E441">
        <v>2014</v>
      </c>
      <c r="F441">
        <v>2014</v>
      </c>
      <c r="G441" t="str">
        <f>IFERROR(INDEX(Formulations[Formulation],MATCH($C441,Formulations[Product Code],0)),"")</f>
        <v/>
      </c>
    </row>
    <row r="442" spans="1:7" x14ac:dyDescent="0.3">
      <c r="A442" t="s">
        <v>2437</v>
      </c>
      <c r="B442" t="s">
        <v>671</v>
      </c>
      <c r="C442" t="s">
        <v>672</v>
      </c>
      <c r="D442" s="7">
        <v>220</v>
      </c>
      <c r="E442">
        <v>2017</v>
      </c>
      <c r="F442">
        <v>2020</v>
      </c>
      <c r="G442" t="str">
        <f>IFERROR(INDEX(Formulations[Formulation],MATCH($C442,Formulations[Product Code],0)),"")</f>
        <v>Pure</v>
      </c>
    </row>
    <row r="443" spans="1:7" x14ac:dyDescent="0.3">
      <c r="A443" t="s">
        <v>1761</v>
      </c>
      <c r="B443" t="s">
        <v>1769</v>
      </c>
      <c r="C443" t="s">
        <v>1770</v>
      </c>
      <c r="D443" s="7">
        <v>215</v>
      </c>
      <c r="E443">
        <v>2019</v>
      </c>
      <c r="F443">
        <v>2021</v>
      </c>
      <c r="G443" t="str">
        <f>IFERROR(INDEX(Formulations[Formulation],MATCH($C443,Formulations[Product Code],0)),"")</f>
        <v>Crystal</v>
      </c>
    </row>
    <row r="444" spans="1:7" x14ac:dyDescent="0.3">
      <c r="A444" t="s">
        <v>2317</v>
      </c>
      <c r="B444" t="s">
        <v>543</v>
      </c>
      <c r="C444" t="s">
        <v>544</v>
      </c>
      <c r="D444" s="7">
        <v>215</v>
      </c>
      <c r="E444">
        <v>2020</v>
      </c>
      <c r="F444">
        <v>2020</v>
      </c>
      <c r="G444" t="str">
        <f>IFERROR(INDEX(Formulations[Formulation],MATCH($C444,Formulations[Product Code],0)),"")</f>
        <v>Crystal</v>
      </c>
    </row>
    <row r="445" spans="1:7" x14ac:dyDescent="0.3">
      <c r="A445" t="s">
        <v>2534</v>
      </c>
      <c r="B445" t="s">
        <v>438</v>
      </c>
      <c r="C445" t="s">
        <v>439</v>
      </c>
      <c r="D445" s="7">
        <v>212</v>
      </c>
      <c r="E445">
        <v>2018</v>
      </c>
      <c r="F445">
        <v>2020</v>
      </c>
      <c r="G445" t="str">
        <f>IFERROR(INDEX(Formulations[Formulation],MATCH($C445,Formulations[Product Code],0)),"")</f>
        <v>Pure</v>
      </c>
    </row>
    <row r="446" spans="1:7" x14ac:dyDescent="0.3">
      <c r="A446" t="s">
        <v>812</v>
      </c>
      <c r="B446" t="s">
        <v>813</v>
      </c>
      <c r="C446" t="s">
        <v>814</v>
      </c>
      <c r="D446" s="7">
        <v>210</v>
      </c>
      <c r="E446">
        <v>2020</v>
      </c>
      <c r="F446">
        <v>2021</v>
      </c>
      <c r="G446" t="str">
        <f>IFERROR(INDEX(Formulations[Formulation],MATCH($C446,Formulations[Product Code],0)),"")</f>
        <v>WS</v>
      </c>
    </row>
    <row r="447" spans="1:7" x14ac:dyDescent="0.3">
      <c r="A447" t="s">
        <v>941</v>
      </c>
      <c r="B447" t="s">
        <v>64</v>
      </c>
      <c r="C447" t="s">
        <v>65</v>
      </c>
      <c r="D447" s="7">
        <v>210</v>
      </c>
      <c r="E447">
        <v>2016</v>
      </c>
      <c r="F447">
        <v>2017</v>
      </c>
      <c r="G447" t="str">
        <f>IFERROR(INDEX(Formulations[Formulation],MATCH($C447,Formulations[Product Code],0)),"")</f>
        <v>Crystal</v>
      </c>
    </row>
    <row r="448" spans="1:7" x14ac:dyDescent="0.3">
      <c r="A448" t="s">
        <v>987</v>
      </c>
      <c r="B448" t="s">
        <v>988</v>
      </c>
      <c r="C448" t="s">
        <v>989</v>
      </c>
      <c r="D448" s="7">
        <v>210</v>
      </c>
      <c r="E448">
        <v>2010</v>
      </c>
      <c r="F448">
        <v>2010</v>
      </c>
      <c r="G448" t="str">
        <f>IFERROR(INDEX(Formulations[Formulation],MATCH($C448,Formulations[Product Code],0)),"")</f>
        <v/>
      </c>
    </row>
    <row r="449" spans="1:7" x14ac:dyDescent="0.3">
      <c r="A449" t="s">
        <v>1873</v>
      </c>
      <c r="B449" t="s">
        <v>839</v>
      </c>
      <c r="C449" t="s">
        <v>138</v>
      </c>
      <c r="D449" s="7">
        <v>210</v>
      </c>
      <c r="E449">
        <v>2012</v>
      </c>
      <c r="F449">
        <v>2020</v>
      </c>
      <c r="G449" t="str">
        <f>IFERROR(INDEX(Formulations[Formulation],MATCH($C449,Formulations[Product Code],0)),"")</f>
        <v>WS</v>
      </c>
    </row>
    <row r="450" spans="1:7" x14ac:dyDescent="0.3">
      <c r="A450" t="s">
        <v>2455</v>
      </c>
      <c r="B450" t="s">
        <v>184</v>
      </c>
      <c r="C450" t="s">
        <v>185</v>
      </c>
      <c r="D450" s="7">
        <v>210</v>
      </c>
      <c r="E450">
        <v>2009</v>
      </c>
      <c r="F450">
        <v>2019</v>
      </c>
      <c r="G450" t="str">
        <f>IFERROR(INDEX(Formulations[Formulation],MATCH($C450,Formulations[Product Code],0)),"")</f>
        <v/>
      </c>
    </row>
    <row r="451" spans="1:7" x14ac:dyDescent="0.3">
      <c r="A451" t="s">
        <v>712</v>
      </c>
      <c r="B451" t="s">
        <v>741</v>
      </c>
      <c r="C451" t="s">
        <v>742</v>
      </c>
      <c r="D451" s="7">
        <v>205</v>
      </c>
      <c r="E451">
        <v>2013</v>
      </c>
      <c r="F451">
        <v>2017</v>
      </c>
      <c r="G451" t="str">
        <f>IFERROR(INDEX(Formulations[Formulation],MATCH($C451,Formulations[Product Code],0)),"")</f>
        <v/>
      </c>
    </row>
    <row r="452" spans="1:7" x14ac:dyDescent="0.3">
      <c r="A452" t="s">
        <v>1116</v>
      </c>
      <c r="B452" t="s">
        <v>16</v>
      </c>
      <c r="C452" t="s">
        <v>17</v>
      </c>
      <c r="D452" s="7">
        <v>205</v>
      </c>
      <c r="E452">
        <v>2020</v>
      </c>
      <c r="F452">
        <v>2021</v>
      </c>
      <c r="G452" t="str">
        <f>IFERROR(INDEX(Formulations[Formulation],MATCH($C452,Formulations[Product Code],0)),"")</f>
        <v>Crystal</v>
      </c>
    </row>
    <row r="453" spans="1:7" x14ac:dyDescent="0.3">
      <c r="A453" t="s">
        <v>1175</v>
      </c>
      <c r="B453" t="s">
        <v>1176</v>
      </c>
      <c r="D453" s="7">
        <v>205</v>
      </c>
      <c r="E453">
        <v>2020</v>
      </c>
      <c r="F453">
        <v>2021</v>
      </c>
      <c r="G453" t="str">
        <f>IFERROR(INDEX(Formulations[Formulation],MATCH($C453,Formulations[Product Code],0)),"")</f>
        <v/>
      </c>
    </row>
    <row r="454" spans="1:7" x14ac:dyDescent="0.3">
      <c r="A454" t="s">
        <v>2465</v>
      </c>
      <c r="B454" t="s">
        <v>32</v>
      </c>
      <c r="D454" s="7">
        <v>205</v>
      </c>
      <c r="E454">
        <v>2011</v>
      </c>
      <c r="F454">
        <v>2014</v>
      </c>
      <c r="G454" t="str">
        <f>IFERROR(INDEX(Formulations[Formulation],MATCH($C454,Formulations[Product Code],0)),"")</f>
        <v/>
      </c>
    </row>
    <row r="455" spans="1:7" x14ac:dyDescent="0.3">
      <c r="A455" t="s">
        <v>2491</v>
      </c>
      <c r="B455" t="s">
        <v>32</v>
      </c>
      <c r="D455" s="7">
        <v>205</v>
      </c>
      <c r="E455">
        <v>2014</v>
      </c>
      <c r="F455">
        <v>2018</v>
      </c>
      <c r="G455" t="str">
        <f>IFERROR(INDEX(Formulations[Formulation],MATCH($C455,Formulations[Product Code],0)),"")</f>
        <v/>
      </c>
    </row>
    <row r="456" spans="1:7" x14ac:dyDescent="0.3">
      <c r="A456" t="s">
        <v>2577</v>
      </c>
      <c r="B456" t="s">
        <v>314</v>
      </c>
      <c r="C456" t="s">
        <v>315</v>
      </c>
      <c r="D456" s="7">
        <v>205</v>
      </c>
      <c r="E456">
        <v>2015</v>
      </c>
      <c r="F456">
        <v>2018</v>
      </c>
      <c r="G456" t="str">
        <f>IFERROR(INDEX(Formulations[Formulation],MATCH($C456,Formulations[Product Code],0)),"")</f>
        <v/>
      </c>
    </row>
    <row r="457" spans="1:7" x14ac:dyDescent="0.3">
      <c r="A457" t="s">
        <v>941</v>
      </c>
      <c r="B457" t="s">
        <v>184</v>
      </c>
      <c r="C457" t="s">
        <v>185</v>
      </c>
      <c r="D457" s="7">
        <v>203</v>
      </c>
      <c r="E457">
        <v>2016</v>
      </c>
      <c r="F457">
        <v>2018</v>
      </c>
      <c r="G457" t="str">
        <f>IFERROR(INDEX(Formulations[Formulation],MATCH($C457,Formulations[Product Code],0)),"")</f>
        <v/>
      </c>
    </row>
    <row r="458" spans="1:7" x14ac:dyDescent="0.3">
      <c r="A458" t="s">
        <v>2294</v>
      </c>
      <c r="B458" t="s">
        <v>39</v>
      </c>
      <c r="D458" s="7">
        <v>201</v>
      </c>
      <c r="E458">
        <v>2019</v>
      </c>
      <c r="F458">
        <v>2021</v>
      </c>
      <c r="G458" t="str">
        <f>IFERROR(INDEX(Formulations[Formulation],MATCH($C458,Formulations[Product Code],0)),"")</f>
        <v/>
      </c>
    </row>
    <row r="459" spans="1:7" x14ac:dyDescent="0.3">
      <c r="A459" t="s">
        <v>2563</v>
      </c>
      <c r="B459" t="s">
        <v>24</v>
      </c>
      <c r="C459" t="s">
        <v>25</v>
      </c>
      <c r="D459" s="7">
        <v>201</v>
      </c>
      <c r="E459">
        <v>2012</v>
      </c>
      <c r="F459">
        <v>2015</v>
      </c>
      <c r="G459" t="str">
        <f>IFERROR(INDEX(Formulations[Formulation],MATCH($C459,Formulations[Product Code],0)),"")</f>
        <v>citropine 85%/Pinefresh 15%</v>
      </c>
    </row>
    <row r="460" spans="1:7" x14ac:dyDescent="0.3">
      <c r="A460" t="s">
        <v>273</v>
      </c>
      <c r="B460" t="s">
        <v>72</v>
      </c>
      <c r="C460" t="s">
        <v>102</v>
      </c>
      <c r="D460" s="7">
        <v>200</v>
      </c>
      <c r="E460">
        <v>2013</v>
      </c>
      <c r="F460">
        <v>2014</v>
      </c>
      <c r="G460" t="str">
        <f>IFERROR(INDEX(Formulations[Formulation],MATCH($C460,Formulations[Product Code],0)),"")</f>
        <v>Gold</v>
      </c>
    </row>
    <row r="461" spans="1:7" x14ac:dyDescent="0.3">
      <c r="A461" t="s">
        <v>695</v>
      </c>
      <c r="B461" t="s">
        <v>21</v>
      </c>
      <c r="C461" t="s">
        <v>22</v>
      </c>
      <c r="D461" s="7">
        <v>200</v>
      </c>
      <c r="E461">
        <v>2009</v>
      </c>
      <c r="F461">
        <v>2010</v>
      </c>
      <c r="G461" t="str">
        <f>IFERROR(INDEX(Formulations[Formulation],MATCH($C461,Formulations[Product Code],0)),"")</f>
        <v>Crystal</v>
      </c>
    </row>
    <row r="462" spans="1:7" x14ac:dyDescent="0.3">
      <c r="A462" t="s">
        <v>712</v>
      </c>
      <c r="B462" t="s">
        <v>174</v>
      </c>
      <c r="C462" t="s">
        <v>175</v>
      </c>
      <c r="D462" s="7">
        <v>200</v>
      </c>
      <c r="E462">
        <v>2016</v>
      </c>
      <c r="F462">
        <v>2019</v>
      </c>
      <c r="G462" t="str">
        <f>IFERROR(INDEX(Formulations[Formulation],MATCH($C462,Formulations[Product Code],0)),"")</f>
        <v/>
      </c>
    </row>
    <row r="463" spans="1:7" x14ac:dyDescent="0.3">
      <c r="A463" t="s">
        <v>923</v>
      </c>
      <c r="B463" t="s">
        <v>554</v>
      </c>
      <c r="C463" t="s">
        <v>249</v>
      </c>
      <c r="D463" s="7">
        <v>200</v>
      </c>
      <c r="E463">
        <v>2017</v>
      </c>
      <c r="F463">
        <v>2018</v>
      </c>
      <c r="G463" t="str">
        <f>IFERROR(INDEX(Formulations[Formulation],MATCH($C463,Formulations[Product Code],0)),"")</f>
        <v>WS</v>
      </c>
    </row>
    <row r="464" spans="1:7" x14ac:dyDescent="0.3">
      <c r="A464" t="s">
        <v>1028</v>
      </c>
      <c r="B464" t="s">
        <v>1078</v>
      </c>
      <c r="C464" t="s">
        <v>1079</v>
      </c>
      <c r="D464" s="7">
        <v>200</v>
      </c>
      <c r="E464">
        <v>2016</v>
      </c>
      <c r="F464">
        <v>2016</v>
      </c>
      <c r="G464" t="str">
        <f>IFERROR(INDEX(Formulations[Formulation],MATCH($C464,Formulations[Product Code],0)),"")</f>
        <v/>
      </c>
    </row>
    <row r="465" spans="1:7" x14ac:dyDescent="0.3">
      <c r="A465" t="s">
        <v>1102</v>
      </c>
      <c r="B465" t="s">
        <v>674</v>
      </c>
      <c r="C465" t="s">
        <v>675</v>
      </c>
      <c r="D465" s="7">
        <v>200</v>
      </c>
      <c r="E465">
        <v>2019</v>
      </c>
      <c r="F465">
        <v>2019</v>
      </c>
      <c r="G465" t="str">
        <f>IFERROR(INDEX(Formulations[Formulation],MATCH($C465,Formulations[Product Code],0)),"")</f>
        <v>Crystal</v>
      </c>
    </row>
    <row r="466" spans="1:7" x14ac:dyDescent="0.3">
      <c r="A466" t="s">
        <v>1356</v>
      </c>
      <c r="B466" t="s">
        <v>16</v>
      </c>
      <c r="C466" t="s">
        <v>17</v>
      </c>
      <c r="D466" s="7">
        <v>200</v>
      </c>
      <c r="E466">
        <v>2017</v>
      </c>
      <c r="F466">
        <v>2021</v>
      </c>
      <c r="G466" t="str">
        <f>IFERROR(INDEX(Formulations[Formulation],MATCH($C466,Formulations[Product Code],0)),"")</f>
        <v>Crystal</v>
      </c>
    </row>
    <row r="467" spans="1:7" x14ac:dyDescent="0.3">
      <c r="A467" t="s">
        <v>1439</v>
      </c>
      <c r="B467" t="s">
        <v>41</v>
      </c>
      <c r="C467" t="s">
        <v>63</v>
      </c>
      <c r="D467" s="7">
        <v>200</v>
      </c>
      <c r="E467">
        <v>2018</v>
      </c>
      <c r="F467">
        <v>2018</v>
      </c>
      <c r="G467" t="str">
        <f>IFERROR(INDEX(Formulations[Formulation],MATCH($C467,Formulations[Product Code],0)),"")</f>
        <v>Crystal</v>
      </c>
    </row>
    <row r="468" spans="1:7" x14ac:dyDescent="0.3">
      <c r="A468" t="s">
        <v>1439</v>
      </c>
      <c r="B468" t="s">
        <v>110</v>
      </c>
      <c r="C468" t="s">
        <v>111</v>
      </c>
      <c r="D468" s="7">
        <v>200</v>
      </c>
      <c r="E468">
        <v>2018</v>
      </c>
      <c r="F468">
        <v>2018</v>
      </c>
      <c r="G468" t="str">
        <f>IFERROR(INDEX(Formulations[Formulation],MATCH($C468,Formulations[Product Code],0)),"")</f>
        <v>75% Lemon Zeste, 25% lemon Top &amp; the Gold DPG)</v>
      </c>
    </row>
    <row r="469" spans="1:7" x14ac:dyDescent="0.3">
      <c r="A469" t="s">
        <v>1650</v>
      </c>
      <c r="B469" t="s">
        <v>476</v>
      </c>
      <c r="C469" t="s">
        <v>478</v>
      </c>
      <c r="D469" s="7">
        <v>200</v>
      </c>
      <c r="E469">
        <v>2021</v>
      </c>
      <c r="F469">
        <v>2021</v>
      </c>
      <c r="G469" t="str">
        <f>IFERROR(INDEX(Formulations[Formulation],MATCH($C469,Formulations[Product Code],0)),"")</f>
        <v>Pure</v>
      </c>
    </row>
    <row r="470" spans="1:7" x14ac:dyDescent="0.3">
      <c r="A470" t="s">
        <v>1658</v>
      </c>
      <c r="B470" t="s">
        <v>1659</v>
      </c>
      <c r="C470" t="s">
        <v>27</v>
      </c>
      <c r="D470" s="7">
        <v>200</v>
      </c>
      <c r="E470">
        <v>2016</v>
      </c>
      <c r="F470">
        <v>2016</v>
      </c>
      <c r="G470" t="str">
        <f>IFERROR(INDEX(Formulations[Formulation],MATCH($C470,Formulations[Product Code],0)),"")</f>
        <v>FLOURAMAX A270578/ P782894</v>
      </c>
    </row>
    <row r="471" spans="1:7" x14ac:dyDescent="0.3">
      <c r="A471" t="s">
        <v>1660</v>
      </c>
      <c r="B471" t="s">
        <v>1661</v>
      </c>
      <c r="D471" s="7">
        <v>200</v>
      </c>
      <c r="E471">
        <v>2020</v>
      </c>
      <c r="F471">
        <v>2020</v>
      </c>
      <c r="G471" t="str">
        <f>IFERROR(INDEX(Formulations[Formulation],MATCH($C471,Formulations[Product Code],0)),"")</f>
        <v/>
      </c>
    </row>
    <row r="472" spans="1:7" x14ac:dyDescent="0.3">
      <c r="A472" t="s">
        <v>1754</v>
      </c>
      <c r="B472" t="s">
        <v>995</v>
      </c>
      <c r="C472" t="s">
        <v>672</v>
      </c>
      <c r="D472" s="7">
        <v>200</v>
      </c>
      <c r="E472">
        <v>2019</v>
      </c>
      <c r="F472">
        <v>2019</v>
      </c>
      <c r="G472" t="str">
        <f>IFERROR(INDEX(Formulations[Formulation],MATCH($C472,Formulations[Product Code],0)),"")</f>
        <v>Pure</v>
      </c>
    </row>
    <row r="473" spans="1:7" x14ac:dyDescent="0.3">
      <c r="A473" t="s">
        <v>1754</v>
      </c>
      <c r="B473" t="s">
        <v>425</v>
      </c>
      <c r="C473" t="s">
        <v>426</v>
      </c>
      <c r="D473" s="7">
        <v>200</v>
      </c>
      <c r="E473">
        <v>2012</v>
      </c>
      <c r="F473">
        <v>2013</v>
      </c>
      <c r="G473" t="str">
        <f>IFERROR(INDEX(Formulations[Formulation],MATCH($C473,Formulations[Product Code],0)),"")</f>
        <v/>
      </c>
    </row>
    <row r="474" spans="1:7" x14ac:dyDescent="0.3">
      <c r="A474" t="s">
        <v>1799</v>
      </c>
      <c r="B474" t="s">
        <v>635</v>
      </c>
      <c r="C474" t="s">
        <v>636</v>
      </c>
      <c r="D474" s="7">
        <v>200</v>
      </c>
      <c r="E474">
        <v>2017</v>
      </c>
      <c r="F474">
        <v>2021</v>
      </c>
      <c r="G474" t="str">
        <f>IFERROR(INDEX(Formulations[Formulation],MATCH($C474,Formulations[Product Code],0)),"")</f>
        <v>Pure</v>
      </c>
    </row>
    <row r="475" spans="1:7" x14ac:dyDescent="0.3">
      <c r="A475" t="s">
        <v>1832</v>
      </c>
      <c r="B475" t="s">
        <v>41</v>
      </c>
      <c r="C475" t="s">
        <v>63</v>
      </c>
      <c r="D475" s="7">
        <v>200</v>
      </c>
      <c r="E475">
        <v>2015</v>
      </c>
      <c r="F475">
        <v>2016</v>
      </c>
      <c r="G475" t="str">
        <f>IFERROR(INDEX(Formulations[Formulation],MATCH($C475,Formulations[Product Code],0)),"")</f>
        <v>Crystal</v>
      </c>
    </row>
    <row r="476" spans="1:7" x14ac:dyDescent="0.3">
      <c r="A476" t="s">
        <v>1832</v>
      </c>
      <c r="B476" t="s">
        <v>110</v>
      </c>
      <c r="C476" t="s">
        <v>111</v>
      </c>
      <c r="D476" s="7">
        <v>200</v>
      </c>
      <c r="E476">
        <v>2018</v>
      </c>
      <c r="F476">
        <v>2018</v>
      </c>
      <c r="G476" t="str">
        <f>IFERROR(INDEX(Formulations[Formulation],MATCH($C476,Formulations[Product Code],0)),"")</f>
        <v>75% Lemon Zeste, 25% lemon Top &amp; the Gold DPG)</v>
      </c>
    </row>
    <row r="477" spans="1:7" x14ac:dyDescent="0.3">
      <c r="A477" t="s">
        <v>1838</v>
      </c>
      <c r="B477" t="s">
        <v>26</v>
      </c>
      <c r="C477" t="s">
        <v>27</v>
      </c>
      <c r="D477" s="7">
        <v>200</v>
      </c>
      <c r="E477">
        <v>2021</v>
      </c>
      <c r="F477">
        <v>2021</v>
      </c>
      <c r="G477" t="str">
        <f>IFERROR(INDEX(Formulations[Formulation],MATCH($C477,Formulations[Product Code],0)),"")</f>
        <v>FLOURAMAX A270578/ P782894</v>
      </c>
    </row>
    <row r="478" spans="1:7" x14ac:dyDescent="0.3">
      <c r="A478" t="s">
        <v>1838</v>
      </c>
      <c r="B478" t="s">
        <v>741</v>
      </c>
      <c r="C478" t="s">
        <v>742</v>
      </c>
      <c r="D478" s="7">
        <v>200</v>
      </c>
      <c r="E478">
        <v>2015</v>
      </c>
      <c r="F478">
        <v>2016</v>
      </c>
      <c r="G478" t="str">
        <f>IFERROR(INDEX(Formulations[Formulation],MATCH($C478,Formulations[Product Code],0)),"")</f>
        <v/>
      </c>
    </row>
    <row r="479" spans="1:7" x14ac:dyDescent="0.3">
      <c r="A479" t="s">
        <v>1862</v>
      </c>
      <c r="B479" t="s">
        <v>1863</v>
      </c>
      <c r="D479" s="7">
        <v>200</v>
      </c>
      <c r="E479">
        <v>2010</v>
      </c>
      <c r="F479">
        <v>2010</v>
      </c>
      <c r="G479" t="str">
        <f>IFERROR(INDEX(Formulations[Formulation],MATCH($C479,Formulations[Product Code],0)),"")</f>
        <v/>
      </c>
    </row>
    <row r="480" spans="1:7" x14ac:dyDescent="0.3">
      <c r="A480" t="s">
        <v>1862</v>
      </c>
      <c r="B480" t="s">
        <v>41</v>
      </c>
      <c r="C480" t="s">
        <v>42</v>
      </c>
      <c r="D480" s="7">
        <v>200</v>
      </c>
      <c r="E480">
        <v>2012</v>
      </c>
      <c r="F480">
        <v>2012</v>
      </c>
      <c r="G480" t="str">
        <f>IFERROR(INDEX(Formulations[Formulation],MATCH($C480,Formulations[Product Code],0)),"")</f>
        <v/>
      </c>
    </row>
    <row r="481" spans="1:7" x14ac:dyDescent="0.3">
      <c r="A481" t="s">
        <v>1883</v>
      </c>
      <c r="B481" t="s">
        <v>1106</v>
      </c>
      <c r="C481" t="s">
        <v>1095</v>
      </c>
      <c r="D481" s="7">
        <v>200</v>
      </c>
      <c r="E481">
        <v>2020</v>
      </c>
      <c r="F481">
        <v>2020</v>
      </c>
      <c r="G481" t="str">
        <f>IFERROR(INDEX(Formulations[Formulation],MATCH($C481,Formulations[Product Code],0)),"")</f>
        <v/>
      </c>
    </row>
    <row r="482" spans="1:7" x14ac:dyDescent="0.3">
      <c r="A482" t="s">
        <v>1906</v>
      </c>
      <c r="B482" t="s">
        <v>21</v>
      </c>
      <c r="C482" t="s">
        <v>22</v>
      </c>
      <c r="D482" s="7">
        <v>200</v>
      </c>
      <c r="E482">
        <v>2014</v>
      </c>
      <c r="F482">
        <v>2019</v>
      </c>
      <c r="G482" t="str">
        <f>IFERROR(INDEX(Formulations[Formulation],MATCH($C482,Formulations[Product Code],0)),"")</f>
        <v>Crystal</v>
      </c>
    </row>
    <row r="483" spans="1:7" x14ac:dyDescent="0.3">
      <c r="A483" t="s">
        <v>1920</v>
      </c>
      <c r="B483" t="s">
        <v>1921</v>
      </c>
      <c r="D483" s="7">
        <v>200</v>
      </c>
      <c r="E483">
        <v>2009</v>
      </c>
      <c r="F483">
        <v>2009</v>
      </c>
      <c r="G483" t="str">
        <f>IFERROR(INDEX(Formulations[Formulation],MATCH($C483,Formulations[Product Code],0)),"")</f>
        <v/>
      </c>
    </row>
    <row r="484" spans="1:7" x14ac:dyDescent="0.3">
      <c r="A484" t="s">
        <v>2092</v>
      </c>
      <c r="B484" t="s">
        <v>41</v>
      </c>
      <c r="C484" t="s">
        <v>63</v>
      </c>
      <c r="D484" s="7">
        <v>200</v>
      </c>
      <c r="E484">
        <v>2014</v>
      </c>
      <c r="F484">
        <v>2014</v>
      </c>
      <c r="G484" t="str">
        <f>IFERROR(INDEX(Formulations[Formulation],MATCH($C484,Formulations[Product Code],0)),"")</f>
        <v>Crystal</v>
      </c>
    </row>
    <row r="485" spans="1:7" x14ac:dyDescent="0.3">
      <c r="A485" t="s">
        <v>2095</v>
      </c>
      <c r="B485" t="s">
        <v>665</v>
      </c>
      <c r="D485" s="7">
        <v>200</v>
      </c>
      <c r="E485">
        <v>2019</v>
      </c>
      <c r="F485">
        <v>2020</v>
      </c>
      <c r="G485" t="str">
        <f>IFERROR(INDEX(Formulations[Formulation],MATCH($C485,Formulations[Product Code],0)),"")</f>
        <v/>
      </c>
    </row>
    <row r="486" spans="1:7" x14ac:dyDescent="0.3">
      <c r="A486" t="s">
        <v>2095</v>
      </c>
      <c r="B486" t="s">
        <v>242</v>
      </c>
      <c r="D486" s="7">
        <v>200</v>
      </c>
      <c r="E486">
        <v>2021</v>
      </c>
      <c r="F486">
        <v>2021</v>
      </c>
      <c r="G486" t="str">
        <f>IFERROR(INDEX(Formulations[Formulation],MATCH($C486,Formulations[Product Code],0)),"")</f>
        <v/>
      </c>
    </row>
    <row r="487" spans="1:7" x14ac:dyDescent="0.3">
      <c r="A487" t="s">
        <v>2097</v>
      </c>
      <c r="B487" t="s">
        <v>2104</v>
      </c>
      <c r="C487" t="s">
        <v>2105</v>
      </c>
      <c r="D487" s="7">
        <v>200</v>
      </c>
      <c r="E487">
        <v>2018</v>
      </c>
      <c r="F487">
        <v>2020</v>
      </c>
      <c r="G487" t="str">
        <f>IFERROR(INDEX(Formulations[Formulation],MATCH($C487,Formulations[Product Code],0)),"")</f>
        <v/>
      </c>
    </row>
    <row r="488" spans="1:7" x14ac:dyDescent="0.3">
      <c r="A488" t="s">
        <v>2097</v>
      </c>
      <c r="B488" t="s">
        <v>334</v>
      </c>
      <c r="C488" t="s">
        <v>335</v>
      </c>
      <c r="D488" s="7">
        <v>200</v>
      </c>
      <c r="E488">
        <v>2017</v>
      </c>
      <c r="F488">
        <v>2021</v>
      </c>
      <c r="G488" t="str">
        <f>IFERROR(INDEX(Formulations[Formulation],MATCH($C488,Formulations[Product Code],0)),"")</f>
        <v>Pure</v>
      </c>
    </row>
    <row r="489" spans="1:7" x14ac:dyDescent="0.3">
      <c r="A489" t="s">
        <v>2112</v>
      </c>
      <c r="B489" t="s">
        <v>32</v>
      </c>
      <c r="D489" s="7">
        <v>200</v>
      </c>
      <c r="E489">
        <v>2017</v>
      </c>
      <c r="F489">
        <v>2017</v>
      </c>
      <c r="G489" t="str">
        <f>IFERROR(INDEX(Formulations[Formulation],MATCH($C489,Formulations[Product Code],0)),"")</f>
        <v/>
      </c>
    </row>
    <row r="490" spans="1:7" x14ac:dyDescent="0.3">
      <c r="A490" t="s">
        <v>2209</v>
      </c>
      <c r="B490" t="s">
        <v>174</v>
      </c>
      <c r="C490" t="s">
        <v>175</v>
      </c>
      <c r="D490" s="7">
        <v>200</v>
      </c>
      <c r="E490">
        <v>2019</v>
      </c>
      <c r="F490">
        <v>2019</v>
      </c>
      <c r="G490" t="str">
        <f>IFERROR(INDEX(Formulations[Formulation],MATCH($C490,Formulations[Product Code],0)),"")</f>
        <v/>
      </c>
    </row>
    <row r="491" spans="1:7" x14ac:dyDescent="0.3">
      <c r="A491" t="s">
        <v>2216</v>
      </c>
      <c r="B491" t="s">
        <v>1347</v>
      </c>
      <c r="C491" t="s">
        <v>737</v>
      </c>
      <c r="D491" s="7">
        <v>200</v>
      </c>
      <c r="E491">
        <v>2021</v>
      </c>
      <c r="F491">
        <v>2021</v>
      </c>
      <c r="G491" t="str">
        <f>IFERROR(INDEX(Formulations[Formulation],MATCH($C491,Formulations[Product Code],0)),"")</f>
        <v>Flouramax40%, Strawberry 20%, Banana 20%g &amp; Cherry 20%</v>
      </c>
    </row>
    <row r="492" spans="1:7" x14ac:dyDescent="0.3">
      <c r="A492" t="s">
        <v>2294</v>
      </c>
      <c r="B492" t="s">
        <v>45</v>
      </c>
      <c r="D492" s="7">
        <v>200</v>
      </c>
      <c r="E492">
        <v>2019</v>
      </c>
      <c r="F492">
        <v>2019</v>
      </c>
      <c r="G492" t="str">
        <f>IFERROR(INDEX(Formulations[Formulation],MATCH($C492,Formulations[Product Code],0)),"")</f>
        <v/>
      </c>
    </row>
    <row r="493" spans="1:7" x14ac:dyDescent="0.3">
      <c r="A493" t="s">
        <v>2324</v>
      </c>
      <c r="B493" t="s">
        <v>272</v>
      </c>
      <c r="D493" s="7">
        <v>200</v>
      </c>
      <c r="E493">
        <v>2010</v>
      </c>
      <c r="F493">
        <v>2010</v>
      </c>
      <c r="G493" t="str">
        <f>IFERROR(INDEX(Formulations[Formulation],MATCH($C493,Formulations[Product Code],0)),"")</f>
        <v/>
      </c>
    </row>
    <row r="494" spans="1:7" x14ac:dyDescent="0.3">
      <c r="A494" t="s">
        <v>2368</v>
      </c>
      <c r="B494" t="s">
        <v>110</v>
      </c>
      <c r="C494" t="s">
        <v>111</v>
      </c>
      <c r="D494" s="7">
        <v>200</v>
      </c>
      <c r="E494">
        <v>2019</v>
      </c>
      <c r="F494">
        <v>2020</v>
      </c>
      <c r="G494" t="str">
        <f>IFERROR(INDEX(Formulations[Formulation],MATCH($C494,Formulations[Product Code],0)),"")</f>
        <v>75% Lemon Zeste, 25% lemon Top &amp; the Gold DPG)</v>
      </c>
    </row>
    <row r="495" spans="1:7" x14ac:dyDescent="0.3">
      <c r="A495" t="s">
        <v>2436</v>
      </c>
      <c r="B495" t="s">
        <v>110</v>
      </c>
      <c r="C495" t="s">
        <v>111</v>
      </c>
      <c r="D495" s="7">
        <v>200</v>
      </c>
      <c r="E495">
        <v>2018</v>
      </c>
      <c r="F495">
        <v>2018</v>
      </c>
      <c r="G495" t="str">
        <f>IFERROR(INDEX(Formulations[Formulation],MATCH($C495,Formulations[Product Code],0)),"")</f>
        <v>75% Lemon Zeste, 25% lemon Top &amp; the Gold DPG)</v>
      </c>
    </row>
    <row r="496" spans="1:7" x14ac:dyDescent="0.3">
      <c r="A496" t="s">
        <v>2438</v>
      </c>
      <c r="B496" t="s">
        <v>19</v>
      </c>
      <c r="C496" t="s">
        <v>20</v>
      </c>
      <c r="D496" s="7">
        <v>200</v>
      </c>
      <c r="E496">
        <v>2018</v>
      </c>
      <c r="F496">
        <v>2020</v>
      </c>
      <c r="G496" t="str">
        <f>IFERROR(INDEX(Formulations[Formulation],MATCH($C496,Formulations[Product Code],0)),"")</f>
        <v>80 % Oil AND 20 % DPG</v>
      </c>
    </row>
    <row r="497" spans="1:7" x14ac:dyDescent="0.3">
      <c r="A497" t="s">
        <v>2455</v>
      </c>
      <c r="B497" t="s">
        <v>184</v>
      </c>
      <c r="C497" t="s">
        <v>2457</v>
      </c>
      <c r="D497" s="7">
        <v>200</v>
      </c>
      <c r="E497">
        <v>2009</v>
      </c>
      <c r="F497">
        <v>2012</v>
      </c>
      <c r="G497" t="str">
        <f>IFERROR(INDEX(Formulations[Formulation],MATCH($C497,Formulations[Product Code],0)),"")</f>
        <v/>
      </c>
    </row>
    <row r="498" spans="1:7" x14ac:dyDescent="0.3">
      <c r="A498" t="s">
        <v>2455</v>
      </c>
      <c r="B498" t="s">
        <v>575</v>
      </c>
      <c r="C498" t="s">
        <v>673</v>
      </c>
      <c r="D498" s="7">
        <v>200</v>
      </c>
      <c r="E498">
        <v>2010</v>
      </c>
      <c r="F498">
        <v>2017</v>
      </c>
      <c r="G498" t="str">
        <f>IFERROR(INDEX(Formulations[Formulation],MATCH($C498,Formulations[Product Code],0)),"")</f>
        <v>Apricot 60 % oil and 40 % dpg</v>
      </c>
    </row>
    <row r="499" spans="1:7" x14ac:dyDescent="0.3">
      <c r="A499" t="s">
        <v>2465</v>
      </c>
      <c r="B499" t="s">
        <v>761</v>
      </c>
      <c r="D499" s="7">
        <v>200</v>
      </c>
      <c r="E499">
        <v>2018</v>
      </c>
      <c r="F499">
        <v>2018</v>
      </c>
      <c r="G499" t="str">
        <f>IFERROR(INDEX(Formulations[Formulation],MATCH($C499,Formulations[Product Code],0)),"")</f>
        <v/>
      </c>
    </row>
    <row r="500" spans="1:7" x14ac:dyDescent="0.3">
      <c r="A500" t="s">
        <v>2496</v>
      </c>
      <c r="B500" t="s">
        <v>686</v>
      </c>
      <c r="C500" t="s">
        <v>687</v>
      </c>
      <c r="D500" s="7">
        <v>200</v>
      </c>
      <c r="E500">
        <v>2019</v>
      </c>
      <c r="F500">
        <v>2021</v>
      </c>
      <c r="G500" t="str">
        <f>IFERROR(INDEX(Formulations[Formulation],MATCH($C500,Formulations[Product Code],0)),"")</f>
        <v>Pure</v>
      </c>
    </row>
    <row r="501" spans="1:7" x14ac:dyDescent="0.3">
      <c r="A501" t="s">
        <v>2496</v>
      </c>
      <c r="B501" t="s">
        <v>41</v>
      </c>
      <c r="C501" t="s">
        <v>42</v>
      </c>
      <c r="D501" s="7">
        <v>200</v>
      </c>
      <c r="E501">
        <v>2011</v>
      </c>
      <c r="F501">
        <v>2017</v>
      </c>
      <c r="G501" t="str">
        <f>IFERROR(INDEX(Formulations[Formulation],MATCH($C501,Formulations[Product Code],0)),"")</f>
        <v/>
      </c>
    </row>
    <row r="502" spans="1:7" x14ac:dyDescent="0.3">
      <c r="A502" t="s">
        <v>2516</v>
      </c>
      <c r="B502" t="s">
        <v>714</v>
      </c>
      <c r="C502" t="s">
        <v>715</v>
      </c>
      <c r="D502" s="7">
        <v>200</v>
      </c>
      <c r="E502">
        <v>2018</v>
      </c>
      <c r="F502">
        <v>2018</v>
      </c>
      <c r="G502" t="str">
        <f>IFERROR(INDEX(Formulations[Formulation],MATCH($C502,Formulations[Product Code],0)),"")</f>
        <v/>
      </c>
    </row>
    <row r="503" spans="1:7" x14ac:dyDescent="0.3">
      <c r="A503" t="s">
        <v>2521</v>
      </c>
      <c r="B503" t="s">
        <v>1021</v>
      </c>
      <c r="C503" t="s">
        <v>1022</v>
      </c>
      <c r="D503" s="7">
        <v>200</v>
      </c>
      <c r="E503">
        <v>2019</v>
      </c>
      <c r="F503">
        <v>2019</v>
      </c>
      <c r="G503" t="str">
        <f>IFERROR(INDEX(Formulations[Formulation],MATCH($C503,Formulations[Product Code],0)),"")</f>
        <v>Silver</v>
      </c>
    </row>
    <row r="504" spans="1:7" x14ac:dyDescent="0.3">
      <c r="A504" t="s">
        <v>2532</v>
      </c>
      <c r="B504" t="s">
        <v>12</v>
      </c>
      <c r="C504" t="s">
        <v>13</v>
      </c>
      <c r="D504" s="7">
        <v>200</v>
      </c>
      <c r="E504">
        <v>2012</v>
      </c>
      <c r="F504">
        <v>2012</v>
      </c>
      <c r="G504" t="str">
        <f>IFERROR(INDEX(Formulations[Formulation],MATCH($C504,Formulations[Product Code],0)),"")</f>
        <v>Crystal</v>
      </c>
    </row>
    <row r="505" spans="1:7" x14ac:dyDescent="0.3">
      <c r="A505" t="s">
        <v>2538</v>
      </c>
      <c r="B505" t="s">
        <v>631</v>
      </c>
      <c r="C505" t="s">
        <v>632</v>
      </c>
      <c r="D505" s="7">
        <v>200</v>
      </c>
      <c r="E505">
        <v>2018</v>
      </c>
      <c r="F505">
        <v>2021</v>
      </c>
      <c r="G505" t="str">
        <f>IFERROR(INDEX(Formulations[Formulation],MATCH($C505,Formulations[Product Code],0)),"")</f>
        <v/>
      </c>
    </row>
    <row r="506" spans="1:7" x14ac:dyDescent="0.3">
      <c r="A506" t="s">
        <v>2538</v>
      </c>
      <c r="B506" t="s">
        <v>686</v>
      </c>
      <c r="C506" t="s">
        <v>866</v>
      </c>
      <c r="D506" s="7">
        <v>200</v>
      </c>
      <c r="E506">
        <v>2019</v>
      </c>
      <c r="F506">
        <v>2020</v>
      </c>
      <c r="G506" t="str">
        <f>IFERROR(INDEX(Formulations[Formulation],MATCH($C506,Formulations[Product Code],0)),"")</f>
        <v/>
      </c>
    </row>
    <row r="507" spans="1:7" x14ac:dyDescent="0.3">
      <c r="A507" t="s">
        <v>2538</v>
      </c>
      <c r="B507" t="s">
        <v>46</v>
      </c>
      <c r="C507" t="s">
        <v>47</v>
      </c>
      <c r="D507" s="7">
        <v>200</v>
      </c>
      <c r="E507">
        <v>2018</v>
      </c>
      <c r="F507">
        <v>2019</v>
      </c>
      <c r="G507" t="str">
        <f>IFERROR(INDEX(Formulations[Formulation],MATCH($C507,Formulations[Product Code],0)),"")</f>
        <v/>
      </c>
    </row>
    <row r="508" spans="1:7" x14ac:dyDescent="0.3">
      <c r="A508" t="s">
        <v>2577</v>
      </c>
      <c r="B508" t="s">
        <v>471</v>
      </c>
      <c r="C508" t="s">
        <v>472</v>
      </c>
      <c r="D508" s="7">
        <v>200</v>
      </c>
      <c r="E508">
        <v>2016</v>
      </c>
      <c r="F508">
        <v>2018</v>
      </c>
      <c r="G508" t="str">
        <f>IFERROR(INDEX(Formulations[Formulation],MATCH($C508,Formulations[Product Code],0)),"")</f>
        <v>Crystal</v>
      </c>
    </row>
    <row r="509" spans="1:7" x14ac:dyDescent="0.3">
      <c r="A509" t="s">
        <v>2595</v>
      </c>
      <c r="B509" t="s">
        <v>841</v>
      </c>
      <c r="C509" t="s">
        <v>169</v>
      </c>
      <c r="D509" s="7">
        <v>200</v>
      </c>
      <c r="E509">
        <v>2020</v>
      </c>
      <c r="F509">
        <v>2021</v>
      </c>
      <c r="G509" t="str">
        <f>IFERROR(INDEX(Formulations[Formulation],MATCH($C509,Formulations[Product Code],0)),"")</f>
        <v>Silver</v>
      </c>
    </row>
    <row r="510" spans="1:7" x14ac:dyDescent="0.3">
      <c r="A510" t="s">
        <v>2596</v>
      </c>
      <c r="B510" t="s">
        <v>135</v>
      </c>
      <c r="C510" t="s">
        <v>136</v>
      </c>
      <c r="D510" s="7">
        <v>200</v>
      </c>
      <c r="E510">
        <v>2010</v>
      </c>
      <c r="F510">
        <v>2011</v>
      </c>
      <c r="G510" t="str">
        <f>IFERROR(INDEX(Formulations[Formulation],MATCH($C510,Formulations[Product Code],0)),"")</f>
        <v/>
      </c>
    </row>
    <row r="511" spans="1:7" x14ac:dyDescent="0.3">
      <c r="A511" t="s">
        <v>1693</v>
      </c>
      <c r="B511" t="s">
        <v>84</v>
      </c>
      <c r="C511" t="s">
        <v>85</v>
      </c>
      <c r="D511" s="7">
        <v>195</v>
      </c>
      <c r="E511">
        <v>2017</v>
      </c>
      <c r="F511">
        <v>2021</v>
      </c>
      <c r="G511" t="str">
        <f>IFERROR(INDEX(Formulations[Formulation],MATCH($C511,Formulations[Product Code],0)),"")</f>
        <v>Pure</v>
      </c>
    </row>
    <row r="512" spans="1:7" x14ac:dyDescent="0.3">
      <c r="A512" t="s">
        <v>1799</v>
      </c>
      <c r="B512" t="s">
        <v>203</v>
      </c>
      <c r="C512" t="s">
        <v>204</v>
      </c>
      <c r="D512" s="7">
        <v>190</v>
      </c>
      <c r="E512">
        <v>2015</v>
      </c>
      <c r="F512">
        <v>2018</v>
      </c>
      <c r="G512" t="str">
        <f>IFERROR(INDEX(Formulations[Formulation],MATCH($C512,Formulations[Product Code],0)),"")</f>
        <v/>
      </c>
    </row>
    <row r="513" spans="1:7" x14ac:dyDescent="0.3">
      <c r="A513" t="s">
        <v>1111</v>
      </c>
      <c r="B513" t="s">
        <v>696</v>
      </c>
      <c r="C513" t="s">
        <v>697</v>
      </c>
      <c r="D513" s="7">
        <v>189.5</v>
      </c>
      <c r="E513">
        <v>2010</v>
      </c>
      <c r="F513">
        <v>2012</v>
      </c>
      <c r="G513" t="str">
        <f>IFERROR(INDEX(Formulations[Formulation],MATCH($C513,Formulations[Product Code],0)),"")</f>
        <v/>
      </c>
    </row>
    <row r="514" spans="1:7" x14ac:dyDescent="0.3">
      <c r="A514" t="s">
        <v>1895</v>
      </c>
      <c r="B514" t="s">
        <v>1897</v>
      </c>
      <c r="D514" s="7">
        <v>188</v>
      </c>
      <c r="E514">
        <v>2011</v>
      </c>
      <c r="F514">
        <v>2012</v>
      </c>
      <c r="G514" t="str">
        <f>IFERROR(INDEX(Formulations[Formulation],MATCH($C514,Formulations[Product Code],0)),"")</f>
        <v/>
      </c>
    </row>
    <row r="515" spans="1:7" x14ac:dyDescent="0.3">
      <c r="A515" t="s">
        <v>781</v>
      </c>
      <c r="B515" t="s">
        <v>51</v>
      </c>
      <c r="C515" t="s">
        <v>52</v>
      </c>
      <c r="D515" s="7">
        <v>186</v>
      </c>
      <c r="E515">
        <v>2019</v>
      </c>
      <c r="F515">
        <v>2021</v>
      </c>
      <c r="G515" t="str">
        <f>IFERROR(INDEX(Formulations[Formulation],MATCH($C515,Formulations[Product Code],0)),"")</f>
        <v>Silver</v>
      </c>
    </row>
    <row r="516" spans="1:7" x14ac:dyDescent="0.3">
      <c r="A516" t="s">
        <v>353</v>
      </c>
      <c r="B516" t="s">
        <v>218</v>
      </c>
      <c r="C516" t="s">
        <v>212</v>
      </c>
      <c r="D516" s="7">
        <v>185</v>
      </c>
      <c r="E516">
        <v>2010</v>
      </c>
      <c r="F516">
        <v>2018</v>
      </c>
      <c r="G516" t="str">
        <f>IFERROR(INDEX(Formulations[Formulation],MATCH($C516,Formulations[Product Code],0)),"")</f>
        <v>Pure</v>
      </c>
    </row>
    <row r="517" spans="1:7" x14ac:dyDescent="0.3">
      <c r="A517" t="s">
        <v>887</v>
      </c>
      <c r="B517" t="s">
        <v>196</v>
      </c>
      <c r="C517" t="s">
        <v>197</v>
      </c>
      <c r="D517" s="7">
        <v>185</v>
      </c>
      <c r="E517">
        <v>2013</v>
      </c>
      <c r="F517">
        <v>2018</v>
      </c>
      <c r="G517" t="str">
        <f>IFERROR(INDEX(Formulations[Formulation],MATCH($C517,Formulations[Product Code],0)),"")</f>
        <v/>
      </c>
    </row>
    <row r="518" spans="1:7" x14ac:dyDescent="0.3">
      <c r="A518" t="s">
        <v>1116</v>
      </c>
      <c r="B518" t="s">
        <v>1122</v>
      </c>
      <c r="C518" t="s">
        <v>1123</v>
      </c>
      <c r="D518" s="7">
        <v>185</v>
      </c>
      <c r="E518">
        <v>2020</v>
      </c>
      <c r="F518">
        <v>2021</v>
      </c>
      <c r="G518" t="str">
        <f>IFERROR(INDEX(Formulations[Formulation],MATCH($C518,Formulations[Product Code],0)),"")</f>
        <v>Crystal</v>
      </c>
    </row>
    <row r="519" spans="1:7" x14ac:dyDescent="0.3">
      <c r="A519" t="s">
        <v>1686</v>
      </c>
      <c r="B519" t="s">
        <v>575</v>
      </c>
      <c r="C519" t="s">
        <v>673</v>
      </c>
      <c r="D519" s="7">
        <v>185</v>
      </c>
      <c r="E519">
        <v>2016</v>
      </c>
      <c r="F519">
        <v>2019</v>
      </c>
      <c r="G519" t="str">
        <f>IFERROR(INDEX(Formulations[Formulation],MATCH($C519,Formulations[Product Code],0)),"")</f>
        <v>Apricot 60 % oil and 40 % dpg</v>
      </c>
    </row>
    <row r="520" spans="1:7" x14ac:dyDescent="0.3">
      <c r="A520" t="s">
        <v>2346</v>
      </c>
      <c r="B520" t="s">
        <v>184</v>
      </c>
      <c r="C520" t="s">
        <v>185</v>
      </c>
      <c r="D520" s="7">
        <v>185</v>
      </c>
      <c r="E520">
        <v>2011</v>
      </c>
      <c r="F520">
        <v>2019</v>
      </c>
      <c r="G520" t="str">
        <f>IFERROR(INDEX(Formulations[Formulation],MATCH($C520,Formulations[Product Code],0)),"")</f>
        <v/>
      </c>
    </row>
    <row r="521" spans="1:7" x14ac:dyDescent="0.3">
      <c r="A521" t="s">
        <v>2569</v>
      </c>
      <c r="B521" t="s">
        <v>120</v>
      </c>
      <c r="C521" t="s">
        <v>121</v>
      </c>
      <c r="D521" s="7">
        <v>185</v>
      </c>
      <c r="E521">
        <v>2018</v>
      </c>
      <c r="F521">
        <v>2019</v>
      </c>
      <c r="G521" t="str">
        <f>IFERROR(INDEX(Formulations[Formulation],MATCH($C521,Formulations[Product Code],0)),"")</f>
        <v/>
      </c>
    </row>
    <row r="522" spans="1:7" x14ac:dyDescent="0.3">
      <c r="A522" t="s">
        <v>1439</v>
      </c>
      <c r="B522" t="s">
        <v>473</v>
      </c>
      <c r="C522" t="s">
        <v>1448</v>
      </c>
      <c r="D522" s="7">
        <v>182.55</v>
      </c>
      <c r="E522">
        <v>2009</v>
      </c>
      <c r="F522">
        <v>2016</v>
      </c>
      <c r="G522" t="str">
        <f>IFERROR(INDEX(Formulations[Formulation],MATCH($C522,Formulations[Product Code],0)),"")</f>
        <v/>
      </c>
    </row>
    <row r="523" spans="1:7" x14ac:dyDescent="0.3">
      <c r="A523" t="s">
        <v>1175</v>
      </c>
      <c r="B523" t="s">
        <v>251</v>
      </c>
      <c r="C523" t="s">
        <v>207</v>
      </c>
      <c r="D523" s="7">
        <v>181</v>
      </c>
      <c r="E523">
        <v>2018</v>
      </c>
      <c r="F523">
        <v>2020</v>
      </c>
      <c r="G523" t="str">
        <f>IFERROR(INDEX(Formulations[Formulation],MATCH($C523,Formulations[Product Code],0)),"")</f>
        <v/>
      </c>
    </row>
    <row r="524" spans="1:7" x14ac:dyDescent="0.3">
      <c r="A524" t="s">
        <v>829</v>
      </c>
      <c r="B524" t="s">
        <v>37</v>
      </c>
      <c r="D524" s="7">
        <v>180</v>
      </c>
      <c r="E524">
        <v>2018</v>
      </c>
      <c r="F524">
        <v>2020</v>
      </c>
      <c r="G524" t="str">
        <f>IFERROR(INDEX(Formulations[Formulation],MATCH($C524,Formulations[Product Code],0)),"")</f>
        <v/>
      </c>
    </row>
    <row r="525" spans="1:7" x14ac:dyDescent="0.3">
      <c r="A525" t="s">
        <v>1810</v>
      </c>
      <c r="B525" t="s">
        <v>45</v>
      </c>
      <c r="D525" s="7">
        <v>180</v>
      </c>
      <c r="E525">
        <v>2015</v>
      </c>
      <c r="F525">
        <v>2017</v>
      </c>
      <c r="G525" t="str">
        <f>IFERROR(INDEX(Formulations[Formulation],MATCH($C525,Formulations[Product Code],0)),"")</f>
        <v/>
      </c>
    </row>
    <row r="526" spans="1:7" x14ac:dyDescent="0.3">
      <c r="A526" t="s">
        <v>2041</v>
      </c>
      <c r="B526" t="s">
        <v>32</v>
      </c>
      <c r="D526" s="7">
        <v>180</v>
      </c>
      <c r="E526">
        <v>2013</v>
      </c>
      <c r="F526">
        <v>2015</v>
      </c>
      <c r="G526" t="str">
        <f>IFERROR(INDEX(Formulations[Formulation],MATCH($C526,Formulations[Product Code],0)),"")</f>
        <v/>
      </c>
    </row>
    <row r="527" spans="1:7" x14ac:dyDescent="0.3">
      <c r="A527" t="s">
        <v>2302</v>
      </c>
      <c r="B527" t="s">
        <v>103</v>
      </c>
      <c r="C527" t="s">
        <v>104</v>
      </c>
      <c r="D527" s="7">
        <v>180</v>
      </c>
      <c r="E527">
        <v>2009</v>
      </c>
      <c r="F527">
        <v>2021</v>
      </c>
      <c r="G527" t="str">
        <f>IFERROR(INDEX(Formulations[Formulation],MATCH($C527,Formulations[Product Code],0)),"")</f>
        <v>Pure</v>
      </c>
    </row>
    <row r="528" spans="1:7" x14ac:dyDescent="0.3">
      <c r="A528" t="s">
        <v>2324</v>
      </c>
      <c r="B528" t="s">
        <v>103</v>
      </c>
      <c r="C528" t="s">
        <v>104</v>
      </c>
      <c r="D528" s="7">
        <v>180</v>
      </c>
      <c r="E528">
        <v>2016</v>
      </c>
      <c r="F528">
        <v>2018</v>
      </c>
      <c r="G528" t="str">
        <f>IFERROR(INDEX(Formulations[Formulation],MATCH($C528,Formulations[Product Code],0)),"")</f>
        <v>Pure</v>
      </c>
    </row>
    <row r="529" spans="1:7" x14ac:dyDescent="0.3">
      <c r="A529" t="s">
        <v>2392</v>
      </c>
      <c r="B529" t="s">
        <v>614</v>
      </c>
      <c r="C529" t="s">
        <v>141</v>
      </c>
      <c r="D529" s="7">
        <v>180</v>
      </c>
      <c r="E529">
        <v>2009</v>
      </c>
      <c r="F529">
        <v>2010</v>
      </c>
      <c r="G529" t="str">
        <f>IFERROR(INDEX(Formulations[Formulation],MATCH($C529,Formulations[Product Code],0)),"")</f>
        <v/>
      </c>
    </row>
    <row r="530" spans="1:7" x14ac:dyDescent="0.3">
      <c r="A530" t="s">
        <v>1439</v>
      </c>
      <c r="B530" t="s">
        <v>462</v>
      </c>
      <c r="C530" t="s">
        <v>463</v>
      </c>
      <c r="D530" s="7">
        <v>179</v>
      </c>
      <c r="E530">
        <v>2016</v>
      </c>
      <c r="F530">
        <v>2017</v>
      </c>
      <c r="G530" t="str">
        <f>IFERROR(INDEX(Formulations[Formulation],MATCH($C530,Formulations[Product Code],0)),"")</f>
        <v/>
      </c>
    </row>
    <row r="531" spans="1:7" x14ac:dyDescent="0.3">
      <c r="A531" t="s">
        <v>1028</v>
      </c>
      <c r="B531" t="s">
        <v>1032</v>
      </c>
      <c r="D531" s="7">
        <v>178</v>
      </c>
      <c r="E531">
        <v>2009</v>
      </c>
      <c r="F531">
        <v>2009</v>
      </c>
      <c r="G531" t="str">
        <f>IFERROR(INDEX(Formulations[Formulation],MATCH($C531,Formulations[Product Code],0)),"")</f>
        <v/>
      </c>
    </row>
    <row r="532" spans="1:7" x14ac:dyDescent="0.3">
      <c r="A532" t="s">
        <v>23</v>
      </c>
      <c r="B532" t="s">
        <v>26</v>
      </c>
      <c r="C532" t="s">
        <v>27</v>
      </c>
      <c r="D532" s="7">
        <v>175</v>
      </c>
      <c r="E532">
        <v>2016</v>
      </c>
      <c r="F532">
        <v>2017</v>
      </c>
      <c r="G532" t="str">
        <f>IFERROR(INDEX(Formulations[Formulation],MATCH($C532,Formulations[Product Code],0)),"")</f>
        <v>FLOURAMAX A270578/ P782894</v>
      </c>
    </row>
    <row r="533" spans="1:7" x14ac:dyDescent="0.3">
      <c r="A533" t="s">
        <v>165</v>
      </c>
      <c r="B533" t="s">
        <v>60</v>
      </c>
      <c r="C533" t="s">
        <v>186</v>
      </c>
      <c r="D533" s="7">
        <v>175</v>
      </c>
      <c r="E533">
        <v>2011</v>
      </c>
      <c r="F533">
        <v>2016</v>
      </c>
      <c r="G533" t="str">
        <f>IFERROR(INDEX(Formulations[Formulation],MATCH($C533,Formulations[Product Code],0)),"")</f>
        <v/>
      </c>
    </row>
    <row r="534" spans="1:7" x14ac:dyDescent="0.3">
      <c r="A534" t="s">
        <v>449</v>
      </c>
      <c r="B534" t="s">
        <v>174</v>
      </c>
      <c r="C534" t="s">
        <v>450</v>
      </c>
      <c r="D534" s="7">
        <v>175</v>
      </c>
      <c r="E534">
        <v>2011</v>
      </c>
      <c r="F534">
        <v>2019</v>
      </c>
      <c r="G534" t="str">
        <f>IFERROR(INDEX(Formulations[Formulation],MATCH($C534,Formulations[Product Code],0)),"")</f>
        <v/>
      </c>
    </row>
    <row r="535" spans="1:7" x14ac:dyDescent="0.3">
      <c r="A535" t="s">
        <v>449</v>
      </c>
      <c r="B535" t="s">
        <v>46</v>
      </c>
      <c r="C535" t="s">
        <v>47</v>
      </c>
      <c r="D535" s="7">
        <v>175</v>
      </c>
      <c r="E535">
        <v>2011</v>
      </c>
      <c r="F535">
        <v>2019</v>
      </c>
      <c r="G535" t="str">
        <f>IFERROR(INDEX(Formulations[Formulation],MATCH($C535,Formulations[Product Code],0)),"")</f>
        <v/>
      </c>
    </row>
    <row r="536" spans="1:7" x14ac:dyDescent="0.3">
      <c r="A536" t="s">
        <v>775</v>
      </c>
      <c r="B536" t="s">
        <v>777</v>
      </c>
      <c r="C536" t="s">
        <v>63</v>
      </c>
      <c r="D536" s="7">
        <v>175</v>
      </c>
      <c r="E536">
        <v>2015</v>
      </c>
      <c r="F536">
        <v>2018</v>
      </c>
      <c r="G536" t="str">
        <f>IFERROR(INDEX(Formulations[Formulation],MATCH($C536,Formulations[Product Code],0)),"")</f>
        <v>Crystal</v>
      </c>
    </row>
    <row r="537" spans="1:7" x14ac:dyDescent="0.3">
      <c r="A537" t="s">
        <v>829</v>
      </c>
      <c r="B537" t="s">
        <v>514</v>
      </c>
      <c r="C537" t="s">
        <v>515</v>
      </c>
      <c r="D537" s="7">
        <v>175</v>
      </c>
      <c r="E537">
        <v>2020</v>
      </c>
      <c r="F537">
        <v>2021</v>
      </c>
      <c r="G537" t="str">
        <f>IFERROR(INDEX(Formulations[Formulation],MATCH($C537,Formulations[Product Code],0)),"")</f>
        <v>Crystal</v>
      </c>
    </row>
    <row r="538" spans="1:7" x14ac:dyDescent="0.3">
      <c r="A538" t="s">
        <v>1010</v>
      </c>
      <c r="B538" t="s">
        <v>1021</v>
      </c>
      <c r="C538" t="s">
        <v>1022</v>
      </c>
      <c r="D538" s="7">
        <v>175</v>
      </c>
      <c r="E538">
        <v>2020</v>
      </c>
      <c r="F538">
        <v>2020</v>
      </c>
      <c r="G538" t="str">
        <f>IFERROR(INDEX(Formulations[Formulation],MATCH($C538,Formulations[Product Code],0)),"")</f>
        <v>Silver</v>
      </c>
    </row>
    <row r="539" spans="1:7" x14ac:dyDescent="0.3">
      <c r="A539" t="s">
        <v>1213</v>
      </c>
      <c r="B539" t="s">
        <v>696</v>
      </c>
      <c r="C539" t="s">
        <v>697</v>
      </c>
      <c r="D539" s="7">
        <v>175</v>
      </c>
      <c r="E539">
        <v>2014</v>
      </c>
      <c r="F539">
        <v>2020</v>
      </c>
      <c r="G539" t="str">
        <f>IFERROR(INDEX(Formulations[Formulation],MATCH($C539,Formulations[Product Code],0)),"")</f>
        <v/>
      </c>
    </row>
    <row r="540" spans="1:7" x14ac:dyDescent="0.3">
      <c r="A540" t="s">
        <v>1346</v>
      </c>
      <c r="B540" t="s">
        <v>696</v>
      </c>
      <c r="C540" t="s">
        <v>697</v>
      </c>
      <c r="D540" s="7">
        <v>175</v>
      </c>
      <c r="E540">
        <v>2011</v>
      </c>
      <c r="F540">
        <v>2013</v>
      </c>
      <c r="G540" t="str">
        <f>IFERROR(INDEX(Formulations[Formulation],MATCH($C540,Formulations[Product Code],0)),"")</f>
        <v/>
      </c>
    </row>
    <row r="541" spans="1:7" x14ac:dyDescent="0.3">
      <c r="A541" t="s">
        <v>1439</v>
      </c>
      <c r="B541" t="s">
        <v>653</v>
      </c>
      <c r="C541" t="s">
        <v>654</v>
      </c>
      <c r="D541" s="7">
        <v>175</v>
      </c>
      <c r="E541">
        <v>2017</v>
      </c>
      <c r="F541">
        <v>2018</v>
      </c>
      <c r="G541" t="str">
        <f>IFERROR(INDEX(Formulations[Formulation],MATCH($C541,Formulations[Product Code],0)),"")</f>
        <v>Pure</v>
      </c>
    </row>
    <row r="542" spans="1:7" x14ac:dyDescent="0.3">
      <c r="A542" t="s">
        <v>1439</v>
      </c>
      <c r="B542" t="s">
        <v>203</v>
      </c>
      <c r="C542" t="s">
        <v>204</v>
      </c>
      <c r="D542" s="7">
        <v>175</v>
      </c>
      <c r="E542">
        <v>2017</v>
      </c>
      <c r="F542">
        <v>2019</v>
      </c>
      <c r="G542" t="str">
        <f>IFERROR(INDEX(Formulations[Formulation],MATCH($C542,Formulations[Product Code],0)),"")</f>
        <v/>
      </c>
    </row>
    <row r="543" spans="1:7" x14ac:dyDescent="0.3">
      <c r="A543" t="s">
        <v>1459</v>
      </c>
      <c r="B543" t="s">
        <v>696</v>
      </c>
      <c r="C543" t="s">
        <v>697</v>
      </c>
      <c r="D543" s="7">
        <v>175</v>
      </c>
      <c r="E543">
        <v>2013</v>
      </c>
      <c r="F543">
        <v>2016</v>
      </c>
      <c r="G543" t="str">
        <f>IFERROR(INDEX(Formulations[Formulation],MATCH($C543,Formulations[Product Code],0)),"")</f>
        <v/>
      </c>
    </row>
    <row r="544" spans="1:7" x14ac:dyDescent="0.3">
      <c r="A544" t="s">
        <v>1463</v>
      </c>
      <c r="B544" t="s">
        <v>1576</v>
      </c>
      <c r="C544" t="s">
        <v>1577</v>
      </c>
      <c r="D544" s="7">
        <v>175</v>
      </c>
      <c r="E544">
        <v>2012</v>
      </c>
      <c r="F544">
        <v>2012</v>
      </c>
      <c r="G544" t="str">
        <f>IFERROR(INDEX(Formulations[Formulation],MATCH($C544,Formulations[Product Code],0)),"")</f>
        <v/>
      </c>
    </row>
    <row r="545" spans="1:7" x14ac:dyDescent="0.3">
      <c r="A545" t="s">
        <v>1668</v>
      </c>
      <c r="B545" t="s">
        <v>1671</v>
      </c>
      <c r="C545" t="s">
        <v>1672</v>
      </c>
      <c r="D545" s="7">
        <v>175</v>
      </c>
      <c r="E545">
        <v>2018</v>
      </c>
      <c r="F545">
        <v>2018</v>
      </c>
      <c r="G545" t="str">
        <f>IFERROR(INDEX(Formulations[Formulation],MATCH($C545,Formulations[Product Code],0)),"")</f>
        <v/>
      </c>
    </row>
    <row r="546" spans="1:7" x14ac:dyDescent="0.3">
      <c r="A546" t="s">
        <v>1686</v>
      </c>
      <c r="B546" t="s">
        <v>257</v>
      </c>
      <c r="C546" t="s">
        <v>61</v>
      </c>
      <c r="D546" s="7">
        <v>175</v>
      </c>
      <c r="E546">
        <v>2020</v>
      </c>
      <c r="F546">
        <v>2020</v>
      </c>
      <c r="G546" t="str">
        <f>IFERROR(INDEX(Formulations[Formulation],MATCH($C546,Formulations[Product Code],0)),"")</f>
        <v>Pure</v>
      </c>
    </row>
    <row r="547" spans="1:7" x14ac:dyDescent="0.3">
      <c r="A547" t="s">
        <v>1754</v>
      </c>
      <c r="B547" t="s">
        <v>830</v>
      </c>
      <c r="C547" t="s">
        <v>831</v>
      </c>
      <c r="D547" s="7">
        <v>175</v>
      </c>
      <c r="E547">
        <v>2020</v>
      </c>
      <c r="F547">
        <v>2020</v>
      </c>
      <c r="G547" t="str">
        <f>IFERROR(INDEX(Formulations[Formulation],MATCH($C547,Formulations[Product Code],0)),"")</f>
        <v>Crystal</v>
      </c>
    </row>
    <row r="548" spans="1:7" x14ac:dyDescent="0.3">
      <c r="A548" t="s">
        <v>1754</v>
      </c>
      <c r="B548" t="s">
        <v>635</v>
      </c>
      <c r="C548" t="s">
        <v>636</v>
      </c>
      <c r="D548" s="7">
        <v>175</v>
      </c>
      <c r="E548">
        <v>2018</v>
      </c>
      <c r="F548">
        <v>2021</v>
      </c>
      <c r="G548" t="str">
        <f>IFERROR(INDEX(Formulations[Formulation],MATCH($C548,Formulations[Product Code],0)),"")</f>
        <v>Pure</v>
      </c>
    </row>
    <row r="549" spans="1:7" x14ac:dyDescent="0.3">
      <c r="A549" t="s">
        <v>1754</v>
      </c>
      <c r="B549" t="s">
        <v>681</v>
      </c>
      <c r="C549" t="s">
        <v>682</v>
      </c>
      <c r="D549" s="7">
        <v>175</v>
      </c>
      <c r="E549">
        <v>2020</v>
      </c>
      <c r="F549">
        <v>2020</v>
      </c>
      <c r="G549" t="str">
        <f>IFERROR(INDEX(Formulations[Formulation],MATCH($C549,Formulations[Product Code],0)),"")</f>
        <v/>
      </c>
    </row>
    <row r="550" spans="1:7" x14ac:dyDescent="0.3">
      <c r="A550" t="s">
        <v>1832</v>
      </c>
      <c r="B550" t="s">
        <v>46</v>
      </c>
      <c r="C550" t="s">
        <v>47</v>
      </c>
      <c r="D550" s="7">
        <v>175</v>
      </c>
      <c r="E550">
        <v>2012</v>
      </c>
      <c r="F550">
        <v>2015</v>
      </c>
      <c r="G550" t="str">
        <f>IFERROR(INDEX(Formulations[Formulation],MATCH($C550,Formulations[Product Code],0)),"")</f>
        <v/>
      </c>
    </row>
    <row r="551" spans="1:7" x14ac:dyDescent="0.3">
      <c r="A551" t="s">
        <v>1871</v>
      </c>
      <c r="B551" t="s">
        <v>297</v>
      </c>
      <c r="C551" t="s">
        <v>298</v>
      </c>
      <c r="D551" s="7">
        <v>175</v>
      </c>
      <c r="E551">
        <v>2016</v>
      </c>
      <c r="F551">
        <v>2020</v>
      </c>
      <c r="G551" t="str">
        <f>IFERROR(INDEX(Formulations[Formulation],MATCH($C551,Formulations[Product Code],0)),"")</f>
        <v>Pure</v>
      </c>
    </row>
    <row r="552" spans="1:7" x14ac:dyDescent="0.3">
      <c r="A552" t="s">
        <v>1895</v>
      </c>
      <c r="B552" t="s">
        <v>184</v>
      </c>
      <c r="C552" t="s">
        <v>185</v>
      </c>
      <c r="D552" s="7">
        <v>175</v>
      </c>
      <c r="E552">
        <v>2011</v>
      </c>
      <c r="F552">
        <v>2015</v>
      </c>
      <c r="G552" t="str">
        <f>IFERROR(INDEX(Formulations[Formulation],MATCH($C552,Formulations[Product Code],0)),"")</f>
        <v/>
      </c>
    </row>
    <row r="553" spans="1:7" x14ac:dyDescent="0.3">
      <c r="A553" t="s">
        <v>2011</v>
      </c>
      <c r="B553" t="s">
        <v>46</v>
      </c>
      <c r="C553" t="s">
        <v>47</v>
      </c>
      <c r="D553" s="7">
        <v>175</v>
      </c>
      <c r="E553">
        <v>2016</v>
      </c>
      <c r="F553">
        <v>2017</v>
      </c>
      <c r="G553" t="str">
        <f>IFERROR(INDEX(Formulations[Formulation],MATCH($C553,Formulations[Product Code],0)),"")</f>
        <v/>
      </c>
    </row>
    <row r="554" spans="1:7" x14ac:dyDescent="0.3">
      <c r="A554" t="s">
        <v>2069</v>
      </c>
      <c r="B554" t="s">
        <v>383</v>
      </c>
      <c r="C554" t="s">
        <v>384</v>
      </c>
      <c r="D554" s="7">
        <v>175</v>
      </c>
      <c r="E554">
        <v>2019</v>
      </c>
      <c r="F554">
        <v>2020</v>
      </c>
      <c r="G554" t="str">
        <f>IFERROR(INDEX(Formulations[Formulation],MATCH($C554,Formulations[Product Code],0)),"")</f>
        <v>Pure</v>
      </c>
    </row>
    <row r="555" spans="1:7" x14ac:dyDescent="0.3">
      <c r="A555" t="s">
        <v>2097</v>
      </c>
      <c r="B555" t="s">
        <v>19</v>
      </c>
      <c r="C555" t="s">
        <v>699</v>
      </c>
      <c r="D555" s="7">
        <v>175</v>
      </c>
      <c r="E555">
        <v>2017</v>
      </c>
      <c r="F555">
        <v>2019</v>
      </c>
      <c r="G555" t="str">
        <f>IFERROR(INDEX(Formulations[Formulation],MATCH($C555,Formulations[Product Code],0)),"")</f>
        <v/>
      </c>
    </row>
    <row r="556" spans="1:7" x14ac:dyDescent="0.3">
      <c r="A556" t="s">
        <v>2199</v>
      </c>
      <c r="B556" t="s">
        <v>26</v>
      </c>
      <c r="C556" t="s">
        <v>27</v>
      </c>
      <c r="D556" s="7">
        <v>175</v>
      </c>
      <c r="E556">
        <v>2013</v>
      </c>
      <c r="F556">
        <v>2017</v>
      </c>
      <c r="G556" t="str">
        <f>IFERROR(INDEX(Formulations[Formulation],MATCH($C556,Formulations[Product Code],0)),"")</f>
        <v>FLOURAMAX A270578/ P782894</v>
      </c>
    </row>
    <row r="557" spans="1:7" x14ac:dyDescent="0.3">
      <c r="A557" t="s">
        <v>2209</v>
      </c>
      <c r="B557" t="s">
        <v>2210</v>
      </c>
      <c r="D557" s="7">
        <v>175</v>
      </c>
      <c r="E557">
        <v>2020</v>
      </c>
      <c r="F557">
        <v>2021</v>
      </c>
      <c r="G557" t="str">
        <f>IFERROR(INDEX(Formulations[Formulation],MATCH($C557,Formulations[Product Code],0)),"")</f>
        <v/>
      </c>
    </row>
    <row r="558" spans="1:7" x14ac:dyDescent="0.3">
      <c r="A558" t="s">
        <v>2209</v>
      </c>
      <c r="B558" t="s">
        <v>627</v>
      </c>
      <c r="C558" t="s">
        <v>628</v>
      </c>
      <c r="D558" s="7">
        <v>175</v>
      </c>
      <c r="E558">
        <v>2019</v>
      </c>
      <c r="F558">
        <v>2021</v>
      </c>
      <c r="G558" t="str">
        <f>IFERROR(INDEX(Formulations[Formulation],MATCH($C558,Formulations[Product Code],0)),"")</f>
        <v>Pure</v>
      </c>
    </row>
    <row r="559" spans="1:7" x14ac:dyDescent="0.3">
      <c r="A559" t="s">
        <v>2220</v>
      </c>
      <c r="B559" t="s">
        <v>2222</v>
      </c>
      <c r="C559" t="s">
        <v>169</v>
      </c>
      <c r="D559" s="7">
        <v>175</v>
      </c>
      <c r="E559">
        <v>2014</v>
      </c>
      <c r="F559">
        <v>2019</v>
      </c>
      <c r="G559" t="str">
        <f>IFERROR(INDEX(Formulations[Formulation],MATCH($C559,Formulations[Product Code],0)),"")</f>
        <v>Silver</v>
      </c>
    </row>
    <row r="560" spans="1:7" x14ac:dyDescent="0.3">
      <c r="A560" t="s">
        <v>2251</v>
      </c>
      <c r="B560" t="s">
        <v>438</v>
      </c>
      <c r="C560" t="s">
        <v>439</v>
      </c>
      <c r="D560" s="7">
        <v>175</v>
      </c>
      <c r="E560">
        <v>2018</v>
      </c>
      <c r="F560">
        <v>2020</v>
      </c>
      <c r="G560" t="str">
        <f>IFERROR(INDEX(Formulations[Formulation],MATCH($C560,Formulations[Product Code],0)),"")</f>
        <v>Pure</v>
      </c>
    </row>
    <row r="561" spans="1:7" x14ac:dyDescent="0.3">
      <c r="A561" t="s">
        <v>2337</v>
      </c>
      <c r="B561" t="s">
        <v>483</v>
      </c>
      <c r="C561" t="s">
        <v>484</v>
      </c>
      <c r="D561" s="7">
        <v>175</v>
      </c>
      <c r="E561">
        <v>2020</v>
      </c>
      <c r="F561">
        <v>2020</v>
      </c>
      <c r="G561" t="str">
        <f>IFERROR(INDEX(Formulations[Formulation],MATCH($C561,Formulations[Product Code],0)),"")</f>
        <v>Crystal</v>
      </c>
    </row>
    <row r="562" spans="1:7" x14ac:dyDescent="0.3">
      <c r="A562" t="s">
        <v>2346</v>
      </c>
      <c r="B562" t="s">
        <v>660</v>
      </c>
      <c r="C562" t="s">
        <v>661</v>
      </c>
      <c r="D562" s="7">
        <v>175</v>
      </c>
      <c r="E562">
        <v>2020</v>
      </c>
      <c r="F562">
        <v>2020</v>
      </c>
      <c r="G562" t="str">
        <f>IFERROR(INDEX(Formulations[Formulation],MATCH($C562,Formulations[Product Code],0)),"")</f>
        <v>Crystal</v>
      </c>
    </row>
    <row r="563" spans="1:7" x14ac:dyDescent="0.3">
      <c r="A563" t="s">
        <v>2368</v>
      </c>
      <c r="B563" t="s">
        <v>19</v>
      </c>
      <c r="C563" t="s">
        <v>107</v>
      </c>
      <c r="D563" s="7">
        <v>175</v>
      </c>
      <c r="E563">
        <v>2019</v>
      </c>
      <c r="F563">
        <v>2020</v>
      </c>
      <c r="G563" t="str">
        <f>IFERROR(INDEX(Formulations[Formulation],MATCH($C563,Formulations[Product Code],0)),"")</f>
        <v>Pure</v>
      </c>
    </row>
    <row r="564" spans="1:7" x14ac:dyDescent="0.3">
      <c r="A564" t="s">
        <v>2455</v>
      </c>
      <c r="B564" t="s">
        <v>438</v>
      </c>
      <c r="C564" t="s">
        <v>439</v>
      </c>
      <c r="D564" s="7">
        <v>175</v>
      </c>
      <c r="E564">
        <v>2016</v>
      </c>
      <c r="F564">
        <v>2019</v>
      </c>
      <c r="G564" t="str">
        <f>IFERROR(INDEX(Formulations[Formulation],MATCH($C564,Formulations[Product Code],0)),"")</f>
        <v>Pure</v>
      </c>
    </row>
    <row r="565" spans="1:7" x14ac:dyDescent="0.3">
      <c r="A565" t="s">
        <v>2533</v>
      </c>
      <c r="B565" t="s">
        <v>110</v>
      </c>
      <c r="C565" t="s">
        <v>111</v>
      </c>
      <c r="D565" s="7">
        <v>175</v>
      </c>
      <c r="E565">
        <v>2019</v>
      </c>
      <c r="F565">
        <v>2020</v>
      </c>
      <c r="G565" t="str">
        <f>IFERROR(INDEX(Formulations[Formulation],MATCH($C565,Formulations[Product Code],0)),"")</f>
        <v>75% Lemon Zeste, 25% lemon Top &amp; the Gold DPG)</v>
      </c>
    </row>
    <row r="566" spans="1:7" x14ac:dyDescent="0.3">
      <c r="A566" t="s">
        <v>2538</v>
      </c>
      <c r="B566" t="s">
        <v>623</v>
      </c>
      <c r="C566" t="s">
        <v>324</v>
      </c>
      <c r="D566" s="7">
        <v>175</v>
      </c>
      <c r="E566">
        <v>2019</v>
      </c>
      <c r="F566">
        <v>2019</v>
      </c>
      <c r="G566" t="str">
        <f>IFERROR(INDEX(Formulations[Formulation],MATCH($C566,Formulations[Product Code],0)),"")</f>
        <v>Pure</v>
      </c>
    </row>
    <row r="567" spans="1:7" x14ac:dyDescent="0.3">
      <c r="A567" t="s">
        <v>2538</v>
      </c>
      <c r="B567" t="s">
        <v>2540</v>
      </c>
      <c r="C567" t="s">
        <v>636</v>
      </c>
      <c r="D567" s="7">
        <v>175</v>
      </c>
      <c r="E567">
        <v>2019</v>
      </c>
      <c r="F567">
        <v>2020</v>
      </c>
      <c r="G567" t="str">
        <f>IFERROR(INDEX(Formulations[Formulation],MATCH($C567,Formulations[Product Code],0)),"")</f>
        <v>Pure</v>
      </c>
    </row>
    <row r="568" spans="1:7" x14ac:dyDescent="0.3">
      <c r="A568" t="s">
        <v>2538</v>
      </c>
      <c r="B568" t="s">
        <v>251</v>
      </c>
      <c r="C568" t="s">
        <v>207</v>
      </c>
      <c r="D568" s="7">
        <v>175</v>
      </c>
      <c r="E568">
        <v>2019</v>
      </c>
      <c r="F568">
        <v>2019</v>
      </c>
      <c r="G568" t="str">
        <f>IFERROR(INDEX(Formulations[Formulation],MATCH($C568,Formulations[Product Code],0)),"")</f>
        <v/>
      </c>
    </row>
    <row r="569" spans="1:7" x14ac:dyDescent="0.3">
      <c r="A569" t="s">
        <v>2310</v>
      </c>
      <c r="B569" t="s">
        <v>471</v>
      </c>
      <c r="C569" t="s">
        <v>472</v>
      </c>
      <c r="D569" s="7">
        <v>172</v>
      </c>
      <c r="E569">
        <v>2020</v>
      </c>
      <c r="F569">
        <v>2021</v>
      </c>
      <c r="G569" t="str">
        <f>IFERROR(INDEX(Formulations[Formulation],MATCH($C569,Formulations[Product Code],0)),"")</f>
        <v>Crystal</v>
      </c>
    </row>
    <row r="570" spans="1:7" x14ac:dyDescent="0.3">
      <c r="A570" t="s">
        <v>327</v>
      </c>
      <c r="B570" t="s">
        <v>99</v>
      </c>
      <c r="C570" t="s">
        <v>100</v>
      </c>
      <c r="D570" s="7">
        <v>170</v>
      </c>
      <c r="E570">
        <v>2014</v>
      </c>
      <c r="F570">
        <v>2015</v>
      </c>
      <c r="G570" t="str">
        <f>IFERROR(INDEX(Formulations[Formulation],MATCH($C570,Formulations[Product Code],0)),"")</f>
        <v>Crystal</v>
      </c>
    </row>
    <row r="571" spans="1:7" x14ac:dyDescent="0.3">
      <c r="A571" t="s">
        <v>1082</v>
      </c>
      <c r="B571" t="s">
        <v>799</v>
      </c>
      <c r="C571" t="s">
        <v>800</v>
      </c>
      <c r="D571" s="7">
        <v>170</v>
      </c>
      <c r="E571">
        <v>2009</v>
      </c>
      <c r="F571">
        <v>2010</v>
      </c>
      <c r="G571" t="str">
        <f>IFERROR(INDEX(Formulations[Formulation],MATCH($C571,Formulations[Product Code],0)),"")</f>
        <v/>
      </c>
    </row>
    <row r="572" spans="1:7" x14ac:dyDescent="0.3">
      <c r="A572" t="s">
        <v>1439</v>
      </c>
      <c r="B572" t="s">
        <v>1383</v>
      </c>
      <c r="C572" t="s">
        <v>1384</v>
      </c>
      <c r="D572" s="7">
        <v>170</v>
      </c>
      <c r="E572">
        <v>2017</v>
      </c>
      <c r="F572">
        <v>2018</v>
      </c>
      <c r="G572" t="str">
        <f>IFERROR(INDEX(Formulations[Formulation],MATCH($C572,Formulations[Product Code],0)),"")</f>
        <v>Pure</v>
      </c>
    </row>
    <row r="573" spans="1:7" x14ac:dyDescent="0.3">
      <c r="A573" t="s">
        <v>1799</v>
      </c>
      <c r="B573" t="s">
        <v>653</v>
      </c>
      <c r="C573" t="s">
        <v>654</v>
      </c>
      <c r="D573" s="7">
        <v>170</v>
      </c>
      <c r="E573">
        <v>2016</v>
      </c>
      <c r="F573">
        <v>2020</v>
      </c>
      <c r="G573" t="str">
        <f>IFERROR(INDEX(Formulations[Formulation],MATCH($C573,Formulations[Product Code],0)),"")</f>
        <v>Pure</v>
      </c>
    </row>
    <row r="574" spans="1:7" x14ac:dyDescent="0.3">
      <c r="A574" t="s">
        <v>2020</v>
      </c>
      <c r="B574" t="s">
        <v>187</v>
      </c>
      <c r="C574" t="s">
        <v>188</v>
      </c>
      <c r="D574" s="7">
        <v>170</v>
      </c>
      <c r="E574">
        <v>2017</v>
      </c>
      <c r="F574">
        <v>2019</v>
      </c>
      <c r="G574" t="str">
        <f>IFERROR(INDEX(Formulations[Formulation],MATCH($C574,Formulations[Product Code],0)),"")</f>
        <v>Crystal</v>
      </c>
    </row>
    <row r="575" spans="1:7" x14ac:dyDescent="0.3">
      <c r="A575" t="s">
        <v>2380</v>
      </c>
      <c r="B575" t="s">
        <v>137</v>
      </c>
      <c r="C575" t="s">
        <v>138</v>
      </c>
      <c r="D575" s="7">
        <v>170</v>
      </c>
      <c r="E575">
        <v>2009</v>
      </c>
      <c r="F575">
        <v>2014</v>
      </c>
      <c r="G575" t="str">
        <f>IFERROR(INDEX(Formulations[Formulation],MATCH($C575,Formulations[Product Code],0)),"")</f>
        <v>WS</v>
      </c>
    </row>
    <row r="576" spans="1:7" x14ac:dyDescent="0.3">
      <c r="A576" t="s">
        <v>2030</v>
      </c>
      <c r="B576" t="s">
        <v>19</v>
      </c>
      <c r="C576" t="s">
        <v>20</v>
      </c>
      <c r="D576" s="7">
        <v>169</v>
      </c>
      <c r="E576">
        <v>2009</v>
      </c>
      <c r="F576">
        <v>2019</v>
      </c>
      <c r="G576" t="str">
        <f>IFERROR(INDEX(Formulations[Formulation],MATCH($C576,Formulations[Product Code],0)),"")</f>
        <v>80 % Oil AND 20 % DPG</v>
      </c>
    </row>
    <row r="577" spans="1:7" x14ac:dyDescent="0.3">
      <c r="A577" t="s">
        <v>781</v>
      </c>
      <c r="B577" t="s">
        <v>383</v>
      </c>
      <c r="C577" t="s">
        <v>384</v>
      </c>
      <c r="D577" s="7">
        <v>165</v>
      </c>
      <c r="E577">
        <v>2020</v>
      </c>
      <c r="F577">
        <v>2020</v>
      </c>
      <c r="G577" t="str">
        <f>IFERROR(INDEX(Formulations[Formulation],MATCH($C577,Formulations[Product Code],0)),"")</f>
        <v>Pure</v>
      </c>
    </row>
    <row r="578" spans="1:7" x14ac:dyDescent="0.3">
      <c r="A578" t="s">
        <v>2233</v>
      </c>
      <c r="B578" t="s">
        <v>320</v>
      </c>
      <c r="C578" t="s">
        <v>414</v>
      </c>
      <c r="D578" s="7">
        <v>165</v>
      </c>
      <c r="E578">
        <v>2015</v>
      </c>
      <c r="F578">
        <v>2020</v>
      </c>
      <c r="G578" t="str">
        <f>IFERROR(INDEX(Formulations[Formulation],MATCH($C578,Formulations[Product Code],0)),"")</f>
        <v/>
      </c>
    </row>
    <row r="579" spans="1:7" x14ac:dyDescent="0.3">
      <c r="A579" t="s">
        <v>2362</v>
      </c>
      <c r="B579" t="s">
        <v>99</v>
      </c>
      <c r="C579" t="s">
        <v>100</v>
      </c>
      <c r="D579" s="7">
        <v>165</v>
      </c>
      <c r="E579">
        <v>2014</v>
      </c>
      <c r="F579">
        <v>2021</v>
      </c>
      <c r="G579" t="str">
        <f>IFERROR(INDEX(Formulations[Formulation],MATCH($C579,Formulations[Product Code],0)),"")</f>
        <v>Crystal</v>
      </c>
    </row>
    <row r="580" spans="1:7" x14ac:dyDescent="0.3">
      <c r="A580" t="s">
        <v>1808</v>
      </c>
      <c r="B580" t="s">
        <v>696</v>
      </c>
      <c r="C580" t="s">
        <v>697</v>
      </c>
      <c r="D580" s="7">
        <v>164</v>
      </c>
      <c r="E580">
        <v>2016</v>
      </c>
      <c r="F580">
        <v>2017</v>
      </c>
      <c r="G580" t="str">
        <f>IFERROR(INDEX(Formulations[Formulation],MATCH($C580,Formulations[Product Code],0)),"")</f>
        <v/>
      </c>
    </row>
    <row r="581" spans="1:7" x14ac:dyDescent="0.3">
      <c r="A581" t="s">
        <v>695</v>
      </c>
      <c r="B581" t="s">
        <v>32</v>
      </c>
      <c r="D581" s="7">
        <v>160</v>
      </c>
      <c r="E581">
        <v>2015</v>
      </c>
      <c r="F581">
        <v>2018</v>
      </c>
      <c r="G581" t="str">
        <f>IFERROR(INDEX(Formulations[Formulation],MATCH($C581,Formulations[Product Code],0)),"")</f>
        <v/>
      </c>
    </row>
    <row r="582" spans="1:7" x14ac:dyDescent="0.3">
      <c r="A582" t="s">
        <v>1116</v>
      </c>
      <c r="B582" t="s">
        <v>719</v>
      </c>
      <c r="C582" t="s">
        <v>611</v>
      </c>
      <c r="D582" s="7">
        <v>160</v>
      </c>
      <c r="E582">
        <v>2012</v>
      </c>
      <c r="F582">
        <v>2015</v>
      </c>
      <c r="G582" t="str">
        <f>IFERROR(INDEX(Formulations[Formulation],MATCH($C582,Formulations[Product Code],0)),"")</f>
        <v/>
      </c>
    </row>
    <row r="583" spans="1:7" x14ac:dyDescent="0.3">
      <c r="A583" t="s">
        <v>1356</v>
      </c>
      <c r="B583" t="s">
        <v>318</v>
      </c>
      <c r="C583" t="s">
        <v>319</v>
      </c>
      <c r="D583" s="7">
        <v>160</v>
      </c>
      <c r="E583">
        <v>2015</v>
      </c>
      <c r="F583">
        <v>2017</v>
      </c>
      <c r="G583" t="str">
        <f>IFERROR(INDEX(Formulations[Formulation],MATCH($C583,Formulations[Product Code],0)),"")</f>
        <v>Pure</v>
      </c>
    </row>
    <row r="584" spans="1:7" x14ac:dyDescent="0.3">
      <c r="A584" t="s">
        <v>1463</v>
      </c>
      <c r="B584" t="s">
        <v>1580</v>
      </c>
      <c r="C584" t="s">
        <v>1581</v>
      </c>
      <c r="D584" s="7">
        <v>160</v>
      </c>
      <c r="E584">
        <v>2012</v>
      </c>
      <c r="F584">
        <v>2012</v>
      </c>
      <c r="G584" t="str">
        <f>IFERROR(INDEX(Formulations[Formulation],MATCH($C584,Formulations[Product Code],0)),"")</f>
        <v/>
      </c>
    </row>
    <row r="585" spans="1:7" x14ac:dyDescent="0.3">
      <c r="A585" t="s">
        <v>1822</v>
      </c>
      <c r="B585" t="s">
        <v>467</v>
      </c>
      <c r="C585" t="s">
        <v>468</v>
      </c>
      <c r="D585" s="7">
        <v>160</v>
      </c>
      <c r="E585">
        <v>2019</v>
      </c>
      <c r="F585">
        <v>2021</v>
      </c>
      <c r="G585" t="str">
        <f>IFERROR(INDEX(Formulations[Formulation],MATCH($C585,Formulations[Product Code],0)),"")</f>
        <v>Crystal</v>
      </c>
    </row>
    <row r="586" spans="1:7" x14ac:dyDescent="0.3">
      <c r="A586" t="s">
        <v>1930</v>
      </c>
      <c r="B586" t="s">
        <v>318</v>
      </c>
      <c r="C586" t="s">
        <v>319</v>
      </c>
      <c r="D586" s="7">
        <v>160</v>
      </c>
      <c r="E586">
        <v>2013</v>
      </c>
      <c r="F586">
        <v>2019</v>
      </c>
      <c r="G586" t="str">
        <f>IFERROR(INDEX(Formulations[Formulation],MATCH($C586,Formulations[Product Code],0)),"")</f>
        <v>Pure</v>
      </c>
    </row>
    <row r="587" spans="1:7" x14ac:dyDescent="0.3">
      <c r="A587" t="s">
        <v>2475</v>
      </c>
      <c r="B587" t="s">
        <v>536</v>
      </c>
      <c r="C587" t="s">
        <v>537</v>
      </c>
      <c r="D587" s="7">
        <v>160</v>
      </c>
      <c r="E587">
        <v>2020</v>
      </c>
      <c r="F587">
        <v>2020</v>
      </c>
      <c r="G587" t="str">
        <f>IFERROR(INDEX(Formulations[Formulation],MATCH($C587,Formulations[Product Code],0)),"")</f>
        <v>Silver</v>
      </c>
    </row>
    <row r="588" spans="1:7" x14ac:dyDescent="0.3">
      <c r="A588" t="s">
        <v>2485</v>
      </c>
      <c r="B588" t="s">
        <v>84</v>
      </c>
      <c r="C588" t="s">
        <v>85</v>
      </c>
      <c r="D588" s="7">
        <v>160</v>
      </c>
      <c r="E588">
        <v>2020</v>
      </c>
      <c r="F588">
        <v>2021</v>
      </c>
      <c r="G588" t="str">
        <f>IFERROR(INDEX(Formulations[Formulation],MATCH($C588,Formulations[Product Code],0)),"")</f>
        <v>Pure</v>
      </c>
    </row>
    <row r="589" spans="1:7" x14ac:dyDescent="0.3">
      <c r="A589" t="s">
        <v>781</v>
      </c>
      <c r="B589" t="s">
        <v>788</v>
      </c>
      <c r="C589" t="s">
        <v>789</v>
      </c>
      <c r="D589" s="7">
        <v>158</v>
      </c>
      <c r="E589">
        <v>2019</v>
      </c>
      <c r="F589">
        <v>2021</v>
      </c>
      <c r="G589" t="str">
        <f>IFERROR(INDEX(Formulations[Formulation],MATCH($C589,Formulations[Product Code],0)),"")</f>
        <v>Pure</v>
      </c>
    </row>
    <row r="590" spans="1:7" x14ac:dyDescent="0.3">
      <c r="A590" t="s">
        <v>2490</v>
      </c>
      <c r="B590" t="s">
        <v>32</v>
      </c>
      <c r="D590" s="7">
        <v>156</v>
      </c>
      <c r="E590">
        <v>2019</v>
      </c>
      <c r="F590">
        <v>2020</v>
      </c>
      <c r="G590" t="str">
        <f>IFERROR(INDEX(Formulations[Formulation],MATCH($C590,Formulations[Product Code],0)),"")</f>
        <v/>
      </c>
    </row>
    <row r="591" spans="1:7" x14ac:dyDescent="0.3">
      <c r="A591" t="s">
        <v>1187</v>
      </c>
      <c r="B591" t="s">
        <v>1196</v>
      </c>
      <c r="C591" t="s">
        <v>1197</v>
      </c>
      <c r="D591" s="7">
        <v>155</v>
      </c>
      <c r="E591">
        <v>2009</v>
      </c>
      <c r="F591">
        <v>2014</v>
      </c>
      <c r="G591" t="str">
        <f>IFERROR(INDEX(Formulations[Formulation],MATCH($C591,Formulations[Product Code],0)),"")</f>
        <v/>
      </c>
    </row>
    <row r="592" spans="1:7" x14ac:dyDescent="0.3">
      <c r="A592" t="s">
        <v>1331</v>
      </c>
      <c r="B592" t="s">
        <v>671</v>
      </c>
      <c r="C592" t="s">
        <v>672</v>
      </c>
      <c r="D592" s="7">
        <v>155</v>
      </c>
      <c r="E592">
        <v>2020</v>
      </c>
      <c r="F592">
        <v>2021</v>
      </c>
      <c r="G592" t="str">
        <f>IFERROR(INDEX(Formulations[Formulation],MATCH($C592,Formulations[Product Code],0)),"")</f>
        <v>Pure</v>
      </c>
    </row>
    <row r="593" spans="1:7" x14ac:dyDescent="0.3">
      <c r="A593" t="s">
        <v>1439</v>
      </c>
      <c r="B593" t="s">
        <v>1151</v>
      </c>
      <c r="C593" t="s">
        <v>1152</v>
      </c>
      <c r="D593" s="7">
        <v>155</v>
      </c>
      <c r="E593">
        <v>2018</v>
      </c>
      <c r="F593">
        <v>2019</v>
      </c>
      <c r="G593" t="str">
        <f>IFERROR(INDEX(Formulations[Formulation],MATCH($C593,Formulations[Product Code],0)),"")</f>
        <v>40% oil</v>
      </c>
    </row>
    <row r="594" spans="1:7" x14ac:dyDescent="0.3">
      <c r="A594" t="s">
        <v>1873</v>
      </c>
      <c r="B594" t="s">
        <v>820</v>
      </c>
      <c r="C594" t="s">
        <v>821</v>
      </c>
      <c r="D594" s="7">
        <v>155</v>
      </c>
      <c r="E594">
        <v>2016</v>
      </c>
      <c r="F594">
        <v>2021</v>
      </c>
      <c r="G594" t="str">
        <f>IFERROR(INDEX(Formulations[Formulation],MATCH($C594,Formulations[Product Code],0)),"")</f>
        <v>Pure</v>
      </c>
    </row>
    <row r="595" spans="1:7" x14ac:dyDescent="0.3">
      <c r="A595" t="s">
        <v>2216</v>
      </c>
      <c r="B595" t="s">
        <v>26</v>
      </c>
      <c r="C595" t="s">
        <v>27</v>
      </c>
      <c r="D595" s="7">
        <v>155</v>
      </c>
      <c r="E595">
        <v>2019</v>
      </c>
      <c r="F595">
        <v>2020</v>
      </c>
      <c r="G595" t="str">
        <f>IFERROR(INDEX(Formulations[Formulation],MATCH($C595,Formulations[Product Code],0)),"")</f>
        <v>FLOURAMAX A270578/ P782894</v>
      </c>
    </row>
    <row r="596" spans="1:7" x14ac:dyDescent="0.3">
      <c r="A596" t="s">
        <v>2521</v>
      </c>
      <c r="B596" t="s">
        <v>1337</v>
      </c>
      <c r="C596" t="s">
        <v>1338</v>
      </c>
      <c r="D596" s="7">
        <v>155</v>
      </c>
      <c r="E596">
        <v>2020</v>
      </c>
      <c r="F596">
        <v>2021</v>
      </c>
      <c r="G596" t="str">
        <f>IFERROR(INDEX(Formulations[Formulation],MATCH($C596,Formulations[Product Code],0)),"")</f>
        <v/>
      </c>
    </row>
    <row r="597" spans="1:7" x14ac:dyDescent="0.3">
      <c r="A597" t="s">
        <v>2538</v>
      </c>
      <c r="B597" t="s">
        <v>174</v>
      </c>
      <c r="C597" t="s">
        <v>175</v>
      </c>
      <c r="D597" s="7">
        <v>155</v>
      </c>
      <c r="E597">
        <v>2019</v>
      </c>
      <c r="F597">
        <v>2019</v>
      </c>
      <c r="G597" t="str">
        <f>IFERROR(INDEX(Formulations[Formulation],MATCH($C597,Formulations[Product Code],0)),"")</f>
        <v/>
      </c>
    </row>
    <row r="598" spans="1:7" x14ac:dyDescent="0.3">
      <c r="A598" t="s">
        <v>1028</v>
      </c>
      <c r="B598" t="s">
        <v>340</v>
      </c>
      <c r="C598" t="s">
        <v>341</v>
      </c>
      <c r="D598" s="7">
        <v>153</v>
      </c>
      <c r="E598">
        <v>2010</v>
      </c>
      <c r="F598">
        <v>2010</v>
      </c>
      <c r="G598" t="str">
        <f>IFERROR(INDEX(Formulations[Formulation],MATCH($C598,Formulations[Product Code],0)),"")</f>
        <v/>
      </c>
    </row>
    <row r="599" spans="1:7" x14ac:dyDescent="0.3">
      <c r="A599" t="s">
        <v>1028</v>
      </c>
      <c r="B599" t="s">
        <v>1067</v>
      </c>
      <c r="C599" t="s">
        <v>1068</v>
      </c>
      <c r="D599" s="7">
        <v>153</v>
      </c>
      <c r="E599">
        <v>2010</v>
      </c>
      <c r="F599">
        <v>2010</v>
      </c>
      <c r="G599" t="str">
        <f>IFERROR(INDEX(Formulations[Formulation],MATCH($C599,Formulations[Product Code],0)),"")</f>
        <v/>
      </c>
    </row>
    <row r="600" spans="1:7" x14ac:dyDescent="0.3">
      <c r="A600" t="s">
        <v>1439</v>
      </c>
      <c r="B600" t="s">
        <v>30</v>
      </c>
      <c r="C600" t="s">
        <v>31</v>
      </c>
      <c r="D600" s="7">
        <v>153</v>
      </c>
      <c r="E600">
        <v>2009</v>
      </c>
      <c r="F600">
        <v>2017</v>
      </c>
      <c r="G600" t="str">
        <f>IFERROR(INDEX(Formulations[Formulation],MATCH($C600,Formulations[Product Code],0)),"")</f>
        <v>Pure</v>
      </c>
    </row>
    <row r="601" spans="1:7" x14ac:dyDescent="0.3">
      <c r="A601" t="s">
        <v>327</v>
      </c>
      <c r="B601" t="s">
        <v>332</v>
      </c>
      <c r="C601" t="s">
        <v>333</v>
      </c>
      <c r="D601" s="7">
        <v>151</v>
      </c>
      <c r="E601">
        <v>2013</v>
      </c>
      <c r="F601">
        <v>2015</v>
      </c>
      <c r="G601" t="str">
        <f>IFERROR(INDEX(Formulations[Formulation],MATCH($C601,Formulations[Product Code],0)),"")</f>
        <v/>
      </c>
    </row>
    <row r="602" spans="1:7" x14ac:dyDescent="0.3">
      <c r="A602" t="s">
        <v>842</v>
      </c>
      <c r="B602" t="s">
        <v>851</v>
      </c>
      <c r="C602" t="s">
        <v>852</v>
      </c>
      <c r="D602" s="7">
        <v>151</v>
      </c>
      <c r="E602">
        <v>2010</v>
      </c>
      <c r="F602">
        <v>2011</v>
      </c>
      <c r="G602" t="str">
        <f>IFERROR(INDEX(Formulations[Formulation],MATCH($C602,Formulations[Product Code],0)),"")</f>
        <v/>
      </c>
    </row>
    <row r="603" spans="1:7" x14ac:dyDescent="0.3">
      <c r="A603" t="s">
        <v>449</v>
      </c>
      <c r="B603" t="s">
        <v>451</v>
      </c>
      <c r="C603" t="s">
        <v>452</v>
      </c>
      <c r="D603" s="7">
        <v>150</v>
      </c>
      <c r="E603">
        <v>2019</v>
      </c>
      <c r="F603">
        <v>2021</v>
      </c>
      <c r="G603" t="str">
        <f>IFERROR(INDEX(Formulations[Formulation],MATCH($C603,Formulations[Product Code],0)),"")</f>
        <v>Crystal</v>
      </c>
    </row>
    <row r="604" spans="1:7" x14ac:dyDescent="0.3">
      <c r="A604" t="s">
        <v>449</v>
      </c>
      <c r="B604" t="s">
        <v>485</v>
      </c>
      <c r="C604" t="s">
        <v>486</v>
      </c>
      <c r="D604" s="7">
        <v>150</v>
      </c>
      <c r="E604">
        <v>2012</v>
      </c>
      <c r="F604">
        <v>2013</v>
      </c>
      <c r="G604" t="str">
        <f>IFERROR(INDEX(Formulations[Formulation],MATCH($C604,Formulations[Product Code],0)),"")</f>
        <v>Pure</v>
      </c>
    </row>
    <row r="605" spans="1:7" x14ac:dyDescent="0.3">
      <c r="A605" t="s">
        <v>712</v>
      </c>
      <c r="B605" t="s">
        <v>244</v>
      </c>
      <c r="C605" t="s">
        <v>245</v>
      </c>
      <c r="D605" s="7">
        <v>150</v>
      </c>
      <c r="E605">
        <v>2019</v>
      </c>
      <c r="F605">
        <v>2021</v>
      </c>
      <c r="G605" t="str">
        <f>IFERROR(INDEX(Formulations[Formulation],MATCH($C605,Formulations[Product Code],0)),"")</f>
        <v>10% Oil</v>
      </c>
    </row>
    <row r="606" spans="1:7" x14ac:dyDescent="0.3">
      <c r="A606" t="s">
        <v>712</v>
      </c>
      <c r="B606" t="s">
        <v>732</v>
      </c>
      <c r="C606" t="s">
        <v>289</v>
      </c>
      <c r="D606" s="7">
        <v>150</v>
      </c>
      <c r="E606">
        <v>2020</v>
      </c>
      <c r="F606">
        <v>2021</v>
      </c>
      <c r="G606" t="str">
        <f>IFERROR(INDEX(Formulations[Formulation],MATCH($C606,Formulations[Product Code],0)),"")</f>
        <v>L1212 Blanc by Lacoste (M) CP19035 -  (60%l1212) creed silver mountain 40% than make gold</v>
      </c>
    </row>
    <row r="607" spans="1:7" x14ac:dyDescent="0.3">
      <c r="A607" t="s">
        <v>712</v>
      </c>
      <c r="B607" t="s">
        <v>110</v>
      </c>
      <c r="C607" t="s">
        <v>111</v>
      </c>
      <c r="D607" s="7">
        <v>150</v>
      </c>
      <c r="E607">
        <v>2017</v>
      </c>
      <c r="F607">
        <v>2020</v>
      </c>
      <c r="G607" t="str">
        <f>IFERROR(INDEX(Formulations[Formulation],MATCH($C607,Formulations[Product Code],0)),"")</f>
        <v>75% Lemon Zeste, 25% lemon Top &amp; the Gold DPG)</v>
      </c>
    </row>
    <row r="608" spans="1:7" x14ac:dyDescent="0.3">
      <c r="A608" t="s">
        <v>712</v>
      </c>
      <c r="B608" t="s">
        <v>203</v>
      </c>
      <c r="C608" t="s">
        <v>204</v>
      </c>
      <c r="D608" s="7">
        <v>150</v>
      </c>
      <c r="E608">
        <v>2016</v>
      </c>
      <c r="F608">
        <v>2018</v>
      </c>
      <c r="G608" t="str">
        <f>IFERROR(INDEX(Formulations[Formulation],MATCH($C608,Formulations[Product Code],0)),"")</f>
        <v/>
      </c>
    </row>
    <row r="609" spans="1:7" x14ac:dyDescent="0.3">
      <c r="A609" t="s">
        <v>806</v>
      </c>
      <c r="B609" t="s">
        <v>72</v>
      </c>
      <c r="C609" t="s">
        <v>73</v>
      </c>
      <c r="D609" s="7">
        <v>150</v>
      </c>
      <c r="E609">
        <v>2015</v>
      </c>
      <c r="F609">
        <v>2019</v>
      </c>
      <c r="G609" t="str">
        <f>IFERROR(INDEX(Formulations[Formulation],MATCH($C609,Formulations[Product Code],0)),"")</f>
        <v>Silver</v>
      </c>
    </row>
    <row r="610" spans="1:7" x14ac:dyDescent="0.3">
      <c r="A610" t="s">
        <v>829</v>
      </c>
      <c r="B610" t="s">
        <v>708</v>
      </c>
      <c r="C610" t="s">
        <v>477</v>
      </c>
      <c r="D610" s="7">
        <v>150</v>
      </c>
      <c r="E610">
        <v>2018</v>
      </c>
      <c r="F610">
        <v>2019</v>
      </c>
      <c r="G610" t="str">
        <f>IFERROR(INDEX(Formulations[Formulation],MATCH($C610,Formulations[Product Code],0)),"")</f>
        <v/>
      </c>
    </row>
    <row r="611" spans="1:7" x14ac:dyDescent="0.3">
      <c r="A611" t="s">
        <v>941</v>
      </c>
      <c r="B611" t="s">
        <v>346</v>
      </c>
      <c r="C611" t="s">
        <v>347</v>
      </c>
      <c r="D611" s="7">
        <v>150</v>
      </c>
      <c r="E611">
        <v>2017</v>
      </c>
      <c r="F611">
        <v>2018</v>
      </c>
      <c r="G611" t="str">
        <f>IFERROR(INDEX(Formulations[Formulation],MATCH($C611,Formulations[Product Code],0)),"")</f>
        <v>Pure</v>
      </c>
    </row>
    <row r="612" spans="1:7" x14ac:dyDescent="0.3">
      <c r="A612" t="s">
        <v>1005</v>
      </c>
      <c r="B612" t="s">
        <v>19</v>
      </c>
      <c r="C612" t="s">
        <v>20</v>
      </c>
      <c r="D612" s="7">
        <v>150</v>
      </c>
      <c r="E612">
        <v>2018</v>
      </c>
      <c r="F612">
        <v>2020</v>
      </c>
      <c r="G612" t="str">
        <f>IFERROR(INDEX(Formulations[Formulation],MATCH($C612,Formulations[Product Code],0)),"")</f>
        <v>80 % Oil AND 20 % DPG</v>
      </c>
    </row>
    <row r="613" spans="1:7" x14ac:dyDescent="0.3">
      <c r="A613" t="s">
        <v>1010</v>
      </c>
      <c r="B613" t="s">
        <v>939</v>
      </c>
      <c r="C613" t="s">
        <v>940</v>
      </c>
      <c r="D613" s="7">
        <v>150</v>
      </c>
      <c r="E613">
        <v>2019</v>
      </c>
      <c r="F613">
        <v>2020</v>
      </c>
      <c r="G613" t="str">
        <f>IFERROR(INDEX(Formulations[Formulation],MATCH($C613,Formulations[Product Code],0)),"")</f>
        <v>Crystal</v>
      </c>
    </row>
    <row r="614" spans="1:7" x14ac:dyDescent="0.3">
      <c r="A614" t="s">
        <v>1028</v>
      </c>
      <c r="B614" t="s">
        <v>1076</v>
      </c>
      <c r="C614" t="s">
        <v>1077</v>
      </c>
      <c r="D614" s="7">
        <v>150</v>
      </c>
      <c r="E614">
        <v>2016</v>
      </c>
      <c r="F614">
        <v>2016</v>
      </c>
      <c r="G614" t="str">
        <f>IFERROR(INDEX(Formulations[Formulation],MATCH($C614,Formulations[Product Code],0)),"")</f>
        <v/>
      </c>
    </row>
    <row r="615" spans="1:7" x14ac:dyDescent="0.3">
      <c r="A615" t="s">
        <v>1102</v>
      </c>
      <c r="B615" t="s">
        <v>641</v>
      </c>
      <c r="C615" t="s">
        <v>289</v>
      </c>
      <c r="D615" s="7">
        <v>150</v>
      </c>
      <c r="E615">
        <v>2019</v>
      </c>
      <c r="F615">
        <v>2019</v>
      </c>
      <c r="G615" t="str">
        <f>IFERROR(INDEX(Formulations[Formulation],MATCH($C615,Formulations[Product Code],0)),"")</f>
        <v>L1212 Blanc by Lacoste (M) CP19035 -  (60%l1212) creed silver mountain 40% than make gold</v>
      </c>
    </row>
    <row r="616" spans="1:7" x14ac:dyDescent="0.3">
      <c r="A616" t="s">
        <v>1102</v>
      </c>
      <c r="B616" t="s">
        <v>21</v>
      </c>
      <c r="C616" t="s">
        <v>22</v>
      </c>
      <c r="D616" s="7">
        <v>150</v>
      </c>
      <c r="E616">
        <v>2020</v>
      </c>
      <c r="F616">
        <v>2020</v>
      </c>
      <c r="G616" t="str">
        <f>IFERROR(INDEX(Formulations[Formulation],MATCH($C616,Formulations[Product Code],0)),"")</f>
        <v>Crystal</v>
      </c>
    </row>
    <row r="617" spans="1:7" x14ac:dyDescent="0.3">
      <c r="A617" t="s">
        <v>1102</v>
      </c>
      <c r="B617" t="s">
        <v>1109</v>
      </c>
      <c r="C617" t="s">
        <v>1026</v>
      </c>
      <c r="D617" s="7">
        <v>150</v>
      </c>
      <c r="E617">
        <v>2019</v>
      </c>
      <c r="F617">
        <v>2019</v>
      </c>
      <c r="G617" t="str">
        <f>IFERROR(INDEX(Formulations[Formulation],MATCH($C617,Formulations[Product Code],0)),"")</f>
        <v/>
      </c>
    </row>
    <row r="618" spans="1:7" x14ac:dyDescent="0.3">
      <c r="A618" t="s">
        <v>1102</v>
      </c>
      <c r="B618" t="s">
        <v>1023</v>
      </c>
      <c r="C618" t="s">
        <v>1024</v>
      </c>
      <c r="D618" s="7">
        <v>150</v>
      </c>
      <c r="E618">
        <v>2020</v>
      </c>
      <c r="F618">
        <v>2020</v>
      </c>
      <c r="G618" t="str">
        <f>IFERROR(INDEX(Formulations[Formulation],MATCH($C618,Formulations[Product Code],0)),"")</f>
        <v/>
      </c>
    </row>
    <row r="619" spans="1:7" x14ac:dyDescent="0.3">
      <c r="A619" t="s">
        <v>1127</v>
      </c>
      <c r="B619" t="s">
        <v>411</v>
      </c>
      <c r="D619" s="7">
        <v>150</v>
      </c>
      <c r="E619">
        <v>2020</v>
      </c>
      <c r="F619">
        <v>2021</v>
      </c>
      <c r="G619" t="str">
        <f>IFERROR(INDEX(Formulations[Formulation],MATCH($C619,Formulations[Product Code],0)),"")</f>
        <v/>
      </c>
    </row>
    <row r="620" spans="1:7" x14ac:dyDescent="0.3">
      <c r="A620" t="s">
        <v>1162</v>
      </c>
      <c r="B620" t="s">
        <v>696</v>
      </c>
      <c r="C620" t="s">
        <v>697</v>
      </c>
      <c r="D620" s="7">
        <v>150</v>
      </c>
      <c r="E620">
        <v>2018</v>
      </c>
      <c r="F620">
        <v>2019</v>
      </c>
      <c r="G620" t="str">
        <f>IFERROR(INDEX(Formulations[Formulation],MATCH($C620,Formulations[Product Code],0)),"")</f>
        <v/>
      </c>
    </row>
    <row r="621" spans="1:7" x14ac:dyDescent="0.3">
      <c r="A621" t="s">
        <v>1372</v>
      </c>
      <c r="B621" t="s">
        <v>528</v>
      </c>
      <c r="C621" t="s">
        <v>529</v>
      </c>
      <c r="D621" s="7">
        <v>150</v>
      </c>
      <c r="E621">
        <v>2018</v>
      </c>
      <c r="F621">
        <v>2018</v>
      </c>
      <c r="G621" t="str">
        <f>IFERROR(INDEX(Formulations[Formulation],MATCH($C621,Formulations[Product Code],0)),"")</f>
        <v>Crystal</v>
      </c>
    </row>
    <row r="622" spans="1:7" x14ac:dyDescent="0.3">
      <c r="A622" t="s">
        <v>1439</v>
      </c>
      <c r="B622" t="s">
        <v>41</v>
      </c>
      <c r="C622" t="s">
        <v>530</v>
      </c>
      <c r="D622" s="7">
        <v>150</v>
      </c>
      <c r="E622">
        <v>2011</v>
      </c>
      <c r="F622">
        <v>2011</v>
      </c>
      <c r="G622" t="str">
        <f>IFERROR(INDEX(Formulations[Formulation],MATCH($C622,Formulations[Product Code],0)),"")</f>
        <v/>
      </c>
    </row>
    <row r="623" spans="1:7" x14ac:dyDescent="0.3">
      <c r="A623" t="s">
        <v>1439</v>
      </c>
      <c r="B623" t="s">
        <v>68</v>
      </c>
      <c r="C623" t="s">
        <v>69</v>
      </c>
      <c r="D623" s="7">
        <v>150</v>
      </c>
      <c r="E623">
        <v>2017</v>
      </c>
      <c r="F623">
        <v>2020</v>
      </c>
      <c r="G623" t="str">
        <f>IFERROR(INDEX(Formulations[Formulation],MATCH($C623,Formulations[Product Code],0)),"")</f>
        <v>Silver</v>
      </c>
    </row>
    <row r="624" spans="1:7" x14ac:dyDescent="0.3">
      <c r="A624" t="s">
        <v>1439</v>
      </c>
      <c r="B624" t="s">
        <v>1208</v>
      </c>
      <c r="C624" t="s">
        <v>1209</v>
      </c>
      <c r="D624" s="7">
        <v>150</v>
      </c>
      <c r="E624">
        <v>2009</v>
      </c>
      <c r="F624">
        <v>2014</v>
      </c>
      <c r="G624" t="str">
        <f>IFERROR(INDEX(Formulations[Formulation],MATCH($C624,Formulations[Product Code],0)),"")</f>
        <v/>
      </c>
    </row>
    <row r="625" spans="1:7" x14ac:dyDescent="0.3">
      <c r="A625" t="s">
        <v>1463</v>
      </c>
      <c r="B625" t="s">
        <v>1464</v>
      </c>
      <c r="C625" t="s">
        <v>1465</v>
      </c>
      <c r="D625" s="7">
        <v>150</v>
      </c>
      <c r="E625">
        <v>2013</v>
      </c>
      <c r="F625">
        <v>2013</v>
      </c>
      <c r="G625" t="str">
        <f>IFERROR(INDEX(Formulations[Formulation],MATCH($C625,Formulations[Product Code],0)),"")</f>
        <v/>
      </c>
    </row>
    <row r="626" spans="1:7" x14ac:dyDescent="0.3">
      <c r="A626" t="s">
        <v>1463</v>
      </c>
      <c r="B626" t="s">
        <v>168</v>
      </c>
      <c r="C626" t="s">
        <v>169</v>
      </c>
      <c r="D626" s="7">
        <v>150</v>
      </c>
      <c r="E626">
        <v>2013</v>
      </c>
      <c r="F626">
        <v>2013</v>
      </c>
      <c r="G626" t="str">
        <f>IFERROR(INDEX(Formulations[Formulation],MATCH($C626,Formulations[Product Code],0)),"")</f>
        <v>Silver</v>
      </c>
    </row>
    <row r="627" spans="1:7" x14ac:dyDescent="0.3">
      <c r="A627" t="s">
        <v>1463</v>
      </c>
      <c r="B627" t="s">
        <v>1534</v>
      </c>
      <c r="C627" t="s">
        <v>96</v>
      </c>
      <c r="D627" s="7">
        <v>150</v>
      </c>
      <c r="E627">
        <v>2013</v>
      </c>
      <c r="F627">
        <v>2013</v>
      </c>
      <c r="G627" t="str">
        <f>IFERROR(INDEX(Formulations[Formulation],MATCH($C627,Formulations[Product Code],0)),"")</f>
        <v>9.2 kg oil and rest dpg</v>
      </c>
    </row>
    <row r="628" spans="1:7" x14ac:dyDescent="0.3">
      <c r="A628" t="s">
        <v>1686</v>
      </c>
      <c r="B628" t="s">
        <v>21</v>
      </c>
      <c r="C628" t="s">
        <v>22</v>
      </c>
      <c r="D628" s="7">
        <v>150</v>
      </c>
      <c r="E628">
        <v>2016</v>
      </c>
      <c r="F628">
        <v>2016</v>
      </c>
      <c r="G628" t="str">
        <f>IFERROR(INDEX(Formulations[Formulation],MATCH($C628,Formulations[Product Code],0)),"")</f>
        <v>Crystal</v>
      </c>
    </row>
    <row r="629" spans="1:7" x14ac:dyDescent="0.3">
      <c r="A629" t="s">
        <v>1686</v>
      </c>
      <c r="B629" t="s">
        <v>483</v>
      </c>
      <c r="C629" t="s">
        <v>484</v>
      </c>
      <c r="D629" s="7">
        <v>150</v>
      </c>
      <c r="E629">
        <v>2019</v>
      </c>
      <c r="F629">
        <v>2020</v>
      </c>
      <c r="G629" t="str">
        <f>IFERROR(INDEX(Formulations[Formulation],MATCH($C629,Formulations[Product Code],0)),"")</f>
        <v>Crystal</v>
      </c>
    </row>
    <row r="630" spans="1:7" x14ac:dyDescent="0.3">
      <c r="A630" t="s">
        <v>1721</v>
      </c>
      <c r="B630" t="s">
        <v>1726</v>
      </c>
      <c r="C630" t="s">
        <v>1727</v>
      </c>
      <c r="D630" s="7">
        <v>150</v>
      </c>
      <c r="E630">
        <v>2009</v>
      </c>
      <c r="F630">
        <v>2012</v>
      </c>
      <c r="G630" t="str">
        <f>IFERROR(INDEX(Formulations[Formulation],MATCH($C630,Formulations[Product Code],0)),"")</f>
        <v/>
      </c>
    </row>
    <row r="631" spans="1:7" x14ac:dyDescent="0.3">
      <c r="A631" t="s">
        <v>1721</v>
      </c>
      <c r="B631" t="s">
        <v>314</v>
      </c>
      <c r="C631" t="s">
        <v>315</v>
      </c>
      <c r="D631" s="7">
        <v>150</v>
      </c>
      <c r="E631">
        <v>2016</v>
      </c>
      <c r="F631">
        <v>2016</v>
      </c>
      <c r="G631" t="str">
        <f>IFERROR(INDEX(Formulations[Formulation],MATCH($C631,Formulations[Product Code],0)),"")</f>
        <v/>
      </c>
    </row>
    <row r="632" spans="1:7" x14ac:dyDescent="0.3">
      <c r="A632" t="s">
        <v>1754</v>
      </c>
      <c r="B632" t="s">
        <v>19</v>
      </c>
      <c r="C632" t="s">
        <v>699</v>
      </c>
      <c r="D632" s="7">
        <v>150</v>
      </c>
      <c r="E632">
        <v>2017</v>
      </c>
      <c r="F632">
        <v>2017</v>
      </c>
      <c r="G632" t="str">
        <f>IFERROR(INDEX(Formulations[Formulation],MATCH($C632,Formulations[Product Code],0)),"")</f>
        <v/>
      </c>
    </row>
    <row r="633" spans="1:7" x14ac:dyDescent="0.3">
      <c r="A633" t="s">
        <v>1799</v>
      </c>
      <c r="B633" t="s">
        <v>1104</v>
      </c>
      <c r="C633" t="s">
        <v>1105</v>
      </c>
      <c r="D633" s="7">
        <v>150</v>
      </c>
      <c r="E633">
        <v>2020</v>
      </c>
      <c r="F633">
        <v>2021</v>
      </c>
      <c r="G633" t="str">
        <f>IFERROR(INDEX(Formulations[Formulation],MATCH($C633,Formulations[Product Code],0)),"")</f>
        <v>Silver</v>
      </c>
    </row>
    <row r="634" spans="1:7" x14ac:dyDescent="0.3">
      <c r="A634" t="s">
        <v>1822</v>
      </c>
      <c r="B634" t="s">
        <v>1648</v>
      </c>
      <c r="C634" t="s">
        <v>1826</v>
      </c>
      <c r="D634" s="7">
        <v>150</v>
      </c>
      <c r="E634">
        <v>2019</v>
      </c>
      <c r="F634">
        <v>2019</v>
      </c>
      <c r="G634" t="str">
        <f>IFERROR(INDEX(Formulations[Formulation],MATCH($C634,Formulations[Product Code],0)),"")</f>
        <v/>
      </c>
    </row>
    <row r="635" spans="1:7" x14ac:dyDescent="0.3">
      <c r="A635" t="s">
        <v>1832</v>
      </c>
      <c r="B635" t="s">
        <v>438</v>
      </c>
      <c r="C635" t="s">
        <v>439</v>
      </c>
      <c r="D635" s="7">
        <v>150</v>
      </c>
      <c r="E635">
        <v>2017</v>
      </c>
      <c r="F635">
        <v>2017</v>
      </c>
      <c r="G635" t="str">
        <f>IFERROR(INDEX(Formulations[Formulation],MATCH($C635,Formulations[Product Code],0)),"")</f>
        <v>Pure</v>
      </c>
    </row>
    <row r="636" spans="1:7" x14ac:dyDescent="0.3">
      <c r="A636" t="s">
        <v>1838</v>
      </c>
      <c r="B636" t="s">
        <v>483</v>
      </c>
      <c r="C636" t="s">
        <v>484</v>
      </c>
      <c r="D636" s="7">
        <v>150</v>
      </c>
      <c r="E636">
        <v>2020</v>
      </c>
      <c r="F636">
        <v>2021</v>
      </c>
      <c r="G636" t="str">
        <f>IFERROR(INDEX(Formulations[Formulation],MATCH($C636,Formulations[Product Code],0)),"")</f>
        <v>Crystal</v>
      </c>
    </row>
    <row r="637" spans="1:7" x14ac:dyDescent="0.3">
      <c r="A637" t="s">
        <v>1873</v>
      </c>
      <c r="B637" t="s">
        <v>320</v>
      </c>
      <c r="C637" t="s">
        <v>414</v>
      </c>
      <c r="D637" s="7">
        <v>150</v>
      </c>
      <c r="E637">
        <v>2012</v>
      </c>
      <c r="F637">
        <v>2013</v>
      </c>
      <c r="G637" t="str">
        <f>IFERROR(INDEX(Formulations[Formulation],MATCH($C637,Formulations[Product Code],0)),"")</f>
        <v/>
      </c>
    </row>
    <row r="638" spans="1:7" x14ac:dyDescent="0.3">
      <c r="A638" t="s">
        <v>1906</v>
      </c>
      <c r="B638" t="s">
        <v>184</v>
      </c>
      <c r="C638" t="s">
        <v>185</v>
      </c>
      <c r="D638" s="7">
        <v>150</v>
      </c>
      <c r="E638">
        <v>2012</v>
      </c>
      <c r="F638">
        <v>2016</v>
      </c>
      <c r="G638" t="str">
        <f>IFERROR(INDEX(Formulations[Formulation],MATCH($C638,Formulations[Product Code],0)),"")</f>
        <v/>
      </c>
    </row>
    <row r="639" spans="1:7" x14ac:dyDescent="0.3">
      <c r="A639" t="s">
        <v>1906</v>
      </c>
      <c r="B639" t="s">
        <v>12</v>
      </c>
      <c r="C639" t="s">
        <v>13</v>
      </c>
      <c r="D639" s="7">
        <v>150</v>
      </c>
      <c r="E639">
        <v>2012</v>
      </c>
      <c r="F639">
        <v>2019</v>
      </c>
      <c r="G639" t="str">
        <f>IFERROR(INDEX(Formulations[Formulation],MATCH($C639,Formulations[Product Code],0)),"")</f>
        <v>Crystal</v>
      </c>
    </row>
    <row r="640" spans="1:7" x14ac:dyDescent="0.3">
      <c r="A640" t="s">
        <v>1953</v>
      </c>
      <c r="B640" t="s">
        <v>653</v>
      </c>
      <c r="C640" t="s">
        <v>654</v>
      </c>
      <c r="D640" s="7">
        <v>150</v>
      </c>
      <c r="E640">
        <v>2018</v>
      </c>
      <c r="F640">
        <v>2019</v>
      </c>
      <c r="G640" t="str">
        <f>IFERROR(INDEX(Formulations[Formulation],MATCH($C640,Formulations[Product Code],0)),"")</f>
        <v>Pure</v>
      </c>
    </row>
    <row r="641" spans="1:7" x14ac:dyDescent="0.3">
      <c r="A641" t="s">
        <v>2020</v>
      </c>
      <c r="B641" t="s">
        <v>643</v>
      </c>
      <c r="C641" t="s">
        <v>644</v>
      </c>
      <c r="D641" s="7">
        <v>150</v>
      </c>
      <c r="E641">
        <v>2017</v>
      </c>
      <c r="F641">
        <v>2020</v>
      </c>
      <c r="G641" t="str">
        <f>IFERROR(INDEX(Formulations[Formulation],MATCH($C641,Formulations[Product Code],0)),"")</f>
        <v>Crystal</v>
      </c>
    </row>
    <row r="642" spans="1:7" x14ac:dyDescent="0.3">
      <c r="A642" t="s">
        <v>2020</v>
      </c>
      <c r="B642" t="s">
        <v>70</v>
      </c>
      <c r="C642" t="s">
        <v>71</v>
      </c>
      <c r="D642" s="7">
        <v>150</v>
      </c>
      <c r="E642">
        <v>2019</v>
      </c>
      <c r="F642">
        <v>2019</v>
      </c>
      <c r="G642" t="str">
        <f>IFERROR(INDEX(Formulations[Formulation],MATCH($C642,Formulations[Product Code],0)),"")</f>
        <v>40% Oil &amp; 60% DPG</v>
      </c>
    </row>
    <row r="643" spans="1:7" x14ac:dyDescent="0.3">
      <c r="A643" t="s">
        <v>2020</v>
      </c>
      <c r="B643" t="s">
        <v>657</v>
      </c>
      <c r="C643" t="s">
        <v>658</v>
      </c>
      <c r="D643" s="7">
        <v>150</v>
      </c>
      <c r="E643">
        <v>2017</v>
      </c>
      <c r="F643">
        <v>2020</v>
      </c>
      <c r="G643" t="str">
        <f>IFERROR(INDEX(Formulations[Formulation],MATCH($C643,Formulations[Product Code],0)),"")</f>
        <v>Crystal</v>
      </c>
    </row>
    <row r="644" spans="1:7" x14ac:dyDescent="0.3">
      <c r="A644" t="s">
        <v>2020</v>
      </c>
      <c r="B644" t="s">
        <v>203</v>
      </c>
      <c r="C644" t="s">
        <v>204</v>
      </c>
      <c r="D644" s="7">
        <v>150</v>
      </c>
      <c r="E644">
        <v>2018</v>
      </c>
      <c r="F644">
        <v>2019</v>
      </c>
      <c r="G644" t="str">
        <f>IFERROR(INDEX(Formulations[Formulation],MATCH($C644,Formulations[Product Code],0)),"")</f>
        <v/>
      </c>
    </row>
    <row r="645" spans="1:7" x14ac:dyDescent="0.3">
      <c r="A645" t="s">
        <v>2069</v>
      </c>
      <c r="B645" t="s">
        <v>332</v>
      </c>
      <c r="C645" t="s">
        <v>333</v>
      </c>
      <c r="D645" s="7">
        <v>150</v>
      </c>
      <c r="E645">
        <v>2017</v>
      </c>
      <c r="F645">
        <v>2020</v>
      </c>
      <c r="G645" t="str">
        <f>IFERROR(INDEX(Formulations[Formulation],MATCH($C645,Formulations[Product Code],0)),"")</f>
        <v/>
      </c>
    </row>
    <row r="646" spans="1:7" x14ac:dyDescent="0.3">
      <c r="A646" t="s">
        <v>2097</v>
      </c>
      <c r="B646" t="s">
        <v>939</v>
      </c>
      <c r="C646" t="s">
        <v>940</v>
      </c>
      <c r="D646" s="7">
        <v>150</v>
      </c>
      <c r="E646">
        <v>2019</v>
      </c>
      <c r="F646">
        <v>2019</v>
      </c>
      <c r="G646" t="str">
        <f>IFERROR(INDEX(Formulations[Formulation],MATCH($C646,Formulations[Product Code],0)),"")</f>
        <v>Crystal</v>
      </c>
    </row>
    <row r="647" spans="1:7" x14ac:dyDescent="0.3">
      <c r="A647" t="s">
        <v>2123</v>
      </c>
      <c r="B647" t="s">
        <v>82</v>
      </c>
      <c r="C647" t="s">
        <v>83</v>
      </c>
      <c r="D647" s="7">
        <v>150</v>
      </c>
      <c r="E647">
        <v>2014</v>
      </c>
      <c r="F647">
        <v>2019</v>
      </c>
      <c r="G647" t="str">
        <f>IFERROR(INDEX(Formulations[Formulation],MATCH($C647,Formulations[Product Code],0)),"")</f>
        <v>Pure</v>
      </c>
    </row>
    <row r="648" spans="1:7" x14ac:dyDescent="0.3">
      <c r="A648" t="s">
        <v>2123</v>
      </c>
      <c r="B648" t="s">
        <v>196</v>
      </c>
      <c r="C648" t="s">
        <v>197</v>
      </c>
      <c r="D648" s="7">
        <v>150</v>
      </c>
      <c r="E648">
        <v>2013</v>
      </c>
      <c r="F648">
        <v>2018</v>
      </c>
      <c r="G648" t="str">
        <f>IFERROR(INDEX(Formulations[Formulation],MATCH($C648,Formulations[Product Code],0)),"")</f>
        <v/>
      </c>
    </row>
    <row r="649" spans="1:7" x14ac:dyDescent="0.3">
      <c r="A649" t="s">
        <v>2209</v>
      </c>
      <c r="B649" t="s">
        <v>686</v>
      </c>
      <c r="C649" t="s">
        <v>687</v>
      </c>
      <c r="D649" s="7">
        <v>150</v>
      </c>
      <c r="E649">
        <v>2019</v>
      </c>
      <c r="F649">
        <v>2021</v>
      </c>
      <c r="G649" t="str">
        <f>IFERROR(INDEX(Formulations[Formulation],MATCH($C649,Formulations[Product Code],0)),"")</f>
        <v>Pure</v>
      </c>
    </row>
    <row r="650" spans="1:7" x14ac:dyDescent="0.3">
      <c r="A650" t="s">
        <v>2232</v>
      </c>
      <c r="B650" t="s">
        <v>334</v>
      </c>
      <c r="C650" t="s">
        <v>335</v>
      </c>
      <c r="D650" s="7">
        <v>150</v>
      </c>
      <c r="E650">
        <v>2017</v>
      </c>
      <c r="F650">
        <v>2017</v>
      </c>
      <c r="G650" t="str">
        <f>IFERROR(INDEX(Formulations[Formulation],MATCH($C650,Formulations[Product Code],0)),"")</f>
        <v>Pure</v>
      </c>
    </row>
    <row r="651" spans="1:7" x14ac:dyDescent="0.3">
      <c r="A651" t="s">
        <v>2238</v>
      </c>
      <c r="B651" t="s">
        <v>41</v>
      </c>
      <c r="C651" t="s">
        <v>63</v>
      </c>
      <c r="D651" s="7">
        <v>150</v>
      </c>
      <c r="E651">
        <v>2014</v>
      </c>
      <c r="F651">
        <v>2017</v>
      </c>
      <c r="G651" t="str">
        <f>IFERROR(INDEX(Formulations[Formulation],MATCH($C651,Formulations[Product Code],0)),"")</f>
        <v>Crystal</v>
      </c>
    </row>
    <row r="652" spans="1:7" x14ac:dyDescent="0.3">
      <c r="A652" t="s">
        <v>2290</v>
      </c>
      <c r="B652" t="s">
        <v>763</v>
      </c>
      <c r="D652" s="7">
        <v>150</v>
      </c>
      <c r="E652">
        <v>2011</v>
      </c>
      <c r="F652">
        <v>2012</v>
      </c>
      <c r="G652" t="str">
        <f>IFERROR(INDEX(Formulations[Formulation],MATCH($C652,Formulations[Product Code],0)),"")</f>
        <v/>
      </c>
    </row>
    <row r="653" spans="1:7" x14ac:dyDescent="0.3">
      <c r="A653" t="s">
        <v>2290</v>
      </c>
      <c r="B653" t="s">
        <v>21</v>
      </c>
      <c r="C653" t="s">
        <v>22</v>
      </c>
      <c r="D653" s="7">
        <v>150</v>
      </c>
      <c r="E653">
        <v>2009</v>
      </c>
      <c r="F653">
        <v>2010</v>
      </c>
      <c r="G653" t="str">
        <f>IFERROR(INDEX(Formulations[Formulation],MATCH($C653,Formulations[Product Code],0)),"")</f>
        <v>Crystal</v>
      </c>
    </row>
    <row r="654" spans="1:7" x14ac:dyDescent="0.3">
      <c r="A654" t="s">
        <v>2330</v>
      </c>
      <c r="B654" t="s">
        <v>2331</v>
      </c>
      <c r="C654" t="s">
        <v>2332</v>
      </c>
      <c r="D654" s="7">
        <v>150</v>
      </c>
      <c r="E654">
        <v>2017</v>
      </c>
      <c r="F654">
        <v>2018</v>
      </c>
      <c r="G654" t="str">
        <f>IFERROR(INDEX(Formulations[Formulation],MATCH($C654,Formulations[Product Code],0)),"")</f>
        <v/>
      </c>
    </row>
    <row r="655" spans="1:7" x14ac:dyDescent="0.3">
      <c r="A655" t="s">
        <v>2337</v>
      </c>
      <c r="B655" t="s">
        <v>1669</v>
      </c>
      <c r="C655" t="s">
        <v>703</v>
      </c>
      <c r="D655" s="7">
        <v>150</v>
      </c>
      <c r="E655">
        <v>2021</v>
      </c>
      <c r="F655">
        <v>2021</v>
      </c>
      <c r="G655" t="str">
        <f>IFERROR(INDEX(Formulations[Formulation],MATCH($C655,Formulations[Product Code],0)),"")</f>
        <v>flouramax 40%, green apple 30%, strwaberry 15%, cocoa butter 15%</v>
      </c>
    </row>
    <row r="656" spans="1:7" x14ac:dyDescent="0.3">
      <c r="A656" t="s">
        <v>2345</v>
      </c>
      <c r="B656" t="s">
        <v>46</v>
      </c>
      <c r="C656" t="s">
        <v>47</v>
      </c>
      <c r="D656" s="7">
        <v>150</v>
      </c>
      <c r="E656">
        <v>2013</v>
      </c>
      <c r="F656">
        <v>2013</v>
      </c>
      <c r="G656" t="str">
        <f>IFERROR(INDEX(Formulations[Formulation],MATCH($C656,Formulations[Product Code],0)),"")</f>
        <v/>
      </c>
    </row>
    <row r="657" spans="1:7" x14ac:dyDescent="0.3">
      <c r="A657" t="s">
        <v>2437</v>
      </c>
      <c r="B657" t="s">
        <v>19</v>
      </c>
      <c r="C657" t="s">
        <v>20</v>
      </c>
      <c r="D657" s="7">
        <v>150</v>
      </c>
      <c r="E657">
        <v>2016</v>
      </c>
      <c r="F657">
        <v>2019</v>
      </c>
      <c r="G657" t="str">
        <f>IFERROR(INDEX(Formulations[Formulation],MATCH($C657,Formulations[Product Code],0)),"")</f>
        <v>80 % Oil AND 20 % DPG</v>
      </c>
    </row>
    <row r="658" spans="1:7" x14ac:dyDescent="0.3">
      <c r="A658" t="s">
        <v>2438</v>
      </c>
      <c r="B658" t="s">
        <v>64</v>
      </c>
      <c r="C658" t="s">
        <v>65</v>
      </c>
      <c r="D658" s="7">
        <v>150</v>
      </c>
      <c r="E658">
        <v>2018</v>
      </c>
      <c r="F658">
        <v>2020</v>
      </c>
      <c r="G658" t="str">
        <f>IFERROR(INDEX(Formulations[Formulation],MATCH($C658,Formulations[Product Code],0)),"")</f>
        <v>Crystal</v>
      </c>
    </row>
    <row r="659" spans="1:7" x14ac:dyDescent="0.3">
      <c r="A659" t="s">
        <v>2450</v>
      </c>
      <c r="B659" t="s">
        <v>30</v>
      </c>
      <c r="C659" t="s">
        <v>31</v>
      </c>
      <c r="D659" s="7">
        <v>150</v>
      </c>
      <c r="E659">
        <v>2013</v>
      </c>
      <c r="F659">
        <v>2015</v>
      </c>
      <c r="G659" t="str">
        <f>IFERROR(INDEX(Formulations[Formulation],MATCH($C659,Formulations[Product Code],0)),"")</f>
        <v>Pure</v>
      </c>
    </row>
    <row r="660" spans="1:7" x14ac:dyDescent="0.3">
      <c r="A660" t="s">
        <v>2475</v>
      </c>
      <c r="B660" t="s">
        <v>103</v>
      </c>
      <c r="C660" t="s">
        <v>104</v>
      </c>
      <c r="D660" s="7">
        <v>150</v>
      </c>
      <c r="E660">
        <v>2019</v>
      </c>
      <c r="F660">
        <v>2021</v>
      </c>
      <c r="G660" t="str">
        <f>IFERROR(INDEX(Formulations[Formulation],MATCH($C660,Formulations[Product Code],0)),"")</f>
        <v>Pure</v>
      </c>
    </row>
    <row r="661" spans="1:7" x14ac:dyDescent="0.3">
      <c r="A661" t="s">
        <v>2475</v>
      </c>
      <c r="B661" t="s">
        <v>68</v>
      </c>
      <c r="C661" t="s">
        <v>69</v>
      </c>
      <c r="D661" s="7">
        <v>150</v>
      </c>
      <c r="E661">
        <v>2015</v>
      </c>
      <c r="F661">
        <v>2020</v>
      </c>
      <c r="G661" t="str">
        <f>IFERROR(INDEX(Formulations[Formulation],MATCH($C661,Formulations[Product Code],0)),"")</f>
        <v>Silver</v>
      </c>
    </row>
    <row r="662" spans="1:7" x14ac:dyDescent="0.3">
      <c r="A662" t="s">
        <v>2491</v>
      </c>
      <c r="B662" t="s">
        <v>2494</v>
      </c>
      <c r="C662" t="s">
        <v>2495</v>
      </c>
      <c r="D662" s="7">
        <v>150</v>
      </c>
      <c r="E662">
        <v>2014</v>
      </c>
      <c r="F662">
        <v>2014</v>
      </c>
      <c r="G662" t="str">
        <f>IFERROR(INDEX(Formulations[Formulation],MATCH($C662,Formulations[Product Code],0)),"")</f>
        <v/>
      </c>
    </row>
    <row r="663" spans="1:7" x14ac:dyDescent="0.3">
      <c r="A663" t="s">
        <v>2491</v>
      </c>
      <c r="B663" t="s">
        <v>438</v>
      </c>
      <c r="C663" t="s">
        <v>439</v>
      </c>
      <c r="D663" s="7">
        <v>150</v>
      </c>
      <c r="E663">
        <v>2017</v>
      </c>
      <c r="F663">
        <v>2017</v>
      </c>
      <c r="G663" t="str">
        <f>IFERROR(INDEX(Formulations[Formulation],MATCH($C663,Formulations[Product Code],0)),"")</f>
        <v>Pure</v>
      </c>
    </row>
    <row r="664" spans="1:7" x14ac:dyDescent="0.3">
      <c r="A664" t="s">
        <v>2496</v>
      </c>
      <c r="B664" t="s">
        <v>314</v>
      </c>
      <c r="C664" t="s">
        <v>475</v>
      </c>
      <c r="D664" s="7">
        <v>150</v>
      </c>
      <c r="E664">
        <v>2014</v>
      </c>
      <c r="F664">
        <v>2019</v>
      </c>
      <c r="G664" t="str">
        <f>IFERROR(INDEX(Formulations[Formulation],MATCH($C664,Formulations[Product Code],0)),"")</f>
        <v>Crystal</v>
      </c>
    </row>
    <row r="665" spans="1:7" x14ac:dyDescent="0.3">
      <c r="A665" t="s">
        <v>2521</v>
      </c>
      <c r="B665" t="s">
        <v>110</v>
      </c>
      <c r="C665" t="s">
        <v>111</v>
      </c>
      <c r="D665" s="7">
        <v>150</v>
      </c>
      <c r="E665">
        <v>2018</v>
      </c>
      <c r="F665">
        <v>2020</v>
      </c>
      <c r="G665" t="str">
        <f>IFERROR(INDEX(Formulations[Formulation],MATCH($C665,Formulations[Product Code],0)),"")</f>
        <v>75% Lemon Zeste, 25% lemon Top &amp; the Gold DPG)</v>
      </c>
    </row>
    <row r="666" spans="1:7" x14ac:dyDescent="0.3">
      <c r="A666" t="s">
        <v>2521</v>
      </c>
      <c r="B666" t="s">
        <v>674</v>
      </c>
      <c r="C666" t="s">
        <v>675</v>
      </c>
      <c r="D666" s="7">
        <v>150</v>
      </c>
      <c r="E666">
        <v>2020</v>
      </c>
      <c r="F666">
        <v>2021</v>
      </c>
      <c r="G666" t="str">
        <f>IFERROR(INDEX(Formulations[Formulation],MATCH($C666,Formulations[Product Code],0)),"")</f>
        <v>Crystal</v>
      </c>
    </row>
    <row r="667" spans="1:7" x14ac:dyDescent="0.3">
      <c r="A667" t="s">
        <v>2532</v>
      </c>
      <c r="B667" t="s">
        <v>314</v>
      </c>
      <c r="C667" t="s">
        <v>475</v>
      </c>
      <c r="D667" s="7">
        <v>150</v>
      </c>
      <c r="E667">
        <v>2012</v>
      </c>
      <c r="F667">
        <v>2014</v>
      </c>
      <c r="G667" t="str">
        <f>IFERROR(INDEX(Formulations[Formulation],MATCH($C667,Formulations[Product Code],0)),"")</f>
        <v>Crystal</v>
      </c>
    </row>
    <row r="668" spans="1:7" x14ac:dyDescent="0.3">
      <c r="A668" t="s">
        <v>2538</v>
      </c>
      <c r="B668" t="s">
        <v>1238</v>
      </c>
      <c r="C668" t="s">
        <v>1239</v>
      </c>
      <c r="D668" s="7">
        <v>150</v>
      </c>
      <c r="E668">
        <v>2020</v>
      </c>
      <c r="F668">
        <v>2020</v>
      </c>
      <c r="G668" t="str">
        <f>IFERROR(INDEX(Formulations[Formulation],MATCH($C668,Formulations[Product Code],0)),"")</f>
        <v/>
      </c>
    </row>
    <row r="669" spans="1:7" x14ac:dyDescent="0.3">
      <c r="A669" t="s">
        <v>2538</v>
      </c>
      <c r="B669" t="s">
        <v>641</v>
      </c>
      <c r="C669" t="s">
        <v>289</v>
      </c>
      <c r="D669" s="7">
        <v>150</v>
      </c>
      <c r="E669">
        <v>2019</v>
      </c>
      <c r="F669">
        <v>2019</v>
      </c>
      <c r="G669" t="str">
        <f>IFERROR(INDEX(Formulations[Formulation],MATCH($C669,Formulations[Product Code],0)),"")</f>
        <v>L1212 Blanc by Lacoste (M) CP19035 -  (60%l1212) creed silver mountain 40% than make gold</v>
      </c>
    </row>
    <row r="670" spans="1:7" x14ac:dyDescent="0.3">
      <c r="A670" t="s">
        <v>2538</v>
      </c>
      <c r="B670" t="s">
        <v>297</v>
      </c>
      <c r="C670" t="s">
        <v>298</v>
      </c>
      <c r="D670" s="7">
        <v>150</v>
      </c>
      <c r="E670">
        <v>2020</v>
      </c>
      <c r="F670">
        <v>2020</v>
      </c>
      <c r="G670" t="str">
        <f>IFERROR(INDEX(Formulations[Formulation],MATCH($C670,Formulations[Product Code],0)),"")</f>
        <v>Pure</v>
      </c>
    </row>
    <row r="671" spans="1:7" x14ac:dyDescent="0.3">
      <c r="A671" t="s">
        <v>2569</v>
      </c>
      <c r="B671" t="s">
        <v>597</v>
      </c>
      <c r="C671" t="s">
        <v>598</v>
      </c>
      <c r="D671" s="7">
        <v>150</v>
      </c>
      <c r="E671">
        <v>2020</v>
      </c>
      <c r="F671">
        <v>2021</v>
      </c>
      <c r="G671" t="str">
        <f>IFERROR(INDEX(Formulations[Formulation],MATCH($C671,Formulations[Product Code],0)),"")</f>
        <v>Silver</v>
      </c>
    </row>
    <row r="672" spans="1:7" x14ac:dyDescent="0.3">
      <c r="A672" t="s">
        <v>2577</v>
      </c>
      <c r="B672" t="s">
        <v>269</v>
      </c>
      <c r="C672" t="s">
        <v>270</v>
      </c>
      <c r="D672" s="7">
        <v>150</v>
      </c>
      <c r="E672">
        <v>2016</v>
      </c>
      <c r="F672">
        <v>2018</v>
      </c>
      <c r="G672" t="str">
        <f>IFERROR(INDEX(Formulations[Formulation],MATCH($C672,Formulations[Product Code],0)),"")</f>
        <v>Pure</v>
      </c>
    </row>
    <row r="673" spans="1:7" x14ac:dyDescent="0.3">
      <c r="A673" t="s">
        <v>2590</v>
      </c>
      <c r="B673" t="s">
        <v>110</v>
      </c>
      <c r="C673" t="s">
        <v>111</v>
      </c>
      <c r="D673" s="7">
        <v>150</v>
      </c>
      <c r="E673">
        <v>2019</v>
      </c>
      <c r="F673">
        <v>2019</v>
      </c>
      <c r="G673" t="str">
        <f>IFERROR(INDEX(Formulations[Formulation],MATCH($C673,Formulations[Product Code],0)),"")</f>
        <v>75% Lemon Zeste, 25% lemon Top &amp; the Gold DPG)</v>
      </c>
    </row>
    <row r="674" spans="1:7" x14ac:dyDescent="0.3">
      <c r="A674" t="s">
        <v>2595</v>
      </c>
      <c r="B674" t="s">
        <v>674</v>
      </c>
      <c r="C674" t="s">
        <v>675</v>
      </c>
      <c r="D674" s="7">
        <v>150</v>
      </c>
      <c r="E674">
        <v>2020</v>
      </c>
      <c r="F674">
        <v>2020</v>
      </c>
      <c r="G674" t="str">
        <f>IFERROR(INDEX(Formulations[Formulation],MATCH($C674,Formulations[Product Code],0)),"")</f>
        <v>Crystal</v>
      </c>
    </row>
    <row r="675" spans="1:7" x14ac:dyDescent="0.3">
      <c r="A675" t="s">
        <v>1799</v>
      </c>
      <c r="B675" t="s">
        <v>398</v>
      </c>
      <c r="C675" t="s">
        <v>399</v>
      </c>
      <c r="D675" s="7">
        <v>149</v>
      </c>
      <c r="E675">
        <v>2016</v>
      </c>
      <c r="F675">
        <v>2017</v>
      </c>
      <c r="G675" t="str">
        <f>IFERROR(INDEX(Formulations[Formulation],MATCH($C675,Formulations[Product Code],0)),"")</f>
        <v/>
      </c>
    </row>
    <row r="676" spans="1:7" x14ac:dyDescent="0.3">
      <c r="A676" t="s">
        <v>794</v>
      </c>
      <c r="B676" t="s">
        <v>797</v>
      </c>
      <c r="C676" t="s">
        <v>798</v>
      </c>
      <c r="D676" s="7">
        <v>148.19999999999999</v>
      </c>
      <c r="E676">
        <v>2010</v>
      </c>
      <c r="F676">
        <v>2011</v>
      </c>
      <c r="G676" t="str">
        <f>IFERROR(INDEX(Formulations[Formulation],MATCH($C676,Formulations[Product Code],0)),"")</f>
        <v/>
      </c>
    </row>
    <row r="677" spans="1:7" x14ac:dyDescent="0.3">
      <c r="A677" t="s">
        <v>345</v>
      </c>
      <c r="B677" t="s">
        <v>110</v>
      </c>
      <c r="C677" t="s">
        <v>111</v>
      </c>
      <c r="D677" s="7">
        <v>145</v>
      </c>
      <c r="E677">
        <v>2020</v>
      </c>
      <c r="F677">
        <v>2020</v>
      </c>
      <c r="G677" t="str">
        <f>IFERROR(INDEX(Formulations[Formulation],MATCH($C677,Formulations[Product Code],0)),"")</f>
        <v>75% Lemon Zeste, 25% lemon Top &amp; the Gold DPG)</v>
      </c>
    </row>
    <row r="678" spans="1:7" x14ac:dyDescent="0.3">
      <c r="A678" t="s">
        <v>1399</v>
      </c>
      <c r="B678" t="s">
        <v>26</v>
      </c>
      <c r="C678" t="s">
        <v>27</v>
      </c>
      <c r="D678" s="7">
        <v>145</v>
      </c>
      <c r="E678">
        <v>2017</v>
      </c>
      <c r="F678">
        <v>2020</v>
      </c>
      <c r="G678" t="str">
        <f>IFERROR(INDEX(Formulations[Formulation],MATCH($C678,Formulations[Product Code],0)),"")</f>
        <v>FLOURAMAX A270578/ P782894</v>
      </c>
    </row>
    <row r="679" spans="1:7" x14ac:dyDescent="0.3">
      <c r="A679" t="s">
        <v>1686</v>
      </c>
      <c r="B679" t="s">
        <v>46</v>
      </c>
      <c r="C679" t="s">
        <v>47</v>
      </c>
      <c r="D679" s="7">
        <v>145</v>
      </c>
      <c r="E679">
        <v>2016</v>
      </c>
      <c r="F679">
        <v>2018</v>
      </c>
      <c r="G679" t="str">
        <f>IFERROR(INDEX(Formulations[Formulation],MATCH($C679,Formulations[Product Code],0)),"")</f>
        <v/>
      </c>
    </row>
    <row r="680" spans="1:7" x14ac:dyDescent="0.3">
      <c r="A680" t="s">
        <v>2079</v>
      </c>
      <c r="B680" t="s">
        <v>137</v>
      </c>
      <c r="C680" t="s">
        <v>138</v>
      </c>
      <c r="D680" s="7">
        <v>145</v>
      </c>
      <c r="E680">
        <v>2011</v>
      </c>
      <c r="F680">
        <v>2013</v>
      </c>
      <c r="G680" t="str">
        <f>IFERROR(INDEX(Formulations[Formulation],MATCH($C680,Formulations[Product Code],0)),"")</f>
        <v>WS</v>
      </c>
    </row>
    <row r="681" spans="1:7" x14ac:dyDescent="0.3">
      <c r="A681" t="s">
        <v>327</v>
      </c>
      <c r="B681" t="s">
        <v>328</v>
      </c>
      <c r="C681" t="s">
        <v>52</v>
      </c>
      <c r="D681" s="7">
        <v>141</v>
      </c>
      <c r="E681">
        <v>2014</v>
      </c>
      <c r="F681">
        <v>2015</v>
      </c>
      <c r="G681" t="str">
        <f>IFERROR(INDEX(Formulations[Formulation],MATCH($C681,Formulations[Product Code],0)),"")</f>
        <v>Silver</v>
      </c>
    </row>
    <row r="682" spans="1:7" x14ac:dyDescent="0.3">
      <c r="A682" t="s">
        <v>1810</v>
      </c>
      <c r="B682" t="s">
        <v>32</v>
      </c>
      <c r="D682" s="7">
        <v>140</v>
      </c>
      <c r="E682">
        <v>2014</v>
      </c>
      <c r="F682">
        <v>2016</v>
      </c>
      <c r="G682" t="str">
        <f>IFERROR(INDEX(Formulations[Formulation],MATCH($C682,Formulations[Product Code],0)),"")</f>
        <v/>
      </c>
    </row>
    <row r="683" spans="1:7" x14ac:dyDescent="0.3">
      <c r="A683" t="s">
        <v>2245</v>
      </c>
      <c r="B683" t="s">
        <v>32</v>
      </c>
      <c r="D683" s="7">
        <v>140</v>
      </c>
      <c r="E683">
        <v>2013</v>
      </c>
      <c r="F683">
        <v>2014</v>
      </c>
      <c r="G683" t="str">
        <f>IFERROR(INDEX(Formulations[Formulation],MATCH($C683,Formulations[Product Code],0)),"")</f>
        <v/>
      </c>
    </row>
    <row r="684" spans="1:7" x14ac:dyDescent="0.3">
      <c r="A684" t="s">
        <v>2471</v>
      </c>
      <c r="B684" t="s">
        <v>28</v>
      </c>
      <c r="D684" s="7">
        <v>140</v>
      </c>
      <c r="E684">
        <v>2016</v>
      </c>
      <c r="F684">
        <v>2017</v>
      </c>
      <c r="G684" t="str">
        <f>IFERROR(INDEX(Formulations[Formulation],MATCH($C684,Formulations[Product Code],0)),"")</f>
        <v/>
      </c>
    </row>
    <row r="685" spans="1:7" x14ac:dyDescent="0.3">
      <c r="A685" t="s">
        <v>2533</v>
      </c>
      <c r="B685" t="s">
        <v>37</v>
      </c>
      <c r="D685" s="7">
        <v>140</v>
      </c>
      <c r="E685">
        <v>2019</v>
      </c>
      <c r="F685">
        <v>2020</v>
      </c>
      <c r="G685" t="str">
        <f>IFERROR(INDEX(Formulations[Formulation],MATCH($C685,Formulations[Product Code],0)),"")</f>
        <v/>
      </c>
    </row>
    <row r="686" spans="1:7" x14ac:dyDescent="0.3">
      <c r="A686" t="s">
        <v>1675</v>
      </c>
      <c r="B686" t="s">
        <v>763</v>
      </c>
      <c r="D686" s="7">
        <v>138</v>
      </c>
      <c r="E686">
        <v>2015</v>
      </c>
      <c r="F686">
        <v>2015</v>
      </c>
      <c r="G686" t="str">
        <f>IFERROR(INDEX(Formulations[Formulation],MATCH($C686,Formulations[Product Code],0)),"")</f>
        <v/>
      </c>
    </row>
    <row r="687" spans="1:7" x14ac:dyDescent="0.3">
      <c r="A687" t="s">
        <v>1883</v>
      </c>
      <c r="B687" t="s">
        <v>1861</v>
      </c>
      <c r="D687" s="7">
        <v>138</v>
      </c>
      <c r="E687">
        <v>2019</v>
      </c>
      <c r="F687">
        <v>2020</v>
      </c>
      <c r="G687" t="str">
        <f>IFERROR(INDEX(Formulations[Formulation],MATCH($C687,Formulations[Product Code],0)),"")</f>
        <v/>
      </c>
    </row>
    <row r="688" spans="1:7" x14ac:dyDescent="0.3">
      <c r="A688" t="s">
        <v>2232</v>
      </c>
      <c r="B688" t="s">
        <v>761</v>
      </c>
      <c r="D688" s="7">
        <v>137</v>
      </c>
      <c r="E688">
        <v>2018</v>
      </c>
      <c r="F688">
        <v>2019</v>
      </c>
      <c r="G688" t="str">
        <f>IFERROR(INDEX(Formulations[Formulation],MATCH($C688,Formulations[Product Code],0)),"")</f>
        <v/>
      </c>
    </row>
    <row r="689" spans="1:7" x14ac:dyDescent="0.3">
      <c r="A689" t="s">
        <v>449</v>
      </c>
      <c r="B689" t="s">
        <v>476</v>
      </c>
      <c r="C689" t="s">
        <v>477</v>
      </c>
      <c r="D689" s="7">
        <v>135</v>
      </c>
      <c r="E689">
        <v>2018</v>
      </c>
      <c r="F689">
        <v>2019</v>
      </c>
      <c r="G689" t="str">
        <f>IFERROR(INDEX(Formulations[Formulation],MATCH($C689,Formulations[Product Code],0)),"")</f>
        <v/>
      </c>
    </row>
    <row r="690" spans="1:7" x14ac:dyDescent="0.3">
      <c r="A690" t="s">
        <v>865</v>
      </c>
      <c r="B690" t="s">
        <v>19</v>
      </c>
      <c r="C690" t="s">
        <v>670</v>
      </c>
      <c r="D690" s="7">
        <v>135</v>
      </c>
      <c r="E690">
        <v>2019</v>
      </c>
      <c r="F690">
        <v>2020</v>
      </c>
      <c r="G690" t="str">
        <f>IFERROR(INDEX(Formulations[Formulation],MATCH($C690,Formulations[Product Code],0)),"")</f>
        <v>Crystal</v>
      </c>
    </row>
    <row r="691" spans="1:7" x14ac:dyDescent="0.3">
      <c r="A691" t="s">
        <v>1175</v>
      </c>
      <c r="B691" t="s">
        <v>1178</v>
      </c>
      <c r="C691" t="s">
        <v>1179</v>
      </c>
      <c r="D691" s="7">
        <v>135</v>
      </c>
      <c r="E691">
        <v>2018</v>
      </c>
      <c r="F691">
        <v>2020</v>
      </c>
      <c r="G691" t="str">
        <f>IFERROR(INDEX(Formulations[Formulation],MATCH($C691,Formulations[Product Code],0)),"")</f>
        <v/>
      </c>
    </row>
    <row r="692" spans="1:7" x14ac:dyDescent="0.3">
      <c r="A692" t="s">
        <v>1175</v>
      </c>
      <c r="B692" t="s">
        <v>754</v>
      </c>
      <c r="C692" t="s">
        <v>755</v>
      </c>
      <c r="D692" s="7">
        <v>135</v>
      </c>
      <c r="E692">
        <v>2018</v>
      </c>
      <c r="F692">
        <v>2021</v>
      </c>
      <c r="G692" t="str">
        <f>IFERROR(INDEX(Formulations[Formulation],MATCH($C692,Formulations[Product Code],0)),"")</f>
        <v>Pure</v>
      </c>
    </row>
    <row r="693" spans="1:7" x14ac:dyDescent="0.3">
      <c r="A693" t="s">
        <v>1463</v>
      </c>
      <c r="B693" t="s">
        <v>1572</v>
      </c>
      <c r="C693" t="s">
        <v>1573</v>
      </c>
      <c r="D693" s="7">
        <v>135</v>
      </c>
      <c r="E693">
        <v>2012</v>
      </c>
      <c r="F693">
        <v>2013</v>
      </c>
      <c r="G693" t="str">
        <f>IFERROR(INDEX(Formulations[Formulation],MATCH($C693,Formulations[Product Code],0)),"")</f>
        <v/>
      </c>
    </row>
    <row r="694" spans="1:7" x14ac:dyDescent="0.3">
      <c r="A694" t="s">
        <v>2266</v>
      </c>
      <c r="B694" t="s">
        <v>2270</v>
      </c>
      <c r="C694" t="s">
        <v>1569</v>
      </c>
      <c r="D694" s="7">
        <v>135</v>
      </c>
      <c r="E694">
        <v>2020</v>
      </c>
      <c r="F694">
        <v>2021</v>
      </c>
      <c r="G694" t="str">
        <f>IFERROR(INDEX(Formulations[Formulation],MATCH($C694,Formulations[Product Code],0)),"")</f>
        <v>Pure</v>
      </c>
    </row>
    <row r="695" spans="1:7" x14ac:dyDescent="0.3">
      <c r="A695" t="s">
        <v>2442</v>
      </c>
      <c r="B695" t="s">
        <v>51</v>
      </c>
      <c r="C695" t="s">
        <v>52</v>
      </c>
      <c r="D695" s="7">
        <v>135</v>
      </c>
      <c r="E695">
        <v>2016</v>
      </c>
      <c r="F695">
        <v>2018</v>
      </c>
      <c r="G695" t="str">
        <f>IFERROR(INDEX(Formulations[Formulation],MATCH($C695,Formulations[Product Code],0)),"")</f>
        <v>Silver</v>
      </c>
    </row>
    <row r="696" spans="1:7" x14ac:dyDescent="0.3">
      <c r="A696" t="s">
        <v>2485</v>
      </c>
      <c r="B696" t="s">
        <v>46</v>
      </c>
      <c r="C696" t="s">
        <v>47</v>
      </c>
      <c r="D696" s="7">
        <v>135</v>
      </c>
      <c r="E696">
        <v>2017</v>
      </c>
      <c r="F696">
        <v>2019</v>
      </c>
      <c r="G696" t="str">
        <f>IFERROR(INDEX(Formulations[Formulation],MATCH($C696,Formulations[Product Code],0)),"")</f>
        <v/>
      </c>
    </row>
    <row r="697" spans="1:7" x14ac:dyDescent="0.3">
      <c r="A697" t="s">
        <v>2588</v>
      </c>
      <c r="B697" t="s">
        <v>325</v>
      </c>
      <c r="C697" t="s">
        <v>326</v>
      </c>
      <c r="D697" s="7">
        <v>135</v>
      </c>
      <c r="E697">
        <v>2010</v>
      </c>
      <c r="F697">
        <v>2016</v>
      </c>
      <c r="G697" t="str">
        <f>IFERROR(INDEX(Formulations[Formulation],MATCH($C697,Formulations[Product Code],0)),"")</f>
        <v/>
      </c>
    </row>
    <row r="698" spans="1:7" x14ac:dyDescent="0.3">
      <c r="A698" t="s">
        <v>273</v>
      </c>
      <c r="B698" t="s">
        <v>84</v>
      </c>
      <c r="C698" t="s">
        <v>85</v>
      </c>
      <c r="D698" s="7">
        <v>131</v>
      </c>
      <c r="E698">
        <v>2014</v>
      </c>
      <c r="F698">
        <v>2016</v>
      </c>
      <c r="G698" t="str">
        <f>IFERROR(INDEX(Formulations[Formulation],MATCH($C698,Formulations[Product Code],0)),"")</f>
        <v>Pure</v>
      </c>
    </row>
    <row r="699" spans="1:7" x14ac:dyDescent="0.3">
      <c r="A699" t="s">
        <v>878</v>
      </c>
      <c r="B699" t="s">
        <v>19</v>
      </c>
      <c r="C699" t="s">
        <v>20</v>
      </c>
      <c r="D699" s="7">
        <v>131</v>
      </c>
      <c r="E699">
        <v>2017</v>
      </c>
      <c r="F699">
        <v>2017</v>
      </c>
      <c r="G699" t="str">
        <f>IFERROR(INDEX(Formulations[Formulation],MATCH($C699,Formulations[Product Code],0)),"")</f>
        <v>80 % Oil AND 20 % DPG</v>
      </c>
    </row>
    <row r="700" spans="1:7" x14ac:dyDescent="0.3">
      <c r="A700" t="s">
        <v>2416</v>
      </c>
      <c r="B700" t="s">
        <v>318</v>
      </c>
      <c r="C700" t="s">
        <v>2421</v>
      </c>
      <c r="D700" s="7">
        <v>130.5</v>
      </c>
      <c r="E700">
        <v>2013</v>
      </c>
      <c r="F700">
        <v>2019</v>
      </c>
      <c r="G700" t="str">
        <f>IFERROR(INDEX(Formulations[Formulation],MATCH($C700,Formulations[Product Code],0)),"")</f>
        <v/>
      </c>
    </row>
    <row r="701" spans="1:7" x14ac:dyDescent="0.3">
      <c r="A701" t="s">
        <v>712</v>
      </c>
      <c r="B701" t="s">
        <v>745</v>
      </c>
      <c r="C701" t="s">
        <v>121</v>
      </c>
      <c r="D701" s="7">
        <v>130</v>
      </c>
      <c r="E701">
        <v>2016</v>
      </c>
      <c r="F701">
        <v>2019</v>
      </c>
      <c r="G701" t="str">
        <f>IFERROR(INDEX(Formulations[Formulation],MATCH($C701,Formulations[Product Code],0)),"")</f>
        <v/>
      </c>
    </row>
    <row r="702" spans="1:7" x14ac:dyDescent="0.3">
      <c r="A702" t="s">
        <v>1220</v>
      </c>
      <c r="B702" t="s">
        <v>32</v>
      </c>
      <c r="D702" s="7">
        <v>130</v>
      </c>
      <c r="E702">
        <v>2013</v>
      </c>
      <c r="F702">
        <v>2015</v>
      </c>
      <c r="G702" t="str">
        <f>IFERROR(INDEX(Formulations[Formulation],MATCH($C702,Formulations[Product Code],0)),"")</f>
        <v/>
      </c>
    </row>
    <row r="703" spans="1:7" x14ac:dyDescent="0.3">
      <c r="A703" t="s">
        <v>1331</v>
      </c>
      <c r="B703" t="s">
        <v>485</v>
      </c>
      <c r="C703" t="s">
        <v>486</v>
      </c>
      <c r="D703" s="7">
        <v>130</v>
      </c>
      <c r="E703">
        <v>2020</v>
      </c>
      <c r="F703">
        <v>2021</v>
      </c>
      <c r="G703" t="str">
        <f>IFERROR(INDEX(Formulations[Formulation],MATCH($C703,Formulations[Product Code],0)),"")</f>
        <v>Pure</v>
      </c>
    </row>
    <row r="704" spans="1:7" x14ac:dyDescent="0.3">
      <c r="A704" t="s">
        <v>2069</v>
      </c>
      <c r="B704" t="s">
        <v>320</v>
      </c>
      <c r="C704" t="s">
        <v>414</v>
      </c>
      <c r="D704" s="7">
        <v>130</v>
      </c>
      <c r="E704">
        <v>2017</v>
      </c>
      <c r="F704">
        <v>2020</v>
      </c>
      <c r="G704" t="str">
        <f>IFERROR(INDEX(Formulations[Formulation],MATCH($C704,Formulations[Product Code],0)),"")</f>
        <v/>
      </c>
    </row>
    <row r="705" spans="1:7" x14ac:dyDescent="0.3">
      <c r="A705" t="s">
        <v>2316</v>
      </c>
      <c r="B705" t="s">
        <v>12</v>
      </c>
      <c r="C705" t="s">
        <v>13</v>
      </c>
      <c r="D705" s="7">
        <v>130</v>
      </c>
      <c r="E705">
        <v>2020</v>
      </c>
      <c r="F705">
        <v>2020</v>
      </c>
      <c r="G705" t="str">
        <f>IFERROR(INDEX(Formulations[Formulation],MATCH($C705,Formulations[Product Code],0)),"")</f>
        <v>Crystal</v>
      </c>
    </row>
    <row r="706" spans="1:7" x14ac:dyDescent="0.3">
      <c r="A706" t="s">
        <v>2324</v>
      </c>
      <c r="B706" t="s">
        <v>153</v>
      </c>
      <c r="C706" t="s">
        <v>154</v>
      </c>
      <c r="D706" s="7">
        <v>130</v>
      </c>
      <c r="E706">
        <v>2009</v>
      </c>
      <c r="F706">
        <v>2012</v>
      </c>
      <c r="G706" t="str">
        <f>IFERROR(INDEX(Formulations[Formulation],MATCH($C706,Formulations[Product Code],0)),"")</f>
        <v>Pure</v>
      </c>
    </row>
    <row r="707" spans="1:7" x14ac:dyDescent="0.3">
      <c r="A707" t="s">
        <v>2401</v>
      </c>
      <c r="B707" t="s">
        <v>886</v>
      </c>
      <c r="C707" t="s">
        <v>145</v>
      </c>
      <c r="D707" s="7">
        <v>130</v>
      </c>
      <c r="E707">
        <v>2014</v>
      </c>
      <c r="F707">
        <v>2018</v>
      </c>
      <c r="G707" t="str">
        <f>IFERROR(INDEX(Formulations[Formulation],MATCH($C707,Formulations[Product Code],0)),"")</f>
        <v/>
      </c>
    </row>
    <row r="708" spans="1:7" x14ac:dyDescent="0.3">
      <c r="A708" t="s">
        <v>601</v>
      </c>
      <c r="B708" t="s">
        <v>604</v>
      </c>
      <c r="C708" t="s">
        <v>605</v>
      </c>
      <c r="D708" s="7">
        <v>126</v>
      </c>
      <c r="E708">
        <v>2020</v>
      </c>
      <c r="F708">
        <v>2021</v>
      </c>
      <c r="G708" t="str">
        <f>IFERROR(INDEX(Formulations[Formulation],MATCH($C708,Formulations[Product Code],0)),"")</f>
        <v>60 % Oil &amp; 40 % DPG</v>
      </c>
    </row>
    <row r="709" spans="1:7" x14ac:dyDescent="0.3">
      <c r="A709" t="s">
        <v>1871</v>
      </c>
      <c r="B709" t="s">
        <v>64</v>
      </c>
      <c r="C709" t="s">
        <v>65</v>
      </c>
      <c r="D709" s="7">
        <v>125.2</v>
      </c>
      <c r="E709">
        <v>2015</v>
      </c>
      <c r="F709">
        <v>2016</v>
      </c>
      <c r="G709" t="str">
        <f>IFERROR(INDEX(Formulations[Formulation],MATCH($C709,Formulations[Product Code],0)),"")</f>
        <v>Crystal</v>
      </c>
    </row>
    <row r="710" spans="1:7" x14ac:dyDescent="0.3">
      <c r="A710" t="s">
        <v>449</v>
      </c>
      <c r="B710" t="s">
        <v>12</v>
      </c>
      <c r="C710" t="s">
        <v>13</v>
      </c>
      <c r="D710" s="7">
        <v>125</v>
      </c>
      <c r="E710">
        <v>2016</v>
      </c>
      <c r="F710">
        <v>2020</v>
      </c>
      <c r="G710" t="str">
        <f>IFERROR(INDEX(Formulations[Formulation],MATCH($C710,Formulations[Product Code],0)),"")</f>
        <v>Crystal</v>
      </c>
    </row>
    <row r="711" spans="1:7" x14ac:dyDescent="0.3">
      <c r="A711" t="s">
        <v>712</v>
      </c>
      <c r="B711" t="s">
        <v>532</v>
      </c>
      <c r="C711" t="s">
        <v>452</v>
      </c>
      <c r="D711" s="7">
        <v>125</v>
      </c>
      <c r="E711">
        <v>2019</v>
      </c>
      <c r="F711">
        <v>2020</v>
      </c>
      <c r="G711" t="str">
        <f>IFERROR(INDEX(Formulations[Formulation],MATCH($C711,Formulations[Product Code],0)),"")</f>
        <v>Crystal</v>
      </c>
    </row>
    <row r="712" spans="1:7" x14ac:dyDescent="0.3">
      <c r="A712" t="s">
        <v>712</v>
      </c>
      <c r="B712" t="s">
        <v>714</v>
      </c>
      <c r="C712" t="s">
        <v>715</v>
      </c>
      <c r="D712" s="7">
        <v>125</v>
      </c>
      <c r="E712">
        <v>2017</v>
      </c>
      <c r="F712">
        <v>2018</v>
      </c>
      <c r="G712" t="str">
        <f>IFERROR(INDEX(Formulations[Formulation],MATCH($C712,Formulations[Product Code],0)),"")</f>
        <v/>
      </c>
    </row>
    <row r="713" spans="1:7" x14ac:dyDescent="0.3">
      <c r="A713" t="s">
        <v>712</v>
      </c>
      <c r="B713" t="s">
        <v>674</v>
      </c>
      <c r="C713" t="s">
        <v>675</v>
      </c>
      <c r="D713" s="7">
        <v>125</v>
      </c>
      <c r="E713">
        <v>2020</v>
      </c>
      <c r="F713">
        <v>2020</v>
      </c>
      <c r="G713" t="str">
        <f>IFERROR(INDEX(Formulations[Formulation],MATCH($C713,Formulations[Product Code],0)),"")</f>
        <v>Crystal</v>
      </c>
    </row>
    <row r="714" spans="1:7" x14ac:dyDescent="0.3">
      <c r="A714" t="s">
        <v>803</v>
      </c>
      <c r="B714" t="s">
        <v>120</v>
      </c>
      <c r="C714" t="s">
        <v>121</v>
      </c>
      <c r="D714" s="7">
        <v>125</v>
      </c>
      <c r="E714">
        <v>2015</v>
      </c>
      <c r="F714">
        <v>2018</v>
      </c>
      <c r="G714" t="str">
        <f>IFERROR(INDEX(Formulations[Formulation],MATCH($C714,Formulations[Product Code],0)),"")</f>
        <v/>
      </c>
    </row>
    <row r="715" spans="1:7" x14ac:dyDescent="0.3">
      <c r="A715" t="s">
        <v>803</v>
      </c>
      <c r="B715" t="s">
        <v>70</v>
      </c>
      <c r="C715" t="s">
        <v>71</v>
      </c>
      <c r="D715" s="7">
        <v>125</v>
      </c>
      <c r="E715">
        <v>2017</v>
      </c>
      <c r="F715">
        <v>2017</v>
      </c>
      <c r="G715" t="str">
        <f>IFERROR(INDEX(Formulations[Formulation],MATCH($C715,Formulations[Product Code],0)),"")</f>
        <v>40% Oil &amp; 60% DPG</v>
      </c>
    </row>
    <row r="716" spans="1:7" x14ac:dyDescent="0.3">
      <c r="A716" t="s">
        <v>1027</v>
      </c>
      <c r="B716" t="s">
        <v>297</v>
      </c>
      <c r="C716" t="s">
        <v>298</v>
      </c>
      <c r="D716" s="7">
        <v>125</v>
      </c>
      <c r="E716">
        <v>2019</v>
      </c>
      <c r="F716">
        <v>2020</v>
      </c>
      <c r="G716" t="str">
        <f>IFERROR(INDEX(Formulations[Formulation],MATCH($C716,Formulations[Product Code],0)),"")</f>
        <v>Pure</v>
      </c>
    </row>
    <row r="717" spans="1:7" x14ac:dyDescent="0.3">
      <c r="A717" t="s">
        <v>1111</v>
      </c>
      <c r="B717" t="s">
        <v>473</v>
      </c>
      <c r="C717" t="s">
        <v>747</v>
      </c>
      <c r="D717" s="7">
        <v>125</v>
      </c>
      <c r="E717">
        <v>2011</v>
      </c>
      <c r="F717">
        <v>2011</v>
      </c>
      <c r="G717" t="str">
        <f>IFERROR(INDEX(Formulations[Formulation],MATCH($C717,Formulations[Product Code],0)),"")</f>
        <v/>
      </c>
    </row>
    <row r="718" spans="1:7" x14ac:dyDescent="0.3">
      <c r="A718" t="s">
        <v>1111</v>
      </c>
      <c r="B718" t="s">
        <v>1114</v>
      </c>
      <c r="C718" t="s">
        <v>1115</v>
      </c>
      <c r="D718" s="7">
        <v>125</v>
      </c>
      <c r="E718">
        <v>2009</v>
      </c>
      <c r="F718">
        <v>2012</v>
      </c>
      <c r="G718" t="str">
        <f>IFERROR(INDEX(Formulations[Formulation],MATCH($C718,Formulations[Product Code],0)),"")</f>
        <v/>
      </c>
    </row>
    <row r="719" spans="1:7" x14ac:dyDescent="0.3">
      <c r="A719" t="s">
        <v>1116</v>
      </c>
      <c r="B719" t="s">
        <v>750</v>
      </c>
      <c r="C719" t="s">
        <v>751</v>
      </c>
      <c r="D719" s="7">
        <v>125</v>
      </c>
      <c r="E719">
        <v>2012</v>
      </c>
      <c r="F719">
        <v>2015</v>
      </c>
      <c r="G719" t="str">
        <f>IFERROR(INDEX(Formulations[Formulation],MATCH($C719,Formulations[Product Code],0)),"")</f>
        <v/>
      </c>
    </row>
    <row r="720" spans="1:7" x14ac:dyDescent="0.3">
      <c r="A720" t="s">
        <v>1213</v>
      </c>
      <c r="B720" t="s">
        <v>1214</v>
      </c>
      <c r="C720" t="s">
        <v>1215</v>
      </c>
      <c r="D720" s="7">
        <v>125</v>
      </c>
      <c r="E720">
        <v>2016</v>
      </c>
      <c r="F720">
        <v>2017</v>
      </c>
      <c r="G720" t="str">
        <f>IFERROR(INDEX(Formulations[Formulation],MATCH($C720,Formulations[Product Code],0)),"")</f>
        <v/>
      </c>
    </row>
    <row r="721" spans="1:7" x14ac:dyDescent="0.3">
      <c r="A721" t="s">
        <v>1439</v>
      </c>
      <c r="B721" t="s">
        <v>1454</v>
      </c>
      <c r="C721" t="s">
        <v>1126</v>
      </c>
      <c r="D721" s="7">
        <v>125</v>
      </c>
      <c r="E721">
        <v>2011</v>
      </c>
      <c r="F721">
        <v>2013</v>
      </c>
      <c r="G721" t="str">
        <f>IFERROR(INDEX(Formulations[Formulation],MATCH($C721,Formulations[Product Code],0)),"")</f>
        <v/>
      </c>
    </row>
    <row r="722" spans="1:7" x14ac:dyDescent="0.3">
      <c r="A722" t="s">
        <v>1697</v>
      </c>
      <c r="B722" t="s">
        <v>64</v>
      </c>
      <c r="C722" t="s">
        <v>65</v>
      </c>
      <c r="D722" s="7">
        <v>125</v>
      </c>
      <c r="E722">
        <v>2018</v>
      </c>
      <c r="F722">
        <v>2018</v>
      </c>
      <c r="G722" t="str">
        <f>IFERROR(INDEX(Formulations[Formulation],MATCH($C722,Formulations[Product Code],0)),"")</f>
        <v>Crystal</v>
      </c>
    </row>
    <row r="723" spans="1:7" x14ac:dyDescent="0.3">
      <c r="A723" t="s">
        <v>1697</v>
      </c>
      <c r="B723" t="s">
        <v>995</v>
      </c>
      <c r="C723" t="s">
        <v>672</v>
      </c>
      <c r="D723" s="7">
        <v>125</v>
      </c>
      <c r="E723">
        <v>2018</v>
      </c>
      <c r="F723">
        <v>2020</v>
      </c>
      <c r="G723" t="str">
        <f>IFERROR(INDEX(Formulations[Formulation],MATCH($C723,Formulations[Product Code],0)),"")</f>
        <v>Pure</v>
      </c>
    </row>
    <row r="724" spans="1:7" x14ac:dyDescent="0.3">
      <c r="A724" t="s">
        <v>1784</v>
      </c>
      <c r="B724" t="s">
        <v>1544</v>
      </c>
      <c r="C724" t="s">
        <v>102</v>
      </c>
      <c r="D724" s="7">
        <v>125</v>
      </c>
      <c r="E724">
        <v>2015</v>
      </c>
      <c r="F724">
        <v>2017</v>
      </c>
      <c r="G724" t="str">
        <f>IFERROR(INDEX(Formulations[Formulation],MATCH($C724,Formulations[Product Code],0)),"")</f>
        <v>Gold</v>
      </c>
    </row>
    <row r="725" spans="1:7" x14ac:dyDescent="0.3">
      <c r="A725" t="s">
        <v>1799</v>
      </c>
      <c r="B725" t="s">
        <v>297</v>
      </c>
      <c r="C725" t="s">
        <v>298</v>
      </c>
      <c r="D725" s="7">
        <v>125</v>
      </c>
      <c r="E725">
        <v>2014</v>
      </c>
      <c r="F725">
        <v>2017</v>
      </c>
      <c r="G725" t="str">
        <f>IFERROR(INDEX(Formulations[Formulation],MATCH($C725,Formulations[Product Code],0)),"")</f>
        <v>Pure</v>
      </c>
    </row>
    <row r="726" spans="1:7" x14ac:dyDescent="0.3">
      <c r="A726" t="s">
        <v>1810</v>
      </c>
      <c r="B726" t="s">
        <v>741</v>
      </c>
      <c r="C726" t="s">
        <v>742</v>
      </c>
      <c r="D726" s="7">
        <v>125</v>
      </c>
      <c r="E726">
        <v>2015</v>
      </c>
      <c r="F726">
        <v>2016</v>
      </c>
      <c r="G726" t="str">
        <f>IFERROR(INDEX(Formulations[Formulation],MATCH($C726,Formulations[Product Code],0)),"")</f>
        <v/>
      </c>
    </row>
    <row r="727" spans="1:7" x14ac:dyDescent="0.3">
      <c r="A727" t="s">
        <v>1810</v>
      </c>
      <c r="B727" t="s">
        <v>1815</v>
      </c>
      <c r="C727" t="s">
        <v>1223</v>
      </c>
      <c r="D727" s="7">
        <v>125</v>
      </c>
      <c r="E727">
        <v>2016</v>
      </c>
      <c r="F727">
        <v>2016</v>
      </c>
      <c r="G727" t="str">
        <f>IFERROR(INDEX(Formulations[Formulation],MATCH($C727,Formulations[Product Code],0)),"")</f>
        <v/>
      </c>
    </row>
    <row r="728" spans="1:7" x14ac:dyDescent="0.3">
      <c r="A728" t="s">
        <v>1832</v>
      </c>
      <c r="B728" t="s">
        <v>41</v>
      </c>
      <c r="C728" t="s">
        <v>42</v>
      </c>
      <c r="D728" s="7">
        <v>125</v>
      </c>
      <c r="E728">
        <v>2016</v>
      </c>
      <c r="F728">
        <v>2016</v>
      </c>
      <c r="G728" t="str">
        <f>IFERROR(INDEX(Formulations[Formulation],MATCH($C728,Formulations[Product Code],0)),"")</f>
        <v/>
      </c>
    </row>
    <row r="729" spans="1:7" x14ac:dyDescent="0.3">
      <c r="A729" t="s">
        <v>1855</v>
      </c>
      <c r="B729" t="s">
        <v>465</v>
      </c>
      <c r="C729" t="s">
        <v>466</v>
      </c>
      <c r="D729" s="7">
        <v>125</v>
      </c>
      <c r="E729">
        <v>2011</v>
      </c>
      <c r="F729">
        <v>2012</v>
      </c>
      <c r="G729" t="str">
        <f>IFERROR(INDEX(Formulations[Formulation],MATCH($C729,Formulations[Product Code],0)),"")</f>
        <v/>
      </c>
    </row>
    <row r="730" spans="1:7" x14ac:dyDescent="0.3">
      <c r="A730" t="s">
        <v>1865</v>
      </c>
      <c r="B730" t="s">
        <v>671</v>
      </c>
      <c r="C730" t="s">
        <v>672</v>
      </c>
      <c r="D730" s="7">
        <v>125</v>
      </c>
      <c r="E730">
        <v>2020</v>
      </c>
      <c r="F730">
        <v>2020</v>
      </c>
      <c r="G730" t="str">
        <f>IFERROR(INDEX(Formulations[Formulation],MATCH($C730,Formulations[Product Code],0)),"")</f>
        <v>Pure</v>
      </c>
    </row>
    <row r="731" spans="1:7" x14ac:dyDescent="0.3">
      <c r="A731" t="s">
        <v>1871</v>
      </c>
      <c r="B731" t="s">
        <v>19</v>
      </c>
      <c r="C731" t="s">
        <v>107</v>
      </c>
      <c r="D731" s="7">
        <v>125</v>
      </c>
      <c r="E731">
        <v>2018</v>
      </c>
      <c r="F731">
        <v>2021</v>
      </c>
      <c r="G731" t="str">
        <f>IFERROR(INDEX(Formulations[Formulation],MATCH($C731,Formulations[Product Code],0)),"")</f>
        <v>Pure</v>
      </c>
    </row>
    <row r="732" spans="1:7" x14ac:dyDescent="0.3">
      <c r="A732" t="s">
        <v>1871</v>
      </c>
      <c r="B732" t="s">
        <v>269</v>
      </c>
      <c r="C732" t="s">
        <v>270</v>
      </c>
      <c r="D732" s="7">
        <v>125</v>
      </c>
      <c r="E732">
        <v>2016</v>
      </c>
      <c r="F732">
        <v>2018</v>
      </c>
      <c r="G732" t="str">
        <f>IFERROR(INDEX(Formulations[Formulation],MATCH($C732,Formulations[Product Code],0)),"")</f>
        <v>Pure</v>
      </c>
    </row>
    <row r="733" spans="1:7" x14ac:dyDescent="0.3">
      <c r="A733" t="s">
        <v>1895</v>
      </c>
      <c r="B733" t="s">
        <v>314</v>
      </c>
      <c r="C733" t="s">
        <v>315</v>
      </c>
      <c r="D733" s="7">
        <v>125</v>
      </c>
      <c r="E733">
        <v>2011</v>
      </c>
      <c r="F733">
        <v>2017</v>
      </c>
      <c r="G733" t="str">
        <f>IFERROR(INDEX(Formulations[Formulation],MATCH($C733,Formulations[Product Code],0)),"")</f>
        <v/>
      </c>
    </row>
    <row r="734" spans="1:7" x14ac:dyDescent="0.3">
      <c r="A734" t="s">
        <v>1906</v>
      </c>
      <c r="B734" t="s">
        <v>41</v>
      </c>
      <c r="C734" t="s">
        <v>530</v>
      </c>
      <c r="D734" s="7">
        <v>125</v>
      </c>
      <c r="E734">
        <v>2011</v>
      </c>
      <c r="F734">
        <v>2012</v>
      </c>
      <c r="G734" t="str">
        <f>IFERROR(INDEX(Formulations[Formulation],MATCH($C734,Formulations[Product Code],0)),"")</f>
        <v/>
      </c>
    </row>
    <row r="735" spans="1:7" x14ac:dyDescent="0.3">
      <c r="A735" t="s">
        <v>1954</v>
      </c>
      <c r="B735" t="s">
        <v>483</v>
      </c>
      <c r="C735" t="s">
        <v>484</v>
      </c>
      <c r="D735" s="7">
        <v>125</v>
      </c>
      <c r="E735">
        <v>2021</v>
      </c>
      <c r="F735">
        <v>2021</v>
      </c>
      <c r="G735" t="str">
        <f>IFERROR(INDEX(Formulations[Formulation],MATCH($C735,Formulations[Product Code],0)),"")</f>
        <v>Crystal</v>
      </c>
    </row>
    <row r="736" spans="1:7" x14ac:dyDescent="0.3">
      <c r="A736" t="s">
        <v>2020</v>
      </c>
      <c r="B736" t="s">
        <v>542</v>
      </c>
      <c r="C736" t="s">
        <v>160</v>
      </c>
      <c r="D736" s="7">
        <v>125</v>
      </c>
      <c r="E736">
        <v>2019</v>
      </c>
      <c r="F736">
        <v>2020</v>
      </c>
      <c r="G736" t="str">
        <f>IFERROR(INDEX(Formulations[Formulation],MATCH($C736,Formulations[Product Code],0)),"")</f>
        <v>Silver</v>
      </c>
    </row>
    <row r="737" spans="1:7" x14ac:dyDescent="0.3">
      <c r="A737" t="s">
        <v>2020</v>
      </c>
      <c r="B737" t="s">
        <v>483</v>
      </c>
      <c r="C737" t="s">
        <v>484</v>
      </c>
      <c r="D737" s="7">
        <v>125</v>
      </c>
      <c r="E737">
        <v>2019</v>
      </c>
      <c r="F737">
        <v>2020</v>
      </c>
      <c r="G737" t="str">
        <f>IFERROR(INDEX(Formulations[Formulation],MATCH($C737,Formulations[Product Code],0)),"")</f>
        <v>Crystal</v>
      </c>
    </row>
    <row r="738" spans="1:7" x14ac:dyDescent="0.3">
      <c r="A738" t="s">
        <v>2030</v>
      </c>
      <c r="B738" t="s">
        <v>46</v>
      </c>
      <c r="C738" t="s">
        <v>47</v>
      </c>
      <c r="D738" s="7">
        <v>125</v>
      </c>
      <c r="E738">
        <v>2017</v>
      </c>
      <c r="F738">
        <v>2018</v>
      </c>
      <c r="G738" t="str">
        <f>IFERROR(INDEX(Formulations[Formulation],MATCH($C738,Formulations[Product Code],0)),"")</f>
        <v/>
      </c>
    </row>
    <row r="739" spans="1:7" x14ac:dyDescent="0.3">
      <c r="A739" t="s">
        <v>2043</v>
      </c>
      <c r="B739" t="s">
        <v>1214</v>
      </c>
      <c r="C739" t="s">
        <v>1215</v>
      </c>
      <c r="D739" s="7">
        <v>125</v>
      </c>
      <c r="E739">
        <v>2017</v>
      </c>
      <c r="F739">
        <v>2017</v>
      </c>
      <c r="G739" t="str">
        <f>IFERROR(INDEX(Formulations[Formulation],MATCH($C739,Formulations[Product Code],0)),"")</f>
        <v/>
      </c>
    </row>
    <row r="740" spans="1:7" x14ac:dyDescent="0.3">
      <c r="A740" t="s">
        <v>2097</v>
      </c>
      <c r="B740" t="s">
        <v>754</v>
      </c>
      <c r="C740" t="s">
        <v>755</v>
      </c>
      <c r="D740" s="7">
        <v>125</v>
      </c>
      <c r="E740">
        <v>2017</v>
      </c>
      <c r="F740">
        <v>2020</v>
      </c>
      <c r="G740" t="str">
        <f>IFERROR(INDEX(Formulations[Formulation],MATCH($C740,Formulations[Product Code],0)),"")</f>
        <v>Pure</v>
      </c>
    </row>
    <row r="741" spans="1:7" x14ac:dyDescent="0.3">
      <c r="A741" t="s">
        <v>2199</v>
      </c>
      <c r="B741" t="s">
        <v>19</v>
      </c>
      <c r="C741" t="s">
        <v>20</v>
      </c>
      <c r="D741" s="7">
        <v>125</v>
      </c>
      <c r="E741">
        <v>2017</v>
      </c>
      <c r="F741">
        <v>2017</v>
      </c>
      <c r="G741" t="str">
        <f>IFERROR(INDEX(Formulations[Formulation],MATCH($C741,Formulations[Product Code],0)),"")</f>
        <v>80 % Oil AND 20 % DPG</v>
      </c>
    </row>
    <row r="742" spans="1:7" x14ac:dyDescent="0.3">
      <c r="A742" t="s">
        <v>2209</v>
      </c>
      <c r="B742" t="s">
        <v>110</v>
      </c>
      <c r="C742" t="s">
        <v>111</v>
      </c>
      <c r="D742" s="7">
        <v>125</v>
      </c>
      <c r="E742">
        <v>2019</v>
      </c>
      <c r="F742">
        <v>2020</v>
      </c>
      <c r="G742" t="str">
        <f>IFERROR(INDEX(Formulations[Formulation],MATCH($C742,Formulations[Product Code],0)),"")</f>
        <v>75% Lemon Zeste, 25% lemon Top &amp; the Gold DPG)</v>
      </c>
    </row>
    <row r="743" spans="1:7" x14ac:dyDescent="0.3">
      <c r="A743" t="s">
        <v>2209</v>
      </c>
      <c r="B743" t="s">
        <v>653</v>
      </c>
      <c r="C743" t="s">
        <v>654</v>
      </c>
      <c r="D743" s="7">
        <v>125</v>
      </c>
      <c r="E743">
        <v>2019</v>
      </c>
      <c r="F743">
        <v>2020</v>
      </c>
      <c r="G743" t="str">
        <f>IFERROR(INDEX(Formulations[Formulation],MATCH($C743,Formulations[Product Code],0)),"")</f>
        <v>Pure</v>
      </c>
    </row>
    <row r="744" spans="1:7" x14ac:dyDescent="0.3">
      <c r="A744" t="s">
        <v>2230</v>
      </c>
      <c r="B744" t="s">
        <v>446</v>
      </c>
      <c r="C744" t="s">
        <v>447</v>
      </c>
      <c r="D744" s="7">
        <v>125</v>
      </c>
      <c r="E744">
        <v>2020</v>
      </c>
      <c r="F744">
        <v>2020</v>
      </c>
      <c r="G744" t="str">
        <f>IFERROR(INDEX(Formulations[Formulation],MATCH($C744,Formulations[Product Code],0)),"")</f>
        <v>30% Key Oil</v>
      </c>
    </row>
    <row r="745" spans="1:7" x14ac:dyDescent="0.3">
      <c r="A745" t="s">
        <v>2308</v>
      </c>
      <c r="B745" t="s">
        <v>417</v>
      </c>
      <c r="C745" t="s">
        <v>418</v>
      </c>
      <c r="D745" s="7">
        <v>125</v>
      </c>
      <c r="E745">
        <v>2019</v>
      </c>
      <c r="F745">
        <v>2019</v>
      </c>
      <c r="G745" t="str">
        <f>IFERROR(INDEX(Formulations[Formulation],MATCH($C745,Formulations[Product Code],0)),"")</f>
        <v>Pure</v>
      </c>
    </row>
    <row r="746" spans="1:7" x14ac:dyDescent="0.3">
      <c r="A746" t="s">
        <v>2354</v>
      </c>
      <c r="B746" t="s">
        <v>19</v>
      </c>
      <c r="C746" t="s">
        <v>107</v>
      </c>
      <c r="D746" s="7">
        <v>125</v>
      </c>
      <c r="E746">
        <v>2018</v>
      </c>
      <c r="F746">
        <v>2021</v>
      </c>
      <c r="G746" t="str">
        <f>IFERROR(INDEX(Formulations[Formulation],MATCH($C746,Formulations[Product Code],0)),"")</f>
        <v>Pure</v>
      </c>
    </row>
    <row r="747" spans="1:7" x14ac:dyDescent="0.3">
      <c r="A747" t="s">
        <v>2362</v>
      </c>
      <c r="B747" t="s">
        <v>823</v>
      </c>
      <c r="C747" t="s">
        <v>52</v>
      </c>
      <c r="D747" s="7">
        <v>125</v>
      </c>
      <c r="E747">
        <v>2014</v>
      </c>
      <c r="F747">
        <v>2015</v>
      </c>
      <c r="G747" t="str">
        <f>IFERROR(INDEX(Formulations[Formulation],MATCH($C747,Formulations[Product Code],0)),"")</f>
        <v>Silver</v>
      </c>
    </row>
    <row r="748" spans="1:7" x14ac:dyDescent="0.3">
      <c r="A748" t="s">
        <v>2362</v>
      </c>
      <c r="B748" t="s">
        <v>196</v>
      </c>
      <c r="C748" t="s">
        <v>197</v>
      </c>
      <c r="D748" s="7">
        <v>125</v>
      </c>
      <c r="E748">
        <v>2013</v>
      </c>
      <c r="F748">
        <v>2018</v>
      </c>
      <c r="G748" t="str">
        <f>IFERROR(INDEX(Formulations[Formulation],MATCH($C748,Formulations[Product Code],0)),"")</f>
        <v/>
      </c>
    </row>
    <row r="749" spans="1:7" x14ac:dyDescent="0.3">
      <c r="A749" t="s">
        <v>2464</v>
      </c>
      <c r="B749" t="s">
        <v>110</v>
      </c>
      <c r="C749" t="s">
        <v>111</v>
      </c>
      <c r="D749" s="7">
        <v>125</v>
      </c>
      <c r="E749">
        <v>2019</v>
      </c>
      <c r="F749">
        <v>2019</v>
      </c>
      <c r="G749" t="str">
        <f>IFERROR(INDEX(Formulations[Formulation],MATCH($C749,Formulations[Product Code],0)),"")</f>
        <v>75% Lemon Zeste, 25% lemon Top &amp; the Gold DPG)</v>
      </c>
    </row>
    <row r="750" spans="1:7" x14ac:dyDescent="0.3">
      <c r="A750" t="s">
        <v>2465</v>
      </c>
      <c r="B750" t="s">
        <v>702</v>
      </c>
      <c r="C750" t="s">
        <v>703</v>
      </c>
      <c r="D750" s="7">
        <v>125</v>
      </c>
      <c r="E750">
        <v>2019</v>
      </c>
      <c r="F750">
        <v>2020</v>
      </c>
      <c r="G750" t="str">
        <f>IFERROR(INDEX(Formulations[Formulation],MATCH($C750,Formulations[Product Code],0)),"")</f>
        <v>flouramax 40%, green apple 30%, strwaberry 15%, cocoa butter 15%</v>
      </c>
    </row>
    <row r="751" spans="1:7" x14ac:dyDescent="0.3">
      <c r="A751" t="s">
        <v>2485</v>
      </c>
      <c r="B751" t="s">
        <v>184</v>
      </c>
      <c r="C751" t="s">
        <v>185</v>
      </c>
      <c r="D751" s="7">
        <v>125</v>
      </c>
      <c r="E751">
        <v>2012</v>
      </c>
      <c r="F751">
        <v>2018</v>
      </c>
      <c r="G751" t="str">
        <f>IFERROR(INDEX(Formulations[Formulation],MATCH($C751,Formulations[Product Code],0)),"")</f>
        <v/>
      </c>
    </row>
    <row r="752" spans="1:7" x14ac:dyDescent="0.3">
      <c r="A752" t="s">
        <v>2498</v>
      </c>
      <c r="B752" t="s">
        <v>708</v>
      </c>
      <c r="C752" t="s">
        <v>477</v>
      </c>
      <c r="D752" s="7">
        <v>125</v>
      </c>
      <c r="E752">
        <v>2018</v>
      </c>
      <c r="F752">
        <v>2019</v>
      </c>
      <c r="G752" t="str">
        <f>IFERROR(INDEX(Formulations[Formulation],MATCH($C752,Formulations[Product Code],0)),"")</f>
        <v/>
      </c>
    </row>
    <row r="753" spans="1:7" x14ac:dyDescent="0.3">
      <c r="A753" t="s">
        <v>2529</v>
      </c>
      <c r="B753" t="s">
        <v>629</v>
      </c>
      <c r="C753" t="s">
        <v>630</v>
      </c>
      <c r="D753" s="7">
        <v>125</v>
      </c>
      <c r="E753">
        <v>2020</v>
      </c>
      <c r="F753">
        <v>2020</v>
      </c>
      <c r="G753" t="str">
        <f>IFERROR(INDEX(Formulations[Formulation],MATCH($C753,Formulations[Product Code],0)),"")</f>
        <v>Crystal</v>
      </c>
    </row>
    <row r="754" spans="1:7" x14ac:dyDescent="0.3">
      <c r="A754" t="s">
        <v>2529</v>
      </c>
      <c r="B754" t="s">
        <v>639</v>
      </c>
      <c r="C754" t="s">
        <v>640</v>
      </c>
      <c r="D754" s="7">
        <v>125</v>
      </c>
      <c r="E754">
        <v>2020</v>
      </c>
      <c r="F754">
        <v>2020</v>
      </c>
      <c r="G754" t="str">
        <f>IFERROR(INDEX(Formulations[Formulation],MATCH($C754,Formulations[Product Code],0)),"")</f>
        <v>Dolin 85% &amp; Powder Soap Extra 15%</v>
      </c>
    </row>
    <row r="755" spans="1:7" x14ac:dyDescent="0.3">
      <c r="A755" t="s">
        <v>2538</v>
      </c>
      <c r="B755" t="s">
        <v>624</v>
      </c>
      <c r="C755" t="s">
        <v>625</v>
      </c>
      <c r="D755" s="7">
        <v>125</v>
      </c>
      <c r="E755">
        <v>2017</v>
      </c>
      <c r="F755">
        <v>2021</v>
      </c>
      <c r="G755" t="str">
        <f>IFERROR(INDEX(Formulations[Formulation],MATCH($C755,Formulations[Product Code],0)),"")</f>
        <v>Crystal</v>
      </c>
    </row>
    <row r="756" spans="1:7" x14ac:dyDescent="0.3">
      <c r="A756" t="s">
        <v>2550</v>
      </c>
      <c r="B756" t="s">
        <v>30</v>
      </c>
      <c r="C756" t="s">
        <v>2551</v>
      </c>
      <c r="D756" s="7">
        <v>125</v>
      </c>
      <c r="E756">
        <v>2010</v>
      </c>
      <c r="F756">
        <v>2011</v>
      </c>
      <c r="G756" t="str">
        <f>IFERROR(INDEX(Formulations[Formulation],MATCH($C756,Formulations[Product Code],0)),"")</f>
        <v/>
      </c>
    </row>
    <row r="757" spans="1:7" x14ac:dyDescent="0.3">
      <c r="A757" t="s">
        <v>2574</v>
      </c>
      <c r="B757" t="s">
        <v>867</v>
      </c>
      <c r="C757" t="s">
        <v>868</v>
      </c>
      <c r="D757" s="7">
        <v>125</v>
      </c>
      <c r="E757">
        <v>2017</v>
      </c>
      <c r="F757">
        <v>2020</v>
      </c>
      <c r="G757" t="str">
        <f>IFERROR(INDEX(Formulations[Formulation],MATCH($C757,Formulations[Product Code],0)),"")</f>
        <v>Crystal</v>
      </c>
    </row>
    <row r="758" spans="1:7" x14ac:dyDescent="0.3">
      <c r="A758" t="s">
        <v>2574</v>
      </c>
      <c r="B758" t="s">
        <v>1339</v>
      </c>
      <c r="C758" t="s">
        <v>1340</v>
      </c>
      <c r="D758" s="7">
        <v>125</v>
      </c>
      <c r="E758">
        <v>2015</v>
      </c>
      <c r="F758">
        <v>2019</v>
      </c>
      <c r="G758" t="str">
        <f>IFERROR(INDEX(Formulations[Formulation],MATCH($C758,Formulations[Product Code],0)),"")</f>
        <v/>
      </c>
    </row>
    <row r="759" spans="1:7" x14ac:dyDescent="0.3">
      <c r="A759" t="s">
        <v>2577</v>
      </c>
      <c r="B759" t="s">
        <v>995</v>
      </c>
      <c r="C759" t="s">
        <v>672</v>
      </c>
      <c r="D759" s="7">
        <v>125</v>
      </c>
      <c r="E759">
        <v>2018</v>
      </c>
      <c r="F759">
        <v>2018</v>
      </c>
      <c r="G759" t="str">
        <f>IFERROR(INDEX(Formulations[Formulation],MATCH($C759,Formulations[Product Code],0)),"")</f>
        <v>Pure</v>
      </c>
    </row>
    <row r="760" spans="1:7" x14ac:dyDescent="0.3">
      <c r="A760" t="s">
        <v>822</v>
      </c>
      <c r="B760" t="s">
        <v>826</v>
      </c>
      <c r="C760" t="s">
        <v>229</v>
      </c>
      <c r="D760" s="7">
        <v>124</v>
      </c>
      <c r="E760">
        <v>2013</v>
      </c>
      <c r="F760">
        <v>2016</v>
      </c>
      <c r="G760" t="str">
        <f>IFERROR(INDEX(Formulations[Formulation],MATCH($C760,Formulations[Product Code],0)),"")</f>
        <v>Pure</v>
      </c>
    </row>
    <row r="761" spans="1:7" x14ac:dyDescent="0.3">
      <c r="A761" t="s">
        <v>2410</v>
      </c>
      <c r="B761" t="s">
        <v>809</v>
      </c>
      <c r="C761" t="s">
        <v>810</v>
      </c>
      <c r="D761" s="7">
        <v>123</v>
      </c>
      <c r="E761">
        <v>2016</v>
      </c>
      <c r="F761">
        <v>2016</v>
      </c>
      <c r="G761" t="str">
        <f>IFERROR(INDEX(Formulations[Formulation],MATCH($C761,Formulations[Product Code],0)),"")</f>
        <v>Silver</v>
      </c>
    </row>
    <row r="762" spans="1:7" x14ac:dyDescent="0.3">
      <c r="A762" t="s">
        <v>1819</v>
      </c>
      <c r="B762" t="s">
        <v>1821</v>
      </c>
      <c r="D762" s="7">
        <v>122</v>
      </c>
      <c r="E762">
        <v>2016</v>
      </c>
      <c r="F762">
        <v>2021</v>
      </c>
      <c r="G762" t="str">
        <f>IFERROR(INDEX(Formulations[Formulation],MATCH($C762,Formulations[Product Code],0)),"")</f>
        <v/>
      </c>
    </row>
    <row r="763" spans="1:7" x14ac:dyDescent="0.3">
      <c r="A763" t="s">
        <v>1966</v>
      </c>
      <c r="B763" t="s">
        <v>863</v>
      </c>
      <c r="D763" s="7">
        <v>122</v>
      </c>
      <c r="E763">
        <v>2013</v>
      </c>
      <c r="F763">
        <v>2015</v>
      </c>
      <c r="G763" t="str">
        <f>IFERROR(INDEX(Formulations[Formulation],MATCH($C763,Formulations[Product Code],0)),"")</f>
        <v/>
      </c>
    </row>
    <row r="764" spans="1:7" x14ac:dyDescent="0.3">
      <c r="A764" t="s">
        <v>2574</v>
      </c>
      <c r="B764" t="s">
        <v>2576</v>
      </c>
      <c r="D764" s="7">
        <v>122</v>
      </c>
      <c r="E764">
        <v>2016</v>
      </c>
      <c r="F764">
        <v>2020</v>
      </c>
      <c r="G764" t="str">
        <f>IFERROR(INDEX(Formulations[Formulation],MATCH($C764,Formulations[Product Code],0)),"")</f>
        <v/>
      </c>
    </row>
    <row r="765" spans="1:7" x14ac:dyDescent="0.3">
      <c r="A765" t="s">
        <v>2088</v>
      </c>
      <c r="B765" t="s">
        <v>29</v>
      </c>
      <c r="D765" s="7">
        <v>121</v>
      </c>
      <c r="E765">
        <v>2016</v>
      </c>
      <c r="F765">
        <v>2017</v>
      </c>
      <c r="G765" t="str">
        <f>IFERROR(INDEX(Formulations[Formulation],MATCH($C765,Formulations[Product Code],0)),"")</f>
        <v/>
      </c>
    </row>
    <row r="766" spans="1:7" x14ac:dyDescent="0.3">
      <c r="A766" t="s">
        <v>827</v>
      </c>
      <c r="B766" t="s">
        <v>32</v>
      </c>
      <c r="D766" s="7">
        <v>120</v>
      </c>
      <c r="E766">
        <v>2013</v>
      </c>
      <c r="F766">
        <v>2013</v>
      </c>
      <c r="G766" t="str">
        <f>IFERROR(INDEX(Formulations[Formulation],MATCH($C766,Formulations[Product Code],0)),"")</f>
        <v/>
      </c>
    </row>
    <row r="767" spans="1:7" x14ac:dyDescent="0.3">
      <c r="A767" t="s">
        <v>2012</v>
      </c>
      <c r="B767" t="s">
        <v>19</v>
      </c>
      <c r="C767" t="s">
        <v>20</v>
      </c>
      <c r="D767" s="7">
        <v>120</v>
      </c>
      <c r="E767">
        <v>2010</v>
      </c>
      <c r="F767">
        <v>2013</v>
      </c>
      <c r="G767" t="str">
        <f>IFERROR(INDEX(Formulations[Formulation],MATCH($C767,Formulations[Product Code],0)),"")</f>
        <v>80 % Oil AND 20 % DPG</v>
      </c>
    </row>
    <row r="768" spans="1:7" x14ac:dyDescent="0.3">
      <c r="A768" t="s">
        <v>2041</v>
      </c>
      <c r="B768" t="s">
        <v>863</v>
      </c>
      <c r="D768" s="7">
        <v>120</v>
      </c>
      <c r="E768">
        <v>2012</v>
      </c>
      <c r="F768">
        <v>2018</v>
      </c>
      <c r="G768" t="str">
        <f>IFERROR(INDEX(Formulations[Formulation],MATCH($C768,Formulations[Product Code],0)),"")</f>
        <v/>
      </c>
    </row>
    <row r="769" spans="1:7" x14ac:dyDescent="0.3">
      <c r="A769" t="s">
        <v>2232</v>
      </c>
      <c r="B769" t="s">
        <v>863</v>
      </c>
      <c r="D769" s="7">
        <v>120</v>
      </c>
      <c r="E769">
        <v>2017</v>
      </c>
      <c r="F769">
        <v>2017</v>
      </c>
      <c r="G769" t="str">
        <f>IFERROR(INDEX(Formulations[Formulation],MATCH($C769,Formulations[Product Code],0)),"")</f>
        <v/>
      </c>
    </row>
    <row r="770" spans="1:7" x14ac:dyDescent="0.3">
      <c r="A770" t="s">
        <v>2372</v>
      </c>
      <c r="B770" t="s">
        <v>60</v>
      </c>
      <c r="C770" t="s">
        <v>186</v>
      </c>
      <c r="D770" s="7">
        <v>119.5</v>
      </c>
      <c r="E770">
        <v>2011</v>
      </c>
      <c r="F770">
        <v>2016</v>
      </c>
      <c r="G770" t="str">
        <f>IFERROR(INDEX(Formulations[Formulation],MATCH($C770,Formulations[Product Code],0)),"")</f>
        <v/>
      </c>
    </row>
    <row r="771" spans="1:7" x14ac:dyDescent="0.3">
      <c r="A771" t="s">
        <v>2491</v>
      </c>
      <c r="B771" t="s">
        <v>2493</v>
      </c>
      <c r="D771" s="7">
        <v>119</v>
      </c>
      <c r="E771">
        <v>2012</v>
      </c>
      <c r="F771">
        <v>2020</v>
      </c>
      <c r="G771" t="str">
        <f>IFERROR(INDEX(Formulations[Formulation],MATCH($C771,Formulations[Product Code],0)),"")</f>
        <v/>
      </c>
    </row>
    <row r="772" spans="1:7" x14ac:dyDescent="0.3">
      <c r="A772" t="s">
        <v>2569</v>
      </c>
      <c r="B772" t="s">
        <v>318</v>
      </c>
      <c r="C772" t="s">
        <v>319</v>
      </c>
      <c r="D772" s="7">
        <v>116</v>
      </c>
      <c r="E772">
        <v>2015</v>
      </c>
      <c r="F772">
        <v>2020</v>
      </c>
      <c r="G772" t="str">
        <f>IFERROR(INDEX(Formulations[Formulation],MATCH($C772,Formulations[Product Code],0)),"")</f>
        <v>Pure</v>
      </c>
    </row>
    <row r="773" spans="1:7" x14ac:dyDescent="0.3">
      <c r="A773" t="s">
        <v>271</v>
      </c>
      <c r="B773" t="s">
        <v>196</v>
      </c>
      <c r="C773" t="s">
        <v>197</v>
      </c>
      <c r="D773" s="7">
        <v>115</v>
      </c>
      <c r="E773">
        <v>2012</v>
      </c>
      <c r="F773">
        <v>2014</v>
      </c>
      <c r="G773" t="str">
        <f>IFERROR(INDEX(Formulations[Formulation],MATCH($C773,Formulations[Product Code],0)),"")</f>
        <v/>
      </c>
    </row>
    <row r="774" spans="1:7" x14ac:dyDescent="0.3">
      <c r="A774" t="s">
        <v>941</v>
      </c>
      <c r="B774" t="s">
        <v>19</v>
      </c>
      <c r="C774" t="s">
        <v>699</v>
      </c>
      <c r="D774" s="7">
        <v>115</v>
      </c>
      <c r="E774">
        <v>2017</v>
      </c>
      <c r="F774">
        <v>2017</v>
      </c>
      <c r="G774" t="str">
        <f>IFERROR(INDEX(Formulations[Formulation],MATCH($C774,Formulations[Product Code],0)),"")</f>
        <v/>
      </c>
    </row>
    <row r="775" spans="1:7" x14ac:dyDescent="0.3">
      <c r="A775" t="s">
        <v>1116</v>
      </c>
      <c r="B775" t="s">
        <v>62</v>
      </c>
      <c r="C775" t="s">
        <v>63</v>
      </c>
      <c r="D775" s="7">
        <v>115</v>
      </c>
      <c r="E775">
        <v>2020</v>
      </c>
      <c r="F775">
        <v>2020</v>
      </c>
      <c r="G775" t="str">
        <f>IFERROR(INDEX(Formulations[Formulation],MATCH($C775,Formulations[Product Code],0)),"")</f>
        <v>Crystal</v>
      </c>
    </row>
    <row r="776" spans="1:7" x14ac:dyDescent="0.3">
      <c r="A776" t="s">
        <v>1374</v>
      </c>
      <c r="B776" t="s">
        <v>721</v>
      </c>
      <c r="C776" t="s">
        <v>722</v>
      </c>
      <c r="D776" s="7">
        <v>115</v>
      </c>
      <c r="E776">
        <v>2020</v>
      </c>
      <c r="F776">
        <v>2021</v>
      </c>
      <c r="G776" t="str">
        <f>IFERROR(INDEX(Formulations[Formulation],MATCH($C776,Formulations[Product Code],0)),"")</f>
        <v>Pure</v>
      </c>
    </row>
    <row r="777" spans="1:7" x14ac:dyDescent="0.3">
      <c r="A777" t="s">
        <v>1675</v>
      </c>
      <c r="B777" t="s">
        <v>1676</v>
      </c>
      <c r="D777" s="7">
        <v>115</v>
      </c>
      <c r="E777">
        <v>2016</v>
      </c>
      <c r="F777">
        <v>2017</v>
      </c>
      <c r="G777" t="str">
        <f>IFERROR(INDEX(Formulations[Formulation],MATCH($C777,Formulations[Product Code],0)),"")</f>
        <v/>
      </c>
    </row>
    <row r="778" spans="1:7" x14ac:dyDescent="0.3">
      <c r="A778" t="s">
        <v>1743</v>
      </c>
      <c r="B778" t="s">
        <v>19</v>
      </c>
      <c r="C778" t="s">
        <v>20</v>
      </c>
      <c r="D778" s="7">
        <v>115</v>
      </c>
      <c r="E778">
        <v>2018</v>
      </c>
      <c r="F778">
        <v>2021</v>
      </c>
      <c r="G778" t="str">
        <f>IFERROR(INDEX(Formulations[Formulation],MATCH($C778,Formulations[Product Code],0)),"")</f>
        <v>80 % Oil AND 20 % DPG</v>
      </c>
    </row>
    <row r="779" spans="1:7" x14ac:dyDescent="0.3">
      <c r="A779" t="s">
        <v>1972</v>
      </c>
      <c r="B779" t="s">
        <v>196</v>
      </c>
      <c r="C779" t="s">
        <v>197</v>
      </c>
      <c r="D779" s="7">
        <v>115</v>
      </c>
      <c r="E779">
        <v>2013</v>
      </c>
      <c r="F779">
        <v>2019</v>
      </c>
      <c r="G779" t="str">
        <f>IFERROR(INDEX(Formulations[Formulation],MATCH($C779,Formulations[Product Code],0)),"")</f>
        <v/>
      </c>
    </row>
    <row r="780" spans="1:7" x14ac:dyDescent="0.3">
      <c r="A780" t="s">
        <v>2048</v>
      </c>
      <c r="B780" t="s">
        <v>939</v>
      </c>
      <c r="C780" t="s">
        <v>940</v>
      </c>
      <c r="D780" s="7">
        <v>115</v>
      </c>
      <c r="E780">
        <v>2019</v>
      </c>
      <c r="F780">
        <v>2020</v>
      </c>
      <c r="G780" t="str">
        <f>IFERROR(INDEX(Formulations[Formulation],MATCH($C780,Formulations[Product Code],0)),"")</f>
        <v>Crystal</v>
      </c>
    </row>
    <row r="781" spans="1:7" x14ac:dyDescent="0.3">
      <c r="A781" t="s">
        <v>2238</v>
      </c>
      <c r="B781" t="s">
        <v>184</v>
      </c>
      <c r="C781" t="s">
        <v>185</v>
      </c>
      <c r="D781" s="7">
        <v>115</v>
      </c>
      <c r="E781">
        <v>2016</v>
      </c>
      <c r="F781">
        <v>2018</v>
      </c>
      <c r="G781" t="str">
        <f>IFERROR(INDEX(Formulations[Formulation],MATCH($C781,Formulations[Product Code],0)),"")</f>
        <v/>
      </c>
    </row>
    <row r="782" spans="1:7" x14ac:dyDescent="0.3">
      <c r="A782" t="s">
        <v>2346</v>
      </c>
      <c r="B782" t="s">
        <v>995</v>
      </c>
      <c r="C782" t="s">
        <v>672</v>
      </c>
      <c r="D782" s="7">
        <v>115</v>
      </c>
      <c r="E782">
        <v>2019</v>
      </c>
      <c r="F782">
        <v>2019</v>
      </c>
      <c r="G782" t="str">
        <f>IFERROR(INDEX(Formulations[Formulation],MATCH($C782,Formulations[Product Code],0)),"")</f>
        <v>Pure</v>
      </c>
    </row>
    <row r="783" spans="1:7" x14ac:dyDescent="0.3">
      <c r="A783" t="s">
        <v>1686</v>
      </c>
      <c r="B783" t="s">
        <v>37</v>
      </c>
      <c r="D783" s="7">
        <v>114</v>
      </c>
      <c r="E783">
        <v>2017</v>
      </c>
      <c r="F783">
        <v>2021</v>
      </c>
      <c r="G783" t="str">
        <f>IFERROR(INDEX(Formulations[Formulation],MATCH($C783,Formulations[Product Code],0)),"")</f>
        <v/>
      </c>
    </row>
    <row r="784" spans="1:7" x14ac:dyDescent="0.3">
      <c r="A784" t="s">
        <v>1341</v>
      </c>
      <c r="B784" t="s">
        <v>12</v>
      </c>
      <c r="C784" t="s">
        <v>13</v>
      </c>
      <c r="D784" s="7">
        <v>111</v>
      </c>
      <c r="E784">
        <v>2020</v>
      </c>
      <c r="F784">
        <v>2021</v>
      </c>
      <c r="G784" t="str">
        <f>IFERROR(INDEX(Formulations[Formulation],MATCH($C784,Formulations[Product Code],0)),"")</f>
        <v>Crystal</v>
      </c>
    </row>
    <row r="785" spans="1:7" x14ac:dyDescent="0.3">
      <c r="A785" t="s">
        <v>760</v>
      </c>
      <c r="B785" t="s">
        <v>696</v>
      </c>
      <c r="C785" t="s">
        <v>697</v>
      </c>
      <c r="D785" s="7">
        <v>110</v>
      </c>
      <c r="E785">
        <v>2017</v>
      </c>
      <c r="F785">
        <v>2017</v>
      </c>
      <c r="G785" t="str">
        <f>IFERROR(INDEX(Formulations[Formulation],MATCH($C785,Formulations[Product Code],0)),"")</f>
        <v/>
      </c>
    </row>
    <row r="786" spans="1:7" x14ac:dyDescent="0.3">
      <c r="A786" t="s">
        <v>781</v>
      </c>
      <c r="B786" t="s">
        <v>653</v>
      </c>
      <c r="C786" t="s">
        <v>654</v>
      </c>
      <c r="D786" s="7">
        <v>110</v>
      </c>
      <c r="E786">
        <v>2019</v>
      </c>
      <c r="F786">
        <v>2020</v>
      </c>
      <c r="G786" t="str">
        <f>IFERROR(INDEX(Formulations[Formulation],MATCH($C786,Formulations[Product Code],0)),"")</f>
        <v>Pure</v>
      </c>
    </row>
    <row r="787" spans="1:7" x14ac:dyDescent="0.3">
      <c r="A787" t="s">
        <v>878</v>
      </c>
      <c r="B787" t="s">
        <v>471</v>
      </c>
      <c r="C787" t="s">
        <v>882</v>
      </c>
      <c r="D787" s="7">
        <v>110</v>
      </c>
      <c r="E787">
        <v>2014</v>
      </c>
      <c r="F787">
        <v>2017</v>
      </c>
      <c r="G787" t="str">
        <f>IFERROR(INDEX(Formulations[Formulation],MATCH($C787,Formulations[Product Code],0)),"")</f>
        <v/>
      </c>
    </row>
    <row r="788" spans="1:7" x14ac:dyDescent="0.3">
      <c r="A788" t="s">
        <v>1028</v>
      </c>
      <c r="B788" t="s">
        <v>1029</v>
      </c>
      <c r="D788" s="7">
        <v>110</v>
      </c>
      <c r="E788">
        <v>2010</v>
      </c>
      <c r="F788">
        <v>2010</v>
      </c>
      <c r="G788" t="str">
        <f>IFERROR(INDEX(Formulations[Formulation],MATCH($C788,Formulations[Product Code],0)),"")</f>
        <v/>
      </c>
    </row>
    <row r="789" spans="1:7" x14ac:dyDescent="0.3">
      <c r="A789" t="s">
        <v>1082</v>
      </c>
      <c r="B789" t="s">
        <v>1085</v>
      </c>
      <c r="C789" t="s">
        <v>1086</v>
      </c>
      <c r="D789" s="7">
        <v>110</v>
      </c>
      <c r="E789">
        <v>2010</v>
      </c>
      <c r="F789">
        <v>2010</v>
      </c>
      <c r="G789" t="str">
        <f>IFERROR(INDEX(Formulations[Formulation],MATCH($C789,Formulations[Product Code],0)),"")</f>
        <v/>
      </c>
    </row>
    <row r="790" spans="1:7" x14ac:dyDescent="0.3">
      <c r="A790" t="s">
        <v>1686</v>
      </c>
      <c r="B790" t="s">
        <v>314</v>
      </c>
      <c r="C790" t="s">
        <v>475</v>
      </c>
      <c r="D790" s="7">
        <v>110</v>
      </c>
      <c r="E790">
        <v>2016</v>
      </c>
      <c r="F790">
        <v>2016</v>
      </c>
      <c r="G790" t="str">
        <f>IFERROR(INDEX(Formulations[Formulation],MATCH($C790,Formulations[Product Code],0)),"")</f>
        <v>Crystal</v>
      </c>
    </row>
    <row r="791" spans="1:7" x14ac:dyDescent="0.3">
      <c r="A791" t="s">
        <v>1690</v>
      </c>
      <c r="B791" t="s">
        <v>671</v>
      </c>
      <c r="C791" t="s">
        <v>672</v>
      </c>
      <c r="D791" s="7">
        <v>110</v>
      </c>
      <c r="E791">
        <v>2019</v>
      </c>
      <c r="F791">
        <v>2019</v>
      </c>
      <c r="G791" t="str">
        <f>IFERROR(INDEX(Formulations[Formulation],MATCH($C791,Formulations[Product Code],0)),"")</f>
        <v>Pure</v>
      </c>
    </row>
    <row r="792" spans="1:7" x14ac:dyDescent="0.3">
      <c r="A792" t="s">
        <v>1743</v>
      </c>
      <c r="B792" t="s">
        <v>184</v>
      </c>
      <c r="C792" t="s">
        <v>185</v>
      </c>
      <c r="D792" s="7">
        <v>110</v>
      </c>
      <c r="E792">
        <v>2018</v>
      </c>
      <c r="F792">
        <v>2021</v>
      </c>
      <c r="G792" t="str">
        <f>IFERROR(INDEX(Formulations[Formulation],MATCH($C792,Formulations[Product Code],0)),"")</f>
        <v/>
      </c>
    </row>
    <row r="793" spans="1:7" x14ac:dyDescent="0.3">
      <c r="A793" t="s">
        <v>2346</v>
      </c>
      <c r="B793" t="s">
        <v>19</v>
      </c>
      <c r="C793" t="s">
        <v>699</v>
      </c>
      <c r="D793" s="7">
        <v>110</v>
      </c>
      <c r="E793">
        <v>2014</v>
      </c>
      <c r="F793">
        <v>2020</v>
      </c>
      <c r="G793" t="str">
        <f>IFERROR(INDEX(Formulations[Formulation],MATCH($C793,Formulations[Product Code],0)),"")</f>
        <v/>
      </c>
    </row>
    <row r="794" spans="1:7" x14ac:dyDescent="0.3">
      <c r="A794" t="s">
        <v>2475</v>
      </c>
      <c r="B794" t="s">
        <v>72</v>
      </c>
      <c r="C794" t="s">
        <v>319</v>
      </c>
      <c r="D794" s="7">
        <v>110</v>
      </c>
      <c r="E794">
        <v>2019</v>
      </c>
      <c r="F794">
        <v>2020</v>
      </c>
      <c r="G794" t="str">
        <f>IFERROR(INDEX(Formulations[Formulation],MATCH($C794,Formulations[Product Code],0)),"")</f>
        <v>Pure</v>
      </c>
    </row>
    <row r="795" spans="1:7" x14ac:dyDescent="0.3">
      <c r="A795" t="s">
        <v>2482</v>
      </c>
      <c r="B795" t="s">
        <v>656</v>
      </c>
      <c r="C795" t="s">
        <v>71</v>
      </c>
      <c r="D795" s="7">
        <v>110</v>
      </c>
      <c r="E795">
        <v>2017</v>
      </c>
      <c r="F795">
        <v>2019</v>
      </c>
      <c r="G795" t="str">
        <f>IFERROR(INDEX(Formulations[Formulation],MATCH($C795,Formulations[Product Code],0)),"")</f>
        <v>40% Oil &amp; 60% DPG</v>
      </c>
    </row>
    <row r="796" spans="1:7" x14ac:dyDescent="0.3">
      <c r="A796" t="s">
        <v>2354</v>
      </c>
      <c r="B796" t="s">
        <v>867</v>
      </c>
      <c r="C796" t="s">
        <v>868</v>
      </c>
      <c r="D796" s="7">
        <v>109</v>
      </c>
      <c r="E796">
        <v>2019</v>
      </c>
      <c r="F796">
        <v>2021</v>
      </c>
      <c r="G796" t="str">
        <f>IFERROR(INDEX(Formulations[Formulation],MATCH($C796,Formulations[Product Code],0)),"")</f>
        <v>Crystal</v>
      </c>
    </row>
    <row r="797" spans="1:7" x14ac:dyDescent="0.3">
      <c r="A797" t="s">
        <v>781</v>
      </c>
      <c r="B797" t="s">
        <v>383</v>
      </c>
      <c r="C797" t="s">
        <v>385</v>
      </c>
      <c r="D797" s="7">
        <v>107</v>
      </c>
      <c r="E797">
        <v>2021</v>
      </c>
      <c r="F797">
        <v>2021</v>
      </c>
      <c r="G797" t="str">
        <f>IFERROR(INDEX(Formulations[Formulation],MATCH($C797,Formulations[Product Code],0)),"")</f>
        <v>Silver</v>
      </c>
    </row>
    <row r="798" spans="1:7" x14ac:dyDescent="0.3">
      <c r="A798" t="s">
        <v>865</v>
      </c>
      <c r="B798" t="s">
        <v>37</v>
      </c>
      <c r="D798" s="7">
        <v>105</v>
      </c>
      <c r="E798">
        <v>2019</v>
      </c>
      <c r="F798">
        <v>2020</v>
      </c>
      <c r="G798" t="str">
        <f>IFERROR(INDEX(Formulations[Formulation],MATCH($C798,Formulations[Product Code],0)),"")</f>
        <v/>
      </c>
    </row>
    <row r="799" spans="1:7" x14ac:dyDescent="0.3">
      <c r="A799" t="s">
        <v>878</v>
      </c>
      <c r="B799" t="s">
        <v>12</v>
      </c>
      <c r="C799" t="s">
        <v>13</v>
      </c>
      <c r="D799" s="7">
        <v>105</v>
      </c>
      <c r="E799">
        <v>2014</v>
      </c>
      <c r="F799">
        <v>2017</v>
      </c>
      <c r="G799" t="str">
        <f>IFERROR(INDEX(Formulations[Formulation],MATCH($C799,Formulations[Product Code],0)),"")</f>
        <v>Crystal</v>
      </c>
    </row>
    <row r="800" spans="1:7" x14ac:dyDescent="0.3">
      <c r="A800" t="s">
        <v>923</v>
      </c>
      <c r="B800" t="s">
        <v>196</v>
      </c>
      <c r="C800" t="s">
        <v>197</v>
      </c>
      <c r="D800" s="7">
        <v>105</v>
      </c>
      <c r="E800">
        <v>2014</v>
      </c>
      <c r="F800">
        <v>2018</v>
      </c>
      <c r="G800" t="str">
        <f>IFERROR(INDEX(Formulations[Formulation],MATCH($C800,Formulations[Product Code],0)),"")</f>
        <v/>
      </c>
    </row>
    <row r="801" spans="1:7" x14ac:dyDescent="0.3">
      <c r="A801" t="s">
        <v>1127</v>
      </c>
      <c r="B801" t="s">
        <v>99</v>
      </c>
      <c r="C801" t="s">
        <v>100</v>
      </c>
      <c r="D801" s="7">
        <v>105</v>
      </c>
      <c r="E801">
        <v>2020</v>
      </c>
      <c r="F801">
        <v>2020</v>
      </c>
      <c r="G801" t="str">
        <f>IFERROR(INDEX(Formulations[Formulation],MATCH($C801,Formulations[Product Code],0)),"")</f>
        <v>Crystal</v>
      </c>
    </row>
    <row r="802" spans="1:7" x14ac:dyDescent="0.3">
      <c r="A802" t="s">
        <v>1127</v>
      </c>
      <c r="B802" t="s">
        <v>1003</v>
      </c>
      <c r="C802" t="s">
        <v>292</v>
      </c>
      <c r="D802" s="7">
        <v>105</v>
      </c>
      <c r="E802">
        <v>2019</v>
      </c>
      <c r="F802">
        <v>2020</v>
      </c>
      <c r="G802" t="str">
        <f>IFERROR(INDEX(Formulations[Formulation],MATCH($C802,Formulations[Product Code],0)),"")</f>
        <v/>
      </c>
    </row>
    <row r="803" spans="1:7" x14ac:dyDescent="0.3">
      <c r="A803" t="s">
        <v>1399</v>
      </c>
      <c r="B803" t="s">
        <v>32</v>
      </c>
      <c r="D803" s="7">
        <v>105</v>
      </c>
      <c r="E803">
        <v>2017</v>
      </c>
      <c r="F803">
        <v>2020</v>
      </c>
      <c r="G803" t="str">
        <f>IFERROR(INDEX(Formulations[Formulation],MATCH($C803,Formulations[Product Code],0)),"")</f>
        <v/>
      </c>
    </row>
    <row r="804" spans="1:7" x14ac:dyDescent="0.3">
      <c r="A804" t="s">
        <v>1463</v>
      </c>
      <c r="B804" t="s">
        <v>1251</v>
      </c>
      <c r="C804" t="s">
        <v>1252</v>
      </c>
      <c r="D804" s="7">
        <v>105</v>
      </c>
      <c r="E804">
        <v>2012</v>
      </c>
      <c r="F804">
        <v>2013</v>
      </c>
      <c r="G804" t="str">
        <f>IFERROR(INDEX(Formulations[Formulation],MATCH($C804,Formulations[Product Code],0)),"")</f>
        <v/>
      </c>
    </row>
    <row r="805" spans="1:7" x14ac:dyDescent="0.3">
      <c r="A805" t="s">
        <v>1463</v>
      </c>
      <c r="B805" t="s">
        <v>1574</v>
      </c>
      <c r="C805" t="s">
        <v>1575</v>
      </c>
      <c r="D805" s="7">
        <v>105</v>
      </c>
      <c r="E805">
        <v>2012</v>
      </c>
      <c r="F805">
        <v>2012</v>
      </c>
      <c r="G805" t="str">
        <f>IFERROR(INDEX(Formulations[Formulation],MATCH($C805,Formulations[Product Code],0)),"")</f>
        <v/>
      </c>
    </row>
    <row r="806" spans="1:7" x14ac:dyDescent="0.3">
      <c r="A806" t="s">
        <v>1682</v>
      </c>
      <c r="B806" t="s">
        <v>19</v>
      </c>
      <c r="C806" t="s">
        <v>20</v>
      </c>
      <c r="D806" s="7">
        <v>105</v>
      </c>
      <c r="E806">
        <v>2017</v>
      </c>
      <c r="F806">
        <v>2017</v>
      </c>
      <c r="G806" t="str">
        <f>IFERROR(INDEX(Formulations[Formulation],MATCH($C806,Formulations[Product Code],0)),"")</f>
        <v>80 % Oil AND 20 % DPG</v>
      </c>
    </row>
    <row r="807" spans="1:7" x14ac:dyDescent="0.3">
      <c r="A807" t="s">
        <v>2238</v>
      </c>
      <c r="B807" t="s">
        <v>41</v>
      </c>
      <c r="C807" t="s">
        <v>42</v>
      </c>
      <c r="D807" s="7">
        <v>105</v>
      </c>
      <c r="E807">
        <v>2016</v>
      </c>
      <c r="F807">
        <v>2018</v>
      </c>
      <c r="G807" t="str">
        <f>IFERROR(INDEX(Formulations[Formulation],MATCH($C807,Formulations[Product Code],0)),"")</f>
        <v/>
      </c>
    </row>
    <row r="808" spans="1:7" x14ac:dyDescent="0.3">
      <c r="A808" t="s">
        <v>2346</v>
      </c>
      <c r="B808" t="s">
        <v>686</v>
      </c>
      <c r="C808" t="s">
        <v>687</v>
      </c>
      <c r="D808" s="7">
        <v>105</v>
      </c>
      <c r="E808">
        <v>2020</v>
      </c>
      <c r="F808">
        <v>2021</v>
      </c>
      <c r="G808" t="str">
        <f>IFERROR(INDEX(Formulations[Formulation],MATCH($C808,Formulations[Product Code],0)),"")</f>
        <v>Pure</v>
      </c>
    </row>
    <row r="809" spans="1:7" x14ac:dyDescent="0.3">
      <c r="A809" t="s">
        <v>2380</v>
      </c>
      <c r="B809" t="s">
        <v>120</v>
      </c>
      <c r="C809" t="s">
        <v>121</v>
      </c>
      <c r="D809" s="7">
        <v>105</v>
      </c>
      <c r="E809">
        <v>2017</v>
      </c>
      <c r="F809">
        <v>2019</v>
      </c>
      <c r="G809" t="str">
        <f>IFERROR(INDEX(Formulations[Formulation],MATCH($C809,Formulations[Product Code],0)),"")</f>
        <v/>
      </c>
    </row>
    <row r="810" spans="1:7" x14ac:dyDescent="0.3">
      <c r="A810" t="s">
        <v>2521</v>
      </c>
      <c r="B810" t="s">
        <v>518</v>
      </c>
      <c r="C810" t="s">
        <v>519</v>
      </c>
      <c r="D810" s="7">
        <v>105</v>
      </c>
      <c r="E810">
        <v>2019</v>
      </c>
      <c r="F810">
        <v>2021</v>
      </c>
      <c r="G810" t="str">
        <f>IFERROR(INDEX(Formulations[Formulation],MATCH($C810,Formulations[Product Code],0)),"")</f>
        <v>Pure</v>
      </c>
    </row>
    <row r="811" spans="1:7" x14ac:dyDescent="0.3">
      <c r="A811" t="s">
        <v>2563</v>
      </c>
      <c r="B811" t="s">
        <v>46</v>
      </c>
      <c r="C811" t="s">
        <v>47</v>
      </c>
      <c r="D811" s="7">
        <v>105</v>
      </c>
      <c r="E811">
        <v>2012</v>
      </c>
      <c r="F811">
        <v>2016</v>
      </c>
      <c r="G811" t="str">
        <f>IFERROR(INDEX(Formulations[Formulation],MATCH($C811,Formulations[Product Code],0)),"")</f>
        <v/>
      </c>
    </row>
    <row r="812" spans="1:7" x14ac:dyDescent="0.3">
      <c r="A812" t="s">
        <v>2574</v>
      </c>
      <c r="B812" t="s">
        <v>36</v>
      </c>
      <c r="D812" s="7">
        <v>105</v>
      </c>
      <c r="E812">
        <v>2017</v>
      </c>
      <c r="F812">
        <v>2021</v>
      </c>
      <c r="G812" t="str">
        <f>IFERROR(INDEX(Formulations[Formulation],MATCH($C812,Formulations[Product Code],0)),"")</f>
        <v/>
      </c>
    </row>
    <row r="813" spans="1:7" x14ac:dyDescent="0.3">
      <c r="A813" t="s">
        <v>2595</v>
      </c>
      <c r="B813" t="s">
        <v>349</v>
      </c>
      <c r="C813" t="s">
        <v>350</v>
      </c>
      <c r="D813" s="7">
        <v>105</v>
      </c>
      <c r="E813">
        <v>2020</v>
      </c>
      <c r="F813">
        <v>2020</v>
      </c>
      <c r="G813" t="str">
        <f>IFERROR(INDEX(Formulations[Formulation],MATCH($C813,Formulations[Product Code],0)),"")</f>
        <v/>
      </c>
    </row>
    <row r="814" spans="1:7" x14ac:dyDescent="0.3">
      <c r="A814" t="s">
        <v>1933</v>
      </c>
      <c r="B814" t="s">
        <v>542</v>
      </c>
      <c r="C814" t="s">
        <v>160</v>
      </c>
      <c r="D814" s="7">
        <v>102</v>
      </c>
      <c r="E814">
        <v>2019</v>
      </c>
      <c r="F814">
        <v>2020</v>
      </c>
      <c r="G814" t="str">
        <f>IFERROR(INDEX(Formulations[Formulation],MATCH($C814,Formulations[Product Code],0)),"")</f>
        <v>Silver</v>
      </c>
    </row>
    <row r="815" spans="1:7" x14ac:dyDescent="0.3">
      <c r="A815" t="s">
        <v>1439</v>
      </c>
      <c r="B815" t="s">
        <v>686</v>
      </c>
      <c r="C815" t="s">
        <v>866</v>
      </c>
      <c r="D815" s="7">
        <v>101</v>
      </c>
      <c r="E815">
        <v>2019</v>
      </c>
      <c r="F815">
        <v>2019</v>
      </c>
      <c r="G815" t="str">
        <f>IFERROR(INDEX(Formulations[Formulation],MATCH($C815,Formulations[Product Code],0)),"")</f>
        <v/>
      </c>
    </row>
    <row r="816" spans="1:7" x14ac:dyDescent="0.3">
      <c r="A816" t="s">
        <v>40</v>
      </c>
      <c r="B816" t="s">
        <v>46</v>
      </c>
      <c r="C816" t="s">
        <v>47</v>
      </c>
      <c r="D816" s="7">
        <v>100</v>
      </c>
      <c r="E816">
        <v>2016</v>
      </c>
      <c r="F816">
        <v>2016</v>
      </c>
      <c r="G816" t="str">
        <f>IFERROR(INDEX(Formulations[Formulation],MATCH($C816,Formulations[Product Code],0)),"")</f>
        <v/>
      </c>
    </row>
    <row r="817" spans="1:7" x14ac:dyDescent="0.3">
      <c r="A817" t="s">
        <v>268</v>
      </c>
      <c r="B817" t="s">
        <v>110</v>
      </c>
      <c r="C817" t="s">
        <v>111</v>
      </c>
      <c r="D817" s="7">
        <v>100</v>
      </c>
      <c r="E817">
        <v>2018</v>
      </c>
      <c r="F817">
        <v>2018</v>
      </c>
      <c r="G817" t="str">
        <f>IFERROR(INDEX(Formulations[Formulation],MATCH($C817,Formulations[Product Code],0)),"")</f>
        <v>75% Lemon Zeste, 25% lemon Top &amp; the Gold DPG)</v>
      </c>
    </row>
    <row r="818" spans="1:7" x14ac:dyDescent="0.3">
      <c r="A818" t="s">
        <v>268</v>
      </c>
      <c r="B818" t="s">
        <v>68</v>
      </c>
      <c r="C818" t="s">
        <v>69</v>
      </c>
      <c r="D818" s="7">
        <v>100</v>
      </c>
      <c r="E818">
        <v>2018</v>
      </c>
      <c r="F818">
        <v>2018</v>
      </c>
      <c r="G818" t="str">
        <f>IFERROR(INDEX(Formulations[Formulation],MATCH($C818,Formulations[Product Code],0)),"")</f>
        <v>Silver</v>
      </c>
    </row>
    <row r="819" spans="1:7" x14ac:dyDescent="0.3">
      <c r="A819" t="s">
        <v>273</v>
      </c>
      <c r="B819" t="s">
        <v>314</v>
      </c>
      <c r="C819" t="s">
        <v>315</v>
      </c>
      <c r="D819" s="7">
        <v>100</v>
      </c>
      <c r="E819">
        <v>2013</v>
      </c>
      <c r="F819">
        <v>2013</v>
      </c>
      <c r="G819" t="str">
        <f>IFERROR(INDEX(Formulations[Formulation],MATCH($C819,Formulations[Product Code],0)),"")</f>
        <v/>
      </c>
    </row>
    <row r="820" spans="1:7" x14ac:dyDescent="0.3">
      <c r="A820" t="s">
        <v>345</v>
      </c>
      <c r="B820" t="s">
        <v>269</v>
      </c>
      <c r="C820" t="s">
        <v>270</v>
      </c>
      <c r="D820" s="7">
        <v>100</v>
      </c>
      <c r="E820">
        <v>2020</v>
      </c>
      <c r="F820">
        <v>2020</v>
      </c>
      <c r="G820" t="str">
        <f>IFERROR(INDEX(Formulations[Formulation],MATCH($C820,Formulations[Product Code],0)),"")</f>
        <v>Pure</v>
      </c>
    </row>
    <row r="821" spans="1:7" x14ac:dyDescent="0.3">
      <c r="A821" t="s">
        <v>550</v>
      </c>
      <c r="B821" t="s">
        <v>196</v>
      </c>
      <c r="C821" t="s">
        <v>197</v>
      </c>
      <c r="D821" s="7">
        <v>100</v>
      </c>
      <c r="E821">
        <v>2018</v>
      </c>
      <c r="F821">
        <v>2018</v>
      </c>
      <c r="G821" t="str">
        <f>IFERROR(INDEX(Formulations[Formulation],MATCH($C821,Formulations[Product Code],0)),"")</f>
        <v/>
      </c>
    </row>
    <row r="822" spans="1:7" x14ac:dyDescent="0.3">
      <c r="A822" t="s">
        <v>695</v>
      </c>
      <c r="B822" t="s">
        <v>46</v>
      </c>
      <c r="C822" t="s">
        <v>47</v>
      </c>
      <c r="D822" s="7">
        <v>100</v>
      </c>
      <c r="E822">
        <v>2013</v>
      </c>
      <c r="F822">
        <v>2017</v>
      </c>
      <c r="G822" t="str">
        <f>IFERROR(INDEX(Formulations[Formulation],MATCH($C822,Formulations[Product Code],0)),"")</f>
        <v/>
      </c>
    </row>
    <row r="823" spans="1:7" x14ac:dyDescent="0.3">
      <c r="A823" t="s">
        <v>712</v>
      </c>
      <c r="B823" t="s">
        <v>718</v>
      </c>
      <c r="C823" t="s">
        <v>582</v>
      </c>
      <c r="D823" s="7">
        <v>100</v>
      </c>
      <c r="E823">
        <v>2019</v>
      </c>
      <c r="F823">
        <v>2019</v>
      </c>
      <c r="G823" t="str">
        <f>IFERROR(INDEX(Formulations[Formulation],MATCH($C823,Formulations[Product Code],0)),"")</f>
        <v/>
      </c>
    </row>
    <row r="824" spans="1:7" x14ac:dyDescent="0.3">
      <c r="A824" t="s">
        <v>712</v>
      </c>
      <c r="B824" t="s">
        <v>586</v>
      </c>
      <c r="C824" t="s">
        <v>587</v>
      </c>
      <c r="D824" s="7">
        <v>100</v>
      </c>
      <c r="E824">
        <v>2020</v>
      </c>
      <c r="F824">
        <v>2021</v>
      </c>
      <c r="G824" t="str">
        <f>IFERROR(INDEX(Formulations[Formulation],MATCH($C824,Formulations[Product Code],0)),"")</f>
        <v>Pure</v>
      </c>
    </row>
    <row r="825" spans="1:7" x14ac:dyDescent="0.3">
      <c r="A825" t="s">
        <v>712</v>
      </c>
      <c r="B825" t="s">
        <v>627</v>
      </c>
      <c r="C825" t="s">
        <v>628</v>
      </c>
      <c r="D825" s="7">
        <v>100</v>
      </c>
      <c r="E825">
        <v>2017</v>
      </c>
      <c r="F825">
        <v>2021</v>
      </c>
      <c r="G825" t="str">
        <f>IFERROR(INDEX(Formulations[Formulation],MATCH($C825,Formulations[Product Code],0)),"")</f>
        <v>Pure</v>
      </c>
    </row>
    <row r="826" spans="1:7" x14ac:dyDescent="0.3">
      <c r="A826" t="s">
        <v>712</v>
      </c>
      <c r="B826" t="s">
        <v>635</v>
      </c>
      <c r="C826" t="s">
        <v>636</v>
      </c>
      <c r="D826" s="7">
        <v>100</v>
      </c>
      <c r="E826">
        <v>2019</v>
      </c>
      <c r="F826">
        <v>2021</v>
      </c>
      <c r="G826" t="str">
        <f>IFERROR(INDEX(Formulations[Formulation],MATCH($C826,Formulations[Product Code],0)),"")</f>
        <v>Pure</v>
      </c>
    </row>
    <row r="827" spans="1:7" x14ac:dyDescent="0.3">
      <c r="A827" t="s">
        <v>712</v>
      </c>
      <c r="B827" t="s">
        <v>729</v>
      </c>
      <c r="D827" s="7">
        <v>100</v>
      </c>
      <c r="E827">
        <v>2021</v>
      </c>
      <c r="F827">
        <v>2021</v>
      </c>
      <c r="G827" t="str">
        <f>IFERROR(INDEX(Formulations[Formulation],MATCH($C827,Formulations[Product Code],0)),"")</f>
        <v/>
      </c>
    </row>
    <row r="828" spans="1:7" x14ac:dyDescent="0.3">
      <c r="A828" t="s">
        <v>712</v>
      </c>
      <c r="B828" t="s">
        <v>731</v>
      </c>
      <c r="C828" t="s">
        <v>289</v>
      </c>
      <c r="D828" s="7">
        <v>100</v>
      </c>
      <c r="E828">
        <v>2019</v>
      </c>
      <c r="F828">
        <v>2019</v>
      </c>
      <c r="G828" t="str">
        <f>IFERROR(INDEX(Formulations[Formulation],MATCH($C828,Formulations[Product Code],0)),"")</f>
        <v>L1212 Blanc by Lacoste (M) CP19035 -  (60%l1212) creed silver mountain 40% than make gold</v>
      </c>
    </row>
    <row r="829" spans="1:7" x14ac:dyDescent="0.3">
      <c r="A829" t="s">
        <v>712</v>
      </c>
      <c r="B829" t="s">
        <v>184</v>
      </c>
      <c r="C829" t="s">
        <v>185</v>
      </c>
      <c r="D829" s="7">
        <v>100</v>
      </c>
      <c r="E829">
        <v>2010</v>
      </c>
      <c r="F829">
        <v>2011</v>
      </c>
      <c r="G829" t="str">
        <f>IFERROR(INDEX(Formulations[Formulation],MATCH($C829,Formulations[Product Code],0)),"")</f>
        <v/>
      </c>
    </row>
    <row r="830" spans="1:7" x14ac:dyDescent="0.3">
      <c r="A830" t="s">
        <v>765</v>
      </c>
      <c r="B830" t="s">
        <v>774</v>
      </c>
      <c r="D830" s="7">
        <v>100</v>
      </c>
      <c r="E830">
        <v>2021</v>
      </c>
      <c r="F830">
        <v>2021</v>
      </c>
      <c r="G830" t="str">
        <f>IFERROR(INDEX(Formulations[Formulation],MATCH($C830,Formulations[Product Code],0)),"")</f>
        <v/>
      </c>
    </row>
    <row r="831" spans="1:7" x14ac:dyDescent="0.3">
      <c r="A831" t="s">
        <v>775</v>
      </c>
      <c r="B831" t="s">
        <v>269</v>
      </c>
      <c r="C831" t="s">
        <v>270</v>
      </c>
      <c r="D831" s="7">
        <v>100</v>
      </c>
      <c r="E831">
        <v>2016</v>
      </c>
      <c r="F831">
        <v>2018</v>
      </c>
      <c r="G831" t="str">
        <f>IFERROR(INDEX(Formulations[Formulation],MATCH($C831,Formulations[Product Code],0)),"")</f>
        <v>Pure</v>
      </c>
    </row>
    <row r="832" spans="1:7" x14ac:dyDescent="0.3">
      <c r="A832" t="s">
        <v>829</v>
      </c>
      <c r="B832" t="s">
        <v>467</v>
      </c>
      <c r="C832" t="s">
        <v>468</v>
      </c>
      <c r="D832" s="7">
        <v>100</v>
      </c>
      <c r="E832">
        <v>2019</v>
      </c>
      <c r="F832">
        <v>2020</v>
      </c>
      <c r="G832" t="str">
        <f>IFERROR(INDEX(Formulations[Formulation],MATCH($C832,Formulations[Product Code],0)),"")</f>
        <v>Crystal</v>
      </c>
    </row>
    <row r="833" spans="1:7" x14ac:dyDescent="0.3">
      <c r="A833" t="s">
        <v>829</v>
      </c>
      <c r="B833" t="s">
        <v>68</v>
      </c>
      <c r="C833" t="s">
        <v>69</v>
      </c>
      <c r="D833" s="7">
        <v>100</v>
      </c>
      <c r="E833">
        <v>2018</v>
      </c>
      <c r="F833">
        <v>2019</v>
      </c>
      <c r="G833" t="str">
        <f>IFERROR(INDEX(Formulations[Formulation],MATCH($C833,Formulations[Product Code],0)),"")</f>
        <v>Silver</v>
      </c>
    </row>
    <row r="834" spans="1:7" x14ac:dyDescent="0.3">
      <c r="A834" t="s">
        <v>842</v>
      </c>
      <c r="B834" t="s">
        <v>847</v>
      </c>
      <c r="C834" t="s">
        <v>848</v>
      </c>
      <c r="D834" s="7">
        <v>100</v>
      </c>
      <c r="E834">
        <v>2010</v>
      </c>
      <c r="F834">
        <v>2010</v>
      </c>
      <c r="G834" t="str">
        <f>IFERROR(INDEX(Formulations[Formulation],MATCH($C834,Formulations[Product Code],0)),"")</f>
        <v/>
      </c>
    </row>
    <row r="835" spans="1:7" x14ac:dyDescent="0.3">
      <c r="A835" t="s">
        <v>861</v>
      </c>
      <c r="B835" t="s">
        <v>446</v>
      </c>
      <c r="C835" t="s">
        <v>447</v>
      </c>
      <c r="D835" s="7">
        <v>100</v>
      </c>
      <c r="E835">
        <v>2020</v>
      </c>
      <c r="F835">
        <v>2020</v>
      </c>
      <c r="G835" t="str">
        <f>IFERROR(INDEX(Formulations[Formulation],MATCH($C835,Formulations[Product Code],0)),"")</f>
        <v>30% Key Oil</v>
      </c>
    </row>
    <row r="836" spans="1:7" x14ac:dyDescent="0.3">
      <c r="A836" t="s">
        <v>865</v>
      </c>
      <c r="B836" t="s">
        <v>671</v>
      </c>
      <c r="C836" t="s">
        <v>672</v>
      </c>
      <c r="D836" s="7">
        <v>100</v>
      </c>
      <c r="E836">
        <v>2020</v>
      </c>
      <c r="F836">
        <v>2020</v>
      </c>
      <c r="G836" t="str">
        <f>IFERROR(INDEX(Formulations[Formulation],MATCH($C836,Formulations[Product Code],0)),"")</f>
        <v>Pure</v>
      </c>
    </row>
    <row r="837" spans="1:7" x14ac:dyDescent="0.3">
      <c r="A837" t="s">
        <v>923</v>
      </c>
      <c r="B837" t="s">
        <v>823</v>
      </c>
      <c r="C837" t="s">
        <v>924</v>
      </c>
      <c r="D837" s="7">
        <v>100</v>
      </c>
      <c r="E837">
        <v>2014</v>
      </c>
      <c r="F837">
        <v>2016</v>
      </c>
      <c r="G837" t="str">
        <f>IFERROR(INDEX(Formulations[Formulation],MATCH($C837,Formulations[Product Code],0)),"")</f>
        <v/>
      </c>
    </row>
    <row r="838" spans="1:7" x14ac:dyDescent="0.3">
      <c r="A838" t="s">
        <v>923</v>
      </c>
      <c r="B838" t="s">
        <v>60</v>
      </c>
      <c r="C838" t="s">
        <v>61</v>
      </c>
      <c r="D838" s="7">
        <v>100</v>
      </c>
      <c r="E838">
        <v>2014</v>
      </c>
      <c r="F838">
        <v>2018</v>
      </c>
      <c r="G838" t="str">
        <f>IFERROR(INDEX(Formulations[Formulation],MATCH($C838,Formulations[Product Code],0)),"")</f>
        <v>Pure</v>
      </c>
    </row>
    <row r="839" spans="1:7" x14ac:dyDescent="0.3">
      <c r="A839" t="s">
        <v>941</v>
      </c>
      <c r="B839" t="s">
        <v>490</v>
      </c>
      <c r="C839" t="s">
        <v>491</v>
      </c>
      <c r="D839" s="7">
        <v>100</v>
      </c>
      <c r="E839">
        <v>2016</v>
      </c>
      <c r="F839">
        <v>2018</v>
      </c>
      <c r="G839" t="str">
        <f>IFERROR(INDEX(Formulations[Formulation],MATCH($C839,Formulations[Product Code],0)),"")</f>
        <v/>
      </c>
    </row>
    <row r="840" spans="1:7" x14ac:dyDescent="0.3">
      <c r="A840" t="s">
        <v>1010</v>
      </c>
      <c r="B840" t="s">
        <v>24</v>
      </c>
      <c r="C840" t="s">
        <v>25</v>
      </c>
      <c r="D840" s="7">
        <v>100</v>
      </c>
      <c r="E840">
        <v>2020</v>
      </c>
      <c r="F840">
        <v>2020</v>
      </c>
      <c r="G840" t="str">
        <f>IFERROR(INDEX(Formulations[Formulation],MATCH($C840,Formulations[Product Code],0)),"")</f>
        <v>citropine 85%/Pinefresh 15%</v>
      </c>
    </row>
    <row r="841" spans="1:7" x14ac:dyDescent="0.3">
      <c r="A841" t="s">
        <v>1010</v>
      </c>
      <c r="B841" t="s">
        <v>1013</v>
      </c>
      <c r="C841" t="s">
        <v>1014</v>
      </c>
      <c r="D841" s="7">
        <v>100</v>
      </c>
      <c r="E841">
        <v>2015</v>
      </c>
      <c r="F841">
        <v>2020</v>
      </c>
      <c r="G841" t="str">
        <f>IFERROR(INDEX(Formulations[Formulation],MATCH($C841,Formulations[Product Code],0)),"")</f>
        <v/>
      </c>
    </row>
    <row r="842" spans="1:7" x14ac:dyDescent="0.3">
      <c r="A842" t="s">
        <v>1028</v>
      </c>
      <c r="B842" t="s">
        <v>1080</v>
      </c>
      <c r="C842" t="s">
        <v>1081</v>
      </c>
      <c r="D842" s="7">
        <v>100</v>
      </c>
      <c r="E842">
        <v>2009</v>
      </c>
      <c r="F842">
        <v>2009</v>
      </c>
      <c r="G842" t="str">
        <f>IFERROR(INDEX(Formulations[Formulation],MATCH($C842,Formulations[Product Code],0)),"")</f>
        <v/>
      </c>
    </row>
    <row r="843" spans="1:7" x14ac:dyDescent="0.3">
      <c r="A843" t="s">
        <v>1102</v>
      </c>
      <c r="B843" t="s">
        <v>26</v>
      </c>
      <c r="C843" t="s">
        <v>27</v>
      </c>
      <c r="D843" s="7">
        <v>100</v>
      </c>
      <c r="E843">
        <v>2019</v>
      </c>
      <c r="F843">
        <v>2019</v>
      </c>
      <c r="G843" t="str">
        <f>IFERROR(INDEX(Formulations[Formulation],MATCH($C843,Formulations[Product Code],0)),"")</f>
        <v>FLOURAMAX A270578/ P782894</v>
      </c>
    </row>
    <row r="844" spans="1:7" x14ac:dyDescent="0.3">
      <c r="A844" t="s">
        <v>1102</v>
      </c>
      <c r="B844" t="s">
        <v>686</v>
      </c>
      <c r="C844" t="s">
        <v>866</v>
      </c>
      <c r="D844" s="7">
        <v>100</v>
      </c>
      <c r="E844">
        <v>2019</v>
      </c>
      <c r="F844">
        <v>2019</v>
      </c>
      <c r="G844" t="str">
        <f>IFERROR(INDEX(Formulations[Formulation],MATCH($C844,Formulations[Product Code],0)),"")</f>
        <v/>
      </c>
    </row>
    <row r="845" spans="1:7" x14ac:dyDescent="0.3">
      <c r="A845" t="s">
        <v>1102</v>
      </c>
      <c r="B845" t="s">
        <v>314</v>
      </c>
      <c r="C845" t="s">
        <v>315</v>
      </c>
      <c r="D845" s="7">
        <v>100</v>
      </c>
      <c r="E845">
        <v>2019</v>
      </c>
      <c r="F845">
        <v>2019</v>
      </c>
      <c r="G845" t="str">
        <f>IFERROR(INDEX(Formulations[Formulation],MATCH($C845,Formulations[Product Code],0)),"")</f>
        <v/>
      </c>
    </row>
    <row r="846" spans="1:7" x14ac:dyDescent="0.3">
      <c r="A846" t="s">
        <v>1116</v>
      </c>
      <c r="B846" t="s">
        <v>643</v>
      </c>
      <c r="C846" t="s">
        <v>644</v>
      </c>
      <c r="D846" s="7">
        <v>100</v>
      </c>
      <c r="E846">
        <v>2020</v>
      </c>
      <c r="F846">
        <v>2021</v>
      </c>
      <c r="G846" t="str">
        <f>IFERROR(INDEX(Formulations[Formulation],MATCH($C846,Formulations[Product Code],0)),"")</f>
        <v>Crystal</v>
      </c>
    </row>
    <row r="847" spans="1:7" x14ac:dyDescent="0.3">
      <c r="A847" t="s">
        <v>1116</v>
      </c>
      <c r="B847" t="s">
        <v>1124</v>
      </c>
      <c r="C847" t="s">
        <v>868</v>
      </c>
      <c r="D847" s="7">
        <v>100</v>
      </c>
      <c r="E847">
        <v>2012</v>
      </c>
      <c r="F847">
        <v>2014</v>
      </c>
      <c r="G847" t="str">
        <f>IFERROR(INDEX(Formulations[Formulation],MATCH($C847,Formulations[Product Code],0)),"")</f>
        <v>Crystal</v>
      </c>
    </row>
    <row r="848" spans="1:7" x14ac:dyDescent="0.3">
      <c r="A848" t="s">
        <v>1139</v>
      </c>
      <c r="B848" t="s">
        <v>32</v>
      </c>
      <c r="D848" s="7">
        <v>100</v>
      </c>
      <c r="E848">
        <v>2010</v>
      </c>
      <c r="F848">
        <v>2015</v>
      </c>
      <c r="G848" t="str">
        <f>IFERROR(INDEX(Formulations[Formulation],MATCH($C848,Formulations[Product Code],0)),"")</f>
        <v/>
      </c>
    </row>
    <row r="849" spans="1:7" x14ac:dyDescent="0.3">
      <c r="A849" t="s">
        <v>1163</v>
      </c>
      <c r="B849" t="s">
        <v>19</v>
      </c>
      <c r="C849" t="s">
        <v>20</v>
      </c>
      <c r="D849" s="7">
        <v>100</v>
      </c>
      <c r="E849">
        <v>2016</v>
      </c>
      <c r="F849">
        <v>2016</v>
      </c>
      <c r="G849" t="str">
        <f>IFERROR(INDEX(Formulations[Formulation],MATCH($C849,Formulations[Product Code],0)),"")</f>
        <v>80 % Oil AND 20 % DPG</v>
      </c>
    </row>
    <row r="850" spans="1:7" x14ac:dyDescent="0.3">
      <c r="A850" t="s">
        <v>1163</v>
      </c>
      <c r="B850" t="s">
        <v>828</v>
      </c>
      <c r="D850" s="7">
        <v>100</v>
      </c>
      <c r="E850">
        <v>2015</v>
      </c>
      <c r="F850">
        <v>2015</v>
      </c>
      <c r="G850" t="str">
        <f>IFERROR(INDEX(Formulations[Formulation],MATCH($C850,Formulations[Product Code],0)),"")</f>
        <v/>
      </c>
    </row>
    <row r="851" spans="1:7" x14ac:dyDescent="0.3">
      <c r="A851" t="s">
        <v>1175</v>
      </c>
      <c r="B851" t="s">
        <v>657</v>
      </c>
      <c r="C851" t="s">
        <v>658</v>
      </c>
      <c r="D851" s="7">
        <v>100</v>
      </c>
      <c r="E851">
        <v>2018</v>
      </c>
      <c r="F851">
        <v>2021</v>
      </c>
      <c r="G851" t="str">
        <f>IFERROR(INDEX(Formulations[Formulation],MATCH($C851,Formulations[Product Code],0)),"")</f>
        <v>Crystal</v>
      </c>
    </row>
    <row r="852" spans="1:7" x14ac:dyDescent="0.3">
      <c r="A852" t="s">
        <v>1225</v>
      </c>
      <c r="B852" t="s">
        <v>62</v>
      </c>
      <c r="C852" t="s">
        <v>63</v>
      </c>
      <c r="D852" s="7">
        <v>100</v>
      </c>
      <c r="E852">
        <v>2020</v>
      </c>
      <c r="F852">
        <v>2020</v>
      </c>
      <c r="G852" t="str">
        <f>IFERROR(INDEX(Formulations[Formulation],MATCH($C852,Formulations[Product Code],0)),"")</f>
        <v>Crystal</v>
      </c>
    </row>
    <row r="853" spans="1:7" x14ac:dyDescent="0.3">
      <c r="A853" t="s">
        <v>1346</v>
      </c>
      <c r="B853" t="s">
        <v>438</v>
      </c>
      <c r="C853" t="s">
        <v>439</v>
      </c>
      <c r="D853" s="7">
        <v>100</v>
      </c>
      <c r="E853">
        <v>2020</v>
      </c>
      <c r="F853">
        <v>2020</v>
      </c>
      <c r="G853" t="str">
        <f>IFERROR(INDEX(Formulations[Formulation],MATCH($C853,Formulations[Product Code],0)),"")</f>
        <v>Pure</v>
      </c>
    </row>
    <row r="854" spans="1:7" x14ac:dyDescent="0.3">
      <c r="A854" t="s">
        <v>1346</v>
      </c>
      <c r="B854" t="s">
        <v>674</v>
      </c>
      <c r="C854" t="s">
        <v>675</v>
      </c>
      <c r="D854" s="7">
        <v>100</v>
      </c>
      <c r="E854">
        <v>2020</v>
      </c>
      <c r="F854">
        <v>2021</v>
      </c>
      <c r="G854" t="str">
        <f>IFERROR(INDEX(Formulations[Formulation],MATCH($C854,Formulations[Product Code],0)),"")</f>
        <v>Crystal</v>
      </c>
    </row>
    <row r="855" spans="1:7" x14ac:dyDescent="0.3">
      <c r="A855" t="s">
        <v>1399</v>
      </c>
      <c r="B855" t="s">
        <v>39</v>
      </c>
      <c r="D855" s="7">
        <v>100</v>
      </c>
      <c r="E855">
        <v>2017</v>
      </c>
      <c r="F855">
        <v>2020</v>
      </c>
      <c r="G855" t="str">
        <f>IFERROR(INDEX(Formulations[Formulation],MATCH($C855,Formulations[Product Code],0)),"")</f>
        <v/>
      </c>
    </row>
    <row r="856" spans="1:7" x14ac:dyDescent="0.3">
      <c r="A856" t="s">
        <v>1439</v>
      </c>
      <c r="B856" t="s">
        <v>668</v>
      </c>
      <c r="C856" t="s">
        <v>669</v>
      </c>
      <c r="D856" s="7">
        <v>100</v>
      </c>
      <c r="E856">
        <v>2019</v>
      </c>
      <c r="F856">
        <v>2020</v>
      </c>
      <c r="G856" t="str">
        <f>IFERROR(INDEX(Formulations[Formulation],MATCH($C856,Formulations[Product Code],0)),"")</f>
        <v>Crystal</v>
      </c>
    </row>
    <row r="857" spans="1:7" x14ac:dyDescent="0.3">
      <c r="A857" t="s">
        <v>1439</v>
      </c>
      <c r="B857" t="s">
        <v>467</v>
      </c>
      <c r="C857" t="s">
        <v>468</v>
      </c>
      <c r="D857" s="7">
        <v>100</v>
      </c>
      <c r="E857">
        <v>2019</v>
      </c>
      <c r="F857">
        <v>2019</v>
      </c>
      <c r="G857" t="str">
        <f>IFERROR(INDEX(Formulations[Formulation],MATCH($C857,Formulations[Product Code],0)),"")</f>
        <v>Crystal</v>
      </c>
    </row>
    <row r="858" spans="1:7" x14ac:dyDescent="0.3">
      <c r="A858" t="s">
        <v>1439</v>
      </c>
      <c r="B858" t="s">
        <v>915</v>
      </c>
      <c r="C858" t="s">
        <v>916</v>
      </c>
      <c r="D858" s="7">
        <v>100</v>
      </c>
      <c r="E858">
        <v>2014</v>
      </c>
      <c r="F858">
        <v>2019</v>
      </c>
      <c r="G858" t="str">
        <f>IFERROR(INDEX(Formulations[Formulation],MATCH($C858,Formulations[Product Code],0)),"")</f>
        <v>Crystal</v>
      </c>
    </row>
    <row r="859" spans="1:7" x14ac:dyDescent="0.3">
      <c r="A859" t="s">
        <v>1463</v>
      </c>
      <c r="B859" t="s">
        <v>1489</v>
      </c>
      <c r="C859" t="s">
        <v>1490</v>
      </c>
      <c r="D859" s="7">
        <v>100</v>
      </c>
      <c r="E859">
        <v>2013</v>
      </c>
      <c r="F859">
        <v>2013</v>
      </c>
      <c r="G859" t="str">
        <f>IFERROR(INDEX(Formulations[Formulation],MATCH($C859,Formulations[Product Code],0)),"")</f>
        <v/>
      </c>
    </row>
    <row r="860" spans="1:7" x14ac:dyDescent="0.3">
      <c r="A860" t="s">
        <v>1463</v>
      </c>
      <c r="B860" t="s">
        <v>1496</v>
      </c>
      <c r="C860" t="s">
        <v>1137</v>
      </c>
      <c r="D860" s="7">
        <v>100</v>
      </c>
      <c r="E860">
        <v>2014</v>
      </c>
      <c r="F860">
        <v>2014</v>
      </c>
      <c r="G860" t="str">
        <f>IFERROR(INDEX(Formulations[Formulation],MATCH($C860,Formulations[Product Code],0)),"")</f>
        <v/>
      </c>
    </row>
    <row r="861" spans="1:7" x14ac:dyDescent="0.3">
      <c r="A861" t="s">
        <v>1463</v>
      </c>
      <c r="B861" t="s">
        <v>1509</v>
      </c>
      <c r="C861" t="s">
        <v>1510</v>
      </c>
      <c r="D861" s="7">
        <v>100</v>
      </c>
      <c r="E861">
        <v>2013</v>
      </c>
      <c r="F861">
        <v>2013</v>
      </c>
      <c r="G861" t="str">
        <f>IFERROR(INDEX(Formulations[Formulation],MATCH($C861,Formulations[Product Code],0)),"")</f>
        <v/>
      </c>
    </row>
    <row r="862" spans="1:7" x14ac:dyDescent="0.3">
      <c r="A862" t="s">
        <v>1463</v>
      </c>
      <c r="B862" t="s">
        <v>1512</v>
      </c>
      <c r="C862" t="s">
        <v>1513</v>
      </c>
      <c r="D862" s="7">
        <v>100</v>
      </c>
      <c r="E862">
        <v>2014</v>
      </c>
      <c r="F862">
        <v>2014</v>
      </c>
      <c r="G862" t="str">
        <f>IFERROR(INDEX(Formulations[Formulation],MATCH($C862,Formulations[Product Code],0)),"")</f>
        <v/>
      </c>
    </row>
    <row r="863" spans="1:7" x14ac:dyDescent="0.3">
      <c r="A863" t="s">
        <v>1463</v>
      </c>
      <c r="B863" t="s">
        <v>1550</v>
      </c>
      <c r="C863" t="s">
        <v>1551</v>
      </c>
      <c r="D863" s="7">
        <v>100</v>
      </c>
      <c r="E863">
        <v>2013</v>
      </c>
      <c r="F863">
        <v>2013</v>
      </c>
      <c r="G863" t="str">
        <f>IFERROR(INDEX(Formulations[Formulation],MATCH($C863,Formulations[Product Code],0)),"")</f>
        <v/>
      </c>
    </row>
    <row r="864" spans="1:7" x14ac:dyDescent="0.3">
      <c r="A864" t="s">
        <v>1463</v>
      </c>
      <c r="B864" t="s">
        <v>1556</v>
      </c>
      <c r="C864" t="s">
        <v>1557</v>
      </c>
      <c r="D864" s="7">
        <v>100</v>
      </c>
      <c r="E864">
        <v>2013</v>
      </c>
      <c r="F864">
        <v>2013</v>
      </c>
      <c r="G864" t="str">
        <f>IFERROR(INDEX(Formulations[Formulation],MATCH($C864,Formulations[Product Code],0)),"")</f>
        <v/>
      </c>
    </row>
    <row r="865" spans="1:7" x14ac:dyDescent="0.3">
      <c r="A865" t="s">
        <v>1463</v>
      </c>
      <c r="B865" t="s">
        <v>1560</v>
      </c>
      <c r="C865" t="s">
        <v>1561</v>
      </c>
      <c r="D865" s="7">
        <v>100</v>
      </c>
      <c r="E865">
        <v>2013</v>
      </c>
      <c r="F865">
        <v>2013</v>
      </c>
      <c r="G865" t="str">
        <f>IFERROR(INDEX(Formulations[Formulation],MATCH($C865,Formulations[Product Code],0)),"")</f>
        <v/>
      </c>
    </row>
    <row r="866" spans="1:7" x14ac:dyDescent="0.3">
      <c r="A866" t="s">
        <v>1463</v>
      </c>
      <c r="B866" t="s">
        <v>370</v>
      </c>
      <c r="C866" t="s">
        <v>1565</v>
      </c>
      <c r="D866" s="7">
        <v>100</v>
      </c>
      <c r="E866">
        <v>2013</v>
      </c>
      <c r="F866">
        <v>2013</v>
      </c>
      <c r="G866" t="str">
        <f>IFERROR(INDEX(Formulations[Formulation],MATCH($C866,Formulations[Product Code],0)),"")</f>
        <v/>
      </c>
    </row>
    <row r="867" spans="1:7" x14ac:dyDescent="0.3">
      <c r="A867" t="s">
        <v>1463</v>
      </c>
      <c r="B867" t="s">
        <v>1578</v>
      </c>
      <c r="C867" t="s">
        <v>1579</v>
      </c>
      <c r="D867" s="7">
        <v>100</v>
      </c>
      <c r="E867">
        <v>2012</v>
      </c>
      <c r="F867">
        <v>2013</v>
      </c>
      <c r="G867" t="str">
        <f>IFERROR(INDEX(Formulations[Formulation],MATCH($C867,Formulations[Product Code],0)),"")</f>
        <v/>
      </c>
    </row>
    <row r="868" spans="1:7" x14ac:dyDescent="0.3">
      <c r="A868" t="s">
        <v>1463</v>
      </c>
      <c r="B868" t="s">
        <v>1361</v>
      </c>
      <c r="C868" t="s">
        <v>1362</v>
      </c>
      <c r="D868" s="7">
        <v>100</v>
      </c>
      <c r="E868">
        <v>2013</v>
      </c>
      <c r="F868">
        <v>2013</v>
      </c>
      <c r="G868" t="str">
        <f>IFERROR(INDEX(Formulations[Formulation],MATCH($C868,Formulations[Product Code],0)),"")</f>
        <v/>
      </c>
    </row>
    <row r="869" spans="1:7" x14ac:dyDescent="0.3">
      <c r="A869" t="s">
        <v>1463</v>
      </c>
      <c r="B869" t="s">
        <v>402</v>
      </c>
      <c r="C869" t="s">
        <v>1586</v>
      </c>
      <c r="D869" s="7">
        <v>100</v>
      </c>
      <c r="E869">
        <v>2013</v>
      </c>
      <c r="F869">
        <v>2013</v>
      </c>
      <c r="G869" t="str">
        <f>IFERROR(INDEX(Formulations[Formulation],MATCH($C869,Formulations[Product Code],0)),"")</f>
        <v/>
      </c>
    </row>
    <row r="870" spans="1:7" x14ac:dyDescent="0.3">
      <c r="A870" t="s">
        <v>1463</v>
      </c>
      <c r="B870" t="s">
        <v>1620</v>
      </c>
      <c r="C870" t="s">
        <v>1621</v>
      </c>
      <c r="D870" s="7">
        <v>100</v>
      </c>
      <c r="E870">
        <v>2013</v>
      </c>
      <c r="F870">
        <v>2013</v>
      </c>
      <c r="G870" t="str">
        <f>IFERROR(INDEX(Formulations[Formulation],MATCH($C870,Formulations[Product Code],0)),"")</f>
        <v/>
      </c>
    </row>
    <row r="871" spans="1:7" x14ac:dyDescent="0.3">
      <c r="A871" t="s">
        <v>1656</v>
      </c>
      <c r="B871" t="s">
        <v>24</v>
      </c>
      <c r="C871" t="s">
        <v>25</v>
      </c>
      <c r="D871" s="7">
        <v>100</v>
      </c>
      <c r="E871">
        <v>2017</v>
      </c>
      <c r="F871">
        <v>2021</v>
      </c>
      <c r="G871" t="str">
        <f>IFERROR(INDEX(Formulations[Formulation],MATCH($C871,Formulations[Product Code],0)),"")</f>
        <v>citropine 85%/Pinefresh 15%</v>
      </c>
    </row>
    <row r="872" spans="1:7" x14ac:dyDescent="0.3">
      <c r="A872" t="s">
        <v>1658</v>
      </c>
      <c r="B872" t="s">
        <v>741</v>
      </c>
      <c r="C872" t="s">
        <v>742</v>
      </c>
      <c r="D872" s="7">
        <v>100</v>
      </c>
      <c r="E872">
        <v>2016</v>
      </c>
      <c r="F872">
        <v>2016</v>
      </c>
      <c r="G872" t="str">
        <f>IFERROR(INDEX(Formulations[Formulation],MATCH($C872,Formulations[Product Code],0)),"")</f>
        <v/>
      </c>
    </row>
    <row r="873" spans="1:7" x14ac:dyDescent="0.3">
      <c r="A873" t="s">
        <v>1664</v>
      </c>
      <c r="B873" t="s">
        <v>635</v>
      </c>
      <c r="C873" t="s">
        <v>636</v>
      </c>
      <c r="D873" s="7">
        <v>100</v>
      </c>
      <c r="E873">
        <v>2017</v>
      </c>
      <c r="F873">
        <v>2017</v>
      </c>
      <c r="G873" t="str">
        <f>IFERROR(INDEX(Formulations[Formulation],MATCH($C873,Formulations[Product Code],0)),"")</f>
        <v>Pure</v>
      </c>
    </row>
    <row r="874" spans="1:7" x14ac:dyDescent="0.3">
      <c r="A874" t="s">
        <v>1664</v>
      </c>
      <c r="B874" t="s">
        <v>334</v>
      </c>
      <c r="C874" t="s">
        <v>335</v>
      </c>
      <c r="D874" s="7">
        <v>100</v>
      </c>
      <c r="E874">
        <v>2016</v>
      </c>
      <c r="F874">
        <v>2017</v>
      </c>
      <c r="G874" t="str">
        <f>IFERROR(INDEX(Formulations[Formulation],MATCH($C874,Formulations[Product Code],0)),"")</f>
        <v>Pure</v>
      </c>
    </row>
    <row r="875" spans="1:7" x14ac:dyDescent="0.3">
      <c r="A875" t="s">
        <v>1668</v>
      </c>
      <c r="B875" t="s">
        <v>26</v>
      </c>
      <c r="C875" t="s">
        <v>27</v>
      </c>
      <c r="D875" s="7">
        <v>100</v>
      </c>
      <c r="E875">
        <v>2019</v>
      </c>
      <c r="F875">
        <v>2020</v>
      </c>
      <c r="G875" t="str">
        <f>IFERROR(INDEX(Formulations[Formulation],MATCH($C875,Formulations[Product Code],0)),"")</f>
        <v>FLOURAMAX A270578/ P782894</v>
      </c>
    </row>
    <row r="876" spans="1:7" x14ac:dyDescent="0.3">
      <c r="A876" t="s">
        <v>1682</v>
      </c>
      <c r="B876" t="s">
        <v>45</v>
      </c>
      <c r="D876" s="7">
        <v>100</v>
      </c>
      <c r="E876">
        <v>2015</v>
      </c>
      <c r="F876">
        <v>2017</v>
      </c>
      <c r="G876" t="str">
        <f>IFERROR(INDEX(Formulations[Formulation],MATCH($C876,Formulations[Product Code],0)),"")</f>
        <v/>
      </c>
    </row>
    <row r="877" spans="1:7" x14ac:dyDescent="0.3">
      <c r="A877" t="s">
        <v>1682</v>
      </c>
      <c r="B877" t="s">
        <v>32</v>
      </c>
      <c r="D877" s="7">
        <v>100</v>
      </c>
      <c r="E877">
        <v>2015</v>
      </c>
      <c r="F877">
        <v>2018</v>
      </c>
      <c r="G877" t="str">
        <f>IFERROR(INDEX(Formulations[Formulation],MATCH($C877,Formulations[Product Code],0)),"")</f>
        <v/>
      </c>
    </row>
    <row r="878" spans="1:7" x14ac:dyDescent="0.3">
      <c r="A878" t="s">
        <v>1690</v>
      </c>
      <c r="B878" t="s">
        <v>297</v>
      </c>
      <c r="C878" t="s">
        <v>298</v>
      </c>
      <c r="D878" s="7">
        <v>100</v>
      </c>
      <c r="E878">
        <v>2017</v>
      </c>
      <c r="F878">
        <v>2019</v>
      </c>
      <c r="G878" t="str">
        <f>IFERROR(INDEX(Formulations[Formulation],MATCH($C878,Formulations[Product Code],0)),"")</f>
        <v>Pure</v>
      </c>
    </row>
    <row r="879" spans="1:7" x14ac:dyDescent="0.3">
      <c r="A879" t="s">
        <v>1697</v>
      </c>
      <c r="B879" t="s">
        <v>383</v>
      </c>
      <c r="C879" t="s">
        <v>384</v>
      </c>
      <c r="D879" s="7">
        <v>100</v>
      </c>
      <c r="E879">
        <v>2020</v>
      </c>
      <c r="F879">
        <v>2020</v>
      </c>
      <c r="G879" t="str">
        <f>IFERROR(INDEX(Formulations[Formulation],MATCH($C879,Formulations[Product Code],0)),"")</f>
        <v>Pure</v>
      </c>
    </row>
    <row r="880" spans="1:7" x14ac:dyDescent="0.3">
      <c r="A880" t="s">
        <v>1700</v>
      </c>
      <c r="B880" t="s">
        <v>269</v>
      </c>
      <c r="C880" t="s">
        <v>270</v>
      </c>
      <c r="D880" s="7">
        <v>100</v>
      </c>
      <c r="E880">
        <v>2019</v>
      </c>
      <c r="F880">
        <v>2019</v>
      </c>
      <c r="G880" t="str">
        <f>IFERROR(INDEX(Formulations[Formulation],MATCH($C880,Formulations[Product Code],0)),"")</f>
        <v>Pure</v>
      </c>
    </row>
    <row r="881" spans="1:7" x14ac:dyDescent="0.3">
      <c r="A881" t="s">
        <v>1700</v>
      </c>
      <c r="B881" t="s">
        <v>32</v>
      </c>
      <c r="D881" s="7">
        <v>100</v>
      </c>
      <c r="E881">
        <v>2017</v>
      </c>
      <c r="F881">
        <v>2019</v>
      </c>
      <c r="G881" t="str">
        <f>IFERROR(INDEX(Formulations[Formulation],MATCH($C881,Formulations[Product Code],0)),"")</f>
        <v/>
      </c>
    </row>
    <row r="882" spans="1:7" x14ac:dyDescent="0.3">
      <c r="A882" t="s">
        <v>1721</v>
      </c>
      <c r="B882" t="s">
        <v>174</v>
      </c>
      <c r="C882" t="s">
        <v>175</v>
      </c>
      <c r="D882" s="7">
        <v>100</v>
      </c>
      <c r="E882">
        <v>2016</v>
      </c>
      <c r="F882">
        <v>2016</v>
      </c>
      <c r="G882" t="str">
        <f>IFERROR(INDEX(Formulations[Formulation],MATCH($C882,Formulations[Product Code],0)),"")</f>
        <v/>
      </c>
    </row>
    <row r="883" spans="1:7" x14ac:dyDescent="0.3">
      <c r="A883" t="s">
        <v>1743</v>
      </c>
      <c r="B883" t="s">
        <v>575</v>
      </c>
      <c r="C883" t="s">
        <v>673</v>
      </c>
      <c r="D883" s="7">
        <v>100</v>
      </c>
      <c r="E883">
        <v>2018</v>
      </c>
      <c r="F883">
        <v>2020</v>
      </c>
      <c r="G883" t="str">
        <f>IFERROR(INDEX(Formulations[Formulation],MATCH($C883,Formulations[Product Code],0)),"")</f>
        <v>Apricot 60 % oil and 40 % dpg</v>
      </c>
    </row>
    <row r="884" spans="1:7" x14ac:dyDescent="0.3">
      <c r="A884" t="s">
        <v>1754</v>
      </c>
      <c r="B884" t="s">
        <v>1755</v>
      </c>
      <c r="D884" s="7">
        <v>100</v>
      </c>
      <c r="E884">
        <v>2020</v>
      </c>
      <c r="F884">
        <v>2021</v>
      </c>
      <c r="G884" t="str">
        <f>IFERROR(INDEX(Formulations[Formulation],MATCH($C884,Formulations[Product Code],0)),"")</f>
        <v/>
      </c>
    </row>
    <row r="885" spans="1:7" x14ac:dyDescent="0.3">
      <c r="A885" t="s">
        <v>1754</v>
      </c>
      <c r="B885" t="s">
        <v>696</v>
      </c>
      <c r="C885" t="s">
        <v>697</v>
      </c>
      <c r="D885" s="7">
        <v>100</v>
      </c>
      <c r="E885">
        <v>2020</v>
      </c>
      <c r="F885">
        <v>2020</v>
      </c>
      <c r="G885" t="str">
        <f>IFERROR(INDEX(Formulations[Formulation],MATCH($C885,Formulations[Product Code],0)),"")</f>
        <v/>
      </c>
    </row>
    <row r="886" spans="1:7" x14ac:dyDescent="0.3">
      <c r="A886" t="s">
        <v>1754</v>
      </c>
      <c r="B886" t="s">
        <v>184</v>
      </c>
      <c r="C886" t="s">
        <v>185</v>
      </c>
      <c r="D886" s="7">
        <v>100</v>
      </c>
      <c r="E886">
        <v>2012</v>
      </c>
      <c r="F886">
        <v>2012</v>
      </c>
      <c r="G886" t="str">
        <f>IFERROR(INDEX(Formulations[Formulation],MATCH($C886,Formulations[Product Code],0)),"")</f>
        <v/>
      </c>
    </row>
    <row r="887" spans="1:7" x14ac:dyDescent="0.3">
      <c r="A887" t="s">
        <v>1754</v>
      </c>
      <c r="B887" t="s">
        <v>297</v>
      </c>
      <c r="C887" t="s">
        <v>298</v>
      </c>
      <c r="D887" s="7">
        <v>100</v>
      </c>
      <c r="E887">
        <v>2017</v>
      </c>
      <c r="F887">
        <v>2017</v>
      </c>
      <c r="G887" t="str">
        <f>IFERROR(INDEX(Formulations[Formulation],MATCH($C887,Formulations[Product Code],0)),"")</f>
        <v>Pure</v>
      </c>
    </row>
    <row r="888" spans="1:7" x14ac:dyDescent="0.3">
      <c r="A888" t="s">
        <v>1799</v>
      </c>
      <c r="B888" t="s">
        <v>721</v>
      </c>
      <c r="C888" t="s">
        <v>722</v>
      </c>
      <c r="D888" s="7">
        <v>100</v>
      </c>
      <c r="E888">
        <v>2017</v>
      </c>
      <c r="F888">
        <v>2019</v>
      </c>
      <c r="G888" t="str">
        <f>IFERROR(INDEX(Formulations[Formulation],MATCH($C888,Formulations[Product Code],0)),"")</f>
        <v>Pure</v>
      </c>
    </row>
    <row r="889" spans="1:7" x14ac:dyDescent="0.3">
      <c r="A889" t="s">
        <v>1799</v>
      </c>
      <c r="B889" t="s">
        <v>114</v>
      </c>
      <c r="C889" t="s">
        <v>115</v>
      </c>
      <c r="D889" s="7">
        <v>100</v>
      </c>
      <c r="E889">
        <v>2016</v>
      </c>
      <c r="F889">
        <v>2019</v>
      </c>
      <c r="G889" t="str">
        <f>IFERROR(INDEX(Formulations[Formulation],MATCH($C889,Formulations[Product Code],0)),"")</f>
        <v>Pure</v>
      </c>
    </row>
    <row r="890" spans="1:7" x14ac:dyDescent="0.3">
      <c r="A890" t="s">
        <v>1810</v>
      </c>
      <c r="B890" t="s">
        <v>1812</v>
      </c>
      <c r="D890" s="7">
        <v>100</v>
      </c>
      <c r="E890">
        <v>2016</v>
      </c>
      <c r="F890">
        <v>2016</v>
      </c>
      <c r="G890" t="str">
        <f>IFERROR(INDEX(Formulations[Formulation],MATCH($C890,Formulations[Product Code],0)),"")</f>
        <v/>
      </c>
    </row>
    <row r="891" spans="1:7" x14ac:dyDescent="0.3">
      <c r="A891" t="s">
        <v>1810</v>
      </c>
      <c r="B891" t="s">
        <v>1813</v>
      </c>
      <c r="D891" s="7">
        <v>100</v>
      </c>
      <c r="E891">
        <v>2016</v>
      </c>
      <c r="F891">
        <v>2016</v>
      </c>
      <c r="G891" t="str">
        <f>IFERROR(INDEX(Formulations[Formulation],MATCH($C891,Formulations[Product Code],0)),"")</f>
        <v/>
      </c>
    </row>
    <row r="892" spans="1:7" x14ac:dyDescent="0.3">
      <c r="A892" t="s">
        <v>1819</v>
      </c>
      <c r="B892" t="s">
        <v>1820</v>
      </c>
      <c r="C892" t="s">
        <v>1026</v>
      </c>
      <c r="D892" s="7">
        <v>100</v>
      </c>
      <c r="E892">
        <v>2015</v>
      </c>
      <c r="F892">
        <v>2019</v>
      </c>
      <c r="G892" t="str">
        <f>IFERROR(INDEX(Formulations[Formulation],MATCH($C892,Formulations[Product Code],0)),"")</f>
        <v/>
      </c>
    </row>
    <row r="893" spans="1:7" x14ac:dyDescent="0.3">
      <c r="A893" t="s">
        <v>1822</v>
      </c>
      <c r="B893" t="s">
        <v>548</v>
      </c>
      <c r="D893" s="7">
        <v>100</v>
      </c>
      <c r="E893">
        <v>2020</v>
      </c>
      <c r="F893">
        <v>2020</v>
      </c>
      <c r="G893" t="str">
        <f>IFERROR(INDEX(Formulations[Formulation],MATCH($C893,Formulations[Product Code],0)),"")</f>
        <v/>
      </c>
    </row>
    <row r="894" spans="1:7" x14ac:dyDescent="0.3">
      <c r="A894" t="s">
        <v>1822</v>
      </c>
      <c r="B894" t="s">
        <v>671</v>
      </c>
      <c r="C894" t="s">
        <v>672</v>
      </c>
      <c r="D894" s="7">
        <v>100</v>
      </c>
      <c r="E894">
        <v>2020</v>
      </c>
      <c r="F894">
        <v>2021</v>
      </c>
      <c r="G894" t="str">
        <f>IFERROR(INDEX(Formulations[Formulation],MATCH($C894,Formulations[Product Code],0)),"")</f>
        <v>Pure</v>
      </c>
    </row>
    <row r="895" spans="1:7" x14ac:dyDescent="0.3">
      <c r="A895" t="s">
        <v>1838</v>
      </c>
      <c r="B895" t="s">
        <v>184</v>
      </c>
      <c r="C895" t="s">
        <v>185</v>
      </c>
      <c r="D895" s="7">
        <v>100</v>
      </c>
      <c r="E895">
        <v>2019</v>
      </c>
      <c r="F895">
        <v>2019</v>
      </c>
      <c r="G895" t="str">
        <f>IFERROR(INDEX(Formulations[Formulation],MATCH($C895,Formulations[Product Code],0)),"")</f>
        <v/>
      </c>
    </row>
    <row r="896" spans="1:7" x14ac:dyDescent="0.3">
      <c r="A896" t="s">
        <v>1838</v>
      </c>
      <c r="B896" t="s">
        <v>30</v>
      </c>
      <c r="C896" t="s">
        <v>31</v>
      </c>
      <c r="D896" s="7">
        <v>100</v>
      </c>
      <c r="E896">
        <v>2020</v>
      </c>
      <c r="F896">
        <v>2020</v>
      </c>
      <c r="G896" t="str">
        <f>IFERROR(INDEX(Formulations[Formulation],MATCH($C896,Formulations[Product Code],0)),"")</f>
        <v>Pure</v>
      </c>
    </row>
    <row r="897" spans="1:7" x14ac:dyDescent="0.3">
      <c r="A897" t="s">
        <v>1865</v>
      </c>
      <c r="B897" t="s">
        <v>269</v>
      </c>
      <c r="C897" t="s">
        <v>270</v>
      </c>
      <c r="D897" s="7">
        <v>100</v>
      </c>
      <c r="E897">
        <v>2019</v>
      </c>
      <c r="F897">
        <v>2020</v>
      </c>
      <c r="G897" t="str">
        <f>IFERROR(INDEX(Formulations[Formulation],MATCH($C897,Formulations[Product Code],0)),"")</f>
        <v>Pure</v>
      </c>
    </row>
    <row r="898" spans="1:7" x14ac:dyDescent="0.3">
      <c r="A898" t="s">
        <v>1866</v>
      </c>
      <c r="B898" t="s">
        <v>1701</v>
      </c>
      <c r="D898" s="7">
        <v>100</v>
      </c>
      <c r="E898">
        <v>2013</v>
      </c>
      <c r="F898">
        <v>2014</v>
      </c>
      <c r="G898" t="str">
        <f>IFERROR(INDEX(Formulations[Formulation],MATCH($C898,Formulations[Product Code],0)),"")</f>
        <v/>
      </c>
    </row>
    <row r="899" spans="1:7" x14ac:dyDescent="0.3">
      <c r="A899" t="s">
        <v>1871</v>
      </c>
      <c r="B899" t="s">
        <v>473</v>
      </c>
      <c r="C899" t="s">
        <v>747</v>
      </c>
      <c r="D899" s="7">
        <v>100</v>
      </c>
      <c r="E899">
        <v>2016</v>
      </c>
      <c r="F899">
        <v>2018</v>
      </c>
      <c r="G899" t="str">
        <f>IFERROR(INDEX(Formulations[Formulation],MATCH($C899,Formulations[Product Code],0)),"")</f>
        <v/>
      </c>
    </row>
    <row r="900" spans="1:7" x14ac:dyDescent="0.3">
      <c r="A900" t="s">
        <v>1883</v>
      </c>
      <c r="B900" t="s">
        <v>631</v>
      </c>
      <c r="C900" t="s">
        <v>632</v>
      </c>
      <c r="D900" s="7">
        <v>100</v>
      </c>
      <c r="E900">
        <v>2020</v>
      </c>
      <c r="F900">
        <v>2020</v>
      </c>
      <c r="G900" t="str">
        <f>IFERROR(INDEX(Formulations[Formulation],MATCH($C900,Formulations[Product Code],0)),"")</f>
        <v/>
      </c>
    </row>
    <row r="901" spans="1:7" x14ac:dyDescent="0.3">
      <c r="A901" t="s">
        <v>1883</v>
      </c>
      <c r="B901" t="s">
        <v>1441</v>
      </c>
      <c r="C901" t="s">
        <v>1442</v>
      </c>
      <c r="D901" s="7">
        <v>100</v>
      </c>
      <c r="E901">
        <v>2019</v>
      </c>
      <c r="F901">
        <v>2019</v>
      </c>
      <c r="G901" t="str">
        <f>IFERROR(INDEX(Formulations[Formulation],MATCH($C901,Formulations[Product Code],0)),"")</f>
        <v/>
      </c>
    </row>
    <row r="902" spans="1:7" x14ac:dyDescent="0.3">
      <c r="A902" t="s">
        <v>1883</v>
      </c>
      <c r="B902" t="s">
        <v>39</v>
      </c>
      <c r="D902" s="7">
        <v>100</v>
      </c>
      <c r="E902">
        <v>2021</v>
      </c>
      <c r="F902">
        <v>2021</v>
      </c>
      <c r="G902" t="str">
        <f>IFERROR(INDEX(Formulations[Formulation],MATCH($C902,Formulations[Product Code],0)),"")</f>
        <v/>
      </c>
    </row>
    <row r="903" spans="1:7" x14ac:dyDescent="0.3">
      <c r="A903" t="s">
        <v>1895</v>
      </c>
      <c r="B903" t="s">
        <v>46</v>
      </c>
      <c r="C903" t="s">
        <v>47</v>
      </c>
      <c r="D903" s="7">
        <v>100</v>
      </c>
      <c r="E903">
        <v>2011</v>
      </c>
      <c r="F903">
        <v>2014</v>
      </c>
      <c r="G903" t="str">
        <f>IFERROR(INDEX(Formulations[Formulation],MATCH($C903,Formulations[Product Code],0)),"")</f>
        <v/>
      </c>
    </row>
    <row r="904" spans="1:7" x14ac:dyDescent="0.3">
      <c r="A904" t="s">
        <v>1895</v>
      </c>
      <c r="B904" t="s">
        <v>883</v>
      </c>
      <c r="C904" t="s">
        <v>780</v>
      </c>
      <c r="D904" s="7">
        <v>100</v>
      </c>
      <c r="E904">
        <v>2012</v>
      </c>
      <c r="F904">
        <v>2014</v>
      </c>
      <c r="G904" t="str">
        <f>IFERROR(INDEX(Formulations[Formulation],MATCH($C904,Formulations[Product Code],0)),"")</f>
        <v/>
      </c>
    </row>
    <row r="905" spans="1:7" x14ac:dyDescent="0.3">
      <c r="A905" t="s">
        <v>1906</v>
      </c>
      <c r="B905" t="s">
        <v>41</v>
      </c>
      <c r="C905" t="s">
        <v>908</v>
      </c>
      <c r="D905" s="7">
        <v>100</v>
      </c>
      <c r="E905">
        <v>2011</v>
      </c>
      <c r="F905">
        <v>2012</v>
      </c>
      <c r="G905" t="str">
        <f>IFERROR(INDEX(Formulations[Formulation],MATCH($C905,Formulations[Product Code],0)),"")</f>
        <v/>
      </c>
    </row>
    <row r="906" spans="1:7" x14ac:dyDescent="0.3">
      <c r="A906" t="s">
        <v>1953</v>
      </c>
      <c r="B906" t="s">
        <v>705</v>
      </c>
      <c r="C906" t="s">
        <v>89</v>
      </c>
      <c r="D906" s="7">
        <v>100</v>
      </c>
      <c r="E906">
        <v>2019</v>
      </c>
      <c r="F906">
        <v>2019</v>
      </c>
      <c r="G906" t="str">
        <f>IFERROR(INDEX(Formulations[Formulation],MATCH($C906,Formulations[Product Code],0)),"")</f>
        <v>Pure</v>
      </c>
    </row>
    <row r="907" spans="1:7" x14ac:dyDescent="0.3">
      <c r="A907" t="s">
        <v>1953</v>
      </c>
      <c r="B907" t="s">
        <v>635</v>
      </c>
      <c r="C907" t="s">
        <v>636</v>
      </c>
      <c r="D907" s="7">
        <v>100</v>
      </c>
      <c r="E907">
        <v>2018</v>
      </c>
      <c r="F907">
        <v>2018</v>
      </c>
      <c r="G907" t="str">
        <f>IFERROR(INDEX(Formulations[Formulation],MATCH($C907,Formulations[Product Code],0)),"")</f>
        <v>Pure</v>
      </c>
    </row>
    <row r="908" spans="1:7" x14ac:dyDescent="0.3">
      <c r="A908" t="s">
        <v>1953</v>
      </c>
      <c r="B908" t="s">
        <v>1002</v>
      </c>
      <c r="C908" t="s">
        <v>138</v>
      </c>
      <c r="D908" s="7">
        <v>100</v>
      </c>
      <c r="E908">
        <v>2019</v>
      </c>
      <c r="F908">
        <v>2019</v>
      </c>
      <c r="G908" t="str">
        <f>IFERROR(INDEX(Formulations[Formulation],MATCH($C908,Formulations[Product Code],0)),"")</f>
        <v>WS</v>
      </c>
    </row>
    <row r="909" spans="1:7" x14ac:dyDescent="0.3">
      <c r="A909" t="s">
        <v>1954</v>
      </c>
      <c r="B909" t="s">
        <v>45</v>
      </c>
      <c r="D909" s="7">
        <v>100</v>
      </c>
      <c r="E909">
        <v>2021</v>
      </c>
      <c r="F909">
        <v>2021</v>
      </c>
      <c r="G909" t="str">
        <f>IFERROR(INDEX(Formulations[Formulation],MATCH($C909,Formulations[Product Code],0)),"")</f>
        <v/>
      </c>
    </row>
    <row r="910" spans="1:7" x14ac:dyDescent="0.3">
      <c r="A910" t="s">
        <v>1972</v>
      </c>
      <c r="B910" t="s">
        <v>674</v>
      </c>
      <c r="C910" t="s">
        <v>675</v>
      </c>
      <c r="D910" s="7">
        <v>100</v>
      </c>
      <c r="E910">
        <v>2020</v>
      </c>
      <c r="F910">
        <v>2020</v>
      </c>
      <c r="G910" t="str">
        <f>IFERROR(INDEX(Formulations[Formulation],MATCH($C910,Formulations[Product Code],0)),"")</f>
        <v>Crystal</v>
      </c>
    </row>
    <row r="911" spans="1:7" x14ac:dyDescent="0.3">
      <c r="A911" t="s">
        <v>1984</v>
      </c>
      <c r="B911" t="s">
        <v>1993</v>
      </c>
      <c r="C911" t="s">
        <v>1782</v>
      </c>
      <c r="D911" s="7">
        <v>100</v>
      </c>
      <c r="E911">
        <v>2012</v>
      </c>
      <c r="F911">
        <v>2012</v>
      </c>
      <c r="G911" t="str">
        <f>IFERROR(INDEX(Formulations[Formulation],MATCH($C911,Formulations[Product Code],0)),"")</f>
        <v/>
      </c>
    </row>
    <row r="912" spans="1:7" x14ac:dyDescent="0.3">
      <c r="A912" t="s">
        <v>1984</v>
      </c>
      <c r="B912" t="s">
        <v>1963</v>
      </c>
      <c r="C912" t="s">
        <v>638</v>
      </c>
      <c r="D912" s="7">
        <v>100</v>
      </c>
      <c r="E912">
        <v>2012</v>
      </c>
      <c r="F912">
        <v>2012</v>
      </c>
      <c r="G912" t="str">
        <f>IFERROR(INDEX(Formulations[Formulation],MATCH($C912,Formulations[Product Code],0)),"")</f>
        <v>Pure</v>
      </c>
    </row>
    <row r="913" spans="1:7" x14ac:dyDescent="0.3">
      <c r="A913" t="s">
        <v>1984</v>
      </c>
      <c r="B913" t="s">
        <v>847</v>
      </c>
      <c r="C913" t="s">
        <v>1998</v>
      </c>
      <c r="D913" s="7">
        <v>100</v>
      </c>
      <c r="E913">
        <v>2012</v>
      </c>
      <c r="F913">
        <v>2012</v>
      </c>
      <c r="G913" t="str">
        <f>IFERROR(INDEX(Formulations[Formulation],MATCH($C913,Formulations[Product Code],0)),"")</f>
        <v/>
      </c>
    </row>
    <row r="914" spans="1:7" x14ac:dyDescent="0.3">
      <c r="A914" t="s">
        <v>1984</v>
      </c>
      <c r="B914" t="s">
        <v>560</v>
      </c>
      <c r="C914" t="s">
        <v>561</v>
      </c>
      <c r="D914" s="7">
        <v>100</v>
      </c>
      <c r="E914">
        <v>2012</v>
      </c>
      <c r="F914">
        <v>2012</v>
      </c>
      <c r="G914" t="str">
        <f>IFERROR(INDEX(Formulations[Formulation],MATCH($C914,Formulations[Product Code],0)),"")</f>
        <v/>
      </c>
    </row>
    <row r="915" spans="1:7" x14ac:dyDescent="0.3">
      <c r="A915" t="s">
        <v>1984</v>
      </c>
      <c r="B915" t="s">
        <v>2006</v>
      </c>
      <c r="C915" t="s">
        <v>1368</v>
      </c>
      <c r="D915" s="7">
        <v>100</v>
      </c>
      <c r="E915">
        <v>2012</v>
      </c>
      <c r="F915">
        <v>2012</v>
      </c>
      <c r="G915" t="str">
        <f>IFERROR(INDEX(Formulations[Formulation],MATCH($C915,Formulations[Product Code],0)),"")</f>
        <v>Pure</v>
      </c>
    </row>
    <row r="916" spans="1:7" x14ac:dyDescent="0.3">
      <c r="A916" t="s">
        <v>2020</v>
      </c>
      <c r="B916" t="s">
        <v>1178</v>
      </c>
      <c r="C916" t="s">
        <v>1179</v>
      </c>
      <c r="D916" s="7">
        <v>100</v>
      </c>
      <c r="E916">
        <v>2017</v>
      </c>
      <c r="F916">
        <v>2019</v>
      </c>
      <c r="G916" t="str">
        <f>IFERROR(INDEX(Formulations[Formulation],MATCH($C916,Formulations[Product Code],0)),"")</f>
        <v/>
      </c>
    </row>
    <row r="917" spans="1:7" x14ac:dyDescent="0.3">
      <c r="A917" t="s">
        <v>2020</v>
      </c>
      <c r="B917" t="s">
        <v>2021</v>
      </c>
      <c r="C917" t="s">
        <v>1340</v>
      </c>
      <c r="D917" s="7">
        <v>100</v>
      </c>
      <c r="E917">
        <v>2014</v>
      </c>
      <c r="F917">
        <v>2015</v>
      </c>
      <c r="G917" t="str">
        <f>IFERROR(INDEX(Formulations[Formulation],MATCH($C917,Formulations[Product Code],0)),"")</f>
        <v/>
      </c>
    </row>
    <row r="918" spans="1:7" x14ac:dyDescent="0.3">
      <c r="A918" t="s">
        <v>2043</v>
      </c>
      <c r="B918" t="s">
        <v>1142</v>
      </c>
      <c r="C918" t="s">
        <v>315</v>
      </c>
      <c r="D918" s="7">
        <v>100</v>
      </c>
      <c r="E918">
        <v>2016</v>
      </c>
      <c r="F918">
        <v>2016</v>
      </c>
      <c r="G918" t="str">
        <f>IFERROR(INDEX(Formulations[Formulation],MATCH($C918,Formulations[Product Code],0)),"")</f>
        <v/>
      </c>
    </row>
    <row r="919" spans="1:7" x14ac:dyDescent="0.3">
      <c r="A919" t="s">
        <v>2064</v>
      </c>
      <c r="B919" t="s">
        <v>2065</v>
      </c>
      <c r="D919" s="7">
        <v>100</v>
      </c>
      <c r="E919">
        <v>2014</v>
      </c>
      <c r="F919">
        <v>2014</v>
      </c>
      <c r="G919" t="str">
        <f>IFERROR(INDEX(Formulations[Formulation],MATCH($C919,Formulations[Product Code],0)),"")</f>
        <v/>
      </c>
    </row>
    <row r="920" spans="1:7" x14ac:dyDescent="0.3">
      <c r="A920" t="s">
        <v>2069</v>
      </c>
      <c r="B920" t="s">
        <v>383</v>
      </c>
      <c r="C920" t="s">
        <v>385</v>
      </c>
      <c r="D920" s="7">
        <v>100</v>
      </c>
      <c r="E920">
        <v>2021</v>
      </c>
      <c r="F920">
        <v>2021</v>
      </c>
      <c r="G920" t="str">
        <f>IFERROR(INDEX(Formulations[Formulation],MATCH($C920,Formulations[Product Code],0)),"")</f>
        <v>Silver</v>
      </c>
    </row>
    <row r="921" spans="1:7" x14ac:dyDescent="0.3">
      <c r="A921" t="s">
        <v>2095</v>
      </c>
      <c r="B921" t="s">
        <v>438</v>
      </c>
      <c r="C921" t="s">
        <v>439</v>
      </c>
      <c r="D921" s="7">
        <v>100</v>
      </c>
      <c r="E921">
        <v>2018</v>
      </c>
      <c r="F921">
        <v>2018</v>
      </c>
      <c r="G921" t="str">
        <f>IFERROR(INDEX(Formulations[Formulation],MATCH($C921,Formulations[Product Code],0)),"")</f>
        <v>Pure</v>
      </c>
    </row>
    <row r="922" spans="1:7" x14ac:dyDescent="0.3">
      <c r="A922" t="s">
        <v>2095</v>
      </c>
      <c r="B922" t="s">
        <v>48</v>
      </c>
      <c r="C922" t="s">
        <v>47</v>
      </c>
      <c r="D922" s="7">
        <v>100</v>
      </c>
      <c r="E922">
        <v>2016</v>
      </c>
      <c r="F922">
        <v>2016</v>
      </c>
      <c r="G922" t="str">
        <f>IFERROR(INDEX(Formulations[Formulation],MATCH($C922,Formulations[Product Code],0)),"")</f>
        <v/>
      </c>
    </row>
    <row r="923" spans="1:7" x14ac:dyDescent="0.3">
      <c r="A923" t="s">
        <v>2097</v>
      </c>
      <c r="B923" t="s">
        <v>110</v>
      </c>
      <c r="C923" t="s">
        <v>111</v>
      </c>
      <c r="D923" s="7">
        <v>100</v>
      </c>
      <c r="E923">
        <v>2018</v>
      </c>
      <c r="F923">
        <v>2019</v>
      </c>
      <c r="G923" t="str">
        <f>IFERROR(INDEX(Formulations[Formulation],MATCH($C923,Formulations[Product Code],0)),"")</f>
        <v>75% Lemon Zeste, 25% lemon Top &amp; the Gold DPG)</v>
      </c>
    </row>
    <row r="924" spans="1:7" x14ac:dyDescent="0.3">
      <c r="A924" t="s">
        <v>2118</v>
      </c>
      <c r="B924" t="s">
        <v>131</v>
      </c>
      <c r="C924" t="s">
        <v>132</v>
      </c>
      <c r="D924" s="7">
        <v>100</v>
      </c>
      <c r="E924">
        <v>2019</v>
      </c>
      <c r="F924">
        <v>2020</v>
      </c>
      <c r="G924" t="str">
        <f>IFERROR(INDEX(Formulations[Formulation],MATCH($C924,Formulations[Product Code],0)),"")</f>
        <v>Pure</v>
      </c>
    </row>
    <row r="925" spans="1:7" x14ac:dyDescent="0.3">
      <c r="A925" t="s">
        <v>2131</v>
      </c>
      <c r="B925" t="s">
        <v>218</v>
      </c>
      <c r="C925" t="s">
        <v>212</v>
      </c>
      <c r="D925" s="7">
        <v>100</v>
      </c>
      <c r="E925">
        <v>2010</v>
      </c>
      <c r="F925">
        <v>2014</v>
      </c>
      <c r="G925" t="str">
        <f>IFERROR(INDEX(Formulations[Formulation],MATCH($C925,Formulations[Product Code],0)),"")</f>
        <v>Pure</v>
      </c>
    </row>
    <row r="926" spans="1:7" x14ac:dyDescent="0.3">
      <c r="A926" t="s">
        <v>2131</v>
      </c>
      <c r="B926" t="s">
        <v>312</v>
      </c>
      <c r="C926" t="s">
        <v>313</v>
      </c>
      <c r="D926" s="7">
        <v>100</v>
      </c>
      <c r="E926">
        <v>2012</v>
      </c>
      <c r="F926">
        <v>2012</v>
      </c>
      <c r="G926" t="str">
        <f>IFERROR(INDEX(Formulations[Formulation],MATCH($C926,Formulations[Product Code],0)),"")</f>
        <v/>
      </c>
    </row>
    <row r="927" spans="1:7" x14ac:dyDescent="0.3">
      <c r="A927" t="s">
        <v>2131</v>
      </c>
      <c r="B927" t="s">
        <v>72</v>
      </c>
      <c r="C927" t="s">
        <v>73</v>
      </c>
      <c r="D927" s="7">
        <v>100</v>
      </c>
      <c r="E927">
        <v>2013</v>
      </c>
      <c r="F927">
        <v>2014</v>
      </c>
      <c r="G927" t="str">
        <f>IFERROR(INDEX(Formulations[Formulation],MATCH($C927,Formulations[Product Code],0)),"")</f>
        <v>Silver</v>
      </c>
    </row>
    <row r="928" spans="1:7" x14ac:dyDescent="0.3">
      <c r="A928" t="s">
        <v>2200</v>
      </c>
      <c r="B928" t="s">
        <v>383</v>
      </c>
      <c r="C928" t="s">
        <v>384</v>
      </c>
      <c r="D928" s="7">
        <v>100</v>
      </c>
      <c r="E928">
        <v>2020</v>
      </c>
      <c r="F928">
        <v>2020</v>
      </c>
      <c r="G928" t="str">
        <f>IFERROR(INDEX(Formulations[Formulation],MATCH($C928,Formulations[Product Code],0)),"")</f>
        <v>Pure</v>
      </c>
    </row>
    <row r="929" spans="1:7" x14ac:dyDescent="0.3">
      <c r="A929" t="s">
        <v>2209</v>
      </c>
      <c r="B929" t="s">
        <v>184</v>
      </c>
      <c r="C929" t="s">
        <v>185</v>
      </c>
      <c r="D929" s="7">
        <v>100</v>
      </c>
      <c r="E929">
        <v>2019</v>
      </c>
      <c r="F929">
        <v>2019</v>
      </c>
      <c r="G929" t="str">
        <f>IFERROR(INDEX(Formulations[Formulation],MATCH($C929,Formulations[Product Code],0)),"")</f>
        <v/>
      </c>
    </row>
    <row r="930" spans="1:7" x14ac:dyDescent="0.3">
      <c r="A930" t="s">
        <v>2209</v>
      </c>
      <c r="B930" t="s">
        <v>686</v>
      </c>
      <c r="C930" t="s">
        <v>866</v>
      </c>
      <c r="D930" s="7">
        <v>100</v>
      </c>
      <c r="E930">
        <v>2019</v>
      </c>
      <c r="F930">
        <v>2019</v>
      </c>
      <c r="G930" t="str">
        <f>IFERROR(INDEX(Formulations[Formulation],MATCH($C930,Formulations[Product Code],0)),"")</f>
        <v/>
      </c>
    </row>
    <row r="931" spans="1:7" x14ac:dyDescent="0.3">
      <c r="A931" t="s">
        <v>2209</v>
      </c>
      <c r="B931" t="s">
        <v>314</v>
      </c>
      <c r="C931" t="s">
        <v>315</v>
      </c>
      <c r="D931" s="7">
        <v>100</v>
      </c>
      <c r="E931">
        <v>2019</v>
      </c>
      <c r="F931">
        <v>2019</v>
      </c>
      <c r="G931" t="str">
        <f>IFERROR(INDEX(Formulations[Formulation],MATCH($C931,Formulations[Product Code],0)),"")</f>
        <v/>
      </c>
    </row>
    <row r="932" spans="1:7" x14ac:dyDescent="0.3">
      <c r="A932" t="s">
        <v>2216</v>
      </c>
      <c r="B932" t="s">
        <v>32</v>
      </c>
      <c r="D932" s="7">
        <v>100</v>
      </c>
      <c r="E932">
        <v>2021</v>
      </c>
      <c r="F932">
        <v>2021</v>
      </c>
      <c r="G932" t="str">
        <f>IFERROR(INDEX(Formulations[Formulation],MATCH($C932,Formulations[Product Code],0)),"")</f>
        <v/>
      </c>
    </row>
    <row r="933" spans="1:7" x14ac:dyDescent="0.3">
      <c r="A933" t="s">
        <v>2220</v>
      </c>
      <c r="B933" t="s">
        <v>1151</v>
      </c>
      <c r="C933" t="s">
        <v>1152</v>
      </c>
      <c r="D933" s="7">
        <v>100</v>
      </c>
      <c r="E933">
        <v>2018</v>
      </c>
      <c r="F933">
        <v>2021</v>
      </c>
      <c r="G933" t="str">
        <f>IFERROR(INDEX(Formulations[Formulation],MATCH($C933,Formulations[Product Code],0)),"")</f>
        <v>40% oil</v>
      </c>
    </row>
    <row r="934" spans="1:7" x14ac:dyDescent="0.3">
      <c r="A934" t="s">
        <v>2232</v>
      </c>
      <c r="B934" t="s">
        <v>46</v>
      </c>
      <c r="C934" t="s">
        <v>47</v>
      </c>
      <c r="D934" s="7">
        <v>100</v>
      </c>
      <c r="E934">
        <v>2015</v>
      </c>
      <c r="F934">
        <v>2016</v>
      </c>
      <c r="G934" t="str">
        <f>IFERROR(INDEX(Formulations[Formulation],MATCH($C934,Formulations[Product Code],0)),"")</f>
        <v/>
      </c>
    </row>
    <row r="935" spans="1:7" x14ac:dyDescent="0.3">
      <c r="A935" t="s">
        <v>2250</v>
      </c>
      <c r="B935" t="s">
        <v>1257</v>
      </c>
      <c r="C935" t="s">
        <v>638</v>
      </c>
      <c r="D935" s="7">
        <v>100</v>
      </c>
      <c r="E935">
        <v>2011</v>
      </c>
      <c r="F935">
        <v>2011</v>
      </c>
      <c r="G935" t="str">
        <f>IFERROR(INDEX(Formulations[Formulation],MATCH($C935,Formulations[Product Code],0)),"")</f>
        <v>Pure</v>
      </c>
    </row>
    <row r="936" spans="1:7" x14ac:dyDescent="0.3">
      <c r="A936" t="s">
        <v>2287</v>
      </c>
      <c r="B936" t="s">
        <v>1461</v>
      </c>
      <c r="D936" s="7">
        <v>100</v>
      </c>
      <c r="E936">
        <v>2013</v>
      </c>
      <c r="F936">
        <v>2013</v>
      </c>
      <c r="G936" t="str">
        <f>IFERROR(INDEX(Formulations[Formulation],MATCH($C936,Formulations[Product Code],0)),"")</f>
        <v/>
      </c>
    </row>
    <row r="937" spans="1:7" x14ac:dyDescent="0.3">
      <c r="A937" t="s">
        <v>2287</v>
      </c>
      <c r="B937" t="s">
        <v>32</v>
      </c>
      <c r="D937" s="7">
        <v>100</v>
      </c>
      <c r="E937">
        <v>2013</v>
      </c>
      <c r="F937">
        <v>2013</v>
      </c>
      <c r="G937" t="str">
        <f>IFERROR(INDEX(Formulations[Formulation],MATCH($C937,Formulations[Product Code],0)),"")</f>
        <v/>
      </c>
    </row>
    <row r="938" spans="1:7" x14ac:dyDescent="0.3">
      <c r="A938" t="s">
        <v>2289</v>
      </c>
      <c r="B938" t="s">
        <v>26</v>
      </c>
      <c r="C938" t="s">
        <v>27</v>
      </c>
      <c r="D938" s="7">
        <v>100</v>
      </c>
      <c r="E938">
        <v>2019</v>
      </c>
      <c r="F938">
        <v>2020</v>
      </c>
      <c r="G938" t="str">
        <f>IFERROR(INDEX(Formulations[Formulation],MATCH($C938,Formulations[Product Code],0)),"")</f>
        <v>FLOURAMAX A270578/ P782894</v>
      </c>
    </row>
    <row r="939" spans="1:7" x14ac:dyDescent="0.3">
      <c r="A939" t="s">
        <v>2294</v>
      </c>
      <c r="B939" t="s">
        <v>1861</v>
      </c>
      <c r="D939" s="7">
        <v>100</v>
      </c>
      <c r="E939">
        <v>2019</v>
      </c>
      <c r="F939">
        <v>2019</v>
      </c>
      <c r="G939" t="str">
        <f>IFERROR(INDEX(Formulations[Formulation],MATCH($C939,Formulations[Product Code],0)),"")</f>
        <v/>
      </c>
    </row>
    <row r="940" spans="1:7" x14ac:dyDescent="0.3">
      <c r="A940" t="s">
        <v>2337</v>
      </c>
      <c r="B940" t="s">
        <v>2340</v>
      </c>
      <c r="D940" s="7">
        <v>100</v>
      </c>
      <c r="E940">
        <v>2021</v>
      </c>
      <c r="F940">
        <v>2021</v>
      </c>
      <c r="G940" t="str">
        <f>IFERROR(INDEX(Formulations[Formulation],MATCH($C940,Formulations[Product Code],0)),"")</f>
        <v/>
      </c>
    </row>
    <row r="941" spans="1:7" x14ac:dyDescent="0.3">
      <c r="A941" t="s">
        <v>2337</v>
      </c>
      <c r="B941" t="s">
        <v>2342</v>
      </c>
      <c r="D941" s="7">
        <v>100</v>
      </c>
      <c r="E941">
        <v>2021</v>
      </c>
      <c r="F941">
        <v>2021</v>
      </c>
      <c r="G941" t="str">
        <f>IFERROR(INDEX(Formulations[Formulation],MATCH($C941,Formulations[Product Code],0)),"")</f>
        <v/>
      </c>
    </row>
    <row r="942" spans="1:7" x14ac:dyDescent="0.3">
      <c r="A942" t="s">
        <v>2346</v>
      </c>
      <c r="B942" t="s">
        <v>528</v>
      </c>
      <c r="C942" t="s">
        <v>529</v>
      </c>
      <c r="D942" s="7">
        <v>100</v>
      </c>
      <c r="E942">
        <v>2012</v>
      </c>
      <c r="F942">
        <v>2017</v>
      </c>
      <c r="G942" t="str">
        <f>IFERROR(INDEX(Formulations[Formulation],MATCH($C942,Formulations[Product Code],0)),"")</f>
        <v>Crystal</v>
      </c>
    </row>
    <row r="943" spans="1:7" x14ac:dyDescent="0.3">
      <c r="A943" t="s">
        <v>2346</v>
      </c>
      <c r="B943" t="s">
        <v>19</v>
      </c>
      <c r="C943" t="s">
        <v>670</v>
      </c>
      <c r="D943" s="7">
        <v>100</v>
      </c>
      <c r="E943">
        <v>2020</v>
      </c>
      <c r="F943">
        <v>2021</v>
      </c>
      <c r="G943" t="str">
        <f>IFERROR(INDEX(Formulations[Formulation],MATCH($C943,Formulations[Product Code],0)),"")</f>
        <v>Crystal</v>
      </c>
    </row>
    <row r="944" spans="1:7" x14ac:dyDescent="0.3">
      <c r="A944" t="s">
        <v>2346</v>
      </c>
      <c r="B944" t="s">
        <v>41</v>
      </c>
      <c r="C944" t="s">
        <v>42</v>
      </c>
      <c r="D944" s="7">
        <v>100</v>
      </c>
      <c r="E944">
        <v>2011</v>
      </c>
      <c r="F944">
        <v>2012</v>
      </c>
      <c r="G944" t="str">
        <f>IFERROR(INDEX(Formulations[Formulation],MATCH($C944,Formulations[Product Code],0)),"")</f>
        <v/>
      </c>
    </row>
    <row r="945" spans="1:7" x14ac:dyDescent="0.3">
      <c r="A945" t="s">
        <v>2368</v>
      </c>
      <c r="B945" t="s">
        <v>476</v>
      </c>
      <c r="C945" t="s">
        <v>478</v>
      </c>
      <c r="D945" s="7">
        <v>100</v>
      </c>
      <c r="E945">
        <v>2020</v>
      </c>
      <c r="F945">
        <v>2020</v>
      </c>
      <c r="G945" t="str">
        <f>IFERROR(INDEX(Formulations[Formulation],MATCH($C945,Formulations[Product Code],0)),"")</f>
        <v>Pure</v>
      </c>
    </row>
    <row r="946" spans="1:7" x14ac:dyDescent="0.3">
      <c r="A946" t="s">
        <v>2436</v>
      </c>
      <c r="B946" t="s">
        <v>314</v>
      </c>
      <c r="C946" t="s">
        <v>315</v>
      </c>
      <c r="D946" s="7">
        <v>100</v>
      </c>
      <c r="E946">
        <v>2017</v>
      </c>
      <c r="F946">
        <v>2017</v>
      </c>
      <c r="G946" t="str">
        <f>IFERROR(INDEX(Formulations[Formulation],MATCH($C946,Formulations[Product Code],0)),"")</f>
        <v/>
      </c>
    </row>
    <row r="947" spans="1:7" x14ac:dyDescent="0.3">
      <c r="A947" t="s">
        <v>2438</v>
      </c>
      <c r="B947" t="s">
        <v>830</v>
      </c>
      <c r="C947" t="s">
        <v>831</v>
      </c>
      <c r="D947" s="7">
        <v>100</v>
      </c>
      <c r="E947">
        <v>2019</v>
      </c>
      <c r="F947">
        <v>2020</v>
      </c>
      <c r="G947" t="str">
        <f>IFERROR(INDEX(Formulations[Formulation],MATCH($C947,Formulations[Product Code],0)),"")</f>
        <v>Crystal</v>
      </c>
    </row>
    <row r="948" spans="1:7" x14ac:dyDescent="0.3">
      <c r="A948" t="s">
        <v>2438</v>
      </c>
      <c r="B948" t="s">
        <v>666</v>
      </c>
      <c r="C948" t="s">
        <v>667</v>
      </c>
      <c r="D948" s="7">
        <v>100</v>
      </c>
      <c r="E948">
        <v>2019</v>
      </c>
      <c r="F948">
        <v>2019</v>
      </c>
      <c r="G948" t="str">
        <f>IFERROR(INDEX(Formulations[Formulation],MATCH($C948,Formulations[Product Code],0)),"")</f>
        <v/>
      </c>
    </row>
    <row r="949" spans="1:7" x14ac:dyDescent="0.3">
      <c r="A949" t="s">
        <v>2438</v>
      </c>
      <c r="B949" t="s">
        <v>351</v>
      </c>
      <c r="C949" t="s">
        <v>352</v>
      </c>
      <c r="D949" s="7">
        <v>100</v>
      </c>
      <c r="E949">
        <v>2019</v>
      </c>
      <c r="F949">
        <v>2020</v>
      </c>
      <c r="G949" t="str">
        <f>IFERROR(INDEX(Formulations[Formulation],MATCH($C949,Formulations[Product Code],0)),"")</f>
        <v>Pure</v>
      </c>
    </row>
    <row r="950" spans="1:7" x14ac:dyDescent="0.3">
      <c r="A950" t="s">
        <v>2438</v>
      </c>
      <c r="B950" t="s">
        <v>12</v>
      </c>
      <c r="C950" t="s">
        <v>13</v>
      </c>
      <c r="D950" s="7">
        <v>100</v>
      </c>
      <c r="E950">
        <v>2018</v>
      </c>
      <c r="F950">
        <v>2020</v>
      </c>
      <c r="G950" t="str">
        <f>IFERROR(INDEX(Formulations[Formulation],MATCH($C950,Formulations[Product Code],0)),"")</f>
        <v>Crystal</v>
      </c>
    </row>
    <row r="951" spans="1:7" x14ac:dyDescent="0.3">
      <c r="A951" t="s">
        <v>2465</v>
      </c>
      <c r="B951" t="s">
        <v>41</v>
      </c>
      <c r="C951" t="s">
        <v>530</v>
      </c>
      <c r="D951" s="7">
        <v>100</v>
      </c>
      <c r="E951">
        <v>2011</v>
      </c>
      <c r="F951">
        <v>2011</v>
      </c>
      <c r="G951" t="str">
        <f>IFERROR(INDEX(Formulations[Formulation],MATCH($C951,Formulations[Product Code],0)),"")</f>
        <v/>
      </c>
    </row>
    <row r="952" spans="1:7" x14ac:dyDescent="0.3">
      <c r="A952" t="s">
        <v>2475</v>
      </c>
      <c r="B952" t="s">
        <v>631</v>
      </c>
      <c r="C952" t="s">
        <v>632</v>
      </c>
      <c r="D952" s="7">
        <v>100</v>
      </c>
      <c r="E952">
        <v>2015</v>
      </c>
      <c r="F952">
        <v>2020</v>
      </c>
      <c r="G952" t="str">
        <f>IFERROR(INDEX(Formulations[Formulation],MATCH($C952,Formulations[Product Code],0)),"")</f>
        <v/>
      </c>
    </row>
    <row r="953" spans="1:7" x14ac:dyDescent="0.3">
      <c r="A953" t="s">
        <v>2485</v>
      </c>
      <c r="B953" t="s">
        <v>21</v>
      </c>
      <c r="C953" t="s">
        <v>22</v>
      </c>
      <c r="D953" s="7">
        <v>100</v>
      </c>
      <c r="E953">
        <v>2012</v>
      </c>
      <c r="F953">
        <v>2012</v>
      </c>
      <c r="G953" t="str">
        <f>IFERROR(INDEX(Formulations[Formulation],MATCH($C953,Formulations[Product Code],0)),"")</f>
        <v>Crystal</v>
      </c>
    </row>
    <row r="954" spans="1:7" x14ac:dyDescent="0.3">
      <c r="A954" t="s">
        <v>2485</v>
      </c>
      <c r="B954" t="s">
        <v>483</v>
      </c>
      <c r="C954" t="s">
        <v>484</v>
      </c>
      <c r="D954" s="7">
        <v>100</v>
      </c>
      <c r="E954">
        <v>2020</v>
      </c>
      <c r="F954">
        <v>2021</v>
      </c>
      <c r="G954" t="str">
        <f>IFERROR(INDEX(Formulations[Formulation],MATCH($C954,Formulations[Product Code],0)),"")</f>
        <v>Crystal</v>
      </c>
    </row>
    <row r="955" spans="1:7" x14ac:dyDescent="0.3">
      <c r="A955" t="s">
        <v>2490</v>
      </c>
      <c r="B955" t="s">
        <v>483</v>
      </c>
      <c r="C955" t="s">
        <v>484</v>
      </c>
      <c r="D955" s="7">
        <v>100</v>
      </c>
      <c r="E955">
        <v>2019</v>
      </c>
      <c r="F955">
        <v>2019</v>
      </c>
      <c r="G955" t="str">
        <f>IFERROR(INDEX(Formulations[Formulation],MATCH($C955,Formulations[Product Code],0)),"")</f>
        <v>Crystal</v>
      </c>
    </row>
    <row r="956" spans="1:7" x14ac:dyDescent="0.3">
      <c r="A956" t="s">
        <v>2491</v>
      </c>
      <c r="B956" t="s">
        <v>417</v>
      </c>
      <c r="C956" t="s">
        <v>418</v>
      </c>
      <c r="D956" s="7">
        <v>100</v>
      </c>
      <c r="E956">
        <v>2017</v>
      </c>
      <c r="F956">
        <v>2017</v>
      </c>
      <c r="G956" t="str">
        <f>IFERROR(INDEX(Formulations[Formulation],MATCH($C956,Formulations[Product Code],0)),"")</f>
        <v>Pure</v>
      </c>
    </row>
    <row r="957" spans="1:7" x14ac:dyDescent="0.3">
      <c r="A957" t="s">
        <v>2491</v>
      </c>
      <c r="B957" t="s">
        <v>1885</v>
      </c>
      <c r="C957" t="s">
        <v>742</v>
      </c>
      <c r="D957" s="7">
        <v>100</v>
      </c>
      <c r="E957">
        <v>2014</v>
      </c>
      <c r="F957">
        <v>2016</v>
      </c>
      <c r="G957" t="str">
        <f>IFERROR(INDEX(Formulations[Formulation],MATCH($C957,Formulations[Product Code],0)),"")</f>
        <v/>
      </c>
    </row>
    <row r="958" spans="1:7" x14ac:dyDescent="0.3">
      <c r="A958" t="s">
        <v>2496</v>
      </c>
      <c r="B958" t="s">
        <v>696</v>
      </c>
      <c r="C958" t="s">
        <v>697</v>
      </c>
      <c r="D958" s="7">
        <v>100</v>
      </c>
      <c r="E958">
        <v>2011</v>
      </c>
      <c r="F958">
        <v>2012</v>
      </c>
      <c r="G958" t="str">
        <f>IFERROR(INDEX(Formulations[Formulation],MATCH($C958,Formulations[Product Code],0)),"")</f>
        <v/>
      </c>
    </row>
    <row r="959" spans="1:7" x14ac:dyDescent="0.3">
      <c r="A959" t="s">
        <v>2498</v>
      </c>
      <c r="B959" t="s">
        <v>2499</v>
      </c>
      <c r="C959" t="s">
        <v>2500</v>
      </c>
      <c r="D959" s="7">
        <v>100</v>
      </c>
      <c r="E959">
        <v>2012</v>
      </c>
      <c r="F959">
        <v>2012</v>
      </c>
      <c r="G959" t="str">
        <f>IFERROR(INDEX(Formulations[Formulation],MATCH($C959,Formulations[Product Code],0)),"")</f>
        <v/>
      </c>
    </row>
    <row r="960" spans="1:7" x14ac:dyDescent="0.3">
      <c r="A960" t="s">
        <v>2498</v>
      </c>
      <c r="B960" t="s">
        <v>2501</v>
      </c>
      <c r="C960" t="s">
        <v>2502</v>
      </c>
      <c r="D960" s="7">
        <v>100</v>
      </c>
      <c r="E960">
        <v>2012</v>
      </c>
      <c r="F960">
        <v>2012</v>
      </c>
      <c r="G960" t="str">
        <f>IFERROR(INDEX(Formulations[Formulation],MATCH($C960,Formulations[Product Code],0)),"")</f>
        <v/>
      </c>
    </row>
    <row r="961" spans="1:7" x14ac:dyDescent="0.3">
      <c r="A961" t="s">
        <v>2498</v>
      </c>
      <c r="B961" t="s">
        <v>19</v>
      </c>
      <c r="C961" t="s">
        <v>20</v>
      </c>
      <c r="D961" s="7">
        <v>100</v>
      </c>
      <c r="E961">
        <v>2015</v>
      </c>
      <c r="F961">
        <v>2015</v>
      </c>
      <c r="G961" t="str">
        <f>IFERROR(INDEX(Formulations[Formulation],MATCH($C961,Formulations[Product Code],0)),"")</f>
        <v>80 % Oil AND 20 % DPG</v>
      </c>
    </row>
    <row r="962" spans="1:7" x14ac:dyDescent="0.3">
      <c r="A962" t="s">
        <v>2498</v>
      </c>
      <c r="B962" t="s">
        <v>481</v>
      </c>
      <c r="C962" t="s">
        <v>482</v>
      </c>
      <c r="D962" s="7">
        <v>100</v>
      </c>
      <c r="E962">
        <v>2012</v>
      </c>
      <c r="F962">
        <v>2012</v>
      </c>
      <c r="G962" t="str">
        <f>IFERROR(INDEX(Formulations[Formulation],MATCH($C962,Formulations[Product Code],0)),"")</f>
        <v/>
      </c>
    </row>
    <row r="963" spans="1:7" x14ac:dyDescent="0.3">
      <c r="A963" t="s">
        <v>2504</v>
      </c>
      <c r="B963" t="s">
        <v>110</v>
      </c>
      <c r="C963" t="s">
        <v>111</v>
      </c>
      <c r="D963" s="7">
        <v>100</v>
      </c>
      <c r="E963">
        <v>2020</v>
      </c>
      <c r="F963">
        <v>2021</v>
      </c>
      <c r="G963" t="str">
        <f>IFERROR(INDEX(Formulations[Formulation],MATCH($C963,Formulations[Product Code],0)),"")</f>
        <v>75% Lemon Zeste, 25% lemon Top &amp; the Gold DPG)</v>
      </c>
    </row>
    <row r="964" spans="1:7" x14ac:dyDescent="0.3">
      <c r="A964" t="s">
        <v>2505</v>
      </c>
      <c r="B964" t="s">
        <v>120</v>
      </c>
      <c r="C964" t="s">
        <v>121</v>
      </c>
      <c r="D964" s="7">
        <v>100</v>
      </c>
      <c r="E964">
        <v>2018</v>
      </c>
      <c r="F964">
        <v>2018</v>
      </c>
      <c r="G964" t="str">
        <f>IFERROR(INDEX(Formulations[Formulation],MATCH($C964,Formulations[Product Code],0)),"")</f>
        <v/>
      </c>
    </row>
    <row r="965" spans="1:7" x14ac:dyDescent="0.3">
      <c r="A965" t="s">
        <v>2521</v>
      </c>
      <c r="B965" t="s">
        <v>1687</v>
      </c>
      <c r="C965" t="s">
        <v>1688</v>
      </c>
      <c r="D965" s="7">
        <v>100</v>
      </c>
      <c r="E965">
        <v>2013</v>
      </c>
      <c r="F965">
        <v>2013</v>
      </c>
      <c r="G965" t="str">
        <f>IFERROR(INDEX(Formulations[Formulation],MATCH($C965,Formulations[Product Code],0)),"")</f>
        <v>Floral 60% &amp; Gardenia 40%</v>
      </c>
    </row>
    <row r="966" spans="1:7" x14ac:dyDescent="0.3">
      <c r="A966" t="s">
        <v>2521</v>
      </c>
      <c r="B966" t="s">
        <v>909</v>
      </c>
      <c r="C966" t="s">
        <v>910</v>
      </c>
      <c r="D966" s="7">
        <v>100</v>
      </c>
      <c r="E966">
        <v>2019</v>
      </c>
      <c r="F966">
        <v>2019</v>
      </c>
      <c r="G966" t="str">
        <f>IFERROR(INDEX(Formulations[Formulation],MATCH($C966,Formulations[Product Code],0)),"")</f>
        <v/>
      </c>
    </row>
    <row r="967" spans="1:7" x14ac:dyDescent="0.3">
      <c r="A967" t="s">
        <v>2531</v>
      </c>
      <c r="B967" t="s">
        <v>1452</v>
      </c>
      <c r="C967" t="s">
        <v>1453</v>
      </c>
      <c r="D967" s="7">
        <v>100</v>
      </c>
      <c r="E967">
        <v>2017</v>
      </c>
      <c r="F967">
        <v>2017</v>
      </c>
      <c r="G967" t="str">
        <f>IFERROR(INDEX(Formulations[Formulation],MATCH($C967,Formulations[Product Code],0)),"")</f>
        <v/>
      </c>
    </row>
    <row r="968" spans="1:7" x14ac:dyDescent="0.3">
      <c r="A968" t="s">
        <v>2534</v>
      </c>
      <c r="B968" t="s">
        <v>686</v>
      </c>
      <c r="C968" t="s">
        <v>866</v>
      </c>
      <c r="D968" s="7">
        <v>100</v>
      </c>
      <c r="E968">
        <v>2019</v>
      </c>
      <c r="F968">
        <v>2019</v>
      </c>
      <c r="G968" t="str">
        <f>IFERROR(INDEX(Formulations[Formulation],MATCH($C968,Formulations[Product Code],0)),"")</f>
        <v/>
      </c>
    </row>
    <row r="969" spans="1:7" x14ac:dyDescent="0.3">
      <c r="A969" t="s">
        <v>2538</v>
      </c>
      <c r="B969" t="s">
        <v>68</v>
      </c>
      <c r="C969" t="s">
        <v>69</v>
      </c>
      <c r="D969" s="7">
        <v>100</v>
      </c>
      <c r="E969">
        <v>2019</v>
      </c>
      <c r="F969">
        <v>2019</v>
      </c>
      <c r="G969" t="str">
        <f>IFERROR(INDEX(Formulations[Formulation],MATCH($C969,Formulations[Product Code],0)),"")</f>
        <v>Silver</v>
      </c>
    </row>
    <row r="970" spans="1:7" x14ac:dyDescent="0.3">
      <c r="A970" t="s">
        <v>2548</v>
      </c>
      <c r="B970" t="s">
        <v>12</v>
      </c>
      <c r="C970" t="s">
        <v>13</v>
      </c>
      <c r="D970" s="7">
        <v>100</v>
      </c>
      <c r="E970">
        <v>2019</v>
      </c>
      <c r="F970">
        <v>2020</v>
      </c>
      <c r="G970" t="str">
        <f>IFERROR(INDEX(Formulations[Formulation],MATCH($C970,Formulations[Product Code],0)),"")</f>
        <v>Crystal</v>
      </c>
    </row>
    <row r="971" spans="1:7" x14ac:dyDescent="0.3">
      <c r="A971" t="s">
        <v>2549</v>
      </c>
      <c r="B971" t="s">
        <v>32</v>
      </c>
      <c r="D971" s="7">
        <v>100</v>
      </c>
      <c r="E971">
        <v>2020</v>
      </c>
      <c r="F971">
        <v>2020</v>
      </c>
      <c r="G971" t="str">
        <f>IFERROR(INDEX(Formulations[Formulation],MATCH($C971,Formulations[Product Code],0)),"")</f>
        <v/>
      </c>
    </row>
    <row r="972" spans="1:7" x14ac:dyDescent="0.3">
      <c r="A972" t="s">
        <v>2549</v>
      </c>
      <c r="B972" t="s">
        <v>46</v>
      </c>
      <c r="C972" t="s">
        <v>47</v>
      </c>
      <c r="D972" s="7">
        <v>100</v>
      </c>
      <c r="E972">
        <v>2018</v>
      </c>
      <c r="F972">
        <v>2019</v>
      </c>
      <c r="G972" t="str">
        <f>IFERROR(INDEX(Formulations[Formulation],MATCH($C972,Formulations[Product Code],0)),"")</f>
        <v/>
      </c>
    </row>
    <row r="973" spans="1:7" x14ac:dyDescent="0.3">
      <c r="A973" t="s">
        <v>2550</v>
      </c>
      <c r="B973" t="s">
        <v>336</v>
      </c>
      <c r="C973" t="s">
        <v>2552</v>
      </c>
      <c r="D973" s="7">
        <v>100</v>
      </c>
      <c r="E973">
        <v>2011</v>
      </c>
      <c r="F973">
        <v>2011</v>
      </c>
      <c r="G973" t="str">
        <f>IFERROR(INDEX(Formulations[Formulation],MATCH($C973,Formulations[Product Code],0)),"")</f>
        <v/>
      </c>
    </row>
    <row r="974" spans="1:7" x14ac:dyDescent="0.3">
      <c r="A974" t="s">
        <v>2562</v>
      </c>
      <c r="B974" t="s">
        <v>26</v>
      </c>
      <c r="C974" t="s">
        <v>27</v>
      </c>
      <c r="D974" s="7">
        <v>100</v>
      </c>
      <c r="E974">
        <v>2020</v>
      </c>
      <c r="F974">
        <v>2020</v>
      </c>
      <c r="G974" t="str">
        <f>IFERROR(INDEX(Formulations[Formulation],MATCH($C974,Formulations[Product Code],0)),"")</f>
        <v>FLOURAMAX A270578/ P782894</v>
      </c>
    </row>
    <row r="975" spans="1:7" x14ac:dyDescent="0.3">
      <c r="A975" t="s">
        <v>2563</v>
      </c>
      <c r="B975" t="s">
        <v>1908</v>
      </c>
      <c r="C975" t="s">
        <v>1909</v>
      </c>
      <c r="D975" s="7">
        <v>100</v>
      </c>
      <c r="E975">
        <v>2012</v>
      </c>
      <c r="F975">
        <v>2012</v>
      </c>
      <c r="G975" t="str">
        <f>IFERROR(INDEX(Formulations[Formulation],MATCH($C975,Formulations[Product Code],0)),"")</f>
        <v/>
      </c>
    </row>
    <row r="976" spans="1:7" x14ac:dyDescent="0.3">
      <c r="A976" t="s">
        <v>2574</v>
      </c>
      <c r="B976" t="s">
        <v>19</v>
      </c>
      <c r="C976" t="s">
        <v>107</v>
      </c>
      <c r="D976" s="7">
        <v>100</v>
      </c>
      <c r="E976">
        <v>2020</v>
      </c>
      <c r="F976">
        <v>2020</v>
      </c>
      <c r="G976" t="str">
        <f>IFERROR(INDEX(Formulations[Formulation],MATCH($C976,Formulations[Product Code],0)),"")</f>
        <v>Pure</v>
      </c>
    </row>
    <row r="977" spans="1:7" x14ac:dyDescent="0.3">
      <c r="A977" t="s">
        <v>2577</v>
      </c>
      <c r="B977" t="s">
        <v>2543</v>
      </c>
      <c r="C977" t="s">
        <v>20</v>
      </c>
      <c r="D977" s="7">
        <v>100</v>
      </c>
      <c r="E977">
        <v>2017</v>
      </c>
      <c r="F977">
        <v>2018</v>
      </c>
      <c r="G977" t="str">
        <f>IFERROR(INDEX(Formulations[Formulation],MATCH($C977,Formulations[Product Code],0)),"")</f>
        <v>80 % Oil AND 20 % DPG</v>
      </c>
    </row>
    <row r="978" spans="1:7" x14ac:dyDescent="0.3">
      <c r="A978" t="s">
        <v>2577</v>
      </c>
      <c r="B978" t="s">
        <v>2578</v>
      </c>
      <c r="C978" t="s">
        <v>1026</v>
      </c>
      <c r="D978" s="7">
        <v>100</v>
      </c>
      <c r="E978">
        <v>2017</v>
      </c>
      <c r="F978">
        <v>2018</v>
      </c>
      <c r="G978" t="str">
        <f>IFERROR(INDEX(Formulations[Formulation],MATCH($C978,Formulations[Product Code],0)),"")</f>
        <v/>
      </c>
    </row>
    <row r="979" spans="1:7" x14ac:dyDescent="0.3">
      <c r="A979" t="s">
        <v>2592</v>
      </c>
      <c r="B979" t="s">
        <v>206</v>
      </c>
      <c r="C979" t="s">
        <v>207</v>
      </c>
      <c r="D979" s="7">
        <v>100</v>
      </c>
      <c r="E979">
        <v>2019</v>
      </c>
      <c r="F979">
        <v>2019</v>
      </c>
      <c r="G979" t="str">
        <f>IFERROR(INDEX(Formulations[Formulation],MATCH($C979,Formulations[Product Code],0)),"")</f>
        <v/>
      </c>
    </row>
    <row r="980" spans="1:7" x14ac:dyDescent="0.3">
      <c r="A980" t="s">
        <v>2592</v>
      </c>
      <c r="B980" t="s">
        <v>2593</v>
      </c>
      <c r="C980" t="s">
        <v>2594</v>
      </c>
      <c r="D980" s="7">
        <v>100</v>
      </c>
      <c r="E980">
        <v>2019</v>
      </c>
      <c r="F980">
        <v>2020</v>
      </c>
      <c r="G980" t="str">
        <f>IFERROR(INDEX(Formulations[Formulation],MATCH($C980,Formulations[Product Code],0)),"")</f>
        <v/>
      </c>
    </row>
    <row r="981" spans="1:7" x14ac:dyDescent="0.3">
      <c r="A981" t="s">
        <v>2595</v>
      </c>
      <c r="B981" t="s">
        <v>408</v>
      </c>
      <c r="D981" s="7">
        <v>100</v>
      </c>
      <c r="E981">
        <v>2020</v>
      </c>
      <c r="F981">
        <v>2021</v>
      </c>
      <c r="G981" t="str">
        <f>IFERROR(INDEX(Formulations[Formulation],MATCH($C981,Formulations[Product Code],0)),"")</f>
        <v/>
      </c>
    </row>
    <row r="982" spans="1:7" x14ac:dyDescent="0.3">
      <c r="A982" t="s">
        <v>923</v>
      </c>
      <c r="B982" t="s">
        <v>149</v>
      </c>
      <c r="C982" t="s">
        <v>150</v>
      </c>
      <c r="D982" s="7">
        <v>99</v>
      </c>
      <c r="E982">
        <v>2015</v>
      </c>
      <c r="F982">
        <v>2017</v>
      </c>
      <c r="G982" t="str">
        <f>IFERROR(INDEX(Formulations[Formulation],MATCH($C982,Formulations[Product Code],0)),"")</f>
        <v/>
      </c>
    </row>
    <row r="983" spans="1:7" x14ac:dyDescent="0.3">
      <c r="A983" t="s">
        <v>2030</v>
      </c>
      <c r="B983" t="s">
        <v>184</v>
      </c>
      <c r="C983" t="s">
        <v>185</v>
      </c>
      <c r="D983" s="7">
        <v>99</v>
      </c>
      <c r="E983">
        <v>2010</v>
      </c>
      <c r="F983">
        <v>2018</v>
      </c>
      <c r="G983" t="str">
        <f>IFERROR(INDEX(Formulations[Formulation],MATCH($C983,Formulations[Product Code],0)),"")</f>
        <v/>
      </c>
    </row>
    <row r="984" spans="1:7" x14ac:dyDescent="0.3">
      <c r="A984" t="s">
        <v>1799</v>
      </c>
      <c r="B984" t="s">
        <v>1802</v>
      </c>
      <c r="D984" s="7">
        <v>96</v>
      </c>
      <c r="E984">
        <v>2020</v>
      </c>
      <c r="F984">
        <v>2020</v>
      </c>
      <c r="G984" t="str">
        <f>IFERROR(INDEX(Formulations[Formulation],MATCH($C984,Formulations[Product Code],0)),"")</f>
        <v/>
      </c>
    </row>
    <row r="985" spans="1:7" x14ac:dyDescent="0.3">
      <c r="A985" t="s">
        <v>1930</v>
      </c>
      <c r="B985" t="s">
        <v>196</v>
      </c>
      <c r="C985" t="s">
        <v>197</v>
      </c>
      <c r="D985" s="7">
        <v>96</v>
      </c>
      <c r="E985">
        <v>2013</v>
      </c>
      <c r="F985">
        <v>2018</v>
      </c>
      <c r="G985" t="str">
        <f>IFERROR(INDEX(Formulations[Formulation],MATCH($C985,Formulations[Product Code],0)),"")</f>
        <v/>
      </c>
    </row>
    <row r="986" spans="1:7" x14ac:dyDescent="0.3">
      <c r="A986" t="s">
        <v>2120</v>
      </c>
      <c r="B986" t="s">
        <v>542</v>
      </c>
      <c r="C986" t="s">
        <v>160</v>
      </c>
      <c r="D986" s="7">
        <v>96</v>
      </c>
      <c r="E986">
        <v>2016</v>
      </c>
      <c r="F986">
        <v>2021</v>
      </c>
      <c r="G986" t="str">
        <f>IFERROR(INDEX(Formulations[Formulation],MATCH($C986,Formulations[Product Code],0)),"")</f>
        <v>Silver</v>
      </c>
    </row>
    <row r="987" spans="1:7" x14ac:dyDescent="0.3">
      <c r="A987" t="s">
        <v>1127</v>
      </c>
      <c r="B987" t="s">
        <v>1138</v>
      </c>
      <c r="D987" s="7">
        <v>95</v>
      </c>
      <c r="E987">
        <v>2020</v>
      </c>
      <c r="F987">
        <v>2020</v>
      </c>
      <c r="G987" t="str">
        <f>IFERROR(INDEX(Formulations[Formulation],MATCH($C987,Formulations[Product Code],0)),"")</f>
        <v/>
      </c>
    </row>
    <row r="988" spans="1:7" x14ac:dyDescent="0.3">
      <c r="A988" t="s">
        <v>1226</v>
      </c>
      <c r="B988" t="s">
        <v>575</v>
      </c>
      <c r="C988" t="s">
        <v>673</v>
      </c>
      <c r="D988" s="7">
        <v>95</v>
      </c>
      <c r="E988">
        <v>2021</v>
      </c>
      <c r="F988">
        <v>2021</v>
      </c>
      <c r="G988" t="str">
        <f>IFERROR(INDEX(Formulations[Formulation],MATCH($C988,Formulations[Product Code],0)),"")</f>
        <v>Apricot 60 % oil and 40 % dpg</v>
      </c>
    </row>
    <row r="989" spans="1:7" x14ac:dyDescent="0.3">
      <c r="A989" t="s">
        <v>1463</v>
      </c>
      <c r="B989" t="s">
        <v>219</v>
      </c>
      <c r="C989" t="s">
        <v>220</v>
      </c>
      <c r="D989" s="7">
        <v>95</v>
      </c>
      <c r="E989">
        <v>2012</v>
      </c>
      <c r="F989">
        <v>2016</v>
      </c>
      <c r="G989" t="str">
        <f>IFERROR(INDEX(Formulations[Formulation],MATCH($C989,Formulations[Product Code],0)),"")</f>
        <v/>
      </c>
    </row>
    <row r="990" spans="1:7" x14ac:dyDescent="0.3">
      <c r="A990" t="s">
        <v>1743</v>
      </c>
      <c r="B990" t="s">
        <v>174</v>
      </c>
      <c r="C990" t="s">
        <v>175</v>
      </c>
      <c r="D990" s="7">
        <v>95</v>
      </c>
      <c r="E990">
        <v>2018</v>
      </c>
      <c r="F990">
        <v>2019</v>
      </c>
      <c r="G990" t="str">
        <f>IFERROR(INDEX(Formulations[Formulation],MATCH($C990,Formulations[Product Code],0)),"")</f>
        <v/>
      </c>
    </row>
    <row r="991" spans="1:7" x14ac:dyDescent="0.3">
      <c r="A991" t="s">
        <v>1833</v>
      </c>
      <c r="B991" t="s">
        <v>45</v>
      </c>
      <c r="D991" s="7">
        <v>95</v>
      </c>
      <c r="E991">
        <v>2016</v>
      </c>
      <c r="F991">
        <v>2020</v>
      </c>
      <c r="G991" t="str">
        <f>IFERROR(INDEX(Formulations[Formulation],MATCH($C991,Formulations[Product Code],0)),"")</f>
        <v/>
      </c>
    </row>
    <row r="992" spans="1:7" x14ac:dyDescent="0.3">
      <c r="A992" t="s">
        <v>2302</v>
      </c>
      <c r="B992" t="s">
        <v>2303</v>
      </c>
      <c r="C992" t="s">
        <v>505</v>
      </c>
      <c r="D992" s="7">
        <v>95</v>
      </c>
      <c r="E992">
        <v>2013</v>
      </c>
      <c r="F992">
        <v>2016</v>
      </c>
      <c r="G992" t="str">
        <f>IFERROR(INDEX(Formulations[Formulation],MATCH($C992,Formulations[Product Code],0)),"")</f>
        <v>Crystal</v>
      </c>
    </row>
    <row r="993" spans="1:7" x14ac:dyDescent="0.3">
      <c r="A993" t="s">
        <v>2330</v>
      </c>
      <c r="B993" t="s">
        <v>438</v>
      </c>
      <c r="C993" t="s">
        <v>439</v>
      </c>
      <c r="D993" s="7">
        <v>95</v>
      </c>
      <c r="E993">
        <v>2016</v>
      </c>
      <c r="F993">
        <v>2017</v>
      </c>
      <c r="G993" t="str">
        <f>IFERROR(INDEX(Formulations[Formulation],MATCH($C993,Formulations[Product Code],0)),"")</f>
        <v>Pure</v>
      </c>
    </row>
    <row r="994" spans="1:7" x14ac:dyDescent="0.3">
      <c r="A994" t="s">
        <v>2354</v>
      </c>
      <c r="B994" t="s">
        <v>314</v>
      </c>
      <c r="C994" t="s">
        <v>475</v>
      </c>
      <c r="D994" s="7">
        <v>95</v>
      </c>
      <c r="E994">
        <v>2016</v>
      </c>
      <c r="F994">
        <v>2018</v>
      </c>
      <c r="G994" t="str">
        <f>IFERROR(INDEX(Formulations[Formulation],MATCH($C994,Formulations[Product Code],0)),"")</f>
        <v>Crystal</v>
      </c>
    </row>
    <row r="995" spans="1:7" x14ac:dyDescent="0.3">
      <c r="A995" t="s">
        <v>2401</v>
      </c>
      <c r="B995" t="s">
        <v>1602</v>
      </c>
      <c r="C995" t="s">
        <v>521</v>
      </c>
      <c r="D995" s="7">
        <v>95</v>
      </c>
      <c r="E995">
        <v>2010</v>
      </c>
      <c r="F995">
        <v>2011</v>
      </c>
      <c r="G995" t="str">
        <f>IFERROR(INDEX(Formulations[Formulation],MATCH($C995,Formulations[Product Code],0)),"")</f>
        <v/>
      </c>
    </row>
    <row r="996" spans="1:7" x14ac:dyDescent="0.3">
      <c r="A996" t="s">
        <v>2596</v>
      </c>
      <c r="B996" t="s">
        <v>219</v>
      </c>
      <c r="C996" t="s">
        <v>220</v>
      </c>
      <c r="D996" s="7">
        <v>95</v>
      </c>
      <c r="E996">
        <v>2011</v>
      </c>
      <c r="F996">
        <v>2013</v>
      </c>
      <c r="G996" t="str">
        <f>IFERROR(INDEX(Formulations[Formulation],MATCH($C996,Formulations[Product Code],0)),"")</f>
        <v/>
      </c>
    </row>
    <row r="997" spans="1:7" x14ac:dyDescent="0.3">
      <c r="A997" t="s">
        <v>695</v>
      </c>
      <c r="B997" t="s">
        <v>567</v>
      </c>
      <c r="C997" t="s">
        <v>698</v>
      </c>
      <c r="D997" s="7">
        <v>94</v>
      </c>
      <c r="E997">
        <v>2016</v>
      </c>
      <c r="F997">
        <v>2017</v>
      </c>
      <c r="G997" t="str">
        <f>IFERROR(INDEX(Formulations[Formulation],MATCH($C997,Formulations[Product Code],0)),"")</f>
        <v>Crystal</v>
      </c>
    </row>
    <row r="998" spans="1:7" x14ac:dyDescent="0.3">
      <c r="A998" t="s">
        <v>2123</v>
      </c>
      <c r="B998" t="s">
        <v>386</v>
      </c>
      <c r="C998" t="s">
        <v>387</v>
      </c>
      <c r="D998" s="7">
        <v>94</v>
      </c>
      <c r="E998">
        <v>2013</v>
      </c>
      <c r="F998">
        <v>2016</v>
      </c>
      <c r="G998" t="str">
        <f>IFERROR(INDEX(Formulations[Formulation],MATCH($C998,Formulations[Product Code],0)),"")</f>
        <v/>
      </c>
    </row>
    <row r="999" spans="1:7" x14ac:dyDescent="0.3">
      <c r="A999" t="s">
        <v>78</v>
      </c>
      <c r="B999" t="s">
        <v>55</v>
      </c>
      <c r="D999" s="7">
        <v>93</v>
      </c>
      <c r="E999">
        <v>2018</v>
      </c>
      <c r="F999">
        <v>2021</v>
      </c>
      <c r="G999" t="str">
        <f>IFERROR(INDEX(Formulations[Formulation],MATCH($C999,Formulations[Product Code],0)),"")</f>
        <v/>
      </c>
    </row>
    <row r="1000" spans="1:7" x14ac:dyDescent="0.3">
      <c r="A1000" t="s">
        <v>1799</v>
      </c>
      <c r="B1000" t="s">
        <v>1803</v>
      </c>
      <c r="C1000" t="s">
        <v>121</v>
      </c>
      <c r="D1000" s="7">
        <v>91</v>
      </c>
      <c r="E1000">
        <v>2016</v>
      </c>
      <c r="F1000">
        <v>2019</v>
      </c>
      <c r="G1000" t="str">
        <f>IFERROR(INDEX(Formulations[Formulation],MATCH($C1000,Formulations[Product Code],0)),"")</f>
        <v/>
      </c>
    </row>
    <row r="1001" spans="1:7" x14ac:dyDescent="0.3">
      <c r="A1001" t="s">
        <v>2428</v>
      </c>
      <c r="B1001" t="s">
        <v>318</v>
      </c>
      <c r="C1001" t="s">
        <v>319</v>
      </c>
      <c r="D1001" s="7">
        <v>91</v>
      </c>
      <c r="E1001">
        <v>2014</v>
      </c>
      <c r="F1001">
        <v>2018</v>
      </c>
      <c r="G1001" t="str">
        <f>IFERROR(INDEX(Formulations[Formulation],MATCH($C1001,Formulations[Product Code],0)),"")</f>
        <v>Pure</v>
      </c>
    </row>
    <row r="1002" spans="1:7" x14ac:dyDescent="0.3">
      <c r="A1002" t="s">
        <v>273</v>
      </c>
      <c r="B1002" t="s">
        <v>99</v>
      </c>
      <c r="C1002" t="s">
        <v>100</v>
      </c>
      <c r="D1002" s="7">
        <v>90</v>
      </c>
      <c r="E1002">
        <v>2013</v>
      </c>
      <c r="F1002">
        <v>2016</v>
      </c>
      <c r="G1002" t="str">
        <f>IFERROR(INDEX(Formulations[Formulation],MATCH($C1002,Formulations[Product Code],0)),"")</f>
        <v>Crystal</v>
      </c>
    </row>
    <row r="1003" spans="1:7" x14ac:dyDescent="0.3">
      <c r="A1003" t="s">
        <v>523</v>
      </c>
      <c r="B1003" t="s">
        <v>471</v>
      </c>
      <c r="C1003" t="s">
        <v>472</v>
      </c>
      <c r="D1003" s="7">
        <v>90</v>
      </c>
      <c r="E1003">
        <v>2016</v>
      </c>
      <c r="F1003">
        <v>2016</v>
      </c>
      <c r="G1003" t="str">
        <f>IFERROR(INDEX(Formulations[Formulation],MATCH($C1003,Formulations[Product Code],0)),"")</f>
        <v>Crystal</v>
      </c>
    </row>
    <row r="1004" spans="1:7" x14ac:dyDescent="0.3">
      <c r="A1004" t="s">
        <v>775</v>
      </c>
      <c r="B1004" t="s">
        <v>184</v>
      </c>
      <c r="C1004" t="s">
        <v>185</v>
      </c>
      <c r="D1004" s="7">
        <v>90</v>
      </c>
      <c r="E1004">
        <v>2016</v>
      </c>
      <c r="F1004">
        <v>2017</v>
      </c>
      <c r="G1004" t="str">
        <f>IFERROR(INDEX(Formulations[Formulation],MATCH($C1004,Formulations[Product Code],0)),"")</f>
        <v/>
      </c>
    </row>
    <row r="1005" spans="1:7" x14ac:dyDescent="0.3">
      <c r="A1005" t="s">
        <v>775</v>
      </c>
      <c r="B1005" t="s">
        <v>314</v>
      </c>
      <c r="C1005" t="s">
        <v>315</v>
      </c>
      <c r="D1005" s="7">
        <v>90</v>
      </c>
      <c r="E1005">
        <v>2016</v>
      </c>
      <c r="F1005">
        <v>2018</v>
      </c>
      <c r="G1005" t="str">
        <f>IFERROR(INDEX(Formulations[Formulation],MATCH($C1005,Formulations[Product Code],0)),"")</f>
        <v/>
      </c>
    </row>
    <row r="1006" spans="1:7" x14ac:dyDescent="0.3">
      <c r="A1006" t="s">
        <v>781</v>
      </c>
      <c r="B1006" t="s">
        <v>593</v>
      </c>
      <c r="C1006" t="s">
        <v>594</v>
      </c>
      <c r="D1006" s="7">
        <v>90</v>
      </c>
      <c r="E1006">
        <v>2021</v>
      </c>
      <c r="F1006">
        <v>2021</v>
      </c>
      <c r="G1006" t="str">
        <f>IFERROR(INDEX(Formulations[Formulation],MATCH($C1006,Formulations[Product Code],0)),"")</f>
        <v>Oil 4.5kg</v>
      </c>
    </row>
    <row r="1007" spans="1:7" x14ac:dyDescent="0.3">
      <c r="A1007" t="s">
        <v>1187</v>
      </c>
      <c r="B1007" t="s">
        <v>890</v>
      </c>
      <c r="C1007" t="s">
        <v>891</v>
      </c>
      <c r="D1007" s="7">
        <v>90</v>
      </c>
      <c r="E1007">
        <v>2010</v>
      </c>
      <c r="F1007">
        <v>2011</v>
      </c>
      <c r="G1007" t="str">
        <f>IFERROR(INDEX(Formulations[Formulation],MATCH($C1007,Formulations[Product Code],0)),"")</f>
        <v/>
      </c>
    </row>
    <row r="1008" spans="1:7" x14ac:dyDescent="0.3">
      <c r="A1008" t="s">
        <v>1743</v>
      </c>
      <c r="B1008" t="s">
        <v>532</v>
      </c>
      <c r="C1008" t="s">
        <v>452</v>
      </c>
      <c r="D1008" s="7">
        <v>90</v>
      </c>
      <c r="E1008">
        <v>2020</v>
      </c>
      <c r="F1008">
        <v>2021</v>
      </c>
      <c r="G1008" t="str">
        <f>IFERROR(INDEX(Formulations[Formulation],MATCH($C1008,Formulations[Product Code],0)),"")</f>
        <v>Crystal</v>
      </c>
    </row>
    <row r="1009" spans="1:7" x14ac:dyDescent="0.3">
      <c r="A1009" t="s">
        <v>1799</v>
      </c>
      <c r="B1009" t="s">
        <v>649</v>
      </c>
      <c r="C1009" t="s">
        <v>650</v>
      </c>
      <c r="D1009" s="7">
        <v>90</v>
      </c>
      <c r="E1009">
        <v>2016</v>
      </c>
      <c r="F1009">
        <v>2021</v>
      </c>
      <c r="G1009" t="str">
        <f>IFERROR(INDEX(Formulations[Formulation],MATCH($C1009,Formulations[Product Code],0)),"")</f>
        <v>Pure</v>
      </c>
    </row>
    <row r="1010" spans="1:7" x14ac:dyDescent="0.3">
      <c r="A1010" t="s">
        <v>1911</v>
      </c>
      <c r="B1010" t="s">
        <v>1208</v>
      </c>
      <c r="C1010" t="s">
        <v>1209</v>
      </c>
      <c r="D1010" s="7">
        <v>90</v>
      </c>
      <c r="E1010">
        <v>2015</v>
      </c>
      <c r="F1010">
        <v>2019</v>
      </c>
      <c r="G1010" t="str">
        <f>IFERROR(INDEX(Formulations[Formulation],MATCH($C1010,Formulations[Product Code],0)),"")</f>
        <v/>
      </c>
    </row>
    <row r="1011" spans="1:7" x14ac:dyDescent="0.3">
      <c r="A1011" t="s">
        <v>2297</v>
      </c>
      <c r="B1011" t="s">
        <v>74</v>
      </c>
      <c r="C1011" t="s">
        <v>75</v>
      </c>
      <c r="D1011" s="7">
        <v>90</v>
      </c>
      <c r="E1011">
        <v>2017</v>
      </c>
      <c r="F1011">
        <v>2018</v>
      </c>
      <c r="G1011" t="str">
        <f>IFERROR(INDEX(Formulations[Formulation],MATCH($C1011,Formulations[Product Code],0)),"")</f>
        <v>Crystal</v>
      </c>
    </row>
    <row r="1012" spans="1:7" x14ac:dyDescent="0.3">
      <c r="A1012" t="s">
        <v>2354</v>
      </c>
      <c r="B1012" t="s">
        <v>37</v>
      </c>
      <c r="D1012" s="7">
        <v>90</v>
      </c>
      <c r="E1012">
        <v>2017</v>
      </c>
      <c r="F1012">
        <v>2019</v>
      </c>
      <c r="G1012" t="str">
        <f>IFERROR(INDEX(Formulations[Formulation],MATCH($C1012,Formulations[Product Code],0)),"")</f>
        <v/>
      </c>
    </row>
    <row r="1013" spans="1:7" x14ac:dyDescent="0.3">
      <c r="A1013" t="s">
        <v>2354</v>
      </c>
      <c r="B1013" t="s">
        <v>1110</v>
      </c>
      <c r="C1013" t="s">
        <v>237</v>
      </c>
      <c r="D1013" s="7">
        <v>90</v>
      </c>
      <c r="E1013">
        <v>2020</v>
      </c>
      <c r="F1013">
        <v>2021</v>
      </c>
      <c r="G1013" t="str">
        <f>IFERROR(INDEX(Formulations[Formulation],MATCH($C1013,Formulations[Product Code],0)),"")</f>
        <v>Body by Burberry (F) CP00861 60%, Pacific Paradise 30%, Supreme bouqet 10%, than make gold</v>
      </c>
    </row>
    <row r="1014" spans="1:7" x14ac:dyDescent="0.3">
      <c r="A1014" t="s">
        <v>2475</v>
      </c>
      <c r="B1014" t="s">
        <v>189</v>
      </c>
      <c r="D1014" s="7">
        <v>90</v>
      </c>
      <c r="E1014">
        <v>2019</v>
      </c>
      <c r="F1014">
        <v>2021</v>
      </c>
      <c r="G1014" t="str">
        <f>IFERROR(INDEX(Formulations[Formulation],MATCH($C1014,Formulations[Product Code],0)),"")</f>
        <v/>
      </c>
    </row>
    <row r="1015" spans="1:7" x14ac:dyDescent="0.3">
      <c r="A1015" t="s">
        <v>2482</v>
      </c>
      <c r="B1015" t="s">
        <v>543</v>
      </c>
      <c r="C1015" t="s">
        <v>544</v>
      </c>
      <c r="D1015" s="7">
        <v>90</v>
      </c>
      <c r="E1015">
        <v>2017</v>
      </c>
      <c r="F1015">
        <v>2020</v>
      </c>
      <c r="G1015" t="str">
        <f>IFERROR(INDEX(Formulations[Formulation],MATCH($C1015,Formulations[Product Code],0)),"")</f>
        <v>Crystal</v>
      </c>
    </row>
    <row r="1016" spans="1:7" x14ac:dyDescent="0.3">
      <c r="A1016" t="s">
        <v>2509</v>
      </c>
      <c r="B1016" t="s">
        <v>2510</v>
      </c>
      <c r="C1016" t="s">
        <v>2511</v>
      </c>
      <c r="D1016" s="7">
        <v>90</v>
      </c>
      <c r="E1016">
        <v>2010</v>
      </c>
      <c r="F1016">
        <v>2019</v>
      </c>
      <c r="G1016" t="str">
        <f>IFERROR(INDEX(Formulations[Formulation],MATCH($C1016,Formulations[Product Code],0)),"")</f>
        <v/>
      </c>
    </row>
    <row r="1017" spans="1:7" x14ac:dyDescent="0.3">
      <c r="A1017" t="s">
        <v>2337</v>
      </c>
      <c r="B1017" t="s">
        <v>28</v>
      </c>
      <c r="D1017" s="7">
        <v>88</v>
      </c>
      <c r="E1017">
        <v>2014</v>
      </c>
      <c r="F1017">
        <v>2019</v>
      </c>
      <c r="G1017" t="str">
        <f>IFERROR(INDEX(Formulations[Formulation],MATCH($C1017,Formulations[Product Code],0)),"")</f>
        <v/>
      </c>
    </row>
    <row r="1018" spans="1:7" x14ac:dyDescent="0.3">
      <c r="A1018" t="s">
        <v>1958</v>
      </c>
      <c r="B1018" t="s">
        <v>72</v>
      </c>
      <c r="C1018" t="s">
        <v>319</v>
      </c>
      <c r="D1018" s="7">
        <v>87</v>
      </c>
      <c r="E1018">
        <v>2016</v>
      </c>
      <c r="F1018">
        <v>2019</v>
      </c>
      <c r="G1018" t="str">
        <f>IFERROR(INDEX(Formulations[Formulation],MATCH($C1018,Formulations[Product Code],0)),"")</f>
        <v>Pure</v>
      </c>
    </row>
    <row r="1019" spans="1:7" x14ac:dyDescent="0.3">
      <c r="A1019" t="s">
        <v>2482</v>
      </c>
      <c r="B1019" t="s">
        <v>196</v>
      </c>
      <c r="C1019" t="s">
        <v>197</v>
      </c>
      <c r="D1019" s="7">
        <v>87</v>
      </c>
      <c r="E1019">
        <v>2018</v>
      </c>
      <c r="F1019">
        <v>2019</v>
      </c>
      <c r="G1019" t="str">
        <f>IFERROR(INDEX(Formulations[Formulation],MATCH($C1019,Formulations[Product Code],0)),"")</f>
        <v/>
      </c>
    </row>
    <row r="1020" spans="1:7" x14ac:dyDescent="0.3">
      <c r="A1020" t="s">
        <v>2092</v>
      </c>
      <c r="B1020" t="s">
        <v>32</v>
      </c>
      <c r="D1020" s="7">
        <v>86</v>
      </c>
      <c r="E1020">
        <v>2013</v>
      </c>
      <c r="F1020">
        <v>2018</v>
      </c>
      <c r="G1020" t="str">
        <f>IFERROR(INDEX(Formulations[Formulation],MATCH($C1020,Formulations[Product Code],0)),"")</f>
        <v/>
      </c>
    </row>
    <row r="1021" spans="1:7" x14ac:dyDescent="0.3">
      <c r="A1021" t="s">
        <v>449</v>
      </c>
      <c r="B1021" t="s">
        <v>471</v>
      </c>
      <c r="C1021" t="s">
        <v>472</v>
      </c>
      <c r="D1021" s="7">
        <v>85</v>
      </c>
      <c r="E1021">
        <v>2015</v>
      </c>
      <c r="F1021">
        <v>2016</v>
      </c>
      <c r="G1021" t="str">
        <f>IFERROR(INDEX(Formulations[Formulation],MATCH($C1021,Formulations[Product Code],0)),"")</f>
        <v>Crystal</v>
      </c>
    </row>
    <row r="1022" spans="1:7" x14ac:dyDescent="0.3">
      <c r="A1022" t="s">
        <v>712</v>
      </c>
      <c r="B1022" t="s">
        <v>155</v>
      </c>
      <c r="C1022" t="s">
        <v>156</v>
      </c>
      <c r="D1022" s="7">
        <v>85</v>
      </c>
      <c r="E1022">
        <v>2017</v>
      </c>
      <c r="F1022">
        <v>2021</v>
      </c>
      <c r="G1022" t="str">
        <f>IFERROR(INDEX(Formulations[Formulation],MATCH($C1022,Formulations[Product Code],0)),"")</f>
        <v>Pure</v>
      </c>
    </row>
    <row r="1023" spans="1:7" x14ac:dyDescent="0.3">
      <c r="A1023" t="s">
        <v>1028</v>
      </c>
      <c r="B1023" t="s">
        <v>1037</v>
      </c>
      <c r="C1023" t="s">
        <v>1038</v>
      </c>
      <c r="D1023" s="7">
        <v>85</v>
      </c>
      <c r="E1023">
        <v>2009</v>
      </c>
      <c r="F1023">
        <v>2009</v>
      </c>
      <c r="G1023" t="str">
        <f>IFERROR(INDEX(Formulations[Formulation],MATCH($C1023,Formulations[Product Code],0)),"")</f>
        <v/>
      </c>
    </row>
    <row r="1024" spans="1:7" x14ac:dyDescent="0.3">
      <c r="A1024" t="s">
        <v>1028</v>
      </c>
      <c r="B1024" t="s">
        <v>1041</v>
      </c>
      <c r="C1024" t="s">
        <v>1042</v>
      </c>
      <c r="D1024" s="7">
        <v>85</v>
      </c>
      <c r="E1024">
        <v>2009</v>
      </c>
      <c r="F1024">
        <v>2009</v>
      </c>
      <c r="G1024" t="str">
        <f>IFERROR(INDEX(Formulations[Formulation],MATCH($C1024,Formulations[Product Code],0)),"")</f>
        <v/>
      </c>
    </row>
    <row r="1025" spans="1:7" x14ac:dyDescent="0.3">
      <c r="A1025" t="s">
        <v>1353</v>
      </c>
      <c r="B1025" t="s">
        <v>1354</v>
      </c>
      <c r="D1025" s="7">
        <v>85</v>
      </c>
      <c r="E1025">
        <v>2020</v>
      </c>
      <c r="F1025">
        <v>2021</v>
      </c>
      <c r="G1025" t="str">
        <f>IFERROR(INDEX(Formulations[Formulation],MATCH($C1025,Formulations[Product Code],0)),"")</f>
        <v/>
      </c>
    </row>
    <row r="1026" spans="1:7" x14ac:dyDescent="0.3">
      <c r="A1026" t="s">
        <v>1690</v>
      </c>
      <c r="B1026" t="s">
        <v>19</v>
      </c>
      <c r="C1026" t="s">
        <v>670</v>
      </c>
      <c r="D1026" s="7">
        <v>85</v>
      </c>
      <c r="E1026">
        <v>2018</v>
      </c>
      <c r="F1026">
        <v>2019</v>
      </c>
      <c r="G1026" t="str">
        <f>IFERROR(INDEX(Formulations[Formulation],MATCH($C1026,Formulations[Product Code],0)),"")</f>
        <v>Crystal</v>
      </c>
    </row>
    <row r="1027" spans="1:7" x14ac:dyDescent="0.3">
      <c r="A1027" t="s">
        <v>1693</v>
      </c>
      <c r="B1027" t="s">
        <v>19</v>
      </c>
      <c r="C1027" t="s">
        <v>20</v>
      </c>
      <c r="D1027" s="7">
        <v>85</v>
      </c>
      <c r="E1027">
        <v>2017</v>
      </c>
      <c r="F1027">
        <v>2021</v>
      </c>
      <c r="G1027" t="str">
        <f>IFERROR(INDEX(Formulations[Formulation],MATCH($C1027,Formulations[Product Code],0)),"")</f>
        <v>80 % Oil AND 20 % DPG</v>
      </c>
    </row>
    <row r="1028" spans="1:7" x14ac:dyDescent="0.3">
      <c r="A1028" t="s">
        <v>1883</v>
      </c>
      <c r="B1028" t="s">
        <v>1461</v>
      </c>
      <c r="D1028" s="7">
        <v>85</v>
      </c>
      <c r="E1028">
        <v>2020</v>
      </c>
      <c r="F1028">
        <v>2020</v>
      </c>
      <c r="G1028" t="str">
        <f>IFERROR(INDEX(Formulations[Formulation],MATCH($C1028,Formulations[Product Code],0)),"")</f>
        <v/>
      </c>
    </row>
    <row r="1029" spans="1:7" x14ac:dyDescent="0.3">
      <c r="A1029" t="s">
        <v>2063</v>
      </c>
      <c r="B1029" t="s">
        <v>269</v>
      </c>
      <c r="C1029" t="s">
        <v>270</v>
      </c>
      <c r="D1029" s="7">
        <v>85</v>
      </c>
      <c r="E1029">
        <v>2017</v>
      </c>
      <c r="F1029">
        <v>2018</v>
      </c>
      <c r="G1029" t="str">
        <f>IFERROR(INDEX(Formulations[Formulation],MATCH($C1029,Formulations[Product Code],0)),"")</f>
        <v>Pure</v>
      </c>
    </row>
    <row r="1030" spans="1:7" x14ac:dyDescent="0.3">
      <c r="A1030" t="s">
        <v>2200</v>
      </c>
      <c r="B1030" t="s">
        <v>55</v>
      </c>
      <c r="D1030" s="7">
        <v>85</v>
      </c>
      <c r="E1030">
        <v>2020</v>
      </c>
      <c r="F1030">
        <v>2021</v>
      </c>
      <c r="G1030" t="str">
        <f>IFERROR(INDEX(Formulations[Formulation],MATCH($C1030,Formulations[Product Code],0)),"")</f>
        <v/>
      </c>
    </row>
    <row r="1031" spans="1:7" x14ac:dyDescent="0.3">
      <c r="A1031" t="s">
        <v>2309</v>
      </c>
      <c r="B1031" t="s">
        <v>24</v>
      </c>
      <c r="C1031" t="s">
        <v>25</v>
      </c>
      <c r="D1031" s="7">
        <v>85</v>
      </c>
      <c r="E1031">
        <v>2011</v>
      </c>
      <c r="F1031">
        <v>2018</v>
      </c>
      <c r="G1031" t="str">
        <f>IFERROR(INDEX(Formulations[Formulation],MATCH($C1031,Formulations[Product Code],0)),"")</f>
        <v>citropine 85%/Pinefresh 15%</v>
      </c>
    </row>
    <row r="1032" spans="1:7" x14ac:dyDescent="0.3">
      <c r="A1032" t="s">
        <v>2401</v>
      </c>
      <c r="B1032" t="s">
        <v>2406</v>
      </c>
      <c r="C1032" t="s">
        <v>1279</v>
      </c>
      <c r="D1032" s="7">
        <v>85</v>
      </c>
      <c r="E1032">
        <v>2009</v>
      </c>
      <c r="F1032">
        <v>2011</v>
      </c>
      <c r="G1032" t="str">
        <f>IFERROR(INDEX(Formulations[Formulation],MATCH($C1032,Formulations[Product Code],0)),"")</f>
        <v/>
      </c>
    </row>
    <row r="1033" spans="1:7" x14ac:dyDescent="0.3">
      <c r="A1033" t="s">
        <v>2538</v>
      </c>
      <c r="B1033" t="s">
        <v>721</v>
      </c>
      <c r="C1033" t="s">
        <v>722</v>
      </c>
      <c r="D1033" s="7">
        <v>85</v>
      </c>
      <c r="E1033">
        <v>2018</v>
      </c>
      <c r="F1033">
        <v>2019</v>
      </c>
      <c r="G1033" t="str">
        <f>IFERROR(INDEX(Formulations[Formulation],MATCH($C1033,Formulations[Product Code],0)),"")</f>
        <v>Pure</v>
      </c>
    </row>
    <row r="1034" spans="1:7" x14ac:dyDescent="0.3">
      <c r="A1034" t="s">
        <v>327</v>
      </c>
      <c r="B1034" t="s">
        <v>137</v>
      </c>
      <c r="C1034" t="s">
        <v>138</v>
      </c>
      <c r="D1034" s="7">
        <v>81</v>
      </c>
      <c r="E1034">
        <v>2013</v>
      </c>
      <c r="F1034">
        <v>2015</v>
      </c>
      <c r="G1034" t="str">
        <f>IFERROR(INDEX(Formulations[Formulation],MATCH($C1034,Formulations[Product Code],0)),"")</f>
        <v>WS</v>
      </c>
    </row>
    <row r="1035" spans="1:7" x14ac:dyDescent="0.3">
      <c r="A1035" t="s">
        <v>273</v>
      </c>
      <c r="B1035" t="s">
        <v>297</v>
      </c>
      <c r="C1035" t="s">
        <v>298</v>
      </c>
      <c r="D1035" s="7">
        <v>80</v>
      </c>
      <c r="E1035">
        <v>2013</v>
      </c>
      <c r="F1035">
        <v>2016</v>
      </c>
      <c r="G1035" t="str">
        <f>IFERROR(INDEX(Formulations[Formulation],MATCH($C1035,Formulations[Product Code],0)),"")</f>
        <v>Pure</v>
      </c>
    </row>
    <row r="1036" spans="1:7" x14ac:dyDescent="0.3">
      <c r="A1036" t="s">
        <v>449</v>
      </c>
      <c r="B1036" t="s">
        <v>297</v>
      </c>
      <c r="C1036" t="s">
        <v>298</v>
      </c>
      <c r="D1036" s="7">
        <v>80</v>
      </c>
      <c r="E1036">
        <v>2011</v>
      </c>
      <c r="F1036">
        <v>2018</v>
      </c>
      <c r="G1036" t="str">
        <f>IFERROR(INDEX(Formulations[Formulation],MATCH($C1036,Formulations[Product Code],0)),"")</f>
        <v>Pure</v>
      </c>
    </row>
    <row r="1037" spans="1:7" x14ac:dyDescent="0.3">
      <c r="A1037" t="s">
        <v>887</v>
      </c>
      <c r="B1037" t="s">
        <v>218</v>
      </c>
      <c r="C1037" t="s">
        <v>212</v>
      </c>
      <c r="D1037" s="7">
        <v>80</v>
      </c>
      <c r="E1037">
        <v>2010</v>
      </c>
      <c r="F1037">
        <v>2011</v>
      </c>
      <c r="G1037" t="str">
        <f>IFERROR(INDEX(Formulations[Formulation],MATCH($C1037,Formulations[Product Code],0)),"")</f>
        <v>Pure</v>
      </c>
    </row>
    <row r="1038" spans="1:7" x14ac:dyDescent="0.3">
      <c r="A1038" t="s">
        <v>1028</v>
      </c>
      <c r="B1038" t="s">
        <v>1074</v>
      </c>
      <c r="C1038" t="s">
        <v>1075</v>
      </c>
      <c r="D1038" s="7">
        <v>80</v>
      </c>
      <c r="E1038">
        <v>2011</v>
      </c>
      <c r="F1038">
        <v>2011</v>
      </c>
      <c r="G1038" t="str">
        <f>IFERROR(INDEX(Formulations[Formulation],MATCH($C1038,Formulations[Product Code],0)),"")</f>
        <v/>
      </c>
    </row>
    <row r="1039" spans="1:7" x14ac:dyDescent="0.3">
      <c r="A1039" t="s">
        <v>1213</v>
      </c>
      <c r="B1039" t="s">
        <v>32</v>
      </c>
      <c r="D1039" s="7">
        <v>80</v>
      </c>
      <c r="E1039">
        <v>2018</v>
      </c>
      <c r="F1039">
        <v>2021</v>
      </c>
      <c r="G1039" t="str">
        <f>IFERROR(INDEX(Formulations[Formulation],MATCH($C1039,Formulations[Product Code],0)),"")</f>
        <v/>
      </c>
    </row>
    <row r="1040" spans="1:7" x14ac:dyDescent="0.3">
      <c r="A1040" t="s">
        <v>1721</v>
      </c>
      <c r="B1040" t="s">
        <v>649</v>
      </c>
      <c r="C1040" t="s">
        <v>650</v>
      </c>
      <c r="D1040" s="7">
        <v>80</v>
      </c>
      <c r="E1040">
        <v>2015</v>
      </c>
      <c r="F1040">
        <v>2016</v>
      </c>
      <c r="G1040" t="str">
        <f>IFERROR(INDEX(Formulations[Formulation],MATCH($C1040,Formulations[Product Code],0)),"")</f>
        <v>Pure</v>
      </c>
    </row>
    <row r="1041" spans="1:7" x14ac:dyDescent="0.3">
      <c r="A1041" t="s">
        <v>1911</v>
      </c>
      <c r="B1041" t="s">
        <v>883</v>
      </c>
      <c r="C1041" t="s">
        <v>780</v>
      </c>
      <c r="D1041" s="7">
        <v>80</v>
      </c>
      <c r="E1041">
        <v>2015</v>
      </c>
      <c r="F1041">
        <v>2019</v>
      </c>
      <c r="G1041" t="str">
        <f>IFERROR(INDEX(Formulations[Formulation],MATCH($C1041,Formulations[Product Code],0)),"")</f>
        <v/>
      </c>
    </row>
    <row r="1042" spans="1:7" x14ac:dyDescent="0.3">
      <c r="A1042" t="s">
        <v>1933</v>
      </c>
      <c r="B1042" t="s">
        <v>70</v>
      </c>
      <c r="C1042" t="s">
        <v>71</v>
      </c>
      <c r="D1042" s="7">
        <v>80</v>
      </c>
      <c r="E1042">
        <v>2019</v>
      </c>
      <c r="F1042">
        <v>2019</v>
      </c>
      <c r="G1042" t="str">
        <f>IFERROR(INDEX(Formulations[Formulation],MATCH($C1042,Formulations[Product Code],0)),"")</f>
        <v>40% Oil &amp; 60% DPG</v>
      </c>
    </row>
    <row r="1043" spans="1:7" x14ac:dyDescent="0.3">
      <c r="A1043" t="s">
        <v>2048</v>
      </c>
      <c r="B1043" t="s">
        <v>110</v>
      </c>
      <c r="C1043" t="s">
        <v>111</v>
      </c>
      <c r="D1043" s="7">
        <v>80</v>
      </c>
      <c r="E1043">
        <v>2019</v>
      </c>
      <c r="F1043">
        <v>2019</v>
      </c>
      <c r="G1043" t="str">
        <f>IFERROR(INDEX(Formulations[Formulation],MATCH($C1043,Formulations[Product Code],0)),"")</f>
        <v>75% Lemon Zeste, 25% lemon Top &amp; the Gold DPG)</v>
      </c>
    </row>
    <row r="1044" spans="1:7" x14ac:dyDescent="0.3">
      <c r="A1044" t="s">
        <v>2290</v>
      </c>
      <c r="B1044" t="s">
        <v>240</v>
      </c>
      <c r="D1044" s="7">
        <v>80</v>
      </c>
      <c r="E1044">
        <v>2010</v>
      </c>
      <c r="F1044">
        <v>2014</v>
      </c>
      <c r="G1044" t="str">
        <f>IFERROR(INDEX(Formulations[Formulation],MATCH($C1044,Formulations[Product Code],0)),"")</f>
        <v/>
      </c>
    </row>
    <row r="1045" spans="1:7" x14ac:dyDescent="0.3">
      <c r="A1045" t="s">
        <v>2295</v>
      </c>
      <c r="B1045" t="s">
        <v>32</v>
      </c>
      <c r="D1045" s="7">
        <v>80</v>
      </c>
      <c r="E1045">
        <v>2016</v>
      </c>
      <c r="F1045">
        <v>2016</v>
      </c>
      <c r="G1045" t="str">
        <f>IFERROR(INDEX(Formulations[Formulation],MATCH($C1045,Formulations[Product Code],0)),"")</f>
        <v/>
      </c>
    </row>
    <row r="1046" spans="1:7" x14ac:dyDescent="0.3">
      <c r="A1046" t="s">
        <v>2297</v>
      </c>
      <c r="B1046" t="s">
        <v>196</v>
      </c>
      <c r="C1046" t="s">
        <v>197</v>
      </c>
      <c r="D1046" s="7">
        <v>80</v>
      </c>
      <c r="E1046">
        <v>2014</v>
      </c>
      <c r="F1046">
        <v>2015</v>
      </c>
      <c r="G1046" t="str">
        <f>IFERROR(INDEX(Formulations[Formulation],MATCH($C1046,Formulations[Product Code],0)),"")</f>
        <v/>
      </c>
    </row>
    <row r="1047" spans="1:7" x14ac:dyDescent="0.3">
      <c r="A1047" t="s">
        <v>2316</v>
      </c>
      <c r="B1047" t="s">
        <v>649</v>
      </c>
      <c r="C1047" t="s">
        <v>650</v>
      </c>
      <c r="D1047" s="7">
        <v>80</v>
      </c>
      <c r="E1047">
        <v>2020</v>
      </c>
      <c r="F1047">
        <v>2020</v>
      </c>
      <c r="G1047" t="str">
        <f>IFERROR(INDEX(Formulations[Formulation],MATCH($C1047,Formulations[Product Code],0)),"")</f>
        <v>Pure</v>
      </c>
    </row>
    <row r="1048" spans="1:7" x14ac:dyDescent="0.3">
      <c r="A1048" t="s">
        <v>2316</v>
      </c>
      <c r="B1048" t="s">
        <v>110</v>
      </c>
      <c r="C1048" t="s">
        <v>111</v>
      </c>
      <c r="D1048" s="7">
        <v>80</v>
      </c>
      <c r="E1048">
        <v>2020</v>
      </c>
      <c r="F1048">
        <v>2020</v>
      </c>
      <c r="G1048" t="str">
        <f>IFERROR(INDEX(Formulations[Formulation],MATCH($C1048,Formulations[Product Code],0)),"")</f>
        <v>75% Lemon Zeste, 25% lemon Top &amp; the Gold DPG)</v>
      </c>
    </row>
    <row r="1049" spans="1:7" x14ac:dyDescent="0.3">
      <c r="A1049" t="s">
        <v>2316</v>
      </c>
      <c r="B1049" t="s">
        <v>653</v>
      </c>
      <c r="C1049" t="s">
        <v>654</v>
      </c>
      <c r="D1049" s="7">
        <v>80</v>
      </c>
      <c r="E1049">
        <v>2020</v>
      </c>
      <c r="F1049">
        <v>2020</v>
      </c>
      <c r="G1049" t="str">
        <f>IFERROR(INDEX(Formulations[Formulation],MATCH($C1049,Formulations[Product Code],0)),"")</f>
        <v>Pure</v>
      </c>
    </row>
    <row r="1050" spans="1:7" x14ac:dyDescent="0.3">
      <c r="A1050" t="s">
        <v>2345</v>
      </c>
      <c r="B1050" t="s">
        <v>32</v>
      </c>
      <c r="D1050" s="7">
        <v>80</v>
      </c>
      <c r="E1050">
        <v>2013</v>
      </c>
      <c r="F1050">
        <v>2018</v>
      </c>
      <c r="G1050" t="str">
        <f>IFERROR(INDEX(Formulations[Formulation],MATCH($C1050,Formulations[Product Code],0)),"")</f>
        <v/>
      </c>
    </row>
    <row r="1051" spans="1:7" x14ac:dyDescent="0.3">
      <c r="A1051" t="s">
        <v>2354</v>
      </c>
      <c r="B1051" t="s">
        <v>248</v>
      </c>
      <c r="C1051" t="s">
        <v>249</v>
      </c>
      <c r="D1051" s="7">
        <v>80</v>
      </c>
      <c r="E1051">
        <v>2020</v>
      </c>
      <c r="F1051">
        <v>2021</v>
      </c>
      <c r="G1051" t="str">
        <f>IFERROR(INDEX(Formulations[Formulation],MATCH($C1051,Formulations[Product Code],0)),"")</f>
        <v>WS</v>
      </c>
    </row>
    <row r="1052" spans="1:7" x14ac:dyDescent="0.3">
      <c r="A1052" t="s">
        <v>2442</v>
      </c>
      <c r="B1052" t="s">
        <v>196</v>
      </c>
      <c r="C1052" t="s">
        <v>197</v>
      </c>
      <c r="D1052" s="7">
        <v>80</v>
      </c>
      <c r="E1052">
        <v>2016</v>
      </c>
      <c r="F1052">
        <v>2018</v>
      </c>
      <c r="G1052" t="str">
        <f>IFERROR(INDEX(Formulations[Formulation],MATCH($C1052,Formulations[Product Code],0)),"")</f>
        <v/>
      </c>
    </row>
    <row r="1053" spans="1:7" x14ac:dyDescent="0.3">
      <c r="A1053" t="s">
        <v>2521</v>
      </c>
      <c r="B1053" t="s">
        <v>349</v>
      </c>
      <c r="C1053" t="s">
        <v>350</v>
      </c>
      <c r="D1053" s="7">
        <v>80</v>
      </c>
      <c r="E1053">
        <v>2019</v>
      </c>
      <c r="F1053">
        <v>2020</v>
      </c>
      <c r="G1053" t="str">
        <f>IFERROR(INDEX(Formulations[Formulation],MATCH($C1053,Formulations[Product Code],0)),"")</f>
        <v/>
      </c>
    </row>
    <row r="1054" spans="1:7" x14ac:dyDescent="0.3">
      <c r="A1054" t="s">
        <v>2521</v>
      </c>
      <c r="B1054" t="s">
        <v>297</v>
      </c>
      <c r="C1054" t="s">
        <v>298</v>
      </c>
      <c r="D1054" s="7">
        <v>80</v>
      </c>
      <c r="E1054">
        <v>2019</v>
      </c>
      <c r="F1054">
        <v>2020</v>
      </c>
      <c r="G1054" t="str">
        <f>IFERROR(INDEX(Formulations[Formulation],MATCH($C1054,Formulations[Product Code],0)),"")</f>
        <v>Pure</v>
      </c>
    </row>
    <row r="1055" spans="1:7" x14ac:dyDescent="0.3">
      <c r="A1055" t="s">
        <v>2532</v>
      </c>
      <c r="B1055" t="s">
        <v>37</v>
      </c>
      <c r="D1055" s="7">
        <v>80</v>
      </c>
      <c r="E1055">
        <v>2020</v>
      </c>
      <c r="F1055">
        <v>2020</v>
      </c>
      <c r="G1055" t="str">
        <f>IFERROR(INDEX(Formulations[Formulation],MATCH($C1055,Formulations[Product Code],0)),"")</f>
        <v/>
      </c>
    </row>
    <row r="1056" spans="1:7" x14ac:dyDescent="0.3">
      <c r="A1056" t="s">
        <v>2548</v>
      </c>
      <c r="B1056" t="s">
        <v>662</v>
      </c>
      <c r="C1056" t="s">
        <v>525</v>
      </c>
      <c r="D1056" s="7">
        <v>80</v>
      </c>
      <c r="E1056">
        <v>2019</v>
      </c>
      <c r="F1056">
        <v>2019</v>
      </c>
      <c r="G1056" t="str">
        <f>IFERROR(INDEX(Formulations[Formulation],MATCH($C1056,Formulations[Product Code],0)),"")</f>
        <v/>
      </c>
    </row>
    <row r="1057" spans="1:7" x14ac:dyDescent="0.3">
      <c r="A1057" t="s">
        <v>2559</v>
      </c>
      <c r="B1057" t="s">
        <v>32</v>
      </c>
      <c r="D1057" s="7">
        <v>80</v>
      </c>
      <c r="E1057">
        <v>2013</v>
      </c>
      <c r="F1057">
        <v>2014</v>
      </c>
      <c r="G1057" t="str">
        <f>IFERROR(INDEX(Formulations[Formulation],MATCH($C1057,Formulations[Product Code],0)),"")</f>
        <v/>
      </c>
    </row>
    <row r="1058" spans="1:7" x14ac:dyDescent="0.3">
      <c r="A1058" t="s">
        <v>2563</v>
      </c>
      <c r="B1058" t="s">
        <v>2565</v>
      </c>
      <c r="D1058" s="7">
        <v>80</v>
      </c>
      <c r="E1058">
        <v>2011</v>
      </c>
      <c r="F1058">
        <v>2012</v>
      </c>
      <c r="G1058" t="str">
        <f>IFERROR(INDEX(Formulations[Formulation],MATCH($C1058,Formulations[Product Code],0)),"")</f>
        <v/>
      </c>
    </row>
    <row r="1059" spans="1:7" x14ac:dyDescent="0.3">
      <c r="A1059" t="s">
        <v>878</v>
      </c>
      <c r="B1059" t="s">
        <v>19</v>
      </c>
      <c r="C1059" t="s">
        <v>699</v>
      </c>
      <c r="D1059" s="7">
        <v>79</v>
      </c>
      <c r="E1059">
        <v>2016</v>
      </c>
      <c r="F1059">
        <v>2017</v>
      </c>
      <c r="G1059" t="str">
        <f>IFERROR(INDEX(Formulations[Formulation],MATCH($C1059,Formulations[Product Code],0)),"")</f>
        <v/>
      </c>
    </row>
    <row r="1060" spans="1:7" x14ac:dyDescent="0.3">
      <c r="A1060" t="s">
        <v>2120</v>
      </c>
      <c r="B1060" t="s">
        <v>320</v>
      </c>
      <c r="C1060" t="s">
        <v>414</v>
      </c>
      <c r="D1060" s="7">
        <v>78</v>
      </c>
      <c r="E1060">
        <v>2016</v>
      </c>
      <c r="F1060">
        <v>2020</v>
      </c>
      <c r="G1060" t="str">
        <f>IFERROR(INDEX(Formulations[Formulation],MATCH($C1060,Formulations[Product Code],0)),"")</f>
        <v/>
      </c>
    </row>
    <row r="1061" spans="1:7" x14ac:dyDescent="0.3">
      <c r="A1061" t="s">
        <v>2337</v>
      </c>
      <c r="B1061" t="s">
        <v>29</v>
      </c>
      <c r="D1061" s="7">
        <v>78</v>
      </c>
      <c r="E1061">
        <v>2014</v>
      </c>
      <c r="F1061">
        <v>2018</v>
      </c>
      <c r="G1061" t="str">
        <f>IFERROR(INDEX(Formulations[Formulation],MATCH($C1061,Formulations[Product Code],0)),"")</f>
        <v/>
      </c>
    </row>
    <row r="1062" spans="1:7" x14ac:dyDescent="0.3">
      <c r="A1062" t="s">
        <v>887</v>
      </c>
      <c r="B1062" t="s">
        <v>902</v>
      </c>
      <c r="C1062" t="s">
        <v>903</v>
      </c>
      <c r="D1062" s="7">
        <v>77</v>
      </c>
      <c r="E1062">
        <v>2015</v>
      </c>
      <c r="F1062">
        <v>2018</v>
      </c>
      <c r="G1062" t="str">
        <f>IFERROR(INDEX(Formulations[Formulation],MATCH($C1062,Formulations[Product Code],0)),"")</f>
        <v/>
      </c>
    </row>
    <row r="1063" spans="1:7" x14ac:dyDescent="0.3">
      <c r="A1063" t="s">
        <v>1646</v>
      </c>
      <c r="B1063" t="s">
        <v>41</v>
      </c>
      <c r="C1063" t="s">
        <v>776</v>
      </c>
      <c r="D1063" s="7">
        <v>75.25</v>
      </c>
      <c r="E1063">
        <v>2015</v>
      </c>
      <c r="F1063">
        <v>2016</v>
      </c>
      <c r="G1063" t="str">
        <f>IFERROR(INDEX(Formulations[Formulation],MATCH($C1063,Formulations[Product Code],0)),"")</f>
        <v/>
      </c>
    </row>
    <row r="1064" spans="1:7" x14ac:dyDescent="0.3">
      <c r="A1064" t="s">
        <v>23</v>
      </c>
      <c r="B1064" t="s">
        <v>24</v>
      </c>
      <c r="C1064" t="s">
        <v>25</v>
      </c>
      <c r="D1064" s="7">
        <v>75</v>
      </c>
      <c r="E1064">
        <v>2017</v>
      </c>
      <c r="F1064">
        <v>2017</v>
      </c>
      <c r="G1064" t="str">
        <f>IFERROR(INDEX(Formulations[Formulation],MATCH($C1064,Formulations[Product Code],0)),"")</f>
        <v>citropine 85%/Pinefresh 15%</v>
      </c>
    </row>
    <row r="1065" spans="1:7" x14ac:dyDescent="0.3">
      <c r="A1065" t="s">
        <v>273</v>
      </c>
      <c r="B1065" t="s">
        <v>308</v>
      </c>
      <c r="D1065" s="7">
        <v>75</v>
      </c>
      <c r="E1065">
        <v>2012</v>
      </c>
      <c r="F1065">
        <v>2012</v>
      </c>
      <c r="G1065" t="str">
        <f>IFERROR(INDEX(Formulations[Formulation],MATCH($C1065,Formulations[Product Code],0)),"")</f>
        <v/>
      </c>
    </row>
    <row r="1066" spans="1:7" x14ac:dyDescent="0.3">
      <c r="A1066" t="s">
        <v>449</v>
      </c>
      <c r="B1066" t="s">
        <v>26</v>
      </c>
      <c r="C1066" t="s">
        <v>27</v>
      </c>
      <c r="D1066" s="7">
        <v>75</v>
      </c>
      <c r="E1066">
        <v>2012</v>
      </c>
      <c r="F1066">
        <v>2012</v>
      </c>
      <c r="G1066" t="str">
        <f>IFERROR(INDEX(Formulations[Formulation],MATCH($C1066,Formulations[Product Code],0)),"")</f>
        <v>FLOURAMAX A270578/ P782894</v>
      </c>
    </row>
    <row r="1067" spans="1:7" x14ac:dyDescent="0.3">
      <c r="A1067" t="s">
        <v>449</v>
      </c>
      <c r="B1067" t="s">
        <v>68</v>
      </c>
      <c r="C1067" t="s">
        <v>69</v>
      </c>
      <c r="D1067" s="7">
        <v>75</v>
      </c>
      <c r="E1067">
        <v>2013</v>
      </c>
      <c r="F1067">
        <v>2014</v>
      </c>
      <c r="G1067" t="str">
        <f>IFERROR(INDEX(Formulations[Formulation],MATCH($C1067,Formulations[Product Code],0)),"")</f>
        <v>Silver</v>
      </c>
    </row>
    <row r="1068" spans="1:7" x14ac:dyDescent="0.3">
      <c r="A1068" t="s">
        <v>622</v>
      </c>
      <c r="B1068" t="s">
        <v>441</v>
      </c>
      <c r="C1068" t="s">
        <v>93</v>
      </c>
      <c r="D1068" s="7">
        <v>75</v>
      </c>
      <c r="E1068">
        <v>2019</v>
      </c>
      <c r="F1068">
        <v>2020</v>
      </c>
      <c r="G1068" t="str">
        <f>IFERROR(INDEX(Formulations[Formulation],MATCH($C1068,Formulations[Product Code],0)),"")</f>
        <v>Gold</v>
      </c>
    </row>
    <row r="1069" spans="1:7" x14ac:dyDescent="0.3">
      <c r="A1069" t="s">
        <v>622</v>
      </c>
      <c r="B1069" t="s">
        <v>639</v>
      </c>
      <c r="C1069" t="s">
        <v>640</v>
      </c>
      <c r="D1069" s="7">
        <v>75</v>
      </c>
      <c r="E1069">
        <v>2019</v>
      </c>
      <c r="F1069">
        <v>2019</v>
      </c>
      <c r="G1069" t="str">
        <f>IFERROR(INDEX(Formulations[Formulation],MATCH($C1069,Formulations[Product Code],0)),"")</f>
        <v>Dolin 85% &amp; Powder Soap Extra 15%</v>
      </c>
    </row>
    <row r="1070" spans="1:7" x14ac:dyDescent="0.3">
      <c r="A1070" t="s">
        <v>659</v>
      </c>
      <c r="B1070" t="s">
        <v>269</v>
      </c>
      <c r="C1070" t="s">
        <v>270</v>
      </c>
      <c r="D1070" s="7">
        <v>75</v>
      </c>
      <c r="E1070">
        <v>2019</v>
      </c>
      <c r="F1070">
        <v>2020</v>
      </c>
      <c r="G1070" t="str">
        <f>IFERROR(INDEX(Formulations[Formulation],MATCH($C1070,Formulations[Product Code],0)),"")</f>
        <v>Pure</v>
      </c>
    </row>
    <row r="1071" spans="1:7" x14ac:dyDescent="0.3">
      <c r="A1071" t="s">
        <v>659</v>
      </c>
      <c r="B1071" t="s">
        <v>671</v>
      </c>
      <c r="C1071" t="s">
        <v>672</v>
      </c>
      <c r="D1071" s="7">
        <v>75</v>
      </c>
      <c r="E1071">
        <v>2019</v>
      </c>
      <c r="F1071">
        <v>2020</v>
      </c>
      <c r="G1071" t="str">
        <f>IFERROR(INDEX(Formulations[Formulation],MATCH($C1071,Formulations[Product Code],0)),"")</f>
        <v>Pure</v>
      </c>
    </row>
    <row r="1072" spans="1:7" x14ac:dyDescent="0.3">
      <c r="A1072" t="s">
        <v>659</v>
      </c>
      <c r="B1072" t="s">
        <v>681</v>
      </c>
      <c r="C1072" t="s">
        <v>682</v>
      </c>
      <c r="D1072" s="7">
        <v>75</v>
      </c>
      <c r="E1072">
        <v>2019</v>
      </c>
      <c r="F1072">
        <v>2020</v>
      </c>
      <c r="G1072" t="str">
        <f>IFERROR(INDEX(Formulations[Formulation],MATCH($C1072,Formulations[Product Code],0)),"")</f>
        <v/>
      </c>
    </row>
    <row r="1073" spans="1:7" x14ac:dyDescent="0.3">
      <c r="A1073" t="s">
        <v>695</v>
      </c>
      <c r="B1073" t="s">
        <v>696</v>
      </c>
      <c r="C1073" t="s">
        <v>697</v>
      </c>
      <c r="D1073" s="7">
        <v>75</v>
      </c>
      <c r="E1073">
        <v>2017</v>
      </c>
      <c r="F1073">
        <v>2017</v>
      </c>
      <c r="G1073" t="str">
        <f>IFERROR(INDEX(Formulations[Formulation],MATCH($C1073,Formulations[Product Code],0)),"")</f>
        <v/>
      </c>
    </row>
    <row r="1074" spans="1:7" x14ac:dyDescent="0.3">
      <c r="A1074" t="s">
        <v>712</v>
      </c>
      <c r="B1074" t="s">
        <v>602</v>
      </c>
      <c r="C1074" t="s">
        <v>603</v>
      </c>
      <c r="D1074" s="7">
        <v>75</v>
      </c>
      <c r="E1074">
        <v>2011</v>
      </c>
      <c r="F1074">
        <v>2021</v>
      </c>
      <c r="G1074" t="str">
        <f>IFERROR(INDEX(Formulations[Formulation],MATCH($C1074,Formulations[Product Code],0)),"")</f>
        <v>Crystal</v>
      </c>
    </row>
    <row r="1075" spans="1:7" x14ac:dyDescent="0.3">
      <c r="A1075" t="s">
        <v>712</v>
      </c>
      <c r="B1075" t="s">
        <v>736</v>
      </c>
      <c r="C1075" t="s">
        <v>737</v>
      </c>
      <c r="D1075" s="7">
        <v>75</v>
      </c>
      <c r="E1075">
        <v>2021</v>
      </c>
      <c r="F1075">
        <v>2021</v>
      </c>
      <c r="G1075" t="str">
        <f>IFERROR(INDEX(Formulations[Formulation],MATCH($C1075,Formulations[Product Code],0)),"")</f>
        <v>Flouramax40%, Strawberry 20%, Banana 20%g &amp; Cherry 20%</v>
      </c>
    </row>
    <row r="1076" spans="1:7" x14ac:dyDescent="0.3">
      <c r="A1076" t="s">
        <v>712</v>
      </c>
      <c r="B1076" t="s">
        <v>740</v>
      </c>
      <c r="C1076" t="s">
        <v>259</v>
      </c>
      <c r="D1076" s="7">
        <v>75</v>
      </c>
      <c r="E1076">
        <v>2019</v>
      </c>
      <c r="F1076">
        <v>2020</v>
      </c>
      <c r="G1076" t="str">
        <f>IFERROR(INDEX(Formulations[Formulation],MATCH($C1076,Formulations[Product Code],0)),"")</f>
        <v>Pure</v>
      </c>
    </row>
    <row r="1077" spans="1:7" x14ac:dyDescent="0.3">
      <c r="A1077" t="s">
        <v>712</v>
      </c>
      <c r="B1077" t="s">
        <v>187</v>
      </c>
      <c r="C1077" t="s">
        <v>188</v>
      </c>
      <c r="D1077" s="7">
        <v>75</v>
      </c>
      <c r="E1077">
        <v>2016</v>
      </c>
      <c r="F1077">
        <v>2018</v>
      </c>
      <c r="G1077" t="str">
        <f>IFERROR(INDEX(Formulations[Formulation],MATCH($C1077,Formulations[Product Code],0)),"")</f>
        <v>Crystal</v>
      </c>
    </row>
    <row r="1078" spans="1:7" x14ac:dyDescent="0.3">
      <c r="A1078" t="s">
        <v>712</v>
      </c>
      <c r="B1078" t="s">
        <v>373</v>
      </c>
      <c r="C1078" t="s">
        <v>331</v>
      </c>
      <c r="D1078" s="7">
        <v>75</v>
      </c>
      <c r="E1078">
        <v>2020</v>
      </c>
      <c r="F1078">
        <v>2021</v>
      </c>
      <c r="G1078" t="str">
        <f>IFERROR(INDEX(Formulations[Formulation],MATCH($C1078,Formulations[Product Code],0)),"")</f>
        <v>35% oil</v>
      </c>
    </row>
    <row r="1079" spans="1:7" x14ac:dyDescent="0.3">
      <c r="A1079" t="s">
        <v>712</v>
      </c>
      <c r="B1079" t="s">
        <v>76</v>
      </c>
      <c r="C1079" t="s">
        <v>77</v>
      </c>
      <c r="D1079" s="7">
        <v>75</v>
      </c>
      <c r="E1079">
        <v>2018</v>
      </c>
      <c r="F1079">
        <v>2021</v>
      </c>
      <c r="G1079" t="str">
        <f>IFERROR(INDEX(Formulations[Formulation],MATCH($C1079,Formulations[Product Code],0)),"")</f>
        <v>Silver</v>
      </c>
    </row>
    <row r="1080" spans="1:7" x14ac:dyDescent="0.3">
      <c r="A1080" t="s">
        <v>712</v>
      </c>
      <c r="B1080" t="s">
        <v>498</v>
      </c>
      <c r="C1080" t="s">
        <v>499</v>
      </c>
      <c r="D1080" s="7">
        <v>75</v>
      </c>
      <c r="E1080">
        <v>2011</v>
      </c>
      <c r="F1080">
        <v>2016</v>
      </c>
      <c r="G1080" t="str">
        <f>IFERROR(INDEX(Formulations[Formulation],MATCH($C1080,Formulations[Product Code],0)),"")</f>
        <v>WS</v>
      </c>
    </row>
    <row r="1081" spans="1:7" x14ac:dyDescent="0.3">
      <c r="A1081" t="s">
        <v>781</v>
      </c>
      <c r="B1081" t="s">
        <v>671</v>
      </c>
      <c r="C1081" t="s">
        <v>672</v>
      </c>
      <c r="D1081" s="7">
        <v>75</v>
      </c>
      <c r="E1081">
        <v>2020</v>
      </c>
      <c r="F1081">
        <v>2021</v>
      </c>
      <c r="G1081" t="str">
        <f>IFERROR(INDEX(Formulations[Formulation],MATCH($C1081,Formulations[Product Code],0)),"")</f>
        <v>Pure</v>
      </c>
    </row>
    <row r="1082" spans="1:7" x14ac:dyDescent="0.3">
      <c r="A1082" t="s">
        <v>829</v>
      </c>
      <c r="B1082" t="s">
        <v>836</v>
      </c>
      <c r="C1082" t="s">
        <v>837</v>
      </c>
      <c r="D1082" s="7">
        <v>75</v>
      </c>
      <c r="E1082">
        <v>2021</v>
      </c>
      <c r="F1082">
        <v>2021</v>
      </c>
      <c r="G1082" t="str">
        <f>IFERROR(INDEX(Formulations[Formulation],MATCH($C1082,Formulations[Product Code],0)),"")</f>
        <v>Rose Petal A233185/ A415792</v>
      </c>
    </row>
    <row r="1083" spans="1:7" x14ac:dyDescent="0.3">
      <c r="A1083" t="s">
        <v>829</v>
      </c>
      <c r="B1083" t="s">
        <v>483</v>
      </c>
      <c r="C1083" t="s">
        <v>484</v>
      </c>
      <c r="D1083" s="7">
        <v>75</v>
      </c>
      <c r="E1083">
        <v>2020</v>
      </c>
      <c r="F1083">
        <v>2021</v>
      </c>
      <c r="G1083" t="str">
        <f>IFERROR(INDEX(Formulations[Formulation],MATCH($C1083,Formulations[Product Code],0)),"")</f>
        <v>Crystal</v>
      </c>
    </row>
    <row r="1084" spans="1:7" x14ac:dyDescent="0.3">
      <c r="A1084" t="s">
        <v>884</v>
      </c>
      <c r="B1084" t="s">
        <v>196</v>
      </c>
      <c r="C1084" t="s">
        <v>197</v>
      </c>
      <c r="D1084" s="7">
        <v>75</v>
      </c>
      <c r="E1084">
        <v>2017</v>
      </c>
      <c r="F1084">
        <v>2018</v>
      </c>
      <c r="G1084" t="str">
        <f>IFERROR(INDEX(Formulations[Formulation],MATCH($C1084,Formulations[Product Code],0)),"")</f>
        <v/>
      </c>
    </row>
    <row r="1085" spans="1:7" x14ac:dyDescent="0.3">
      <c r="A1085" t="s">
        <v>919</v>
      </c>
      <c r="B1085" t="s">
        <v>12</v>
      </c>
      <c r="C1085" t="s">
        <v>13</v>
      </c>
      <c r="D1085" s="7">
        <v>75</v>
      </c>
      <c r="E1085">
        <v>2020</v>
      </c>
      <c r="F1085">
        <v>2020</v>
      </c>
      <c r="G1085" t="str">
        <f>IFERROR(INDEX(Formulations[Formulation],MATCH($C1085,Formulations[Product Code],0)),"")</f>
        <v>Crystal</v>
      </c>
    </row>
    <row r="1086" spans="1:7" x14ac:dyDescent="0.3">
      <c r="A1086" t="s">
        <v>923</v>
      </c>
      <c r="B1086" t="s">
        <v>932</v>
      </c>
      <c r="C1086" t="s">
        <v>598</v>
      </c>
      <c r="D1086" s="7">
        <v>75</v>
      </c>
      <c r="E1086">
        <v>2019</v>
      </c>
      <c r="F1086">
        <v>2020</v>
      </c>
      <c r="G1086" t="str">
        <f>IFERROR(INDEX(Formulations[Formulation],MATCH($C1086,Formulations[Product Code],0)),"")</f>
        <v>Silver</v>
      </c>
    </row>
    <row r="1087" spans="1:7" x14ac:dyDescent="0.3">
      <c r="A1087" t="s">
        <v>1027</v>
      </c>
      <c r="B1087" t="s">
        <v>668</v>
      </c>
      <c r="C1087" t="s">
        <v>669</v>
      </c>
      <c r="D1087" s="7">
        <v>75</v>
      </c>
      <c r="E1087">
        <v>2020</v>
      </c>
      <c r="F1087">
        <v>2020</v>
      </c>
      <c r="G1087" t="str">
        <f>IFERROR(INDEX(Formulations[Formulation],MATCH($C1087,Formulations[Product Code],0)),"")</f>
        <v>Crystal</v>
      </c>
    </row>
    <row r="1088" spans="1:7" x14ac:dyDescent="0.3">
      <c r="A1088" t="s">
        <v>1102</v>
      </c>
      <c r="B1088" t="s">
        <v>246</v>
      </c>
      <c r="C1088" t="s">
        <v>247</v>
      </c>
      <c r="D1088" s="7">
        <v>75</v>
      </c>
      <c r="E1088">
        <v>2019</v>
      </c>
      <c r="F1088">
        <v>2020</v>
      </c>
      <c r="G1088" t="str">
        <f>IFERROR(INDEX(Formulations[Formulation],MATCH($C1088,Formulations[Product Code],0)),"")</f>
        <v>Crystal</v>
      </c>
    </row>
    <row r="1089" spans="1:7" x14ac:dyDescent="0.3">
      <c r="A1089" t="s">
        <v>1102</v>
      </c>
      <c r="B1089" t="s">
        <v>1104</v>
      </c>
      <c r="C1089" t="s">
        <v>1105</v>
      </c>
      <c r="D1089" s="7">
        <v>75</v>
      </c>
      <c r="E1089">
        <v>2019</v>
      </c>
      <c r="F1089">
        <v>2020</v>
      </c>
      <c r="G1089" t="str">
        <f>IFERROR(INDEX(Formulations[Formulation],MATCH($C1089,Formulations[Product Code],0)),"")</f>
        <v>Silver</v>
      </c>
    </row>
    <row r="1090" spans="1:7" x14ac:dyDescent="0.3">
      <c r="A1090" t="s">
        <v>1111</v>
      </c>
      <c r="B1090" t="s">
        <v>721</v>
      </c>
      <c r="C1090" t="s">
        <v>722</v>
      </c>
      <c r="D1090" s="7">
        <v>75</v>
      </c>
      <c r="E1090">
        <v>2011</v>
      </c>
      <c r="F1090">
        <v>2012</v>
      </c>
      <c r="G1090" t="str">
        <f>IFERROR(INDEX(Formulations[Formulation],MATCH($C1090,Formulations[Product Code],0)),"")</f>
        <v>Pure</v>
      </c>
    </row>
    <row r="1091" spans="1:7" x14ac:dyDescent="0.3">
      <c r="A1091" t="s">
        <v>1149</v>
      </c>
      <c r="B1091" t="s">
        <v>46</v>
      </c>
      <c r="C1091" t="s">
        <v>47</v>
      </c>
      <c r="D1091" s="7">
        <v>75</v>
      </c>
      <c r="E1091">
        <v>2014</v>
      </c>
      <c r="F1091">
        <v>2015</v>
      </c>
      <c r="G1091" t="str">
        <f>IFERROR(INDEX(Formulations[Formulation],MATCH($C1091,Formulations[Product Code],0)),"")</f>
        <v/>
      </c>
    </row>
    <row r="1092" spans="1:7" x14ac:dyDescent="0.3">
      <c r="A1092" t="s">
        <v>1225</v>
      </c>
      <c r="B1092" t="s">
        <v>666</v>
      </c>
      <c r="C1092" t="s">
        <v>667</v>
      </c>
      <c r="D1092" s="7">
        <v>75</v>
      </c>
      <c r="E1092">
        <v>2020</v>
      </c>
      <c r="F1092">
        <v>2020</v>
      </c>
      <c r="G1092" t="str">
        <f>IFERROR(INDEX(Formulations[Formulation],MATCH($C1092,Formulations[Product Code],0)),"")</f>
        <v/>
      </c>
    </row>
    <row r="1093" spans="1:7" x14ac:dyDescent="0.3">
      <c r="A1093" t="s">
        <v>1399</v>
      </c>
      <c r="B1093" t="s">
        <v>30</v>
      </c>
      <c r="C1093" t="s">
        <v>31</v>
      </c>
      <c r="D1093" s="7">
        <v>75</v>
      </c>
      <c r="E1093">
        <v>2020</v>
      </c>
      <c r="F1093">
        <v>2020</v>
      </c>
      <c r="G1093" t="str">
        <f>IFERROR(INDEX(Formulations[Formulation],MATCH($C1093,Formulations[Product Code],0)),"")</f>
        <v>Pure</v>
      </c>
    </row>
    <row r="1094" spans="1:7" x14ac:dyDescent="0.3">
      <c r="A1094" t="s">
        <v>1439</v>
      </c>
      <c r="B1094" t="s">
        <v>1443</v>
      </c>
      <c r="C1094" t="s">
        <v>1444</v>
      </c>
      <c r="D1094" s="7">
        <v>75</v>
      </c>
      <c r="E1094">
        <v>2014</v>
      </c>
      <c r="F1094">
        <v>2015</v>
      </c>
      <c r="G1094" t="str">
        <f>IFERROR(INDEX(Formulations[Formulation],MATCH($C1094,Formulations[Product Code],0)),"")</f>
        <v/>
      </c>
    </row>
    <row r="1095" spans="1:7" x14ac:dyDescent="0.3">
      <c r="A1095" t="s">
        <v>1439</v>
      </c>
      <c r="B1095" t="s">
        <v>1446</v>
      </c>
      <c r="C1095" t="s">
        <v>814</v>
      </c>
      <c r="D1095" s="7">
        <v>75</v>
      </c>
      <c r="E1095">
        <v>2018</v>
      </c>
      <c r="F1095">
        <v>2018</v>
      </c>
      <c r="G1095" t="str">
        <f>IFERROR(INDEX(Formulations[Formulation],MATCH($C1095,Formulations[Product Code],0)),"")</f>
        <v>WS</v>
      </c>
    </row>
    <row r="1096" spans="1:7" x14ac:dyDescent="0.3">
      <c r="A1096" t="s">
        <v>1459</v>
      </c>
      <c r="B1096" t="s">
        <v>269</v>
      </c>
      <c r="C1096" t="s">
        <v>270</v>
      </c>
      <c r="D1096" s="7">
        <v>75</v>
      </c>
      <c r="E1096">
        <v>2013</v>
      </c>
      <c r="F1096">
        <v>2015</v>
      </c>
      <c r="G1096" t="str">
        <f>IFERROR(INDEX(Formulations[Formulation],MATCH($C1096,Formulations[Product Code],0)),"")</f>
        <v>Pure</v>
      </c>
    </row>
    <row r="1097" spans="1:7" x14ac:dyDescent="0.3">
      <c r="A1097" t="s">
        <v>1664</v>
      </c>
      <c r="B1097" t="s">
        <v>174</v>
      </c>
      <c r="C1097" t="s">
        <v>175</v>
      </c>
      <c r="D1097" s="7">
        <v>75</v>
      </c>
      <c r="E1097">
        <v>2017</v>
      </c>
      <c r="F1097">
        <v>2017</v>
      </c>
      <c r="G1097" t="str">
        <f>IFERROR(INDEX(Formulations[Formulation],MATCH($C1097,Formulations[Product Code],0)),"")</f>
        <v/>
      </c>
    </row>
    <row r="1098" spans="1:7" x14ac:dyDescent="0.3">
      <c r="A1098" t="s">
        <v>1664</v>
      </c>
      <c r="B1098" t="s">
        <v>19</v>
      </c>
      <c r="C1098" t="s">
        <v>699</v>
      </c>
      <c r="D1098" s="7">
        <v>75</v>
      </c>
      <c r="E1098">
        <v>2017</v>
      </c>
      <c r="F1098">
        <v>2017</v>
      </c>
      <c r="G1098" t="str">
        <f>IFERROR(INDEX(Formulations[Formulation],MATCH($C1098,Formulations[Product Code],0)),"")</f>
        <v/>
      </c>
    </row>
    <row r="1099" spans="1:7" x14ac:dyDescent="0.3">
      <c r="A1099" t="s">
        <v>1693</v>
      </c>
      <c r="B1099" t="s">
        <v>610</v>
      </c>
      <c r="C1099" t="s">
        <v>611</v>
      </c>
      <c r="D1099" s="7">
        <v>75</v>
      </c>
      <c r="E1099">
        <v>2017</v>
      </c>
      <c r="F1099">
        <v>2018</v>
      </c>
      <c r="G1099" t="str">
        <f>IFERROR(INDEX(Formulations[Formulation],MATCH($C1099,Formulations[Product Code],0)),"")</f>
        <v/>
      </c>
    </row>
    <row r="1100" spans="1:7" x14ac:dyDescent="0.3">
      <c r="A1100" t="s">
        <v>1697</v>
      </c>
      <c r="B1100" t="s">
        <v>265</v>
      </c>
      <c r="C1100" t="s">
        <v>197</v>
      </c>
      <c r="D1100" s="7">
        <v>75</v>
      </c>
      <c r="E1100">
        <v>2018</v>
      </c>
      <c r="F1100">
        <v>2019</v>
      </c>
      <c r="G1100" t="str">
        <f>IFERROR(INDEX(Formulations[Formulation],MATCH($C1100,Formulations[Product Code],0)),"")</f>
        <v/>
      </c>
    </row>
    <row r="1101" spans="1:7" x14ac:dyDescent="0.3">
      <c r="A1101" t="s">
        <v>1697</v>
      </c>
      <c r="B1101" t="s">
        <v>12</v>
      </c>
      <c r="C1101" t="s">
        <v>13</v>
      </c>
      <c r="D1101" s="7">
        <v>75</v>
      </c>
      <c r="E1101">
        <v>2021</v>
      </c>
      <c r="F1101">
        <v>2021</v>
      </c>
      <c r="G1101" t="str">
        <f>IFERROR(INDEX(Formulations[Formulation],MATCH($C1101,Formulations[Product Code],0)),"")</f>
        <v>Crystal</v>
      </c>
    </row>
    <row r="1102" spans="1:7" x14ac:dyDescent="0.3">
      <c r="A1102" t="s">
        <v>1700</v>
      </c>
      <c r="B1102" t="s">
        <v>24</v>
      </c>
      <c r="C1102" t="s">
        <v>25</v>
      </c>
      <c r="D1102" s="7">
        <v>75</v>
      </c>
      <c r="E1102">
        <v>2015</v>
      </c>
      <c r="F1102">
        <v>2017</v>
      </c>
      <c r="G1102" t="str">
        <f>IFERROR(INDEX(Formulations[Formulation],MATCH($C1102,Formulations[Product Code],0)),"")</f>
        <v>citropine 85%/Pinefresh 15%</v>
      </c>
    </row>
    <row r="1103" spans="1:7" x14ac:dyDescent="0.3">
      <c r="A1103" t="s">
        <v>1721</v>
      </c>
      <c r="B1103" t="s">
        <v>184</v>
      </c>
      <c r="C1103" t="s">
        <v>185</v>
      </c>
      <c r="D1103" s="7">
        <v>75</v>
      </c>
      <c r="E1103">
        <v>2016</v>
      </c>
      <c r="F1103">
        <v>2016</v>
      </c>
      <c r="G1103" t="str">
        <f>IFERROR(INDEX(Formulations[Formulation],MATCH($C1103,Formulations[Product Code],0)),"")</f>
        <v/>
      </c>
    </row>
    <row r="1104" spans="1:7" x14ac:dyDescent="0.3">
      <c r="A1104" t="s">
        <v>1743</v>
      </c>
      <c r="B1104" t="s">
        <v>643</v>
      </c>
      <c r="C1104" t="s">
        <v>644</v>
      </c>
      <c r="D1104" s="7">
        <v>75</v>
      </c>
      <c r="E1104">
        <v>2018</v>
      </c>
      <c r="F1104">
        <v>2021</v>
      </c>
      <c r="G1104" t="str">
        <f>IFERROR(INDEX(Formulations[Formulation],MATCH($C1104,Formulations[Product Code],0)),"")</f>
        <v>Crystal</v>
      </c>
    </row>
    <row r="1105" spans="1:7" x14ac:dyDescent="0.3">
      <c r="A1105" t="s">
        <v>1761</v>
      </c>
      <c r="B1105" t="s">
        <v>184</v>
      </c>
      <c r="C1105" t="s">
        <v>185</v>
      </c>
      <c r="D1105" s="7">
        <v>75</v>
      </c>
      <c r="E1105">
        <v>2014</v>
      </c>
      <c r="F1105">
        <v>2015</v>
      </c>
      <c r="G1105" t="str">
        <f>IFERROR(INDEX(Formulations[Formulation],MATCH($C1105,Formulations[Product Code],0)),"")</f>
        <v/>
      </c>
    </row>
    <row r="1106" spans="1:7" x14ac:dyDescent="0.3">
      <c r="A1106" t="s">
        <v>1784</v>
      </c>
      <c r="B1106" t="s">
        <v>82</v>
      </c>
      <c r="C1106" t="s">
        <v>83</v>
      </c>
      <c r="D1106" s="7">
        <v>75</v>
      </c>
      <c r="E1106">
        <v>2013</v>
      </c>
      <c r="F1106">
        <v>2017</v>
      </c>
      <c r="G1106" t="str">
        <f>IFERROR(INDEX(Formulations[Formulation],MATCH($C1106,Formulations[Product Code],0)),"")</f>
        <v>Pure</v>
      </c>
    </row>
    <row r="1107" spans="1:7" x14ac:dyDescent="0.3">
      <c r="A1107" t="s">
        <v>1799</v>
      </c>
      <c r="B1107" t="s">
        <v>714</v>
      </c>
      <c r="C1107" t="s">
        <v>715</v>
      </c>
      <c r="D1107" s="7">
        <v>75</v>
      </c>
      <c r="E1107">
        <v>2017</v>
      </c>
      <c r="F1107">
        <v>2018</v>
      </c>
      <c r="G1107" t="str">
        <f>IFERROR(INDEX(Formulations[Formulation],MATCH($C1107,Formulations[Product Code],0)),"")</f>
        <v/>
      </c>
    </row>
    <row r="1108" spans="1:7" x14ac:dyDescent="0.3">
      <c r="A1108" t="s">
        <v>1799</v>
      </c>
      <c r="B1108" t="s">
        <v>716</v>
      </c>
      <c r="C1108" t="s">
        <v>717</v>
      </c>
      <c r="D1108" s="7">
        <v>75</v>
      </c>
      <c r="E1108">
        <v>2019</v>
      </c>
      <c r="F1108">
        <v>2020</v>
      </c>
      <c r="G1108" t="str">
        <f>IFERROR(INDEX(Formulations[Formulation],MATCH($C1108,Formulations[Product Code],0)),"")</f>
        <v>Pure</v>
      </c>
    </row>
    <row r="1109" spans="1:7" x14ac:dyDescent="0.3">
      <c r="A1109" t="s">
        <v>1799</v>
      </c>
      <c r="B1109" t="s">
        <v>536</v>
      </c>
      <c r="C1109" t="s">
        <v>537</v>
      </c>
      <c r="D1109" s="7">
        <v>75</v>
      </c>
      <c r="E1109">
        <v>2019</v>
      </c>
      <c r="F1109">
        <v>2020</v>
      </c>
      <c r="G1109" t="str">
        <f>IFERROR(INDEX(Formulations[Formulation],MATCH($C1109,Formulations[Product Code],0)),"")</f>
        <v>Silver</v>
      </c>
    </row>
    <row r="1110" spans="1:7" x14ac:dyDescent="0.3">
      <c r="A1110" t="s">
        <v>1808</v>
      </c>
      <c r="B1110" t="s">
        <v>639</v>
      </c>
      <c r="C1110" t="s">
        <v>640</v>
      </c>
      <c r="D1110" s="7">
        <v>75</v>
      </c>
      <c r="E1110">
        <v>2016</v>
      </c>
      <c r="F1110">
        <v>2017</v>
      </c>
      <c r="G1110" t="str">
        <f>IFERROR(INDEX(Formulations[Formulation],MATCH($C1110,Formulations[Product Code],0)),"")</f>
        <v>Dolin 85% &amp; Powder Soap Extra 15%</v>
      </c>
    </row>
    <row r="1111" spans="1:7" x14ac:dyDescent="0.3">
      <c r="A1111" t="s">
        <v>1810</v>
      </c>
      <c r="B1111" t="s">
        <v>438</v>
      </c>
      <c r="C1111" t="s">
        <v>439</v>
      </c>
      <c r="D1111" s="7">
        <v>75</v>
      </c>
      <c r="E1111">
        <v>2016</v>
      </c>
      <c r="F1111">
        <v>2016</v>
      </c>
      <c r="G1111" t="str">
        <f>IFERROR(INDEX(Formulations[Formulation],MATCH($C1111,Formulations[Product Code],0)),"")</f>
        <v>Pure</v>
      </c>
    </row>
    <row r="1112" spans="1:7" x14ac:dyDescent="0.3">
      <c r="A1112" t="s">
        <v>1810</v>
      </c>
      <c r="B1112" t="s">
        <v>1452</v>
      </c>
      <c r="C1112" t="s">
        <v>1453</v>
      </c>
      <c r="D1112" s="7">
        <v>75</v>
      </c>
      <c r="E1112">
        <v>2016</v>
      </c>
      <c r="F1112">
        <v>2016</v>
      </c>
      <c r="G1112" t="str">
        <f>IFERROR(INDEX(Formulations[Formulation],MATCH($C1112,Formulations[Product Code],0)),"")</f>
        <v/>
      </c>
    </row>
    <row r="1113" spans="1:7" x14ac:dyDescent="0.3">
      <c r="A1113" t="s">
        <v>1818</v>
      </c>
      <c r="B1113" t="s">
        <v>349</v>
      </c>
      <c r="C1113" t="s">
        <v>350</v>
      </c>
      <c r="D1113" s="7">
        <v>75</v>
      </c>
      <c r="E1113">
        <v>2015</v>
      </c>
      <c r="F1113">
        <v>2017</v>
      </c>
      <c r="G1113" t="str">
        <f>IFERROR(INDEX(Formulations[Formulation],MATCH($C1113,Formulations[Product Code],0)),"")</f>
        <v/>
      </c>
    </row>
    <row r="1114" spans="1:7" x14ac:dyDescent="0.3">
      <c r="A1114" t="s">
        <v>1822</v>
      </c>
      <c r="B1114" t="s">
        <v>1824</v>
      </c>
      <c r="D1114" s="7">
        <v>75</v>
      </c>
      <c r="E1114">
        <v>2021</v>
      </c>
      <c r="F1114">
        <v>2021</v>
      </c>
      <c r="G1114" t="str">
        <f>IFERROR(INDEX(Formulations[Formulation],MATCH($C1114,Formulations[Product Code],0)),"")</f>
        <v/>
      </c>
    </row>
    <row r="1115" spans="1:7" x14ac:dyDescent="0.3">
      <c r="A1115" t="s">
        <v>1833</v>
      </c>
      <c r="B1115" t="s">
        <v>1834</v>
      </c>
      <c r="C1115" t="s">
        <v>1835</v>
      </c>
      <c r="D1115" s="7">
        <v>75</v>
      </c>
      <c r="E1115">
        <v>2011</v>
      </c>
      <c r="F1115">
        <v>2011</v>
      </c>
      <c r="G1115" t="str">
        <f>IFERROR(INDEX(Formulations[Formulation],MATCH($C1115,Formulations[Product Code],0)),"")</f>
        <v/>
      </c>
    </row>
    <row r="1116" spans="1:7" x14ac:dyDescent="0.3">
      <c r="A1116" t="s">
        <v>1833</v>
      </c>
      <c r="B1116" t="s">
        <v>46</v>
      </c>
      <c r="C1116" t="s">
        <v>47</v>
      </c>
      <c r="D1116" s="7">
        <v>75</v>
      </c>
      <c r="E1116">
        <v>2016</v>
      </c>
      <c r="F1116">
        <v>2018</v>
      </c>
      <c r="G1116" t="str">
        <f>IFERROR(INDEX(Formulations[Formulation],MATCH($C1116,Formulations[Product Code],0)),"")</f>
        <v/>
      </c>
    </row>
    <row r="1117" spans="1:7" x14ac:dyDescent="0.3">
      <c r="A1117" t="s">
        <v>1838</v>
      </c>
      <c r="B1117" t="s">
        <v>631</v>
      </c>
      <c r="C1117" t="s">
        <v>632</v>
      </c>
      <c r="D1117" s="7">
        <v>75</v>
      </c>
      <c r="E1117">
        <v>2017</v>
      </c>
      <c r="F1117">
        <v>2017</v>
      </c>
      <c r="G1117" t="str">
        <f>IFERROR(INDEX(Formulations[Formulation],MATCH($C1117,Formulations[Product Code],0)),"")</f>
        <v/>
      </c>
    </row>
    <row r="1118" spans="1:7" x14ac:dyDescent="0.3">
      <c r="A1118" t="s">
        <v>1855</v>
      </c>
      <c r="B1118" t="s">
        <v>46</v>
      </c>
      <c r="C1118" t="s">
        <v>47</v>
      </c>
      <c r="D1118" s="7">
        <v>75</v>
      </c>
      <c r="E1118">
        <v>2011</v>
      </c>
      <c r="F1118">
        <v>2012</v>
      </c>
      <c r="G1118" t="str">
        <f>IFERROR(INDEX(Formulations[Formulation],MATCH($C1118,Formulations[Product Code],0)),"")</f>
        <v/>
      </c>
    </row>
    <row r="1119" spans="1:7" x14ac:dyDescent="0.3">
      <c r="A1119" t="s">
        <v>1865</v>
      </c>
      <c r="B1119" t="s">
        <v>110</v>
      </c>
      <c r="C1119" t="s">
        <v>111</v>
      </c>
      <c r="D1119" s="7">
        <v>75</v>
      </c>
      <c r="E1119">
        <v>2019</v>
      </c>
      <c r="F1119">
        <v>2019</v>
      </c>
      <c r="G1119" t="str">
        <f>IFERROR(INDEX(Formulations[Formulation],MATCH($C1119,Formulations[Product Code],0)),"")</f>
        <v>75% Lemon Zeste, 25% lemon Top &amp; the Gold DPG)</v>
      </c>
    </row>
    <row r="1120" spans="1:7" x14ac:dyDescent="0.3">
      <c r="A1120" t="s">
        <v>1866</v>
      </c>
      <c r="B1120" t="s">
        <v>41</v>
      </c>
      <c r="C1120" t="s">
        <v>63</v>
      </c>
      <c r="D1120" s="7">
        <v>75</v>
      </c>
      <c r="E1120">
        <v>2012</v>
      </c>
      <c r="F1120">
        <v>2015</v>
      </c>
      <c r="G1120" t="str">
        <f>IFERROR(INDEX(Formulations[Formulation],MATCH($C1120,Formulations[Product Code],0)),"")</f>
        <v>Crystal</v>
      </c>
    </row>
    <row r="1121" spans="1:7" x14ac:dyDescent="0.3">
      <c r="A1121" t="s">
        <v>1871</v>
      </c>
      <c r="B1121" t="s">
        <v>19</v>
      </c>
      <c r="C1121" t="s">
        <v>699</v>
      </c>
      <c r="D1121" s="7">
        <v>75</v>
      </c>
      <c r="E1121">
        <v>2016</v>
      </c>
      <c r="F1121">
        <v>2016</v>
      </c>
      <c r="G1121" t="str">
        <f>IFERROR(INDEX(Formulations[Formulation],MATCH($C1121,Formulations[Product Code],0)),"")</f>
        <v/>
      </c>
    </row>
    <row r="1122" spans="1:7" x14ac:dyDescent="0.3">
      <c r="A1122" t="s">
        <v>1895</v>
      </c>
      <c r="B1122" t="s">
        <v>297</v>
      </c>
      <c r="C1122" t="s">
        <v>298</v>
      </c>
      <c r="D1122" s="7">
        <v>75</v>
      </c>
      <c r="E1122">
        <v>2011</v>
      </c>
      <c r="F1122">
        <v>2019</v>
      </c>
      <c r="G1122" t="str">
        <f>IFERROR(INDEX(Formulations[Formulation],MATCH($C1122,Formulations[Product Code],0)),"")</f>
        <v>Pure</v>
      </c>
    </row>
    <row r="1123" spans="1:7" x14ac:dyDescent="0.3">
      <c r="A1123" t="s">
        <v>1906</v>
      </c>
      <c r="B1123" t="s">
        <v>41</v>
      </c>
      <c r="C1123" t="s">
        <v>776</v>
      </c>
      <c r="D1123" s="7">
        <v>75</v>
      </c>
      <c r="E1123">
        <v>2013</v>
      </c>
      <c r="F1123">
        <v>2014</v>
      </c>
      <c r="G1123" t="str">
        <f>IFERROR(INDEX(Formulations[Formulation],MATCH($C1123,Formulations[Product Code],0)),"")</f>
        <v/>
      </c>
    </row>
    <row r="1124" spans="1:7" x14ac:dyDescent="0.3">
      <c r="A1124" t="s">
        <v>1906</v>
      </c>
      <c r="B1124" t="s">
        <v>995</v>
      </c>
      <c r="C1124" t="s">
        <v>672</v>
      </c>
      <c r="D1124" s="7">
        <v>75</v>
      </c>
      <c r="E1124">
        <v>2018</v>
      </c>
      <c r="F1124">
        <v>2019</v>
      </c>
      <c r="G1124" t="str">
        <f>IFERROR(INDEX(Formulations[Formulation],MATCH($C1124,Formulations[Product Code],0)),"")</f>
        <v>Pure</v>
      </c>
    </row>
    <row r="1125" spans="1:7" x14ac:dyDescent="0.3">
      <c r="A1125" t="s">
        <v>1906</v>
      </c>
      <c r="B1125" t="s">
        <v>473</v>
      </c>
      <c r="C1125" t="s">
        <v>747</v>
      </c>
      <c r="D1125" s="7">
        <v>75</v>
      </c>
      <c r="E1125">
        <v>2012</v>
      </c>
      <c r="F1125">
        <v>2014</v>
      </c>
      <c r="G1125" t="str">
        <f>IFERROR(INDEX(Formulations[Formulation],MATCH($C1125,Formulations[Product Code],0)),"")</f>
        <v/>
      </c>
    </row>
    <row r="1126" spans="1:7" x14ac:dyDescent="0.3">
      <c r="A1126" t="s">
        <v>1911</v>
      </c>
      <c r="B1126" t="s">
        <v>471</v>
      </c>
      <c r="C1126" t="s">
        <v>1912</v>
      </c>
      <c r="D1126" s="7">
        <v>75</v>
      </c>
      <c r="E1126">
        <v>2015</v>
      </c>
      <c r="F1126">
        <v>2019</v>
      </c>
      <c r="G1126" t="str">
        <f>IFERROR(INDEX(Formulations[Formulation],MATCH($C1126,Formulations[Product Code],0)),"")</f>
        <v/>
      </c>
    </row>
    <row r="1127" spans="1:7" x14ac:dyDescent="0.3">
      <c r="A1127" t="s">
        <v>1911</v>
      </c>
      <c r="B1127" t="s">
        <v>12</v>
      </c>
      <c r="C1127" t="s">
        <v>13</v>
      </c>
      <c r="D1127" s="7">
        <v>75</v>
      </c>
      <c r="E1127">
        <v>2015</v>
      </c>
      <c r="F1127">
        <v>2017</v>
      </c>
      <c r="G1127" t="str">
        <f>IFERROR(INDEX(Formulations[Formulation],MATCH($C1127,Formulations[Product Code],0)),"")</f>
        <v>Crystal</v>
      </c>
    </row>
    <row r="1128" spans="1:7" x14ac:dyDescent="0.3">
      <c r="A1128" t="s">
        <v>1920</v>
      </c>
      <c r="B1128" t="s">
        <v>1922</v>
      </c>
      <c r="C1128" t="s">
        <v>1923</v>
      </c>
      <c r="D1128" s="7">
        <v>75</v>
      </c>
      <c r="E1128">
        <v>2010</v>
      </c>
      <c r="F1128">
        <v>2015</v>
      </c>
      <c r="G1128" t="str">
        <f>IFERROR(INDEX(Formulations[Formulation],MATCH($C1128,Formulations[Product Code],0)),"")</f>
        <v/>
      </c>
    </row>
    <row r="1129" spans="1:7" x14ac:dyDescent="0.3">
      <c r="A1129" t="s">
        <v>1926</v>
      </c>
      <c r="B1129" t="s">
        <v>16</v>
      </c>
      <c r="C1129" t="s">
        <v>17</v>
      </c>
      <c r="D1129" s="7">
        <v>75</v>
      </c>
      <c r="E1129">
        <v>2020</v>
      </c>
      <c r="F1129">
        <v>2021</v>
      </c>
      <c r="G1129" t="str">
        <f>IFERROR(INDEX(Formulations[Formulation],MATCH($C1129,Formulations[Product Code],0)),"")</f>
        <v>Crystal</v>
      </c>
    </row>
    <row r="1130" spans="1:7" x14ac:dyDescent="0.3">
      <c r="A1130" t="s">
        <v>1957</v>
      </c>
      <c r="B1130" t="s">
        <v>528</v>
      </c>
      <c r="C1130" t="s">
        <v>529</v>
      </c>
      <c r="D1130" s="7">
        <v>75</v>
      </c>
      <c r="E1130">
        <v>2011</v>
      </c>
      <c r="F1130">
        <v>2011</v>
      </c>
      <c r="G1130" t="str">
        <f>IFERROR(INDEX(Formulations[Formulation],MATCH($C1130,Formulations[Product Code],0)),"")</f>
        <v>Crystal</v>
      </c>
    </row>
    <row r="1131" spans="1:7" x14ac:dyDescent="0.3">
      <c r="A1131" t="s">
        <v>2012</v>
      </c>
      <c r="B1131" t="s">
        <v>184</v>
      </c>
      <c r="C1131" t="s">
        <v>185</v>
      </c>
      <c r="D1131" s="7">
        <v>75</v>
      </c>
      <c r="E1131">
        <v>2010</v>
      </c>
      <c r="F1131">
        <v>2011</v>
      </c>
      <c r="G1131" t="str">
        <f>IFERROR(INDEX(Formulations[Formulation],MATCH($C1131,Formulations[Product Code],0)),"")</f>
        <v/>
      </c>
    </row>
    <row r="1132" spans="1:7" x14ac:dyDescent="0.3">
      <c r="A1132" t="s">
        <v>2020</v>
      </c>
      <c r="B1132" t="s">
        <v>624</v>
      </c>
      <c r="C1132" t="s">
        <v>625</v>
      </c>
      <c r="D1132" s="7">
        <v>75</v>
      </c>
      <c r="E1132">
        <v>2017</v>
      </c>
      <c r="F1132">
        <v>2019</v>
      </c>
      <c r="G1132" t="str">
        <f>IFERROR(INDEX(Formulations[Formulation],MATCH($C1132,Formulations[Product Code],0)),"")</f>
        <v>Crystal</v>
      </c>
    </row>
    <row r="1133" spans="1:7" x14ac:dyDescent="0.3">
      <c r="A1133" t="s">
        <v>2020</v>
      </c>
      <c r="B1133" t="s">
        <v>504</v>
      </c>
      <c r="C1133" t="s">
        <v>505</v>
      </c>
      <c r="D1133" s="7">
        <v>75</v>
      </c>
      <c r="E1133">
        <v>2019</v>
      </c>
      <c r="F1133">
        <v>2020</v>
      </c>
      <c r="G1133" t="str">
        <f>IFERROR(INDEX(Formulations[Formulation],MATCH($C1133,Formulations[Product Code],0)),"")</f>
        <v>Crystal</v>
      </c>
    </row>
    <row r="1134" spans="1:7" x14ac:dyDescent="0.3">
      <c r="A1134" t="s">
        <v>2020</v>
      </c>
      <c r="B1134" t="s">
        <v>2022</v>
      </c>
      <c r="C1134" t="s">
        <v>515</v>
      </c>
      <c r="D1134" s="7">
        <v>75</v>
      </c>
      <c r="E1134">
        <v>2019</v>
      </c>
      <c r="F1134">
        <v>2019</v>
      </c>
      <c r="G1134" t="str">
        <f>IFERROR(INDEX(Formulations[Formulation],MATCH($C1134,Formulations[Product Code],0)),"")</f>
        <v>Crystal</v>
      </c>
    </row>
    <row r="1135" spans="1:7" x14ac:dyDescent="0.3">
      <c r="A1135" t="s">
        <v>2020</v>
      </c>
      <c r="B1135" t="s">
        <v>1208</v>
      </c>
      <c r="C1135" t="s">
        <v>1209</v>
      </c>
      <c r="D1135" s="7">
        <v>75</v>
      </c>
      <c r="E1135">
        <v>2018</v>
      </c>
      <c r="F1135">
        <v>2019</v>
      </c>
      <c r="G1135" t="str">
        <f>IFERROR(INDEX(Formulations[Formulation],MATCH($C1135,Formulations[Product Code],0)),"")</f>
        <v/>
      </c>
    </row>
    <row r="1136" spans="1:7" x14ac:dyDescent="0.3">
      <c r="A1136" t="s">
        <v>2030</v>
      </c>
      <c r="B1136" t="s">
        <v>110</v>
      </c>
      <c r="C1136" t="s">
        <v>111</v>
      </c>
      <c r="D1136" s="7">
        <v>75</v>
      </c>
      <c r="E1136">
        <v>2017</v>
      </c>
      <c r="F1136">
        <v>2018</v>
      </c>
      <c r="G1136" t="str">
        <f>IFERROR(INDEX(Formulations[Formulation],MATCH($C1136,Formulations[Product Code],0)),"")</f>
        <v>75% Lemon Zeste, 25% lemon Top &amp; the Gold DPG)</v>
      </c>
    </row>
    <row r="1137" spans="1:7" x14ac:dyDescent="0.3">
      <c r="A1137" t="s">
        <v>2095</v>
      </c>
      <c r="B1137" t="s">
        <v>1671</v>
      </c>
      <c r="C1137" t="s">
        <v>1672</v>
      </c>
      <c r="D1137" s="7">
        <v>75</v>
      </c>
      <c r="E1137">
        <v>2017</v>
      </c>
      <c r="F1137">
        <v>2018</v>
      </c>
      <c r="G1137" t="str">
        <f>IFERROR(INDEX(Formulations[Formulation],MATCH($C1137,Formulations[Product Code],0)),"")</f>
        <v/>
      </c>
    </row>
    <row r="1138" spans="1:7" x14ac:dyDescent="0.3">
      <c r="A1138" t="s">
        <v>2097</v>
      </c>
      <c r="B1138" t="s">
        <v>635</v>
      </c>
      <c r="C1138" t="s">
        <v>636</v>
      </c>
      <c r="D1138" s="7">
        <v>75</v>
      </c>
      <c r="E1138">
        <v>2018</v>
      </c>
      <c r="F1138">
        <v>2019</v>
      </c>
      <c r="G1138" t="str">
        <f>IFERROR(INDEX(Formulations[Formulation],MATCH($C1138,Formulations[Product Code],0)),"")</f>
        <v>Pure</v>
      </c>
    </row>
    <row r="1139" spans="1:7" x14ac:dyDescent="0.3">
      <c r="A1139" t="s">
        <v>2097</v>
      </c>
      <c r="B1139" t="s">
        <v>643</v>
      </c>
      <c r="C1139" t="s">
        <v>644</v>
      </c>
      <c r="D1139" s="7">
        <v>75</v>
      </c>
      <c r="E1139">
        <v>2020</v>
      </c>
      <c r="F1139">
        <v>2020</v>
      </c>
      <c r="G1139" t="str">
        <f>IFERROR(INDEX(Formulations[Formulation],MATCH($C1139,Formulations[Product Code],0)),"")</f>
        <v>Crystal</v>
      </c>
    </row>
    <row r="1140" spans="1:7" x14ac:dyDescent="0.3">
      <c r="A1140" t="s">
        <v>2200</v>
      </c>
      <c r="B1140" t="s">
        <v>542</v>
      </c>
      <c r="C1140" t="s">
        <v>160</v>
      </c>
      <c r="D1140" s="7">
        <v>75</v>
      </c>
      <c r="E1140">
        <v>2020</v>
      </c>
      <c r="F1140">
        <v>2020</v>
      </c>
      <c r="G1140" t="str">
        <f>IFERROR(INDEX(Formulations[Formulation],MATCH($C1140,Formulations[Product Code],0)),"")</f>
        <v>Silver</v>
      </c>
    </row>
    <row r="1141" spans="1:7" x14ac:dyDescent="0.3">
      <c r="A1141" t="s">
        <v>2220</v>
      </c>
      <c r="B1141" t="s">
        <v>1464</v>
      </c>
      <c r="C1141" t="s">
        <v>1465</v>
      </c>
      <c r="D1141" s="7">
        <v>75</v>
      </c>
      <c r="E1141">
        <v>2014</v>
      </c>
      <c r="F1141">
        <v>2014</v>
      </c>
      <c r="G1141" t="str">
        <f>IFERROR(INDEX(Formulations[Formulation],MATCH($C1141,Formulations[Product Code],0)),"")</f>
        <v/>
      </c>
    </row>
    <row r="1142" spans="1:7" x14ac:dyDescent="0.3">
      <c r="A1142" t="s">
        <v>2290</v>
      </c>
      <c r="B1142" t="s">
        <v>39</v>
      </c>
      <c r="D1142" s="7">
        <v>75</v>
      </c>
      <c r="E1142">
        <v>2018</v>
      </c>
      <c r="F1142">
        <v>2020</v>
      </c>
      <c r="G1142" t="str">
        <f>IFERROR(INDEX(Formulations[Formulation],MATCH($C1142,Formulations[Product Code],0)),"")</f>
        <v/>
      </c>
    </row>
    <row r="1143" spans="1:7" x14ac:dyDescent="0.3">
      <c r="A1143" t="s">
        <v>2308</v>
      </c>
      <c r="B1143" t="s">
        <v>483</v>
      </c>
      <c r="C1143" t="s">
        <v>484</v>
      </c>
      <c r="D1143" s="7">
        <v>75</v>
      </c>
      <c r="E1143">
        <v>2019</v>
      </c>
      <c r="F1143">
        <v>2020</v>
      </c>
      <c r="G1143" t="str">
        <f>IFERROR(INDEX(Formulations[Formulation],MATCH($C1143,Formulations[Product Code],0)),"")</f>
        <v>Crystal</v>
      </c>
    </row>
    <row r="1144" spans="1:7" x14ac:dyDescent="0.3">
      <c r="A1144" t="s">
        <v>2330</v>
      </c>
      <c r="B1144" t="s">
        <v>639</v>
      </c>
      <c r="C1144" t="s">
        <v>640</v>
      </c>
      <c r="D1144" s="7">
        <v>75</v>
      </c>
      <c r="E1144">
        <v>2015</v>
      </c>
      <c r="F1144">
        <v>2017</v>
      </c>
      <c r="G1144" t="str">
        <f>IFERROR(INDEX(Formulations[Formulation],MATCH($C1144,Formulations[Product Code],0)),"")</f>
        <v>Dolin 85% &amp; Powder Soap Extra 15%</v>
      </c>
    </row>
    <row r="1145" spans="1:7" x14ac:dyDescent="0.3">
      <c r="A1145" t="s">
        <v>2330</v>
      </c>
      <c r="B1145" t="s">
        <v>398</v>
      </c>
      <c r="C1145" t="s">
        <v>399</v>
      </c>
      <c r="D1145" s="7">
        <v>75</v>
      </c>
      <c r="E1145">
        <v>2016</v>
      </c>
      <c r="F1145">
        <v>2016</v>
      </c>
      <c r="G1145" t="str">
        <f>IFERROR(INDEX(Formulations[Formulation],MATCH($C1145,Formulations[Product Code],0)),"")</f>
        <v/>
      </c>
    </row>
    <row r="1146" spans="1:7" x14ac:dyDescent="0.3">
      <c r="A1146" t="s">
        <v>2345</v>
      </c>
      <c r="B1146" t="s">
        <v>19</v>
      </c>
      <c r="C1146" t="s">
        <v>20</v>
      </c>
      <c r="D1146" s="7">
        <v>75</v>
      </c>
      <c r="E1146">
        <v>2017</v>
      </c>
      <c r="F1146">
        <v>2019</v>
      </c>
      <c r="G1146" t="str">
        <f>IFERROR(INDEX(Formulations[Formulation],MATCH($C1146,Formulations[Product Code],0)),"")</f>
        <v>80 % Oil AND 20 % DPG</v>
      </c>
    </row>
    <row r="1147" spans="1:7" x14ac:dyDescent="0.3">
      <c r="A1147" t="s">
        <v>2346</v>
      </c>
      <c r="B1147" t="s">
        <v>915</v>
      </c>
      <c r="C1147" t="s">
        <v>916</v>
      </c>
      <c r="D1147" s="7">
        <v>75</v>
      </c>
      <c r="E1147">
        <v>2013</v>
      </c>
      <c r="F1147">
        <v>2014</v>
      </c>
      <c r="G1147" t="str">
        <f>IFERROR(INDEX(Formulations[Formulation],MATCH($C1147,Formulations[Product Code],0)),"")</f>
        <v>Crystal</v>
      </c>
    </row>
    <row r="1148" spans="1:7" x14ac:dyDescent="0.3">
      <c r="A1148" t="s">
        <v>2354</v>
      </c>
      <c r="B1148" t="s">
        <v>653</v>
      </c>
      <c r="C1148" t="s">
        <v>654</v>
      </c>
      <c r="D1148" s="7">
        <v>75</v>
      </c>
      <c r="E1148">
        <v>2020</v>
      </c>
      <c r="F1148">
        <v>2020</v>
      </c>
      <c r="G1148" t="str">
        <f>IFERROR(INDEX(Formulations[Formulation],MATCH($C1148,Formulations[Product Code],0)),"")</f>
        <v>Pure</v>
      </c>
    </row>
    <row r="1149" spans="1:7" x14ac:dyDescent="0.3">
      <c r="A1149" t="s">
        <v>2398</v>
      </c>
      <c r="B1149" t="s">
        <v>12</v>
      </c>
      <c r="C1149" t="s">
        <v>13</v>
      </c>
      <c r="D1149" s="7">
        <v>75</v>
      </c>
      <c r="E1149">
        <v>2015</v>
      </c>
      <c r="F1149">
        <v>2015</v>
      </c>
      <c r="G1149" t="str">
        <f>IFERROR(INDEX(Formulations[Formulation],MATCH($C1149,Formulations[Product Code],0)),"")</f>
        <v>Crystal</v>
      </c>
    </row>
    <row r="1150" spans="1:7" x14ac:dyDescent="0.3">
      <c r="A1150" t="s">
        <v>2412</v>
      </c>
      <c r="B1150" t="s">
        <v>438</v>
      </c>
      <c r="C1150" t="s">
        <v>439</v>
      </c>
      <c r="D1150" s="7">
        <v>75</v>
      </c>
      <c r="E1150">
        <v>2016</v>
      </c>
      <c r="F1150">
        <v>2016</v>
      </c>
      <c r="G1150" t="str">
        <f>IFERROR(INDEX(Formulations[Formulation],MATCH($C1150,Formulations[Product Code],0)),"")</f>
        <v>Pure</v>
      </c>
    </row>
    <row r="1151" spans="1:7" x14ac:dyDescent="0.3">
      <c r="A1151" t="s">
        <v>2437</v>
      </c>
      <c r="B1151" t="s">
        <v>19</v>
      </c>
      <c r="C1151" t="s">
        <v>670</v>
      </c>
      <c r="D1151" s="7">
        <v>75</v>
      </c>
      <c r="E1151">
        <v>2018</v>
      </c>
      <c r="F1151">
        <v>2019</v>
      </c>
      <c r="G1151" t="str">
        <f>IFERROR(INDEX(Formulations[Formulation],MATCH($C1151,Formulations[Product Code],0)),"")</f>
        <v>Crystal</v>
      </c>
    </row>
    <row r="1152" spans="1:7" x14ac:dyDescent="0.3">
      <c r="A1152" t="s">
        <v>2437</v>
      </c>
      <c r="B1152" t="s">
        <v>12</v>
      </c>
      <c r="C1152" t="s">
        <v>13</v>
      </c>
      <c r="D1152" s="7">
        <v>75</v>
      </c>
      <c r="E1152">
        <v>2016</v>
      </c>
      <c r="F1152">
        <v>2019</v>
      </c>
      <c r="G1152" t="str">
        <f>IFERROR(INDEX(Formulations[Formulation],MATCH($C1152,Formulations[Product Code],0)),"")</f>
        <v>Crystal</v>
      </c>
    </row>
    <row r="1153" spans="1:7" x14ac:dyDescent="0.3">
      <c r="A1153" t="s">
        <v>2461</v>
      </c>
      <c r="B1153" t="s">
        <v>30</v>
      </c>
      <c r="C1153" t="s">
        <v>31</v>
      </c>
      <c r="D1153" s="7">
        <v>75</v>
      </c>
      <c r="E1153">
        <v>2016</v>
      </c>
      <c r="F1153">
        <v>2017</v>
      </c>
      <c r="G1153" t="str">
        <f>IFERROR(INDEX(Formulations[Formulation],MATCH($C1153,Formulations[Product Code],0)),"")</f>
        <v>Pure</v>
      </c>
    </row>
    <row r="1154" spans="1:7" x14ac:dyDescent="0.3">
      <c r="A1154" t="s">
        <v>2472</v>
      </c>
      <c r="B1154" t="s">
        <v>2473</v>
      </c>
      <c r="C1154" t="s">
        <v>2474</v>
      </c>
      <c r="D1154" s="7">
        <v>75</v>
      </c>
      <c r="E1154">
        <v>2020</v>
      </c>
      <c r="F1154">
        <v>2021</v>
      </c>
      <c r="G1154" t="str">
        <f>IFERROR(INDEX(Formulations[Formulation],MATCH($C1154,Formulations[Product Code],0)),"")</f>
        <v/>
      </c>
    </row>
    <row r="1155" spans="1:7" x14ac:dyDescent="0.3">
      <c r="A1155" t="s">
        <v>2475</v>
      </c>
      <c r="B1155" t="s">
        <v>551</v>
      </c>
      <c r="D1155" s="7">
        <v>75</v>
      </c>
      <c r="E1155">
        <v>2018</v>
      </c>
      <c r="F1155">
        <v>2019</v>
      </c>
      <c r="G1155" t="str">
        <f>IFERROR(INDEX(Formulations[Formulation],MATCH($C1155,Formulations[Product Code],0)),"")</f>
        <v/>
      </c>
    </row>
    <row r="1156" spans="1:7" x14ac:dyDescent="0.3">
      <c r="A1156" t="s">
        <v>2490</v>
      </c>
      <c r="B1156" t="s">
        <v>702</v>
      </c>
      <c r="C1156" t="s">
        <v>703</v>
      </c>
      <c r="D1156" s="7">
        <v>75</v>
      </c>
      <c r="E1156">
        <v>2019</v>
      </c>
      <c r="F1156">
        <v>2019</v>
      </c>
      <c r="G1156" t="str">
        <f>IFERROR(INDEX(Formulations[Formulation],MATCH($C1156,Formulations[Product Code],0)),"")</f>
        <v>flouramax 40%, green apple 30%, strwaberry 15%, cocoa butter 15%</v>
      </c>
    </row>
    <row r="1157" spans="1:7" x14ac:dyDescent="0.3">
      <c r="A1157" t="s">
        <v>2491</v>
      </c>
      <c r="B1157" t="s">
        <v>1815</v>
      </c>
      <c r="C1157" t="s">
        <v>1223</v>
      </c>
      <c r="D1157" s="7">
        <v>75</v>
      </c>
      <c r="E1157">
        <v>2014</v>
      </c>
      <c r="F1157">
        <v>2015</v>
      </c>
      <c r="G1157" t="str">
        <f>IFERROR(INDEX(Formulations[Formulation],MATCH($C1157,Formulations[Product Code],0)),"")</f>
        <v/>
      </c>
    </row>
    <row r="1158" spans="1:7" x14ac:dyDescent="0.3">
      <c r="A1158" t="s">
        <v>2496</v>
      </c>
      <c r="B1158" t="s">
        <v>686</v>
      </c>
      <c r="C1158" t="s">
        <v>866</v>
      </c>
      <c r="D1158" s="7">
        <v>75</v>
      </c>
      <c r="E1158">
        <v>2019</v>
      </c>
      <c r="F1158">
        <v>2019</v>
      </c>
      <c r="G1158" t="str">
        <f>IFERROR(INDEX(Formulations[Formulation],MATCH($C1158,Formulations[Product Code],0)),"")</f>
        <v/>
      </c>
    </row>
    <row r="1159" spans="1:7" x14ac:dyDescent="0.3">
      <c r="A1159" t="s">
        <v>2496</v>
      </c>
      <c r="B1159" t="s">
        <v>12</v>
      </c>
      <c r="C1159" t="s">
        <v>13</v>
      </c>
      <c r="D1159" s="7">
        <v>75</v>
      </c>
      <c r="E1159">
        <v>2017</v>
      </c>
      <c r="F1159">
        <v>2019</v>
      </c>
      <c r="G1159" t="str">
        <f>IFERROR(INDEX(Formulations[Formulation],MATCH($C1159,Formulations[Product Code],0)),"")</f>
        <v>Crystal</v>
      </c>
    </row>
    <row r="1160" spans="1:7" x14ac:dyDescent="0.3">
      <c r="A1160" t="s">
        <v>2504</v>
      </c>
      <c r="B1160" t="s">
        <v>686</v>
      </c>
      <c r="C1160" t="s">
        <v>866</v>
      </c>
      <c r="D1160" s="7">
        <v>75</v>
      </c>
      <c r="E1160">
        <v>2019</v>
      </c>
      <c r="F1160">
        <v>2020</v>
      </c>
      <c r="G1160" t="str">
        <f>IFERROR(INDEX(Formulations[Formulation],MATCH($C1160,Formulations[Product Code],0)),"")</f>
        <v/>
      </c>
    </row>
    <row r="1161" spans="1:7" x14ac:dyDescent="0.3">
      <c r="A1161" t="s">
        <v>2529</v>
      </c>
      <c r="B1161" t="s">
        <v>346</v>
      </c>
      <c r="C1161" t="s">
        <v>347</v>
      </c>
      <c r="D1161" s="7">
        <v>75</v>
      </c>
      <c r="E1161">
        <v>2020</v>
      </c>
      <c r="F1161">
        <v>2020</v>
      </c>
      <c r="G1161" t="str">
        <f>IFERROR(INDEX(Formulations[Formulation],MATCH($C1161,Formulations[Product Code],0)),"")</f>
        <v>Pure</v>
      </c>
    </row>
    <row r="1162" spans="1:7" x14ac:dyDescent="0.3">
      <c r="A1162" t="s">
        <v>2532</v>
      </c>
      <c r="B1162" t="s">
        <v>1354</v>
      </c>
      <c r="D1162" s="7">
        <v>75</v>
      </c>
      <c r="E1162">
        <v>2020</v>
      </c>
      <c r="F1162">
        <v>2021</v>
      </c>
      <c r="G1162" t="str">
        <f>IFERROR(INDEX(Formulations[Formulation],MATCH($C1162,Formulations[Product Code],0)),"")</f>
        <v/>
      </c>
    </row>
    <row r="1163" spans="1:7" x14ac:dyDescent="0.3">
      <c r="A1163" t="s">
        <v>2538</v>
      </c>
      <c r="B1163" t="s">
        <v>686</v>
      </c>
      <c r="C1163" t="s">
        <v>687</v>
      </c>
      <c r="D1163" s="7">
        <v>75</v>
      </c>
      <c r="E1163">
        <v>2020</v>
      </c>
      <c r="F1163">
        <v>2020</v>
      </c>
      <c r="G1163" t="str">
        <f>IFERROR(INDEX(Formulations[Formulation],MATCH($C1163,Formulations[Product Code],0)),"")</f>
        <v>Pure</v>
      </c>
    </row>
    <row r="1164" spans="1:7" x14ac:dyDescent="0.3">
      <c r="A1164" t="s">
        <v>2538</v>
      </c>
      <c r="B1164" t="s">
        <v>2541</v>
      </c>
      <c r="D1164" s="7">
        <v>75</v>
      </c>
      <c r="E1164">
        <v>2021</v>
      </c>
      <c r="F1164">
        <v>2021</v>
      </c>
      <c r="G1164" t="str">
        <f>IFERROR(INDEX(Formulations[Formulation],MATCH($C1164,Formulations[Product Code],0)),"")</f>
        <v/>
      </c>
    </row>
    <row r="1165" spans="1:7" x14ac:dyDescent="0.3">
      <c r="A1165" t="s">
        <v>2538</v>
      </c>
      <c r="B1165" t="s">
        <v>496</v>
      </c>
      <c r="C1165" t="s">
        <v>497</v>
      </c>
      <c r="D1165" s="7">
        <v>75</v>
      </c>
      <c r="E1165">
        <v>2020</v>
      </c>
      <c r="F1165">
        <v>2020</v>
      </c>
      <c r="G1165" t="str">
        <f>IFERROR(INDEX(Formulations[Formulation],MATCH($C1165,Formulations[Product Code],0)),"")</f>
        <v>Silver</v>
      </c>
    </row>
    <row r="1166" spans="1:7" x14ac:dyDescent="0.3">
      <c r="A1166" t="s">
        <v>2542</v>
      </c>
      <c r="B1166" t="s">
        <v>485</v>
      </c>
      <c r="C1166" t="s">
        <v>486</v>
      </c>
      <c r="D1166" s="7">
        <v>75</v>
      </c>
      <c r="E1166">
        <v>2019</v>
      </c>
      <c r="F1166">
        <v>2019</v>
      </c>
      <c r="G1166" t="str">
        <f>IFERROR(INDEX(Formulations[Formulation],MATCH($C1166,Formulations[Product Code],0)),"")</f>
        <v>Pure</v>
      </c>
    </row>
    <row r="1167" spans="1:7" x14ac:dyDescent="0.3">
      <c r="A1167" t="s">
        <v>2566</v>
      </c>
      <c r="B1167" t="s">
        <v>696</v>
      </c>
      <c r="C1167" t="s">
        <v>697</v>
      </c>
      <c r="D1167" s="7">
        <v>75</v>
      </c>
      <c r="E1167">
        <v>2016</v>
      </c>
      <c r="F1167">
        <v>2017</v>
      </c>
      <c r="G1167" t="str">
        <f>IFERROR(INDEX(Formulations[Formulation],MATCH($C1167,Formulations[Product Code],0)),"")</f>
        <v/>
      </c>
    </row>
    <row r="1168" spans="1:7" x14ac:dyDescent="0.3">
      <c r="A1168" t="s">
        <v>2566</v>
      </c>
      <c r="B1168" t="s">
        <v>438</v>
      </c>
      <c r="C1168" t="s">
        <v>439</v>
      </c>
      <c r="D1168" s="7">
        <v>75</v>
      </c>
      <c r="E1168">
        <v>2016</v>
      </c>
      <c r="F1168">
        <v>2017</v>
      </c>
      <c r="G1168" t="str">
        <f>IFERROR(INDEX(Formulations[Formulation],MATCH($C1168,Formulations[Product Code],0)),"")</f>
        <v>Pure</v>
      </c>
    </row>
    <row r="1169" spans="1:7" x14ac:dyDescent="0.3">
      <c r="A1169" t="s">
        <v>2569</v>
      </c>
      <c r="B1169" t="s">
        <v>248</v>
      </c>
      <c r="C1169" t="s">
        <v>249</v>
      </c>
      <c r="D1169" s="7">
        <v>75</v>
      </c>
      <c r="E1169">
        <v>2020</v>
      </c>
      <c r="F1169">
        <v>2020</v>
      </c>
      <c r="G1169" t="str">
        <f>IFERROR(INDEX(Formulations[Formulation],MATCH($C1169,Formulations[Product Code],0)),"")</f>
        <v>WS</v>
      </c>
    </row>
    <row r="1170" spans="1:7" x14ac:dyDescent="0.3">
      <c r="A1170" t="s">
        <v>2569</v>
      </c>
      <c r="B1170" t="s">
        <v>711</v>
      </c>
      <c r="C1170" t="s">
        <v>413</v>
      </c>
      <c r="D1170" s="7">
        <v>75</v>
      </c>
      <c r="E1170">
        <v>2018</v>
      </c>
      <c r="F1170">
        <v>2019</v>
      </c>
      <c r="G1170" t="str">
        <f>IFERROR(INDEX(Formulations[Formulation],MATCH($C1170,Formulations[Product Code],0)),"")</f>
        <v>40% oil &amp; 60 % DPG</v>
      </c>
    </row>
    <row r="1171" spans="1:7" x14ac:dyDescent="0.3">
      <c r="A1171" t="s">
        <v>2574</v>
      </c>
      <c r="B1171" t="s">
        <v>110</v>
      </c>
      <c r="C1171" t="s">
        <v>111</v>
      </c>
      <c r="D1171" s="7">
        <v>75</v>
      </c>
      <c r="E1171">
        <v>2018</v>
      </c>
      <c r="F1171">
        <v>2019</v>
      </c>
      <c r="G1171" t="str">
        <f>IFERROR(INDEX(Formulations[Formulation],MATCH($C1171,Formulations[Product Code],0)),"")</f>
        <v>75% Lemon Zeste, 25% lemon Top &amp; the Gold DPG)</v>
      </c>
    </row>
    <row r="1172" spans="1:7" x14ac:dyDescent="0.3">
      <c r="A1172" t="s">
        <v>2574</v>
      </c>
      <c r="B1172" t="s">
        <v>483</v>
      </c>
      <c r="C1172" t="s">
        <v>484</v>
      </c>
      <c r="D1172" s="7">
        <v>75</v>
      </c>
      <c r="E1172">
        <v>2019</v>
      </c>
      <c r="F1172">
        <v>2020</v>
      </c>
      <c r="G1172" t="str">
        <f>IFERROR(INDEX(Formulations[Formulation],MATCH($C1172,Formulations[Product Code],0)),"")</f>
        <v>Crystal</v>
      </c>
    </row>
    <row r="1173" spans="1:7" x14ac:dyDescent="0.3">
      <c r="A1173" t="s">
        <v>2574</v>
      </c>
      <c r="B1173" t="s">
        <v>1457</v>
      </c>
      <c r="C1173" t="s">
        <v>682</v>
      </c>
      <c r="D1173" s="7">
        <v>75</v>
      </c>
      <c r="E1173">
        <v>2017</v>
      </c>
      <c r="F1173">
        <v>2019</v>
      </c>
      <c r="G1173" t="str">
        <f>IFERROR(INDEX(Formulations[Formulation],MATCH($C1173,Formulations[Product Code],0)),"")</f>
        <v/>
      </c>
    </row>
    <row r="1174" spans="1:7" x14ac:dyDescent="0.3">
      <c r="A1174" t="s">
        <v>2577</v>
      </c>
      <c r="B1174" t="s">
        <v>184</v>
      </c>
      <c r="C1174" t="s">
        <v>185</v>
      </c>
      <c r="D1174" s="7">
        <v>75</v>
      </c>
      <c r="E1174">
        <v>2017</v>
      </c>
      <c r="F1174">
        <v>2018</v>
      </c>
      <c r="G1174" t="str">
        <f>IFERROR(INDEX(Formulations[Formulation],MATCH($C1174,Formulations[Product Code],0)),"")</f>
        <v/>
      </c>
    </row>
    <row r="1175" spans="1:7" x14ac:dyDescent="0.3">
      <c r="A1175" t="s">
        <v>2577</v>
      </c>
      <c r="B1175" t="s">
        <v>567</v>
      </c>
      <c r="C1175" t="s">
        <v>698</v>
      </c>
      <c r="D1175" s="7">
        <v>75</v>
      </c>
      <c r="E1175">
        <v>2016</v>
      </c>
      <c r="F1175">
        <v>2018</v>
      </c>
      <c r="G1175" t="str">
        <f>IFERROR(INDEX(Formulations[Formulation],MATCH($C1175,Formulations[Product Code],0)),"")</f>
        <v>Crystal</v>
      </c>
    </row>
    <row r="1176" spans="1:7" x14ac:dyDescent="0.3">
      <c r="A1176" t="s">
        <v>2577</v>
      </c>
      <c r="B1176" t="s">
        <v>41</v>
      </c>
      <c r="C1176" t="s">
        <v>42</v>
      </c>
      <c r="D1176" s="7">
        <v>75</v>
      </c>
      <c r="E1176">
        <v>2017</v>
      </c>
      <c r="F1176">
        <v>2018</v>
      </c>
      <c r="G1176" t="str">
        <f>IFERROR(INDEX(Formulations[Formulation],MATCH($C1176,Formulations[Product Code],0)),"")</f>
        <v/>
      </c>
    </row>
    <row r="1177" spans="1:7" x14ac:dyDescent="0.3">
      <c r="A1177" t="s">
        <v>2586</v>
      </c>
      <c r="B1177" t="s">
        <v>41</v>
      </c>
      <c r="C1177" t="s">
        <v>42</v>
      </c>
      <c r="D1177" s="7">
        <v>75</v>
      </c>
      <c r="E1177">
        <v>2018</v>
      </c>
      <c r="F1177">
        <v>2020</v>
      </c>
      <c r="G1177" t="str">
        <f>IFERROR(INDEX(Formulations[Formulation],MATCH($C1177,Formulations[Product Code],0)),"")</f>
        <v/>
      </c>
    </row>
    <row r="1178" spans="1:7" x14ac:dyDescent="0.3">
      <c r="A1178" t="s">
        <v>2592</v>
      </c>
      <c r="B1178" t="s">
        <v>483</v>
      </c>
      <c r="C1178" t="s">
        <v>484</v>
      </c>
      <c r="D1178" s="7">
        <v>75</v>
      </c>
      <c r="E1178">
        <v>2020</v>
      </c>
      <c r="F1178">
        <v>2020</v>
      </c>
      <c r="G1178" t="str">
        <f>IFERROR(INDEX(Formulations[Formulation],MATCH($C1178,Formulations[Product Code],0)),"")</f>
        <v>Crystal</v>
      </c>
    </row>
    <row r="1179" spans="1:7" x14ac:dyDescent="0.3">
      <c r="A1179" t="s">
        <v>2595</v>
      </c>
      <c r="B1179" t="s">
        <v>19</v>
      </c>
      <c r="C1179" t="s">
        <v>107</v>
      </c>
      <c r="D1179" s="7">
        <v>75</v>
      </c>
      <c r="E1179">
        <v>2021</v>
      </c>
      <c r="F1179">
        <v>2021</v>
      </c>
      <c r="G1179" t="str">
        <f>IFERROR(INDEX(Formulations[Formulation],MATCH($C1179,Formulations[Product Code],0)),"")</f>
        <v>Pure</v>
      </c>
    </row>
    <row r="1180" spans="1:7" x14ac:dyDescent="0.3">
      <c r="A1180" t="s">
        <v>2596</v>
      </c>
      <c r="B1180" t="s">
        <v>2601</v>
      </c>
      <c r="C1180" t="s">
        <v>1998</v>
      </c>
      <c r="D1180" s="7">
        <v>75</v>
      </c>
      <c r="E1180">
        <v>2011</v>
      </c>
      <c r="F1180">
        <v>2012</v>
      </c>
      <c r="G1180" t="str">
        <f>IFERROR(INDEX(Formulations[Formulation],MATCH($C1180,Formulations[Product Code],0)),"")</f>
        <v/>
      </c>
    </row>
    <row r="1181" spans="1:7" x14ac:dyDescent="0.3">
      <c r="A1181" t="s">
        <v>923</v>
      </c>
      <c r="B1181" t="s">
        <v>928</v>
      </c>
      <c r="C1181" t="s">
        <v>929</v>
      </c>
      <c r="D1181" s="7">
        <v>74</v>
      </c>
      <c r="E1181">
        <v>2014</v>
      </c>
      <c r="F1181">
        <v>2016</v>
      </c>
      <c r="G1181" t="str">
        <f>IFERROR(INDEX(Formulations[Formulation],MATCH($C1181,Formulations[Product Code],0)),"")</f>
        <v/>
      </c>
    </row>
    <row r="1182" spans="1:7" x14ac:dyDescent="0.3">
      <c r="A1182" t="s">
        <v>1407</v>
      </c>
      <c r="B1182" t="s">
        <v>542</v>
      </c>
      <c r="C1182" t="s">
        <v>160</v>
      </c>
      <c r="D1182" s="7">
        <v>73</v>
      </c>
      <c r="E1182">
        <v>2019</v>
      </c>
      <c r="F1182">
        <v>2021</v>
      </c>
      <c r="G1182" t="str">
        <f>IFERROR(INDEX(Formulations[Formulation],MATCH($C1182,Formulations[Product Code],0)),"")</f>
        <v>Silver</v>
      </c>
    </row>
    <row r="1183" spans="1:7" x14ac:dyDescent="0.3">
      <c r="A1183" t="s">
        <v>1116</v>
      </c>
      <c r="B1183" t="s">
        <v>346</v>
      </c>
      <c r="C1183" t="s">
        <v>347</v>
      </c>
      <c r="D1183" s="7">
        <v>72</v>
      </c>
      <c r="E1183">
        <v>2015</v>
      </c>
      <c r="F1183">
        <v>2016</v>
      </c>
      <c r="G1183" t="str">
        <f>IFERROR(INDEX(Formulations[Formulation],MATCH($C1183,Formulations[Product Code],0)),"")</f>
        <v>Pure</v>
      </c>
    </row>
    <row r="1184" spans="1:7" x14ac:dyDescent="0.3">
      <c r="A1184" t="s">
        <v>1933</v>
      </c>
      <c r="B1184" t="s">
        <v>55</v>
      </c>
      <c r="D1184" s="7">
        <v>71</v>
      </c>
      <c r="E1184">
        <v>2019</v>
      </c>
      <c r="F1184">
        <v>2019</v>
      </c>
      <c r="G1184" t="str">
        <f>IFERROR(INDEX(Formulations[Formulation],MATCH($C1184,Formulations[Product Code],0)),"")</f>
        <v/>
      </c>
    </row>
    <row r="1185" spans="1:7" x14ac:dyDescent="0.3">
      <c r="A1185" t="s">
        <v>273</v>
      </c>
      <c r="B1185" t="s">
        <v>312</v>
      </c>
      <c r="C1185" t="s">
        <v>313</v>
      </c>
      <c r="D1185" s="7">
        <v>70</v>
      </c>
      <c r="E1185">
        <v>2011</v>
      </c>
      <c r="F1185">
        <v>2015</v>
      </c>
      <c r="G1185" t="str">
        <f>IFERROR(INDEX(Formulations[Formulation],MATCH($C1185,Formulations[Product Code],0)),"")</f>
        <v/>
      </c>
    </row>
    <row r="1186" spans="1:7" x14ac:dyDescent="0.3">
      <c r="A1186" t="s">
        <v>531</v>
      </c>
      <c r="B1186" t="s">
        <v>532</v>
      </c>
      <c r="C1186" t="s">
        <v>452</v>
      </c>
      <c r="D1186" s="7">
        <v>70</v>
      </c>
      <c r="E1186">
        <v>2020</v>
      </c>
      <c r="F1186">
        <v>2020</v>
      </c>
      <c r="G1186" t="str">
        <f>IFERROR(INDEX(Formulations[Formulation],MATCH($C1186,Formulations[Product Code],0)),"")</f>
        <v>Crystal</v>
      </c>
    </row>
    <row r="1187" spans="1:7" x14ac:dyDescent="0.3">
      <c r="A1187" t="s">
        <v>609</v>
      </c>
      <c r="B1187" t="s">
        <v>280</v>
      </c>
      <c r="C1187" t="s">
        <v>224</v>
      </c>
      <c r="D1187" s="7">
        <v>70</v>
      </c>
      <c r="E1187">
        <v>2013</v>
      </c>
      <c r="F1187">
        <v>2015</v>
      </c>
      <c r="G1187" t="str">
        <f>IFERROR(INDEX(Formulations[Formulation],MATCH($C1187,Formulations[Product Code],0)),"")</f>
        <v/>
      </c>
    </row>
    <row r="1188" spans="1:7" x14ac:dyDescent="0.3">
      <c r="A1188" t="s">
        <v>695</v>
      </c>
      <c r="B1188" t="s">
        <v>700</v>
      </c>
      <c r="C1188" t="s">
        <v>701</v>
      </c>
      <c r="D1188" s="7">
        <v>70</v>
      </c>
      <c r="E1188">
        <v>2009</v>
      </c>
      <c r="F1188">
        <v>2009</v>
      </c>
      <c r="G1188" t="str">
        <f>IFERROR(INDEX(Formulations[Formulation],MATCH($C1188,Formulations[Product Code],0)),"")</f>
        <v/>
      </c>
    </row>
    <row r="1189" spans="1:7" x14ac:dyDescent="0.3">
      <c r="A1189" t="s">
        <v>712</v>
      </c>
      <c r="B1189" t="s">
        <v>721</v>
      </c>
      <c r="C1189" t="s">
        <v>722</v>
      </c>
      <c r="D1189" s="7">
        <v>70</v>
      </c>
      <c r="E1189">
        <v>2016</v>
      </c>
      <c r="F1189">
        <v>2020</v>
      </c>
      <c r="G1189" t="str">
        <f>IFERROR(INDEX(Formulations[Formulation],MATCH($C1189,Formulations[Product Code],0)),"")</f>
        <v>Pure</v>
      </c>
    </row>
    <row r="1190" spans="1:7" x14ac:dyDescent="0.3">
      <c r="A1190" t="s">
        <v>1102</v>
      </c>
      <c r="B1190" t="s">
        <v>453</v>
      </c>
      <c r="D1190" s="7">
        <v>70</v>
      </c>
      <c r="E1190">
        <v>2019</v>
      </c>
      <c r="F1190">
        <v>2019</v>
      </c>
      <c r="G1190" t="str">
        <f>IFERROR(INDEX(Formulations[Formulation],MATCH($C1190,Formulations[Product Code],0)),"")</f>
        <v/>
      </c>
    </row>
    <row r="1191" spans="1:7" x14ac:dyDescent="0.3">
      <c r="A1191" t="s">
        <v>1102</v>
      </c>
      <c r="B1191" t="s">
        <v>37</v>
      </c>
      <c r="D1191" s="7">
        <v>70</v>
      </c>
      <c r="E1191">
        <v>2019</v>
      </c>
      <c r="F1191">
        <v>2020</v>
      </c>
      <c r="G1191" t="str">
        <f>IFERROR(INDEX(Formulations[Formulation],MATCH($C1191,Formulations[Product Code],0)),"")</f>
        <v/>
      </c>
    </row>
    <row r="1192" spans="1:7" x14ac:dyDescent="0.3">
      <c r="A1192" t="s">
        <v>1111</v>
      </c>
      <c r="B1192" t="s">
        <v>19</v>
      </c>
      <c r="C1192" t="s">
        <v>699</v>
      </c>
      <c r="D1192" s="7">
        <v>70</v>
      </c>
      <c r="E1192">
        <v>2010</v>
      </c>
      <c r="F1192">
        <v>2014</v>
      </c>
      <c r="G1192" t="str">
        <f>IFERROR(INDEX(Formulations[Formulation],MATCH($C1192,Formulations[Product Code],0)),"")</f>
        <v/>
      </c>
    </row>
    <row r="1193" spans="1:7" x14ac:dyDescent="0.3">
      <c r="A1193" t="s">
        <v>1346</v>
      </c>
      <c r="B1193" t="s">
        <v>575</v>
      </c>
      <c r="C1193" t="s">
        <v>673</v>
      </c>
      <c r="D1193" s="7">
        <v>70</v>
      </c>
      <c r="E1193">
        <v>2020</v>
      </c>
      <c r="F1193">
        <v>2020</v>
      </c>
      <c r="G1193" t="str">
        <f>IFERROR(INDEX(Formulations[Formulation],MATCH($C1193,Formulations[Product Code],0)),"")</f>
        <v>Apricot 60 % oil and 40 % dpg</v>
      </c>
    </row>
    <row r="1194" spans="1:7" x14ac:dyDescent="0.3">
      <c r="A1194" t="s">
        <v>1353</v>
      </c>
      <c r="B1194" t="s">
        <v>32</v>
      </c>
      <c r="D1194" s="7">
        <v>70</v>
      </c>
      <c r="E1194">
        <v>2013</v>
      </c>
      <c r="F1194">
        <v>2018</v>
      </c>
      <c r="G1194" t="str">
        <f>IFERROR(INDEX(Formulations[Formulation],MATCH($C1194,Formulations[Product Code],0)),"")</f>
        <v/>
      </c>
    </row>
    <row r="1195" spans="1:7" x14ac:dyDescent="0.3">
      <c r="A1195" t="s">
        <v>1463</v>
      </c>
      <c r="B1195" t="s">
        <v>1504</v>
      </c>
      <c r="C1195" t="s">
        <v>1505</v>
      </c>
      <c r="D1195" s="7">
        <v>70</v>
      </c>
      <c r="E1195">
        <v>2013</v>
      </c>
      <c r="F1195">
        <v>2013</v>
      </c>
      <c r="G1195" t="str">
        <f>IFERROR(INDEX(Formulations[Formulation],MATCH($C1195,Formulations[Product Code],0)),"")</f>
        <v/>
      </c>
    </row>
    <row r="1196" spans="1:7" x14ac:dyDescent="0.3">
      <c r="A1196" t="s">
        <v>1463</v>
      </c>
      <c r="B1196" t="s">
        <v>1524</v>
      </c>
      <c r="C1196" t="s">
        <v>1525</v>
      </c>
      <c r="D1196" s="7">
        <v>70</v>
      </c>
      <c r="E1196">
        <v>2011</v>
      </c>
      <c r="F1196">
        <v>2013</v>
      </c>
      <c r="G1196" t="str">
        <f>IFERROR(INDEX(Formulations[Formulation],MATCH($C1196,Formulations[Product Code],0)),"")</f>
        <v/>
      </c>
    </row>
    <row r="1197" spans="1:7" x14ac:dyDescent="0.3">
      <c r="A1197" t="s">
        <v>1463</v>
      </c>
      <c r="B1197" t="s">
        <v>1618</v>
      </c>
      <c r="C1197" t="s">
        <v>1619</v>
      </c>
      <c r="D1197" s="7">
        <v>70</v>
      </c>
      <c r="E1197">
        <v>2013</v>
      </c>
      <c r="F1197">
        <v>2013</v>
      </c>
      <c r="G1197" t="str">
        <f>IFERROR(INDEX(Formulations[Formulation],MATCH($C1197,Formulations[Product Code],0)),"")</f>
        <v/>
      </c>
    </row>
    <row r="1198" spans="1:7" x14ac:dyDescent="0.3">
      <c r="A1198" t="s">
        <v>1746</v>
      </c>
      <c r="B1198" t="s">
        <v>1425</v>
      </c>
      <c r="C1198" t="s">
        <v>212</v>
      </c>
      <c r="D1198" s="7">
        <v>70</v>
      </c>
      <c r="E1198">
        <v>2020</v>
      </c>
      <c r="F1198">
        <v>2021</v>
      </c>
      <c r="G1198" t="str">
        <f>IFERROR(INDEX(Formulations[Formulation],MATCH($C1198,Formulations[Product Code],0)),"")</f>
        <v>Pure</v>
      </c>
    </row>
    <row r="1199" spans="1:7" x14ac:dyDescent="0.3">
      <c r="A1199" t="s">
        <v>1869</v>
      </c>
      <c r="B1199" t="s">
        <v>318</v>
      </c>
      <c r="C1199" t="s">
        <v>319</v>
      </c>
      <c r="D1199" s="7">
        <v>70</v>
      </c>
      <c r="E1199">
        <v>2018</v>
      </c>
      <c r="F1199">
        <v>2020</v>
      </c>
      <c r="G1199" t="str">
        <f>IFERROR(INDEX(Formulations[Formulation],MATCH($C1199,Formulations[Product Code],0)),"")</f>
        <v>Pure</v>
      </c>
    </row>
    <row r="1200" spans="1:7" x14ac:dyDescent="0.3">
      <c r="A1200" t="s">
        <v>2097</v>
      </c>
      <c r="B1200" t="s">
        <v>624</v>
      </c>
      <c r="C1200" t="s">
        <v>625</v>
      </c>
      <c r="D1200" s="7">
        <v>70</v>
      </c>
      <c r="E1200">
        <v>2017</v>
      </c>
      <c r="F1200">
        <v>2021</v>
      </c>
      <c r="G1200" t="str">
        <f>IFERROR(INDEX(Formulations[Formulation],MATCH($C1200,Formulations[Product Code],0)),"")</f>
        <v>Crystal</v>
      </c>
    </row>
    <row r="1201" spans="1:7" x14ac:dyDescent="0.3">
      <c r="A1201" t="s">
        <v>2123</v>
      </c>
      <c r="B1201" t="s">
        <v>120</v>
      </c>
      <c r="C1201" t="s">
        <v>121</v>
      </c>
      <c r="D1201" s="7">
        <v>70</v>
      </c>
      <c r="E1201">
        <v>2016</v>
      </c>
      <c r="F1201">
        <v>2018</v>
      </c>
      <c r="G1201" t="str">
        <f>IFERROR(INDEX(Formulations[Formulation],MATCH($C1201,Formulations[Product Code],0)),"")</f>
        <v/>
      </c>
    </row>
    <row r="1202" spans="1:7" x14ac:dyDescent="0.3">
      <c r="A1202" t="s">
        <v>2354</v>
      </c>
      <c r="B1202" t="s">
        <v>660</v>
      </c>
      <c r="C1202" t="s">
        <v>661</v>
      </c>
      <c r="D1202" s="7">
        <v>70</v>
      </c>
      <c r="E1202">
        <v>2020</v>
      </c>
      <c r="F1202">
        <v>2021</v>
      </c>
      <c r="G1202" t="str">
        <f>IFERROR(INDEX(Formulations[Formulation],MATCH($C1202,Formulations[Product Code],0)),"")</f>
        <v>Crystal</v>
      </c>
    </row>
    <row r="1203" spans="1:7" x14ac:dyDescent="0.3">
      <c r="A1203" t="s">
        <v>2362</v>
      </c>
      <c r="B1203" t="s">
        <v>581</v>
      </c>
      <c r="C1203" t="s">
        <v>582</v>
      </c>
      <c r="D1203" s="7">
        <v>70</v>
      </c>
      <c r="E1203">
        <v>2015</v>
      </c>
      <c r="F1203">
        <v>2015</v>
      </c>
      <c r="G1203" t="str">
        <f>IFERROR(INDEX(Formulations[Formulation],MATCH($C1203,Formulations[Product Code],0)),"")</f>
        <v/>
      </c>
    </row>
    <row r="1204" spans="1:7" x14ac:dyDescent="0.3">
      <c r="A1204" t="s">
        <v>2372</v>
      </c>
      <c r="B1204" t="s">
        <v>137</v>
      </c>
      <c r="C1204" t="s">
        <v>138</v>
      </c>
      <c r="D1204" s="7">
        <v>70</v>
      </c>
      <c r="E1204">
        <v>2011</v>
      </c>
      <c r="F1204">
        <v>2016</v>
      </c>
      <c r="G1204" t="str">
        <f>IFERROR(INDEX(Formulations[Formulation],MATCH($C1204,Formulations[Product Code],0)),"")</f>
        <v>WS</v>
      </c>
    </row>
    <row r="1205" spans="1:7" x14ac:dyDescent="0.3">
      <c r="A1205" t="s">
        <v>2380</v>
      </c>
      <c r="B1205" t="s">
        <v>597</v>
      </c>
      <c r="C1205" t="s">
        <v>598</v>
      </c>
      <c r="D1205" s="7">
        <v>70</v>
      </c>
      <c r="E1205">
        <v>2020</v>
      </c>
      <c r="F1205">
        <v>2021</v>
      </c>
      <c r="G1205" t="str">
        <f>IFERROR(INDEX(Formulations[Formulation],MATCH($C1205,Formulations[Product Code],0)),"")</f>
        <v>Silver</v>
      </c>
    </row>
    <row r="1206" spans="1:7" x14ac:dyDescent="0.3">
      <c r="A1206" t="s">
        <v>2485</v>
      </c>
      <c r="B1206" t="s">
        <v>19</v>
      </c>
      <c r="C1206" t="s">
        <v>1017</v>
      </c>
      <c r="D1206" s="7">
        <v>70</v>
      </c>
      <c r="E1206">
        <v>2009</v>
      </c>
      <c r="F1206">
        <v>2012</v>
      </c>
      <c r="G1206" t="str">
        <f>IFERROR(INDEX(Formulations[Formulation],MATCH($C1206,Formulations[Product Code],0)),"")</f>
        <v/>
      </c>
    </row>
    <row r="1207" spans="1:7" x14ac:dyDescent="0.3">
      <c r="A1207" t="s">
        <v>2574</v>
      </c>
      <c r="B1207" t="s">
        <v>696</v>
      </c>
      <c r="C1207" t="s">
        <v>697</v>
      </c>
      <c r="D1207" s="7">
        <v>70</v>
      </c>
      <c r="E1207">
        <v>2017</v>
      </c>
      <c r="F1207">
        <v>2019</v>
      </c>
      <c r="G1207" t="str">
        <f>IFERROR(INDEX(Formulations[Formulation],MATCH($C1207,Formulations[Product Code],0)),"")</f>
        <v/>
      </c>
    </row>
    <row r="1208" spans="1:7" x14ac:dyDescent="0.3">
      <c r="A1208" t="s">
        <v>2577</v>
      </c>
      <c r="B1208" t="s">
        <v>438</v>
      </c>
      <c r="C1208" t="s">
        <v>439</v>
      </c>
      <c r="D1208" s="7">
        <v>70</v>
      </c>
      <c r="E1208">
        <v>2016</v>
      </c>
      <c r="F1208">
        <v>2017</v>
      </c>
      <c r="G1208" t="str">
        <f>IFERROR(INDEX(Formulations[Formulation],MATCH($C1208,Formulations[Product Code],0)),"")</f>
        <v>Pure</v>
      </c>
    </row>
    <row r="1209" spans="1:7" x14ac:dyDescent="0.3">
      <c r="A1209" t="s">
        <v>2461</v>
      </c>
      <c r="B1209" t="s">
        <v>761</v>
      </c>
      <c r="D1209" s="7">
        <v>69</v>
      </c>
      <c r="E1209">
        <v>2015</v>
      </c>
      <c r="F1209">
        <v>2018</v>
      </c>
      <c r="G1209" t="str">
        <f>IFERROR(INDEX(Formulations[Formulation],MATCH($C1209,Formulations[Product Code],0)),"")</f>
        <v/>
      </c>
    </row>
    <row r="1210" spans="1:7" x14ac:dyDescent="0.3">
      <c r="A1210" t="s">
        <v>2041</v>
      </c>
      <c r="B1210" t="s">
        <v>45</v>
      </c>
      <c r="D1210" s="7">
        <v>68.867999999999995</v>
      </c>
      <c r="E1210">
        <v>2013</v>
      </c>
      <c r="F1210">
        <v>2014</v>
      </c>
      <c r="G1210" t="str">
        <f>IFERROR(INDEX(Formulations[Formulation],MATCH($C1210,Formulations[Product Code],0)),"")</f>
        <v/>
      </c>
    </row>
    <row r="1211" spans="1:7" x14ac:dyDescent="0.3">
      <c r="A1211" t="s">
        <v>449</v>
      </c>
      <c r="B1211" t="s">
        <v>461</v>
      </c>
      <c r="D1211" s="7">
        <v>68</v>
      </c>
      <c r="E1211">
        <v>2017</v>
      </c>
      <c r="F1211">
        <v>2018</v>
      </c>
      <c r="G1211" t="str">
        <f>IFERROR(INDEX(Formulations[Formulation],MATCH($C1211,Formulations[Product Code],0)),"")</f>
        <v/>
      </c>
    </row>
    <row r="1212" spans="1:7" x14ac:dyDescent="0.3">
      <c r="A1212" t="s">
        <v>2531</v>
      </c>
      <c r="B1212" t="s">
        <v>867</v>
      </c>
      <c r="C1212" t="s">
        <v>868</v>
      </c>
      <c r="D1212" s="7">
        <v>68</v>
      </c>
      <c r="E1212">
        <v>2016</v>
      </c>
      <c r="F1212">
        <v>2016</v>
      </c>
      <c r="G1212" t="str">
        <f>IFERROR(INDEX(Formulations[Formulation],MATCH($C1212,Formulations[Product Code],0)),"")</f>
        <v>Crystal</v>
      </c>
    </row>
    <row r="1213" spans="1:7" x14ac:dyDescent="0.3">
      <c r="A1213" t="s">
        <v>2514</v>
      </c>
      <c r="B1213" t="s">
        <v>263</v>
      </c>
      <c r="C1213" t="s">
        <v>264</v>
      </c>
      <c r="D1213" s="7">
        <v>67</v>
      </c>
      <c r="E1213">
        <v>2019</v>
      </c>
      <c r="F1213">
        <v>2020</v>
      </c>
      <c r="G1213" t="str">
        <f>IFERROR(INDEX(Formulations[Formulation],MATCH($C1213,Formulations[Product Code],0)),"")</f>
        <v>Silver</v>
      </c>
    </row>
    <row r="1214" spans="1:7" x14ac:dyDescent="0.3">
      <c r="A1214" t="s">
        <v>1463</v>
      </c>
      <c r="B1214" t="s">
        <v>297</v>
      </c>
      <c r="C1214" t="s">
        <v>298</v>
      </c>
      <c r="D1214" s="7">
        <v>66</v>
      </c>
      <c r="E1214">
        <v>2012</v>
      </c>
      <c r="F1214">
        <v>2017</v>
      </c>
      <c r="G1214" t="str">
        <f>IFERROR(INDEX(Formulations[Formulation],MATCH($C1214,Formulations[Product Code],0)),"")</f>
        <v>Pure</v>
      </c>
    </row>
    <row r="1215" spans="1:7" x14ac:dyDescent="0.3">
      <c r="A1215" t="s">
        <v>273</v>
      </c>
      <c r="B1215" t="s">
        <v>120</v>
      </c>
      <c r="C1215" t="s">
        <v>121</v>
      </c>
      <c r="D1215" s="7">
        <v>65</v>
      </c>
      <c r="E1215">
        <v>2014</v>
      </c>
      <c r="F1215">
        <v>2015</v>
      </c>
      <c r="G1215" t="str">
        <f>IFERROR(INDEX(Formulations[Formulation],MATCH($C1215,Formulations[Product Code],0)),"")</f>
        <v/>
      </c>
    </row>
    <row r="1216" spans="1:7" x14ac:dyDescent="0.3">
      <c r="A1216" t="s">
        <v>781</v>
      </c>
      <c r="B1216" t="s">
        <v>600</v>
      </c>
      <c r="C1216" t="s">
        <v>75</v>
      </c>
      <c r="D1216" s="7">
        <v>65</v>
      </c>
      <c r="E1216">
        <v>2019</v>
      </c>
      <c r="F1216">
        <v>2021</v>
      </c>
      <c r="G1216" t="str">
        <f>IFERROR(INDEX(Formulations[Formulation],MATCH($C1216,Formulations[Product Code],0)),"")</f>
        <v>Crystal</v>
      </c>
    </row>
    <row r="1217" spans="1:7" x14ac:dyDescent="0.3">
      <c r="A1217" t="s">
        <v>887</v>
      </c>
      <c r="B1217" t="s">
        <v>554</v>
      </c>
      <c r="C1217" t="s">
        <v>249</v>
      </c>
      <c r="D1217" s="7">
        <v>65</v>
      </c>
      <c r="E1217">
        <v>2017</v>
      </c>
      <c r="F1217">
        <v>2018</v>
      </c>
      <c r="G1217" t="str">
        <f>IFERROR(INDEX(Formulations[Formulation],MATCH($C1217,Formulations[Product Code],0)),"")</f>
        <v>WS</v>
      </c>
    </row>
    <row r="1218" spans="1:7" x14ac:dyDescent="0.3">
      <c r="A1218" t="s">
        <v>1005</v>
      </c>
      <c r="B1218" t="s">
        <v>1009</v>
      </c>
      <c r="C1218" t="s">
        <v>934</v>
      </c>
      <c r="D1218" s="7">
        <v>65</v>
      </c>
      <c r="E1218">
        <v>2018</v>
      </c>
      <c r="F1218">
        <v>2020</v>
      </c>
      <c r="G1218" t="str">
        <f>IFERROR(INDEX(Formulations[Formulation],MATCH($C1218,Formulations[Product Code],0)),"")</f>
        <v/>
      </c>
    </row>
    <row r="1219" spans="1:7" x14ac:dyDescent="0.3">
      <c r="A1219" t="s">
        <v>1127</v>
      </c>
      <c r="B1219" t="s">
        <v>516</v>
      </c>
      <c r="D1219" s="7">
        <v>65</v>
      </c>
      <c r="E1219">
        <v>2020</v>
      </c>
      <c r="F1219">
        <v>2020</v>
      </c>
      <c r="G1219" t="str">
        <f>IFERROR(INDEX(Formulations[Formulation],MATCH($C1219,Formulations[Product Code],0)),"")</f>
        <v/>
      </c>
    </row>
    <row r="1220" spans="1:7" x14ac:dyDescent="0.3">
      <c r="A1220" t="s">
        <v>1175</v>
      </c>
      <c r="B1220" t="s">
        <v>649</v>
      </c>
      <c r="C1220" t="s">
        <v>650</v>
      </c>
      <c r="D1220" s="7">
        <v>65</v>
      </c>
      <c r="E1220">
        <v>2018</v>
      </c>
      <c r="F1220">
        <v>2021</v>
      </c>
      <c r="G1220" t="str">
        <f>IFERROR(INDEX(Formulations[Formulation],MATCH($C1220,Formulations[Product Code],0)),"")</f>
        <v>Pure</v>
      </c>
    </row>
    <row r="1221" spans="1:7" x14ac:dyDescent="0.3">
      <c r="A1221" t="s">
        <v>1439</v>
      </c>
      <c r="B1221" t="s">
        <v>37</v>
      </c>
      <c r="D1221" s="7">
        <v>65</v>
      </c>
      <c r="E1221">
        <v>2018</v>
      </c>
      <c r="F1221">
        <v>2018</v>
      </c>
      <c r="G1221" t="str">
        <f>IFERROR(INDEX(Formulations[Formulation],MATCH($C1221,Formulations[Product Code],0)),"")</f>
        <v/>
      </c>
    </row>
    <row r="1222" spans="1:7" x14ac:dyDescent="0.3">
      <c r="A1222" t="s">
        <v>1463</v>
      </c>
      <c r="B1222" t="s">
        <v>1605</v>
      </c>
      <c r="C1222" t="s">
        <v>1606</v>
      </c>
      <c r="D1222" s="7">
        <v>65</v>
      </c>
      <c r="E1222">
        <v>2012</v>
      </c>
      <c r="F1222">
        <v>2013</v>
      </c>
      <c r="G1222" t="str">
        <f>IFERROR(INDEX(Formulations[Formulation],MATCH($C1222,Formulations[Product Code],0)),"")</f>
        <v/>
      </c>
    </row>
    <row r="1223" spans="1:7" x14ac:dyDescent="0.3">
      <c r="A1223" t="s">
        <v>1693</v>
      </c>
      <c r="B1223" t="s">
        <v>99</v>
      </c>
      <c r="C1223" t="s">
        <v>100</v>
      </c>
      <c r="D1223" s="7">
        <v>65</v>
      </c>
      <c r="E1223">
        <v>2017</v>
      </c>
      <c r="F1223">
        <v>2021</v>
      </c>
      <c r="G1223" t="str">
        <f>IFERROR(INDEX(Formulations[Formulation],MATCH($C1223,Formulations[Product Code],0)),"")</f>
        <v>Crystal</v>
      </c>
    </row>
    <row r="1224" spans="1:7" x14ac:dyDescent="0.3">
      <c r="A1224" t="s">
        <v>1819</v>
      </c>
      <c r="B1224" t="s">
        <v>915</v>
      </c>
      <c r="C1224" t="s">
        <v>916</v>
      </c>
      <c r="D1224" s="7">
        <v>65</v>
      </c>
      <c r="E1224">
        <v>2015</v>
      </c>
      <c r="F1224">
        <v>2019</v>
      </c>
      <c r="G1224" t="str">
        <f>IFERROR(INDEX(Formulations[Formulation],MATCH($C1224,Formulations[Product Code],0)),"")</f>
        <v>Crystal</v>
      </c>
    </row>
    <row r="1225" spans="1:7" x14ac:dyDescent="0.3">
      <c r="A1225" t="s">
        <v>1838</v>
      </c>
      <c r="B1225" t="s">
        <v>240</v>
      </c>
      <c r="D1225" s="7">
        <v>65</v>
      </c>
      <c r="E1225">
        <v>2013</v>
      </c>
      <c r="F1225">
        <v>2016</v>
      </c>
      <c r="G1225" t="str">
        <f>IFERROR(INDEX(Formulations[Formulation],MATCH($C1225,Formulations[Product Code],0)),"")</f>
        <v/>
      </c>
    </row>
    <row r="1226" spans="1:7" x14ac:dyDescent="0.3">
      <c r="A1226" t="s">
        <v>1873</v>
      </c>
      <c r="B1226" t="s">
        <v>196</v>
      </c>
      <c r="C1226" t="s">
        <v>197</v>
      </c>
      <c r="D1226" s="7">
        <v>65</v>
      </c>
      <c r="E1226">
        <v>2017</v>
      </c>
      <c r="F1226">
        <v>2019</v>
      </c>
      <c r="G1226" t="str">
        <f>IFERROR(INDEX(Formulations[Formulation],MATCH($C1226,Formulations[Product Code],0)),"")</f>
        <v/>
      </c>
    </row>
    <row r="1227" spans="1:7" x14ac:dyDescent="0.3">
      <c r="A1227" t="s">
        <v>2097</v>
      </c>
      <c r="B1227" t="s">
        <v>1178</v>
      </c>
      <c r="C1227" t="s">
        <v>1179</v>
      </c>
      <c r="D1227" s="7">
        <v>65</v>
      </c>
      <c r="E1227">
        <v>2017</v>
      </c>
      <c r="F1227">
        <v>2017</v>
      </c>
      <c r="G1227" t="str">
        <f>IFERROR(INDEX(Formulations[Formulation],MATCH($C1227,Formulations[Product Code],0)),"")</f>
        <v/>
      </c>
    </row>
    <row r="1228" spans="1:7" x14ac:dyDescent="0.3">
      <c r="A1228" t="s">
        <v>2097</v>
      </c>
      <c r="B1228" t="s">
        <v>533</v>
      </c>
      <c r="C1228" t="s">
        <v>534</v>
      </c>
      <c r="D1228" s="7">
        <v>65</v>
      </c>
      <c r="E1228">
        <v>2019</v>
      </c>
      <c r="F1228">
        <v>2020</v>
      </c>
      <c r="G1228" t="str">
        <f>IFERROR(INDEX(Formulations[Formulation],MATCH($C1228,Formulations[Product Code],0)),"")</f>
        <v>Pure</v>
      </c>
    </row>
    <row r="1229" spans="1:7" x14ac:dyDescent="0.3">
      <c r="A1229" t="s">
        <v>2123</v>
      </c>
      <c r="B1229" t="s">
        <v>133</v>
      </c>
      <c r="C1229" t="s">
        <v>134</v>
      </c>
      <c r="D1229" s="7">
        <v>65</v>
      </c>
      <c r="E1229">
        <v>2020</v>
      </c>
      <c r="F1229">
        <v>2021</v>
      </c>
      <c r="G1229" t="str">
        <f>IFERROR(INDEX(Formulations[Formulation],MATCH($C1229,Formulations[Product Code],0)),"")</f>
        <v>Pure</v>
      </c>
    </row>
    <row r="1230" spans="1:7" x14ac:dyDescent="0.3">
      <c r="A1230" t="s">
        <v>2200</v>
      </c>
      <c r="B1230" t="s">
        <v>1405</v>
      </c>
      <c r="C1230" t="s">
        <v>1406</v>
      </c>
      <c r="D1230" s="7">
        <v>65</v>
      </c>
      <c r="E1230">
        <v>2020</v>
      </c>
      <c r="F1230">
        <v>2020</v>
      </c>
      <c r="G1230" t="str">
        <f>IFERROR(INDEX(Formulations[Formulation],MATCH($C1230,Formulations[Product Code],0)),"")</f>
        <v>Silver</v>
      </c>
    </row>
    <row r="1231" spans="1:7" x14ac:dyDescent="0.3">
      <c r="A1231" t="s">
        <v>2238</v>
      </c>
      <c r="B1231" t="s">
        <v>297</v>
      </c>
      <c r="C1231" t="s">
        <v>298</v>
      </c>
      <c r="D1231" s="7">
        <v>65</v>
      </c>
      <c r="E1231">
        <v>2016</v>
      </c>
      <c r="F1231">
        <v>2017</v>
      </c>
      <c r="G1231" t="str">
        <f>IFERROR(INDEX(Formulations[Formulation],MATCH($C1231,Formulations[Product Code],0)),"")</f>
        <v>Pure</v>
      </c>
    </row>
    <row r="1232" spans="1:7" x14ac:dyDescent="0.3">
      <c r="A1232" t="s">
        <v>2302</v>
      </c>
      <c r="B1232" t="s">
        <v>2306</v>
      </c>
      <c r="C1232" t="s">
        <v>2307</v>
      </c>
      <c r="D1232" s="7">
        <v>65</v>
      </c>
      <c r="E1232">
        <v>2009</v>
      </c>
      <c r="F1232">
        <v>2016</v>
      </c>
      <c r="G1232" t="str">
        <f>IFERROR(INDEX(Formulations[Formulation],MATCH($C1232,Formulations[Product Code],0)),"")</f>
        <v/>
      </c>
    </row>
    <row r="1233" spans="1:7" x14ac:dyDescent="0.3">
      <c r="A1233" t="s">
        <v>2317</v>
      </c>
      <c r="B1233" t="s">
        <v>19</v>
      </c>
      <c r="C1233" t="s">
        <v>20</v>
      </c>
      <c r="D1233" s="7">
        <v>65</v>
      </c>
      <c r="E1233">
        <v>2020</v>
      </c>
      <c r="F1233">
        <v>2020</v>
      </c>
      <c r="G1233" t="str">
        <f>IFERROR(INDEX(Formulations[Formulation],MATCH($C1233,Formulations[Product Code],0)),"")</f>
        <v>80 % Oil AND 20 % DPG</v>
      </c>
    </row>
    <row r="1234" spans="1:7" x14ac:dyDescent="0.3">
      <c r="A1234" t="s">
        <v>2354</v>
      </c>
      <c r="B1234" t="s">
        <v>686</v>
      </c>
      <c r="C1234" t="s">
        <v>687</v>
      </c>
      <c r="D1234" s="7">
        <v>65</v>
      </c>
      <c r="E1234">
        <v>2020</v>
      </c>
      <c r="F1234">
        <v>2021</v>
      </c>
      <c r="G1234" t="str">
        <f>IFERROR(INDEX(Formulations[Formulation],MATCH($C1234,Formulations[Product Code],0)),"")</f>
        <v>Pure</v>
      </c>
    </row>
    <row r="1235" spans="1:7" x14ac:dyDescent="0.3">
      <c r="A1235" t="s">
        <v>2411</v>
      </c>
      <c r="B1235" t="s">
        <v>408</v>
      </c>
      <c r="D1235" s="7">
        <v>65</v>
      </c>
      <c r="E1235">
        <v>2019</v>
      </c>
      <c r="F1235">
        <v>2021</v>
      </c>
      <c r="G1235" t="str">
        <f>IFERROR(INDEX(Formulations[Formulation],MATCH($C1235,Formulations[Product Code],0)),"")</f>
        <v/>
      </c>
    </row>
    <row r="1236" spans="1:7" x14ac:dyDescent="0.3">
      <c r="A1236" t="s">
        <v>2455</v>
      </c>
      <c r="B1236" t="s">
        <v>686</v>
      </c>
      <c r="C1236" t="s">
        <v>687</v>
      </c>
      <c r="D1236" s="7">
        <v>65</v>
      </c>
      <c r="E1236">
        <v>2019</v>
      </c>
      <c r="F1236">
        <v>2019</v>
      </c>
      <c r="G1236" t="str">
        <f>IFERROR(INDEX(Formulations[Formulation],MATCH($C1236,Formulations[Product Code],0)),"")</f>
        <v>Pure</v>
      </c>
    </row>
    <row r="1237" spans="1:7" x14ac:dyDescent="0.3">
      <c r="A1237" t="s">
        <v>2532</v>
      </c>
      <c r="B1237" t="s">
        <v>453</v>
      </c>
      <c r="D1237" s="7">
        <v>65</v>
      </c>
      <c r="E1237">
        <v>2020</v>
      </c>
      <c r="F1237">
        <v>2021</v>
      </c>
      <c r="G1237" t="str">
        <f>IFERROR(INDEX(Formulations[Formulation],MATCH($C1237,Formulations[Product Code],0)),"")</f>
        <v/>
      </c>
    </row>
    <row r="1238" spans="1:7" x14ac:dyDescent="0.3">
      <c r="A1238" t="s">
        <v>2595</v>
      </c>
      <c r="B1238" t="s">
        <v>536</v>
      </c>
      <c r="C1238" t="s">
        <v>537</v>
      </c>
      <c r="D1238" s="7">
        <v>65</v>
      </c>
      <c r="E1238">
        <v>2020</v>
      </c>
      <c r="F1238">
        <v>2021</v>
      </c>
      <c r="G1238" t="str">
        <f>IFERROR(INDEX(Formulations[Formulation],MATCH($C1238,Formulations[Product Code],0)),"")</f>
        <v>Silver</v>
      </c>
    </row>
    <row r="1239" spans="1:7" x14ac:dyDescent="0.3">
      <c r="A1239" t="s">
        <v>2452</v>
      </c>
      <c r="B1239" t="s">
        <v>32</v>
      </c>
      <c r="D1239" s="7">
        <v>63</v>
      </c>
      <c r="E1239">
        <v>2016</v>
      </c>
      <c r="F1239">
        <v>2017</v>
      </c>
      <c r="G1239" t="str">
        <f>IFERROR(INDEX(Formulations[Formulation],MATCH($C1239,Formulations[Product Code],0)),"")</f>
        <v/>
      </c>
    </row>
    <row r="1240" spans="1:7" x14ac:dyDescent="0.3">
      <c r="A1240" t="s">
        <v>1675</v>
      </c>
      <c r="B1240" t="s">
        <v>45</v>
      </c>
      <c r="D1240" s="7">
        <v>62</v>
      </c>
      <c r="E1240">
        <v>2016</v>
      </c>
      <c r="F1240">
        <v>2018</v>
      </c>
      <c r="G1240" t="str">
        <f>IFERROR(INDEX(Formulations[Formulation],MATCH($C1240,Formulations[Product Code],0)),"")</f>
        <v/>
      </c>
    </row>
    <row r="1241" spans="1:7" x14ac:dyDescent="0.3">
      <c r="A1241" t="s">
        <v>2569</v>
      </c>
      <c r="B1241" t="s">
        <v>51</v>
      </c>
      <c r="C1241" t="s">
        <v>52</v>
      </c>
      <c r="D1241" s="7">
        <v>62</v>
      </c>
      <c r="E1241">
        <v>2016</v>
      </c>
      <c r="F1241">
        <v>2018</v>
      </c>
      <c r="G1241" t="str">
        <f>IFERROR(INDEX(Formulations[Formulation],MATCH($C1241,Formulations[Product Code],0)),"")</f>
        <v>Silver</v>
      </c>
    </row>
    <row r="1242" spans="1:7" x14ac:dyDescent="0.3">
      <c r="A1242" t="s">
        <v>2113</v>
      </c>
      <c r="B1242" t="s">
        <v>196</v>
      </c>
      <c r="C1242" t="s">
        <v>197</v>
      </c>
      <c r="D1242" s="7">
        <v>61.5</v>
      </c>
      <c r="E1242">
        <v>2015</v>
      </c>
      <c r="F1242">
        <v>2018</v>
      </c>
      <c r="G1242" t="str">
        <f>IFERROR(INDEX(Formulations[Formulation],MATCH($C1242,Formulations[Product Code],0)),"")</f>
        <v/>
      </c>
    </row>
    <row r="1243" spans="1:7" x14ac:dyDescent="0.3">
      <c r="A1243" t="s">
        <v>1703</v>
      </c>
      <c r="B1243" t="s">
        <v>604</v>
      </c>
      <c r="C1243" t="s">
        <v>605</v>
      </c>
      <c r="D1243" s="7">
        <v>61</v>
      </c>
      <c r="E1243">
        <v>2010</v>
      </c>
      <c r="F1243">
        <v>2020</v>
      </c>
      <c r="G1243" t="str">
        <f>IFERROR(INDEX(Formulations[Formulation],MATCH($C1243,Formulations[Product Code],0)),"")</f>
        <v>60 % Oil &amp; 40 % DPG</v>
      </c>
    </row>
    <row r="1244" spans="1:7" x14ac:dyDescent="0.3">
      <c r="A1244" t="s">
        <v>1865</v>
      </c>
      <c r="B1244" t="s">
        <v>479</v>
      </c>
      <c r="C1244" t="s">
        <v>480</v>
      </c>
      <c r="D1244" s="7">
        <v>61</v>
      </c>
      <c r="E1244">
        <v>2019</v>
      </c>
      <c r="F1244">
        <v>2020</v>
      </c>
      <c r="G1244" t="str">
        <f>IFERROR(INDEX(Formulations[Formulation],MATCH($C1244,Formulations[Product Code],0)),"")</f>
        <v>Crystal</v>
      </c>
    </row>
    <row r="1245" spans="1:7" x14ac:dyDescent="0.3">
      <c r="A1245" t="s">
        <v>2498</v>
      </c>
      <c r="B1245" t="s">
        <v>36</v>
      </c>
      <c r="D1245" s="7">
        <v>61</v>
      </c>
      <c r="E1245">
        <v>2017</v>
      </c>
      <c r="F1245">
        <v>2020</v>
      </c>
      <c r="G1245" t="str">
        <f>IFERROR(INDEX(Formulations[Formulation],MATCH($C1245,Formulations[Product Code],0)),"")</f>
        <v/>
      </c>
    </row>
    <row r="1246" spans="1:7" x14ac:dyDescent="0.3">
      <c r="A1246" t="s">
        <v>40</v>
      </c>
      <c r="B1246" t="s">
        <v>45</v>
      </c>
      <c r="D1246" s="7">
        <v>60</v>
      </c>
      <c r="E1246">
        <v>2017</v>
      </c>
      <c r="F1246">
        <v>2017</v>
      </c>
      <c r="G1246" t="str">
        <f>IFERROR(INDEX(Formulations[Formulation],MATCH($C1246,Formulations[Product Code],0)),"")</f>
        <v/>
      </c>
    </row>
    <row r="1247" spans="1:7" x14ac:dyDescent="0.3">
      <c r="A1247" t="s">
        <v>215</v>
      </c>
      <c r="B1247" t="s">
        <v>218</v>
      </c>
      <c r="C1247" t="s">
        <v>212</v>
      </c>
      <c r="D1247" s="7">
        <v>60</v>
      </c>
      <c r="E1247">
        <v>2011</v>
      </c>
      <c r="F1247">
        <v>2014</v>
      </c>
      <c r="G1247" t="str">
        <f>IFERROR(INDEX(Formulations[Formulation],MATCH($C1247,Formulations[Product Code],0)),"")</f>
        <v>Pure</v>
      </c>
    </row>
    <row r="1248" spans="1:7" x14ac:dyDescent="0.3">
      <c r="A1248" t="s">
        <v>445</v>
      </c>
      <c r="B1248" t="s">
        <v>351</v>
      </c>
      <c r="C1248" t="s">
        <v>352</v>
      </c>
      <c r="D1248" s="7">
        <v>60</v>
      </c>
      <c r="E1248">
        <v>2020</v>
      </c>
      <c r="F1248">
        <v>2021</v>
      </c>
      <c r="G1248" t="str">
        <f>IFERROR(INDEX(Formulations[Formulation],MATCH($C1248,Formulations[Product Code],0)),"")</f>
        <v>Pure</v>
      </c>
    </row>
    <row r="1249" spans="1:7" x14ac:dyDescent="0.3">
      <c r="A1249" t="s">
        <v>622</v>
      </c>
      <c r="B1249" t="s">
        <v>12</v>
      </c>
      <c r="C1249" t="s">
        <v>13</v>
      </c>
      <c r="D1249" s="7">
        <v>60</v>
      </c>
      <c r="E1249">
        <v>2019</v>
      </c>
      <c r="F1249">
        <v>2020</v>
      </c>
      <c r="G1249" t="str">
        <f>IFERROR(INDEX(Formulations[Formulation],MATCH($C1249,Formulations[Product Code],0)),"")</f>
        <v>Crystal</v>
      </c>
    </row>
    <row r="1250" spans="1:7" x14ac:dyDescent="0.3">
      <c r="A1250" t="s">
        <v>712</v>
      </c>
      <c r="B1250" t="s">
        <v>723</v>
      </c>
      <c r="C1250" t="s">
        <v>724</v>
      </c>
      <c r="D1250" s="7">
        <v>60</v>
      </c>
      <c r="E1250">
        <v>2019</v>
      </c>
      <c r="F1250">
        <v>2020</v>
      </c>
      <c r="G1250" t="str">
        <f>IFERROR(INDEX(Formulations[Formulation],MATCH($C1250,Formulations[Product Code],0)),"")</f>
        <v>Crystal</v>
      </c>
    </row>
    <row r="1251" spans="1:7" x14ac:dyDescent="0.3">
      <c r="A1251" t="s">
        <v>762</v>
      </c>
      <c r="B1251" t="s">
        <v>32</v>
      </c>
      <c r="D1251" s="7">
        <v>60</v>
      </c>
      <c r="E1251">
        <v>2014</v>
      </c>
      <c r="F1251">
        <v>2014</v>
      </c>
      <c r="G1251" t="str">
        <f>IFERROR(INDEX(Formulations[Formulation],MATCH($C1251,Formulations[Product Code],0)),"")</f>
        <v/>
      </c>
    </row>
    <row r="1252" spans="1:7" x14ac:dyDescent="0.3">
      <c r="A1252" t="s">
        <v>865</v>
      </c>
      <c r="B1252" t="s">
        <v>36</v>
      </c>
      <c r="D1252" s="7">
        <v>60</v>
      </c>
      <c r="E1252">
        <v>2019</v>
      </c>
      <c r="F1252">
        <v>2020</v>
      </c>
      <c r="G1252" t="str">
        <f>IFERROR(INDEX(Formulations[Formulation],MATCH($C1252,Formulations[Product Code],0)),"")</f>
        <v/>
      </c>
    </row>
    <row r="1253" spans="1:7" x14ac:dyDescent="0.3">
      <c r="A1253" t="s">
        <v>923</v>
      </c>
      <c r="B1253" t="s">
        <v>926</v>
      </c>
      <c r="C1253" t="s">
        <v>927</v>
      </c>
      <c r="D1253" s="7">
        <v>60</v>
      </c>
      <c r="E1253">
        <v>2014</v>
      </c>
      <c r="F1253">
        <v>2018</v>
      </c>
      <c r="G1253" t="str">
        <f>IFERROR(INDEX(Formulations[Formulation],MATCH($C1253,Formulations[Product Code],0)),"")</f>
        <v/>
      </c>
    </row>
    <row r="1254" spans="1:7" x14ac:dyDescent="0.3">
      <c r="A1254" t="s">
        <v>944</v>
      </c>
      <c r="B1254" t="s">
        <v>223</v>
      </c>
      <c r="C1254" t="s">
        <v>224</v>
      </c>
      <c r="D1254" s="7">
        <v>60</v>
      </c>
      <c r="E1254">
        <v>2010</v>
      </c>
      <c r="F1254">
        <v>2011</v>
      </c>
      <c r="G1254" t="str">
        <f>IFERROR(INDEX(Formulations[Formulation],MATCH($C1254,Formulations[Product Code],0)),"")</f>
        <v/>
      </c>
    </row>
    <row r="1255" spans="1:7" x14ac:dyDescent="0.3">
      <c r="A1255" t="s">
        <v>1005</v>
      </c>
      <c r="B1255" t="s">
        <v>471</v>
      </c>
      <c r="C1255" t="s">
        <v>472</v>
      </c>
      <c r="D1255" s="7">
        <v>60</v>
      </c>
      <c r="E1255">
        <v>2019</v>
      </c>
      <c r="F1255">
        <v>2021</v>
      </c>
      <c r="G1255" t="str">
        <f>IFERROR(INDEX(Formulations[Formulation],MATCH($C1255,Formulations[Product Code],0)),"")</f>
        <v>Crystal</v>
      </c>
    </row>
    <row r="1256" spans="1:7" x14ac:dyDescent="0.3">
      <c r="A1256" t="s">
        <v>1027</v>
      </c>
      <c r="B1256" t="s">
        <v>32</v>
      </c>
      <c r="D1256" s="7">
        <v>60</v>
      </c>
      <c r="E1256">
        <v>2018</v>
      </c>
      <c r="F1256">
        <v>2021</v>
      </c>
      <c r="G1256" t="str">
        <f>IFERROR(INDEX(Formulations[Formulation],MATCH($C1256,Formulations[Product Code],0)),"")</f>
        <v/>
      </c>
    </row>
    <row r="1257" spans="1:7" x14ac:dyDescent="0.3">
      <c r="A1257" t="s">
        <v>1139</v>
      </c>
      <c r="B1257" t="s">
        <v>45</v>
      </c>
      <c r="D1257" s="7">
        <v>60</v>
      </c>
      <c r="E1257">
        <v>2010</v>
      </c>
      <c r="F1257">
        <v>2017</v>
      </c>
      <c r="G1257" t="str">
        <f>IFERROR(INDEX(Formulations[Formulation],MATCH($C1257,Formulations[Product Code],0)),"")</f>
        <v/>
      </c>
    </row>
    <row r="1258" spans="1:7" x14ac:dyDescent="0.3">
      <c r="A1258" t="s">
        <v>1162</v>
      </c>
      <c r="B1258" t="s">
        <v>32</v>
      </c>
      <c r="D1258" s="7">
        <v>60</v>
      </c>
      <c r="E1258">
        <v>2018</v>
      </c>
      <c r="F1258">
        <v>2020</v>
      </c>
      <c r="G1258" t="str">
        <f>IFERROR(INDEX(Formulations[Formulation],MATCH($C1258,Formulations[Product Code],0)),"")</f>
        <v/>
      </c>
    </row>
    <row r="1259" spans="1:7" x14ac:dyDescent="0.3">
      <c r="A1259" t="s">
        <v>1220</v>
      </c>
      <c r="B1259" t="s">
        <v>1221</v>
      </c>
      <c r="D1259" s="7">
        <v>60</v>
      </c>
      <c r="E1259">
        <v>2013</v>
      </c>
      <c r="F1259">
        <v>2014</v>
      </c>
      <c r="G1259" t="str">
        <f>IFERROR(INDEX(Formulations[Formulation],MATCH($C1259,Formulations[Product Code],0)),"")</f>
        <v/>
      </c>
    </row>
    <row r="1260" spans="1:7" x14ac:dyDescent="0.3">
      <c r="A1260" t="s">
        <v>1400</v>
      </c>
      <c r="B1260" t="s">
        <v>864</v>
      </c>
      <c r="D1260" s="7">
        <v>60</v>
      </c>
      <c r="E1260">
        <v>2013</v>
      </c>
      <c r="F1260">
        <v>2016</v>
      </c>
      <c r="G1260" t="str">
        <f>IFERROR(INDEX(Formulations[Formulation],MATCH($C1260,Formulations[Product Code],0)),"")</f>
        <v/>
      </c>
    </row>
    <row r="1261" spans="1:7" x14ac:dyDescent="0.3">
      <c r="A1261" t="s">
        <v>1437</v>
      </c>
      <c r="B1261" t="s">
        <v>1438</v>
      </c>
      <c r="C1261" t="s">
        <v>212</v>
      </c>
      <c r="D1261" s="7">
        <v>60</v>
      </c>
      <c r="E1261">
        <v>2010</v>
      </c>
      <c r="F1261">
        <v>2011</v>
      </c>
      <c r="G1261" t="str">
        <f>IFERROR(INDEX(Formulations[Formulation],MATCH($C1261,Formulations[Product Code],0)),"")</f>
        <v>Pure</v>
      </c>
    </row>
    <row r="1262" spans="1:7" x14ac:dyDescent="0.3">
      <c r="A1262" t="s">
        <v>1439</v>
      </c>
      <c r="B1262" t="s">
        <v>471</v>
      </c>
      <c r="C1262" t="s">
        <v>472</v>
      </c>
      <c r="D1262" s="7">
        <v>60</v>
      </c>
      <c r="E1262">
        <v>2013</v>
      </c>
      <c r="F1262">
        <v>2017</v>
      </c>
      <c r="G1262" t="str">
        <f>IFERROR(INDEX(Formulations[Formulation],MATCH($C1262,Formulations[Product Code],0)),"")</f>
        <v>Crystal</v>
      </c>
    </row>
    <row r="1263" spans="1:7" x14ac:dyDescent="0.3">
      <c r="A1263" t="s">
        <v>1463</v>
      </c>
      <c r="B1263" t="s">
        <v>182</v>
      </c>
      <c r="C1263" t="s">
        <v>57</v>
      </c>
      <c r="D1263" s="7">
        <v>60</v>
      </c>
      <c r="E1263">
        <v>2012</v>
      </c>
      <c r="F1263">
        <v>2013</v>
      </c>
      <c r="G1263" t="str">
        <f>IFERROR(INDEX(Formulations[Formulation],MATCH($C1263,Formulations[Product Code],0)),"")</f>
        <v/>
      </c>
    </row>
    <row r="1264" spans="1:7" x14ac:dyDescent="0.3">
      <c r="A1264" t="s">
        <v>1693</v>
      </c>
      <c r="B1264" t="s">
        <v>1371</v>
      </c>
      <c r="C1264" t="s">
        <v>613</v>
      </c>
      <c r="D1264" s="7">
        <v>60</v>
      </c>
      <c r="E1264">
        <v>2017</v>
      </c>
      <c r="F1264">
        <v>2019</v>
      </c>
      <c r="G1264" t="str">
        <f>IFERROR(INDEX(Formulations[Formulation],MATCH($C1264,Formulations[Product Code],0)),"")</f>
        <v>Pure</v>
      </c>
    </row>
    <row r="1265" spans="1:7" x14ac:dyDescent="0.3">
      <c r="A1265" t="s">
        <v>1810</v>
      </c>
      <c r="B1265" t="s">
        <v>28</v>
      </c>
      <c r="D1265" s="7">
        <v>60</v>
      </c>
      <c r="E1265">
        <v>2015</v>
      </c>
      <c r="F1265">
        <v>2016</v>
      </c>
      <c r="G1265" t="str">
        <f>IFERROR(INDEX(Formulations[Formulation],MATCH($C1265,Formulations[Product Code],0)),"")</f>
        <v/>
      </c>
    </row>
    <row r="1266" spans="1:7" x14ac:dyDescent="0.3">
      <c r="A1266" t="s">
        <v>1832</v>
      </c>
      <c r="B1266" t="s">
        <v>240</v>
      </c>
      <c r="D1266" s="7">
        <v>60</v>
      </c>
      <c r="E1266">
        <v>2017</v>
      </c>
      <c r="F1266">
        <v>2017</v>
      </c>
      <c r="G1266" t="str">
        <f>IFERROR(INDEX(Formulations[Formulation],MATCH($C1266,Formulations[Product Code],0)),"")</f>
        <v/>
      </c>
    </row>
    <row r="1267" spans="1:7" x14ac:dyDescent="0.3">
      <c r="A1267" t="s">
        <v>1838</v>
      </c>
      <c r="B1267" t="s">
        <v>46</v>
      </c>
      <c r="C1267" t="s">
        <v>47</v>
      </c>
      <c r="D1267" s="7">
        <v>60</v>
      </c>
      <c r="E1267">
        <v>2013</v>
      </c>
      <c r="F1267">
        <v>2017</v>
      </c>
      <c r="G1267" t="str">
        <f>IFERROR(INDEX(Formulations[Formulation],MATCH($C1267,Formulations[Product Code],0)),"")</f>
        <v/>
      </c>
    </row>
    <row r="1268" spans="1:7" x14ac:dyDescent="0.3">
      <c r="A1268" t="s">
        <v>1906</v>
      </c>
      <c r="B1268" t="s">
        <v>36</v>
      </c>
      <c r="D1268" s="7">
        <v>60</v>
      </c>
      <c r="E1268">
        <v>2017</v>
      </c>
      <c r="F1268">
        <v>2021</v>
      </c>
      <c r="G1268" t="str">
        <f>IFERROR(INDEX(Formulations[Formulation],MATCH($C1268,Formulations[Product Code],0)),"")</f>
        <v/>
      </c>
    </row>
    <row r="1269" spans="1:7" x14ac:dyDescent="0.3">
      <c r="A1269" t="s">
        <v>1933</v>
      </c>
      <c r="B1269" t="s">
        <v>51</v>
      </c>
      <c r="C1269" t="s">
        <v>52</v>
      </c>
      <c r="D1269" s="7">
        <v>60</v>
      </c>
      <c r="E1269">
        <v>2019</v>
      </c>
      <c r="F1269">
        <v>2019</v>
      </c>
      <c r="G1269" t="str">
        <f>IFERROR(INDEX(Formulations[Formulation],MATCH($C1269,Formulations[Product Code],0)),"")</f>
        <v>Silver</v>
      </c>
    </row>
    <row r="1270" spans="1:7" x14ac:dyDescent="0.3">
      <c r="A1270" t="s">
        <v>2041</v>
      </c>
      <c r="B1270" t="s">
        <v>240</v>
      </c>
      <c r="D1270" s="7">
        <v>60</v>
      </c>
      <c r="E1270">
        <v>2013</v>
      </c>
      <c r="F1270">
        <v>2014</v>
      </c>
      <c r="G1270" t="str">
        <f>IFERROR(INDEX(Formulations[Formulation],MATCH($C1270,Formulations[Product Code],0)),"")</f>
        <v/>
      </c>
    </row>
    <row r="1271" spans="1:7" x14ac:dyDescent="0.3">
      <c r="A1271" t="s">
        <v>2043</v>
      </c>
      <c r="B1271" t="s">
        <v>32</v>
      </c>
      <c r="D1271" s="7">
        <v>60</v>
      </c>
      <c r="E1271">
        <v>2016</v>
      </c>
      <c r="F1271">
        <v>2016</v>
      </c>
      <c r="G1271" t="str">
        <f>IFERROR(INDEX(Formulations[Formulation],MATCH($C1271,Formulations[Product Code],0)),"")</f>
        <v/>
      </c>
    </row>
    <row r="1272" spans="1:7" x14ac:dyDescent="0.3">
      <c r="A1272" t="s">
        <v>2057</v>
      </c>
      <c r="B1272" t="s">
        <v>671</v>
      </c>
      <c r="C1272" t="s">
        <v>672</v>
      </c>
      <c r="D1272" s="7">
        <v>60</v>
      </c>
      <c r="E1272">
        <v>2020</v>
      </c>
      <c r="F1272">
        <v>2020</v>
      </c>
      <c r="G1272" t="str">
        <f>IFERROR(INDEX(Formulations[Formulation],MATCH($C1272,Formulations[Product Code],0)),"")</f>
        <v>Pure</v>
      </c>
    </row>
    <row r="1273" spans="1:7" x14ac:dyDescent="0.3">
      <c r="A1273" t="s">
        <v>2088</v>
      </c>
      <c r="B1273" t="s">
        <v>32</v>
      </c>
      <c r="D1273" s="7">
        <v>60</v>
      </c>
      <c r="E1273">
        <v>2015</v>
      </c>
      <c r="F1273">
        <v>2017</v>
      </c>
      <c r="G1273" t="str">
        <f>IFERROR(INDEX(Formulations[Formulation],MATCH($C1273,Formulations[Product Code],0)),"")</f>
        <v/>
      </c>
    </row>
    <row r="1274" spans="1:7" x14ac:dyDescent="0.3">
      <c r="A1274" t="s">
        <v>2095</v>
      </c>
      <c r="B1274" t="s">
        <v>45</v>
      </c>
      <c r="D1274" s="7">
        <v>60</v>
      </c>
      <c r="E1274">
        <v>2021</v>
      </c>
      <c r="F1274">
        <v>2021</v>
      </c>
      <c r="G1274" t="str">
        <f>IFERROR(INDEX(Formulations[Formulation],MATCH($C1274,Formulations[Product Code],0)),"")</f>
        <v/>
      </c>
    </row>
    <row r="1275" spans="1:7" x14ac:dyDescent="0.3">
      <c r="A1275" t="s">
        <v>2123</v>
      </c>
      <c r="B1275" t="s">
        <v>236</v>
      </c>
      <c r="C1275" t="s">
        <v>237</v>
      </c>
      <c r="D1275" s="7">
        <v>60</v>
      </c>
      <c r="E1275">
        <v>2014</v>
      </c>
      <c r="F1275">
        <v>2014</v>
      </c>
      <c r="G1275" t="str">
        <f>IFERROR(INDEX(Formulations[Formulation],MATCH($C1275,Formulations[Product Code],0)),"")</f>
        <v>Body by Burberry (F) CP00861 60%, Pacific Paradise 30%, Supreme bouqet 10%, than make gold</v>
      </c>
    </row>
    <row r="1276" spans="1:7" x14ac:dyDescent="0.3">
      <c r="A1276" t="s">
        <v>2131</v>
      </c>
      <c r="B1276" t="s">
        <v>103</v>
      </c>
      <c r="C1276" t="s">
        <v>104</v>
      </c>
      <c r="D1276" s="7">
        <v>60</v>
      </c>
      <c r="E1276">
        <v>2010</v>
      </c>
      <c r="F1276">
        <v>2017</v>
      </c>
      <c r="G1276" t="str">
        <f>IFERROR(INDEX(Formulations[Formulation],MATCH($C1276,Formulations[Product Code],0)),"")</f>
        <v>Pure</v>
      </c>
    </row>
    <row r="1277" spans="1:7" x14ac:dyDescent="0.3">
      <c r="A1277" t="s">
        <v>2131</v>
      </c>
      <c r="B1277" t="s">
        <v>200</v>
      </c>
      <c r="C1277" t="s">
        <v>2153</v>
      </c>
      <c r="D1277" s="7">
        <v>60</v>
      </c>
      <c r="E1277">
        <v>2009</v>
      </c>
      <c r="F1277">
        <v>2015</v>
      </c>
      <c r="G1277" t="str">
        <f>IFERROR(INDEX(Formulations[Formulation],MATCH($C1277,Formulations[Product Code],0)),"")</f>
        <v/>
      </c>
    </row>
    <row r="1278" spans="1:7" x14ac:dyDescent="0.3">
      <c r="A1278" t="s">
        <v>2199</v>
      </c>
      <c r="B1278" t="s">
        <v>1144</v>
      </c>
      <c r="D1278" s="7">
        <v>60</v>
      </c>
      <c r="E1278">
        <v>2012</v>
      </c>
      <c r="F1278">
        <v>2012</v>
      </c>
      <c r="G1278" t="str">
        <f>IFERROR(INDEX(Formulations[Formulation],MATCH($C1278,Formulations[Product Code],0)),"")</f>
        <v/>
      </c>
    </row>
    <row r="1279" spans="1:7" x14ac:dyDescent="0.3">
      <c r="A1279" t="s">
        <v>2290</v>
      </c>
      <c r="B1279" t="s">
        <v>2046</v>
      </c>
      <c r="D1279" s="7">
        <v>60</v>
      </c>
      <c r="E1279">
        <v>2018</v>
      </c>
      <c r="F1279">
        <v>2018</v>
      </c>
      <c r="G1279" t="str">
        <f>IFERROR(INDEX(Formulations[Formulation],MATCH($C1279,Formulations[Product Code],0)),"")</f>
        <v/>
      </c>
    </row>
    <row r="1280" spans="1:7" x14ac:dyDescent="0.3">
      <c r="A1280" t="s">
        <v>2290</v>
      </c>
      <c r="B1280" t="s">
        <v>45</v>
      </c>
      <c r="D1280" s="7">
        <v>60</v>
      </c>
      <c r="E1280">
        <v>2013</v>
      </c>
      <c r="F1280">
        <v>2020</v>
      </c>
      <c r="G1280" t="str">
        <f>IFERROR(INDEX(Formulations[Formulation],MATCH($C1280,Formulations[Product Code],0)),"")</f>
        <v/>
      </c>
    </row>
    <row r="1281" spans="1:7" x14ac:dyDescent="0.3">
      <c r="A1281" t="s">
        <v>2317</v>
      </c>
      <c r="B1281" t="s">
        <v>567</v>
      </c>
      <c r="C1281" t="s">
        <v>698</v>
      </c>
      <c r="D1281" s="7">
        <v>60</v>
      </c>
      <c r="E1281">
        <v>2020</v>
      </c>
      <c r="F1281">
        <v>2020</v>
      </c>
      <c r="G1281" t="str">
        <f>IFERROR(INDEX(Formulations[Formulation],MATCH($C1281,Formulations[Product Code],0)),"")</f>
        <v>Crystal</v>
      </c>
    </row>
    <row r="1282" spans="1:7" x14ac:dyDescent="0.3">
      <c r="A1282" t="s">
        <v>2317</v>
      </c>
      <c r="B1282" t="s">
        <v>187</v>
      </c>
      <c r="C1282" t="s">
        <v>188</v>
      </c>
      <c r="D1282" s="7">
        <v>60</v>
      </c>
      <c r="E1282">
        <v>2020</v>
      </c>
      <c r="F1282">
        <v>2020</v>
      </c>
      <c r="G1282" t="str">
        <f>IFERROR(INDEX(Formulations[Formulation],MATCH($C1282,Formulations[Product Code],0)),"")</f>
        <v>Crystal</v>
      </c>
    </row>
    <row r="1283" spans="1:7" x14ac:dyDescent="0.3">
      <c r="A1283" t="s">
        <v>2317</v>
      </c>
      <c r="B1283" t="s">
        <v>1666</v>
      </c>
      <c r="C1283" t="s">
        <v>1667</v>
      </c>
      <c r="D1283" s="7">
        <v>60</v>
      </c>
      <c r="E1283">
        <v>2020</v>
      </c>
      <c r="F1283">
        <v>2020</v>
      </c>
      <c r="G1283" t="str">
        <f>IFERROR(INDEX(Formulations[Formulation],MATCH($C1283,Formulations[Product Code],0)),"")</f>
        <v>Crystal</v>
      </c>
    </row>
    <row r="1284" spans="1:7" x14ac:dyDescent="0.3">
      <c r="A1284" t="s">
        <v>2328</v>
      </c>
      <c r="B1284" t="s">
        <v>823</v>
      </c>
      <c r="C1284" t="s">
        <v>52</v>
      </c>
      <c r="D1284" s="7">
        <v>60</v>
      </c>
      <c r="E1284">
        <v>2016</v>
      </c>
      <c r="F1284">
        <v>2018</v>
      </c>
      <c r="G1284" t="str">
        <f>IFERROR(INDEX(Formulations[Formulation],MATCH($C1284,Formulations[Product Code],0)),"")</f>
        <v>Silver</v>
      </c>
    </row>
    <row r="1285" spans="1:7" x14ac:dyDescent="0.3">
      <c r="A1285" t="s">
        <v>2345</v>
      </c>
      <c r="B1285" t="s">
        <v>240</v>
      </c>
      <c r="D1285" s="7">
        <v>60</v>
      </c>
      <c r="E1285">
        <v>2013</v>
      </c>
      <c r="F1285">
        <v>2017</v>
      </c>
      <c r="G1285" t="str">
        <f>IFERROR(INDEX(Formulations[Formulation],MATCH($C1285,Formulations[Product Code],0)),"")</f>
        <v/>
      </c>
    </row>
    <row r="1286" spans="1:7" x14ac:dyDescent="0.3">
      <c r="A1286" t="s">
        <v>2346</v>
      </c>
      <c r="B1286" t="s">
        <v>438</v>
      </c>
      <c r="C1286" t="s">
        <v>439</v>
      </c>
      <c r="D1286" s="7">
        <v>60</v>
      </c>
      <c r="E1286">
        <v>2018</v>
      </c>
      <c r="F1286">
        <v>2021</v>
      </c>
      <c r="G1286" t="str">
        <f>IFERROR(INDEX(Formulations[Formulation],MATCH($C1286,Formulations[Product Code],0)),"")</f>
        <v>Pure</v>
      </c>
    </row>
    <row r="1287" spans="1:7" x14ac:dyDescent="0.3">
      <c r="A1287" t="s">
        <v>2370</v>
      </c>
      <c r="B1287" t="s">
        <v>1144</v>
      </c>
      <c r="D1287" s="7">
        <v>60</v>
      </c>
      <c r="E1287">
        <v>2016</v>
      </c>
      <c r="F1287">
        <v>2016</v>
      </c>
      <c r="G1287" t="str">
        <f>IFERROR(INDEX(Formulations[Formulation],MATCH($C1287,Formulations[Product Code],0)),"")</f>
        <v/>
      </c>
    </row>
    <row r="1288" spans="1:7" x14ac:dyDescent="0.3">
      <c r="A1288" t="s">
        <v>2370</v>
      </c>
      <c r="B1288" t="s">
        <v>2371</v>
      </c>
      <c r="D1288" s="7">
        <v>60</v>
      </c>
      <c r="E1288">
        <v>2016</v>
      </c>
      <c r="F1288">
        <v>2016</v>
      </c>
      <c r="G1288" t="str">
        <f>IFERROR(INDEX(Formulations[Formulation],MATCH($C1288,Formulations[Product Code],0)),"")</f>
        <v/>
      </c>
    </row>
    <row r="1289" spans="1:7" x14ac:dyDescent="0.3">
      <c r="A1289" t="s">
        <v>2411</v>
      </c>
      <c r="B1289" t="s">
        <v>536</v>
      </c>
      <c r="C1289" t="s">
        <v>537</v>
      </c>
      <c r="D1289" s="7">
        <v>60</v>
      </c>
      <c r="E1289">
        <v>2019</v>
      </c>
      <c r="F1289">
        <v>2021</v>
      </c>
      <c r="G1289" t="str">
        <f>IFERROR(INDEX(Formulations[Formulation],MATCH($C1289,Formulations[Product Code],0)),"")</f>
        <v>Silver</v>
      </c>
    </row>
    <row r="1290" spans="1:7" x14ac:dyDescent="0.3">
      <c r="A1290" t="s">
        <v>2425</v>
      </c>
      <c r="B1290" t="s">
        <v>276</v>
      </c>
      <c r="C1290" t="s">
        <v>277</v>
      </c>
      <c r="D1290" s="7">
        <v>60</v>
      </c>
      <c r="E1290">
        <v>2014</v>
      </c>
      <c r="F1290">
        <v>2015</v>
      </c>
      <c r="G1290" t="str">
        <f>IFERROR(INDEX(Formulations[Formulation],MATCH($C1290,Formulations[Product Code],0)),"")</f>
        <v>Pure</v>
      </c>
    </row>
    <row r="1291" spans="1:7" x14ac:dyDescent="0.3">
      <c r="A1291" t="s">
        <v>2521</v>
      </c>
      <c r="B1291" t="s">
        <v>36</v>
      </c>
      <c r="D1291" s="7">
        <v>60</v>
      </c>
      <c r="E1291">
        <v>2016</v>
      </c>
      <c r="F1291">
        <v>2021</v>
      </c>
      <c r="G1291" t="str">
        <f>IFERROR(INDEX(Formulations[Formulation],MATCH($C1291,Formulations[Product Code],0)),"")</f>
        <v/>
      </c>
    </row>
    <row r="1292" spans="1:7" x14ac:dyDescent="0.3">
      <c r="A1292" t="s">
        <v>2562</v>
      </c>
      <c r="B1292" t="s">
        <v>32</v>
      </c>
      <c r="D1292" s="7">
        <v>60</v>
      </c>
      <c r="E1292">
        <v>2020</v>
      </c>
      <c r="F1292">
        <v>2021</v>
      </c>
      <c r="G1292" t="str">
        <f>IFERROR(INDEX(Formulations[Formulation],MATCH($C1292,Formulations[Product Code],0)),"")</f>
        <v/>
      </c>
    </row>
    <row r="1293" spans="1:7" x14ac:dyDescent="0.3">
      <c r="A1293" t="s">
        <v>2563</v>
      </c>
      <c r="B1293" t="s">
        <v>863</v>
      </c>
      <c r="D1293" s="7">
        <v>60</v>
      </c>
      <c r="E1293">
        <v>2011</v>
      </c>
      <c r="F1293">
        <v>2013</v>
      </c>
      <c r="G1293" t="str">
        <f>IFERROR(INDEX(Formulations[Formulation],MATCH($C1293,Formulations[Product Code],0)),"")</f>
        <v/>
      </c>
    </row>
    <row r="1294" spans="1:7" x14ac:dyDescent="0.3">
      <c r="A1294" t="s">
        <v>2573</v>
      </c>
      <c r="B1294" t="s">
        <v>862</v>
      </c>
      <c r="D1294" s="7">
        <v>60</v>
      </c>
      <c r="E1294">
        <v>2015</v>
      </c>
      <c r="F1294">
        <v>2015</v>
      </c>
      <c r="G1294" t="str">
        <f>IFERROR(INDEX(Formulations[Formulation],MATCH($C1294,Formulations[Product Code],0)),"")</f>
        <v/>
      </c>
    </row>
    <row r="1295" spans="1:7" x14ac:dyDescent="0.3">
      <c r="A1295" t="s">
        <v>2591</v>
      </c>
      <c r="B1295" t="s">
        <v>32</v>
      </c>
      <c r="D1295" s="7">
        <v>60</v>
      </c>
      <c r="E1295">
        <v>2015</v>
      </c>
      <c r="F1295">
        <v>2017</v>
      </c>
      <c r="G1295" t="str">
        <f>IFERROR(INDEX(Formulations[Formulation],MATCH($C1295,Formulations[Product Code],0)),"")</f>
        <v/>
      </c>
    </row>
    <row r="1296" spans="1:7" x14ac:dyDescent="0.3">
      <c r="A1296" t="s">
        <v>2563</v>
      </c>
      <c r="B1296" t="s">
        <v>2564</v>
      </c>
      <c r="D1296" s="7">
        <v>59</v>
      </c>
      <c r="E1296">
        <v>2011</v>
      </c>
      <c r="F1296">
        <v>2013</v>
      </c>
      <c r="G1296" t="str">
        <f>IFERROR(INDEX(Formulations[Formulation],MATCH($C1296,Formulations[Product Code],0)),"")</f>
        <v/>
      </c>
    </row>
    <row r="1297" spans="1:7" x14ac:dyDescent="0.3">
      <c r="A1297" t="s">
        <v>1784</v>
      </c>
      <c r="B1297" t="s">
        <v>514</v>
      </c>
      <c r="C1297" t="s">
        <v>515</v>
      </c>
      <c r="D1297" s="7">
        <v>58</v>
      </c>
      <c r="E1297">
        <v>2014</v>
      </c>
      <c r="F1297">
        <v>2020</v>
      </c>
      <c r="G1297" t="str">
        <f>IFERROR(INDEX(Formulations[Formulation],MATCH($C1297,Formulations[Product Code],0)),"")</f>
        <v>Crystal</v>
      </c>
    </row>
    <row r="1298" spans="1:7" x14ac:dyDescent="0.3">
      <c r="A1298" t="s">
        <v>2020</v>
      </c>
      <c r="B1298" t="s">
        <v>192</v>
      </c>
      <c r="C1298" t="s">
        <v>193</v>
      </c>
      <c r="D1298" s="7">
        <v>58</v>
      </c>
      <c r="E1298">
        <v>2019</v>
      </c>
      <c r="F1298">
        <v>2019</v>
      </c>
      <c r="G1298" t="str">
        <f>IFERROR(INDEX(Formulations[Formulation],MATCH($C1298,Formulations[Product Code],0)),"")</f>
        <v>Red Grape 50%/ Fruity Smoothie 30% /Green Apple 20% /than make 60% oil</v>
      </c>
    </row>
    <row r="1299" spans="1:7" x14ac:dyDescent="0.3">
      <c r="A1299" t="s">
        <v>2589</v>
      </c>
      <c r="B1299" t="s">
        <v>1797</v>
      </c>
      <c r="C1299" t="s">
        <v>1798</v>
      </c>
      <c r="D1299" s="7">
        <v>58</v>
      </c>
      <c r="E1299">
        <v>2014</v>
      </c>
      <c r="F1299">
        <v>2014</v>
      </c>
      <c r="G1299" t="str">
        <f>IFERROR(INDEX(Formulations[Formulation],MATCH($C1299,Formulations[Product Code],0)),"")</f>
        <v/>
      </c>
    </row>
    <row r="1300" spans="1:7" x14ac:dyDescent="0.3">
      <c r="A1300" t="s">
        <v>215</v>
      </c>
      <c r="B1300" t="s">
        <v>223</v>
      </c>
      <c r="C1300" t="s">
        <v>224</v>
      </c>
      <c r="D1300" s="7">
        <v>56</v>
      </c>
      <c r="E1300">
        <v>2011</v>
      </c>
      <c r="F1300">
        <v>2018</v>
      </c>
      <c r="G1300" t="str">
        <f>IFERROR(INDEX(Formulations[Formulation],MATCH($C1300,Formulations[Product Code],0)),"")</f>
        <v/>
      </c>
    </row>
    <row r="1301" spans="1:7" x14ac:dyDescent="0.3">
      <c r="A1301" t="s">
        <v>1353</v>
      </c>
      <c r="B1301" t="s">
        <v>863</v>
      </c>
      <c r="D1301" s="7">
        <v>56</v>
      </c>
      <c r="E1301">
        <v>2017</v>
      </c>
      <c r="F1301">
        <v>2020</v>
      </c>
      <c r="G1301" t="str">
        <f>IFERROR(INDEX(Formulations[Formulation],MATCH($C1301,Formulations[Product Code],0)),"")</f>
        <v/>
      </c>
    </row>
    <row r="1302" spans="1:7" x14ac:dyDescent="0.3">
      <c r="A1302" t="s">
        <v>1686</v>
      </c>
      <c r="B1302" t="s">
        <v>267</v>
      </c>
      <c r="C1302" t="s">
        <v>150</v>
      </c>
      <c r="D1302" s="7">
        <v>56</v>
      </c>
      <c r="E1302">
        <v>2016</v>
      </c>
      <c r="F1302">
        <v>2020</v>
      </c>
      <c r="G1302" t="str">
        <f>IFERROR(INDEX(Formulations[Formulation],MATCH($C1302,Formulations[Product Code],0)),"")</f>
        <v/>
      </c>
    </row>
    <row r="1303" spans="1:7" x14ac:dyDescent="0.3">
      <c r="A1303" t="s">
        <v>1784</v>
      </c>
      <c r="B1303" t="s">
        <v>196</v>
      </c>
      <c r="C1303" t="s">
        <v>197</v>
      </c>
      <c r="D1303" s="7">
        <v>56</v>
      </c>
      <c r="E1303">
        <v>2012</v>
      </c>
      <c r="F1303">
        <v>2015</v>
      </c>
      <c r="G1303" t="str">
        <f>IFERROR(INDEX(Formulations[Formulation],MATCH($C1303,Formulations[Product Code],0)),"")</f>
        <v/>
      </c>
    </row>
    <row r="1304" spans="1:7" x14ac:dyDescent="0.3">
      <c r="A1304" t="s">
        <v>2354</v>
      </c>
      <c r="B1304" t="s">
        <v>610</v>
      </c>
      <c r="C1304" t="s">
        <v>611</v>
      </c>
      <c r="D1304" s="7">
        <v>56</v>
      </c>
      <c r="E1304">
        <v>2019</v>
      </c>
      <c r="F1304">
        <v>2020</v>
      </c>
      <c r="G1304" t="str">
        <f>IFERROR(INDEX(Formulations[Formulation],MATCH($C1304,Formulations[Product Code],0)),"")</f>
        <v/>
      </c>
    </row>
    <row r="1305" spans="1:7" x14ac:dyDescent="0.3">
      <c r="A1305" t="s">
        <v>273</v>
      </c>
      <c r="B1305" t="s">
        <v>318</v>
      </c>
      <c r="C1305" t="s">
        <v>319</v>
      </c>
      <c r="D1305" s="7">
        <v>55</v>
      </c>
      <c r="E1305">
        <v>2013</v>
      </c>
      <c r="F1305">
        <v>2014</v>
      </c>
      <c r="G1305" t="str">
        <f>IFERROR(INDEX(Formulations[Formulation],MATCH($C1305,Formulations[Product Code],0)),"")</f>
        <v>Pure</v>
      </c>
    </row>
    <row r="1306" spans="1:7" x14ac:dyDescent="0.3">
      <c r="A1306" t="s">
        <v>353</v>
      </c>
      <c r="B1306" t="s">
        <v>388</v>
      </c>
      <c r="C1306" t="s">
        <v>389</v>
      </c>
      <c r="D1306" s="7">
        <v>55</v>
      </c>
      <c r="E1306">
        <v>2009</v>
      </c>
      <c r="F1306">
        <v>2014</v>
      </c>
      <c r="G1306" t="str">
        <f>IFERROR(INDEX(Formulations[Formulation],MATCH($C1306,Formulations[Product Code],0)),"")</f>
        <v/>
      </c>
    </row>
    <row r="1307" spans="1:7" x14ac:dyDescent="0.3">
      <c r="A1307" t="s">
        <v>941</v>
      </c>
      <c r="B1307" t="s">
        <v>297</v>
      </c>
      <c r="C1307" t="s">
        <v>298</v>
      </c>
      <c r="D1307" s="7">
        <v>55</v>
      </c>
      <c r="E1307">
        <v>2017</v>
      </c>
      <c r="F1307">
        <v>2018</v>
      </c>
      <c r="G1307" t="str">
        <f>IFERROR(INDEX(Formulations[Formulation],MATCH($C1307,Formulations[Product Code],0)),"")</f>
        <v>Pure</v>
      </c>
    </row>
    <row r="1308" spans="1:7" x14ac:dyDescent="0.3">
      <c r="A1308" t="s">
        <v>1028</v>
      </c>
      <c r="B1308" t="s">
        <v>1039</v>
      </c>
      <c r="C1308" t="s">
        <v>1040</v>
      </c>
      <c r="D1308" s="7">
        <v>55</v>
      </c>
      <c r="E1308">
        <v>2009</v>
      </c>
      <c r="F1308">
        <v>2009</v>
      </c>
      <c r="G1308" t="str">
        <f>IFERROR(INDEX(Formulations[Formulation],MATCH($C1308,Formulations[Product Code],0)),"")</f>
        <v/>
      </c>
    </row>
    <row r="1309" spans="1:7" x14ac:dyDescent="0.3">
      <c r="A1309" t="s">
        <v>1028</v>
      </c>
      <c r="B1309" t="s">
        <v>1057</v>
      </c>
      <c r="C1309" t="s">
        <v>1058</v>
      </c>
      <c r="D1309" s="7">
        <v>55</v>
      </c>
      <c r="E1309">
        <v>2009</v>
      </c>
      <c r="F1309">
        <v>2009</v>
      </c>
      <c r="G1309" t="str">
        <f>IFERROR(INDEX(Formulations[Formulation],MATCH($C1309,Formulations[Product Code],0)),"")</f>
        <v/>
      </c>
    </row>
    <row r="1310" spans="1:7" x14ac:dyDescent="0.3">
      <c r="A1310" t="s">
        <v>1175</v>
      </c>
      <c r="B1310" t="s">
        <v>174</v>
      </c>
      <c r="C1310" t="s">
        <v>175</v>
      </c>
      <c r="D1310" s="7">
        <v>55</v>
      </c>
      <c r="E1310">
        <v>2018</v>
      </c>
      <c r="F1310">
        <v>2019</v>
      </c>
      <c r="G1310" t="str">
        <f>IFERROR(INDEX(Formulations[Formulation],MATCH($C1310,Formulations[Product Code],0)),"")</f>
        <v/>
      </c>
    </row>
    <row r="1311" spans="1:7" x14ac:dyDescent="0.3">
      <c r="A1311" t="s">
        <v>1226</v>
      </c>
      <c r="B1311" t="s">
        <v>19</v>
      </c>
      <c r="C1311" t="s">
        <v>20</v>
      </c>
      <c r="D1311" s="7">
        <v>55</v>
      </c>
      <c r="E1311">
        <v>2019</v>
      </c>
      <c r="F1311">
        <v>2021</v>
      </c>
      <c r="G1311" t="str">
        <f>IFERROR(INDEX(Formulations[Formulation],MATCH($C1311,Formulations[Product Code],0)),"")</f>
        <v>80 % Oil AND 20 % DPG</v>
      </c>
    </row>
    <row r="1312" spans="1:7" x14ac:dyDescent="0.3">
      <c r="A1312" t="s">
        <v>1341</v>
      </c>
      <c r="B1312" t="s">
        <v>548</v>
      </c>
      <c r="D1312" s="7">
        <v>55</v>
      </c>
      <c r="E1312">
        <v>2020</v>
      </c>
      <c r="F1312">
        <v>2020</v>
      </c>
      <c r="G1312" t="str">
        <f>IFERROR(INDEX(Formulations[Formulation],MATCH($C1312,Formulations[Product Code],0)),"")</f>
        <v/>
      </c>
    </row>
    <row r="1313" spans="1:7" x14ac:dyDescent="0.3">
      <c r="A1313" t="s">
        <v>1439</v>
      </c>
      <c r="B1313" t="s">
        <v>575</v>
      </c>
      <c r="C1313" t="s">
        <v>960</v>
      </c>
      <c r="D1313" s="7">
        <v>55</v>
      </c>
      <c r="E1313">
        <v>2013</v>
      </c>
      <c r="F1313">
        <v>2017</v>
      </c>
      <c r="G1313" t="str">
        <f>IFERROR(INDEX(Formulations[Formulation],MATCH($C1313,Formulations[Product Code],0)),"")</f>
        <v/>
      </c>
    </row>
    <row r="1314" spans="1:7" x14ac:dyDescent="0.3">
      <c r="A1314" t="s">
        <v>1682</v>
      </c>
      <c r="B1314" t="s">
        <v>696</v>
      </c>
      <c r="C1314" t="s">
        <v>697</v>
      </c>
      <c r="D1314" s="7">
        <v>55</v>
      </c>
      <c r="E1314">
        <v>2017</v>
      </c>
      <c r="F1314">
        <v>2017</v>
      </c>
      <c r="G1314" t="str">
        <f>IFERROR(INDEX(Formulations[Formulation],MATCH($C1314,Formulations[Product Code],0)),"")</f>
        <v/>
      </c>
    </row>
    <row r="1315" spans="1:7" x14ac:dyDescent="0.3">
      <c r="A1315" t="s">
        <v>1754</v>
      </c>
      <c r="B1315" t="s">
        <v>1018</v>
      </c>
      <c r="D1315" s="7">
        <v>55</v>
      </c>
      <c r="E1315">
        <v>2011</v>
      </c>
      <c r="F1315">
        <v>2012</v>
      </c>
      <c r="G1315" t="str">
        <f>IFERROR(INDEX(Formulations[Formulation],MATCH($C1315,Formulations[Product Code],0)),"")</f>
        <v/>
      </c>
    </row>
    <row r="1316" spans="1:7" x14ac:dyDescent="0.3">
      <c r="A1316" t="s">
        <v>1754</v>
      </c>
      <c r="B1316" t="s">
        <v>37</v>
      </c>
      <c r="D1316" s="7">
        <v>55</v>
      </c>
      <c r="E1316">
        <v>2019</v>
      </c>
      <c r="F1316">
        <v>2020</v>
      </c>
      <c r="G1316" t="str">
        <f>IFERROR(INDEX(Formulations[Formulation],MATCH($C1316,Formulations[Product Code],0)),"")</f>
        <v/>
      </c>
    </row>
    <row r="1317" spans="1:7" x14ac:dyDescent="0.3">
      <c r="A1317" t="s">
        <v>1822</v>
      </c>
      <c r="B1317" t="s">
        <v>34</v>
      </c>
      <c r="D1317" s="7">
        <v>55</v>
      </c>
      <c r="E1317">
        <v>2020</v>
      </c>
      <c r="F1317">
        <v>2020</v>
      </c>
      <c r="G1317" t="str">
        <f>IFERROR(INDEX(Formulations[Formulation],MATCH($C1317,Formulations[Product Code],0)),"")</f>
        <v/>
      </c>
    </row>
    <row r="1318" spans="1:7" x14ac:dyDescent="0.3">
      <c r="A1318" t="s">
        <v>1871</v>
      </c>
      <c r="B1318" t="s">
        <v>184</v>
      </c>
      <c r="C1318" t="s">
        <v>185</v>
      </c>
      <c r="D1318" s="7">
        <v>55</v>
      </c>
      <c r="E1318">
        <v>2016</v>
      </c>
      <c r="F1318">
        <v>2019</v>
      </c>
      <c r="G1318" t="str">
        <f>IFERROR(INDEX(Formulations[Formulation],MATCH($C1318,Formulations[Product Code],0)),"")</f>
        <v/>
      </c>
    </row>
    <row r="1319" spans="1:7" x14ac:dyDescent="0.3">
      <c r="A1319" t="s">
        <v>1873</v>
      </c>
      <c r="B1319" t="s">
        <v>579</v>
      </c>
      <c r="C1319" t="s">
        <v>54</v>
      </c>
      <c r="D1319" s="7">
        <v>55</v>
      </c>
      <c r="E1319">
        <v>2016</v>
      </c>
      <c r="F1319">
        <v>2019</v>
      </c>
      <c r="G1319" t="str">
        <f>IFERROR(INDEX(Formulations[Formulation],MATCH($C1319,Formulations[Product Code],0)),"")</f>
        <v/>
      </c>
    </row>
    <row r="1320" spans="1:7" x14ac:dyDescent="0.3">
      <c r="A1320" t="s">
        <v>1933</v>
      </c>
      <c r="B1320" t="s">
        <v>117</v>
      </c>
      <c r="C1320" t="s">
        <v>118</v>
      </c>
      <c r="D1320" s="7">
        <v>55</v>
      </c>
      <c r="E1320">
        <v>2019</v>
      </c>
      <c r="F1320">
        <v>2020</v>
      </c>
      <c r="G1320" t="str">
        <f>IFERROR(INDEX(Formulations[Formulation],MATCH($C1320,Formulations[Product Code],0)),"")</f>
        <v>Silver</v>
      </c>
    </row>
    <row r="1321" spans="1:7" x14ac:dyDescent="0.3">
      <c r="A1321" t="s">
        <v>2120</v>
      </c>
      <c r="B1321" t="s">
        <v>600</v>
      </c>
      <c r="C1321" t="s">
        <v>75</v>
      </c>
      <c r="D1321" s="7">
        <v>55</v>
      </c>
      <c r="E1321">
        <v>2016</v>
      </c>
      <c r="F1321">
        <v>2020</v>
      </c>
      <c r="G1321" t="str">
        <f>IFERROR(INDEX(Formulations[Formulation],MATCH($C1321,Formulations[Product Code],0)),"")</f>
        <v>Crystal</v>
      </c>
    </row>
    <row r="1322" spans="1:7" x14ac:dyDescent="0.3">
      <c r="A1322" t="s">
        <v>2362</v>
      </c>
      <c r="B1322" t="s">
        <v>375</v>
      </c>
      <c r="C1322" t="s">
        <v>262</v>
      </c>
      <c r="D1322" s="7">
        <v>55</v>
      </c>
      <c r="E1322">
        <v>2014</v>
      </c>
      <c r="F1322">
        <v>2015</v>
      </c>
      <c r="G1322" t="str">
        <f>IFERROR(INDEX(Formulations[Formulation],MATCH($C1322,Formulations[Product Code],0)),"")</f>
        <v>Pure</v>
      </c>
    </row>
    <row r="1323" spans="1:7" x14ac:dyDescent="0.3">
      <c r="A1323" t="s">
        <v>2380</v>
      </c>
      <c r="B1323" t="s">
        <v>135</v>
      </c>
      <c r="C1323" t="s">
        <v>136</v>
      </c>
      <c r="D1323" s="7">
        <v>55</v>
      </c>
      <c r="E1323">
        <v>2011</v>
      </c>
      <c r="F1323">
        <v>2013</v>
      </c>
      <c r="G1323" t="str">
        <f>IFERROR(INDEX(Formulations[Formulation],MATCH($C1323,Formulations[Product Code],0)),"")</f>
        <v/>
      </c>
    </row>
    <row r="1324" spans="1:7" x14ac:dyDescent="0.3">
      <c r="A1324" t="s">
        <v>2411</v>
      </c>
      <c r="B1324" t="s">
        <v>543</v>
      </c>
      <c r="C1324" t="s">
        <v>544</v>
      </c>
      <c r="D1324" s="7">
        <v>55</v>
      </c>
      <c r="E1324">
        <v>2021</v>
      </c>
      <c r="F1324">
        <v>2021</v>
      </c>
      <c r="G1324" t="str">
        <f>IFERROR(INDEX(Formulations[Formulation],MATCH($C1324,Formulations[Product Code],0)),"")</f>
        <v>Crystal</v>
      </c>
    </row>
    <row r="1325" spans="1:7" x14ac:dyDescent="0.3">
      <c r="A1325" t="s">
        <v>2414</v>
      </c>
      <c r="B1325" t="s">
        <v>46</v>
      </c>
      <c r="C1325" t="s">
        <v>47</v>
      </c>
      <c r="D1325" s="7">
        <v>55</v>
      </c>
      <c r="E1325">
        <v>2015</v>
      </c>
      <c r="F1325">
        <v>2017</v>
      </c>
      <c r="G1325" t="str">
        <f>IFERROR(INDEX(Formulations[Formulation],MATCH($C1325,Formulations[Product Code],0)),"")</f>
        <v/>
      </c>
    </row>
    <row r="1326" spans="1:7" x14ac:dyDescent="0.3">
      <c r="A1326" t="s">
        <v>2436</v>
      </c>
      <c r="B1326" t="s">
        <v>37</v>
      </c>
      <c r="D1326" s="7">
        <v>55</v>
      </c>
      <c r="E1326">
        <v>2018</v>
      </c>
      <c r="F1326">
        <v>2019</v>
      </c>
      <c r="G1326" t="str">
        <f>IFERROR(INDEX(Formulations[Formulation],MATCH($C1326,Formulations[Product Code],0)),"")</f>
        <v/>
      </c>
    </row>
    <row r="1327" spans="1:7" x14ac:dyDescent="0.3">
      <c r="A1327" t="s">
        <v>2437</v>
      </c>
      <c r="B1327" t="s">
        <v>184</v>
      </c>
      <c r="C1327" t="s">
        <v>185</v>
      </c>
      <c r="D1327" s="7">
        <v>55</v>
      </c>
      <c r="E1327">
        <v>2016</v>
      </c>
      <c r="F1327">
        <v>2019</v>
      </c>
      <c r="G1327" t="str">
        <f>IFERROR(INDEX(Formulations[Formulation],MATCH($C1327,Formulations[Product Code],0)),"")</f>
        <v/>
      </c>
    </row>
    <row r="1328" spans="1:7" x14ac:dyDescent="0.3">
      <c r="A1328" t="s">
        <v>2485</v>
      </c>
      <c r="B1328" t="s">
        <v>36</v>
      </c>
      <c r="D1328" s="7">
        <v>55</v>
      </c>
      <c r="E1328">
        <v>2019</v>
      </c>
      <c r="F1328">
        <v>2020</v>
      </c>
      <c r="G1328" t="str">
        <f>IFERROR(INDEX(Formulations[Formulation],MATCH($C1328,Formulations[Product Code],0)),"")</f>
        <v/>
      </c>
    </row>
    <row r="1329" spans="1:7" x14ac:dyDescent="0.3">
      <c r="A1329" t="s">
        <v>2521</v>
      </c>
      <c r="B1329" t="s">
        <v>334</v>
      </c>
      <c r="C1329" t="s">
        <v>335</v>
      </c>
      <c r="D1329" s="7">
        <v>55</v>
      </c>
      <c r="E1329">
        <v>2019</v>
      </c>
      <c r="F1329">
        <v>2020</v>
      </c>
      <c r="G1329" t="str">
        <f>IFERROR(INDEX(Formulations[Formulation],MATCH($C1329,Formulations[Product Code],0)),"")</f>
        <v>Pure</v>
      </c>
    </row>
    <row r="1330" spans="1:7" x14ac:dyDescent="0.3">
      <c r="A1330" t="s">
        <v>2588</v>
      </c>
      <c r="B1330" t="s">
        <v>99</v>
      </c>
      <c r="C1330" t="s">
        <v>100</v>
      </c>
      <c r="D1330" s="7">
        <v>55</v>
      </c>
      <c r="E1330">
        <v>2010</v>
      </c>
      <c r="F1330">
        <v>2015</v>
      </c>
      <c r="G1330" t="str">
        <f>IFERROR(INDEX(Formulations[Formulation],MATCH($C1330,Formulations[Product Code],0)),"")</f>
        <v>Crystal</v>
      </c>
    </row>
    <row r="1331" spans="1:7" x14ac:dyDescent="0.3">
      <c r="A1331" t="s">
        <v>449</v>
      </c>
      <c r="B1331" t="s">
        <v>483</v>
      </c>
      <c r="C1331" t="s">
        <v>484</v>
      </c>
      <c r="D1331" s="7">
        <v>52</v>
      </c>
      <c r="E1331">
        <v>2020</v>
      </c>
      <c r="F1331">
        <v>2020</v>
      </c>
      <c r="G1331" t="str">
        <f>IFERROR(INDEX(Formulations[Formulation],MATCH($C1331,Formulations[Product Code],0)),"")</f>
        <v>Crystal</v>
      </c>
    </row>
    <row r="1332" spans="1:7" x14ac:dyDescent="0.3">
      <c r="A1332" t="s">
        <v>2054</v>
      </c>
      <c r="B1332" t="s">
        <v>761</v>
      </c>
      <c r="D1332" s="7">
        <v>52</v>
      </c>
      <c r="E1332">
        <v>2016</v>
      </c>
      <c r="F1332">
        <v>2020</v>
      </c>
      <c r="G1332" t="str">
        <f>IFERROR(INDEX(Formulations[Formulation],MATCH($C1332,Formulations[Product Code],0)),"")</f>
        <v/>
      </c>
    </row>
    <row r="1333" spans="1:7" x14ac:dyDescent="0.3">
      <c r="A1333" t="s">
        <v>2514</v>
      </c>
      <c r="B1333" t="s">
        <v>586</v>
      </c>
      <c r="C1333" t="s">
        <v>587</v>
      </c>
      <c r="D1333" s="7">
        <v>52</v>
      </c>
      <c r="E1333">
        <v>2020</v>
      </c>
      <c r="F1333">
        <v>2020</v>
      </c>
      <c r="G1333" t="str">
        <f>IFERROR(INDEX(Formulations[Formulation],MATCH($C1333,Formulations[Product Code],0)),"")</f>
        <v>Pure</v>
      </c>
    </row>
    <row r="1334" spans="1:7" x14ac:dyDescent="0.3">
      <c r="A1334" t="s">
        <v>531</v>
      </c>
      <c r="B1334" t="s">
        <v>64</v>
      </c>
      <c r="C1334" t="s">
        <v>65</v>
      </c>
      <c r="D1334" s="7">
        <v>51</v>
      </c>
      <c r="E1334">
        <v>2016</v>
      </c>
      <c r="F1334">
        <v>2021</v>
      </c>
      <c r="G1334" t="str">
        <f>IFERROR(INDEX(Formulations[Formulation],MATCH($C1334,Formulations[Product Code],0)),"")</f>
        <v>Crystal</v>
      </c>
    </row>
    <row r="1335" spans="1:7" x14ac:dyDescent="0.3">
      <c r="A1335" t="s">
        <v>869</v>
      </c>
      <c r="B1335" t="s">
        <v>870</v>
      </c>
      <c r="D1335" s="7">
        <v>51</v>
      </c>
      <c r="E1335">
        <v>2019</v>
      </c>
      <c r="F1335">
        <v>2019</v>
      </c>
      <c r="G1335" t="str">
        <f>IFERROR(INDEX(Formulations[Formulation],MATCH($C1335,Formulations[Product Code],0)),"")</f>
        <v/>
      </c>
    </row>
    <row r="1336" spans="1:7" x14ac:dyDescent="0.3">
      <c r="A1336" t="s">
        <v>1738</v>
      </c>
      <c r="B1336" t="s">
        <v>1740</v>
      </c>
      <c r="C1336" t="s">
        <v>1741</v>
      </c>
      <c r="D1336" s="7">
        <v>51</v>
      </c>
      <c r="E1336">
        <v>2010</v>
      </c>
      <c r="F1336">
        <v>2013</v>
      </c>
      <c r="G1336" t="str">
        <f>IFERROR(INDEX(Formulations[Formulation],MATCH($C1336,Formulations[Product Code],0)),"")</f>
        <v/>
      </c>
    </row>
    <row r="1337" spans="1:7" x14ac:dyDescent="0.3">
      <c r="A1337" t="s">
        <v>2176</v>
      </c>
      <c r="B1337" t="s">
        <v>72</v>
      </c>
      <c r="C1337" t="s">
        <v>73</v>
      </c>
      <c r="D1337" s="7">
        <v>51</v>
      </c>
      <c r="E1337">
        <v>2019</v>
      </c>
      <c r="F1337">
        <v>2021</v>
      </c>
      <c r="G1337" t="str">
        <f>IFERROR(INDEX(Formulations[Formulation],MATCH($C1337,Formulations[Product Code],0)),"")</f>
        <v>Silver</v>
      </c>
    </row>
    <row r="1338" spans="1:7" x14ac:dyDescent="0.3">
      <c r="A1338" t="s">
        <v>2346</v>
      </c>
      <c r="B1338" t="s">
        <v>68</v>
      </c>
      <c r="C1338" t="s">
        <v>69</v>
      </c>
      <c r="D1338" s="7">
        <v>51</v>
      </c>
      <c r="E1338">
        <v>2012</v>
      </c>
      <c r="F1338">
        <v>2013</v>
      </c>
      <c r="G1338" t="str">
        <f>IFERROR(INDEX(Formulations[Formulation],MATCH($C1338,Formulations[Product Code],0)),"")</f>
        <v>Silver</v>
      </c>
    </row>
    <row r="1339" spans="1:7" x14ac:dyDescent="0.3">
      <c r="A1339" t="s">
        <v>1646</v>
      </c>
      <c r="B1339" t="s">
        <v>883</v>
      </c>
      <c r="C1339" t="s">
        <v>780</v>
      </c>
      <c r="D1339" s="7">
        <v>50.5</v>
      </c>
      <c r="E1339">
        <v>2015</v>
      </c>
      <c r="F1339">
        <v>2016</v>
      </c>
      <c r="G1339" t="str">
        <f>IFERROR(INDEX(Formulations[Formulation],MATCH($C1339,Formulations[Product Code],0)),"")</f>
        <v/>
      </c>
    </row>
    <row r="1340" spans="1:7" x14ac:dyDescent="0.3">
      <c r="A1340" t="s">
        <v>165</v>
      </c>
      <c r="B1340" t="s">
        <v>178</v>
      </c>
      <c r="C1340" t="s">
        <v>179</v>
      </c>
      <c r="D1340" s="7">
        <v>50</v>
      </c>
      <c r="E1340">
        <v>2014</v>
      </c>
      <c r="F1340">
        <v>2014</v>
      </c>
      <c r="G1340" t="str">
        <f>IFERROR(INDEX(Formulations[Formulation],MATCH($C1340,Formulations[Product Code],0)),"")</f>
        <v/>
      </c>
    </row>
    <row r="1341" spans="1:7" x14ac:dyDescent="0.3">
      <c r="A1341" t="s">
        <v>165</v>
      </c>
      <c r="B1341" t="s">
        <v>182</v>
      </c>
      <c r="C1341" t="s">
        <v>183</v>
      </c>
      <c r="D1341" s="7">
        <v>50</v>
      </c>
      <c r="E1341">
        <v>2014</v>
      </c>
      <c r="F1341">
        <v>2014</v>
      </c>
      <c r="G1341" t="str">
        <f>IFERROR(INDEX(Formulations[Formulation],MATCH($C1341,Formulations[Product Code],0)),"")</f>
        <v/>
      </c>
    </row>
    <row r="1342" spans="1:7" x14ac:dyDescent="0.3">
      <c r="A1342" t="s">
        <v>241</v>
      </c>
      <c r="B1342" t="s">
        <v>240</v>
      </c>
      <c r="D1342" s="7">
        <v>50</v>
      </c>
      <c r="E1342">
        <v>2021</v>
      </c>
      <c r="F1342">
        <v>2021</v>
      </c>
      <c r="G1342" t="str">
        <f>IFERROR(INDEX(Formulations[Formulation],MATCH($C1342,Formulations[Product Code],0)),"")</f>
        <v/>
      </c>
    </row>
    <row r="1343" spans="1:7" x14ac:dyDescent="0.3">
      <c r="A1343" t="s">
        <v>241</v>
      </c>
      <c r="B1343" t="s">
        <v>32</v>
      </c>
      <c r="D1343" s="7">
        <v>50</v>
      </c>
      <c r="E1343">
        <v>2021</v>
      </c>
      <c r="F1343">
        <v>2021</v>
      </c>
      <c r="G1343" t="str">
        <f>IFERROR(INDEX(Formulations[Formulation],MATCH($C1343,Formulations[Product Code],0)),"")</f>
        <v/>
      </c>
    </row>
    <row r="1344" spans="1:7" x14ac:dyDescent="0.3">
      <c r="A1344" t="s">
        <v>273</v>
      </c>
      <c r="B1344" t="s">
        <v>274</v>
      </c>
      <c r="C1344" t="s">
        <v>275</v>
      </c>
      <c r="D1344" s="7">
        <v>50</v>
      </c>
      <c r="E1344">
        <v>2013</v>
      </c>
      <c r="F1344">
        <v>2014</v>
      </c>
      <c r="G1344" t="str">
        <f>IFERROR(INDEX(Formulations[Formulation],MATCH($C1344,Formulations[Product Code],0)),"")</f>
        <v/>
      </c>
    </row>
    <row r="1345" spans="1:7" x14ac:dyDescent="0.3">
      <c r="A1345" t="s">
        <v>273</v>
      </c>
      <c r="B1345" t="s">
        <v>278</v>
      </c>
      <c r="C1345" t="s">
        <v>279</v>
      </c>
      <c r="D1345" s="7">
        <v>50</v>
      </c>
      <c r="E1345">
        <v>2012</v>
      </c>
      <c r="F1345">
        <v>2012</v>
      </c>
      <c r="G1345" t="str">
        <f>IFERROR(INDEX(Formulations[Formulation],MATCH($C1345,Formulations[Product Code],0)),"")</f>
        <v/>
      </c>
    </row>
    <row r="1346" spans="1:7" x14ac:dyDescent="0.3">
      <c r="A1346" t="s">
        <v>273</v>
      </c>
      <c r="B1346" t="s">
        <v>320</v>
      </c>
      <c r="C1346" t="s">
        <v>321</v>
      </c>
      <c r="D1346" s="7">
        <v>50</v>
      </c>
      <c r="E1346">
        <v>2014</v>
      </c>
      <c r="F1346">
        <v>2014</v>
      </c>
      <c r="G1346" t="str">
        <f>IFERROR(INDEX(Formulations[Formulation],MATCH($C1346,Formulations[Product Code],0)),"")</f>
        <v/>
      </c>
    </row>
    <row r="1347" spans="1:7" x14ac:dyDescent="0.3">
      <c r="A1347" t="s">
        <v>353</v>
      </c>
      <c r="B1347" t="s">
        <v>386</v>
      </c>
      <c r="C1347" t="s">
        <v>387</v>
      </c>
      <c r="D1347" s="7">
        <v>50</v>
      </c>
      <c r="E1347">
        <v>2010</v>
      </c>
      <c r="F1347">
        <v>2014</v>
      </c>
      <c r="G1347" t="str">
        <f>IFERROR(INDEX(Formulations[Formulation],MATCH($C1347,Formulations[Product Code],0)),"")</f>
        <v/>
      </c>
    </row>
    <row r="1348" spans="1:7" x14ac:dyDescent="0.3">
      <c r="A1348" t="s">
        <v>449</v>
      </c>
      <c r="B1348" t="s">
        <v>462</v>
      </c>
      <c r="C1348" t="s">
        <v>463</v>
      </c>
      <c r="D1348" s="7">
        <v>50</v>
      </c>
      <c r="E1348">
        <v>2017</v>
      </c>
      <c r="F1348">
        <v>2017</v>
      </c>
      <c r="G1348" t="str">
        <f>IFERROR(INDEX(Formulations[Formulation],MATCH($C1348,Formulations[Product Code],0)),"")</f>
        <v/>
      </c>
    </row>
    <row r="1349" spans="1:7" x14ac:dyDescent="0.3">
      <c r="A1349" t="s">
        <v>449</v>
      </c>
      <c r="B1349" t="s">
        <v>465</v>
      </c>
      <c r="C1349" t="s">
        <v>466</v>
      </c>
      <c r="D1349" s="7">
        <v>50</v>
      </c>
      <c r="E1349">
        <v>2011</v>
      </c>
      <c r="F1349">
        <v>2013</v>
      </c>
      <c r="G1349" t="str">
        <f>IFERROR(INDEX(Formulations[Formulation],MATCH($C1349,Formulations[Product Code],0)),"")</f>
        <v/>
      </c>
    </row>
    <row r="1350" spans="1:7" x14ac:dyDescent="0.3">
      <c r="A1350" t="s">
        <v>449</v>
      </c>
      <c r="B1350" t="s">
        <v>467</v>
      </c>
      <c r="C1350" t="s">
        <v>469</v>
      </c>
      <c r="D1350" s="7">
        <v>50</v>
      </c>
      <c r="E1350">
        <v>2021</v>
      </c>
      <c r="F1350">
        <v>2021</v>
      </c>
      <c r="G1350" t="str">
        <f>IFERROR(INDEX(Formulations[Formulation],MATCH($C1350,Formulations[Product Code],0)),"")</f>
        <v>20% KEY OIL</v>
      </c>
    </row>
    <row r="1351" spans="1:7" x14ac:dyDescent="0.3">
      <c r="A1351" t="s">
        <v>449</v>
      </c>
      <c r="B1351" t="s">
        <v>487</v>
      </c>
      <c r="C1351" t="s">
        <v>488</v>
      </c>
      <c r="D1351" s="7">
        <v>50</v>
      </c>
      <c r="E1351">
        <v>2012</v>
      </c>
      <c r="F1351">
        <v>2013</v>
      </c>
      <c r="G1351" t="str">
        <f>IFERROR(INDEX(Formulations[Formulation],MATCH($C1351,Formulations[Product Code],0)),"")</f>
        <v/>
      </c>
    </row>
    <row r="1352" spans="1:7" x14ac:dyDescent="0.3">
      <c r="A1352" t="s">
        <v>489</v>
      </c>
      <c r="B1352" t="s">
        <v>269</v>
      </c>
      <c r="C1352" t="s">
        <v>270</v>
      </c>
      <c r="D1352" s="7">
        <v>50</v>
      </c>
      <c r="E1352">
        <v>2018</v>
      </c>
      <c r="F1352">
        <v>2020</v>
      </c>
      <c r="G1352" t="str">
        <f>IFERROR(INDEX(Formulations[Formulation],MATCH($C1352,Formulations[Product Code],0)),"")</f>
        <v>Pure</v>
      </c>
    </row>
    <row r="1353" spans="1:7" x14ac:dyDescent="0.3">
      <c r="A1353" t="s">
        <v>489</v>
      </c>
      <c r="B1353" t="s">
        <v>110</v>
      </c>
      <c r="C1353" t="s">
        <v>111</v>
      </c>
      <c r="D1353" s="7">
        <v>50</v>
      </c>
      <c r="E1353">
        <v>2018</v>
      </c>
      <c r="F1353">
        <v>2018</v>
      </c>
      <c r="G1353" t="str">
        <f>IFERROR(INDEX(Formulations[Formulation],MATCH($C1353,Formulations[Product Code],0)),"")</f>
        <v>75% Lemon Zeste, 25% lemon Top &amp; the Gold DPG)</v>
      </c>
    </row>
    <row r="1354" spans="1:7" x14ac:dyDescent="0.3">
      <c r="A1354" t="s">
        <v>489</v>
      </c>
      <c r="B1354" t="s">
        <v>492</v>
      </c>
      <c r="D1354" s="7">
        <v>50</v>
      </c>
      <c r="E1354">
        <v>2018</v>
      </c>
      <c r="F1354">
        <v>2018</v>
      </c>
      <c r="G1354" t="str">
        <f>IFERROR(INDEX(Formulations[Formulation],MATCH($C1354,Formulations[Product Code],0)),"")</f>
        <v/>
      </c>
    </row>
    <row r="1355" spans="1:7" x14ac:dyDescent="0.3">
      <c r="A1355" t="s">
        <v>531</v>
      </c>
      <c r="B1355" t="s">
        <v>536</v>
      </c>
      <c r="C1355" t="s">
        <v>537</v>
      </c>
      <c r="D1355" s="7">
        <v>50</v>
      </c>
      <c r="E1355">
        <v>2018</v>
      </c>
      <c r="F1355">
        <v>2020</v>
      </c>
      <c r="G1355" t="str">
        <f>IFERROR(INDEX(Formulations[Formulation],MATCH($C1355,Formulations[Product Code],0)),"")</f>
        <v>Silver</v>
      </c>
    </row>
    <row r="1356" spans="1:7" x14ac:dyDescent="0.3">
      <c r="A1356" t="s">
        <v>531</v>
      </c>
      <c r="B1356" t="s">
        <v>538</v>
      </c>
      <c r="C1356" t="s">
        <v>539</v>
      </c>
      <c r="D1356" s="7">
        <v>50</v>
      </c>
      <c r="E1356">
        <v>2018</v>
      </c>
      <c r="F1356">
        <v>2020</v>
      </c>
      <c r="G1356" t="str">
        <f>IFERROR(INDEX(Formulations[Formulation],MATCH($C1356,Formulations[Product Code],0)),"")</f>
        <v>Gold</v>
      </c>
    </row>
    <row r="1357" spans="1:7" x14ac:dyDescent="0.3">
      <c r="A1357" t="s">
        <v>547</v>
      </c>
      <c r="B1357" t="s">
        <v>548</v>
      </c>
      <c r="D1357" s="7">
        <v>50</v>
      </c>
      <c r="E1357">
        <v>2020</v>
      </c>
      <c r="F1357">
        <v>2020</v>
      </c>
      <c r="G1357" t="str">
        <f>IFERROR(INDEX(Formulations[Formulation],MATCH($C1357,Formulations[Product Code],0)),"")</f>
        <v/>
      </c>
    </row>
    <row r="1358" spans="1:7" x14ac:dyDescent="0.3">
      <c r="A1358" t="s">
        <v>547</v>
      </c>
      <c r="B1358" t="s">
        <v>549</v>
      </c>
      <c r="D1358" s="7">
        <v>50</v>
      </c>
      <c r="E1358">
        <v>2020</v>
      </c>
      <c r="F1358">
        <v>2020</v>
      </c>
      <c r="G1358" t="str">
        <f>IFERROR(INDEX(Formulations[Formulation],MATCH($C1358,Formulations[Product Code],0)),"")</f>
        <v/>
      </c>
    </row>
    <row r="1359" spans="1:7" x14ac:dyDescent="0.3">
      <c r="A1359" t="s">
        <v>609</v>
      </c>
      <c r="B1359" t="s">
        <v>554</v>
      </c>
      <c r="C1359" t="s">
        <v>249</v>
      </c>
      <c r="D1359" s="7">
        <v>50</v>
      </c>
      <c r="E1359">
        <v>2017</v>
      </c>
      <c r="F1359">
        <v>2017</v>
      </c>
      <c r="G1359" t="str">
        <f>IFERROR(INDEX(Formulations[Formulation],MATCH($C1359,Formulations[Product Code],0)),"")</f>
        <v>WS</v>
      </c>
    </row>
    <row r="1360" spans="1:7" x14ac:dyDescent="0.3">
      <c r="A1360" t="s">
        <v>659</v>
      </c>
      <c r="B1360" t="s">
        <v>663</v>
      </c>
      <c r="C1360" t="s">
        <v>664</v>
      </c>
      <c r="D1360" s="7">
        <v>50</v>
      </c>
      <c r="E1360">
        <v>2020</v>
      </c>
      <c r="F1360">
        <v>2020</v>
      </c>
      <c r="G1360" t="str">
        <f>IFERROR(INDEX(Formulations[Formulation],MATCH($C1360,Formulations[Product Code],0)),"")</f>
        <v/>
      </c>
    </row>
    <row r="1361" spans="1:7" x14ac:dyDescent="0.3">
      <c r="A1361" t="s">
        <v>659</v>
      </c>
      <c r="B1361" t="s">
        <v>184</v>
      </c>
      <c r="C1361" t="s">
        <v>185</v>
      </c>
      <c r="D1361" s="7">
        <v>50</v>
      </c>
      <c r="E1361">
        <v>2019</v>
      </c>
      <c r="F1361">
        <v>2019</v>
      </c>
      <c r="G1361" t="str">
        <f>IFERROR(INDEX(Formulations[Formulation],MATCH($C1361,Formulations[Product Code],0)),"")</f>
        <v/>
      </c>
    </row>
    <row r="1362" spans="1:7" x14ac:dyDescent="0.3">
      <c r="A1362" t="s">
        <v>659</v>
      </c>
      <c r="B1362" t="s">
        <v>19</v>
      </c>
      <c r="C1362" t="s">
        <v>670</v>
      </c>
      <c r="D1362" s="7">
        <v>50</v>
      </c>
      <c r="E1362">
        <v>2020</v>
      </c>
      <c r="F1362">
        <v>2020</v>
      </c>
      <c r="G1362" t="str">
        <f>IFERROR(INDEX(Formulations[Formulation],MATCH($C1362,Formulations[Product Code],0)),"")</f>
        <v>Crystal</v>
      </c>
    </row>
    <row r="1363" spans="1:7" x14ac:dyDescent="0.3">
      <c r="A1363" t="s">
        <v>659</v>
      </c>
      <c r="B1363" t="s">
        <v>64</v>
      </c>
      <c r="C1363" t="s">
        <v>65</v>
      </c>
      <c r="D1363" s="7">
        <v>50</v>
      </c>
      <c r="E1363">
        <v>2019</v>
      </c>
      <c r="F1363">
        <v>2019</v>
      </c>
      <c r="G1363" t="str">
        <f>IFERROR(INDEX(Formulations[Formulation],MATCH($C1363,Formulations[Product Code],0)),"")</f>
        <v>Crystal</v>
      </c>
    </row>
    <row r="1364" spans="1:7" x14ac:dyDescent="0.3">
      <c r="A1364" t="s">
        <v>659</v>
      </c>
      <c r="B1364" t="s">
        <v>187</v>
      </c>
      <c r="C1364" t="s">
        <v>188</v>
      </c>
      <c r="D1364" s="7">
        <v>50</v>
      </c>
      <c r="E1364">
        <v>2019</v>
      </c>
      <c r="F1364">
        <v>2019</v>
      </c>
      <c r="G1364" t="str">
        <f>IFERROR(INDEX(Formulations[Formulation],MATCH($C1364,Formulations[Product Code],0)),"")</f>
        <v>Crystal</v>
      </c>
    </row>
    <row r="1365" spans="1:7" x14ac:dyDescent="0.3">
      <c r="A1365" t="s">
        <v>659</v>
      </c>
      <c r="B1365" t="s">
        <v>575</v>
      </c>
      <c r="C1365" t="s">
        <v>673</v>
      </c>
      <c r="D1365" s="7">
        <v>50</v>
      </c>
      <c r="E1365">
        <v>2019</v>
      </c>
      <c r="F1365">
        <v>2020</v>
      </c>
      <c r="G1365" t="str">
        <f>IFERROR(INDEX(Formulations[Formulation],MATCH($C1365,Formulations[Product Code],0)),"")</f>
        <v>Apricot 60 % oil and 40 % dpg</v>
      </c>
    </row>
    <row r="1366" spans="1:7" x14ac:dyDescent="0.3">
      <c r="A1366" t="s">
        <v>712</v>
      </c>
      <c r="B1366" t="s">
        <v>660</v>
      </c>
      <c r="C1366" t="s">
        <v>661</v>
      </c>
      <c r="D1366" s="7">
        <v>50</v>
      </c>
      <c r="E1366">
        <v>2020</v>
      </c>
      <c r="F1366">
        <v>2020</v>
      </c>
      <c r="G1366" t="str">
        <f>IFERROR(INDEX(Formulations[Formulation],MATCH($C1366,Formulations[Product Code],0)),"")</f>
        <v>Crystal</v>
      </c>
    </row>
    <row r="1367" spans="1:7" x14ac:dyDescent="0.3">
      <c r="A1367" t="s">
        <v>712</v>
      </c>
      <c r="B1367" t="s">
        <v>734</v>
      </c>
      <c r="C1367" t="s">
        <v>735</v>
      </c>
      <c r="D1367" s="7">
        <v>50</v>
      </c>
      <c r="E1367">
        <v>2011</v>
      </c>
      <c r="F1367">
        <v>2014</v>
      </c>
      <c r="G1367" t="str">
        <f>IFERROR(INDEX(Formulations[Formulation],MATCH($C1367,Formulations[Product Code],0)),"")</f>
        <v/>
      </c>
    </row>
    <row r="1368" spans="1:7" x14ac:dyDescent="0.3">
      <c r="A1368" t="s">
        <v>712</v>
      </c>
      <c r="B1368" t="s">
        <v>114</v>
      </c>
      <c r="C1368" t="s">
        <v>115</v>
      </c>
      <c r="D1368" s="7">
        <v>50</v>
      </c>
      <c r="E1368">
        <v>2019</v>
      </c>
      <c r="F1368">
        <v>2020</v>
      </c>
      <c r="G1368" t="str">
        <f>IFERROR(INDEX(Formulations[Formulation],MATCH($C1368,Formulations[Product Code],0)),"")</f>
        <v>Pure</v>
      </c>
    </row>
    <row r="1369" spans="1:7" x14ac:dyDescent="0.3">
      <c r="A1369" t="s">
        <v>712</v>
      </c>
      <c r="B1369" t="s">
        <v>743</v>
      </c>
      <c r="D1369" s="7">
        <v>50</v>
      </c>
      <c r="E1369">
        <v>2021</v>
      </c>
      <c r="F1369">
        <v>2021</v>
      </c>
      <c r="G1369" t="str">
        <f>IFERROR(INDEX(Formulations[Formulation],MATCH($C1369,Formulations[Product Code],0)),"")</f>
        <v/>
      </c>
    </row>
    <row r="1370" spans="1:7" x14ac:dyDescent="0.3">
      <c r="A1370" t="s">
        <v>712</v>
      </c>
      <c r="B1370" t="s">
        <v>748</v>
      </c>
      <c r="C1370" t="s">
        <v>749</v>
      </c>
      <c r="D1370" s="7">
        <v>50</v>
      </c>
      <c r="E1370">
        <v>2020</v>
      </c>
      <c r="F1370">
        <v>2020</v>
      </c>
      <c r="G1370" t="str">
        <f>IFERROR(INDEX(Formulations[Formulation],MATCH($C1370,Formulations[Product Code],0)),"")</f>
        <v/>
      </c>
    </row>
    <row r="1371" spans="1:7" x14ac:dyDescent="0.3">
      <c r="A1371" t="s">
        <v>712</v>
      </c>
      <c r="B1371" t="s">
        <v>754</v>
      </c>
      <c r="C1371" t="s">
        <v>755</v>
      </c>
      <c r="D1371" s="7">
        <v>50</v>
      </c>
      <c r="E1371">
        <v>2014</v>
      </c>
      <c r="F1371">
        <v>2020</v>
      </c>
      <c r="G1371" t="str">
        <f>IFERROR(INDEX(Formulations[Formulation],MATCH($C1371,Formulations[Product Code],0)),"")</f>
        <v>Pure</v>
      </c>
    </row>
    <row r="1372" spans="1:7" x14ac:dyDescent="0.3">
      <c r="A1372" t="s">
        <v>712</v>
      </c>
      <c r="B1372" t="s">
        <v>679</v>
      </c>
      <c r="C1372" t="s">
        <v>680</v>
      </c>
      <c r="D1372" s="7">
        <v>50</v>
      </c>
      <c r="E1372">
        <v>2020</v>
      </c>
      <c r="F1372">
        <v>2020</v>
      </c>
      <c r="G1372" t="str">
        <f>IFERROR(INDEX(Formulations[Formulation],MATCH($C1372,Formulations[Product Code],0)),"")</f>
        <v>Crystal</v>
      </c>
    </row>
    <row r="1373" spans="1:7" x14ac:dyDescent="0.3">
      <c r="A1373" t="s">
        <v>765</v>
      </c>
      <c r="B1373" t="s">
        <v>768</v>
      </c>
      <c r="D1373" s="7">
        <v>50</v>
      </c>
      <c r="E1373">
        <v>2021</v>
      </c>
      <c r="F1373">
        <v>2021</v>
      </c>
      <c r="G1373" t="str">
        <f>IFERROR(INDEX(Formulations[Formulation],MATCH($C1373,Formulations[Product Code],0)),"")</f>
        <v/>
      </c>
    </row>
    <row r="1374" spans="1:7" x14ac:dyDescent="0.3">
      <c r="A1374" t="s">
        <v>765</v>
      </c>
      <c r="B1374" t="s">
        <v>770</v>
      </c>
      <c r="D1374" s="7">
        <v>50</v>
      </c>
      <c r="E1374">
        <v>2021</v>
      </c>
      <c r="F1374">
        <v>2021</v>
      </c>
      <c r="G1374" t="str">
        <f>IFERROR(INDEX(Formulations[Formulation],MATCH($C1374,Formulations[Product Code],0)),"")</f>
        <v/>
      </c>
    </row>
    <row r="1375" spans="1:7" x14ac:dyDescent="0.3">
      <c r="A1375" t="s">
        <v>806</v>
      </c>
      <c r="B1375" t="s">
        <v>82</v>
      </c>
      <c r="C1375" t="s">
        <v>83</v>
      </c>
      <c r="D1375" s="7">
        <v>50</v>
      </c>
      <c r="E1375">
        <v>2016</v>
      </c>
      <c r="F1375">
        <v>2020</v>
      </c>
      <c r="G1375" t="str">
        <f>IFERROR(INDEX(Formulations[Formulation],MATCH($C1375,Formulations[Product Code],0)),"")</f>
        <v>Pure</v>
      </c>
    </row>
    <row r="1376" spans="1:7" x14ac:dyDescent="0.3">
      <c r="A1376" t="s">
        <v>806</v>
      </c>
      <c r="B1376" t="s">
        <v>72</v>
      </c>
      <c r="C1376" t="s">
        <v>319</v>
      </c>
      <c r="D1376" s="7">
        <v>50</v>
      </c>
      <c r="E1376">
        <v>2020</v>
      </c>
      <c r="F1376">
        <v>2021</v>
      </c>
      <c r="G1376" t="str">
        <f>IFERROR(INDEX(Formulations[Formulation],MATCH($C1376,Formulations[Product Code],0)),"")</f>
        <v>Pure</v>
      </c>
    </row>
    <row r="1377" spans="1:7" x14ac:dyDescent="0.3">
      <c r="A1377" t="s">
        <v>829</v>
      </c>
      <c r="B1377" t="s">
        <v>832</v>
      </c>
      <c r="D1377" s="7">
        <v>50</v>
      </c>
      <c r="E1377">
        <v>2021</v>
      </c>
      <c r="F1377">
        <v>2021</v>
      </c>
      <c r="G1377" t="str">
        <f>IFERROR(INDEX(Formulations[Formulation],MATCH($C1377,Formulations[Product Code],0)),"")</f>
        <v/>
      </c>
    </row>
    <row r="1378" spans="1:7" x14ac:dyDescent="0.3">
      <c r="A1378" t="s">
        <v>829</v>
      </c>
      <c r="B1378" t="s">
        <v>110</v>
      </c>
      <c r="C1378" t="s">
        <v>111</v>
      </c>
      <c r="D1378" s="7">
        <v>50</v>
      </c>
      <c r="E1378">
        <v>2021</v>
      </c>
      <c r="F1378">
        <v>2021</v>
      </c>
      <c r="G1378" t="str">
        <f>IFERROR(INDEX(Formulations[Formulation],MATCH($C1378,Formulations[Product Code],0)),"")</f>
        <v>75% Lemon Zeste, 25% lemon Top &amp; the Gold DPG)</v>
      </c>
    </row>
    <row r="1379" spans="1:7" x14ac:dyDescent="0.3">
      <c r="A1379" t="s">
        <v>860</v>
      </c>
      <c r="B1379" t="s">
        <v>479</v>
      </c>
      <c r="C1379" t="s">
        <v>480</v>
      </c>
      <c r="D1379" s="7">
        <v>50</v>
      </c>
      <c r="E1379">
        <v>2020</v>
      </c>
      <c r="F1379">
        <v>2020</v>
      </c>
      <c r="G1379" t="str">
        <f>IFERROR(INDEX(Formulations[Formulation],MATCH($C1379,Formulations[Product Code],0)),"")</f>
        <v>Crystal</v>
      </c>
    </row>
    <row r="1380" spans="1:7" x14ac:dyDescent="0.3">
      <c r="A1380" t="s">
        <v>878</v>
      </c>
      <c r="B1380" t="s">
        <v>880</v>
      </c>
      <c r="C1380" t="s">
        <v>881</v>
      </c>
      <c r="D1380" s="7">
        <v>50</v>
      </c>
      <c r="E1380">
        <v>2011</v>
      </c>
      <c r="F1380">
        <v>2012</v>
      </c>
      <c r="G1380" t="str">
        <f>IFERROR(INDEX(Formulations[Formulation],MATCH($C1380,Formulations[Product Code],0)),"")</f>
        <v/>
      </c>
    </row>
    <row r="1381" spans="1:7" x14ac:dyDescent="0.3">
      <c r="A1381" t="s">
        <v>887</v>
      </c>
      <c r="B1381" t="s">
        <v>888</v>
      </c>
      <c r="C1381" t="s">
        <v>85</v>
      </c>
      <c r="D1381" s="7">
        <v>50</v>
      </c>
      <c r="E1381">
        <v>2012</v>
      </c>
      <c r="F1381">
        <v>2012</v>
      </c>
      <c r="G1381" t="str">
        <f>IFERROR(INDEX(Formulations[Formulation],MATCH($C1381,Formulations[Product Code],0)),"")</f>
        <v>Pure</v>
      </c>
    </row>
    <row r="1382" spans="1:7" x14ac:dyDescent="0.3">
      <c r="A1382" t="s">
        <v>887</v>
      </c>
      <c r="B1382" t="s">
        <v>560</v>
      </c>
      <c r="C1382" t="s">
        <v>892</v>
      </c>
      <c r="D1382" s="7">
        <v>50</v>
      </c>
      <c r="E1382">
        <v>2010</v>
      </c>
      <c r="F1382">
        <v>2010</v>
      </c>
      <c r="G1382" t="str">
        <f>IFERROR(INDEX(Formulations[Formulation],MATCH($C1382,Formulations[Product Code],0)),"")</f>
        <v/>
      </c>
    </row>
    <row r="1383" spans="1:7" x14ac:dyDescent="0.3">
      <c r="A1383" t="s">
        <v>887</v>
      </c>
      <c r="B1383" t="s">
        <v>895</v>
      </c>
      <c r="C1383" t="s">
        <v>896</v>
      </c>
      <c r="D1383" s="7">
        <v>50</v>
      </c>
      <c r="E1383">
        <v>2012</v>
      </c>
      <c r="F1383">
        <v>2013</v>
      </c>
      <c r="G1383" t="str">
        <f>IFERROR(INDEX(Formulations[Formulation],MATCH($C1383,Formulations[Product Code],0)),"")</f>
        <v/>
      </c>
    </row>
    <row r="1384" spans="1:7" x14ac:dyDescent="0.3">
      <c r="A1384" t="s">
        <v>887</v>
      </c>
      <c r="B1384" t="s">
        <v>120</v>
      </c>
      <c r="C1384" t="s">
        <v>121</v>
      </c>
      <c r="D1384" s="7">
        <v>50</v>
      </c>
      <c r="E1384">
        <v>2014</v>
      </c>
      <c r="F1384">
        <v>2016</v>
      </c>
      <c r="G1384" t="str">
        <f>IFERROR(INDEX(Formulations[Formulation],MATCH($C1384,Formulations[Product Code],0)),"")</f>
        <v/>
      </c>
    </row>
    <row r="1385" spans="1:7" x14ac:dyDescent="0.3">
      <c r="A1385" t="s">
        <v>904</v>
      </c>
      <c r="B1385" t="s">
        <v>41</v>
      </c>
      <c r="C1385" t="s">
        <v>776</v>
      </c>
      <c r="D1385" s="7">
        <v>50</v>
      </c>
      <c r="E1385">
        <v>2013</v>
      </c>
      <c r="F1385">
        <v>2013</v>
      </c>
      <c r="G1385" t="str">
        <f>IFERROR(INDEX(Formulations[Formulation],MATCH($C1385,Formulations[Product Code],0)),"")</f>
        <v/>
      </c>
    </row>
    <row r="1386" spans="1:7" x14ac:dyDescent="0.3">
      <c r="A1386" t="s">
        <v>904</v>
      </c>
      <c r="B1386" t="s">
        <v>671</v>
      </c>
      <c r="C1386" t="s">
        <v>672</v>
      </c>
      <c r="D1386" s="7">
        <v>50</v>
      </c>
      <c r="E1386">
        <v>2020</v>
      </c>
      <c r="F1386">
        <v>2021</v>
      </c>
      <c r="G1386" t="str">
        <f>IFERROR(INDEX(Formulations[Formulation],MATCH($C1386,Formulations[Product Code],0)),"")</f>
        <v>Pure</v>
      </c>
    </row>
    <row r="1387" spans="1:7" x14ac:dyDescent="0.3">
      <c r="A1387" t="s">
        <v>904</v>
      </c>
      <c r="B1387" t="s">
        <v>21</v>
      </c>
      <c r="C1387" t="s">
        <v>22</v>
      </c>
      <c r="D1387" s="7">
        <v>50</v>
      </c>
      <c r="E1387">
        <v>2018</v>
      </c>
      <c r="F1387">
        <v>2019</v>
      </c>
      <c r="G1387" t="str">
        <f>IFERROR(INDEX(Formulations[Formulation],MATCH($C1387,Formulations[Product Code],0)),"")</f>
        <v>Crystal</v>
      </c>
    </row>
    <row r="1388" spans="1:7" x14ac:dyDescent="0.3">
      <c r="A1388" t="s">
        <v>904</v>
      </c>
      <c r="B1388" t="s">
        <v>46</v>
      </c>
      <c r="C1388" t="s">
        <v>47</v>
      </c>
      <c r="D1388" s="7">
        <v>50</v>
      </c>
      <c r="E1388">
        <v>2013</v>
      </c>
      <c r="F1388">
        <v>2014</v>
      </c>
      <c r="G1388" t="str">
        <f>IFERROR(INDEX(Formulations[Formulation],MATCH($C1388,Formulations[Product Code],0)),"")</f>
        <v/>
      </c>
    </row>
    <row r="1389" spans="1:7" x14ac:dyDescent="0.3">
      <c r="A1389" t="s">
        <v>923</v>
      </c>
      <c r="B1389" t="s">
        <v>930</v>
      </c>
      <c r="C1389" t="s">
        <v>247</v>
      </c>
      <c r="D1389" s="7">
        <v>50</v>
      </c>
      <c r="E1389">
        <v>2019</v>
      </c>
      <c r="F1389">
        <v>2019</v>
      </c>
      <c r="G1389" t="str">
        <f>IFERROR(INDEX(Formulations[Formulation],MATCH($C1389,Formulations[Product Code],0)),"")</f>
        <v>Crystal</v>
      </c>
    </row>
    <row r="1390" spans="1:7" x14ac:dyDescent="0.3">
      <c r="A1390" t="s">
        <v>923</v>
      </c>
      <c r="B1390" t="s">
        <v>318</v>
      </c>
      <c r="C1390" t="s">
        <v>319</v>
      </c>
      <c r="D1390" s="7">
        <v>50</v>
      </c>
      <c r="E1390">
        <v>2015</v>
      </c>
      <c r="F1390">
        <v>2016</v>
      </c>
      <c r="G1390" t="str">
        <f>IFERROR(INDEX(Formulations[Formulation],MATCH($C1390,Formulations[Product Code],0)),"")</f>
        <v>Pure</v>
      </c>
    </row>
    <row r="1391" spans="1:7" x14ac:dyDescent="0.3">
      <c r="A1391" t="s">
        <v>923</v>
      </c>
      <c r="B1391" t="s">
        <v>935</v>
      </c>
      <c r="C1391" t="s">
        <v>613</v>
      </c>
      <c r="D1391" s="7">
        <v>50</v>
      </c>
      <c r="E1391">
        <v>2018</v>
      </c>
      <c r="F1391">
        <v>2019</v>
      </c>
      <c r="G1391" t="str">
        <f>IFERROR(INDEX(Formulations[Formulation],MATCH($C1391,Formulations[Product Code],0)),"")</f>
        <v>Pure</v>
      </c>
    </row>
    <row r="1392" spans="1:7" x14ac:dyDescent="0.3">
      <c r="A1392" t="s">
        <v>941</v>
      </c>
      <c r="B1392" t="s">
        <v>19</v>
      </c>
      <c r="C1392" t="s">
        <v>107</v>
      </c>
      <c r="D1392" s="7">
        <v>50</v>
      </c>
      <c r="E1392">
        <v>2017</v>
      </c>
      <c r="F1392">
        <v>2017</v>
      </c>
      <c r="G1392" t="str">
        <f>IFERROR(INDEX(Formulations[Formulation],MATCH($C1392,Formulations[Product Code],0)),"")</f>
        <v>Pure</v>
      </c>
    </row>
    <row r="1393" spans="1:7" x14ac:dyDescent="0.3">
      <c r="A1393" t="s">
        <v>941</v>
      </c>
      <c r="B1393" t="s">
        <v>68</v>
      </c>
      <c r="C1393" t="s">
        <v>69</v>
      </c>
      <c r="D1393" s="7">
        <v>50</v>
      </c>
      <c r="E1393">
        <v>2016</v>
      </c>
      <c r="F1393">
        <v>2017</v>
      </c>
      <c r="G1393" t="str">
        <f>IFERROR(INDEX(Formulations[Formulation],MATCH($C1393,Formulations[Product Code],0)),"")</f>
        <v>Silver</v>
      </c>
    </row>
    <row r="1394" spans="1:7" x14ac:dyDescent="0.3">
      <c r="A1394" t="s">
        <v>1005</v>
      </c>
      <c r="B1394" t="s">
        <v>1006</v>
      </c>
      <c r="C1394" t="s">
        <v>611</v>
      </c>
      <c r="D1394" s="7">
        <v>50</v>
      </c>
      <c r="E1394">
        <v>2016</v>
      </c>
      <c r="F1394">
        <v>2017</v>
      </c>
      <c r="G1394" t="str">
        <f>IFERROR(INDEX(Formulations[Formulation],MATCH($C1394,Formulations[Product Code],0)),"")</f>
        <v/>
      </c>
    </row>
    <row r="1395" spans="1:7" x14ac:dyDescent="0.3">
      <c r="A1395" t="s">
        <v>1005</v>
      </c>
      <c r="B1395" t="s">
        <v>206</v>
      </c>
      <c r="C1395" t="s">
        <v>207</v>
      </c>
      <c r="D1395" s="7">
        <v>50</v>
      </c>
      <c r="E1395">
        <v>2018</v>
      </c>
      <c r="F1395">
        <v>2019</v>
      </c>
      <c r="G1395" t="str">
        <f>IFERROR(INDEX(Formulations[Formulation],MATCH($C1395,Formulations[Product Code],0)),"")</f>
        <v/>
      </c>
    </row>
    <row r="1396" spans="1:7" x14ac:dyDescent="0.3">
      <c r="A1396" t="s">
        <v>1005</v>
      </c>
      <c r="B1396" t="s">
        <v>110</v>
      </c>
      <c r="C1396" t="s">
        <v>111</v>
      </c>
      <c r="D1396" s="7">
        <v>50</v>
      </c>
      <c r="E1396">
        <v>2020</v>
      </c>
      <c r="F1396">
        <v>2020</v>
      </c>
      <c r="G1396" t="str">
        <f>IFERROR(INDEX(Formulations[Formulation],MATCH($C1396,Formulations[Product Code],0)),"")</f>
        <v>75% Lemon Zeste, 25% lemon Top &amp; the Gold DPG)</v>
      </c>
    </row>
    <row r="1397" spans="1:7" x14ac:dyDescent="0.3">
      <c r="A1397" t="s">
        <v>1010</v>
      </c>
      <c r="B1397" t="s">
        <v>518</v>
      </c>
      <c r="C1397" t="s">
        <v>519</v>
      </c>
      <c r="D1397" s="7">
        <v>50</v>
      </c>
      <c r="E1397">
        <v>2020</v>
      </c>
      <c r="F1397">
        <v>2020</v>
      </c>
      <c r="G1397" t="str">
        <f>IFERROR(INDEX(Formulations[Formulation],MATCH($C1397,Formulations[Product Code],0)),"")</f>
        <v>Pure</v>
      </c>
    </row>
    <row r="1398" spans="1:7" x14ac:dyDescent="0.3">
      <c r="A1398" t="s">
        <v>1010</v>
      </c>
      <c r="B1398" t="s">
        <v>706</v>
      </c>
      <c r="C1398" t="s">
        <v>707</v>
      </c>
      <c r="D1398" s="7">
        <v>50</v>
      </c>
      <c r="E1398">
        <v>2016</v>
      </c>
      <c r="F1398">
        <v>2019</v>
      </c>
      <c r="G1398" t="str">
        <f>IFERROR(INDEX(Formulations[Formulation],MATCH($C1398,Formulations[Product Code],0)),"")</f>
        <v/>
      </c>
    </row>
    <row r="1399" spans="1:7" x14ac:dyDescent="0.3">
      <c r="A1399" t="s">
        <v>1082</v>
      </c>
      <c r="B1399" t="s">
        <v>857</v>
      </c>
      <c r="C1399" t="s">
        <v>1090</v>
      </c>
      <c r="D1399" s="7">
        <v>50</v>
      </c>
      <c r="E1399">
        <v>2012</v>
      </c>
      <c r="F1399">
        <v>2012</v>
      </c>
      <c r="G1399" t="str">
        <f>IFERROR(INDEX(Formulations[Formulation],MATCH($C1399,Formulations[Product Code],0)),"")</f>
        <v/>
      </c>
    </row>
    <row r="1400" spans="1:7" x14ac:dyDescent="0.3">
      <c r="A1400" t="s">
        <v>1102</v>
      </c>
      <c r="B1400" t="s">
        <v>532</v>
      </c>
      <c r="C1400" t="s">
        <v>452</v>
      </c>
      <c r="D1400" s="7">
        <v>50</v>
      </c>
      <c r="E1400">
        <v>2019</v>
      </c>
      <c r="F1400">
        <v>2019</v>
      </c>
      <c r="G1400" t="str">
        <f>IFERROR(INDEX(Formulations[Formulation],MATCH($C1400,Formulations[Product Code],0)),"")</f>
        <v>Crystal</v>
      </c>
    </row>
    <row r="1401" spans="1:7" x14ac:dyDescent="0.3">
      <c r="A1401" t="s">
        <v>1102</v>
      </c>
      <c r="B1401" t="s">
        <v>721</v>
      </c>
      <c r="C1401" t="s">
        <v>722</v>
      </c>
      <c r="D1401" s="7">
        <v>50</v>
      </c>
      <c r="E1401">
        <v>2019</v>
      </c>
      <c r="F1401">
        <v>2019</v>
      </c>
      <c r="G1401" t="str">
        <f>IFERROR(INDEX(Formulations[Formulation],MATCH($C1401,Formulations[Product Code],0)),"")</f>
        <v>Pure</v>
      </c>
    </row>
    <row r="1402" spans="1:7" x14ac:dyDescent="0.3">
      <c r="A1402" t="s">
        <v>1102</v>
      </c>
      <c r="B1402" t="s">
        <v>666</v>
      </c>
      <c r="C1402" t="s">
        <v>667</v>
      </c>
      <c r="D1402" s="7">
        <v>50</v>
      </c>
      <c r="E1402">
        <v>2019</v>
      </c>
      <c r="F1402">
        <v>2019</v>
      </c>
      <c r="G1402" t="str">
        <f>IFERROR(INDEX(Formulations[Formulation],MATCH($C1402,Formulations[Product Code],0)),"")</f>
        <v/>
      </c>
    </row>
    <row r="1403" spans="1:7" x14ac:dyDescent="0.3">
      <c r="A1403" t="s">
        <v>1102</v>
      </c>
      <c r="B1403" t="s">
        <v>257</v>
      </c>
      <c r="C1403" t="s">
        <v>61</v>
      </c>
      <c r="D1403" s="7">
        <v>50</v>
      </c>
      <c r="E1403">
        <v>2019</v>
      </c>
      <c r="F1403">
        <v>2019</v>
      </c>
      <c r="G1403" t="str">
        <f>IFERROR(INDEX(Formulations[Formulation],MATCH($C1403,Formulations[Product Code],0)),"")</f>
        <v>Pure</v>
      </c>
    </row>
    <row r="1404" spans="1:7" x14ac:dyDescent="0.3">
      <c r="A1404" t="s">
        <v>1102</v>
      </c>
      <c r="B1404" t="s">
        <v>297</v>
      </c>
      <c r="C1404" t="s">
        <v>298</v>
      </c>
      <c r="D1404" s="7">
        <v>50</v>
      </c>
      <c r="E1404">
        <v>2019</v>
      </c>
      <c r="F1404">
        <v>2019</v>
      </c>
      <c r="G1404" t="str">
        <f>IFERROR(INDEX(Formulations[Formulation],MATCH($C1404,Formulations[Product Code],0)),"")</f>
        <v>Pure</v>
      </c>
    </row>
    <row r="1405" spans="1:7" x14ac:dyDescent="0.3">
      <c r="A1405" t="s">
        <v>1102</v>
      </c>
      <c r="B1405" t="s">
        <v>1015</v>
      </c>
      <c r="C1405" t="s">
        <v>1016</v>
      </c>
      <c r="D1405" s="7">
        <v>50</v>
      </c>
      <c r="E1405">
        <v>2019</v>
      </c>
      <c r="F1405">
        <v>2019</v>
      </c>
      <c r="G1405" t="str">
        <f>IFERROR(INDEX(Formulations[Formulation],MATCH($C1405,Formulations[Product Code],0)),"")</f>
        <v/>
      </c>
    </row>
    <row r="1406" spans="1:7" x14ac:dyDescent="0.3">
      <c r="A1406" t="s">
        <v>1102</v>
      </c>
      <c r="B1406" t="s">
        <v>30</v>
      </c>
      <c r="C1406" t="s">
        <v>31</v>
      </c>
      <c r="D1406" s="7">
        <v>50</v>
      </c>
      <c r="E1406">
        <v>2019</v>
      </c>
      <c r="F1406">
        <v>2019</v>
      </c>
      <c r="G1406" t="str">
        <f>IFERROR(INDEX(Formulations[Formulation],MATCH($C1406,Formulations[Product Code],0)),"")</f>
        <v>Pure</v>
      </c>
    </row>
    <row r="1407" spans="1:7" x14ac:dyDescent="0.3">
      <c r="A1407" t="s">
        <v>1102</v>
      </c>
      <c r="B1407" t="s">
        <v>754</v>
      </c>
      <c r="C1407" t="s">
        <v>755</v>
      </c>
      <c r="D1407" s="7">
        <v>50</v>
      </c>
      <c r="E1407">
        <v>2019</v>
      </c>
      <c r="F1407">
        <v>2019</v>
      </c>
      <c r="G1407" t="str">
        <f>IFERROR(INDEX(Formulations[Formulation],MATCH($C1407,Formulations[Product Code],0)),"")</f>
        <v>Pure</v>
      </c>
    </row>
    <row r="1408" spans="1:7" x14ac:dyDescent="0.3">
      <c r="A1408" t="s">
        <v>1111</v>
      </c>
      <c r="B1408" t="s">
        <v>1112</v>
      </c>
      <c r="C1408" t="s">
        <v>943</v>
      </c>
      <c r="D1408" s="7">
        <v>50</v>
      </c>
      <c r="E1408">
        <v>2011</v>
      </c>
      <c r="F1408">
        <v>2011</v>
      </c>
      <c r="G1408" t="str">
        <f>IFERROR(INDEX(Formulations[Formulation],MATCH($C1408,Formulations[Product Code],0)),"")</f>
        <v>Red Grape A299992 (Red Grape 50%/Rasberry 50%)</v>
      </c>
    </row>
    <row r="1409" spans="1:7" x14ac:dyDescent="0.3">
      <c r="A1409" t="s">
        <v>1111</v>
      </c>
      <c r="B1409" t="s">
        <v>46</v>
      </c>
      <c r="C1409" t="s">
        <v>47</v>
      </c>
      <c r="D1409" s="7">
        <v>50</v>
      </c>
      <c r="E1409">
        <v>2010</v>
      </c>
      <c r="F1409">
        <v>2011</v>
      </c>
      <c r="G1409" t="str">
        <f>IFERROR(INDEX(Formulations[Formulation],MATCH($C1409,Formulations[Product Code],0)),"")</f>
        <v/>
      </c>
    </row>
    <row r="1410" spans="1:7" x14ac:dyDescent="0.3">
      <c r="A1410" t="s">
        <v>1116</v>
      </c>
      <c r="B1410" t="s">
        <v>589</v>
      </c>
      <c r="C1410" t="s">
        <v>590</v>
      </c>
      <c r="D1410" s="7">
        <v>50</v>
      </c>
      <c r="E1410">
        <v>2020</v>
      </c>
      <c r="F1410">
        <v>2020</v>
      </c>
      <c r="G1410" t="str">
        <f>IFERROR(INDEX(Formulations[Formulation],MATCH($C1410,Formulations[Product Code],0)),"")</f>
        <v>Bakhur : A285878- 90%, A243761-10%</v>
      </c>
    </row>
    <row r="1411" spans="1:7" x14ac:dyDescent="0.3">
      <c r="A1411" t="s">
        <v>1116</v>
      </c>
      <c r="B1411" t="s">
        <v>536</v>
      </c>
      <c r="C1411" t="s">
        <v>537</v>
      </c>
      <c r="D1411" s="7">
        <v>50</v>
      </c>
      <c r="E1411">
        <v>2021</v>
      </c>
      <c r="F1411">
        <v>2021</v>
      </c>
      <c r="G1411" t="str">
        <f>IFERROR(INDEX(Formulations[Formulation],MATCH($C1411,Formulations[Product Code],0)),"")</f>
        <v>Silver</v>
      </c>
    </row>
    <row r="1412" spans="1:7" x14ac:dyDescent="0.3">
      <c r="A1412" t="s">
        <v>1139</v>
      </c>
      <c r="B1412" t="s">
        <v>1140</v>
      </c>
      <c r="C1412" t="s">
        <v>1141</v>
      </c>
      <c r="D1412" s="7">
        <v>50</v>
      </c>
      <c r="E1412">
        <v>2010</v>
      </c>
      <c r="F1412">
        <v>2010</v>
      </c>
      <c r="G1412" t="str">
        <f>IFERROR(INDEX(Formulations[Formulation],MATCH($C1412,Formulations[Product Code],0)),"")</f>
        <v/>
      </c>
    </row>
    <row r="1413" spans="1:7" x14ac:dyDescent="0.3">
      <c r="A1413" t="s">
        <v>1139</v>
      </c>
      <c r="B1413" t="s">
        <v>1142</v>
      </c>
      <c r="C1413" t="s">
        <v>418</v>
      </c>
      <c r="D1413" s="7">
        <v>50</v>
      </c>
      <c r="E1413">
        <v>2016</v>
      </c>
      <c r="F1413">
        <v>2016</v>
      </c>
      <c r="G1413" t="str">
        <f>IFERROR(INDEX(Formulations[Formulation],MATCH($C1413,Formulations[Product Code],0)),"")</f>
        <v>Pure</v>
      </c>
    </row>
    <row r="1414" spans="1:7" x14ac:dyDescent="0.3">
      <c r="A1414" t="s">
        <v>1139</v>
      </c>
      <c r="B1414" t="s">
        <v>1143</v>
      </c>
      <c r="C1414" t="s">
        <v>25</v>
      </c>
      <c r="D1414" s="7">
        <v>50</v>
      </c>
      <c r="E1414">
        <v>2015</v>
      </c>
      <c r="F1414">
        <v>2015</v>
      </c>
      <c r="G1414" t="str">
        <f>IFERROR(INDEX(Formulations[Formulation],MATCH($C1414,Formulations[Product Code],0)),"")</f>
        <v>citropine 85%/Pinefresh 15%</v>
      </c>
    </row>
    <row r="1415" spans="1:7" x14ac:dyDescent="0.3">
      <c r="A1415" t="s">
        <v>1139</v>
      </c>
      <c r="B1415" t="s">
        <v>336</v>
      </c>
      <c r="C1415" t="s">
        <v>1145</v>
      </c>
      <c r="D1415" s="7">
        <v>50</v>
      </c>
      <c r="E1415">
        <v>2009</v>
      </c>
      <c r="F1415">
        <v>2010</v>
      </c>
      <c r="G1415" t="str">
        <f>IFERROR(INDEX(Formulations[Formulation],MATCH($C1415,Formulations[Product Code],0)),"")</f>
        <v/>
      </c>
    </row>
    <row r="1416" spans="1:7" x14ac:dyDescent="0.3">
      <c r="A1416" t="s">
        <v>1139</v>
      </c>
      <c r="B1416" t="s">
        <v>498</v>
      </c>
      <c r="C1416" t="s">
        <v>499</v>
      </c>
      <c r="D1416" s="7">
        <v>50</v>
      </c>
      <c r="E1416">
        <v>2010</v>
      </c>
      <c r="F1416">
        <v>2012</v>
      </c>
      <c r="G1416" t="str">
        <f>IFERROR(INDEX(Formulations[Formulation],MATCH($C1416,Formulations[Product Code],0)),"")</f>
        <v>WS</v>
      </c>
    </row>
    <row r="1417" spans="1:7" x14ac:dyDescent="0.3">
      <c r="A1417" t="s">
        <v>1162</v>
      </c>
      <c r="B1417" t="s">
        <v>467</v>
      </c>
      <c r="C1417" t="s">
        <v>468</v>
      </c>
      <c r="D1417" s="7">
        <v>50</v>
      </c>
      <c r="E1417">
        <v>2020</v>
      </c>
      <c r="F1417">
        <v>2020</v>
      </c>
      <c r="G1417" t="str">
        <f>IFERROR(INDEX(Formulations[Formulation],MATCH($C1417,Formulations[Product Code],0)),"")</f>
        <v>Crystal</v>
      </c>
    </row>
    <row r="1418" spans="1:7" x14ac:dyDescent="0.3">
      <c r="A1418" t="s">
        <v>1163</v>
      </c>
      <c r="B1418" t="s">
        <v>26</v>
      </c>
      <c r="C1418" t="s">
        <v>27</v>
      </c>
      <c r="D1418" s="7">
        <v>50</v>
      </c>
      <c r="E1418">
        <v>2015</v>
      </c>
      <c r="F1418">
        <v>2015</v>
      </c>
      <c r="G1418" t="str">
        <f>IFERROR(INDEX(Formulations[Formulation],MATCH($C1418,Formulations[Product Code],0)),"")</f>
        <v>FLOURAMAX A270578/ P782894</v>
      </c>
    </row>
    <row r="1419" spans="1:7" x14ac:dyDescent="0.3">
      <c r="A1419" t="s">
        <v>1174</v>
      </c>
      <c r="B1419" t="s">
        <v>686</v>
      </c>
      <c r="C1419" t="s">
        <v>687</v>
      </c>
      <c r="D1419" s="7">
        <v>50</v>
      </c>
      <c r="E1419">
        <v>2020</v>
      </c>
      <c r="F1419">
        <v>2020</v>
      </c>
      <c r="G1419" t="str">
        <f>IFERROR(INDEX(Formulations[Formulation],MATCH($C1419,Formulations[Product Code],0)),"")</f>
        <v>Pure</v>
      </c>
    </row>
    <row r="1420" spans="1:7" x14ac:dyDescent="0.3">
      <c r="A1420" t="s">
        <v>1175</v>
      </c>
      <c r="B1420" t="s">
        <v>1184</v>
      </c>
      <c r="D1420" s="7">
        <v>50</v>
      </c>
      <c r="E1420">
        <v>2021</v>
      </c>
      <c r="F1420">
        <v>2021</v>
      </c>
      <c r="G1420" t="str">
        <f>IFERROR(INDEX(Formulations[Formulation],MATCH($C1420,Formulations[Product Code],0)),"")</f>
        <v/>
      </c>
    </row>
    <row r="1421" spans="1:7" x14ac:dyDescent="0.3">
      <c r="A1421" t="s">
        <v>1175</v>
      </c>
      <c r="B1421" t="s">
        <v>203</v>
      </c>
      <c r="C1421" t="s">
        <v>204</v>
      </c>
      <c r="D1421" s="7">
        <v>50</v>
      </c>
      <c r="E1421">
        <v>2017</v>
      </c>
      <c r="F1421">
        <v>2019</v>
      </c>
      <c r="G1421" t="str">
        <f>IFERROR(INDEX(Formulations[Formulation],MATCH($C1421,Formulations[Product Code],0)),"")</f>
        <v/>
      </c>
    </row>
    <row r="1422" spans="1:7" x14ac:dyDescent="0.3">
      <c r="A1422" t="s">
        <v>1213</v>
      </c>
      <c r="B1422" t="s">
        <v>686</v>
      </c>
      <c r="C1422" t="s">
        <v>866</v>
      </c>
      <c r="D1422" s="7">
        <v>50</v>
      </c>
      <c r="E1422">
        <v>2019</v>
      </c>
      <c r="F1422">
        <v>2019</v>
      </c>
      <c r="G1422" t="str">
        <f>IFERROR(INDEX(Formulations[Formulation],MATCH($C1422,Formulations[Product Code],0)),"")</f>
        <v/>
      </c>
    </row>
    <row r="1423" spans="1:7" x14ac:dyDescent="0.3">
      <c r="A1423" t="s">
        <v>1226</v>
      </c>
      <c r="B1423" t="s">
        <v>182</v>
      </c>
      <c r="C1423" t="s">
        <v>57</v>
      </c>
      <c r="D1423" s="7">
        <v>50</v>
      </c>
      <c r="E1423">
        <v>2010</v>
      </c>
      <c r="F1423">
        <v>2010</v>
      </c>
      <c r="G1423" t="str">
        <f>IFERROR(INDEX(Formulations[Formulation],MATCH($C1423,Formulations[Product Code],0)),"")</f>
        <v/>
      </c>
    </row>
    <row r="1424" spans="1:7" x14ac:dyDescent="0.3">
      <c r="A1424" t="s">
        <v>1327</v>
      </c>
      <c r="B1424" t="s">
        <v>446</v>
      </c>
      <c r="C1424" t="s">
        <v>447</v>
      </c>
      <c r="D1424" s="7">
        <v>50</v>
      </c>
      <c r="E1424">
        <v>2020</v>
      </c>
      <c r="F1424">
        <v>2021</v>
      </c>
      <c r="G1424" t="str">
        <f>IFERROR(INDEX(Formulations[Formulation],MATCH($C1424,Formulations[Product Code],0)),"")</f>
        <v>30% Key Oil</v>
      </c>
    </row>
    <row r="1425" spans="1:7" x14ac:dyDescent="0.3">
      <c r="A1425" t="s">
        <v>1346</v>
      </c>
      <c r="B1425" t="s">
        <v>671</v>
      </c>
      <c r="C1425" t="s">
        <v>672</v>
      </c>
      <c r="D1425" s="7">
        <v>50</v>
      </c>
      <c r="E1425">
        <v>2020</v>
      </c>
      <c r="F1425">
        <v>2020</v>
      </c>
      <c r="G1425" t="str">
        <f>IFERROR(INDEX(Formulations[Formulation],MATCH($C1425,Formulations[Product Code],0)),"")</f>
        <v>Pure</v>
      </c>
    </row>
    <row r="1426" spans="1:7" x14ac:dyDescent="0.3">
      <c r="A1426" t="s">
        <v>1346</v>
      </c>
      <c r="B1426" t="s">
        <v>706</v>
      </c>
      <c r="C1426" t="s">
        <v>707</v>
      </c>
      <c r="D1426" s="7">
        <v>50</v>
      </c>
      <c r="E1426">
        <v>2019</v>
      </c>
      <c r="F1426">
        <v>2019</v>
      </c>
      <c r="G1426" t="str">
        <f>IFERROR(INDEX(Formulations[Formulation],MATCH($C1426,Formulations[Product Code],0)),"")</f>
        <v/>
      </c>
    </row>
    <row r="1427" spans="1:7" x14ac:dyDescent="0.3">
      <c r="A1427" t="s">
        <v>1346</v>
      </c>
      <c r="B1427" t="s">
        <v>192</v>
      </c>
      <c r="C1427" t="s">
        <v>193</v>
      </c>
      <c r="D1427" s="7">
        <v>50</v>
      </c>
      <c r="E1427">
        <v>2021</v>
      </c>
      <c r="F1427">
        <v>2021</v>
      </c>
      <c r="G1427" t="str">
        <f>IFERROR(INDEX(Formulations[Formulation],MATCH($C1427,Formulations[Product Code],0)),"")</f>
        <v>Red Grape 50%/ Fruity Smoothie 30% /Green Apple 20% /than make 60% oil</v>
      </c>
    </row>
    <row r="1428" spans="1:7" x14ac:dyDescent="0.3">
      <c r="A1428" t="s">
        <v>1353</v>
      </c>
      <c r="B1428" t="s">
        <v>297</v>
      </c>
      <c r="C1428" t="s">
        <v>298</v>
      </c>
      <c r="D1428" s="7">
        <v>50</v>
      </c>
      <c r="E1428">
        <v>2017</v>
      </c>
      <c r="F1428">
        <v>2017</v>
      </c>
      <c r="G1428" t="str">
        <f>IFERROR(INDEX(Formulations[Formulation],MATCH($C1428,Formulations[Product Code],0)),"")</f>
        <v>Pure</v>
      </c>
    </row>
    <row r="1429" spans="1:7" x14ac:dyDescent="0.3">
      <c r="A1429" t="s">
        <v>1397</v>
      </c>
      <c r="B1429" t="s">
        <v>41</v>
      </c>
      <c r="C1429" t="s">
        <v>42</v>
      </c>
      <c r="D1429" s="7">
        <v>50</v>
      </c>
      <c r="E1429">
        <v>2012</v>
      </c>
      <c r="F1429">
        <v>2012</v>
      </c>
      <c r="G1429" t="str">
        <f>IFERROR(INDEX(Formulations[Formulation],MATCH($C1429,Formulations[Product Code],0)),"")</f>
        <v/>
      </c>
    </row>
    <row r="1430" spans="1:7" x14ac:dyDescent="0.3">
      <c r="A1430" t="s">
        <v>1402</v>
      </c>
      <c r="B1430" t="s">
        <v>32</v>
      </c>
      <c r="D1430" s="7">
        <v>50</v>
      </c>
      <c r="E1430">
        <v>2019</v>
      </c>
      <c r="F1430">
        <v>2019</v>
      </c>
      <c r="G1430" t="str">
        <f>IFERROR(INDEX(Formulations[Formulation],MATCH($C1430,Formulations[Product Code],0)),"")</f>
        <v/>
      </c>
    </row>
    <row r="1431" spans="1:7" x14ac:dyDescent="0.3">
      <c r="A1431" t="s">
        <v>1439</v>
      </c>
      <c r="B1431" t="s">
        <v>1440</v>
      </c>
      <c r="D1431" s="7">
        <v>50</v>
      </c>
      <c r="E1431">
        <v>2017</v>
      </c>
      <c r="F1431">
        <v>2017</v>
      </c>
      <c r="G1431" t="str">
        <f>IFERROR(INDEX(Formulations[Formulation],MATCH($C1431,Formulations[Product Code],0)),"")</f>
        <v/>
      </c>
    </row>
    <row r="1432" spans="1:7" x14ac:dyDescent="0.3">
      <c r="A1432" t="s">
        <v>1439</v>
      </c>
      <c r="B1432" t="s">
        <v>610</v>
      </c>
      <c r="C1432" t="s">
        <v>611</v>
      </c>
      <c r="D1432" s="7">
        <v>50</v>
      </c>
      <c r="E1432">
        <v>2017</v>
      </c>
      <c r="F1432">
        <v>2017</v>
      </c>
      <c r="G1432" t="str">
        <f>IFERROR(INDEX(Formulations[Formulation],MATCH($C1432,Formulations[Product Code],0)),"")</f>
        <v/>
      </c>
    </row>
    <row r="1433" spans="1:7" x14ac:dyDescent="0.3">
      <c r="A1433" t="s">
        <v>1439</v>
      </c>
      <c r="B1433" t="s">
        <v>809</v>
      </c>
      <c r="D1433" s="7">
        <v>50</v>
      </c>
      <c r="E1433">
        <v>2015</v>
      </c>
      <c r="F1433">
        <v>2015</v>
      </c>
      <c r="G1433" t="str">
        <f>IFERROR(INDEX(Formulations[Formulation],MATCH($C1433,Formulations[Product Code],0)),"")</f>
        <v/>
      </c>
    </row>
    <row r="1434" spans="1:7" x14ac:dyDescent="0.3">
      <c r="A1434" t="s">
        <v>1439</v>
      </c>
      <c r="B1434" t="s">
        <v>543</v>
      </c>
      <c r="C1434" t="s">
        <v>544</v>
      </c>
      <c r="D1434" s="7">
        <v>50</v>
      </c>
      <c r="E1434">
        <v>2019</v>
      </c>
      <c r="F1434">
        <v>2019</v>
      </c>
      <c r="G1434" t="str">
        <f>IFERROR(INDEX(Formulations[Formulation],MATCH($C1434,Formulations[Product Code],0)),"")</f>
        <v>Crystal</v>
      </c>
    </row>
    <row r="1435" spans="1:7" x14ac:dyDescent="0.3">
      <c r="A1435" t="s">
        <v>1463</v>
      </c>
      <c r="B1435" t="s">
        <v>1468</v>
      </c>
      <c r="C1435" t="s">
        <v>1469</v>
      </c>
      <c r="D1435" s="7">
        <v>50</v>
      </c>
      <c r="E1435">
        <v>2012</v>
      </c>
      <c r="F1435">
        <v>2013</v>
      </c>
      <c r="G1435" t="str">
        <f>IFERROR(INDEX(Formulations[Formulation],MATCH($C1435,Formulations[Product Code],0)),"")</f>
        <v/>
      </c>
    </row>
    <row r="1436" spans="1:7" x14ac:dyDescent="0.3">
      <c r="A1436" t="s">
        <v>1463</v>
      </c>
      <c r="B1436" t="s">
        <v>90</v>
      </c>
      <c r="C1436" t="s">
        <v>91</v>
      </c>
      <c r="D1436" s="7">
        <v>50</v>
      </c>
      <c r="E1436">
        <v>2012</v>
      </c>
      <c r="F1436">
        <v>2013</v>
      </c>
      <c r="G1436" t="str">
        <f>IFERROR(INDEX(Formulations[Formulation],MATCH($C1436,Formulations[Product Code],0)),"")</f>
        <v>Pure</v>
      </c>
    </row>
    <row r="1437" spans="1:7" x14ac:dyDescent="0.3">
      <c r="A1437" t="s">
        <v>1463</v>
      </c>
      <c r="B1437" t="s">
        <v>1547</v>
      </c>
      <c r="C1437" t="s">
        <v>1548</v>
      </c>
      <c r="D1437" s="7">
        <v>50</v>
      </c>
      <c r="E1437">
        <v>2012</v>
      </c>
      <c r="F1437">
        <v>2013</v>
      </c>
      <c r="G1437" t="str">
        <f>IFERROR(INDEX(Formulations[Formulation],MATCH($C1437,Formulations[Product Code],0)),"")</f>
        <v/>
      </c>
    </row>
    <row r="1438" spans="1:7" x14ac:dyDescent="0.3">
      <c r="A1438" t="s">
        <v>1463</v>
      </c>
      <c r="B1438" t="s">
        <v>1552</v>
      </c>
      <c r="C1438" t="s">
        <v>1553</v>
      </c>
      <c r="D1438" s="7">
        <v>50</v>
      </c>
      <c r="E1438">
        <v>2013</v>
      </c>
      <c r="F1438">
        <v>2013</v>
      </c>
      <c r="G1438" t="str">
        <f>IFERROR(INDEX(Formulations[Formulation],MATCH($C1438,Formulations[Product Code],0)),"")</f>
        <v/>
      </c>
    </row>
    <row r="1439" spans="1:7" x14ac:dyDescent="0.3">
      <c r="A1439" t="s">
        <v>1463</v>
      </c>
      <c r="B1439" t="s">
        <v>1616</v>
      </c>
      <c r="C1439" t="s">
        <v>1617</v>
      </c>
      <c r="D1439" s="7">
        <v>50</v>
      </c>
      <c r="E1439">
        <v>2014</v>
      </c>
      <c r="F1439">
        <v>2014</v>
      </c>
      <c r="G1439" t="str">
        <f>IFERROR(INDEX(Formulations[Formulation],MATCH($C1439,Formulations[Product Code],0)),"")</f>
        <v/>
      </c>
    </row>
    <row r="1440" spans="1:7" x14ac:dyDescent="0.3">
      <c r="A1440" t="s">
        <v>1463</v>
      </c>
      <c r="B1440" t="s">
        <v>386</v>
      </c>
      <c r="C1440" t="s">
        <v>387</v>
      </c>
      <c r="D1440" s="7">
        <v>50</v>
      </c>
      <c r="E1440">
        <v>2012</v>
      </c>
      <c r="F1440">
        <v>2013</v>
      </c>
      <c r="G1440" t="str">
        <f>IFERROR(INDEX(Formulations[Formulation],MATCH($C1440,Formulations[Product Code],0)),"")</f>
        <v/>
      </c>
    </row>
    <row r="1441" spans="1:7" x14ac:dyDescent="0.3">
      <c r="A1441" t="s">
        <v>1640</v>
      </c>
      <c r="B1441" t="s">
        <v>184</v>
      </c>
      <c r="C1441" t="s">
        <v>185</v>
      </c>
      <c r="D1441" s="7">
        <v>50</v>
      </c>
      <c r="E1441">
        <v>2014</v>
      </c>
      <c r="F1441">
        <v>2014</v>
      </c>
      <c r="G1441" t="str">
        <f>IFERROR(INDEX(Formulations[Formulation],MATCH($C1441,Formulations[Product Code],0)),"")</f>
        <v/>
      </c>
    </row>
    <row r="1442" spans="1:7" x14ac:dyDescent="0.3">
      <c r="A1442" t="s">
        <v>1641</v>
      </c>
      <c r="B1442" t="s">
        <v>624</v>
      </c>
      <c r="C1442" t="s">
        <v>625</v>
      </c>
      <c r="D1442" s="7">
        <v>50</v>
      </c>
      <c r="E1442">
        <v>2019</v>
      </c>
      <c r="F1442">
        <v>2019</v>
      </c>
      <c r="G1442" t="str">
        <f>IFERROR(INDEX(Formulations[Formulation],MATCH($C1442,Formulations[Product Code],0)),"")</f>
        <v>Crystal</v>
      </c>
    </row>
    <row r="1443" spans="1:7" x14ac:dyDescent="0.3">
      <c r="A1443" t="s">
        <v>1658</v>
      </c>
      <c r="B1443" t="s">
        <v>1214</v>
      </c>
      <c r="C1443" t="s">
        <v>1215</v>
      </c>
      <c r="D1443" s="7">
        <v>50</v>
      </c>
      <c r="E1443">
        <v>2016</v>
      </c>
      <c r="F1443">
        <v>2016</v>
      </c>
      <c r="G1443" t="str">
        <f>IFERROR(INDEX(Formulations[Formulation],MATCH($C1443,Formulations[Product Code],0)),"")</f>
        <v/>
      </c>
    </row>
    <row r="1444" spans="1:7" x14ac:dyDescent="0.3">
      <c r="A1444" t="s">
        <v>1658</v>
      </c>
      <c r="B1444" t="s">
        <v>417</v>
      </c>
      <c r="C1444" t="s">
        <v>418</v>
      </c>
      <c r="D1444" s="7">
        <v>50</v>
      </c>
      <c r="E1444">
        <v>2017</v>
      </c>
      <c r="F1444">
        <v>2017</v>
      </c>
      <c r="G1444" t="str">
        <f>IFERROR(INDEX(Formulations[Formulation],MATCH($C1444,Formulations[Product Code],0)),"")</f>
        <v>Pure</v>
      </c>
    </row>
    <row r="1445" spans="1:7" x14ac:dyDescent="0.3">
      <c r="A1445" t="s">
        <v>1658</v>
      </c>
      <c r="B1445" t="s">
        <v>41</v>
      </c>
      <c r="C1445" t="s">
        <v>42</v>
      </c>
      <c r="D1445" s="7">
        <v>50</v>
      </c>
      <c r="E1445">
        <v>2014</v>
      </c>
      <c r="F1445">
        <v>2014</v>
      </c>
      <c r="G1445" t="str">
        <f>IFERROR(INDEX(Formulations[Formulation],MATCH($C1445,Formulations[Product Code],0)),"")</f>
        <v/>
      </c>
    </row>
    <row r="1446" spans="1:7" x14ac:dyDescent="0.3">
      <c r="A1446" t="s">
        <v>1664</v>
      </c>
      <c r="B1446" t="s">
        <v>184</v>
      </c>
      <c r="C1446" t="s">
        <v>185</v>
      </c>
      <c r="D1446" s="7">
        <v>50</v>
      </c>
      <c r="E1446">
        <v>2017</v>
      </c>
      <c r="F1446">
        <v>2017</v>
      </c>
      <c r="G1446" t="str">
        <f>IFERROR(INDEX(Formulations[Formulation],MATCH($C1446,Formulations[Product Code],0)),"")</f>
        <v/>
      </c>
    </row>
    <row r="1447" spans="1:7" x14ac:dyDescent="0.3">
      <c r="A1447" t="s">
        <v>1664</v>
      </c>
      <c r="B1447" t="s">
        <v>995</v>
      </c>
      <c r="C1447" t="s">
        <v>672</v>
      </c>
      <c r="D1447" s="7">
        <v>50</v>
      </c>
      <c r="E1447">
        <v>2016</v>
      </c>
      <c r="F1447">
        <v>2017</v>
      </c>
      <c r="G1447" t="str">
        <f>IFERROR(INDEX(Formulations[Formulation],MATCH($C1447,Formulations[Product Code],0)),"")</f>
        <v>Pure</v>
      </c>
    </row>
    <row r="1448" spans="1:7" x14ac:dyDescent="0.3">
      <c r="A1448" t="s">
        <v>1668</v>
      </c>
      <c r="B1448" t="s">
        <v>631</v>
      </c>
      <c r="C1448" t="s">
        <v>632</v>
      </c>
      <c r="D1448" s="7">
        <v>50</v>
      </c>
      <c r="E1448">
        <v>2020</v>
      </c>
      <c r="F1448">
        <v>2020</v>
      </c>
      <c r="G1448" t="str">
        <f>IFERROR(INDEX(Formulations[Formulation],MATCH($C1448,Formulations[Product Code],0)),"")</f>
        <v/>
      </c>
    </row>
    <row r="1449" spans="1:7" x14ac:dyDescent="0.3">
      <c r="A1449" t="s">
        <v>1668</v>
      </c>
      <c r="B1449" t="s">
        <v>533</v>
      </c>
      <c r="C1449" t="s">
        <v>534</v>
      </c>
      <c r="D1449" s="7">
        <v>50</v>
      </c>
      <c r="E1449">
        <v>2020</v>
      </c>
      <c r="F1449">
        <v>2020</v>
      </c>
      <c r="G1449" t="str">
        <f>IFERROR(INDEX(Formulations[Formulation],MATCH($C1449,Formulations[Product Code],0)),"")</f>
        <v>Pure</v>
      </c>
    </row>
    <row r="1450" spans="1:7" x14ac:dyDescent="0.3">
      <c r="A1450" t="s">
        <v>1668</v>
      </c>
      <c r="B1450" t="s">
        <v>242</v>
      </c>
      <c r="D1450" s="7">
        <v>50</v>
      </c>
      <c r="E1450">
        <v>2020</v>
      </c>
      <c r="F1450">
        <v>2021</v>
      </c>
      <c r="G1450" t="str">
        <f>IFERROR(INDEX(Formulations[Formulation],MATCH($C1450,Formulations[Product Code],0)),"")</f>
        <v/>
      </c>
    </row>
    <row r="1451" spans="1:7" x14ac:dyDescent="0.3">
      <c r="A1451" t="s">
        <v>1668</v>
      </c>
      <c r="B1451" t="s">
        <v>686</v>
      </c>
      <c r="C1451" t="s">
        <v>687</v>
      </c>
      <c r="D1451" s="7">
        <v>50</v>
      </c>
      <c r="E1451">
        <v>2020</v>
      </c>
      <c r="F1451">
        <v>2020</v>
      </c>
      <c r="G1451" t="str">
        <f>IFERROR(INDEX(Formulations[Formulation],MATCH($C1451,Formulations[Product Code],0)),"")</f>
        <v>Pure</v>
      </c>
    </row>
    <row r="1452" spans="1:7" x14ac:dyDescent="0.3">
      <c r="A1452" t="s">
        <v>1675</v>
      </c>
      <c r="B1452" t="s">
        <v>417</v>
      </c>
      <c r="C1452" t="s">
        <v>418</v>
      </c>
      <c r="D1452" s="7">
        <v>50</v>
      </c>
      <c r="E1452">
        <v>2019</v>
      </c>
      <c r="F1452">
        <v>2019</v>
      </c>
      <c r="G1452" t="str">
        <f>IFERROR(INDEX(Formulations[Formulation],MATCH($C1452,Formulations[Product Code],0)),"")</f>
        <v>Pure</v>
      </c>
    </row>
    <row r="1453" spans="1:7" x14ac:dyDescent="0.3">
      <c r="A1453" t="s">
        <v>1675</v>
      </c>
      <c r="B1453" t="s">
        <v>1671</v>
      </c>
      <c r="C1453" t="s">
        <v>1672</v>
      </c>
      <c r="D1453" s="7">
        <v>50</v>
      </c>
      <c r="E1453">
        <v>2018</v>
      </c>
      <c r="F1453">
        <v>2018</v>
      </c>
      <c r="G1453" t="str">
        <f>IFERROR(INDEX(Formulations[Formulation],MATCH($C1453,Formulations[Product Code],0)),"")</f>
        <v/>
      </c>
    </row>
    <row r="1454" spans="1:7" x14ac:dyDescent="0.3">
      <c r="A1454" t="s">
        <v>1675</v>
      </c>
      <c r="B1454" t="s">
        <v>46</v>
      </c>
      <c r="C1454" t="s">
        <v>47</v>
      </c>
      <c r="D1454" s="7">
        <v>50</v>
      </c>
      <c r="E1454">
        <v>2018</v>
      </c>
      <c r="F1454">
        <v>2018</v>
      </c>
      <c r="G1454" t="str">
        <f>IFERROR(INDEX(Formulations[Formulation],MATCH($C1454,Formulations[Product Code],0)),"")</f>
        <v/>
      </c>
    </row>
    <row r="1455" spans="1:7" x14ac:dyDescent="0.3">
      <c r="A1455" t="s">
        <v>1683</v>
      </c>
      <c r="B1455" t="s">
        <v>1184</v>
      </c>
      <c r="D1455" s="7">
        <v>50</v>
      </c>
      <c r="E1455">
        <v>2021</v>
      </c>
      <c r="F1455">
        <v>2021</v>
      </c>
      <c r="G1455" t="str">
        <f>IFERROR(INDEX(Formulations[Formulation],MATCH($C1455,Formulations[Product Code],0)),"")</f>
        <v/>
      </c>
    </row>
    <row r="1456" spans="1:7" x14ac:dyDescent="0.3">
      <c r="A1456" t="s">
        <v>1683</v>
      </c>
      <c r="B1456" t="s">
        <v>1684</v>
      </c>
      <c r="D1456" s="7">
        <v>50</v>
      </c>
      <c r="E1456">
        <v>2021</v>
      </c>
      <c r="F1456">
        <v>2021</v>
      </c>
      <c r="G1456" t="str">
        <f>IFERROR(INDEX(Formulations[Formulation],MATCH($C1456,Formulations[Product Code],0)),"")</f>
        <v/>
      </c>
    </row>
    <row r="1457" spans="1:7" x14ac:dyDescent="0.3">
      <c r="A1457" t="s">
        <v>1686</v>
      </c>
      <c r="B1457" t="s">
        <v>462</v>
      </c>
      <c r="C1457" t="s">
        <v>463</v>
      </c>
      <c r="D1457" s="7">
        <v>50</v>
      </c>
      <c r="E1457">
        <v>2017</v>
      </c>
      <c r="F1457">
        <v>2017</v>
      </c>
      <c r="G1457" t="str">
        <f>IFERROR(INDEX(Formulations[Formulation],MATCH($C1457,Formulations[Product Code],0)),"")</f>
        <v/>
      </c>
    </row>
    <row r="1458" spans="1:7" x14ac:dyDescent="0.3">
      <c r="A1458" t="s">
        <v>1690</v>
      </c>
      <c r="B1458" t="s">
        <v>496</v>
      </c>
      <c r="C1458" t="s">
        <v>497</v>
      </c>
      <c r="D1458" s="7">
        <v>50</v>
      </c>
      <c r="E1458">
        <v>2019</v>
      </c>
      <c r="F1458">
        <v>2019</v>
      </c>
      <c r="G1458" t="str">
        <f>IFERROR(INDEX(Formulations[Formulation],MATCH($C1458,Formulations[Product Code],0)),"")</f>
        <v>Silver</v>
      </c>
    </row>
    <row r="1459" spans="1:7" x14ac:dyDescent="0.3">
      <c r="A1459" t="s">
        <v>1697</v>
      </c>
      <c r="B1459" t="s">
        <v>731</v>
      </c>
      <c r="C1459" t="s">
        <v>289</v>
      </c>
      <c r="D1459" s="7">
        <v>50</v>
      </c>
      <c r="E1459">
        <v>2019</v>
      </c>
      <c r="F1459">
        <v>2019</v>
      </c>
      <c r="G1459" t="str">
        <f>IFERROR(INDEX(Formulations[Formulation],MATCH($C1459,Formulations[Product Code],0)),"")</f>
        <v>L1212 Blanc by Lacoste (M) CP19035 -  (60%l1212) creed silver mountain 40% than make gold</v>
      </c>
    </row>
    <row r="1460" spans="1:7" x14ac:dyDescent="0.3">
      <c r="A1460" t="s">
        <v>1697</v>
      </c>
      <c r="B1460" t="s">
        <v>542</v>
      </c>
      <c r="C1460" t="s">
        <v>160</v>
      </c>
      <c r="D1460" s="7">
        <v>50</v>
      </c>
      <c r="E1460">
        <v>2021</v>
      </c>
      <c r="F1460">
        <v>2021</v>
      </c>
      <c r="G1460" t="str">
        <f>IFERROR(INDEX(Formulations[Formulation],MATCH($C1460,Formulations[Product Code],0)),"")</f>
        <v>Silver</v>
      </c>
    </row>
    <row r="1461" spans="1:7" x14ac:dyDescent="0.3">
      <c r="A1461" t="s">
        <v>1697</v>
      </c>
      <c r="B1461" t="s">
        <v>839</v>
      </c>
      <c r="C1461" t="s">
        <v>138</v>
      </c>
      <c r="D1461" s="7">
        <v>50</v>
      </c>
      <c r="E1461">
        <v>2020</v>
      </c>
      <c r="F1461">
        <v>2020</v>
      </c>
      <c r="G1461" t="str">
        <f>IFERROR(INDEX(Formulations[Formulation],MATCH($C1461,Formulations[Product Code],0)),"")</f>
        <v>WS</v>
      </c>
    </row>
    <row r="1462" spans="1:7" x14ac:dyDescent="0.3">
      <c r="A1462" t="s">
        <v>1700</v>
      </c>
      <c r="B1462" t="s">
        <v>26</v>
      </c>
      <c r="C1462" t="s">
        <v>27</v>
      </c>
      <c r="D1462" s="7">
        <v>50</v>
      </c>
      <c r="E1462">
        <v>2019</v>
      </c>
      <c r="F1462">
        <v>2019</v>
      </c>
      <c r="G1462" t="str">
        <f>IFERROR(INDEX(Formulations[Formulation],MATCH($C1462,Formulations[Product Code],0)),"")</f>
        <v>FLOURAMAX A270578/ P782894</v>
      </c>
    </row>
    <row r="1463" spans="1:7" x14ac:dyDescent="0.3">
      <c r="A1463" t="s">
        <v>1700</v>
      </c>
      <c r="B1463" t="s">
        <v>702</v>
      </c>
      <c r="C1463" t="s">
        <v>703</v>
      </c>
      <c r="D1463" s="7">
        <v>50</v>
      </c>
      <c r="E1463">
        <v>2019</v>
      </c>
      <c r="F1463">
        <v>2019</v>
      </c>
      <c r="G1463" t="str">
        <f>IFERROR(INDEX(Formulations[Formulation],MATCH($C1463,Formulations[Product Code],0)),"")</f>
        <v>flouramax 40%, green apple 30%, strwaberry 15%, cocoa butter 15%</v>
      </c>
    </row>
    <row r="1464" spans="1:7" x14ac:dyDescent="0.3">
      <c r="A1464" t="s">
        <v>1721</v>
      </c>
      <c r="B1464" t="s">
        <v>1178</v>
      </c>
      <c r="C1464" t="s">
        <v>1179</v>
      </c>
      <c r="D1464" s="7">
        <v>50</v>
      </c>
      <c r="E1464">
        <v>2016</v>
      </c>
      <c r="F1464">
        <v>2016</v>
      </c>
      <c r="G1464" t="str">
        <f>IFERROR(INDEX(Formulations[Formulation],MATCH($C1464,Formulations[Product Code],0)),"")</f>
        <v/>
      </c>
    </row>
    <row r="1465" spans="1:7" x14ac:dyDescent="0.3">
      <c r="A1465" t="s">
        <v>1721</v>
      </c>
      <c r="B1465" t="s">
        <v>1725</v>
      </c>
      <c r="C1465" t="s">
        <v>644</v>
      </c>
      <c r="D1465" s="7">
        <v>50</v>
      </c>
      <c r="E1465">
        <v>2012</v>
      </c>
      <c r="F1465">
        <v>2012</v>
      </c>
      <c r="G1465" t="str">
        <f>IFERROR(INDEX(Formulations[Formulation],MATCH($C1465,Formulations[Product Code],0)),"")</f>
        <v>Crystal</v>
      </c>
    </row>
    <row r="1466" spans="1:7" x14ac:dyDescent="0.3">
      <c r="A1466" t="s">
        <v>1721</v>
      </c>
      <c r="B1466" t="s">
        <v>19</v>
      </c>
      <c r="C1466" t="s">
        <v>699</v>
      </c>
      <c r="D1466" s="7">
        <v>50</v>
      </c>
      <c r="E1466">
        <v>2016</v>
      </c>
      <c r="F1466">
        <v>2016</v>
      </c>
      <c r="G1466" t="str">
        <f>IFERROR(INDEX(Formulations[Formulation],MATCH($C1466,Formulations[Product Code],0)),"")</f>
        <v/>
      </c>
    </row>
    <row r="1467" spans="1:7" x14ac:dyDescent="0.3">
      <c r="A1467" t="s">
        <v>1721</v>
      </c>
      <c r="B1467" t="s">
        <v>1734</v>
      </c>
      <c r="C1467" t="s">
        <v>1735</v>
      </c>
      <c r="D1467" s="7">
        <v>50</v>
      </c>
      <c r="E1467">
        <v>2010</v>
      </c>
      <c r="F1467">
        <v>2015</v>
      </c>
      <c r="G1467" t="str">
        <f>IFERROR(INDEX(Formulations[Formulation],MATCH($C1467,Formulations[Product Code],0)),"")</f>
        <v/>
      </c>
    </row>
    <row r="1468" spans="1:7" x14ac:dyDescent="0.3">
      <c r="A1468" t="s">
        <v>1721</v>
      </c>
      <c r="B1468" t="s">
        <v>334</v>
      </c>
      <c r="C1468" t="s">
        <v>335</v>
      </c>
      <c r="D1468" s="7">
        <v>50</v>
      </c>
      <c r="E1468">
        <v>2016</v>
      </c>
      <c r="F1468">
        <v>2016</v>
      </c>
      <c r="G1468" t="str">
        <f>IFERROR(INDEX(Formulations[Formulation],MATCH($C1468,Formulations[Product Code],0)),"")</f>
        <v>Pure</v>
      </c>
    </row>
    <row r="1469" spans="1:7" x14ac:dyDescent="0.3">
      <c r="A1469" t="s">
        <v>1721</v>
      </c>
      <c r="B1469" t="s">
        <v>46</v>
      </c>
      <c r="C1469" t="s">
        <v>47</v>
      </c>
      <c r="D1469" s="7">
        <v>50</v>
      </c>
      <c r="E1469">
        <v>2015</v>
      </c>
      <c r="F1469">
        <v>2016</v>
      </c>
      <c r="G1469" t="str">
        <f>IFERROR(INDEX(Formulations[Formulation],MATCH($C1469,Formulations[Product Code],0)),"")</f>
        <v/>
      </c>
    </row>
    <row r="1470" spans="1:7" x14ac:dyDescent="0.3">
      <c r="A1470" t="s">
        <v>1721</v>
      </c>
      <c r="B1470" t="s">
        <v>1737</v>
      </c>
      <c r="C1470" t="s">
        <v>759</v>
      </c>
      <c r="D1470" s="7">
        <v>50</v>
      </c>
      <c r="E1470">
        <v>2014</v>
      </c>
      <c r="F1470">
        <v>2015</v>
      </c>
      <c r="G1470" t="str">
        <f>IFERROR(INDEX(Formulations[Formulation],MATCH($C1470,Formulations[Product Code],0)),"")</f>
        <v>Pure</v>
      </c>
    </row>
    <row r="1471" spans="1:7" x14ac:dyDescent="0.3">
      <c r="A1471" t="s">
        <v>1738</v>
      </c>
      <c r="B1471" t="s">
        <v>1726</v>
      </c>
      <c r="C1471" t="s">
        <v>1727</v>
      </c>
      <c r="D1471" s="7">
        <v>50</v>
      </c>
      <c r="E1471">
        <v>2011</v>
      </c>
      <c r="F1471">
        <v>2012</v>
      </c>
      <c r="G1471" t="str">
        <f>IFERROR(INDEX(Formulations[Formulation],MATCH($C1471,Formulations[Product Code],0)),"")</f>
        <v/>
      </c>
    </row>
    <row r="1472" spans="1:7" x14ac:dyDescent="0.3">
      <c r="A1472" t="s">
        <v>1742</v>
      </c>
      <c r="B1472" t="s">
        <v>446</v>
      </c>
      <c r="C1472" t="s">
        <v>447</v>
      </c>
      <c r="D1472" s="7">
        <v>50</v>
      </c>
      <c r="E1472">
        <v>2020</v>
      </c>
      <c r="F1472">
        <v>2020</v>
      </c>
      <c r="G1472" t="str">
        <f>IFERROR(INDEX(Formulations[Formulation],MATCH($C1472,Formulations[Product Code],0)),"")</f>
        <v>30% Key Oil</v>
      </c>
    </row>
    <row r="1473" spans="1:7" x14ac:dyDescent="0.3">
      <c r="A1473" t="s">
        <v>1743</v>
      </c>
      <c r="B1473" t="s">
        <v>518</v>
      </c>
      <c r="C1473" t="s">
        <v>519</v>
      </c>
      <c r="D1473" s="7">
        <v>50</v>
      </c>
      <c r="E1473">
        <v>2019</v>
      </c>
      <c r="F1473">
        <v>2019</v>
      </c>
      <c r="G1473" t="str">
        <f>IFERROR(INDEX(Formulations[Formulation],MATCH($C1473,Formulations[Product Code],0)),"")</f>
        <v>Pure</v>
      </c>
    </row>
    <row r="1474" spans="1:7" x14ac:dyDescent="0.3">
      <c r="A1474" t="s">
        <v>1754</v>
      </c>
      <c r="B1474" t="s">
        <v>532</v>
      </c>
      <c r="C1474" t="s">
        <v>452</v>
      </c>
      <c r="D1474" s="7">
        <v>50</v>
      </c>
      <c r="E1474">
        <v>2020</v>
      </c>
      <c r="F1474">
        <v>2020</v>
      </c>
      <c r="G1474" t="str">
        <f>IFERROR(INDEX(Formulations[Formulation],MATCH($C1474,Formulations[Product Code],0)),"")</f>
        <v>Crystal</v>
      </c>
    </row>
    <row r="1475" spans="1:7" x14ac:dyDescent="0.3">
      <c r="A1475" t="s">
        <v>1754</v>
      </c>
      <c r="B1475" t="s">
        <v>716</v>
      </c>
      <c r="C1475" t="s">
        <v>717</v>
      </c>
      <c r="D1475" s="7">
        <v>50</v>
      </c>
      <c r="E1475">
        <v>2020</v>
      </c>
      <c r="F1475">
        <v>2020</v>
      </c>
      <c r="G1475" t="str">
        <f>IFERROR(INDEX(Formulations[Formulation],MATCH($C1475,Formulations[Product Code],0)),"")</f>
        <v>Pure</v>
      </c>
    </row>
    <row r="1476" spans="1:7" x14ac:dyDescent="0.3">
      <c r="A1476" t="s">
        <v>1754</v>
      </c>
      <c r="B1476" t="s">
        <v>627</v>
      </c>
      <c r="C1476" t="s">
        <v>628</v>
      </c>
      <c r="D1476" s="7">
        <v>50</v>
      </c>
      <c r="E1476">
        <v>2020</v>
      </c>
      <c r="F1476">
        <v>2020</v>
      </c>
      <c r="G1476" t="str">
        <f>IFERROR(INDEX(Formulations[Formulation],MATCH($C1476,Formulations[Product Code],0)),"")</f>
        <v>Pure</v>
      </c>
    </row>
    <row r="1477" spans="1:7" x14ac:dyDescent="0.3">
      <c r="A1477" t="s">
        <v>1754</v>
      </c>
      <c r="B1477" t="s">
        <v>41</v>
      </c>
      <c r="C1477" t="s">
        <v>776</v>
      </c>
      <c r="D1477" s="7">
        <v>50</v>
      </c>
      <c r="E1477">
        <v>2017</v>
      </c>
      <c r="F1477">
        <v>2017</v>
      </c>
      <c r="G1477" t="str">
        <f>IFERROR(INDEX(Formulations[Formulation],MATCH($C1477,Formulations[Product Code],0)),"")</f>
        <v/>
      </c>
    </row>
    <row r="1478" spans="1:7" x14ac:dyDescent="0.3">
      <c r="A1478" t="s">
        <v>1754</v>
      </c>
      <c r="B1478" t="s">
        <v>575</v>
      </c>
      <c r="C1478" t="s">
        <v>673</v>
      </c>
      <c r="D1478" s="7">
        <v>50</v>
      </c>
      <c r="E1478">
        <v>2021</v>
      </c>
      <c r="F1478">
        <v>2021</v>
      </c>
      <c r="G1478" t="str">
        <f>IFERROR(INDEX(Formulations[Formulation],MATCH($C1478,Formulations[Product Code],0)),"")</f>
        <v>Apricot 60 % oil and 40 % dpg</v>
      </c>
    </row>
    <row r="1479" spans="1:7" x14ac:dyDescent="0.3">
      <c r="A1479" t="s">
        <v>1754</v>
      </c>
      <c r="B1479" t="s">
        <v>314</v>
      </c>
      <c r="C1479" t="s">
        <v>315</v>
      </c>
      <c r="D1479" s="7">
        <v>50</v>
      </c>
      <c r="E1479">
        <v>2017</v>
      </c>
      <c r="F1479">
        <v>2019</v>
      </c>
      <c r="G1479" t="str">
        <f>IFERROR(INDEX(Formulations[Formulation],MATCH($C1479,Formulations[Product Code],0)),"")</f>
        <v/>
      </c>
    </row>
    <row r="1480" spans="1:7" x14ac:dyDescent="0.3">
      <c r="A1480" t="s">
        <v>1754</v>
      </c>
      <c r="B1480" t="s">
        <v>1758</v>
      </c>
      <c r="C1480" t="s">
        <v>1759</v>
      </c>
      <c r="D1480" s="7">
        <v>50</v>
      </c>
      <c r="E1480">
        <v>2019</v>
      </c>
      <c r="F1480">
        <v>2019</v>
      </c>
      <c r="G1480" t="str">
        <f>IFERROR(INDEX(Formulations[Formulation],MATCH($C1480,Formulations[Product Code],0)),"")</f>
        <v/>
      </c>
    </row>
    <row r="1481" spans="1:7" x14ac:dyDescent="0.3">
      <c r="A1481" t="s">
        <v>1799</v>
      </c>
      <c r="B1481" t="s">
        <v>719</v>
      </c>
      <c r="C1481" t="s">
        <v>925</v>
      </c>
      <c r="D1481" s="7">
        <v>50</v>
      </c>
      <c r="E1481">
        <v>2018</v>
      </c>
      <c r="F1481">
        <v>2019</v>
      </c>
      <c r="G1481" t="str">
        <f>IFERROR(INDEX(Formulations[Formulation],MATCH($C1481,Formulations[Product Code],0)),"")</f>
        <v/>
      </c>
    </row>
    <row r="1482" spans="1:7" x14ac:dyDescent="0.3">
      <c r="A1482" t="s">
        <v>1799</v>
      </c>
      <c r="B1482" t="s">
        <v>533</v>
      </c>
      <c r="C1482" t="s">
        <v>534</v>
      </c>
      <c r="D1482" s="7">
        <v>50</v>
      </c>
      <c r="E1482">
        <v>2020</v>
      </c>
      <c r="F1482">
        <v>2020</v>
      </c>
      <c r="G1482" t="str">
        <f>IFERROR(INDEX(Formulations[Formulation],MATCH($C1482,Formulations[Product Code],0)),"")</f>
        <v>Pure</v>
      </c>
    </row>
    <row r="1483" spans="1:7" x14ac:dyDescent="0.3">
      <c r="A1483" t="s">
        <v>1799</v>
      </c>
      <c r="B1483" t="s">
        <v>942</v>
      </c>
      <c r="C1483" t="s">
        <v>943</v>
      </c>
      <c r="D1483" s="7">
        <v>50</v>
      </c>
      <c r="E1483">
        <v>2016</v>
      </c>
      <c r="F1483">
        <v>2017</v>
      </c>
      <c r="G1483" t="str">
        <f>IFERROR(INDEX(Formulations[Formulation],MATCH($C1483,Formulations[Product Code],0)),"")</f>
        <v>Red Grape A299992 (Red Grape 50%/Rasberry 50%)</v>
      </c>
    </row>
    <row r="1484" spans="1:7" x14ac:dyDescent="0.3">
      <c r="A1484" t="s">
        <v>1799</v>
      </c>
      <c r="B1484" t="s">
        <v>911</v>
      </c>
      <c r="C1484" t="s">
        <v>912</v>
      </c>
      <c r="D1484" s="7">
        <v>50</v>
      </c>
      <c r="E1484">
        <v>2020</v>
      </c>
      <c r="F1484">
        <v>2020</v>
      </c>
      <c r="G1484" t="str">
        <f>IFERROR(INDEX(Formulations[Formulation],MATCH($C1484,Formulations[Product Code],0)),"")</f>
        <v>Gold</v>
      </c>
    </row>
    <row r="1485" spans="1:7" x14ac:dyDescent="0.3">
      <c r="A1485" t="s">
        <v>1799</v>
      </c>
      <c r="B1485" t="s">
        <v>334</v>
      </c>
      <c r="C1485" t="s">
        <v>335</v>
      </c>
      <c r="D1485" s="7">
        <v>50</v>
      </c>
      <c r="E1485">
        <v>2014</v>
      </c>
      <c r="F1485">
        <v>2015</v>
      </c>
      <c r="G1485" t="str">
        <f>IFERROR(INDEX(Formulations[Formulation],MATCH($C1485,Formulations[Product Code],0)),"")</f>
        <v>Pure</v>
      </c>
    </row>
    <row r="1486" spans="1:7" x14ac:dyDescent="0.3">
      <c r="A1486" t="s">
        <v>1799</v>
      </c>
      <c r="B1486" t="s">
        <v>679</v>
      </c>
      <c r="C1486" t="s">
        <v>680</v>
      </c>
      <c r="D1486" s="7">
        <v>50</v>
      </c>
      <c r="E1486">
        <v>2020</v>
      </c>
      <c r="F1486">
        <v>2021</v>
      </c>
      <c r="G1486" t="str">
        <f>IFERROR(INDEX(Formulations[Formulation],MATCH($C1486,Formulations[Product Code],0)),"")</f>
        <v>Crystal</v>
      </c>
    </row>
    <row r="1487" spans="1:7" x14ac:dyDescent="0.3">
      <c r="A1487" t="s">
        <v>1807</v>
      </c>
      <c r="B1487" t="s">
        <v>26</v>
      </c>
      <c r="C1487" t="s">
        <v>27</v>
      </c>
      <c r="D1487" s="7">
        <v>50</v>
      </c>
      <c r="E1487">
        <v>2017</v>
      </c>
      <c r="F1487">
        <v>2017</v>
      </c>
      <c r="G1487" t="str">
        <f>IFERROR(INDEX(Formulations[Formulation],MATCH($C1487,Formulations[Product Code],0)),"")</f>
        <v>FLOURAMAX A270578/ P782894</v>
      </c>
    </row>
    <row r="1488" spans="1:7" x14ac:dyDescent="0.3">
      <c r="A1488" t="s">
        <v>1810</v>
      </c>
      <c r="B1488" t="s">
        <v>631</v>
      </c>
      <c r="C1488" t="s">
        <v>632</v>
      </c>
      <c r="D1488" s="7">
        <v>50</v>
      </c>
      <c r="E1488">
        <v>2017</v>
      </c>
      <c r="F1488">
        <v>2017</v>
      </c>
      <c r="G1488" t="str">
        <f>IFERROR(INDEX(Formulations[Formulation],MATCH($C1488,Formulations[Product Code],0)),"")</f>
        <v/>
      </c>
    </row>
    <row r="1489" spans="1:7" x14ac:dyDescent="0.3">
      <c r="A1489" t="s">
        <v>1810</v>
      </c>
      <c r="B1489" t="s">
        <v>41</v>
      </c>
      <c r="C1489" t="s">
        <v>42</v>
      </c>
      <c r="D1489" s="7">
        <v>50</v>
      </c>
      <c r="E1489">
        <v>2014</v>
      </c>
      <c r="F1489">
        <v>2015</v>
      </c>
      <c r="G1489" t="str">
        <f>IFERROR(INDEX(Formulations[Formulation],MATCH($C1489,Formulations[Product Code],0)),"")</f>
        <v/>
      </c>
    </row>
    <row r="1490" spans="1:7" x14ac:dyDescent="0.3">
      <c r="A1490" t="s">
        <v>1810</v>
      </c>
      <c r="B1490" t="s">
        <v>1816</v>
      </c>
      <c r="C1490" t="s">
        <v>1817</v>
      </c>
      <c r="D1490" s="7">
        <v>50</v>
      </c>
      <c r="E1490">
        <v>2016</v>
      </c>
      <c r="F1490">
        <v>2016</v>
      </c>
      <c r="G1490" t="str">
        <f>IFERROR(INDEX(Formulations[Formulation],MATCH($C1490,Formulations[Product Code],0)),"")</f>
        <v/>
      </c>
    </row>
    <row r="1491" spans="1:7" x14ac:dyDescent="0.3">
      <c r="A1491" t="s">
        <v>1822</v>
      </c>
      <c r="B1491" t="s">
        <v>909</v>
      </c>
      <c r="C1491" t="s">
        <v>910</v>
      </c>
      <c r="D1491" s="7">
        <v>50</v>
      </c>
      <c r="E1491">
        <v>2019</v>
      </c>
      <c r="F1491">
        <v>2019</v>
      </c>
      <c r="G1491" t="str">
        <f>IFERROR(INDEX(Formulations[Formulation],MATCH($C1491,Formulations[Product Code],0)),"")</f>
        <v/>
      </c>
    </row>
    <row r="1492" spans="1:7" x14ac:dyDescent="0.3">
      <c r="A1492" t="s">
        <v>1832</v>
      </c>
      <c r="B1492" t="s">
        <v>24</v>
      </c>
      <c r="C1492" t="s">
        <v>25</v>
      </c>
      <c r="D1492" s="7">
        <v>50</v>
      </c>
      <c r="E1492">
        <v>2015</v>
      </c>
      <c r="F1492">
        <v>2015</v>
      </c>
      <c r="G1492" t="str">
        <f>IFERROR(INDEX(Formulations[Formulation],MATCH($C1492,Formulations[Product Code],0)),"")</f>
        <v>citropine 85%/Pinefresh 15%</v>
      </c>
    </row>
    <row r="1493" spans="1:7" x14ac:dyDescent="0.3">
      <c r="A1493" t="s">
        <v>1833</v>
      </c>
      <c r="B1493" t="s">
        <v>68</v>
      </c>
      <c r="C1493" t="s">
        <v>69</v>
      </c>
      <c r="D1493" s="7">
        <v>50</v>
      </c>
      <c r="E1493">
        <v>2013</v>
      </c>
      <c r="F1493">
        <v>2013</v>
      </c>
      <c r="G1493" t="str">
        <f>IFERROR(INDEX(Formulations[Formulation],MATCH($C1493,Formulations[Product Code],0)),"")</f>
        <v>Silver</v>
      </c>
    </row>
    <row r="1494" spans="1:7" x14ac:dyDescent="0.3">
      <c r="A1494" t="s">
        <v>1838</v>
      </c>
      <c r="B1494" t="s">
        <v>24</v>
      </c>
      <c r="C1494" t="s">
        <v>25</v>
      </c>
      <c r="D1494" s="7">
        <v>50</v>
      </c>
      <c r="E1494">
        <v>2017</v>
      </c>
      <c r="F1494">
        <v>2017</v>
      </c>
      <c r="G1494" t="str">
        <f>IFERROR(INDEX(Formulations[Formulation],MATCH($C1494,Formulations[Product Code],0)),"")</f>
        <v>citropine 85%/Pinefresh 15%</v>
      </c>
    </row>
    <row r="1495" spans="1:7" x14ac:dyDescent="0.3">
      <c r="A1495" t="s">
        <v>1845</v>
      </c>
      <c r="B1495" t="s">
        <v>334</v>
      </c>
      <c r="C1495" t="s">
        <v>335</v>
      </c>
      <c r="D1495" s="7">
        <v>50</v>
      </c>
      <c r="E1495">
        <v>2015</v>
      </c>
      <c r="F1495">
        <v>2015</v>
      </c>
      <c r="G1495" t="str">
        <f>IFERROR(INDEX(Formulations[Formulation],MATCH($C1495,Formulations[Product Code],0)),"")</f>
        <v>Pure</v>
      </c>
    </row>
    <row r="1496" spans="1:7" x14ac:dyDescent="0.3">
      <c r="A1496" t="s">
        <v>1864</v>
      </c>
      <c r="B1496" t="s">
        <v>32</v>
      </c>
      <c r="D1496" s="7">
        <v>50</v>
      </c>
      <c r="E1496">
        <v>2018</v>
      </c>
      <c r="F1496">
        <v>2021</v>
      </c>
      <c r="G1496" t="str">
        <f>IFERROR(INDEX(Formulations[Formulation],MATCH($C1496,Formulations[Product Code],0)),"")</f>
        <v/>
      </c>
    </row>
    <row r="1497" spans="1:7" x14ac:dyDescent="0.3">
      <c r="A1497" t="s">
        <v>1865</v>
      </c>
      <c r="B1497" t="s">
        <v>674</v>
      </c>
      <c r="C1497" t="s">
        <v>675</v>
      </c>
      <c r="D1497" s="7">
        <v>50</v>
      </c>
      <c r="E1497">
        <v>2020</v>
      </c>
      <c r="F1497">
        <v>2020</v>
      </c>
      <c r="G1497" t="str">
        <f>IFERROR(INDEX(Formulations[Formulation],MATCH($C1497,Formulations[Product Code],0)),"")</f>
        <v>Crystal</v>
      </c>
    </row>
    <row r="1498" spans="1:7" x14ac:dyDescent="0.3">
      <c r="A1498" t="s">
        <v>1873</v>
      </c>
      <c r="B1498" t="s">
        <v>1878</v>
      </c>
      <c r="C1498" t="s">
        <v>1879</v>
      </c>
      <c r="D1498" s="7">
        <v>50</v>
      </c>
      <c r="E1498">
        <v>2010</v>
      </c>
      <c r="F1498">
        <v>2010</v>
      </c>
      <c r="G1498" t="str">
        <f>IFERROR(INDEX(Formulations[Formulation],MATCH($C1498,Formulations[Product Code],0)),"")</f>
        <v/>
      </c>
    </row>
    <row r="1499" spans="1:7" x14ac:dyDescent="0.3">
      <c r="A1499" t="s">
        <v>1906</v>
      </c>
      <c r="B1499" t="s">
        <v>41</v>
      </c>
      <c r="C1499" t="s">
        <v>42</v>
      </c>
      <c r="D1499" s="7">
        <v>50</v>
      </c>
      <c r="E1499">
        <v>2011</v>
      </c>
      <c r="F1499">
        <v>2011</v>
      </c>
      <c r="G1499" t="str">
        <f>IFERROR(INDEX(Formulations[Formulation],MATCH($C1499,Formulations[Product Code],0)),"")</f>
        <v/>
      </c>
    </row>
    <row r="1500" spans="1:7" x14ac:dyDescent="0.3">
      <c r="A1500" t="s">
        <v>1919</v>
      </c>
      <c r="B1500" t="s">
        <v>265</v>
      </c>
      <c r="C1500" t="s">
        <v>197</v>
      </c>
      <c r="D1500" s="7">
        <v>50</v>
      </c>
      <c r="E1500">
        <v>2019</v>
      </c>
      <c r="F1500">
        <v>2019</v>
      </c>
      <c r="G1500" t="str">
        <f>IFERROR(INDEX(Formulations[Formulation],MATCH($C1500,Formulations[Product Code],0)),"")</f>
        <v/>
      </c>
    </row>
    <row r="1501" spans="1:7" x14ac:dyDescent="0.3">
      <c r="A1501" t="s">
        <v>1926</v>
      </c>
      <c r="B1501" t="s">
        <v>1332</v>
      </c>
      <c r="C1501" t="s">
        <v>1333</v>
      </c>
      <c r="D1501" s="7">
        <v>50</v>
      </c>
      <c r="E1501">
        <v>2020</v>
      </c>
      <c r="F1501">
        <v>2021</v>
      </c>
      <c r="G1501" t="str">
        <f>IFERROR(INDEX(Formulations[Formulation],MATCH($C1501,Formulations[Product Code],0)),"")</f>
        <v>60 % OIL &amp; 40 % DPG</v>
      </c>
    </row>
    <row r="1502" spans="1:7" x14ac:dyDescent="0.3">
      <c r="A1502" t="s">
        <v>1933</v>
      </c>
      <c r="B1502" t="s">
        <v>383</v>
      </c>
      <c r="C1502" t="s">
        <v>384</v>
      </c>
      <c r="D1502" s="7">
        <v>50</v>
      </c>
      <c r="E1502">
        <v>2019</v>
      </c>
      <c r="F1502">
        <v>2019</v>
      </c>
      <c r="G1502" t="str">
        <f>IFERROR(INDEX(Formulations[Formulation],MATCH($C1502,Formulations[Product Code],0)),"")</f>
        <v>Pure</v>
      </c>
    </row>
    <row r="1503" spans="1:7" x14ac:dyDescent="0.3">
      <c r="A1503" t="s">
        <v>1956</v>
      </c>
      <c r="B1503" t="s">
        <v>1461</v>
      </c>
      <c r="D1503" s="7">
        <v>50</v>
      </c>
      <c r="E1503">
        <v>2021</v>
      </c>
      <c r="F1503">
        <v>2021</v>
      </c>
      <c r="G1503" t="str">
        <f>IFERROR(INDEX(Formulations[Formulation],MATCH($C1503,Formulations[Product Code],0)),"")</f>
        <v/>
      </c>
    </row>
    <row r="1504" spans="1:7" x14ac:dyDescent="0.3">
      <c r="A1504" t="s">
        <v>1964</v>
      </c>
      <c r="B1504" t="s">
        <v>1015</v>
      </c>
      <c r="C1504" t="s">
        <v>1965</v>
      </c>
      <c r="D1504" s="7">
        <v>50</v>
      </c>
      <c r="E1504">
        <v>2016</v>
      </c>
      <c r="F1504">
        <v>2016</v>
      </c>
      <c r="G1504" t="str">
        <f>IFERROR(INDEX(Formulations[Formulation],MATCH($C1504,Formulations[Product Code],0)),"")</f>
        <v/>
      </c>
    </row>
    <row r="1505" spans="1:7" x14ac:dyDescent="0.3">
      <c r="A1505" t="s">
        <v>1972</v>
      </c>
      <c r="B1505" t="s">
        <v>1976</v>
      </c>
      <c r="C1505" t="s">
        <v>1977</v>
      </c>
      <c r="D1505" s="7">
        <v>50</v>
      </c>
      <c r="E1505">
        <v>2017</v>
      </c>
      <c r="F1505">
        <v>2019</v>
      </c>
      <c r="G1505" t="str">
        <f>IFERROR(INDEX(Formulations[Formulation],MATCH($C1505,Formulations[Product Code],0)),"")</f>
        <v/>
      </c>
    </row>
    <row r="1506" spans="1:7" x14ac:dyDescent="0.3">
      <c r="A1506" t="s">
        <v>1972</v>
      </c>
      <c r="B1506" t="s">
        <v>496</v>
      </c>
      <c r="C1506" t="s">
        <v>497</v>
      </c>
      <c r="D1506" s="7">
        <v>50</v>
      </c>
      <c r="E1506">
        <v>2020</v>
      </c>
      <c r="F1506">
        <v>2020</v>
      </c>
      <c r="G1506" t="str">
        <f>IFERROR(INDEX(Formulations[Formulation],MATCH($C1506,Formulations[Product Code],0)),"")</f>
        <v>Silver</v>
      </c>
    </row>
    <row r="1507" spans="1:7" x14ac:dyDescent="0.3">
      <c r="A1507" t="s">
        <v>1984</v>
      </c>
      <c r="B1507" t="s">
        <v>114</v>
      </c>
      <c r="C1507" t="s">
        <v>115</v>
      </c>
      <c r="D1507" s="7">
        <v>50</v>
      </c>
      <c r="E1507">
        <v>2011</v>
      </c>
      <c r="F1507">
        <v>2013</v>
      </c>
      <c r="G1507" t="str">
        <f>IFERROR(INDEX(Formulations[Formulation],MATCH($C1507,Formulations[Product Code],0)),"")</f>
        <v>Pure</v>
      </c>
    </row>
    <row r="1508" spans="1:7" x14ac:dyDescent="0.3">
      <c r="A1508" t="s">
        <v>1984</v>
      </c>
      <c r="B1508" t="s">
        <v>120</v>
      </c>
      <c r="C1508" t="s">
        <v>2002</v>
      </c>
      <c r="D1508" s="7">
        <v>50</v>
      </c>
      <c r="E1508">
        <v>2011</v>
      </c>
      <c r="F1508">
        <v>2013</v>
      </c>
      <c r="G1508" t="str">
        <f>IFERROR(INDEX(Formulations[Formulation],MATCH($C1508,Formulations[Product Code],0)),"")</f>
        <v/>
      </c>
    </row>
    <row r="1509" spans="1:7" x14ac:dyDescent="0.3">
      <c r="A1509" t="s">
        <v>2020</v>
      </c>
      <c r="B1509" t="s">
        <v>174</v>
      </c>
      <c r="C1509" t="s">
        <v>175</v>
      </c>
      <c r="D1509" s="7">
        <v>50</v>
      </c>
      <c r="E1509">
        <v>2017</v>
      </c>
      <c r="F1509">
        <v>2017</v>
      </c>
      <c r="G1509" t="str">
        <f>IFERROR(INDEX(Formulations[Formulation],MATCH($C1509,Formulations[Product Code],0)),"")</f>
        <v/>
      </c>
    </row>
    <row r="1510" spans="1:7" x14ac:dyDescent="0.3">
      <c r="A1510" t="s">
        <v>2020</v>
      </c>
      <c r="B1510" t="s">
        <v>716</v>
      </c>
      <c r="C1510" t="s">
        <v>717</v>
      </c>
      <c r="D1510" s="7">
        <v>50</v>
      </c>
      <c r="E1510">
        <v>2019</v>
      </c>
      <c r="F1510">
        <v>2019</v>
      </c>
      <c r="G1510" t="str">
        <f>IFERROR(INDEX(Formulations[Formulation],MATCH($C1510,Formulations[Product Code],0)),"")</f>
        <v>Pure</v>
      </c>
    </row>
    <row r="1511" spans="1:7" x14ac:dyDescent="0.3">
      <c r="A1511" t="s">
        <v>2020</v>
      </c>
      <c r="B1511" t="s">
        <v>635</v>
      </c>
      <c r="C1511" t="s">
        <v>636</v>
      </c>
      <c r="D1511" s="7">
        <v>50</v>
      </c>
      <c r="E1511">
        <v>2018</v>
      </c>
      <c r="F1511">
        <v>2018</v>
      </c>
      <c r="G1511" t="str">
        <f>IFERROR(INDEX(Formulations[Formulation],MATCH($C1511,Formulations[Product Code],0)),"")</f>
        <v>Pure</v>
      </c>
    </row>
    <row r="1512" spans="1:7" x14ac:dyDescent="0.3">
      <c r="A1512" t="s">
        <v>2020</v>
      </c>
      <c r="B1512" t="s">
        <v>536</v>
      </c>
      <c r="C1512" t="s">
        <v>537</v>
      </c>
      <c r="D1512" s="7">
        <v>50</v>
      </c>
      <c r="E1512">
        <v>2020</v>
      </c>
      <c r="F1512">
        <v>2020</v>
      </c>
      <c r="G1512" t="str">
        <f>IFERROR(INDEX(Formulations[Formulation],MATCH($C1512,Formulations[Product Code],0)),"")</f>
        <v>Silver</v>
      </c>
    </row>
    <row r="1513" spans="1:7" x14ac:dyDescent="0.3">
      <c r="A1513" t="s">
        <v>2020</v>
      </c>
      <c r="B1513" t="s">
        <v>602</v>
      </c>
      <c r="C1513" t="s">
        <v>603</v>
      </c>
      <c r="D1513" s="7">
        <v>50</v>
      </c>
      <c r="E1513">
        <v>2016</v>
      </c>
      <c r="F1513">
        <v>2016</v>
      </c>
      <c r="G1513" t="str">
        <f>IFERROR(INDEX(Formulations[Formulation],MATCH($C1513,Formulations[Product Code],0)),"")</f>
        <v>Crystal</v>
      </c>
    </row>
    <row r="1514" spans="1:7" x14ac:dyDescent="0.3">
      <c r="A1514" t="s">
        <v>2020</v>
      </c>
      <c r="B1514" t="s">
        <v>942</v>
      </c>
      <c r="C1514" t="s">
        <v>943</v>
      </c>
      <c r="D1514" s="7">
        <v>50</v>
      </c>
      <c r="E1514">
        <v>2018</v>
      </c>
      <c r="F1514">
        <v>2019</v>
      </c>
      <c r="G1514" t="str">
        <f>IFERROR(INDEX(Formulations[Formulation],MATCH($C1514,Formulations[Product Code],0)),"")</f>
        <v>Red Grape A299992 (Red Grape 50%/Rasberry 50%)</v>
      </c>
    </row>
    <row r="1515" spans="1:7" x14ac:dyDescent="0.3">
      <c r="A1515" t="s">
        <v>2020</v>
      </c>
      <c r="B1515" t="s">
        <v>349</v>
      </c>
      <c r="C1515" t="s">
        <v>350</v>
      </c>
      <c r="D1515" s="7">
        <v>50</v>
      </c>
      <c r="E1515">
        <v>2018</v>
      </c>
      <c r="F1515">
        <v>2019</v>
      </c>
      <c r="G1515" t="str">
        <f>IFERROR(INDEX(Formulations[Formulation],MATCH($C1515,Formulations[Product Code],0)),"")</f>
        <v/>
      </c>
    </row>
    <row r="1516" spans="1:7" x14ac:dyDescent="0.3">
      <c r="A1516" t="s">
        <v>2020</v>
      </c>
      <c r="B1516" t="s">
        <v>64</v>
      </c>
      <c r="C1516" t="s">
        <v>65</v>
      </c>
      <c r="D1516" s="7">
        <v>50</v>
      </c>
      <c r="E1516">
        <v>2019</v>
      </c>
      <c r="F1516">
        <v>2019</v>
      </c>
      <c r="G1516" t="str">
        <f>IFERROR(INDEX(Formulations[Formulation],MATCH($C1516,Formulations[Product Code],0)),"")</f>
        <v>Crystal</v>
      </c>
    </row>
    <row r="1517" spans="1:7" x14ac:dyDescent="0.3">
      <c r="A1517" t="s">
        <v>2020</v>
      </c>
      <c r="B1517" t="s">
        <v>114</v>
      </c>
      <c r="C1517" t="s">
        <v>115</v>
      </c>
      <c r="D1517" s="7">
        <v>50</v>
      </c>
      <c r="E1517">
        <v>2018</v>
      </c>
      <c r="F1517">
        <v>2019</v>
      </c>
      <c r="G1517" t="str">
        <f>IFERROR(INDEX(Formulations[Formulation],MATCH($C1517,Formulations[Product Code],0)),"")</f>
        <v>Pure</v>
      </c>
    </row>
    <row r="1518" spans="1:7" x14ac:dyDescent="0.3">
      <c r="A1518" t="s">
        <v>2020</v>
      </c>
      <c r="B1518" t="s">
        <v>120</v>
      </c>
      <c r="C1518" t="s">
        <v>121</v>
      </c>
      <c r="D1518" s="7">
        <v>50</v>
      </c>
      <c r="E1518">
        <v>2019</v>
      </c>
      <c r="F1518">
        <v>2019</v>
      </c>
      <c r="G1518" t="str">
        <f>IFERROR(INDEX(Formulations[Formulation],MATCH($C1518,Formulations[Product Code],0)),"")</f>
        <v/>
      </c>
    </row>
    <row r="1519" spans="1:7" x14ac:dyDescent="0.3">
      <c r="A1519" t="s">
        <v>2020</v>
      </c>
      <c r="B1519" t="s">
        <v>679</v>
      </c>
      <c r="C1519" t="s">
        <v>680</v>
      </c>
      <c r="D1519" s="7">
        <v>50</v>
      </c>
      <c r="E1519">
        <v>2020</v>
      </c>
      <c r="F1519">
        <v>2021</v>
      </c>
      <c r="G1519" t="str">
        <f>IFERROR(INDEX(Formulations[Formulation],MATCH($C1519,Formulations[Product Code],0)),"")</f>
        <v>Crystal</v>
      </c>
    </row>
    <row r="1520" spans="1:7" x14ac:dyDescent="0.3">
      <c r="A1520" t="s">
        <v>2030</v>
      </c>
      <c r="B1520" t="s">
        <v>1104</v>
      </c>
      <c r="C1520" t="s">
        <v>1105</v>
      </c>
      <c r="D1520" s="7">
        <v>50</v>
      </c>
      <c r="E1520">
        <v>2020</v>
      </c>
      <c r="F1520">
        <v>2020</v>
      </c>
      <c r="G1520" t="str">
        <f>IFERROR(INDEX(Formulations[Formulation],MATCH($C1520,Formulations[Product Code],0)),"")</f>
        <v>Silver</v>
      </c>
    </row>
    <row r="1521" spans="1:7" x14ac:dyDescent="0.3">
      <c r="A1521" t="s">
        <v>2030</v>
      </c>
      <c r="B1521" t="s">
        <v>473</v>
      </c>
      <c r="C1521" t="s">
        <v>747</v>
      </c>
      <c r="D1521" s="7">
        <v>50</v>
      </c>
      <c r="E1521">
        <v>2018</v>
      </c>
      <c r="F1521">
        <v>2018</v>
      </c>
      <c r="G1521" t="str">
        <f>IFERROR(INDEX(Formulations[Formulation],MATCH($C1521,Formulations[Product Code],0)),"")</f>
        <v/>
      </c>
    </row>
    <row r="1522" spans="1:7" x14ac:dyDescent="0.3">
      <c r="A1522" t="s">
        <v>2034</v>
      </c>
      <c r="B1522" t="s">
        <v>1737</v>
      </c>
      <c r="C1522" t="s">
        <v>759</v>
      </c>
      <c r="D1522" s="7">
        <v>50</v>
      </c>
      <c r="E1522">
        <v>2021</v>
      </c>
      <c r="F1522">
        <v>2021</v>
      </c>
      <c r="G1522" t="str">
        <f>IFERROR(INDEX(Formulations[Formulation],MATCH($C1522,Formulations[Product Code],0)),"")</f>
        <v>Pure</v>
      </c>
    </row>
    <row r="1523" spans="1:7" x14ac:dyDescent="0.3">
      <c r="A1523" t="s">
        <v>2069</v>
      </c>
      <c r="B1523" t="s">
        <v>593</v>
      </c>
      <c r="C1523" t="s">
        <v>594</v>
      </c>
      <c r="D1523" s="7">
        <v>50</v>
      </c>
      <c r="E1523">
        <v>2021</v>
      </c>
      <c r="F1523">
        <v>2021</v>
      </c>
      <c r="G1523" t="str">
        <f>IFERROR(INDEX(Formulations[Formulation],MATCH($C1523,Formulations[Product Code],0)),"")</f>
        <v>Oil 4.5kg</v>
      </c>
    </row>
    <row r="1524" spans="1:7" x14ac:dyDescent="0.3">
      <c r="A1524" t="s">
        <v>2093</v>
      </c>
      <c r="B1524" t="s">
        <v>269</v>
      </c>
      <c r="C1524" t="s">
        <v>270</v>
      </c>
      <c r="D1524" s="7">
        <v>50</v>
      </c>
      <c r="E1524">
        <v>2019</v>
      </c>
      <c r="F1524">
        <v>2019</v>
      </c>
      <c r="G1524" t="str">
        <f>IFERROR(INDEX(Formulations[Formulation],MATCH($C1524,Formulations[Product Code],0)),"")</f>
        <v>Pure</v>
      </c>
    </row>
    <row r="1525" spans="1:7" x14ac:dyDescent="0.3">
      <c r="A1525" t="s">
        <v>2093</v>
      </c>
      <c r="B1525" t="s">
        <v>12</v>
      </c>
      <c r="C1525" t="s">
        <v>13</v>
      </c>
      <c r="D1525" s="7">
        <v>50</v>
      </c>
      <c r="E1525">
        <v>2019</v>
      </c>
      <c r="F1525">
        <v>2019</v>
      </c>
      <c r="G1525" t="str">
        <f>IFERROR(INDEX(Formulations[Formulation],MATCH($C1525,Formulations[Product Code],0)),"")</f>
        <v>Crystal</v>
      </c>
    </row>
    <row r="1526" spans="1:7" x14ac:dyDescent="0.3">
      <c r="A1526" t="s">
        <v>2095</v>
      </c>
      <c r="B1526" t="s">
        <v>446</v>
      </c>
      <c r="C1526" t="s">
        <v>447</v>
      </c>
      <c r="D1526" s="7">
        <v>50</v>
      </c>
      <c r="E1526">
        <v>2020</v>
      </c>
      <c r="F1526">
        <v>2020</v>
      </c>
      <c r="G1526" t="str">
        <f>IFERROR(INDEX(Formulations[Formulation],MATCH($C1526,Formulations[Product Code],0)),"")</f>
        <v>30% Key Oil</v>
      </c>
    </row>
    <row r="1527" spans="1:7" x14ac:dyDescent="0.3">
      <c r="A1527" t="s">
        <v>2097</v>
      </c>
      <c r="B1527" t="s">
        <v>723</v>
      </c>
      <c r="C1527" t="s">
        <v>724</v>
      </c>
      <c r="D1527" s="7">
        <v>50</v>
      </c>
      <c r="E1527">
        <v>2019</v>
      </c>
      <c r="F1527">
        <v>2019</v>
      </c>
      <c r="G1527" t="str">
        <f>IFERROR(INDEX(Formulations[Formulation],MATCH($C1527,Formulations[Product Code],0)),"")</f>
        <v>Crystal</v>
      </c>
    </row>
    <row r="1528" spans="1:7" x14ac:dyDescent="0.3">
      <c r="A1528" t="s">
        <v>2097</v>
      </c>
      <c r="B1528" t="s">
        <v>92</v>
      </c>
      <c r="C1528" t="s">
        <v>93</v>
      </c>
      <c r="D1528" s="7">
        <v>50</v>
      </c>
      <c r="E1528">
        <v>2018</v>
      </c>
      <c r="F1528">
        <v>2019</v>
      </c>
      <c r="G1528" t="str">
        <f>IFERROR(INDEX(Formulations[Formulation],MATCH($C1528,Formulations[Product Code],0)),"")</f>
        <v>Gold</v>
      </c>
    </row>
    <row r="1529" spans="1:7" x14ac:dyDescent="0.3">
      <c r="A1529" t="s">
        <v>2097</v>
      </c>
      <c r="B1529" t="s">
        <v>2100</v>
      </c>
      <c r="C1529" t="s">
        <v>2101</v>
      </c>
      <c r="D1529" s="7">
        <v>50</v>
      </c>
      <c r="E1529">
        <v>2020</v>
      </c>
      <c r="F1529">
        <v>2020</v>
      </c>
      <c r="G1529" t="str">
        <f>IFERROR(INDEX(Formulations[Formulation],MATCH($C1529,Formulations[Product Code],0)),"")</f>
        <v/>
      </c>
    </row>
    <row r="1530" spans="1:7" x14ac:dyDescent="0.3">
      <c r="A1530" t="s">
        <v>2097</v>
      </c>
      <c r="B1530" t="s">
        <v>1405</v>
      </c>
      <c r="C1530" t="s">
        <v>1406</v>
      </c>
      <c r="D1530" s="7">
        <v>50</v>
      </c>
      <c r="E1530">
        <v>2019</v>
      </c>
      <c r="F1530">
        <v>2019</v>
      </c>
      <c r="G1530" t="str">
        <f>IFERROR(INDEX(Formulations[Formulation],MATCH($C1530,Formulations[Product Code],0)),"")</f>
        <v>Silver</v>
      </c>
    </row>
    <row r="1531" spans="1:7" x14ac:dyDescent="0.3">
      <c r="A1531" t="s">
        <v>2097</v>
      </c>
      <c r="B1531" t="s">
        <v>2108</v>
      </c>
      <c r="C1531" t="s">
        <v>2109</v>
      </c>
      <c r="D1531" s="7">
        <v>50</v>
      </c>
      <c r="E1531">
        <v>2020</v>
      </c>
      <c r="F1531">
        <v>2020</v>
      </c>
      <c r="G1531" t="str">
        <f>IFERROR(INDEX(Formulations[Formulation],MATCH($C1531,Formulations[Product Code],0)),"")</f>
        <v/>
      </c>
    </row>
    <row r="1532" spans="1:7" x14ac:dyDescent="0.3">
      <c r="A1532" t="s">
        <v>2097</v>
      </c>
      <c r="B1532" t="s">
        <v>2110</v>
      </c>
      <c r="C1532" t="s">
        <v>2111</v>
      </c>
      <c r="D1532" s="7">
        <v>50</v>
      </c>
      <c r="E1532">
        <v>2020</v>
      </c>
      <c r="F1532">
        <v>2020</v>
      </c>
      <c r="G1532" t="str">
        <f>IFERROR(INDEX(Formulations[Formulation],MATCH($C1532,Formulations[Product Code],0)),"")</f>
        <v/>
      </c>
    </row>
    <row r="1533" spans="1:7" x14ac:dyDescent="0.3">
      <c r="A1533" t="s">
        <v>2097</v>
      </c>
      <c r="B1533" t="s">
        <v>679</v>
      </c>
      <c r="C1533" t="s">
        <v>680</v>
      </c>
      <c r="D1533" s="7">
        <v>50</v>
      </c>
      <c r="E1533">
        <v>2020</v>
      </c>
      <c r="F1533">
        <v>2020</v>
      </c>
      <c r="G1533" t="str">
        <f>IFERROR(INDEX(Formulations[Formulation],MATCH($C1533,Formulations[Product Code],0)),"")</f>
        <v>Crystal</v>
      </c>
    </row>
    <row r="1534" spans="1:7" x14ac:dyDescent="0.3">
      <c r="A1534" t="s">
        <v>2112</v>
      </c>
      <c r="B1534" t="s">
        <v>24</v>
      </c>
      <c r="C1534" t="s">
        <v>25</v>
      </c>
      <c r="D1534" s="7">
        <v>50</v>
      </c>
      <c r="E1534">
        <v>2017</v>
      </c>
      <c r="F1534">
        <v>2017</v>
      </c>
      <c r="G1534" t="str">
        <f>IFERROR(INDEX(Formulations[Formulation],MATCH($C1534,Formulations[Product Code],0)),"")</f>
        <v>citropine 85%/Pinefresh 15%</v>
      </c>
    </row>
    <row r="1535" spans="1:7" x14ac:dyDescent="0.3">
      <c r="A1535" t="s">
        <v>2118</v>
      </c>
      <c r="B1535" t="s">
        <v>86</v>
      </c>
      <c r="C1535" t="s">
        <v>87</v>
      </c>
      <c r="D1535" s="7">
        <v>50</v>
      </c>
      <c r="E1535">
        <v>2020</v>
      </c>
      <c r="F1535">
        <v>2020</v>
      </c>
      <c r="G1535" t="str">
        <f>IFERROR(INDEX(Formulations[Formulation],MATCH($C1535,Formulations[Product Code],0)),"")</f>
        <v>Pure</v>
      </c>
    </row>
    <row r="1536" spans="1:7" x14ac:dyDescent="0.3">
      <c r="A1536" t="s">
        <v>2123</v>
      </c>
      <c r="B1536" t="s">
        <v>931</v>
      </c>
      <c r="C1536" t="s">
        <v>160</v>
      </c>
      <c r="D1536" s="7">
        <v>50</v>
      </c>
      <c r="E1536">
        <v>2018</v>
      </c>
      <c r="F1536">
        <v>2019</v>
      </c>
      <c r="G1536" t="str">
        <f>IFERROR(INDEX(Formulations[Formulation],MATCH($C1536,Formulations[Product Code],0)),"")</f>
        <v>Silver</v>
      </c>
    </row>
    <row r="1537" spans="1:7" x14ac:dyDescent="0.3">
      <c r="A1537" t="s">
        <v>2131</v>
      </c>
      <c r="B1537" t="s">
        <v>823</v>
      </c>
      <c r="C1537" t="s">
        <v>52</v>
      </c>
      <c r="D1537" s="7">
        <v>50</v>
      </c>
      <c r="E1537">
        <v>2014</v>
      </c>
      <c r="F1537">
        <v>2014</v>
      </c>
      <c r="G1537" t="str">
        <f>IFERROR(INDEX(Formulations[Formulation],MATCH($C1537,Formulations[Product Code],0)),"")</f>
        <v>Silver</v>
      </c>
    </row>
    <row r="1538" spans="1:7" x14ac:dyDescent="0.3">
      <c r="A1538" t="s">
        <v>2131</v>
      </c>
      <c r="B1538" t="s">
        <v>614</v>
      </c>
      <c r="C1538" t="s">
        <v>141</v>
      </c>
      <c r="D1538" s="7">
        <v>50</v>
      </c>
      <c r="E1538">
        <v>2012</v>
      </c>
      <c r="F1538">
        <v>2012</v>
      </c>
      <c r="G1538" t="str">
        <f>IFERROR(INDEX(Formulations[Formulation],MATCH($C1538,Formulations[Product Code],0)),"")</f>
        <v/>
      </c>
    </row>
    <row r="1539" spans="1:7" x14ac:dyDescent="0.3">
      <c r="A1539" t="s">
        <v>2131</v>
      </c>
      <c r="B1539" t="s">
        <v>263</v>
      </c>
      <c r="C1539" t="s">
        <v>264</v>
      </c>
      <c r="D1539" s="7">
        <v>50</v>
      </c>
      <c r="E1539">
        <v>2019</v>
      </c>
      <c r="F1539">
        <v>2021</v>
      </c>
      <c r="G1539" t="str">
        <f>IFERROR(INDEX(Formulations[Formulation],MATCH($C1539,Formulations[Product Code],0)),"")</f>
        <v>Silver</v>
      </c>
    </row>
    <row r="1540" spans="1:7" x14ac:dyDescent="0.3">
      <c r="A1540" t="s">
        <v>2131</v>
      </c>
      <c r="B1540" t="s">
        <v>2156</v>
      </c>
      <c r="C1540" t="s">
        <v>515</v>
      </c>
      <c r="D1540" s="7">
        <v>50</v>
      </c>
      <c r="E1540">
        <v>2015</v>
      </c>
      <c r="F1540">
        <v>2018</v>
      </c>
      <c r="G1540" t="str">
        <f>IFERROR(INDEX(Formulations[Formulation],MATCH($C1540,Formulations[Product Code],0)),"")</f>
        <v>Crystal</v>
      </c>
    </row>
    <row r="1541" spans="1:7" x14ac:dyDescent="0.3">
      <c r="A1541" t="s">
        <v>2159</v>
      </c>
      <c r="B1541" t="s">
        <v>671</v>
      </c>
      <c r="C1541" t="s">
        <v>672</v>
      </c>
      <c r="D1541" s="7">
        <v>50</v>
      </c>
      <c r="E1541">
        <v>2021</v>
      </c>
      <c r="F1541">
        <v>2021</v>
      </c>
      <c r="G1541" t="str">
        <f>IFERROR(INDEX(Formulations[Formulation],MATCH($C1541,Formulations[Product Code],0)),"")</f>
        <v>Pure</v>
      </c>
    </row>
    <row r="1542" spans="1:7" x14ac:dyDescent="0.3">
      <c r="A1542" t="s">
        <v>2160</v>
      </c>
      <c r="B1542" t="s">
        <v>26</v>
      </c>
      <c r="C1542" t="s">
        <v>27</v>
      </c>
      <c r="D1542" s="7">
        <v>50</v>
      </c>
      <c r="E1542">
        <v>2015</v>
      </c>
      <c r="F1542">
        <v>2015</v>
      </c>
      <c r="G1542" t="str">
        <f>IFERROR(INDEX(Formulations[Formulation],MATCH($C1542,Formulations[Product Code],0)),"")</f>
        <v>FLOURAMAX A270578/ P782894</v>
      </c>
    </row>
    <row r="1543" spans="1:7" x14ac:dyDescent="0.3">
      <c r="A1543" t="s">
        <v>2167</v>
      </c>
      <c r="B1543" t="s">
        <v>72</v>
      </c>
      <c r="C1543" t="s">
        <v>73</v>
      </c>
      <c r="D1543" s="7">
        <v>50</v>
      </c>
      <c r="E1543">
        <v>2013</v>
      </c>
      <c r="F1543">
        <v>2014</v>
      </c>
      <c r="G1543" t="str">
        <f>IFERROR(INDEX(Formulations[Formulation],MATCH($C1543,Formulations[Product Code],0)),"")</f>
        <v>Silver</v>
      </c>
    </row>
    <row r="1544" spans="1:7" x14ac:dyDescent="0.3">
      <c r="A1544" t="s">
        <v>2175</v>
      </c>
      <c r="B1544" t="s">
        <v>240</v>
      </c>
      <c r="D1544" s="7">
        <v>50</v>
      </c>
      <c r="E1544">
        <v>2015</v>
      </c>
      <c r="F1544">
        <v>2015</v>
      </c>
      <c r="G1544" t="str">
        <f>IFERROR(INDEX(Formulations[Formulation],MATCH($C1544,Formulations[Product Code],0)),"")</f>
        <v/>
      </c>
    </row>
    <row r="1545" spans="1:7" x14ac:dyDescent="0.3">
      <c r="A1545" t="s">
        <v>2199</v>
      </c>
      <c r="B1545" t="s">
        <v>438</v>
      </c>
      <c r="C1545" t="s">
        <v>439</v>
      </c>
      <c r="D1545" s="7">
        <v>50</v>
      </c>
      <c r="E1545">
        <v>2017</v>
      </c>
      <c r="F1545">
        <v>2017</v>
      </c>
      <c r="G1545" t="str">
        <f>IFERROR(INDEX(Formulations[Formulation],MATCH($C1545,Formulations[Product Code],0)),"")</f>
        <v>Pure</v>
      </c>
    </row>
    <row r="1546" spans="1:7" x14ac:dyDescent="0.3">
      <c r="A1546" t="s">
        <v>2200</v>
      </c>
      <c r="B1546" t="s">
        <v>1412</v>
      </c>
      <c r="D1546" s="7">
        <v>50</v>
      </c>
      <c r="E1546">
        <v>2020</v>
      </c>
      <c r="F1546">
        <v>2021</v>
      </c>
      <c r="G1546" t="str">
        <f>IFERROR(INDEX(Formulations[Formulation],MATCH($C1546,Formulations[Product Code],0)),"")</f>
        <v/>
      </c>
    </row>
    <row r="1547" spans="1:7" x14ac:dyDescent="0.3">
      <c r="A1547" t="s">
        <v>2200</v>
      </c>
      <c r="B1547" t="s">
        <v>253</v>
      </c>
      <c r="C1547" t="s">
        <v>254</v>
      </c>
      <c r="D1547" s="7">
        <v>50</v>
      </c>
      <c r="E1547">
        <v>2020</v>
      </c>
      <c r="F1547">
        <v>2020</v>
      </c>
      <c r="G1547" t="str">
        <f>IFERROR(INDEX(Formulations[Formulation],MATCH($C1547,Formulations[Product Code],0)),"")</f>
        <v>6kg oil and 19kg DPG</v>
      </c>
    </row>
    <row r="1548" spans="1:7" x14ac:dyDescent="0.3">
      <c r="A1548" t="s">
        <v>2200</v>
      </c>
      <c r="B1548" t="s">
        <v>383</v>
      </c>
      <c r="C1548" t="s">
        <v>385</v>
      </c>
      <c r="D1548" s="7">
        <v>50</v>
      </c>
      <c r="E1548">
        <v>2020</v>
      </c>
      <c r="F1548">
        <v>2021</v>
      </c>
      <c r="G1548" t="str">
        <f>IFERROR(INDEX(Formulations[Formulation],MATCH($C1548,Formulations[Product Code],0)),"")</f>
        <v>Silver</v>
      </c>
    </row>
    <row r="1549" spans="1:7" x14ac:dyDescent="0.3">
      <c r="A1549" t="s">
        <v>2209</v>
      </c>
      <c r="B1549" t="s">
        <v>532</v>
      </c>
      <c r="C1549" t="s">
        <v>452</v>
      </c>
      <c r="D1549" s="7">
        <v>50</v>
      </c>
      <c r="E1549">
        <v>2019</v>
      </c>
      <c r="F1549">
        <v>2019</v>
      </c>
      <c r="G1549" t="str">
        <f>IFERROR(INDEX(Formulations[Formulation],MATCH($C1549,Formulations[Product Code],0)),"")</f>
        <v>Crystal</v>
      </c>
    </row>
    <row r="1550" spans="1:7" x14ac:dyDescent="0.3">
      <c r="A1550" t="s">
        <v>2209</v>
      </c>
      <c r="B1550" t="s">
        <v>602</v>
      </c>
      <c r="C1550" t="s">
        <v>603</v>
      </c>
      <c r="D1550" s="7">
        <v>50</v>
      </c>
      <c r="E1550">
        <v>2020</v>
      </c>
      <c r="F1550">
        <v>2020</v>
      </c>
      <c r="G1550" t="str">
        <f>IFERROR(INDEX(Formulations[Formulation],MATCH($C1550,Formulations[Product Code],0)),"")</f>
        <v>Crystal</v>
      </c>
    </row>
    <row r="1551" spans="1:7" x14ac:dyDescent="0.3">
      <c r="A1551" t="s">
        <v>2209</v>
      </c>
      <c r="B1551" t="s">
        <v>334</v>
      </c>
      <c r="C1551" t="s">
        <v>335</v>
      </c>
      <c r="D1551" s="7">
        <v>50</v>
      </c>
      <c r="E1551">
        <v>2019</v>
      </c>
      <c r="F1551">
        <v>2019</v>
      </c>
      <c r="G1551" t="str">
        <f>IFERROR(INDEX(Formulations[Formulation],MATCH($C1551,Formulations[Product Code],0)),"")</f>
        <v>Pure</v>
      </c>
    </row>
    <row r="1552" spans="1:7" x14ac:dyDescent="0.3">
      <c r="A1552" t="s">
        <v>2209</v>
      </c>
      <c r="B1552" t="s">
        <v>2215</v>
      </c>
      <c r="D1552" s="7">
        <v>50</v>
      </c>
      <c r="E1552">
        <v>2021</v>
      </c>
      <c r="F1552">
        <v>2021</v>
      </c>
      <c r="G1552" t="str">
        <f>IFERROR(INDEX(Formulations[Formulation],MATCH($C1552,Formulations[Product Code],0)),"")</f>
        <v/>
      </c>
    </row>
    <row r="1553" spans="1:7" x14ac:dyDescent="0.3">
      <c r="A1553" t="s">
        <v>2220</v>
      </c>
      <c r="B1553" t="s">
        <v>583</v>
      </c>
      <c r="C1553" t="s">
        <v>249</v>
      </c>
      <c r="D1553" s="7">
        <v>50</v>
      </c>
      <c r="E1553">
        <v>2018</v>
      </c>
      <c r="F1553">
        <v>2019</v>
      </c>
      <c r="G1553" t="str">
        <f>IFERROR(INDEX(Formulations[Formulation],MATCH($C1553,Formulations[Product Code],0)),"")</f>
        <v>WS</v>
      </c>
    </row>
    <row r="1554" spans="1:7" x14ac:dyDescent="0.3">
      <c r="A1554" t="s">
        <v>2220</v>
      </c>
      <c r="B1554" t="s">
        <v>196</v>
      </c>
      <c r="C1554" t="s">
        <v>197</v>
      </c>
      <c r="D1554" s="7">
        <v>50</v>
      </c>
      <c r="E1554">
        <v>2014</v>
      </c>
      <c r="F1554">
        <v>2018</v>
      </c>
      <c r="G1554" t="str">
        <f>IFERROR(INDEX(Formulations[Formulation],MATCH($C1554,Formulations[Product Code],0)),"")</f>
        <v/>
      </c>
    </row>
    <row r="1555" spans="1:7" x14ac:dyDescent="0.3">
      <c r="A1555" t="s">
        <v>2220</v>
      </c>
      <c r="B1555" t="s">
        <v>600</v>
      </c>
      <c r="C1555" t="s">
        <v>75</v>
      </c>
      <c r="D1555" s="7">
        <v>50</v>
      </c>
      <c r="E1555">
        <v>2020</v>
      </c>
      <c r="F1555">
        <v>2020</v>
      </c>
      <c r="G1555" t="str">
        <f>IFERROR(INDEX(Formulations[Formulation],MATCH($C1555,Formulations[Product Code],0)),"")</f>
        <v>Crystal</v>
      </c>
    </row>
    <row r="1556" spans="1:7" x14ac:dyDescent="0.3">
      <c r="A1556" t="s">
        <v>2231</v>
      </c>
      <c r="B1556" t="s">
        <v>446</v>
      </c>
      <c r="C1556" t="s">
        <v>447</v>
      </c>
      <c r="D1556" s="7">
        <v>50</v>
      </c>
      <c r="E1556">
        <v>2020</v>
      </c>
      <c r="F1556">
        <v>2021</v>
      </c>
      <c r="G1556" t="str">
        <f>IFERROR(INDEX(Formulations[Formulation],MATCH($C1556,Formulations[Product Code],0)),"")</f>
        <v>30% Key Oil</v>
      </c>
    </row>
    <row r="1557" spans="1:7" x14ac:dyDescent="0.3">
      <c r="A1557" t="s">
        <v>2233</v>
      </c>
      <c r="B1557" t="s">
        <v>151</v>
      </c>
      <c r="C1557" t="s">
        <v>152</v>
      </c>
      <c r="D1557" s="7">
        <v>50</v>
      </c>
      <c r="E1557">
        <v>2020</v>
      </c>
      <c r="F1557">
        <v>2021</v>
      </c>
      <c r="G1557" t="str">
        <f>IFERROR(INDEX(Formulations[Formulation],MATCH($C1557,Formulations[Product Code],0)),"")</f>
        <v>Crystal</v>
      </c>
    </row>
    <row r="1558" spans="1:7" x14ac:dyDescent="0.3">
      <c r="A1558" t="s">
        <v>2237</v>
      </c>
      <c r="B1558" t="s">
        <v>48</v>
      </c>
      <c r="C1558" t="s">
        <v>47</v>
      </c>
      <c r="D1558" s="7">
        <v>50</v>
      </c>
      <c r="E1558">
        <v>2016</v>
      </c>
      <c r="F1558">
        <v>2016</v>
      </c>
      <c r="G1558" t="str">
        <f>IFERROR(INDEX(Formulations[Formulation],MATCH($C1558,Formulations[Product Code],0)),"")</f>
        <v/>
      </c>
    </row>
    <row r="1559" spans="1:7" x14ac:dyDescent="0.3">
      <c r="A1559" t="s">
        <v>2253</v>
      </c>
      <c r="B1559" t="s">
        <v>41</v>
      </c>
      <c r="C1559" t="s">
        <v>530</v>
      </c>
      <c r="D1559" s="7">
        <v>50</v>
      </c>
      <c r="E1559">
        <v>2018</v>
      </c>
      <c r="F1559">
        <v>2018</v>
      </c>
      <c r="G1559" t="str">
        <f>IFERROR(INDEX(Formulations[Formulation],MATCH($C1559,Formulations[Product Code],0)),"")</f>
        <v/>
      </c>
    </row>
    <row r="1560" spans="1:7" x14ac:dyDescent="0.3">
      <c r="A1560" t="s">
        <v>2287</v>
      </c>
      <c r="B1560" t="s">
        <v>2288</v>
      </c>
      <c r="D1560" s="7">
        <v>50</v>
      </c>
      <c r="E1560">
        <v>2013</v>
      </c>
      <c r="F1560">
        <v>2013</v>
      </c>
      <c r="G1560" t="str">
        <f>IFERROR(INDEX(Formulations[Formulation],MATCH($C1560,Formulations[Product Code],0)),"")</f>
        <v/>
      </c>
    </row>
    <row r="1561" spans="1:7" x14ac:dyDescent="0.3">
      <c r="A1561" t="s">
        <v>2287</v>
      </c>
      <c r="B1561" t="s">
        <v>764</v>
      </c>
      <c r="D1561" s="7">
        <v>50</v>
      </c>
      <c r="E1561">
        <v>2013</v>
      </c>
      <c r="F1561">
        <v>2013</v>
      </c>
      <c r="G1561" t="str">
        <f>IFERROR(INDEX(Formulations[Formulation],MATCH($C1561,Formulations[Product Code],0)),"")</f>
        <v/>
      </c>
    </row>
    <row r="1562" spans="1:7" x14ac:dyDescent="0.3">
      <c r="A1562" t="s">
        <v>2290</v>
      </c>
      <c r="B1562" t="s">
        <v>26</v>
      </c>
      <c r="C1562" t="s">
        <v>27</v>
      </c>
      <c r="D1562" s="7">
        <v>50</v>
      </c>
      <c r="E1562">
        <v>2016</v>
      </c>
      <c r="F1562">
        <v>2016</v>
      </c>
      <c r="G1562" t="str">
        <f>IFERROR(INDEX(Formulations[Formulation],MATCH($C1562,Formulations[Product Code],0)),"")</f>
        <v>FLOURAMAX A270578/ P782894</v>
      </c>
    </row>
    <row r="1563" spans="1:7" x14ac:dyDescent="0.3">
      <c r="A1563" t="s">
        <v>2290</v>
      </c>
      <c r="B1563" t="s">
        <v>2293</v>
      </c>
      <c r="C1563" t="s">
        <v>943</v>
      </c>
      <c r="D1563" s="7">
        <v>50</v>
      </c>
      <c r="E1563">
        <v>2010</v>
      </c>
      <c r="F1563">
        <v>2010</v>
      </c>
      <c r="G1563" t="str">
        <f>IFERROR(INDEX(Formulations[Formulation],MATCH($C1563,Formulations[Product Code],0)),"")</f>
        <v>Red Grape A299992 (Red Grape 50%/Rasberry 50%)</v>
      </c>
    </row>
    <row r="1564" spans="1:7" x14ac:dyDescent="0.3">
      <c r="A1564" t="s">
        <v>2295</v>
      </c>
      <c r="B1564" t="s">
        <v>39</v>
      </c>
      <c r="D1564" s="7">
        <v>50</v>
      </c>
      <c r="E1564">
        <v>2020</v>
      </c>
      <c r="F1564">
        <v>2020</v>
      </c>
      <c r="G1564" t="str">
        <f>IFERROR(INDEX(Formulations[Formulation],MATCH($C1564,Formulations[Product Code],0)),"")</f>
        <v/>
      </c>
    </row>
    <row r="1565" spans="1:7" x14ac:dyDescent="0.3">
      <c r="A1565" t="s">
        <v>2309</v>
      </c>
      <c r="B1565" t="s">
        <v>761</v>
      </c>
      <c r="D1565" s="7">
        <v>50</v>
      </c>
      <c r="E1565">
        <v>2020</v>
      </c>
      <c r="F1565">
        <v>2021</v>
      </c>
      <c r="G1565" t="str">
        <f>IFERROR(INDEX(Formulations[Formulation],MATCH($C1565,Formulations[Product Code],0)),"")</f>
        <v/>
      </c>
    </row>
    <row r="1566" spans="1:7" x14ac:dyDescent="0.3">
      <c r="A1566" t="s">
        <v>2310</v>
      </c>
      <c r="B1566" t="s">
        <v>12</v>
      </c>
      <c r="C1566" t="s">
        <v>13</v>
      </c>
      <c r="D1566" s="7">
        <v>50</v>
      </c>
      <c r="E1566">
        <v>2021</v>
      </c>
      <c r="F1566">
        <v>2021</v>
      </c>
      <c r="G1566" t="str">
        <f>IFERROR(INDEX(Formulations[Formulation],MATCH($C1566,Formulations[Product Code],0)),"")</f>
        <v>Crystal</v>
      </c>
    </row>
    <row r="1567" spans="1:7" x14ac:dyDescent="0.3">
      <c r="A1567" t="s">
        <v>2337</v>
      </c>
      <c r="B1567" t="s">
        <v>686</v>
      </c>
      <c r="C1567" t="s">
        <v>687</v>
      </c>
      <c r="D1567" s="7">
        <v>50</v>
      </c>
      <c r="E1567">
        <v>2020</v>
      </c>
      <c r="F1567">
        <v>2020</v>
      </c>
      <c r="G1567" t="str">
        <f>IFERROR(INDEX(Formulations[Formulation],MATCH($C1567,Formulations[Product Code],0)),"")</f>
        <v>Pure</v>
      </c>
    </row>
    <row r="1568" spans="1:7" x14ac:dyDescent="0.3">
      <c r="A1568" t="s">
        <v>2337</v>
      </c>
      <c r="B1568" t="s">
        <v>2344</v>
      </c>
      <c r="D1568" s="7">
        <v>50</v>
      </c>
      <c r="E1568">
        <v>2017</v>
      </c>
      <c r="F1568">
        <v>2017</v>
      </c>
      <c r="G1568" t="str">
        <f>IFERROR(INDEX(Formulations[Formulation],MATCH($C1568,Formulations[Product Code],0)),"")</f>
        <v/>
      </c>
    </row>
    <row r="1569" spans="1:7" x14ac:dyDescent="0.3">
      <c r="A1569" t="s">
        <v>2337</v>
      </c>
      <c r="B1569" t="s">
        <v>314</v>
      </c>
      <c r="C1569" t="s">
        <v>315</v>
      </c>
      <c r="D1569" s="7">
        <v>50</v>
      </c>
      <c r="E1569">
        <v>2014</v>
      </c>
      <c r="F1569">
        <v>2014</v>
      </c>
      <c r="G1569" t="str">
        <f>IFERROR(INDEX(Formulations[Formulation],MATCH($C1569,Formulations[Product Code],0)),"")</f>
        <v/>
      </c>
    </row>
    <row r="1570" spans="1:7" x14ac:dyDescent="0.3">
      <c r="A1570" t="s">
        <v>2345</v>
      </c>
      <c r="B1570" t="s">
        <v>696</v>
      </c>
      <c r="C1570" t="s">
        <v>697</v>
      </c>
      <c r="D1570" s="7">
        <v>50</v>
      </c>
      <c r="E1570">
        <v>2017</v>
      </c>
      <c r="F1570">
        <v>2017</v>
      </c>
      <c r="G1570" t="str">
        <f>IFERROR(INDEX(Formulations[Formulation],MATCH($C1570,Formulations[Product Code],0)),"")</f>
        <v/>
      </c>
    </row>
    <row r="1571" spans="1:7" x14ac:dyDescent="0.3">
      <c r="A1571" t="s">
        <v>2346</v>
      </c>
      <c r="B1571" t="s">
        <v>351</v>
      </c>
      <c r="C1571" t="s">
        <v>352</v>
      </c>
      <c r="D1571" s="7">
        <v>50</v>
      </c>
      <c r="E1571">
        <v>2020</v>
      </c>
      <c r="F1571">
        <v>2021</v>
      </c>
      <c r="G1571" t="str">
        <f>IFERROR(INDEX(Formulations[Formulation],MATCH($C1571,Formulations[Product Code],0)),"")</f>
        <v>Pure</v>
      </c>
    </row>
    <row r="1572" spans="1:7" x14ac:dyDescent="0.3">
      <c r="A1572" t="s">
        <v>2354</v>
      </c>
      <c r="B1572" t="s">
        <v>19</v>
      </c>
      <c r="C1572" t="s">
        <v>20</v>
      </c>
      <c r="D1572" s="7">
        <v>50</v>
      </c>
      <c r="E1572">
        <v>2018</v>
      </c>
      <c r="F1572">
        <v>2018</v>
      </c>
      <c r="G1572" t="str">
        <f>IFERROR(INDEX(Formulations[Formulation],MATCH($C1572,Formulations[Product Code],0)),"")</f>
        <v>80 % Oil AND 20 % DPG</v>
      </c>
    </row>
    <row r="1573" spans="1:7" x14ac:dyDescent="0.3">
      <c r="A1573" t="s">
        <v>2368</v>
      </c>
      <c r="B1573" t="s">
        <v>1687</v>
      </c>
      <c r="C1573" t="s">
        <v>1688</v>
      </c>
      <c r="D1573" s="7">
        <v>50</v>
      </c>
      <c r="E1573">
        <v>2020</v>
      </c>
      <c r="F1573">
        <v>2020</v>
      </c>
      <c r="G1573" t="str">
        <f>IFERROR(INDEX(Formulations[Formulation],MATCH($C1573,Formulations[Product Code],0)),"")</f>
        <v>Floral 60% &amp; Gardenia 40%</v>
      </c>
    </row>
    <row r="1574" spans="1:7" x14ac:dyDescent="0.3">
      <c r="A1574" t="s">
        <v>2368</v>
      </c>
      <c r="B1574" t="s">
        <v>12</v>
      </c>
      <c r="C1574" t="s">
        <v>13</v>
      </c>
      <c r="D1574" s="7">
        <v>50</v>
      </c>
      <c r="E1574">
        <v>2019</v>
      </c>
      <c r="F1574">
        <v>2020</v>
      </c>
      <c r="G1574" t="str">
        <f>IFERROR(INDEX(Formulations[Formulation],MATCH($C1574,Formulations[Product Code],0)),"")</f>
        <v>Crystal</v>
      </c>
    </row>
    <row r="1575" spans="1:7" x14ac:dyDescent="0.3">
      <c r="A1575" t="s">
        <v>2370</v>
      </c>
      <c r="B1575" t="s">
        <v>30</v>
      </c>
      <c r="C1575" t="s">
        <v>31</v>
      </c>
      <c r="D1575" s="7">
        <v>50</v>
      </c>
      <c r="E1575">
        <v>2016</v>
      </c>
      <c r="F1575">
        <v>2018</v>
      </c>
      <c r="G1575" t="str">
        <f>IFERROR(INDEX(Formulations[Formulation],MATCH($C1575,Formulations[Product Code],0)),"")</f>
        <v>Pure</v>
      </c>
    </row>
    <row r="1576" spans="1:7" x14ac:dyDescent="0.3">
      <c r="A1576" t="s">
        <v>2380</v>
      </c>
      <c r="B1576" t="s">
        <v>287</v>
      </c>
      <c r="C1576" t="s">
        <v>186</v>
      </c>
      <c r="D1576" s="7">
        <v>50</v>
      </c>
      <c r="E1576">
        <v>2011</v>
      </c>
      <c r="F1576">
        <v>2013</v>
      </c>
      <c r="G1576" t="str">
        <f>IFERROR(INDEX(Formulations[Formulation],MATCH($C1576,Formulations[Product Code],0)),"")</f>
        <v/>
      </c>
    </row>
    <row r="1577" spans="1:7" x14ac:dyDescent="0.3">
      <c r="A1577" t="s">
        <v>2380</v>
      </c>
      <c r="B1577" t="s">
        <v>560</v>
      </c>
      <c r="C1577" t="s">
        <v>561</v>
      </c>
      <c r="D1577" s="7">
        <v>50</v>
      </c>
      <c r="E1577">
        <v>2010</v>
      </c>
      <c r="F1577">
        <v>2011</v>
      </c>
      <c r="G1577" t="str">
        <f>IFERROR(INDEX(Formulations[Formulation],MATCH($C1577,Formulations[Product Code],0)),"")</f>
        <v/>
      </c>
    </row>
    <row r="1578" spans="1:7" x14ac:dyDescent="0.3">
      <c r="A1578" t="s">
        <v>2401</v>
      </c>
      <c r="B1578" t="s">
        <v>218</v>
      </c>
      <c r="C1578" t="s">
        <v>212</v>
      </c>
      <c r="D1578" s="7">
        <v>50</v>
      </c>
      <c r="E1578">
        <v>2010</v>
      </c>
      <c r="F1578">
        <v>2012</v>
      </c>
      <c r="G1578" t="str">
        <f>IFERROR(INDEX(Formulations[Formulation],MATCH($C1578,Formulations[Product Code],0)),"")</f>
        <v>Pure</v>
      </c>
    </row>
    <row r="1579" spans="1:7" x14ac:dyDescent="0.3">
      <c r="A1579" t="s">
        <v>2401</v>
      </c>
      <c r="B1579" t="s">
        <v>1928</v>
      </c>
      <c r="C1579" t="s">
        <v>89</v>
      </c>
      <c r="D1579" s="7">
        <v>50</v>
      </c>
      <c r="E1579">
        <v>2017</v>
      </c>
      <c r="F1579">
        <v>2018</v>
      </c>
      <c r="G1579" t="str">
        <f>IFERROR(INDEX(Formulations[Formulation],MATCH($C1579,Formulations[Product Code],0)),"")</f>
        <v>Pure</v>
      </c>
    </row>
    <row r="1580" spans="1:7" x14ac:dyDescent="0.3">
      <c r="A1580" t="s">
        <v>2401</v>
      </c>
      <c r="B1580" t="s">
        <v>2407</v>
      </c>
      <c r="D1580" s="7">
        <v>50</v>
      </c>
      <c r="E1580">
        <v>2014</v>
      </c>
      <c r="F1580">
        <v>2015</v>
      </c>
      <c r="G1580" t="str">
        <f>IFERROR(INDEX(Formulations[Formulation],MATCH($C1580,Formulations[Product Code],0)),"")</f>
        <v/>
      </c>
    </row>
    <row r="1581" spans="1:7" x14ac:dyDescent="0.3">
      <c r="A1581" t="s">
        <v>2401</v>
      </c>
      <c r="B1581" t="s">
        <v>799</v>
      </c>
      <c r="C1581" t="s">
        <v>800</v>
      </c>
      <c r="D1581" s="7">
        <v>50</v>
      </c>
      <c r="E1581">
        <v>2009</v>
      </c>
      <c r="F1581">
        <v>2009</v>
      </c>
      <c r="G1581" t="str">
        <f>IFERROR(INDEX(Formulations[Formulation],MATCH($C1581,Formulations[Product Code],0)),"")</f>
        <v/>
      </c>
    </row>
    <row r="1582" spans="1:7" x14ac:dyDescent="0.3">
      <c r="A1582" t="s">
        <v>2412</v>
      </c>
      <c r="B1582" t="s">
        <v>907</v>
      </c>
      <c r="D1582" s="7">
        <v>50</v>
      </c>
      <c r="E1582">
        <v>2014</v>
      </c>
      <c r="F1582">
        <v>2014</v>
      </c>
      <c r="G1582" t="str">
        <f>IFERROR(INDEX(Formulations[Formulation],MATCH($C1582,Formulations[Product Code],0)),"")</f>
        <v/>
      </c>
    </row>
    <row r="1583" spans="1:7" x14ac:dyDescent="0.3">
      <c r="A1583" t="s">
        <v>2414</v>
      </c>
      <c r="B1583" t="s">
        <v>184</v>
      </c>
      <c r="C1583" t="s">
        <v>185</v>
      </c>
      <c r="D1583" s="7">
        <v>50</v>
      </c>
      <c r="E1583">
        <v>2015</v>
      </c>
      <c r="F1583">
        <v>2016</v>
      </c>
      <c r="G1583" t="str">
        <f>IFERROR(INDEX(Formulations[Formulation],MATCH($C1583,Formulations[Product Code],0)),"")</f>
        <v/>
      </c>
    </row>
    <row r="1584" spans="1:7" x14ac:dyDescent="0.3">
      <c r="A1584" t="s">
        <v>2428</v>
      </c>
      <c r="B1584" t="s">
        <v>2432</v>
      </c>
      <c r="C1584" t="s">
        <v>2433</v>
      </c>
      <c r="D1584" s="7">
        <v>50</v>
      </c>
      <c r="E1584">
        <v>2015</v>
      </c>
      <c r="F1584">
        <v>2017</v>
      </c>
      <c r="G1584" t="str">
        <f>IFERROR(INDEX(Formulations[Formulation],MATCH($C1584,Formulations[Product Code],0)),"")</f>
        <v/>
      </c>
    </row>
    <row r="1585" spans="1:7" x14ac:dyDescent="0.3">
      <c r="A1585" t="s">
        <v>2436</v>
      </c>
      <c r="B1585" t="s">
        <v>1648</v>
      </c>
      <c r="C1585" t="s">
        <v>1826</v>
      </c>
      <c r="D1585" s="7">
        <v>50</v>
      </c>
      <c r="E1585">
        <v>2018</v>
      </c>
      <c r="F1585">
        <v>2018</v>
      </c>
      <c r="G1585" t="str">
        <f>IFERROR(INDEX(Formulations[Formulation],MATCH($C1585,Formulations[Product Code],0)),"")</f>
        <v/>
      </c>
    </row>
    <row r="1586" spans="1:7" x14ac:dyDescent="0.3">
      <c r="A1586" t="s">
        <v>2436</v>
      </c>
      <c r="B1586" t="s">
        <v>19</v>
      </c>
      <c r="C1586" t="s">
        <v>699</v>
      </c>
      <c r="D1586" s="7">
        <v>50</v>
      </c>
      <c r="E1586">
        <v>2018</v>
      </c>
      <c r="F1586">
        <v>2018</v>
      </c>
      <c r="G1586" t="str">
        <f>IFERROR(INDEX(Formulations[Formulation],MATCH($C1586,Formulations[Product Code],0)),"")</f>
        <v/>
      </c>
    </row>
    <row r="1587" spans="1:7" x14ac:dyDescent="0.3">
      <c r="A1587" t="s">
        <v>2437</v>
      </c>
      <c r="B1587" t="s">
        <v>68</v>
      </c>
      <c r="C1587" t="s">
        <v>69</v>
      </c>
      <c r="D1587" s="7">
        <v>50</v>
      </c>
      <c r="E1587">
        <v>2016</v>
      </c>
      <c r="F1587">
        <v>2017</v>
      </c>
      <c r="G1587" t="str">
        <f>IFERROR(INDEX(Formulations[Formulation],MATCH($C1587,Formulations[Product Code],0)),"")</f>
        <v>Silver</v>
      </c>
    </row>
    <row r="1588" spans="1:7" x14ac:dyDescent="0.3">
      <c r="A1588" t="s">
        <v>2438</v>
      </c>
      <c r="B1588" t="s">
        <v>68</v>
      </c>
      <c r="C1588" t="s">
        <v>69</v>
      </c>
      <c r="D1588" s="7">
        <v>50</v>
      </c>
      <c r="E1588">
        <v>2019</v>
      </c>
      <c r="F1588">
        <v>2019</v>
      </c>
      <c r="G1588" t="str">
        <f>IFERROR(INDEX(Formulations[Formulation],MATCH($C1588,Formulations[Product Code],0)),"")</f>
        <v>Silver</v>
      </c>
    </row>
    <row r="1589" spans="1:7" x14ac:dyDescent="0.3">
      <c r="A1589" t="s">
        <v>2438</v>
      </c>
      <c r="B1589" t="s">
        <v>518</v>
      </c>
      <c r="C1589" t="s">
        <v>519</v>
      </c>
      <c r="D1589" s="7">
        <v>50</v>
      </c>
      <c r="E1589">
        <v>2018</v>
      </c>
      <c r="F1589">
        <v>2019</v>
      </c>
      <c r="G1589" t="str">
        <f>IFERROR(INDEX(Formulations[Formulation],MATCH($C1589,Formulations[Product Code],0)),"")</f>
        <v>Pure</v>
      </c>
    </row>
    <row r="1590" spans="1:7" x14ac:dyDescent="0.3">
      <c r="A1590" t="s">
        <v>2455</v>
      </c>
      <c r="B1590" t="s">
        <v>686</v>
      </c>
      <c r="C1590" t="s">
        <v>866</v>
      </c>
      <c r="D1590" s="7">
        <v>50</v>
      </c>
      <c r="E1590">
        <v>2019</v>
      </c>
      <c r="F1590">
        <v>2019</v>
      </c>
      <c r="G1590" t="str">
        <f>IFERROR(INDEX(Formulations[Formulation],MATCH($C1590,Formulations[Product Code],0)),"")</f>
        <v/>
      </c>
    </row>
    <row r="1591" spans="1:7" x14ac:dyDescent="0.3">
      <c r="A1591" t="s">
        <v>2455</v>
      </c>
      <c r="B1591" t="s">
        <v>41</v>
      </c>
      <c r="C1591" t="s">
        <v>908</v>
      </c>
      <c r="D1591" s="7">
        <v>50</v>
      </c>
      <c r="E1591">
        <v>2012</v>
      </c>
      <c r="F1591">
        <v>2012</v>
      </c>
      <c r="G1591" t="str">
        <f>IFERROR(INDEX(Formulations[Formulation],MATCH($C1591,Formulations[Product Code],0)),"")</f>
        <v/>
      </c>
    </row>
    <row r="1592" spans="1:7" x14ac:dyDescent="0.3">
      <c r="A1592" t="s">
        <v>2455</v>
      </c>
      <c r="B1592" t="s">
        <v>653</v>
      </c>
      <c r="C1592" t="s">
        <v>2023</v>
      </c>
      <c r="D1592" s="7">
        <v>50</v>
      </c>
      <c r="E1592">
        <v>2016</v>
      </c>
      <c r="F1592">
        <v>2019</v>
      </c>
      <c r="G1592" t="str">
        <f>IFERROR(INDEX(Formulations[Formulation],MATCH($C1592,Formulations[Product Code],0)),"")</f>
        <v/>
      </c>
    </row>
    <row r="1593" spans="1:7" x14ac:dyDescent="0.3">
      <c r="A1593" t="s">
        <v>2455</v>
      </c>
      <c r="B1593" t="s">
        <v>518</v>
      </c>
      <c r="C1593" t="s">
        <v>519</v>
      </c>
      <c r="D1593" s="7">
        <v>50</v>
      </c>
      <c r="E1593">
        <v>2018</v>
      </c>
      <c r="F1593">
        <v>2019</v>
      </c>
      <c r="G1593" t="str">
        <f>IFERROR(INDEX(Formulations[Formulation],MATCH($C1593,Formulations[Product Code],0)),"")</f>
        <v>Pure</v>
      </c>
    </row>
    <row r="1594" spans="1:7" x14ac:dyDescent="0.3">
      <c r="A1594" t="s">
        <v>2461</v>
      </c>
      <c r="B1594" t="s">
        <v>438</v>
      </c>
      <c r="C1594" t="s">
        <v>439</v>
      </c>
      <c r="D1594" s="7">
        <v>50</v>
      </c>
      <c r="E1594">
        <v>2017</v>
      </c>
      <c r="F1594">
        <v>2017</v>
      </c>
      <c r="G1594" t="str">
        <f>IFERROR(INDEX(Formulations[Formulation],MATCH($C1594,Formulations[Product Code],0)),"")</f>
        <v>Pure</v>
      </c>
    </row>
    <row r="1595" spans="1:7" x14ac:dyDescent="0.3">
      <c r="A1595" t="s">
        <v>2465</v>
      </c>
      <c r="B1595" t="s">
        <v>417</v>
      </c>
      <c r="C1595" t="s">
        <v>418</v>
      </c>
      <c r="D1595" s="7">
        <v>50</v>
      </c>
      <c r="E1595">
        <v>2012</v>
      </c>
      <c r="F1595">
        <v>2012</v>
      </c>
      <c r="G1595" t="str">
        <f>IFERROR(INDEX(Formulations[Formulation],MATCH($C1595,Formulations[Product Code],0)),"")</f>
        <v>Pure</v>
      </c>
    </row>
    <row r="1596" spans="1:7" x14ac:dyDescent="0.3">
      <c r="A1596" t="s">
        <v>2465</v>
      </c>
      <c r="B1596" t="s">
        <v>473</v>
      </c>
      <c r="C1596" t="s">
        <v>747</v>
      </c>
      <c r="D1596" s="7">
        <v>50</v>
      </c>
      <c r="E1596">
        <v>2018</v>
      </c>
      <c r="F1596">
        <v>2018</v>
      </c>
      <c r="G1596" t="str">
        <f>IFERROR(INDEX(Formulations[Formulation],MATCH($C1596,Formulations[Product Code],0)),"")</f>
        <v/>
      </c>
    </row>
    <row r="1597" spans="1:7" x14ac:dyDescent="0.3">
      <c r="A1597" t="s">
        <v>2471</v>
      </c>
      <c r="B1597" t="s">
        <v>741</v>
      </c>
      <c r="C1597" t="s">
        <v>742</v>
      </c>
      <c r="D1597" s="7">
        <v>50</v>
      </c>
      <c r="E1597">
        <v>2015</v>
      </c>
      <c r="F1597">
        <v>2017</v>
      </c>
      <c r="G1597" t="str">
        <f>IFERROR(INDEX(Formulations[Formulation],MATCH($C1597,Formulations[Product Code],0)),"")</f>
        <v/>
      </c>
    </row>
    <row r="1598" spans="1:7" x14ac:dyDescent="0.3">
      <c r="A1598" t="s">
        <v>2485</v>
      </c>
      <c r="B1598" t="s">
        <v>686</v>
      </c>
      <c r="C1598" t="s">
        <v>687</v>
      </c>
      <c r="D1598" s="7">
        <v>50</v>
      </c>
      <c r="E1598">
        <v>2020</v>
      </c>
      <c r="F1598">
        <v>2021</v>
      </c>
      <c r="G1598" t="str">
        <f>IFERROR(INDEX(Formulations[Formulation],MATCH($C1598,Formulations[Product Code],0)),"")</f>
        <v>Pure</v>
      </c>
    </row>
    <row r="1599" spans="1:7" x14ac:dyDescent="0.3">
      <c r="A1599" t="s">
        <v>2485</v>
      </c>
      <c r="B1599" t="s">
        <v>1802</v>
      </c>
      <c r="D1599" s="7">
        <v>50</v>
      </c>
      <c r="E1599">
        <v>2020</v>
      </c>
      <c r="F1599">
        <v>2020</v>
      </c>
      <c r="G1599" t="str">
        <f>IFERROR(INDEX(Formulations[Formulation],MATCH($C1599,Formulations[Product Code],0)),"")</f>
        <v/>
      </c>
    </row>
    <row r="1600" spans="1:7" x14ac:dyDescent="0.3">
      <c r="A1600" t="s">
        <v>2485</v>
      </c>
      <c r="B1600" t="s">
        <v>1184</v>
      </c>
      <c r="D1600" s="7">
        <v>50</v>
      </c>
      <c r="E1600">
        <v>2021</v>
      </c>
      <c r="F1600">
        <v>2021</v>
      </c>
      <c r="G1600" t="str">
        <f>IFERROR(INDEX(Formulations[Formulation],MATCH($C1600,Formulations[Product Code],0)),"")</f>
        <v/>
      </c>
    </row>
    <row r="1601" spans="1:7" x14ac:dyDescent="0.3">
      <c r="A1601" t="s">
        <v>2485</v>
      </c>
      <c r="B1601" t="s">
        <v>383</v>
      </c>
      <c r="C1601" t="s">
        <v>385</v>
      </c>
      <c r="D1601" s="7">
        <v>50</v>
      </c>
      <c r="E1601">
        <v>2020</v>
      </c>
      <c r="F1601">
        <v>2021</v>
      </c>
      <c r="G1601" t="str">
        <f>IFERROR(INDEX(Formulations[Formulation],MATCH($C1601,Formulations[Product Code],0)),"")</f>
        <v>Silver</v>
      </c>
    </row>
    <row r="1602" spans="1:7" x14ac:dyDescent="0.3">
      <c r="A1602" t="s">
        <v>2485</v>
      </c>
      <c r="B1602" t="s">
        <v>383</v>
      </c>
      <c r="C1602" t="s">
        <v>384</v>
      </c>
      <c r="D1602" s="7">
        <v>50</v>
      </c>
      <c r="E1602">
        <v>2020</v>
      </c>
      <c r="F1602">
        <v>2020</v>
      </c>
      <c r="G1602" t="str">
        <f>IFERROR(INDEX(Formulations[Formulation],MATCH($C1602,Formulations[Product Code],0)),"")</f>
        <v>Pure</v>
      </c>
    </row>
    <row r="1603" spans="1:7" x14ac:dyDescent="0.3">
      <c r="A1603" t="s">
        <v>2485</v>
      </c>
      <c r="B1603" t="s">
        <v>46</v>
      </c>
      <c r="C1603" t="s">
        <v>2488</v>
      </c>
      <c r="D1603" s="7">
        <v>50</v>
      </c>
      <c r="E1603">
        <v>2012</v>
      </c>
      <c r="F1603">
        <v>2018</v>
      </c>
      <c r="G1603" t="str">
        <f>IFERROR(INDEX(Formulations[Formulation],MATCH($C1603,Formulations[Product Code],0)),"")</f>
        <v/>
      </c>
    </row>
    <row r="1604" spans="1:7" x14ac:dyDescent="0.3">
      <c r="A1604" t="s">
        <v>2490</v>
      </c>
      <c r="B1604" t="s">
        <v>631</v>
      </c>
      <c r="C1604" t="s">
        <v>632</v>
      </c>
      <c r="D1604" s="7">
        <v>50</v>
      </c>
      <c r="E1604">
        <v>2020</v>
      </c>
      <c r="F1604">
        <v>2020</v>
      </c>
      <c r="G1604" t="str">
        <f>IFERROR(INDEX(Formulations[Formulation],MATCH($C1604,Formulations[Product Code],0)),"")</f>
        <v/>
      </c>
    </row>
    <row r="1605" spans="1:7" x14ac:dyDescent="0.3">
      <c r="A1605" t="s">
        <v>2490</v>
      </c>
      <c r="B1605" t="s">
        <v>26</v>
      </c>
      <c r="C1605" t="s">
        <v>27</v>
      </c>
      <c r="D1605" s="7">
        <v>50</v>
      </c>
      <c r="E1605">
        <v>2020</v>
      </c>
      <c r="F1605">
        <v>2020</v>
      </c>
      <c r="G1605" t="str">
        <f>IFERROR(INDEX(Formulations[Formulation],MATCH($C1605,Formulations[Product Code],0)),"")</f>
        <v>FLOURAMAX A270578/ P782894</v>
      </c>
    </row>
    <row r="1606" spans="1:7" x14ac:dyDescent="0.3">
      <c r="A1606" t="s">
        <v>2490</v>
      </c>
      <c r="B1606" t="s">
        <v>686</v>
      </c>
      <c r="C1606" t="s">
        <v>687</v>
      </c>
      <c r="D1606" s="7">
        <v>50</v>
      </c>
      <c r="E1606">
        <v>2020</v>
      </c>
      <c r="F1606">
        <v>2020</v>
      </c>
      <c r="G1606" t="str">
        <f>IFERROR(INDEX(Formulations[Formulation],MATCH($C1606,Formulations[Product Code],0)),"")</f>
        <v>Pure</v>
      </c>
    </row>
    <row r="1607" spans="1:7" x14ac:dyDescent="0.3">
      <c r="A1607" t="s">
        <v>2496</v>
      </c>
      <c r="B1607" t="s">
        <v>19</v>
      </c>
      <c r="C1607" t="s">
        <v>2497</v>
      </c>
      <c r="D1607" s="7">
        <v>50</v>
      </c>
      <c r="E1607">
        <v>2011</v>
      </c>
      <c r="F1607">
        <v>2011</v>
      </c>
      <c r="G1607" t="str">
        <f>IFERROR(INDEX(Formulations[Formulation],MATCH($C1607,Formulations[Product Code],0)),"")</f>
        <v/>
      </c>
    </row>
    <row r="1608" spans="1:7" x14ac:dyDescent="0.3">
      <c r="A1608" t="s">
        <v>2496</v>
      </c>
      <c r="B1608" t="s">
        <v>708</v>
      </c>
      <c r="C1608" t="s">
        <v>477</v>
      </c>
      <c r="D1608" s="7">
        <v>50</v>
      </c>
      <c r="E1608">
        <v>2019</v>
      </c>
      <c r="F1608">
        <v>2019</v>
      </c>
      <c r="G1608" t="str">
        <f>IFERROR(INDEX(Formulations[Formulation],MATCH($C1608,Formulations[Product Code],0)),"")</f>
        <v/>
      </c>
    </row>
    <row r="1609" spans="1:7" x14ac:dyDescent="0.3">
      <c r="A1609" t="s">
        <v>2496</v>
      </c>
      <c r="B1609" t="s">
        <v>476</v>
      </c>
      <c r="C1609" t="s">
        <v>478</v>
      </c>
      <c r="D1609" s="7">
        <v>50</v>
      </c>
      <c r="E1609">
        <v>2020</v>
      </c>
      <c r="F1609">
        <v>2020</v>
      </c>
      <c r="G1609" t="str">
        <f>IFERROR(INDEX(Formulations[Formulation],MATCH($C1609,Formulations[Product Code],0)),"")</f>
        <v>Pure</v>
      </c>
    </row>
    <row r="1610" spans="1:7" x14ac:dyDescent="0.3">
      <c r="A1610" t="s">
        <v>2498</v>
      </c>
      <c r="B1610" t="s">
        <v>37</v>
      </c>
      <c r="D1610" s="7">
        <v>50</v>
      </c>
      <c r="E1610">
        <v>2019</v>
      </c>
      <c r="F1610">
        <v>2020</v>
      </c>
      <c r="G1610" t="str">
        <f>IFERROR(INDEX(Formulations[Formulation],MATCH($C1610,Formulations[Product Code],0)),"")</f>
        <v/>
      </c>
    </row>
    <row r="1611" spans="1:7" x14ac:dyDescent="0.3">
      <c r="A1611" t="s">
        <v>2521</v>
      </c>
      <c r="B1611" t="s">
        <v>2522</v>
      </c>
      <c r="C1611" t="s">
        <v>2523</v>
      </c>
      <c r="D1611" s="7">
        <v>50</v>
      </c>
      <c r="E1611">
        <v>2011</v>
      </c>
      <c r="F1611">
        <v>2011</v>
      </c>
      <c r="G1611" t="str">
        <f>IFERROR(INDEX(Formulations[Formulation],MATCH($C1611,Formulations[Product Code],0)),"")</f>
        <v/>
      </c>
    </row>
    <row r="1612" spans="1:7" x14ac:dyDescent="0.3">
      <c r="A1612" t="s">
        <v>2521</v>
      </c>
      <c r="B1612" t="s">
        <v>777</v>
      </c>
      <c r="C1612" t="s">
        <v>63</v>
      </c>
      <c r="D1612" s="7">
        <v>50</v>
      </c>
      <c r="E1612">
        <v>2016</v>
      </c>
      <c r="F1612">
        <v>2016</v>
      </c>
      <c r="G1612" t="str">
        <f>IFERROR(INDEX(Formulations[Formulation],MATCH($C1612,Formulations[Product Code],0)),"")</f>
        <v>Crystal</v>
      </c>
    </row>
    <row r="1613" spans="1:7" x14ac:dyDescent="0.3">
      <c r="A1613" t="s">
        <v>2521</v>
      </c>
      <c r="B1613" t="s">
        <v>1452</v>
      </c>
      <c r="C1613" t="s">
        <v>1453</v>
      </c>
      <c r="D1613" s="7">
        <v>50</v>
      </c>
      <c r="E1613">
        <v>2011</v>
      </c>
      <c r="F1613">
        <v>2011</v>
      </c>
      <c r="G1613" t="str">
        <f>IFERROR(INDEX(Formulations[Formulation],MATCH($C1613,Formulations[Product Code],0)),"")</f>
        <v/>
      </c>
    </row>
    <row r="1614" spans="1:7" x14ac:dyDescent="0.3">
      <c r="A1614" t="s">
        <v>2526</v>
      </c>
      <c r="B1614" t="s">
        <v>532</v>
      </c>
      <c r="C1614" t="s">
        <v>452</v>
      </c>
      <c r="D1614" s="7">
        <v>50</v>
      </c>
      <c r="E1614">
        <v>2020</v>
      </c>
      <c r="F1614">
        <v>2021</v>
      </c>
      <c r="G1614" t="str">
        <f>IFERROR(INDEX(Formulations[Formulation],MATCH($C1614,Formulations[Product Code],0)),"")</f>
        <v>Crystal</v>
      </c>
    </row>
    <row r="1615" spans="1:7" x14ac:dyDescent="0.3">
      <c r="A1615" t="s">
        <v>2529</v>
      </c>
      <c r="B1615" t="s">
        <v>532</v>
      </c>
      <c r="C1615" t="s">
        <v>452</v>
      </c>
      <c r="D1615" s="7">
        <v>50</v>
      </c>
      <c r="E1615">
        <v>2020</v>
      </c>
      <c r="F1615">
        <v>2020</v>
      </c>
      <c r="G1615" t="str">
        <f>IFERROR(INDEX(Formulations[Formulation],MATCH($C1615,Formulations[Product Code],0)),"")</f>
        <v>Crystal</v>
      </c>
    </row>
    <row r="1616" spans="1:7" x14ac:dyDescent="0.3">
      <c r="A1616" t="s">
        <v>2529</v>
      </c>
      <c r="B1616" t="s">
        <v>660</v>
      </c>
      <c r="C1616" t="s">
        <v>661</v>
      </c>
      <c r="D1616" s="7">
        <v>50</v>
      </c>
      <c r="E1616">
        <v>2020</v>
      </c>
      <c r="F1616">
        <v>2021</v>
      </c>
      <c r="G1616" t="str">
        <f>IFERROR(INDEX(Formulations[Formulation],MATCH($C1616,Formulations[Product Code],0)),"")</f>
        <v>Crystal</v>
      </c>
    </row>
    <row r="1617" spans="1:7" x14ac:dyDescent="0.3">
      <c r="A1617" t="s">
        <v>2529</v>
      </c>
      <c r="B1617" t="s">
        <v>643</v>
      </c>
      <c r="C1617" t="s">
        <v>644</v>
      </c>
      <c r="D1617" s="7">
        <v>50</v>
      </c>
      <c r="E1617">
        <v>2020</v>
      </c>
      <c r="F1617">
        <v>2020</v>
      </c>
      <c r="G1617" t="str">
        <f>IFERROR(INDEX(Formulations[Formulation],MATCH($C1617,Formulations[Product Code],0)),"")</f>
        <v>Crystal</v>
      </c>
    </row>
    <row r="1618" spans="1:7" x14ac:dyDescent="0.3">
      <c r="A1618" t="s">
        <v>2531</v>
      </c>
      <c r="B1618" t="s">
        <v>438</v>
      </c>
      <c r="C1618" t="s">
        <v>439</v>
      </c>
      <c r="D1618" s="7">
        <v>50</v>
      </c>
      <c r="E1618">
        <v>2017</v>
      </c>
      <c r="F1618">
        <v>2017</v>
      </c>
      <c r="G1618" t="str">
        <f>IFERROR(INDEX(Formulations[Formulation],MATCH($C1618,Formulations[Product Code],0)),"")</f>
        <v>Pure</v>
      </c>
    </row>
    <row r="1619" spans="1:7" x14ac:dyDescent="0.3">
      <c r="A1619" t="s">
        <v>2534</v>
      </c>
      <c r="B1619" t="s">
        <v>1339</v>
      </c>
      <c r="C1619" t="s">
        <v>1340</v>
      </c>
      <c r="D1619" s="7">
        <v>50</v>
      </c>
      <c r="E1619">
        <v>2020</v>
      </c>
      <c r="F1619">
        <v>2020</v>
      </c>
      <c r="G1619" t="str">
        <f>IFERROR(INDEX(Formulations[Formulation],MATCH($C1619,Formulations[Product Code],0)),"")</f>
        <v/>
      </c>
    </row>
    <row r="1620" spans="1:7" x14ac:dyDescent="0.3">
      <c r="A1620" t="s">
        <v>2534</v>
      </c>
      <c r="B1620" t="s">
        <v>37</v>
      </c>
      <c r="D1620" s="7">
        <v>50</v>
      </c>
      <c r="E1620">
        <v>2021</v>
      </c>
      <c r="F1620">
        <v>2021</v>
      </c>
      <c r="G1620" t="str">
        <f>IFERROR(INDEX(Formulations[Formulation],MATCH($C1620,Formulations[Product Code],0)),"")</f>
        <v/>
      </c>
    </row>
    <row r="1621" spans="1:7" x14ac:dyDescent="0.3">
      <c r="A1621" t="s">
        <v>2538</v>
      </c>
      <c r="B1621" t="s">
        <v>714</v>
      </c>
      <c r="C1621" t="s">
        <v>715</v>
      </c>
      <c r="D1621" s="7">
        <v>50</v>
      </c>
      <c r="E1621">
        <v>2017</v>
      </c>
      <c r="F1621">
        <v>2019</v>
      </c>
      <c r="G1621" t="str">
        <f>IFERROR(INDEX(Formulations[Formulation],MATCH($C1621,Formulations[Product Code],0)),"")</f>
        <v/>
      </c>
    </row>
    <row r="1622" spans="1:7" x14ac:dyDescent="0.3">
      <c r="A1622" t="s">
        <v>2538</v>
      </c>
      <c r="B1622" t="s">
        <v>540</v>
      </c>
      <c r="C1622" t="s">
        <v>541</v>
      </c>
      <c r="D1622" s="7">
        <v>50</v>
      </c>
      <c r="E1622">
        <v>2020</v>
      </c>
      <c r="F1622">
        <v>2020</v>
      </c>
      <c r="G1622" t="str">
        <f>IFERROR(INDEX(Formulations[Formulation],MATCH($C1622,Formulations[Product Code],0)),"")</f>
        <v>Pure</v>
      </c>
    </row>
    <row r="1623" spans="1:7" x14ac:dyDescent="0.3">
      <c r="A1623" t="s">
        <v>2538</v>
      </c>
      <c r="B1623" t="s">
        <v>649</v>
      </c>
      <c r="C1623" t="s">
        <v>650</v>
      </c>
      <c r="D1623" s="7">
        <v>50</v>
      </c>
      <c r="E1623">
        <v>2019</v>
      </c>
      <c r="F1623">
        <v>2020</v>
      </c>
      <c r="G1623" t="str">
        <f>IFERROR(INDEX(Formulations[Formulation],MATCH($C1623,Formulations[Product Code],0)),"")</f>
        <v>Pure</v>
      </c>
    </row>
    <row r="1624" spans="1:7" x14ac:dyDescent="0.3">
      <c r="A1624" t="s">
        <v>2538</v>
      </c>
      <c r="B1624" t="s">
        <v>542</v>
      </c>
      <c r="C1624" t="s">
        <v>160</v>
      </c>
      <c r="D1624" s="7">
        <v>50</v>
      </c>
      <c r="E1624">
        <v>2020</v>
      </c>
      <c r="F1624">
        <v>2020</v>
      </c>
      <c r="G1624" t="str">
        <f>IFERROR(INDEX(Formulations[Formulation],MATCH($C1624,Formulations[Product Code],0)),"")</f>
        <v>Silver</v>
      </c>
    </row>
    <row r="1625" spans="1:7" x14ac:dyDescent="0.3">
      <c r="A1625" t="s">
        <v>2538</v>
      </c>
      <c r="B1625" t="s">
        <v>19</v>
      </c>
      <c r="C1625" t="s">
        <v>107</v>
      </c>
      <c r="D1625" s="7">
        <v>50</v>
      </c>
      <c r="E1625">
        <v>2020</v>
      </c>
      <c r="F1625">
        <v>2020</v>
      </c>
      <c r="G1625" t="str">
        <f>IFERROR(INDEX(Formulations[Formulation],MATCH($C1625,Formulations[Product Code],0)),"")</f>
        <v>Pure</v>
      </c>
    </row>
    <row r="1626" spans="1:7" x14ac:dyDescent="0.3">
      <c r="A1626" t="s">
        <v>2538</v>
      </c>
      <c r="B1626" t="s">
        <v>269</v>
      </c>
      <c r="C1626" t="s">
        <v>270</v>
      </c>
      <c r="D1626" s="7">
        <v>50</v>
      </c>
      <c r="E1626">
        <v>2019</v>
      </c>
      <c r="F1626">
        <v>2019</v>
      </c>
      <c r="G1626" t="str">
        <f>IFERROR(INDEX(Formulations[Formulation],MATCH($C1626,Formulations[Product Code],0)),"")</f>
        <v>Pure</v>
      </c>
    </row>
    <row r="1627" spans="1:7" x14ac:dyDescent="0.3">
      <c r="A1627" t="s">
        <v>2538</v>
      </c>
      <c r="B1627" t="s">
        <v>498</v>
      </c>
      <c r="C1627" t="s">
        <v>499</v>
      </c>
      <c r="D1627" s="7">
        <v>50</v>
      </c>
      <c r="E1627">
        <v>2017</v>
      </c>
      <c r="F1627">
        <v>2017</v>
      </c>
      <c r="G1627" t="str">
        <f>IFERROR(INDEX(Formulations[Formulation],MATCH($C1627,Formulations[Product Code],0)),"")</f>
        <v>WS</v>
      </c>
    </row>
    <row r="1628" spans="1:7" x14ac:dyDescent="0.3">
      <c r="A1628" t="s">
        <v>2542</v>
      </c>
      <c r="B1628" t="s">
        <v>543</v>
      </c>
      <c r="C1628" t="s">
        <v>544</v>
      </c>
      <c r="D1628" s="7">
        <v>50</v>
      </c>
      <c r="E1628">
        <v>2019</v>
      </c>
      <c r="F1628">
        <v>2019</v>
      </c>
      <c r="G1628" t="str">
        <f>IFERROR(INDEX(Formulations[Formulation],MATCH($C1628,Formulations[Product Code],0)),"")</f>
        <v>Crystal</v>
      </c>
    </row>
    <row r="1629" spans="1:7" x14ac:dyDescent="0.3">
      <c r="A1629" t="s">
        <v>2548</v>
      </c>
      <c r="B1629" t="s">
        <v>883</v>
      </c>
      <c r="C1629" t="s">
        <v>780</v>
      </c>
      <c r="D1629" s="7">
        <v>50</v>
      </c>
      <c r="E1629">
        <v>2019</v>
      </c>
      <c r="F1629">
        <v>2019</v>
      </c>
      <c r="G1629" t="str">
        <f>IFERROR(INDEX(Formulations[Formulation],MATCH($C1629,Formulations[Product Code],0)),"")</f>
        <v/>
      </c>
    </row>
    <row r="1630" spans="1:7" x14ac:dyDescent="0.3">
      <c r="A1630" t="s">
        <v>2555</v>
      </c>
      <c r="B1630" t="s">
        <v>467</v>
      </c>
      <c r="C1630" t="s">
        <v>468</v>
      </c>
      <c r="D1630" s="7">
        <v>50</v>
      </c>
      <c r="E1630">
        <v>2019</v>
      </c>
      <c r="F1630">
        <v>2019</v>
      </c>
      <c r="G1630" t="str">
        <f>IFERROR(INDEX(Formulations[Formulation],MATCH($C1630,Formulations[Product Code],0)),"")</f>
        <v>Crystal</v>
      </c>
    </row>
    <row r="1631" spans="1:7" x14ac:dyDescent="0.3">
      <c r="A1631" t="s">
        <v>2561</v>
      </c>
      <c r="B1631" t="s">
        <v>46</v>
      </c>
      <c r="C1631" t="s">
        <v>47</v>
      </c>
      <c r="D1631" s="7">
        <v>50</v>
      </c>
      <c r="E1631">
        <v>2018</v>
      </c>
      <c r="F1631">
        <v>2018</v>
      </c>
      <c r="G1631" t="str">
        <f>IFERROR(INDEX(Formulations[Formulation],MATCH($C1631,Formulations[Product Code],0)),"")</f>
        <v/>
      </c>
    </row>
    <row r="1632" spans="1:7" x14ac:dyDescent="0.3">
      <c r="A1632" t="s">
        <v>2562</v>
      </c>
      <c r="B1632" t="s">
        <v>1347</v>
      </c>
      <c r="C1632" t="s">
        <v>737</v>
      </c>
      <c r="D1632" s="7">
        <v>50</v>
      </c>
      <c r="E1632">
        <v>2021</v>
      </c>
      <c r="F1632">
        <v>2021</v>
      </c>
      <c r="G1632" t="str">
        <f>IFERROR(INDEX(Formulations[Formulation],MATCH($C1632,Formulations[Product Code],0)),"")</f>
        <v>Flouramax40%, Strawberry 20%, Banana 20%g &amp; Cherry 20%</v>
      </c>
    </row>
    <row r="1633" spans="1:7" x14ac:dyDescent="0.3">
      <c r="A1633" t="s">
        <v>2563</v>
      </c>
      <c r="B1633" t="s">
        <v>26</v>
      </c>
      <c r="C1633" t="s">
        <v>27</v>
      </c>
      <c r="D1633" s="7">
        <v>50</v>
      </c>
      <c r="E1633">
        <v>2012</v>
      </c>
      <c r="F1633">
        <v>2012</v>
      </c>
      <c r="G1633" t="str">
        <f>IFERROR(INDEX(Formulations[Formulation],MATCH($C1633,Formulations[Product Code],0)),"")</f>
        <v>FLOURAMAX A270578/ P782894</v>
      </c>
    </row>
    <row r="1634" spans="1:7" x14ac:dyDescent="0.3">
      <c r="A1634" t="s">
        <v>2563</v>
      </c>
      <c r="B1634" t="s">
        <v>19</v>
      </c>
      <c r="C1634" t="s">
        <v>20</v>
      </c>
      <c r="D1634" s="7">
        <v>50</v>
      </c>
      <c r="E1634">
        <v>2014</v>
      </c>
      <c r="F1634">
        <v>2014</v>
      </c>
      <c r="G1634" t="str">
        <f>IFERROR(INDEX(Formulations[Formulation],MATCH($C1634,Formulations[Product Code],0)),"")</f>
        <v>80 % Oil AND 20 % DPG</v>
      </c>
    </row>
    <row r="1635" spans="1:7" x14ac:dyDescent="0.3">
      <c r="A1635" t="s">
        <v>2569</v>
      </c>
      <c r="B1635" t="s">
        <v>1093</v>
      </c>
      <c r="C1635" t="s">
        <v>169</v>
      </c>
      <c r="D1635" s="7">
        <v>50</v>
      </c>
      <c r="E1635">
        <v>2017</v>
      </c>
      <c r="F1635">
        <v>2017</v>
      </c>
      <c r="G1635" t="str">
        <f>IFERROR(INDEX(Formulations[Formulation],MATCH($C1635,Formulations[Product Code],0)),"")</f>
        <v>Silver</v>
      </c>
    </row>
    <row r="1636" spans="1:7" x14ac:dyDescent="0.3">
      <c r="A1636" t="s">
        <v>2569</v>
      </c>
      <c r="B1636" t="s">
        <v>820</v>
      </c>
      <c r="C1636" t="s">
        <v>821</v>
      </c>
      <c r="D1636" s="7">
        <v>50</v>
      </c>
      <c r="E1636">
        <v>2017</v>
      </c>
      <c r="F1636">
        <v>2017</v>
      </c>
      <c r="G1636" t="str">
        <f>IFERROR(INDEX(Formulations[Formulation],MATCH($C1636,Formulations[Product Code],0)),"")</f>
        <v>Pure</v>
      </c>
    </row>
    <row r="1637" spans="1:7" x14ac:dyDescent="0.3">
      <c r="A1637" t="s">
        <v>2569</v>
      </c>
      <c r="B1637" t="s">
        <v>383</v>
      </c>
      <c r="C1637" t="s">
        <v>385</v>
      </c>
      <c r="D1637" s="7">
        <v>50</v>
      </c>
      <c r="E1637">
        <v>2021</v>
      </c>
      <c r="F1637">
        <v>2021</v>
      </c>
      <c r="G1637" t="str">
        <f>IFERROR(INDEX(Formulations[Formulation],MATCH($C1637,Formulations[Product Code],0)),"")</f>
        <v>Silver</v>
      </c>
    </row>
    <row r="1638" spans="1:7" x14ac:dyDescent="0.3">
      <c r="A1638" t="s">
        <v>2574</v>
      </c>
      <c r="B1638" t="s">
        <v>346</v>
      </c>
      <c r="C1638" t="s">
        <v>347</v>
      </c>
      <c r="D1638" s="7">
        <v>50</v>
      </c>
      <c r="E1638">
        <v>2016</v>
      </c>
      <c r="F1638">
        <v>2016</v>
      </c>
      <c r="G1638" t="str">
        <f>IFERROR(INDEX(Formulations[Formulation],MATCH($C1638,Formulations[Product Code],0)),"")</f>
        <v>Pure</v>
      </c>
    </row>
    <row r="1639" spans="1:7" x14ac:dyDescent="0.3">
      <c r="A1639" t="s">
        <v>2574</v>
      </c>
      <c r="B1639" t="s">
        <v>1758</v>
      </c>
      <c r="C1639" t="s">
        <v>1759</v>
      </c>
      <c r="D1639" s="7">
        <v>50</v>
      </c>
      <c r="E1639">
        <v>2019</v>
      </c>
      <c r="F1639">
        <v>2019</v>
      </c>
      <c r="G1639" t="str">
        <f>IFERROR(INDEX(Formulations[Formulation],MATCH($C1639,Formulations[Product Code],0)),"")</f>
        <v/>
      </c>
    </row>
    <row r="1640" spans="1:7" x14ac:dyDescent="0.3">
      <c r="A1640" t="s">
        <v>2588</v>
      </c>
      <c r="B1640" t="s">
        <v>153</v>
      </c>
      <c r="C1640" t="s">
        <v>154</v>
      </c>
      <c r="D1640" s="7">
        <v>50</v>
      </c>
      <c r="E1640">
        <v>2010</v>
      </c>
      <c r="F1640">
        <v>2014</v>
      </c>
      <c r="G1640" t="str">
        <f>IFERROR(INDEX(Formulations[Formulation],MATCH($C1640,Formulations[Product Code],0)),"")</f>
        <v>Pure</v>
      </c>
    </row>
    <row r="1641" spans="1:7" x14ac:dyDescent="0.3">
      <c r="A1641" t="s">
        <v>2590</v>
      </c>
      <c r="B1641" t="s">
        <v>297</v>
      </c>
      <c r="C1641" t="s">
        <v>298</v>
      </c>
      <c r="D1641" s="7">
        <v>50</v>
      </c>
      <c r="E1641">
        <v>2019</v>
      </c>
      <c r="F1641">
        <v>2019</v>
      </c>
      <c r="G1641" t="str">
        <f>IFERROR(INDEX(Formulations[Formulation],MATCH($C1641,Formulations[Product Code],0)),"")</f>
        <v>Pure</v>
      </c>
    </row>
    <row r="1642" spans="1:7" x14ac:dyDescent="0.3">
      <c r="A1642" t="s">
        <v>2591</v>
      </c>
      <c r="B1642" t="s">
        <v>26</v>
      </c>
      <c r="C1642" t="s">
        <v>27</v>
      </c>
      <c r="D1642" s="7">
        <v>50</v>
      </c>
      <c r="E1642">
        <v>2017</v>
      </c>
      <c r="F1642">
        <v>2017</v>
      </c>
      <c r="G1642" t="str">
        <f>IFERROR(INDEX(Formulations[Formulation],MATCH($C1642,Formulations[Product Code],0)),"")</f>
        <v>FLOURAMAX A270578/ P782894</v>
      </c>
    </row>
    <row r="1643" spans="1:7" x14ac:dyDescent="0.3">
      <c r="A1643" t="s">
        <v>2592</v>
      </c>
      <c r="B1643" t="s">
        <v>536</v>
      </c>
      <c r="C1643" t="s">
        <v>537</v>
      </c>
      <c r="D1643" s="7">
        <v>50</v>
      </c>
      <c r="E1643">
        <v>2020</v>
      </c>
      <c r="F1643">
        <v>2020</v>
      </c>
      <c r="G1643" t="str">
        <f>IFERROR(INDEX(Formulations[Formulation],MATCH($C1643,Formulations[Product Code],0)),"")</f>
        <v>Silver</v>
      </c>
    </row>
    <row r="1644" spans="1:7" x14ac:dyDescent="0.3">
      <c r="A1644" t="s">
        <v>2592</v>
      </c>
      <c r="B1644" t="s">
        <v>46</v>
      </c>
      <c r="C1644" t="s">
        <v>47</v>
      </c>
      <c r="D1644" s="7">
        <v>50</v>
      </c>
      <c r="E1644">
        <v>2017</v>
      </c>
      <c r="F1644">
        <v>2017</v>
      </c>
      <c r="G1644" t="str">
        <f>IFERROR(INDEX(Formulations[Formulation],MATCH($C1644,Formulations[Product Code],0)),"")</f>
        <v/>
      </c>
    </row>
    <row r="1645" spans="1:7" x14ac:dyDescent="0.3">
      <c r="A1645" t="s">
        <v>2595</v>
      </c>
      <c r="B1645" t="s">
        <v>346</v>
      </c>
      <c r="C1645" t="s">
        <v>347</v>
      </c>
      <c r="D1645" s="7">
        <v>50</v>
      </c>
      <c r="E1645">
        <v>2021</v>
      </c>
      <c r="F1645">
        <v>2021</v>
      </c>
      <c r="G1645" t="str">
        <f>IFERROR(INDEX(Formulations[Formulation],MATCH($C1645,Formulations[Product Code],0)),"")</f>
        <v>Pure</v>
      </c>
    </row>
    <row r="1646" spans="1:7" x14ac:dyDescent="0.3">
      <c r="A1646" t="s">
        <v>2595</v>
      </c>
      <c r="B1646" t="s">
        <v>348</v>
      </c>
      <c r="C1646" t="s">
        <v>347</v>
      </c>
      <c r="D1646" s="7">
        <v>50</v>
      </c>
      <c r="E1646">
        <v>2020</v>
      </c>
      <c r="F1646">
        <v>2020</v>
      </c>
      <c r="G1646" t="str">
        <f>IFERROR(INDEX(Formulations[Formulation],MATCH($C1646,Formulations[Product Code],0)),"")</f>
        <v>Pure</v>
      </c>
    </row>
    <row r="1647" spans="1:7" x14ac:dyDescent="0.3">
      <c r="A1647" t="s">
        <v>2595</v>
      </c>
      <c r="B1647" t="s">
        <v>1853</v>
      </c>
      <c r="C1647" t="s">
        <v>1854</v>
      </c>
      <c r="D1647" s="7">
        <v>50</v>
      </c>
      <c r="E1647">
        <v>2021</v>
      </c>
      <c r="F1647">
        <v>2021</v>
      </c>
      <c r="G1647" t="str">
        <f>IFERROR(INDEX(Formulations[Formulation],MATCH($C1647,Formulations[Product Code],0)),"")</f>
        <v>30% Key Oil</v>
      </c>
    </row>
    <row r="1648" spans="1:7" x14ac:dyDescent="0.3">
      <c r="A1648" t="s">
        <v>2595</v>
      </c>
      <c r="B1648" t="s">
        <v>649</v>
      </c>
      <c r="C1648" t="s">
        <v>650</v>
      </c>
      <c r="D1648" s="7">
        <v>50</v>
      </c>
      <c r="E1648">
        <v>2020</v>
      </c>
      <c r="F1648">
        <v>2020</v>
      </c>
      <c r="G1648" t="str">
        <f>IFERROR(INDEX(Formulations[Formulation],MATCH($C1648,Formulations[Product Code],0)),"")</f>
        <v>Pure</v>
      </c>
    </row>
    <row r="1649" spans="1:7" x14ac:dyDescent="0.3">
      <c r="A1649" t="s">
        <v>2595</v>
      </c>
      <c r="B1649" t="s">
        <v>62</v>
      </c>
      <c r="C1649" t="s">
        <v>63</v>
      </c>
      <c r="D1649" s="7">
        <v>50</v>
      </c>
      <c r="E1649">
        <v>2021</v>
      </c>
      <c r="F1649">
        <v>2021</v>
      </c>
      <c r="G1649" t="str">
        <f>IFERROR(INDEX(Formulations[Formulation],MATCH($C1649,Formulations[Product Code],0)),"")</f>
        <v>Crystal</v>
      </c>
    </row>
    <row r="1650" spans="1:7" x14ac:dyDescent="0.3">
      <c r="A1650" t="s">
        <v>2595</v>
      </c>
      <c r="B1650" t="s">
        <v>192</v>
      </c>
      <c r="C1650" t="s">
        <v>193</v>
      </c>
      <c r="D1650" s="7">
        <v>50</v>
      </c>
      <c r="E1650">
        <v>2021</v>
      </c>
      <c r="F1650">
        <v>2021</v>
      </c>
      <c r="G1650" t="str">
        <f>IFERROR(INDEX(Formulations[Formulation],MATCH($C1650,Formulations[Product Code],0)),"")</f>
        <v>Red Grape 50%/ Fruity Smoothie 30% /Green Apple 20% /than make 60% oil</v>
      </c>
    </row>
    <row r="1651" spans="1:7" x14ac:dyDescent="0.3">
      <c r="A1651" t="s">
        <v>2596</v>
      </c>
      <c r="B1651" t="s">
        <v>176</v>
      </c>
      <c r="C1651" t="s">
        <v>177</v>
      </c>
      <c r="D1651" s="7">
        <v>50</v>
      </c>
      <c r="E1651">
        <v>2011</v>
      </c>
      <c r="F1651">
        <v>2012</v>
      </c>
      <c r="G1651" t="str">
        <f>IFERROR(INDEX(Formulations[Formulation],MATCH($C1651,Formulations[Product Code],0)),"")</f>
        <v/>
      </c>
    </row>
    <row r="1652" spans="1:7" x14ac:dyDescent="0.3">
      <c r="A1652" t="s">
        <v>1932</v>
      </c>
      <c r="B1652" t="s">
        <v>196</v>
      </c>
      <c r="C1652" t="s">
        <v>197</v>
      </c>
      <c r="D1652" s="7">
        <v>49</v>
      </c>
      <c r="E1652">
        <v>2013</v>
      </c>
      <c r="F1652">
        <v>2019</v>
      </c>
      <c r="G1652" t="str">
        <f>IFERROR(INDEX(Formulations[Formulation],MATCH($C1652,Formulations[Product Code],0)),"")</f>
        <v/>
      </c>
    </row>
    <row r="1653" spans="1:7" x14ac:dyDescent="0.3">
      <c r="A1653" t="s">
        <v>2238</v>
      </c>
      <c r="B1653" t="s">
        <v>2239</v>
      </c>
      <c r="C1653" t="s">
        <v>2240</v>
      </c>
      <c r="D1653" s="7">
        <v>49</v>
      </c>
      <c r="E1653">
        <v>2016</v>
      </c>
      <c r="F1653">
        <v>2016</v>
      </c>
      <c r="G1653" t="str">
        <f>IFERROR(INDEX(Formulations[Formulation],MATCH($C1653,Formulations[Product Code],0)),"")</f>
        <v/>
      </c>
    </row>
    <row r="1654" spans="1:7" x14ac:dyDescent="0.3">
      <c r="A1654" t="s">
        <v>878</v>
      </c>
      <c r="B1654" t="s">
        <v>184</v>
      </c>
      <c r="C1654" t="s">
        <v>185</v>
      </c>
      <c r="D1654" s="7">
        <v>48.5</v>
      </c>
      <c r="E1654">
        <v>2010</v>
      </c>
      <c r="F1654">
        <v>2011</v>
      </c>
      <c r="G1654" t="str">
        <f>IFERROR(INDEX(Formulations[Formulation],MATCH($C1654,Formulations[Product Code],0)),"")</f>
        <v/>
      </c>
    </row>
    <row r="1655" spans="1:7" x14ac:dyDescent="0.3">
      <c r="A1655" t="s">
        <v>1407</v>
      </c>
      <c r="B1655" t="s">
        <v>318</v>
      </c>
      <c r="C1655" t="s">
        <v>319</v>
      </c>
      <c r="D1655" s="7">
        <v>48</v>
      </c>
      <c r="E1655">
        <v>2019</v>
      </c>
      <c r="F1655">
        <v>2021</v>
      </c>
      <c r="G1655" t="str">
        <f>IFERROR(INDEX(Formulations[Formulation],MATCH($C1655,Formulations[Product Code],0)),"")</f>
        <v>Pure</v>
      </c>
    </row>
    <row r="1656" spans="1:7" x14ac:dyDescent="0.3">
      <c r="A1656" t="s">
        <v>1901</v>
      </c>
      <c r="B1656" t="s">
        <v>19</v>
      </c>
      <c r="C1656" t="s">
        <v>20</v>
      </c>
      <c r="D1656" s="7">
        <v>48</v>
      </c>
      <c r="E1656">
        <v>2015</v>
      </c>
      <c r="F1656">
        <v>2021</v>
      </c>
      <c r="G1656" t="str">
        <f>IFERROR(INDEX(Formulations[Formulation],MATCH($C1656,Formulations[Product Code],0)),"")</f>
        <v>80 % Oil AND 20 % DPG</v>
      </c>
    </row>
    <row r="1657" spans="1:7" x14ac:dyDescent="0.3">
      <c r="A1657" t="s">
        <v>2435</v>
      </c>
      <c r="B1657" t="s">
        <v>567</v>
      </c>
      <c r="C1657" t="s">
        <v>698</v>
      </c>
      <c r="D1657" s="7">
        <v>48</v>
      </c>
      <c r="E1657">
        <v>2017</v>
      </c>
      <c r="F1657">
        <v>2020</v>
      </c>
      <c r="G1657" t="str">
        <f>IFERROR(INDEX(Formulations[Formulation],MATCH($C1657,Formulations[Product Code],0)),"")</f>
        <v>Crystal</v>
      </c>
    </row>
    <row r="1658" spans="1:7" x14ac:dyDescent="0.3">
      <c r="A1658" t="s">
        <v>273</v>
      </c>
      <c r="B1658" t="s">
        <v>299</v>
      </c>
      <c r="C1658" t="s">
        <v>300</v>
      </c>
      <c r="D1658" s="7">
        <v>47</v>
      </c>
      <c r="E1658">
        <v>2013</v>
      </c>
      <c r="F1658">
        <v>2014</v>
      </c>
      <c r="G1658" t="str">
        <f>IFERROR(INDEX(Formulations[Formulation],MATCH($C1658,Formulations[Product Code],0)),"")</f>
        <v/>
      </c>
    </row>
    <row r="1659" spans="1:7" x14ac:dyDescent="0.3">
      <c r="A1659" t="s">
        <v>2123</v>
      </c>
      <c r="B1659" t="s">
        <v>2127</v>
      </c>
      <c r="C1659" t="s">
        <v>229</v>
      </c>
      <c r="D1659" s="7">
        <v>47</v>
      </c>
      <c r="E1659">
        <v>2016</v>
      </c>
      <c r="F1659">
        <v>2021</v>
      </c>
      <c r="G1659" t="str">
        <f>IFERROR(INDEX(Formulations[Formulation],MATCH($C1659,Formulations[Product Code],0)),"")</f>
        <v>Pure</v>
      </c>
    </row>
    <row r="1660" spans="1:7" x14ac:dyDescent="0.3">
      <c r="A1660" t="s">
        <v>685</v>
      </c>
      <c r="B1660" t="s">
        <v>37</v>
      </c>
      <c r="D1660" s="7">
        <v>46</v>
      </c>
      <c r="E1660">
        <v>2019</v>
      </c>
      <c r="F1660">
        <v>2021</v>
      </c>
      <c r="G1660" t="str">
        <f>IFERROR(INDEX(Formulations[Formulation],MATCH($C1660,Formulations[Product Code],0)),"")</f>
        <v/>
      </c>
    </row>
    <row r="1661" spans="1:7" x14ac:dyDescent="0.3">
      <c r="A1661" t="s">
        <v>1932</v>
      </c>
      <c r="B1661" t="s">
        <v>120</v>
      </c>
      <c r="C1661" t="s">
        <v>121</v>
      </c>
      <c r="D1661" s="7">
        <v>46</v>
      </c>
      <c r="E1661">
        <v>2013</v>
      </c>
      <c r="F1661">
        <v>2016</v>
      </c>
      <c r="G1661" t="str">
        <f>IFERROR(INDEX(Formulations[Formulation],MATCH($C1661,Formulations[Product Code],0)),"")</f>
        <v/>
      </c>
    </row>
    <row r="1662" spans="1:7" x14ac:dyDescent="0.3">
      <c r="A1662" t="s">
        <v>2176</v>
      </c>
      <c r="B1662" t="s">
        <v>383</v>
      </c>
      <c r="C1662" t="s">
        <v>385</v>
      </c>
      <c r="D1662" s="7">
        <v>46</v>
      </c>
      <c r="E1662">
        <v>2020</v>
      </c>
      <c r="F1662">
        <v>2021</v>
      </c>
      <c r="G1662" t="str">
        <f>IFERROR(INDEX(Formulations[Formulation],MATCH($C1662,Formulations[Product Code],0)),"")</f>
        <v>Silver</v>
      </c>
    </row>
    <row r="1663" spans="1:7" x14ac:dyDescent="0.3">
      <c r="A1663" t="s">
        <v>2346</v>
      </c>
      <c r="B1663" t="s">
        <v>41</v>
      </c>
      <c r="C1663" t="s">
        <v>530</v>
      </c>
      <c r="D1663" s="7">
        <v>46</v>
      </c>
      <c r="E1663">
        <v>2016</v>
      </c>
      <c r="F1663">
        <v>2016</v>
      </c>
      <c r="G1663" t="str">
        <f>IFERROR(INDEX(Formulations[Formulation],MATCH($C1663,Formulations[Product Code],0)),"")</f>
        <v/>
      </c>
    </row>
    <row r="1664" spans="1:7" x14ac:dyDescent="0.3">
      <c r="A1664" t="s">
        <v>2519</v>
      </c>
      <c r="B1664" t="s">
        <v>600</v>
      </c>
      <c r="C1664" t="s">
        <v>75</v>
      </c>
      <c r="D1664" s="7">
        <v>46</v>
      </c>
      <c r="E1664">
        <v>2018</v>
      </c>
      <c r="F1664">
        <v>2020</v>
      </c>
      <c r="G1664" t="str">
        <f>IFERROR(INDEX(Formulations[Formulation],MATCH($C1664,Formulations[Product Code],0)),"")</f>
        <v>Crystal</v>
      </c>
    </row>
    <row r="1665" spans="1:7" x14ac:dyDescent="0.3">
      <c r="A1665" t="s">
        <v>353</v>
      </c>
      <c r="B1665" t="s">
        <v>363</v>
      </c>
      <c r="C1665" t="s">
        <v>364</v>
      </c>
      <c r="D1665" s="7">
        <v>45</v>
      </c>
      <c r="E1665">
        <v>2011</v>
      </c>
      <c r="F1665">
        <v>2013</v>
      </c>
      <c r="G1665" t="str">
        <f>IFERROR(INDEX(Formulations[Formulation],MATCH($C1665,Formulations[Product Code],0)),"")</f>
        <v/>
      </c>
    </row>
    <row r="1666" spans="1:7" x14ac:dyDescent="0.3">
      <c r="A1666" t="s">
        <v>941</v>
      </c>
      <c r="B1666" t="s">
        <v>34</v>
      </c>
      <c r="D1666" s="7">
        <v>45</v>
      </c>
      <c r="E1666">
        <v>2018</v>
      </c>
      <c r="F1666">
        <v>2020</v>
      </c>
      <c r="G1666" t="str">
        <f>IFERROR(INDEX(Formulations[Formulation],MATCH($C1666,Formulations[Product Code],0)),"")</f>
        <v/>
      </c>
    </row>
    <row r="1667" spans="1:7" x14ac:dyDescent="0.3">
      <c r="A1667" t="s">
        <v>941</v>
      </c>
      <c r="B1667" t="s">
        <v>485</v>
      </c>
      <c r="C1667" t="s">
        <v>486</v>
      </c>
      <c r="D1667" s="7">
        <v>45</v>
      </c>
      <c r="E1667">
        <v>2017</v>
      </c>
      <c r="F1667">
        <v>2017</v>
      </c>
      <c r="G1667" t="str">
        <f>IFERROR(INDEX(Formulations[Formulation],MATCH($C1667,Formulations[Product Code],0)),"")</f>
        <v>Pure</v>
      </c>
    </row>
    <row r="1668" spans="1:7" x14ac:dyDescent="0.3">
      <c r="A1668" t="s">
        <v>1005</v>
      </c>
      <c r="B1668" t="s">
        <v>532</v>
      </c>
      <c r="C1668" t="s">
        <v>452</v>
      </c>
      <c r="D1668" s="7">
        <v>45</v>
      </c>
      <c r="E1668">
        <v>2019</v>
      </c>
      <c r="F1668">
        <v>2021</v>
      </c>
      <c r="G1668" t="str">
        <f>IFERROR(INDEX(Formulations[Formulation],MATCH($C1668,Formulations[Product Code],0)),"")</f>
        <v>Crystal</v>
      </c>
    </row>
    <row r="1669" spans="1:7" x14ac:dyDescent="0.3">
      <c r="A1669" t="s">
        <v>1005</v>
      </c>
      <c r="B1669" t="s">
        <v>995</v>
      </c>
      <c r="C1669" t="s">
        <v>672</v>
      </c>
      <c r="D1669" s="7">
        <v>45</v>
      </c>
      <c r="E1669">
        <v>2019</v>
      </c>
      <c r="F1669">
        <v>2019</v>
      </c>
      <c r="G1669" t="str">
        <f>IFERROR(INDEX(Formulations[Formulation],MATCH($C1669,Formulations[Product Code],0)),"")</f>
        <v>Pure</v>
      </c>
    </row>
    <row r="1670" spans="1:7" x14ac:dyDescent="0.3">
      <c r="A1670" t="s">
        <v>1175</v>
      </c>
      <c r="B1670" t="s">
        <v>451</v>
      </c>
      <c r="C1670" t="s">
        <v>452</v>
      </c>
      <c r="D1670" s="7">
        <v>45</v>
      </c>
      <c r="E1670">
        <v>2019</v>
      </c>
      <c r="F1670">
        <v>2021</v>
      </c>
      <c r="G1670" t="str">
        <f>IFERROR(INDEX(Formulations[Formulation],MATCH($C1670,Formulations[Product Code],0)),"")</f>
        <v>Crystal</v>
      </c>
    </row>
    <row r="1671" spans="1:7" x14ac:dyDescent="0.3">
      <c r="A1671" t="s">
        <v>1187</v>
      </c>
      <c r="B1671" t="s">
        <v>1199</v>
      </c>
      <c r="C1671" t="s">
        <v>1200</v>
      </c>
      <c r="D1671" s="7">
        <v>45</v>
      </c>
      <c r="E1671">
        <v>2014</v>
      </c>
      <c r="F1671">
        <v>2019</v>
      </c>
      <c r="G1671" t="str">
        <f>IFERROR(INDEX(Formulations[Formulation],MATCH($C1671,Formulations[Product Code],0)),"")</f>
        <v/>
      </c>
    </row>
    <row r="1672" spans="1:7" x14ac:dyDescent="0.3">
      <c r="A1672" t="s">
        <v>1327</v>
      </c>
      <c r="B1672" t="s">
        <v>702</v>
      </c>
      <c r="C1672" t="s">
        <v>703</v>
      </c>
      <c r="D1672" s="7">
        <v>45</v>
      </c>
      <c r="E1672">
        <v>2019</v>
      </c>
      <c r="F1672">
        <v>2020</v>
      </c>
      <c r="G1672" t="str">
        <f>IFERROR(INDEX(Formulations[Formulation],MATCH($C1672,Formulations[Product Code],0)),"")</f>
        <v>flouramax 40%, green apple 30%, strwaberry 15%, cocoa butter 15%</v>
      </c>
    </row>
    <row r="1673" spans="1:7" x14ac:dyDescent="0.3">
      <c r="A1673" t="s">
        <v>1463</v>
      </c>
      <c r="B1673" t="s">
        <v>1472</v>
      </c>
      <c r="C1673" t="s">
        <v>394</v>
      </c>
      <c r="D1673" s="7">
        <v>45</v>
      </c>
      <c r="E1673">
        <v>2012</v>
      </c>
      <c r="F1673">
        <v>2012</v>
      </c>
      <c r="G1673" t="str">
        <f>IFERROR(INDEX(Formulations[Formulation],MATCH($C1673,Formulations[Product Code],0)),"")</f>
        <v>Pure</v>
      </c>
    </row>
    <row r="1674" spans="1:7" x14ac:dyDescent="0.3">
      <c r="A1674" t="s">
        <v>1463</v>
      </c>
      <c r="B1674" t="s">
        <v>19</v>
      </c>
      <c r="C1674" t="s">
        <v>20</v>
      </c>
      <c r="D1674" s="7">
        <v>45</v>
      </c>
      <c r="E1674">
        <v>2012</v>
      </c>
      <c r="F1674">
        <v>2015</v>
      </c>
      <c r="G1674" t="str">
        <f>IFERROR(INDEX(Formulations[Formulation],MATCH($C1674,Formulations[Product Code],0)),"")</f>
        <v>80 % Oil AND 20 % DPG</v>
      </c>
    </row>
    <row r="1675" spans="1:7" x14ac:dyDescent="0.3">
      <c r="A1675" t="s">
        <v>1463</v>
      </c>
      <c r="B1675" t="s">
        <v>153</v>
      </c>
      <c r="C1675" t="s">
        <v>154</v>
      </c>
      <c r="D1675" s="7">
        <v>45</v>
      </c>
      <c r="E1675">
        <v>2012</v>
      </c>
      <c r="F1675">
        <v>2017</v>
      </c>
      <c r="G1675" t="str">
        <f>IFERROR(INDEX(Formulations[Formulation],MATCH($C1675,Formulations[Product Code],0)),"")</f>
        <v>Pure</v>
      </c>
    </row>
    <row r="1676" spans="1:7" x14ac:dyDescent="0.3">
      <c r="A1676" t="s">
        <v>1686</v>
      </c>
      <c r="B1676" t="s">
        <v>19</v>
      </c>
      <c r="C1676" t="s">
        <v>699</v>
      </c>
      <c r="D1676" s="7">
        <v>45</v>
      </c>
      <c r="E1676">
        <v>2016</v>
      </c>
      <c r="F1676">
        <v>2016</v>
      </c>
      <c r="G1676" t="str">
        <f>IFERROR(INDEX(Formulations[Formulation],MATCH($C1676,Formulations[Product Code],0)),"")</f>
        <v/>
      </c>
    </row>
    <row r="1677" spans="1:7" x14ac:dyDescent="0.3">
      <c r="A1677" t="s">
        <v>1743</v>
      </c>
      <c r="B1677" t="s">
        <v>110</v>
      </c>
      <c r="C1677" t="s">
        <v>111</v>
      </c>
      <c r="D1677" s="7">
        <v>45</v>
      </c>
      <c r="E1677">
        <v>2020</v>
      </c>
      <c r="F1677">
        <v>2020</v>
      </c>
      <c r="G1677" t="str">
        <f>IFERROR(INDEX(Formulations[Formulation],MATCH($C1677,Formulations[Product Code],0)),"")</f>
        <v>75% Lemon Zeste, 25% lemon Top &amp; the Gold DPG)</v>
      </c>
    </row>
    <row r="1678" spans="1:7" x14ac:dyDescent="0.3">
      <c r="A1678" t="s">
        <v>1743</v>
      </c>
      <c r="B1678" t="s">
        <v>114</v>
      </c>
      <c r="C1678" t="s">
        <v>115</v>
      </c>
      <c r="D1678" s="7">
        <v>45</v>
      </c>
      <c r="E1678">
        <v>2019</v>
      </c>
      <c r="F1678">
        <v>2021</v>
      </c>
      <c r="G1678" t="str">
        <f>IFERROR(INDEX(Formulations[Formulation],MATCH($C1678,Formulations[Product Code],0)),"")</f>
        <v>Pure</v>
      </c>
    </row>
    <row r="1679" spans="1:7" x14ac:dyDescent="0.3">
      <c r="A1679" t="s">
        <v>1865</v>
      </c>
      <c r="B1679" t="s">
        <v>483</v>
      </c>
      <c r="C1679" t="s">
        <v>484</v>
      </c>
      <c r="D1679" s="7">
        <v>45</v>
      </c>
      <c r="E1679">
        <v>2019</v>
      </c>
      <c r="F1679">
        <v>2020</v>
      </c>
      <c r="G1679" t="str">
        <f>IFERROR(INDEX(Formulations[Formulation],MATCH($C1679,Formulations[Product Code],0)),"")</f>
        <v>Crystal</v>
      </c>
    </row>
    <row r="1680" spans="1:7" x14ac:dyDescent="0.3">
      <c r="A1680" t="s">
        <v>1873</v>
      </c>
      <c r="B1680" t="s">
        <v>218</v>
      </c>
      <c r="C1680" t="s">
        <v>212</v>
      </c>
      <c r="D1680" s="7">
        <v>45</v>
      </c>
      <c r="E1680">
        <v>2011</v>
      </c>
      <c r="F1680">
        <v>2013</v>
      </c>
      <c r="G1680" t="str">
        <f>IFERROR(INDEX(Formulations[Formulation],MATCH($C1680,Formulations[Product Code],0)),"")</f>
        <v>Pure</v>
      </c>
    </row>
    <row r="1681" spans="1:7" x14ac:dyDescent="0.3">
      <c r="A1681" t="s">
        <v>1873</v>
      </c>
      <c r="B1681" t="s">
        <v>153</v>
      </c>
      <c r="C1681" t="s">
        <v>154</v>
      </c>
      <c r="D1681" s="7">
        <v>45</v>
      </c>
      <c r="E1681">
        <v>2017</v>
      </c>
      <c r="F1681">
        <v>2021</v>
      </c>
      <c r="G1681" t="str">
        <f>IFERROR(INDEX(Formulations[Formulation],MATCH($C1681,Formulations[Product Code],0)),"")</f>
        <v>Pure</v>
      </c>
    </row>
    <row r="1682" spans="1:7" x14ac:dyDescent="0.3">
      <c r="A1682" t="s">
        <v>1898</v>
      </c>
      <c r="B1682" t="s">
        <v>103</v>
      </c>
      <c r="C1682" t="s">
        <v>104</v>
      </c>
      <c r="D1682" s="7">
        <v>45</v>
      </c>
      <c r="E1682">
        <v>2016</v>
      </c>
      <c r="F1682">
        <v>2019</v>
      </c>
      <c r="G1682" t="str">
        <f>IFERROR(INDEX(Formulations[Formulation],MATCH($C1682,Formulations[Product Code],0)),"")</f>
        <v>Pure</v>
      </c>
    </row>
    <row r="1683" spans="1:7" x14ac:dyDescent="0.3">
      <c r="A1683" t="s">
        <v>1964</v>
      </c>
      <c r="B1683" t="s">
        <v>600</v>
      </c>
      <c r="C1683" t="s">
        <v>75</v>
      </c>
      <c r="D1683" s="7">
        <v>45</v>
      </c>
      <c r="E1683">
        <v>2019</v>
      </c>
      <c r="F1683">
        <v>2020</v>
      </c>
      <c r="G1683" t="str">
        <f>IFERROR(INDEX(Formulations[Formulation],MATCH($C1683,Formulations[Product Code],0)),"")</f>
        <v>Crystal</v>
      </c>
    </row>
    <row r="1684" spans="1:7" x14ac:dyDescent="0.3">
      <c r="A1684" t="s">
        <v>2007</v>
      </c>
      <c r="B1684" t="s">
        <v>24</v>
      </c>
      <c r="C1684" t="s">
        <v>25</v>
      </c>
      <c r="D1684" s="7">
        <v>45</v>
      </c>
      <c r="E1684">
        <v>2017</v>
      </c>
      <c r="F1684">
        <v>2018</v>
      </c>
      <c r="G1684" t="str">
        <f>IFERROR(INDEX(Formulations[Formulation],MATCH($C1684,Formulations[Product Code],0)),"")</f>
        <v>citropine 85%/Pinefresh 15%</v>
      </c>
    </row>
    <row r="1685" spans="1:7" x14ac:dyDescent="0.3">
      <c r="A1685" t="s">
        <v>2123</v>
      </c>
      <c r="B1685" t="s">
        <v>375</v>
      </c>
      <c r="C1685" t="s">
        <v>262</v>
      </c>
      <c r="D1685" s="7">
        <v>45</v>
      </c>
      <c r="E1685">
        <v>2016</v>
      </c>
      <c r="F1685">
        <v>2017</v>
      </c>
      <c r="G1685" t="str">
        <f>IFERROR(INDEX(Formulations[Formulation],MATCH($C1685,Formulations[Product Code],0)),"")</f>
        <v>Pure</v>
      </c>
    </row>
    <row r="1686" spans="1:7" x14ac:dyDescent="0.3">
      <c r="A1686" t="s">
        <v>2238</v>
      </c>
      <c r="B1686" t="s">
        <v>346</v>
      </c>
      <c r="C1686" t="s">
        <v>347</v>
      </c>
      <c r="D1686" s="7">
        <v>45</v>
      </c>
      <c r="E1686">
        <v>2016</v>
      </c>
      <c r="F1686">
        <v>2018</v>
      </c>
      <c r="G1686" t="str">
        <f>IFERROR(INDEX(Formulations[Formulation],MATCH($C1686,Formulations[Product Code],0)),"")</f>
        <v>Pure</v>
      </c>
    </row>
    <row r="1687" spans="1:7" x14ac:dyDescent="0.3">
      <c r="A1687" t="s">
        <v>2271</v>
      </c>
      <c r="B1687" t="s">
        <v>45</v>
      </c>
      <c r="D1687" s="7">
        <v>45</v>
      </c>
      <c r="E1687">
        <v>2020</v>
      </c>
      <c r="F1687">
        <v>2021</v>
      </c>
      <c r="G1687" t="str">
        <f>IFERROR(INDEX(Formulations[Formulation],MATCH($C1687,Formulations[Product Code],0)),"")</f>
        <v/>
      </c>
    </row>
    <row r="1688" spans="1:7" x14ac:dyDescent="0.3">
      <c r="A1688" t="s">
        <v>2290</v>
      </c>
      <c r="B1688" t="s">
        <v>828</v>
      </c>
      <c r="D1688" s="7">
        <v>45</v>
      </c>
      <c r="E1688">
        <v>2016</v>
      </c>
      <c r="F1688">
        <v>2017</v>
      </c>
      <c r="G1688" t="str">
        <f>IFERROR(INDEX(Formulations[Formulation],MATCH($C1688,Formulations[Product Code],0)),"")</f>
        <v/>
      </c>
    </row>
    <row r="1689" spans="1:7" x14ac:dyDescent="0.3">
      <c r="A1689" t="s">
        <v>2346</v>
      </c>
      <c r="B1689" t="s">
        <v>1687</v>
      </c>
      <c r="C1689" t="s">
        <v>1688</v>
      </c>
      <c r="D1689" s="7">
        <v>45</v>
      </c>
      <c r="E1689">
        <v>2019</v>
      </c>
      <c r="F1689">
        <v>2021</v>
      </c>
      <c r="G1689" t="str">
        <f>IFERROR(INDEX(Formulations[Formulation],MATCH($C1689,Formulations[Product Code],0)),"")</f>
        <v>Floral 60% &amp; Gardenia 40%</v>
      </c>
    </row>
    <row r="1690" spans="1:7" x14ac:dyDescent="0.3">
      <c r="A1690" t="s">
        <v>2346</v>
      </c>
      <c r="B1690" t="s">
        <v>1208</v>
      </c>
      <c r="C1690" t="s">
        <v>1209</v>
      </c>
      <c r="D1690" s="7">
        <v>45</v>
      </c>
      <c r="E1690">
        <v>2019</v>
      </c>
      <c r="F1690">
        <v>2019</v>
      </c>
      <c r="G1690" t="str">
        <f>IFERROR(INDEX(Formulations[Formulation],MATCH($C1690,Formulations[Product Code],0)),"")</f>
        <v/>
      </c>
    </row>
    <row r="1691" spans="1:7" x14ac:dyDescent="0.3">
      <c r="A1691" t="s">
        <v>2354</v>
      </c>
      <c r="B1691" t="s">
        <v>36</v>
      </c>
      <c r="D1691" s="7">
        <v>45</v>
      </c>
      <c r="E1691">
        <v>2017</v>
      </c>
      <c r="F1691">
        <v>2020</v>
      </c>
      <c r="G1691" t="str">
        <f>IFERROR(INDEX(Formulations[Formulation],MATCH($C1691,Formulations[Product Code],0)),"")</f>
        <v/>
      </c>
    </row>
    <row r="1692" spans="1:7" x14ac:dyDescent="0.3">
      <c r="A1692" t="s">
        <v>2362</v>
      </c>
      <c r="B1692" t="s">
        <v>538</v>
      </c>
      <c r="C1692" t="s">
        <v>539</v>
      </c>
      <c r="D1692" s="7">
        <v>45</v>
      </c>
      <c r="E1692">
        <v>2014</v>
      </c>
      <c r="F1692">
        <v>2015</v>
      </c>
      <c r="G1692" t="str">
        <f>IFERROR(INDEX(Formulations[Formulation],MATCH($C1692,Formulations[Product Code],0)),"")</f>
        <v>Gold</v>
      </c>
    </row>
    <row r="1693" spans="1:7" x14ac:dyDescent="0.3">
      <c r="A1693" t="s">
        <v>2380</v>
      </c>
      <c r="B1693" t="s">
        <v>1419</v>
      </c>
      <c r="C1693" t="s">
        <v>1420</v>
      </c>
      <c r="D1693" s="7">
        <v>45</v>
      </c>
      <c r="E1693">
        <v>2020</v>
      </c>
      <c r="F1693">
        <v>2021</v>
      </c>
      <c r="G1693" t="str">
        <f>IFERROR(INDEX(Formulations[Formulation],MATCH($C1693,Formulations[Product Code],0)),"")</f>
        <v>Crystal</v>
      </c>
    </row>
    <row r="1694" spans="1:7" x14ac:dyDescent="0.3">
      <c r="A1694" t="s">
        <v>2380</v>
      </c>
      <c r="B1694" t="s">
        <v>826</v>
      </c>
      <c r="C1694" t="s">
        <v>229</v>
      </c>
      <c r="D1694" s="7">
        <v>45</v>
      </c>
      <c r="E1694">
        <v>2009</v>
      </c>
      <c r="F1694">
        <v>2011</v>
      </c>
      <c r="G1694" t="str">
        <f>IFERROR(INDEX(Formulations[Formulation],MATCH($C1694,Formulations[Product Code],0)),"")</f>
        <v>Pure</v>
      </c>
    </row>
    <row r="1695" spans="1:7" x14ac:dyDescent="0.3">
      <c r="A1695" t="s">
        <v>2392</v>
      </c>
      <c r="B1695" t="s">
        <v>2135</v>
      </c>
      <c r="D1695" s="7">
        <v>45</v>
      </c>
      <c r="E1695">
        <v>2009</v>
      </c>
      <c r="F1695">
        <v>2010</v>
      </c>
      <c r="G1695" t="str">
        <f>IFERROR(INDEX(Formulations[Formulation],MATCH($C1695,Formulations[Product Code],0)),"")</f>
        <v/>
      </c>
    </row>
    <row r="1696" spans="1:7" x14ac:dyDescent="0.3">
      <c r="A1696" t="s">
        <v>2392</v>
      </c>
      <c r="B1696" t="s">
        <v>2394</v>
      </c>
      <c r="C1696" t="s">
        <v>2395</v>
      </c>
      <c r="D1696" s="7">
        <v>45</v>
      </c>
      <c r="E1696">
        <v>2009</v>
      </c>
      <c r="F1696">
        <v>2010</v>
      </c>
      <c r="G1696" t="str">
        <f>IFERROR(INDEX(Formulations[Formulation],MATCH($C1696,Formulations[Product Code],0)),"")</f>
        <v/>
      </c>
    </row>
    <row r="1697" spans="1:7" x14ac:dyDescent="0.3">
      <c r="A1697" t="s">
        <v>2392</v>
      </c>
      <c r="B1697" t="s">
        <v>378</v>
      </c>
      <c r="C1697" t="s">
        <v>379</v>
      </c>
      <c r="D1697" s="7">
        <v>45</v>
      </c>
      <c r="E1697">
        <v>2009</v>
      </c>
      <c r="F1697">
        <v>2010</v>
      </c>
      <c r="G1697" t="str">
        <f>IFERROR(INDEX(Formulations[Formulation],MATCH($C1697,Formulations[Product Code],0)),"")</f>
        <v/>
      </c>
    </row>
    <row r="1698" spans="1:7" x14ac:dyDescent="0.3">
      <c r="A1698" t="s">
        <v>2412</v>
      </c>
      <c r="B1698" t="s">
        <v>32</v>
      </c>
      <c r="D1698" s="7">
        <v>45</v>
      </c>
      <c r="E1698">
        <v>2015</v>
      </c>
      <c r="F1698">
        <v>2019</v>
      </c>
      <c r="G1698" t="str">
        <f>IFERROR(INDEX(Formulations[Formulation],MATCH($C1698,Formulations[Product Code],0)),"")</f>
        <v/>
      </c>
    </row>
    <row r="1699" spans="1:7" x14ac:dyDescent="0.3">
      <c r="A1699" t="s">
        <v>2509</v>
      </c>
      <c r="B1699" t="s">
        <v>2512</v>
      </c>
      <c r="C1699" t="s">
        <v>2513</v>
      </c>
      <c r="D1699" s="7">
        <v>45</v>
      </c>
      <c r="E1699">
        <v>2010</v>
      </c>
      <c r="F1699">
        <v>2016</v>
      </c>
      <c r="G1699" t="str">
        <f>IFERROR(INDEX(Formulations[Formulation],MATCH($C1699,Formulations[Product Code],0)),"")</f>
        <v/>
      </c>
    </row>
    <row r="1700" spans="1:7" x14ac:dyDescent="0.3">
      <c r="A1700" t="s">
        <v>2535</v>
      </c>
      <c r="B1700" t="s">
        <v>2536</v>
      </c>
      <c r="D1700" s="7">
        <v>45</v>
      </c>
      <c r="E1700">
        <v>2016</v>
      </c>
      <c r="F1700">
        <v>2017</v>
      </c>
      <c r="G1700" t="str">
        <f>IFERROR(INDEX(Formulations[Formulation],MATCH($C1700,Formulations[Product Code],0)),"")</f>
        <v/>
      </c>
    </row>
    <row r="1701" spans="1:7" x14ac:dyDescent="0.3">
      <c r="A1701" t="s">
        <v>2596</v>
      </c>
      <c r="B1701" t="s">
        <v>363</v>
      </c>
      <c r="C1701" t="s">
        <v>364</v>
      </c>
      <c r="D1701" s="7">
        <v>45</v>
      </c>
      <c r="E1701">
        <v>2011</v>
      </c>
      <c r="F1701">
        <v>2012</v>
      </c>
      <c r="G1701" t="str">
        <f>IFERROR(INDEX(Formulations[Formulation],MATCH($C1701,Formulations[Product Code],0)),"")</f>
        <v/>
      </c>
    </row>
    <row r="1702" spans="1:7" x14ac:dyDescent="0.3">
      <c r="A1702" t="s">
        <v>2596</v>
      </c>
      <c r="B1702" t="s">
        <v>1530</v>
      </c>
      <c r="C1702" t="s">
        <v>1531</v>
      </c>
      <c r="D1702" s="7">
        <v>45</v>
      </c>
      <c r="E1702">
        <v>2011</v>
      </c>
      <c r="F1702">
        <v>2012</v>
      </c>
      <c r="G1702" t="str">
        <f>IFERROR(INDEX(Formulations[Formulation],MATCH($C1702,Formulations[Product Code],0)),"")</f>
        <v/>
      </c>
    </row>
    <row r="1703" spans="1:7" x14ac:dyDescent="0.3">
      <c r="A1703" t="s">
        <v>685</v>
      </c>
      <c r="B1703" t="s">
        <v>36</v>
      </c>
      <c r="D1703" s="7">
        <v>44</v>
      </c>
      <c r="E1703">
        <v>2019</v>
      </c>
      <c r="F1703">
        <v>2021</v>
      </c>
      <c r="G1703" t="str">
        <f>IFERROR(INDEX(Formulations[Formulation],MATCH($C1703,Formulations[Product Code],0)),"")</f>
        <v/>
      </c>
    </row>
    <row r="1704" spans="1:7" x14ac:dyDescent="0.3">
      <c r="A1704" t="s">
        <v>1984</v>
      </c>
      <c r="B1704" t="s">
        <v>1511</v>
      </c>
      <c r="C1704" t="s">
        <v>1255</v>
      </c>
      <c r="D1704" s="7">
        <v>44</v>
      </c>
      <c r="E1704">
        <v>2011</v>
      </c>
      <c r="F1704">
        <v>2013</v>
      </c>
      <c r="G1704" t="str">
        <f>IFERROR(INDEX(Formulations[Formulation],MATCH($C1704,Formulations[Product Code],0)),"")</f>
        <v/>
      </c>
    </row>
    <row r="1705" spans="1:7" x14ac:dyDescent="0.3">
      <c r="A1705" t="s">
        <v>2290</v>
      </c>
      <c r="B1705" t="s">
        <v>2291</v>
      </c>
      <c r="D1705" s="7">
        <v>44</v>
      </c>
      <c r="E1705">
        <v>2011</v>
      </c>
      <c r="F1705">
        <v>2011</v>
      </c>
      <c r="G1705" t="str">
        <f>IFERROR(INDEX(Formulations[Formulation],MATCH($C1705,Formulations[Product Code],0)),"")</f>
        <v/>
      </c>
    </row>
    <row r="1706" spans="1:7" x14ac:dyDescent="0.3">
      <c r="A1706" t="s">
        <v>585</v>
      </c>
      <c r="B1706" t="s">
        <v>55</v>
      </c>
      <c r="D1706" s="7">
        <v>43</v>
      </c>
      <c r="E1706">
        <v>2021</v>
      </c>
      <c r="F1706">
        <v>2021</v>
      </c>
      <c r="G1706" t="str">
        <f>IFERROR(INDEX(Formulations[Formulation],MATCH($C1706,Formulations[Product Code],0)),"")</f>
        <v/>
      </c>
    </row>
    <row r="1707" spans="1:7" x14ac:dyDescent="0.3">
      <c r="A1707" t="s">
        <v>2538</v>
      </c>
      <c r="B1707" t="s">
        <v>2539</v>
      </c>
      <c r="C1707" t="s">
        <v>563</v>
      </c>
      <c r="D1707" s="7">
        <v>43</v>
      </c>
      <c r="E1707">
        <v>2019</v>
      </c>
      <c r="F1707">
        <v>2019</v>
      </c>
      <c r="G1707" t="str">
        <f>IFERROR(INDEX(Formulations[Formulation],MATCH($C1707,Formulations[Product Code],0)),"")</f>
        <v/>
      </c>
    </row>
    <row r="1708" spans="1:7" x14ac:dyDescent="0.3">
      <c r="A1708" t="s">
        <v>1675</v>
      </c>
      <c r="B1708" t="s">
        <v>28</v>
      </c>
      <c r="D1708" s="7">
        <v>42</v>
      </c>
      <c r="E1708">
        <v>2015</v>
      </c>
      <c r="F1708">
        <v>2018</v>
      </c>
      <c r="G1708" t="str">
        <f>IFERROR(INDEX(Formulations[Formulation],MATCH($C1708,Formulations[Product Code],0)),"")</f>
        <v/>
      </c>
    </row>
    <row r="1709" spans="1:7" x14ac:dyDescent="0.3">
      <c r="A1709" t="s">
        <v>1860</v>
      </c>
      <c r="B1709" t="s">
        <v>39</v>
      </c>
      <c r="D1709" s="7">
        <v>42</v>
      </c>
      <c r="E1709">
        <v>2018</v>
      </c>
      <c r="F1709">
        <v>2020</v>
      </c>
      <c r="G1709" t="str">
        <f>IFERROR(INDEX(Formulations[Formulation],MATCH($C1709,Formulations[Product Code],0)),"")</f>
        <v/>
      </c>
    </row>
    <row r="1710" spans="1:7" x14ac:dyDescent="0.3">
      <c r="A1710" t="s">
        <v>2054</v>
      </c>
      <c r="B1710" t="s">
        <v>32</v>
      </c>
      <c r="D1710" s="7">
        <v>42</v>
      </c>
      <c r="E1710">
        <v>2018</v>
      </c>
      <c r="F1710">
        <v>2018</v>
      </c>
      <c r="G1710" t="str">
        <f>IFERROR(INDEX(Formulations[Formulation],MATCH($C1710,Formulations[Product Code],0)),"")</f>
        <v/>
      </c>
    </row>
    <row r="1711" spans="1:7" x14ac:dyDescent="0.3">
      <c r="A1711" t="s">
        <v>685</v>
      </c>
      <c r="B1711" t="s">
        <v>35</v>
      </c>
      <c r="D1711" s="7">
        <v>41</v>
      </c>
      <c r="E1711">
        <v>2019</v>
      </c>
      <c r="F1711">
        <v>2021</v>
      </c>
      <c r="G1711" t="str">
        <f>IFERROR(INDEX(Formulations[Formulation],MATCH($C1711,Formulations[Product Code],0)),"")</f>
        <v/>
      </c>
    </row>
    <row r="1712" spans="1:7" x14ac:dyDescent="0.3">
      <c r="A1712" t="s">
        <v>1746</v>
      </c>
      <c r="B1712" t="s">
        <v>383</v>
      </c>
      <c r="C1712" t="s">
        <v>385</v>
      </c>
      <c r="D1712" s="7">
        <v>41</v>
      </c>
      <c r="E1712">
        <v>2021</v>
      </c>
      <c r="F1712">
        <v>2021</v>
      </c>
      <c r="G1712" t="str">
        <f>IFERROR(INDEX(Formulations[Formulation],MATCH($C1712,Formulations[Product Code],0)),"")</f>
        <v>Silver</v>
      </c>
    </row>
    <row r="1713" spans="1:7" x14ac:dyDescent="0.3">
      <c r="A1713" t="s">
        <v>1832</v>
      </c>
      <c r="B1713" t="s">
        <v>29</v>
      </c>
      <c r="D1713" s="7">
        <v>41</v>
      </c>
      <c r="E1713">
        <v>2018</v>
      </c>
      <c r="F1713">
        <v>2018</v>
      </c>
      <c r="G1713" t="str">
        <f>IFERROR(INDEX(Formulations[Formulation],MATCH($C1713,Formulations[Product Code],0)),"")</f>
        <v/>
      </c>
    </row>
    <row r="1714" spans="1:7" x14ac:dyDescent="0.3">
      <c r="A1714" t="s">
        <v>23</v>
      </c>
      <c r="B1714" t="s">
        <v>32</v>
      </c>
      <c r="D1714" s="7">
        <v>40</v>
      </c>
      <c r="E1714">
        <v>2017</v>
      </c>
      <c r="F1714">
        <v>2017</v>
      </c>
      <c r="G1714" t="str">
        <f>IFERROR(INDEX(Formulations[Formulation],MATCH($C1714,Formulations[Product Code],0)),"")</f>
        <v/>
      </c>
    </row>
    <row r="1715" spans="1:7" x14ac:dyDescent="0.3">
      <c r="A1715" t="s">
        <v>40</v>
      </c>
      <c r="B1715" t="s">
        <v>43</v>
      </c>
      <c r="C1715" t="s">
        <v>44</v>
      </c>
      <c r="D1715" s="7">
        <v>40</v>
      </c>
      <c r="E1715">
        <v>2010</v>
      </c>
      <c r="F1715">
        <v>2010</v>
      </c>
      <c r="G1715" t="str">
        <f>IFERROR(INDEX(Formulations[Formulation],MATCH($C1715,Formulations[Product Code],0)),"")</f>
        <v/>
      </c>
    </row>
    <row r="1716" spans="1:7" x14ac:dyDescent="0.3">
      <c r="A1716" t="s">
        <v>449</v>
      </c>
      <c r="B1716" t="s">
        <v>458</v>
      </c>
      <c r="D1716" s="7">
        <v>40</v>
      </c>
      <c r="E1716">
        <v>2015</v>
      </c>
      <c r="F1716">
        <v>2016</v>
      </c>
      <c r="G1716" t="str">
        <f>IFERROR(INDEX(Formulations[Formulation],MATCH($C1716,Formulations[Product Code],0)),"")</f>
        <v/>
      </c>
    </row>
    <row r="1717" spans="1:7" x14ac:dyDescent="0.3">
      <c r="A1717" t="s">
        <v>585</v>
      </c>
      <c r="B1717" t="s">
        <v>189</v>
      </c>
      <c r="D1717" s="7">
        <v>40</v>
      </c>
      <c r="E1717">
        <v>2019</v>
      </c>
      <c r="F1717">
        <v>2019</v>
      </c>
      <c r="G1717" t="str">
        <f>IFERROR(INDEX(Formulations[Formulation],MATCH($C1717,Formulations[Product Code],0)),"")</f>
        <v/>
      </c>
    </row>
    <row r="1718" spans="1:7" x14ac:dyDescent="0.3">
      <c r="A1718" t="s">
        <v>609</v>
      </c>
      <c r="B1718" t="s">
        <v>84</v>
      </c>
      <c r="C1718" t="s">
        <v>85</v>
      </c>
      <c r="D1718" s="7">
        <v>40</v>
      </c>
      <c r="E1718">
        <v>2015</v>
      </c>
      <c r="F1718">
        <v>2016</v>
      </c>
      <c r="G1718" t="str">
        <f>IFERROR(INDEX(Formulations[Formulation],MATCH($C1718,Formulations[Product Code],0)),"")</f>
        <v>Pure</v>
      </c>
    </row>
    <row r="1719" spans="1:7" x14ac:dyDescent="0.3">
      <c r="A1719" t="s">
        <v>781</v>
      </c>
      <c r="B1719" t="s">
        <v>782</v>
      </c>
      <c r="D1719" s="7">
        <v>40</v>
      </c>
      <c r="E1719">
        <v>2019</v>
      </c>
      <c r="F1719">
        <v>2021</v>
      </c>
      <c r="G1719" t="str">
        <f>IFERROR(INDEX(Formulations[Formulation],MATCH($C1719,Formulations[Product Code],0)),"")</f>
        <v/>
      </c>
    </row>
    <row r="1720" spans="1:7" x14ac:dyDescent="0.3">
      <c r="A1720" t="s">
        <v>794</v>
      </c>
      <c r="B1720" t="s">
        <v>799</v>
      </c>
      <c r="C1720" t="s">
        <v>800</v>
      </c>
      <c r="D1720" s="7">
        <v>40</v>
      </c>
      <c r="E1720">
        <v>2011</v>
      </c>
      <c r="F1720">
        <v>2011</v>
      </c>
      <c r="G1720" t="str">
        <f>IFERROR(INDEX(Formulations[Formulation],MATCH($C1720,Formulations[Product Code],0)),"")</f>
        <v/>
      </c>
    </row>
    <row r="1721" spans="1:7" x14ac:dyDescent="0.3">
      <c r="A1721" t="s">
        <v>842</v>
      </c>
      <c r="B1721" t="s">
        <v>845</v>
      </c>
      <c r="C1721" t="s">
        <v>846</v>
      </c>
      <c r="D1721" s="7">
        <v>40</v>
      </c>
      <c r="E1721">
        <v>2010</v>
      </c>
      <c r="F1721">
        <v>2011</v>
      </c>
      <c r="G1721" t="str">
        <f>IFERROR(INDEX(Formulations[Formulation],MATCH($C1721,Formulations[Product Code],0)),"")</f>
        <v/>
      </c>
    </row>
    <row r="1722" spans="1:7" x14ac:dyDescent="0.3">
      <c r="A1722" t="s">
        <v>941</v>
      </c>
      <c r="B1722" t="s">
        <v>543</v>
      </c>
      <c r="C1722" t="s">
        <v>544</v>
      </c>
      <c r="D1722" s="7">
        <v>40</v>
      </c>
      <c r="E1722">
        <v>2017</v>
      </c>
      <c r="F1722">
        <v>2017</v>
      </c>
      <c r="G1722" t="str">
        <f>IFERROR(INDEX(Formulations[Formulation],MATCH($C1722,Formulations[Product Code],0)),"")</f>
        <v>Crystal</v>
      </c>
    </row>
    <row r="1723" spans="1:7" x14ac:dyDescent="0.3">
      <c r="A1723" t="s">
        <v>993</v>
      </c>
      <c r="B1723" t="s">
        <v>12</v>
      </c>
      <c r="C1723" t="s">
        <v>13</v>
      </c>
      <c r="D1723" s="7">
        <v>40</v>
      </c>
      <c r="E1723">
        <v>2017</v>
      </c>
      <c r="F1723">
        <v>2019</v>
      </c>
      <c r="G1723" t="str">
        <f>IFERROR(INDEX(Formulations[Formulation],MATCH($C1723,Formulations[Product Code],0)),"")</f>
        <v>Crystal</v>
      </c>
    </row>
    <row r="1724" spans="1:7" x14ac:dyDescent="0.3">
      <c r="A1724" t="s">
        <v>1096</v>
      </c>
      <c r="B1724" t="s">
        <v>1097</v>
      </c>
      <c r="C1724" t="s">
        <v>1098</v>
      </c>
      <c r="D1724" s="7">
        <v>40</v>
      </c>
      <c r="E1724">
        <v>2020</v>
      </c>
      <c r="F1724">
        <v>2021</v>
      </c>
      <c r="G1724" t="str">
        <f>IFERROR(INDEX(Formulations[Formulation],MATCH($C1724,Formulations[Product Code],0)),"")</f>
        <v>Everlasting 70%, Floral 20% &amp; Avocado 10%</v>
      </c>
    </row>
    <row r="1725" spans="1:7" x14ac:dyDescent="0.3">
      <c r="A1725" t="s">
        <v>1139</v>
      </c>
      <c r="B1725" t="s">
        <v>1144</v>
      </c>
      <c r="D1725" s="7">
        <v>40</v>
      </c>
      <c r="E1725">
        <v>2010</v>
      </c>
      <c r="F1725">
        <v>2011</v>
      </c>
      <c r="G1725" t="str">
        <f>IFERROR(INDEX(Formulations[Formulation],MATCH($C1725,Formulations[Product Code],0)),"")</f>
        <v/>
      </c>
    </row>
    <row r="1726" spans="1:7" x14ac:dyDescent="0.3">
      <c r="A1726" t="s">
        <v>1162</v>
      </c>
      <c r="B1726" t="s">
        <v>240</v>
      </c>
      <c r="D1726" s="7">
        <v>40</v>
      </c>
      <c r="E1726">
        <v>2020</v>
      </c>
      <c r="F1726">
        <v>2020</v>
      </c>
      <c r="G1726" t="str">
        <f>IFERROR(INDEX(Formulations[Formulation],MATCH($C1726,Formulations[Product Code],0)),"")</f>
        <v/>
      </c>
    </row>
    <row r="1727" spans="1:7" x14ac:dyDescent="0.3">
      <c r="A1727" t="s">
        <v>1175</v>
      </c>
      <c r="B1727" t="s">
        <v>627</v>
      </c>
      <c r="C1727" t="s">
        <v>628</v>
      </c>
      <c r="D1727" s="7">
        <v>40</v>
      </c>
      <c r="E1727">
        <v>2018</v>
      </c>
      <c r="F1727">
        <v>2020</v>
      </c>
      <c r="G1727" t="str">
        <f>IFERROR(INDEX(Formulations[Formulation],MATCH($C1727,Formulations[Product Code],0)),"")</f>
        <v>Pure</v>
      </c>
    </row>
    <row r="1728" spans="1:7" x14ac:dyDescent="0.3">
      <c r="A1728" t="s">
        <v>1175</v>
      </c>
      <c r="B1728" t="s">
        <v>573</v>
      </c>
      <c r="C1728" t="s">
        <v>574</v>
      </c>
      <c r="D1728" s="7">
        <v>40</v>
      </c>
      <c r="E1728">
        <v>2018</v>
      </c>
      <c r="F1728">
        <v>2019</v>
      </c>
      <c r="G1728" t="str">
        <f>IFERROR(INDEX(Formulations[Formulation],MATCH($C1728,Formulations[Product Code],0)),"")</f>
        <v>Crystal</v>
      </c>
    </row>
    <row r="1729" spans="1:7" x14ac:dyDescent="0.3">
      <c r="A1729" t="s">
        <v>1175</v>
      </c>
      <c r="B1729" t="s">
        <v>483</v>
      </c>
      <c r="C1729" t="s">
        <v>484</v>
      </c>
      <c r="D1729" s="7">
        <v>40</v>
      </c>
      <c r="E1729">
        <v>2018</v>
      </c>
      <c r="F1729">
        <v>2021</v>
      </c>
      <c r="G1729" t="str">
        <f>IFERROR(INDEX(Formulations[Formulation],MATCH($C1729,Formulations[Product Code],0)),"")</f>
        <v>Crystal</v>
      </c>
    </row>
    <row r="1730" spans="1:7" x14ac:dyDescent="0.3">
      <c r="A1730" t="s">
        <v>1373</v>
      </c>
      <c r="B1730" t="s">
        <v>32</v>
      </c>
      <c r="D1730" s="7">
        <v>40</v>
      </c>
      <c r="E1730">
        <v>2015</v>
      </c>
      <c r="F1730">
        <v>2015</v>
      </c>
      <c r="G1730" t="str">
        <f>IFERROR(INDEX(Formulations[Formulation],MATCH($C1730,Formulations[Product Code],0)),"")</f>
        <v/>
      </c>
    </row>
    <row r="1731" spans="1:7" x14ac:dyDescent="0.3">
      <c r="A1731" t="s">
        <v>1399</v>
      </c>
      <c r="B1731" t="s">
        <v>45</v>
      </c>
      <c r="D1731" s="7">
        <v>40</v>
      </c>
      <c r="E1731">
        <v>2018</v>
      </c>
      <c r="F1731">
        <v>2020</v>
      </c>
      <c r="G1731" t="str">
        <f>IFERROR(INDEX(Formulations[Formulation],MATCH($C1731,Formulations[Product Code],0)),"")</f>
        <v/>
      </c>
    </row>
    <row r="1732" spans="1:7" x14ac:dyDescent="0.3">
      <c r="A1732" t="s">
        <v>1400</v>
      </c>
      <c r="B1732" t="s">
        <v>45</v>
      </c>
      <c r="D1732" s="7">
        <v>40</v>
      </c>
      <c r="E1732">
        <v>2015</v>
      </c>
      <c r="F1732">
        <v>2017</v>
      </c>
      <c r="G1732" t="str">
        <f>IFERROR(INDEX(Formulations[Formulation],MATCH($C1732,Formulations[Product Code],0)),"")</f>
        <v/>
      </c>
    </row>
    <row r="1733" spans="1:7" x14ac:dyDescent="0.3">
      <c r="A1733" t="s">
        <v>1400</v>
      </c>
      <c r="B1733" t="s">
        <v>240</v>
      </c>
      <c r="D1733" s="7">
        <v>40</v>
      </c>
      <c r="E1733">
        <v>2013</v>
      </c>
      <c r="F1733">
        <v>2017</v>
      </c>
      <c r="G1733" t="str">
        <f>IFERROR(INDEX(Formulations[Formulation],MATCH($C1733,Formulations[Product Code],0)),"")</f>
        <v/>
      </c>
    </row>
    <row r="1734" spans="1:7" x14ac:dyDescent="0.3">
      <c r="A1734" t="s">
        <v>1460</v>
      </c>
      <c r="B1734" t="s">
        <v>1461</v>
      </c>
      <c r="D1734" s="7">
        <v>40</v>
      </c>
      <c r="E1734">
        <v>2016</v>
      </c>
      <c r="F1734">
        <v>2018</v>
      </c>
      <c r="G1734" t="str">
        <f>IFERROR(INDEX(Formulations[Formulation],MATCH($C1734,Formulations[Product Code],0)),"")</f>
        <v/>
      </c>
    </row>
    <row r="1735" spans="1:7" x14ac:dyDescent="0.3">
      <c r="A1735" t="s">
        <v>1460</v>
      </c>
      <c r="B1735" t="s">
        <v>32</v>
      </c>
      <c r="D1735" s="7">
        <v>40</v>
      </c>
      <c r="E1735">
        <v>2018</v>
      </c>
      <c r="F1735">
        <v>2018</v>
      </c>
      <c r="G1735" t="str">
        <f>IFERROR(INDEX(Formulations[Formulation],MATCH($C1735,Formulations[Product Code],0)),"")</f>
        <v/>
      </c>
    </row>
    <row r="1736" spans="1:7" x14ac:dyDescent="0.3">
      <c r="A1736" t="s">
        <v>1668</v>
      </c>
      <c r="B1736" t="s">
        <v>32</v>
      </c>
      <c r="D1736" s="7">
        <v>40</v>
      </c>
      <c r="E1736">
        <v>2017</v>
      </c>
      <c r="F1736">
        <v>2021</v>
      </c>
      <c r="G1736" t="str">
        <f>IFERROR(INDEX(Formulations[Formulation],MATCH($C1736,Formulations[Product Code],0)),"")</f>
        <v/>
      </c>
    </row>
    <row r="1737" spans="1:7" x14ac:dyDescent="0.3">
      <c r="A1737" t="s">
        <v>1675</v>
      </c>
      <c r="B1737" t="s">
        <v>32</v>
      </c>
      <c r="D1737" s="7">
        <v>40</v>
      </c>
      <c r="E1737">
        <v>2015</v>
      </c>
      <c r="F1737">
        <v>2017</v>
      </c>
      <c r="G1737" t="str">
        <f>IFERROR(INDEX(Formulations[Formulation],MATCH($C1737,Formulations[Product Code],0)),"")</f>
        <v/>
      </c>
    </row>
    <row r="1738" spans="1:7" x14ac:dyDescent="0.3">
      <c r="A1738" t="s">
        <v>1692</v>
      </c>
      <c r="B1738" t="s">
        <v>863</v>
      </c>
      <c r="D1738" s="7">
        <v>40</v>
      </c>
      <c r="E1738">
        <v>2016</v>
      </c>
      <c r="F1738">
        <v>2016</v>
      </c>
      <c r="G1738" t="str">
        <f>IFERROR(INDEX(Formulations[Formulation],MATCH($C1738,Formulations[Product Code],0)),"")</f>
        <v/>
      </c>
    </row>
    <row r="1739" spans="1:7" x14ac:dyDescent="0.3">
      <c r="A1739" t="s">
        <v>1700</v>
      </c>
      <c r="B1739" t="s">
        <v>1701</v>
      </c>
      <c r="D1739" s="7">
        <v>40</v>
      </c>
      <c r="E1739">
        <v>2018</v>
      </c>
      <c r="F1739">
        <v>2019</v>
      </c>
      <c r="G1739" t="str">
        <f>IFERROR(INDEX(Formulations[Formulation],MATCH($C1739,Formulations[Product Code],0)),"")</f>
        <v/>
      </c>
    </row>
    <row r="1740" spans="1:7" x14ac:dyDescent="0.3">
      <c r="A1740" t="s">
        <v>1700</v>
      </c>
      <c r="B1740" t="s">
        <v>45</v>
      </c>
      <c r="D1740" s="7">
        <v>40</v>
      </c>
      <c r="E1740">
        <v>2015</v>
      </c>
      <c r="F1740">
        <v>2019</v>
      </c>
      <c r="G1740" t="str">
        <f>IFERROR(INDEX(Formulations[Formulation],MATCH($C1740,Formulations[Product Code],0)),"")</f>
        <v/>
      </c>
    </row>
    <row r="1741" spans="1:7" x14ac:dyDescent="0.3">
      <c r="A1741" t="s">
        <v>1700</v>
      </c>
      <c r="B1741" t="s">
        <v>240</v>
      </c>
      <c r="D1741" s="7">
        <v>40</v>
      </c>
      <c r="E1741">
        <v>2015</v>
      </c>
      <c r="F1741">
        <v>2016</v>
      </c>
      <c r="G1741" t="str">
        <f>IFERROR(INDEX(Formulations[Formulation],MATCH($C1741,Formulations[Product Code],0)),"")</f>
        <v/>
      </c>
    </row>
    <row r="1742" spans="1:7" x14ac:dyDescent="0.3">
      <c r="A1742" t="s">
        <v>1743</v>
      </c>
      <c r="B1742" t="s">
        <v>68</v>
      </c>
      <c r="C1742" t="s">
        <v>69</v>
      </c>
      <c r="D1742" s="7">
        <v>40</v>
      </c>
      <c r="E1742">
        <v>2021</v>
      </c>
      <c r="F1742">
        <v>2021</v>
      </c>
      <c r="G1742" t="str">
        <f>IFERROR(INDEX(Formulations[Formulation],MATCH($C1742,Formulations[Product Code],0)),"")</f>
        <v>Silver</v>
      </c>
    </row>
    <row r="1743" spans="1:7" x14ac:dyDescent="0.3">
      <c r="A1743" t="s">
        <v>1799</v>
      </c>
      <c r="B1743" t="s">
        <v>76</v>
      </c>
      <c r="C1743" t="s">
        <v>77</v>
      </c>
      <c r="D1743" s="7">
        <v>40</v>
      </c>
      <c r="E1743">
        <v>2019</v>
      </c>
      <c r="F1743">
        <v>2021</v>
      </c>
      <c r="G1743" t="str">
        <f>IFERROR(INDEX(Formulations[Formulation],MATCH($C1743,Formulations[Product Code],0)),"")</f>
        <v>Silver</v>
      </c>
    </row>
    <row r="1744" spans="1:7" x14ac:dyDescent="0.3">
      <c r="A1744" t="s">
        <v>1833</v>
      </c>
      <c r="B1744" t="s">
        <v>240</v>
      </c>
      <c r="D1744" s="7">
        <v>40</v>
      </c>
      <c r="E1744">
        <v>2011</v>
      </c>
      <c r="F1744">
        <v>2011</v>
      </c>
      <c r="G1744" t="str">
        <f>IFERROR(INDEX(Formulations[Formulation],MATCH($C1744,Formulations[Product Code],0)),"")</f>
        <v/>
      </c>
    </row>
    <row r="1745" spans="1:7" x14ac:dyDescent="0.3">
      <c r="A1745" t="s">
        <v>1833</v>
      </c>
      <c r="B1745" t="s">
        <v>32</v>
      </c>
      <c r="D1745" s="7">
        <v>40</v>
      </c>
      <c r="E1745">
        <v>2011</v>
      </c>
      <c r="F1745">
        <v>2011</v>
      </c>
      <c r="G1745" t="str">
        <f>IFERROR(INDEX(Formulations[Formulation],MATCH($C1745,Formulations[Product Code],0)),"")</f>
        <v/>
      </c>
    </row>
    <row r="1746" spans="1:7" x14ac:dyDescent="0.3">
      <c r="A1746" t="s">
        <v>1838</v>
      </c>
      <c r="B1746" t="s">
        <v>45</v>
      </c>
      <c r="D1746" s="7">
        <v>40</v>
      </c>
      <c r="E1746">
        <v>2015</v>
      </c>
      <c r="F1746">
        <v>2017</v>
      </c>
      <c r="G1746" t="str">
        <f>IFERROR(INDEX(Formulations[Formulation],MATCH($C1746,Formulations[Product Code],0)),"")</f>
        <v/>
      </c>
    </row>
    <row r="1747" spans="1:7" x14ac:dyDescent="0.3">
      <c r="A1747" t="s">
        <v>1871</v>
      </c>
      <c r="B1747" t="s">
        <v>809</v>
      </c>
      <c r="C1747" t="s">
        <v>810</v>
      </c>
      <c r="D1747" s="7">
        <v>40</v>
      </c>
      <c r="E1747">
        <v>2018</v>
      </c>
      <c r="F1747">
        <v>2019</v>
      </c>
      <c r="G1747" t="str">
        <f>IFERROR(INDEX(Formulations[Formulation],MATCH($C1747,Formulations[Product Code],0)),"")</f>
        <v>Silver</v>
      </c>
    </row>
    <row r="1748" spans="1:7" x14ac:dyDescent="0.3">
      <c r="A1748" t="s">
        <v>1883</v>
      </c>
      <c r="B1748" t="s">
        <v>240</v>
      </c>
      <c r="D1748" s="7">
        <v>40</v>
      </c>
      <c r="E1748">
        <v>2015</v>
      </c>
      <c r="F1748">
        <v>2015</v>
      </c>
      <c r="G1748" t="str">
        <f>IFERROR(INDEX(Formulations[Formulation],MATCH($C1748,Formulations[Product Code],0)),"")</f>
        <v/>
      </c>
    </row>
    <row r="1749" spans="1:7" x14ac:dyDescent="0.3">
      <c r="A1749" t="s">
        <v>1898</v>
      </c>
      <c r="B1749" t="s">
        <v>120</v>
      </c>
      <c r="C1749" t="s">
        <v>121</v>
      </c>
      <c r="D1749" s="7">
        <v>40</v>
      </c>
      <c r="E1749">
        <v>2016</v>
      </c>
      <c r="F1749">
        <v>2017</v>
      </c>
      <c r="G1749" t="str">
        <f>IFERROR(INDEX(Formulations[Formulation],MATCH($C1749,Formulations[Product Code],0)),"")</f>
        <v/>
      </c>
    </row>
    <row r="1750" spans="1:7" x14ac:dyDescent="0.3">
      <c r="A1750" t="s">
        <v>1898</v>
      </c>
      <c r="B1750" t="s">
        <v>46</v>
      </c>
      <c r="C1750" t="s">
        <v>47</v>
      </c>
      <c r="D1750" s="7">
        <v>40</v>
      </c>
      <c r="E1750">
        <v>2016</v>
      </c>
      <c r="F1750">
        <v>2017</v>
      </c>
      <c r="G1750" t="str">
        <f>IFERROR(INDEX(Formulations[Formulation],MATCH($C1750,Formulations[Product Code],0)),"")</f>
        <v/>
      </c>
    </row>
    <row r="1751" spans="1:7" x14ac:dyDescent="0.3">
      <c r="A1751" t="s">
        <v>2010</v>
      </c>
      <c r="B1751" t="s">
        <v>32</v>
      </c>
      <c r="D1751" s="7">
        <v>40</v>
      </c>
      <c r="E1751">
        <v>2017</v>
      </c>
      <c r="F1751">
        <v>2018</v>
      </c>
      <c r="G1751" t="str">
        <f>IFERROR(INDEX(Formulations[Formulation],MATCH($C1751,Formulations[Product Code],0)),"")</f>
        <v/>
      </c>
    </row>
    <row r="1752" spans="1:7" x14ac:dyDescent="0.3">
      <c r="A1752" t="s">
        <v>2011</v>
      </c>
      <c r="B1752" t="s">
        <v>32</v>
      </c>
      <c r="D1752" s="7">
        <v>40</v>
      </c>
      <c r="E1752">
        <v>2018</v>
      </c>
      <c r="F1752">
        <v>2018</v>
      </c>
      <c r="G1752" t="str">
        <f>IFERROR(INDEX(Formulations[Formulation],MATCH($C1752,Formulations[Product Code],0)),"")</f>
        <v/>
      </c>
    </row>
    <row r="1753" spans="1:7" x14ac:dyDescent="0.3">
      <c r="A1753" t="s">
        <v>2043</v>
      </c>
      <c r="B1753" t="s">
        <v>2046</v>
      </c>
      <c r="D1753" s="7">
        <v>40</v>
      </c>
      <c r="E1753">
        <v>2016</v>
      </c>
      <c r="F1753">
        <v>2016</v>
      </c>
      <c r="G1753" t="str">
        <f>IFERROR(INDEX(Formulations[Formulation],MATCH($C1753,Formulations[Product Code],0)),"")</f>
        <v/>
      </c>
    </row>
    <row r="1754" spans="1:7" x14ac:dyDescent="0.3">
      <c r="A1754" t="s">
        <v>2063</v>
      </c>
      <c r="B1754" t="s">
        <v>1461</v>
      </c>
      <c r="D1754" s="7">
        <v>40</v>
      </c>
      <c r="E1754">
        <v>2017</v>
      </c>
      <c r="F1754">
        <v>2019</v>
      </c>
      <c r="G1754" t="str">
        <f>IFERROR(INDEX(Formulations[Formulation],MATCH($C1754,Formulations[Product Code],0)),"")</f>
        <v/>
      </c>
    </row>
    <row r="1755" spans="1:7" x14ac:dyDescent="0.3">
      <c r="A1755" t="s">
        <v>2094</v>
      </c>
      <c r="B1755" t="s">
        <v>656</v>
      </c>
      <c r="C1755" t="s">
        <v>71</v>
      </c>
      <c r="D1755" s="7">
        <v>40</v>
      </c>
      <c r="E1755">
        <v>2020</v>
      </c>
      <c r="F1755">
        <v>2020</v>
      </c>
      <c r="G1755" t="str">
        <f>IFERROR(INDEX(Formulations[Formulation],MATCH($C1755,Formulations[Product Code],0)),"")</f>
        <v>40% Oil &amp; 60% DPG</v>
      </c>
    </row>
    <row r="1756" spans="1:7" x14ac:dyDescent="0.3">
      <c r="A1756" t="s">
        <v>2094</v>
      </c>
      <c r="B1756" t="s">
        <v>841</v>
      </c>
      <c r="C1756" t="s">
        <v>169</v>
      </c>
      <c r="D1756" s="7">
        <v>40</v>
      </c>
      <c r="E1756">
        <v>2020</v>
      </c>
      <c r="F1756">
        <v>2020</v>
      </c>
      <c r="G1756" t="str">
        <f>IFERROR(INDEX(Formulations[Formulation],MATCH($C1756,Formulations[Product Code],0)),"")</f>
        <v>Silver</v>
      </c>
    </row>
    <row r="1757" spans="1:7" x14ac:dyDescent="0.3">
      <c r="A1757" t="s">
        <v>2097</v>
      </c>
      <c r="B1757" t="s">
        <v>2102</v>
      </c>
      <c r="C1757" t="s">
        <v>2103</v>
      </c>
      <c r="D1757" s="7">
        <v>40</v>
      </c>
      <c r="E1757">
        <v>2018</v>
      </c>
      <c r="F1757">
        <v>2018</v>
      </c>
      <c r="G1757" t="str">
        <f>IFERROR(INDEX(Formulations[Formulation],MATCH($C1757,Formulations[Product Code],0)),"")</f>
        <v/>
      </c>
    </row>
    <row r="1758" spans="1:7" x14ac:dyDescent="0.3">
      <c r="A1758" t="s">
        <v>2195</v>
      </c>
      <c r="B1758" t="s">
        <v>45</v>
      </c>
      <c r="D1758" s="7">
        <v>40</v>
      </c>
      <c r="E1758">
        <v>2015</v>
      </c>
      <c r="F1758">
        <v>2015</v>
      </c>
      <c r="G1758" t="str">
        <f>IFERROR(INDEX(Formulations[Formulation],MATCH($C1758,Formulations[Product Code],0)),"")</f>
        <v/>
      </c>
    </row>
    <row r="1759" spans="1:7" x14ac:dyDescent="0.3">
      <c r="A1759" t="s">
        <v>2220</v>
      </c>
      <c r="B1759" t="s">
        <v>612</v>
      </c>
      <c r="C1759" t="s">
        <v>613</v>
      </c>
      <c r="D1759" s="7">
        <v>40</v>
      </c>
      <c r="E1759">
        <v>2017</v>
      </c>
      <c r="F1759">
        <v>2018</v>
      </c>
      <c r="G1759" t="str">
        <f>IFERROR(INDEX(Formulations[Formulation],MATCH($C1759,Formulations[Product Code],0)),"")</f>
        <v>Pure</v>
      </c>
    </row>
    <row r="1760" spans="1:7" x14ac:dyDescent="0.3">
      <c r="A1760" t="s">
        <v>2252</v>
      </c>
      <c r="B1760" t="s">
        <v>1221</v>
      </c>
      <c r="D1760" s="7">
        <v>40</v>
      </c>
      <c r="E1760">
        <v>2013</v>
      </c>
      <c r="F1760">
        <v>2016</v>
      </c>
      <c r="G1760" t="str">
        <f>IFERROR(INDEX(Formulations[Formulation],MATCH($C1760,Formulations[Product Code],0)),"")</f>
        <v/>
      </c>
    </row>
    <row r="1761" spans="1:7" x14ac:dyDescent="0.3">
      <c r="A1761" t="s">
        <v>2253</v>
      </c>
      <c r="B1761" t="s">
        <v>2254</v>
      </c>
      <c r="D1761" s="7">
        <v>40</v>
      </c>
      <c r="E1761">
        <v>2016</v>
      </c>
      <c r="F1761">
        <v>2018</v>
      </c>
      <c r="G1761" t="str">
        <f>IFERROR(INDEX(Formulations[Formulation],MATCH($C1761,Formulations[Product Code],0)),"")</f>
        <v/>
      </c>
    </row>
    <row r="1762" spans="1:7" x14ac:dyDescent="0.3">
      <c r="A1762" t="s">
        <v>2253</v>
      </c>
      <c r="B1762" t="s">
        <v>828</v>
      </c>
      <c r="D1762" s="7">
        <v>40</v>
      </c>
      <c r="E1762">
        <v>2016</v>
      </c>
      <c r="F1762">
        <v>2017</v>
      </c>
      <c r="G1762" t="str">
        <f>IFERROR(INDEX(Formulations[Formulation],MATCH($C1762,Formulations[Product Code],0)),"")</f>
        <v/>
      </c>
    </row>
    <row r="1763" spans="1:7" x14ac:dyDescent="0.3">
      <c r="A1763" t="s">
        <v>2290</v>
      </c>
      <c r="B1763" t="s">
        <v>1462</v>
      </c>
      <c r="D1763" s="7">
        <v>40</v>
      </c>
      <c r="E1763">
        <v>2018</v>
      </c>
      <c r="F1763">
        <v>2020</v>
      </c>
      <c r="G1763" t="str">
        <f>IFERROR(INDEX(Formulations[Formulation],MATCH($C1763,Formulations[Product Code],0)),"")</f>
        <v/>
      </c>
    </row>
    <row r="1764" spans="1:7" x14ac:dyDescent="0.3">
      <c r="A1764" t="s">
        <v>2354</v>
      </c>
      <c r="B1764" t="s">
        <v>471</v>
      </c>
      <c r="C1764" t="s">
        <v>472</v>
      </c>
      <c r="D1764" s="7">
        <v>40</v>
      </c>
      <c r="E1764">
        <v>2018</v>
      </c>
      <c r="F1764">
        <v>2020</v>
      </c>
      <c r="G1764" t="str">
        <f>IFERROR(INDEX(Formulations[Formulation],MATCH($C1764,Formulations[Product Code],0)),"")</f>
        <v>Crystal</v>
      </c>
    </row>
    <row r="1765" spans="1:7" x14ac:dyDescent="0.3">
      <c r="A1765" t="s">
        <v>2354</v>
      </c>
      <c r="B1765" t="s">
        <v>1337</v>
      </c>
      <c r="C1765" t="s">
        <v>1338</v>
      </c>
      <c r="D1765" s="7">
        <v>40</v>
      </c>
      <c r="E1765">
        <v>2019</v>
      </c>
      <c r="F1765">
        <v>2020</v>
      </c>
      <c r="G1765" t="str">
        <f>IFERROR(INDEX(Formulations[Formulation],MATCH($C1765,Formulations[Product Code],0)),"")</f>
        <v/>
      </c>
    </row>
    <row r="1766" spans="1:7" x14ac:dyDescent="0.3">
      <c r="A1766" t="s">
        <v>2362</v>
      </c>
      <c r="B1766" t="s">
        <v>60</v>
      </c>
      <c r="C1766" t="s">
        <v>61</v>
      </c>
      <c r="D1766" s="7">
        <v>40</v>
      </c>
      <c r="E1766">
        <v>2014</v>
      </c>
      <c r="F1766">
        <v>2015</v>
      </c>
      <c r="G1766" t="str">
        <f>IFERROR(INDEX(Formulations[Formulation],MATCH($C1766,Formulations[Product Code],0)),"")</f>
        <v>Pure</v>
      </c>
    </row>
    <row r="1767" spans="1:7" x14ac:dyDescent="0.3">
      <c r="A1767" t="s">
        <v>2362</v>
      </c>
      <c r="B1767" t="s">
        <v>142</v>
      </c>
      <c r="C1767" t="s">
        <v>143</v>
      </c>
      <c r="D1767" s="7">
        <v>40</v>
      </c>
      <c r="E1767">
        <v>2015</v>
      </c>
      <c r="F1767">
        <v>2017</v>
      </c>
      <c r="G1767" t="str">
        <f>IFERROR(INDEX(Formulations[Formulation],MATCH($C1767,Formulations[Product Code],0)),"")</f>
        <v>Pure</v>
      </c>
    </row>
    <row r="1768" spans="1:7" x14ac:dyDescent="0.3">
      <c r="A1768" t="s">
        <v>2372</v>
      </c>
      <c r="B1768" t="s">
        <v>135</v>
      </c>
      <c r="C1768" t="s">
        <v>136</v>
      </c>
      <c r="D1768" s="7">
        <v>40</v>
      </c>
      <c r="E1768">
        <v>2011</v>
      </c>
      <c r="F1768">
        <v>2013</v>
      </c>
      <c r="G1768" t="str">
        <f>IFERROR(INDEX(Formulations[Formulation],MATCH($C1768,Formulations[Product Code],0)),"")</f>
        <v/>
      </c>
    </row>
    <row r="1769" spans="1:7" x14ac:dyDescent="0.3">
      <c r="A1769" t="s">
        <v>2380</v>
      </c>
      <c r="B1769" t="s">
        <v>2384</v>
      </c>
      <c r="C1769" t="s">
        <v>825</v>
      </c>
      <c r="D1769" s="7">
        <v>40</v>
      </c>
      <c r="E1769">
        <v>2011</v>
      </c>
      <c r="F1769">
        <v>2011</v>
      </c>
      <c r="G1769" t="str">
        <f>IFERROR(INDEX(Formulations[Formulation],MATCH($C1769,Formulations[Product Code],0)),"")</f>
        <v/>
      </c>
    </row>
    <row r="1770" spans="1:7" x14ac:dyDescent="0.3">
      <c r="A1770" t="s">
        <v>2380</v>
      </c>
      <c r="B1770" t="s">
        <v>2388</v>
      </c>
      <c r="C1770" t="s">
        <v>1368</v>
      </c>
      <c r="D1770" s="7">
        <v>40</v>
      </c>
      <c r="E1770">
        <v>2011</v>
      </c>
      <c r="F1770">
        <v>2019</v>
      </c>
      <c r="G1770" t="str">
        <f>IFERROR(INDEX(Formulations[Formulation],MATCH($C1770,Formulations[Product Code],0)),"")</f>
        <v>Pure</v>
      </c>
    </row>
    <row r="1771" spans="1:7" x14ac:dyDescent="0.3">
      <c r="A1771" t="s">
        <v>2380</v>
      </c>
      <c r="B1771" t="s">
        <v>483</v>
      </c>
      <c r="C1771" t="s">
        <v>484</v>
      </c>
      <c r="D1771" s="7">
        <v>40</v>
      </c>
      <c r="E1771">
        <v>2020</v>
      </c>
      <c r="F1771">
        <v>2021</v>
      </c>
      <c r="G1771" t="str">
        <f>IFERROR(INDEX(Formulations[Formulation],MATCH($C1771,Formulations[Product Code],0)),"")</f>
        <v>Crystal</v>
      </c>
    </row>
    <row r="1772" spans="1:7" x14ac:dyDescent="0.3">
      <c r="A1772" t="s">
        <v>2425</v>
      </c>
      <c r="B1772" t="s">
        <v>182</v>
      </c>
      <c r="C1772" t="s">
        <v>57</v>
      </c>
      <c r="D1772" s="7">
        <v>40</v>
      </c>
      <c r="E1772">
        <v>2011</v>
      </c>
      <c r="F1772">
        <v>2015</v>
      </c>
      <c r="G1772" t="str">
        <f>IFERROR(INDEX(Formulations[Formulation],MATCH($C1772,Formulations[Product Code],0)),"")</f>
        <v/>
      </c>
    </row>
    <row r="1773" spans="1:7" x14ac:dyDescent="0.3">
      <c r="A1773" t="s">
        <v>2425</v>
      </c>
      <c r="B1773" t="s">
        <v>142</v>
      </c>
      <c r="C1773" t="s">
        <v>143</v>
      </c>
      <c r="D1773" s="7">
        <v>40</v>
      </c>
      <c r="E1773">
        <v>2014</v>
      </c>
      <c r="F1773">
        <v>2015</v>
      </c>
      <c r="G1773" t="str">
        <f>IFERROR(INDEX(Formulations[Formulation],MATCH($C1773,Formulations[Product Code],0)),"")</f>
        <v>Pure</v>
      </c>
    </row>
    <row r="1774" spans="1:7" x14ac:dyDescent="0.3">
      <c r="A1774" t="s">
        <v>2428</v>
      </c>
      <c r="B1774" t="s">
        <v>1456</v>
      </c>
      <c r="C1774" t="s">
        <v>2434</v>
      </c>
      <c r="D1774" s="7">
        <v>40</v>
      </c>
      <c r="E1774">
        <v>2012</v>
      </c>
      <c r="F1774">
        <v>2015</v>
      </c>
      <c r="G1774" t="str">
        <f>IFERROR(INDEX(Formulations[Formulation],MATCH($C1774,Formulations[Product Code],0)),"")</f>
        <v/>
      </c>
    </row>
    <row r="1775" spans="1:7" x14ac:dyDescent="0.3">
      <c r="A1775" t="s">
        <v>2428</v>
      </c>
      <c r="B1775" t="s">
        <v>72</v>
      </c>
      <c r="C1775" t="s">
        <v>73</v>
      </c>
      <c r="D1775" s="7">
        <v>40</v>
      </c>
      <c r="E1775">
        <v>2014</v>
      </c>
      <c r="F1775">
        <v>2020</v>
      </c>
      <c r="G1775" t="str">
        <f>IFERROR(INDEX(Formulations[Formulation],MATCH($C1775,Formulations[Product Code],0)),"")</f>
        <v>Silver</v>
      </c>
    </row>
    <row r="1776" spans="1:7" x14ac:dyDescent="0.3">
      <c r="A1776" t="s">
        <v>2483</v>
      </c>
      <c r="B1776" t="s">
        <v>36</v>
      </c>
      <c r="D1776" s="7">
        <v>40</v>
      </c>
      <c r="E1776">
        <v>2019</v>
      </c>
      <c r="F1776">
        <v>2020</v>
      </c>
      <c r="G1776" t="str">
        <f>IFERROR(INDEX(Formulations[Formulation],MATCH($C1776,Formulations[Product Code],0)),"")</f>
        <v/>
      </c>
    </row>
    <row r="1777" spans="1:7" x14ac:dyDescent="0.3">
      <c r="A1777" t="s">
        <v>2490</v>
      </c>
      <c r="B1777" t="s">
        <v>240</v>
      </c>
      <c r="D1777" s="7">
        <v>40</v>
      </c>
      <c r="E1777">
        <v>2020</v>
      </c>
      <c r="F1777">
        <v>2020</v>
      </c>
      <c r="G1777" t="str">
        <f>IFERROR(INDEX(Formulations[Formulation],MATCH($C1777,Formulations[Product Code],0)),"")</f>
        <v/>
      </c>
    </row>
    <row r="1778" spans="1:7" x14ac:dyDescent="0.3">
      <c r="A1778" t="s">
        <v>2521</v>
      </c>
      <c r="B1778" t="s">
        <v>665</v>
      </c>
      <c r="D1778" s="7">
        <v>40</v>
      </c>
      <c r="E1778">
        <v>2020</v>
      </c>
      <c r="F1778">
        <v>2020</v>
      </c>
      <c r="G1778" t="str">
        <f>IFERROR(INDEX(Formulations[Formulation],MATCH($C1778,Formulations[Product Code],0)),"")</f>
        <v/>
      </c>
    </row>
    <row r="1779" spans="1:7" x14ac:dyDescent="0.3">
      <c r="A1779" t="s">
        <v>2550</v>
      </c>
      <c r="B1779" t="s">
        <v>46</v>
      </c>
      <c r="C1779" t="s">
        <v>47</v>
      </c>
      <c r="D1779" s="7">
        <v>40</v>
      </c>
      <c r="E1779">
        <v>2009</v>
      </c>
      <c r="F1779">
        <v>2009</v>
      </c>
      <c r="G1779" t="str">
        <f>IFERROR(INDEX(Formulations[Formulation],MATCH($C1779,Formulations[Product Code],0)),"")</f>
        <v/>
      </c>
    </row>
    <row r="1780" spans="1:7" x14ac:dyDescent="0.3">
      <c r="A1780" t="s">
        <v>2563</v>
      </c>
      <c r="B1780" t="s">
        <v>43</v>
      </c>
      <c r="C1780" t="s">
        <v>44</v>
      </c>
      <c r="D1780" s="7">
        <v>40</v>
      </c>
      <c r="E1780">
        <v>2010</v>
      </c>
      <c r="F1780">
        <v>2010</v>
      </c>
      <c r="G1780" t="str">
        <f>IFERROR(INDEX(Formulations[Formulation],MATCH($C1780,Formulations[Product Code],0)),"")</f>
        <v/>
      </c>
    </row>
    <row r="1781" spans="1:7" x14ac:dyDescent="0.3">
      <c r="A1781" t="s">
        <v>2581</v>
      </c>
      <c r="B1781" t="s">
        <v>2582</v>
      </c>
      <c r="C1781" t="s">
        <v>2583</v>
      </c>
      <c r="D1781" s="7">
        <v>40</v>
      </c>
      <c r="E1781">
        <v>2012</v>
      </c>
      <c r="F1781">
        <v>2012</v>
      </c>
      <c r="G1781" t="str">
        <f>IFERROR(INDEX(Formulations[Formulation],MATCH($C1781,Formulations[Product Code],0)),"")</f>
        <v/>
      </c>
    </row>
    <row r="1782" spans="1:7" x14ac:dyDescent="0.3">
      <c r="A1782" t="s">
        <v>2581</v>
      </c>
      <c r="B1782" t="s">
        <v>2584</v>
      </c>
      <c r="C1782" t="s">
        <v>2585</v>
      </c>
      <c r="D1782" s="7">
        <v>40</v>
      </c>
      <c r="E1782">
        <v>2012</v>
      </c>
      <c r="F1782">
        <v>2012</v>
      </c>
      <c r="G1782" t="str">
        <f>IFERROR(INDEX(Formulations[Formulation],MATCH($C1782,Formulations[Product Code],0)),"")</f>
        <v/>
      </c>
    </row>
    <row r="1783" spans="1:7" x14ac:dyDescent="0.3">
      <c r="A1783" t="s">
        <v>2610</v>
      </c>
      <c r="B1783" t="s">
        <v>542</v>
      </c>
      <c r="C1783" t="s">
        <v>160</v>
      </c>
      <c r="D1783" s="7">
        <v>40</v>
      </c>
      <c r="E1783">
        <v>2020</v>
      </c>
      <c r="F1783">
        <v>2020</v>
      </c>
      <c r="G1783" t="str">
        <f>IFERROR(INDEX(Formulations[Formulation],MATCH($C1783,Formulations[Product Code],0)),"")</f>
        <v>Silver</v>
      </c>
    </row>
    <row r="1784" spans="1:7" x14ac:dyDescent="0.3">
      <c r="A1784" t="s">
        <v>2563</v>
      </c>
      <c r="B1784" t="s">
        <v>862</v>
      </c>
      <c r="D1784" s="7">
        <v>39.4</v>
      </c>
      <c r="E1784">
        <v>2013</v>
      </c>
      <c r="F1784">
        <v>2015</v>
      </c>
      <c r="G1784" t="str">
        <f>IFERROR(INDEX(Formulations[Formulation],MATCH($C1784,Formulations[Product Code],0)),"")</f>
        <v/>
      </c>
    </row>
    <row r="1785" spans="1:7" x14ac:dyDescent="0.3">
      <c r="A1785" t="s">
        <v>1799</v>
      </c>
      <c r="B1785" t="s">
        <v>1800</v>
      </c>
      <c r="C1785" t="s">
        <v>1796</v>
      </c>
      <c r="D1785" s="7">
        <v>38</v>
      </c>
      <c r="E1785">
        <v>2016</v>
      </c>
      <c r="F1785">
        <v>2016</v>
      </c>
      <c r="G1785" t="str">
        <f>IFERROR(INDEX(Formulations[Formulation],MATCH($C1785,Formulations[Product Code],0)),"")</f>
        <v/>
      </c>
    </row>
    <row r="1786" spans="1:7" x14ac:dyDescent="0.3">
      <c r="A1786" t="s">
        <v>1933</v>
      </c>
      <c r="B1786" t="s">
        <v>600</v>
      </c>
      <c r="C1786" t="s">
        <v>75</v>
      </c>
      <c r="D1786" s="7">
        <v>38</v>
      </c>
      <c r="E1786">
        <v>2019</v>
      </c>
      <c r="F1786">
        <v>2021</v>
      </c>
      <c r="G1786" t="str">
        <f>IFERROR(INDEX(Formulations[Formulation],MATCH($C1786,Formulations[Product Code],0)),"")</f>
        <v>Crystal</v>
      </c>
    </row>
    <row r="1787" spans="1:7" x14ac:dyDescent="0.3">
      <c r="A1787" t="s">
        <v>1746</v>
      </c>
      <c r="B1787" t="s">
        <v>600</v>
      </c>
      <c r="C1787" t="s">
        <v>75</v>
      </c>
      <c r="D1787" s="7">
        <v>37</v>
      </c>
      <c r="E1787">
        <v>2020</v>
      </c>
      <c r="F1787">
        <v>2021</v>
      </c>
      <c r="G1787" t="str">
        <f>IFERROR(INDEX(Formulations[Formulation],MATCH($C1787,Formulations[Product Code],0)),"")</f>
        <v>Crystal</v>
      </c>
    </row>
    <row r="1788" spans="1:7" x14ac:dyDescent="0.3">
      <c r="A1788" t="s">
        <v>2532</v>
      </c>
      <c r="B1788" t="s">
        <v>34</v>
      </c>
      <c r="D1788" s="7">
        <v>37</v>
      </c>
      <c r="E1788">
        <v>2020</v>
      </c>
      <c r="F1788">
        <v>2020</v>
      </c>
      <c r="G1788" t="str">
        <f>IFERROR(INDEX(Formulations[Formulation],MATCH($C1788,Formulations[Product Code],0)),"")</f>
        <v/>
      </c>
    </row>
    <row r="1789" spans="1:7" x14ac:dyDescent="0.3">
      <c r="A1789" t="s">
        <v>1000</v>
      </c>
      <c r="B1789" t="s">
        <v>1001</v>
      </c>
      <c r="C1789" t="s">
        <v>789</v>
      </c>
      <c r="D1789" s="7">
        <v>36</v>
      </c>
      <c r="E1789">
        <v>2019</v>
      </c>
      <c r="F1789">
        <v>2019</v>
      </c>
      <c r="G1789" t="str">
        <f>IFERROR(INDEX(Formulations[Formulation],MATCH($C1789,Formulations[Product Code],0)),"")</f>
        <v>Pure</v>
      </c>
    </row>
    <row r="1790" spans="1:7" x14ac:dyDescent="0.3">
      <c r="A1790" t="s">
        <v>1028</v>
      </c>
      <c r="B1790" t="s">
        <v>1073</v>
      </c>
      <c r="C1790" t="s">
        <v>956</v>
      </c>
      <c r="D1790" s="7">
        <v>36</v>
      </c>
      <c r="E1790">
        <v>2011</v>
      </c>
      <c r="F1790">
        <v>2011</v>
      </c>
      <c r="G1790" t="str">
        <f>IFERROR(INDEX(Formulations[Formulation],MATCH($C1790,Formulations[Product Code],0)),"")</f>
        <v/>
      </c>
    </row>
    <row r="1791" spans="1:7" x14ac:dyDescent="0.3">
      <c r="A1791" t="s">
        <v>1721</v>
      </c>
      <c r="B1791" t="s">
        <v>573</v>
      </c>
      <c r="C1791" t="s">
        <v>574</v>
      </c>
      <c r="D1791" s="7">
        <v>36</v>
      </c>
      <c r="E1791">
        <v>2016</v>
      </c>
      <c r="F1791">
        <v>2016</v>
      </c>
      <c r="G1791" t="str">
        <f>IFERROR(INDEX(Formulations[Formulation],MATCH($C1791,Formulations[Product Code],0)),"")</f>
        <v>Crystal</v>
      </c>
    </row>
    <row r="1792" spans="1:7" x14ac:dyDescent="0.3">
      <c r="A1792" t="s">
        <v>1932</v>
      </c>
      <c r="B1792" t="s">
        <v>72</v>
      </c>
      <c r="C1792" t="s">
        <v>319</v>
      </c>
      <c r="D1792" s="7">
        <v>36</v>
      </c>
      <c r="E1792">
        <v>2019</v>
      </c>
      <c r="F1792">
        <v>2021</v>
      </c>
      <c r="G1792" t="str">
        <f>IFERROR(INDEX(Formulations[Formulation],MATCH($C1792,Formulations[Product Code],0)),"")</f>
        <v>Pure</v>
      </c>
    </row>
    <row r="1793" spans="1:7" x14ac:dyDescent="0.3">
      <c r="A1793" t="s">
        <v>2330</v>
      </c>
      <c r="B1793" t="s">
        <v>602</v>
      </c>
      <c r="C1793" t="s">
        <v>603</v>
      </c>
      <c r="D1793" s="7">
        <v>36</v>
      </c>
      <c r="E1793">
        <v>2016</v>
      </c>
      <c r="F1793">
        <v>2020</v>
      </c>
      <c r="G1793" t="str">
        <f>IFERROR(INDEX(Formulations[Formulation],MATCH($C1793,Formulations[Product Code],0)),"")</f>
        <v>Crystal</v>
      </c>
    </row>
    <row r="1794" spans="1:7" x14ac:dyDescent="0.3">
      <c r="A1794" t="s">
        <v>327</v>
      </c>
      <c r="B1794" t="s">
        <v>196</v>
      </c>
      <c r="C1794" t="s">
        <v>197</v>
      </c>
      <c r="D1794" s="7">
        <v>35</v>
      </c>
      <c r="E1794">
        <v>2014</v>
      </c>
      <c r="F1794">
        <v>2014</v>
      </c>
      <c r="G1794" t="str">
        <f>IFERROR(INDEX(Formulations[Formulation],MATCH($C1794,Formulations[Product Code],0)),"")</f>
        <v/>
      </c>
    </row>
    <row r="1795" spans="1:7" x14ac:dyDescent="0.3">
      <c r="A1795" t="s">
        <v>353</v>
      </c>
      <c r="B1795" t="s">
        <v>368</v>
      </c>
      <c r="C1795" t="s">
        <v>369</v>
      </c>
      <c r="D1795" s="7">
        <v>35</v>
      </c>
      <c r="E1795">
        <v>2009</v>
      </c>
      <c r="F1795">
        <v>2015</v>
      </c>
      <c r="G1795" t="str">
        <f>IFERROR(INDEX(Formulations[Formulation],MATCH($C1795,Formulations[Product Code],0)),"")</f>
        <v/>
      </c>
    </row>
    <row r="1796" spans="1:7" x14ac:dyDescent="0.3">
      <c r="A1796" t="s">
        <v>353</v>
      </c>
      <c r="B1796" t="s">
        <v>373</v>
      </c>
      <c r="C1796" t="s">
        <v>331</v>
      </c>
      <c r="D1796" s="7">
        <v>35</v>
      </c>
      <c r="E1796">
        <v>2020</v>
      </c>
      <c r="F1796">
        <v>2021</v>
      </c>
      <c r="G1796" t="str">
        <f>IFERROR(INDEX(Formulations[Formulation],MATCH($C1796,Formulations[Product Code],0)),"")</f>
        <v>35% oil</v>
      </c>
    </row>
    <row r="1797" spans="1:7" x14ac:dyDescent="0.3">
      <c r="A1797" t="s">
        <v>501</v>
      </c>
      <c r="B1797" t="s">
        <v>26</v>
      </c>
      <c r="C1797" t="s">
        <v>27</v>
      </c>
      <c r="D1797" s="7">
        <v>35</v>
      </c>
      <c r="E1797">
        <v>2018</v>
      </c>
      <c r="F1797">
        <v>2020</v>
      </c>
      <c r="G1797" t="str">
        <f>IFERROR(INDEX(Formulations[Formulation],MATCH($C1797,Formulations[Product Code],0)),"")</f>
        <v>FLOURAMAX A270578/ P782894</v>
      </c>
    </row>
    <row r="1798" spans="1:7" x14ac:dyDescent="0.3">
      <c r="A1798" t="s">
        <v>609</v>
      </c>
      <c r="B1798" t="s">
        <v>135</v>
      </c>
      <c r="C1798" t="s">
        <v>136</v>
      </c>
      <c r="D1798" s="7">
        <v>35</v>
      </c>
      <c r="E1798">
        <v>2014</v>
      </c>
      <c r="F1798">
        <v>2015</v>
      </c>
      <c r="G1798" t="str">
        <f>IFERROR(INDEX(Formulations[Formulation],MATCH($C1798,Formulations[Product Code],0)),"")</f>
        <v/>
      </c>
    </row>
    <row r="1799" spans="1:7" x14ac:dyDescent="0.3">
      <c r="A1799" t="s">
        <v>622</v>
      </c>
      <c r="B1799" t="s">
        <v>635</v>
      </c>
      <c r="C1799" t="s">
        <v>636</v>
      </c>
      <c r="D1799" s="7">
        <v>35</v>
      </c>
      <c r="E1799">
        <v>2019</v>
      </c>
      <c r="F1799">
        <v>2019</v>
      </c>
      <c r="G1799" t="str">
        <f>IFERROR(INDEX(Formulations[Formulation],MATCH($C1799,Formulations[Product Code],0)),"")</f>
        <v>Pure</v>
      </c>
    </row>
    <row r="1800" spans="1:7" x14ac:dyDescent="0.3">
      <c r="A1800" t="s">
        <v>622</v>
      </c>
      <c r="B1800" t="s">
        <v>655</v>
      </c>
      <c r="C1800" t="s">
        <v>397</v>
      </c>
      <c r="D1800" s="7">
        <v>35</v>
      </c>
      <c r="E1800">
        <v>2019</v>
      </c>
      <c r="F1800">
        <v>2019</v>
      </c>
      <c r="G1800" t="str">
        <f>IFERROR(INDEX(Formulations[Formulation],MATCH($C1800,Formulations[Product Code],0)),"")</f>
        <v/>
      </c>
    </row>
    <row r="1801" spans="1:7" x14ac:dyDescent="0.3">
      <c r="A1801" t="s">
        <v>683</v>
      </c>
      <c r="B1801" t="s">
        <v>684</v>
      </c>
      <c r="D1801" s="7">
        <v>35</v>
      </c>
      <c r="E1801">
        <v>2010</v>
      </c>
      <c r="F1801">
        <v>2010</v>
      </c>
      <c r="G1801" t="str">
        <f>IFERROR(INDEX(Formulations[Formulation],MATCH($C1801,Formulations[Product Code],0)),"")</f>
        <v/>
      </c>
    </row>
    <row r="1802" spans="1:7" x14ac:dyDescent="0.3">
      <c r="A1802" t="s">
        <v>803</v>
      </c>
      <c r="B1802" t="s">
        <v>280</v>
      </c>
      <c r="C1802" t="s">
        <v>224</v>
      </c>
      <c r="D1802" s="7">
        <v>35</v>
      </c>
      <c r="E1802">
        <v>2013</v>
      </c>
      <c r="F1802">
        <v>2017</v>
      </c>
      <c r="G1802" t="str">
        <f>IFERROR(INDEX(Formulations[Formulation],MATCH($C1802,Formulations[Product Code],0)),"")</f>
        <v/>
      </c>
    </row>
    <row r="1803" spans="1:7" x14ac:dyDescent="0.3">
      <c r="A1803" t="s">
        <v>806</v>
      </c>
      <c r="B1803" t="s">
        <v>74</v>
      </c>
      <c r="C1803" t="s">
        <v>75</v>
      </c>
      <c r="D1803" s="7">
        <v>35</v>
      </c>
      <c r="E1803">
        <v>2018</v>
      </c>
      <c r="F1803">
        <v>2018</v>
      </c>
      <c r="G1803" t="str">
        <f>IFERROR(INDEX(Formulations[Formulation],MATCH($C1803,Formulations[Product Code],0)),"")</f>
        <v>Crystal</v>
      </c>
    </row>
    <row r="1804" spans="1:7" x14ac:dyDescent="0.3">
      <c r="A1804" t="s">
        <v>878</v>
      </c>
      <c r="B1804" t="s">
        <v>41</v>
      </c>
      <c r="C1804" t="s">
        <v>42</v>
      </c>
      <c r="D1804" s="7">
        <v>35</v>
      </c>
      <c r="E1804">
        <v>2011</v>
      </c>
      <c r="F1804">
        <v>2013</v>
      </c>
      <c r="G1804" t="str">
        <f>IFERROR(INDEX(Formulations[Formulation],MATCH($C1804,Formulations[Product Code],0)),"")</f>
        <v/>
      </c>
    </row>
    <row r="1805" spans="1:7" x14ac:dyDescent="0.3">
      <c r="A1805" t="s">
        <v>887</v>
      </c>
      <c r="B1805" t="s">
        <v>142</v>
      </c>
      <c r="C1805" t="s">
        <v>143</v>
      </c>
      <c r="D1805" s="7">
        <v>35</v>
      </c>
      <c r="E1805">
        <v>2016</v>
      </c>
      <c r="F1805">
        <v>2018</v>
      </c>
      <c r="G1805" t="str">
        <f>IFERROR(INDEX(Formulations[Formulation],MATCH($C1805,Formulations[Product Code],0)),"")</f>
        <v>Pure</v>
      </c>
    </row>
    <row r="1806" spans="1:7" x14ac:dyDescent="0.3">
      <c r="A1806" t="s">
        <v>941</v>
      </c>
      <c r="B1806" t="s">
        <v>314</v>
      </c>
      <c r="C1806" t="s">
        <v>315</v>
      </c>
      <c r="D1806" s="7">
        <v>35</v>
      </c>
      <c r="E1806">
        <v>2018</v>
      </c>
      <c r="F1806">
        <v>2018</v>
      </c>
      <c r="G1806" t="str">
        <f>IFERROR(INDEX(Formulations[Formulation],MATCH($C1806,Formulations[Product Code],0)),"")</f>
        <v/>
      </c>
    </row>
    <row r="1807" spans="1:7" x14ac:dyDescent="0.3">
      <c r="A1807" t="s">
        <v>993</v>
      </c>
      <c r="B1807" t="s">
        <v>643</v>
      </c>
      <c r="C1807" t="s">
        <v>644</v>
      </c>
      <c r="D1807" s="7">
        <v>35</v>
      </c>
      <c r="E1807">
        <v>2017</v>
      </c>
      <c r="F1807">
        <v>2019</v>
      </c>
      <c r="G1807" t="str">
        <f>IFERROR(INDEX(Formulations[Formulation],MATCH($C1807,Formulations[Product Code],0)),"")</f>
        <v>Crystal</v>
      </c>
    </row>
    <row r="1808" spans="1:7" x14ac:dyDescent="0.3">
      <c r="A1808" t="s">
        <v>1028</v>
      </c>
      <c r="B1808" t="s">
        <v>1055</v>
      </c>
      <c r="C1808" t="s">
        <v>1056</v>
      </c>
      <c r="D1808" s="7">
        <v>35</v>
      </c>
      <c r="E1808">
        <v>2016</v>
      </c>
      <c r="F1808">
        <v>2016</v>
      </c>
      <c r="G1808" t="str">
        <f>IFERROR(INDEX(Formulations[Formulation],MATCH($C1808,Formulations[Product Code],0)),"")</f>
        <v/>
      </c>
    </row>
    <row r="1809" spans="1:7" x14ac:dyDescent="0.3">
      <c r="A1809" t="s">
        <v>1028</v>
      </c>
      <c r="B1809" t="s">
        <v>1071</v>
      </c>
      <c r="C1809" t="s">
        <v>1072</v>
      </c>
      <c r="D1809" s="7">
        <v>35</v>
      </c>
      <c r="E1809">
        <v>2016</v>
      </c>
      <c r="F1809">
        <v>2016</v>
      </c>
      <c r="G1809" t="str">
        <f>IFERROR(INDEX(Formulations[Formulation],MATCH($C1809,Formulations[Product Code],0)),"")</f>
        <v/>
      </c>
    </row>
    <row r="1810" spans="1:7" x14ac:dyDescent="0.3">
      <c r="A1810" t="s">
        <v>1028</v>
      </c>
      <c r="B1810" t="s">
        <v>135</v>
      </c>
      <c r="C1810" t="s">
        <v>136</v>
      </c>
      <c r="D1810" s="7">
        <v>35</v>
      </c>
      <c r="E1810">
        <v>2010</v>
      </c>
      <c r="F1810">
        <v>2010</v>
      </c>
      <c r="G1810" t="str">
        <f>IFERROR(INDEX(Formulations[Formulation],MATCH($C1810,Formulations[Product Code],0)),"")</f>
        <v/>
      </c>
    </row>
    <row r="1811" spans="1:7" x14ac:dyDescent="0.3">
      <c r="A1811" t="s">
        <v>1127</v>
      </c>
      <c r="B1811" t="s">
        <v>1128</v>
      </c>
      <c r="C1811" t="s">
        <v>1129</v>
      </c>
      <c r="D1811" s="7">
        <v>35</v>
      </c>
      <c r="E1811">
        <v>2020</v>
      </c>
      <c r="F1811">
        <v>2020</v>
      </c>
      <c r="G1811" t="str">
        <f>IFERROR(INDEX(Formulations[Formulation],MATCH($C1811,Formulations[Product Code],0)),"")</f>
        <v>Silver</v>
      </c>
    </row>
    <row r="1812" spans="1:7" x14ac:dyDescent="0.3">
      <c r="A1812" t="s">
        <v>1168</v>
      </c>
      <c r="B1812" t="s">
        <v>1171</v>
      </c>
      <c r="C1812" t="s">
        <v>1172</v>
      </c>
      <c r="D1812" s="7">
        <v>35</v>
      </c>
      <c r="E1812">
        <v>2013</v>
      </c>
      <c r="F1812">
        <v>2014</v>
      </c>
      <c r="G1812" t="str">
        <f>IFERROR(INDEX(Formulations[Formulation],MATCH($C1812,Formulations[Product Code],0)),"")</f>
        <v/>
      </c>
    </row>
    <row r="1813" spans="1:7" x14ac:dyDescent="0.3">
      <c r="A1813" t="s">
        <v>1175</v>
      </c>
      <c r="B1813" t="s">
        <v>639</v>
      </c>
      <c r="C1813" t="s">
        <v>640</v>
      </c>
      <c r="D1813" s="7">
        <v>35</v>
      </c>
      <c r="E1813">
        <v>2019</v>
      </c>
      <c r="F1813">
        <v>2021</v>
      </c>
      <c r="G1813" t="str">
        <f>IFERROR(INDEX(Formulations[Formulation],MATCH($C1813,Formulations[Product Code],0)),"")</f>
        <v>Dolin 85% &amp; Powder Soap Extra 15%</v>
      </c>
    </row>
    <row r="1814" spans="1:7" x14ac:dyDescent="0.3">
      <c r="A1814" t="s">
        <v>1175</v>
      </c>
      <c r="B1814" t="s">
        <v>334</v>
      </c>
      <c r="C1814" t="s">
        <v>335</v>
      </c>
      <c r="D1814" s="7">
        <v>35</v>
      </c>
      <c r="E1814">
        <v>2019</v>
      </c>
      <c r="F1814">
        <v>2019</v>
      </c>
      <c r="G1814" t="str">
        <f>IFERROR(INDEX(Formulations[Formulation],MATCH($C1814,Formulations[Product Code],0)),"")</f>
        <v>Pure</v>
      </c>
    </row>
    <row r="1815" spans="1:7" x14ac:dyDescent="0.3">
      <c r="A1815" t="s">
        <v>1226</v>
      </c>
      <c r="B1815" t="s">
        <v>1314</v>
      </c>
      <c r="C1815" t="s">
        <v>389</v>
      </c>
      <c r="D1815" s="7">
        <v>35</v>
      </c>
      <c r="E1815">
        <v>2009</v>
      </c>
      <c r="F1815">
        <v>2011</v>
      </c>
      <c r="G1815" t="str">
        <f>IFERROR(INDEX(Formulations[Formulation],MATCH($C1815,Formulations[Product Code],0)),"")</f>
        <v/>
      </c>
    </row>
    <row r="1816" spans="1:7" x14ac:dyDescent="0.3">
      <c r="A1816" t="s">
        <v>1374</v>
      </c>
      <c r="B1816" t="s">
        <v>1383</v>
      </c>
      <c r="C1816" t="s">
        <v>1384</v>
      </c>
      <c r="D1816" s="7">
        <v>35</v>
      </c>
      <c r="E1816">
        <v>2021</v>
      </c>
      <c r="F1816">
        <v>2021</v>
      </c>
      <c r="G1816" t="str">
        <f>IFERROR(INDEX(Formulations[Formulation],MATCH($C1816,Formulations[Product Code],0)),"")</f>
        <v>Pure</v>
      </c>
    </row>
    <row r="1817" spans="1:7" x14ac:dyDescent="0.3">
      <c r="A1817" t="s">
        <v>1463</v>
      </c>
      <c r="B1817" t="s">
        <v>560</v>
      </c>
      <c r="C1817" t="s">
        <v>561</v>
      </c>
      <c r="D1817" s="7">
        <v>35</v>
      </c>
      <c r="E1817">
        <v>2012</v>
      </c>
      <c r="F1817">
        <v>2013</v>
      </c>
      <c r="G1817" t="str">
        <f>IFERROR(INDEX(Formulations[Formulation],MATCH($C1817,Formulations[Product Code],0)),"")</f>
        <v/>
      </c>
    </row>
    <row r="1818" spans="1:7" x14ac:dyDescent="0.3">
      <c r="A1818" t="s">
        <v>1463</v>
      </c>
      <c r="B1818" t="s">
        <v>60</v>
      </c>
      <c r="C1818" t="s">
        <v>186</v>
      </c>
      <c r="D1818" s="7">
        <v>35</v>
      </c>
      <c r="E1818">
        <v>2011</v>
      </c>
      <c r="F1818">
        <v>2012</v>
      </c>
      <c r="G1818" t="str">
        <f>IFERROR(INDEX(Formulations[Formulation],MATCH($C1818,Formulations[Product Code],0)),"")</f>
        <v/>
      </c>
    </row>
    <row r="1819" spans="1:7" x14ac:dyDescent="0.3">
      <c r="A1819" t="s">
        <v>1463</v>
      </c>
      <c r="B1819" t="s">
        <v>1623</v>
      </c>
      <c r="C1819" t="s">
        <v>1624</v>
      </c>
      <c r="D1819" s="7">
        <v>35</v>
      </c>
      <c r="E1819">
        <v>2012</v>
      </c>
      <c r="F1819">
        <v>2013</v>
      </c>
      <c r="G1819" t="str">
        <f>IFERROR(INDEX(Formulations[Formulation],MATCH($C1819,Formulations[Product Code],0)),"")</f>
        <v/>
      </c>
    </row>
    <row r="1820" spans="1:7" x14ac:dyDescent="0.3">
      <c r="A1820" t="s">
        <v>1663</v>
      </c>
      <c r="B1820" t="s">
        <v>110</v>
      </c>
      <c r="C1820" t="s">
        <v>111</v>
      </c>
      <c r="D1820" s="7">
        <v>35</v>
      </c>
      <c r="E1820">
        <v>2019</v>
      </c>
      <c r="F1820">
        <v>2020</v>
      </c>
      <c r="G1820" t="str">
        <f>IFERROR(INDEX(Formulations[Formulation],MATCH($C1820,Formulations[Product Code],0)),"")</f>
        <v>75% Lemon Zeste, 25% lemon Top &amp; the Gold DPG)</v>
      </c>
    </row>
    <row r="1821" spans="1:7" x14ac:dyDescent="0.3">
      <c r="A1821" t="s">
        <v>1686</v>
      </c>
      <c r="B1821" t="s">
        <v>567</v>
      </c>
      <c r="C1821" t="s">
        <v>698</v>
      </c>
      <c r="D1821" s="7">
        <v>35</v>
      </c>
      <c r="E1821">
        <v>2017</v>
      </c>
      <c r="F1821">
        <v>2017</v>
      </c>
      <c r="G1821" t="str">
        <f>IFERROR(INDEX(Formulations[Formulation],MATCH($C1821,Formulations[Product Code],0)),"")</f>
        <v>Crystal</v>
      </c>
    </row>
    <row r="1822" spans="1:7" x14ac:dyDescent="0.3">
      <c r="A1822" t="s">
        <v>1686</v>
      </c>
      <c r="B1822" t="s">
        <v>867</v>
      </c>
      <c r="C1822" t="s">
        <v>868</v>
      </c>
      <c r="D1822" s="7">
        <v>35</v>
      </c>
      <c r="E1822">
        <v>2019</v>
      </c>
      <c r="F1822">
        <v>2019</v>
      </c>
      <c r="G1822" t="str">
        <f>IFERROR(INDEX(Formulations[Formulation],MATCH($C1822,Formulations[Product Code],0)),"")</f>
        <v>Crystal</v>
      </c>
    </row>
    <row r="1823" spans="1:7" x14ac:dyDescent="0.3">
      <c r="A1823" t="s">
        <v>1693</v>
      </c>
      <c r="B1823" t="s">
        <v>219</v>
      </c>
      <c r="C1823" t="s">
        <v>220</v>
      </c>
      <c r="D1823" s="7">
        <v>35</v>
      </c>
      <c r="E1823">
        <v>2017</v>
      </c>
      <c r="F1823">
        <v>2017</v>
      </c>
      <c r="G1823" t="str">
        <f>IFERROR(INDEX(Formulations[Formulation],MATCH($C1823,Formulations[Product Code],0)),"")</f>
        <v/>
      </c>
    </row>
    <row r="1824" spans="1:7" x14ac:dyDescent="0.3">
      <c r="A1824" t="s">
        <v>1693</v>
      </c>
      <c r="B1824" t="s">
        <v>203</v>
      </c>
      <c r="C1824" t="s">
        <v>204</v>
      </c>
      <c r="D1824" s="7">
        <v>35</v>
      </c>
      <c r="E1824">
        <v>2017</v>
      </c>
      <c r="F1824">
        <v>2019</v>
      </c>
      <c r="G1824" t="str">
        <f>IFERROR(INDEX(Formulations[Formulation],MATCH($C1824,Formulations[Product Code],0)),"")</f>
        <v/>
      </c>
    </row>
    <row r="1825" spans="1:7" x14ac:dyDescent="0.3">
      <c r="A1825" t="s">
        <v>1852</v>
      </c>
      <c r="B1825" t="s">
        <v>624</v>
      </c>
      <c r="C1825" t="s">
        <v>625</v>
      </c>
      <c r="D1825" s="7">
        <v>35</v>
      </c>
      <c r="E1825">
        <v>2020</v>
      </c>
      <c r="F1825">
        <v>2021</v>
      </c>
      <c r="G1825" t="str">
        <f>IFERROR(INDEX(Formulations[Formulation],MATCH($C1825,Formulations[Product Code],0)),"")</f>
        <v>Crystal</v>
      </c>
    </row>
    <row r="1826" spans="1:7" x14ac:dyDescent="0.3">
      <c r="A1826" t="s">
        <v>1852</v>
      </c>
      <c r="B1826" t="s">
        <v>1853</v>
      </c>
      <c r="C1826" t="s">
        <v>1854</v>
      </c>
      <c r="D1826" s="7">
        <v>35</v>
      </c>
      <c r="E1826">
        <v>2020</v>
      </c>
      <c r="F1826">
        <v>2021</v>
      </c>
      <c r="G1826" t="str">
        <f>IFERROR(INDEX(Formulations[Formulation],MATCH($C1826,Formulations[Product Code],0)),"")</f>
        <v>30% Key Oil</v>
      </c>
    </row>
    <row r="1827" spans="1:7" x14ac:dyDescent="0.3">
      <c r="A1827" t="s">
        <v>1852</v>
      </c>
      <c r="B1827" t="s">
        <v>187</v>
      </c>
      <c r="C1827" t="s">
        <v>188</v>
      </c>
      <c r="D1827" s="7">
        <v>35</v>
      </c>
      <c r="E1827">
        <v>2020</v>
      </c>
      <c r="F1827">
        <v>2021</v>
      </c>
      <c r="G1827" t="str">
        <f>IFERROR(INDEX(Formulations[Formulation],MATCH($C1827,Formulations[Product Code],0)),"")</f>
        <v>Crystal</v>
      </c>
    </row>
    <row r="1828" spans="1:7" x14ac:dyDescent="0.3">
      <c r="A1828" t="s">
        <v>1865</v>
      </c>
      <c r="B1828" t="s">
        <v>686</v>
      </c>
      <c r="C1828" t="s">
        <v>687</v>
      </c>
      <c r="D1828" s="7">
        <v>35</v>
      </c>
      <c r="E1828">
        <v>2020</v>
      </c>
      <c r="F1828">
        <v>2020</v>
      </c>
      <c r="G1828" t="str">
        <f>IFERROR(INDEX(Formulations[Formulation],MATCH($C1828,Formulations[Product Code],0)),"")</f>
        <v>Pure</v>
      </c>
    </row>
    <row r="1829" spans="1:7" x14ac:dyDescent="0.3">
      <c r="A1829" t="s">
        <v>1933</v>
      </c>
      <c r="B1829" t="s">
        <v>510</v>
      </c>
      <c r="C1829" t="s">
        <v>511</v>
      </c>
      <c r="D1829" s="7">
        <v>35</v>
      </c>
      <c r="E1829">
        <v>2019</v>
      </c>
      <c r="F1829">
        <v>2021</v>
      </c>
      <c r="G1829" t="str">
        <f>IFERROR(INDEX(Formulations[Formulation],MATCH($C1829,Formulations[Product Code],0)),"")</f>
        <v>Pure</v>
      </c>
    </row>
    <row r="1830" spans="1:7" x14ac:dyDescent="0.3">
      <c r="A1830" t="s">
        <v>1933</v>
      </c>
      <c r="B1830" t="s">
        <v>1935</v>
      </c>
      <c r="C1830" t="s">
        <v>254</v>
      </c>
      <c r="D1830" s="7">
        <v>35</v>
      </c>
      <c r="E1830">
        <v>2019</v>
      </c>
      <c r="F1830">
        <v>2019</v>
      </c>
      <c r="G1830" t="str">
        <f>IFERROR(INDEX(Formulations[Formulation],MATCH($C1830,Formulations[Product Code],0)),"")</f>
        <v>6kg oil and 19kg DPG</v>
      </c>
    </row>
    <row r="1831" spans="1:7" x14ac:dyDescent="0.3">
      <c r="A1831" t="s">
        <v>1933</v>
      </c>
      <c r="B1831" t="s">
        <v>189</v>
      </c>
      <c r="D1831" s="7">
        <v>35</v>
      </c>
      <c r="E1831">
        <v>2019</v>
      </c>
      <c r="F1831">
        <v>2019</v>
      </c>
      <c r="G1831" t="str">
        <f>IFERROR(INDEX(Formulations[Formulation],MATCH($C1831,Formulations[Product Code],0)),"")</f>
        <v/>
      </c>
    </row>
    <row r="1832" spans="1:7" x14ac:dyDescent="0.3">
      <c r="A1832" t="s">
        <v>1972</v>
      </c>
      <c r="B1832" t="s">
        <v>1982</v>
      </c>
      <c r="D1832" s="7">
        <v>35</v>
      </c>
      <c r="E1832">
        <v>2020</v>
      </c>
      <c r="F1832">
        <v>2021</v>
      </c>
      <c r="G1832" t="str">
        <f>IFERROR(INDEX(Formulations[Formulation],MATCH($C1832,Formulations[Product Code],0)),"")</f>
        <v/>
      </c>
    </row>
    <row r="1833" spans="1:7" x14ac:dyDescent="0.3">
      <c r="A1833" t="s">
        <v>2048</v>
      </c>
      <c r="B1833" t="s">
        <v>19</v>
      </c>
      <c r="C1833" t="s">
        <v>699</v>
      </c>
      <c r="D1833" s="7">
        <v>35</v>
      </c>
      <c r="E1833">
        <v>2019</v>
      </c>
      <c r="F1833">
        <v>2019</v>
      </c>
      <c r="G1833" t="str">
        <f>IFERROR(INDEX(Formulations[Formulation],MATCH($C1833,Formulations[Product Code],0)),"")</f>
        <v/>
      </c>
    </row>
    <row r="1834" spans="1:7" x14ac:dyDescent="0.3">
      <c r="A1834" t="s">
        <v>2057</v>
      </c>
      <c r="B1834" t="s">
        <v>19</v>
      </c>
      <c r="C1834" t="s">
        <v>20</v>
      </c>
      <c r="D1834" s="7">
        <v>35</v>
      </c>
      <c r="E1834">
        <v>2020</v>
      </c>
      <c r="F1834">
        <v>2021</v>
      </c>
      <c r="G1834" t="str">
        <f>IFERROR(INDEX(Formulations[Formulation],MATCH($C1834,Formulations[Product Code],0)),"")</f>
        <v>80 % Oil AND 20 % DPG</v>
      </c>
    </row>
    <row r="1835" spans="1:7" x14ac:dyDescent="0.3">
      <c r="A1835" t="s">
        <v>2075</v>
      </c>
      <c r="B1835" t="s">
        <v>1339</v>
      </c>
      <c r="C1835" t="s">
        <v>1340</v>
      </c>
      <c r="D1835" s="7">
        <v>35</v>
      </c>
      <c r="E1835">
        <v>2020</v>
      </c>
      <c r="F1835">
        <v>2020</v>
      </c>
      <c r="G1835" t="str">
        <f>IFERROR(INDEX(Formulations[Formulation],MATCH($C1835,Formulations[Product Code],0)),"")</f>
        <v/>
      </c>
    </row>
    <row r="1836" spans="1:7" x14ac:dyDescent="0.3">
      <c r="A1836" t="s">
        <v>2131</v>
      </c>
      <c r="B1836" t="s">
        <v>2132</v>
      </c>
      <c r="C1836" t="s">
        <v>284</v>
      </c>
      <c r="D1836" s="7">
        <v>35</v>
      </c>
      <c r="E1836">
        <v>2009</v>
      </c>
      <c r="F1836">
        <v>2013</v>
      </c>
      <c r="G1836" t="str">
        <f>IFERROR(INDEX(Formulations[Formulation],MATCH($C1836,Formulations[Product Code],0)),"")</f>
        <v/>
      </c>
    </row>
    <row r="1837" spans="1:7" x14ac:dyDescent="0.3">
      <c r="A1837" t="s">
        <v>2250</v>
      </c>
      <c r="B1837" t="s">
        <v>218</v>
      </c>
      <c r="C1837" t="s">
        <v>212</v>
      </c>
      <c r="D1837" s="7">
        <v>35</v>
      </c>
      <c r="E1837">
        <v>2011</v>
      </c>
      <c r="F1837">
        <v>2011</v>
      </c>
      <c r="G1837" t="str">
        <f>IFERROR(INDEX(Formulations[Formulation],MATCH($C1837,Formulations[Product Code],0)),"")</f>
        <v>Pure</v>
      </c>
    </row>
    <row r="1838" spans="1:7" x14ac:dyDescent="0.3">
      <c r="A1838" t="s">
        <v>2296</v>
      </c>
      <c r="B1838" t="s">
        <v>483</v>
      </c>
      <c r="C1838" t="s">
        <v>484</v>
      </c>
      <c r="D1838" s="7">
        <v>35</v>
      </c>
      <c r="E1838">
        <v>2020</v>
      </c>
      <c r="F1838">
        <v>2021</v>
      </c>
      <c r="G1838" t="str">
        <f>IFERROR(INDEX(Formulations[Formulation],MATCH($C1838,Formulations[Product Code],0)),"")</f>
        <v>Crystal</v>
      </c>
    </row>
    <row r="1839" spans="1:7" x14ac:dyDescent="0.3">
      <c r="A1839" t="s">
        <v>2330</v>
      </c>
      <c r="B1839" t="s">
        <v>536</v>
      </c>
      <c r="C1839" t="s">
        <v>537</v>
      </c>
      <c r="D1839" s="7">
        <v>35</v>
      </c>
      <c r="E1839">
        <v>2021</v>
      </c>
      <c r="F1839">
        <v>2021</v>
      </c>
      <c r="G1839" t="str">
        <f>IFERROR(INDEX(Formulations[Formulation],MATCH($C1839,Formulations[Product Code],0)),"")</f>
        <v>Silver</v>
      </c>
    </row>
    <row r="1840" spans="1:7" x14ac:dyDescent="0.3">
      <c r="A1840" t="s">
        <v>2346</v>
      </c>
      <c r="B1840" t="s">
        <v>349</v>
      </c>
      <c r="C1840" t="s">
        <v>350</v>
      </c>
      <c r="D1840" s="7">
        <v>35</v>
      </c>
      <c r="E1840">
        <v>2014</v>
      </c>
      <c r="F1840">
        <v>2020</v>
      </c>
      <c r="G1840" t="str">
        <f>IFERROR(INDEX(Formulations[Formulation],MATCH($C1840,Formulations[Product Code],0)),"")</f>
        <v/>
      </c>
    </row>
    <row r="1841" spans="1:7" x14ac:dyDescent="0.3">
      <c r="A1841" t="s">
        <v>2354</v>
      </c>
      <c r="B1841" t="s">
        <v>46</v>
      </c>
      <c r="C1841" t="s">
        <v>47</v>
      </c>
      <c r="D1841" s="7">
        <v>35</v>
      </c>
      <c r="E1841">
        <v>2017</v>
      </c>
      <c r="F1841">
        <v>2019</v>
      </c>
      <c r="G1841" t="str">
        <f>IFERROR(INDEX(Formulations[Formulation],MATCH($C1841,Formulations[Product Code],0)),"")</f>
        <v/>
      </c>
    </row>
    <row r="1842" spans="1:7" x14ac:dyDescent="0.3">
      <c r="A1842" t="s">
        <v>2392</v>
      </c>
      <c r="B1842" t="s">
        <v>2306</v>
      </c>
      <c r="C1842" t="s">
        <v>2396</v>
      </c>
      <c r="D1842" s="7">
        <v>35</v>
      </c>
      <c r="E1842">
        <v>2009</v>
      </c>
      <c r="F1842">
        <v>2010</v>
      </c>
      <c r="G1842" t="str">
        <f>IFERROR(INDEX(Formulations[Formulation],MATCH($C1842,Formulations[Product Code],0)),"")</f>
        <v/>
      </c>
    </row>
    <row r="1843" spans="1:7" x14ac:dyDescent="0.3">
      <c r="A1843" t="s">
        <v>2401</v>
      </c>
      <c r="B1843" t="s">
        <v>21</v>
      </c>
      <c r="C1843" t="s">
        <v>22</v>
      </c>
      <c r="D1843" s="7">
        <v>35</v>
      </c>
      <c r="E1843">
        <v>2014</v>
      </c>
      <c r="F1843">
        <v>2018</v>
      </c>
      <c r="G1843" t="str">
        <f>IFERROR(INDEX(Formulations[Formulation],MATCH($C1843,Formulations[Product Code],0)),"")</f>
        <v>Crystal</v>
      </c>
    </row>
    <row r="1844" spans="1:7" x14ac:dyDescent="0.3">
      <c r="A1844" t="s">
        <v>2425</v>
      </c>
      <c r="B1844" t="s">
        <v>823</v>
      </c>
      <c r="C1844" t="s">
        <v>52</v>
      </c>
      <c r="D1844" s="7">
        <v>35</v>
      </c>
      <c r="E1844">
        <v>2015</v>
      </c>
      <c r="F1844">
        <v>2016</v>
      </c>
      <c r="G1844" t="str">
        <f>IFERROR(INDEX(Formulations[Formulation],MATCH($C1844,Formulations[Product Code],0)),"")</f>
        <v>Silver</v>
      </c>
    </row>
    <row r="1845" spans="1:7" x14ac:dyDescent="0.3">
      <c r="A1845" t="s">
        <v>2485</v>
      </c>
      <c r="B1845" t="s">
        <v>2486</v>
      </c>
      <c r="C1845" t="s">
        <v>2487</v>
      </c>
      <c r="D1845" s="7">
        <v>35</v>
      </c>
      <c r="E1845">
        <v>2017</v>
      </c>
      <c r="F1845">
        <v>2017</v>
      </c>
      <c r="G1845" t="str">
        <f>IFERROR(INDEX(Formulations[Formulation],MATCH($C1845,Formulations[Product Code],0)),"")</f>
        <v/>
      </c>
    </row>
    <row r="1846" spans="1:7" x14ac:dyDescent="0.3">
      <c r="A1846" t="s">
        <v>2496</v>
      </c>
      <c r="B1846" t="s">
        <v>36</v>
      </c>
      <c r="D1846" s="7">
        <v>35</v>
      </c>
      <c r="E1846">
        <v>2017</v>
      </c>
      <c r="F1846">
        <v>2020</v>
      </c>
      <c r="G1846" t="str">
        <f>IFERROR(INDEX(Formulations[Formulation],MATCH($C1846,Formulations[Product Code],0)),"")</f>
        <v/>
      </c>
    </row>
    <row r="1847" spans="1:7" x14ac:dyDescent="0.3">
      <c r="A1847" t="s">
        <v>2498</v>
      </c>
      <c r="B1847" t="s">
        <v>1339</v>
      </c>
      <c r="C1847" t="s">
        <v>1340</v>
      </c>
      <c r="D1847" s="7">
        <v>35</v>
      </c>
      <c r="E1847">
        <v>2018</v>
      </c>
      <c r="F1847">
        <v>2020</v>
      </c>
      <c r="G1847" t="str">
        <f>IFERROR(INDEX(Formulations[Formulation],MATCH($C1847,Formulations[Product Code],0)),"")</f>
        <v/>
      </c>
    </row>
    <row r="1848" spans="1:7" x14ac:dyDescent="0.3">
      <c r="A1848" t="s">
        <v>2504</v>
      </c>
      <c r="B1848" t="s">
        <v>19</v>
      </c>
      <c r="C1848" t="s">
        <v>107</v>
      </c>
      <c r="D1848" s="7">
        <v>35</v>
      </c>
      <c r="E1848">
        <v>2019</v>
      </c>
      <c r="F1848">
        <v>2021</v>
      </c>
      <c r="G1848" t="str">
        <f>IFERROR(INDEX(Formulations[Formulation],MATCH($C1848,Formulations[Product Code],0)),"")</f>
        <v>Pure</v>
      </c>
    </row>
    <row r="1849" spans="1:7" x14ac:dyDescent="0.3">
      <c r="A1849" t="s">
        <v>2519</v>
      </c>
      <c r="B1849" t="s">
        <v>51</v>
      </c>
      <c r="C1849" t="s">
        <v>52</v>
      </c>
      <c r="D1849" s="7">
        <v>35</v>
      </c>
      <c r="E1849">
        <v>2018</v>
      </c>
      <c r="F1849">
        <v>2020</v>
      </c>
      <c r="G1849" t="str">
        <f>IFERROR(INDEX(Formulations[Formulation],MATCH($C1849,Formulations[Product Code],0)),"")</f>
        <v>Silver</v>
      </c>
    </row>
    <row r="1850" spans="1:7" x14ac:dyDescent="0.3">
      <c r="A1850" t="s">
        <v>2590</v>
      </c>
      <c r="B1850" t="s">
        <v>1339</v>
      </c>
      <c r="C1850" t="s">
        <v>1340</v>
      </c>
      <c r="D1850" s="7">
        <v>35</v>
      </c>
      <c r="E1850">
        <v>2019</v>
      </c>
      <c r="F1850">
        <v>2019</v>
      </c>
      <c r="G1850" t="str">
        <f>IFERROR(INDEX(Formulations[Formulation],MATCH($C1850,Formulations[Product Code],0)),"")</f>
        <v/>
      </c>
    </row>
    <row r="1851" spans="1:7" x14ac:dyDescent="0.3">
      <c r="A1851" t="s">
        <v>2596</v>
      </c>
      <c r="B1851" t="s">
        <v>2597</v>
      </c>
      <c r="C1851" t="s">
        <v>2598</v>
      </c>
      <c r="D1851" s="7">
        <v>35</v>
      </c>
      <c r="E1851">
        <v>2011</v>
      </c>
      <c r="F1851">
        <v>2012</v>
      </c>
      <c r="G1851" t="str">
        <f>IFERROR(INDEX(Formulations[Formulation],MATCH($C1851,Formulations[Product Code],0)),"")</f>
        <v/>
      </c>
    </row>
    <row r="1852" spans="1:7" x14ac:dyDescent="0.3">
      <c r="A1852" t="s">
        <v>2596</v>
      </c>
      <c r="B1852" t="s">
        <v>2602</v>
      </c>
      <c r="C1852" t="s">
        <v>2603</v>
      </c>
      <c r="D1852" s="7">
        <v>35</v>
      </c>
      <c r="E1852">
        <v>2011</v>
      </c>
      <c r="F1852">
        <v>2013</v>
      </c>
      <c r="G1852" t="str">
        <f>IFERROR(INDEX(Formulations[Formulation],MATCH($C1852,Formulations[Product Code],0)),"")</f>
        <v/>
      </c>
    </row>
    <row r="1853" spans="1:7" x14ac:dyDescent="0.3">
      <c r="A1853" t="s">
        <v>1784</v>
      </c>
      <c r="B1853" t="s">
        <v>219</v>
      </c>
      <c r="C1853" t="s">
        <v>220</v>
      </c>
      <c r="D1853" s="7">
        <v>33</v>
      </c>
      <c r="E1853">
        <v>2016</v>
      </c>
      <c r="F1853">
        <v>2019</v>
      </c>
      <c r="G1853" t="str">
        <f>IFERROR(INDEX(Formulations[Formulation],MATCH($C1853,Formulations[Product Code],0)),"")</f>
        <v/>
      </c>
    </row>
    <row r="1854" spans="1:7" x14ac:dyDescent="0.3">
      <c r="A1854" t="s">
        <v>1883</v>
      </c>
      <c r="B1854" t="s">
        <v>1801</v>
      </c>
      <c r="D1854" s="7">
        <v>33</v>
      </c>
      <c r="E1854">
        <v>2017</v>
      </c>
      <c r="F1854">
        <v>2020</v>
      </c>
      <c r="G1854" t="str">
        <f>IFERROR(INDEX(Formulations[Formulation],MATCH($C1854,Formulations[Product Code],0)),"")</f>
        <v/>
      </c>
    </row>
    <row r="1855" spans="1:7" x14ac:dyDescent="0.3">
      <c r="A1855" t="s">
        <v>50</v>
      </c>
      <c r="B1855" t="s">
        <v>74</v>
      </c>
      <c r="C1855" t="s">
        <v>75</v>
      </c>
      <c r="D1855" s="7">
        <v>32</v>
      </c>
      <c r="E1855">
        <v>2018</v>
      </c>
      <c r="F1855">
        <v>2019</v>
      </c>
      <c r="G1855" t="str">
        <f>IFERROR(INDEX(Formulations[Formulation],MATCH($C1855,Formulations[Product Code],0)),"")</f>
        <v>Crystal</v>
      </c>
    </row>
    <row r="1856" spans="1:7" x14ac:dyDescent="0.3">
      <c r="A1856" t="s">
        <v>1028</v>
      </c>
      <c r="B1856" t="s">
        <v>393</v>
      </c>
      <c r="C1856" t="s">
        <v>947</v>
      </c>
      <c r="D1856" s="7">
        <v>32</v>
      </c>
      <c r="E1856">
        <v>2010</v>
      </c>
      <c r="F1856">
        <v>2010</v>
      </c>
      <c r="G1856" t="str">
        <f>IFERROR(INDEX(Formulations[Formulation],MATCH($C1856,Formulations[Product Code],0)),"")</f>
        <v/>
      </c>
    </row>
    <row r="1857" spans="1:7" x14ac:dyDescent="0.3">
      <c r="A1857" t="s">
        <v>1028</v>
      </c>
      <c r="B1857" t="s">
        <v>1063</v>
      </c>
      <c r="C1857" t="s">
        <v>1064</v>
      </c>
      <c r="D1857" s="7">
        <v>32</v>
      </c>
      <c r="E1857">
        <v>2011</v>
      </c>
      <c r="F1857">
        <v>2011</v>
      </c>
      <c r="G1857" t="str">
        <f>IFERROR(INDEX(Formulations[Formulation],MATCH($C1857,Formulations[Product Code],0)),"")</f>
        <v/>
      </c>
    </row>
    <row r="1858" spans="1:7" x14ac:dyDescent="0.3">
      <c r="A1858" t="s">
        <v>1822</v>
      </c>
      <c r="B1858" t="s">
        <v>37</v>
      </c>
      <c r="D1858" s="7">
        <v>32</v>
      </c>
      <c r="E1858">
        <v>2020</v>
      </c>
      <c r="F1858">
        <v>2021</v>
      </c>
      <c r="G1858" t="str">
        <f>IFERROR(INDEX(Formulations[Formulation],MATCH($C1858,Formulations[Product Code],0)),"")</f>
        <v/>
      </c>
    </row>
    <row r="1859" spans="1:7" x14ac:dyDescent="0.3">
      <c r="A1859" t="s">
        <v>1933</v>
      </c>
      <c r="B1859" t="s">
        <v>719</v>
      </c>
      <c r="C1859" t="s">
        <v>925</v>
      </c>
      <c r="D1859" s="7">
        <v>32</v>
      </c>
      <c r="E1859">
        <v>2019</v>
      </c>
      <c r="F1859">
        <v>2019</v>
      </c>
      <c r="G1859" t="str">
        <f>IFERROR(INDEX(Formulations[Formulation],MATCH($C1859,Formulations[Product Code],0)),"")</f>
        <v/>
      </c>
    </row>
    <row r="1860" spans="1:7" x14ac:dyDescent="0.3">
      <c r="A1860" t="s">
        <v>1958</v>
      </c>
      <c r="B1860" t="s">
        <v>581</v>
      </c>
      <c r="C1860" t="s">
        <v>582</v>
      </c>
      <c r="D1860" s="7">
        <v>32</v>
      </c>
      <c r="E1860">
        <v>2015</v>
      </c>
      <c r="F1860">
        <v>2016</v>
      </c>
      <c r="G1860" t="str">
        <f>IFERROR(INDEX(Formulations[Formulation],MATCH($C1860,Formulations[Product Code],0)),"")</f>
        <v/>
      </c>
    </row>
    <row r="1861" spans="1:7" x14ac:dyDescent="0.3">
      <c r="A1861" t="s">
        <v>1958</v>
      </c>
      <c r="B1861" t="s">
        <v>599</v>
      </c>
      <c r="C1861" t="s">
        <v>413</v>
      </c>
      <c r="D1861" s="7">
        <v>32</v>
      </c>
      <c r="E1861">
        <v>2018</v>
      </c>
      <c r="F1861">
        <v>2019</v>
      </c>
      <c r="G1861" t="str">
        <f>IFERROR(INDEX(Formulations[Formulation],MATCH($C1861,Formulations[Product Code],0)),"")</f>
        <v>40% oil &amp; 60 % DPG</v>
      </c>
    </row>
    <row r="1862" spans="1:7" x14ac:dyDescent="0.3">
      <c r="A1862" t="s">
        <v>2088</v>
      </c>
      <c r="B1862" t="s">
        <v>28</v>
      </c>
      <c r="D1862" s="7">
        <v>32</v>
      </c>
      <c r="E1862">
        <v>2015</v>
      </c>
      <c r="F1862">
        <v>2016</v>
      </c>
      <c r="G1862" t="str">
        <f>IFERROR(INDEX(Formulations[Formulation],MATCH($C1862,Formulations[Product Code],0)),"")</f>
        <v/>
      </c>
    </row>
    <row r="1863" spans="1:7" x14ac:dyDescent="0.3">
      <c r="A1863" t="s">
        <v>822</v>
      </c>
      <c r="B1863" t="s">
        <v>120</v>
      </c>
      <c r="C1863" t="s">
        <v>121</v>
      </c>
      <c r="D1863" s="7">
        <v>31</v>
      </c>
      <c r="E1863">
        <v>2017</v>
      </c>
      <c r="F1863">
        <v>2018</v>
      </c>
      <c r="G1863" t="str">
        <f>IFERROR(INDEX(Formulations[Formulation],MATCH($C1863,Formulations[Product Code],0)),"")</f>
        <v/>
      </c>
    </row>
    <row r="1864" spans="1:7" x14ac:dyDescent="0.3">
      <c r="A1864" t="s">
        <v>1000</v>
      </c>
      <c r="B1864" t="s">
        <v>372</v>
      </c>
      <c r="C1864" t="s">
        <v>331</v>
      </c>
      <c r="D1864" s="7">
        <v>31</v>
      </c>
      <c r="E1864">
        <v>2019</v>
      </c>
      <c r="F1864">
        <v>2019</v>
      </c>
      <c r="G1864" t="str">
        <f>IFERROR(INDEX(Formulations[Formulation],MATCH($C1864,Formulations[Product Code],0)),"")</f>
        <v>35% oil</v>
      </c>
    </row>
    <row r="1865" spans="1:7" x14ac:dyDescent="0.3">
      <c r="A1865" t="s">
        <v>1175</v>
      </c>
      <c r="B1865" t="s">
        <v>602</v>
      </c>
      <c r="C1865" t="s">
        <v>603</v>
      </c>
      <c r="D1865" s="7">
        <v>31</v>
      </c>
      <c r="E1865">
        <v>2018</v>
      </c>
      <c r="F1865">
        <v>2020</v>
      </c>
      <c r="G1865" t="str">
        <f>IFERROR(INDEX(Formulations[Formulation],MATCH($C1865,Formulations[Product Code],0)),"")</f>
        <v>Crystal</v>
      </c>
    </row>
    <row r="1866" spans="1:7" x14ac:dyDescent="0.3">
      <c r="A1866" t="s">
        <v>1407</v>
      </c>
      <c r="B1866" t="s">
        <v>510</v>
      </c>
      <c r="C1866" t="s">
        <v>511</v>
      </c>
      <c r="D1866" s="7">
        <v>31</v>
      </c>
      <c r="E1866">
        <v>2019</v>
      </c>
      <c r="F1866">
        <v>2020</v>
      </c>
      <c r="G1866" t="str">
        <f>IFERROR(INDEX(Formulations[Formulation],MATCH($C1866,Formulations[Product Code],0)),"")</f>
        <v>Pure</v>
      </c>
    </row>
    <row r="1867" spans="1:7" x14ac:dyDescent="0.3">
      <c r="A1867" t="s">
        <v>1665</v>
      </c>
      <c r="B1867" t="s">
        <v>911</v>
      </c>
      <c r="C1867" t="s">
        <v>912</v>
      </c>
      <c r="D1867" s="7">
        <v>31</v>
      </c>
      <c r="E1867">
        <v>2020</v>
      </c>
      <c r="F1867">
        <v>2021</v>
      </c>
      <c r="G1867" t="str">
        <f>IFERROR(INDEX(Formulations[Formulation],MATCH($C1867,Formulations[Product Code],0)),"")</f>
        <v>Gold</v>
      </c>
    </row>
    <row r="1868" spans="1:7" x14ac:dyDescent="0.3">
      <c r="A1868" t="s">
        <v>1873</v>
      </c>
      <c r="B1868" t="s">
        <v>1155</v>
      </c>
      <c r="C1868" t="s">
        <v>1156</v>
      </c>
      <c r="D1868" s="7">
        <v>31</v>
      </c>
      <c r="E1868">
        <v>2019</v>
      </c>
      <c r="F1868">
        <v>2019</v>
      </c>
      <c r="G1868" t="str">
        <f>IFERROR(INDEX(Formulations[Formulation],MATCH($C1868,Formulations[Product Code],0)),"")</f>
        <v/>
      </c>
    </row>
    <row r="1869" spans="1:7" x14ac:dyDescent="0.3">
      <c r="A1869" t="s">
        <v>2088</v>
      </c>
      <c r="B1869" t="s">
        <v>2089</v>
      </c>
      <c r="D1869" s="7">
        <v>31</v>
      </c>
      <c r="E1869">
        <v>2015</v>
      </c>
      <c r="F1869">
        <v>2016</v>
      </c>
      <c r="G1869" t="str">
        <f>IFERROR(INDEX(Formulations[Formulation],MATCH($C1869,Formulations[Product Code],0)),"")</f>
        <v/>
      </c>
    </row>
    <row r="1870" spans="1:7" x14ac:dyDescent="0.3">
      <c r="A1870" t="s">
        <v>2519</v>
      </c>
      <c r="B1870" t="s">
        <v>99</v>
      </c>
      <c r="C1870" t="s">
        <v>100</v>
      </c>
      <c r="D1870" s="7">
        <v>31</v>
      </c>
      <c r="E1870">
        <v>2018</v>
      </c>
      <c r="F1870">
        <v>2021</v>
      </c>
      <c r="G1870" t="str">
        <f>IFERROR(INDEX(Formulations[Formulation],MATCH($C1870,Formulations[Product Code],0)),"")</f>
        <v>Crystal</v>
      </c>
    </row>
    <row r="1871" spans="1:7" x14ac:dyDescent="0.3">
      <c r="A1871" t="s">
        <v>273</v>
      </c>
      <c r="B1871" t="s">
        <v>135</v>
      </c>
      <c r="C1871" t="s">
        <v>136</v>
      </c>
      <c r="D1871" s="7">
        <v>30</v>
      </c>
      <c r="E1871">
        <v>2012</v>
      </c>
      <c r="F1871">
        <v>2012</v>
      </c>
      <c r="G1871" t="str">
        <f>IFERROR(INDEX(Formulations[Formulation],MATCH($C1871,Formulations[Product Code],0)),"")</f>
        <v/>
      </c>
    </row>
    <row r="1872" spans="1:7" x14ac:dyDescent="0.3">
      <c r="A1872" t="s">
        <v>338</v>
      </c>
      <c r="B1872" t="s">
        <v>135</v>
      </c>
      <c r="C1872" t="s">
        <v>136</v>
      </c>
      <c r="D1872" s="7">
        <v>30</v>
      </c>
      <c r="E1872">
        <v>2010</v>
      </c>
      <c r="F1872">
        <v>2010</v>
      </c>
      <c r="G1872" t="str">
        <f>IFERROR(INDEX(Formulations[Formulation],MATCH($C1872,Formulations[Product Code],0)),"")</f>
        <v/>
      </c>
    </row>
    <row r="1873" spans="1:7" x14ac:dyDescent="0.3">
      <c r="A1873" t="s">
        <v>353</v>
      </c>
      <c r="B1873" t="s">
        <v>372</v>
      </c>
      <c r="C1873" t="s">
        <v>331</v>
      </c>
      <c r="D1873" s="7">
        <v>30</v>
      </c>
      <c r="E1873">
        <v>2019</v>
      </c>
      <c r="F1873">
        <v>2019</v>
      </c>
      <c r="G1873" t="str">
        <f>IFERROR(INDEX(Formulations[Formulation],MATCH($C1873,Formulations[Product Code],0)),"")</f>
        <v>35% oil</v>
      </c>
    </row>
    <row r="1874" spans="1:7" x14ac:dyDescent="0.3">
      <c r="A1874" t="s">
        <v>550</v>
      </c>
      <c r="B1874" t="s">
        <v>553</v>
      </c>
      <c r="C1874" t="s">
        <v>292</v>
      </c>
      <c r="D1874" s="7">
        <v>30</v>
      </c>
      <c r="E1874">
        <v>2018</v>
      </c>
      <c r="F1874">
        <v>2018</v>
      </c>
      <c r="G1874" t="str">
        <f>IFERROR(INDEX(Formulations[Formulation],MATCH($C1874,Formulations[Product Code],0)),"")</f>
        <v/>
      </c>
    </row>
    <row r="1875" spans="1:7" x14ac:dyDescent="0.3">
      <c r="A1875" t="s">
        <v>622</v>
      </c>
      <c r="B1875" t="s">
        <v>653</v>
      </c>
      <c r="C1875" t="s">
        <v>654</v>
      </c>
      <c r="D1875" s="7">
        <v>30</v>
      </c>
      <c r="E1875">
        <v>2019</v>
      </c>
      <c r="F1875">
        <v>2019</v>
      </c>
      <c r="G1875" t="str">
        <f>IFERROR(INDEX(Formulations[Formulation],MATCH($C1875,Formulations[Product Code],0)),"")</f>
        <v>Pure</v>
      </c>
    </row>
    <row r="1876" spans="1:7" x14ac:dyDescent="0.3">
      <c r="A1876" t="s">
        <v>622</v>
      </c>
      <c r="B1876" t="s">
        <v>267</v>
      </c>
      <c r="C1876" t="s">
        <v>150</v>
      </c>
      <c r="D1876" s="7">
        <v>30</v>
      </c>
      <c r="E1876">
        <v>2019</v>
      </c>
      <c r="F1876">
        <v>2019</v>
      </c>
      <c r="G1876" t="str">
        <f>IFERROR(INDEX(Formulations[Formulation],MATCH($C1876,Formulations[Product Code],0)),"")</f>
        <v/>
      </c>
    </row>
    <row r="1877" spans="1:7" x14ac:dyDescent="0.3">
      <c r="A1877" t="s">
        <v>690</v>
      </c>
      <c r="B1877" t="s">
        <v>328</v>
      </c>
      <c r="C1877" t="s">
        <v>52</v>
      </c>
      <c r="D1877" s="7">
        <v>30</v>
      </c>
      <c r="E1877">
        <v>2014</v>
      </c>
      <c r="F1877">
        <v>2014</v>
      </c>
      <c r="G1877" t="str">
        <f>IFERROR(INDEX(Formulations[Formulation],MATCH($C1877,Formulations[Product Code],0)),"")</f>
        <v>Silver</v>
      </c>
    </row>
    <row r="1878" spans="1:7" x14ac:dyDescent="0.3">
      <c r="A1878" t="s">
        <v>690</v>
      </c>
      <c r="B1878" t="s">
        <v>555</v>
      </c>
      <c r="C1878" t="s">
        <v>259</v>
      </c>
      <c r="D1878" s="7">
        <v>30</v>
      </c>
      <c r="E1878">
        <v>2014</v>
      </c>
      <c r="F1878">
        <v>2014</v>
      </c>
      <c r="G1878" t="str">
        <f>IFERROR(INDEX(Formulations[Formulation],MATCH($C1878,Formulations[Product Code],0)),"")</f>
        <v>Pure</v>
      </c>
    </row>
    <row r="1879" spans="1:7" x14ac:dyDescent="0.3">
      <c r="A1879" t="s">
        <v>690</v>
      </c>
      <c r="B1879" t="s">
        <v>142</v>
      </c>
      <c r="C1879" t="s">
        <v>143</v>
      </c>
      <c r="D1879" s="7">
        <v>30</v>
      </c>
      <c r="E1879">
        <v>2014</v>
      </c>
      <c r="F1879">
        <v>2014</v>
      </c>
      <c r="G1879" t="str">
        <f>IFERROR(INDEX(Formulations[Formulation],MATCH($C1879,Formulations[Product Code],0)),"")</f>
        <v>Pure</v>
      </c>
    </row>
    <row r="1880" spans="1:7" x14ac:dyDescent="0.3">
      <c r="A1880" t="s">
        <v>765</v>
      </c>
      <c r="B1880" t="s">
        <v>772</v>
      </c>
      <c r="D1880" s="7">
        <v>30</v>
      </c>
      <c r="E1880">
        <v>2021</v>
      </c>
      <c r="F1880">
        <v>2021</v>
      </c>
      <c r="G1880" t="str">
        <f>IFERROR(INDEX(Formulations[Formulation],MATCH($C1880,Formulations[Product Code],0)),"")</f>
        <v/>
      </c>
    </row>
    <row r="1881" spans="1:7" x14ac:dyDescent="0.3">
      <c r="A1881" t="s">
        <v>775</v>
      </c>
      <c r="B1881" t="s">
        <v>779</v>
      </c>
      <c r="C1881" t="s">
        <v>780</v>
      </c>
      <c r="D1881" s="7">
        <v>30</v>
      </c>
      <c r="E1881">
        <v>2015</v>
      </c>
      <c r="F1881">
        <v>2016</v>
      </c>
      <c r="G1881" t="str">
        <f>IFERROR(INDEX(Formulations[Formulation],MATCH($C1881,Formulations[Product Code],0)),"")</f>
        <v/>
      </c>
    </row>
    <row r="1882" spans="1:7" x14ac:dyDescent="0.3">
      <c r="A1882" t="s">
        <v>781</v>
      </c>
      <c r="B1882" t="s">
        <v>790</v>
      </c>
      <c r="C1882" t="s">
        <v>791</v>
      </c>
      <c r="D1882" s="7">
        <v>30</v>
      </c>
      <c r="E1882">
        <v>2021</v>
      </c>
      <c r="F1882">
        <v>2021</v>
      </c>
      <c r="G1882" t="str">
        <f>IFERROR(INDEX(Formulations[Formulation],MATCH($C1882,Formulations[Product Code],0)),"")</f>
        <v>Pure</v>
      </c>
    </row>
    <row r="1883" spans="1:7" x14ac:dyDescent="0.3">
      <c r="A1883" t="s">
        <v>781</v>
      </c>
      <c r="B1883" t="s">
        <v>792</v>
      </c>
      <c r="C1883" t="s">
        <v>793</v>
      </c>
      <c r="D1883" s="7">
        <v>30</v>
      </c>
      <c r="E1883">
        <v>2020</v>
      </c>
      <c r="F1883">
        <v>2021</v>
      </c>
      <c r="G1883" t="str">
        <f>IFERROR(INDEX(Formulations[Formulation],MATCH($C1883,Formulations[Product Code],0)),"")</f>
        <v>Silver</v>
      </c>
    </row>
    <row r="1884" spans="1:7" x14ac:dyDescent="0.3">
      <c r="A1884" t="s">
        <v>884</v>
      </c>
      <c r="B1884" t="s">
        <v>886</v>
      </c>
      <c r="C1884" t="s">
        <v>145</v>
      </c>
      <c r="D1884" s="7">
        <v>30</v>
      </c>
      <c r="E1884">
        <v>2015</v>
      </c>
      <c r="F1884">
        <v>2016</v>
      </c>
      <c r="G1884" t="str">
        <f>IFERROR(INDEX(Formulations[Formulation],MATCH($C1884,Formulations[Product Code],0)),"")</f>
        <v/>
      </c>
    </row>
    <row r="1885" spans="1:7" x14ac:dyDescent="0.3">
      <c r="A1885" t="s">
        <v>941</v>
      </c>
      <c r="B1885" t="s">
        <v>461</v>
      </c>
      <c r="D1885" s="7">
        <v>30</v>
      </c>
      <c r="E1885">
        <v>2018</v>
      </c>
      <c r="F1885">
        <v>2019</v>
      </c>
      <c r="G1885" t="str">
        <f>IFERROR(INDEX(Formulations[Formulation],MATCH($C1885,Formulations[Product Code],0)),"")</f>
        <v/>
      </c>
    </row>
    <row r="1886" spans="1:7" x14ac:dyDescent="0.3">
      <c r="A1886" t="s">
        <v>993</v>
      </c>
      <c r="B1886" t="s">
        <v>635</v>
      </c>
      <c r="C1886" t="s">
        <v>636</v>
      </c>
      <c r="D1886" s="7">
        <v>30</v>
      </c>
      <c r="E1886">
        <v>2017</v>
      </c>
      <c r="F1886">
        <v>2020</v>
      </c>
      <c r="G1886" t="str">
        <f>IFERROR(INDEX(Formulations[Formulation],MATCH($C1886,Formulations[Product Code],0)),"")</f>
        <v>Pure</v>
      </c>
    </row>
    <row r="1887" spans="1:7" x14ac:dyDescent="0.3">
      <c r="A1887" t="s">
        <v>1005</v>
      </c>
      <c r="B1887" t="s">
        <v>297</v>
      </c>
      <c r="C1887" t="s">
        <v>298</v>
      </c>
      <c r="D1887" s="7">
        <v>30</v>
      </c>
      <c r="E1887">
        <v>2018</v>
      </c>
      <c r="F1887">
        <v>2018</v>
      </c>
      <c r="G1887" t="str">
        <f>IFERROR(INDEX(Formulations[Formulation],MATCH($C1887,Formulations[Product Code],0)),"")</f>
        <v>Pure</v>
      </c>
    </row>
    <row r="1888" spans="1:7" x14ac:dyDescent="0.3">
      <c r="A1888" t="s">
        <v>1082</v>
      </c>
      <c r="B1888" t="s">
        <v>1083</v>
      </c>
      <c r="C1888" t="s">
        <v>1084</v>
      </c>
      <c r="D1888" s="7">
        <v>30</v>
      </c>
      <c r="E1888">
        <v>2010</v>
      </c>
      <c r="F1888">
        <v>2010</v>
      </c>
      <c r="G1888" t="str">
        <f>IFERROR(INDEX(Formulations[Formulation],MATCH($C1888,Formulations[Product Code],0)),"")</f>
        <v/>
      </c>
    </row>
    <row r="1889" spans="1:7" x14ac:dyDescent="0.3">
      <c r="A1889" t="s">
        <v>1102</v>
      </c>
      <c r="B1889" t="s">
        <v>461</v>
      </c>
      <c r="D1889" s="7">
        <v>30</v>
      </c>
      <c r="E1889">
        <v>2019</v>
      </c>
      <c r="F1889">
        <v>2020</v>
      </c>
      <c r="G1889" t="str">
        <f>IFERROR(INDEX(Formulations[Formulation],MATCH($C1889,Formulations[Product Code],0)),"")</f>
        <v/>
      </c>
    </row>
    <row r="1890" spans="1:7" x14ac:dyDescent="0.3">
      <c r="A1890" t="s">
        <v>1150</v>
      </c>
      <c r="B1890" t="s">
        <v>53</v>
      </c>
      <c r="C1890" t="s">
        <v>54</v>
      </c>
      <c r="D1890" s="7">
        <v>30</v>
      </c>
      <c r="E1890">
        <v>2018</v>
      </c>
      <c r="F1890">
        <v>2019</v>
      </c>
      <c r="G1890" t="str">
        <f>IFERROR(INDEX(Formulations[Formulation],MATCH($C1890,Formulations[Product Code],0)),"")</f>
        <v/>
      </c>
    </row>
    <row r="1891" spans="1:7" x14ac:dyDescent="0.3">
      <c r="A1891" t="s">
        <v>1150</v>
      </c>
      <c r="B1891" t="s">
        <v>656</v>
      </c>
      <c r="C1891" t="s">
        <v>71</v>
      </c>
      <c r="D1891" s="7">
        <v>30</v>
      </c>
      <c r="E1891">
        <v>2018</v>
      </c>
      <c r="F1891">
        <v>2019</v>
      </c>
      <c r="G1891" t="str">
        <f>IFERROR(INDEX(Formulations[Formulation],MATCH($C1891,Formulations[Product Code],0)),"")</f>
        <v>40% Oil &amp; 60% DPG</v>
      </c>
    </row>
    <row r="1892" spans="1:7" x14ac:dyDescent="0.3">
      <c r="A1892" t="s">
        <v>1187</v>
      </c>
      <c r="B1892" t="s">
        <v>99</v>
      </c>
      <c r="C1892" t="s">
        <v>100</v>
      </c>
      <c r="D1892" s="7">
        <v>30</v>
      </c>
      <c r="E1892">
        <v>2014</v>
      </c>
      <c r="F1892">
        <v>2014</v>
      </c>
      <c r="G1892" t="str">
        <f>IFERROR(INDEX(Formulations[Formulation],MATCH($C1892,Formulations[Product Code],0)),"")</f>
        <v>Crystal</v>
      </c>
    </row>
    <row r="1893" spans="1:7" x14ac:dyDescent="0.3">
      <c r="A1893" t="s">
        <v>1213</v>
      </c>
      <c r="B1893" t="s">
        <v>668</v>
      </c>
      <c r="C1893" t="s">
        <v>669</v>
      </c>
      <c r="D1893" s="7">
        <v>30</v>
      </c>
      <c r="E1893">
        <v>2020</v>
      </c>
      <c r="F1893">
        <v>2021</v>
      </c>
      <c r="G1893" t="str">
        <f>IFERROR(INDEX(Formulations[Formulation],MATCH($C1893,Formulations[Product Code],0)),"")</f>
        <v>Crystal</v>
      </c>
    </row>
    <row r="1894" spans="1:7" x14ac:dyDescent="0.3">
      <c r="A1894" t="s">
        <v>1226</v>
      </c>
      <c r="B1894" t="s">
        <v>297</v>
      </c>
      <c r="C1894" t="s">
        <v>1277</v>
      </c>
      <c r="D1894" s="7">
        <v>30</v>
      </c>
      <c r="E1894">
        <v>2009</v>
      </c>
      <c r="F1894">
        <v>2011</v>
      </c>
      <c r="G1894" t="str">
        <f>IFERROR(INDEX(Formulations[Formulation],MATCH($C1894,Formulations[Product Code],0)),"")</f>
        <v/>
      </c>
    </row>
    <row r="1895" spans="1:7" x14ac:dyDescent="0.3">
      <c r="A1895" t="s">
        <v>1331</v>
      </c>
      <c r="B1895" t="s">
        <v>532</v>
      </c>
      <c r="C1895" t="s">
        <v>452</v>
      </c>
      <c r="D1895" s="7">
        <v>30</v>
      </c>
      <c r="E1895">
        <v>2020</v>
      </c>
      <c r="F1895">
        <v>2020</v>
      </c>
      <c r="G1895" t="str">
        <f>IFERROR(INDEX(Formulations[Formulation],MATCH($C1895,Formulations[Product Code],0)),"")</f>
        <v>Crystal</v>
      </c>
    </row>
    <row r="1896" spans="1:7" x14ac:dyDescent="0.3">
      <c r="A1896" t="s">
        <v>1331</v>
      </c>
      <c r="B1896" t="s">
        <v>68</v>
      </c>
      <c r="C1896" t="s">
        <v>69</v>
      </c>
      <c r="D1896" s="7">
        <v>30</v>
      </c>
      <c r="E1896">
        <v>2020</v>
      </c>
      <c r="F1896">
        <v>2020</v>
      </c>
      <c r="G1896" t="str">
        <f>IFERROR(INDEX(Formulations[Formulation],MATCH($C1896,Formulations[Product Code],0)),"")</f>
        <v>Silver</v>
      </c>
    </row>
    <row r="1897" spans="1:7" x14ac:dyDescent="0.3">
      <c r="A1897" t="s">
        <v>1331</v>
      </c>
      <c r="B1897" t="s">
        <v>867</v>
      </c>
      <c r="C1897" t="s">
        <v>868</v>
      </c>
      <c r="D1897" s="7">
        <v>30</v>
      </c>
      <c r="E1897">
        <v>2020</v>
      </c>
      <c r="F1897">
        <v>2021</v>
      </c>
      <c r="G1897" t="str">
        <f>IFERROR(INDEX(Formulations[Formulation],MATCH($C1897,Formulations[Product Code],0)),"")</f>
        <v>Crystal</v>
      </c>
    </row>
    <row r="1898" spans="1:7" x14ac:dyDescent="0.3">
      <c r="A1898" t="s">
        <v>1331</v>
      </c>
      <c r="B1898" t="s">
        <v>1339</v>
      </c>
      <c r="C1898" t="s">
        <v>1340</v>
      </c>
      <c r="D1898" s="7">
        <v>30</v>
      </c>
      <c r="E1898">
        <v>2020</v>
      </c>
      <c r="F1898">
        <v>2020</v>
      </c>
      <c r="G1898" t="str">
        <f>IFERROR(INDEX(Formulations[Formulation],MATCH($C1898,Formulations[Product Code],0)),"")</f>
        <v/>
      </c>
    </row>
    <row r="1899" spans="1:7" x14ac:dyDescent="0.3">
      <c r="A1899" t="s">
        <v>1356</v>
      </c>
      <c r="B1899" t="s">
        <v>103</v>
      </c>
      <c r="C1899" t="s">
        <v>104</v>
      </c>
      <c r="D1899" s="7">
        <v>30</v>
      </c>
      <c r="E1899">
        <v>2011</v>
      </c>
      <c r="F1899">
        <v>2021</v>
      </c>
      <c r="G1899" t="str">
        <f>IFERROR(INDEX(Formulations[Formulation],MATCH($C1899,Formulations[Product Code],0)),"")</f>
        <v>Pure</v>
      </c>
    </row>
    <row r="1900" spans="1:7" x14ac:dyDescent="0.3">
      <c r="A1900" t="s">
        <v>1374</v>
      </c>
      <c r="B1900" t="s">
        <v>383</v>
      </c>
      <c r="C1900" t="s">
        <v>385</v>
      </c>
      <c r="D1900" s="7">
        <v>30</v>
      </c>
      <c r="E1900">
        <v>2021</v>
      </c>
      <c r="F1900">
        <v>2021</v>
      </c>
      <c r="G1900" t="str">
        <f>IFERROR(INDEX(Formulations[Formulation],MATCH($C1900,Formulations[Product Code],0)),"")</f>
        <v>Silver</v>
      </c>
    </row>
    <row r="1901" spans="1:7" x14ac:dyDescent="0.3">
      <c r="A1901" t="s">
        <v>1407</v>
      </c>
      <c r="B1901" t="s">
        <v>383</v>
      </c>
      <c r="C1901" t="s">
        <v>385</v>
      </c>
      <c r="D1901" s="7">
        <v>30</v>
      </c>
      <c r="E1901">
        <v>2020</v>
      </c>
      <c r="F1901">
        <v>2021</v>
      </c>
      <c r="G1901" t="str">
        <f>IFERROR(INDEX(Formulations[Formulation],MATCH($C1901,Formulations[Product Code],0)),"")</f>
        <v>Silver</v>
      </c>
    </row>
    <row r="1902" spans="1:7" x14ac:dyDescent="0.3">
      <c r="A1902" t="s">
        <v>1439</v>
      </c>
      <c r="B1902" t="s">
        <v>34</v>
      </c>
      <c r="D1902" s="7">
        <v>30</v>
      </c>
      <c r="E1902">
        <v>2018</v>
      </c>
      <c r="F1902">
        <v>2018</v>
      </c>
      <c r="G1902" t="str">
        <f>IFERROR(INDEX(Formulations[Formulation],MATCH($C1902,Formulations[Product Code],0)),"")</f>
        <v/>
      </c>
    </row>
    <row r="1903" spans="1:7" x14ac:dyDescent="0.3">
      <c r="A1903" t="s">
        <v>1439</v>
      </c>
      <c r="B1903" t="s">
        <v>1457</v>
      </c>
      <c r="C1903" t="s">
        <v>682</v>
      </c>
      <c r="D1903" s="7">
        <v>30</v>
      </c>
      <c r="E1903">
        <v>2017</v>
      </c>
      <c r="F1903">
        <v>2017</v>
      </c>
      <c r="G1903" t="str">
        <f>IFERROR(INDEX(Formulations[Formulation],MATCH($C1903,Formulations[Product Code],0)),"")</f>
        <v/>
      </c>
    </row>
    <row r="1904" spans="1:7" x14ac:dyDescent="0.3">
      <c r="A1904" t="s">
        <v>1459</v>
      </c>
      <c r="B1904" t="s">
        <v>485</v>
      </c>
      <c r="C1904" t="s">
        <v>486</v>
      </c>
      <c r="D1904" s="7">
        <v>30</v>
      </c>
      <c r="E1904">
        <v>2015</v>
      </c>
      <c r="F1904">
        <v>2015</v>
      </c>
      <c r="G1904" t="str">
        <f>IFERROR(INDEX(Formulations[Formulation],MATCH($C1904,Formulations[Product Code],0)),"")</f>
        <v>Pure</v>
      </c>
    </row>
    <row r="1905" spans="1:7" x14ac:dyDescent="0.3">
      <c r="A1905" t="s">
        <v>1463</v>
      </c>
      <c r="B1905" t="s">
        <v>972</v>
      </c>
      <c r="C1905" t="s">
        <v>1562</v>
      </c>
      <c r="D1905" s="7">
        <v>30</v>
      </c>
      <c r="E1905">
        <v>2012</v>
      </c>
      <c r="F1905">
        <v>2012</v>
      </c>
      <c r="G1905" t="str">
        <f>IFERROR(INDEX(Formulations[Formulation],MATCH($C1905,Formulations[Product Code],0)),"")</f>
        <v/>
      </c>
    </row>
    <row r="1906" spans="1:7" x14ac:dyDescent="0.3">
      <c r="A1906" t="s">
        <v>1463</v>
      </c>
      <c r="B1906" t="s">
        <v>196</v>
      </c>
      <c r="C1906" t="s">
        <v>1609</v>
      </c>
      <c r="D1906" s="7">
        <v>30</v>
      </c>
      <c r="E1906">
        <v>2012</v>
      </c>
      <c r="F1906">
        <v>2012</v>
      </c>
      <c r="G1906" t="str">
        <f>IFERROR(INDEX(Formulations[Formulation],MATCH($C1906,Formulations[Product Code],0)),"")</f>
        <v/>
      </c>
    </row>
    <row r="1907" spans="1:7" x14ac:dyDescent="0.3">
      <c r="A1907" t="s">
        <v>1668</v>
      </c>
      <c r="B1907" t="s">
        <v>28</v>
      </c>
      <c r="D1907" s="7">
        <v>30</v>
      </c>
      <c r="E1907">
        <v>2016</v>
      </c>
      <c r="F1907">
        <v>2018</v>
      </c>
      <c r="G1907" t="str">
        <f>IFERROR(INDEX(Formulations[Formulation],MATCH($C1907,Formulations[Product Code],0)),"")</f>
        <v/>
      </c>
    </row>
    <row r="1908" spans="1:7" x14ac:dyDescent="0.3">
      <c r="A1908" t="s">
        <v>1686</v>
      </c>
      <c r="B1908" t="s">
        <v>453</v>
      </c>
      <c r="D1908" s="7">
        <v>30</v>
      </c>
      <c r="E1908">
        <v>2019</v>
      </c>
      <c r="F1908">
        <v>2020</v>
      </c>
      <c r="G1908" t="str">
        <f>IFERROR(INDEX(Formulations[Formulation],MATCH($C1908,Formulations[Product Code],0)),"")</f>
        <v/>
      </c>
    </row>
    <row r="1909" spans="1:7" x14ac:dyDescent="0.3">
      <c r="A1909" t="s">
        <v>1743</v>
      </c>
      <c r="B1909" t="s">
        <v>633</v>
      </c>
      <c r="C1909" t="s">
        <v>634</v>
      </c>
      <c r="D1909" s="7">
        <v>30</v>
      </c>
      <c r="E1909">
        <v>2018</v>
      </c>
      <c r="F1909">
        <v>2019</v>
      </c>
      <c r="G1909" t="str">
        <f>IFERROR(INDEX(Formulations[Formulation],MATCH($C1909,Formulations[Product Code],0)),"")</f>
        <v/>
      </c>
    </row>
    <row r="1910" spans="1:7" x14ac:dyDescent="0.3">
      <c r="A1910" t="s">
        <v>1743</v>
      </c>
      <c r="B1910" t="s">
        <v>187</v>
      </c>
      <c r="C1910" t="s">
        <v>188</v>
      </c>
      <c r="D1910" s="7">
        <v>30</v>
      </c>
      <c r="E1910">
        <v>2019</v>
      </c>
      <c r="F1910">
        <v>2021</v>
      </c>
      <c r="G1910" t="str">
        <f>IFERROR(INDEX(Formulations[Formulation],MATCH($C1910,Formulations[Product Code],0)),"")</f>
        <v>Crystal</v>
      </c>
    </row>
    <row r="1911" spans="1:7" x14ac:dyDescent="0.3">
      <c r="A1911" t="s">
        <v>1773</v>
      </c>
      <c r="B1911" t="s">
        <v>1777</v>
      </c>
      <c r="C1911" t="s">
        <v>245</v>
      </c>
      <c r="D1911" s="7">
        <v>30</v>
      </c>
      <c r="E1911">
        <v>2019</v>
      </c>
      <c r="F1911">
        <v>2019</v>
      </c>
      <c r="G1911" t="str">
        <f>IFERROR(INDEX(Formulations[Formulation],MATCH($C1911,Formulations[Product Code],0)),"")</f>
        <v>10% Oil</v>
      </c>
    </row>
    <row r="1912" spans="1:7" x14ac:dyDescent="0.3">
      <c r="A1912" t="s">
        <v>1773</v>
      </c>
      <c r="B1912" t="s">
        <v>400</v>
      </c>
      <c r="D1912" s="7">
        <v>30</v>
      </c>
      <c r="E1912">
        <v>2019</v>
      </c>
      <c r="F1912">
        <v>2019</v>
      </c>
      <c r="G1912" t="str">
        <f>IFERROR(INDEX(Formulations[Formulation],MATCH($C1912,Formulations[Product Code],0)),"")</f>
        <v/>
      </c>
    </row>
    <row r="1913" spans="1:7" x14ac:dyDescent="0.3">
      <c r="A1913" t="s">
        <v>1799</v>
      </c>
      <c r="B1913" t="s">
        <v>728</v>
      </c>
      <c r="D1913" s="7">
        <v>30</v>
      </c>
      <c r="E1913">
        <v>2017</v>
      </c>
      <c r="F1913">
        <v>2017</v>
      </c>
      <c r="G1913" t="str">
        <f>IFERROR(INDEX(Formulations[Formulation],MATCH($C1913,Formulations[Product Code],0)),"")</f>
        <v/>
      </c>
    </row>
    <row r="1914" spans="1:7" x14ac:dyDescent="0.3">
      <c r="A1914" t="s">
        <v>1865</v>
      </c>
      <c r="B1914" t="s">
        <v>696</v>
      </c>
      <c r="C1914" t="s">
        <v>697</v>
      </c>
      <c r="D1914" s="7">
        <v>30</v>
      </c>
      <c r="E1914">
        <v>2019</v>
      </c>
      <c r="F1914">
        <v>2020</v>
      </c>
      <c r="G1914" t="str">
        <f>IFERROR(INDEX(Formulations[Formulation],MATCH($C1914,Formulations[Product Code],0)),"")</f>
        <v/>
      </c>
    </row>
    <row r="1915" spans="1:7" x14ac:dyDescent="0.3">
      <c r="A1915" t="s">
        <v>1865</v>
      </c>
      <c r="B1915" t="s">
        <v>349</v>
      </c>
      <c r="C1915" t="s">
        <v>350</v>
      </c>
      <c r="D1915" s="7">
        <v>30</v>
      </c>
      <c r="E1915">
        <v>2019</v>
      </c>
      <c r="F1915">
        <v>2020</v>
      </c>
      <c r="G1915" t="str">
        <f>IFERROR(INDEX(Formulations[Formulation],MATCH($C1915,Formulations[Product Code],0)),"")</f>
        <v/>
      </c>
    </row>
    <row r="1916" spans="1:7" x14ac:dyDescent="0.3">
      <c r="A1916" t="s">
        <v>1868</v>
      </c>
      <c r="B1916" t="s">
        <v>46</v>
      </c>
      <c r="C1916" t="s">
        <v>47</v>
      </c>
      <c r="D1916" s="7">
        <v>30</v>
      </c>
      <c r="E1916">
        <v>2015</v>
      </c>
      <c r="F1916">
        <v>2016</v>
      </c>
      <c r="G1916" t="str">
        <f>IFERROR(INDEX(Formulations[Formulation],MATCH($C1916,Formulations[Product Code],0)),"")</f>
        <v/>
      </c>
    </row>
    <row r="1917" spans="1:7" x14ac:dyDescent="0.3">
      <c r="A1917" t="s">
        <v>1871</v>
      </c>
      <c r="B1917" t="s">
        <v>34</v>
      </c>
      <c r="D1917" s="7">
        <v>30</v>
      </c>
      <c r="E1917">
        <v>2017</v>
      </c>
      <c r="F1917">
        <v>2020</v>
      </c>
      <c r="G1917" t="str">
        <f>IFERROR(INDEX(Formulations[Formulation],MATCH($C1917,Formulations[Product Code],0)),"")</f>
        <v/>
      </c>
    </row>
    <row r="1918" spans="1:7" x14ac:dyDescent="0.3">
      <c r="A1918" t="s">
        <v>1873</v>
      </c>
      <c r="B1918" t="s">
        <v>151</v>
      </c>
      <c r="C1918" t="s">
        <v>152</v>
      </c>
      <c r="D1918" s="7">
        <v>30</v>
      </c>
      <c r="E1918">
        <v>2020</v>
      </c>
      <c r="F1918">
        <v>2021</v>
      </c>
      <c r="G1918" t="str">
        <f>IFERROR(INDEX(Formulations[Formulation],MATCH($C1918,Formulations[Product Code],0)),"")</f>
        <v>Crystal</v>
      </c>
    </row>
    <row r="1919" spans="1:7" x14ac:dyDescent="0.3">
      <c r="A1919" t="s">
        <v>1906</v>
      </c>
      <c r="B1919" t="s">
        <v>453</v>
      </c>
      <c r="D1919" s="7">
        <v>30</v>
      </c>
      <c r="E1919">
        <v>2017</v>
      </c>
      <c r="F1919">
        <v>2020</v>
      </c>
      <c r="G1919" t="str">
        <f>IFERROR(INDEX(Formulations[Formulation],MATCH($C1919,Formulations[Product Code],0)),"")</f>
        <v/>
      </c>
    </row>
    <row r="1920" spans="1:7" x14ac:dyDescent="0.3">
      <c r="A1920" t="s">
        <v>1926</v>
      </c>
      <c r="B1920" t="s">
        <v>37</v>
      </c>
      <c r="D1920" s="7">
        <v>30</v>
      </c>
      <c r="E1920">
        <v>2020</v>
      </c>
      <c r="F1920">
        <v>2021</v>
      </c>
      <c r="G1920" t="str">
        <f>IFERROR(INDEX(Formulations[Formulation],MATCH($C1920,Formulations[Product Code],0)),"")</f>
        <v/>
      </c>
    </row>
    <row r="1921" spans="1:7" x14ac:dyDescent="0.3">
      <c r="A1921" t="s">
        <v>1972</v>
      </c>
      <c r="B1921" t="s">
        <v>1981</v>
      </c>
      <c r="D1921" s="7">
        <v>30</v>
      </c>
      <c r="E1921">
        <v>2019</v>
      </c>
      <c r="F1921">
        <v>2019</v>
      </c>
      <c r="G1921" t="str">
        <f>IFERROR(INDEX(Formulations[Formulation],MATCH($C1921,Formulations[Product Code],0)),"")</f>
        <v/>
      </c>
    </row>
    <row r="1922" spans="1:7" x14ac:dyDescent="0.3">
      <c r="A1922" t="s">
        <v>1984</v>
      </c>
      <c r="B1922" t="s">
        <v>68</v>
      </c>
      <c r="C1922" t="s">
        <v>69</v>
      </c>
      <c r="D1922" s="7">
        <v>30</v>
      </c>
      <c r="E1922">
        <v>2011</v>
      </c>
      <c r="F1922">
        <v>2011</v>
      </c>
      <c r="G1922" t="str">
        <f>IFERROR(INDEX(Formulations[Formulation],MATCH($C1922,Formulations[Product Code],0)),"")</f>
        <v>Silver</v>
      </c>
    </row>
    <row r="1923" spans="1:7" x14ac:dyDescent="0.3">
      <c r="A1923" t="s">
        <v>2020</v>
      </c>
      <c r="B1923" t="s">
        <v>1737</v>
      </c>
      <c r="C1923" t="s">
        <v>759</v>
      </c>
      <c r="D1923" s="7">
        <v>30</v>
      </c>
      <c r="E1923">
        <v>2016</v>
      </c>
      <c r="F1923">
        <v>2019</v>
      </c>
      <c r="G1923" t="str">
        <f>IFERROR(INDEX(Formulations[Formulation],MATCH($C1923,Formulations[Product Code],0)),"")</f>
        <v>Pure</v>
      </c>
    </row>
    <row r="1924" spans="1:7" x14ac:dyDescent="0.3">
      <c r="A1924" t="s">
        <v>2043</v>
      </c>
      <c r="B1924" t="s">
        <v>297</v>
      </c>
      <c r="C1924" t="s">
        <v>298</v>
      </c>
      <c r="D1924" s="7">
        <v>30</v>
      </c>
      <c r="E1924">
        <v>2017</v>
      </c>
      <c r="F1924">
        <v>2018</v>
      </c>
      <c r="G1924" t="str">
        <f>IFERROR(INDEX(Formulations[Formulation],MATCH($C1924,Formulations[Product Code],0)),"")</f>
        <v>Pure</v>
      </c>
    </row>
    <row r="1925" spans="1:7" x14ac:dyDescent="0.3">
      <c r="A1925" t="s">
        <v>2092</v>
      </c>
      <c r="B1925" t="s">
        <v>45</v>
      </c>
      <c r="D1925" s="7">
        <v>30</v>
      </c>
      <c r="E1925">
        <v>2013</v>
      </c>
      <c r="F1925">
        <v>2014</v>
      </c>
      <c r="G1925" t="str">
        <f>IFERROR(INDEX(Formulations[Formulation],MATCH($C1925,Formulations[Product Code],0)),"")</f>
        <v/>
      </c>
    </row>
    <row r="1926" spans="1:7" x14ac:dyDescent="0.3">
      <c r="A1926" t="s">
        <v>2097</v>
      </c>
      <c r="B1926" t="s">
        <v>2098</v>
      </c>
      <c r="C1926" t="s">
        <v>2099</v>
      </c>
      <c r="D1926" s="7">
        <v>30</v>
      </c>
      <c r="E1926">
        <v>2018</v>
      </c>
      <c r="F1926">
        <v>2018</v>
      </c>
      <c r="G1926" t="str">
        <f>IFERROR(INDEX(Formulations[Formulation],MATCH($C1926,Formulations[Product Code],0)),"")</f>
        <v/>
      </c>
    </row>
    <row r="1927" spans="1:7" x14ac:dyDescent="0.3">
      <c r="A1927" t="s">
        <v>2120</v>
      </c>
      <c r="B1927" t="s">
        <v>151</v>
      </c>
      <c r="C1927" t="s">
        <v>152</v>
      </c>
      <c r="D1927" s="7">
        <v>30</v>
      </c>
      <c r="E1927">
        <v>2021</v>
      </c>
      <c r="F1927">
        <v>2021</v>
      </c>
      <c r="G1927" t="str">
        <f>IFERROR(INDEX(Formulations[Formulation],MATCH($C1927,Formulations[Product Code],0)),"")</f>
        <v>Crystal</v>
      </c>
    </row>
    <row r="1928" spans="1:7" x14ac:dyDescent="0.3">
      <c r="A1928" t="s">
        <v>2123</v>
      </c>
      <c r="B1928" t="s">
        <v>137</v>
      </c>
      <c r="C1928" t="s">
        <v>138</v>
      </c>
      <c r="D1928" s="7">
        <v>30</v>
      </c>
      <c r="E1928">
        <v>2014</v>
      </c>
      <c r="F1928">
        <v>2014</v>
      </c>
      <c r="G1928" t="str">
        <f>IFERROR(INDEX(Formulations[Formulation],MATCH($C1928,Formulations[Product Code],0)),"")</f>
        <v>WS</v>
      </c>
    </row>
    <row r="1929" spans="1:7" x14ac:dyDescent="0.3">
      <c r="A1929" t="s">
        <v>2131</v>
      </c>
      <c r="B1929" t="s">
        <v>402</v>
      </c>
      <c r="C1929" t="s">
        <v>403</v>
      </c>
      <c r="D1929" s="7">
        <v>30</v>
      </c>
      <c r="E1929">
        <v>2013</v>
      </c>
      <c r="F1929">
        <v>2017</v>
      </c>
      <c r="G1929" t="str">
        <f>IFERROR(INDEX(Formulations[Formulation],MATCH($C1929,Formulations[Product Code],0)),"")</f>
        <v>15 % oil and 85% dpg</v>
      </c>
    </row>
    <row r="1930" spans="1:7" x14ac:dyDescent="0.3">
      <c r="A1930" t="s">
        <v>2218</v>
      </c>
      <c r="B1930" t="s">
        <v>219</v>
      </c>
      <c r="C1930" t="s">
        <v>220</v>
      </c>
      <c r="D1930" s="7">
        <v>30</v>
      </c>
      <c r="E1930">
        <v>2011</v>
      </c>
      <c r="F1930">
        <v>2011</v>
      </c>
      <c r="G1930" t="str">
        <f>IFERROR(INDEX(Formulations[Formulation],MATCH($C1930,Formulations[Product Code],0)),"")</f>
        <v/>
      </c>
    </row>
    <row r="1931" spans="1:7" x14ac:dyDescent="0.3">
      <c r="A1931" t="s">
        <v>2253</v>
      </c>
      <c r="B1931" t="s">
        <v>2255</v>
      </c>
      <c r="D1931" s="7">
        <v>30</v>
      </c>
      <c r="E1931">
        <v>2015</v>
      </c>
      <c r="F1931">
        <v>2015</v>
      </c>
      <c r="G1931" t="str">
        <f>IFERROR(INDEX(Formulations[Formulation],MATCH($C1931,Formulations[Product Code],0)),"")</f>
        <v/>
      </c>
    </row>
    <row r="1932" spans="1:7" x14ac:dyDescent="0.3">
      <c r="A1932" t="s">
        <v>2297</v>
      </c>
      <c r="B1932" t="s">
        <v>819</v>
      </c>
      <c r="C1932" t="s">
        <v>220</v>
      </c>
      <c r="D1932" s="7">
        <v>30</v>
      </c>
      <c r="E1932">
        <v>2017</v>
      </c>
      <c r="F1932">
        <v>2017</v>
      </c>
      <c r="G1932" t="str">
        <f>IFERROR(INDEX(Formulations[Formulation],MATCH($C1932,Formulations[Product Code],0)),"")</f>
        <v/>
      </c>
    </row>
    <row r="1933" spans="1:7" x14ac:dyDescent="0.3">
      <c r="A1933" t="s">
        <v>2302</v>
      </c>
      <c r="B1933" t="s">
        <v>719</v>
      </c>
      <c r="C1933" t="s">
        <v>1244</v>
      </c>
      <c r="D1933" s="7">
        <v>30</v>
      </c>
      <c r="E1933">
        <v>2009</v>
      </c>
      <c r="F1933">
        <v>2011</v>
      </c>
      <c r="G1933" t="str">
        <f>IFERROR(INDEX(Formulations[Formulation],MATCH($C1933,Formulations[Product Code],0)),"")</f>
        <v/>
      </c>
    </row>
    <row r="1934" spans="1:7" x14ac:dyDescent="0.3">
      <c r="A1934" t="s">
        <v>2302</v>
      </c>
      <c r="B1934" t="s">
        <v>538</v>
      </c>
      <c r="C1934" t="s">
        <v>539</v>
      </c>
      <c r="D1934" s="7">
        <v>30</v>
      </c>
      <c r="E1934">
        <v>2009</v>
      </c>
      <c r="F1934">
        <v>2009</v>
      </c>
      <c r="G1934" t="str">
        <f>IFERROR(INDEX(Formulations[Formulation],MATCH($C1934,Formulations[Product Code],0)),"")</f>
        <v>Gold</v>
      </c>
    </row>
    <row r="1935" spans="1:7" x14ac:dyDescent="0.3">
      <c r="A1935" t="s">
        <v>2328</v>
      </c>
      <c r="B1935" t="s">
        <v>120</v>
      </c>
      <c r="C1935" t="s">
        <v>121</v>
      </c>
      <c r="D1935" s="7">
        <v>30</v>
      </c>
      <c r="E1935">
        <v>2017</v>
      </c>
      <c r="F1935">
        <v>2017</v>
      </c>
      <c r="G1935" t="str">
        <f>IFERROR(INDEX(Formulations[Formulation],MATCH($C1935,Formulations[Product Code],0)),"")</f>
        <v/>
      </c>
    </row>
    <row r="1936" spans="1:7" x14ac:dyDescent="0.3">
      <c r="A1936" t="s">
        <v>2345</v>
      </c>
      <c r="B1936" t="s">
        <v>863</v>
      </c>
      <c r="D1936" s="7">
        <v>30</v>
      </c>
      <c r="E1936">
        <v>2017</v>
      </c>
      <c r="F1936">
        <v>2018</v>
      </c>
      <c r="G1936" t="str">
        <f>IFERROR(INDEX(Formulations[Formulation],MATCH($C1936,Formulations[Product Code],0)),"")</f>
        <v/>
      </c>
    </row>
    <row r="1937" spans="1:7" x14ac:dyDescent="0.3">
      <c r="A1937" t="s">
        <v>2346</v>
      </c>
      <c r="B1937" t="s">
        <v>686</v>
      </c>
      <c r="C1937" t="s">
        <v>866</v>
      </c>
      <c r="D1937" s="7">
        <v>30</v>
      </c>
      <c r="E1937">
        <v>2019</v>
      </c>
      <c r="F1937">
        <v>2019</v>
      </c>
      <c r="G1937" t="str">
        <f>IFERROR(INDEX(Formulations[Formulation],MATCH($C1937,Formulations[Product Code],0)),"")</f>
        <v/>
      </c>
    </row>
    <row r="1938" spans="1:7" x14ac:dyDescent="0.3">
      <c r="A1938" t="s">
        <v>2346</v>
      </c>
      <c r="B1938" t="s">
        <v>656</v>
      </c>
      <c r="C1938" t="s">
        <v>71</v>
      </c>
      <c r="D1938" s="7">
        <v>30</v>
      </c>
      <c r="E1938">
        <v>2021</v>
      </c>
      <c r="F1938">
        <v>2021</v>
      </c>
      <c r="G1938" t="str">
        <f>IFERROR(INDEX(Formulations[Formulation],MATCH($C1938,Formulations[Product Code],0)),"")</f>
        <v>40% Oil &amp; 60% DPG</v>
      </c>
    </row>
    <row r="1939" spans="1:7" x14ac:dyDescent="0.3">
      <c r="A1939" t="s">
        <v>2354</v>
      </c>
      <c r="B1939" t="s">
        <v>647</v>
      </c>
      <c r="C1939" t="s">
        <v>648</v>
      </c>
      <c r="D1939" s="7">
        <v>30</v>
      </c>
      <c r="E1939">
        <v>2019</v>
      </c>
      <c r="F1939">
        <v>2019</v>
      </c>
      <c r="G1939" t="str">
        <f>IFERROR(INDEX(Formulations[Formulation],MATCH($C1939,Formulations[Product Code],0)),"")</f>
        <v/>
      </c>
    </row>
    <row r="1940" spans="1:7" x14ac:dyDescent="0.3">
      <c r="A1940" t="s">
        <v>2354</v>
      </c>
      <c r="B1940" t="s">
        <v>518</v>
      </c>
      <c r="C1940" t="s">
        <v>519</v>
      </c>
      <c r="D1940" s="7">
        <v>30</v>
      </c>
      <c r="E1940">
        <v>2019</v>
      </c>
      <c r="F1940">
        <v>2019</v>
      </c>
      <c r="G1940" t="str">
        <f>IFERROR(INDEX(Formulations[Formulation],MATCH($C1940,Formulations[Product Code],0)),"")</f>
        <v>Pure</v>
      </c>
    </row>
    <row r="1941" spans="1:7" x14ac:dyDescent="0.3">
      <c r="A1941" t="s">
        <v>2362</v>
      </c>
      <c r="B1941" t="s">
        <v>280</v>
      </c>
      <c r="C1941" t="s">
        <v>224</v>
      </c>
      <c r="D1941" s="7">
        <v>30</v>
      </c>
      <c r="E1941">
        <v>2016</v>
      </c>
      <c r="F1941">
        <v>2018</v>
      </c>
      <c r="G1941" t="str">
        <f>IFERROR(INDEX(Formulations[Formulation],MATCH($C1941,Formulations[Product Code],0)),"")</f>
        <v/>
      </c>
    </row>
    <row r="1942" spans="1:7" x14ac:dyDescent="0.3">
      <c r="A1942" t="s">
        <v>2365</v>
      </c>
      <c r="B1942" t="s">
        <v>120</v>
      </c>
      <c r="C1942" t="s">
        <v>121</v>
      </c>
      <c r="D1942" s="7">
        <v>30</v>
      </c>
      <c r="E1942">
        <v>2014</v>
      </c>
      <c r="F1942">
        <v>2014</v>
      </c>
      <c r="G1942" t="str">
        <f>IFERROR(INDEX(Formulations[Formulation],MATCH($C1942,Formulations[Product Code],0)),"")</f>
        <v/>
      </c>
    </row>
    <row r="1943" spans="1:7" x14ac:dyDescent="0.3">
      <c r="A1943" t="s">
        <v>2380</v>
      </c>
      <c r="B1943" t="s">
        <v>2385</v>
      </c>
      <c r="C1943" t="s">
        <v>138</v>
      </c>
      <c r="D1943" s="7">
        <v>30</v>
      </c>
      <c r="E1943">
        <v>2011</v>
      </c>
      <c r="F1943">
        <v>2013</v>
      </c>
      <c r="G1943" t="str">
        <f>IFERROR(INDEX(Formulations[Formulation],MATCH($C1943,Formulations[Product Code],0)),"")</f>
        <v>WS</v>
      </c>
    </row>
    <row r="1944" spans="1:7" x14ac:dyDescent="0.3">
      <c r="A1944" t="s">
        <v>2380</v>
      </c>
      <c r="B1944" t="s">
        <v>46</v>
      </c>
      <c r="C1944" t="s">
        <v>47</v>
      </c>
      <c r="D1944" s="7">
        <v>30</v>
      </c>
      <c r="E1944">
        <v>2018</v>
      </c>
      <c r="F1944">
        <v>2019</v>
      </c>
      <c r="G1944" t="str">
        <f>IFERROR(INDEX(Formulations[Formulation],MATCH($C1944,Formulations[Product Code],0)),"")</f>
        <v/>
      </c>
    </row>
    <row r="1945" spans="1:7" x14ac:dyDescent="0.3">
      <c r="A1945" t="s">
        <v>2392</v>
      </c>
      <c r="B1945" t="s">
        <v>2221</v>
      </c>
      <c r="C1945" t="s">
        <v>998</v>
      </c>
      <c r="D1945" s="7">
        <v>30</v>
      </c>
      <c r="E1945">
        <v>2010</v>
      </c>
      <c r="F1945">
        <v>2010</v>
      </c>
      <c r="G1945" t="str">
        <f>IFERROR(INDEX(Formulations[Formulation],MATCH($C1945,Formulations[Product Code],0)),"")</f>
        <v/>
      </c>
    </row>
    <row r="1946" spans="1:7" x14ac:dyDescent="0.3">
      <c r="A1946" t="s">
        <v>2401</v>
      </c>
      <c r="B1946" t="s">
        <v>280</v>
      </c>
      <c r="C1946" t="s">
        <v>954</v>
      </c>
      <c r="D1946" s="7">
        <v>30</v>
      </c>
      <c r="E1946">
        <v>2009</v>
      </c>
      <c r="F1946">
        <v>2017</v>
      </c>
      <c r="G1946" t="str">
        <f>IFERROR(INDEX(Formulations[Formulation],MATCH($C1946,Formulations[Product Code],0)),"")</f>
        <v/>
      </c>
    </row>
    <row r="1947" spans="1:7" x14ac:dyDescent="0.3">
      <c r="A1947" t="s">
        <v>2411</v>
      </c>
      <c r="B1947" t="s">
        <v>545</v>
      </c>
      <c r="C1947" t="s">
        <v>546</v>
      </c>
      <c r="D1947" s="7">
        <v>30</v>
      </c>
      <c r="E1947">
        <v>2019</v>
      </c>
      <c r="F1947">
        <v>2021</v>
      </c>
      <c r="G1947" t="str">
        <f>IFERROR(INDEX(Formulations[Formulation],MATCH($C1947,Formulations[Product Code],0)),"")</f>
        <v>Pure</v>
      </c>
    </row>
    <row r="1948" spans="1:7" x14ac:dyDescent="0.3">
      <c r="A1948" t="s">
        <v>2437</v>
      </c>
      <c r="B1948" t="s">
        <v>46</v>
      </c>
      <c r="C1948" t="s">
        <v>47</v>
      </c>
      <c r="D1948" s="7">
        <v>30</v>
      </c>
      <c r="E1948">
        <v>2016</v>
      </c>
      <c r="F1948">
        <v>2018</v>
      </c>
      <c r="G1948" t="str">
        <f>IFERROR(INDEX(Formulations[Formulation],MATCH($C1948,Formulations[Product Code],0)),"")</f>
        <v/>
      </c>
    </row>
    <row r="1949" spans="1:7" x14ac:dyDescent="0.3">
      <c r="A1949" t="s">
        <v>2438</v>
      </c>
      <c r="B1949" t="s">
        <v>314</v>
      </c>
      <c r="C1949" t="s">
        <v>475</v>
      </c>
      <c r="D1949" s="7">
        <v>30</v>
      </c>
      <c r="E1949">
        <v>2018</v>
      </c>
      <c r="F1949">
        <v>2018</v>
      </c>
      <c r="G1949" t="str">
        <f>IFERROR(INDEX(Formulations[Formulation],MATCH($C1949,Formulations[Product Code],0)),"")</f>
        <v>Crystal</v>
      </c>
    </row>
    <row r="1950" spans="1:7" x14ac:dyDescent="0.3">
      <c r="A1950" t="s">
        <v>2483</v>
      </c>
      <c r="B1950" t="s">
        <v>37</v>
      </c>
      <c r="D1950" s="7">
        <v>30</v>
      </c>
      <c r="E1950">
        <v>2019</v>
      </c>
      <c r="F1950">
        <v>2021</v>
      </c>
      <c r="G1950" t="str">
        <f>IFERROR(INDEX(Formulations[Formulation],MATCH($C1950,Formulations[Product Code],0)),"")</f>
        <v/>
      </c>
    </row>
    <row r="1951" spans="1:7" x14ac:dyDescent="0.3">
      <c r="A1951" t="s">
        <v>2532</v>
      </c>
      <c r="B1951" t="s">
        <v>36</v>
      </c>
      <c r="D1951" s="7">
        <v>30</v>
      </c>
      <c r="E1951">
        <v>2020</v>
      </c>
      <c r="F1951">
        <v>2020</v>
      </c>
      <c r="G1951" t="str">
        <f>IFERROR(INDEX(Formulations[Formulation],MATCH($C1951,Formulations[Product Code],0)),"")</f>
        <v/>
      </c>
    </row>
    <row r="1952" spans="1:7" x14ac:dyDescent="0.3">
      <c r="A1952" t="s">
        <v>2548</v>
      </c>
      <c r="B1952" t="s">
        <v>656</v>
      </c>
      <c r="C1952" t="s">
        <v>71</v>
      </c>
      <c r="D1952" s="7">
        <v>30</v>
      </c>
      <c r="E1952">
        <v>2019</v>
      </c>
      <c r="F1952">
        <v>2020</v>
      </c>
      <c r="G1952" t="str">
        <f>IFERROR(INDEX(Formulations[Formulation],MATCH($C1952,Formulations[Product Code],0)),"")</f>
        <v>40% Oil &amp; 60% DPG</v>
      </c>
    </row>
    <row r="1953" spans="1:7" x14ac:dyDescent="0.3">
      <c r="A1953" t="s">
        <v>2562</v>
      </c>
      <c r="B1953" t="s">
        <v>438</v>
      </c>
      <c r="C1953" t="s">
        <v>439</v>
      </c>
      <c r="D1953" s="7">
        <v>30</v>
      </c>
      <c r="E1953">
        <v>2020</v>
      </c>
      <c r="F1953">
        <v>2021</v>
      </c>
      <c r="G1953" t="str">
        <f>IFERROR(INDEX(Formulations[Formulation],MATCH($C1953,Formulations[Product Code],0)),"")</f>
        <v>Pure</v>
      </c>
    </row>
    <row r="1954" spans="1:7" x14ac:dyDescent="0.3">
      <c r="A1954" t="s">
        <v>2569</v>
      </c>
      <c r="B1954" t="s">
        <v>1151</v>
      </c>
      <c r="C1954" t="s">
        <v>1152</v>
      </c>
      <c r="D1954" s="7">
        <v>30</v>
      </c>
      <c r="E1954">
        <v>2018</v>
      </c>
      <c r="F1954">
        <v>2018</v>
      </c>
      <c r="G1954" t="str">
        <f>IFERROR(INDEX(Formulations[Formulation],MATCH($C1954,Formulations[Product Code],0)),"")</f>
        <v>40% oil</v>
      </c>
    </row>
    <row r="1955" spans="1:7" x14ac:dyDescent="0.3">
      <c r="A1955" t="s">
        <v>2590</v>
      </c>
      <c r="B1955" t="s">
        <v>37</v>
      </c>
      <c r="D1955" s="7">
        <v>30</v>
      </c>
      <c r="E1955">
        <v>2019</v>
      </c>
      <c r="F1955">
        <v>2019</v>
      </c>
      <c r="G1955" t="str">
        <f>IFERROR(INDEX(Formulations[Formulation],MATCH($C1955,Formulations[Product Code],0)),"")</f>
        <v/>
      </c>
    </row>
    <row r="1956" spans="1:7" x14ac:dyDescent="0.3">
      <c r="A1956" t="s">
        <v>585</v>
      </c>
      <c r="B1956" t="s">
        <v>103</v>
      </c>
      <c r="C1956" t="s">
        <v>104</v>
      </c>
      <c r="D1956" s="7">
        <v>29</v>
      </c>
      <c r="E1956">
        <v>2019</v>
      </c>
      <c r="F1956">
        <v>2019</v>
      </c>
      <c r="G1956" t="str">
        <f>IFERROR(INDEX(Formulations[Formulation],MATCH($C1956,Formulations[Product Code],0)),"")</f>
        <v>Pure</v>
      </c>
    </row>
    <row r="1957" spans="1:7" x14ac:dyDescent="0.3">
      <c r="A1957" t="s">
        <v>1958</v>
      </c>
      <c r="B1957" t="s">
        <v>120</v>
      </c>
      <c r="C1957" t="s">
        <v>121</v>
      </c>
      <c r="D1957" s="7">
        <v>29</v>
      </c>
      <c r="E1957">
        <v>2016</v>
      </c>
      <c r="F1957">
        <v>2017</v>
      </c>
      <c r="G1957" t="str">
        <f>IFERROR(INDEX(Formulations[Formulation],MATCH($C1957,Formulations[Product Code],0)),"")</f>
        <v/>
      </c>
    </row>
    <row r="1958" spans="1:7" x14ac:dyDescent="0.3">
      <c r="A1958" t="s">
        <v>2514</v>
      </c>
      <c r="B1958" t="s">
        <v>64</v>
      </c>
      <c r="C1958" t="s">
        <v>65</v>
      </c>
      <c r="D1958" s="7">
        <v>29</v>
      </c>
      <c r="E1958">
        <v>2020</v>
      </c>
      <c r="F1958">
        <v>2021</v>
      </c>
      <c r="G1958" t="str">
        <f>IFERROR(INDEX(Formulations[Formulation],MATCH($C1958,Formulations[Product Code],0)),"")</f>
        <v>Crystal</v>
      </c>
    </row>
    <row r="1959" spans="1:7" x14ac:dyDescent="0.3">
      <c r="A1959" t="s">
        <v>2521</v>
      </c>
      <c r="B1959" t="s">
        <v>2524</v>
      </c>
      <c r="D1959" s="7">
        <v>28.5</v>
      </c>
      <c r="E1959">
        <v>2015</v>
      </c>
      <c r="F1959">
        <v>2016</v>
      </c>
      <c r="G1959" t="str">
        <f>IFERROR(INDEX(Formulations[Formulation],MATCH($C1959,Formulations[Product Code],0)),"")</f>
        <v/>
      </c>
    </row>
    <row r="1960" spans="1:7" x14ac:dyDescent="0.3">
      <c r="A1960" t="s">
        <v>622</v>
      </c>
      <c r="B1960" t="s">
        <v>629</v>
      </c>
      <c r="C1960" t="s">
        <v>630</v>
      </c>
      <c r="D1960" s="7">
        <v>28</v>
      </c>
      <c r="E1960">
        <v>2019</v>
      </c>
      <c r="F1960">
        <v>2020</v>
      </c>
      <c r="G1960" t="str">
        <f>IFERROR(INDEX(Formulations[Formulation],MATCH($C1960,Formulations[Product Code],0)),"")</f>
        <v>Crystal</v>
      </c>
    </row>
    <row r="1961" spans="1:7" x14ac:dyDescent="0.3">
      <c r="A1961" t="s">
        <v>760</v>
      </c>
      <c r="B1961" t="s">
        <v>29</v>
      </c>
      <c r="D1961" s="7">
        <v>28</v>
      </c>
      <c r="E1961">
        <v>2017</v>
      </c>
      <c r="F1961">
        <v>2017</v>
      </c>
      <c r="G1961" t="str">
        <f>IFERROR(INDEX(Formulations[Formulation],MATCH($C1961,Formulations[Product Code],0)),"")</f>
        <v/>
      </c>
    </row>
    <row r="1962" spans="1:7" x14ac:dyDescent="0.3">
      <c r="A1962" t="s">
        <v>1374</v>
      </c>
      <c r="B1962" t="s">
        <v>51</v>
      </c>
      <c r="C1962" t="s">
        <v>52</v>
      </c>
      <c r="D1962" s="7">
        <v>28</v>
      </c>
      <c r="E1962">
        <v>2018</v>
      </c>
      <c r="F1962">
        <v>2020</v>
      </c>
      <c r="G1962" t="str">
        <f>IFERROR(INDEX(Formulations[Formulation],MATCH($C1962,Formulations[Product Code],0)),"")</f>
        <v>Silver</v>
      </c>
    </row>
    <row r="1963" spans="1:7" x14ac:dyDescent="0.3">
      <c r="A1963" t="s">
        <v>2425</v>
      </c>
      <c r="B1963" t="s">
        <v>318</v>
      </c>
      <c r="C1963" t="s">
        <v>319</v>
      </c>
      <c r="D1963" s="7">
        <v>28</v>
      </c>
      <c r="E1963">
        <v>2014</v>
      </c>
      <c r="F1963">
        <v>2015</v>
      </c>
      <c r="G1963" t="str">
        <f>IFERROR(INDEX(Formulations[Formulation],MATCH($C1963,Formulations[Product Code],0)),"")</f>
        <v>Pure</v>
      </c>
    </row>
    <row r="1964" spans="1:7" x14ac:dyDescent="0.3">
      <c r="A1964" t="s">
        <v>2574</v>
      </c>
      <c r="B1964" t="s">
        <v>2575</v>
      </c>
      <c r="D1964" s="7">
        <v>28</v>
      </c>
      <c r="E1964">
        <v>2016</v>
      </c>
      <c r="F1964">
        <v>2017</v>
      </c>
      <c r="G1964" t="str">
        <f>IFERROR(INDEX(Formulations[Formulation],MATCH($C1964,Formulations[Product Code],0)),"")</f>
        <v/>
      </c>
    </row>
    <row r="1965" spans="1:7" x14ac:dyDescent="0.3">
      <c r="A1965" t="s">
        <v>78</v>
      </c>
      <c r="B1965" t="s">
        <v>72</v>
      </c>
      <c r="C1965" t="s">
        <v>73</v>
      </c>
      <c r="D1965" s="7">
        <v>27.5</v>
      </c>
      <c r="E1965">
        <v>2017</v>
      </c>
      <c r="F1965">
        <v>2020</v>
      </c>
      <c r="G1965" t="str">
        <f>IFERROR(INDEX(Formulations[Formulation],MATCH($C1965,Formulations[Product Code],0)),"")</f>
        <v>Silver</v>
      </c>
    </row>
    <row r="1966" spans="1:7" x14ac:dyDescent="0.3">
      <c r="A1966" t="s">
        <v>1407</v>
      </c>
      <c r="B1966" t="s">
        <v>99</v>
      </c>
      <c r="C1966" t="s">
        <v>100</v>
      </c>
      <c r="D1966" s="7">
        <v>27.5</v>
      </c>
      <c r="E1966">
        <v>2019</v>
      </c>
      <c r="F1966">
        <v>2021</v>
      </c>
      <c r="G1966" t="str">
        <f>IFERROR(INDEX(Formulations[Formulation],MATCH($C1966,Formulations[Product Code],0)),"")</f>
        <v>Crystal</v>
      </c>
    </row>
    <row r="1967" spans="1:7" x14ac:dyDescent="0.3">
      <c r="A1967" t="s">
        <v>585</v>
      </c>
      <c r="B1967" t="s">
        <v>510</v>
      </c>
      <c r="C1967" t="s">
        <v>511</v>
      </c>
      <c r="D1967" s="7">
        <v>27</v>
      </c>
      <c r="E1967">
        <v>2020</v>
      </c>
      <c r="F1967">
        <v>2021</v>
      </c>
      <c r="G1967" t="str">
        <f>IFERROR(INDEX(Formulations[Formulation],MATCH($C1967,Formulations[Product Code],0)),"")</f>
        <v>Pure</v>
      </c>
    </row>
    <row r="1968" spans="1:7" x14ac:dyDescent="0.3">
      <c r="A1968" t="s">
        <v>1646</v>
      </c>
      <c r="B1968" t="s">
        <v>809</v>
      </c>
      <c r="C1968" t="s">
        <v>810</v>
      </c>
      <c r="D1968" s="7">
        <v>27</v>
      </c>
      <c r="E1968">
        <v>2016</v>
      </c>
      <c r="F1968">
        <v>2016</v>
      </c>
      <c r="G1968" t="str">
        <f>IFERROR(INDEX(Formulations[Formulation],MATCH($C1968,Formulations[Product Code],0)),"")</f>
        <v>Silver</v>
      </c>
    </row>
    <row r="1969" spans="1:7" x14ac:dyDescent="0.3">
      <c r="A1969" t="s">
        <v>1784</v>
      </c>
      <c r="B1969" t="s">
        <v>412</v>
      </c>
      <c r="C1969" t="s">
        <v>413</v>
      </c>
      <c r="D1969" s="7">
        <v>27</v>
      </c>
      <c r="E1969">
        <v>2016</v>
      </c>
      <c r="F1969">
        <v>2017</v>
      </c>
      <c r="G1969" t="str">
        <f>IFERROR(INDEX(Formulations[Formulation],MATCH($C1969,Formulations[Product Code],0)),"")</f>
        <v>40% oil &amp; 60 % DPG</v>
      </c>
    </row>
    <row r="1970" spans="1:7" x14ac:dyDescent="0.3">
      <c r="A1970" t="s">
        <v>2309</v>
      </c>
      <c r="B1970" t="s">
        <v>28</v>
      </c>
      <c r="D1970" s="7">
        <v>27</v>
      </c>
      <c r="E1970">
        <v>2016</v>
      </c>
      <c r="F1970">
        <v>2019</v>
      </c>
      <c r="G1970" t="str">
        <f>IFERROR(INDEX(Formulations[Formulation],MATCH($C1970,Formulations[Product Code],0)),"")</f>
        <v/>
      </c>
    </row>
    <row r="1971" spans="1:7" x14ac:dyDescent="0.3">
      <c r="A1971" t="s">
        <v>268</v>
      </c>
      <c r="B1971" t="s">
        <v>269</v>
      </c>
      <c r="C1971" t="s">
        <v>270</v>
      </c>
      <c r="D1971" s="7">
        <v>26</v>
      </c>
      <c r="E1971">
        <v>2018</v>
      </c>
      <c r="F1971">
        <v>2018</v>
      </c>
      <c r="G1971" t="str">
        <f>IFERROR(INDEX(Formulations[Formulation],MATCH($C1971,Formulations[Product Code],0)),"")</f>
        <v>Pure</v>
      </c>
    </row>
    <row r="1972" spans="1:7" x14ac:dyDescent="0.3">
      <c r="A1972" t="s">
        <v>273</v>
      </c>
      <c r="B1972" t="s">
        <v>137</v>
      </c>
      <c r="C1972" t="s">
        <v>138</v>
      </c>
      <c r="D1972" s="7">
        <v>26</v>
      </c>
      <c r="E1972">
        <v>2013</v>
      </c>
      <c r="F1972">
        <v>2015</v>
      </c>
      <c r="G1972" t="str">
        <f>IFERROR(INDEX(Formulations[Formulation],MATCH($C1972,Formulations[Product Code],0)),"")</f>
        <v>WS</v>
      </c>
    </row>
    <row r="1973" spans="1:7" x14ac:dyDescent="0.3">
      <c r="A1973" t="s">
        <v>685</v>
      </c>
      <c r="B1973" t="s">
        <v>665</v>
      </c>
      <c r="D1973" s="7">
        <v>26</v>
      </c>
      <c r="E1973">
        <v>2019</v>
      </c>
      <c r="F1973">
        <v>2021</v>
      </c>
      <c r="G1973" t="str">
        <f>IFERROR(INDEX(Formulations[Formulation],MATCH($C1973,Formulations[Product Code],0)),"")</f>
        <v/>
      </c>
    </row>
    <row r="1974" spans="1:7" x14ac:dyDescent="0.3">
      <c r="A1974" t="s">
        <v>685</v>
      </c>
      <c r="B1974" t="s">
        <v>453</v>
      </c>
      <c r="D1974" s="7">
        <v>26</v>
      </c>
      <c r="E1974">
        <v>2019</v>
      </c>
      <c r="F1974">
        <v>2021</v>
      </c>
      <c r="G1974" t="str">
        <f>IFERROR(INDEX(Formulations[Formulation],MATCH($C1974,Formulations[Product Code],0)),"")</f>
        <v/>
      </c>
    </row>
    <row r="1975" spans="1:7" x14ac:dyDescent="0.3">
      <c r="A1975" t="s">
        <v>1220</v>
      </c>
      <c r="B1975" t="s">
        <v>1222</v>
      </c>
      <c r="C1975" t="s">
        <v>1223</v>
      </c>
      <c r="D1975" s="7">
        <v>26</v>
      </c>
      <c r="E1975">
        <v>2013</v>
      </c>
      <c r="F1975">
        <v>2014</v>
      </c>
      <c r="G1975" t="str">
        <f>IFERROR(INDEX(Formulations[Formulation],MATCH($C1975,Formulations[Product Code],0)),"")</f>
        <v/>
      </c>
    </row>
    <row r="1976" spans="1:7" x14ac:dyDescent="0.3">
      <c r="A1976" t="s">
        <v>1439</v>
      </c>
      <c r="B1976" t="s">
        <v>349</v>
      </c>
      <c r="C1976" t="s">
        <v>350</v>
      </c>
      <c r="D1976" s="7">
        <v>26</v>
      </c>
      <c r="E1976">
        <v>2016</v>
      </c>
      <c r="F1976">
        <v>2016</v>
      </c>
      <c r="G1976" t="str">
        <f>IFERROR(INDEX(Formulations[Formulation],MATCH($C1976,Formulations[Product Code],0)),"")</f>
        <v/>
      </c>
    </row>
    <row r="1977" spans="1:7" x14ac:dyDescent="0.3">
      <c r="A1977" t="s">
        <v>1439</v>
      </c>
      <c r="B1977" t="s">
        <v>320</v>
      </c>
      <c r="C1977" t="s">
        <v>321</v>
      </c>
      <c r="D1977" s="7">
        <v>26</v>
      </c>
      <c r="E1977">
        <v>2018</v>
      </c>
      <c r="F1977">
        <v>2018</v>
      </c>
      <c r="G1977" t="str">
        <f>IFERROR(INDEX(Formulations[Formulation],MATCH($C1977,Formulations[Product Code],0)),"")</f>
        <v/>
      </c>
    </row>
    <row r="1978" spans="1:7" x14ac:dyDescent="0.3">
      <c r="A1978" t="s">
        <v>1439</v>
      </c>
      <c r="B1978" t="s">
        <v>320</v>
      </c>
      <c r="C1978" t="s">
        <v>414</v>
      </c>
      <c r="D1978" s="7">
        <v>26</v>
      </c>
      <c r="E1978">
        <v>2018</v>
      </c>
      <c r="F1978">
        <v>2019</v>
      </c>
      <c r="G1978" t="str">
        <f>IFERROR(INDEX(Formulations[Formulation],MATCH($C1978,Formulations[Product Code],0)),"")</f>
        <v/>
      </c>
    </row>
    <row r="1979" spans="1:7" x14ac:dyDescent="0.3">
      <c r="A1979" t="s">
        <v>1656</v>
      </c>
      <c r="B1979" t="s">
        <v>46</v>
      </c>
      <c r="C1979" t="s">
        <v>47</v>
      </c>
      <c r="D1979" s="7">
        <v>26</v>
      </c>
      <c r="E1979">
        <v>2016</v>
      </c>
      <c r="F1979">
        <v>2020</v>
      </c>
      <c r="G1979" t="str">
        <f>IFERROR(INDEX(Formulations[Formulation],MATCH($C1979,Formulations[Product Code],0)),"")</f>
        <v/>
      </c>
    </row>
    <row r="1980" spans="1:7" x14ac:dyDescent="0.3">
      <c r="A1980" t="s">
        <v>2090</v>
      </c>
      <c r="B1980" t="s">
        <v>671</v>
      </c>
      <c r="C1980" t="s">
        <v>672</v>
      </c>
      <c r="D1980" s="7">
        <v>26</v>
      </c>
      <c r="E1980">
        <v>2020</v>
      </c>
      <c r="F1980">
        <v>2021</v>
      </c>
      <c r="G1980" t="str">
        <f>IFERROR(INDEX(Formulations[Formulation],MATCH($C1980,Formulations[Product Code],0)),"")</f>
        <v>Pure</v>
      </c>
    </row>
    <row r="1981" spans="1:7" x14ac:dyDescent="0.3">
      <c r="A1981" t="s">
        <v>2309</v>
      </c>
      <c r="B1981" t="s">
        <v>29</v>
      </c>
      <c r="D1981" s="7">
        <v>26</v>
      </c>
      <c r="E1981">
        <v>2016</v>
      </c>
      <c r="F1981">
        <v>2016</v>
      </c>
      <c r="G1981" t="str">
        <f>IFERROR(INDEX(Formulations[Formulation],MATCH($C1981,Formulations[Product Code],0)),"")</f>
        <v/>
      </c>
    </row>
    <row r="1982" spans="1:7" x14ac:dyDescent="0.3">
      <c r="A1982" t="s">
        <v>2416</v>
      </c>
      <c r="B1982" t="s">
        <v>196</v>
      </c>
      <c r="C1982" t="s">
        <v>197</v>
      </c>
      <c r="D1982" s="7">
        <v>26</v>
      </c>
      <c r="E1982">
        <v>2014</v>
      </c>
      <c r="F1982">
        <v>2018</v>
      </c>
      <c r="G1982" t="str">
        <f>IFERROR(INDEX(Formulations[Formulation],MATCH($C1982,Formulations[Product Code],0)),"")</f>
        <v/>
      </c>
    </row>
    <row r="1983" spans="1:7" x14ac:dyDescent="0.3">
      <c r="A1983" t="s">
        <v>2485</v>
      </c>
      <c r="B1983" t="s">
        <v>37</v>
      </c>
      <c r="D1983" s="7">
        <v>26</v>
      </c>
      <c r="E1983">
        <v>2019</v>
      </c>
      <c r="F1983">
        <v>2020</v>
      </c>
      <c r="G1983" t="str">
        <f>IFERROR(INDEX(Formulations[Formulation],MATCH($C1983,Formulations[Product Code],0)),"")</f>
        <v/>
      </c>
    </row>
    <row r="1984" spans="1:7" x14ac:dyDescent="0.3">
      <c r="A1984" t="s">
        <v>2498</v>
      </c>
      <c r="B1984" t="s">
        <v>34</v>
      </c>
      <c r="D1984" s="7">
        <v>26</v>
      </c>
      <c r="E1984">
        <v>2019</v>
      </c>
      <c r="F1984">
        <v>2020</v>
      </c>
      <c r="G1984" t="str">
        <f>IFERROR(INDEX(Formulations[Formulation],MATCH($C1984,Formulations[Product Code],0)),"")</f>
        <v/>
      </c>
    </row>
    <row r="1985" spans="1:7" x14ac:dyDescent="0.3">
      <c r="A1985" t="s">
        <v>2505</v>
      </c>
      <c r="B1985" t="s">
        <v>161</v>
      </c>
      <c r="C1985" t="s">
        <v>162</v>
      </c>
      <c r="D1985" s="7">
        <v>26</v>
      </c>
      <c r="E1985">
        <v>2019</v>
      </c>
      <c r="F1985">
        <v>2019</v>
      </c>
      <c r="G1985" t="str">
        <f>IFERROR(INDEX(Formulations[Formulation],MATCH($C1985,Formulations[Product Code],0)),"")</f>
        <v>Pure</v>
      </c>
    </row>
    <row r="1986" spans="1:7" x14ac:dyDescent="0.3">
      <c r="A1986" t="s">
        <v>2595</v>
      </c>
      <c r="B1986" t="s">
        <v>386</v>
      </c>
      <c r="C1986" t="s">
        <v>387</v>
      </c>
      <c r="D1986" s="7">
        <v>26</v>
      </c>
      <c r="E1986">
        <v>2020</v>
      </c>
      <c r="F1986">
        <v>2021</v>
      </c>
      <c r="G1986" t="str">
        <f>IFERROR(INDEX(Formulations[Formulation],MATCH($C1986,Formulations[Product Code],0)),"")</f>
        <v/>
      </c>
    </row>
    <row r="1987" spans="1:7" x14ac:dyDescent="0.3">
      <c r="A1987" t="s">
        <v>78</v>
      </c>
      <c r="B1987" t="s">
        <v>84</v>
      </c>
      <c r="C1987" t="s">
        <v>85</v>
      </c>
      <c r="D1987" s="7">
        <v>25.5</v>
      </c>
      <c r="E1987">
        <v>2016</v>
      </c>
      <c r="F1987">
        <v>2021</v>
      </c>
      <c r="G1987" t="str">
        <f>IFERROR(INDEX(Formulations[Formulation],MATCH($C1987,Formulations[Product Code],0)),"")</f>
        <v>Pure</v>
      </c>
    </row>
    <row r="1988" spans="1:7" x14ac:dyDescent="0.3">
      <c r="A1988" t="s">
        <v>8</v>
      </c>
      <c r="B1988" t="s">
        <v>9</v>
      </c>
      <c r="C1988" t="s">
        <v>10</v>
      </c>
      <c r="D1988" s="7">
        <v>25</v>
      </c>
      <c r="E1988">
        <v>2021</v>
      </c>
      <c r="F1988">
        <v>2021</v>
      </c>
      <c r="G1988" t="str">
        <f>IFERROR(INDEX(Formulations[Formulation],MATCH($C1988,Formulations[Product Code],0)),"")</f>
        <v>90% magic blue///warda 10%//than make 60%oil</v>
      </c>
    </row>
    <row r="1989" spans="1:7" x14ac:dyDescent="0.3">
      <c r="A1989" t="s">
        <v>8</v>
      </c>
      <c r="B1989" t="s">
        <v>12</v>
      </c>
      <c r="C1989" t="s">
        <v>13</v>
      </c>
      <c r="D1989" s="7">
        <v>25</v>
      </c>
      <c r="E1989">
        <v>2021</v>
      </c>
      <c r="F1989">
        <v>2021</v>
      </c>
      <c r="G1989" t="str">
        <f>IFERROR(INDEX(Formulations[Formulation],MATCH($C1989,Formulations[Product Code],0)),"")</f>
        <v>Crystal</v>
      </c>
    </row>
    <row r="1990" spans="1:7" x14ac:dyDescent="0.3">
      <c r="A1990" t="s">
        <v>15</v>
      </c>
      <c r="B1990" t="s">
        <v>21</v>
      </c>
      <c r="C1990" t="s">
        <v>22</v>
      </c>
      <c r="D1990" s="7">
        <v>25</v>
      </c>
      <c r="E1990">
        <v>2010</v>
      </c>
      <c r="F1990">
        <v>2010</v>
      </c>
      <c r="G1990" t="str">
        <f>IFERROR(INDEX(Formulations[Formulation],MATCH($C1990,Formulations[Product Code],0)),"")</f>
        <v>Crystal</v>
      </c>
    </row>
    <row r="1991" spans="1:7" x14ac:dyDescent="0.3">
      <c r="A1991" t="s">
        <v>23</v>
      </c>
      <c r="B1991" t="s">
        <v>30</v>
      </c>
      <c r="C1991" t="s">
        <v>31</v>
      </c>
      <c r="D1991" s="7">
        <v>25</v>
      </c>
      <c r="E1991">
        <v>2016</v>
      </c>
      <c r="F1991">
        <v>2016</v>
      </c>
      <c r="G1991" t="str">
        <f>IFERROR(INDEX(Formulations[Formulation],MATCH($C1991,Formulations[Product Code],0)),"")</f>
        <v>Pure</v>
      </c>
    </row>
    <row r="1992" spans="1:7" x14ac:dyDescent="0.3">
      <c r="A1992" t="s">
        <v>49</v>
      </c>
      <c r="B1992" t="s">
        <v>26</v>
      </c>
      <c r="C1992" t="s">
        <v>27</v>
      </c>
      <c r="D1992" s="7">
        <v>25</v>
      </c>
      <c r="E1992">
        <v>2015</v>
      </c>
      <c r="F1992">
        <v>2015</v>
      </c>
      <c r="G1992" t="str">
        <f>IFERROR(INDEX(Formulations[Formulation],MATCH($C1992,Formulations[Product Code],0)),"")</f>
        <v>FLOURAMAX A270578/ P782894</v>
      </c>
    </row>
    <row r="1993" spans="1:7" x14ac:dyDescent="0.3">
      <c r="A1993" t="s">
        <v>165</v>
      </c>
      <c r="B1993" t="s">
        <v>135</v>
      </c>
      <c r="C1993" t="s">
        <v>136</v>
      </c>
      <c r="D1993" s="7">
        <v>25</v>
      </c>
      <c r="E1993">
        <v>2014</v>
      </c>
      <c r="F1993">
        <v>2016</v>
      </c>
      <c r="G1993" t="str">
        <f>IFERROR(INDEX(Formulations[Formulation],MATCH($C1993,Formulations[Product Code],0)),"")</f>
        <v/>
      </c>
    </row>
    <row r="1994" spans="1:7" x14ac:dyDescent="0.3">
      <c r="A1994" t="s">
        <v>165</v>
      </c>
      <c r="B1994" t="s">
        <v>190</v>
      </c>
      <c r="C1994" t="s">
        <v>191</v>
      </c>
      <c r="D1994" s="7">
        <v>25</v>
      </c>
      <c r="E1994">
        <v>2012</v>
      </c>
      <c r="F1994">
        <v>2012</v>
      </c>
      <c r="G1994" t="str">
        <f>IFERROR(INDEX(Formulations[Formulation],MATCH($C1994,Formulations[Product Code],0)),"")</f>
        <v>Pure</v>
      </c>
    </row>
    <row r="1995" spans="1:7" x14ac:dyDescent="0.3">
      <c r="A1995" t="s">
        <v>165</v>
      </c>
      <c r="B1995" t="s">
        <v>200</v>
      </c>
      <c r="D1995" s="7">
        <v>25</v>
      </c>
      <c r="E1995">
        <v>2012</v>
      </c>
      <c r="F1995">
        <v>2012</v>
      </c>
      <c r="G1995" t="str">
        <f>IFERROR(INDEX(Formulations[Formulation],MATCH($C1995,Formulations[Product Code],0)),"")</f>
        <v/>
      </c>
    </row>
    <row r="1996" spans="1:7" x14ac:dyDescent="0.3">
      <c r="A1996" t="s">
        <v>215</v>
      </c>
      <c r="B1996" t="s">
        <v>227</v>
      </c>
      <c r="D1996" s="7">
        <v>25</v>
      </c>
      <c r="E1996">
        <v>2012</v>
      </c>
      <c r="F1996">
        <v>2013</v>
      </c>
      <c r="G1996" t="str">
        <f>IFERROR(INDEX(Formulations[Formulation],MATCH($C1996,Formulations[Product Code],0)),"")</f>
        <v/>
      </c>
    </row>
    <row r="1997" spans="1:7" x14ac:dyDescent="0.3">
      <c r="A1997" t="s">
        <v>215</v>
      </c>
      <c r="B1997" t="s">
        <v>230</v>
      </c>
      <c r="C1997" t="s">
        <v>231</v>
      </c>
      <c r="D1997" s="7">
        <v>25</v>
      </c>
      <c r="E1997">
        <v>2012</v>
      </c>
      <c r="F1997">
        <v>2012</v>
      </c>
      <c r="G1997" t="str">
        <f>IFERROR(INDEX(Formulations[Formulation],MATCH($C1997,Formulations[Product Code],0)),"")</f>
        <v/>
      </c>
    </row>
    <row r="1998" spans="1:7" x14ac:dyDescent="0.3">
      <c r="A1998" t="s">
        <v>215</v>
      </c>
      <c r="B1998" t="s">
        <v>236</v>
      </c>
      <c r="C1998" t="s">
        <v>237</v>
      </c>
      <c r="D1998" s="7">
        <v>25</v>
      </c>
      <c r="E1998">
        <v>2011</v>
      </c>
      <c r="F1998">
        <v>2014</v>
      </c>
      <c r="G1998" t="str">
        <f>IFERROR(INDEX(Formulations[Formulation],MATCH($C1998,Formulations[Product Code],0)),"")</f>
        <v>Body by Burberry (F) CP00861 60%, Pacific Paradise 30%, Supreme bouqet 10%, than make gold</v>
      </c>
    </row>
    <row r="1999" spans="1:7" x14ac:dyDescent="0.3">
      <c r="A1999" t="s">
        <v>241</v>
      </c>
      <c r="B1999" t="s">
        <v>242</v>
      </c>
      <c r="D1999" s="7">
        <v>25</v>
      </c>
      <c r="E1999">
        <v>2021</v>
      </c>
      <c r="F1999">
        <v>2021</v>
      </c>
      <c r="G1999" t="str">
        <f>IFERROR(INDEX(Formulations[Formulation],MATCH($C1999,Formulations[Product Code],0)),"")</f>
        <v/>
      </c>
    </row>
    <row r="2000" spans="1:7" x14ac:dyDescent="0.3">
      <c r="A2000" t="s">
        <v>268</v>
      </c>
      <c r="B2000" t="s">
        <v>46</v>
      </c>
      <c r="C2000" t="s">
        <v>47</v>
      </c>
      <c r="D2000" s="7">
        <v>25</v>
      </c>
      <c r="E2000">
        <v>2018</v>
      </c>
      <c r="F2000">
        <v>2018</v>
      </c>
      <c r="G2000" t="str">
        <f>IFERROR(INDEX(Formulations[Formulation],MATCH($C2000,Formulations[Product Code],0)),"")</f>
        <v/>
      </c>
    </row>
    <row r="2001" spans="1:7" x14ac:dyDescent="0.3">
      <c r="A2001" t="s">
        <v>271</v>
      </c>
      <c r="B2001" t="s">
        <v>218</v>
      </c>
      <c r="C2001" t="s">
        <v>212</v>
      </c>
      <c r="D2001" s="7">
        <v>25</v>
      </c>
      <c r="E2001">
        <v>2010</v>
      </c>
      <c r="F2001">
        <v>2010</v>
      </c>
      <c r="G2001" t="str">
        <f>IFERROR(INDEX(Formulations[Formulation],MATCH($C2001,Formulations[Product Code],0)),"")</f>
        <v>Pure</v>
      </c>
    </row>
    <row r="2002" spans="1:7" x14ac:dyDescent="0.3">
      <c r="A2002" t="s">
        <v>273</v>
      </c>
      <c r="B2002" t="s">
        <v>281</v>
      </c>
      <c r="C2002" t="s">
        <v>282</v>
      </c>
      <c r="D2002" s="7">
        <v>25</v>
      </c>
      <c r="E2002">
        <v>2013</v>
      </c>
      <c r="F2002">
        <v>2013</v>
      </c>
      <c r="G2002" t="str">
        <f>IFERROR(INDEX(Formulations[Formulation],MATCH($C2002,Formulations[Product Code],0)),"")</f>
        <v/>
      </c>
    </row>
    <row r="2003" spans="1:7" x14ac:dyDescent="0.3">
      <c r="A2003" t="s">
        <v>273</v>
      </c>
      <c r="B2003" t="s">
        <v>283</v>
      </c>
      <c r="C2003" t="s">
        <v>284</v>
      </c>
      <c r="D2003" s="7">
        <v>25</v>
      </c>
      <c r="E2003">
        <v>2014</v>
      </c>
      <c r="F2003">
        <v>2014</v>
      </c>
      <c r="G2003" t="str">
        <f>IFERROR(INDEX(Formulations[Formulation],MATCH($C2003,Formulations[Product Code],0)),"")</f>
        <v/>
      </c>
    </row>
    <row r="2004" spans="1:7" x14ac:dyDescent="0.3">
      <c r="A2004" t="s">
        <v>273</v>
      </c>
      <c r="B2004" t="s">
        <v>287</v>
      </c>
      <c r="C2004" t="s">
        <v>186</v>
      </c>
      <c r="D2004" s="7">
        <v>25</v>
      </c>
      <c r="E2004">
        <v>2012</v>
      </c>
      <c r="F2004">
        <v>2012</v>
      </c>
      <c r="G2004" t="str">
        <f>IFERROR(INDEX(Formulations[Formulation],MATCH($C2004,Formulations[Product Code],0)),"")</f>
        <v/>
      </c>
    </row>
    <row r="2005" spans="1:7" x14ac:dyDescent="0.3">
      <c r="A2005" t="s">
        <v>273</v>
      </c>
      <c r="B2005" t="s">
        <v>288</v>
      </c>
      <c r="C2005" t="s">
        <v>289</v>
      </c>
      <c r="D2005" s="7">
        <v>25</v>
      </c>
      <c r="E2005">
        <v>2016</v>
      </c>
      <c r="F2005">
        <v>2016</v>
      </c>
      <c r="G2005" t="str">
        <f>IFERROR(INDEX(Formulations[Formulation],MATCH($C2005,Formulations[Product Code],0)),"")</f>
        <v>L1212 Blanc by Lacoste (M) CP19035 -  (60%l1212) creed silver mountain 40% than make gold</v>
      </c>
    </row>
    <row r="2006" spans="1:7" x14ac:dyDescent="0.3">
      <c r="A2006" t="s">
        <v>273</v>
      </c>
      <c r="B2006" t="s">
        <v>291</v>
      </c>
      <c r="C2006" t="s">
        <v>292</v>
      </c>
      <c r="D2006" s="7">
        <v>25</v>
      </c>
      <c r="E2006">
        <v>2016</v>
      </c>
      <c r="F2006">
        <v>2016</v>
      </c>
      <c r="G2006" t="str">
        <f>IFERROR(INDEX(Formulations[Formulation],MATCH($C2006,Formulations[Product Code],0)),"")</f>
        <v/>
      </c>
    </row>
    <row r="2007" spans="1:7" x14ac:dyDescent="0.3">
      <c r="A2007" t="s">
        <v>273</v>
      </c>
      <c r="B2007" t="s">
        <v>184</v>
      </c>
      <c r="C2007" t="s">
        <v>185</v>
      </c>
      <c r="D2007" s="7">
        <v>25</v>
      </c>
      <c r="E2007">
        <v>2012</v>
      </c>
      <c r="F2007">
        <v>2012</v>
      </c>
      <c r="G2007" t="str">
        <f>IFERROR(INDEX(Formulations[Formulation],MATCH($C2007,Formulations[Product Code],0)),"")</f>
        <v/>
      </c>
    </row>
    <row r="2008" spans="1:7" x14ac:dyDescent="0.3">
      <c r="A2008" t="s">
        <v>273</v>
      </c>
      <c r="B2008" t="s">
        <v>295</v>
      </c>
      <c r="C2008" t="s">
        <v>296</v>
      </c>
      <c r="D2008" s="7">
        <v>25</v>
      </c>
      <c r="E2008">
        <v>2012</v>
      </c>
      <c r="F2008">
        <v>2012</v>
      </c>
      <c r="G2008" t="str">
        <f>IFERROR(INDEX(Formulations[Formulation],MATCH($C2008,Formulations[Product Code],0)),"")</f>
        <v/>
      </c>
    </row>
    <row r="2009" spans="1:7" x14ac:dyDescent="0.3">
      <c r="A2009" t="s">
        <v>273</v>
      </c>
      <c r="B2009" t="s">
        <v>303</v>
      </c>
      <c r="C2009" t="s">
        <v>304</v>
      </c>
      <c r="D2009" s="7">
        <v>25</v>
      </c>
      <c r="E2009">
        <v>2015</v>
      </c>
      <c r="F2009">
        <v>2015</v>
      </c>
      <c r="G2009" t="str">
        <f>IFERROR(INDEX(Formulations[Formulation],MATCH($C2009,Formulations[Product Code],0)),"")</f>
        <v/>
      </c>
    </row>
    <row r="2010" spans="1:7" x14ac:dyDescent="0.3">
      <c r="A2010" t="s">
        <v>273</v>
      </c>
      <c r="B2010" t="s">
        <v>309</v>
      </c>
      <c r="D2010" s="7">
        <v>25</v>
      </c>
      <c r="E2010">
        <v>2012</v>
      </c>
      <c r="F2010">
        <v>2012</v>
      </c>
      <c r="G2010" t="str">
        <f>IFERROR(INDEX(Formulations[Formulation],MATCH($C2010,Formulations[Product Code],0)),"")</f>
        <v/>
      </c>
    </row>
    <row r="2011" spans="1:7" x14ac:dyDescent="0.3">
      <c r="A2011" t="s">
        <v>273</v>
      </c>
      <c r="B2011" t="s">
        <v>323</v>
      </c>
      <c r="C2011" t="s">
        <v>324</v>
      </c>
      <c r="D2011" s="7">
        <v>25</v>
      </c>
      <c r="E2011">
        <v>2016</v>
      </c>
      <c r="F2011">
        <v>2016</v>
      </c>
      <c r="G2011" t="str">
        <f>IFERROR(INDEX(Formulations[Formulation],MATCH($C2011,Formulations[Product Code],0)),"")</f>
        <v>Pure</v>
      </c>
    </row>
    <row r="2012" spans="1:7" x14ac:dyDescent="0.3">
      <c r="A2012" t="s">
        <v>273</v>
      </c>
      <c r="B2012" t="s">
        <v>325</v>
      </c>
      <c r="C2012" t="s">
        <v>326</v>
      </c>
      <c r="D2012" s="7">
        <v>25</v>
      </c>
      <c r="E2012">
        <v>2013</v>
      </c>
      <c r="F2012">
        <v>2013</v>
      </c>
      <c r="G2012" t="str">
        <f>IFERROR(INDEX(Formulations[Formulation],MATCH($C2012,Formulations[Product Code],0)),"")</f>
        <v/>
      </c>
    </row>
    <row r="2013" spans="1:7" x14ac:dyDescent="0.3">
      <c r="A2013" t="s">
        <v>338</v>
      </c>
      <c r="B2013" t="s">
        <v>218</v>
      </c>
      <c r="C2013" t="s">
        <v>212</v>
      </c>
      <c r="D2013" s="7">
        <v>25</v>
      </c>
      <c r="E2013">
        <v>2010</v>
      </c>
      <c r="F2013">
        <v>2010</v>
      </c>
      <c r="G2013" t="str">
        <f>IFERROR(INDEX(Formulations[Formulation],MATCH($C2013,Formulations[Product Code],0)),"")</f>
        <v>Pure</v>
      </c>
    </row>
    <row r="2014" spans="1:7" x14ac:dyDescent="0.3">
      <c r="A2014" t="s">
        <v>353</v>
      </c>
      <c r="B2014" t="s">
        <v>330</v>
      </c>
      <c r="D2014" s="7">
        <v>25</v>
      </c>
      <c r="E2014">
        <v>2014</v>
      </c>
      <c r="F2014">
        <v>2014</v>
      </c>
      <c r="G2014" t="str">
        <f>IFERROR(INDEX(Formulations[Formulation],MATCH($C2014,Formulations[Product Code],0)),"")</f>
        <v/>
      </c>
    </row>
    <row r="2015" spans="1:7" x14ac:dyDescent="0.3">
      <c r="A2015" t="s">
        <v>353</v>
      </c>
      <c r="B2015" t="s">
        <v>381</v>
      </c>
      <c r="C2015" t="s">
        <v>382</v>
      </c>
      <c r="D2015" s="7">
        <v>25</v>
      </c>
      <c r="E2015">
        <v>2013</v>
      </c>
      <c r="F2015">
        <v>2013</v>
      </c>
      <c r="G2015" t="str">
        <f>IFERROR(INDEX(Formulations[Formulation],MATCH($C2015,Formulations[Product Code],0)),"")</f>
        <v/>
      </c>
    </row>
    <row r="2016" spans="1:7" x14ac:dyDescent="0.3">
      <c r="A2016" t="s">
        <v>416</v>
      </c>
      <c r="B2016" t="s">
        <v>417</v>
      </c>
      <c r="C2016" t="s">
        <v>418</v>
      </c>
      <c r="D2016" s="7">
        <v>25</v>
      </c>
      <c r="E2016">
        <v>2009</v>
      </c>
      <c r="F2016">
        <v>2009</v>
      </c>
      <c r="G2016" t="str">
        <f>IFERROR(INDEX(Formulations[Formulation],MATCH($C2016,Formulations[Product Code],0)),"")</f>
        <v>Pure</v>
      </c>
    </row>
    <row r="2017" spans="1:7" x14ac:dyDescent="0.3">
      <c r="A2017" t="s">
        <v>427</v>
      </c>
      <c r="B2017" t="s">
        <v>428</v>
      </c>
      <c r="C2017" t="s">
        <v>429</v>
      </c>
      <c r="D2017" s="7">
        <v>25</v>
      </c>
      <c r="E2017">
        <v>2020</v>
      </c>
      <c r="F2017">
        <v>2020</v>
      </c>
      <c r="G2017" t="str">
        <f>IFERROR(INDEX(Formulations[Formulation],MATCH($C2017,Formulations[Product Code],0)),"")</f>
        <v/>
      </c>
    </row>
    <row r="2018" spans="1:7" x14ac:dyDescent="0.3">
      <c r="A2018" t="s">
        <v>436</v>
      </c>
      <c r="B2018" t="s">
        <v>269</v>
      </c>
      <c r="C2018" t="s">
        <v>270</v>
      </c>
      <c r="D2018" s="7">
        <v>25</v>
      </c>
      <c r="E2018">
        <v>2019</v>
      </c>
      <c r="F2018">
        <v>2019</v>
      </c>
      <c r="G2018" t="str">
        <f>IFERROR(INDEX(Formulations[Formulation],MATCH($C2018,Formulations[Product Code],0)),"")</f>
        <v>Pure</v>
      </c>
    </row>
    <row r="2019" spans="1:7" x14ac:dyDescent="0.3">
      <c r="A2019" t="s">
        <v>437</v>
      </c>
      <c r="B2019" t="s">
        <v>438</v>
      </c>
      <c r="C2019" t="s">
        <v>439</v>
      </c>
      <c r="D2019" s="7">
        <v>25</v>
      </c>
      <c r="E2019">
        <v>2016</v>
      </c>
      <c r="F2019">
        <v>2016</v>
      </c>
      <c r="G2019" t="str">
        <f>IFERROR(INDEX(Formulations[Formulation],MATCH($C2019,Formulations[Product Code],0)),"")</f>
        <v>Pure</v>
      </c>
    </row>
    <row r="2020" spans="1:7" x14ac:dyDescent="0.3">
      <c r="A2020" t="s">
        <v>440</v>
      </c>
      <c r="B2020" t="s">
        <v>443</v>
      </c>
      <c r="D2020" s="7">
        <v>25</v>
      </c>
      <c r="E2020">
        <v>2021</v>
      </c>
      <c r="F2020">
        <v>2021</v>
      </c>
      <c r="G2020" t="str">
        <f>IFERROR(INDEX(Formulations[Formulation],MATCH($C2020,Formulations[Product Code],0)),"")</f>
        <v/>
      </c>
    </row>
    <row r="2021" spans="1:7" x14ac:dyDescent="0.3">
      <c r="A2021" t="s">
        <v>449</v>
      </c>
      <c r="B2021" t="s">
        <v>454</v>
      </c>
      <c r="C2021" t="s">
        <v>455</v>
      </c>
      <c r="D2021" s="7">
        <v>25</v>
      </c>
      <c r="E2021">
        <v>2014</v>
      </c>
      <c r="F2021">
        <v>2014</v>
      </c>
      <c r="G2021" t="str">
        <f>IFERROR(INDEX(Formulations[Formulation],MATCH($C2021,Formulations[Product Code],0)),"")</f>
        <v>Pure</v>
      </c>
    </row>
    <row r="2022" spans="1:7" x14ac:dyDescent="0.3">
      <c r="A2022" t="s">
        <v>449</v>
      </c>
      <c r="B2022" t="s">
        <v>456</v>
      </c>
      <c r="C2022" t="s">
        <v>457</v>
      </c>
      <c r="D2022" s="7">
        <v>25</v>
      </c>
      <c r="E2022">
        <v>2012</v>
      </c>
      <c r="F2022">
        <v>2012</v>
      </c>
      <c r="G2022" t="str">
        <f>IFERROR(INDEX(Formulations[Formulation],MATCH($C2022,Formulations[Product Code],0)),"")</f>
        <v/>
      </c>
    </row>
    <row r="2023" spans="1:7" x14ac:dyDescent="0.3">
      <c r="A2023" t="s">
        <v>449</v>
      </c>
      <c r="B2023" t="s">
        <v>459</v>
      </c>
      <c r="C2023" t="s">
        <v>460</v>
      </c>
      <c r="D2023" s="7">
        <v>25</v>
      </c>
      <c r="E2023">
        <v>2011</v>
      </c>
      <c r="F2023">
        <v>2011</v>
      </c>
      <c r="G2023" t="str">
        <f>IFERROR(INDEX(Formulations[Formulation],MATCH($C2023,Formulations[Product Code],0)),"")</f>
        <v/>
      </c>
    </row>
    <row r="2024" spans="1:7" x14ac:dyDescent="0.3">
      <c r="A2024" t="s">
        <v>449</v>
      </c>
      <c r="B2024" t="s">
        <v>184</v>
      </c>
      <c r="C2024" t="s">
        <v>185</v>
      </c>
      <c r="D2024" s="7">
        <v>25</v>
      </c>
      <c r="E2024">
        <v>2011</v>
      </c>
      <c r="F2024">
        <v>2011</v>
      </c>
      <c r="G2024" t="str">
        <f>IFERROR(INDEX(Formulations[Formulation],MATCH($C2024,Formulations[Product Code],0)),"")</f>
        <v/>
      </c>
    </row>
    <row r="2025" spans="1:7" x14ac:dyDescent="0.3">
      <c r="A2025" t="s">
        <v>449</v>
      </c>
      <c r="B2025" t="s">
        <v>473</v>
      </c>
      <c r="C2025" t="s">
        <v>474</v>
      </c>
      <c r="D2025" s="7">
        <v>25</v>
      </c>
      <c r="E2025">
        <v>2011</v>
      </c>
      <c r="F2025">
        <v>2011</v>
      </c>
      <c r="G2025" t="str">
        <f>IFERROR(INDEX(Formulations[Formulation],MATCH($C2025,Formulations[Product Code],0)),"")</f>
        <v/>
      </c>
    </row>
    <row r="2026" spans="1:7" x14ac:dyDescent="0.3">
      <c r="A2026" t="s">
        <v>449</v>
      </c>
      <c r="B2026" t="s">
        <v>481</v>
      </c>
      <c r="C2026" t="s">
        <v>482</v>
      </c>
      <c r="D2026" s="7">
        <v>25</v>
      </c>
      <c r="E2026">
        <v>2012</v>
      </c>
      <c r="F2026">
        <v>2012</v>
      </c>
      <c r="G2026" t="str">
        <f>IFERROR(INDEX(Formulations[Formulation],MATCH($C2026,Formulations[Product Code],0)),"")</f>
        <v/>
      </c>
    </row>
    <row r="2027" spans="1:7" x14ac:dyDescent="0.3">
      <c r="A2027" t="s">
        <v>489</v>
      </c>
      <c r="B2027" t="s">
        <v>490</v>
      </c>
      <c r="C2027" t="s">
        <v>491</v>
      </c>
      <c r="D2027" s="7">
        <v>25</v>
      </c>
      <c r="E2027">
        <v>2018</v>
      </c>
      <c r="F2027">
        <v>2018</v>
      </c>
      <c r="G2027" t="str">
        <f>IFERROR(INDEX(Formulations[Formulation],MATCH($C2027,Formulations[Product Code],0)),"")</f>
        <v/>
      </c>
    </row>
    <row r="2028" spans="1:7" x14ac:dyDescent="0.3">
      <c r="A2028" t="s">
        <v>489</v>
      </c>
      <c r="B2028" t="s">
        <v>314</v>
      </c>
      <c r="C2028" t="s">
        <v>315</v>
      </c>
      <c r="D2028" s="7">
        <v>25</v>
      </c>
      <c r="E2028">
        <v>2018</v>
      </c>
      <c r="F2028">
        <v>2018</v>
      </c>
      <c r="G2028" t="str">
        <f>IFERROR(INDEX(Formulations[Formulation],MATCH($C2028,Formulations[Product Code],0)),"")</f>
        <v/>
      </c>
    </row>
    <row r="2029" spans="1:7" x14ac:dyDescent="0.3">
      <c r="A2029" t="s">
        <v>523</v>
      </c>
      <c r="B2029" t="s">
        <v>16</v>
      </c>
      <c r="C2029" t="s">
        <v>17</v>
      </c>
      <c r="D2029" s="7">
        <v>25</v>
      </c>
      <c r="E2029">
        <v>2016</v>
      </c>
      <c r="F2029">
        <v>2017</v>
      </c>
      <c r="G2029" t="str">
        <f>IFERROR(INDEX(Formulations[Formulation],MATCH($C2029,Formulations[Product Code],0)),"")</f>
        <v>Crystal</v>
      </c>
    </row>
    <row r="2030" spans="1:7" x14ac:dyDescent="0.3">
      <c r="A2030" t="s">
        <v>523</v>
      </c>
      <c r="B2030" t="s">
        <v>524</v>
      </c>
      <c r="C2030" t="s">
        <v>525</v>
      </c>
      <c r="D2030" s="7">
        <v>25</v>
      </c>
      <c r="E2030">
        <v>2016</v>
      </c>
      <c r="F2030">
        <v>2016</v>
      </c>
      <c r="G2030" t="str">
        <f>IFERROR(INDEX(Formulations[Formulation],MATCH($C2030,Formulations[Product Code],0)),"")</f>
        <v/>
      </c>
    </row>
    <row r="2031" spans="1:7" x14ac:dyDescent="0.3">
      <c r="A2031" t="s">
        <v>523</v>
      </c>
      <c r="B2031" t="s">
        <v>12</v>
      </c>
      <c r="C2031" t="s">
        <v>13</v>
      </c>
      <c r="D2031" s="7">
        <v>25</v>
      </c>
      <c r="E2031">
        <v>2016</v>
      </c>
      <c r="F2031">
        <v>2016</v>
      </c>
      <c r="G2031" t="str">
        <f>IFERROR(INDEX(Formulations[Formulation],MATCH($C2031,Formulations[Product Code],0)),"")</f>
        <v>Crystal</v>
      </c>
    </row>
    <row r="2032" spans="1:7" x14ac:dyDescent="0.3">
      <c r="A2032" t="s">
        <v>531</v>
      </c>
      <c r="B2032" t="s">
        <v>533</v>
      </c>
      <c r="C2032" t="s">
        <v>534</v>
      </c>
      <c r="D2032" s="7">
        <v>25</v>
      </c>
      <c r="E2032">
        <v>2020</v>
      </c>
      <c r="F2032">
        <v>2021</v>
      </c>
      <c r="G2032" t="str">
        <f>IFERROR(INDEX(Formulations[Formulation],MATCH($C2032,Formulations[Product Code],0)),"")</f>
        <v>Pure</v>
      </c>
    </row>
    <row r="2033" spans="1:7" x14ac:dyDescent="0.3">
      <c r="A2033" t="s">
        <v>531</v>
      </c>
      <c r="B2033" t="s">
        <v>184</v>
      </c>
      <c r="C2033" t="s">
        <v>185</v>
      </c>
      <c r="D2033" s="7">
        <v>25</v>
      </c>
      <c r="E2033">
        <v>2018</v>
      </c>
      <c r="F2033">
        <v>2018</v>
      </c>
      <c r="G2033" t="str">
        <f>IFERROR(INDEX(Formulations[Formulation],MATCH($C2033,Formulations[Product Code],0)),"")</f>
        <v/>
      </c>
    </row>
    <row r="2034" spans="1:7" x14ac:dyDescent="0.3">
      <c r="A2034" t="s">
        <v>531</v>
      </c>
      <c r="B2034" t="s">
        <v>545</v>
      </c>
      <c r="C2034" t="s">
        <v>546</v>
      </c>
      <c r="D2034" s="7">
        <v>25</v>
      </c>
      <c r="E2034">
        <v>2019</v>
      </c>
      <c r="F2034">
        <v>2019</v>
      </c>
      <c r="G2034" t="str">
        <f>IFERROR(INDEX(Formulations[Formulation],MATCH($C2034,Formulations[Product Code],0)),"")</f>
        <v>Pure</v>
      </c>
    </row>
    <row r="2035" spans="1:7" x14ac:dyDescent="0.3">
      <c r="A2035" t="s">
        <v>550</v>
      </c>
      <c r="B2035" t="s">
        <v>203</v>
      </c>
      <c r="C2035" t="s">
        <v>204</v>
      </c>
      <c r="D2035" s="7">
        <v>25</v>
      </c>
      <c r="E2035">
        <v>2018</v>
      </c>
      <c r="F2035">
        <v>2018</v>
      </c>
      <c r="G2035" t="str">
        <f>IFERROR(INDEX(Formulations[Formulation],MATCH($C2035,Formulations[Product Code],0)),"")</f>
        <v/>
      </c>
    </row>
    <row r="2036" spans="1:7" x14ac:dyDescent="0.3">
      <c r="A2036" t="s">
        <v>622</v>
      </c>
      <c r="B2036" t="s">
        <v>602</v>
      </c>
      <c r="C2036" t="s">
        <v>603</v>
      </c>
      <c r="D2036" s="7">
        <v>25</v>
      </c>
      <c r="E2036">
        <v>2019</v>
      </c>
      <c r="F2036">
        <v>2019</v>
      </c>
      <c r="G2036" t="str">
        <f>IFERROR(INDEX(Formulations[Formulation],MATCH($C2036,Formulations[Product Code],0)),"")</f>
        <v>Crystal</v>
      </c>
    </row>
    <row r="2037" spans="1:7" x14ac:dyDescent="0.3">
      <c r="A2037" t="s">
        <v>622</v>
      </c>
      <c r="B2037" t="s">
        <v>348</v>
      </c>
      <c r="C2037" t="s">
        <v>347</v>
      </c>
      <c r="D2037" s="7">
        <v>25</v>
      </c>
      <c r="E2037">
        <v>2019</v>
      </c>
      <c r="F2037">
        <v>2019</v>
      </c>
      <c r="G2037" t="str">
        <f>IFERROR(INDEX(Formulations[Formulation],MATCH($C2037,Formulations[Product Code],0)),"")</f>
        <v>Pure</v>
      </c>
    </row>
    <row r="2038" spans="1:7" x14ac:dyDescent="0.3">
      <c r="A2038" t="s">
        <v>622</v>
      </c>
      <c r="B2038" t="s">
        <v>110</v>
      </c>
      <c r="C2038" t="s">
        <v>111</v>
      </c>
      <c r="D2038" s="7">
        <v>25</v>
      </c>
      <c r="E2038">
        <v>2019</v>
      </c>
      <c r="F2038">
        <v>2019</v>
      </c>
      <c r="G2038" t="str">
        <f>IFERROR(INDEX(Formulations[Formulation],MATCH($C2038,Formulations[Product Code],0)),"")</f>
        <v>75% Lemon Zeste, 25% lemon Top &amp; the Gold DPG)</v>
      </c>
    </row>
    <row r="2039" spans="1:7" x14ac:dyDescent="0.3">
      <c r="A2039" t="s">
        <v>622</v>
      </c>
      <c r="B2039" t="s">
        <v>651</v>
      </c>
      <c r="C2039" t="s">
        <v>652</v>
      </c>
      <c r="D2039" s="7">
        <v>25</v>
      </c>
      <c r="E2039">
        <v>2019</v>
      </c>
      <c r="F2039">
        <v>2019</v>
      </c>
      <c r="G2039" t="str">
        <f>IFERROR(INDEX(Formulations[Formulation],MATCH($C2039,Formulations[Product Code],0)),"")</f>
        <v/>
      </c>
    </row>
    <row r="2040" spans="1:7" x14ac:dyDescent="0.3">
      <c r="A2040" t="s">
        <v>622</v>
      </c>
      <c r="B2040" t="s">
        <v>483</v>
      </c>
      <c r="C2040" t="s">
        <v>484</v>
      </c>
      <c r="D2040" s="7">
        <v>25</v>
      </c>
      <c r="E2040">
        <v>2019</v>
      </c>
      <c r="F2040">
        <v>2019</v>
      </c>
      <c r="G2040" t="str">
        <f>IFERROR(INDEX(Formulations[Formulation],MATCH($C2040,Formulations[Product Code],0)),"")</f>
        <v>Crystal</v>
      </c>
    </row>
    <row r="2041" spans="1:7" x14ac:dyDescent="0.3">
      <c r="A2041" t="s">
        <v>622</v>
      </c>
      <c r="B2041" t="s">
        <v>657</v>
      </c>
      <c r="C2041" t="s">
        <v>658</v>
      </c>
      <c r="D2041" s="7">
        <v>25</v>
      </c>
      <c r="E2041">
        <v>2019</v>
      </c>
      <c r="F2041">
        <v>2019</v>
      </c>
      <c r="G2041" t="str">
        <f>IFERROR(INDEX(Formulations[Formulation],MATCH($C2041,Formulations[Product Code],0)),"")</f>
        <v>Crystal</v>
      </c>
    </row>
    <row r="2042" spans="1:7" x14ac:dyDescent="0.3">
      <c r="A2042" t="s">
        <v>659</v>
      </c>
      <c r="B2042" t="s">
        <v>610</v>
      </c>
      <c r="C2042" t="s">
        <v>611</v>
      </c>
      <c r="D2042" s="7">
        <v>25</v>
      </c>
      <c r="E2042">
        <v>2019</v>
      </c>
      <c r="F2042">
        <v>2019</v>
      </c>
      <c r="G2042" t="str">
        <f>IFERROR(INDEX(Formulations[Formulation],MATCH($C2042,Formulations[Product Code],0)),"")</f>
        <v/>
      </c>
    </row>
    <row r="2043" spans="1:7" x14ac:dyDescent="0.3">
      <c r="A2043" t="s">
        <v>659</v>
      </c>
      <c r="B2043" t="s">
        <v>660</v>
      </c>
      <c r="C2043" t="s">
        <v>661</v>
      </c>
      <c r="D2043" s="7">
        <v>25</v>
      </c>
      <c r="E2043">
        <v>2020</v>
      </c>
      <c r="F2043">
        <v>2020</v>
      </c>
      <c r="G2043" t="str">
        <f>IFERROR(INDEX(Formulations[Formulation],MATCH($C2043,Formulations[Product Code],0)),"")</f>
        <v>Crystal</v>
      </c>
    </row>
    <row r="2044" spans="1:7" x14ac:dyDescent="0.3">
      <c r="A2044" t="s">
        <v>659</v>
      </c>
      <c r="B2044" t="s">
        <v>662</v>
      </c>
      <c r="C2044" t="s">
        <v>525</v>
      </c>
      <c r="D2044" s="7">
        <v>25</v>
      </c>
      <c r="E2044">
        <v>2019</v>
      </c>
      <c r="F2044">
        <v>2019</v>
      </c>
      <c r="G2044" t="str">
        <f>IFERROR(INDEX(Formulations[Formulation],MATCH($C2044,Formulations[Product Code],0)),"")</f>
        <v/>
      </c>
    </row>
    <row r="2045" spans="1:7" x14ac:dyDescent="0.3">
      <c r="A2045" t="s">
        <v>659</v>
      </c>
      <c r="B2045" t="s">
        <v>506</v>
      </c>
      <c r="C2045" t="s">
        <v>507</v>
      </c>
      <c r="D2045" s="7">
        <v>25</v>
      </c>
      <c r="E2045">
        <v>2020</v>
      </c>
      <c r="F2045">
        <v>2020</v>
      </c>
      <c r="G2045" t="str">
        <f>IFERROR(INDEX(Formulations[Formulation],MATCH($C2045,Formulations[Product Code],0)),"")</f>
        <v>Silver</v>
      </c>
    </row>
    <row r="2046" spans="1:7" x14ac:dyDescent="0.3">
      <c r="A2046" t="s">
        <v>659</v>
      </c>
      <c r="B2046" t="s">
        <v>635</v>
      </c>
      <c r="C2046" t="s">
        <v>636</v>
      </c>
      <c r="D2046" s="7">
        <v>25</v>
      </c>
      <c r="E2046">
        <v>2020</v>
      </c>
      <c r="F2046">
        <v>2020</v>
      </c>
      <c r="G2046" t="str">
        <f>IFERROR(INDEX(Formulations[Formulation],MATCH($C2046,Formulations[Product Code],0)),"")</f>
        <v>Pure</v>
      </c>
    </row>
    <row r="2047" spans="1:7" x14ac:dyDescent="0.3">
      <c r="A2047" t="s">
        <v>659</v>
      </c>
      <c r="B2047" t="s">
        <v>666</v>
      </c>
      <c r="C2047" t="s">
        <v>667</v>
      </c>
      <c r="D2047" s="7">
        <v>25</v>
      </c>
      <c r="E2047">
        <v>2019</v>
      </c>
      <c r="F2047">
        <v>2019</v>
      </c>
      <c r="G2047" t="str">
        <f>IFERROR(INDEX(Formulations[Formulation],MATCH($C2047,Formulations[Product Code],0)),"")</f>
        <v/>
      </c>
    </row>
    <row r="2048" spans="1:7" x14ac:dyDescent="0.3">
      <c r="A2048" t="s">
        <v>659</v>
      </c>
      <c r="B2048" t="s">
        <v>26</v>
      </c>
      <c r="C2048" t="s">
        <v>27</v>
      </c>
      <c r="D2048" s="7">
        <v>25</v>
      </c>
      <c r="E2048">
        <v>2019</v>
      </c>
      <c r="F2048">
        <v>2019</v>
      </c>
      <c r="G2048" t="str">
        <f>IFERROR(INDEX(Formulations[Formulation],MATCH($C2048,Formulations[Product Code],0)),"")</f>
        <v>FLOURAMAX A270578/ P782894</v>
      </c>
    </row>
    <row r="2049" spans="1:7" x14ac:dyDescent="0.3">
      <c r="A2049" t="s">
        <v>659</v>
      </c>
      <c r="B2049" t="s">
        <v>668</v>
      </c>
      <c r="C2049" t="s">
        <v>669</v>
      </c>
      <c r="D2049" s="7">
        <v>25</v>
      </c>
      <c r="E2049">
        <v>2019</v>
      </c>
      <c r="F2049">
        <v>2019</v>
      </c>
      <c r="G2049" t="str">
        <f>IFERROR(INDEX(Formulations[Formulation],MATCH($C2049,Formulations[Product Code],0)),"")</f>
        <v>Crystal</v>
      </c>
    </row>
    <row r="2050" spans="1:7" x14ac:dyDescent="0.3">
      <c r="A2050" t="s">
        <v>659</v>
      </c>
      <c r="B2050" t="s">
        <v>404</v>
      </c>
      <c r="C2050" t="s">
        <v>405</v>
      </c>
      <c r="D2050" s="7">
        <v>25</v>
      </c>
      <c r="E2050">
        <v>2019</v>
      </c>
      <c r="F2050">
        <v>2019</v>
      </c>
      <c r="G2050" t="str">
        <f>IFERROR(INDEX(Formulations[Formulation],MATCH($C2050,Formulations[Product Code],0)),"")</f>
        <v/>
      </c>
    </row>
    <row r="2051" spans="1:7" x14ac:dyDescent="0.3">
      <c r="A2051" t="s">
        <v>659</v>
      </c>
      <c r="B2051" t="s">
        <v>334</v>
      </c>
      <c r="C2051" t="s">
        <v>335</v>
      </c>
      <c r="D2051" s="7">
        <v>25</v>
      </c>
      <c r="E2051">
        <v>2019</v>
      </c>
      <c r="F2051">
        <v>2019</v>
      </c>
      <c r="G2051" t="str">
        <f>IFERROR(INDEX(Formulations[Formulation],MATCH($C2051,Formulations[Product Code],0)),"")</f>
        <v>Pure</v>
      </c>
    </row>
    <row r="2052" spans="1:7" x14ac:dyDescent="0.3">
      <c r="A2052" t="s">
        <v>659</v>
      </c>
      <c r="B2052" t="s">
        <v>674</v>
      </c>
      <c r="C2052" t="s">
        <v>675</v>
      </c>
      <c r="D2052" s="7">
        <v>25</v>
      </c>
      <c r="E2052">
        <v>2020</v>
      </c>
      <c r="F2052">
        <v>2020</v>
      </c>
      <c r="G2052" t="str">
        <f>IFERROR(INDEX(Formulations[Formulation],MATCH($C2052,Formulations[Product Code],0)),"")</f>
        <v>Crystal</v>
      </c>
    </row>
    <row r="2053" spans="1:7" x14ac:dyDescent="0.3">
      <c r="A2053" t="s">
        <v>659</v>
      </c>
      <c r="B2053" t="s">
        <v>483</v>
      </c>
      <c r="C2053" t="s">
        <v>484</v>
      </c>
      <c r="D2053" s="7">
        <v>25</v>
      </c>
      <c r="E2053">
        <v>2019</v>
      </c>
      <c r="F2053">
        <v>2019</v>
      </c>
      <c r="G2053" t="str">
        <f>IFERROR(INDEX(Formulations[Formulation],MATCH($C2053,Formulations[Product Code],0)),"")</f>
        <v>Crystal</v>
      </c>
    </row>
    <row r="2054" spans="1:7" x14ac:dyDescent="0.3">
      <c r="A2054" t="s">
        <v>659</v>
      </c>
      <c r="B2054" t="s">
        <v>320</v>
      </c>
      <c r="C2054" t="s">
        <v>414</v>
      </c>
      <c r="D2054" s="7">
        <v>25</v>
      </c>
      <c r="E2054">
        <v>2019</v>
      </c>
      <c r="F2054">
        <v>2019</v>
      </c>
      <c r="G2054" t="str">
        <f>IFERROR(INDEX(Formulations[Formulation],MATCH($C2054,Formulations[Product Code],0)),"")</f>
        <v/>
      </c>
    </row>
    <row r="2055" spans="1:7" x14ac:dyDescent="0.3">
      <c r="A2055" t="s">
        <v>659</v>
      </c>
      <c r="B2055" t="s">
        <v>677</v>
      </c>
      <c r="C2055" t="s">
        <v>678</v>
      </c>
      <c r="D2055" s="7">
        <v>25</v>
      </c>
      <c r="E2055">
        <v>2019</v>
      </c>
      <c r="F2055">
        <v>2019</v>
      </c>
      <c r="G2055" t="str">
        <f>IFERROR(INDEX(Formulations[Formulation],MATCH($C2055,Formulations[Product Code],0)),"")</f>
        <v>Pure</v>
      </c>
    </row>
    <row r="2056" spans="1:7" x14ac:dyDescent="0.3">
      <c r="A2056" t="s">
        <v>659</v>
      </c>
      <c r="B2056" t="s">
        <v>679</v>
      </c>
      <c r="C2056" t="s">
        <v>680</v>
      </c>
      <c r="D2056" s="7">
        <v>25</v>
      </c>
      <c r="E2056">
        <v>2020</v>
      </c>
      <c r="F2056">
        <v>2020</v>
      </c>
      <c r="G2056" t="str">
        <f>IFERROR(INDEX(Formulations[Formulation],MATCH($C2056,Formulations[Product Code],0)),"")</f>
        <v>Crystal</v>
      </c>
    </row>
    <row r="2057" spans="1:7" x14ac:dyDescent="0.3">
      <c r="A2057" t="s">
        <v>683</v>
      </c>
      <c r="B2057" t="s">
        <v>417</v>
      </c>
      <c r="C2057" t="s">
        <v>315</v>
      </c>
      <c r="D2057" s="7">
        <v>25</v>
      </c>
      <c r="E2057">
        <v>2013</v>
      </c>
      <c r="F2057">
        <v>2013</v>
      </c>
      <c r="G2057" t="str">
        <f>IFERROR(INDEX(Formulations[Formulation],MATCH($C2057,Formulations[Product Code],0)),"")</f>
        <v/>
      </c>
    </row>
    <row r="2058" spans="1:7" x14ac:dyDescent="0.3">
      <c r="A2058" t="s">
        <v>685</v>
      </c>
      <c r="B2058" t="s">
        <v>110</v>
      </c>
      <c r="C2058" t="s">
        <v>111</v>
      </c>
      <c r="D2058" s="7">
        <v>25</v>
      </c>
      <c r="E2058">
        <v>2021</v>
      </c>
      <c r="F2058">
        <v>2021</v>
      </c>
      <c r="G2058" t="str">
        <f>IFERROR(INDEX(Formulations[Formulation],MATCH($C2058,Formulations[Product Code],0)),"")</f>
        <v>75% Lemon Zeste, 25% lemon Top &amp; the Gold DPG)</v>
      </c>
    </row>
    <row r="2059" spans="1:7" x14ac:dyDescent="0.3">
      <c r="A2059" t="s">
        <v>685</v>
      </c>
      <c r="B2059" t="s">
        <v>483</v>
      </c>
      <c r="C2059" t="s">
        <v>484</v>
      </c>
      <c r="D2059" s="7">
        <v>25</v>
      </c>
      <c r="E2059">
        <v>2021</v>
      </c>
      <c r="F2059">
        <v>2021</v>
      </c>
      <c r="G2059" t="str">
        <f>IFERROR(INDEX(Formulations[Formulation],MATCH($C2059,Formulations[Product Code],0)),"")</f>
        <v>Crystal</v>
      </c>
    </row>
    <row r="2060" spans="1:7" x14ac:dyDescent="0.3">
      <c r="A2060" t="s">
        <v>690</v>
      </c>
      <c r="B2060" t="s">
        <v>297</v>
      </c>
      <c r="C2060" t="s">
        <v>298</v>
      </c>
      <c r="D2060" s="7">
        <v>25</v>
      </c>
      <c r="E2060">
        <v>2012</v>
      </c>
      <c r="F2060">
        <v>2012</v>
      </c>
      <c r="G2060" t="str">
        <f>IFERROR(INDEX(Formulations[Formulation],MATCH($C2060,Formulations[Product Code],0)),"")</f>
        <v>Pure</v>
      </c>
    </row>
    <row r="2061" spans="1:7" x14ac:dyDescent="0.3">
      <c r="A2061" t="s">
        <v>690</v>
      </c>
      <c r="B2061" t="s">
        <v>299</v>
      </c>
      <c r="C2061" t="s">
        <v>300</v>
      </c>
      <c r="D2061" s="7">
        <v>25</v>
      </c>
      <c r="E2061">
        <v>2010</v>
      </c>
      <c r="F2061">
        <v>2012</v>
      </c>
      <c r="G2061" t="str">
        <f>IFERROR(INDEX(Formulations[Formulation],MATCH($C2061,Formulations[Product Code],0)),"")</f>
        <v/>
      </c>
    </row>
    <row r="2062" spans="1:7" x14ac:dyDescent="0.3">
      <c r="A2062" t="s">
        <v>695</v>
      </c>
      <c r="B2062" t="s">
        <v>19</v>
      </c>
      <c r="C2062" t="s">
        <v>699</v>
      </c>
      <c r="D2062" s="7">
        <v>25</v>
      </c>
      <c r="E2062">
        <v>2016</v>
      </c>
      <c r="F2062">
        <v>2016</v>
      </c>
      <c r="G2062" t="str">
        <f>IFERROR(INDEX(Formulations[Formulation],MATCH($C2062,Formulations[Product Code],0)),"")</f>
        <v/>
      </c>
    </row>
    <row r="2063" spans="1:7" x14ac:dyDescent="0.3">
      <c r="A2063" t="s">
        <v>695</v>
      </c>
      <c r="B2063" t="s">
        <v>702</v>
      </c>
      <c r="C2063" t="s">
        <v>703</v>
      </c>
      <c r="D2063" s="7">
        <v>25</v>
      </c>
      <c r="E2063">
        <v>2019</v>
      </c>
      <c r="F2063">
        <v>2019</v>
      </c>
      <c r="G2063" t="str">
        <f>IFERROR(INDEX(Formulations[Formulation],MATCH($C2063,Formulations[Product Code],0)),"")</f>
        <v>flouramax 40%, green apple 30%, strwaberry 15%, cocoa butter 15%</v>
      </c>
    </row>
    <row r="2064" spans="1:7" x14ac:dyDescent="0.3">
      <c r="A2064" t="s">
        <v>704</v>
      </c>
      <c r="B2064" t="s">
        <v>81</v>
      </c>
      <c r="D2064" s="7">
        <v>25</v>
      </c>
      <c r="E2064">
        <v>2019</v>
      </c>
      <c r="F2064">
        <v>2019</v>
      </c>
      <c r="G2064" t="str">
        <f>IFERROR(INDEX(Formulations[Formulation],MATCH($C2064,Formulations[Product Code],0)),"")</f>
        <v/>
      </c>
    </row>
    <row r="2065" spans="1:7" x14ac:dyDescent="0.3">
      <c r="A2065" t="s">
        <v>704</v>
      </c>
      <c r="B2065" t="s">
        <v>709</v>
      </c>
      <c r="C2065" t="s">
        <v>710</v>
      </c>
      <c r="D2065" s="7">
        <v>25</v>
      </c>
      <c r="E2065">
        <v>2020</v>
      </c>
      <c r="F2065">
        <v>2020</v>
      </c>
      <c r="G2065" t="str">
        <f>IFERROR(INDEX(Formulations[Formulation],MATCH($C2065,Formulations[Product Code],0)),"")</f>
        <v>Pure</v>
      </c>
    </row>
    <row r="2066" spans="1:7" x14ac:dyDescent="0.3">
      <c r="A2066" t="s">
        <v>712</v>
      </c>
      <c r="B2066" t="s">
        <v>589</v>
      </c>
      <c r="C2066" t="s">
        <v>590</v>
      </c>
      <c r="D2066" s="7">
        <v>25</v>
      </c>
      <c r="E2066">
        <v>2021</v>
      </c>
      <c r="F2066">
        <v>2021</v>
      </c>
      <c r="G2066" t="str">
        <f>IFERROR(INDEX(Formulations[Formulation],MATCH($C2066,Formulations[Product Code],0)),"")</f>
        <v>Bakhur : A285878- 90%, A243761-10%</v>
      </c>
    </row>
    <row r="2067" spans="1:7" x14ac:dyDescent="0.3">
      <c r="A2067" t="s">
        <v>712</v>
      </c>
      <c r="B2067" t="s">
        <v>633</v>
      </c>
      <c r="C2067" t="s">
        <v>634</v>
      </c>
      <c r="D2067" s="7">
        <v>25</v>
      </c>
      <c r="E2067">
        <v>2019</v>
      </c>
      <c r="F2067">
        <v>2019</v>
      </c>
      <c r="G2067" t="str">
        <f>IFERROR(INDEX(Formulations[Formulation],MATCH($C2067,Formulations[Product Code],0)),"")</f>
        <v/>
      </c>
    </row>
    <row r="2068" spans="1:7" x14ac:dyDescent="0.3">
      <c r="A2068" t="s">
        <v>712</v>
      </c>
      <c r="B2068" t="s">
        <v>533</v>
      </c>
      <c r="C2068" t="s">
        <v>534</v>
      </c>
      <c r="D2068" s="7">
        <v>25</v>
      </c>
      <c r="E2068">
        <v>2020</v>
      </c>
      <c r="F2068">
        <v>2020</v>
      </c>
      <c r="G2068" t="str">
        <f>IFERROR(INDEX(Formulations[Formulation],MATCH($C2068,Formulations[Product Code],0)),"")</f>
        <v>Pure</v>
      </c>
    </row>
    <row r="2069" spans="1:7" x14ac:dyDescent="0.3">
      <c r="A2069" t="s">
        <v>712</v>
      </c>
      <c r="B2069" t="s">
        <v>454</v>
      </c>
      <c r="C2069" t="s">
        <v>455</v>
      </c>
      <c r="D2069" s="7">
        <v>25</v>
      </c>
      <c r="E2069">
        <v>2014</v>
      </c>
      <c r="F2069">
        <v>2014</v>
      </c>
      <c r="G2069" t="str">
        <f>IFERROR(INDEX(Formulations[Formulation],MATCH($C2069,Formulations[Product Code],0)),"")</f>
        <v>Pure</v>
      </c>
    </row>
    <row r="2070" spans="1:7" x14ac:dyDescent="0.3">
      <c r="A2070" t="s">
        <v>712</v>
      </c>
      <c r="B2070" t="s">
        <v>567</v>
      </c>
      <c r="C2070" t="s">
        <v>698</v>
      </c>
      <c r="D2070" s="7">
        <v>25</v>
      </c>
      <c r="E2070">
        <v>2016</v>
      </c>
      <c r="F2070">
        <v>2016</v>
      </c>
      <c r="G2070" t="str">
        <f>IFERROR(INDEX(Formulations[Formulation],MATCH($C2070,Formulations[Product Code],0)),"")</f>
        <v>Crystal</v>
      </c>
    </row>
    <row r="2071" spans="1:7" x14ac:dyDescent="0.3">
      <c r="A2071" t="s">
        <v>712</v>
      </c>
      <c r="B2071" t="s">
        <v>41</v>
      </c>
      <c r="C2071" t="s">
        <v>42</v>
      </c>
      <c r="D2071" s="7">
        <v>25</v>
      </c>
      <c r="E2071">
        <v>2016</v>
      </c>
      <c r="F2071">
        <v>2016</v>
      </c>
      <c r="G2071" t="str">
        <f>IFERROR(INDEX(Formulations[Formulation],MATCH($C2071,Formulations[Product Code],0)),"")</f>
        <v/>
      </c>
    </row>
    <row r="2072" spans="1:7" x14ac:dyDescent="0.3">
      <c r="A2072" t="s">
        <v>712</v>
      </c>
      <c r="B2072" t="s">
        <v>543</v>
      </c>
      <c r="C2072" t="s">
        <v>544</v>
      </c>
      <c r="D2072" s="7">
        <v>25</v>
      </c>
      <c r="E2072">
        <v>2017</v>
      </c>
      <c r="F2072">
        <v>2017</v>
      </c>
      <c r="G2072" t="str">
        <f>IFERROR(INDEX(Formulations[Formulation],MATCH($C2072,Formulations[Product Code],0)),"")</f>
        <v>Crystal</v>
      </c>
    </row>
    <row r="2073" spans="1:7" x14ac:dyDescent="0.3">
      <c r="A2073" t="s">
        <v>712</v>
      </c>
      <c r="B2073" t="s">
        <v>21</v>
      </c>
      <c r="C2073" t="s">
        <v>22</v>
      </c>
      <c r="D2073" s="7">
        <v>25</v>
      </c>
      <c r="E2073">
        <v>2016</v>
      </c>
      <c r="F2073">
        <v>2016</v>
      </c>
      <c r="G2073" t="str">
        <f>IFERROR(INDEX(Formulations[Formulation],MATCH($C2073,Formulations[Product Code],0)),"")</f>
        <v>Crystal</v>
      </c>
    </row>
    <row r="2074" spans="1:7" x14ac:dyDescent="0.3">
      <c r="A2074" t="s">
        <v>712</v>
      </c>
      <c r="B2074" t="s">
        <v>471</v>
      </c>
      <c r="C2074" t="s">
        <v>472</v>
      </c>
      <c r="D2074" s="7">
        <v>25</v>
      </c>
      <c r="E2074">
        <v>2019</v>
      </c>
      <c r="F2074">
        <v>2019</v>
      </c>
      <c r="G2074" t="str">
        <f>IFERROR(INDEX(Formulations[Formulation],MATCH($C2074,Formulations[Product Code],0)),"")</f>
        <v>Crystal</v>
      </c>
    </row>
    <row r="2075" spans="1:7" x14ac:dyDescent="0.3">
      <c r="A2075" t="s">
        <v>712</v>
      </c>
      <c r="B2075" t="s">
        <v>573</v>
      </c>
      <c r="C2075" t="s">
        <v>574</v>
      </c>
      <c r="D2075" s="7">
        <v>25</v>
      </c>
      <c r="E2075">
        <v>2018</v>
      </c>
      <c r="F2075">
        <v>2018</v>
      </c>
      <c r="G2075" t="str">
        <f>IFERROR(INDEX(Formulations[Formulation],MATCH($C2075,Formulations[Product Code],0)),"")</f>
        <v>Crystal</v>
      </c>
    </row>
    <row r="2076" spans="1:7" x14ac:dyDescent="0.3">
      <c r="A2076" t="s">
        <v>712</v>
      </c>
      <c r="B2076" t="s">
        <v>404</v>
      </c>
      <c r="C2076" t="s">
        <v>405</v>
      </c>
      <c r="D2076" s="7">
        <v>25</v>
      </c>
      <c r="E2076">
        <v>2016</v>
      </c>
      <c r="F2076">
        <v>2016</v>
      </c>
      <c r="G2076" t="str">
        <f>IFERROR(INDEX(Formulations[Formulation],MATCH($C2076,Formulations[Product Code],0)),"")</f>
        <v/>
      </c>
    </row>
    <row r="2077" spans="1:7" x14ac:dyDescent="0.3">
      <c r="A2077" t="s">
        <v>712</v>
      </c>
      <c r="B2077" t="s">
        <v>653</v>
      </c>
      <c r="C2077" t="s">
        <v>654</v>
      </c>
      <c r="D2077" s="7">
        <v>25</v>
      </c>
      <c r="E2077">
        <v>2019</v>
      </c>
      <c r="F2077">
        <v>2019</v>
      </c>
      <c r="G2077" t="str">
        <f>IFERROR(INDEX(Formulations[Formulation],MATCH($C2077,Formulations[Product Code],0)),"")</f>
        <v>Pure</v>
      </c>
    </row>
    <row r="2078" spans="1:7" x14ac:dyDescent="0.3">
      <c r="A2078" t="s">
        <v>712</v>
      </c>
      <c r="B2078" t="s">
        <v>575</v>
      </c>
      <c r="C2078" t="s">
        <v>673</v>
      </c>
      <c r="D2078" s="7">
        <v>25</v>
      </c>
      <c r="E2078">
        <v>2020</v>
      </c>
      <c r="F2078">
        <v>2020</v>
      </c>
      <c r="G2078" t="str">
        <f>IFERROR(INDEX(Formulations[Formulation],MATCH($C2078,Formulations[Product Code],0)),"")</f>
        <v>Apricot 60 % oil and 40 % dpg</v>
      </c>
    </row>
    <row r="2079" spans="1:7" x14ac:dyDescent="0.3">
      <c r="A2079" t="s">
        <v>712</v>
      </c>
      <c r="B2079" t="s">
        <v>473</v>
      </c>
      <c r="C2079" t="s">
        <v>747</v>
      </c>
      <c r="D2079" s="7">
        <v>25</v>
      </c>
      <c r="E2079">
        <v>2011</v>
      </c>
      <c r="F2079">
        <v>2011</v>
      </c>
      <c r="G2079" t="str">
        <f>IFERROR(INDEX(Formulations[Formulation],MATCH($C2079,Formulations[Product Code],0)),"")</f>
        <v/>
      </c>
    </row>
    <row r="2080" spans="1:7" x14ac:dyDescent="0.3">
      <c r="A2080" t="s">
        <v>712</v>
      </c>
      <c r="B2080" t="s">
        <v>752</v>
      </c>
      <c r="C2080" t="s">
        <v>753</v>
      </c>
      <c r="D2080" s="7">
        <v>25</v>
      </c>
      <c r="E2080">
        <v>2017</v>
      </c>
      <c r="F2080">
        <v>2017</v>
      </c>
      <c r="G2080" t="str">
        <f>IFERROR(INDEX(Formulations[Formulation],MATCH($C2080,Formulations[Product Code],0)),"")</f>
        <v/>
      </c>
    </row>
    <row r="2081" spans="1:7" x14ac:dyDescent="0.3">
      <c r="A2081" t="s">
        <v>712</v>
      </c>
      <c r="B2081" t="s">
        <v>756</v>
      </c>
      <c r="C2081" t="s">
        <v>757</v>
      </c>
      <c r="D2081" s="7">
        <v>25</v>
      </c>
      <c r="E2081">
        <v>2011</v>
      </c>
      <c r="F2081">
        <v>2011</v>
      </c>
      <c r="G2081" t="str">
        <f>IFERROR(INDEX(Formulations[Formulation],MATCH($C2081,Formulations[Product Code],0)),"")</f>
        <v/>
      </c>
    </row>
    <row r="2082" spans="1:7" x14ac:dyDescent="0.3">
      <c r="A2082" t="s">
        <v>712</v>
      </c>
      <c r="B2082" t="s">
        <v>758</v>
      </c>
      <c r="C2082" t="s">
        <v>759</v>
      </c>
      <c r="D2082" s="7">
        <v>25</v>
      </c>
      <c r="E2082">
        <v>2014</v>
      </c>
      <c r="F2082">
        <v>2014</v>
      </c>
      <c r="G2082" t="str">
        <f>IFERROR(INDEX(Formulations[Formulation],MATCH($C2082,Formulations[Product Code],0)),"")</f>
        <v>Pure</v>
      </c>
    </row>
    <row r="2083" spans="1:7" x14ac:dyDescent="0.3">
      <c r="A2083" t="s">
        <v>760</v>
      </c>
      <c r="B2083" t="s">
        <v>438</v>
      </c>
      <c r="C2083" t="s">
        <v>439</v>
      </c>
      <c r="D2083" s="7">
        <v>25</v>
      </c>
      <c r="E2083">
        <v>2017</v>
      </c>
      <c r="F2083">
        <v>2017</v>
      </c>
      <c r="G2083" t="str">
        <f>IFERROR(INDEX(Formulations[Formulation],MATCH($C2083,Formulations[Product Code],0)),"")</f>
        <v>Pure</v>
      </c>
    </row>
    <row r="2084" spans="1:7" x14ac:dyDescent="0.3">
      <c r="A2084" t="s">
        <v>765</v>
      </c>
      <c r="B2084" t="s">
        <v>766</v>
      </c>
      <c r="D2084" s="7">
        <v>25</v>
      </c>
      <c r="E2084">
        <v>2021</v>
      </c>
      <c r="F2084">
        <v>2021</v>
      </c>
      <c r="G2084" t="str">
        <f>IFERROR(INDEX(Formulations[Formulation],MATCH($C2084,Formulations[Product Code],0)),"")</f>
        <v/>
      </c>
    </row>
    <row r="2085" spans="1:7" x14ac:dyDescent="0.3">
      <c r="A2085" t="s">
        <v>775</v>
      </c>
      <c r="B2085" t="s">
        <v>734</v>
      </c>
      <c r="C2085" t="s">
        <v>735</v>
      </c>
      <c r="D2085" s="7">
        <v>25</v>
      </c>
      <c r="E2085">
        <v>2015</v>
      </c>
      <c r="F2085">
        <v>2015</v>
      </c>
      <c r="G2085" t="str">
        <f>IFERROR(INDEX(Formulations[Formulation],MATCH($C2085,Formulations[Product Code],0)),"")</f>
        <v/>
      </c>
    </row>
    <row r="2086" spans="1:7" x14ac:dyDescent="0.3">
      <c r="A2086" t="s">
        <v>775</v>
      </c>
      <c r="B2086" t="s">
        <v>41</v>
      </c>
      <c r="C2086" t="s">
        <v>776</v>
      </c>
      <c r="D2086" s="7">
        <v>25</v>
      </c>
      <c r="E2086">
        <v>2016</v>
      </c>
      <c r="F2086">
        <v>2016</v>
      </c>
      <c r="G2086" t="str">
        <f>IFERROR(INDEX(Formulations[Formulation],MATCH($C2086,Formulations[Product Code],0)),"")</f>
        <v/>
      </c>
    </row>
    <row r="2087" spans="1:7" x14ac:dyDescent="0.3">
      <c r="A2087" t="s">
        <v>775</v>
      </c>
      <c r="B2087" t="s">
        <v>438</v>
      </c>
      <c r="C2087" t="s">
        <v>439</v>
      </c>
      <c r="D2087" s="7">
        <v>25</v>
      </c>
      <c r="E2087">
        <v>2017</v>
      </c>
      <c r="F2087">
        <v>2017</v>
      </c>
      <c r="G2087" t="str">
        <f>IFERROR(INDEX(Formulations[Formulation],MATCH($C2087,Formulations[Product Code],0)),"")</f>
        <v>Pure</v>
      </c>
    </row>
    <row r="2088" spans="1:7" x14ac:dyDescent="0.3">
      <c r="A2088" t="s">
        <v>775</v>
      </c>
      <c r="B2088" t="s">
        <v>12</v>
      </c>
      <c r="C2088" t="s">
        <v>13</v>
      </c>
      <c r="D2088" s="7">
        <v>25</v>
      </c>
      <c r="E2088">
        <v>2015</v>
      </c>
      <c r="F2088">
        <v>2015</v>
      </c>
      <c r="G2088" t="str">
        <f>IFERROR(INDEX(Formulations[Formulation],MATCH($C2088,Formulations[Product Code],0)),"")</f>
        <v>Crystal</v>
      </c>
    </row>
    <row r="2089" spans="1:7" x14ac:dyDescent="0.3">
      <c r="A2089" t="s">
        <v>781</v>
      </c>
      <c r="B2089" t="s">
        <v>265</v>
      </c>
      <c r="C2089" t="s">
        <v>197</v>
      </c>
      <c r="D2089" s="7">
        <v>25</v>
      </c>
      <c r="E2089">
        <v>2019</v>
      </c>
      <c r="F2089">
        <v>2019</v>
      </c>
      <c r="G2089" t="str">
        <f>IFERROR(INDEX(Formulations[Formulation],MATCH($C2089,Formulations[Product Code],0)),"")</f>
        <v/>
      </c>
    </row>
    <row r="2090" spans="1:7" x14ac:dyDescent="0.3">
      <c r="A2090" t="s">
        <v>803</v>
      </c>
      <c r="B2090" t="s">
        <v>318</v>
      </c>
      <c r="C2090" t="s">
        <v>319</v>
      </c>
      <c r="D2090" s="7">
        <v>25</v>
      </c>
      <c r="E2090">
        <v>2013</v>
      </c>
      <c r="F2090">
        <v>2013</v>
      </c>
      <c r="G2090" t="str">
        <f>IFERROR(INDEX(Formulations[Formulation],MATCH($C2090,Formulations[Product Code],0)),"")</f>
        <v>Pure</v>
      </c>
    </row>
    <row r="2091" spans="1:7" x14ac:dyDescent="0.3">
      <c r="A2091" t="s">
        <v>808</v>
      </c>
      <c r="B2091" t="s">
        <v>809</v>
      </c>
      <c r="C2091" t="s">
        <v>810</v>
      </c>
      <c r="D2091" s="7">
        <v>25</v>
      </c>
      <c r="E2091">
        <v>2018</v>
      </c>
      <c r="F2091">
        <v>2018</v>
      </c>
      <c r="G2091" t="str">
        <f>IFERROR(INDEX(Formulations[Formulation],MATCH($C2091,Formulations[Product Code],0)),"")</f>
        <v>Silver</v>
      </c>
    </row>
    <row r="2092" spans="1:7" x14ac:dyDescent="0.3">
      <c r="A2092" t="s">
        <v>815</v>
      </c>
      <c r="B2092" t="s">
        <v>671</v>
      </c>
      <c r="C2092" t="s">
        <v>672</v>
      </c>
      <c r="D2092" s="7">
        <v>25</v>
      </c>
      <c r="E2092">
        <v>2020</v>
      </c>
      <c r="F2092">
        <v>2020</v>
      </c>
      <c r="G2092" t="str">
        <f>IFERROR(INDEX(Formulations[Formulation],MATCH($C2092,Formulations[Product Code],0)),"")</f>
        <v>Pure</v>
      </c>
    </row>
    <row r="2093" spans="1:7" x14ac:dyDescent="0.3">
      <c r="A2093" t="s">
        <v>829</v>
      </c>
      <c r="B2093" t="s">
        <v>830</v>
      </c>
      <c r="C2093" t="s">
        <v>831</v>
      </c>
      <c r="D2093" s="7">
        <v>25</v>
      </c>
      <c r="E2093">
        <v>2019</v>
      </c>
      <c r="F2093">
        <v>2019</v>
      </c>
      <c r="G2093" t="str">
        <f>IFERROR(INDEX(Formulations[Formulation],MATCH($C2093,Formulations[Product Code],0)),"")</f>
        <v>Crystal</v>
      </c>
    </row>
    <row r="2094" spans="1:7" x14ac:dyDescent="0.3">
      <c r="A2094" t="s">
        <v>829</v>
      </c>
      <c r="B2094" t="s">
        <v>665</v>
      </c>
      <c r="D2094" s="7">
        <v>25</v>
      </c>
      <c r="E2094">
        <v>2019</v>
      </c>
      <c r="F2094">
        <v>2019</v>
      </c>
      <c r="G2094" t="str">
        <f>IFERROR(INDEX(Formulations[Formulation],MATCH($C2094,Formulations[Product Code],0)),"")</f>
        <v/>
      </c>
    </row>
    <row r="2095" spans="1:7" x14ac:dyDescent="0.3">
      <c r="A2095" t="s">
        <v>829</v>
      </c>
      <c r="B2095" t="s">
        <v>649</v>
      </c>
      <c r="C2095" t="s">
        <v>650</v>
      </c>
      <c r="D2095" s="7">
        <v>25</v>
      </c>
      <c r="E2095">
        <v>2021</v>
      </c>
      <c r="F2095">
        <v>2021</v>
      </c>
      <c r="G2095" t="str">
        <f>IFERROR(INDEX(Formulations[Formulation],MATCH($C2095,Formulations[Product Code],0)),"")</f>
        <v>Pure</v>
      </c>
    </row>
    <row r="2096" spans="1:7" x14ac:dyDescent="0.3">
      <c r="A2096" t="s">
        <v>829</v>
      </c>
      <c r="B2096" t="s">
        <v>839</v>
      </c>
      <c r="C2096" t="s">
        <v>138</v>
      </c>
      <c r="D2096" s="7">
        <v>25</v>
      </c>
      <c r="E2096">
        <v>2020</v>
      </c>
      <c r="F2096">
        <v>2020</v>
      </c>
      <c r="G2096" t="str">
        <f>IFERROR(INDEX(Formulations[Formulation],MATCH($C2096,Formulations[Product Code],0)),"")</f>
        <v>WS</v>
      </c>
    </row>
    <row r="2097" spans="1:7" x14ac:dyDescent="0.3">
      <c r="A2097" t="s">
        <v>842</v>
      </c>
      <c r="B2097" t="s">
        <v>560</v>
      </c>
      <c r="C2097" t="s">
        <v>561</v>
      </c>
      <c r="D2097" s="7">
        <v>25</v>
      </c>
      <c r="E2097">
        <v>2010</v>
      </c>
      <c r="F2097">
        <v>2010</v>
      </c>
      <c r="G2097" t="str">
        <f>IFERROR(INDEX(Formulations[Formulation],MATCH($C2097,Formulations[Product Code],0)),"")</f>
        <v/>
      </c>
    </row>
    <row r="2098" spans="1:7" x14ac:dyDescent="0.3">
      <c r="A2098" t="s">
        <v>842</v>
      </c>
      <c r="B2098" t="s">
        <v>853</v>
      </c>
      <c r="C2098" t="s">
        <v>854</v>
      </c>
      <c r="D2098" s="7">
        <v>25</v>
      </c>
      <c r="E2098">
        <v>2010</v>
      </c>
      <c r="F2098">
        <v>2010</v>
      </c>
      <c r="G2098" t="str">
        <f>IFERROR(INDEX(Formulations[Formulation],MATCH($C2098,Formulations[Product Code],0)),"")</f>
        <v/>
      </c>
    </row>
    <row r="2099" spans="1:7" x14ac:dyDescent="0.3">
      <c r="A2099" t="s">
        <v>842</v>
      </c>
      <c r="B2099" t="s">
        <v>855</v>
      </c>
      <c r="C2099" t="s">
        <v>856</v>
      </c>
      <c r="D2099" s="7">
        <v>25</v>
      </c>
      <c r="E2099">
        <v>2010</v>
      </c>
      <c r="F2099">
        <v>2010</v>
      </c>
      <c r="G2099" t="str">
        <f>IFERROR(INDEX(Formulations[Formulation],MATCH($C2099,Formulations[Product Code],0)),"")</f>
        <v/>
      </c>
    </row>
    <row r="2100" spans="1:7" x14ac:dyDescent="0.3">
      <c r="A2100" t="s">
        <v>860</v>
      </c>
      <c r="B2100" t="s">
        <v>19</v>
      </c>
      <c r="C2100" t="s">
        <v>670</v>
      </c>
      <c r="D2100" s="7">
        <v>25</v>
      </c>
      <c r="E2100">
        <v>2020</v>
      </c>
      <c r="F2100">
        <v>2020</v>
      </c>
      <c r="G2100" t="str">
        <f>IFERROR(INDEX(Formulations[Formulation],MATCH($C2100,Formulations[Product Code],0)),"")</f>
        <v>Crystal</v>
      </c>
    </row>
    <row r="2101" spans="1:7" x14ac:dyDescent="0.3">
      <c r="A2101" t="s">
        <v>873</v>
      </c>
      <c r="B2101" t="s">
        <v>19</v>
      </c>
      <c r="C2101" t="s">
        <v>20</v>
      </c>
      <c r="D2101" s="7">
        <v>25</v>
      </c>
      <c r="E2101">
        <v>2013</v>
      </c>
      <c r="F2101">
        <v>2013</v>
      </c>
      <c r="G2101" t="str">
        <f>IFERROR(INDEX(Formulations[Formulation],MATCH($C2101,Formulations[Product Code],0)),"")</f>
        <v>80 % Oil AND 20 % DPG</v>
      </c>
    </row>
    <row r="2102" spans="1:7" x14ac:dyDescent="0.3">
      <c r="A2102" t="s">
        <v>874</v>
      </c>
      <c r="B2102" t="s">
        <v>875</v>
      </c>
      <c r="D2102" s="7">
        <v>25</v>
      </c>
      <c r="E2102">
        <v>2021</v>
      </c>
      <c r="F2102">
        <v>2021</v>
      </c>
      <c r="G2102" t="str">
        <f>IFERROR(INDEX(Formulations[Formulation],MATCH($C2102,Formulations[Product Code],0)),"")</f>
        <v/>
      </c>
    </row>
    <row r="2103" spans="1:7" x14ac:dyDescent="0.3">
      <c r="A2103" t="s">
        <v>877</v>
      </c>
      <c r="B2103" t="s">
        <v>189</v>
      </c>
      <c r="D2103" s="7">
        <v>25</v>
      </c>
      <c r="E2103">
        <v>2021</v>
      </c>
      <c r="F2103">
        <v>2021</v>
      </c>
      <c r="G2103" t="str">
        <f>IFERROR(INDEX(Formulations[Formulation],MATCH($C2103,Formulations[Product Code],0)),"")</f>
        <v/>
      </c>
    </row>
    <row r="2104" spans="1:7" x14ac:dyDescent="0.3">
      <c r="A2104" t="s">
        <v>884</v>
      </c>
      <c r="B2104" t="s">
        <v>82</v>
      </c>
      <c r="C2104" t="s">
        <v>83</v>
      </c>
      <c r="D2104" s="7">
        <v>25</v>
      </c>
      <c r="E2104">
        <v>2018</v>
      </c>
      <c r="F2104">
        <v>2018</v>
      </c>
      <c r="G2104" t="str">
        <f>IFERROR(INDEX(Formulations[Formulation],MATCH($C2104,Formulations[Product Code],0)),"")</f>
        <v>Pure</v>
      </c>
    </row>
    <row r="2105" spans="1:7" x14ac:dyDescent="0.3">
      <c r="A2105" t="s">
        <v>884</v>
      </c>
      <c r="B2105" t="s">
        <v>885</v>
      </c>
      <c r="D2105" s="7">
        <v>25</v>
      </c>
      <c r="E2105">
        <v>2017</v>
      </c>
      <c r="F2105">
        <v>2017</v>
      </c>
      <c r="G2105" t="str">
        <f>IFERROR(INDEX(Formulations[Formulation],MATCH($C2105,Formulations[Product Code],0)),"")</f>
        <v/>
      </c>
    </row>
    <row r="2106" spans="1:7" x14ac:dyDescent="0.3">
      <c r="A2106" t="s">
        <v>887</v>
      </c>
      <c r="B2106" t="s">
        <v>276</v>
      </c>
      <c r="C2106" t="s">
        <v>277</v>
      </c>
      <c r="D2106" s="7">
        <v>25</v>
      </c>
      <c r="E2106">
        <v>2016</v>
      </c>
      <c r="F2106">
        <v>2016</v>
      </c>
      <c r="G2106" t="str">
        <f>IFERROR(INDEX(Formulations[Formulation],MATCH($C2106,Formulations[Product Code],0)),"")</f>
        <v>Pure</v>
      </c>
    </row>
    <row r="2107" spans="1:7" x14ac:dyDescent="0.3">
      <c r="A2107" t="s">
        <v>887</v>
      </c>
      <c r="B2107" t="s">
        <v>219</v>
      </c>
      <c r="C2107" t="s">
        <v>220</v>
      </c>
      <c r="D2107" s="7">
        <v>25</v>
      </c>
      <c r="E2107">
        <v>2011</v>
      </c>
      <c r="F2107">
        <v>2011</v>
      </c>
      <c r="G2107" t="str">
        <f>IFERROR(INDEX(Formulations[Formulation],MATCH($C2107,Formulations[Product Code],0)),"")</f>
        <v/>
      </c>
    </row>
    <row r="2108" spans="1:7" x14ac:dyDescent="0.3">
      <c r="A2108" t="s">
        <v>887</v>
      </c>
      <c r="B2108" t="s">
        <v>893</v>
      </c>
      <c r="C2108" t="s">
        <v>894</v>
      </c>
      <c r="D2108" s="7">
        <v>25</v>
      </c>
      <c r="E2108">
        <v>2015</v>
      </c>
      <c r="F2108">
        <v>2015</v>
      </c>
      <c r="G2108" t="str">
        <f>IFERROR(INDEX(Formulations[Formulation],MATCH($C2108,Formulations[Product Code],0)),"")</f>
        <v/>
      </c>
    </row>
    <row r="2109" spans="1:7" x14ac:dyDescent="0.3">
      <c r="A2109" t="s">
        <v>887</v>
      </c>
      <c r="B2109" t="s">
        <v>112</v>
      </c>
      <c r="C2109" t="s">
        <v>113</v>
      </c>
      <c r="D2109" s="7">
        <v>25</v>
      </c>
      <c r="E2109">
        <v>2015</v>
      </c>
      <c r="F2109">
        <v>2015</v>
      </c>
      <c r="G2109" t="str">
        <f>IFERROR(INDEX(Formulations[Formulation],MATCH($C2109,Formulations[Product Code],0)),"")</f>
        <v/>
      </c>
    </row>
    <row r="2110" spans="1:7" x14ac:dyDescent="0.3">
      <c r="A2110" t="s">
        <v>887</v>
      </c>
      <c r="B2110" t="s">
        <v>897</v>
      </c>
      <c r="C2110" t="s">
        <v>898</v>
      </c>
      <c r="D2110" s="7">
        <v>25</v>
      </c>
      <c r="E2110">
        <v>2010</v>
      </c>
      <c r="F2110">
        <v>2010</v>
      </c>
      <c r="G2110" t="str">
        <f>IFERROR(INDEX(Formulations[Formulation],MATCH($C2110,Formulations[Product Code],0)),"")</f>
        <v/>
      </c>
    </row>
    <row r="2111" spans="1:7" x14ac:dyDescent="0.3">
      <c r="A2111" t="s">
        <v>887</v>
      </c>
      <c r="B2111" t="s">
        <v>899</v>
      </c>
      <c r="C2111" t="s">
        <v>900</v>
      </c>
      <c r="D2111" s="7">
        <v>25</v>
      </c>
      <c r="E2111">
        <v>2011</v>
      </c>
      <c r="F2111">
        <v>2011</v>
      </c>
      <c r="G2111" t="str">
        <f>IFERROR(INDEX(Formulations[Formulation],MATCH($C2111,Formulations[Product Code],0)),"")</f>
        <v/>
      </c>
    </row>
    <row r="2112" spans="1:7" x14ac:dyDescent="0.3">
      <c r="A2112" t="s">
        <v>887</v>
      </c>
      <c r="B2112" t="s">
        <v>901</v>
      </c>
      <c r="C2112" t="s">
        <v>77</v>
      </c>
      <c r="D2112" s="7">
        <v>25</v>
      </c>
      <c r="E2112">
        <v>2012</v>
      </c>
      <c r="F2112">
        <v>2012</v>
      </c>
      <c r="G2112" t="str">
        <f>IFERROR(INDEX(Formulations[Formulation],MATCH($C2112,Formulations[Product Code],0)),"")</f>
        <v>Silver</v>
      </c>
    </row>
    <row r="2113" spans="1:7" x14ac:dyDescent="0.3">
      <c r="A2113" t="s">
        <v>904</v>
      </c>
      <c r="B2113" t="s">
        <v>905</v>
      </c>
      <c r="C2113" t="s">
        <v>906</v>
      </c>
      <c r="D2113" s="7">
        <v>25</v>
      </c>
      <c r="E2113">
        <v>2012</v>
      </c>
      <c r="F2113">
        <v>2012</v>
      </c>
      <c r="G2113" t="str">
        <f>IFERROR(INDEX(Formulations[Formulation],MATCH($C2113,Formulations[Product Code],0)),"")</f>
        <v/>
      </c>
    </row>
    <row r="2114" spans="1:7" x14ac:dyDescent="0.3">
      <c r="A2114" t="s">
        <v>904</v>
      </c>
      <c r="B2114" t="s">
        <v>734</v>
      </c>
      <c r="C2114" t="s">
        <v>735</v>
      </c>
      <c r="D2114" s="7">
        <v>25</v>
      </c>
      <c r="E2114">
        <v>2012</v>
      </c>
      <c r="F2114">
        <v>2012</v>
      </c>
      <c r="G2114" t="str">
        <f>IFERROR(INDEX(Formulations[Formulation],MATCH($C2114,Formulations[Product Code],0)),"")</f>
        <v/>
      </c>
    </row>
    <row r="2115" spans="1:7" x14ac:dyDescent="0.3">
      <c r="A2115" t="s">
        <v>904</v>
      </c>
      <c r="B2115" t="s">
        <v>19</v>
      </c>
      <c r="C2115" t="s">
        <v>20</v>
      </c>
      <c r="D2115" s="7">
        <v>25</v>
      </c>
      <c r="E2115">
        <v>2013</v>
      </c>
      <c r="F2115">
        <v>2013</v>
      </c>
      <c r="G2115" t="str">
        <f>IFERROR(INDEX(Formulations[Formulation],MATCH($C2115,Formulations[Product Code],0)),"")</f>
        <v>80 % Oil AND 20 % DPG</v>
      </c>
    </row>
    <row r="2116" spans="1:7" x14ac:dyDescent="0.3">
      <c r="A2116" t="s">
        <v>904</v>
      </c>
      <c r="B2116" t="s">
        <v>269</v>
      </c>
      <c r="C2116" t="s">
        <v>270</v>
      </c>
      <c r="D2116" s="7">
        <v>25</v>
      </c>
      <c r="E2116">
        <v>2019</v>
      </c>
      <c r="F2116">
        <v>2019</v>
      </c>
      <c r="G2116" t="str">
        <f>IFERROR(INDEX(Formulations[Formulation],MATCH($C2116,Formulations[Product Code],0)),"")</f>
        <v>Pure</v>
      </c>
    </row>
    <row r="2117" spans="1:7" x14ac:dyDescent="0.3">
      <c r="A2117" t="s">
        <v>904</v>
      </c>
      <c r="B2117" t="s">
        <v>41</v>
      </c>
      <c r="C2117" t="s">
        <v>908</v>
      </c>
      <c r="D2117" s="7">
        <v>25</v>
      </c>
      <c r="E2117">
        <v>2012</v>
      </c>
      <c r="F2117">
        <v>2012</v>
      </c>
      <c r="G2117" t="str">
        <f>IFERROR(INDEX(Formulations[Formulation],MATCH($C2117,Formulations[Product Code],0)),"")</f>
        <v/>
      </c>
    </row>
    <row r="2118" spans="1:7" x14ac:dyDescent="0.3">
      <c r="A2118" t="s">
        <v>904</v>
      </c>
      <c r="B2118" t="s">
        <v>915</v>
      </c>
      <c r="C2118" t="s">
        <v>916</v>
      </c>
      <c r="D2118" s="7">
        <v>25</v>
      </c>
      <c r="E2118">
        <v>2015</v>
      </c>
      <c r="F2118">
        <v>2015</v>
      </c>
      <c r="G2118" t="str">
        <f>IFERROR(INDEX(Formulations[Formulation],MATCH($C2118,Formulations[Product Code],0)),"")</f>
        <v>Crystal</v>
      </c>
    </row>
    <row r="2119" spans="1:7" x14ac:dyDescent="0.3">
      <c r="A2119" t="s">
        <v>917</v>
      </c>
      <c r="B2119" t="s">
        <v>41</v>
      </c>
      <c r="C2119" t="s">
        <v>918</v>
      </c>
      <c r="D2119" s="7">
        <v>25</v>
      </c>
      <c r="E2119">
        <v>2011</v>
      </c>
      <c r="F2119">
        <v>2011</v>
      </c>
      <c r="G2119" t="str">
        <f>IFERROR(INDEX(Formulations[Formulation],MATCH($C2119,Formulations[Product Code],0)),"")</f>
        <v/>
      </c>
    </row>
    <row r="2120" spans="1:7" x14ac:dyDescent="0.3">
      <c r="A2120" t="s">
        <v>923</v>
      </c>
      <c r="B2120" t="s">
        <v>719</v>
      </c>
      <c r="C2120" t="s">
        <v>925</v>
      </c>
      <c r="D2120" s="7">
        <v>25</v>
      </c>
      <c r="E2120">
        <v>2019</v>
      </c>
      <c r="F2120">
        <v>2019</v>
      </c>
      <c r="G2120" t="str">
        <f>IFERROR(INDEX(Formulations[Formulation],MATCH($C2120,Formulations[Product Code],0)),"")</f>
        <v/>
      </c>
    </row>
    <row r="2121" spans="1:7" x14ac:dyDescent="0.3">
      <c r="A2121" t="s">
        <v>923</v>
      </c>
      <c r="B2121" t="s">
        <v>219</v>
      </c>
      <c r="C2121" t="s">
        <v>220</v>
      </c>
      <c r="D2121" s="7">
        <v>25</v>
      </c>
      <c r="E2121">
        <v>2018</v>
      </c>
      <c r="F2121">
        <v>2018</v>
      </c>
      <c r="G2121" t="str">
        <f>IFERROR(INDEX(Formulations[Formulation],MATCH($C2121,Formulations[Product Code],0)),"")</f>
        <v/>
      </c>
    </row>
    <row r="2122" spans="1:7" x14ac:dyDescent="0.3">
      <c r="A2122" t="s">
        <v>923</v>
      </c>
      <c r="B2122" t="s">
        <v>101</v>
      </c>
      <c r="C2122" t="s">
        <v>102</v>
      </c>
      <c r="D2122" s="7">
        <v>25</v>
      </c>
      <c r="E2122">
        <v>2018</v>
      </c>
      <c r="F2122">
        <v>2018</v>
      </c>
      <c r="G2122" t="str">
        <f>IFERROR(INDEX(Formulations[Formulation],MATCH($C2122,Formulations[Product Code],0)),"")</f>
        <v>Gold</v>
      </c>
    </row>
    <row r="2123" spans="1:7" x14ac:dyDescent="0.3">
      <c r="A2123" t="s">
        <v>923</v>
      </c>
      <c r="B2123" t="s">
        <v>922</v>
      </c>
      <c r="D2123" s="7">
        <v>25</v>
      </c>
      <c r="E2123">
        <v>2017</v>
      </c>
      <c r="F2123">
        <v>2017</v>
      </c>
      <c r="G2123" t="str">
        <f>IFERROR(INDEX(Formulations[Formulation],MATCH($C2123,Formulations[Product Code],0)),"")</f>
        <v/>
      </c>
    </row>
    <row r="2124" spans="1:7" x14ac:dyDescent="0.3">
      <c r="A2124" t="s">
        <v>923</v>
      </c>
      <c r="B2124" t="s">
        <v>425</v>
      </c>
      <c r="C2124" t="s">
        <v>426</v>
      </c>
      <c r="D2124" s="7">
        <v>25</v>
      </c>
      <c r="E2124">
        <v>2016</v>
      </c>
      <c r="F2124">
        <v>2016</v>
      </c>
      <c r="G2124" t="str">
        <f>IFERROR(INDEX(Formulations[Formulation],MATCH($C2124,Formulations[Product Code],0)),"")</f>
        <v/>
      </c>
    </row>
    <row r="2125" spans="1:7" x14ac:dyDescent="0.3">
      <c r="A2125" t="s">
        <v>923</v>
      </c>
      <c r="B2125" t="s">
        <v>584</v>
      </c>
      <c r="C2125" t="s">
        <v>413</v>
      </c>
      <c r="D2125" s="7">
        <v>25</v>
      </c>
      <c r="E2125">
        <v>2017</v>
      </c>
      <c r="F2125">
        <v>2017</v>
      </c>
      <c r="G2125" t="str">
        <f>IFERROR(INDEX(Formulations[Formulation],MATCH($C2125,Formulations[Product Code],0)),"")</f>
        <v>40% oil &amp; 60 % DPG</v>
      </c>
    </row>
    <row r="2126" spans="1:7" x14ac:dyDescent="0.3">
      <c r="A2126" t="s">
        <v>941</v>
      </c>
      <c r="B2126" t="s">
        <v>610</v>
      </c>
      <c r="C2126" t="s">
        <v>611</v>
      </c>
      <c r="D2126" s="7">
        <v>25</v>
      </c>
      <c r="E2126">
        <v>2016</v>
      </c>
      <c r="F2126">
        <v>2016</v>
      </c>
      <c r="G2126" t="str">
        <f>IFERROR(INDEX(Formulations[Formulation],MATCH($C2126,Formulations[Product Code],0)),"")</f>
        <v/>
      </c>
    </row>
    <row r="2127" spans="1:7" x14ac:dyDescent="0.3">
      <c r="A2127" t="s">
        <v>941</v>
      </c>
      <c r="B2127" t="s">
        <v>643</v>
      </c>
      <c r="C2127" t="s">
        <v>644</v>
      </c>
      <c r="D2127" s="7">
        <v>25</v>
      </c>
      <c r="E2127">
        <v>2018</v>
      </c>
      <c r="F2127">
        <v>2018</v>
      </c>
      <c r="G2127" t="str">
        <f>IFERROR(INDEX(Formulations[Formulation],MATCH($C2127,Formulations[Product Code],0)),"")</f>
        <v>Crystal</v>
      </c>
    </row>
    <row r="2128" spans="1:7" x14ac:dyDescent="0.3">
      <c r="A2128" t="s">
        <v>941</v>
      </c>
      <c r="B2128" t="s">
        <v>575</v>
      </c>
      <c r="C2128" t="s">
        <v>673</v>
      </c>
      <c r="D2128" s="7">
        <v>25</v>
      </c>
      <c r="E2128">
        <v>2017</v>
      </c>
      <c r="F2128">
        <v>2018</v>
      </c>
      <c r="G2128" t="str">
        <f>IFERROR(INDEX(Formulations[Formulation],MATCH($C2128,Formulations[Product Code],0)),"")</f>
        <v>Apricot 60 % oil and 40 % dpg</v>
      </c>
    </row>
    <row r="2129" spans="1:7" x14ac:dyDescent="0.3">
      <c r="A2129" t="s">
        <v>941</v>
      </c>
      <c r="B2129" t="s">
        <v>192</v>
      </c>
      <c r="C2129" t="s">
        <v>193</v>
      </c>
      <c r="D2129" s="7">
        <v>25</v>
      </c>
      <c r="E2129">
        <v>2019</v>
      </c>
      <c r="F2129">
        <v>2019</v>
      </c>
      <c r="G2129" t="str">
        <f>IFERROR(INDEX(Formulations[Formulation],MATCH($C2129,Formulations[Product Code],0)),"")</f>
        <v>Red Grape 50%/ Fruity Smoothie 30% /Green Apple 20% /than make 60% oil</v>
      </c>
    </row>
    <row r="2130" spans="1:7" x14ac:dyDescent="0.3">
      <c r="A2130" t="s">
        <v>941</v>
      </c>
      <c r="B2130" t="s">
        <v>314</v>
      </c>
      <c r="C2130" t="s">
        <v>475</v>
      </c>
      <c r="D2130" s="7">
        <v>25</v>
      </c>
      <c r="E2130">
        <v>2016</v>
      </c>
      <c r="F2130">
        <v>2016</v>
      </c>
      <c r="G2130" t="str">
        <f>IFERROR(INDEX(Formulations[Formulation],MATCH($C2130,Formulations[Product Code],0)),"")</f>
        <v>Crystal</v>
      </c>
    </row>
    <row r="2131" spans="1:7" x14ac:dyDescent="0.3">
      <c r="A2131" t="s">
        <v>944</v>
      </c>
      <c r="B2131" t="s">
        <v>971</v>
      </c>
      <c r="D2131" s="7">
        <v>25</v>
      </c>
      <c r="E2131">
        <v>2010</v>
      </c>
      <c r="F2131">
        <v>2010</v>
      </c>
      <c r="G2131" t="str">
        <f>IFERROR(INDEX(Formulations[Formulation],MATCH($C2131,Formulations[Product Code],0)),"")</f>
        <v/>
      </c>
    </row>
    <row r="2132" spans="1:7" x14ac:dyDescent="0.3">
      <c r="A2132" t="s">
        <v>993</v>
      </c>
      <c r="B2132" t="s">
        <v>174</v>
      </c>
      <c r="C2132" t="s">
        <v>175</v>
      </c>
      <c r="D2132" s="7">
        <v>25</v>
      </c>
      <c r="E2132">
        <v>2017</v>
      </c>
      <c r="F2132">
        <v>2019</v>
      </c>
      <c r="G2132" t="str">
        <f>IFERROR(INDEX(Formulations[Formulation],MATCH($C2132,Formulations[Product Code],0)),"")</f>
        <v/>
      </c>
    </row>
    <row r="2133" spans="1:7" x14ac:dyDescent="0.3">
      <c r="A2133" t="s">
        <v>993</v>
      </c>
      <c r="B2133" t="s">
        <v>396</v>
      </c>
      <c r="C2133" t="s">
        <v>397</v>
      </c>
      <c r="D2133" s="7">
        <v>25</v>
      </c>
      <c r="E2133">
        <v>2018</v>
      </c>
      <c r="F2133">
        <v>2018</v>
      </c>
      <c r="G2133" t="str">
        <f>IFERROR(INDEX(Formulations[Formulation],MATCH($C2133,Formulations[Product Code],0)),"")</f>
        <v/>
      </c>
    </row>
    <row r="2134" spans="1:7" x14ac:dyDescent="0.3">
      <c r="A2134" t="s">
        <v>993</v>
      </c>
      <c r="B2134" t="s">
        <v>184</v>
      </c>
      <c r="C2134" t="s">
        <v>185</v>
      </c>
      <c r="D2134" s="7">
        <v>25</v>
      </c>
      <c r="E2134">
        <v>2017</v>
      </c>
      <c r="F2134">
        <v>2017</v>
      </c>
      <c r="G2134" t="str">
        <f>IFERROR(INDEX(Formulations[Formulation],MATCH($C2134,Formulations[Product Code],0)),"")</f>
        <v/>
      </c>
    </row>
    <row r="2135" spans="1:7" x14ac:dyDescent="0.3">
      <c r="A2135" t="s">
        <v>993</v>
      </c>
      <c r="B2135" t="s">
        <v>995</v>
      </c>
      <c r="C2135" t="s">
        <v>672</v>
      </c>
      <c r="D2135" s="7">
        <v>25</v>
      </c>
      <c r="E2135">
        <v>2017</v>
      </c>
      <c r="F2135">
        <v>2019</v>
      </c>
      <c r="G2135" t="str">
        <f>IFERROR(INDEX(Formulations[Formulation],MATCH($C2135,Formulations[Product Code],0)),"")</f>
        <v>Pure</v>
      </c>
    </row>
    <row r="2136" spans="1:7" x14ac:dyDescent="0.3">
      <c r="A2136" t="s">
        <v>993</v>
      </c>
      <c r="B2136" t="s">
        <v>314</v>
      </c>
      <c r="C2136" t="s">
        <v>315</v>
      </c>
      <c r="D2136" s="7">
        <v>25</v>
      </c>
      <c r="E2136">
        <v>2017</v>
      </c>
      <c r="F2136">
        <v>2018</v>
      </c>
      <c r="G2136" t="str">
        <f>IFERROR(INDEX(Formulations[Formulation],MATCH($C2136,Formulations[Product Code],0)),"")</f>
        <v/>
      </c>
    </row>
    <row r="2137" spans="1:7" x14ac:dyDescent="0.3">
      <c r="A2137" t="s">
        <v>993</v>
      </c>
      <c r="B2137" t="s">
        <v>754</v>
      </c>
      <c r="C2137" t="s">
        <v>755</v>
      </c>
      <c r="D2137" s="7">
        <v>25</v>
      </c>
      <c r="E2137">
        <v>2018</v>
      </c>
      <c r="F2137">
        <v>2019</v>
      </c>
      <c r="G2137" t="str">
        <f>IFERROR(INDEX(Formulations[Formulation],MATCH($C2137,Formulations[Product Code],0)),"")</f>
        <v>Pure</v>
      </c>
    </row>
    <row r="2138" spans="1:7" x14ac:dyDescent="0.3">
      <c r="A2138" t="s">
        <v>996</v>
      </c>
      <c r="B2138" t="s">
        <v>997</v>
      </c>
      <c r="C2138" t="s">
        <v>998</v>
      </c>
      <c r="D2138" s="7">
        <v>25</v>
      </c>
      <c r="E2138">
        <v>2014</v>
      </c>
      <c r="F2138">
        <v>2014</v>
      </c>
      <c r="G2138" t="str">
        <f>IFERROR(INDEX(Formulations[Formulation],MATCH($C2138,Formulations[Product Code],0)),"")</f>
        <v/>
      </c>
    </row>
    <row r="2139" spans="1:7" x14ac:dyDescent="0.3">
      <c r="A2139" t="s">
        <v>1005</v>
      </c>
      <c r="B2139" t="s">
        <v>19</v>
      </c>
      <c r="C2139" t="s">
        <v>107</v>
      </c>
      <c r="D2139" s="7">
        <v>25</v>
      </c>
      <c r="E2139">
        <v>2018</v>
      </c>
      <c r="F2139">
        <v>2018</v>
      </c>
      <c r="G2139" t="str">
        <f>IFERROR(INDEX(Formulations[Formulation],MATCH($C2139,Formulations[Product Code],0)),"")</f>
        <v>Pure</v>
      </c>
    </row>
    <row r="2140" spans="1:7" x14ac:dyDescent="0.3">
      <c r="A2140" t="s">
        <v>1005</v>
      </c>
      <c r="B2140" t="s">
        <v>750</v>
      </c>
      <c r="C2140" t="s">
        <v>751</v>
      </c>
      <c r="D2140" s="7">
        <v>25</v>
      </c>
      <c r="E2140">
        <v>2017</v>
      </c>
      <c r="F2140">
        <v>2017</v>
      </c>
      <c r="G2140" t="str">
        <f>IFERROR(INDEX(Formulations[Formulation],MATCH($C2140,Formulations[Product Code],0)),"")</f>
        <v/>
      </c>
    </row>
    <row r="2141" spans="1:7" x14ac:dyDescent="0.3">
      <c r="A2141" t="s">
        <v>1010</v>
      </c>
      <c r="B2141" t="s">
        <v>1011</v>
      </c>
      <c r="C2141" t="s">
        <v>1012</v>
      </c>
      <c r="D2141" s="7">
        <v>25</v>
      </c>
      <c r="E2141">
        <v>2020</v>
      </c>
      <c r="F2141">
        <v>2020</v>
      </c>
      <c r="G2141" t="str">
        <f>IFERROR(INDEX(Formulations[Formulation],MATCH($C2141,Formulations[Product Code],0)),"")</f>
        <v/>
      </c>
    </row>
    <row r="2142" spans="1:7" x14ac:dyDescent="0.3">
      <c r="A2142" t="s">
        <v>1010</v>
      </c>
      <c r="B2142" t="s">
        <v>297</v>
      </c>
      <c r="C2142" t="s">
        <v>298</v>
      </c>
      <c r="D2142" s="7">
        <v>25</v>
      </c>
      <c r="E2142">
        <v>2015</v>
      </c>
      <c r="F2142">
        <v>2015</v>
      </c>
      <c r="G2142" t="str">
        <f>IFERROR(INDEX(Formulations[Formulation],MATCH($C2142,Formulations[Product Code],0)),"")</f>
        <v>Pure</v>
      </c>
    </row>
    <row r="2143" spans="1:7" x14ac:dyDescent="0.3">
      <c r="A2143" t="s">
        <v>1010</v>
      </c>
      <c r="B2143" t="s">
        <v>1015</v>
      </c>
      <c r="C2143" t="s">
        <v>1016</v>
      </c>
      <c r="D2143" s="7">
        <v>25</v>
      </c>
      <c r="E2143">
        <v>2017</v>
      </c>
      <c r="F2143">
        <v>2017</v>
      </c>
      <c r="G2143" t="str">
        <f>IFERROR(INDEX(Formulations[Formulation],MATCH($C2143,Formulations[Product Code],0)),"")</f>
        <v/>
      </c>
    </row>
    <row r="2144" spans="1:7" x14ac:dyDescent="0.3">
      <c r="A2144" t="s">
        <v>1010</v>
      </c>
      <c r="B2144" t="s">
        <v>1018</v>
      </c>
      <c r="D2144" s="7">
        <v>25</v>
      </c>
      <c r="E2144">
        <v>2011</v>
      </c>
      <c r="F2144">
        <v>2011</v>
      </c>
      <c r="G2144" t="str">
        <f>IFERROR(INDEX(Formulations[Formulation],MATCH($C2144,Formulations[Product Code],0)),"")</f>
        <v/>
      </c>
    </row>
    <row r="2145" spans="1:7" x14ac:dyDescent="0.3">
      <c r="A2145" t="s">
        <v>1010</v>
      </c>
      <c r="B2145" t="s">
        <v>46</v>
      </c>
      <c r="C2145" t="s">
        <v>47</v>
      </c>
      <c r="D2145" s="7">
        <v>25</v>
      </c>
      <c r="E2145">
        <v>2009</v>
      </c>
      <c r="F2145">
        <v>2019</v>
      </c>
      <c r="G2145" t="str">
        <f>IFERROR(INDEX(Formulations[Formulation],MATCH($C2145,Formulations[Product Code],0)),"")</f>
        <v/>
      </c>
    </row>
    <row r="2146" spans="1:7" x14ac:dyDescent="0.3">
      <c r="A2146" t="s">
        <v>1027</v>
      </c>
      <c r="B2146" t="s">
        <v>26</v>
      </c>
      <c r="C2146" t="s">
        <v>27</v>
      </c>
      <c r="D2146" s="7">
        <v>25</v>
      </c>
      <c r="E2146">
        <v>2018</v>
      </c>
      <c r="F2146">
        <v>2018</v>
      </c>
      <c r="G2146" t="str">
        <f>IFERROR(INDEX(Formulations[Formulation],MATCH($C2146,Formulations[Product Code],0)),"")</f>
        <v>FLOURAMAX A270578/ P782894</v>
      </c>
    </row>
    <row r="2147" spans="1:7" x14ac:dyDescent="0.3">
      <c r="A2147" t="s">
        <v>1027</v>
      </c>
      <c r="B2147" t="s">
        <v>702</v>
      </c>
      <c r="C2147" t="s">
        <v>703</v>
      </c>
      <c r="D2147" s="7">
        <v>25</v>
      </c>
      <c r="E2147">
        <v>2018</v>
      </c>
      <c r="F2147">
        <v>2018</v>
      </c>
      <c r="G2147" t="str">
        <f>IFERROR(INDEX(Formulations[Formulation],MATCH($C2147,Formulations[Product Code],0)),"")</f>
        <v>flouramax 40%, green apple 30%, strwaberry 15%, cocoa butter 15%</v>
      </c>
    </row>
    <row r="2148" spans="1:7" x14ac:dyDescent="0.3">
      <c r="A2148" t="s">
        <v>1028</v>
      </c>
      <c r="B2148" t="s">
        <v>1033</v>
      </c>
      <c r="C2148" t="s">
        <v>1034</v>
      </c>
      <c r="D2148" s="7">
        <v>25</v>
      </c>
      <c r="E2148">
        <v>2011</v>
      </c>
      <c r="F2148">
        <v>2011</v>
      </c>
      <c r="G2148" t="str">
        <f>IFERROR(INDEX(Formulations[Formulation],MATCH($C2148,Formulations[Product Code],0)),"")</f>
        <v/>
      </c>
    </row>
    <row r="2149" spans="1:7" x14ac:dyDescent="0.3">
      <c r="A2149" t="s">
        <v>1028</v>
      </c>
      <c r="B2149" t="s">
        <v>1045</v>
      </c>
      <c r="C2149" t="s">
        <v>1046</v>
      </c>
      <c r="D2149" s="7">
        <v>25</v>
      </c>
      <c r="E2149">
        <v>2016</v>
      </c>
      <c r="F2149">
        <v>2016</v>
      </c>
      <c r="G2149" t="str">
        <f>IFERROR(INDEX(Formulations[Formulation],MATCH($C2149,Formulations[Product Code],0)),"")</f>
        <v/>
      </c>
    </row>
    <row r="2150" spans="1:7" x14ac:dyDescent="0.3">
      <c r="A2150" t="s">
        <v>1028</v>
      </c>
      <c r="B2150" t="s">
        <v>1051</v>
      </c>
      <c r="C2150" t="s">
        <v>1052</v>
      </c>
      <c r="D2150" s="7">
        <v>25</v>
      </c>
      <c r="E2150">
        <v>2016</v>
      </c>
      <c r="F2150">
        <v>2016</v>
      </c>
      <c r="G2150" t="str">
        <f>IFERROR(INDEX(Formulations[Formulation],MATCH($C2150,Formulations[Product Code],0)),"")</f>
        <v/>
      </c>
    </row>
    <row r="2151" spans="1:7" x14ac:dyDescent="0.3">
      <c r="A2151" t="s">
        <v>1028</v>
      </c>
      <c r="B2151" t="s">
        <v>1061</v>
      </c>
      <c r="C2151" t="s">
        <v>1062</v>
      </c>
      <c r="D2151" s="7">
        <v>25</v>
      </c>
      <c r="E2151">
        <v>2016</v>
      </c>
      <c r="F2151">
        <v>2016</v>
      </c>
      <c r="G2151" t="str">
        <f>IFERROR(INDEX(Formulations[Formulation],MATCH($C2151,Formulations[Product Code],0)),"")</f>
        <v/>
      </c>
    </row>
    <row r="2152" spans="1:7" x14ac:dyDescent="0.3">
      <c r="A2152" t="s">
        <v>1028</v>
      </c>
      <c r="B2152" t="s">
        <v>1069</v>
      </c>
      <c r="C2152" t="s">
        <v>1070</v>
      </c>
      <c r="D2152" s="7">
        <v>25</v>
      </c>
      <c r="E2152">
        <v>2009</v>
      </c>
      <c r="F2152">
        <v>2009</v>
      </c>
      <c r="G2152" t="str">
        <f>IFERROR(INDEX(Formulations[Formulation],MATCH($C2152,Formulations[Product Code],0)),"")</f>
        <v/>
      </c>
    </row>
    <row r="2153" spans="1:7" x14ac:dyDescent="0.3">
      <c r="A2153" t="s">
        <v>1082</v>
      </c>
      <c r="B2153" t="s">
        <v>1088</v>
      </c>
      <c r="C2153" t="s">
        <v>1089</v>
      </c>
      <c r="D2153" s="7">
        <v>25</v>
      </c>
      <c r="E2153">
        <v>2012</v>
      </c>
      <c r="F2153">
        <v>2012</v>
      </c>
      <c r="G2153" t="str">
        <f>IFERROR(INDEX(Formulations[Formulation],MATCH($C2153,Formulations[Product Code],0)),"")</f>
        <v/>
      </c>
    </row>
    <row r="2154" spans="1:7" x14ac:dyDescent="0.3">
      <c r="A2154" t="s">
        <v>1091</v>
      </c>
      <c r="B2154" t="s">
        <v>417</v>
      </c>
      <c r="C2154" t="s">
        <v>418</v>
      </c>
      <c r="D2154" s="7">
        <v>25</v>
      </c>
      <c r="E2154">
        <v>2021</v>
      </c>
      <c r="F2154">
        <v>2021</v>
      </c>
      <c r="G2154" t="str">
        <f>IFERROR(INDEX(Formulations[Formulation],MATCH($C2154,Formulations[Product Code],0)),"")</f>
        <v>Pure</v>
      </c>
    </row>
    <row r="2155" spans="1:7" x14ac:dyDescent="0.3">
      <c r="A2155" t="s">
        <v>1102</v>
      </c>
      <c r="B2155" t="s">
        <v>253</v>
      </c>
      <c r="C2155" t="s">
        <v>254</v>
      </c>
      <c r="D2155" s="7">
        <v>25</v>
      </c>
      <c r="E2155">
        <v>2019</v>
      </c>
      <c r="F2155">
        <v>2019</v>
      </c>
      <c r="G2155" t="str">
        <f>IFERROR(INDEX(Formulations[Formulation],MATCH($C2155,Formulations[Product Code],0)),"")</f>
        <v>6kg oil and 19kg DPG</v>
      </c>
    </row>
    <row r="2156" spans="1:7" x14ac:dyDescent="0.3">
      <c r="A2156" t="s">
        <v>1102</v>
      </c>
      <c r="B2156" t="s">
        <v>1013</v>
      </c>
      <c r="C2156" t="s">
        <v>1014</v>
      </c>
      <c r="D2156" s="7">
        <v>25</v>
      </c>
      <c r="E2156">
        <v>2019</v>
      </c>
      <c r="F2156">
        <v>2019</v>
      </c>
      <c r="G2156" t="str">
        <f>IFERROR(INDEX(Formulations[Formulation],MATCH($C2156,Formulations[Product Code],0)),"")</f>
        <v/>
      </c>
    </row>
    <row r="2157" spans="1:7" x14ac:dyDescent="0.3">
      <c r="A2157" t="s">
        <v>1102</v>
      </c>
      <c r="B2157" t="s">
        <v>1103</v>
      </c>
      <c r="C2157" t="s">
        <v>224</v>
      </c>
      <c r="D2157" s="7">
        <v>25</v>
      </c>
      <c r="E2157">
        <v>2019</v>
      </c>
      <c r="F2157">
        <v>2019</v>
      </c>
      <c r="G2157" t="str">
        <f>IFERROR(INDEX(Formulations[Formulation],MATCH($C2157,Formulations[Product Code],0)),"")</f>
        <v/>
      </c>
    </row>
    <row r="2158" spans="1:7" x14ac:dyDescent="0.3">
      <c r="A2158" t="s">
        <v>1102</v>
      </c>
      <c r="B2158" t="s">
        <v>543</v>
      </c>
      <c r="C2158" t="s">
        <v>544</v>
      </c>
      <c r="D2158" s="7">
        <v>25</v>
      </c>
      <c r="E2158">
        <v>2019</v>
      </c>
      <c r="F2158">
        <v>2019</v>
      </c>
      <c r="G2158" t="str">
        <f>IFERROR(INDEX(Formulations[Formulation],MATCH($C2158,Formulations[Product Code],0)),"")</f>
        <v>Crystal</v>
      </c>
    </row>
    <row r="2159" spans="1:7" x14ac:dyDescent="0.3">
      <c r="A2159" t="s">
        <v>1102</v>
      </c>
      <c r="B2159" t="s">
        <v>911</v>
      </c>
      <c r="C2159" t="s">
        <v>912</v>
      </c>
      <c r="D2159" s="7">
        <v>25</v>
      </c>
      <c r="E2159">
        <v>2019</v>
      </c>
      <c r="F2159">
        <v>2019</v>
      </c>
      <c r="G2159" t="str">
        <f>IFERROR(INDEX(Formulations[Formulation],MATCH($C2159,Formulations[Product Code],0)),"")</f>
        <v>Gold</v>
      </c>
    </row>
    <row r="2160" spans="1:7" x14ac:dyDescent="0.3">
      <c r="A2160" t="s">
        <v>1102</v>
      </c>
      <c r="B2160" t="s">
        <v>1106</v>
      </c>
      <c r="C2160" t="s">
        <v>1095</v>
      </c>
      <c r="D2160" s="7">
        <v>25</v>
      </c>
      <c r="E2160">
        <v>2019</v>
      </c>
      <c r="F2160">
        <v>2019</v>
      </c>
      <c r="G2160" t="str">
        <f>IFERROR(INDEX(Formulations[Formulation],MATCH($C2160,Formulations[Product Code],0)),"")</f>
        <v/>
      </c>
    </row>
    <row r="2161" spans="1:7" x14ac:dyDescent="0.3">
      <c r="A2161" t="s">
        <v>1102</v>
      </c>
      <c r="B2161" t="s">
        <v>1107</v>
      </c>
      <c r="C2161" t="s">
        <v>1108</v>
      </c>
      <c r="D2161" s="7">
        <v>25</v>
      </c>
      <c r="E2161">
        <v>2019</v>
      </c>
      <c r="F2161">
        <v>2019</v>
      </c>
      <c r="G2161" t="str">
        <f>IFERROR(INDEX(Formulations[Formulation],MATCH($C2161,Formulations[Product Code],0)),"")</f>
        <v/>
      </c>
    </row>
    <row r="2162" spans="1:7" x14ac:dyDescent="0.3">
      <c r="A2162" t="s">
        <v>1102</v>
      </c>
      <c r="B2162" t="s">
        <v>1110</v>
      </c>
      <c r="C2162" t="s">
        <v>237</v>
      </c>
      <c r="D2162" s="7">
        <v>25</v>
      </c>
      <c r="E2162">
        <v>2019</v>
      </c>
      <c r="F2162">
        <v>2019</v>
      </c>
      <c r="G2162" t="str">
        <f>IFERROR(INDEX(Formulations[Formulation],MATCH($C2162,Formulations[Product Code],0)),"")</f>
        <v>Body by Burberry (F) CP00861 60%, Pacific Paradise 30%, Supreme bouqet 10%, than make gold</v>
      </c>
    </row>
    <row r="2163" spans="1:7" x14ac:dyDescent="0.3">
      <c r="A2163" t="s">
        <v>1111</v>
      </c>
      <c r="B2163" t="s">
        <v>297</v>
      </c>
      <c r="C2163" t="s">
        <v>298</v>
      </c>
      <c r="D2163" s="7">
        <v>25</v>
      </c>
      <c r="E2163">
        <v>2011</v>
      </c>
      <c r="F2163">
        <v>2011</v>
      </c>
      <c r="G2163" t="str">
        <f>IFERROR(INDEX(Formulations[Formulation],MATCH($C2163,Formulations[Product Code],0)),"")</f>
        <v>Pure</v>
      </c>
    </row>
    <row r="2164" spans="1:7" x14ac:dyDescent="0.3">
      <c r="A2164" t="s">
        <v>1111</v>
      </c>
      <c r="B2164" t="s">
        <v>41</v>
      </c>
      <c r="C2164" t="s">
        <v>42</v>
      </c>
      <c r="D2164" s="7">
        <v>25</v>
      </c>
      <c r="E2164">
        <v>2011</v>
      </c>
      <c r="F2164">
        <v>2011</v>
      </c>
      <c r="G2164" t="str">
        <f>IFERROR(INDEX(Formulations[Formulation],MATCH($C2164,Formulations[Product Code],0)),"")</f>
        <v/>
      </c>
    </row>
    <row r="2165" spans="1:7" x14ac:dyDescent="0.3">
      <c r="A2165" t="s">
        <v>1111</v>
      </c>
      <c r="B2165" t="s">
        <v>21</v>
      </c>
      <c r="C2165" t="s">
        <v>22</v>
      </c>
      <c r="D2165" s="7">
        <v>25</v>
      </c>
      <c r="E2165">
        <v>2010</v>
      </c>
      <c r="F2165">
        <v>2010</v>
      </c>
      <c r="G2165" t="str">
        <f>IFERROR(INDEX(Formulations[Formulation],MATCH($C2165,Formulations[Product Code],0)),"")</f>
        <v>Crystal</v>
      </c>
    </row>
    <row r="2166" spans="1:7" x14ac:dyDescent="0.3">
      <c r="A2166" t="s">
        <v>1111</v>
      </c>
      <c r="B2166" t="s">
        <v>1113</v>
      </c>
      <c r="C2166" t="s">
        <v>405</v>
      </c>
      <c r="D2166" s="7">
        <v>25</v>
      </c>
      <c r="E2166">
        <v>2011</v>
      </c>
      <c r="F2166">
        <v>2011</v>
      </c>
      <c r="G2166" t="str">
        <f>IFERROR(INDEX(Formulations[Formulation],MATCH($C2166,Formulations[Product Code],0)),"")</f>
        <v/>
      </c>
    </row>
    <row r="2167" spans="1:7" x14ac:dyDescent="0.3">
      <c r="A2167" t="s">
        <v>1116</v>
      </c>
      <c r="B2167" t="s">
        <v>1117</v>
      </c>
      <c r="C2167" t="s">
        <v>1118</v>
      </c>
      <c r="D2167" s="7">
        <v>25</v>
      </c>
      <c r="E2167">
        <v>2021</v>
      </c>
      <c r="F2167">
        <v>2021</v>
      </c>
      <c r="G2167" t="str">
        <f>IFERROR(INDEX(Formulations[Formulation],MATCH($C2167,Formulations[Product Code],0)),"")</f>
        <v>Crystal</v>
      </c>
    </row>
    <row r="2168" spans="1:7" x14ac:dyDescent="0.3">
      <c r="A2168" t="s">
        <v>1116</v>
      </c>
      <c r="B2168" t="s">
        <v>348</v>
      </c>
      <c r="C2168" t="s">
        <v>347</v>
      </c>
      <c r="D2168" s="7">
        <v>25</v>
      </c>
      <c r="E2168">
        <v>2018</v>
      </c>
      <c r="F2168">
        <v>2018</v>
      </c>
      <c r="G2168" t="str">
        <f>IFERROR(INDEX(Formulations[Formulation],MATCH($C2168,Formulations[Product Code],0)),"")</f>
        <v>Pure</v>
      </c>
    </row>
    <row r="2169" spans="1:7" x14ac:dyDescent="0.3">
      <c r="A2169" t="s">
        <v>1116</v>
      </c>
      <c r="B2169" t="s">
        <v>1120</v>
      </c>
      <c r="C2169" t="s">
        <v>1121</v>
      </c>
      <c r="D2169" s="7">
        <v>25</v>
      </c>
      <c r="E2169">
        <v>2019</v>
      </c>
      <c r="F2169">
        <v>2019</v>
      </c>
      <c r="G2169" t="str">
        <f>IFERROR(INDEX(Formulations[Formulation],MATCH($C2169,Formulations[Product Code],0)),"")</f>
        <v/>
      </c>
    </row>
    <row r="2170" spans="1:7" x14ac:dyDescent="0.3">
      <c r="A2170" t="s">
        <v>1116</v>
      </c>
      <c r="B2170" t="s">
        <v>19</v>
      </c>
      <c r="C2170" t="s">
        <v>107</v>
      </c>
      <c r="D2170" s="7">
        <v>25</v>
      </c>
      <c r="E2170">
        <v>2020</v>
      </c>
      <c r="F2170">
        <v>2020</v>
      </c>
      <c r="G2170" t="str">
        <f>IFERROR(INDEX(Formulations[Formulation],MATCH($C2170,Formulations[Product Code],0)),"")</f>
        <v>Pure</v>
      </c>
    </row>
    <row r="2171" spans="1:7" x14ac:dyDescent="0.3">
      <c r="A2171" t="s">
        <v>1116</v>
      </c>
      <c r="B2171" t="s">
        <v>543</v>
      </c>
      <c r="C2171" t="s">
        <v>544</v>
      </c>
      <c r="D2171" s="7">
        <v>25</v>
      </c>
      <c r="E2171">
        <v>2020</v>
      </c>
      <c r="F2171">
        <v>2020</v>
      </c>
      <c r="G2171" t="str">
        <f>IFERROR(INDEX(Formulations[Formulation],MATCH($C2171,Formulations[Product Code],0)),"")</f>
        <v>Crystal</v>
      </c>
    </row>
    <row r="2172" spans="1:7" x14ac:dyDescent="0.3">
      <c r="A2172" t="s">
        <v>1127</v>
      </c>
      <c r="B2172" t="s">
        <v>586</v>
      </c>
      <c r="C2172" t="s">
        <v>587</v>
      </c>
      <c r="D2172" s="7">
        <v>25</v>
      </c>
      <c r="E2172">
        <v>2020</v>
      </c>
      <c r="F2172">
        <v>2020</v>
      </c>
      <c r="G2172" t="str">
        <f>IFERROR(INDEX(Formulations[Formulation],MATCH($C2172,Formulations[Product Code],0)),"")</f>
        <v>Pure</v>
      </c>
    </row>
    <row r="2173" spans="1:7" x14ac:dyDescent="0.3">
      <c r="A2173" t="s">
        <v>1127</v>
      </c>
      <c r="B2173" t="s">
        <v>348</v>
      </c>
      <c r="C2173" t="s">
        <v>347</v>
      </c>
      <c r="D2173" s="7">
        <v>25</v>
      </c>
      <c r="E2173">
        <v>2020</v>
      </c>
      <c r="F2173">
        <v>2020</v>
      </c>
      <c r="G2173" t="str">
        <f>IFERROR(INDEX(Formulations[Formulation],MATCH($C2173,Formulations[Product Code],0)),"")</f>
        <v>Pure</v>
      </c>
    </row>
    <row r="2174" spans="1:7" x14ac:dyDescent="0.3">
      <c r="A2174" t="s">
        <v>1127</v>
      </c>
      <c r="B2174" t="s">
        <v>58</v>
      </c>
      <c r="C2174" t="s">
        <v>59</v>
      </c>
      <c r="D2174" s="7">
        <v>25</v>
      </c>
      <c r="E2174">
        <v>2020</v>
      </c>
      <c r="F2174">
        <v>2020</v>
      </c>
      <c r="G2174" t="str">
        <f>IFERROR(INDEX(Formulations[Formulation],MATCH($C2174,Formulations[Product Code],0)),"")</f>
        <v>Pure</v>
      </c>
    </row>
    <row r="2175" spans="1:7" x14ac:dyDescent="0.3">
      <c r="A2175" t="s">
        <v>1127</v>
      </c>
      <c r="B2175" t="s">
        <v>567</v>
      </c>
      <c r="C2175" t="s">
        <v>698</v>
      </c>
      <c r="D2175" s="7">
        <v>25</v>
      </c>
      <c r="E2175">
        <v>2020</v>
      </c>
      <c r="F2175">
        <v>2020</v>
      </c>
      <c r="G2175" t="str">
        <f>IFERROR(INDEX(Formulations[Formulation],MATCH($C2175,Formulations[Product Code],0)),"")</f>
        <v>Crystal</v>
      </c>
    </row>
    <row r="2176" spans="1:7" x14ac:dyDescent="0.3">
      <c r="A2176" t="s">
        <v>1127</v>
      </c>
      <c r="B2176" t="s">
        <v>265</v>
      </c>
      <c r="C2176" t="s">
        <v>197</v>
      </c>
      <c r="D2176" s="7">
        <v>25</v>
      </c>
      <c r="E2176">
        <v>2019</v>
      </c>
      <c r="F2176">
        <v>2019</v>
      </c>
      <c r="G2176" t="str">
        <f>IFERROR(INDEX(Formulations[Formulation],MATCH($C2176,Formulations[Product Code],0)),"")</f>
        <v/>
      </c>
    </row>
    <row r="2177" spans="1:7" x14ac:dyDescent="0.3">
      <c r="A2177" t="s">
        <v>1127</v>
      </c>
      <c r="B2177" t="s">
        <v>677</v>
      </c>
      <c r="C2177" t="s">
        <v>678</v>
      </c>
      <c r="D2177" s="7">
        <v>25</v>
      </c>
      <c r="E2177">
        <v>2019</v>
      </c>
      <c r="F2177">
        <v>2019</v>
      </c>
      <c r="G2177" t="str">
        <f>IFERROR(INDEX(Formulations[Formulation],MATCH($C2177,Formulations[Product Code],0)),"")</f>
        <v>Pure</v>
      </c>
    </row>
    <row r="2178" spans="1:7" x14ac:dyDescent="0.3">
      <c r="A2178" t="s">
        <v>1139</v>
      </c>
      <c r="B2178" t="s">
        <v>19</v>
      </c>
      <c r="C2178" t="s">
        <v>270</v>
      </c>
      <c r="D2178" s="7">
        <v>25</v>
      </c>
      <c r="E2178">
        <v>2012</v>
      </c>
      <c r="F2178">
        <v>2012</v>
      </c>
      <c r="G2178" t="str">
        <f>IFERROR(INDEX(Formulations[Formulation],MATCH($C2178,Formulations[Product Code],0)),"")</f>
        <v>Pure</v>
      </c>
    </row>
    <row r="2179" spans="1:7" x14ac:dyDescent="0.3">
      <c r="A2179" t="s">
        <v>1150</v>
      </c>
      <c r="B2179" t="s">
        <v>1155</v>
      </c>
      <c r="C2179" t="s">
        <v>1156</v>
      </c>
      <c r="D2179" s="7">
        <v>25</v>
      </c>
      <c r="E2179">
        <v>2019</v>
      </c>
      <c r="F2179">
        <v>2019</v>
      </c>
      <c r="G2179" t="str">
        <f>IFERROR(INDEX(Formulations[Formulation],MATCH($C2179,Formulations[Product Code],0)),"")</f>
        <v/>
      </c>
    </row>
    <row r="2180" spans="1:7" x14ac:dyDescent="0.3">
      <c r="A2180" t="s">
        <v>1162</v>
      </c>
      <c r="B2180" t="s">
        <v>41</v>
      </c>
      <c r="C2180" t="s">
        <v>42</v>
      </c>
      <c r="D2180" s="7">
        <v>25</v>
      </c>
      <c r="E2180">
        <v>2018</v>
      </c>
      <c r="F2180">
        <v>2018</v>
      </c>
      <c r="G2180" t="str">
        <f>IFERROR(INDEX(Formulations[Formulation],MATCH($C2180,Formulations[Product Code],0)),"")</f>
        <v/>
      </c>
    </row>
    <row r="2181" spans="1:7" x14ac:dyDescent="0.3">
      <c r="A2181" t="s">
        <v>1175</v>
      </c>
      <c r="B2181" t="s">
        <v>942</v>
      </c>
      <c r="C2181" t="s">
        <v>943</v>
      </c>
      <c r="D2181" s="7">
        <v>25</v>
      </c>
      <c r="E2181">
        <v>2020</v>
      </c>
      <c r="F2181">
        <v>2021</v>
      </c>
      <c r="G2181" t="str">
        <f>IFERROR(INDEX(Formulations[Formulation],MATCH($C2181,Formulations[Product Code],0)),"")</f>
        <v>Red Grape A299992 (Red Grape 50%/Rasberry 50%)</v>
      </c>
    </row>
    <row r="2182" spans="1:7" x14ac:dyDescent="0.3">
      <c r="A2182" t="s">
        <v>1175</v>
      </c>
      <c r="B2182" t="s">
        <v>1120</v>
      </c>
      <c r="C2182" t="s">
        <v>1121</v>
      </c>
      <c r="D2182" s="7">
        <v>25</v>
      </c>
      <c r="E2182">
        <v>2018</v>
      </c>
      <c r="F2182">
        <v>2019</v>
      </c>
      <c r="G2182" t="str">
        <f>IFERROR(INDEX(Formulations[Formulation],MATCH($C2182,Formulations[Product Code],0)),"")</f>
        <v/>
      </c>
    </row>
    <row r="2183" spans="1:7" x14ac:dyDescent="0.3">
      <c r="A2183" t="s">
        <v>1175</v>
      </c>
      <c r="B2183" t="s">
        <v>1002</v>
      </c>
      <c r="C2183" t="s">
        <v>138</v>
      </c>
      <c r="D2183" s="7">
        <v>25</v>
      </c>
      <c r="E2183">
        <v>2019</v>
      </c>
      <c r="F2183">
        <v>2021</v>
      </c>
      <c r="G2183" t="str">
        <f>IFERROR(INDEX(Formulations[Formulation],MATCH($C2183,Formulations[Product Code],0)),"")</f>
        <v>WS</v>
      </c>
    </row>
    <row r="2184" spans="1:7" x14ac:dyDescent="0.3">
      <c r="A2184" t="s">
        <v>1175</v>
      </c>
      <c r="B2184" t="s">
        <v>653</v>
      </c>
      <c r="C2184" t="s">
        <v>654</v>
      </c>
      <c r="D2184" s="7">
        <v>25</v>
      </c>
      <c r="E2184">
        <v>2018</v>
      </c>
      <c r="F2184">
        <v>2020</v>
      </c>
      <c r="G2184" t="str">
        <f>IFERROR(INDEX(Formulations[Formulation],MATCH($C2184,Formulations[Product Code],0)),"")</f>
        <v>Pure</v>
      </c>
    </row>
    <row r="2185" spans="1:7" x14ac:dyDescent="0.3">
      <c r="A2185" t="s">
        <v>1187</v>
      </c>
      <c r="B2185" t="s">
        <v>1188</v>
      </c>
      <c r="C2185" t="s">
        <v>1189</v>
      </c>
      <c r="D2185" s="7">
        <v>25</v>
      </c>
      <c r="E2185">
        <v>2010</v>
      </c>
      <c r="F2185">
        <v>2010</v>
      </c>
      <c r="G2185" t="str">
        <f>IFERROR(INDEX(Formulations[Formulation],MATCH($C2185,Formulations[Product Code],0)),"")</f>
        <v/>
      </c>
    </row>
    <row r="2186" spans="1:7" x14ac:dyDescent="0.3">
      <c r="A2186" t="s">
        <v>1210</v>
      </c>
      <c r="B2186" t="s">
        <v>41</v>
      </c>
      <c r="C2186" t="s">
        <v>530</v>
      </c>
      <c r="D2186" s="7">
        <v>25</v>
      </c>
      <c r="E2186">
        <v>2011</v>
      </c>
      <c r="F2186">
        <v>2011</v>
      </c>
      <c r="G2186" t="str">
        <f>IFERROR(INDEX(Formulations[Formulation],MATCH($C2186,Formulations[Product Code],0)),"")</f>
        <v/>
      </c>
    </row>
    <row r="2187" spans="1:7" x14ac:dyDescent="0.3">
      <c r="A2187" t="s">
        <v>1210</v>
      </c>
      <c r="B2187" t="s">
        <v>41</v>
      </c>
      <c r="C2187" t="s">
        <v>42</v>
      </c>
      <c r="D2187" s="7">
        <v>25</v>
      </c>
      <c r="E2187">
        <v>2011</v>
      </c>
      <c r="F2187">
        <v>2011</v>
      </c>
      <c r="G2187" t="str">
        <f>IFERROR(INDEX(Formulations[Formulation],MATCH($C2187,Formulations[Product Code],0)),"")</f>
        <v/>
      </c>
    </row>
    <row r="2188" spans="1:7" x14ac:dyDescent="0.3">
      <c r="A2188" t="s">
        <v>1213</v>
      </c>
      <c r="B2188" t="s">
        <v>586</v>
      </c>
      <c r="C2188" t="s">
        <v>587</v>
      </c>
      <c r="D2188" s="7">
        <v>25</v>
      </c>
      <c r="E2188">
        <v>2020</v>
      </c>
      <c r="F2188">
        <v>2020</v>
      </c>
      <c r="G2188" t="str">
        <f>IFERROR(INDEX(Formulations[Formulation],MATCH($C2188,Formulations[Product Code],0)),"")</f>
        <v>Pure</v>
      </c>
    </row>
    <row r="2189" spans="1:7" x14ac:dyDescent="0.3">
      <c r="A2189" t="s">
        <v>1213</v>
      </c>
      <c r="B2189" t="s">
        <v>660</v>
      </c>
      <c r="C2189" t="s">
        <v>661</v>
      </c>
      <c r="D2189" s="7">
        <v>25</v>
      </c>
      <c r="E2189">
        <v>2021</v>
      </c>
      <c r="F2189">
        <v>2021</v>
      </c>
      <c r="G2189" t="str">
        <f>IFERROR(INDEX(Formulations[Formulation],MATCH($C2189,Formulations[Product Code],0)),"")</f>
        <v>Crystal</v>
      </c>
    </row>
    <row r="2190" spans="1:7" x14ac:dyDescent="0.3">
      <c r="A2190" t="s">
        <v>1213</v>
      </c>
      <c r="B2190" t="s">
        <v>417</v>
      </c>
      <c r="C2190" t="s">
        <v>418</v>
      </c>
      <c r="D2190" s="7">
        <v>25</v>
      </c>
      <c r="E2190">
        <v>2014</v>
      </c>
      <c r="F2190">
        <v>2014</v>
      </c>
      <c r="G2190" t="str">
        <f>IFERROR(INDEX(Formulations[Formulation],MATCH($C2190,Formulations[Product Code],0)),"")</f>
        <v>Pure</v>
      </c>
    </row>
    <row r="2191" spans="1:7" x14ac:dyDescent="0.3">
      <c r="A2191" t="s">
        <v>1213</v>
      </c>
      <c r="B2191" t="s">
        <v>19</v>
      </c>
      <c r="C2191" t="s">
        <v>670</v>
      </c>
      <c r="D2191" s="7">
        <v>25</v>
      </c>
      <c r="E2191">
        <v>2021</v>
      </c>
      <c r="F2191">
        <v>2021</v>
      </c>
      <c r="G2191" t="str">
        <f>IFERROR(INDEX(Formulations[Formulation],MATCH($C2191,Formulations[Product Code],0)),"")</f>
        <v>Crystal</v>
      </c>
    </row>
    <row r="2192" spans="1:7" x14ac:dyDescent="0.3">
      <c r="A2192" t="s">
        <v>1213</v>
      </c>
      <c r="B2192" t="s">
        <v>671</v>
      </c>
      <c r="C2192" t="s">
        <v>672</v>
      </c>
      <c r="D2192" s="7">
        <v>25</v>
      </c>
      <c r="E2192">
        <v>2021</v>
      </c>
      <c r="F2192">
        <v>2021</v>
      </c>
      <c r="G2192" t="str">
        <f>IFERROR(INDEX(Formulations[Formulation],MATCH($C2192,Formulations[Product Code],0)),"")</f>
        <v>Pure</v>
      </c>
    </row>
    <row r="2193" spans="1:7" x14ac:dyDescent="0.3">
      <c r="A2193" t="s">
        <v>1213</v>
      </c>
      <c r="B2193" t="s">
        <v>741</v>
      </c>
      <c r="C2193" t="s">
        <v>742</v>
      </c>
      <c r="D2193" s="7">
        <v>25</v>
      </c>
      <c r="E2193">
        <v>2016</v>
      </c>
      <c r="F2193">
        <v>2016</v>
      </c>
      <c r="G2193" t="str">
        <f>IFERROR(INDEX(Formulations[Formulation],MATCH($C2193,Formulations[Product Code],0)),"")</f>
        <v/>
      </c>
    </row>
    <row r="2194" spans="1:7" x14ac:dyDescent="0.3">
      <c r="A2194" t="s">
        <v>1213</v>
      </c>
      <c r="B2194" t="s">
        <v>867</v>
      </c>
      <c r="C2194" t="s">
        <v>868</v>
      </c>
      <c r="D2194" s="7">
        <v>25</v>
      </c>
      <c r="E2194">
        <v>2021</v>
      </c>
      <c r="F2194">
        <v>2021</v>
      </c>
      <c r="G2194" t="str">
        <f>IFERROR(INDEX(Formulations[Formulation],MATCH($C2194,Formulations[Product Code],0)),"")</f>
        <v>Crystal</v>
      </c>
    </row>
    <row r="2195" spans="1:7" x14ac:dyDescent="0.3">
      <c r="A2195" t="s">
        <v>1213</v>
      </c>
      <c r="B2195" t="s">
        <v>674</v>
      </c>
      <c r="C2195" t="s">
        <v>675</v>
      </c>
      <c r="D2195" s="7">
        <v>25</v>
      </c>
      <c r="E2195">
        <v>2021</v>
      </c>
      <c r="F2195">
        <v>2021</v>
      </c>
      <c r="G2195" t="str">
        <f>IFERROR(INDEX(Formulations[Formulation],MATCH($C2195,Formulations[Product Code],0)),"")</f>
        <v>Crystal</v>
      </c>
    </row>
    <row r="2196" spans="1:7" x14ac:dyDescent="0.3">
      <c r="A2196" t="s">
        <v>1219</v>
      </c>
      <c r="B2196" t="s">
        <v>438</v>
      </c>
      <c r="C2196" t="s">
        <v>439</v>
      </c>
      <c r="D2196" s="7">
        <v>25</v>
      </c>
      <c r="E2196">
        <v>2017</v>
      </c>
      <c r="F2196">
        <v>2017</v>
      </c>
      <c r="G2196" t="str">
        <f>IFERROR(INDEX(Formulations[Formulation],MATCH($C2196,Formulations[Product Code],0)),"")</f>
        <v>Pure</v>
      </c>
    </row>
    <row r="2197" spans="1:7" x14ac:dyDescent="0.3">
      <c r="A2197" t="s">
        <v>1225</v>
      </c>
      <c r="B2197" t="s">
        <v>483</v>
      </c>
      <c r="C2197" t="s">
        <v>484</v>
      </c>
      <c r="D2197" s="7">
        <v>25</v>
      </c>
      <c r="E2197">
        <v>2020</v>
      </c>
      <c r="F2197">
        <v>2020</v>
      </c>
      <c r="G2197" t="str">
        <f>IFERROR(INDEX(Formulations[Formulation],MATCH($C2197,Formulations[Product Code],0)),"")</f>
        <v>Crystal</v>
      </c>
    </row>
    <row r="2198" spans="1:7" x14ac:dyDescent="0.3">
      <c r="A2198" t="s">
        <v>1226</v>
      </c>
      <c r="B2198" t="s">
        <v>1256</v>
      </c>
      <c r="D2198" s="7">
        <v>25</v>
      </c>
      <c r="E2198">
        <v>2009</v>
      </c>
      <c r="F2198">
        <v>2009</v>
      </c>
      <c r="G2198" t="str">
        <f>IFERROR(INDEX(Formulations[Formulation],MATCH($C2198,Formulations[Product Code],0)),"")</f>
        <v/>
      </c>
    </row>
    <row r="2199" spans="1:7" x14ac:dyDescent="0.3">
      <c r="A2199" t="s">
        <v>1226</v>
      </c>
      <c r="B2199" t="s">
        <v>1262</v>
      </c>
      <c r="C2199" t="s">
        <v>181</v>
      </c>
      <c r="D2199" s="7">
        <v>25</v>
      </c>
      <c r="E2199">
        <v>2011</v>
      </c>
      <c r="F2199">
        <v>2011</v>
      </c>
      <c r="G2199" t="str">
        <f>IFERROR(INDEX(Formulations[Formulation],MATCH($C2199,Formulations[Product Code],0)),"")</f>
        <v/>
      </c>
    </row>
    <row r="2200" spans="1:7" x14ac:dyDescent="0.3">
      <c r="A2200" t="s">
        <v>1226</v>
      </c>
      <c r="B2200" t="s">
        <v>1299</v>
      </c>
      <c r="C2200" t="s">
        <v>313</v>
      </c>
      <c r="D2200" s="7">
        <v>25</v>
      </c>
      <c r="E2200">
        <v>2010</v>
      </c>
      <c r="F2200">
        <v>2010</v>
      </c>
      <c r="G2200" t="str">
        <f>IFERROR(INDEX(Formulations[Formulation],MATCH($C2200,Formulations[Product Code],0)),"")</f>
        <v/>
      </c>
    </row>
    <row r="2201" spans="1:7" x14ac:dyDescent="0.3">
      <c r="A2201" t="s">
        <v>1327</v>
      </c>
      <c r="B2201" t="s">
        <v>438</v>
      </c>
      <c r="C2201" t="s">
        <v>439</v>
      </c>
      <c r="D2201" s="7">
        <v>25</v>
      </c>
      <c r="E2201">
        <v>2016</v>
      </c>
      <c r="F2201">
        <v>2016</v>
      </c>
      <c r="G2201" t="str">
        <f>IFERROR(INDEX(Formulations[Formulation],MATCH($C2201,Formulations[Product Code],0)),"")</f>
        <v>Pure</v>
      </c>
    </row>
    <row r="2202" spans="1:7" x14ac:dyDescent="0.3">
      <c r="A2202" t="s">
        <v>1331</v>
      </c>
      <c r="B2202" t="s">
        <v>686</v>
      </c>
      <c r="C2202" t="s">
        <v>687</v>
      </c>
      <c r="D2202" s="7">
        <v>25</v>
      </c>
      <c r="E2202">
        <v>2021</v>
      </c>
      <c r="F2202">
        <v>2021</v>
      </c>
      <c r="G2202" t="str">
        <f>IFERROR(INDEX(Formulations[Formulation],MATCH($C2202,Formulations[Product Code],0)),"")</f>
        <v>Pure</v>
      </c>
    </row>
    <row r="2203" spans="1:7" x14ac:dyDescent="0.3">
      <c r="A2203" t="s">
        <v>1331</v>
      </c>
      <c r="B2203" t="s">
        <v>1122</v>
      </c>
      <c r="C2203" t="s">
        <v>1123</v>
      </c>
      <c r="D2203" s="7">
        <v>25</v>
      </c>
      <c r="E2203">
        <v>2021</v>
      </c>
      <c r="F2203">
        <v>2021</v>
      </c>
      <c r="G2203" t="str">
        <f>IFERROR(INDEX(Formulations[Formulation],MATCH($C2203,Formulations[Product Code],0)),"")</f>
        <v>Crystal</v>
      </c>
    </row>
    <row r="2204" spans="1:7" x14ac:dyDescent="0.3">
      <c r="A2204" t="s">
        <v>1331</v>
      </c>
      <c r="B2204" t="s">
        <v>668</v>
      </c>
      <c r="C2204" t="s">
        <v>669</v>
      </c>
      <c r="D2204" s="7">
        <v>25</v>
      </c>
      <c r="E2204">
        <v>2021</v>
      </c>
      <c r="F2204">
        <v>2021</v>
      </c>
      <c r="G2204" t="str">
        <f>IFERROR(INDEX(Formulations[Formulation],MATCH($C2204,Formulations[Product Code],0)),"")</f>
        <v>Crystal</v>
      </c>
    </row>
    <row r="2205" spans="1:7" x14ac:dyDescent="0.3">
      <c r="A2205" t="s">
        <v>1331</v>
      </c>
      <c r="B2205" t="s">
        <v>438</v>
      </c>
      <c r="C2205" t="s">
        <v>439</v>
      </c>
      <c r="D2205" s="7">
        <v>25</v>
      </c>
      <c r="E2205">
        <v>2020</v>
      </c>
      <c r="F2205">
        <v>2020</v>
      </c>
      <c r="G2205" t="str">
        <f>IFERROR(INDEX(Formulations[Formulation],MATCH($C2205,Formulations[Product Code],0)),"")</f>
        <v>Pure</v>
      </c>
    </row>
    <row r="2206" spans="1:7" x14ac:dyDescent="0.3">
      <c r="A2206" t="s">
        <v>1331</v>
      </c>
      <c r="B2206" t="s">
        <v>476</v>
      </c>
      <c r="C2206" t="s">
        <v>478</v>
      </c>
      <c r="D2206" s="7">
        <v>25</v>
      </c>
      <c r="E2206">
        <v>2021</v>
      </c>
      <c r="F2206">
        <v>2021</v>
      </c>
      <c r="G2206" t="str">
        <f>IFERROR(INDEX(Formulations[Formulation],MATCH($C2206,Formulations[Product Code],0)),"")</f>
        <v>Pure</v>
      </c>
    </row>
    <row r="2207" spans="1:7" x14ac:dyDescent="0.3">
      <c r="A2207" t="s">
        <v>1331</v>
      </c>
      <c r="B2207" t="s">
        <v>12</v>
      </c>
      <c r="C2207" t="s">
        <v>13</v>
      </c>
      <c r="D2207" s="7">
        <v>25</v>
      </c>
      <c r="E2207">
        <v>2021</v>
      </c>
      <c r="F2207">
        <v>2021</v>
      </c>
      <c r="G2207" t="str">
        <f>IFERROR(INDEX(Formulations[Formulation],MATCH($C2207,Formulations[Product Code],0)),"")</f>
        <v>Crystal</v>
      </c>
    </row>
    <row r="2208" spans="1:7" x14ac:dyDescent="0.3">
      <c r="A2208" t="s">
        <v>1341</v>
      </c>
      <c r="B2208" t="s">
        <v>528</v>
      </c>
      <c r="C2208" t="s">
        <v>529</v>
      </c>
      <c r="D2208" s="7">
        <v>25</v>
      </c>
      <c r="E2208">
        <v>2020</v>
      </c>
      <c r="F2208">
        <v>2021</v>
      </c>
      <c r="G2208" t="str">
        <f>IFERROR(INDEX(Formulations[Formulation],MATCH($C2208,Formulations[Product Code],0)),"")</f>
        <v>Crystal</v>
      </c>
    </row>
    <row r="2209" spans="1:7" x14ac:dyDescent="0.3">
      <c r="A2209" t="s">
        <v>1343</v>
      </c>
      <c r="B2209" t="s">
        <v>1344</v>
      </c>
      <c r="C2209" t="s">
        <v>1345</v>
      </c>
      <c r="D2209" s="7">
        <v>25</v>
      </c>
      <c r="E2209">
        <v>2018</v>
      </c>
      <c r="F2209">
        <v>2018</v>
      </c>
      <c r="G2209" t="str">
        <f>IFERROR(INDEX(Formulations[Formulation],MATCH($C2209,Formulations[Product Code],0)),"")</f>
        <v/>
      </c>
    </row>
    <row r="2210" spans="1:7" x14ac:dyDescent="0.3">
      <c r="A2210" t="s">
        <v>1346</v>
      </c>
      <c r="B2210" t="s">
        <v>46</v>
      </c>
      <c r="C2210" t="s">
        <v>47</v>
      </c>
      <c r="D2210" s="7">
        <v>25</v>
      </c>
      <c r="E2210">
        <v>2018</v>
      </c>
      <c r="F2210">
        <v>2018</v>
      </c>
      <c r="G2210" t="str">
        <f>IFERROR(INDEX(Formulations[Formulation],MATCH($C2210,Formulations[Product Code],0)),"")</f>
        <v/>
      </c>
    </row>
    <row r="2211" spans="1:7" x14ac:dyDescent="0.3">
      <c r="A2211" t="s">
        <v>1353</v>
      </c>
      <c r="B2211" t="s">
        <v>454</v>
      </c>
      <c r="C2211" t="s">
        <v>455</v>
      </c>
      <c r="D2211" s="7">
        <v>25</v>
      </c>
      <c r="E2211">
        <v>2017</v>
      </c>
      <c r="F2211">
        <v>2017</v>
      </c>
      <c r="G2211" t="str">
        <f>IFERROR(INDEX(Formulations[Formulation],MATCH($C2211,Formulations[Product Code],0)),"")</f>
        <v>Pure</v>
      </c>
    </row>
    <row r="2212" spans="1:7" x14ac:dyDescent="0.3">
      <c r="A2212" t="s">
        <v>1353</v>
      </c>
      <c r="B2212" t="s">
        <v>240</v>
      </c>
      <c r="D2212" s="7">
        <v>25</v>
      </c>
      <c r="E2212">
        <v>2013</v>
      </c>
      <c r="F2212">
        <v>2014</v>
      </c>
      <c r="G2212" t="str">
        <f>IFERROR(INDEX(Formulations[Formulation],MATCH($C2212,Formulations[Product Code],0)),"")</f>
        <v/>
      </c>
    </row>
    <row r="2213" spans="1:7" x14ac:dyDescent="0.3">
      <c r="A2213" t="s">
        <v>1353</v>
      </c>
      <c r="B2213" t="s">
        <v>864</v>
      </c>
      <c r="D2213" s="7">
        <v>25</v>
      </c>
      <c r="E2213">
        <v>2013</v>
      </c>
      <c r="F2213">
        <v>2016</v>
      </c>
      <c r="G2213" t="str">
        <f>IFERROR(INDEX(Formulations[Formulation],MATCH($C2213,Formulations[Product Code],0)),"")</f>
        <v/>
      </c>
    </row>
    <row r="2214" spans="1:7" x14ac:dyDescent="0.3">
      <c r="A2214" t="s">
        <v>1353</v>
      </c>
      <c r="B2214" t="s">
        <v>483</v>
      </c>
      <c r="C2214" t="s">
        <v>484</v>
      </c>
      <c r="D2214" s="7">
        <v>25</v>
      </c>
      <c r="E2214">
        <v>2019</v>
      </c>
      <c r="F2214">
        <v>2019</v>
      </c>
      <c r="G2214" t="str">
        <f>IFERROR(INDEX(Formulations[Formulation],MATCH($C2214,Formulations[Product Code],0)),"")</f>
        <v>Crystal</v>
      </c>
    </row>
    <row r="2215" spans="1:7" x14ac:dyDescent="0.3">
      <c r="A2215" t="s">
        <v>1373</v>
      </c>
      <c r="B2215" t="s">
        <v>26</v>
      </c>
      <c r="C2215" t="s">
        <v>27</v>
      </c>
      <c r="D2215" s="7">
        <v>25</v>
      </c>
      <c r="E2215">
        <v>2015</v>
      </c>
      <c r="F2215">
        <v>2015</v>
      </c>
      <c r="G2215" t="str">
        <f>IFERROR(INDEX(Formulations[Formulation],MATCH($C2215,Formulations[Product Code],0)),"")</f>
        <v>FLOURAMAX A270578/ P782894</v>
      </c>
    </row>
    <row r="2216" spans="1:7" x14ac:dyDescent="0.3">
      <c r="A2216" t="s">
        <v>1374</v>
      </c>
      <c r="B2216" t="s">
        <v>383</v>
      </c>
      <c r="C2216" t="s">
        <v>384</v>
      </c>
      <c r="D2216" s="7">
        <v>25</v>
      </c>
      <c r="E2216">
        <v>2020</v>
      </c>
      <c r="F2216">
        <v>2020</v>
      </c>
      <c r="G2216" t="str">
        <f>IFERROR(INDEX(Formulations[Formulation],MATCH($C2216,Formulations[Product Code],0)),"")</f>
        <v>Pure</v>
      </c>
    </row>
    <row r="2217" spans="1:7" x14ac:dyDescent="0.3">
      <c r="A2217" t="s">
        <v>1398</v>
      </c>
      <c r="B2217" t="s">
        <v>16</v>
      </c>
      <c r="C2217" t="s">
        <v>17</v>
      </c>
      <c r="D2217" s="7">
        <v>25</v>
      </c>
      <c r="E2217">
        <v>2021</v>
      </c>
      <c r="F2217">
        <v>2021</v>
      </c>
      <c r="G2217" t="str">
        <f>IFERROR(INDEX(Formulations[Formulation],MATCH($C2217,Formulations[Product Code],0)),"")</f>
        <v>Crystal</v>
      </c>
    </row>
    <row r="2218" spans="1:7" x14ac:dyDescent="0.3">
      <c r="A2218" t="s">
        <v>1398</v>
      </c>
      <c r="B2218" t="s">
        <v>62</v>
      </c>
      <c r="C2218" t="s">
        <v>63</v>
      </c>
      <c r="D2218" s="7">
        <v>25</v>
      </c>
      <c r="E2218">
        <v>2021</v>
      </c>
      <c r="F2218">
        <v>2021</v>
      </c>
      <c r="G2218" t="str">
        <f>IFERROR(INDEX(Formulations[Formulation],MATCH($C2218,Formulations[Product Code],0)),"")</f>
        <v>Crystal</v>
      </c>
    </row>
    <row r="2219" spans="1:7" x14ac:dyDescent="0.3">
      <c r="A2219" t="s">
        <v>1399</v>
      </c>
      <c r="B2219" t="s">
        <v>46</v>
      </c>
      <c r="C2219" t="s">
        <v>47</v>
      </c>
      <c r="D2219" s="7">
        <v>25</v>
      </c>
      <c r="E2219">
        <v>2018</v>
      </c>
      <c r="F2219">
        <v>2018</v>
      </c>
      <c r="G2219" t="str">
        <f>IFERROR(INDEX(Formulations[Formulation],MATCH($C2219,Formulations[Product Code],0)),"")</f>
        <v/>
      </c>
    </row>
    <row r="2220" spans="1:7" x14ac:dyDescent="0.3">
      <c r="A2220" t="s">
        <v>1399</v>
      </c>
      <c r="B2220" t="s">
        <v>483</v>
      </c>
      <c r="C2220" t="s">
        <v>484</v>
      </c>
      <c r="D2220" s="7">
        <v>25</v>
      </c>
      <c r="E2220">
        <v>2020</v>
      </c>
      <c r="F2220">
        <v>2020</v>
      </c>
      <c r="G2220" t="str">
        <f>IFERROR(INDEX(Formulations[Formulation],MATCH($C2220,Formulations[Product Code],0)),"")</f>
        <v>Crystal</v>
      </c>
    </row>
    <row r="2221" spans="1:7" x14ac:dyDescent="0.3">
      <c r="A2221" t="s">
        <v>1407</v>
      </c>
      <c r="B2221" t="s">
        <v>1354</v>
      </c>
      <c r="D2221" s="7">
        <v>25</v>
      </c>
      <c r="E2221">
        <v>2020</v>
      </c>
      <c r="F2221">
        <v>2020</v>
      </c>
      <c r="G2221" t="str">
        <f>IFERROR(INDEX(Formulations[Formulation],MATCH($C2221,Formulations[Product Code],0)),"")</f>
        <v/>
      </c>
    </row>
    <row r="2222" spans="1:7" x14ac:dyDescent="0.3">
      <c r="A2222" t="s">
        <v>1430</v>
      </c>
      <c r="B2222" t="s">
        <v>702</v>
      </c>
      <c r="C2222" t="s">
        <v>703</v>
      </c>
      <c r="D2222" s="7">
        <v>25</v>
      </c>
      <c r="E2222">
        <v>2018</v>
      </c>
      <c r="F2222">
        <v>2018</v>
      </c>
      <c r="G2222" t="str">
        <f>IFERROR(INDEX(Formulations[Formulation],MATCH($C2222,Formulations[Product Code],0)),"")</f>
        <v>flouramax 40%, green apple 30%, strwaberry 15%, cocoa butter 15%</v>
      </c>
    </row>
    <row r="2223" spans="1:7" x14ac:dyDescent="0.3">
      <c r="A2223" t="s">
        <v>1439</v>
      </c>
      <c r="B2223" t="s">
        <v>1332</v>
      </c>
      <c r="C2223" t="s">
        <v>1333</v>
      </c>
      <c r="D2223" s="7">
        <v>25</v>
      </c>
      <c r="E2223">
        <v>2021</v>
      </c>
      <c r="F2223">
        <v>2021</v>
      </c>
      <c r="G2223" t="str">
        <f>IFERROR(INDEX(Formulations[Formulation],MATCH($C2223,Formulations[Product Code],0)),"")</f>
        <v>60 % OIL &amp; 40 % DPG</v>
      </c>
    </row>
    <row r="2224" spans="1:7" x14ac:dyDescent="0.3">
      <c r="A2224" t="s">
        <v>1439</v>
      </c>
      <c r="B2224" t="s">
        <v>696</v>
      </c>
      <c r="C2224" t="s">
        <v>697</v>
      </c>
      <c r="D2224" s="7">
        <v>25</v>
      </c>
      <c r="E2224">
        <v>2016</v>
      </c>
      <c r="F2224">
        <v>2016</v>
      </c>
      <c r="G2224" t="str">
        <f>IFERROR(INDEX(Formulations[Formulation],MATCH($C2224,Formulations[Product Code],0)),"")</f>
        <v/>
      </c>
    </row>
    <row r="2225" spans="1:7" x14ac:dyDescent="0.3">
      <c r="A2225" t="s">
        <v>1439</v>
      </c>
      <c r="B2225" t="s">
        <v>269</v>
      </c>
      <c r="C2225" t="s">
        <v>270</v>
      </c>
      <c r="D2225" s="7">
        <v>25</v>
      </c>
      <c r="E2225">
        <v>2015</v>
      </c>
      <c r="F2225">
        <v>2015</v>
      </c>
      <c r="G2225" t="str">
        <f>IFERROR(INDEX(Formulations[Formulation],MATCH($C2225,Formulations[Product Code],0)),"")</f>
        <v>Pure</v>
      </c>
    </row>
    <row r="2226" spans="1:7" x14ac:dyDescent="0.3">
      <c r="A2226" t="s">
        <v>1439</v>
      </c>
      <c r="B2226" t="s">
        <v>1447</v>
      </c>
      <c r="D2226" s="7">
        <v>25</v>
      </c>
      <c r="E2226">
        <v>2011</v>
      </c>
      <c r="F2226">
        <v>2011</v>
      </c>
      <c r="G2226" t="str">
        <f>IFERROR(INDEX(Formulations[Formulation],MATCH($C2226,Formulations[Product Code],0)),"")</f>
        <v/>
      </c>
    </row>
    <row r="2227" spans="1:7" x14ac:dyDescent="0.3">
      <c r="A2227" t="s">
        <v>1439</v>
      </c>
      <c r="B2227" t="s">
        <v>1449</v>
      </c>
      <c r="C2227" t="s">
        <v>1012</v>
      </c>
      <c r="D2227" s="7">
        <v>25</v>
      </c>
      <c r="E2227">
        <v>2016</v>
      </c>
      <c r="F2227">
        <v>2016</v>
      </c>
      <c r="G2227" t="str">
        <f>IFERROR(INDEX(Formulations[Formulation],MATCH($C2227,Formulations[Product Code],0)),"")</f>
        <v/>
      </c>
    </row>
    <row r="2228" spans="1:7" x14ac:dyDescent="0.3">
      <c r="A2228" t="s">
        <v>1439</v>
      </c>
      <c r="B2228" t="s">
        <v>1450</v>
      </c>
      <c r="C2228" t="s">
        <v>1451</v>
      </c>
      <c r="D2228" s="7">
        <v>25</v>
      </c>
      <c r="E2228">
        <v>2010</v>
      </c>
      <c r="F2228">
        <v>2010</v>
      </c>
      <c r="G2228" t="str">
        <f>IFERROR(INDEX(Formulations[Formulation],MATCH($C2228,Formulations[Product Code],0)),"")</f>
        <v/>
      </c>
    </row>
    <row r="2229" spans="1:7" x14ac:dyDescent="0.3">
      <c r="A2229" t="s">
        <v>1459</v>
      </c>
      <c r="B2229" t="s">
        <v>314</v>
      </c>
      <c r="C2229" t="s">
        <v>315</v>
      </c>
      <c r="D2229" s="7">
        <v>25</v>
      </c>
      <c r="E2229">
        <v>2013</v>
      </c>
      <c r="F2229">
        <v>2013</v>
      </c>
      <c r="G2229" t="str">
        <f>IFERROR(INDEX(Formulations[Formulation],MATCH($C2229,Formulations[Product Code],0)),"")</f>
        <v/>
      </c>
    </row>
    <row r="2230" spans="1:7" x14ac:dyDescent="0.3">
      <c r="A2230" t="s">
        <v>1460</v>
      </c>
      <c r="B2230" t="s">
        <v>26</v>
      </c>
      <c r="C2230" t="s">
        <v>27</v>
      </c>
      <c r="D2230" s="7">
        <v>25</v>
      </c>
      <c r="E2230">
        <v>2015</v>
      </c>
      <c r="F2230">
        <v>2015</v>
      </c>
      <c r="G2230" t="str">
        <f>IFERROR(INDEX(Formulations[Formulation],MATCH($C2230,Formulations[Product Code],0)),"")</f>
        <v>FLOURAMAX A270578/ P782894</v>
      </c>
    </row>
    <row r="2231" spans="1:7" x14ac:dyDescent="0.3">
      <c r="A2231" t="s">
        <v>1463</v>
      </c>
      <c r="B2231" t="s">
        <v>719</v>
      </c>
      <c r="C2231" t="s">
        <v>925</v>
      </c>
      <c r="D2231" s="7">
        <v>25</v>
      </c>
      <c r="E2231">
        <v>2013</v>
      </c>
      <c r="F2231">
        <v>2013</v>
      </c>
      <c r="G2231" t="str">
        <f>IFERROR(INDEX(Formulations[Formulation],MATCH($C2231,Formulations[Product Code],0)),"")</f>
        <v/>
      </c>
    </row>
    <row r="2232" spans="1:7" x14ac:dyDescent="0.3">
      <c r="A2232" t="s">
        <v>1463</v>
      </c>
      <c r="B2232" t="s">
        <v>1483</v>
      </c>
      <c r="C2232" t="s">
        <v>1484</v>
      </c>
      <c r="D2232" s="7">
        <v>25</v>
      </c>
      <c r="E2232">
        <v>2013</v>
      </c>
      <c r="F2232">
        <v>2013</v>
      </c>
      <c r="G2232" t="str">
        <f>IFERROR(INDEX(Formulations[Formulation],MATCH($C2232,Formulations[Product Code],0)),"")</f>
        <v/>
      </c>
    </row>
    <row r="2233" spans="1:7" x14ac:dyDescent="0.3">
      <c r="A2233" t="s">
        <v>1463</v>
      </c>
      <c r="B2233" t="s">
        <v>1487</v>
      </c>
      <c r="C2233" t="s">
        <v>1488</v>
      </c>
      <c r="D2233" s="7">
        <v>25</v>
      </c>
      <c r="E2233">
        <v>2012</v>
      </c>
      <c r="F2233">
        <v>2012</v>
      </c>
      <c r="G2233" t="str">
        <f>IFERROR(INDEX(Formulations[Formulation],MATCH($C2233,Formulations[Product Code],0)),"")</f>
        <v/>
      </c>
    </row>
    <row r="2234" spans="1:7" x14ac:dyDescent="0.3">
      <c r="A2234" t="s">
        <v>1463</v>
      </c>
      <c r="B2234" t="s">
        <v>1493</v>
      </c>
      <c r="C2234" t="s">
        <v>286</v>
      </c>
      <c r="D2234" s="7">
        <v>25</v>
      </c>
      <c r="E2234">
        <v>2013</v>
      </c>
      <c r="F2234">
        <v>2013</v>
      </c>
      <c r="G2234" t="str">
        <f>IFERROR(INDEX(Formulations[Formulation],MATCH($C2234,Formulations[Product Code],0)),"")</f>
        <v/>
      </c>
    </row>
    <row r="2235" spans="1:7" x14ac:dyDescent="0.3">
      <c r="A2235" t="s">
        <v>1463</v>
      </c>
      <c r="B2235" t="s">
        <v>1506</v>
      </c>
      <c r="D2235" s="7">
        <v>25</v>
      </c>
      <c r="E2235">
        <v>2013</v>
      </c>
      <c r="F2235">
        <v>2013</v>
      </c>
      <c r="G2235" t="str">
        <f>IFERROR(INDEX(Formulations[Formulation],MATCH($C2235,Formulations[Product Code],0)),"")</f>
        <v/>
      </c>
    </row>
    <row r="2236" spans="1:7" x14ac:dyDescent="0.3">
      <c r="A2236" t="s">
        <v>1463</v>
      </c>
      <c r="B2236" t="s">
        <v>363</v>
      </c>
      <c r="C2236" t="s">
        <v>364</v>
      </c>
      <c r="D2236" s="7">
        <v>25</v>
      </c>
      <c r="E2236">
        <v>2012</v>
      </c>
      <c r="F2236">
        <v>2012</v>
      </c>
      <c r="G2236" t="str">
        <f>IFERROR(INDEX(Formulations[Formulation],MATCH($C2236,Formulations[Product Code],0)),"")</f>
        <v/>
      </c>
    </row>
    <row r="2237" spans="1:7" x14ac:dyDescent="0.3">
      <c r="A2237" t="s">
        <v>1463</v>
      </c>
      <c r="B2237" t="s">
        <v>1532</v>
      </c>
      <c r="C2237" t="s">
        <v>1533</v>
      </c>
      <c r="D2237" s="7">
        <v>25</v>
      </c>
      <c r="E2237">
        <v>2013</v>
      </c>
      <c r="F2237">
        <v>2013</v>
      </c>
      <c r="G2237" t="str">
        <f>IFERROR(INDEX(Formulations[Formulation],MATCH($C2237,Formulations[Product Code],0)),"")</f>
        <v/>
      </c>
    </row>
    <row r="2238" spans="1:7" x14ac:dyDescent="0.3">
      <c r="A2238" t="s">
        <v>1463</v>
      </c>
      <c r="B2238" t="s">
        <v>225</v>
      </c>
      <c r="C2238" t="s">
        <v>226</v>
      </c>
      <c r="D2238" s="7">
        <v>25</v>
      </c>
      <c r="E2238">
        <v>2012</v>
      </c>
      <c r="F2238">
        <v>2012</v>
      </c>
      <c r="G2238" t="str">
        <f>IFERROR(INDEX(Formulations[Formulation],MATCH($C2238,Formulations[Product Code],0)),"")</f>
        <v/>
      </c>
    </row>
    <row r="2239" spans="1:7" x14ac:dyDescent="0.3">
      <c r="A2239" t="s">
        <v>1463</v>
      </c>
      <c r="B2239" t="s">
        <v>1566</v>
      </c>
      <c r="C2239" t="s">
        <v>1567</v>
      </c>
      <c r="D2239" s="7">
        <v>25</v>
      </c>
      <c r="E2239">
        <v>2013</v>
      </c>
      <c r="F2239">
        <v>2013</v>
      </c>
      <c r="G2239" t="str">
        <f>IFERROR(INDEX(Formulations[Formulation],MATCH($C2239,Formulations[Product Code],0)),"")</f>
        <v/>
      </c>
    </row>
    <row r="2240" spans="1:7" x14ac:dyDescent="0.3">
      <c r="A2240" t="s">
        <v>1463</v>
      </c>
      <c r="B2240" t="s">
        <v>1587</v>
      </c>
      <c r="C2240" t="s">
        <v>1588</v>
      </c>
      <c r="D2240" s="7">
        <v>25</v>
      </c>
      <c r="E2240">
        <v>2013</v>
      </c>
      <c r="F2240">
        <v>2013</v>
      </c>
      <c r="G2240" t="str">
        <f>IFERROR(INDEX(Formulations[Formulation],MATCH($C2240,Formulations[Product Code],0)),"")</f>
        <v/>
      </c>
    </row>
    <row r="2241" spans="1:7" x14ac:dyDescent="0.3">
      <c r="A2241" t="s">
        <v>1463</v>
      </c>
      <c r="B2241" t="s">
        <v>1589</v>
      </c>
      <c r="C2241" t="s">
        <v>1590</v>
      </c>
      <c r="D2241" s="7">
        <v>25</v>
      </c>
      <c r="E2241">
        <v>2012</v>
      </c>
      <c r="F2241">
        <v>2012</v>
      </c>
      <c r="G2241" t="str">
        <f>IFERROR(INDEX(Formulations[Formulation],MATCH($C2241,Formulations[Product Code],0)),"")</f>
        <v/>
      </c>
    </row>
    <row r="2242" spans="1:7" x14ac:dyDescent="0.3">
      <c r="A2242" t="s">
        <v>1463</v>
      </c>
      <c r="B2242" t="s">
        <v>1592</v>
      </c>
      <c r="C2242" t="s">
        <v>1593</v>
      </c>
      <c r="D2242" s="7">
        <v>25</v>
      </c>
      <c r="E2242">
        <v>2013</v>
      </c>
      <c r="F2242">
        <v>2013</v>
      </c>
      <c r="G2242" t="str">
        <f>IFERROR(INDEX(Formulations[Formulation],MATCH($C2242,Formulations[Product Code],0)),"")</f>
        <v/>
      </c>
    </row>
    <row r="2243" spans="1:7" x14ac:dyDescent="0.3">
      <c r="A2243" t="s">
        <v>1463</v>
      </c>
      <c r="B2243" t="s">
        <v>316</v>
      </c>
      <c r="C2243" t="s">
        <v>317</v>
      </c>
      <c r="D2243" s="7">
        <v>25</v>
      </c>
      <c r="E2243">
        <v>2013</v>
      </c>
      <c r="F2243">
        <v>2013</v>
      </c>
      <c r="G2243" t="str">
        <f>IFERROR(INDEX(Formulations[Formulation],MATCH($C2243,Formulations[Product Code],0)),"")</f>
        <v/>
      </c>
    </row>
    <row r="2244" spans="1:7" x14ac:dyDescent="0.3">
      <c r="A2244" t="s">
        <v>1641</v>
      </c>
      <c r="B2244" t="s">
        <v>174</v>
      </c>
      <c r="C2244" t="s">
        <v>175</v>
      </c>
      <c r="D2244" s="7">
        <v>25</v>
      </c>
      <c r="E2244">
        <v>2019</v>
      </c>
      <c r="F2244">
        <v>2019</v>
      </c>
      <c r="G2244" t="str">
        <f>IFERROR(INDEX(Formulations[Formulation],MATCH($C2244,Formulations[Product Code],0)),"")</f>
        <v/>
      </c>
    </row>
    <row r="2245" spans="1:7" x14ac:dyDescent="0.3">
      <c r="A2245" t="s">
        <v>1656</v>
      </c>
      <c r="B2245" t="s">
        <v>110</v>
      </c>
      <c r="C2245" t="s">
        <v>111</v>
      </c>
      <c r="D2245" s="7">
        <v>25</v>
      </c>
      <c r="E2245">
        <v>2021</v>
      </c>
      <c r="F2245">
        <v>2021</v>
      </c>
      <c r="G2245" t="str">
        <f>IFERROR(INDEX(Formulations[Formulation],MATCH($C2245,Formulations[Product Code],0)),"")</f>
        <v>75% Lemon Zeste, 25% lemon Top &amp; the Gold DPG)</v>
      </c>
    </row>
    <row r="2246" spans="1:7" x14ac:dyDescent="0.3">
      <c r="A2246" t="s">
        <v>1658</v>
      </c>
      <c r="B2246" t="s">
        <v>567</v>
      </c>
      <c r="C2246" t="s">
        <v>698</v>
      </c>
      <c r="D2246" s="7">
        <v>25</v>
      </c>
      <c r="E2246">
        <v>2017</v>
      </c>
      <c r="F2246">
        <v>2017</v>
      </c>
      <c r="G2246" t="str">
        <f>IFERROR(INDEX(Formulations[Formulation],MATCH($C2246,Formulations[Product Code],0)),"")</f>
        <v>Crystal</v>
      </c>
    </row>
    <row r="2247" spans="1:7" x14ac:dyDescent="0.3">
      <c r="A2247" t="s">
        <v>1658</v>
      </c>
      <c r="B2247" t="s">
        <v>240</v>
      </c>
      <c r="D2247" s="7">
        <v>25</v>
      </c>
      <c r="E2247">
        <v>2013</v>
      </c>
      <c r="F2247">
        <v>2014</v>
      </c>
      <c r="G2247" t="str">
        <f>IFERROR(INDEX(Formulations[Formulation],MATCH($C2247,Formulations[Product Code],0)),"")</f>
        <v/>
      </c>
    </row>
    <row r="2248" spans="1:7" x14ac:dyDescent="0.3">
      <c r="A2248" t="s">
        <v>1663</v>
      </c>
      <c r="B2248" t="s">
        <v>686</v>
      </c>
      <c r="C2248" t="s">
        <v>866</v>
      </c>
      <c r="D2248" s="7">
        <v>25</v>
      </c>
      <c r="E2248">
        <v>2019</v>
      </c>
      <c r="F2248">
        <v>2019</v>
      </c>
      <c r="G2248" t="str">
        <f>IFERROR(INDEX(Formulations[Formulation],MATCH($C2248,Formulations[Product Code],0)),"")</f>
        <v/>
      </c>
    </row>
    <row r="2249" spans="1:7" x14ac:dyDescent="0.3">
      <c r="A2249" t="s">
        <v>1663</v>
      </c>
      <c r="B2249" t="s">
        <v>19</v>
      </c>
      <c r="C2249" t="s">
        <v>20</v>
      </c>
      <c r="D2249" s="7">
        <v>25</v>
      </c>
      <c r="E2249">
        <v>2019</v>
      </c>
      <c r="F2249">
        <v>2019</v>
      </c>
      <c r="G2249" t="str">
        <f>IFERROR(INDEX(Formulations[Formulation],MATCH($C2249,Formulations[Product Code],0)),"")</f>
        <v>80 % Oil AND 20 % DPG</v>
      </c>
    </row>
    <row r="2250" spans="1:7" x14ac:dyDescent="0.3">
      <c r="A2250" t="s">
        <v>1664</v>
      </c>
      <c r="B2250" t="s">
        <v>573</v>
      </c>
      <c r="C2250" t="s">
        <v>574</v>
      </c>
      <c r="D2250" s="7">
        <v>25</v>
      </c>
      <c r="E2250">
        <v>2017</v>
      </c>
      <c r="F2250">
        <v>2017</v>
      </c>
      <c r="G2250" t="str">
        <f>IFERROR(INDEX(Formulations[Formulation],MATCH($C2250,Formulations[Product Code],0)),"")</f>
        <v>Crystal</v>
      </c>
    </row>
    <row r="2251" spans="1:7" x14ac:dyDescent="0.3">
      <c r="A2251" t="s">
        <v>1668</v>
      </c>
      <c r="B2251" t="s">
        <v>567</v>
      </c>
      <c r="C2251" t="s">
        <v>698</v>
      </c>
      <c r="D2251" s="7">
        <v>25</v>
      </c>
      <c r="E2251">
        <v>2020</v>
      </c>
      <c r="F2251">
        <v>2020</v>
      </c>
      <c r="G2251" t="str">
        <f>IFERROR(INDEX(Formulations[Formulation],MATCH($C2251,Formulations[Product Code],0)),"")</f>
        <v>Crystal</v>
      </c>
    </row>
    <row r="2252" spans="1:7" x14ac:dyDescent="0.3">
      <c r="A2252" t="s">
        <v>1678</v>
      </c>
      <c r="B2252" t="s">
        <v>438</v>
      </c>
      <c r="C2252" t="s">
        <v>439</v>
      </c>
      <c r="D2252" s="7">
        <v>25</v>
      </c>
      <c r="E2252">
        <v>2017</v>
      </c>
      <c r="F2252">
        <v>2017</v>
      </c>
      <c r="G2252" t="str">
        <f>IFERROR(INDEX(Formulations[Formulation],MATCH($C2252,Formulations[Product Code],0)),"")</f>
        <v>Pure</v>
      </c>
    </row>
    <row r="2253" spans="1:7" x14ac:dyDescent="0.3">
      <c r="A2253" t="s">
        <v>1679</v>
      </c>
      <c r="B2253" t="s">
        <v>314</v>
      </c>
      <c r="C2253" t="s">
        <v>315</v>
      </c>
      <c r="D2253" s="7">
        <v>25</v>
      </c>
      <c r="E2253">
        <v>2012</v>
      </c>
      <c r="F2253">
        <v>2012</v>
      </c>
      <c r="G2253" t="str">
        <f>IFERROR(INDEX(Formulations[Formulation],MATCH($C2253,Formulations[Product Code],0)),"")</f>
        <v/>
      </c>
    </row>
    <row r="2254" spans="1:7" x14ac:dyDescent="0.3">
      <c r="A2254" t="s">
        <v>1682</v>
      </c>
      <c r="B2254" t="s">
        <v>702</v>
      </c>
      <c r="C2254" t="s">
        <v>703</v>
      </c>
      <c r="D2254" s="7">
        <v>25</v>
      </c>
      <c r="E2254">
        <v>2019</v>
      </c>
      <c r="F2254">
        <v>2019</v>
      </c>
      <c r="G2254" t="str">
        <f>IFERROR(INDEX(Formulations[Formulation],MATCH($C2254,Formulations[Product Code],0)),"")</f>
        <v>flouramax 40%, green apple 30%, strwaberry 15%, cocoa butter 15%</v>
      </c>
    </row>
    <row r="2255" spans="1:7" x14ac:dyDescent="0.3">
      <c r="A2255" t="s">
        <v>1682</v>
      </c>
      <c r="B2255" t="s">
        <v>334</v>
      </c>
      <c r="C2255" t="s">
        <v>335</v>
      </c>
      <c r="D2255" s="7">
        <v>25</v>
      </c>
      <c r="E2255">
        <v>2017</v>
      </c>
      <c r="F2255">
        <v>2017</v>
      </c>
      <c r="G2255" t="str">
        <f>IFERROR(INDEX(Formulations[Formulation],MATCH($C2255,Formulations[Product Code],0)),"")</f>
        <v>Pure</v>
      </c>
    </row>
    <row r="2256" spans="1:7" x14ac:dyDescent="0.3">
      <c r="A2256" t="s">
        <v>1683</v>
      </c>
      <c r="B2256" t="s">
        <v>602</v>
      </c>
      <c r="C2256" t="s">
        <v>603</v>
      </c>
      <c r="D2256" s="7">
        <v>25</v>
      </c>
      <c r="E2256">
        <v>2021</v>
      </c>
      <c r="F2256">
        <v>2021</v>
      </c>
      <c r="G2256" t="str">
        <f>IFERROR(INDEX(Formulations[Formulation],MATCH($C2256,Formulations[Product Code],0)),"")</f>
        <v>Crystal</v>
      </c>
    </row>
    <row r="2257" spans="1:7" x14ac:dyDescent="0.3">
      <c r="A2257" t="s">
        <v>1683</v>
      </c>
      <c r="B2257" t="s">
        <v>597</v>
      </c>
      <c r="C2257" t="s">
        <v>598</v>
      </c>
      <c r="D2257" s="7">
        <v>25</v>
      </c>
      <c r="E2257">
        <v>2021</v>
      </c>
      <c r="F2257">
        <v>2021</v>
      </c>
      <c r="G2257" t="str">
        <f>IFERROR(INDEX(Formulations[Formulation],MATCH($C2257,Formulations[Product Code],0)),"")</f>
        <v>Silver</v>
      </c>
    </row>
    <row r="2258" spans="1:7" x14ac:dyDescent="0.3">
      <c r="A2258" t="s">
        <v>1683</v>
      </c>
      <c r="B2258" t="s">
        <v>1104</v>
      </c>
      <c r="C2258" t="s">
        <v>1105</v>
      </c>
      <c r="D2258" s="7">
        <v>25</v>
      </c>
      <c r="E2258">
        <v>2021</v>
      </c>
      <c r="F2258">
        <v>2021</v>
      </c>
      <c r="G2258" t="str">
        <f>IFERROR(INDEX(Formulations[Formulation],MATCH($C2258,Formulations[Product Code],0)),"")</f>
        <v>Silver</v>
      </c>
    </row>
    <row r="2259" spans="1:7" x14ac:dyDescent="0.3">
      <c r="A2259" t="s">
        <v>1690</v>
      </c>
      <c r="B2259" t="s">
        <v>184</v>
      </c>
      <c r="C2259" t="s">
        <v>185</v>
      </c>
      <c r="D2259" s="7">
        <v>25</v>
      </c>
      <c r="E2259">
        <v>2019</v>
      </c>
      <c r="F2259">
        <v>2019</v>
      </c>
      <c r="G2259" t="str">
        <f>IFERROR(INDEX(Formulations[Formulation],MATCH($C2259,Formulations[Product Code],0)),"")</f>
        <v/>
      </c>
    </row>
    <row r="2260" spans="1:7" x14ac:dyDescent="0.3">
      <c r="A2260" t="s">
        <v>1690</v>
      </c>
      <c r="B2260" t="s">
        <v>686</v>
      </c>
      <c r="C2260" t="s">
        <v>866</v>
      </c>
      <c r="D2260" s="7">
        <v>25</v>
      </c>
      <c r="E2260">
        <v>2019</v>
      </c>
      <c r="F2260">
        <v>2019</v>
      </c>
      <c r="G2260" t="str">
        <f>IFERROR(INDEX(Formulations[Formulation],MATCH($C2260,Formulations[Product Code],0)),"")</f>
        <v/>
      </c>
    </row>
    <row r="2261" spans="1:7" x14ac:dyDescent="0.3">
      <c r="A2261" t="s">
        <v>1690</v>
      </c>
      <c r="B2261" t="s">
        <v>404</v>
      </c>
      <c r="C2261" t="s">
        <v>405</v>
      </c>
      <c r="D2261" s="7">
        <v>25</v>
      </c>
      <c r="E2261">
        <v>2019</v>
      </c>
      <c r="F2261">
        <v>2019</v>
      </c>
      <c r="G2261" t="str">
        <f>IFERROR(INDEX(Formulations[Formulation],MATCH($C2261,Formulations[Product Code],0)),"")</f>
        <v/>
      </c>
    </row>
    <row r="2262" spans="1:7" x14ac:dyDescent="0.3">
      <c r="A2262" t="s">
        <v>1690</v>
      </c>
      <c r="B2262" t="s">
        <v>1691</v>
      </c>
      <c r="C2262" t="s">
        <v>321</v>
      </c>
      <c r="D2262" s="7">
        <v>25</v>
      </c>
      <c r="E2262">
        <v>2017</v>
      </c>
      <c r="F2262">
        <v>2017</v>
      </c>
      <c r="G2262" t="str">
        <f>IFERROR(INDEX(Formulations[Formulation],MATCH($C2262,Formulations[Product Code],0)),"")</f>
        <v/>
      </c>
    </row>
    <row r="2263" spans="1:7" x14ac:dyDescent="0.3">
      <c r="A2263" t="s">
        <v>1693</v>
      </c>
      <c r="B2263" t="s">
        <v>174</v>
      </c>
      <c r="C2263" t="s">
        <v>175</v>
      </c>
      <c r="D2263" s="7">
        <v>25</v>
      </c>
      <c r="E2263">
        <v>2017</v>
      </c>
      <c r="F2263">
        <v>2017</v>
      </c>
      <c r="G2263" t="str">
        <f>IFERROR(INDEX(Formulations[Formulation],MATCH($C2263,Formulations[Product Code],0)),"")</f>
        <v/>
      </c>
    </row>
    <row r="2264" spans="1:7" x14ac:dyDescent="0.3">
      <c r="A2264" t="s">
        <v>1693</v>
      </c>
      <c r="B2264" t="s">
        <v>290</v>
      </c>
      <c r="C2264" t="s">
        <v>57</v>
      </c>
      <c r="D2264" s="7">
        <v>25</v>
      </c>
      <c r="E2264">
        <v>2017</v>
      </c>
      <c r="F2264">
        <v>2017</v>
      </c>
      <c r="G2264" t="str">
        <f>IFERROR(INDEX(Formulations[Formulation],MATCH($C2264,Formulations[Product Code],0)),"")</f>
        <v/>
      </c>
    </row>
    <row r="2265" spans="1:7" x14ac:dyDescent="0.3">
      <c r="A2265" t="s">
        <v>1693</v>
      </c>
      <c r="B2265" t="s">
        <v>41</v>
      </c>
      <c r="C2265" t="s">
        <v>42</v>
      </c>
      <c r="D2265" s="7">
        <v>25</v>
      </c>
      <c r="E2265">
        <v>2017</v>
      </c>
      <c r="F2265">
        <v>2017</v>
      </c>
      <c r="G2265" t="str">
        <f>IFERROR(INDEX(Formulations[Formulation],MATCH($C2265,Formulations[Product Code],0)),"")</f>
        <v/>
      </c>
    </row>
    <row r="2266" spans="1:7" x14ac:dyDescent="0.3">
      <c r="A2266" t="s">
        <v>1693</v>
      </c>
      <c r="B2266" t="s">
        <v>314</v>
      </c>
      <c r="C2266" t="s">
        <v>315</v>
      </c>
      <c r="D2266" s="7">
        <v>25</v>
      </c>
      <c r="E2266">
        <v>2017</v>
      </c>
      <c r="F2266">
        <v>2017</v>
      </c>
      <c r="G2266" t="str">
        <f>IFERROR(INDEX(Formulations[Formulation],MATCH($C2266,Formulations[Product Code],0)),"")</f>
        <v/>
      </c>
    </row>
    <row r="2267" spans="1:7" x14ac:dyDescent="0.3">
      <c r="A2267" t="s">
        <v>1696</v>
      </c>
      <c r="B2267" t="s">
        <v>483</v>
      </c>
      <c r="C2267" t="s">
        <v>484</v>
      </c>
      <c r="D2267" s="7">
        <v>25</v>
      </c>
      <c r="E2267">
        <v>2021</v>
      </c>
      <c r="F2267">
        <v>2021</v>
      </c>
      <c r="G2267" t="str">
        <f>IFERROR(INDEX(Formulations[Formulation],MATCH($C2267,Formulations[Product Code],0)),"")</f>
        <v>Crystal</v>
      </c>
    </row>
    <row r="2268" spans="1:7" x14ac:dyDescent="0.3">
      <c r="A2268" t="s">
        <v>1702</v>
      </c>
      <c r="B2268" t="s">
        <v>567</v>
      </c>
      <c r="C2268" t="s">
        <v>698</v>
      </c>
      <c r="D2268" s="7">
        <v>25</v>
      </c>
      <c r="E2268">
        <v>2020</v>
      </c>
      <c r="F2268">
        <v>2020</v>
      </c>
      <c r="G2268" t="str">
        <f>IFERROR(INDEX(Formulations[Formulation],MATCH($C2268,Formulations[Product Code],0)),"")</f>
        <v>Crystal</v>
      </c>
    </row>
    <row r="2269" spans="1:7" x14ac:dyDescent="0.3">
      <c r="A2269" t="s">
        <v>1721</v>
      </c>
      <c r="B2269" t="s">
        <v>1722</v>
      </c>
      <c r="C2269" t="s">
        <v>1723</v>
      </c>
      <c r="D2269" s="7">
        <v>25</v>
      </c>
      <c r="E2269">
        <v>2010</v>
      </c>
      <c r="F2269">
        <v>2010</v>
      </c>
      <c r="G2269" t="str">
        <f>IFERROR(INDEX(Formulations[Formulation],MATCH($C2269,Formulations[Product Code],0)),"")</f>
        <v/>
      </c>
    </row>
    <row r="2270" spans="1:7" x14ac:dyDescent="0.3">
      <c r="A2270" t="s">
        <v>1721</v>
      </c>
      <c r="B2270" t="s">
        <v>635</v>
      </c>
      <c r="C2270" t="s">
        <v>1724</v>
      </c>
      <c r="D2270" s="7">
        <v>25</v>
      </c>
      <c r="E2270">
        <v>2012</v>
      </c>
      <c r="F2270">
        <v>2012</v>
      </c>
      <c r="G2270" t="str">
        <f>IFERROR(INDEX(Formulations[Formulation],MATCH($C2270,Formulations[Product Code],0)),"")</f>
        <v/>
      </c>
    </row>
    <row r="2271" spans="1:7" x14ac:dyDescent="0.3">
      <c r="A2271" t="s">
        <v>1721</v>
      </c>
      <c r="B2271" t="s">
        <v>1728</v>
      </c>
      <c r="C2271" t="s">
        <v>1729</v>
      </c>
      <c r="D2271" s="7">
        <v>25</v>
      </c>
      <c r="E2271">
        <v>2010</v>
      </c>
      <c r="F2271">
        <v>2010</v>
      </c>
      <c r="G2271" t="str">
        <f>IFERROR(INDEX(Formulations[Formulation],MATCH($C2271,Formulations[Product Code],0)),"")</f>
        <v/>
      </c>
    </row>
    <row r="2272" spans="1:7" x14ac:dyDescent="0.3">
      <c r="A2272" t="s">
        <v>1721</v>
      </c>
      <c r="B2272" t="s">
        <v>567</v>
      </c>
      <c r="C2272" t="s">
        <v>698</v>
      </c>
      <c r="D2272" s="7">
        <v>25</v>
      </c>
      <c r="E2272">
        <v>2016</v>
      </c>
      <c r="F2272">
        <v>2016</v>
      </c>
      <c r="G2272" t="str">
        <f>IFERROR(INDEX(Formulations[Formulation],MATCH($C2272,Formulations[Product Code],0)),"")</f>
        <v>Crystal</v>
      </c>
    </row>
    <row r="2273" spans="1:7" x14ac:dyDescent="0.3">
      <c r="A2273" t="s">
        <v>1721</v>
      </c>
      <c r="B2273" t="s">
        <v>297</v>
      </c>
      <c r="C2273" t="s">
        <v>298</v>
      </c>
      <c r="D2273" s="7">
        <v>25</v>
      </c>
      <c r="E2273">
        <v>2016</v>
      </c>
      <c r="F2273">
        <v>2016</v>
      </c>
      <c r="G2273" t="str">
        <f>IFERROR(INDEX(Formulations[Formulation],MATCH($C2273,Formulations[Product Code],0)),"")</f>
        <v>Pure</v>
      </c>
    </row>
    <row r="2274" spans="1:7" x14ac:dyDescent="0.3">
      <c r="A2274" t="s">
        <v>1721</v>
      </c>
      <c r="B2274" t="s">
        <v>1730</v>
      </c>
      <c r="C2274" t="s">
        <v>1731</v>
      </c>
      <c r="D2274" s="7">
        <v>25</v>
      </c>
      <c r="E2274">
        <v>2014</v>
      </c>
      <c r="F2274">
        <v>2014</v>
      </c>
      <c r="G2274" t="str">
        <f>IFERROR(INDEX(Formulations[Formulation],MATCH($C2274,Formulations[Product Code],0)),"")</f>
        <v/>
      </c>
    </row>
    <row r="2275" spans="1:7" x14ac:dyDescent="0.3">
      <c r="A2275" t="s">
        <v>1721</v>
      </c>
      <c r="B2275" t="s">
        <v>995</v>
      </c>
      <c r="C2275" t="s">
        <v>672</v>
      </c>
      <c r="D2275" s="7">
        <v>25</v>
      </c>
      <c r="E2275">
        <v>2016</v>
      </c>
      <c r="F2275">
        <v>2016</v>
      </c>
      <c r="G2275" t="str">
        <f>IFERROR(INDEX(Formulations[Formulation],MATCH($C2275,Formulations[Product Code],0)),"")</f>
        <v>Pure</v>
      </c>
    </row>
    <row r="2276" spans="1:7" x14ac:dyDescent="0.3">
      <c r="A2276" t="s">
        <v>1721</v>
      </c>
      <c r="B2276" t="s">
        <v>1732</v>
      </c>
      <c r="C2276" t="s">
        <v>1733</v>
      </c>
      <c r="D2276" s="7">
        <v>25</v>
      </c>
      <c r="E2276">
        <v>2010</v>
      </c>
      <c r="F2276">
        <v>2010</v>
      </c>
      <c r="G2276" t="str">
        <f>IFERROR(INDEX(Formulations[Formulation],MATCH($C2276,Formulations[Product Code],0)),"")</f>
        <v/>
      </c>
    </row>
    <row r="2277" spans="1:7" x14ac:dyDescent="0.3">
      <c r="A2277" t="s">
        <v>1721</v>
      </c>
      <c r="B2277" t="s">
        <v>620</v>
      </c>
      <c r="C2277" t="s">
        <v>1736</v>
      </c>
      <c r="D2277" s="7">
        <v>25</v>
      </c>
      <c r="E2277">
        <v>2010</v>
      </c>
      <c r="F2277">
        <v>2010</v>
      </c>
      <c r="G2277" t="str">
        <f>IFERROR(INDEX(Formulations[Formulation],MATCH($C2277,Formulations[Product Code],0)),"")</f>
        <v/>
      </c>
    </row>
    <row r="2278" spans="1:7" x14ac:dyDescent="0.3">
      <c r="A2278" t="s">
        <v>1743</v>
      </c>
      <c r="B2278" t="s">
        <v>714</v>
      </c>
      <c r="C2278" t="s">
        <v>715</v>
      </c>
      <c r="D2278" s="7">
        <v>25</v>
      </c>
      <c r="E2278">
        <v>2017</v>
      </c>
      <c r="F2278">
        <v>2017</v>
      </c>
      <c r="G2278" t="str">
        <f>IFERROR(INDEX(Formulations[Formulation],MATCH($C2278,Formulations[Product Code],0)),"")</f>
        <v/>
      </c>
    </row>
    <row r="2279" spans="1:7" x14ac:dyDescent="0.3">
      <c r="A2279" t="s">
        <v>1743</v>
      </c>
      <c r="B2279" t="s">
        <v>602</v>
      </c>
      <c r="C2279" t="s">
        <v>603</v>
      </c>
      <c r="D2279" s="7">
        <v>25</v>
      </c>
      <c r="E2279">
        <v>2017</v>
      </c>
      <c r="F2279">
        <v>2017</v>
      </c>
      <c r="G2279" t="str">
        <f>IFERROR(INDEX(Formulations[Formulation],MATCH($C2279,Formulations[Product Code],0)),"")</f>
        <v>Crystal</v>
      </c>
    </row>
    <row r="2280" spans="1:7" x14ac:dyDescent="0.3">
      <c r="A2280" t="s">
        <v>1750</v>
      </c>
      <c r="B2280" t="s">
        <v>1751</v>
      </c>
      <c r="D2280" s="7">
        <v>25</v>
      </c>
      <c r="E2280">
        <v>2017</v>
      </c>
      <c r="F2280">
        <v>2017</v>
      </c>
      <c r="G2280" t="str">
        <f>IFERROR(INDEX(Formulations[Formulation],MATCH($C2280,Formulations[Product Code],0)),"")</f>
        <v/>
      </c>
    </row>
    <row r="2281" spans="1:7" x14ac:dyDescent="0.3">
      <c r="A2281" t="s">
        <v>1761</v>
      </c>
      <c r="B2281" t="s">
        <v>867</v>
      </c>
      <c r="C2281" t="s">
        <v>868</v>
      </c>
      <c r="D2281" s="7">
        <v>25</v>
      </c>
      <c r="E2281">
        <v>2018</v>
      </c>
      <c r="F2281">
        <v>2018</v>
      </c>
      <c r="G2281" t="str">
        <f>IFERROR(INDEX(Formulations[Formulation],MATCH($C2281,Formulations[Product Code],0)),"")</f>
        <v>Crystal</v>
      </c>
    </row>
    <row r="2282" spans="1:7" x14ac:dyDescent="0.3">
      <c r="A2282" t="s">
        <v>1761</v>
      </c>
      <c r="B2282" t="s">
        <v>46</v>
      </c>
      <c r="C2282" t="s">
        <v>47</v>
      </c>
      <c r="D2282" s="7">
        <v>25</v>
      </c>
      <c r="E2282">
        <v>2018</v>
      </c>
      <c r="F2282">
        <v>2018</v>
      </c>
      <c r="G2282" t="str">
        <f>IFERROR(INDEX(Formulations[Formulation],MATCH($C2282,Formulations[Product Code],0)),"")</f>
        <v/>
      </c>
    </row>
    <row r="2283" spans="1:7" x14ac:dyDescent="0.3">
      <c r="A2283" t="s">
        <v>1773</v>
      </c>
      <c r="B2283" t="s">
        <v>1774</v>
      </c>
      <c r="C2283" t="s">
        <v>1775</v>
      </c>
      <c r="D2283" s="7">
        <v>25</v>
      </c>
      <c r="E2283">
        <v>2017</v>
      </c>
      <c r="F2283">
        <v>2017</v>
      </c>
      <c r="G2283" t="str">
        <f>IFERROR(INDEX(Formulations[Formulation],MATCH($C2283,Formulations[Product Code],0)),"")</f>
        <v/>
      </c>
    </row>
    <row r="2284" spans="1:7" x14ac:dyDescent="0.3">
      <c r="A2284" t="s">
        <v>1773</v>
      </c>
      <c r="B2284" t="s">
        <v>626</v>
      </c>
      <c r="C2284" t="s">
        <v>582</v>
      </c>
      <c r="D2284" s="7">
        <v>25</v>
      </c>
      <c r="E2284">
        <v>2019</v>
      </c>
      <c r="F2284">
        <v>2019</v>
      </c>
      <c r="G2284" t="str">
        <f>IFERROR(INDEX(Formulations[Formulation],MATCH($C2284,Formulations[Product Code],0)),"")</f>
        <v/>
      </c>
    </row>
    <row r="2285" spans="1:7" x14ac:dyDescent="0.3">
      <c r="A2285" t="s">
        <v>1773</v>
      </c>
      <c r="B2285" t="s">
        <v>1779</v>
      </c>
      <c r="C2285" t="s">
        <v>1780</v>
      </c>
      <c r="D2285" s="7">
        <v>25</v>
      </c>
      <c r="E2285">
        <v>2019</v>
      </c>
      <c r="F2285">
        <v>2019</v>
      </c>
      <c r="G2285" t="str">
        <f>IFERROR(INDEX(Formulations[Formulation],MATCH($C2285,Formulations[Product Code],0)),"")</f>
        <v/>
      </c>
    </row>
    <row r="2286" spans="1:7" x14ac:dyDescent="0.3">
      <c r="A2286" t="s">
        <v>1773</v>
      </c>
      <c r="B2286" t="s">
        <v>1781</v>
      </c>
      <c r="C2286" t="s">
        <v>1782</v>
      </c>
      <c r="D2286" s="7">
        <v>25</v>
      </c>
      <c r="E2286">
        <v>2019</v>
      </c>
      <c r="F2286">
        <v>2019</v>
      </c>
      <c r="G2286" t="str">
        <f>IFERROR(INDEX(Formulations[Formulation],MATCH($C2286,Formulations[Product Code],0)),"")</f>
        <v/>
      </c>
    </row>
    <row r="2287" spans="1:7" x14ac:dyDescent="0.3">
      <c r="A2287" t="s">
        <v>1773</v>
      </c>
      <c r="B2287" t="s">
        <v>58</v>
      </c>
      <c r="C2287" t="s">
        <v>59</v>
      </c>
      <c r="D2287" s="7">
        <v>25</v>
      </c>
      <c r="E2287">
        <v>2019</v>
      </c>
      <c r="F2287">
        <v>2019</v>
      </c>
      <c r="G2287" t="str">
        <f>IFERROR(INDEX(Formulations[Formulation],MATCH($C2287,Formulations[Product Code],0)),"")</f>
        <v>Pure</v>
      </c>
    </row>
    <row r="2288" spans="1:7" x14ac:dyDescent="0.3">
      <c r="A2288" t="s">
        <v>1773</v>
      </c>
      <c r="B2288" t="s">
        <v>600</v>
      </c>
      <c r="C2288" t="s">
        <v>75</v>
      </c>
      <c r="D2288" s="7">
        <v>25</v>
      </c>
      <c r="E2288">
        <v>2019</v>
      </c>
      <c r="F2288">
        <v>2019</v>
      </c>
      <c r="G2288" t="str">
        <f>IFERROR(INDEX(Formulations[Formulation],MATCH($C2288,Formulations[Product Code],0)),"")</f>
        <v>Crystal</v>
      </c>
    </row>
    <row r="2289" spans="1:7" x14ac:dyDescent="0.3">
      <c r="A2289" t="s">
        <v>1783</v>
      </c>
      <c r="B2289" t="s">
        <v>696</v>
      </c>
      <c r="C2289" t="s">
        <v>697</v>
      </c>
      <c r="D2289" s="7">
        <v>25</v>
      </c>
      <c r="E2289">
        <v>2016</v>
      </c>
      <c r="F2289">
        <v>2016</v>
      </c>
      <c r="G2289" t="str">
        <f>IFERROR(INDEX(Formulations[Formulation],MATCH($C2289,Formulations[Product Code],0)),"")</f>
        <v/>
      </c>
    </row>
    <row r="2290" spans="1:7" x14ac:dyDescent="0.3">
      <c r="A2290" t="s">
        <v>1784</v>
      </c>
      <c r="B2290" t="s">
        <v>84</v>
      </c>
      <c r="C2290" t="s">
        <v>85</v>
      </c>
      <c r="D2290" s="7">
        <v>25</v>
      </c>
      <c r="E2290">
        <v>2015</v>
      </c>
      <c r="F2290">
        <v>2015</v>
      </c>
      <c r="G2290" t="str">
        <f>IFERROR(INDEX(Formulations[Formulation],MATCH($C2290,Formulations[Product Code],0)),"")</f>
        <v>Pure</v>
      </c>
    </row>
    <row r="2291" spans="1:7" x14ac:dyDescent="0.3">
      <c r="A2291" t="s">
        <v>1799</v>
      </c>
      <c r="B2291" t="s">
        <v>41</v>
      </c>
      <c r="C2291" t="s">
        <v>42</v>
      </c>
      <c r="D2291" s="7">
        <v>25</v>
      </c>
      <c r="E2291">
        <v>2014</v>
      </c>
      <c r="F2291">
        <v>2014</v>
      </c>
      <c r="G2291" t="str">
        <f>IFERROR(INDEX(Formulations[Formulation],MATCH($C2291,Formulations[Product Code],0)),"")</f>
        <v/>
      </c>
    </row>
    <row r="2292" spans="1:7" x14ac:dyDescent="0.3">
      <c r="A2292" t="s">
        <v>1799</v>
      </c>
      <c r="B2292" t="s">
        <v>187</v>
      </c>
      <c r="C2292" t="s">
        <v>188</v>
      </c>
      <c r="D2292" s="7">
        <v>25</v>
      </c>
      <c r="E2292">
        <v>2018</v>
      </c>
      <c r="F2292">
        <v>2018</v>
      </c>
      <c r="G2292" t="str">
        <f>IFERROR(INDEX(Formulations[Formulation],MATCH($C2292,Formulations[Product Code],0)),"")</f>
        <v>Crystal</v>
      </c>
    </row>
    <row r="2293" spans="1:7" x14ac:dyDescent="0.3">
      <c r="A2293" t="s">
        <v>1799</v>
      </c>
      <c r="B2293" t="s">
        <v>46</v>
      </c>
      <c r="C2293" t="s">
        <v>47</v>
      </c>
      <c r="D2293" s="7">
        <v>25</v>
      </c>
      <c r="E2293">
        <v>2014</v>
      </c>
      <c r="F2293">
        <v>2014</v>
      </c>
      <c r="G2293" t="str">
        <f>IFERROR(INDEX(Formulations[Formulation],MATCH($C2293,Formulations[Product Code],0)),"")</f>
        <v/>
      </c>
    </row>
    <row r="2294" spans="1:7" x14ac:dyDescent="0.3">
      <c r="A2294" t="s">
        <v>1810</v>
      </c>
      <c r="B2294" t="s">
        <v>1676</v>
      </c>
      <c r="D2294" s="7">
        <v>25</v>
      </c>
      <c r="E2294">
        <v>2016</v>
      </c>
      <c r="F2294">
        <v>2016</v>
      </c>
      <c r="G2294" t="str">
        <f>IFERROR(INDEX(Formulations[Formulation],MATCH($C2294,Formulations[Product Code],0)),"")</f>
        <v/>
      </c>
    </row>
    <row r="2295" spans="1:7" x14ac:dyDescent="0.3">
      <c r="A2295" t="s">
        <v>1810</v>
      </c>
      <c r="B2295" t="s">
        <v>696</v>
      </c>
      <c r="C2295" t="s">
        <v>697</v>
      </c>
      <c r="D2295" s="7">
        <v>25</v>
      </c>
      <c r="E2295">
        <v>2016</v>
      </c>
      <c r="F2295">
        <v>2016</v>
      </c>
      <c r="G2295" t="str">
        <f>IFERROR(INDEX(Formulations[Formulation],MATCH($C2295,Formulations[Product Code],0)),"")</f>
        <v/>
      </c>
    </row>
    <row r="2296" spans="1:7" x14ac:dyDescent="0.3">
      <c r="A2296" t="s">
        <v>1810</v>
      </c>
      <c r="B2296" t="s">
        <v>19</v>
      </c>
      <c r="C2296" t="s">
        <v>699</v>
      </c>
      <c r="D2296" s="7">
        <v>25</v>
      </c>
      <c r="E2296">
        <v>2016</v>
      </c>
      <c r="F2296">
        <v>2016</v>
      </c>
      <c r="G2296" t="str">
        <f>IFERROR(INDEX(Formulations[Formulation],MATCH($C2296,Formulations[Product Code],0)),"")</f>
        <v/>
      </c>
    </row>
    <row r="2297" spans="1:7" x14ac:dyDescent="0.3">
      <c r="A2297" t="s">
        <v>1810</v>
      </c>
      <c r="B2297" t="s">
        <v>269</v>
      </c>
      <c r="C2297" t="s">
        <v>270</v>
      </c>
      <c r="D2297" s="7">
        <v>25</v>
      </c>
      <c r="E2297">
        <v>2014</v>
      </c>
      <c r="F2297">
        <v>2014</v>
      </c>
      <c r="G2297" t="str">
        <f>IFERROR(INDEX(Formulations[Formulation],MATCH($C2297,Formulations[Product Code],0)),"")</f>
        <v>Pure</v>
      </c>
    </row>
    <row r="2298" spans="1:7" x14ac:dyDescent="0.3">
      <c r="A2298" t="s">
        <v>1819</v>
      </c>
      <c r="B2298" t="s">
        <v>641</v>
      </c>
      <c r="C2298" t="s">
        <v>289</v>
      </c>
      <c r="D2298" s="7">
        <v>25</v>
      </c>
      <c r="E2298">
        <v>2020</v>
      </c>
      <c r="F2298">
        <v>2020</v>
      </c>
      <c r="G2298" t="str">
        <f>IFERROR(INDEX(Formulations[Formulation],MATCH($C2298,Formulations[Product Code],0)),"")</f>
        <v>L1212 Blanc by Lacoste (M) CP19035 -  (60%l1212) creed silver mountain 40% than make gold</v>
      </c>
    </row>
    <row r="2299" spans="1:7" x14ac:dyDescent="0.3">
      <c r="A2299" t="s">
        <v>1822</v>
      </c>
      <c r="B2299" t="s">
        <v>453</v>
      </c>
      <c r="D2299" s="7">
        <v>25</v>
      </c>
      <c r="E2299">
        <v>2020</v>
      </c>
      <c r="F2299">
        <v>2020</v>
      </c>
      <c r="G2299" t="str">
        <f>IFERROR(INDEX(Formulations[Formulation],MATCH($C2299,Formulations[Product Code],0)),"")</f>
        <v/>
      </c>
    </row>
    <row r="2300" spans="1:7" x14ac:dyDescent="0.3">
      <c r="A2300" t="s">
        <v>1822</v>
      </c>
      <c r="B2300" t="s">
        <v>1827</v>
      </c>
      <c r="D2300" s="7">
        <v>25</v>
      </c>
      <c r="E2300">
        <v>2021</v>
      </c>
      <c r="F2300">
        <v>2021</v>
      </c>
      <c r="G2300" t="str">
        <f>IFERROR(INDEX(Formulations[Formulation],MATCH($C2300,Formulations[Product Code],0)),"")</f>
        <v/>
      </c>
    </row>
    <row r="2301" spans="1:7" x14ac:dyDescent="0.3">
      <c r="A2301" t="s">
        <v>1822</v>
      </c>
      <c r="B2301" t="s">
        <v>110</v>
      </c>
      <c r="C2301" t="s">
        <v>111</v>
      </c>
      <c r="D2301" s="7">
        <v>25</v>
      </c>
      <c r="E2301">
        <v>2021</v>
      </c>
      <c r="F2301">
        <v>2021</v>
      </c>
      <c r="G2301" t="str">
        <f>IFERROR(INDEX(Formulations[Formulation],MATCH($C2301,Formulations[Product Code],0)),"")</f>
        <v>75% Lemon Zeste, 25% lemon Top &amp; the Gold DPG)</v>
      </c>
    </row>
    <row r="2302" spans="1:7" x14ac:dyDescent="0.3">
      <c r="A2302" t="s">
        <v>1822</v>
      </c>
      <c r="B2302" t="s">
        <v>599</v>
      </c>
      <c r="C2302" t="s">
        <v>413</v>
      </c>
      <c r="D2302" s="7">
        <v>25</v>
      </c>
      <c r="E2302">
        <v>2020</v>
      </c>
      <c r="F2302">
        <v>2020</v>
      </c>
      <c r="G2302" t="str">
        <f>IFERROR(INDEX(Formulations[Formulation],MATCH($C2302,Formulations[Product Code],0)),"")</f>
        <v>40% oil &amp; 60 % DPG</v>
      </c>
    </row>
    <row r="2303" spans="1:7" x14ac:dyDescent="0.3">
      <c r="A2303" t="s">
        <v>1831</v>
      </c>
      <c r="B2303" t="s">
        <v>26</v>
      </c>
      <c r="C2303" t="s">
        <v>27</v>
      </c>
      <c r="D2303" s="7">
        <v>25</v>
      </c>
      <c r="E2303">
        <v>2017</v>
      </c>
      <c r="F2303">
        <v>2017</v>
      </c>
      <c r="G2303" t="str">
        <f>IFERROR(INDEX(Formulations[Formulation],MATCH($C2303,Formulations[Product Code],0)),"")</f>
        <v>FLOURAMAX A270578/ P782894</v>
      </c>
    </row>
    <row r="2304" spans="1:7" x14ac:dyDescent="0.3">
      <c r="A2304" t="s">
        <v>1833</v>
      </c>
      <c r="B2304" t="s">
        <v>647</v>
      </c>
      <c r="C2304" t="s">
        <v>1836</v>
      </c>
      <c r="D2304" s="7">
        <v>25</v>
      </c>
      <c r="E2304">
        <v>2016</v>
      </c>
      <c r="F2304">
        <v>2016</v>
      </c>
      <c r="G2304" t="str">
        <f>IFERROR(INDEX(Formulations[Formulation],MATCH($C2304,Formulations[Product Code],0)),"")</f>
        <v/>
      </c>
    </row>
    <row r="2305" spans="1:7" x14ac:dyDescent="0.3">
      <c r="A2305" t="s">
        <v>1838</v>
      </c>
      <c r="B2305" t="s">
        <v>334</v>
      </c>
      <c r="C2305" t="s">
        <v>335</v>
      </c>
      <c r="D2305" s="7">
        <v>25</v>
      </c>
      <c r="E2305">
        <v>2018</v>
      </c>
      <c r="F2305">
        <v>2018</v>
      </c>
      <c r="G2305" t="str">
        <f>IFERROR(INDEX(Formulations[Formulation],MATCH($C2305,Formulations[Product Code],0)),"")</f>
        <v>Pure</v>
      </c>
    </row>
    <row r="2306" spans="1:7" x14ac:dyDescent="0.3">
      <c r="A2306" t="s">
        <v>1847</v>
      </c>
      <c r="B2306" t="s">
        <v>203</v>
      </c>
      <c r="C2306" t="s">
        <v>204</v>
      </c>
      <c r="D2306" s="7">
        <v>25</v>
      </c>
      <c r="E2306">
        <v>2017</v>
      </c>
      <c r="F2306">
        <v>2018</v>
      </c>
      <c r="G2306" t="str">
        <f>IFERROR(INDEX(Formulations[Formulation],MATCH($C2306,Formulations[Product Code],0)),"")</f>
        <v/>
      </c>
    </row>
    <row r="2307" spans="1:7" x14ac:dyDescent="0.3">
      <c r="A2307" t="s">
        <v>1852</v>
      </c>
      <c r="B2307" t="s">
        <v>532</v>
      </c>
      <c r="C2307" t="s">
        <v>452</v>
      </c>
      <c r="D2307" s="7">
        <v>25</v>
      </c>
      <c r="E2307">
        <v>2021</v>
      </c>
      <c r="F2307">
        <v>2021</v>
      </c>
      <c r="G2307" t="str">
        <f>IFERROR(INDEX(Formulations[Formulation],MATCH($C2307,Formulations[Product Code],0)),"")</f>
        <v>Crystal</v>
      </c>
    </row>
    <row r="2308" spans="1:7" x14ac:dyDescent="0.3">
      <c r="A2308" t="s">
        <v>1852</v>
      </c>
      <c r="B2308" t="s">
        <v>643</v>
      </c>
      <c r="C2308" t="s">
        <v>644</v>
      </c>
      <c r="D2308" s="7">
        <v>25</v>
      </c>
      <c r="E2308">
        <v>2020</v>
      </c>
      <c r="F2308">
        <v>2020</v>
      </c>
      <c r="G2308" t="str">
        <f>IFERROR(INDEX(Formulations[Formulation],MATCH($C2308,Formulations[Product Code],0)),"")</f>
        <v>Crystal</v>
      </c>
    </row>
    <row r="2309" spans="1:7" x14ac:dyDescent="0.3">
      <c r="A2309" t="s">
        <v>1852</v>
      </c>
      <c r="B2309" t="s">
        <v>686</v>
      </c>
      <c r="C2309" t="s">
        <v>687</v>
      </c>
      <c r="D2309" s="7">
        <v>25</v>
      </c>
      <c r="E2309">
        <v>2020</v>
      </c>
      <c r="F2309">
        <v>2020</v>
      </c>
      <c r="G2309" t="str">
        <f>IFERROR(INDEX(Formulations[Formulation],MATCH($C2309,Formulations[Product Code],0)),"")</f>
        <v>Pure</v>
      </c>
    </row>
    <row r="2310" spans="1:7" x14ac:dyDescent="0.3">
      <c r="A2310" t="s">
        <v>1852</v>
      </c>
      <c r="B2310" t="s">
        <v>573</v>
      </c>
      <c r="C2310" t="s">
        <v>574</v>
      </c>
      <c r="D2310" s="7">
        <v>25</v>
      </c>
      <c r="E2310">
        <v>2021</v>
      </c>
      <c r="F2310">
        <v>2021</v>
      </c>
      <c r="G2310" t="str">
        <f>IFERROR(INDEX(Formulations[Formulation],MATCH($C2310,Formulations[Product Code],0)),"")</f>
        <v>Crystal</v>
      </c>
    </row>
    <row r="2311" spans="1:7" x14ac:dyDescent="0.3">
      <c r="A2311" t="s">
        <v>1855</v>
      </c>
      <c r="B2311" t="s">
        <v>174</v>
      </c>
      <c r="C2311" t="s">
        <v>175</v>
      </c>
      <c r="D2311" s="7">
        <v>25</v>
      </c>
      <c r="E2311">
        <v>2016</v>
      </c>
      <c r="F2311">
        <v>2016</v>
      </c>
      <c r="G2311" t="str">
        <f>IFERROR(INDEX(Formulations[Formulation],MATCH($C2311,Formulations[Product Code],0)),"")</f>
        <v/>
      </c>
    </row>
    <row r="2312" spans="1:7" x14ac:dyDescent="0.3">
      <c r="A2312" t="s">
        <v>1855</v>
      </c>
      <c r="B2312" t="s">
        <v>721</v>
      </c>
      <c r="C2312" t="s">
        <v>722</v>
      </c>
      <c r="D2312" s="7">
        <v>25</v>
      </c>
      <c r="E2312">
        <v>2016</v>
      </c>
      <c r="F2312">
        <v>2016</v>
      </c>
      <c r="G2312" t="str">
        <f>IFERROR(INDEX(Formulations[Formulation],MATCH($C2312,Formulations[Product Code],0)),"")</f>
        <v>Pure</v>
      </c>
    </row>
    <row r="2313" spans="1:7" x14ac:dyDescent="0.3">
      <c r="A2313" t="s">
        <v>1855</v>
      </c>
      <c r="B2313" t="s">
        <v>41</v>
      </c>
      <c r="C2313" t="s">
        <v>42</v>
      </c>
      <c r="D2313" s="7">
        <v>25</v>
      </c>
      <c r="E2313">
        <v>2011</v>
      </c>
      <c r="F2313">
        <v>2011</v>
      </c>
      <c r="G2313" t="str">
        <f>IFERROR(INDEX(Formulations[Formulation],MATCH($C2313,Formulations[Product Code],0)),"")</f>
        <v/>
      </c>
    </row>
    <row r="2314" spans="1:7" x14ac:dyDescent="0.3">
      <c r="A2314" t="s">
        <v>1862</v>
      </c>
      <c r="B2314" t="s">
        <v>174</v>
      </c>
      <c r="C2314" t="s">
        <v>175</v>
      </c>
      <c r="D2314" s="7">
        <v>25</v>
      </c>
      <c r="E2314">
        <v>2018</v>
      </c>
      <c r="F2314">
        <v>2018</v>
      </c>
      <c r="G2314" t="str">
        <f>IFERROR(INDEX(Formulations[Formulation],MATCH($C2314,Formulations[Product Code],0)),"")</f>
        <v/>
      </c>
    </row>
    <row r="2315" spans="1:7" x14ac:dyDescent="0.3">
      <c r="A2315" t="s">
        <v>1865</v>
      </c>
      <c r="B2315" t="s">
        <v>1853</v>
      </c>
      <c r="C2315" t="s">
        <v>1854</v>
      </c>
      <c r="D2315" s="7">
        <v>25</v>
      </c>
      <c r="E2315">
        <v>2020</v>
      </c>
      <c r="F2315">
        <v>2020</v>
      </c>
      <c r="G2315" t="str">
        <f>IFERROR(INDEX(Formulations[Formulation],MATCH($C2315,Formulations[Product Code],0)),"")</f>
        <v>30% Key Oil</v>
      </c>
    </row>
    <row r="2316" spans="1:7" x14ac:dyDescent="0.3">
      <c r="A2316" t="s">
        <v>1865</v>
      </c>
      <c r="B2316" t="s">
        <v>19</v>
      </c>
      <c r="C2316" t="s">
        <v>107</v>
      </c>
      <c r="D2316" s="7">
        <v>25</v>
      </c>
      <c r="E2316">
        <v>2020</v>
      </c>
      <c r="F2316">
        <v>2020</v>
      </c>
      <c r="G2316" t="str">
        <f>IFERROR(INDEX(Formulations[Formulation],MATCH($C2316,Formulations[Product Code],0)),"")</f>
        <v>Pure</v>
      </c>
    </row>
    <row r="2317" spans="1:7" x14ac:dyDescent="0.3">
      <c r="A2317" t="s">
        <v>1865</v>
      </c>
      <c r="B2317" t="s">
        <v>21</v>
      </c>
      <c r="C2317" t="s">
        <v>22</v>
      </c>
      <c r="D2317" s="7">
        <v>25</v>
      </c>
      <c r="E2317">
        <v>2019</v>
      </c>
      <c r="F2317">
        <v>2019</v>
      </c>
      <c r="G2317" t="str">
        <f>IFERROR(INDEX(Formulations[Formulation],MATCH($C2317,Formulations[Product Code],0)),"")</f>
        <v>Crystal</v>
      </c>
    </row>
    <row r="2318" spans="1:7" x14ac:dyDescent="0.3">
      <c r="A2318" t="s">
        <v>1866</v>
      </c>
      <c r="B2318" t="s">
        <v>41</v>
      </c>
      <c r="C2318" t="s">
        <v>776</v>
      </c>
      <c r="D2318" s="7">
        <v>25</v>
      </c>
      <c r="E2318">
        <v>2014</v>
      </c>
      <c r="F2318">
        <v>2014</v>
      </c>
      <c r="G2318" t="str">
        <f>IFERROR(INDEX(Formulations[Formulation],MATCH($C2318,Formulations[Product Code],0)),"")</f>
        <v/>
      </c>
    </row>
    <row r="2319" spans="1:7" x14ac:dyDescent="0.3">
      <c r="A2319" t="s">
        <v>1867</v>
      </c>
      <c r="B2319" t="s">
        <v>46</v>
      </c>
      <c r="C2319" t="s">
        <v>47</v>
      </c>
      <c r="D2319" s="7">
        <v>25</v>
      </c>
      <c r="E2319">
        <v>2014</v>
      </c>
      <c r="F2319">
        <v>2014</v>
      </c>
      <c r="G2319" t="str">
        <f>IFERROR(INDEX(Formulations[Formulation],MATCH($C2319,Formulations[Product Code],0)),"")</f>
        <v/>
      </c>
    </row>
    <row r="2320" spans="1:7" x14ac:dyDescent="0.3">
      <c r="A2320" t="s">
        <v>1871</v>
      </c>
      <c r="B2320" t="s">
        <v>524</v>
      </c>
      <c r="C2320" t="s">
        <v>525</v>
      </c>
      <c r="D2320" s="7">
        <v>25</v>
      </c>
      <c r="E2320">
        <v>2018</v>
      </c>
      <c r="F2320">
        <v>2018</v>
      </c>
      <c r="G2320" t="str">
        <f>IFERROR(INDEX(Formulations[Formulation],MATCH($C2320,Formulations[Product Code],0)),"")</f>
        <v/>
      </c>
    </row>
    <row r="2321" spans="1:7" x14ac:dyDescent="0.3">
      <c r="A2321" t="s">
        <v>1871</v>
      </c>
      <c r="B2321" t="s">
        <v>567</v>
      </c>
      <c r="C2321" t="s">
        <v>698</v>
      </c>
      <c r="D2321" s="7">
        <v>25</v>
      </c>
      <c r="E2321">
        <v>2020</v>
      </c>
      <c r="F2321">
        <v>2020</v>
      </c>
      <c r="G2321" t="str">
        <f>IFERROR(INDEX(Formulations[Formulation],MATCH($C2321,Formulations[Product Code],0)),"")</f>
        <v>Crystal</v>
      </c>
    </row>
    <row r="2322" spans="1:7" x14ac:dyDescent="0.3">
      <c r="A2322" t="s">
        <v>1871</v>
      </c>
      <c r="B2322" t="s">
        <v>668</v>
      </c>
      <c r="C2322" t="s">
        <v>669</v>
      </c>
      <c r="D2322" s="7">
        <v>25</v>
      </c>
      <c r="E2322">
        <v>2021</v>
      </c>
      <c r="F2322">
        <v>2021</v>
      </c>
      <c r="G2322" t="str">
        <f>IFERROR(INDEX(Formulations[Formulation],MATCH($C2322,Formulations[Product Code],0)),"")</f>
        <v>Crystal</v>
      </c>
    </row>
    <row r="2323" spans="1:7" x14ac:dyDescent="0.3">
      <c r="A2323" t="s">
        <v>1871</v>
      </c>
      <c r="B2323" t="s">
        <v>68</v>
      </c>
      <c r="C2323" t="s">
        <v>69</v>
      </c>
      <c r="D2323" s="7">
        <v>25</v>
      </c>
      <c r="E2323">
        <v>2019</v>
      </c>
      <c r="F2323">
        <v>2019</v>
      </c>
      <c r="G2323" t="str">
        <f>IFERROR(INDEX(Formulations[Formulation],MATCH($C2323,Formulations[Product Code],0)),"")</f>
        <v>Silver</v>
      </c>
    </row>
    <row r="2324" spans="1:7" x14ac:dyDescent="0.3">
      <c r="A2324" t="s">
        <v>1871</v>
      </c>
      <c r="B2324" t="s">
        <v>438</v>
      </c>
      <c r="C2324" t="s">
        <v>439</v>
      </c>
      <c r="D2324" s="7">
        <v>25</v>
      </c>
      <c r="E2324">
        <v>2019</v>
      </c>
      <c r="F2324">
        <v>2019</v>
      </c>
      <c r="G2324" t="str">
        <f>IFERROR(INDEX(Formulations[Formulation],MATCH($C2324,Formulations[Product Code],0)),"")</f>
        <v>Pure</v>
      </c>
    </row>
    <row r="2325" spans="1:7" x14ac:dyDescent="0.3">
      <c r="A2325" t="s">
        <v>1871</v>
      </c>
      <c r="B2325" t="s">
        <v>46</v>
      </c>
      <c r="C2325" t="s">
        <v>47</v>
      </c>
      <c r="D2325" s="7">
        <v>25</v>
      </c>
      <c r="E2325">
        <v>2016</v>
      </c>
      <c r="F2325">
        <v>2016</v>
      </c>
      <c r="G2325" t="str">
        <f>IFERROR(INDEX(Formulations[Formulation],MATCH($C2325,Formulations[Product Code],0)),"")</f>
        <v/>
      </c>
    </row>
    <row r="2326" spans="1:7" x14ac:dyDescent="0.3">
      <c r="A2326" t="s">
        <v>1871</v>
      </c>
      <c r="B2326" t="s">
        <v>483</v>
      </c>
      <c r="C2326" t="s">
        <v>484</v>
      </c>
      <c r="D2326" s="7">
        <v>25</v>
      </c>
      <c r="E2326">
        <v>2019</v>
      </c>
      <c r="F2326">
        <v>2019</v>
      </c>
      <c r="G2326" t="str">
        <f>IFERROR(INDEX(Formulations[Formulation],MATCH($C2326,Formulations[Product Code],0)),"")</f>
        <v>Crystal</v>
      </c>
    </row>
    <row r="2327" spans="1:7" x14ac:dyDescent="0.3">
      <c r="A2327" t="s">
        <v>1872</v>
      </c>
      <c r="B2327" t="s">
        <v>719</v>
      </c>
      <c r="C2327" t="s">
        <v>925</v>
      </c>
      <c r="D2327" s="7">
        <v>25</v>
      </c>
      <c r="E2327">
        <v>2019</v>
      </c>
      <c r="F2327">
        <v>2019</v>
      </c>
      <c r="G2327" t="str">
        <f>IFERROR(INDEX(Formulations[Formulation],MATCH($C2327,Formulations[Product Code],0)),"")</f>
        <v/>
      </c>
    </row>
    <row r="2328" spans="1:7" x14ac:dyDescent="0.3">
      <c r="A2328" t="s">
        <v>1873</v>
      </c>
      <c r="B2328" t="s">
        <v>1874</v>
      </c>
      <c r="C2328" t="s">
        <v>1875</v>
      </c>
      <c r="D2328" s="7">
        <v>25</v>
      </c>
      <c r="E2328">
        <v>2012</v>
      </c>
      <c r="F2328">
        <v>2012</v>
      </c>
      <c r="G2328" t="str">
        <f>IFERROR(INDEX(Formulations[Formulation],MATCH($C2328,Formulations[Product Code],0)),"")</f>
        <v/>
      </c>
    </row>
    <row r="2329" spans="1:7" x14ac:dyDescent="0.3">
      <c r="A2329" t="s">
        <v>1873</v>
      </c>
      <c r="B2329" t="s">
        <v>1876</v>
      </c>
      <c r="C2329" t="s">
        <v>1877</v>
      </c>
      <c r="D2329" s="7">
        <v>25</v>
      </c>
      <c r="E2329">
        <v>2010</v>
      </c>
      <c r="F2329">
        <v>2010</v>
      </c>
      <c r="G2329" t="str">
        <f>IFERROR(INDEX(Formulations[Formulation],MATCH($C2329,Formulations[Product Code],0)),"")</f>
        <v/>
      </c>
    </row>
    <row r="2330" spans="1:7" x14ac:dyDescent="0.3">
      <c r="A2330" t="s">
        <v>1873</v>
      </c>
      <c r="B2330" t="s">
        <v>1314</v>
      </c>
      <c r="C2330" t="s">
        <v>389</v>
      </c>
      <c r="D2330" s="7">
        <v>25</v>
      </c>
      <c r="E2330">
        <v>2010</v>
      </c>
      <c r="F2330">
        <v>2010</v>
      </c>
      <c r="G2330" t="str">
        <f>IFERROR(INDEX(Formulations[Formulation],MATCH($C2330,Formulations[Product Code],0)),"")</f>
        <v/>
      </c>
    </row>
    <row r="2331" spans="1:7" x14ac:dyDescent="0.3">
      <c r="A2331" t="s">
        <v>1880</v>
      </c>
      <c r="B2331" t="s">
        <v>671</v>
      </c>
      <c r="C2331" t="s">
        <v>672</v>
      </c>
      <c r="D2331" s="7">
        <v>25</v>
      </c>
      <c r="E2331">
        <v>2021</v>
      </c>
      <c r="F2331">
        <v>2021</v>
      </c>
      <c r="G2331" t="str">
        <f>IFERROR(INDEX(Formulations[Formulation],MATCH($C2331,Formulations[Product Code],0)),"")</f>
        <v>Pure</v>
      </c>
    </row>
    <row r="2332" spans="1:7" x14ac:dyDescent="0.3">
      <c r="A2332" t="s">
        <v>1883</v>
      </c>
      <c r="B2332" t="s">
        <v>1701</v>
      </c>
      <c r="D2332" s="7">
        <v>25</v>
      </c>
      <c r="E2332">
        <v>2020</v>
      </c>
      <c r="F2332">
        <v>2020</v>
      </c>
      <c r="G2332" t="str">
        <f>IFERROR(INDEX(Formulations[Formulation],MATCH($C2332,Formulations[Product Code],0)),"")</f>
        <v/>
      </c>
    </row>
    <row r="2333" spans="1:7" x14ac:dyDescent="0.3">
      <c r="A2333" t="s">
        <v>1883</v>
      </c>
      <c r="B2333" t="s">
        <v>29</v>
      </c>
      <c r="D2333" s="7">
        <v>25</v>
      </c>
      <c r="E2333">
        <v>2018</v>
      </c>
      <c r="F2333">
        <v>2018</v>
      </c>
      <c r="G2333" t="str">
        <f>IFERROR(INDEX(Formulations[Formulation],MATCH($C2333,Formulations[Product Code],0)),"")</f>
        <v/>
      </c>
    </row>
    <row r="2334" spans="1:7" x14ac:dyDescent="0.3">
      <c r="A2334" t="s">
        <v>1883</v>
      </c>
      <c r="B2334" t="s">
        <v>761</v>
      </c>
      <c r="D2334" s="7">
        <v>25</v>
      </c>
      <c r="E2334">
        <v>2018</v>
      </c>
      <c r="F2334">
        <v>2018</v>
      </c>
      <c r="G2334" t="str">
        <f>IFERROR(INDEX(Formulations[Formulation],MATCH($C2334,Formulations[Product Code],0)),"")</f>
        <v/>
      </c>
    </row>
    <row r="2335" spans="1:7" x14ac:dyDescent="0.3">
      <c r="A2335" t="s">
        <v>1883</v>
      </c>
      <c r="B2335" t="s">
        <v>1454</v>
      </c>
      <c r="C2335" t="s">
        <v>1126</v>
      </c>
      <c r="D2335" s="7">
        <v>25</v>
      </c>
      <c r="E2335">
        <v>2016</v>
      </c>
      <c r="F2335">
        <v>2016</v>
      </c>
      <c r="G2335" t="str">
        <f>IFERROR(INDEX(Formulations[Formulation],MATCH($C2335,Formulations[Product Code],0)),"")</f>
        <v/>
      </c>
    </row>
    <row r="2336" spans="1:7" x14ac:dyDescent="0.3">
      <c r="A2336" t="s">
        <v>1894</v>
      </c>
      <c r="B2336" t="s">
        <v>62</v>
      </c>
      <c r="C2336" t="s">
        <v>63</v>
      </c>
      <c r="D2336" s="7">
        <v>25</v>
      </c>
      <c r="E2336">
        <v>2019</v>
      </c>
      <c r="F2336">
        <v>2019</v>
      </c>
      <c r="G2336" t="str">
        <f>IFERROR(INDEX(Formulations[Formulation],MATCH($C2336,Formulations[Product Code],0)),"")</f>
        <v>Crystal</v>
      </c>
    </row>
    <row r="2337" spans="1:7" x14ac:dyDescent="0.3">
      <c r="A2337" t="s">
        <v>1895</v>
      </c>
      <c r="B2337" t="s">
        <v>532</v>
      </c>
      <c r="C2337" t="s">
        <v>452</v>
      </c>
      <c r="D2337" s="7">
        <v>25</v>
      </c>
      <c r="E2337">
        <v>2020</v>
      </c>
      <c r="F2337">
        <v>2020</v>
      </c>
      <c r="G2337" t="str">
        <f>IFERROR(INDEX(Formulations[Formulation],MATCH($C2337,Formulations[Product Code],0)),"")</f>
        <v>Crystal</v>
      </c>
    </row>
    <row r="2338" spans="1:7" x14ac:dyDescent="0.3">
      <c r="A2338" t="s">
        <v>1895</v>
      </c>
      <c r="B2338" t="s">
        <v>686</v>
      </c>
      <c r="C2338" t="s">
        <v>687</v>
      </c>
      <c r="D2338" s="7">
        <v>25</v>
      </c>
      <c r="E2338">
        <v>2021</v>
      </c>
      <c r="F2338">
        <v>2021</v>
      </c>
      <c r="G2338" t="str">
        <f>IFERROR(INDEX(Formulations[Formulation],MATCH($C2338,Formulations[Product Code],0)),"")</f>
        <v>Pure</v>
      </c>
    </row>
    <row r="2339" spans="1:7" x14ac:dyDescent="0.3">
      <c r="A2339" t="s">
        <v>1895</v>
      </c>
      <c r="B2339" t="s">
        <v>528</v>
      </c>
      <c r="C2339" t="s">
        <v>529</v>
      </c>
      <c r="D2339" s="7">
        <v>25</v>
      </c>
      <c r="E2339">
        <v>2012</v>
      </c>
      <c r="F2339">
        <v>2012</v>
      </c>
      <c r="G2339" t="str">
        <f>IFERROR(INDEX(Formulations[Formulation],MATCH($C2339,Formulations[Product Code],0)),"")</f>
        <v>Crystal</v>
      </c>
    </row>
    <row r="2340" spans="1:7" x14ac:dyDescent="0.3">
      <c r="A2340" t="s">
        <v>1895</v>
      </c>
      <c r="B2340" t="s">
        <v>575</v>
      </c>
      <c r="C2340" t="s">
        <v>673</v>
      </c>
      <c r="D2340" s="7">
        <v>25</v>
      </c>
      <c r="E2340">
        <v>2015</v>
      </c>
      <c r="F2340">
        <v>2015</v>
      </c>
      <c r="G2340" t="str">
        <f>IFERROR(INDEX(Formulations[Formulation],MATCH($C2340,Formulations[Product Code],0)),"")</f>
        <v>Apricot 60 % oil and 40 % dpg</v>
      </c>
    </row>
    <row r="2341" spans="1:7" x14ac:dyDescent="0.3">
      <c r="A2341" t="s">
        <v>1895</v>
      </c>
      <c r="B2341" t="s">
        <v>37</v>
      </c>
      <c r="D2341" s="7">
        <v>25</v>
      </c>
      <c r="E2341">
        <v>2019</v>
      </c>
      <c r="F2341">
        <v>2020</v>
      </c>
      <c r="G2341" t="str">
        <f>IFERROR(INDEX(Formulations[Formulation],MATCH($C2341,Formulations[Product Code],0)),"")</f>
        <v/>
      </c>
    </row>
    <row r="2342" spans="1:7" x14ac:dyDescent="0.3">
      <c r="A2342" t="s">
        <v>1905</v>
      </c>
      <c r="B2342" t="s">
        <v>307</v>
      </c>
      <c r="C2342" t="s">
        <v>132</v>
      </c>
      <c r="D2342" s="7">
        <v>25</v>
      </c>
      <c r="E2342">
        <v>2018</v>
      </c>
      <c r="F2342">
        <v>2018</v>
      </c>
      <c r="G2342" t="str">
        <f>IFERROR(INDEX(Formulations[Formulation],MATCH($C2342,Formulations[Product Code],0)),"")</f>
        <v>Pure</v>
      </c>
    </row>
    <row r="2343" spans="1:7" x14ac:dyDescent="0.3">
      <c r="A2343" t="s">
        <v>1906</v>
      </c>
      <c r="B2343" t="s">
        <v>114</v>
      </c>
      <c r="C2343" t="s">
        <v>115</v>
      </c>
      <c r="D2343" s="7">
        <v>25</v>
      </c>
      <c r="E2343">
        <v>2018</v>
      </c>
      <c r="F2343">
        <v>2018</v>
      </c>
      <c r="G2343" t="str">
        <f>IFERROR(INDEX(Formulations[Formulation],MATCH($C2343,Formulations[Product Code],0)),"")</f>
        <v>Pure</v>
      </c>
    </row>
    <row r="2344" spans="1:7" x14ac:dyDescent="0.3">
      <c r="A2344" t="s">
        <v>1906</v>
      </c>
      <c r="B2344" t="s">
        <v>575</v>
      </c>
      <c r="C2344" t="s">
        <v>673</v>
      </c>
      <c r="D2344" s="7">
        <v>25</v>
      </c>
      <c r="E2344">
        <v>2015</v>
      </c>
      <c r="F2344">
        <v>2015</v>
      </c>
      <c r="G2344" t="str">
        <f>IFERROR(INDEX(Formulations[Formulation],MATCH($C2344,Formulations[Product Code],0)),"")</f>
        <v>Apricot 60 % oil and 40 % dpg</v>
      </c>
    </row>
    <row r="2345" spans="1:7" x14ac:dyDescent="0.3">
      <c r="A2345" t="s">
        <v>1906</v>
      </c>
      <c r="B2345" t="s">
        <v>192</v>
      </c>
      <c r="C2345" t="s">
        <v>193</v>
      </c>
      <c r="D2345" s="7">
        <v>25</v>
      </c>
      <c r="E2345">
        <v>2017</v>
      </c>
      <c r="F2345">
        <v>2017</v>
      </c>
      <c r="G2345" t="str">
        <f>IFERROR(INDEX(Formulations[Formulation],MATCH($C2345,Formulations[Product Code],0)),"")</f>
        <v>Red Grape 50%/ Fruity Smoothie 30% /Green Apple 20% /than make 60% oil</v>
      </c>
    </row>
    <row r="2346" spans="1:7" x14ac:dyDescent="0.3">
      <c r="A2346" t="s">
        <v>1906</v>
      </c>
      <c r="B2346" t="s">
        <v>46</v>
      </c>
      <c r="C2346" t="s">
        <v>1907</v>
      </c>
      <c r="D2346" s="7">
        <v>25</v>
      </c>
      <c r="E2346">
        <v>2011</v>
      </c>
      <c r="F2346">
        <v>2011</v>
      </c>
      <c r="G2346" t="str">
        <f>IFERROR(INDEX(Formulations[Formulation],MATCH($C2346,Formulations[Product Code],0)),"")</f>
        <v/>
      </c>
    </row>
    <row r="2347" spans="1:7" x14ac:dyDescent="0.3">
      <c r="A2347" t="s">
        <v>1906</v>
      </c>
      <c r="B2347" t="s">
        <v>1908</v>
      </c>
      <c r="C2347" t="s">
        <v>1909</v>
      </c>
      <c r="D2347" s="7">
        <v>25</v>
      </c>
      <c r="E2347">
        <v>2012</v>
      </c>
      <c r="F2347">
        <v>2012</v>
      </c>
      <c r="G2347" t="str">
        <f>IFERROR(INDEX(Formulations[Formulation],MATCH($C2347,Formulations[Product Code],0)),"")</f>
        <v/>
      </c>
    </row>
    <row r="2348" spans="1:7" x14ac:dyDescent="0.3">
      <c r="A2348" t="s">
        <v>1920</v>
      </c>
      <c r="B2348" t="s">
        <v>1924</v>
      </c>
      <c r="C2348" t="s">
        <v>1925</v>
      </c>
      <c r="D2348" s="7">
        <v>25</v>
      </c>
      <c r="E2348">
        <v>2020</v>
      </c>
      <c r="F2348">
        <v>2020</v>
      </c>
      <c r="G2348" t="str">
        <f>IFERROR(INDEX(Formulations[Formulation],MATCH($C2348,Formulations[Product Code],0)),"")</f>
        <v/>
      </c>
    </row>
    <row r="2349" spans="1:7" x14ac:dyDescent="0.3">
      <c r="A2349" t="s">
        <v>1926</v>
      </c>
      <c r="B2349" t="s">
        <v>686</v>
      </c>
      <c r="C2349" t="s">
        <v>687</v>
      </c>
      <c r="D2349" s="7">
        <v>25</v>
      </c>
      <c r="E2349">
        <v>2020</v>
      </c>
      <c r="F2349">
        <v>2020</v>
      </c>
      <c r="G2349" t="str">
        <f>IFERROR(INDEX(Formulations[Formulation],MATCH($C2349,Formulations[Product Code],0)),"")</f>
        <v>Pure</v>
      </c>
    </row>
    <row r="2350" spans="1:7" x14ac:dyDescent="0.3">
      <c r="A2350" t="s">
        <v>1926</v>
      </c>
      <c r="B2350" t="s">
        <v>483</v>
      </c>
      <c r="C2350" t="s">
        <v>484</v>
      </c>
      <c r="D2350" s="7">
        <v>25</v>
      </c>
      <c r="E2350">
        <v>2021</v>
      </c>
      <c r="F2350">
        <v>2021</v>
      </c>
      <c r="G2350" t="str">
        <f>IFERROR(INDEX(Formulations[Formulation],MATCH($C2350,Formulations[Product Code],0)),"")</f>
        <v>Crystal</v>
      </c>
    </row>
    <row r="2351" spans="1:7" x14ac:dyDescent="0.3">
      <c r="A2351" t="s">
        <v>1927</v>
      </c>
      <c r="B2351" t="s">
        <v>55</v>
      </c>
      <c r="D2351" s="7">
        <v>25</v>
      </c>
      <c r="E2351">
        <v>2018</v>
      </c>
      <c r="F2351">
        <v>2018</v>
      </c>
      <c r="G2351" t="str">
        <f>IFERROR(INDEX(Formulations[Formulation],MATCH($C2351,Formulations[Product Code],0)),"")</f>
        <v/>
      </c>
    </row>
    <row r="2352" spans="1:7" x14ac:dyDescent="0.3">
      <c r="A2352" t="s">
        <v>1927</v>
      </c>
      <c r="B2352" t="s">
        <v>841</v>
      </c>
      <c r="C2352" t="s">
        <v>169</v>
      </c>
      <c r="D2352" s="7">
        <v>25</v>
      </c>
      <c r="E2352">
        <v>2020</v>
      </c>
      <c r="F2352">
        <v>2020</v>
      </c>
      <c r="G2352" t="str">
        <f>IFERROR(INDEX(Formulations[Formulation],MATCH($C2352,Formulations[Product Code],0)),"")</f>
        <v>Silver</v>
      </c>
    </row>
    <row r="2353" spans="1:7" x14ac:dyDescent="0.3">
      <c r="A2353" t="s">
        <v>1927</v>
      </c>
      <c r="B2353" t="s">
        <v>161</v>
      </c>
      <c r="C2353" t="s">
        <v>162</v>
      </c>
      <c r="D2353" s="7">
        <v>25</v>
      </c>
      <c r="E2353">
        <v>2018</v>
      </c>
      <c r="F2353">
        <v>2018</v>
      </c>
      <c r="G2353" t="str">
        <f>IFERROR(INDEX(Formulations[Formulation],MATCH($C2353,Formulations[Product Code],0)),"")</f>
        <v>Pure</v>
      </c>
    </row>
    <row r="2354" spans="1:7" x14ac:dyDescent="0.3">
      <c r="A2354" t="s">
        <v>1930</v>
      </c>
      <c r="B2354" t="s">
        <v>117</v>
      </c>
      <c r="C2354" t="s">
        <v>118</v>
      </c>
      <c r="D2354" s="7">
        <v>25</v>
      </c>
      <c r="E2354">
        <v>2018</v>
      </c>
      <c r="F2354">
        <v>2018</v>
      </c>
      <c r="G2354" t="str">
        <f>IFERROR(INDEX(Formulations[Formulation],MATCH($C2354,Formulations[Product Code],0)),"")</f>
        <v>Silver</v>
      </c>
    </row>
    <row r="2355" spans="1:7" x14ac:dyDescent="0.3">
      <c r="A2355" t="s">
        <v>1931</v>
      </c>
      <c r="B2355" t="s">
        <v>600</v>
      </c>
      <c r="C2355" t="s">
        <v>75</v>
      </c>
      <c r="D2355" s="7">
        <v>25</v>
      </c>
      <c r="E2355">
        <v>2020</v>
      </c>
      <c r="F2355">
        <v>2020</v>
      </c>
      <c r="G2355" t="str">
        <f>IFERROR(INDEX(Formulations[Formulation],MATCH($C2355,Formulations[Product Code],0)),"")</f>
        <v>Crystal</v>
      </c>
    </row>
    <row r="2356" spans="1:7" x14ac:dyDescent="0.3">
      <c r="A2356" t="s">
        <v>1933</v>
      </c>
      <c r="B2356" t="s">
        <v>677</v>
      </c>
      <c r="C2356" t="s">
        <v>678</v>
      </c>
      <c r="D2356" s="7">
        <v>25</v>
      </c>
      <c r="E2356">
        <v>2019</v>
      </c>
      <c r="F2356">
        <v>2019</v>
      </c>
      <c r="G2356" t="str">
        <f>IFERROR(INDEX(Formulations[Formulation],MATCH($C2356,Formulations[Product Code],0)),"")</f>
        <v>Pure</v>
      </c>
    </row>
    <row r="2357" spans="1:7" x14ac:dyDescent="0.3">
      <c r="A2357" t="s">
        <v>1944</v>
      </c>
      <c r="B2357" t="s">
        <v>269</v>
      </c>
      <c r="C2357" t="s">
        <v>270</v>
      </c>
      <c r="D2357" s="7">
        <v>25</v>
      </c>
      <c r="E2357">
        <v>2021</v>
      </c>
      <c r="F2357">
        <v>2021</v>
      </c>
      <c r="G2357" t="str">
        <f>IFERROR(INDEX(Formulations[Formulation],MATCH($C2357,Formulations[Product Code],0)),"")</f>
        <v>Pure</v>
      </c>
    </row>
    <row r="2358" spans="1:7" x14ac:dyDescent="0.3">
      <c r="A2358" t="s">
        <v>1944</v>
      </c>
      <c r="B2358" t="s">
        <v>64</v>
      </c>
      <c r="C2358" t="s">
        <v>65</v>
      </c>
      <c r="D2358" s="7">
        <v>25</v>
      </c>
      <c r="E2358">
        <v>2021</v>
      </c>
      <c r="F2358">
        <v>2021</v>
      </c>
      <c r="G2358" t="str">
        <f>IFERROR(INDEX(Formulations[Formulation],MATCH($C2358,Formulations[Product Code],0)),"")</f>
        <v>Crystal</v>
      </c>
    </row>
    <row r="2359" spans="1:7" x14ac:dyDescent="0.3">
      <c r="A2359" t="s">
        <v>1944</v>
      </c>
      <c r="B2359" t="s">
        <v>438</v>
      </c>
      <c r="C2359" t="s">
        <v>439</v>
      </c>
      <c r="D2359" s="7">
        <v>25</v>
      </c>
      <c r="E2359">
        <v>2021</v>
      </c>
      <c r="F2359">
        <v>2021</v>
      </c>
      <c r="G2359" t="str">
        <f>IFERROR(INDEX(Formulations[Formulation],MATCH($C2359,Formulations[Product Code],0)),"")</f>
        <v>Pure</v>
      </c>
    </row>
    <row r="2360" spans="1:7" x14ac:dyDescent="0.3">
      <c r="A2360" t="s">
        <v>1953</v>
      </c>
      <c r="B2360" t="s">
        <v>624</v>
      </c>
      <c r="C2360" t="s">
        <v>625</v>
      </c>
      <c r="D2360" s="7">
        <v>25</v>
      </c>
      <c r="E2360">
        <v>2021</v>
      </c>
      <c r="F2360">
        <v>2021</v>
      </c>
      <c r="G2360" t="str">
        <f>IFERROR(INDEX(Formulations[Formulation],MATCH($C2360,Formulations[Product Code],0)),"")</f>
        <v>Crystal</v>
      </c>
    </row>
    <row r="2361" spans="1:7" x14ac:dyDescent="0.3">
      <c r="A2361" t="s">
        <v>1958</v>
      </c>
      <c r="B2361" t="s">
        <v>248</v>
      </c>
      <c r="C2361" t="s">
        <v>249</v>
      </c>
      <c r="D2361" s="7">
        <v>25</v>
      </c>
      <c r="E2361">
        <v>2019</v>
      </c>
      <c r="F2361">
        <v>2019</v>
      </c>
      <c r="G2361" t="str">
        <f>IFERROR(INDEX(Formulations[Formulation],MATCH($C2361,Formulations[Product Code],0)),"")</f>
        <v>WS</v>
      </c>
    </row>
    <row r="2362" spans="1:7" x14ac:dyDescent="0.3">
      <c r="A2362" t="s">
        <v>1964</v>
      </c>
      <c r="B2362" t="s">
        <v>99</v>
      </c>
      <c r="C2362" t="s">
        <v>100</v>
      </c>
      <c r="D2362" s="7">
        <v>25</v>
      </c>
      <c r="E2362">
        <v>2018</v>
      </c>
      <c r="F2362">
        <v>2018</v>
      </c>
      <c r="G2362" t="str">
        <f>IFERROR(INDEX(Formulations[Formulation],MATCH($C2362,Formulations[Product Code],0)),"")</f>
        <v>Crystal</v>
      </c>
    </row>
    <row r="2363" spans="1:7" x14ac:dyDescent="0.3">
      <c r="A2363" t="s">
        <v>1964</v>
      </c>
      <c r="B2363" t="s">
        <v>64</v>
      </c>
      <c r="C2363" t="s">
        <v>65</v>
      </c>
      <c r="D2363" s="7">
        <v>25</v>
      </c>
      <c r="E2363">
        <v>2019</v>
      </c>
      <c r="F2363">
        <v>2019</v>
      </c>
      <c r="G2363" t="str">
        <f>IFERROR(INDEX(Formulations[Formulation],MATCH($C2363,Formulations[Product Code],0)),"")</f>
        <v>Crystal</v>
      </c>
    </row>
    <row r="2364" spans="1:7" x14ac:dyDescent="0.3">
      <c r="A2364" t="s">
        <v>1966</v>
      </c>
      <c r="B2364" t="s">
        <v>41</v>
      </c>
      <c r="C2364" t="s">
        <v>42</v>
      </c>
      <c r="D2364" s="7">
        <v>25</v>
      </c>
      <c r="E2364">
        <v>2011</v>
      </c>
      <c r="F2364">
        <v>2011</v>
      </c>
      <c r="G2364" t="str">
        <f>IFERROR(INDEX(Formulations[Formulation],MATCH($C2364,Formulations[Product Code],0)),"")</f>
        <v/>
      </c>
    </row>
    <row r="2365" spans="1:7" x14ac:dyDescent="0.3">
      <c r="A2365" t="s">
        <v>1968</v>
      </c>
      <c r="B2365" t="s">
        <v>702</v>
      </c>
      <c r="C2365" t="s">
        <v>703</v>
      </c>
      <c r="D2365" s="7">
        <v>25</v>
      </c>
      <c r="E2365">
        <v>2019</v>
      </c>
      <c r="F2365">
        <v>2019</v>
      </c>
      <c r="G2365" t="str">
        <f>IFERROR(INDEX(Formulations[Formulation],MATCH($C2365,Formulations[Product Code],0)),"")</f>
        <v>flouramax 40%, green apple 30%, strwaberry 15%, cocoa butter 15%</v>
      </c>
    </row>
    <row r="2366" spans="1:7" x14ac:dyDescent="0.3">
      <c r="A2366" t="s">
        <v>1972</v>
      </c>
      <c r="B2366" t="s">
        <v>84</v>
      </c>
      <c r="C2366" t="s">
        <v>85</v>
      </c>
      <c r="D2366" s="7">
        <v>25</v>
      </c>
      <c r="E2366">
        <v>2013</v>
      </c>
      <c r="F2366">
        <v>2014</v>
      </c>
      <c r="G2366" t="str">
        <f>IFERROR(INDEX(Formulations[Formulation],MATCH($C2366,Formulations[Product Code],0)),"")</f>
        <v>Pure</v>
      </c>
    </row>
    <row r="2367" spans="1:7" x14ac:dyDescent="0.3">
      <c r="A2367" t="s">
        <v>1972</v>
      </c>
      <c r="B2367" t="s">
        <v>395</v>
      </c>
      <c r="D2367" s="7">
        <v>25</v>
      </c>
      <c r="E2367">
        <v>2018</v>
      </c>
      <c r="F2367">
        <v>2018</v>
      </c>
      <c r="G2367" t="str">
        <f>IFERROR(INDEX(Formulations[Formulation],MATCH($C2367,Formulations[Product Code],0)),"")</f>
        <v/>
      </c>
    </row>
    <row r="2368" spans="1:7" x14ac:dyDescent="0.3">
      <c r="A2368" t="s">
        <v>1972</v>
      </c>
      <c r="B2368" t="s">
        <v>1978</v>
      </c>
      <c r="C2368" t="s">
        <v>1977</v>
      </c>
      <c r="D2368" s="7">
        <v>25</v>
      </c>
      <c r="E2368">
        <v>2020</v>
      </c>
      <c r="F2368">
        <v>2020</v>
      </c>
      <c r="G2368" t="str">
        <f>IFERROR(INDEX(Formulations[Formulation],MATCH($C2368,Formulations[Product Code],0)),"")</f>
        <v/>
      </c>
    </row>
    <row r="2369" spans="1:7" x14ac:dyDescent="0.3">
      <c r="A2369" t="s">
        <v>1972</v>
      </c>
      <c r="B2369" t="s">
        <v>1979</v>
      </c>
      <c r="C2369" t="s">
        <v>1980</v>
      </c>
      <c r="D2369" s="7">
        <v>25</v>
      </c>
      <c r="E2369">
        <v>2014</v>
      </c>
      <c r="F2369">
        <v>2014</v>
      </c>
      <c r="G2369" t="str">
        <f>IFERROR(INDEX(Formulations[Formulation],MATCH($C2369,Formulations[Product Code],0)),"")</f>
        <v/>
      </c>
    </row>
    <row r="2370" spans="1:7" x14ac:dyDescent="0.3">
      <c r="A2370" t="s">
        <v>1984</v>
      </c>
      <c r="B2370" t="s">
        <v>1988</v>
      </c>
      <c r="C2370" t="s">
        <v>1989</v>
      </c>
      <c r="D2370" s="7">
        <v>25</v>
      </c>
      <c r="E2370">
        <v>2011</v>
      </c>
      <c r="F2370">
        <v>2011</v>
      </c>
      <c r="G2370" t="str">
        <f>IFERROR(INDEX(Formulations[Formulation],MATCH($C2370,Formulations[Product Code],0)),"")</f>
        <v/>
      </c>
    </row>
    <row r="2371" spans="1:7" x14ac:dyDescent="0.3">
      <c r="A2371" t="s">
        <v>1984</v>
      </c>
      <c r="B2371" t="s">
        <v>1990</v>
      </c>
      <c r="C2371" t="s">
        <v>1991</v>
      </c>
      <c r="D2371" s="7">
        <v>25</v>
      </c>
      <c r="E2371">
        <v>2011</v>
      </c>
      <c r="F2371">
        <v>2011</v>
      </c>
      <c r="G2371" t="str">
        <f>IFERROR(INDEX(Formulations[Formulation],MATCH($C2371,Formulations[Product Code],0)),"")</f>
        <v/>
      </c>
    </row>
    <row r="2372" spans="1:7" x14ac:dyDescent="0.3">
      <c r="A2372" t="s">
        <v>1984</v>
      </c>
      <c r="B2372" t="s">
        <v>184</v>
      </c>
      <c r="C2372" t="s">
        <v>185</v>
      </c>
      <c r="D2372" s="7">
        <v>25</v>
      </c>
      <c r="E2372">
        <v>2011</v>
      </c>
      <c r="F2372">
        <v>2011</v>
      </c>
      <c r="G2372" t="str">
        <f>IFERROR(INDEX(Formulations[Formulation],MATCH($C2372,Formulations[Product Code],0)),"")</f>
        <v/>
      </c>
    </row>
    <row r="2373" spans="1:7" x14ac:dyDescent="0.3">
      <c r="A2373" t="s">
        <v>2010</v>
      </c>
      <c r="B2373" t="s">
        <v>1231</v>
      </c>
      <c r="C2373" t="s">
        <v>1232</v>
      </c>
      <c r="D2373" s="7">
        <v>25</v>
      </c>
      <c r="E2373">
        <v>2018</v>
      </c>
      <c r="F2373">
        <v>2018</v>
      </c>
      <c r="G2373" t="str">
        <f>IFERROR(INDEX(Formulations[Formulation],MATCH($C2373,Formulations[Product Code],0)),"")</f>
        <v/>
      </c>
    </row>
    <row r="2374" spans="1:7" x14ac:dyDescent="0.3">
      <c r="A2374" t="s">
        <v>2010</v>
      </c>
      <c r="B2374" t="s">
        <v>41</v>
      </c>
      <c r="C2374" t="s">
        <v>63</v>
      </c>
      <c r="D2374" s="7">
        <v>25</v>
      </c>
      <c r="E2374">
        <v>2017</v>
      </c>
      <c r="F2374">
        <v>2017</v>
      </c>
      <c r="G2374" t="str">
        <f>IFERROR(INDEX(Formulations[Formulation],MATCH($C2374,Formulations[Product Code],0)),"")</f>
        <v>Crystal</v>
      </c>
    </row>
    <row r="2375" spans="1:7" x14ac:dyDescent="0.3">
      <c r="A2375" t="s">
        <v>2011</v>
      </c>
      <c r="B2375" t="s">
        <v>1231</v>
      </c>
      <c r="C2375" t="s">
        <v>1232</v>
      </c>
      <c r="D2375" s="7">
        <v>25</v>
      </c>
      <c r="E2375">
        <v>2018</v>
      </c>
      <c r="F2375">
        <v>2018</v>
      </c>
      <c r="G2375" t="str">
        <f>IFERROR(INDEX(Formulations[Formulation],MATCH($C2375,Formulations[Product Code],0)),"")</f>
        <v/>
      </c>
    </row>
    <row r="2376" spans="1:7" x14ac:dyDescent="0.3">
      <c r="A2376" t="s">
        <v>2012</v>
      </c>
      <c r="B2376" t="s">
        <v>21</v>
      </c>
      <c r="C2376" t="s">
        <v>22</v>
      </c>
      <c r="D2376" s="7">
        <v>25</v>
      </c>
      <c r="E2376">
        <v>2009</v>
      </c>
      <c r="F2376">
        <v>2009</v>
      </c>
      <c r="G2376" t="str">
        <f>IFERROR(INDEX(Formulations[Formulation],MATCH($C2376,Formulations[Product Code],0)),"")</f>
        <v>Crystal</v>
      </c>
    </row>
    <row r="2377" spans="1:7" x14ac:dyDescent="0.3">
      <c r="A2377" t="s">
        <v>2012</v>
      </c>
      <c r="B2377" t="s">
        <v>2013</v>
      </c>
      <c r="C2377" t="s">
        <v>2014</v>
      </c>
      <c r="D2377" s="7">
        <v>25</v>
      </c>
      <c r="E2377">
        <v>2009</v>
      </c>
      <c r="F2377">
        <v>2009</v>
      </c>
      <c r="G2377" t="str">
        <f>IFERROR(INDEX(Formulations[Formulation],MATCH($C2377,Formulations[Product Code],0)),"")</f>
        <v/>
      </c>
    </row>
    <row r="2378" spans="1:7" x14ac:dyDescent="0.3">
      <c r="A2378" t="s">
        <v>2012</v>
      </c>
      <c r="B2378" t="s">
        <v>2015</v>
      </c>
      <c r="C2378" t="s">
        <v>2016</v>
      </c>
      <c r="D2378" s="7">
        <v>25</v>
      </c>
      <c r="E2378">
        <v>2009</v>
      </c>
      <c r="F2378">
        <v>2009</v>
      </c>
      <c r="G2378" t="str">
        <f>IFERROR(INDEX(Formulations[Formulation],MATCH($C2378,Formulations[Product Code],0)),"")</f>
        <v/>
      </c>
    </row>
    <row r="2379" spans="1:7" x14ac:dyDescent="0.3">
      <c r="A2379" t="s">
        <v>2012</v>
      </c>
      <c r="B2379" t="s">
        <v>575</v>
      </c>
      <c r="C2379" t="s">
        <v>2017</v>
      </c>
      <c r="D2379" s="7">
        <v>25</v>
      </c>
      <c r="E2379">
        <v>2011</v>
      </c>
      <c r="F2379">
        <v>2011</v>
      </c>
      <c r="G2379" t="str">
        <f>IFERROR(INDEX(Formulations[Formulation],MATCH($C2379,Formulations[Product Code],0)),"")</f>
        <v/>
      </c>
    </row>
    <row r="2380" spans="1:7" x14ac:dyDescent="0.3">
      <c r="A2380" t="s">
        <v>2012</v>
      </c>
      <c r="B2380" t="s">
        <v>575</v>
      </c>
      <c r="C2380" t="s">
        <v>673</v>
      </c>
      <c r="D2380" s="7">
        <v>25</v>
      </c>
      <c r="E2380">
        <v>2009</v>
      </c>
      <c r="F2380">
        <v>2009</v>
      </c>
      <c r="G2380" t="str">
        <f>IFERROR(INDEX(Formulations[Formulation],MATCH($C2380,Formulations[Product Code],0)),"")</f>
        <v>Apricot 60 % oil and 40 % dpg</v>
      </c>
    </row>
    <row r="2381" spans="1:7" x14ac:dyDescent="0.3">
      <c r="A2381" t="s">
        <v>2012</v>
      </c>
      <c r="B2381" t="s">
        <v>2018</v>
      </c>
      <c r="C2381" t="s">
        <v>2019</v>
      </c>
      <c r="D2381" s="7">
        <v>25</v>
      </c>
      <c r="E2381">
        <v>2009</v>
      </c>
      <c r="F2381">
        <v>2009</v>
      </c>
      <c r="G2381" t="str">
        <f>IFERROR(INDEX(Formulations[Formulation],MATCH($C2381,Formulations[Product Code],0)),"")</f>
        <v/>
      </c>
    </row>
    <row r="2382" spans="1:7" x14ac:dyDescent="0.3">
      <c r="A2382" t="s">
        <v>2012</v>
      </c>
      <c r="B2382" t="s">
        <v>46</v>
      </c>
      <c r="C2382" t="s">
        <v>47</v>
      </c>
      <c r="D2382" s="7">
        <v>25</v>
      </c>
      <c r="E2382">
        <v>2015</v>
      </c>
      <c r="F2382">
        <v>2015</v>
      </c>
      <c r="G2382" t="str">
        <f>IFERROR(INDEX(Formulations[Formulation],MATCH($C2382,Formulations[Product Code],0)),"")</f>
        <v/>
      </c>
    </row>
    <row r="2383" spans="1:7" x14ac:dyDescent="0.3">
      <c r="A2383" t="s">
        <v>2020</v>
      </c>
      <c r="B2383" t="s">
        <v>276</v>
      </c>
      <c r="C2383" t="s">
        <v>277</v>
      </c>
      <c r="D2383" s="7">
        <v>25</v>
      </c>
      <c r="E2383">
        <v>2019</v>
      </c>
      <c r="F2383">
        <v>2019</v>
      </c>
      <c r="G2383" t="str">
        <f>IFERROR(INDEX(Formulations[Formulation],MATCH($C2383,Formulations[Product Code],0)),"")</f>
        <v>Pure</v>
      </c>
    </row>
    <row r="2384" spans="1:7" x14ac:dyDescent="0.3">
      <c r="A2384" t="s">
        <v>2020</v>
      </c>
      <c r="B2384" t="s">
        <v>627</v>
      </c>
      <c r="C2384" t="s">
        <v>628</v>
      </c>
      <c r="D2384" s="7">
        <v>25</v>
      </c>
      <c r="E2384">
        <v>2019</v>
      </c>
      <c r="F2384">
        <v>2019</v>
      </c>
      <c r="G2384" t="str">
        <f>IFERROR(INDEX(Formulations[Formulation],MATCH($C2384,Formulations[Product Code],0)),"")</f>
        <v>Pure</v>
      </c>
    </row>
    <row r="2385" spans="1:7" x14ac:dyDescent="0.3">
      <c r="A2385" t="s">
        <v>2020</v>
      </c>
      <c r="B2385" t="s">
        <v>721</v>
      </c>
      <c r="C2385" t="s">
        <v>722</v>
      </c>
      <c r="D2385" s="7">
        <v>25</v>
      </c>
      <c r="E2385">
        <v>2018</v>
      </c>
      <c r="F2385">
        <v>2018</v>
      </c>
      <c r="G2385" t="str">
        <f>IFERROR(INDEX(Formulations[Formulation],MATCH($C2385,Formulations[Product Code],0)),"")</f>
        <v>Pure</v>
      </c>
    </row>
    <row r="2386" spans="1:7" x14ac:dyDescent="0.3">
      <c r="A2386" t="s">
        <v>2020</v>
      </c>
      <c r="B2386" t="s">
        <v>251</v>
      </c>
      <c r="C2386" t="s">
        <v>207</v>
      </c>
      <c r="D2386" s="7">
        <v>25</v>
      </c>
      <c r="E2386">
        <v>2019</v>
      </c>
      <c r="F2386">
        <v>2019</v>
      </c>
      <c r="G2386" t="str">
        <f>IFERROR(INDEX(Formulations[Formulation],MATCH($C2386,Formulations[Product Code],0)),"")</f>
        <v/>
      </c>
    </row>
    <row r="2387" spans="1:7" x14ac:dyDescent="0.3">
      <c r="A2387" t="s">
        <v>2020</v>
      </c>
      <c r="B2387" t="s">
        <v>454</v>
      </c>
      <c r="C2387" t="s">
        <v>455</v>
      </c>
      <c r="D2387" s="7">
        <v>25</v>
      </c>
      <c r="E2387">
        <v>2019</v>
      </c>
      <c r="F2387">
        <v>2019</v>
      </c>
      <c r="G2387" t="str">
        <f>IFERROR(INDEX(Formulations[Formulation],MATCH($C2387,Formulations[Product Code],0)),"")</f>
        <v>Pure</v>
      </c>
    </row>
    <row r="2388" spans="1:7" x14ac:dyDescent="0.3">
      <c r="A2388" t="s">
        <v>2020</v>
      </c>
      <c r="B2388" t="s">
        <v>297</v>
      </c>
      <c r="C2388" t="s">
        <v>298</v>
      </c>
      <c r="D2388" s="7">
        <v>25</v>
      </c>
      <c r="E2388">
        <v>2018</v>
      </c>
      <c r="F2388">
        <v>2018</v>
      </c>
      <c r="G2388" t="str">
        <f>IFERROR(INDEX(Formulations[Formulation],MATCH($C2388,Formulations[Product Code],0)),"")</f>
        <v>Pure</v>
      </c>
    </row>
    <row r="2389" spans="1:7" x14ac:dyDescent="0.3">
      <c r="A2389" t="s">
        <v>2020</v>
      </c>
      <c r="B2389" t="s">
        <v>813</v>
      </c>
      <c r="C2389" t="s">
        <v>814</v>
      </c>
      <c r="D2389" s="7">
        <v>25</v>
      </c>
      <c r="E2389">
        <v>2021</v>
      </c>
      <c r="F2389">
        <v>2021</v>
      </c>
      <c r="G2389" t="str">
        <f>IFERROR(INDEX(Formulations[Formulation],MATCH($C2389,Formulations[Product Code],0)),"")</f>
        <v>WS</v>
      </c>
    </row>
    <row r="2390" spans="1:7" x14ac:dyDescent="0.3">
      <c r="A2390" t="s">
        <v>2020</v>
      </c>
      <c r="B2390" t="s">
        <v>496</v>
      </c>
      <c r="C2390" t="s">
        <v>497</v>
      </c>
      <c r="D2390" s="7">
        <v>25</v>
      </c>
      <c r="E2390">
        <v>2019</v>
      </c>
      <c r="F2390">
        <v>2019</v>
      </c>
      <c r="G2390" t="str">
        <f>IFERROR(INDEX(Formulations[Formulation],MATCH($C2390,Formulations[Product Code],0)),"")</f>
        <v>Silver</v>
      </c>
    </row>
    <row r="2391" spans="1:7" x14ac:dyDescent="0.3">
      <c r="A2391" t="s">
        <v>2030</v>
      </c>
      <c r="B2391" t="s">
        <v>174</v>
      </c>
      <c r="C2391" t="s">
        <v>175</v>
      </c>
      <c r="D2391" s="7">
        <v>25</v>
      </c>
      <c r="E2391">
        <v>2016</v>
      </c>
      <c r="F2391">
        <v>2016</v>
      </c>
      <c r="G2391" t="str">
        <f>IFERROR(INDEX(Formulations[Formulation],MATCH($C2391,Formulations[Product Code],0)),"")</f>
        <v/>
      </c>
    </row>
    <row r="2392" spans="1:7" x14ac:dyDescent="0.3">
      <c r="A2392" t="s">
        <v>2030</v>
      </c>
      <c r="B2392" t="s">
        <v>643</v>
      </c>
      <c r="C2392" t="s">
        <v>644</v>
      </c>
      <c r="D2392" s="7">
        <v>25</v>
      </c>
      <c r="E2392">
        <v>2016</v>
      </c>
      <c r="F2392">
        <v>2016</v>
      </c>
      <c r="G2392" t="str">
        <f>IFERROR(INDEX(Formulations[Formulation],MATCH($C2392,Formulations[Product Code],0)),"")</f>
        <v>Crystal</v>
      </c>
    </row>
    <row r="2393" spans="1:7" x14ac:dyDescent="0.3">
      <c r="A2393" t="s">
        <v>2030</v>
      </c>
      <c r="B2393" t="s">
        <v>573</v>
      </c>
      <c r="C2393" t="s">
        <v>574</v>
      </c>
      <c r="D2393" s="7">
        <v>25</v>
      </c>
      <c r="E2393">
        <v>2016</v>
      </c>
      <c r="F2393">
        <v>2016</v>
      </c>
      <c r="G2393" t="str">
        <f>IFERROR(INDEX(Formulations[Formulation],MATCH($C2393,Formulations[Product Code],0)),"")</f>
        <v>Crystal</v>
      </c>
    </row>
    <row r="2394" spans="1:7" x14ac:dyDescent="0.3">
      <c r="A2394" t="s">
        <v>2030</v>
      </c>
      <c r="B2394" t="s">
        <v>1450</v>
      </c>
      <c r="C2394" t="s">
        <v>1451</v>
      </c>
      <c r="D2394" s="7">
        <v>25</v>
      </c>
      <c r="E2394">
        <v>2010</v>
      </c>
      <c r="F2394">
        <v>2010</v>
      </c>
      <c r="G2394" t="str">
        <f>IFERROR(INDEX(Formulations[Formulation],MATCH($C2394,Formulations[Product Code],0)),"")</f>
        <v/>
      </c>
    </row>
    <row r="2395" spans="1:7" x14ac:dyDescent="0.3">
      <c r="A2395" t="s">
        <v>2030</v>
      </c>
      <c r="B2395" t="s">
        <v>314</v>
      </c>
      <c r="C2395" t="s">
        <v>475</v>
      </c>
      <c r="D2395" s="7">
        <v>25</v>
      </c>
      <c r="E2395">
        <v>2016</v>
      </c>
      <c r="F2395">
        <v>2016</v>
      </c>
      <c r="G2395" t="str">
        <f>IFERROR(INDEX(Formulations[Formulation],MATCH($C2395,Formulations[Product Code],0)),"")</f>
        <v>Crystal</v>
      </c>
    </row>
    <row r="2396" spans="1:7" x14ac:dyDescent="0.3">
      <c r="A2396" t="s">
        <v>2030</v>
      </c>
      <c r="B2396" t="s">
        <v>708</v>
      </c>
      <c r="C2396" t="s">
        <v>477</v>
      </c>
      <c r="D2396" s="7">
        <v>25</v>
      </c>
      <c r="E2396">
        <v>2018</v>
      </c>
      <c r="F2396">
        <v>2018</v>
      </c>
      <c r="G2396" t="str">
        <f>IFERROR(INDEX(Formulations[Formulation],MATCH($C2396,Formulations[Product Code],0)),"")</f>
        <v/>
      </c>
    </row>
    <row r="2397" spans="1:7" x14ac:dyDescent="0.3">
      <c r="A2397" t="s">
        <v>2030</v>
      </c>
      <c r="B2397" t="s">
        <v>750</v>
      </c>
      <c r="C2397" t="s">
        <v>751</v>
      </c>
      <c r="D2397" s="7">
        <v>25</v>
      </c>
      <c r="E2397">
        <v>2017</v>
      </c>
      <c r="F2397">
        <v>2017</v>
      </c>
      <c r="G2397" t="str">
        <f>IFERROR(INDEX(Formulations[Formulation],MATCH($C2397,Formulations[Product Code],0)),"")</f>
        <v/>
      </c>
    </row>
    <row r="2398" spans="1:7" x14ac:dyDescent="0.3">
      <c r="A2398" t="s">
        <v>2030</v>
      </c>
      <c r="B2398" t="s">
        <v>1737</v>
      </c>
      <c r="C2398" t="s">
        <v>759</v>
      </c>
      <c r="D2398" s="7">
        <v>25</v>
      </c>
      <c r="E2398">
        <v>2017</v>
      </c>
      <c r="F2398">
        <v>2017</v>
      </c>
      <c r="G2398" t="str">
        <f>IFERROR(INDEX(Formulations[Formulation],MATCH($C2398,Formulations[Product Code],0)),"")</f>
        <v>Pure</v>
      </c>
    </row>
    <row r="2399" spans="1:7" x14ac:dyDescent="0.3">
      <c r="A2399" t="s">
        <v>2043</v>
      </c>
      <c r="B2399" t="s">
        <v>721</v>
      </c>
      <c r="C2399" t="s">
        <v>722</v>
      </c>
      <c r="D2399" s="7">
        <v>25</v>
      </c>
      <c r="E2399">
        <v>2017</v>
      </c>
      <c r="F2399">
        <v>2017</v>
      </c>
      <c r="G2399" t="str">
        <f>IFERROR(INDEX(Formulations[Formulation],MATCH($C2399,Formulations[Product Code],0)),"")</f>
        <v>Pure</v>
      </c>
    </row>
    <row r="2400" spans="1:7" x14ac:dyDescent="0.3">
      <c r="A2400" t="s">
        <v>2048</v>
      </c>
      <c r="B2400" t="s">
        <v>496</v>
      </c>
      <c r="C2400" t="s">
        <v>497</v>
      </c>
      <c r="D2400" s="7">
        <v>25</v>
      </c>
      <c r="E2400">
        <v>2019</v>
      </c>
      <c r="F2400">
        <v>2019</v>
      </c>
      <c r="G2400" t="str">
        <f>IFERROR(INDEX(Formulations[Formulation],MATCH($C2400,Formulations[Product Code],0)),"")</f>
        <v>Silver</v>
      </c>
    </row>
    <row r="2401" spans="1:7" x14ac:dyDescent="0.3">
      <c r="A2401" t="s">
        <v>2052</v>
      </c>
      <c r="B2401" t="s">
        <v>19</v>
      </c>
      <c r="C2401" t="s">
        <v>670</v>
      </c>
      <c r="D2401" s="7">
        <v>25</v>
      </c>
      <c r="E2401">
        <v>2019</v>
      </c>
      <c r="F2401">
        <v>2019</v>
      </c>
      <c r="G2401" t="str">
        <f>IFERROR(INDEX(Formulations[Formulation],MATCH($C2401,Formulations[Product Code],0)),"")</f>
        <v>Crystal</v>
      </c>
    </row>
    <row r="2402" spans="1:7" x14ac:dyDescent="0.3">
      <c r="A2402" t="s">
        <v>2067</v>
      </c>
      <c r="B2402" t="s">
        <v>766</v>
      </c>
      <c r="D2402" s="7">
        <v>25</v>
      </c>
      <c r="E2402">
        <v>2021</v>
      </c>
      <c r="F2402">
        <v>2021</v>
      </c>
      <c r="G2402" t="str">
        <f>IFERROR(INDEX(Formulations[Formulation],MATCH($C2402,Formulations[Product Code],0)),"")</f>
        <v/>
      </c>
    </row>
    <row r="2403" spans="1:7" x14ac:dyDescent="0.3">
      <c r="A2403" t="s">
        <v>2069</v>
      </c>
      <c r="B2403" t="s">
        <v>2070</v>
      </c>
      <c r="C2403" t="s">
        <v>2071</v>
      </c>
      <c r="D2403" s="7">
        <v>25</v>
      </c>
      <c r="E2403">
        <v>2021</v>
      </c>
      <c r="F2403">
        <v>2021</v>
      </c>
      <c r="G2403" t="str">
        <f>IFERROR(INDEX(Formulations[Formulation],MATCH($C2403,Formulations[Product Code],0)),"")</f>
        <v>Pure</v>
      </c>
    </row>
    <row r="2404" spans="1:7" x14ac:dyDescent="0.3">
      <c r="A2404" t="s">
        <v>2069</v>
      </c>
      <c r="B2404" t="s">
        <v>516</v>
      </c>
      <c r="D2404" s="7">
        <v>25</v>
      </c>
      <c r="E2404">
        <v>2021</v>
      </c>
      <c r="F2404">
        <v>2021</v>
      </c>
      <c r="G2404" t="str">
        <f>IFERROR(INDEX(Formulations[Formulation],MATCH($C2404,Formulations[Product Code],0)),"")</f>
        <v/>
      </c>
    </row>
    <row r="2405" spans="1:7" x14ac:dyDescent="0.3">
      <c r="A2405" t="s">
        <v>2069</v>
      </c>
      <c r="B2405" t="s">
        <v>41</v>
      </c>
      <c r="C2405" t="s">
        <v>63</v>
      </c>
      <c r="D2405" s="7">
        <v>25</v>
      </c>
      <c r="E2405">
        <v>2019</v>
      </c>
      <c r="F2405">
        <v>2019</v>
      </c>
      <c r="G2405" t="str">
        <f>IFERROR(INDEX(Formulations[Formulation],MATCH($C2405,Formulations[Product Code],0)),"")</f>
        <v>Crystal</v>
      </c>
    </row>
    <row r="2406" spans="1:7" x14ac:dyDescent="0.3">
      <c r="A2406" t="s">
        <v>2069</v>
      </c>
      <c r="B2406" t="s">
        <v>151</v>
      </c>
      <c r="C2406" t="s">
        <v>152</v>
      </c>
      <c r="D2406" s="7">
        <v>25</v>
      </c>
      <c r="E2406">
        <v>2020</v>
      </c>
      <c r="F2406">
        <v>2020</v>
      </c>
      <c r="G2406" t="str">
        <f>IFERROR(INDEX(Formulations[Formulation],MATCH($C2406,Formulations[Product Code],0)),"")</f>
        <v>Crystal</v>
      </c>
    </row>
    <row r="2407" spans="1:7" x14ac:dyDescent="0.3">
      <c r="A2407" t="s">
        <v>2079</v>
      </c>
      <c r="B2407" t="s">
        <v>280</v>
      </c>
      <c r="C2407" t="s">
        <v>2080</v>
      </c>
      <c r="D2407" s="7">
        <v>25</v>
      </c>
      <c r="E2407">
        <v>2012</v>
      </c>
      <c r="F2407">
        <v>2012</v>
      </c>
      <c r="G2407" t="str">
        <f>IFERROR(INDEX(Formulations[Formulation],MATCH($C2407,Formulations[Product Code],0)),"")</f>
        <v/>
      </c>
    </row>
    <row r="2408" spans="1:7" x14ac:dyDescent="0.3">
      <c r="A2408" t="s">
        <v>2079</v>
      </c>
      <c r="B2408" t="s">
        <v>219</v>
      </c>
      <c r="C2408" t="s">
        <v>220</v>
      </c>
      <c r="D2408" s="7">
        <v>25</v>
      </c>
      <c r="E2408">
        <v>2012</v>
      </c>
      <c r="F2408">
        <v>2012</v>
      </c>
      <c r="G2408" t="str">
        <f>IFERROR(INDEX(Formulations[Formulation],MATCH($C2408,Formulations[Product Code],0)),"")</f>
        <v/>
      </c>
    </row>
    <row r="2409" spans="1:7" x14ac:dyDescent="0.3">
      <c r="A2409" t="s">
        <v>2079</v>
      </c>
      <c r="B2409" t="s">
        <v>560</v>
      </c>
      <c r="C2409" t="s">
        <v>561</v>
      </c>
      <c r="D2409" s="7">
        <v>25</v>
      </c>
      <c r="E2409">
        <v>2012</v>
      </c>
      <c r="F2409">
        <v>2012</v>
      </c>
      <c r="G2409" t="str">
        <f>IFERROR(INDEX(Formulations[Formulation],MATCH($C2409,Formulations[Product Code],0)),"")</f>
        <v/>
      </c>
    </row>
    <row r="2410" spans="1:7" x14ac:dyDescent="0.3">
      <c r="A2410" t="s">
        <v>2079</v>
      </c>
      <c r="B2410" t="s">
        <v>1308</v>
      </c>
      <c r="C2410" t="s">
        <v>1309</v>
      </c>
      <c r="D2410" s="7">
        <v>25</v>
      </c>
      <c r="E2410">
        <v>2012</v>
      </c>
      <c r="F2410">
        <v>2012</v>
      </c>
      <c r="G2410" t="str">
        <f>IFERROR(INDEX(Formulations[Formulation],MATCH($C2410,Formulations[Product Code],0)),"")</f>
        <v/>
      </c>
    </row>
    <row r="2411" spans="1:7" x14ac:dyDescent="0.3">
      <c r="A2411" t="s">
        <v>2092</v>
      </c>
      <c r="B2411" t="s">
        <v>41</v>
      </c>
      <c r="C2411" t="s">
        <v>908</v>
      </c>
      <c r="D2411" s="7">
        <v>25</v>
      </c>
      <c r="E2411">
        <v>2011</v>
      </c>
      <c r="F2411">
        <v>2011</v>
      </c>
      <c r="G2411" t="str">
        <f>IFERROR(INDEX(Formulations[Formulation],MATCH($C2411,Formulations[Product Code],0)),"")</f>
        <v/>
      </c>
    </row>
    <row r="2412" spans="1:7" x14ac:dyDescent="0.3">
      <c r="A2412" t="s">
        <v>2093</v>
      </c>
      <c r="B2412" t="s">
        <v>16</v>
      </c>
      <c r="C2412" t="s">
        <v>17</v>
      </c>
      <c r="D2412" s="7">
        <v>25</v>
      </c>
      <c r="E2412">
        <v>2020</v>
      </c>
      <c r="F2412">
        <v>2020</v>
      </c>
      <c r="G2412" t="str">
        <f>IFERROR(INDEX(Formulations[Formulation],MATCH($C2412,Formulations[Product Code],0)),"")</f>
        <v>Crystal</v>
      </c>
    </row>
    <row r="2413" spans="1:7" x14ac:dyDescent="0.3">
      <c r="A2413" t="s">
        <v>2095</v>
      </c>
      <c r="B2413" t="s">
        <v>702</v>
      </c>
      <c r="C2413" t="s">
        <v>703</v>
      </c>
      <c r="D2413" s="7">
        <v>25</v>
      </c>
      <c r="E2413">
        <v>2019</v>
      </c>
      <c r="F2413">
        <v>2019</v>
      </c>
      <c r="G2413" t="str">
        <f>IFERROR(INDEX(Formulations[Formulation],MATCH($C2413,Formulations[Product Code],0)),"")</f>
        <v>flouramax 40%, green apple 30%, strwaberry 15%, cocoa butter 15%</v>
      </c>
    </row>
    <row r="2414" spans="1:7" x14ac:dyDescent="0.3">
      <c r="A2414" t="s">
        <v>2095</v>
      </c>
      <c r="B2414" t="s">
        <v>473</v>
      </c>
      <c r="C2414" t="s">
        <v>747</v>
      </c>
      <c r="D2414" s="7">
        <v>25</v>
      </c>
      <c r="E2414">
        <v>2017</v>
      </c>
      <c r="F2414">
        <v>2017</v>
      </c>
      <c r="G2414" t="str">
        <f>IFERROR(INDEX(Formulations[Formulation],MATCH($C2414,Formulations[Product Code],0)),"")</f>
        <v/>
      </c>
    </row>
    <row r="2415" spans="1:7" x14ac:dyDescent="0.3">
      <c r="A2415" t="s">
        <v>2097</v>
      </c>
      <c r="B2415" t="s">
        <v>716</v>
      </c>
      <c r="C2415" t="s">
        <v>717</v>
      </c>
      <c r="D2415" s="7">
        <v>25</v>
      </c>
      <c r="E2415">
        <v>2019</v>
      </c>
      <c r="F2415">
        <v>2019</v>
      </c>
      <c r="G2415" t="str">
        <f>IFERROR(INDEX(Formulations[Formulation],MATCH($C2415,Formulations[Product Code],0)),"")</f>
        <v>Pure</v>
      </c>
    </row>
    <row r="2416" spans="1:7" x14ac:dyDescent="0.3">
      <c r="A2416" t="s">
        <v>2097</v>
      </c>
      <c r="B2416" t="s">
        <v>354</v>
      </c>
      <c r="C2416" t="s">
        <v>355</v>
      </c>
      <c r="D2416" s="7">
        <v>25</v>
      </c>
      <c r="E2416">
        <v>2020</v>
      </c>
      <c r="F2416">
        <v>2020</v>
      </c>
      <c r="G2416" t="str">
        <f>IFERROR(INDEX(Formulations[Formulation],MATCH($C2416,Formulations[Product Code],0)),"")</f>
        <v/>
      </c>
    </row>
    <row r="2417" spans="1:7" x14ac:dyDescent="0.3">
      <c r="A2417" t="s">
        <v>2097</v>
      </c>
      <c r="B2417" t="s">
        <v>41</v>
      </c>
      <c r="C2417" t="s">
        <v>42</v>
      </c>
      <c r="D2417" s="7">
        <v>25</v>
      </c>
      <c r="E2417">
        <v>2017</v>
      </c>
      <c r="F2417">
        <v>2017</v>
      </c>
      <c r="G2417" t="str">
        <f>IFERROR(INDEX(Formulations[Formulation],MATCH($C2417,Formulations[Product Code],0)),"")</f>
        <v/>
      </c>
    </row>
    <row r="2418" spans="1:7" x14ac:dyDescent="0.3">
      <c r="A2418" t="s">
        <v>2097</v>
      </c>
      <c r="B2418" t="s">
        <v>2106</v>
      </c>
      <c r="C2418" t="s">
        <v>2107</v>
      </c>
      <c r="D2418" s="7">
        <v>25</v>
      </c>
      <c r="E2418">
        <v>2018</v>
      </c>
      <c r="F2418">
        <v>2018</v>
      </c>
      <c r="G2418" t="str">
        <f>IFERROR(INDEX(Formulations[Formulation],MATCH($C2418,Formulations[Product Code],0)),"")</f>
        <v/>
      </c>
    </row>
    <row r="2419" spans="1:7" x14ac:dyDescent="0.3">
      <c r="A2419" t="s">
        <v>2097</v>
      </c>
      <c r="B2419" t="s">
        <v>192</v>
      </c>
      <c r="C2419" t="s">
        <v>193</v>
      </c>
      <c r="D2419" s="7">
        <v>25</v>
      </c>
      <c r="E2419">
        <v>2020</v>
      </c>
      <c r="F2419">
        <v>2020</v>
      </c>
      <c r="G2419" t="str">
        <f>IFERROR(INDEX(Formulations[Formulation],MATCH($C2419,Formulations[Product Code],0)),"")</f>
        <v>Red Grape 50%/ Fruity Smoothie 30% /Green Apple 20% /than make 60% oil</v>
      </c>
    </row>
    <row r="2420" spans="1:7" x14ac:dyDescent="0.3">
      <c r="A2420" t="s">
        <v>2097</v>
      </c>
      <c r="B2420" t="s">
        <v>599</v>
      </c>
      <c r="C2420" t="s">
        <v>413</v>
      </c>
      <c r="D2420" s="7">
        <v>25</v>
      </c>
      <c r="E2420">
        <v>2020</v>
      </c>
      <c r="F2420">
        <v>2020</v>
      </c>
      <c r="G2420" t="str">
        <f>IFERROR(INDEX(Formulations[Formulation],MATCH($C2420,Formulations[Product Code],0)),"")</f>
        <v>40% oil &amp; 60 % DPG</v>
      </c>
    </row>
    <row r="2421" spans="1:7" x14ac:dyDescent="0.3">
      <c r="A2421" t="s">
        <v>2097</v>
      </c>
      <c r="B2421" t="s">
        <v>752</v>
      </c>
      <c r="C2421" t="s">
        <v>753</v>
      </c>
      <c r="D2421" s="7">
        <v>25</v>
      </c>
      <c r="E2421">
        <v>2017</v>
      </c>
      <c r="F2421">
        <v>2017</v>
      </c>
      <c r="G2421" t="str">
        <f>IFERROR(INDEX(Formulations[Formulation],MATCH($C2421,Formulations[Product Code],0)),"")</f>
        <v/>
      </c>
    </row>
    <row r="2422" spans="1:7" x14ac:dyDescent="0.3">
      <c r="A2422" t="s">
        <v>2097</v>
      </c>
      <c r="B2422" t="s">
        <v>76</v>
      </c>
      <c r="C2422" t="s">
        <v>77</v>
      </c>
      <c r="D2422" s="7">
        <v>25</v>
      </c>
      <c r="E2422">
        <v>2020</v>
      </c>
      <c r="F2422">
        <v>2020</v>
      </c>
      <c r="G2422" t="str">
        <f>IFERROR(INDEX(Formulations[Formulation],MATCH($C2422,Formulations[Product Code],0)),"")</f>
        <v>Silver</v>
      </c>
    </row>
    <row r="2423" spans="1:7" x14ac:dyDescent="0.3">
      <c r="A2423" t="s">
        <v>2123</v>
      </c>
      <c r="B2423" t="s">
        <v>53</v>
      </c>
      <c r="C2423" t="s">
        <v>54</v>
      </c>
      <c r="D2423" s="7">
        <v>25</v>
      </c>
      <c r="E2423">
        <v>2016</v>
      </c>
      <c r="F2423">
        <v>2016</v>
      </c>
      <c r="G2423" t="str">
        <f>IFERROR(INDEX(Formulations[Formulation],MATCH($C2423,Formulations[Product Code],0)),"")</f>
        <v/>
      </c>
    </row>
    <row r="2424" spans="1:7" x14ac:dyDescent="0.3">
      <c r="A2424" t="s">
        <v>2123</v>
      </c>
      <c r="B2424" t="s">
        <v>55</v>
      </c>
      <c r="D2424" s="7">
        <v>25</v>
      </c>
      <c r="E2424">
        <v>2019</v>
      </c>
      <c r="F2424">
        <v>2019</v>
      </c>
      <c r="G2424" t="str">
        <f>IFERROR(INDEX(Formulations[Formulation],MATCH($C2424,Formulations[Product Code],0)),"")</f>
        <v/>
      </c>
    </row>
    <row r="2425" spans="1:7" x14ac:dyDescent="0.3">
      <c r="A2425" t="s">
        <v>2123</v>
      </c>
      <c r="B2425" t="s">
        <v>219</v>
      </c>
      <c r="C2425" t="s">
        <v>220</v>
      </c>
      <c r="D2425" s="7">
        <v>25</v>
      </c>
      <c r="E2425">
        <v>2015</v>
      </c>
      <c r="F2425">
        <v>2016</v>
      </c>
      <c r="G2425" t="str">
        <f>IFERROR(INDEX(Formulations[Formulation],MATCH($C2425,Formulations[Product Code],0)),"")</f>
        <v/>
      </c>
    </row>
    <row r="2426" spans="1:7" x14ac:dyDescent="0.3">
      <c r="A2426" t="s">
        <v>2123</v>
      </c>
      <c r="B2426" t="s">
        <v>2124</v>
      </c>
      <c r="C2426" t="s">
        <v>2125</v>
      </c>
      <c r="D2426" s="7">
        <v>25</v>
      </c>
      <c r="E2426">
        <v>2018</v>
      </c>
      <c r="F2426">
        <v>2018</v>
      </c>
      <c r="G2426" t="str">
        <f>IFERROR(INDEX(Formulations[Formulation],MATCH($C2426,Formulations[Product Code],0)),"")</f>
        <v/>
      </c>
    </row>
    <row r="2427" spans="1:7" x14ac:dyDescent="0.3">
      <c r="A2427" t="s">
        <v>2123</v>
      </c>
      <c r="B2427" t="s">
        <v>288</v>
      </c>
      <c r="C2427" t="s">
        <v>289</v>
      </c>
      <c r="D2427" s="7">
        <v>25</v>
      </c>
      <c r="E2427">
        <v>2018</v>
      </c>
      <c r="F2427">
        <v>2018</v>
      </c>
      <c r="G2427" t="str">
        <f>IFERROR(INDEX(Formulations[Formulation],MATCH($C2427,Formulations[Product Code],0)),"")</f>
        <v>L1212 Blanc by Lacoste (M) CP19035 -  (60%l1212) creed silver mountain 40% than make gold</v>
      </c>
    </row>
    <row r="2428" spans="1:7" x14ac:dyDescent="0.3">
      <c r="A2428" t="s">
        <v>2123</v>
      </c>
      <c r="B2428" t="s">
        <v>2128</v>
      </c>
      <c r="D2428" s="7">
        <v>25</v>
      </c>
      <c r="E2428">
        <v>2017</v>
      </c>
      <c r="F2428">
        <v>2017</v>
      </c>
      <c r="G2428" t="str">
        <f>IFERROR(INDEX(Formulations[Formulation],MATCH($C2428,Formulations[Product Code],0)),"")</f>
        <v/>
      </c>
    </row>
    <row r="2429" spans="1:7" x14ac:dyDescent="0.3">
      <c r="A2429" t="s">
        <v>2123</v>
      </c>
      <c r="B2429" t="s">
        <v>139</v>
      </c>
      <c r="D2429" s="7">
        <v>25</v>
      </c>
      <c r="E2429">
        <v>2018</v>
      </c>
      <c r="F2429">
        <v>2018</v>
      </c>
      <c r="G2429" t="str">
        <f>IFERROR(INDEX(Formulations[Formulation],MATCH($C2429,Formulations[Product Code],0)),"")</f>
        <v/>
      </c>
    </row>
    <row r="2430" spans="1:7" x14ac:dyDescent="0.3">
      <c r="A2430" t="s">
        <v>2130</v>
      </c>
      <c r="B2430" t="s">
        <v>124</v>
      </c>
      <c r="D2430" s="7">
        <v>25</v>
      </c>
      <c r="E2430">
        <v>2019</v>
      </c>
      <c r="F2430">
        <v>2020</v>
      </c>
      <c r="G2430" t="str">
        <f>IFERROR(INDEX(Formulations[Formulation],MATCH($C2430,Formulations[Product Code],0)),"")</f>
        <v/>
      </c>
    </row>
    <row r="2431" spans="1:7" x14ac:dyDescent="0.3">
      <c r="A2431" t="s">
        <v>2160</v>
      </c>
      <c r="B2431" t="s">
        <v>741</v>
      </c>
      <c r="C2431" t="s">
        <v>742</v>
      </c>
      <c r="D2431" s="7">
        <v>25</v>
      </c>
      <c r="E2431">
        <v>2015</v>
      </c>
      <c r="F2431">
        <v>2015</v>
      </c>
      <c r="G2431" t="str">
        <f>IFERROR(INDEX(Formulations[Formulation],MATCH($C2431,Formulations[Product Code],0)),"")</f>
        <v/>
      </c>
    </row>
    <row r="2432" spans="1:7" x14ac:dyDescent="0.3">
      <c r="A2432" t="s">
        <v>2160</v>
      </c>
      <c r="B2432" t="s">
        <v>334</v>
      </c>
      <c r="C2432" t="s">
        <v>335</v>
      </c>
      <c r="D2432" s="7">
        <v>25</v>
      </c>
      <c r="E2432">
        <v>2015</v>
      </c>
      <c r="F2432">
        <v>2015</v>
      </c>
      <c r="G2432" t="str">
        <f>IFERROR(INDEX(Formulations[Formulation],MATCH($C2432,Formulations[Product Code],0)),"")</f>
        <v>Pure</v>
      </c>
    </row>
    <row r="2433" spans="1:7" x14ac:dyDescent="0.3">
      <c r="A2433" t="s">
        <v>2176</v>
      </c>
      <c r="B2433" t="s">
        <v>383</v>
      </c>
      <c r="C2433" t="s">
        <v>384</v>
      </c>
      <c r="D2433" s="7">
        <v>25</v>
      </c>
      <c r="E2433">
        <v>2019</v>
      </c>
      <c r="F2433">
        <v>2020</v>
      </c>
      <c r="G2433" t="str">
        <f>IFERROR(INDEX(Formulations[Formulation],MATCH($C2433,Formulations[Product Code],0)),"")</f>
        <v>Pure</v>
      </c>
    </row>
    <row r="2434" spans="1:7" x14ac:dyDescent="0.3">
      <c r="A2434" t="s">
        <v>2185</v>
      </c>
      <c r="B2434" t="s">
        <v>473</v>
      </c>
      <c r="C2434" t="s">
        <v>747</v>
      </c>
      <c r="D2434" s="7">
        <v>25</v>
      </c>
      <c r="E2434">
        <v>2013</v>
      </c>
      <c r="F2434">
        <v>2013</v>
      </c>
      <c r="G2434" t="str">
        <f>IFERROR(INDEX(Formulations[Formulation],MATCH($C2434,Formulations[Product Code],0)),"")</f>
        <v/>
      </c>
    </row>
    <row r="2435" spans="1:7" x14ac:dyDescent="0.3">
      <c r="A2435" t="s">
        <v>2193</v>
      </c>
      <c r="B2435" t="s">
        <v>417</v>
      </c>
      <c r="C2435" t="s">
        <v>418</v>
      </c>
      <c r="D2435" s="7">
        <v>25</v>
      </c>
      <c r="E2435">
        <v>2017</v>
      </c>
      <c r="F2435">
        <v>2017</v>
      </c>
      <c r="G2435" t="str">
        <f>IFERROR(INDEX(Formulations[Formulation],MATCH($C2435,Formulations[Product Code],0)),"")</f>
        <v>Pure</v>
      </c>
    </row>
    <row r="2436" spans="1:7" x14ac:dyDescent="0.3">
      <c r="A2436" t="s">
        <v>2200</v>
      </c>
      <c r="B2436" t="s">
        <v>2201</v>
      </c>
      <c r="C2436" t="s">
        <v>2202</v>
      </c>
      <c r="D2436" s="7">
        <v>25</v>
      </c>
      <c r="E2436">
        <v>2020</v>
      </c>
      <c r="F2436">
        <v>2020</v>
      </c>
      <c r="G2436" t="str">
        <f>IFERROR(INDEX(Formulations[Formulation],MATCH($C2436,Formulations[Product Code],0)),"")</f>
        <v/>
      </c>
    </row>
    <row r="2437" spans="1:7" x14ac:dyDescent="0.3">
      <c r="A2437" t="s">
        <v>2200</v>
      </c>
      <c r="B2437" t="s">
        <v>117</v>
      </c>
      <c r="C2437" t="s">
        <v>118</v>
      </c>
      <c r="D2437" s="7">
        <v>25</v>
      </c>
      <c r="E2437">
        <v>2020</v>
      </c>
      <c r="F2437">
        <v>2020</v>
      </c>
      <c r="G2437" t="str">
        <f>IFERROR(INDEX(Formulations[Formulation],MATCH($C2437,Formulations[Product Code],0)),"")</f>
        <v>Silver</v>
      </c>
    </row>
    <row r="2438" spans="1:7" x14ac:dyDescent="0.3">
      <c r="A2438" t="s">
        <v>2200</v>
      </c>
      <c r="B2438" t="s">
        <v>1138</v>
      </c>
      <c r="D2438" s="7">
        <v>25</v>
      </c>
      <c r="E2438">
        <v>2020</v>
      </c>
      <c r="F2438">
        <v>2020</v>
      </c>
      <c r="G2438" t="str">
        <f>IFERROR(INDEX(Formulations[Formulation],MATCH($C2438,Formulations[Product Code],0)),"")</f>
        <v/>
      </c>
    </row>
    <row r="2439" spans="1:7" x14ac:dyDescent="0.3">
      <c r="A2439" t="s">
        <v>2206</v>
      </c>
      <c r="B2439" t="s">
        <v>2207</v>
      </c>
      <c r="C2439" t="s">
        <v>298</v>
      </c>
      <c r="D2439" s="7">
        <v>25</v>
      </c>
      <c r="E2439">
        <v>2016</v>
      </c>
      <c r="F2439">
        <v>2017</v>
      </c>
      <c r="G2439" t="str">
        <f>IFERROR(INDEX(Formulations[Formulation],MATCH($C2439,Formulations[Product Code],0)),"")</f>
        <v>Pure</v>
      </c>
    </row>
    <row r="2440" spans="1:7" x14ac:dyDescent="0.3">
      <c r="A2440" t="s">
        <v>2206</v>
      </c>
      <c r="B2440" t="s">
        <v>2207</v>
      </c>
      <c r="C2440" t="s">
        <v>197</v>
      </c>
      <c r="D2440" s="7">
        <v>25</v>
      </c>
      <c r="E2440">
        <v>2016</v>
      </c>
      <c r="F2440">
        <v>2017</v>
      </c>
      <c r="G2440" t="str">
        <f>IFERROR(INDEX(Formulations[Formulation],MATCH($C2440,Formulations[Product Code],0)),"")</f>
        <v/>
      </c>
    </row>
    <row r="2441" spans="1:7" x14ac:dyDescent="0.3">
      <c r="A2441" t="s">
        <v>2209</v>
      </c>
      <c r="B2441" t="s">
        <v>721</v>
      </c>
      <c r="C2441" t="s">
        <v>722</v>
      </c>
      <c r="D2441" s="7">
        <v>25</v>
      </c>
      <c r="E2441">
        <v>2021</v>
      </c>
      <c r="F2441">
        <v>2021</v>
      </c>
      <c r="G2441" t="str">
        <f>IFERROR(INDEX(Formulations[Formulation],MATCH($C2441,Formulations[Product Code],0)),"")</f>
        <v>Pure</v>
      </c>
    </row>
    <row r="2442" spans="1:7" x14ac:dyDescent="0.3">
      <c r="A2442" t="s">
        <v>2209</v>
      </c>
      <c r="B2442" t="s">
        <v>597</v>
      </c>
      <c r="C2442" t="s">
        <v>598</v>
      </c>
      <c r="D2442" s="7">
        <v>25</v>
      </c>
      <c r="E2442">
        <v>2021</v>
      </c>
      <c r="F2442">
        <v>2021</v>
      </c>
      <c r="G2442" t="str">
        <f>IFERROR(INDEX(Formulations[Formulation],MATCH($C2442,Formulations[Product Code],0)),"")</f>
        <v>Silver</v>
      </c>
    </row>
    <row r="2443" spans="1:7" x14ac:dyDescent="0.3">
      <c r="A2443" t="s">
        <v>2209</v>
      </c>
      <c r="B2443" t="s">
        <v>151</v>
      </c>
      <c r="C2443" t="s">
        <v>152</v>
      </c>
      <c r="D2443" s="7">
        <v>25</v>
      </c>
      <c r="E2443">
        <v>2021</v>
      </c>
      <c r="F2443">
        <v>2021</v>
      </c>
      <c r="G2443" t="str">
        <f>IFERROR(INDEX(Formulations[Formulation],MATCH($C2443,Formulations[Product Code],0)),"")</f>
        <v>Crystal</v>
      </c>
    </row>
    <row r="2444" spans="1:7" x14ac:dyDescent="0.3">
      <c r="A2444" t="s">
        <v>2220</v>
      </c>
      <c r="B2444" t="s">
        <v>819</v>
      </c>
      <c r="C2444" t="s">
        <v>220</v>
      </c>
      <c r="D2444" s="7">
        <v>25</v>
      </c>
      <c r="E2444">
        <v>2019</v>
      </c>
      <c r="F2444">
        <v>2019</v>
      </c>
      <c r="G2444" t="str">
        <f>IFERROR(INDEX(Formulations[Formulation],MATCH($C2444,Formulations[Product Code],0)),"")</f>
        <v/>
      </c>
    </row>
    <row r="2445" spans="1:7" x14ac:dyDescent="0.3">
      <c r="A2445" t="s">
        <v>2220</v>
      </c>
      <c r="B2445" t="s">
        <v>510</v>
      </c>
      <c r="C2445" t="s">
        <v>511</v>
      </c>
      <c r="D2445" s="7">
        <v>25</v>
      </c>
      <c r="E2445">
        <v>2020</v>
      </c>
      <c r="F2445">
        <v>2020</v>
      </c>
      <c r="G2445" t="str">
        <f>IFERROR(INDEX(Formulations[Formulation],MATCH($C2445,Formulations[Product Code],0)),"")</f>
        <v>Pure</v>
      </c>
    </row>
    <row r="2446" spans="1:7" x14ac:dyDescent="0.3">
      <c r="A2446" t="s">
        <v>2220</v>
      </c>
      <c r="B2446" t="s">
        <v>2223</v>
      </c>
      <c r="C2446" t="s">
        <v>1386</v>
      </c>
      <c r="D2446" s="7">
        <v>25</v>
      </c>
      <c r="E2446">
        <v>2018</v>
      </c>
      <c r="F2446">
        <v>2018</v>
      </c>
      <c r="G2446" t="str">
        <f>IFERROR(INDEX(Formulations[Formulation],MATCH($C2446,Formulations[Product Code],0)),"")</f>
        <v/>
      </c>
    </row>
    <row r="2447" spans="1:7" x14ac:dyDescent="0.3">
      <c r="A2447" t="s">
        <v>2220</v>
      </c>
      <c r="B2447" t="s">
        <v>1544</v>
      </c>
      <c r="C2447" t="s">
        <v>102</v>
      </c>
      <c r="D2447" s="7">
        <v>25</v>
      </c>
      <c r="E2447">
        <v>2015</v>
      </c>
      <c r="F2447">
        <v>2015</v>
      </c>
      <c r="G2447" t="str">
        <f>IFERROR(INDEX(Formulations[Formulation],MATCH($C2447,Formulations[Product Code],0)),"")</f>
        <v>Gold</v>
      </c>
    </row>
    <row r="2448" spans="1:7" x14ac:dyDescent="0.3">
      <c r="A2448" t="s">
        <v>2220</v>
      </c>
      <c r="B2448" t="s">
        <v>19</v>
      </c>
      <c r="C2448" t="s">
        <v>20</v>
      </c>
      <c r="D2448" s="7">
        <v>25</v>
      </c>
      <c r="E2448">
        <v>2016</v>
      </c>
      <c r="F2448">
        <v>2016</v>
      </c>
      <c r="G2448" t="str">
        <f>IFERROR(INDEX(Formulations[Formulation],MATCH($C2448,Formulations[Product Code],0)),"")</f>
        <v>80 % Oil AND 20 % DPG</v>
      </c>
    </row>
    <row r="2449" spans="1:7" x14ac:dyDescent="0.3">
      <c r="A2449" t="s">
        <v>2220</v>
      </c>
      <c r="B2449" t="s">
        <v>2224</v>
      </c>
      <c r="C2449" t="s">
        <v>2225</v>
      </c>
      <c r="D2449" s="7">
        <v>25</v>
      </c>
      <c r="E2449">
        <v>2017</v>
      </c>
      <c r="F2449">
        <v>2017</v>
      </c>
      <c r="G2449" t="str">
        <f>IFERROR(INDEX(Formulations[Formulation],MATCH($C2449,Formulations[Product Code],0)),"")</f>
        <v/>
      </c>
    </row>
    <row r="2450" spans="1:7" x14ac:dyDescent="0.3">
      <c r="A2450" t="s">
        <v>2220</v>
      </c>
      <c r="B2450" t="s">
        <v>2226</v>
      </c>
      <c r="C2450" t="s">
        <v>2227</v>
      </c>
      <c r="D2450" s="7">
        <v>25</v>
      </c>
      <c r="E2450">
        <v>2017</v>
      </c>
      <c r="F2450">
        <v>2017</v>
      </c>
      <c r="G2450" t="str">
        <f>IFERROR(INDEX(Formulations[Formulation],MATCH($C2450,Formulations[Product Code],0)),"")</f>
        <v/>
      </c>
    </row>
    <row r="2451" spans="1:7" x14ac:dyDescent="0.3">
      <c r="A2451" t="s">
        <v>2220</v>
      </c>
      <c r="B2451" t="s">
        <v>263</v>
      </c>
      <c r="C2451" t="s">
        <v>264</v>
      </c>
      <c r="D2451" s="7">
        <v>25</v>
      </c>
      <c r="E2451">
        <v>2020</v>
      </c>
      <c r="F2451">
        <v>2020</v>
      </c>
      <c r="G2451" t="str">
        <f>IFERROR(INDEX(Formulations[Formulation],MATCH($C2451,Formulations[Product Code],0)),"")</f>
        <v>Silver</v>
      </c>
    </row>
    <row r="2452" spans="1:7" x14ac:dyDescent="0.3">
      <c r="A2452" t="s">
        <v>2228</v>
      </c>
      <c r="B2452" t="s">
        <v>483</v>
      </c>
      <c r="C2452" t="s">
        <v>484</v>
      </c>
      <c r="D2452" s="7">
        <v>25</v>
      </c>
      <c r="E2452">
        <v>2020</v>
      </c>
      <c r="F2452">
        <v>2021</v>
      </c>
      <c r="G2452" t="str">
        <f>IFERROR(INDEX(Formulations[Formulation],MATCH($C2452,Formulations[Product Code],0)),"")</f>
        <v>Crystal</v>
      </c>
    </row>
    <row r="2453" spans="1:7" x14ac:dyDescent="0.3">
      <c r="A2453" t="s">
        <v>2233</v>
      </c>
      <c r="B2453" t="s">
        <v>99</v>
      </c>
      <c r="C2453" t="s">
        <v>100</v>
      </c>
      <c r="D2453" s="7">
        <v>25</v>
      </c>
      <c r="E2453">
        <v>2017</v>
      </c>
      <c r="F2453">
        <v>2017</v>
      </c>
      <c r="G2453" t="str">
        <f>IFERROR(INDEX(Formulations[Formulation],MATCH($C2453,Formulations[Product Code],0)),"")</f>
        <v>Crystal</v>
      </c>
    </row>
    <row r="2454" spans="1:7" x14ac:dyDescent="0.3">
      <c r="A2454" t="s">
        <v>2233</v>
      </c>
      <c r="B2454" t="s">
        <v>137</v>
      </c>
      <c r="C2454" t="s">
        <v>138</v>
      </c>
      <c r="D2454" s="7">
        <v>25</v>
      </c>
      <c r="E2454">
        <v>2016</v>
      </c>
      <c r="F2454">
        <v>2016</v>
      </c>
      <c r="G2454" t="str">
        <f>IFERROR(INDEX(Formulations[Formulation],MATCH($C2454,Formulations[Product Code],0)),"")</f>
        <v>WS</v>
      </c>
    </row>
    <row r="2455" spans="1:7" x14ac:dyDescent="0.3">
      <c r="A2455" t="s">
        <v>2237</v>
      </c>
      <c r="B2455" t="s">
        <v>19</v>
      </c>
      <c r="C2455" t="s">
        <v>20</v>
      </c>
      <c r="D2455" s="7">
        <v>25</v>
      </c>
      <c r="E2455">
        <v>2016</v>
      </c>
      <c r="F2455">
        <v>2016</v>
      </c>
      <c r="G2455" t="str">
        <f>IFERROR(INDEX(Formulations[Formulation],MATCH($C2455,Formulations[Product Code],0)),"")</f>
        <v>80 % Oil AND 20 % DPG</v>
      </c>
    </row>
    <row r="2456" spans="1:7" x14ac:dyDescent="0.3">
      <c r="A2456" t="s">
        <v>2241</v>
      </c>
      <c r="B2456" t="s">
        <v>438</v>
      </c>
      <c r="C2456" t="s">
        <v>439</v>
      </c>
      <c r="D2456" s="7">
        <v>25</v>
      </c>
      <c r="E2456">
        <v>2016</v>
      </c>
      <c r="F2456">
        <v>2016</v>
      </c>
      <c r="G2456" t="str">
        <f>IFERROR(INDEX(Formulations[Formulation],MATCH($C2456,Formulations[Product Code],0)),"")</f>
        <v>Pure</v>
      </c>
    </row>
    <row r="2457" spans="1:7" x14ac:dyDescent="0.3">
      <c r="A2457" t="s">
        <v>2242</v>
      </c>
      <c r="B2457" t="s">
        <v>16</v>
      </c>
      <c r="C2457" t="s">
        <v>17</v>
      </c>
      <c r="D2457" s="7">
        <v>25</v>
      </c>
      <c r="E2457">
        <v>2021</v>
      </c>
      <c r="F2457">
        <v>2021</v>
      </c>
      <c r="G2457" t="str">
        <f>IFERROR(INDEX(Formulations[Formulation],MATCH($C2457,Formulations[Product Code],0)),"")</f>
        <v>Crystal</v>
      </c>
    </row>
    <row r="2458" spans="1:7" x14ac:dyDescent="0.3">
      <c r="A2458" t="s">
        <v>2242</v>
      </c>
      <c r="B2458" t="s">
        <v>19</v>
      </c>
      <c r="C2458" t="s">
        <v>20</v>
      </c>
      <c r="D2458" s="7">
        <v>25</v>
      </c>
      <c r="E2458">
        <v>2021</v>
      </c>
      <c r="F2458">
        <v>2021</v>
      </c>
      <c r="G2458" t="str">
        <f>IFERROR(INDEX(Formulations[Formulation],MATCH($C2458,Formulations[Product Code],0)),"")</f>
        <v>80 % Oil AND 20 % DPG</v>
      </c>
    </row>
    <row r="2459" spans="1:7" x14ac:dyDescent="0.3">
      <c r="A2459" t="s">
        <v>2242</v>
      </c>
      <c r="B2459" t="s">
        <v>2243</v>
      </c>
      <c r="C2459" t="s">
        <v>2244</v>
      </c>
      <c r="D2459" s="7">
        <v>25</v>
      </c>
      <c r="E2459">
        <v>2021</v>
      </c>
      <c r="F2459">
        <v>2021</v>
      </c>
      <c r="G2459" t="str">
        <f>IFERROR(INDEX(Formulations[Formulation],MATCH($C2459,Formulations[Product Code],0)),"")</f>
        <v>Crystal</v>
      </c>
    </row>
    <row r="2460" spans="1:7" x14ac:dyDescent="0.3">
      <c r="A2460" t="s">
        <v>2242</v>
      </c>
      <c r="B2460" t="s">
        <v>383</v>
      </c>
      <c r="C2460" t="s">
        <v>385</v>
      </c>
      <c r="D2460" s="7">
        <v>25</v>
      </c>
      <c r="E2460">
        <v>2021</v>
      </c>
      <c r="F2460">
        <v>2021</v>
      </c>
      <c r="G2460" t="str">
        <f>IFERROR(INDEX(Formulations[Formulation],MATCH($C2460,Formulations[Product Code],0)),"")</f>
        <v>Silver</v>
      </c>
    </row>
    <row r="2461" spans="1:7" x14ac:dyDescent="0.3">
      <c r="A2461" t="s">
        <v>2246</v>
      </c>
      <c r="B2461" t="s">
        <v>696</v>
      </c>
      <c r="C2461" t="s">
        <v>697</v>
      </c>
      <c r="D2461" s="7">
        <v>25</v>
      </c>
      <c r="E2461">
        <v>2019</v>
      </c>
      <c r="F2461">
        <v>2019</v>
      </c>
      <c r="G2461" t="str">
        <f>IFERROR(INDEX(Formulations[Formulation],MATCH($C2461,Formulations[Product Code],0)),"")</f>
        <v/>
      </c>
    </row>
    <row r="2462" spans="1:7" x14ac:dyDescent="0.3">
      <c r="A2462" t="s">
        <v>2247</v>
      </c>
      <c r="B2462" t="s">
        <v>696</v>
      </c>
      <c r="C2462" t="s">
        <v>697</v>
      </c>
      <c r="D2462" s="7">
        <v>25</v>
      </c>
      <c r="E2462">
        <v>2016</v>
      </c>
      <c r="F2462">
        <v>2016</v>
      </c>
      <c r="G2462" t="str">
        <f>IFERROR(INDEX(Formulations[Formulation],MATCH($C2462,Formulations[Product Code],0)),"")</f>
        <v/>
      </c>
    </row>
    <row r="2463" spans="1:7" x14ac:dyDescent="0.3">
      <c r="A2463" t="s">
        <v>2252</v>
      </c>
      <c r="B2463" t="s">
        <v>26</v>
      </c>
      <c r="C2463" t="s">
        <v>27</v>
      </c>
      <c r="D2463" s="7">
        <v>25</v>
      </c>
      <c r="E2463">
        <v>2013</v>
      </c>
      <c r="F2463">
        <v>2013</v>
      </c>
      <c r="G2463" t="str">
        <f>IFERROR(INDEX(Formulations[Formulation],MATCH($C2463,Formulations[Product Code],0)),"")</f>
        <v>FLOURAMAX A270578/ P782894</v>
      </c>
    </row>
    <row r="2464" spans="1:7" x14ac:dyDescent="0.3">
      <c r="A2464" t="s">
        <v>2260</v>
      </c>
      <c r="B2464" t="s">
        <v>32</v>
      </c>
      <c r="D2464" s="7">
        <v>25</v>
      </c>
      <c r="E2464">
        <v>2019</v>
      </c>
      <c r="F2464">
        <v>2019</v>
      </c>
      <c r="G2464" t="str">
        <f>IFERROR(INDEX(Formulations[Formulation],MATCH($C2464,Formulations[Product Code],0)),"")</f>
        <v/>
      </c>
    </row>
    <row r="2465" spans="1:7" x14ac:dyDescent="0.3">
      <c r="A2465" t="s">
        <v>2263</v>
      </c>
      <c r="B2465" t="s">
        <v>26</v>
      </c>
      <c r="C2465" t="s">
        <v>27</v>
      </c>
      <c r="D2465" s="7">
        <v>25</v>
      </c>
      <c r="E2465">
        <v>2018</v>
      </c>
      <c r="F2465">
        <v>2018</v>
      </c>
      <c r="G2465" t="str">
        <f>IFERROR(INDEX(Formulations[Formulation],MATCH($C2465,Formulations[Product Code],0)),"")</f>
        <v>FLOURAMAX A270578/ P782894</v>
      </c>
    </row>
    <row r="2466" spans="1:7" x14ac:dyDescent="0.3">
      <c r="A2466" t="s">
        <v>2271</v>
      </c>
      <c r="B2466" t="s">
        <v>334</v>
      </c>
      <c r="C2466" t="s">
        <v>335</v>
      </c>
      <c r="D2466" s="7">
        <v>25</v>
      </c>
      <c r="E2466">
        <v>2020</v>
      </c>
      <c r="F2466">
        <v>2020</v>
      </c>
      <c r="G2466" t="str">
        <f>IFERROR(INDEX(Formulations[Formulation],MATCH($C2466,Formulations[Product Code],0)),"")</f>
        <v>Pure</v>
      </c>
    </row>
    <row r="2467" spans="1:7" x14ac:dyDescent="0.3">
      <c r="A2467" t="s">
        <v>2282</v>
      </c>
      <c r="B2467" t="s">
        <v>1169</v>
      </c>
      <c r="C2467" t="s">
        <v>2283</v>
      </c>
      <c r="D2467" s="7">
        <v>25</v>
      </c>
      <c r="E2467">
        <v>2011</v>
      </c>
      <c r="F2467">
        <v>2011</v>
      </c>
      <c r="G2467" t="str">
        <f>IFERROR(INDEX(Formulations[Formulation],MATCH($C2467,Formulations[Product Code],0)),"")</f>
        <v/>
      </c>
    </row>
    <row r="2468" spans="1:7" x14ac:dyDescent="0.3">
      <c r="A2468" t="s">
        <v>2282</v>
      </c>
      <c r="B2468" t="s">
        <v>2284</v>
      </c>
      <c r="D2468" s="7">
        <v>25</v>
      </c>
      <c r="E2468">
        <v>2009</v>
      </c>
      <c r="F2468">
        <v>2009</v>
      </c>
      <c r="G2468" t="str">
        <f>IFERROR(INDEX(Formulations[Formulation],MATCH($C2468,Formulations[Product Code],0)),"")</f>
        <v/>
      </c>
    </row>
    <row r="2469" spans="1:7" x14ac:dyDescent="0.3">
      <c r="A2469" t="s">
        <v>2282</v>
      </c>
      <c r="B2469" t="s">
        <v>297</v>
      </c>
      <c r="C2469" t="s">
        <v>2285</v>
      </c>
      <c r="D2469" s="7">
        <v>25</v>
      </c>
      <c r="E2469">
        <v>2011</v>
      </c>
      <c r="F2469">
        <v>2011</v>
      </c>
      <c r="G2469" t="str">
        <f>IFERROR(INDEX(Formulations[Formulation],MATCH($C2469,Formulations[Product Code],0)),"")</f>
        <v/>
      </c>
    </row>
    <row r="2470" spans="1:7" x14ac:dyDescent="0.3">
      <c r="A2470" t="s">
        <v>2282</v>
      </c>
      <c r="B2470" t="s">
        <v>2286</v>
      </c>
      <c r="D2470" s="7">
        <v>25</v>
      </c>
      <c r="E2470">
        <v>2009</v>
      </c>
      <c r="F2470">
        <v>2009</v>
      </c>
      <c r="G2470" t="str">
        <f>IFERROR(INDEX(Formulations[Formulation],MATCH($C2470,Formulations[Product Code],0)),"")</f>
        <v/>
      </c>
    </row>
    <row r="2471" spans="1:7" x14ac:dyDescent="0.3">
      <c r="A2471" t="s">
        <v>2290</v>
      </c>
      <c r="B2471" t="s">
        <v>1461</v>
      </c>
      <c r="D2471" s="7">
        <v>25</v>
      </c>
      <c r="E2471">
        <v>2017</v>
      </c>
      <c r="F2471">
        <v>2020</v>
      </c>
      <c r="G2471" t="str">
        <f>IFERROR(INDEX(Formulations[Formulation],MATCH($C2471,Formulations[Product Code],0)),"")</f>
        <v/>
      </c>
    </row>
    <row r="2472" spans="1:7" x14ac:dyDescent="0.3">
      <c r="A2472" t="s">
        <v>2290</v>
      </c>
      <c r="B2472" t="s">
        <v>700</v>
      </c>
      <c r="C2472" t="s">
        <v>701</v>
      </c>
      <c r="D2472" s="7">
        <v>25</v>
      </c>
      <c r="E2472">
        <v>2009</v>
      </c>
      <c r="F2472">
        <v>2009</v>
      </c>
      <c r="G2472" t="str">
        <f>IFERROR(INDEX(Formulations[Formulation],MATCH($C2472,Formulations[Product Code],0)),"")</f>
        <v/>
      </c>
    </row>
    <row r="2473" spans="1:7" x14ac:dyDescent="0.3">
      <c r="A2473" t="s">
        <v>2290</v>
      </c>
      <c r="B2473" t="s">
        <v>30</v>
      </c>
      <c r="C2473" t="s">
        <v>31</v>
      </c>
      <c r="D2473" s="7">
        <v>25</v>
      </c>
      <c r="E2473">
        <v>2012</v>
      </c>
      <c r="F2473">
        <v>2012</v>
      </c>
      <c r="G2473" t="str">
        <f>IFERROR(INDEX(Formulations[Formulation],MATCH($C2473,Formulations[Product Code],0)),"")</f>
        <v>Pure</v>
      </c>
    </row>
    <row r="2474" spans="1:7" x14ac:dyDescent="0.3">
      <c r="A2474" t="s">
        <v>2294</v>
      </c>
      <c r="B2474" t="s">
        <v>26</v>
      </c>
      <c r="C2474" t="s">
        <v>27</v>
      </c>
      <c r="D2474" s="7">
        <v>25</v>
      </c>
      <c r="E2474">
        <v>2017</v>
      </c>
      <c r="F2474">
        <v>2017</v>
      </c>
      <c r="G2474" t="str">
        <f>IFERROR(INDEX(Formulations[Formulation],MATCH($C2474,Formulations[Product Code],0)),"")</f>
        <v>FLOURAMAX A270578/ P782894</v>
      </c>
    </row>
    <row r="2475" spans="1:7" x14ac:dyDescent="0.3">
      <c r="A2475" t="s">
        <v>2296</v>
      </c>
      <c r="B2475" t="s">
        <v>45</v>
      </c>
      <c r="D2475" s="7">
        <v>25</v>
      </c>
      <c r="E2475">
        <v>2014</v>
      </c>
      <c r="F2475">
        <v>2015</v>
      </c>
      <c r="G2475" t="str">
        <f>IFERROR(INDEX(Formulations[Formulation],MATCH($C2475,Formulations[Product Code],0)),"")</f>
        <v/>
      </c>
    </row>
    <row r="2476" spans="1:7" x14ac:dyDescent="0.3">
      <c r="A2476" t="s">
        <v>2296</v>
      </c>
      <c r="B2476" t="s">
        <v>240</v>
      </c>
      <c r="D2476" s="7">
        <v>25</v>
      </c>
      <c r="E2476">
        <v>2014</v>
      </c>
      <c r="F2476">
        <v>2015</v>
      </c>
      <c r="G2476" t="str">
        <f>IFERROR(INDEX(Formulations[Formulation],MATCH($C2476,Formulations[Product Code],0)),"")</f>
        <v/>
      </c>
    </row>
    <row r="2477" spans="1:7" x14ac:dyDescent="0.3">
      <c r="A2477" t="s">
        <v>2296</v>
      </c>
      <c r="B2477" t="s">
        <v>864</v>
      </c>
      <c r="D2477" s="7">
        <v>25</v>
      </c>
      <c r="E2477">
        <v>2014</v>
      </c>
      <c r="F2477">
        <v>2015</v>
      </c>
      <c r="G2477" t="str">
        <f>IFERROR(INDEX(Formulations[Formulation],MATCH($C2477,Formulations[Product Code],0)),"")</f>
        <v/>
      </c>
    </row>
    <row r="2478" spans="1:7" x14ac:dyDescent="0.3">
      <c r="A2478" t="s">
        <v>2296</v>
      </c>
      <c r="B2478" t="s">
        <v>46</v>
      </c>
      <c r="C2478" t="s">
        <v>47</v>
      </c>
      <c r="D2478" s="7">
        <v>25</v>
      </c>
      <c r="E2478">
        <v>2019</v>
      </c>
      <c r="F2478">
        <v>2019</v>
      </c>
      <c r="G2478" t="str">
        <f>IFERROR(INDEX(Formulations[Formulation],MATCH($C2478,Formulations[Product Code],0)),"")</f>
        <v/>
      </c>
    </row>
    <row r="2479" spans="1:7" x14ac:dyDescent="0.3">
      <c r="A2479" t="s">
        <v>2297</v>
      </c>
      <c r="B2479" t="s">
        <v>510</v>
      </c>
      <c r="C2479" t="s">
        <v>511</v>
      </c>
      <c r="D2479" s="7">
        <v>25</v>
      </c>
      <c r="E2479">
        <v>2018</v>
      </c>
      <c r="F2479">
        <v>2018</v>
      </c>
      <c r="G2479" t="str">
        <f>IFERROR(INDEX(Formulations[Formulation],MATCH($C2479,Formulations[Product Code],0)),"")</f>
        <v>Pure</v>
      </c>
    </row>
    <row r="2480" spans="1:7" x14ac:dyDescent="0.3">
      <c r="A2480" t="s">
        <v>2297</v>
      </c>
      <c r="B2480" t="s">
        <v>291</v>
      </c>
      <c r="C2480" t="s">
        <v>292</v>
      </c>
      <c r="D2480" s="7">
        <v>25</v>
      </c>
      <c r="E2480">
        <v>2016</v>
      </c>
      <c r="F2480">
        <v>2016</v>
      </c>
      <c r="G2480" t="str">
        <f>IFERROR(INDEX(Formulations[Formulation],MATCH($C2480,Formulations[Product Code],0)),"")</f>
        <v/>
      </c>
    </row>
    <row r="2481" spans="1:7" x14ac:dyDescent="0.3">
      <c r="A2481" t="s">
        <v>2299</v>
      </c>
      <c r="B2481" t="s">
        <v>184</v>
      </c>
      <c r="C2481" t="s">
        <v>185</v>
      </c>
      <c r="D2481" s="7">
        <v>25</v>
      </c>
      <c r="E2481">
        <v>2013</v>
      </c>
      <c r="F2481">
        <v>2013</v>
      </c>
      <c r="G2481" t="str">
        <f>IFERROR(INDEX(Formulations[Formulation],MATCH($C2481,Formulations[Product Code],0)),"")</f>
        <v/>
      </c>
    </row>
    <row r="2482" spans="1:7" x14ac:dyDescent="0.3">
      <c r="A2482" t="s">
        <v>2299</v>
      </c>
      <c r="B2482" t="s">
        <v>297</v>
      </c>
      <c r="C2482" t="s">
        <v>298</v>
      </c>
      <c r="D2482" s="7">
        <v>25</v>
      </c>
      <c r="E2482">
        <v>2013</v>
      </c>
      <c r="F2482">
        <v>2013</v>
      </c>
      <c r="G2482" t="str">
        <f>IFERROR(INDEX(Formulations[Formulation],MATCH($C2482,Formulations[Product Code],0)),"")</f>
        <v>Pure</v>
      </c>
    </row>
    <row r="2483" spans="1:7" x14ac:dyDescent="0.3">
      <c r="A2483" t="s">
        <v>2299</v>
      </c>
      <c r="B2483" t="s">
        <v>19</v>
      </c>
      <c r="C2483" t="s">
        <v>270</v>
      </c>
      <c r="D2483" s="7">
        <v>25</v>
      </c>
      <c r="E2483">
        <v>2013</v>
      </c>
      <c r="F2483">
        <v>2013</v>
      </c>
      <c r="G2483" t="str">
        <f>IFERROR(INDEX(Formulations[Formulation],MATCH($C2483,Formulations[Product Code],0)),"")</f>
        <v>Pure</v>
      </c>
    </row>
    <row r="2484" spans="1:7" x14ac:dyDescent="0.3">
      <c r="A2484" t="s">
        <v>2299</v>
      </c>
      <c r="B2484" t="s">
        <v>41</v>
      </c>
      <c r="C2484" t="s">
        <v>42</v>
      </c>
      <c r="D2484" s="7">
        <v>25</v>
      </c>
      <c r="E2484">
        <v>2013</v>
      </c>
      <c r="F2484">
        <v>2013</v>
      </c>
      <c r="G2484" t="str">
        <f>IFERROR(INDEX(Formulations[Formulation],MATCH($C2484,Formulations[Product Code],0)),"")</f>
        <v/>
      </c>
    </row>
    <row r="2485" spans="1:7" x14ac:dyDescent="0.3">
      <c r="A2485" t="s">
        <v>2300</v>
      </c>
      <c r="B2485" t="s">
        <v>184</v>
      </c>
      <c r="C2485" t="s">
        <v>185</v>
      </c>
      <c r="D2485" s="7">
        <v>25</v>
      </c>
      <c r="E2485">
        <v>2012</v>
      </c>
      <c r="F2485">
        <v>2012</v>
      </c>
      <c r="G2485" t="str">
        <f>IFERROR(INDEX(Formulations[Formulation],MATCH($C2485,Formulations[Product Code],0)),"")</f>
        <v/>
      </c>
    </row>
    <row r="2486" spans="1:7" x14ac:dyDescent="0.3">
      <c r="A2486" t="s">
        <v>2300</v>
      </c>
      <c r="B2486" t="s">
        <v>297</v>
      </c>
      <c r="C2486" t="s">
        <v>298</v>
      </c>
      <c r="D2486" s="7">
        <v>25</v>
      </c>
      <c r="E2486">
        <v>2012</v>
      </c>
      <c r="F2486">
        <v>2012</v>
      </c>
      <c r="G2486" t="str">
        <f>IFERROR(INDEX(Formulations[Formulation],MATCH($C2486,Formulations[Product Code],0)),"")</f>
        <v>Pure</v>
      </c>
    </row>
    <row r="2487" spans="1:7" x14ac:dyDescent="0.3">
      <c r="A2487" t="s">
        <v>2300</v>
      </c>
      <c r="B2487" t="s">
        <v>19</v>
      </c>
      <c r="C2487" t="s">
        <v>270</v>
      </c>
      <c r="D2487" s="7">
        <v>25</v>
      </c>
      <c r="E2487">
        <v>2012</v>
      </c>
      <c r="F2487">
        <v>2012</v>
      </c>
      <c r="G2487" t="str">
        <f>IFERROR(INDEX(Formulations[Formulation],MATCH($C2487,Formulations[Product Code],0)),"")</f>
        <v>Pure</v>
      </c>
    </row>
    <row r="2488" spans="1:7" x14ac:dyDescent="0.3">
      <c r="A2488" t="s">
        <v>2300</v>
      </c>
      <c r="B2488" t="s">
        <v>41</v>
      </c>
      <c r="C2488" t="s">
        <v>42</v>
      </c>
      <c r="D2488" s="7">
        <v>25</v>
      </c>
      <c r="E2488">
        <v>2012</v>
      </c>
      <c r="F2488">
        <v>2012</v>
      </c>
      <c r="G2488" t="str">
        <f>IFERROR(INDEX(Formulations[Formulation],MATCH($C2488,Formulations[Product Code],0)),"")</f>
        <v/>
      </c>
    </row>
    <row r="2489" spans="1:7" x14ac:dyDescent="0.3">
      <c r="A2489" t="s">
        <v>2301</v>
      </c>
      <c r="B2489" t="s">
        <v>19</v>
      </c>
      <c r="C2489" t="s">
        <v>699</v>
      </c>
      <c r="D2489" s="7">
        <v>25</v>
      </c>
      <c r="E2489">
        <v>2017</v>
      </c>
      <c r="F2489">
        <v>2017</v>
      </c>
      <c r="G2489" t="str">
        <f>IFERROR(INDEX(Formulations[Formulation],MATCH($C2489,Formulations[Product Code],0)),"")</f>
        <v/>
      </c>
    </row>
    <row r="2490" spans="1:7" x14ac:dyDescent="0.3">
      <c r="A2490" t="s">
        <v>2302</v>
      </c>
      <c r="B2490" t="s">
        <v>297</v>
      </c>
      <c r="C2490" t="s">
        <v>2285</v>
      </c>
      <c r="D2490" s="7">
        <v>25</v>
      </c>
      <c r="E2490">
        <v>2009</v>
      </c>
      <c r="F2490">
        <v>2009</v>
      </c>
      <c r="G2490" t="str">
        <f>IFERROR(INDEX(Formulations[Formulation],MATCH($C2490,Formulations[Product Code],0)),"")</f>
        <v/>
      </c>
    </row>
    <row r="2491" spans="1:7" x14ac:dyDescent="0.3">
      <c r="A2491" t="s">
        <v>2302</v>
      </c>
      <c r="B2491" t="s">
        <v>135</v>
      </c>
      <c r="C2491" t="s">
        <v>136</v>
      </c>
      <c r="D2491" s="7">
        <v>25</v>
      </c>
      <c r="E2491">
        <v>2009</v>
      </c>
      <c r="F2491">
        <v>2009</v>
      </c>
      <c r="G2491" t="str">
        <f>IFERROR(INDEX(Formulations[Formulation],MATCH($C2491,Formulations[Product Code],0)),"")</f>
        <v/>
      </c>
    </row>
    <row r="2492" spans="1:7" x14ac:dyDescent="0.3">
      <c r="A2492" t="s">
        <v>2302</v>
      </c>
      <c r="B2492" t="s">
        <v>46</v>
      </c>
      <c r="C2492" t="s">
        <v>47</v>
      </c>
      <c r="D2492" s="7">
        <v>25</v>
      </c>
      <c r="E2492">
        <v>2015</v>
      </c>
      <c r="F2492">
        <v>2015</v>
      </c>
      <c r="G2492" t="str">
        <f>IFERROR(INDEX(Formulations[Formulation],MATCH($C2492,Formulations[Product Code],0)),"")</f>
        <v/>
      </c>
    </row>
    <row r="2493" spans="1:7" x14ac:dyDescent="0.3">
      <c r="A2493" t="s">
        <v>2324</v>
      </c>
      <c r="B2493" t="s">
        <v>2326</v>
      </c>
      <c r="C2493" t="s">
        <v>2327</v>
      </c>
      <c r="D2493" s="7">
        <v>25</v>
      </c>
      <c r="E2493">
        <v>2009</v>
      </c>
      <c r="F2493">
        <v>2011</v>
      </c>
      <c r="G2493" t="str">
        <f>IFERROR(INDEX(Formulations[Formulation],MATCH($C2493,Formulations[Product Code],0)),"")</f>
        <v/>
      </c>
    </row>
    <row r="2494" spans="1:7" x14ac:dyDescent="0.3">
      <c r="A2494" t="s">
        <v>2328</v>
      </c>
      <c r="B2494" t="s">
        <v>276</v>
      </c>
      <c r="C2494" t="s">
        <v>277</v>
      </c>
      <c r="D2494" s="7">
        <v>25</v>
      </c>
      <c r="E2494">
        <v>2016</v>
      </c>
      <c r="F2494">
        <v>2016</v>
      </c>
      <c r="G2494" t="str">
        <f>IFERROR(INDEX(Formulations[Formulation],MATCH($C2494,Formulations[Product Code],0)),"")</f>
        <v>Pure</v>
      </c>
    </row>
    <row r="2495" spans="1:7" x14ac:dyDescent="0.3">
      <c r="A2495" t="s">
        <v>2328</v>
      </c>
      <c r="B2495" t="s">
        <v>74</v>
      </c>
      <c r="C2495" t="s">
        <v>75</v>
      </c>
      <c r="D2495" s="7">
        <v>25</v>
      </c>
      <c r="E2495">
        <v>2016</v>
      </c>
      <c r="F2495">
        <v>2016</v>
      </c>
      <c r="G2495" t="str">
        <f>IFERROR(INDEX(Formulations[Formulation],MATCH($C2495,Formulations[Product Code],0)),"")</f>
        <v>Crystal</v>
      </c>
    </row>
    <row r="2496" spans="1:7" x14ac:dyDescent="0.3">
      <c r="A2496" t="s">
        <v>2328</v>
      </c>
      <c r="B2496" t="s">
        <v>807</v>
      </c>
      <c r="C2496" t="s">
        <v>515</v>
      </c>
      <c r="D2496" s="7">
        <v>25</v>
      </c>
      <c r="E2496">
        <v>2018</v>
      </c>
      <c r="F2496">
        <v>2018</v>
      </c>
      <c r="G2496" t="str">
        <f>IFERROR(INDEX(Formulations[Formulation],MATCH($C2496,Formulations[Product Code],0)),"")</f>
        <v>Crystal</v>
      </c>
    </row>
    <row r="2497" spans="1:7" x14ac:dyDescent="0.3">
      <c r="A2497" t="s">
        <v>2330</v>
      </c>
      <c r="B2497" t="s">
        <v>1900</v>
      </c>
      <c r="D2497" s="7">
        <v>25</v>
      </c>
      <c r="E2497">
        <v>2017</v>
      </c>
      <c r="F2497">
        <v>2017</v>
      </c>
      <c r="G2497" t="str">
        <f>IFERROR(INDEX(Formulations[Formulation],MATCH($C2497,Formulations[Product Code],0)),"")</f>
        <v/>
      </c>
    </row>
    <row r="2498" spans="1:7" x14ac:dyDescent="0.3">
      <c r="A2498" t="s">
        <v>2330</v>
      </c>
      <c r="B2498" t="s">
        <v>540</v>
      </c>
      <c r="C2498" t="s">
        <v>541</v>
      </c>
      <c r="D2498" s="7">
        <v>25</v>
      </c>
      <c r="E2498">
        <v>2016</v>
      </c>
      <c r="F2498">
        <v>2016</v>
      </c>
      <c r="G2498" t="str">
        <f>IFERROR(INDEX(Formulations[Formulation],MATCH($C2498,Formulations[Product Code],0)),"")</f>
        <v>Pure</v>
      </c>
    </row>
    <row r="2499" spans="1:7" x14ac:dyDescent="0.3">
      <c r="A2499" t="s">
        <v>2330</v>
      </c>
      <c r="B2499" t="s">
        <v>349</v>
      </c>
      <c r="C2499" t="s">
        <v>350</v>
      </c>
      <c r="D2499" s="7">
        <v>25</v>
      </c>
      <c r="E2499">
        <v>2016</v>
      </c>
      <c r="F2499">
        <v>2020</v>
      </c>
      <c r="G2499" t="str">
        <f>IFERROR(INDEX(Formulations[Formulation],MATCH($C2499,Formulations[Product Code],0)),"")</f>
        <v/>
      </c>
    </row>
    <row r="2500" spans="1:7" x14ac:dyDescent="0.3">
      <c r="A2500" t="s">
        <v>2330</v>
      </c>
      <c r="B2500" t="s">
        <v>404</v>
      </c>
      <c r="C2500" t="s">
        <v>405</v>
      </c>
      <c r="D2500" s="7">
        <v>25</v>
      </c>
      <c r="E2500">
        <v>2016</v>
      </c>
      <c r="F2500">
        <v>2016</v>
      </c>
      <c r="G2500" t="str">
        <f>IFERROR(INDEX(Formulations[Formulation],MATCH($C2500,Formulations[Product Code],0)),"")</f>
        <v/>
      </c>
    </row>
    <row r="2501" spans="1:7" x14ac:dyDescent="0.3">
      <c r="A2501" t="s">
        <v>2346</v>
      </c>
      <c r="B2501" t="s">
        <v>548</v>
      </c>
      <c r="D2501" s="7">
        <v>25</v>
      </c>
      <c r="E2501">
        <v>2020</v>
      </c>
      <c r="F2501">
        <v>2020</v>
      </c>
      <c r="G2501" t="str">
        <f>IFERROR(INDEX(Formulations[Formulation],MATCH($C2501,Formulations[Product Code],0)),"")</f>
        <v/>
      </c>
    </row>
    <row r="2502" spans="1:7" x14ac:dyDescent="0.3">
      <c r="A2502" t="s">
        <v>2346</v>
      </c>
      <c r="B2502" t="s">
        <v>1653</v>
      </c>
      <c r="C2502" t="s">
        <v>2348</v>
      </c>
      <c r="D2502" s="7">
        <v>25</v>
      </c>
      <c r="E2502">
        <v>2020</v>
      </c>
      <c r="F2502">
        <v>2020</v>
      </c>
      <c r="G2502" t="str">
        <f>IFERROR(INDEX(Formulations[Formulation],MATCH($C2502,Formulations[Product Code],0)),"")</f>
        <v/>
      </c>
    </row>
    <row r="2503" spans="1:7" x14ac:dyDescent="0.3">
      <c r="A2503" t="s">
        <v>2346</v>
      </c>
      <c r="B2503" t="s">
        <v>297</v>
      </c>
      <c r="C2503" t="s">
        <v>298</v>
      </c>
      <c r="D2503" s="7">
        <v>25</v>
      </c>
      <c r="E2503">
        <v>2018</v>
      </c>
      <c r="F2503">
        <v>2018</v>
      </c>
      <c r="G2503" t="str">
        <f>IFERROR(INDEX(Formulations[Formulation],MATCH($C2503,Formulations[Product Code],0)),"")</f>
        <v>Pure</v>
      </c>
    </row>
    <row r="2504" spans="1:7" x14ac:dyDescent="0.3">
      <c r="A2504" t="s">
        <v>2346</v>
      </c>
      <c r="B2504" t="s">
        <v>19</v>
      </c>
      <c r="C2504" t="s">
        <v>107</v>
      </c>
      <c r="D2504" s="7">
        <v>25</v>
      </c>
      <c r="E2504">
        <v>2021</v>
      </c>
      <c r="F2504">
        <v>2021</v>
      </c>
      <c r="G2504" t="str">
        <f>IFERROR(INDEX(Formulations[Formulation],MATCH($C2504,Formulations[Product Code],0)),"")</f>
        <v>Pure</v>
      </c>
    </row>
    <row r="2505" spans="1:7" x14ac:dyDescent="0.3">
      <c r="A2505" t="s">
        <v>2346</v>
      </c>
      <c r="B2505" t="s">
        <v>19</v>
      </c>
      <c r="C2505" t="s">
        <v>2349</v>
      </c>
      <c r="D2505" s="7">
        <v>25</v>
      </c>
      <c r="E2505">
        <v>2012</v>
      </c>
      <c r="F2505">
        <v>2012</v>
      </c>
      <c r="G2505" t="str">
        <f>IFERROR(INDEX(Formulations[Formulation],MATCH($C2505,Formulations[Product Code],0)),"")</f>
        <v/>
      </c>
    </row>
    <row r="2506" spans="1:7" x14ac:dyDescent="0.3">
      <c r="A2506" t="s">
        <v>2346</v>
      </c>
      <c r="B2506" t="s">
        <v>2352</v>
      </c>
      <c r="C2506" t="s">
        <v>1115</v>
      </c>
      <c r="D2506" s="7">
        <v>25</v>
      </c>
      <c r="E2506">
        <v>2012</v>
      </c>
      <c r="F2506">
        <v>2012</v>
      </c>
      <c r="G2506" t="str">
        <f>IFERROR(INDEX(Formulations[Formulation],MATCH($C2506,Formulations[Product Code],0)),"")</f>
        <v/>
      </c>
    </row>
    <row r="2507" spans="1:7" x14ac:dyDescent="0.3">
      <c r="A2507" t="s">
        <v>2354</v>
      </c>
      <c r="B2507" t="s">
        <v>589</v>
      </c>
      <c r="C2507" t="s">
        <v>590</v>
      </c>
      <c r="D2507" s="7">
        <v>25</v>
      </c>
      <c r="E2507">
        <v>2020</v>
      </c>
      <c r="F2507">
        <v>2020</v>
      </c>
      <c r="G2507" t="str">
        <f>IFERROR(INDEX(Formulations[Formulation],MATCH($C2507,Formulations[Product Code],0)),"")</f>
        <v>Bakhur : A285878- 90%, A243761-10%</v>
      </c>
    </row>
    <row r="2508" spans="1:7" x14ac:dyDescent="0.3">
      <c r="A2508" t="s">
        <v>2354</v>
      </c>
      <c r="B2508" t="s">
        <v>99</v>
      </c>
      <c r="C2508" t="s">
        <v>100</v>
      </c>
      <c r="D2508" s="7">
        <v>25</v>
      </c>
      <c r="E2508">
        <v>2020</v>
      </c>
      <c r="F2508">
        <v>2020</v>
      </c>
      <c r="G2508" t="str">
        <f>IFERROR(INDEX(Formulations[Formulation],MATCH($C2508,Formulations[Product Code],0)),"")</f>
        <v>Crystal</v>
      </c>
    </row>
    <row r="2509" spans="1:7" x14ac:dyDescent="0.3">
      <c r="A2509" t="s">
        <v>2354</v>
      </c>
      <c r="B2509" t="s">
        <v>467</v>
      </c>
      <c r="C2509" t="s">
        <v>468</v>
      </c>
      <c r="D2509" s="7">
        <v>25</v>
      </c>
      <c r="E2509">
        <v>2018</v>
      </c>
      <c r="F2509">
        <v>2018</v>
      </c>
      <c r="G2509" t="str">
        <f>IFERROR(INDEX(Formulations[Formulation],MATCH($C2509,Formulations[Product Code],0)),"")</f>
        <v>Crystal</v>
      </c>
    </row>
    <row r="2510" spans="1:7" x14ac:dyDescent="0.3">
      <c r="A2510" t="s">
        <v>2354</v>
      </c>
      <c r="B2510" t="s">
        <v>597</v>
      </c>
      <c r="C2510" t="s">
        <v>598</v>
      </c>
      <c r="D2510" s="7">
        <v>25</v>
      </c>
      <c r="E2510">
        <v>2020</v>
      </c>
      <c r="F2510">
        <v>2020</v>
      </c>
      <c r="G2510" t="str">
        <f>IFERROR(INDEX(Formulations[Formulation],MATCH($C2510,Formulations[Product Code],0)),"")</f>
        <v>Silver</v>
      </c>
    </row>
    <row r="2511" spans="1:7" x14ac:dyDescent="0.3">
      <c r="A2511" t="s">
        <v>2354</v>
      </c>
      <c r="B2511" t="s">
        <v>839</v>
      </c>
      <c r="C2511" t="s">
        <v>138</v>
      </c>
      <c r="D2511" s="7">
        <v>25</v>
      </c>
      <c r="E2511">
        <v>2021</v>
      </c>
      <c r="F2511">
        <v>2021</v>
      </c>
      <c r="G2511" t="str">
        <f>IFERROR(INDEX(Formulations[Formulation],MATCH($C2511,Formulations[Product Code],0)),"")</f>
        <v>WS</v>
      </c>
    </row>
    <row r="2512" spans="1:7" x14ac:dyDescent="0.3">
      <c r="A2512" t="s">
        <v>2354</v>
      </c>
      <c r="B2512" t="s">
        <v>708</v>
      </c>
      <c r="C2512" t="s">
        <v>477</v>
      </c>
      <c r="D2512" s="7">
        <v>25</v>
      </c>
      <c r="E2512">
        <v>2018</v>
      </c>
      <c r="F2512">
        <v>2018</v>
      </c>
      <c r="G2512" t="str">
        <f>IFERROR(INDEX(Formulations[Formulation],MATCH($C2512,Formulations[Product Code],0)),"")</f>
        <v/>
      </c>
    </row>
    <row r="2513" spans="1:7" x14ac:dyDescent="0.3">
      <c r="A2513" t="s">
        <v>2354</v>
      </c>
      <c r="B2513" t="s">
        <v>496</v>
      </c>
      <c r="C2513" t="s">
        <v>497</v>
      </c>
      <c r="D2513" s="7">
        <v>25</v>
      </c>
      <c r="E2513">
        <v>2020</v>
      </c>
      <c r="F2513">
        <v>2020</v>
      </c>
      <c r="G2513" t="str">
        <f>IFERROR(INDEX(Formulations[Formulation],MATCH($C2513,Formulations[Product Code],0)),"")</f>
        <v>Silver</v>
      </c>
    </row>
    <row r="2514" spans="1:7" x14ac:dyDescent="0.3">
      <c r="A2514" t="s">
        <v>2365</v>
      </c>
      <c r="B2514" t="s">
        <v>1324</v>
      </c>
      <c r="C2514" t="s">
        <v>789</v>
      </c>
      <c r="D2514" s="7">
        <v>25</v>
      </c>
      <c r="E2514">
        <v>2014</v>
      </c>
      <c r="F2514">
        <v>2014</v>
      </c>
      <c r="G2514" t="str">
        <f>IFERROR(INDEX(Formulations[Formulation],MATCH($C2514,Formulations[Product Code],0)),"")</f>
        <v>Pure</v>
      </c>
    </row>
    <row r="2515" spans="1:7" x14ac:dyDescent="0.3">
      <c r="A2515" t="s">
        <v>2365</v>
      </c>
      <c r="B2515" t="s">
        <v>72</v>
      </c>
      <c r="C2515" t="s">
        <v>73</v>
      </c>
      <c r="D2515" s="7">
        <v>25</v>
      </c>
      <c r="E2515">
        <v>2014</v>
      </c>
      <c r="F2515">
        <v>2014</v>
      </c>
      <c r="G2515" t="str">
        <f>IFERROR(INDEX(Formulations[Formulation],MATCH($C2515,Formulations[Product Code],0)),"")</f>
        <v>Silver</v>
      </c>
    </row>
    <row r="2516" spans="1:7" x14ac:dyDescent="0.3">
      <c r="A2516" t="s">
        <v>2368</v>
      </c>
      <c r="B2516" t="s">
        <v>1332</v>
      </c>
      <c r="C2516" t="s">
        <v>1333</v>
      </c>
      <c r="D2516" s="7">
        <v>25</v>
      </c>
      <c r="E2516">
        <v>2020</v>
      </c>
      <c r="F2516">
        <v>2020</v>
      </c>
      <c r="G2516" t="str">
        <f>IFERROR(INDEX(Formulations[Formulation],MATCH($C2516,Formulations[Product Code],0)),"")</f>
        <v>60 % OIL &amp; 40 % DPG</v>
      </c>
    </row>
    <row r="2517" spans="1:7" x14ac:dyDescent="0.3">
      <c r="A2517" t="s">
        <v>2368</v>
      </c>
      <c r="B2517" t="s">
        <v>184</v>
      </c>
      <c r="C2517" t="s">
        <v>185</v>
      </c>
      <c r="D2517" s="7">
        <v>25</v>
      </c>
      <c r="E2517">
        <v>2019</v>
      </c>
      <c r="F2517">
        <v>2019</v>
      </c>
      <c r="G2517" t="str">
        <f>IFERROR(INDEX(Formulations[Formulation],MATCH($C2517,Formulations[Product Code],0)),"")</f>
        <v/>
      </c>
    </row>
    <row r="2518" spans="1:7" x14ac:dyDescent="0.3">
      <c r="A2518" t="s">
        <v>2368</v>
      </c>
      <c r="B2518" t="s">
        <v>939</v>
      </c>
      <c r="C2518" t="s">
        <v>940</v>
      </c>
      <c r="D2518" s="7">
        <v>25</v>
      </c>
      <c r="E2518">
        <v>2019</v>
      </c>
      <c r="F2518">
        <v>2019</v>
      </c>
      <c r="G2518" t="str">
        <f>IFERROR(INDEX(Formulations[Formulation],MATCH($C2518,Formulations[Product Code],0)),"")</f>
        <v>Crystal</v>
      </c>
    </row>
    <row r="2519" spans="1:7" x14ac:dyDescent="0.3">
      <c r="A2519" t="s">
        <v>2368</v>
      </c>
      <c r="B2519" t="s">
        <v>2369</v>
      </c>
      <c r="C2519" t="s">
        <v>675</v>
      </c>
      <c r="D2519" s="7">
        <v>25</v>
      </c>
      <c r="E2519">
        <v>2019</v>
      </c>
      <c r="F2519">
        <v>2019</v>
      </c>
      <c r="G2519" t="str">
        <f>IFERROR(INDEX(Formulations[Formulation],MATCH($C2519,Formulations[Product Code],0)),"")</f>
        <v>Crystal</v>
      </c>
    </row>
    <row r="2520" spans="1:7" x14ac:dyDescent="0.3">
      <c r="A2520" t="s">
        <v>2372</v>
      </c>
      <c r="B2520" t="s">
        <v>1361</v>
      </c>
      <c r="C2520" t="s">
        <v>1362</v>
      </c>
      <c r="D2520" s="7">
        <v>25</v>
      </c>
      <c r="E2520">
        <v>2011</v>
      </c>
      <c r="F2520">
        <v>2012</v>
      </c>
      <c r="G2520" t="str">
        <f>IFERROR(INDEX(Formulations[Formulation],MATCH($C2520,Formulations[Product Code],0)),"")</f>
        <v/>
      </c>
    </row>
    <row r="2521" spans="1:7" x14ac:dyDescent="0.3">
      <c r="A2521" t="s">
        <v>2380</v>
      </c>
      <c r="B2521" t="s">
        <v>216</v>
      </c>
      <c r="C2521" t="s">
        <v>217</v>
      </c>
      <c r="D2521" s="7">
        <v>25</v>
      </c>
      <c r="E2521">
        <v>2011</v>
      </c>
      <c r="F2521">
        <v>2011</v>
      </c>
      <c r="G2521" t="str">
        <f>IFERROR(INDEX(Formulations[Formulation],MATCH($C2521,Formulations[Product Code],0)),"")</f>
        <v/>
      </c>
    </row>
    <row r="2522" spans="1:7" x14ac:dyDescent="0.3">
      <c r="A2522" t="s">
        <v>2380</v>
      </c>
      <c r="B2522" t="s">
        <v>1472</v>
      </c>
      <c r="C2522" t="s">
        <v>394</v>
      </c>
      <c r="D2522" s="7">
        <v>25</v>
      </c>
      <c r="E2522">
        <v>2011</v>
      </c>
      <c r="F2522">
        <v>2011</v>
      </c>
      <c r="G2522" t="str">
        <f>IFERROR(INDEX(Formulations[Formulation],MATCH($C2522,Formulations[Product Code],0)),"")</f>
        <v>Pure</v>
      </c>
    </row>
    <row r="2523" spans="1:7" x14ac:dyDescent="0.3">
      <c r="A2523" t="s">
        <v>2380</v>
      </c>
      <c r="B2523" t="s">
        <v>218</v>
      </c>
      <c r="C2523" t="s">
        <v>212</v>
      </c>
      <c r="D2523" s="7">
        <v>25</v>
      </c>
      <c r="E2523">
        <v>2010</v>
      </c>
      <c r="F2523">
        <v>2013</v>
      </c>
      <c r="G2523" t="str">
        <f>IFERROR(INDEX(Formulations[Formulation],MATCH($C2523,Formulations[Product Code],0)),"")</f>
        <v>Pure</v>
      </c>
    </row>
    <row r="2524" spans="1:7" x14ac:dyDescent="0.3">
      <c r="A2524" t="s">
        <v>2380</v>
      </c>
      <c r="B2524" t="s">
        <v>1308</v>
      </c>
      <c r="C2524" t="s">
        <v>1309</v>
      </c>
      <c r="D2524" s="7">
        <v>25</v>
      </c>
      <c r="E2524">
        <v>2011</v>
      </c>
      <c r="F2524">
        <v>2011</v>
      </c>
      <c r="G2524" t="str">
        <f>IFERROR(INDEX(Formulations[Formulation],MATCH($C2524,Formulations[Product Code],0)),"")</f>
        <v/>
      </c>
    </row>
    <row r="2525" spans="1:7" x14ac:dyDescent="0.3">
      <c r="A2525" t="s">
        <v>2392</v>
      </c>
      <c r="B2525" t="s">
        <v>216</v>
      </c>
      <c r="C2525" t="s">
        <v>217</v>
      </c>
      <c r="D2525" s="7">
        <v>25</v>
      </c>
      <c r="E2525">
        <v>2010</v>
      </c>
      <c r="F2525">
        <v>2010</v>
      </c>
      <c r="G2525" t="str">
        <f>IFERROR(INDEX(Formulations[Formulation],MATCH($C2525,Formulations[Product Code],0)),"")</f>
        <v/>
      </c>
    </row>
    <row r="2526" spans="1:7" x14ac:dyDescent="0.3">
      <c r="A2526" t="s">
        <v>2392</v>
      </c>
      <c r="B2526" t="s">
        <v>2133</v>
      </c>
      <c r="D2526" s="7">
        <v>25</v>
      </c>
      <c r="E2526">
        <v>2010</v>
      </c>
      <c r="F2526">
        <v>2010</v>
      </c>
      <c r="G2526" t="str">
        <f>IFERROR(INDEX(Formulations[Formulation],MATCH($C2526,Formulations[Product Code],0)),"")</f>
        <v/>
      </c>
    </row>
    <row r="2527" spans="1:7" x14ac:dyDescent="0.3">
      <c r="A2527" t="s">
        <v>2392</v>
      </c>
      <c r="B2527" t="s">
        <v>1262</v>
      </c>
      <c r="C2527" t="s">
        <v>181</v>
      </c>
      <c r="D2527" s="7">
        <v>25</v>
      </c>
      <c r="E2527">
        <v>2010</v>
      </c>
      <c r="F2527">
        <v>2010</v>
      </c>
      <c r="G2527" t="str">
        <f>IFERROR(INDEX(Formulations[Formulation],MATCH($C2527,Formulations[Product Code],0)),"")</f>
        <v/>
      </c>
    </row>
    <row r="2528" spans="1:7" x14ac:dyDescent="0.3">
      <c r="A2528" t="s">
        <v>2398</v>
      </c>
      <c r="B2528" t="s">
        <v>2399</v>
      </c>
      <c r="C2528" t="s">
        <v>2400</v>
      </c>
      <c r="D2528" s="7">
        <v>25</v>
      </c>
      <c r="E2528">
        <v>2015</v>
      </c>
      <c r="F2528">
        <v>2015</v>
      </c>
      <c r="G2528" t="str">
        <f>IFERROR(INDEX(Formulations[Formulation],MATCH($C2528,Formulations[Product Code],0)),"")</f>
        <v/>
      </c>
    </row>
    <row r="2529" spans="1:7" x14ac:dyDescent="0.3">
      <c r="A2529" t="s">
        <v>2401</v>
      </c>
      <c r="B2529" t="s">
        <v>2402</v>
      </c>
      <c r="C2529" t="s">
        <v>2403</v>
      </c>
      <c r="D2529" s="7">
        <v>25</v>
      </c>
      <c r="E2529">
        <v>2016</v>
      </c>
      <c r="F2529">
        <v>2016</v>
      </c>
      <c r="G2529" t="str">
        <f>IFERROR(INDEX(Formulations[Formulation],MATCH($C2529,Formulations[Product Code],0)),"")</f>
        <v/>
      </c>
    </row>
    <row r="2530" spans="1:7" x14ac:dyDescent="0.3">
      <c r="A2530" t="s">
        <v>2401</v>
      </c>
      <c r="B2530" t="s">
        <v>2404</v>
      </c>
      <c r="C2530" t="s">
        <v>2405</v>
      </c>
      <c r="D2530" s="7">
        <v>25</v>
      </c>
      <c r="E2530">
        <v>2010</v>
      </c>
      <c r="F2530">
        <v>2010</v>
      </c>
      <c r="G2530" t="str">
        <f>IFERROR(INDEX(Formulations[Formulation],MATCH($C2530,Formulations[Product Code],0)),"")</f>
        <v/>
      </c>
    </row>
    <row r="2531" spans="1:7" x14ac:dyDescent="0.3">
      <c r="A2531" t="s">
        <v>2401</v>
      </c>
      <c r="B2531" t="s">
        <v>471</v>
      </c>
      <c r="C2531" t="s">
        <v>472</v>
      </c>
      <c r="D2531" s="7">
        <v>25</v>
      </c>
      <c r="E2531">
        <v>2015</v>
      </c>
      <c r="F2531">
        <v>2017</v>
      </c>
      <c r="G2531" t="str">
        <f>IFERROR(INDEX(Formulations[Formulation],MATCH($C2531,Formulations[Product Code],0)),"")</f>
        <v>Crystal</v>
      </c>
    </row>
    <row r="2532" spans="1:7" x14ac:dyDescent="0.3">
      <c r="A2532" t="s">
        <v>2401</v>
      </c>
      <c r="B2532" t="s">
        <v>517</v>
      </c>
      <c r="C2532" t="s">
        <v>145</v>
      </c>
      <c r="D2532" s="7">
        <v>25</v>
      </c>
      <c r="E2532">
        <v>2021</v>
      </c>
      <c r="F2532">
        <v>2021</v>
      </c>
      <c r="G2532" t="str">
        <f>IFERROR(INDEX(Formulations[Formulation],MATCH($C2532,Formulations[Product Code],0)),"")</f>
        <v/>
      </c>
    </row>
    <row r="2533" spans="1:7" x14ac:dyDescent="0.3">
      <c r="A2533" t="s">
        <v>2401</v>
      </c>
      <c r="B2533" t="s">
        <v>383</v>
      </c>
      <c r="C2533" t="s">
        <v>385</v>
      </c>
      <c r="D2533" s="7">
        <v>25</v>
      </c>
      <c r="E2533">
        <v>2021</v>
      </c>
      <c r="F2533">
        <v>2021</v>
      </c>
      <c r="G2533" t="str">
        <f>IFERROR(INDEX(Formulations[Formulation],MATCH($C2533,Formulations[Product Code],0)),"")</f>
        <v>Silver</v>
      </c>
    </row>
    <row r="2534" spans="1:7" x14ac:dyDescent="0.3">
      <c r="A2534" t="s">
        <v>2401</v>
      </c>
      <c r="B2534" t="s">
        <v>2408</v>
      </c>
      <c r="C2534" t="s">
        <v>2409</v>
      </c>
      <c r="D2534" s="7">
        <v>25</v>
      </c>
      <c r="E2534">
        <v>2012</v>
      </c>
      <c r="F2534">
        <v>2012</v>
      </c>
      <c r="G2534" t="str">
        <f>IFERROR(INDEX(Formulations[Formulation],MATCH($C2534,Formulations[Product Code],0)),"")</f>
        <v/>
      </c>
    </row>
    <row r="2535" spans="1:7" x14ac:dyDescent="0.3">
      <c r="A2535" t="s">
        <v>2410</v>
      </c>
      <c r="B2535" t="s">
        <v>19</v>
      </c>
      <c r="C2535" t="s">
        <v>20</v>
      </c>
      <c r="D2535" s="7">
        <v>25</v>
      </c>
      <c r="E2535">
        <v>2016</v>
      </c>
      <c r="F2535">
        <v>2016</v>
      </c>
      <c r="G2535" t="str">
        <f>IFERROR(INDEX(Formulations[Formulation],MATCH($C2535,Formulations[Product Code],0)),"")</f>
        <v>80 % Oil AND 20 % DPG</v>
      </c>
    </row>
    <row r="2536" spans="1:7" x14ac:dyDescent="0.3">
      <c r="A2536" t="s">
        <v>2412</v>
      </c>
      <c r="B2536" t="s">
        <v>2402</v>
      </c>
      <c r="C2536" t="s">
        <v>2403</v>
      </c>
      <c r="D2536" s="7">
        <v>25</v>
      </c>
      <c r="E2536">
        <v>2016</v>
      </c>
      <c r="F2536">
        <v>2016</v>
      </c>
      <c r="G2536" t="str">
        <f>IFERROR(INDEX(Formulations[Formulation],MATCH($C2536,Formulations[Product Code],0)),"")</f>
        <v/>
      </c>
    </row>
    <row r="2537" spans="1:7" x14ac:dyDescent="0.3">
      <c r="A2537" t="s">
        <v>2414</v>
      </c>
      <c r="B2537" t="s">
        <v>567</v>
      </c>
      <c r="C2537" t="s">
        <v>698</v>
      </c>
      <c r="D2537" s="7">
        <v>25</v>
      </c>
      <c r="E2537">
        <v>2015</v>
      </c>
      <c r="F2537">
        <v>2015</v>
      </c>
      <c r="G2537" t="str">
        <f>IFERROR(INDEX(Formulations[Formulation],MATCH($C2537,Formulations[Product Code],0)),"")</f>
        <v>Crystal</v>
      </c>
    </row>
    <row r="2538" spans="1:7" x14ac:dyDescent="0.3">
      <c r="A2538" t="s">
        <v>2414</v>
      </c>
      <c r="B2538" t="s">
        <v>41</v>
      </c>
      <c r="C2538" t="s">
        <v>63</v>
      </c>
      <c r="D2538" s="7">
        <v>25</v>
      </c>
      <c r="E2538">
        <v>2014</v>
      </c>
      <c r="F2538">
        <v>2014</v>
      </c>
      <c r="G2538" t="str">
        <f>IFERROR(INDEX(Formulations[Formulation],MATCH($C2538,Formulations[Product Code],0)),"")</f>
        <v>Crystal</v>
      </c>
    </row>
    <row r="2539" spans="1:7" x14ac:dyDescent="0.3">
      <c r="A2539" t="s">
        <v>2425</v>
      </c>
      <c r="B2539" t="s">
        <v>1229</v>
      </c>
      <c r="C2539" t="s">
        <v>951</v>
      </c>
      <c r="D2539" s="7">
        <v>25</v>
      </c>
      <c r="E2539">
        <v>2013</v>
      </c>
      <c r="F2539">
        <v>2013</v>
      </c>
      <c r="G2539" t="str">
        <f>IFERROR(INDEX(Formulations[Formulation],MATCH($C2539,Formulations[Product Code],0)),"")</f>
        <v/>
      </c>
    </row>
    <row r="2540" spans="1:7" x14ac:dyDescent="0.3">
      <c r="A2540" t="s">
        <v>2425</v>
      </c>
      <c r="B2540" t="s">
        <v>196</v>
      </c>
      <c r="C2540" t="s">
        <v>197</v>
      </c>
      <c r="D2540" s="7">
        <v>25</v>
      </c>
      <c r="E2540">
        <v>2013</v>
      </c>
      <c r="F2540">
        <v>2014</v>
      </c>
      <c r="G2540" t="str">
        <f>IFERROR(INDEX(Formulations[Formulation],MATCH($C2540,Formulations[Product Code],0)),"")</f>
        <v/>
      </c>
    </row>
    <row r="2541" spans="1:7" x14ac:dyDescent="0.3">
      <c r="A2541" t="s">
        <v>2437</v>
      </c>
      <c r="B2541" t="s">
        <v>349</v>
      </c>
      <c r="C2541" t="s">
        <v>350</v>
      </c>
      <c r="D2541" s="7">
        <v>25</v>
      </c>
      <c r="E2541">
        <v>2016</v>
      </c>
      <c r="F2541">
        <v>2016</v>
      </c>
      <c r="G2541" t="str">
        <f>IFERROR(INDEX(Formulations[Formulation],MATCH($C2541,Formulations[Product Code],0)),"")</f>
        <v/>
      </c>
    </row>
    <row r="2542" spans="1:7" x14ac:dyDescent="0.3">
      <c r="A2542" t="s">
        <v>2437</v>
      </c>
      <c r="B2542" t="s">
        <v>110</v>
      </c>
      <c r="C2542" t="s">
        <v>111</v>
      </c>
      <c r="D2542" s="7">
        <v>25</v>
      </c>
      <c r="E2542">
        <v>2019</v>
      </c>
      <c r="F2542">
        <v>2019</v>
      </c>
      <c r="G2542" t="str">
        <f>IFERROR(INDEX(Formulations[Formulation],MATCH($C2542,Formulations[Product Code],0)),"")</f>
        <v>75% Lemon Zeste, 25% lemon Top &amp; the Gold DPG)</v>
      </c>
    </row>
    <row r="2543" spans="1:7" x14ac:dyDescent="0.3">
      <c r="A2543" t="s">
        <v>2438</v>
      </c>
      <c r="B2543" t="s">
        <v>1762</v>
      </c>
      <c r="C2543" t="s">
        <v>1763</v>
      </c>
      <c r="D2543" s="7">
        <v>25</v>
      </c>
      <c r="E2543">
        <v>2019</v>
      </c>
      <c r="F2543">
        <v>2019</v>
      </c>
      <c r="G2543" t="str">
        <f>IFERROR(INDEX(Formulations[Formulation],MATCH($C2543,Formulations[Product Code],0)),"")</f>
        <v>Crystal</v>
      </c>
    </row>
    <row r="2544" spans="1:7" x14ac:dyDescent="0.3">
      <c r="A2544" t="s">
        <v>2438</v>
      </c>
      <c r="B2544" t="s">
        <v>1441</v>
      </c>
      <c r="C2544" t="s">
        <v>1442</v>
      </c>
      <c r="D2544" s="7">
        <v>25</v>
      </c>
      <c r="E2544">
        <v>2019</v>
      </c>
      <c r="F2544">
        <v>2019</v>
      </c>
      <c r="G2544" t="str">
        <f>IFERROR(INDEX(Formulations[Formulation],MATCH($C2544,Formulations[Product Code],0)),"")</f>
        <v/>
      </c>
    </row>
    <row r="2545" spans="1:7" x14ac:dyDescent="0.3">
      <c r="A2545" t="s">
        <v>2438</v>
      </c>
      <c r="B2545" t="s">
        <v>905</v>
      </c>
      <c r="C2545" t="s">
        <v>906</v>
      </c>
      <c r="D2545" s="7">
        <v>25</v>
      </c>
      <c r="E2545">
        <v>2018</v>
      </c>
      <c r="F2545">
        <v>2018</v>
      </c>
      <c r="G2545" t="str">
        <f>IFERROR(INDEX(Formulations[Formulation],MATCH($C2545,Formulations[Product Code],0)),"")</f>
        <v/>
      </c>
    </row>
    <row r="2546" spans="1:7" x14ac:dyDescent="0.3">
      <c r="A2546" t="s">
        <v>2438</v>
      </c>
      <c r="B2546" t="s">
        <v>348</v>
      </c>
      <c r="C2546" t="s">
        <v>347</v>
      </c>
      <c r="D2546" s="7">
        <v>25</v>
      </c>
      <c r="E2546">
        <v>2019</v>
      </c>
      <c r="F2546">
        <v>2019</v>
      </c>
      <c r="G2546" t="str">
        <f>IFERROR(INDEX(Formulations[Formulation],MATCH($C2546,Formulations[Product Code],0)),"")</f>
        <v>Pure</v>
      </c>
    </row>
    <row r="2547" spans="1:7" x14ac:dyDescent="0.3">
      <c r="A2547" t="s">
        <v>2438</v>
      </c>
      <c r="B2547" t="s">
        <v>184</v>
      </c>
      <c r="C2547" t="s">
        <v>185</v>
      </c>
      <c r="D2547" s="7">
        <v>25</v>
      </c>
      <c r="E2547">
        <v>2018</v>
      </c>
      <c r="F2547">
        <v>2018</v>
      </c>
      <c r="G2547" t="str">
        <f>IFERROR(INDEX(Formulations[Formulation],MATCH($C2547,Formulations[Product Code],0)),"")</f>
        <v/>
      </c>
    </row>
    <row r="2548" spans="1:7" x14ac:dyDescent="0.3">
      <c r="A2548" t="s">
        <v>2438</v>
      </c>
      <c r="B2548" t="s">
        <v>297</v>
      </c>
      <c r="C2548" t="s">
        <v>298</v>
      </c>
      <c r="D2548" s="7">
        <v>25</v>
      </c>
      <c r="E2548">
        <v>2018</v>
      </c>
      <c r="F2548">
        <v>2018</v>
      </c>
      <c r="G2548" t="str">
        <f>IFERROR(INDEX(Formulations[Formulation],MATCH($C2548,Formulations[Product Code],0)),"")</f>
        <v>Pure</v>
      </c>
    </row>
    <row r="2549" spans="1:7" x14ac:dyDescent="0.3">
      <c r="A2549" t="s">
        <v>2438</v>
      </c>
      <c r="B2549" t="s">
        <v>528</v>
      </c>
      <c r="C2549" t="s">
        <v>529</v>
      </c>
      <c r="D2549" s="7">
        <v>25</v>
      </c>
      <c r="E2549">
        <v>2018</v>
      </c>
      <c r="F2549">
        <v>2018</v>
      </c>
      <c r="G2549" t="str">
        <f>IFERROR(INDEX(Formulations[Formulation],MATCH($C2549,Formulations[Product Code],0)),"")</f>
        <v>Crystal</v>
      </c>
    </row>
    <row r="2550" spans="1:7" x14ac:dyDescent="0.3">
      <c r="A2550" t="s">
        <v>2438</v>
      </c>
      <c r="B2550" t="s">
        <v>809</v>
      </c>
      <c r="C2550" t="s">
        <v>810</v>
      </c>
      <c r="D2550" s="7">
        <v>25</v>
      </c>
      <c r="E2550">
        <v>2019</v>
      </c>
      <c r="F2550">
        <v>2019</v>
      </c>
      <c r="G2550" t="str">
        <f>IFERROR(INDEX(Formulations[Formulation],MATCH($C2550,Formulations[Product Code],0)),"")</f>
        <v>Silver</v>
      </c>
    </row>
    <row r="2551" spans="1:7" x14ac:dyDescent="0.3">
      <c r="A2551" t="s">
        <v>2438</v>
      </c>
      <c r="B2551" t="s">
        <v>471</v>
      </c>
      <c r="C2551" t="s">
        <v>472</v>
      </c>
      <c r="D2551" s="7">
        <v>25</v>
      </c>
      <c r="E2551">
        <v>2018</v>
      </c>
      <c r="F2551">
        <v>2018</v>
      </c>
      <c r="G2551" t="str">
        <f>IFERROR(INDEX(Formulations[Formulation],MATCH($C2551,Formulations[Product Code],0)),"")</f>
        <v>Crystal</v>
      </c>
    </row>
    <row r="2552" spans="1:7" x14ac:dyDescent="0.3">
      <c r="A2552" t="s">
        <v>2438</v>
      </c>
      <c r="B2552" t="s">
        <v>2050</v>
      </c>
      <c r="C2552" t="s">
        <v>2051</v>
      </c>
      <c r="D2552" s="7">
        <v>25</v>
      </c>
      <c r="E2552">
        <v>2019</v>
      </c>
      <c r="F2552">
        <v>2019</v>
      </c>
      <c r="G2552" t="str">
        <f>IFERROR(INDEX(Formulations[Formulation],MATCH($C2552,Formulations[Product Code],0)),"")</f>
        <v/>
      </c>
    </row>
    <row r="2553" spans="1:7" x14ac:dyDescent="0.3">
      <c r="A2553" t="s">
        <v>2438</v>
      </c>
      <c r="B2553" t="s">
        <v>438</v>
      </c>
      <c r="C2553" t="s">
        <v>439</v>
      </c>
      <c r="D2553" s="7">
        <v>25</v>
      </c>
      <c r="E2553">
        <v>2018</v>
      </c>
      <c r="F2553">
        <v>2018</v>
      </c>
      <c r="G2553" t="str">
        <f>IFERROR(INDEX(Formulations[Formulation],MATCH($C2553,Formulations[Product Code],0)),"")</f>
        <v>Pure</v>
      </c>
    </row>
    <row r="2554" spans="1:7" x14ac:dyDescent="0.3">
      <c r="A2554" t="s">
        <v>2438</v>
      </c>
      <c r="B2554" t="s">
        <v>708</v>
      </c>
      <c r="C2554" t="s">
        <v>477</v>
      </c>
      <c r="D2554" s="7">
        <v>25</v>
      </c>
      <c r="E2554">
        <v>2018</v>
      </c>
      <c r="F2554">
        <v>2018</v>
      </c>
      <c r="G2554" t="str">
        <f>IFERROR(INDEX(Formulations[Formulation],MATCH($C2554,Formulations[Product Code],0)),"")</f>
        <v/>
      </c>
    </row>
    <row r="2555" spans="1:7" x14ac:dyDescent="0.3">
      <c r="A2555" t="s">
        <v>2438</v>
      </c>
      <c r="B2555" t="s">
        <v>46</v>
      </c>
      <c r="C2555" t="s">
        <v>47</v>
      </c>
      <c r="D2555" s="7">
        <v>25</v>
      </c>
      <c r="E2555">
        <v>2018</v>
      </c>
      <c r="F2555">
        <v>2018</v>
      </c>
      <c r="G2555" t="str">
        <f>IFERROR(INDEX(Formulations[Formulation],MATCH($C2555,Formulations[Product Code],0)),"")</f>
        <v/>
      </c>
    </row>
    <row r="2556" spans="1:7" x14ac:dyDescent="0.3">
      <c r="A2556" t="s">
        <v>2438</v>
      </c>
      <c r="B2556" t="s">
        <v>483</v>
      </c>
      <c r="C2556" t="s">
        <v>484</v>
      </c>
      <c r="D2556" s="7">
        <v>25</v>
      </c>
      <c r="E2556">
        <v>2020</v>
      </c>
      <c r="F2556">
        <v>2020</v>
      </c>
      <c r="G2556" t="str">
        <f>IFERROR(INDEX(Formulations[Formulation],MATCH($C2556,Formulations[Product Code],0)),"")</f>
        <v>Crystal</v>
      </c>
    </row>
    <row r="2557" spans="1:7" x14ac:dyDescent="0.3">
      <c r="A2557" t="s">
        <v>2442</v>
      </c>
      <c r="B2557" t="s">
        <v>2443</v>
      </c>
      <c r="C2557" t="s">
        <v>2444</v>
      </c>
      <c r="D2557" s="7">
        <v>25</v>
      </c>
      <c r="E2557">
        <v>2017</v>
      </c>
      <c r="F2557">
        <v>2017</v>
      </c>
      <c r="G2557" t="str">
        <f>IFERROR(INDEX(Formulations[Formulation],MATCH($C2557,Formulations[Product Code],0)),"")</f>
        <v/>
      </c>
    </row>
    <row r="2558" spans="1:7" x14ac:dyDescent="0.3">
      <c r="A2558" t="s">
        <v>2442</v>
      </c>
      <c r="B2558" t="s">
        <v>1432</v>
      </c>
      <c r="C2558" t="s">
        <v>209</v>
      </c>
      <c r="D2558" s="7">
        <v>25</v>
      </c>
      <c r="E2558">
        <v>2018</v>
      </c>
      <c r="F2558">
        <v>2018</v>
      </c>
      <c r="G2558" t="str">
        <f>IFERROR(INDEX(Formulations[Formulation],MATCH($C2558,Formulations[Product Code],0)),"")</f>
        <v/>
      </c>
    </row>
    <row r="2559" spans="1:7" x14ac:dyDescent="0.3">
      <c r="A2559" t="s">
        <v>2442</v>
      </c>
      <c r="B2559" t="s">
        <v>562</v>
      </c>
      <c r="C2559" t="s">
        <v>563</v>
      </c>
      <c r="D2559" s="7">
        <v>25</v>
      </c>
      <c r="E2559">
        <v>2018</v>
      </c>
      <c r="F2559">
        <v>2018</v>
      </c>
      <c r="G2559" t="str">
        <f>IFERROR(INDEX(Formulations[Formulation],MATCH($C2559,Formulations[Product Code],0)),"")</f>
        <v/>
      </c>
    </row>
    <row r="2560" spans="1:7" x14ac:dyDescent="0.3">
      <c r="A2560" t="s">
        <v>2442</v>
      </c>
      <c r="B2560" t="s">
        <v>323</v>
      </c>
      <c r="C2560" t="s">
        <v>324</v>
      </c>
      <c r="D2560" s="7">
        <v>25</v>
      </c>
      <c r="E2560">
        <v>2018</v>
      </c>
      <c r="F2560">
        <v>2018</v>
      </c>
      <c r="G2560" t="str">
        <f>IFERROR(INDEX(Formulations[Formulation],MATCH($C2560,Formulations[Product Code],0)),"")</f>
        <v>Pure</v>
      </c>
    </row>
    <row r="2561" spans="1:7" x14ac:dyDescent="0.3">
      <c r="A2561" t="s">
        <v>2446</v>
      </c>
      <c r="B2561" t="s">
        <v>635</v>
      </c>
      <c r="C2561" t="s">
        <v>636</v>
      </c>
      <c r="D2561" s="7">
        <v>25</v>
      </c>
      <c r="E2561">
        <v>2018</v>
      </c>
      <c r="F2561">
        <v>2018</v>
      </c>
      <c r="G2561" t="str">
        <f>IFERROR(INDEX(Formulations[Formulation],MATCH($C2561,Formulations[Product Code],0)),"")</f>
        <v>Pure</v>
      </c>
    </row>
    <row r="2562" spans="1:7" x14ac:dyDescent="0.3">
      <c r="A2562" t="s">
        <v>2450</v>
      </c>
      <c r="B2562" t="s">
        <v>41</v>
      </c>
      <c r="C2562" t="s">
        <v>42</v>
      </c>
      <c r="D2562" s="7">
        <v>25</v>
      </c>
      <c r="E2562">
        <v>2013</v>
      </c>
      <c r="F2562">
        <v>2013</v>
      </c>
      <c r="G2562" t="str">
        <f>IFERROR(INDEX(Formulations[Formulation],MATCH($C2562,Formulations[Product Code],0)),"")</f>
        <v/>
      </c>
    </row>
    <row r="2563" spans="1:7" x14ac:dyDescent="0.3">
      <c r="A2563" t="s">
        <v>2455</v>
      </c>
      <c r="B2563" t="s">
        <v>2456</v>
      </c>
      <c r="C2563" t="s">
        <v>1991</v>
      </c>
      <c r="D2563" s="7">
        <v>25</v>
      </c>
      <c r="E2563">
        <v>2016</v>
      </c>
      <c r="F2563">
        <v>2016</v>
      </c>
      <c r="G2563" t="str">
        <f>IFERROR(INDEX(Formulations[Formulation],MATCH($C2563,Formulations[Product Code],0)),"")</f>
        <v/>
      </c>
    </row>
    <row r="2564" spans="1:7" x14ac:dyDescent="0.3">
      <c r="A2564" t="s">
        <v>2455</v>
      </c>
      <c r="B2564" t="s">
        <v>1097</v>
      </c>
      <c r="C2564" t="s">
        <v>1098</v>
      </c>
      <c r="D2564" s="7">
        <v>25</v>
      </c>
      <c r="E2564">
        <v>2020</v>
      </c>
      <c r="F2564">
        <v>2020</v>
      </c>
      <c r="G2564" t="str">
        <f>IFERROR(INDEX(Formulations[Formulation],MATCH($C2564,Formulations[Product Code],0)),"")</f>
        <v>Everlasting 70%, Floral 20% &amp; Avocado 10%</v>
      </c>
    </row>
    <row r="2565" spans="1:7" x14ac:dyDescent="0.3">
      <c r="A2565" t="s">
        <v>2455</v>
      </c>
      <c r="B2565" t="s">
        <v>30</v>
      </c>
      <c r="C2565" t="s">
        <v>31</v>
      </c>
      <c r="D2565" s="7">
        <v>25</v>
      </c>
      <c r="E2565">
        <v>2019</v>
      </c>
      <c r="F2565">
        <v>2019</v>
      </c>
      <c r="G2565" t="str">
        <f>IFERROR(INDEX(Formulations[Formulation],MATCH($C2565,Formulations[Product Code],0)),"")</f>
        <v>Pure</v>
      </c>
    </row>
    <row r="2566" spans="1:7" x14ac:dyDescent="0.3">
      <c r="A2566" t="s">
        <v>2455</v>
      </c>
      <c r="B2566" t="s">
        <v>334</v>
      </c>
      <c r="C2566" t="s">
        <v>335</v>
      </c>
      <c r="D2566" s="7">
        <v>25</v>
      </c>
      <c r="E2566">
        <v>2016</v>
      </c>
      <c r="F2566">
        <v>2016</v>
      </c>
      <c r="G2566" t="str">
        <f>IFERROR(INDEX(Formulations[Formulation],MATCH($C2566,Formulations[Product Code],0)),"")</f>
        <v>Pure</v>
      </c>
    </row>
    <row r="2567" spans="1:7" x14ac:dyDescent="0.3">
      <c r="A2567" t="s">
        <v>2455</v>
      </c>
      <c r="B2567" t="s">
        <v>483</v>
      </c>
      <c r="C2567" t="s">
        <v>484</v>
      </c>
      <c r="D2567" s="7">
        <v>25</v>
      </c>
      <c r="E2567">
        <v>2019</v>
      </c>
      <c r="F2567">
        <v>2019</v>
      </c>
      <c r="G2567" t="str">
        <f>IFERROR(INDEX(Formulations[Formulation],MATCH($C2567,Formulations[Product Code],0)),"")</f>
        <v>Crystal</v>
      </c>
    </row>
    <row r="2568" spans="1:7" x14ac:dyDescent="0.3">
      <c r="A2568" t="s">
        <v>2455</v>
      </c>
      <c r="B2568" t="s">
        <v>2458</v>
      </c>
      <c r="C2568" t="s">
        <v>47</v>
      </c>
      <c r="D2568" s="7">
        <v>25</v>
      </c>
      <c r="E2568">
        <v>2016</v>
      </c>
      <c r="F2568">
        <v>2016</v>
      </c>
      <c r="G2568" t="str">
        <f>IFERROR(INDEX(Formulations[Formulation],MATCH($C2568,Formulations[Product Code],0)),"")</f>
        <v/>
      </c>
    </row>
    <row r="2569" spans="1:7" x14ac:dyDescent="0.3">
      <c r="A2569" t="s">
        <v>2455</v>
      </c>
      <c r="B2569" t="s">
        <v>1951</v>
      </c>
      <c r="C2569" t="s">
        <v>1759</v>
      </c>
      <c r="D2569" s="7">
        <v>25</v>
      </c>
      <c r="E2569">
        <v>2019</v>
      </c>
      <c r="F2569">
        <v>2019</v>
      </c>
      <c r="G2569" t="str">
        <f>IFERROR(INDEX(Formulations[Formulation],MATCH($C2569,Formulations[Product Code],0)),"")</f>
        <v/>
      </c>
    </row>
    <row r="2570" spans="1:7" x14ac:dyDescent="0.3">
      <c r="A2570" t="s">
        <v>2461</v>
      </c>
      <c r="B2570" t="s">
        <v>1214</v>
      </c>
      <c r="C2570" t="s">
        <v>1215</v>
      </c>
      <c r="D2570" s="7">
        <v>25</v>
      </c>
      <c r="E2570">
        <v>2016</v>
      </c>
      <c r="F2570">
        <v>2016</v>
      </c>
      <c r="G2570" t="str">
        <f>IFERROR(INDEX(Formulations[Formulation],MATCH($C2570,Formulations[Product Code],0)),"")</f>
        <v/>
      </c>
    </row>
    <row r="2571" spans="1:7" x14ac:dyDescent="0.3">
      <c r="A2571" t="s">
        <v>2461</v>
      </c>
      <c r="B2571" t="s">
        <v>41</v>
      </c>
      <c r="C2571" t="s">
        <v>42</v>
      </c>
      <c r="D2571" s="7">
        <v>25</v>
      </c>
      <c r="E2571">
        <v>2015</v>
      </c>
      <c r="F2571">
        <v>2015</v>
      </c>
      <c r="G2571" t="str">
        <f>IFERROR(INDEX(Formulations[Formulation],MATCH($C2571,Formulations[Product Code],0)),"")</f>
        <v/>
      </c>
    </row>
    <row r="2572" spans="1:7" x14ac:dyDescent="0.3">
      <c r="A2572" t="s">
        <v>2461</v>
      </c>
      <c r="B2572" t="s">
        <v>741</v>
      </c>
      <c r="C2572" t="s">
        <v>742</v>
      </c>
      <c r="D2572" s="7">
        <v>25</v>
      </c>
      <c r="E2572">
        <v>2015</v>
      </c>
      <c r="F2572">
        <v>2015</v>
      </c>
      <c r="G2572" t="str">
        <f>IFERROR(INDEX(Formulations[Formulation],MATCH($C2572,Formulations[Product Code],0)),"")</f>
        <v/>
      </c>
    </row>
    <row r="2573" spans="1:7" x14ac:dyDescent="0.3">
      <c r="A2573" t="s">
        <v>2461</v>
      </c>
      <c r="B2573" t="s">
        <v>1815</v>
      </c>
      <c r="C2573" t="s">
        <v>1223</v>
      </c>
      <c r="D2573" s="7">
        <v>25</v>
      </c>
      <c r="E2573">
        <v>2016</v>
      </c>
      <c r="F2573">
        <v>2016</v>
      </c>
      <c r="G2573" t="str">
        <f>IFERROR(INDEX(Formulations[Formulation],MATCH($C2573,Formulations[Product Code],0)),"")</f>
        <v/>
      </c>
    </row>
    <row r="2574" spans="1:7" x14ac:dyDescent="0.3">
      <c r="A2574" t="s">
        <v>2461</v>
      </c>
      <c r="B2574" t="s">
        <v>334</v>
      </c>
      <c r="C2574" t="s">
        <v>335</v>
      </c>
      <c r="D2574" s="7">
        <v>25</v>
      </c>
      <c r="E2574">
        <v>2017</v>
      </c>
      <c r="F2574">
        <v>2017</v>
      </c>
      <c r="G2574" t="str">
        <f>IFERROR(INDEX(Formulations[Formulation],MATCH($C2574,Formulations[Product Code],0)),"")</f>
        <v>Pure</v>
      </c>
    </row>
    <row r="2575" spans="1:7" x14ac:dyDescent="0.3">
      <c r="A2575" t="s">
        <v>2462</v>
      </c>
      <c r="B2575" t="s">
        <v>46</v>
      </c>
      <c r="C2575" t="s">
        <v>47</v>
      </c>
      <c r="D2575" s="7">
        <v>25</v>
      </c>
      <c r="E2575">
        <v>2018</v>
      </c>
      <c r="F2575">
        <v>2018</v>
      </c>
      <c r="G2575" t="str">
        <f>IFERROR(INDEX(Formulations[Formulation],MATCH($C2575,Formulations[Product Code],0)),"")</f>
        <v/>
      </c>
    </row>
    <row r="2576" spans="1:7" x14ac:dyDescent="0.3">
      <c r="A2576" t="s">
        <v>2465</v>
      </c>
      <c r="B2576" t="s">
        <v>567</v>
      </c>
      <c r="C2576" t="s">
        <v>698</v>
      </c>
      <c r="D2576" s="7">
        <v>25</v>
      </c>
      <c r="E2576">
        <v>2020</v>
      </c>
      <c r="F2576">
        <v>2020</v>
      </c>
      <c r="G2576" t="str">
        <f>IFERROR(INDEX(Formulations[Formulation],MATCH($C2576,Formulations[Product Code],0)),"")</f>
        <v>Crystal</v>
      </c>
    </row>
    <row r="2577" spans="1:7" x14ac:dyDescent="0.3">
      <c r="A2577" t="s">
        <v>2465</v>
      </c>
      <c r="B2577" t="s">
        <v>30</v>
      </c>
      <c r="C2577" t="s">
        <v>31</v>
      </c>
      <c r="D2577" s="7">
        <v>25</v>
      </c>
      <c r="E2577">
        <v>2011</v>
      </c>
      <c r="F2577">
        <v>2011</v>
      </c>
      <c r="G2577" t="str">
        <f>IFERROR(INDEX(Formulations[Formulation],MATCH($C2577,Formulations[Product Code],0)),"")</f>
        <v>Pure</v>
      </c>
    </row>
    <row r="2578" spans="1:7" x14ac:dyDescent="0.3">
      <c r="A2578" t="s">
        <v>2475</v>
      </c>
      <c r="B2578" t="s">
        <v>602</v>
      </c>
      <c r="C2578" t="s">
        <v>603</v>
      </c>
      <c r="D2578" s="7">
        <v>25</v>
      </c>
      <c r="E2578">
        <v>2016</v>
      </c>
      <c r="F2578">
        <v>2016</v>
      </c>
      <c r="G2578" t="str">
        <f>IFERROR(INDEX(Formulations[Formulation],MATCH($C2578,Formulations[Product Code],0)),"")</f>
        <v>Crystal</v>
      </c>
    </row>
    <row r="2579" spans="1:7" x14ac:dyDescent="0.3">
      <c r="A2579" t="s">
        <v>2475</v>
      </c>
      <c r="B2579" t="s">
        <v>645</v>
      </c>
      <c r="C2579" t="s">
        <v>646</v>
      </c>
      <c r="D2579" s="7">
        <v>25</v>
      </c>
      <c r="E2579">
        <v>2018</v>
      </c>
      <c r="F2579">
        <v>2018</v>
      </c>
      <c r="G2579" t="str">
        <f>IFERROR(INDEX(Formulations[Formulation],MATCH($C2579,Formulations[Product Code],0)),"")</f>
        <v/>
      </c>
    </row>
    <row r="2580" spans="1:7" x14ac:dyDescent="0.3">
      <c r="A2580" t="s">
        <v>2475</v>
      </c>
      <c r="B2580" t="s">
        <v>2480</v>
      </c>
      <c r="C2580" t="s">
        <v>2481</v>
      </c>
      <c r="D2580" s="7">
        <v>25</v>
      </c>
      <c r="E2580">
        <v>2011</v>
      </c>
      <c r="F2580">
        <v>2011</v>
      </c>
      <c r="G2580" t="str">
        <f>IFERROR(INDEX(Formulations[Formulation],MATCH($C2580,Formulations[Product Code],0)),"")</f>
        <v/>
      </c>
    </row>
    <row r="2581" spans="1:7" x14ac:dyDescent="0.3">
      <c r="A2581" t="s">
        <v>2482</v>
      </c>
      <c r="B2581" t="s">
        <v>545</v>
      </c>
      <c r="C2581" t="s">
        <v>546</v>
      </c>
      <c r="D2581" s="7">
        <v>25</v>
      </c>
      <c r="E2581">
        <v>2019</v>
      </c>
      <c r="F2581">
        <v>2019</v>
      </c>
      <c r="G2581" t="str">
        <f>IFERROR(INDEX(Formulations[Formulation],MATCH($C2581,Formulations[Product Code],0)),"")</f>
        <v>Pure</v>
      </c>
    </row>
    <row r="2582" spans="1:7" x14ac:dyDescent="0.3">
      <c r="A2582" t="s">
        <v>2483</v>
      </c>
      <c r="B2582" t="s">
        <v>68</v>
      </c>
      <c r="C2582" t="s">
        <v>69</v>
      </c>
      <c r="D2582" s="7">
        <v>25</v>
      </c>
      <c r="E2582">
        <v>2020</v>
      </c>
      <c r="F2582">
        <v>2020</v>
      </c>
      <c r="G2582" t="str">
        <f>IFERROR(INDEX(Formulations[Formulation],MATCH($C2582,Formulations[Product Code],0)),"")</f>
        <v>Silver</v>
      </c>
    </row>
    <row r="2583" spans="1:7" x14ac:dyDescent="0.3">
      <c r="A2583" t="s">
        <v>2485</v>
      </c>
      <c r="B2583" t="s">
        <v>62</v>
      </c>
      <c r="C2583" t="s">
        <v>63</v>
      </c>
      <c r="D2583" s="7">
        <v>25</v>
      </c>
      <c r="E2583">
        <v>2021</v>
      </c>
      <c r="F2583">
        <v>2021</v>
      </c>
      <c r="G2583" t="str">
        <f>IFERROR(INDEX(Formulations[Formulation],MATCH($C2583,Formulations[Product Code],0)),"")</f>
        <v>Crystal</v>
      </c>
    </row>
    <row r="2584" spans="1:7" x14ac:dyDescent="0.3">
      <c r="A2584" t="s">
        <v>2485</v>
      </c>
      <c r="B2584" t="s">
        <v>187</v>
      </c>
      <c r="C2584" t="s">
        <v>188</v>
      </c>
      <c r="D2584" s="7">
        <v>25</v>
      </c>
      <c r="E2584">
        <v>2020</v>
      </c>
      <c r="F2584">
        <v>2020</v>
      </c>
      <c r="G2584" t="str">
        <f>IFERROR(INDEX(Formulations[Formulation],MATCH($C2584,Formulations[Product Code],0)),"")</f>
        <v>Crystal</v>
      </c>
    </row>
    <row r="2585" spans="1:7" x14ac:dyDescent="0.3">
      <c r="A2585" t="s">
        <v>2485</v>
      </c>
      <c r="B2585" t="s">
        <v>438</v>
      </c>
      <c r="C2585" t="s">
        <v>439</v>
      </c>
      <c r="D2585" s="7">
        <v>25</v>
      </c>
      <c r="E2585">
        <v>2016</v>
      </c>
      <c r="F2585">
        <v>2016</v>
      </c>
      <c r="G2585" t="str">
        <f>IFERROR(INDEX(Formulations[Formulation],MATCH($C2585,Formulations[Product Code],0)),"")</f>
        <v>Pure</v>
      </c>
    </row>
    <row r="2586" spans="1:7" x14ac:dyDescent="0.3">
      <c r="A2586" t="s">
        <v>2491</v>
      </c>
      <c r="B2586" t="s">
        <v>907</v>
      </c>
      <c r="D2586" s="7">
        <v>25</v>
      </c>
      <c r="E2586">
        <v>2014</v>
      </c>
      <c r="F2586">
        <v>2014</v>
      </c>
      <c r="G2586" t="str">
        <f>IFERROR(INDEX(Formulations[Formulation],MATCH($C2586,Formulations[Product Code],0)),"")</f>
        <v/>
      </c>
    </row>
    <row r="2587" spans="1:7" x14ac:dyDescent="0.3">
      <c r="A2587" t="s">
        <v>2496</v>
      </c>
      <c r="B2587" t="s">
        <v>459</v>
      </c>
      <c r="C2587" t="s">
        <v>460</v>
      </c>
      <c r="D2587" s="7">
        <v>25</v>
      </c>
      <c r="E2587">
        <v>2014</v>
      </c>
      <c r="F2587">
        <v>2014</v>
      </c>
      <c r="G2587" t="str">
        <f>IFERROR(INDEX(Formulations[Formulation],MATCH($C2587,Formulations[Product Code],0)),"")</f>
        <v/>
      </c>
    </row>
    <row r="2588" spans="1:7" x14ac:dyDescent="0.3">
      <c r="A2588" t="s">
        <v>2496</v>
      </c>
      <c r="B2588" t="s">
        <v>668</v>
      </c>
      <c r="C2588" t="s">
        <v>669</v>
      </c>
      <c r="D2588" s="7">
        <v>25</v>
      </c>
      <c r="E2588">
        <v>2021</v>
      </c>
      <c r="F2588">
        <v>2021</v>
      </c>
      <c r="G2588" t="str">
        <f>IFERROR(INDEX(Formulations[Formulation],MATCH($C2588,Formulations[Product Code],0)),"")</f>
        <v>Crystal</v>
      </c>
    </row>
    <row r="2589" spans="1:7" x14ac:dyDescent="0.3">
      <c r="A2589" t="s">
        <v>2496</v>
      </c>
      <c r="B2589" t="s">
        <v>473</v>
      </c>
      <c r="C2589" t="s">
        <v>747</v>
      </c>
      <c r="D2589" s="7">
        <v>25</v>
      </c>
      <c r="E2589">
        <v>2011</v>
      </c>
      <c r="F2589">
        <v>2011</v>
      </c>
      <c r="G2589" t="str">
        <f>IFERROR(INDEX(Formulations[Formulation],MATCH($C2589,Formulations[Product Code],0)),"")</f>
        <v/>
      </c>
    </row>
    <row r="2590" spans="1:7" x14ac:dyDescent="0.3">
      <c r="A2590" t="s">
        <v>2496</v>
      </c>
      <c r="B2590" t="s">
        <v>438</v>
      </c>
      <c r="C2590" t="s">
        <v>439</v>
      </c>
      <c r="D2590" s="7">
        <v>25</v>
      </c>
      <c r="E2590">
        <v>2018</v>
      </c>
      <c r="F2590">
        <v>2018</v>
      </c>
      <c r="G2590" t="str">
        <f>IFERROR(INDEX(Formulations[Formulation],MATCH($C2590,Formulations[Product Code],0)),"")</f>
        <v>Pure</v>
      </c>
    </row>
    <row r="2591" spans="1:7" x14ac:dyDescent="0.3">
      <c r="A2591" t="s">
        <v>2496</v>
      </c>
      <c r="B2591" t="s">
        <v>1452</v>
      </c>
      <c r="C2591" t="s">
        <v>1453</v>
      </c>
      <c r="D2591" s="7">
        <v>25</v>
      </c>
      <c r="E2591">
        <v>2014</v>
      </c>
      <c r="F2591">
        <v>2014</v>
      </c>
      <c r="G2591" t="str">
        <f>IFERROR(INDEX(Formulations[Formulation],MATCH($C2591,Formulations[Product Code],0)),"")</f>
        <v/>
      </c>
    </row>
    <row r="2592" spans="1:7" x14ac:dyDescent="0.3">
      <c r="A2592" t="s">
        <v>2496</v>
      </c>
      <c r="B2592" t="s">
        <v>425</v>
      </c>
      <c r="C2592" t="s">
        <v>426</v>
      </c>
      <c r="D2592" s="7">
        <v>25</v>
      </c>
      <c r="E2592">
        <v>2012</v>
      </c>
      <c r="F2592">
        <v>2012</v>
      </c>
      <c r="G2592" t="str">
        <f>IFERROR(INDEX(Formulations[Formulation],MATCH($C2592,Formulations[Product Code],0)),"")</f>
        <v/>
      </c>
    </row>
    <row r="2593" spans="1:7" x14ac:dyDescent="0.3">
      <c r="A2593" t="s">
        <v>2504</v>
      </c>
      <c r="B2593" t="s">
        <v>686</v>
      </c>
      <c r="C2593" t="s">
        <v>687</v>
      </c>
      <c r="D2593" s="7">
        <v>25</v>
      </c>
      <c r="E2593">
        <v>2020</v>
      </c>
      <c r="F2593">
        <v>2020</v>
      </c>
      <c r="G2593" t="str">
        <f>IFERROR(INDEX(Formulations[Formulation],MATCH($C2593,Formulations[Product Code],0)),"")</f>
        <v>Pure</v>
      </c>
    </row>
    <row r="2594" spans="1:7" x14ac:dyDescent="0.3">
      <c r="A2594" t="s">
        <v>2509</v>
      </c>
      <c r="B2594" t="s">
        <v>320</v>
      </c>
      <c r="C2594" t="s">
        <v>414</v>
      </c>
      <c r="D2594" s="7">
        <v>25</v>
      </c>
      <c r="E2594">
        <v>2019</v>
      </c>
      <c r="F2594">
        <v>2019</v>
      </c>
      <c r="G2594" t="str">
        <f>IFERROR(INDEX(Formulations[Formulation],MATCH($C2594,Formulations[Product Code],0)),"")</f>
        <v/>
      </c>
    </row>
    <row r="2595" spans="1:7" x14ac:dyDescent="0.3">
      <c r="A2595" t="s">
        <v>2514</v>
      </c>
      <c r="B2595" t="s">
        <v>133</v>
      </c>
      <c r="C2595" t="s">
        <v>134</v>
      </c>
      <c r="D2595" s="7">
        <v>25</v>
      </c>
      <c r="E2595">
        <v>2019</v>
      </c>
      <c r="F2595">
        <v>2020</v>
      </c>
      <c r="G2595" t="str">
        <f>IFERROR(INDEX(Formulations[Formulation],MATCH($C2595,Formulations[Product Code],0)),"")</f>
        <v>Pure</v>
      </c>
    </row>
    <row r="2596" spans="1:7" x14ac:dyDescent="0.3">
      <c r="A2596" t="s">
        <v>2515</v>
      </c>
      <c r="B2596" t="s">
        <v>653</v>
      </c>
      <c r="C2596" t="s">
        <v>654</v>
      </c>
      <c r="D2596" s="7">
        <v>25</v>
      </c>
      <c r="E2596">
        <v>2020</v>
      </c>
      <c r="F2596">
        <v>2020</v>
      </c>
      <c r="G2596" t="str">
        <f>IFERROR(INDEX(Formulations[Formulation],MATCH($C2596,Formulations[Product Code],0)),"")</f>
        <v>Pure</v>
      </c>
    </row>
    <row r="2597" spans="1:7" x14ac:dyDescent="0.3">
      <c r="A2597" t="s">
        <v>2521</v>
      </c>
      <c r="B2597" t="s">
        <v>46</v>
      </c>
      <c r="C2597" t="s">
        <v>47</v>
      </c>
      <c r="D2597" s="7">
        <v>25</v>
      </c>
      <c r="E2597">
        <v>2016</v>
      </c>
      <c r="F2597">
        <v>2016</v>
      </c>
      <c r="G2597" t="str">
        <f>IFERROR(INDEX(Formulations[Formulation],MATCH($C2597,Formulations[Product Code],0)),"")</f>
        <v/>
      </c>
    </row>
    <row r="2598" spans="1:7" x14ac:dyDescent="0.3">
      <c r="A2598" t="s">
        <v>2526</v>
      </c>
      <c r="B2598" t="s">
        <v>668</v>
      </c>
      <c r="C2598" t="s">
        <v>669</v>
      </c>
      <c r="D2598" s="7">
        <v>25</v>
      </c>
      <c r="E2598">
        <v>2021</v>
      </c>
      <c r="F2598">
        <v>2021</v>
      </c>
      <c r="G2598" t="str">
        <f>IFERROR(INDEX(Formulations[Formulation],MATCH($C2598,Formulations[Product Code],0)),"")</f>
        <v>Crystal</v>
      </c>
    </row>
    <row r="2599" spans="1:7" x14ac:dyDescent="0.3">
      <c r="A2599" t="s">
        <v>2526</v>
      </c>
      <c r="B2599" t="s">
        <v>19</v>
      </c>
      <c r="C2599" t="s">
        <v>20</v>
      </c>
      <c r="D2599" s="7">
        <v>25</v>
      </c>
      <c r="E2599">
        <v>2020</v>
      </c>
      <c r="F2599">
        <v>2020</v>
      </c>
      <c r="G2599" t="str">
        <f>IFERROR(INDEX(Formulations[Formulation],MATCH($C2599,Formulations[Product Code],0)),"")</f>
        <v>80 % Oil AND 20 % DPG</v>
      </c>
    </row>
    <row r="2600" spans="1:7" x14ac:dyDescent="0.3">
      <c r="A2600" t="s">
        <v>2529</v>
      </c>
      <c r="B2600" t="s">
        <v>631</v>
      </c>
      <c r="C2600" t="s">
        <v>632</v>
      </c>
      <c r="D2600" s="7">
        <v>25</v>
      </c>
      <c r="E2600">
        <v>2021</v>
      </c>
      <c r="F2600">
        <v>2021</v>
      </c>
      <c r="G2600" t="str">
        <f>IFERROR(INDEX(Formulations[Formulation],MATCH($C2600,Formulations[Product Code],0)),"")</f>
        <v/>
      </c>
    </row>
    <row r="2601" spans="1:7" x14ac:dyDescent="0.3">
      <c r="A2601" t="s">
        <v>2529</v>
      </c>
      <c r="B2601" t="s">
        <v>540</v>
      </c>
      <c r="C2601" t="s">
        <v>541</v>
      </c>
      <c r="D2601" s="7">
        <v>25</v>
      </c>
      <c r="E2601">
        <v>2020</v>
      </c>
      <c r="F2601">
        <v>2021</v>
      </c>
      <c r="G2601" t="str">
        <f>IFERROR(INDEX(Formulations[Formulation],MATCH($C2601,Formulations[Product Code],0)),"")</f>
        <v>Pure</v>
      </c>
    </row>
    <row r="2602" spans="1:7" x14ac:dyDescent="0.3">
      <c r="A2602" t="s">
        <v>2529</v>
      </c>
      <c r="B2602" t="s">
        <v>348</v>
      </c>
      <c r="C2602" t="s">
        <v>347</v>
      </c>
      <c r="D2602" s="7">
        <v>25</v>
      </c>
      <c r="E2602">
        <v>2020</v>
      </c>
      <c r="F2602">
        <v>2020</v>
      </c>
      <c r="G2602" t="str">
        <f>IFERROR(INDEX(Formulations[Formulation],MATCH($C2602,Formulations[Product Code],0)),"")</f>
        <v>Pure</v>
      </c>
    </row>
    <row r="2603" spans="1:7" x14ac:dyDescent="0.3">
      <c r="A2603" t="s">
        <v>2529</v>
      </c>
      <c r="B2603" t="s">
        <v>651</v>
      </c>
      <c r="C2603" t="s">
        <v>652</v>
      </c>
      <c r="D2603" s="7">
        <v>25</v>
      </c>
      <c r="E2603">
        <v>2021</v>
      </c>
      <c r="F2603">
        <v>2021</v>
      </c>
      <c r="G2603" t="str">
        <f>IFERROR(INDEX(Formulations[Formulation],MATCH($C2603,Formulations[Product Code],0)),"")</f>
        <v/>
      </c>
    </row>
    <row r="2604" spans="1:7" x14ac:dyDescent="0.3">
      <c r="A2604" t="s">
        <v>2529</v>
      </c>
      <c r="B2604" t="s">
        <v>187</v>
      </c>
      <c r="C2604" t="s">
        <v>188</v>
      </c>
      <c r="D2604" s="7">
        <v>25</v>
      </c>
      <c r="E2604">
        <v>2021</v>
      </c>
      <c r="F2604">
        <v>2021</v>
      </c>
      <c r="G2604" t="str">
        <f>IFERROR(INDEX(Formulations[Formulation],MATCH($C2604,Formulations[Product Code],0)),"")</f>
        <v>Crystal</v>
      </c>
    </row>
    <row r="2605" spans="1:7" x14ac:dyDescent="0.3">
      <c r="A2605" t="s">
        <v>2529</v>
      </c>
      <c r="B2605" t="s">
        <v>573</v>
      </c>
      <c r="C2605" t="s">
        <v>574</v>
      </c>
      <c r="D2605" s="7">
        <v>25</v>
      </c>
      <c r="E2605">
        <v>2020</v>
      </c>
      <c r="F2605">
        <v>2020</v>
      </c>
      <c r="G2605" t="str">
        <f>IFERROR(INDEX(Formulations[Formulation],MATCH($C2605,Formulations[Product Code],0)),"")</f>
        <v>Crystal</v>
      </c>
    </row>
    <row r="2606" spans="1:7" x14ac:dyDescent="0.3">
      <c r="A2606" t="s">
        <v>2529</v>
      </c>
      <c r="B2606" t="s">
        <v>653</v>
      </c>
      <c r="C2606" t="s">
        <v>654</v>
      </c>
      <c r="D2606" s="7">
        <v>25</v>
      </c>
      <c r="E2606">
        <v>2020</v>
      </c>
      <c r="F2606">
        <v>2020</v>
      </c>
      <c r="G2606" t="str">
        <f>IFERROR(INDEX(Formulations[Formulation],MATCH($C2606,Formulations[Product Code],0)),"")</f>
        <v>Pure</v>
      </c>
    </row>
    <row r="2607" spans="1:7" x14ac:dyDescent="0.3">
      <c r="A2607" t="s">
        <v>2531</v>
      </c>
      <c r="B2607" t="s">
        <v>16</v>
      </c>
      <c r="C2607" t="s">
        <v>17</v>
      </c>
      <c r="D2607" s="7">
        <v>25</v>
      </c>
      <c r="E2607">
        <v>2017</v>
      </c>
      <c r="F2607">
        <v>2017</v>
      </c>
      <c r="G2607" t="str">
        <f>IFERROR(INDEX(Formulations[Formulation],MATCH($C2607,Formulations[Product Code],0)),"")</f>
        <v>Crystal</v>
      </c>
    </row>
    <row r="2608" spans="1:7" x14ac:dyDescent="0.3">
      <c r="A2608" t="s">
        <v>2531</v>
      </c>
      <c r="B2608" t="s">
        <v>473</v>
      </c>
      <c r="C2608" t="s">
        <v>747</v>
      </c>
      <c r="D2608" s="7">
        <v>25</v>
      </c>
      <c r="E2608">
        <v>2018</v>
      </c>
      <c r="F2608">
        <v>2018</v>
      </c>
      <c r="G2608" t="str">
        <f>IFERROR(INDEX(Formulations[Formulation],MATCH($C2608,Formulations[Product Code],0)),"")</f>
        <v/>
      </c>
    </row>
    <row r="2609" spans="1:7" x14ac:dyDescent="0.3">
      <c r="A2609" t="s">
        <v>2532</v>
      </c>
      <c r="B2609" t="s">
        <v>349</v>
      </c>
      <c r="C2609" t="s">
        <v>350</v>
      </c>
      <c r="D2609" s="7">
        <v>25</v>
      </c>
      <c r="E2609">
        <v>2016</v>
      </c>
      <c r="F2609">
        <v>2016</v>
      </c>
      <c r="G2609" t="str">
        <f>IFERROR(INDEX(Formulations[Formulation],MATCH($C2609,Formulations[Product Code],0)),"")</f>
        <v/>
      </c>
    </row>
    <row r="2610" spans="1:7" x14ac:dyDescent="0.3">
      <c r="A2610" t="s">
        <v>2532</v>
      </c>
      <c r="B2610" t="s">
        <v>543</v>
      </c>
      <c r="C2610" t="s">
        <v>544</v>
      </c>
      <c r="D2610" s="7">
        <v>25</v>
      </c>
      <c r="E2610">
        <v>2021</v>
      </c>
      <c r="F2610">
        <v>2021</v>
      </c>
      <c r="G2610" t="str">
        <f>IFERROR(INDEX(Formulations[Formulation],MATCH($C2610,Formulations[Product Code],0)),"")</f>
        <v>Crystal</v>
      </c>
    </row>
    <row r="2611" spans="1:7" x14ac:dyDescent="0.3">
      <c r="A2611" t="s">
        <v>2534</v>
      </c>
      <c r="B2611" t="s">
        <v>686</v>
      </c>
      <c r="C2611" t="s">
        <v>687</v>
      </c>
      <c r="D2611" s="7">
        <v>25</v>
      </c>
      <c r="E2611">
        <v>2020</v>
      </c>
      <c r="F2611">
        <v>2020</v>
      </c>
      <c r="G2611" t="str">
        <f>IFERROR(INDEX(Formulations[Formulation],MATCH($C2611,Formulations[Product Code],0)),"")</f>
        <v>Pure</v>
      </c>
    </row>
    <row r="2612" spans="1:7" x14ac:dyDescent="0.3">
      <c r="A2612" t="s">
        <v>2534</v>
      </c>
      <c r="B2612" t="s">
        <v>543</v>
      </c>
      <c r="C2612" t="s">
        <v>544</v>
      </c>
      <c r="D2612" s="7">
        <v>25</v>
      </c>
      <c r="E2612">
        <v>2020</v>
      </c>
      <c r="F2612">
        <v>2020</v>
      </c>
      <c r="G2612" t="str">
        <f>IFERROR(INDEX(Formulations[Formulation],MATCH($C2612,Formulations[Product Code],0)),"")</f>
        <v>Crystal</v>
      </c>
    </row>
    <row r="2613" spans="1:7" x14ac:dyDescent="0.3">
      <c r="A2613" t="s">
        <v>2534</v>
      </c>
      <c r="B2613" t="s">
        <v>518</v>
      </c>
      <c r="C2613" t="s">
        <v>519</v>
      </c>
      <c r="D2613" s="7">
        <v>25</v>
      </c>
      <c r="E2613">
        <v>2018</v>
      </c>
      <c r="F2613">
        <v>2018</v>
      </c>
      <c r="G2613" t="str">
        <f>IFERROR(INDEX(Formulations[Formulation],MATCH($C2613,Formulations[Product Code],0)),"")</f>
        <v>Pure</v>
      </c>
    </row>
    <row r="2614" spans="1:7" x14ac:dyDescent="0.3">
      <c r="A2614" t="s">
        <v>2534</v>
      </c>
      <c r="B2614" t="s">
        <v>155</v>
      </c>
      <c r="C2614" t="s">
        <v>156</v>
      </c>
      <c r="D2614" s="7">
        <v>25</v>
      </c>
      <c r="E2614">
        <v>2018</v>
      </c>
      <c r="F2614">
        <v>2018</v>
      </c>
      <c r="G2614" t="str">
        <f>IFERROR(INDEX(Formulations[Formulation],MATCH($C2614,Formulations[Product Code],0)),"")</f>
        <v>Pure</v>
      </c>
    </row>
    <row r="2615" spans="1:7" x14ac:dyDescent="0.3">
      <c r="A2615" t="s">
        <v>2538</v>
      </c>
      <c r="B2615" t="s">
        <v>633</v>
      </c>
      <c r="C2615" t="s">
        <v>634</v>
      </c>
      <c r="D2615" s="7">
        <v>25</v>
      </c>
      <c r="E2615">
        <v>2017</v>
      </c>
      <c r="F2615">
        <v>2017</v>
      </c>
      <c r="G2615" t="str">
        <f>IFERROR(INDEX(Formulations[Formulation],MATCH($C2615,Formulations[Product Code],0)),"")</f>
        <v/>
      </c>
    </row>
    <row r="2616" spans="1:7" x14ac:dyDescent="0.3">
      <c r="A2616" t="s">
        <v>2538</v>
      </c>
      <c r="B2616" t="s">
        <v>538</v>
      </c>
      <c r="C2616" t="s">
        <v>539</v>
      </c>
      <c r="D2616" s="7">
        <v>25</v>
      </c>
      <c r="E2616">
        <v>2017</v>
      </c>
      <c r="F2616">
        <v>2017</v>
      </c>
      <c r="G2616" t="str">
        <f>IFERROR(INDEX(Formulations[Formulation],MATCH($C2616,Formulations[Product Code],0)),"")</f>
        <v>Gold</v>
      </c>
    </row>
    <row r="2617" spans="1:7" x14ac:dyDescent="0.3">
      <c r="A2617" t="s">
        <v>2538</v>
      </c>
      <c r="B2617" t="s">
        <v>114</v>
      </c>
      <c r="C2617" t="s">
        <v>115</v>
      </c>
      <c r="D2617" s="7">
        <v>25</v>
      </c>
      <c r="E2617">
        <v>2017</v>
      </c>
      <c r="F2617">
        <v>2017</v>
      </c>
      <c r="G2617" t="str">
        <f>IFERROR(INDEX(Formulations[Formulation],MATCH($C2617,Formulations[Product Code],0)),"")</f>
        <v>Pure</v>
      </c>
    </row>
    <row r="2618" spans="1:7" x14ac:dyDescent="0.3">
      <c r="A2618" t="s">
        <v>2538</v>
      </c>
      <c r="B2618" t="s">
        <v>573</v>
      </c>
      <c r="C2618" t="s">
        <v>574</v>
      </c>
      <c r="D2618" s="7">
        <v>25</v>
      </c>
      <c r="E2618">
        <v>2019</v>
      </c>
      <c r="F2618">
        <v>2019</v>
      </c>
      <c r="G2618" t="str">
        <f>IFERROR(INDEX(Formulations[Formulation],MATCH($C2618,Formulations[Product Code],0)),"")</f>
        <v>Crystal</v>
      </c>
    </row>
    <row r="2619" spans="1:7" x14ac:dyDescent="0.3">
      <c r="A2619" t="s">
        <v>2542</v>
      </c>
      <c r="B2619" t="s">
        <v>2543</v>
      </c>
      <c r="C2619" t="s">
        <v>20</v>
      </c>
      <c r="D2619" s="7">
        <v>25</v>
      </c>
      <c r="E2619">
        <v>2020</v>
      </c>
      <c r="F2619">
        <v>2020</v>
      </c>
      <c r="G2619" t="str">
        <f>IFERROR(INDEX(Formulations[Formulation],MATCH($C2619,Formulations[Product Code],0)),"")</f>
        <v>80 % Oil AND 20 % DPG</v>
      </c>
    </row>
    <row r="2620" spans="1:7" x14ac:dyDescent="0.3">
      <c r="A2620" t="s">
        <v>2542</v>
      </c>
      <c r="B2620" t="s">
        <v>483</v>
      </c>
      <c r="C2620" t="s">
        <v>484</v>
      </c>
      <c r="D2620" s="7">
        <v>25</v>
      </c>
      <c r="E2620">
        <v>2019</v>
      </c>
      <c r="F2620">
        <v>2019</v>
      </c>
      <c r="G2620" t="str">
        <f>IFERROR(INDEX(Formulations[Formulation],MATCH($C2620,Formulations[Product Code],0)),"")</f>
        <v>Crystal</v>
      </c>
    </row>
    <row r="2621" spans="1:7" x14ac:dyDescent="0.3">
      <c r="A2621" t="s">
        <v>2544</v>
      </c>
      <c r="B2621" t="s">
        <v>2545</v>
      </c>
      <c r="C2621" t="s">
        <v>2546</v>
      </c>
      <c r="D2621" s="7">
        <v>25</v>
      </c>
      <c r="E2621">
        <v>2009</v>
      </c>
      <c r="F2621">
        <v>2009</v>
      </c>
      <c r="G2621" t="str">
        <f>IFERROR(INDEX(Formulations[Formulation],MATCH($C2621,Formulations[Product Code],0)),"")</f>
        <v/>
      </c>
    </row>
    <row r="2622" spans="1:7" x14ac:dyDescent="0.3">
      <c r="A2622" t="s">
        <v>2544</v>
      </c>
      <c r="B2622" t="s">
        <v>46</v>
      </c>
      <c r="C2622" t="s">
        <v>47</v>
      </c>
      <c r="D2622" s="7">
        <v>25</v>
      </c>
      <c r="E2622">
        <v>2013</v>
      </c>
      <c r="F2622">
        <v>2013</v>
      </c>
      <c r="G2622" t="str">
        <f>IFERROR(INDEX(Formulations[Formulation],MATCH($C2622,Formulations[Product Code],0)),"")</f>
        <v/>
      </c>
    </row>
    <row r="2623" spans="1:7" x14ac:dyDescent="0.3">
      <c r="A2623" t="s">
        <v>2547</v>
      </c>
      <c r="B2623" t="s">
        <v>269</v>
      </c>
      <c r="C2623" t="s">
        <v>270</v>
      </c>
      <c r="D2623" s="7">
        <v>25</v>
      </c>
      <c r="E2623">
        <v>2020</v>
      </c>
      <c r="F2623">
        <v>2020</v>
      </c>
      <c r="G2623" t="str">
        <f>IFERROR(INDEX(Formulations[Formulation],MATCH($C2623,Formulations[Product Code],0)),"")</f>
        <v>Pure</v>
      </c>
    </row>
    <row r="2624" spans="1:7" x14ac:dyDescent="0.3">
      <c r="A2624" t="s">
        <v>2547</v>
      </c>
      <c r="B2624" t="s">
        <v>21</v>
      </c>
      <c r="C2624" t="s">
        <v>22</v>
      </c>
      <c r="D2624" s="7">
        <v>25</v>
      </c>
      <c r="E2624">
        <v>2020</v>
      </c>
      <c r="F2624">
        <v>2020</v>
      </c>
      <c r="G2624" t="str">
        <f>IFERROR(INDEX(Formulations[Formulation],MATCH($C2624,Formulations[Product Code],0)),"")</f>
        <v>Crystal</v>
      </c>
    </row>
    <row r="2625" spans="1:7" x14ac:dyDescent="0.3">
      <c r="A2625" t="s">
        <v>2547</v>
      </c>
      <c r="B2625" t="s">
        <v>476</v>
      </c>
      <c r="C2625" t="s">
        <v>478</v>
      </c>
      <c r="D2625" s="7">
        <v>25</v>
      </c>
      <c r="E2625">
        <v>2020</v>
      </c>
      <c r="F2625">
        <v>2020</v>
      </c>
      <c r="G2625" t="str">
        <f>IFERROR(INDEX(Formulations[Formulation],MATCH($C2625,Formulations[Product Code],0)),"")</f>
        <v>Pure</v>
      </c>
    </row>
    <row r="2626" spans="1:7" x14ac:dyDescent="0.3">
      <c r="A2626" t="s">
        <v>2549</v>
      </c>
      <c r="B2626" t="s">
        <v>39</v>
      </c>
      <c r="D2626" s="7">
        <v>25</v>
      </c>
      <c r="E2626">
        <v>2018</v>
      </c>
      <c r="F2626">
        <v>2018</v>
      </c>
      <c r="G2626" t="str">
        <f>IFERROR(INDEX(Formulations[Formulation],MATCH($C2626,Formulations[Product Code],0)),"")</f>
        <v/>
      </c>
    </row>
    <row r="2627" spans="1:7" x14ac:dyDescent="0.3">
      <c r="A2627" t="s">
        <v>2549</v>
      </c>
      <c r="B2627" t="s">
        <v>242</v>
      </c>
      <c r="D2627" s="7">
        <v>25</v>
      </c>
      <c r="E2627">
        <v>2021</v>
      </c>
      <c r="F2627">
        <v>2021</v>
      </c>
      <c r="G2627" t="str">
        <f>IFERROR(INDEX(Formulations[Formulation],MATCH($C2627,Formulations[Product Code],0)),"")</f>
        <v/>
      </c>
    </row>
    <row r="2628" spans="1:7" x14ac:dyDescent="0.3">
      <c r="A2628" t="s">
        <v>2563</v>
      </c>
      <c r="B2628" t="s">
        <v>907</v>
      </c>
      <c r="D2628" s="7">
        <v>25</v>
      </c>
      <c r="E2628">
        <v>2014</v>
      </c>
      <c r="F2628">
        <v>2014</v>
      </c>
      <c r="G2628" t="str">
        <f>IFERROR(INDEX(Formulations[Formulation],MATCH($C2628,Formulations[Product Code],0)),"")</f>
        <v/>
      </c>
    </row>
    <row r="2629" spans="1:7" x14ac:dyDescent="0.3">
      <c r="A2629" t="s">
        <v>2563</v>
      </c>
      <c r="B2629" t="s">
        <v>1922</v>
      </c>
      <c r="C2629" t="s">
        <v>1923</v>
      </c>
      <c r="D2629" s="7">
        <v>25</v>
      </c>
      <c r="E2629">
        <v>2012</v>
      </c>
      <c r="F2629">
        <v>2012</v>
      </c>
      <c r="G2629" t="str">
        <f>IFERROR(INDEX(Formulations[Formulation],MATCH($C2629,Formulations[Product Code],0)),"")</f>
        <v/>
      </c>
    </row>
    <row r="2630" spans="1:7" x14ac:dyDescent="0.3">
      <c r="A2630" t="s">
        <v>2569</v>
      </c>
      <c r="B2630" t="s">
        <v>218</v>
      </c>
      <c r="C2630" t="s">
        <v>212</v>
      </c>
      <c r="D2630" s="7">
        <v>25</v>
      </c>
      <c r="E2630">
        <v>2016</v>
      </c>
      <c r="F2630">
        <v>2016</v>
      </c>
      <c r="G2630" t="str">
        <f>IFERROR(INDEX(Formulations[Formulation],MATCH($C2630,Formulations[Product Code],0)),"")</f>
        <v>Pure</v>
      </c>
    </row>
    <row r="2631" spans="1:7" x14ac:dyDescent="0.3">
      <c r="A2631" t="s">
        <v>2569</v>
      </c>
      <c r="B2631" t="s">
        <v>408</v>
      </c>
      <c r="D2631" s="7">
        <v>25</v>
      </c>
      <c r="E2631">
        <v>2021</v>
      </c>
      <c r="F2631">
        <v>2021</v>
      </c>
      <c r="G2631" t="str">
        <f>IFERROR(INDEX(Formulations[Formulation],MATCH($C2631,Formulations[Product Code],0)),"")</f>
        <v/>
      </c>
    </row>
    <row r="2632" spans="1:7" x14ac:dyDescent="0.3">
      <c r="A2632" t="s">
        <v>2569</v>
      </c>
      <c r="B2632" t="s">
        <v>320</v>
      </c>
      <c r="C2632" t="s">
        <v>414</v>
      </c>
      <c r="D2632" s="7">
        <v>25</v>
      </c>
      <c r="E2632">
        <v>2018</v>
      </c>
      <c r="F2632">
        <v>2018</v>
      </c>
      <c r="G2632" t="str">
        <f>IFERROR(INDEX(Formulations[Formulation],MATCH($C2632,Formulations[Product Code],0)),"")</f>
        <v/>
      </c>
    </row>
    <row r="2633" spans="1:7" x14ac:dyDescent="0.3">
      <c r="A2633" t="s">
        <v>2574</v>
      </c>
      <c r="B2633" t="s">
        <v>16</v>
      </c>
      <c r="C2633" t="s">
        <v>17</v>
      </c>
      <c r="D2633" s="7">
        <v>25</v>
      </c>
      <c r="E2633">
        <v>2020</v>
      </c>
      <c r="F2633">
        <v>2020</v>
      </c>
      <c r="G2633" t="str">
        <f>IFERROR(INDEX(Formulations[Formulation],MATCH($C2633,Formulations[Product Code],0)),"")</f>
        <v>Crystal</v>
      </c>
    </row>
    <row r="2634" spans="1:7" x14ac:dyDescent="0.3">
      <c r="A2634" t="s">
        <v>2574</v>
      </c>
      <c r="B2634" t="s">
        <v>543</v>
      </c>
      <c r="C2634" t="s">
        <v>544</v>
      </c>
      <c r="D2634" s="7">
        <v>25</v>
      </c>
      <c r="E2634">
        <v>2021</v>
      </c>
      <c r="F2634">
        <v>2021</v>
      </c>
      <c r="G2634" t="str">
        <f>IFERROR(INDEX(Formulations[Formulation],MATCH($C2634,Formulations[Product Code],0)),"")</f>
        <v>Crystal</v>
      </c>
    </row>
    <row r="2635" spans="1:7" x14ac:dyDescent="0.3">
      <c r="A2635" t="s">
        <v>2577</v>
      </c>
      <c r="B2635" t="s">
        <v>696</v>
      </c>
      <c r="C2635" t="s">
        <v>697</v>
      </c>
      <c r="D2635" s="7">
        <v>25</v>
      </c>
      <c r="E2635">
        <v>2018</v>
      </c>
      <c r="F2635">
        <v>2018</v>
      </c>
      <c r="G2635" t="str">
        <f>IFERROR(INDEX(Formulations[Formulation],MATCH($C2635,Formulations[Product Code],0)),"")</f>
        <v/>
      </c>
    </row>
    <row r="2636" spans="1:7" x14ac:dyDescent="0.3">
      <c r="A2636" t="s">
        <v>2591</v>
      </c>
      <c r="B2636" t="s">
        <v>696</v>
      </c>
      <c r="C2636" t="s">
        <v>697</v>
      </c>
      <c r="D2636" s="7">
        <v>25</v>
      </c>
      <c r="E2636">
        <v>2013</v>
      </c>
      <c r="F2636">
        <v>2013</v>
      </c>
      <c r="G2636" t="str">
        <f>IFERROR(INDEX(Formulations[Formulation],MATCH($C2636,Formulations[Product Code],0)),"")</f>
        <v/>
      </c>
    </row>
    <row r="2637" spans="1:7" x14ac:dyDescent="0.3">
      <c r="A2637" t="s">
        <v>2591</v>
      </c>
      <c r="B2637" t="s">
        <v>41</v>
      </c>
      <c r="C2637" t="s">
        <v>42</v>
      </c>
      <c r="D2637" s="7">
        <v>25</v>
      </c>
      <c r="E2637">
        <v>2013</v>
      </c>
      <c r="F2637">
        <v>2013</v>
      </c>
      <c r="G2637" t="str">
        <f>IFERROR(INDEX(Formulations[Formulation],MATCH($C2637,Formulations[Product Code],0)),"")</f>
        <v/>
      </c>
    </row>
    <row r="2638" spans="1:7" x14ac:dyDescent="0.3">
      <c r="A2638" t="s">
        <v>2592</v>
      </c>
      <c r="B2638" t="s">
        <v>84</v>
      </c>
      <c r="C2638" t="s">
        <v>85</v>
      </c>
      <c r="D2638" s="7">
        <v>25</v>
      </c>
      <c r="E2638">
        <v>2019</v>
      </c>
      <c r="F2638">
        <v>2019</v>
      </c>
      <c r="G2638" t="str">
        <f>IFERROR(INDEX(Formulations[Formulation],MATCH($C2638,Formulations[Product Code],0)),"")</f>
        <v>Pure</v>
      </c>
    </row>
    <row r="2639" spans="1:7" x14ac:dyDescent="0.3">
      <c r="A2639" t="s">
        <v>2592</v>
      </c>
      <c r="B2639" t="s">
        <v>19</v>
      </c>
      <c r="C2639" t="s">
        <v>107</v>
      </c>
      <c r="D2639" s="7">
        <v>25</v>
      </c>
      <c r="E2639">
        <v>2020</v>
      </c>
      <c r="F2639">
        <v>2020</v>
      </c>
      <c r="G2639" t="str">
        <f>IFERROR(INDEX(Formulations[Formulation],MATCH($C2639,Formulations[Product Code],0)),"")</f>
        <v>Pure</v>
      </c>
    </row>
    <row r="2640" spans="1:7" x14ac:dyDescent="0.3">
      <c r="A2640" t="s">
        <v>2592</v>
      </c>
      <c r="B2640" t="s">
        <v>386</v>
      </c>
      <c r="C2640" t="s">
        <v>387</v>
      </c>
      <c r="D2640" s="7">
        <v>25</v>
      </c>
      <c r="E2640">
        <v>2020</v>
      </c>
      <c r="F2640">
        <v>2020</v>
      </c>
      <c r="G2640" t="str">
        <f>IFERROR(INDEX(Formulations[Formulation],MATCH($C2640,Formulations[Product Code],0)),"")</f>
        <v/>
      </c>
    </row>
    <row r="2641" spans="1:7" x14ac:dyDescent="0.3">
      <c r="A2641" t="s">
        <v>2595</v>
      </c>
      <c r="B2641" t="s">
        <v>269</v>
      </c>
      <c r="C2641" t="s">
        <v>270</v>
      </c>
      <c r="D2641" s="7">
        <v>25</v>
      </c>
      <c r="E2641">
        <v>2020</v>
      </c>
      <c r="F2641">
        <v>2020</v>
      </c>
      <c r="G2641" t="str">
        <f>IFERROR(INDEX(Formulations[Formulation],MATCH($C2641,Formulations[Product Code],0)),"")</f>
        <v>Pure</v>
      </c>
    </row>
    <row r="2642" spans="1:7" x14ac:dyDescent="0.3">
      <c r="A2642" t="s">
        <v>2595</v>
      </c>
      <c r="B2642" t="s">
        <v>189</v>
      </c>
      <c r="D2642" s="7">
        <v>25</v>
      </c>
      <c r="E2642">
        <v>2020</v>
      </c>
      <c r="F2642">
        <v>2020</v>
      </c>
      <c r="G2642" t="str">
        <f>IFERROR(INDEX(Formulations[Formulation],MATCH($C2642,Formulations[Product Code],0)),"")</f>
        <v/>
      </c>
    </row>
    <row r="2643" spans="1:7" x14ac:dyDescent="0.3">
      <c r="A2643" t="s">
        <v>2596</v>
      </c>
      <c r="B2643" t="s">
        <v>393</v>
      </c>
      <c r="C2643" t="s">
        <v>394</v>
      </c>
      <c r="D2643" s="7">
        <v>25</v>
      </c>
      <c r="E2643">
        <v>2012</v>
      </c>
      <c r="F2643">
        <v>2012</v>
      </c>
      <c r="G2643" t="str">
        <f>IFERROR(INDEX(Formulations[Formulation],MATCH($C2643,Formulations[Product Code],0)),"")</f>
        <v>Pure</v>
      </c>
    </row>
    <row r="2644" spans="1:7" x14ac:dyDescent="0.3">
      <c r="A2644" t="s">
        <v>2596</v>
      </c>
      <c r="B2644" t="s">
        <v>2608</v>
      </c>
      <c r="C2644" t="s">
        <v>1546</v>
      </c>
      <c r="D2644" s="7">
        <v>25</v>
      </c>
      <c r="E2644">
        <v>2011</v>
      </c>
      <c r="F2644">
        <v>2011</v>
      </c>
      <c r="G2644" t="str">
        <f>IFERROR(INDEX(Formulations[Formulation],MATCH($C2644,Formulations[Product Code],0)),"")</f>
        <v/>
      </c>
    </row>
    <row r="2645" spans="1:7" x14ac:dyDescent="0.3">
      <c r="A2645" t="s">
        <v>500</v>
      </c>
      <c r="B2645" t="s">
        <v>417</v>
      </c>
      <c r="C2645" t="s">
        <v>315</v>
      </c>
      <c r="D2645" s="7">
        <v>24</v>
      </c>
      <c r="E2645">
        <v>2014</v>
      </c>
      <c r="F2645">
        <v>2014</v>
      </c>
      <c r="G2645" t="str">
        <f>IFERROR(INDEX(Formulations[Formulation],MATCH($C2645,Formulations[Product Code],0)),"")</f>
        <v/>
      </c>
    </row>
    <row r="2646" spans="1:7" x14ac:dyDescent="0.3">
      <c r="A2646" t="s">
        <v>812</v>
      </c>
      <c r="B2646" t="s">
        <v>37</v>
      </c>
      <c r="D2646" s="7">
        <v>24</v>
      </c>
      <c r="E2646">
        <v>2020</v>
      </c>
      <c r="F2646">
        <v>2021</v>
      </c>
      <c r="G2646" t="str">
        <f>IFERROR(INDEX(Formulations[Formulation],MATCH($C2646,Formulations[Product Code],0)),"")</f>
        <v/>
      </c>
    </row>
    <row r="2647" spans="1:7" x14ac:dyDescent="0.3">
      <c r="A2647" t="s">
        <v>1005</v>
      </c>
      <c r="B2647" t="s">
        <v>1007</v>
      </c>
      <c r="C2647" t="s">
        <v>1008</v>
      </c>
      <c r="D2647" s="7">
        <v>24</v>
      </c>
      <c r="E2647">
        <v>2016</v>
      </c>
      <c r="F2647">
        <v>2016</v>
      </c>
      <c r="G2647" t="str">
        <f>IFERROR(INDEX(Formulations[Formulation],MATCH($C2647,Formulations[Product Code],0)),"")</f>
        <v/>
      </c>
    </row>
    <row r="2648" spans="1:7" x14ac:dyDescent="0.3">
      <c r="A2648" t="s">
        <v>1760</v>
      </c>
      <c r="B2648" t="s">
        <v>726</v>
      </c>
      <c r="C2648" t="s">
        <v>727</v>
      </c>
      <c r="D2648" s="7">
        <v>24</v>
      </c>
      <c r="E2648">
        <v>2016</v>
      </c>
      <c r="F2648">
        <v>2016</v>
      </c>
      <c r="G2648" t="str">
        <f>IFERROR(INDEX(Formulations[Formulation],MATCH($C2648,Formulations[Product Code],0)),"")</f>
        <v/>
      </c>
    </row>
    <row r="2649" spans="1:7" x14ac:dyDescent="0.3">
      <c r="A2649" t="s">
        <v>1799</v>
      </c>
      <c r="B2649" t="s">
        <v>1804</v>
      </c>
      <c r="C2649" t="s">
        <v>1805</v>
      </c>
      <c r="D2649" s="7">
        <v>24</v>
      </c>
      <c r="E2649">
        <v>2016</v>
      </c>
      <c r="F2649">
        <v>2016</v>
      </c>
      <c r="G2649" t="str">
        <f>IFERROR(INDEX(Formulations[Formulation],MATCH($C2649,Formulations[Product Code],0)),"")</f>
        <v/>
      </c>
    </row>
    <row r="2650" spans="1:7" x14ac:dyDescent="0.3">
      <c r="A2650" t="s">
        <v>2131</v>
      </c>
      <c r="B2650" t="s">
        <v>560</v>
      </c>
      <c r="C2650" t="s">
        <v>561</v>
      </c>
      <c r="D2650" s="7">
        <v>24</v>
      </c>
      <c r="E2650">
        <v>2016</v>
      </c>
      <c r="F2650">
        <v>2016</v>
      </c>
      <c r="G2650" t="str">
        <f>IFERROR(INDEX(Formulations[Formulation],MATCH($C2650,Formulations[Product Code],0)),"")</f>
        <v/>
      </c>
    </row>
    <row r="2651" spans="1:7" x14ac:dyDescent="0.3">
      <c r="A2651" t="s">
        <v>2416</v>
      </c>
      <c r="B2651" t="s">
        <v>236</v>
      </c>
      <c r="C2651" t="s">
        <v>237</v>
      </c>
      <c r="D2651" s="7">
        <v>24</v>
      </c>
      <c r="E2651">
        <v>2014</v>
      </c>
      <c r="F2651">
        <v>2016</v>
      </c>
      <c r="G2651" t="str">
        <f>IFERROR(INDEX(Formulations[Formulation],MATCH($C2651,Formulations[Product Code],0)),"")</f>
        <v>Body by Burberry (F) CP00861 60%, Pacific Paradise 30%, Supreme bouqet 10%, than make gold</v>
      </c>
    </row>
    <row r="2652" spans="1:7" x14ac:dyDescent="0.3">
      <c r="A2652" t="s">
        <v>712</v>
      </c>
      <c r="B2652" t="s">
        <v>192</v>
      </c>
      <c r="C2652" t="s">
        <v>193</v>
      </c>
      <c r="D2652" s="7">
        <v>23</v>
      </c>
      <c r="E2652">
        <v>2016</v>
      </c>
      <c r="F2652">
        <v>2016</v>
      </c>
      <c r="G2652" t="str">
        <f>IFERROR(INDEX(Formulations[Formulation],MATCH($C2652,Formulations[Product Code],0)),"")</f>
        <v>Red Grape 50%/ Fruity Smoothie 30% /Green Apple 20% /than make 60% oil</v>
      </c>
    </row>
    <row r="2653" spans="1:7" x14ac:dyDescent="0.3">
      <c r="A2653" t="s">
        <v>1374</v>
      </c>
      <c r="B2653" t="s">
        <v>99</v>
      </c>
      <c r="C2653" t="s">
        <v>100</v>
      </c>
      <c r="D2653" s="7">
        <v>23</v>
      </c>
      <c r="E2653">
        <v>2018</v>
      </c>
      <c r="F2653">
        <v>2019</v>
      </c>
      <c r="G2653" t="str">
        <f>IFERROR(INDEX(Formulations[Formulation],MATCH($C2653,Formulations[Product Code],0)),"")</f>
        <v>Crystal</v>
      </c>
    </row>
    <row r="2654" spans="1:7" x14ac:dyDescent="0.3">
      <c r="A2654" t="s">
        <v>1844</v>
      </c>
      <c r="B2654" t="s">
        <v>1019</v>
      </c>
      <c r="C2654" t="s">
        <v>1020</v>
      </c>
      <c r="D2654" s="7">
        <v>23</v>
      </c>
      <c r="E2654">
        <v>2015</v>
      </c>
      <c r="F2654">
        <v>2015</v>
      </c>
      <c r="G2654" t="str">
        <f>IFERROR(INDEX(Formulations[Formulation],MATCH($C2654,Formulations[Product Code],0)),"")</f>
        <v/>
      </c>
    </row>
    <row r="2655" spans="1:7" x14ac:dyDescent="0.3">
      <c r="A2655" t="s">
        <v>1855</v>
      </c>
      <c r="B2655" t="s">
        <v>1856</v>
      </c>
      <c r="D2655" s="7">
        <v>23</v>
      </c>
      <c r="E2655">
        <v>2016</v>
      </c>
      <c r="F2655">
        <v>2016</v>
      </c>
      <c r="G2655" t="str">
        <f>IFERROR(INDEX(Formulations[Formulation],MATCH($C2655,Formulations[Product Code],0)),"")</f>
        <v/>
      </c>
    </row>
    <row r="2656" spans="1:7" x14ac:dyDescent="0.3">
      <c r="A2656" t="s">
        <v>2261</v>
      </c>
      <c r="B2656" t="s">
        <v>45</v>
      </c>
      <c r="D2656" s="7">
        <v>23</v>
      </c>
      <c r="E2656">
        <v>2014</v>
      </c>
      <c r="F2656">
        <v>2015</v>
      </c>
      <c r="G2656" t="str">
        <f>IFERROR(INDEX(Formulations[Formulation],MATCH($C2656,Formulations[Product Code],0)),"")</f>
        <v/>
      </c>
    </row>
    <row r="2657" spans="1:7" x14ac:dyDescent="0.3">
      <c r="A2657" t="s">
        <v>2571</v>
      </c>
      <c r="B2657" t="s">
        <v>662</v>
      </c>
      <c r="C2657" t="s">
        <v>525</v>
      </c>
      <c r="D2657" s="7">
        <v>23</v>
      </c>
      <c r="E2657">
        <v>2019</v>
      </c>
      <c r="F2657">
        <v>2020</v>
      </c>
      <c r="G2657" t="str">
        <f>IFERROR(INDEX(Formulations[Formulation],MATCH($C2657,Formulations[Product Code],0)),"")</f>
        <v/>
      </c>
    </row>
    <row r="2658" spans="1:7" x14ac:dyDescent="0.3">
      <c r="A2658" t="s">
        <v>760</v>
      </c>
      <c r="B2658" t="s">
        <v>32</v>
      </c>
      <c r="D2658" s="7">
        <v>22.5</v>
      </c>
      <c r="E2658">
        <v>2016</v>
      </c>
      <c r="F2658">
        <v>2017</v>
      </c>
      <c r="G2658" t="str">
        <f>IFERROR(INDEX(Formulations[Formulation],MATCH($C2658,Formulations[Product Code],0)),"")</f>
        <v/>
      </c>
    </row>
    <row r="2659" spans="1:7" x14ac:dyDescent="0.3">
      <c r="A2659" t="s">
        <v>345</v>
      </c>
      <c r="B2659" t="s">
        <v>346</v>
      </c>
      <c r="C2659" t="s">
        <v>347</v>
      </c>
      <c r="D2659" s="7">
        <v>22</v>
      </c>
      <c r="E2659">
        <v>2020</v>
      </c>
      <c r="F2659">
        <v>2020</v>
      </c>
      <c r="G2659" t="str">
        <f>IFERROR(INDEX(Formulations[Formulation],MATCH($C2659,Formulations[Product Code],0)),"")</f>
        <v>Pure</v>
      </c>
    </row>
    <row r="2660" spans="1:7" x14ac:dyDescent="0.3">
      <c r="A2660" t="s">
        <v>1005</v>
      </c>
      <c r="B2660" t="s">
        <v>942</v>
      </c>
      <c r="C2660" t="s">
        <v>943</v>
      </c>
      <c r="D2660" s="7">
        <v>22</v>
      </c>
      <c r="E2660">
        <v>2015</v>
      </c>
      <c r="F2660">
        <v>2015</v>
      </c>
      <c r="G2660" t="str">
        <f>IFERROR(INDEX(Formulations[Formulation],MATCH($C2660,Formulations[Product Code],0)),"")</f>
        <v>Red Grape A299992 (Red Grape 50%/Rasberry 50%)</v>
      </c>
    </row>
    <row r="2661" spans="1:7" x14ac:dyDescent="0.3">
      <c r="A2661" t="s">
        <v>1028</v>
      </c>
      <c r="B2661" t="s">
        <v>1043</v>
      </c>
      <c r="C2661" t="s">
        <v>1044</v>
      </c>
      <c r="D2661" s="7">
        <v>22</v>
      </c>
      <c r="E2661">
        <v>2011</v>
      </c>
      <c r="F2661">
        <v>2011</v>
      </c>
      <c r="G2661" t="str">
        <f>IFERROR(INDEX(Formulations[Formulation],MATCH($C2661,Formulations[Product Code],0)),"")</f>
        <v/>
      </c>
    </row>
    <row r="2662" spans="1:7" x14ac:dyDescent="0.3">
      <c r="A2662" t="s">
        <v>1028</v>
      </c>
      <c r="B2662" t="s">
        <v>1053</v>
      </c>
      <c r="C2662" t="s">
        <v>1054</v>
      </c>
      <c r="D2662" s="7">
        <v>22</v>
      </c>
      <c r="E2662">
        <v>2011</v>
      </c>
      <c r="F2662">
        <v>2011</v>
      </c>
      <c r="G2662" t="str">
        <f>IFERROR(INDEX(Formulations[Formulation],MATCH($C2662,Formulations[Product Code],0)),"")</f>
        <v/>
      </c>
    </row>
    <row r="2663" spans="1:7" x14ac:dyDescent="0.3">
      <c r="A2663" t="s">
        <v>1028</v>
      </c>
      <c r="B2663" t="s">
        <v>1065</v>
      </c>
      <c r="C2663" t="s">
        <v>1066</v>
      </c>
      <c r="D2663" s="7">
        <v>22</v>
      </c>
      <c r="E2663">
        <v>2009</v>
      </c>
      <c r="F2663">
        <v>2009</v>
      </c>
      <c r="G2663" t="str">
        <f>IFERROR(INDEX(Formulations[Formulation],MATCH($C2663,Formulations[Product Code],0)),"")</f>
        <v/>
      </c>
    </row>
    <row r="2664" spans="1:7" x14ac:dyDescent="0.3">
      <c r="A2664" t="s">
        <v>1746</v>
      </c>
      <c r="B2664" t="s">
        <v>1412</v>
      </c>
      <c r="D2664" s="7">
        <v>22</v>
      </c>
      <c r="E2664">
        <v>2021</v>
      </c>
      <c r="F2664">
        <v>2021</v>
      </c>
      <c r="G2664" t="str">
        <f>IFERROR(INDEX(Formulations[Formulation],MATCH($C2664,Formulations[Product Code],0)),"")</f>
        <v/>
      </c>
    </row>
    <row r="2665" spans="1:7" x14ac:dyDescent="0.3">
      <c r="A2665" t="s">
        <v>2042</v>
      </c>
      <c r="B2665" t="s">
        <v>28</v>
      </c>
      <c r="D2665" s="7">
        <v>22</v>
      </c>
      <c r="E2665">
        <v>2015</v>
      </c>
      <c r="F2665">
        <v>2015</v>
      </c>
      <c r="G2665" t="str">
        <f>IFERROR(INDEX(Formulations[Formulation],MATCH($C2665,Formulations[Product Code],0)),"")</f>
        <v/>
      </c>
    </row>
    <row r="2666" spans="1:7" x14ac:dyDescent="0.3">
      <c r="A2666" t="s">
        <v>2092</v>
      </c>
      <c r="B2666" t="s">
        <v>240</v>
      </c>
      <c r="D2666" s="7">
        <v>22</v>
      </c>
      <c r="E2666">
        <v>2015</v>
      </c>
      <c r="F2666">
        <v>2018</v>
      </c>
      <c r="G2666" t="str">
        <f>IFERROR(INDEX(Formulations[Formulation],MATCH($C2666,Formulations[Product Code],0)),"")</f>
        <v/>
      </c>
    </row>
    <row r="2667" spans="1:7" x14ac:dyDescent="0.3">
      <c r="A2667" t="s">
        <v>2262</v>
      </c>
      <c r="B2667" t="s">
        <v>55</v>
      </c>
      <c r="D2667" s="7">
        <v>22</v>
      </c>
      <c r="E2667">
        <v>2018</v>
      </c>
      <c r="F2667">
        <v>2021</v>
      </c>
      <c r="G2667" t="str">
        <f>IFERROR(INDEX(Formulations[Formulation],MATCH($C2667,Formulations[Product Code],0)),"")</f>
        <v/>
      </c>
    </row>
    <row r="2668" spans="1:7" x14ac:dyDescent="0.3">
      <c r="A2668" t="s">
        <v>2380</v>
      </c>
      <c r="B2668" t="s">
        <v>1797</v>
      </c>
      <c r="C2668" t="s">
        <v>1798</v>
      </c>
      <c r="D2668" s="7">
        <v>22</v>
      </c>
      <c r="E2668">
        <v>2019</v>
      </c>
      <c r="F2668">
        <v>2021</v>
      </c>
      <c r="G2668" t="str">
        <f>IFERROR(INDEX(Formulations[Formulation],MATCH($C2668,Formulations[Product Code],0)),"")</f>
        <v/>
      </c>
    </row>
    <row r="2669" spans="1:7" x14ac:dyDescent="0.3">
      <c r="A2669" t="s">
        <v>2461</v>
      </c>
      <c r="B2669" t="s">
        <v>45</v>
      </c>
      <c r="D2669" s="7">
        <v>22</v>
      </c>
      <c r="E2669">
        <v>2015</v>
      </c>
      <c r="F2669">
        <v>2019</v>
      </c>
      <c r="G2669" t="str">
        <f>IFERROR(INDEX(Formulations[Formulation],MATCH($C2669,Formulations[Product Code],0)),"")</f>
        <v/>
      </c>
    </row>
    <row r="2670" spans="1:7" x14ac:dyDescent="0.3">
      <c r="A2670" t="s">
        <v>685</v>
      </c>
      <c r="B2670" t="s">
        <v>676</v>
      </c>
      <c r="D2670" s="7">
        <v>21</v>
      </c>
      <c r="E2670">
        <v>2019</v>
      </c>
      <c r="F2670">
        <v>2021</v>
      </c>
      <c r="G2670" t="str">
        <f>IFERROR(INDEX(Formulations[Formulation],MATCH($C2670,Formulations[Product Code],0)),"")</f>
        <v/>
      </c>
    </row>
    <row r="2671" spans="1:7" x14ac:dyDescent="0.3">
      <c r="A2671" t="s">
        <v>1175</v>
      </c>
      <c r="B2671" t="s">
        <v>269</v>
      </c>
      <c r="C2671" t="s">
        <v>270</v>
      </c>
      <c r="D2671" s="7">
        <v>21</v>
      </c>
      <c r="E2671">
        <v>2018</v>
      </c>
      <c r="F2671">
        <v>2019</v>
      </c>
      <c r="G2671" t="str">
        <f>IFERROR(INDEX(Formulations[Formulation],MATCH($C2671,Formulations[Product Code],0)),"")</f>
        <v>Pure</v>
      </c>
    </row>
    <row r="2672" spans="1:7" x14ac:dyDescent="0.3">
      <c r="A2672" t="s">
        <v>1407</v>
      </c>
      <c r="B2672" t="s">
        <v>543</v>
      </c>
      <c r="C2672" t="s">
        <v>544</v>
      </c>
      <c r="D2672" s="7">
        <v>21</v>
      </c>
      <c r="E2672">
        <v>2020</v>
      </c>
      <c r="F2672">
        <v>2020</v>
      </c>
      <c r="G2672" t="str">
        <f>IFERROR(INDEX(Formulations[Formulation],MATCH($C2672,Formulations[Product Code],0)),"")</f>
        <v>Crystal</v>
      </c>
    </row>
    <row r="2673" spans="1:7" x14ac:dyDescent="0.3">
      <c r="A2673" t="s">
        <v>1407</v>
      </c>
      <c r="B2673" t="s">
        <v>863</v>
      </c>
      <c r="D2673" s="7">
        <v>21</v>
      </c>
      <c r="E2673">
        <v>2018</v>
      </c>
      <c r="F2673">
        <v>2019</v>
      </c>
      <c r="G2673" t="str">
        <f>IFERROR(INDEX(Formulations[Formulation],MATCH($C2673,Formulations[Product Code],0)),"")</f>
        <v/>
      </c>
    </row>
    <row r="2674" spans="1:7" x14ac:dyDescent="0.3">
      <c r="A2674" t="s">
        <v>1901</v>
      </c>
      <c r="B2674" t="s">
        <v>84</v>
      </c>
      <c r="C2674" t="s">
        <v>85</v>
      </c>
      <c r="D2674" s="7">
        <v>21</v>
      </c>
      <c r="E2674">
        <v>2017</v>
      </c>
      <c r="F2674">
        <v>2021</v>
      </c>
      <c r="G2674" t="str">
        <f>IFERROR(INDEX(Formulations[Formulation],MATCH($C2674,Formulations[Product Code],0)),"")</f>
        <v>Pure</v>
      </c>
    </row>
    <row r="2675" spans="1:7" x14ac:dyDescent="0.3">
      <c r="A2675" t="s">
        <v>1972</v>
      </c>
      <c r="B2675" t="s">
        <v>402</v>
      </c>
      <c r="C2675" t="s">
        <v>1586</v>
      </c>
      <c r="D2675" s="7">
        <v>21</v>
      </c>
      <c r="E2675">
        <v>2013</v>
      </c>
      <c r="F2675">
        <v>2016</v>
      </c>
      <c r="G2675" t="str">
        <f>IFERROR(INDEX(Formulations[Formulation],MATCH($C2675,Formulations[Product Code],0)),"")</f>
        <v/>
      </c>
    </row>
    <row r="2676" spans="1:7" x14ac:dyDescent="0.3">
      <c r="A2676" t="s">
        <v>2030</v>
      </c>
      <c r="B2676" t="s">
        <v>696</v>
      </c>
      <c r="C2676" t="s">
        <v>697</v>
      </c>
      <c r="D2676" s="7">
        <v>21</v>
      </c>
      <c r="E2676">
        <v>2009</v>
      </c>
      <c r="F2676">
        <v>2010</v>
      </c>
      <c r="G2676" t="str">
        <f>IFERROR(INDEX(Formulations[Formulation],MATCH($C2676,Formulations[Product Code],0)),"")</f>
        <v/>
      </c>
    </row>
    <row r="2677" spans="1:7" x14ac:dyDescent="0.3">
      <c r="A2677" t="s">
        <v>2290</v>
      </c>
      <c r="B2677" t="s">
        <v>863</v>
      </c>
      <c r="D2677" s="7">
        <v>21</v>
      </c>
      <c r="E2677">
        <v>2019</v>
      </c>
      <c r="F2677">
        <v>2020</v>
      </c>
      <c r="G2677" t="str">
        <f>IFERROR(INDEX(Formulations[Formulation],MATCH($C2677,Formulations[Product Code],0)),"")</f>
        <v/>
      </c>
    </row>
    <row r="2678" spans="1:7" x14ac:dyDescent="0.3">
      <c r="A2678" t="s">
        <v>1958</v>
      </c>
      <c r="B2678" t="s">
        <v>60</v>
      </c>
      <c r="C2678" t="s">
        <v>61</v>
      </c>
      <c r="D2678" s="7">
        <v>20.5</v>
      </c>
      <c r="E2678">
        <v>2015</v>
      </c>
      <c r="F2678">
        <v>2016</v>
      </c>
      <c r="G2678" t="str">
        <f>IFERROR(INDEX(Formulations[Formulation],MATCH($C2678,Formulations[Product Code],0)),"")</f>
        <v>Pure</v>
      </c>
    </row>
    <row r="2679" spans="1:7" x14ac:dyDescent="0.3">
      <c r="A2679" t="s">
        <v>2589</v>
      </c>
      <c r="B2679" t="s">
        <v>99</v>
      </c>
      <c r="C2679" t="s">
        <v>100</v>
      </c>
      <c r="D2679" s="7">
        <v>20.5</v>
      </c>
      <c r="E2679">
        <v>2015</v>
      </c>
      <c r="F2679">
        <v>2020</v>
      </c>
      <c r="G2679" t="str">
        <f>IFERROR(INDEX(Formulations[Formulation],MATCH($C2679,Formulations[Product Code],0)),"")</f>
        <v>Crystal</v>
      </c>
    </row>
    <row r="2680" spans="1:7" x14ac:dyDescent="0.3">
      <c r="A2680" t="s">
        <v>239</v>
      </c>
      <c r="B2680" t="s">
        <v>240</v>
      </c>
      <c r="D2680" s="7">
        <v>20</v>
      </c>
      <c r="E2680">
        <v>2018</v>
      </c>
      <c r="F2680">
        <v>2018</v>
      </c>
      <c r="G2680" t="str">
        <f>IFERROR(INDEX(Formulations[Formulation],MATCH($C2680,Formulations[Product Code],0)),"")</f>
        <v/>
      </c>
    </row>
    <row r="2681" spans="1:7" x14ac:dyDescent="0.3">
      <c r="A2681" t="s">
        <v>273</v>
      </c>
      <c r="B2681" t="s">
        <v>293</v>
      </c>
      <c r="C2681" t="s">
        <v>294</v>
      </c>
      <c r="D2681" s="7">
        <v>20</v>
      </c>
      <c r="E2681">
        <v>2013</v>
      </c>
      <c r="F2681">
        <v>2013</v>
      </c>
      <c r="G2681" t="str">
        <f>IFERROR(INDEX(Formulations[Formulation],MATCH($C2681,Formulations[Product Code],0)),"")</f>
        <v/>
      </c>
    </row>
    <row r="2682" spans="1:7" x14ac:dyDescent="0.3">
      <c r="A2682" t="s">
        <v>353</v>
      </c>
      <c r="B2682" t="s">
        <v>366</v>
      </c>
      <c r="C2682" t="s">
        <v>367</v>
      </c>
      <c r="D2682" s="7">
        <v>20</v>
      </c>
      <c r="E2682">
        <v>2009</v>
      </c>
      <c r="F2682">
        <v>2009</v>
      </c>
      <c r="G2682" t="str">
        <f>IFERROR(INDEX(Formulations[Formulation],MATCH($C2682,Formulations[Product Code],0)),"")</f>
        <v/>
      </c>
    </row>
    <row r="2683" spans="1:7" x14ac:dyDescent="0.3">
      <c r="A2683" t="s">
        <v>353</v>
      </c>
      <c r="B2683" t="s">
        <v>60</v>
      </c>
      <c r="C2683" t="s">
        <v>61</v>
      </c>
      <c r="D2683" s="7">
        <v>20</v>
      </c>
      <c r="E2683">
        <v>2015</v>
      </c>
      <c r="F2683">
        <v>2017</v>
      </c>
      <c r="G2683" t="str">
        <f>IFERROR(INDEX(Formulations[Formulation],MATCH($C2683,Formulations[Product Code],0)),"")</f>
        <v>Pure</v>
      </c>
    </row>
    <row r="2684" spans="1:7" x14ac:dyDescent="0.3">
      <c r="A2684" t="s">
        <v>353</v>
      </c>
      <c r="B2684" t="s">
        <v>103</v>
      </c>
      <c r="C2684" t="s">
        <v>104</v>
      </c>
      <c r="D2684" s="7">
        <v>20</v>
      </c>
      <c r="E2684">
        <v>2009</v>
      </c>
      <c r="F2684">
        <v>2009</v>
      </c>
      <c r="G2684" t="str">
        <f>IFERROR(INDEX(Formulations[Formulation],MATCH($C2684,Formulations[Product Code],0)),"")</f>
        <v>Pure</v>
      </c>
    </row>
    <row r="2685" spans="1:7" x14ac:dyDescent="0.3">
      <c r="A2685" t="s">
        <v>353</v>
      </c>
      <c r="B2685" t="s">
        <v>376</v>
      </c>
      <c r="C2685" t="s">
        <v>377</v>
      </c>
      <c r="D2685" s="7">
        <v>20</v>
      </c>
      <c r="E2685">
        <v>2009</v>
      </c>
      <c r="F2685">
        <v>2009</v>
      </c>
      <c r="G2685" t="str">
        <f>IFERROR(INDEX(Formulations[Formulation],MATCH($C2685,Formulations[Product Code],0)),"")</f>
        <v/>
      </c>
    </row>
    <row r="2686" spans="1:7" x14ac:dyDescent="0.3">
      <c r="A2686" t="s">
        <v>353</v>
      </c>
      <c r="B2686" t="s">
        <v>378</v>
      </c>
      <c r="C2686" t="s">
        <v>379</v>
      </c>
      <c r="D2686" s="7">
        <v>20</v>
      </c>
      <c r="E2686">
        <v>2009</v>
      </c>
      <c r="F2686">
        <v>2009</v>
      </c>
      <c r="G2686" t="str">
        <f>IFERROR(INDEX(Formulations[Formulation],MATCH($C2686,Formulations[Product Code],0)),"")</f>
        <v/>
      </c>
    </row>
    <row r="2687" spans="1:7" x14ac:dyDescent="0.3">
      <c r="A2687" t="s">
        <v>353</v>
      </c>
      <c r="B2687" t="s">
        <v>380</v>
      </c>
      <c r="C2687" t="s">
        <v>369</v>
      </c>
      <c r="D2687" s="7">
        <v>20</v>
      </c>
      <c r="E2687">
        <v>2014</v>
      </c>
      <c r="F2687">
        <v>2017</v>
      </c>
      <c r="G2687" t="str">
        <f>IFERROR(INDEX(Formulations[Formulation],MATCH($C2687,Formulations[Product Code],0)),"")</f>
        <v/>
      </c>
    </row>
    <row r="2688" spans="1:7" x14ac:dyDescent="0.3">
      <c r="A2688" t="s">
        <v>578</v>
      </c>
      <c r="B2688" t="s">
        <v>142</v>
      </c>
      <c r="C2688" t="s">
        <v>143</v>
      </c>
      <c r="D2688" s="7">
        <v>20</v>
      </c>
      <c r="E2688">
        <v>2017</v>
      </c>
      <c r="F2688">
        <v>2018</v>
      </c>
      <c r="G2688" t="str">
        <f>IFERROR(INDEX(Formulations[Formulation],MATCH($C2688,Formulations[Product Code],0)),"")</f>
        <v>Pure</v>
      </c>
    </row>
    <row r="2689" spans="1:7" x14ac:dyDescent="0.3">
      <c r="A2689" t="s">
        <v>609</v>
      </c>
      <c r="B2689" t="s">
        <v>615</v>
      </c>
      <c r="C2689" t="s">
        <v>616</v>
      </c>
      <c r="D2689" s="7">
        <v>20</v>
      </c>
      <c r="E2689">
        <v>2014</v>
      </c>
      <c r="F2689">
        <v>2014</v>
      </c>
      <c r="G2689" t="str">
        <f>IFERROR(INDEX(Formulations[Formulation],MATCH($C2689,Formulations[Product Code],0)),"")</f>
        <v/>
      </c>
    </row>
    <row r="2690" spans="1:7" x14ac:dyDescent="0.3">
      <c r="A2690" t="s">
        <v>622</v>
      </c>
      <c r="B2690" t="s">
        <v>624</v>
      </c>
      <c r="C2690" t="s">
        <v>625</v>
      </c>
      <c r="D2690" s="7">
        <v>20</v>
      </c>
      <c r="E2690">
        <v>2019</v>
      </c>
      <c r="F2690">
        <v>2019</v>
      </c>
      <c r="G2690" t="str">
        <f>IFERROR(INDEX(Formulations[Formulation],MATCH($C2690,Formulations[Product Code],0)),"")</f>
        <v>Crystal</v>
      </c>
    </row>
    <row r="2691" spans="1:7" x14ac:dyDescent="0.3">
      <c r="A2691" t="s">
        <v>622</v>
      </c>
      <c r="B2691" t="s">
        <v>540</v>
      </c>
      <c r="C2691" t="s">
        <v>541</v>
      </c>
      <c r="D2691" s="7">
        <v>20</v>
      </c>
      <c r="E2691">
        <v>2019</v>
      </c>
      <c r="F2691">
        <v>2019</v>
      </c>
      <c r="G2691" t="str">
        <f>IFERROR(INDEX(Formulations[Formulation],MATCH($C2691,Formulations[Product Code],0)),"")</f>
        <v>Pure</v>
      </c>
    </row>
    <row r="2692" spans="1:7" x14ac:dyDescent="0.3">
      <c r="A2692" t="s">
        <v>622</v>
      </c>
      <c r="B2692" t="s">
        <v>573</v>
      </c>
      <c r="C2692" t="s">
        <v>574</v>
      </c>
      <c r="D2692" s="7">
        <v>20</v>
      </c>
      <c r="E2692">
        <v>2019</v>
      </c>
      <c r="F2692">
        <v>2019</v>
      </c>
      <c r="G2692" t="str">
        <f>IFERROR(INDEX(Formulations[Formulation],MATCH($C2692,Formulations[Product Code],0)),"")</f>
        <v>Crystal</v>
      </c>
    </row>
    <row r="2693" spans="1:7" x14ac:dyDescent="0.3">
      <c r="A2693" t="s">
        <v>659</v>
      </c>
      <c r="B2693" t="s">
        <v>37</v>
      </c>
      <c r="D2693" s="7">
        <v>20</v>
      </c>
      <c r="E2693">
        <v>2019</v>
      </c>
      <c r="F2693">
        <v>2019</v>
      </c>
      <c r="G2693" t="str">
        <f>IFERROR(INDEX(Formulations[Formulation],MATCH($C2693,Formulations[Product Code],0)),"")</f>
        <v/>
      </c>
    </row>
    <row r="2694" spans="1:7" x14ac:dyDescent="0.3">
      <c r="A2694" t="s">
        <v>704</v>
      </c>
      <c r="B2694" t="s">
        <v>55</v>
      </c>
      <c r="D2694" s="7">
        <v>20</v>
      </c>
      <c r="E2694">
        <v>2019</v>
      </c>
      <c r="F2694">
        <v>2020</v>
      </c>
      <c r="G2694" t="str">
        <f>IFERROR(INDEX(Formulations[Formulation],MATCH($C2694,Formulations[Product Code],0)),"")</f>
        <v/>
      </c>
    </row>
    <row r="2695" spans="1:7" x14ac:dyDescent="0.3">
      <c r="A2695" t="s">
        <v>712</v>
      </c>
      <c r="B2695" t="s">
        <v>713</v>
      </c>
      <c r="D2695" s="7">
        <v>20</v>
      </c>
      <c r="E2695">
        <v>2018</v>
      </c>
      <c r="F2695">
        <v>2019</v>
      </c>
      <c r="G2695" t="str">
        <f>IFERROR(INDEX(Formulations[Formulation],MATCH($C2695,Formulations[Product Code],0)),"")</f>
        <v/>
      </c>
    </row>
    <row r="2696" spans="1:7" x14ac:dyDescent="0.3">
      <c r="A2696" t="s">
        <v>712</v>
      </c>
      <c r="B2696" t="s">
        <v>728</v>
      </c>
      <c r="D2696" s="7">
        <v>20</v>
      </c>
      <c r="E2696">
        <v>2017</v>
      </c>
      <c r="F2696">
        <v>2017</v>
      </c>
      <c r="G2696" t="str">
        <f>IFERROR(INDEX(Formulations[Formulation],MATCH($C2696,Formulations[Product Code],0)),"")</f>
        <v/>
      </c>
    </row>
    <row r="2697" spans="1:7" x14ac:dyDescent="0.3">
      <c r="A2697" t="s">
        <v>762</v>
      </c>
      <c r="B2697" t="s">
        <v>764</v>
      </c>
      <c r="D2697" s="7">
        <v>20</v>
      </c>
      <c r="E2697">
        <v>2014</v>
      </c>
      <c r="F2697">
        <v>2014</v>
      </c>
      <c r="G2697" t="str">
        <f>IFERROR(INDEX(Formulations[Formulation],MATCH($C2697,Formulations[Product Code],0)),"")</f>
        <v/>
      </c>
    </row>
    <row r="2698" spans="1:7" x14ac:dyDescent="0.3">
      <c r="A2698" t="s">
        <v>781</v>
      </c>
      <c r="B2698" t="s">
        <v>784</v>
      </c>
      <c r="D2698" s="7">
        <v>20</v>
      </c>
      <c r="E2698">
        <v>2021</v>
      </c>
      <c r="F2698">
        <v>2021</v>
      </c>
      <c r="G2698" t="str">
        <f>IFERROR(INDEX(Formulations[Formulation],MATCH($C2698,Formulations[Product Code],0)),"")</f>
        <v/>
      </c>
    </row>
    <row r="2699" spans="1:7" x14ac:dyDescent="0.3">
      <c r="A2699" t="s">
        <v>781</v>
      </c>
      <c r="B2699" t="s">
        <v>543</v>
      </c>
      <c r="C2699" t="s">
        <v>544</v>
      </c>
      <c r="D2699" s="7">
        <v>20</v>
      </c>
      <c r="E2699">
        <v>2019</v>
      </c>
      <c r="F2699">
        <v>2019</v>
      </c>
      <c r="G2699" t="str">
        <f>IFERROR(INDEX(Formulations[Formulation],MATCH($C2699,Formulations[Product Code],0)),"")</f>
        <v>Crystal</v>
      </c>
    </row>
    <row r="2700" spans="1:7" x14ac:dyDescent="0.3">
      <c r="A2700" t="s">
        <v>794</v>
      </c>
      <c r="B2700" t="s">
        <v>801</v>
      </c>
      <c r="C2700" t="s">
        <v>802</v>
      </c>
      <c r="D2700" s="7">
        <v>20</v>
      </c>
      <c r="E2700">
        <v>2011</v>
      </c>
      <c r="F2700">
        <v>2011</v>
      </c>
      <c r="G2700" t="str">
        <f>IFERROR(INDEX(Formulations[Formulation],MATCH($C2700,Formulations[Product Code],0)),"")</f>
        <v/>
      </c>
    </row>
    <row r="2701" spans="1:7" x14ac:dyDescent="0.3">
      <c r="A2701" t="s">
        <v>794</v>
      </c>
      <c r="B2701" t="s">
        <v>386</v>
      </c>
      <c r="C2701" t="s">
        <v>387</v>
      </c>
      <c r="D2701" s="7">
        <v>20</v>
      </c>
      <c r="E2701">
        <v>2010</v>
      </c>
      <c r="F2701">
        <v>2011</v>
      </c>
      <c r="G2701" t="str">
        <f>IFERROR(INDEX(Formulations[Formulation],MATCH($C2701,Formulations[Product Code],0)),"")</f>
        <v/>
      </c>
    </row>
    <row r="2702" spans="1:7" x14ac:dyDescent="0.3">
      <c r="A2702" t="s">
        <v>803</v>
      </c>
      <c r="B2702" t="s">
        <v>412</v>
      </c>
      <c r="C2702" t="s">
        <v>413</v>
      </c>
      <c r="D2702" s="7">
        <v>20</v>
      </c>
      <c r="E2702">
        <v>2013</v>
      </c>
      <c r="F2702">
        <v>2015</v>
      </c>
      <c r="G2702" t="str">
        <f>IFERROR(INDEX(Formulations[Formulation],MATCH($C2702,Formulations[Product Code],0)),"")</f>
        <v>40% oil &amp; 60 % DPG</v>
      </c>
    </row>
    <row r="2703" spans="1:7" x14ac:dyDescent="0.3">
      <c r="A2703" t="s">
        <v>803</v>
      </c>
      <c r="B2703" t="s">
        <v>153</v>
      </c>
      <c r="C2703" t="s">
        <v>154</v>
      </c>
      <c r="D2703" s="7">
        <v>20</v>
      </c>
      <c r="E2703">
        <v>2013</v>
      </c>
      <c r="F2703">
        <v>2017</v>
      </c>
      <c r="G2703" t="str">
        <f>IFERROR(INDEX(Formulations[Formulation],MATCH($C2703,Formulations[Product Code],0)),"")</f>
        <v>Pure</v>
      </c>
    </row>
    <row r="2704" spans="1:7" x14ac:dyDescent="0.3">
      <c r="A2704" t="s">
        <v>827</v>
      </c>
      <c r="B2704" t="s">
        <v>45</v>
      </c>
      <c r="D2704" s="7">
        <v>20</v>
      </c>
      <c r="E2704">
        <v>2014</v>
      </c>
      <c r="F2704">
        <v>2014</v>
      </c>
      <c r="G2704" t="str">
        <f>IFERROR(INDEX(Formulations[Formulation],MATCH($C2704,Formulations[Product Code],0)),"")</f>
        <v/>
      </c>
    </row>
    <row r="2705" spans="1:7" x14ac:dyDescent="0.3">
      <c r="A2705" t="s">
        <v>842</v>
      </c>
      <c r="B2705" t="s">
        <v>843</v>
      </c>
      <c r="C2705" t="s">
        <v>844</v>
      </c>
      <c r="D2705" s="7">
        <v>20</v>
      </c>
      <c r="E2705">
        <v>2011</v>
      </c>
      <c r="F2705">
        <v>2011</v>
      </c>
      <c r="G2705" t="str">
        <f>IFERROR(INDEX(Formulations[Formulation],MATCH($C2705,Formulations[Product Code],0)),"")</f>
        <v/>
      </c>
    </row>
    <row r="2706" spans="1:7" x14ac:dyDescent="0.3">
      <c r="A2706" t="s">
        <v>842</v>
      </c>
      <c r="B2706" t="s">
        <v>849</v>
      </c>
      <c r="C2706" t="s">
        <v>850</v>
      </c>
      <c r="D2706" s="7">
        <v>20</v>
      </c>
      <c r="E2706">
        <v>2011</v>
      </c>
      <c r="F2706">
        <v>2011</v>
      </c>
      <c r="G2706" t="str">
        <f>IFERROR(INDEX(Formulations[Formulation],MATCH($C2706,Formulations[Product Code],0)),"")</f>
        <v/>
      </c>
    </row>
    <row r="2707" spans="1:7" x14ac:dyDescent="0.3">
      <c r="A2707" t="s">
        <v>861</v>
      </c>
      <c r="B2707" t="s">
        <v>862</v>
      </c>
      <c r="D2707" s="7">
        <v>20</v>
      </c>
      <c r="E2707">
        <v>2012</v>
      </c>
      <c r="F2707">
        <v>2012</v>
      </c>
      <c r="G2707" t="str">
        <f>IFERROR(INDEX(Formulations[Formulation],MATCH($C2707,Formulations[Product Code],0)),"")</f>
        <v/>
      </c>
    </row>
    <row r="2708" spans="1:7" x14ac:dyDescent="0.3">
      <c r="A2708" t="s">
        <v>861</v>
      </c>
      <c r="B2708" t="s">
        <v>863</v>
      </c>
      <c r="D2708" s="7">
        <v>20</v>
      </c>
      <c r="E2708">
        <v>2012</v>
      </c>
      <c r="F2708">
        <v>2012</v>
      </c>
      <c r="G2708" t="str">
        <f>IFERROR(INDEX(Formulations[Formulation],MATCH($C2708,Formulations[Product Code],0)),"")</f>
        <v/>
      </c>
    </row>
    <row r="2709" spans="1:7" x14ac:dyDescent="0.3">
      <c r="A2709" t="s">
        <v>861</v>
      </c>
      <c r="B2709" t="s">
        <v>864</v>
      </c>
      <c r="D2709" s="7">
        <v>20</v>
      </c>
      <c r="E2709">
        <v>2017</v>
      </c>
      <c r="F2709">
        <v>2017</v>
      </c>
      <c r="G2709" t="str">
        <f>IFERROR(INDEX(Formulations[Formulation],MATCH($C2709,Formulations[Product Code],0)),"")</f>
        <v/>
      </c>
    </row>
    <row r="2710" spans="1:7" x14ac:dyDescent="0.3">
      <c r="A2710" t="s">
        <v>904</v>
      </c>
      <c r="B2710" t="s">
        <v>721</v>
      </c>
      <c r="C2710" t="s">
        <v>722</v>
      </c>
      <c r="D2710" s="7">
        <v>20</v>
      </c>
      <c r="E2710">
        <v>2014</v>
      </c>
      <c r="F2710">
        <v>2021</v>
      </c>
      <c r="G2710" t="str">
        <f>IFERROR(INDEX(Formulations[Formulation],MATCH($C2710,Formulations[Product Code],0)),"")</f>
        <v>Pure</v>
      </c>
    </row>
    <row r="2711" spans="1:7" x14ac:dyDescent="0.3">
      <c r="A2711" t="s">
        <v>941</v>
      </c>
      <c r="B2711" t="s">
        <v>37</v>
      </c>
      <c r="D2711" s="7">
        <v>20</v>
      </c>
      <c r="E2711">
        <v>2019</v>
      </c>
      <c r="F2711">
        <v>2019</v>
      </c>
      <c r="G2711" t="str">
        <f>IFERROR(INDEX(Formulations[Formulation],MATCH($C2711,Formulations[Product Code],0)),"")</f>
        <v/>
      </c>
    </row>
    <row r="2712" spans="1:7" x14ac:dyDescent="0.3">
      <c r="A2712" t="s">
        <v>944</v>
      </c>
      <c r="B2712" t="s">
        <v>950</v>
      </c>
      <c r="C2712" t="s">
        <v>951</v>
      </c>
      <c r="D2712" s="7">
        <v>20</v>
      </c>
      <c r="E2712">
        <v>2010</v>
      </c>
      <c r="F2712">
        <v>2010</v>
      </c>
      <c r="G2712" t="str">
        <f>IFERROR(INDEX(Formulations[Formulation],MATCH($C2712,Formulations[Product Code],0)),"")</f>
        <v/>
      </c>
    </row>
    <row r="2713" spans="1:7" x14ac:dyDescent="0.3">
      <c r="A2713" t="s">
        <v>993</v>
      </c>
      <c r="B2713" t="s">
        <v>187</v>
      </c>
      <c r="C2713" t="s">
        <v>188</v>
      </c>
      <c r="D2713" s="7">
        <v>20</v>
      </c>
      <c r="E2713">
        <v>2017</v>
      </c>
      <c r="F2713">
        <v>2019</v>
      </c>
      <c r="G2713" t="str">
        <f>IFERROR(INDEX(Formulations[Formulation],MATCH($C2713,Formulations[Product Code],0)),"")</f>
        <v>Crystal</v>
      </c>
    </row>
    <row r="2714" spans="1:7" x14ac:dyDescent="0.3">
      <c r="A2714" t="s">
        <v>993</v>
      </c>
      <c r="B2714" t="s">
        <v>575</v>
      </c>
      <c r="C2714" t="s">
        <v>673</v>
      </c>
      <c r="D2714" s="7">
        <v>20</v>
      </c>
      <c r="E2714">
        <v>2017</v>
      </c>
      <c r="F2714">
        <v>2018</v>
      </c>
      <c r="G2714" t="str">
        <f>IFERROR(INDEX(Formulations[Formulation],MATCH($C2714,Formulations[Product Code],0)),"")</f>
        <v>Apricot 60 % oil and 40 % dpg</v>
      </c>
    </row>
    <row r="2715" spans="1:7" x14ac:dyDescent="0.3">
      <c r="A2715" t="s">
        <v>1010</v>
      </c>
      <c r="B2715" t="s">
        <v>19</v>
      </c>
      <c r="C2715" t="s">
        <v>1017</v>
      </c>
      <c r="D2715" s="7">
        <v>20</v>
      </c>
      <c r="E2715">
        <v>2009</v>
      </c>
      <c r="F2715">
        <v>2010</v>
      </c>
      <c r="G2715" t="str">
        <f>IFERROR(INDEX(Formulations[Formulation],MATCH($C2715,Formulations[Product Code],0)),"")</f>
        <v/>
      </c>
    </row>
    <row r="2716" spans="1:7" x14ac:dyDescent="0.3">
      <c r="A2716" t="s">
        <v>1010</v>
      </c>
      <c r="B2716" t="s">
        <v>1025</v>
      </c>
      <c r="C2716" t="s">
        <v>1026</v>
      </c>
      <c r="D2716" s="7">
        <v>20</v>
      </c>
      <c r="E2716">
        <v>2016</v>
      </c>
      <c r="F2716">
        <v>2018</v>
      </c>
      <c r="G2716" t="str">
        <f>IFERROR(INDEX(Formulations[Formulation],MATCH($C2716,Formulations[Product Code],0)),"")</f>
        <v/>
      </c>
    </row>
    <row r="2717" spans="1:7" x14ac:dyDescent="0.3">
      <c r="A2717" t="s">
        <v>1028</v>
      </c>
      <c r="B2717" t="s">
        <v>1049</v>
      </c>
      <c r="C2717" t="s">
        <v>1050</v>
      </c>
      <c r="D2717" s="7">
        <v>20</v>
      </c>
      <c r="E2717">
        <v>2016</v>
      </c>
      <c r="F2717">
        <v>2016</v>
      </c>
      <c r="G2717" t="str">
        <f>IFERROR(INDEX(Formulations[Formulation],MATCH($C2717,Formulations[Product Code],0)),"")</f>
        <v/>
      </c>
    </row>
    <row r="2718" spans="1:7" x14ac:dyDescent="0.3">
      <c r="A2718" t="s">
        <v>1091</v>
      </c>
      <c r="B2718" t="s">
        <v>863</v>
      </c>
      <c r="D2718" s="7">
        <v>20</v>
      </c>
      <c r="E2718">
        <v>2019</v>
      </c>
      <c r="F2718">
        <v>2019</v>
      </c>
      <c r="G2718" t="str">
        <f>IFERROR(INDEX(Formulations[Formulation],MATCH($C2718,Formulations[Product Code],0)),"")</f>
        <v/>
      </c>
    </row>
    <row r="2719" spans="1:7" x14ac:dyDescent="0.3">
      <c r="A2719" t="s">
        <v>1091</v>
      </c>
      <c r="B2719" t="s">
        <v>32</v>
      </c>
      <c r="D2719" s="7">
        <v>20</v>
      </c>
      <c r="E2719">
        <v>2019</v>
      </c>
      <c r="F2719">
        <v>2019</v>
      </c>
      <c r="G2719" t="str">
        <f>IFERROR(INDEX(Formulations[Formulation],MATCH($C2719,Formulations[Product Code],0)),"")</f>
        <v/>
      </c>
    </row>
    <row r="2720" spans="1:7" x14ac:dyDescent="0.3">
      <c r="A2720" t="s">
        <v>1127</v>
      </c>
      <c r="B2720" t="s">
        <v>1131</v>
      </c>
      <c r="D2720" s="7">
        <v>20</v>
      </c>
      <c r="E2720">
        <v>2020</v>
      </c>
      <c r="F2720">
        <v>2020</v>
      </c>
      <c r="G2720" t="str">
        <f>IFERROR(INDEX(Formulations[Formulation],MATCH($C2720,Formulations[Product Code],0)),"")</f>
        <v/>
      </c>
    </row>
    <row r="2721" spans="1:7" x14ac:dyDescent="0.3">
      <c r="A2721" t="s">
        <v>1127</v>
      </c>
      <c r="B2721" t="s">
        <v>1135</v>
      </c>
      <c r="C2721" t="s">
        <v>561</v>
      </c>
      <c r="D2721" s="7">
        <v>20</v>
      </c>
      <c r="E2721">
        <v>2019</v>
      </c>
      <c r="F2721">
        <v>2020</v>
      </c>
      <c r="G2721" t="str">
        <f>IFERROR(INDEX(Formulations[Formulation],MATCH($C2721,Formulations[Product Code],0)),"")</f>
        <v/>
      </c>
    </row>
    <row r="2722" spans="1:7" x14ac:dyDescent="0.3">
      <c r="A2722" t="s">
        <v>1147</v>
      </c>
      <c r="B2722" t="s">
        <v>159</v>
      </c>
      <c r="C2722" t="s">
        <v>160</v>
      </c>
      <c r="D2722" s="7">
        <v>20</v>
      </c>
      <c r="E2722">
        <v>2018</v>
      </c>
      <c r="F2722">
        <v>2018</v>
      </c>
      <c r="G2722" t="str">
        <f>IFERROR(INDEX(Formulations[Formulation],MATCH($C2722,Formulations[Product Code],0)),"")</f>
        <v>Silver</v>
      </c>
    </row>
    <row r="2723" spans="1:7" x14ac:dyDescent="0.3">
      <c r="A2723" t="s">
        <v>1149</v>
      </c>
      <c r="B2723" t="s">
        <v>32</v>
      </c>
      <c r="D2723" s="7">
        <v>20</v>
      </c>
      <c r="E2723">
        <v>2015</v>
      </c>
      <c r="F2723">
        <v>2015</v>
      </c>
      <c r="G2723" t="str">
        <f>IFERROR(INDEX(Formulations[Formulation],MATCH($C2723,Formulations[Product Code],0)),"")</f>
        <v/>
      </c>
    </row>
    <row r="2724" spans="1:7" x14ac:dyDescent="0.3">
      <c r="A2724" t="s">
        <v>1162</v>
      </c>
      <c r="B2724" t="s">
        <v>39</v>
      </c>
      <c r="D2724" s="7">
        <v>20</v>
      </c>
      <c r="E2724">
        <v>2020</v>
      </c>
      <c r="F2724">
        <v>2020</v>
      </c>
      <c r="G2724" t="str">
        <f>IFERROR(INDEX(Formulations[Formulation],MATCH($C2724,Formulations[Product Code],0)),"")</f>
        <v/>
      </c>
    </row>
    <row r="2725" spans="1:7" x14ac:dyDescent="0.3">
      <c r="A2725" t="s">
        <v>1174</v>
      </c>
      <c r="B2725" t="s">
        <v>19</v>
      </c>
      <c r="C2725" t="s">
        <v>20</v>
      </c>
      <c r="D2725" s="7">
        <v>20</v>
      </c>
      <c r="E2725">
        <v>2017</v>
      </c>
      <c r="F2725">
        <v>2018</v>
      </c>
      <c r="G2725" t="str">
        <f>IFERROR(INDEX(Formulations[Formulation],MATCH($C2725,Formulations[Product Code],0)),"")</f>
        <v>80 % Oil AND 20 % DPG</v>
      </c>
    </row>
    <row r="2726" spans="1:7" x14ac:dyDescent="0.3">
      <c r="A2726" t="s">
        <v>1175</v>
      </c>
      <c r="B2726" t="s">
        <v>721</v>
      </c>
      <c r="C2726" t="s">
        <v>722</v>
      </c>
      <c r="D2726" s="7">
        <v>20</v>
      </c>
      <c r="E2726">
        <v>2018</v>
      </c>
      <c r="F2726">
        <v>2019</v>
      </c>
      <c r="G2726" t="str">
        <f>IFERROR(INDEX(Formulations[Formulation],MATCH($C2726,Formulations[Product Code],0)),"")</f>
        <v>Pure</v>
      </c>
    </row>
    <row r="2727" spans="1:7" x14ac:dyDescent="0.3">
      <c r="A2727" t="s">
        <v>1175</v>
      </c>
      <c r="B2727" t="s">
        <v>250</v>
      </c>
      <c r="C2727" t="s">
        <v>222</v>
      </c>
      <c r="D2727" s="7">
        <v>20</v>
      </c>
      <c r="E2727">
        <v>2020</v>
      </c>
      <c r="F2727">
        <v>2021</v>
      </c>
      <c r="G2727" t="str">
        <f>IFERROR(INDEX(Formulations[Formulation],MATCH($C2727,Formulations[Product Code],0)),"")</f>
        <v>WS</v>
      </c>
    </row>
    <row r="2728" spans="1:7" x14ac:dyDescent="0.3">
      <c r="A2728" t="s">
        <v>1175</v>
      </c>
      <c r="B2728" t="s">
        <v>633</v>
      </c>
      <c r="C2728" t="s">
        <v>634</v>
      </c>
      <c r="D2728" s="7">
        <v>20</v>
      </c>
      <c r="E2728">
        <v>2018</v>
      </c>
      <c r="F2728">
        <v>2019</v>
      </c>
      <c r="G2728" t="str">
        <f>IFERROR(INDEX(Formulations[Formulation],MATCH($C2728,Formulations[Product Code],0)),"")</f>
        <v/>
      </c>
    </row>
    <row r="2729" spans="1:7" x14ac:dyDescent="0.3">
      <c r="A2729" t="s">
        <v>1175</v>
      </c>
      <c r="B2729" t="s">
        <v>1182</v>
      </c>
      <c r="D2729" s="7">
        <v>20</v>
      </c>
      <c r="E2729">
        <v>2020</v>
      </c>
      <c r="F2729">
        <v>2021</v>
      </c>
      <c r="G2729" t="str">
        <f>IFERROR(INDEX(Formulations[Formulation],MATCH($C2729,Formulations[Product Code],0)),"")</f>
        <v/>
      </c>
    </row>
    <row r="2730" spans="1:7" x14ac:dyDescent="0.3">
      <c r="A2730" t="s">
        <v>1175</v>
      </c>
      <c r="B2730" t="s">
        <v>68</v>
      </c>
      <c r="C2730" t="s">
        <v>69</v>
      </c>
      <c r="D2730" s="7">
        <v>20</v>
      </c>
      <c r="E2730">
        <v>2020</v>
      </c>
      <c r="F2730">
        <v>2020</v>
      </c>
      <c r="G2730" t="str">
        <f>IFERROR(INDEX(Formulations[Formulation],MATCH($C2730,Formulations[Product Code],0)),"")</f>
        <v>Silver</v>
      </c>
    </row>
    <row r="2731" spans="1:7" x14ac:dyDescent="0.3">
      <c r="A2731" t="s">
        <v>1187</v>
      </c>
      <c r="B2731" t="s">
        <v>176</v>
      </c>
      <c r="C2731" t="s">
        <v>177</v>
      </c>
      <c r="D2731" s="7">
        <v>20</v>
      </c>
      <c r="E2731">
        <v>2011</v>
      </c>
      <c r="F2731">
        <v>2011</v>
      </c>
      <c r="G2731" t="str">
        <f>IFERROR(INDEX(Formulations[Formulation],MATCH($C2731,Formulations[Product Code],0)),"")</f>
        <v/>
      </c>
    </row>
    <row r="2732" spans="1:7" x14ac:dyDescent="0.3">
      <c r="A2732" t="s">
        <v>1187</v>
      </c>
      <c r="B2732" t="s">
        <v>218</v>
      </c>
      <c r="C2732" t="s">
        <v>212</v>
      </c>
      <c r="D2732" s="7">
        <v>20</v>
      </c>
      <c r="E2732">
        <v>2011</v>
      </c>
      <c r="F2732">
        <v>2011</v>
      </c>
      <c r="G2732" t="str">
        <f>IFERROR(INDEX(Formulations[Formulation],MATCH($C2732,Formulations[Product Code],0)),"")</f>
        <v>Pure</v>
      </c>
    </row>
    <row r="2733" spans="1:7" x14ac:dyDescent="0.3">
      <c r="A2733" t="s">
        <v>1187</v>
      </c>
      <c r="B2733" t="s">
        <v>1192</v>
      </c>
      <c r="C2733" t="s">
        <v>1193</v>
      </c>
      <c r="D2733" s="7">
        <v>20</v>
      </c>
      <c r="E2733">
        <v>2011</v>
      </c>
      <c r="F2733">
        <v>2011</v>
      </c>
      <c r="G2733" t="str">
        <f>IFERROR(INDEX(Formulations[Formulation],MATCH($C2733,Formulations[Product Code],0)),"")</f>
        <v/>
      </c>
    </row>
    <row r="2734" spans="1:7" x14ac:dyDescent="0.3">
      <c r="A2734" t="s">
        <v>1187</v>
      </c>
      <c r="B2734" t="s">
        <v>1201</v>
      </c>
      <c r="C2734" t="s">
        <v>1202</v>
      </c>
      <c r="D2734" s="7">
        <v>20</v>
      </c>
      <c r="E2734">
        <v>2014</v>
      </c>
      <c r="F2734">
        <v>2016</v>
      </c>
      <c r="G2734" t="str">
        <f>IFERROR(INDEX(Formulations[Formulation],MATCH($C2734,Formulations[Product Code],0)),"")</f>
        <v/>
      </c>
    </row>
    <row r="2735" spans="1:7" x14ac:dyDescent="0.3">
      <c r="A2735" t="s">
        <v>1210</v>
      </c>
      <c r="B2735" t="s">
        <v>269</v>
      </c>
      <c r="C2735" t="s">
        <v>270</v>
      </c>
      <c r="D2735" s="7">
        <v>20</v>
      </c>
      <c r="E2735">
        <v>2018</v>
      </c>
      <c r="F2735">
        <v>2018</v>
      </c>
      <c r="G2735" t="str">
        <f>IFERROR(INDEX(Formulations[Formulation],MATCH($C2735,Formulations[Product Code],0)),"")</f>
        <v>Pure</v>
      </c>
    </row>
    <row r="2736" spans="1:7" x14ac:dyDescent="0.3">
      <c r="A2736" t="s">
        <v>1226</v>
      </c>
      <c r="B2736" t="s">
        <v>1234</v>
      </c>
      <c r="C2736" t="s">
        <v>1235</v>
      </c>
      <c r="D2736" s="7">
        <v>20</v>
      </c>
      <c r="E2736">
        <v>2010</v>
      </c>
      <c r="F2736">
        <v>2010</v>
      </c>
      <c r="G2736" t="str">
        <f>IFERROR(INDEX(Formulations[Formulation],MATCH($C2736,Formulations[Product Code],0)),"")</f>
        <v/>
      </c>
    </row>
    <row r="2737" spans="1:7" x14ac:dyDescent="0.3">
      <c r="A2737" t="s">
        <v>1226</v>
      </c>
      <c r="B2737" t="s">
        <v>719</v>
      </c>
      <c r="C2737" t="s">
        <v>1244</v>
      </c>
      <c r="D2737" s="7">
        <v>20</v>
      </c>
      <c r="E2737">
        <v>2009</v>
      </c>
      <c r="F2737">
        <v>2010</v>
      </c>
      <c r="G2737" t="str">
        <f>IFERROR(INDEX(Formulations[Formulation],MATCH($C2737,Formulations[Product Code],0)),"")</f>
        <v/>
      </c>
    </row>
    <row r="2738" spans="1:7" x14ac:dyDescent="0.3">
      <c r="A2738" t="s">
        <v>1226</v>
      </c>
      <c r="B2738" t="s">
        <v>1257</v>
      </c>
      <c r="C2738" t="s">
        <v>638</v>
      </c>
      <c r="D2738" s="7">
        <v>20</v>
      </c>
      <c r="E2738">
        <v>2010</v>
      </c>
      <c r="F2738">
        <v>2011</v>
      </c>
      <c r="G2738" t="str">
        <f>IFERROR(INDEX(Formulations[Formulation],MATCH($C2738,Formulations[Product Code],0)),"")</f>
        <v>Pure</v>
      </c>
    </row>
    <row r="2739" spans="1:7" x14ac:dyDescent="0.3">
      <c r="A2739" t="s">
        <v>1226</v>
      </c>
      <c r="B2739" t="s">
        <v>223</v>
      </c>
      <c r="C2739" t="s">
        <v>224</v>
      </c>
      <c r="D2739" s="7">
        <v>20</v>
      </c>
      <c r="E2739">
        <v>2009</v>
      </c>
      <c r="F2739">
        <v>2010</v>
      </c>
      <c r="G2739" t="str">
        <f>IFERROR(INDEX(Formulations[Formulation],MATCH($C2739,Formulations[Product Code],0)),"")</f>
        <v/>
      </c>
    </row>
    <row r="2740" spans="1:7" x14ac:dyDescent="0.3">
      <c r="A2740" t="s">
        <v>1355</v>
      </c>
      <c r="B2740" t="s">
        <v>248</v>
      </c>
      <c r="C2740" t="s">
        <v>249</v>
      </c>
      <c r="D2740" s="7">
        <v>20</v>
      </c>
      <c r="E2740">
        <v>2020</v>
      </c>
      <c r="F2740">
        <v>2020</v>
      </c>
      <c r="G2740" t="str">
        <f>IFERROR(INDEX(Formulations[Formulation],MATCH($C2740,Formulations[Product Code],0)),"")</f>
        <v>WS</v>
      </c>
    </row>
    <row r="2741" spans="1:7" x14ac:dyDescent="0.3">
      <c r="A2741" t="s">
        <v>1355</v>
      </c>
      <c r="B2741" t="s">
        <v>510</v>
      </c>
      <c r="C2741" t="s">
        <v>511</v>
      </c>
      <c r="D2741" s="7">
        <v>20</v>
      </c>
      <c r="E2741">
        <v>2021</v>
      </c>
      <c r="F2741">
        <v>2021</v>
      </c>
      <c r="G2741" t="str">
        <f>IFERROR(INDEX(Formulations[Formulation],MATCH($C2741,Formulations[Product Code],0)),"")</f>
        <v>Pure</v>
      </c>
    </row>
    <row r="2742" spans="1:7" x14ac:dyDescent="0.3">
      <c r="A2742" t="s">
        <v>1356</v>
      </c>
      <c r="B2742" t="s">
        <v>206</v>
      </c>
      <c r="C2742" t="s">
        <v>207</v>
      </c>
      <c r="D2742" s="7">
        <v>20</v>
      </c>
      <c r="E2742">
        <v>2017</v>
      </c>
      <c r="F2742">
        <v>2019</v>
      </c>
      <c r="G2742" t="str">
        <f>IFERROR(INDEX(Formulations[Formulation],MATCH($C2742,Formulations[Product Code],0)),"")</f>
        <v/>
      </c>
    </row>
    <row r="2743" spans="1:7" x14ac:dyDescent="0.3">
      <c r="A2743" t="s">
        <v>1374</v>
      </c>
      <c r="B2743" t="s">
        <v>155</v>
      </c>
      <c r="C2743" t="s">
        <v>156</v>
      </c>
      <c r="D2743" s="7">
        <v>20</v>
      </c>
      <c r="E2743">
        <v>2021</v>
      </c>
      <c r="F2743">
        <v>2021</v>
      </c>
      <c r="G2743" t="str">
        <f>IFERROR(INDEX(Formulations[Formulation],MATCH($C2743,Formulations[Product Code],0)),"")</f>
        <v>Pure</v>
      </c>
    </row>
    <row r="2744" spans="1:7" x14ac:dyDescent="0.3">
      <c r="A2744" t="s">
        <v>1397</v>
      </c>
      <c r="B2744" t="s">
        <v>32</v>
      </c>
      <c r="D2744" s="7">
        <v>20</v>
      </c>
      <c r="E2744">
        <v>2012</v>
      </c>
      <c r="F2744">
        <v>2012</v>
      </c>
      <c r="G2744" t="str">
        <f>IFERROR(INDEX(Formulations[Formulation],MATCH($C2744,Formulations[Product Code],0)),"")</f>
        <v/>
      </c>
    </row>
    <row r="2745" spans="1:7" x14ac:dyDescent="0.3">
      <c r="A2745" t="s">
        <v>1400</v>
      </c>
      <c r="B2745" t="s">
        <v>863</v>
      </c>
      <c r="D2745" s="7">
        <v>20</v>
      </c>
      <c r="E2745">
        <v>2015</v>
      </c>
      <c r="F2745">
        <v>2015</v>
      </c>
      <c r="G2745" t="str">
        <f>IFERROR(INDEX(Formulations[Formulation],MATCH($C2745,Formulations[Product Code],0)),"")</f>
        <v/>
      </c>
    </row>
    <row r="2746" spans="1:7" x14ac:dyDescent="0.3">
      <c r="A2746" t="s">
        <v>1458</v>
      </c>
      <c r="B2746" t="s">
        <v>863</v>
      </c>
      <c r="D2746" s="7">
        <v>20</v>
      </c>
      <c r="E2746">
        <v>2015</v>
      </c>
      <c r="F2746">
        <v>2015</v>
      </c>
      <c r="G2746" t="str">
        <f>IFERROR(INDEX(Formulations[Formulation],MATCH($C2746,Formulations[Product Code],0)),"")</f>
        <v/>
      </c>
    </row>
    <row r="2747" spans="1:7" x14ac:dyDescent="0.3">
      <c r="A2747" t="s">
        <v>1460</v>
      </c>
      <c r="B2747" t="s">
        <v>1462</v>
      </c>
      <c r="D2747" s="7">
        <v>20</v>
      </c>
      <c r="E2747">
        <v>2016</v>
      </c>
      <c r="F2747">
        <v>2016</v>
      </c>
      <c r="G2747" t="str">
        <f>IFERROR(INDEX(Formulations[Formulation],MATCH($C2747,Formulations[Product Code],0)),"")</f>
        <v/>
      </c>
    </row>
    <row r="2748" spans="1:7" x14ac:dyDescent="0.3">
      <c r="A2748" t="s">
        <v>1642</v>
      </c>
      <c r="B2748" t="s">
        <v>438</v>
      </c>
      <c r="C2748" t="s">
        <v>439</v>
      </c>
      <c r="D2748" s="7">
        <v>20</v>
      </c>
      <c r="E2748">
        <v>2018</v>
      </c>
      <c r="F2748">
        <v>2018</v>
      </c>
      <c r="G2748" t="str">
        <f>IFERROR(INDEX(Formulations[Formulation],MATCH($C2748,Formulations[Product Code],0)),"")</f>
        <v>Pure</v>
      </c>
    </row>
    <row r="2749" spans="1:7" x14ac:dyDescent="0.3">
      <c r="A2749" t="s">
        <v>1658</v>
      </c>
      <c r="B2749" t="s">
        <v>28</v>
      </c>
      <c r="D2749" s="7">
        <v>20</v>
      </c>
      <c r="E2749">
        <v>2015</v>
      </c>
      <c r="F2749">
        <v>2016</v>
      </c>
      <c r="G2749" t="str">
        <f>IFERROR(INDEX(Formulations[Formulation],MATCH($C2749,Formulations[Product Code],0)),"")</f>
        <v/>
      </c>
    </row>
    <row r="2750" spans="1:7" x14ac:dyDescent="0.3">
      <c r="A2750" t="s">
        <v>1663</v>
      </c>
      <c r="B2750" t="s">
        <v>349</v>
      </c>
      <c r="C2750" t="s">
        <v>350</v>
      </c>
      <c r="D2750" s="7">
        <v>20</v>
      </c>
      <c r="E2750">
        <v>2019</v>
      </c>
      <c r="F2750">
        <v>2020</v>
      </c>
      <c r="G2750" t="str">
        <f>IFERROR(INDEX(Formulations[Formulation],MATCH($C2750,Formulations[Product Code],0)),"")</f>
        <v/>
      </c>
    </row>
    <row r="2751" spans="1:7" x14ac:dyDescent="0.3">
      <c r="A2751" t="s">
        <v>1668</v>
      </c>
      <c r="B2751" t="s">
        <v>45</v>
      </c>
      <c r="D2751" s="7">
        <v>20</v>
      </c>
      <c r="E2751">
        <v>2016</v>
      </c>
      <c r="F2751">
        <v>2021</v>
      </c>
      <c r="G2751" t="str">
        <f>IFERROR(INDEX(Formulations[Formulation],MATCH($C2751,Formulations[Product Code],0)),"")</f>
        <v/>
      </c>
    </row>
    <row r="2752" spans="1:7" x14ac:dyDescent="0.3">
      <c r="A2752" t="s">
        <v>1674</v>
      </c>
      <c r="B2752" t="s">
        <v>39</v>
      </c>
      <c r="D2752" s="7">
        <v>20</v>
      </c>
      <c r="E2752">
        <v>2016</v>
      </c>
      <c r="F2752">
        <v>2016</v>
      </c>
      <c r="G2752" t="str">
        <f>IFERROR(INDEX(Formulations[Formulation],MATCH($C2752,Formulations[Product Code],0)),"")</f>
        <v/>
      </c>
    </row>
    <row r="2753" spans="1:7" x14ac:dyDescent="0.3">
      <c r="A2753" t="s">
        <v>1674</v>
      </c>
      <c r="B2753" t="s">
        <v>29</v>
      </c>
      <c r="D2753" s="7">
        <v>20</v>
      </c>
      <c r="E2753">
        <v>2016</v>
      </c>
      <c r="F2753">
        <v>2016</v>
      </c>
      <c r="G2753" t="str">
        <f>IFERROR(INDEX(Formulations[Formulation],MATCH($C2753,Formulations[Product Code],0)),"")</f>
        <v/>
      </c>
    </row>
    <row r="2754" spans="1:7" x14ac:dyDescent="0.3">
      <c r="A2754" t="s">
        <v>1674</v>
      </c>
      <c r="B2754" t="s">
        <v>864</v>
      </c>
      <c r="D2754" s="7">
        <v>20</v>
      </c>
      <c r="E2754">
        <v>2017</v>
      </c>
      <c r="F2754">
        <v>2017</v>
      </c>
      <c r="G2754" t="str">
        <f>IFERROR(INDEX(Formulations[Formulation],MATCH($C2754,Formulations[Product Code],0)),"")</f>
        <v/>
      </c>
    </row>
    <row r="2755" spans="1:7" x14ac:dyDescent="0.3">
      <c r="A2755" t="s">
        <v>1686</v>
      </c>
      <c r="B2755" t="s">
        <v>665</v>
      </c>
      <c r="D2755" s="7">
        <v>20</v>
      </c>
      <c r="E2755">
        <v>2020</v>
      </c>
      <c r="F2755">
        <v>2021</v>
      </c>
      <c r="G2755" t="str">
        <f>IFERROR(INDEX(Formulations[Formulation],MATCH($C2755,Formulations[Product Code],0)),"")</f>
        <v/>
      </c>
    </row>
    <row r="2756" spans="1:7" x14ac:dyDescent="0.3">
      <c r="A2756" t="s">
        <v>1686</v>
      </c>
      <c r="B2756" t="s">
        <v>1454</v>
      </c>
      <c r="C2756" t="s">
        <v>1126</v>
      </c>
      <c r="D2756" s="7">
        <v>20</v>
      </c>
      <c r="E2756">
        <v>2015</v>
      </c>
      <c r="F2756">
        <v>2016</v>
      </c>
      <c r="G2756" t="str">
        <f>IFERROR(INDEX(Formulations[Formulation],MATCH($C2756,Formulations[Product Code],0)),"")</f>
        <v/>
      </c>
    </row>
    <row r="2757" spans="1:7" x14ac:dyDescent="0.3">
      <c r="A2757" t="s">
        <v>1693</v>
      </c>
      <c r="B2757" t="s">
        <v>679</v>
      </c>
      <c r="C2757" t="s">
        <v>680</v>
      </c>
      <c r="D2757" s="7">
        <v>20</v>
      </c>
      <c r="E2757">
        <v>2021</v>
      </c>
      <c r="F2757">
        <v>2021</v>
      </c>
      <c r="G2757" t="str">
        <f>IFERROR(INDEX(Formulations[Formulation],MATCH($C2757,Formulations[Product Code],0)),"")</f>
        <v>Crystal</v>
      </c>
    </row>
    <row r="2758" spans="1:7" x14ac:dyDescent="0.3">
      <c r="A2758" t="s">
        <v>1696</v>
      </c>
      <c r="B2758" t="s">
        <v>1643</v>
      </c>
      <c r="D2758" s="7">
        <v>20</v>
      </c>
      <c r="E2758">
        <v>2021</v>
      </c>
      <c r="F2758">
        <v>2021</v>
      </c>
      <c r="G2758" t="str">
        <f>IFERROR(INDEX(Formulations[Formulation],MATCH($C2758,Formulations[Product Code],0)),"")</f>
        <v/>
      </c>
    </row>
    <row r="2759" spans="1:7" x14ac:dyDescent="0.3">
      <c r="A2759" t="s">
        <v>1743</v>
      </c>
      <c r="B2759" t="s">
        <v>631</v>
      </c>
      <c r="C2759" t="s">
        <v>632</v>
      </c>
      <c r="D2759" s="7">
        <v>20</v>
      </c>
      <c r="E2759">
        <v>2019</v>
      </c>
      <c r="F2759">
        <v>2020</v>
      </c>
      <c r="G2759" t="str">
        <f>IFERROR(INDEX(Formulations[Formulation],MATCH($C2759,Formulations[Product Code],0)),"")</f>
        <v/>
      </c>
    </row>
    <row r="2760" spans="1:7" x14ac:dyDescent="0.3">
      <c r="A2760" t="s">
        <v>1743</v>
      </c>
      <c r="B2760" t="s">
        <v>334</v>
      </c>
      <c r="C2760" t="s">
        <v>335</v>
      </c>
      <c r="D2760" s="7">
        <v>20</v>
      </c>
      <c r="E2760">
        <v>2018</v>
      </c>
      <c r="F2760">
        <v>2020</v>
      </c>
      <c r="G2760" t="str">
        <f>IFERROR(INDEX(Formulations[Formulation],MATCH($C2760,Formulations[Product Code],0)),"")</f>
        <v>Pure</v>
      </c>
    </row>
    <row r="2761" spans="1:7" x14ac:dyDescent="0.3">
      <c r="A2761" t="s">
        <v>1760</v>
      </c>
      <c r="B2761" t="s">
        <v>184</v>
      </c>
      <c r="C2761" t="s">
        <v>185</v>
      </c>
      <c r="D2761" s="7">
        <v>20</v>
      </c>
      <c r="E2761">
        <v>2015</v>
      </c>
      <c r="F2761">
        <v>2015</v>
      </c>
      <c r="G2761" t="str">
        <f>IFERROR(INDEX(Formulations[Formulation],MATCH($C2761,Formulations[Product Code],0)),"")</f>
        <v/>
      </c>
    </row>
    <row r="2762" spans="1:7" x14ac:dyDescent="0.3">
      <c r="A2762" t="s">
        <v>1760</v>
      </c>
      <c r="B2762" t="s">
        <v>32</v>
      </c>
      <c r="D2762" s="7">
        <v>20</v>
      </c>
      <c r="E2762">
        <v>2019</v>
      </c>
      <c r="F2762">
        <v>2019</v>
      </c>
      <c r="G2762" t="str">
        <f>IFERROR(INDEX(Formulations[Formulation],MATCH($C2762,Formulations[Product Code],0)),"")</f>
        <v/>
      </c>
    </row>
    <row r="2763" spans="1:7" x14ac:dyDescent="0.3">
      <c r="A2763" t="s">
        <v>1784</v>
      </c>
      <c r="B2763" t="s">
        <v>1787</v>
      </c>
      <c r="C2763" t="s">
        <v>1788</v>
      </c>
      <c r="D2763" s="7">
        <v>20</v>
      </c>
      <c r="E2763">
        <v>2013</v>
      </c>
      <c r="F2763">
        <v>2013</v>
      </c>
      <c r="G2763" t="str">
        <f>IFERROR(INDEX(Formulations[Formulation],MATCH($C2763,Formulations[Product Code],0)),"")</f>
        <v/>
      </c>
    </row>
    <row r="2764" spans="1:7" x14ac:dyDescent="0.3">
      <c r="A2764" t="s">
        <v>1810</v>
      </c>
      <c r="B2764" t="s">
        <v>240</v>
      </c>
      <c r="D2764" s="7">
        <v>20</v>
      </c>
      <c r="E2764">
        <v>2015</v>
      </c>
      <c r="F2764">
        <v>2015</v>
      </c>
      <c r="G2764" t="str">
        <f>IFERROR(INDEX(Formulations[Formulation],MATCH($C2764,Formulations[Product Code],0)),"")</f>
        <v/>
      </c>
    </row>
    <row r="2765" spans="1:7" x14ac:dyDescent="0.3">
      <c r="A2765" t="s">
        <v>1837</v>
      </c>
      <c r="B2765" t="s">
        <v>1354</v>
      </c>
      <c r="D2765" s="7">
        <v>20</v>
      </c>
      <c r="E2765">
        <v>2018</v>
      </c>
      <c r="F2765">
        <v>2018</v>
      </c>
      <c r="G2765" t="str">
        <f>IFERROR(INDEX(Formulations[Formulation],MATCH($C2765,Formulations[Product Code],0)),"")</f>
        <v/>
      </c>
    </row>
    <row r="2766" spans="1:7" x14ac:dyDescent="0.3">
      <c r="A2766" t="s">
        <v>1838</v>
      </c>
      <c r="B2766" t="s">
        <v>1221</v>
      </c>
      <c r="D2766" s="7">
        <v>20</v>
      </c>
      <c r="E2766">
        <v>2013</v>
      </c>
      <c r="F2766">
        <v>2013</v>
      </c>
      <c r="G2766" t="str">
        <f>IFERROR(INDEX(Formulations[Formulation],MATCH($C2766,Formulations[Product Code],0)),"")</f>
        <v/>
      </c>
    </row>
    <row r="2767" spans="1:7" x14ac:dyDescent="0.3">
      <c r="A2767" t="s">
        <v>1838</v>
      </c>
      <c r="B2767" t="s">
        <v>764</v>
      </c>
      <c r="D2767" s="7">
        <v>20</v>
      </c>
      <c r="E2767">
        <v>2013</v>
      </c>
      <c r="F2767">
        <v>2013</v>
      </c>
      <c r="G2767" t="str">
        <f>IFERROR(INDEX(Formulations[Formulation],MATCH($C2767,Formulations[Product Code],0)),"")</f>
        <v/>
      </c>
    </row>
    <row r="2768" spans="1:7" x14ac:dyDescent="0.3">
      <c r="A2768" t="s">
        <v>1847</v>
      </c>
      <c r="B2768" t="s">
        <v>553</v>
      </c>
      <c r="C2768" t="s">
        <v>292</v>
      </c>
      <c r="D2768" s="7">
        <v>20</v>
      </c>
      <c r="E2768">
        <v>2017</v>
      </c>
      <c r="F2768">
        <v>2018</v>
      </c>
      <c r="G2768" t="str">
        <f>IFERROR(INDEX(Formulations[Formulation],MATCH($C2768,Formulations[Product Code],0)),"")</f>
        <v/>
      </c>
    </row>
    <row r="2769" spans="1:7" x14ac:dyDescent="0.3">
      <c r="A2769" t="s">
        <v>1855</v>
      </c>
      <c r="B2769" t="s">
        <v>1857</v>
      </c>
      <c r="C2769" t="s">
        <v>1858</v>
      </c>
      <c r="D2769" s="7">
        <v>20</v>
      </c>
      <c r="E2769">
        <v>2012</v>
      </c>
      <c r="F2769">
        <v>2012</v>
      </c>
      <c r="G2769" t="str">
        <f>IFERROR(INDEX(Formulations[Formulation],MATCH($C2769,Formulations[Product Code],0)),"")</f>
        <v/>
      </c>
    </row>
    <row r="2770" spans="1:7" x14ac:dyDescent="0.3">
      <c r="A2770" t="s">
        <v>1864</v>
      </c>
      <c r="B2770" t="s">
        <v>45</v>
      </c>
      <c r="D2770" s="7">
        <v>20</v>
      </c>
      <c r="E2770">
        <v>2019</v>
      </c>
      <c r="F2770">
        <v>2019</v>
      </c>
      <c r="G2770" t="str">
        <f>IFERROR(INDEX(Formulations[Formulation],MATCH($C2770,Formulations[Product Code],0)),"")</f>
        <v/>
      </c>
    </row>
    <row r="2771" spans="1:7" x14ac:dyDescent="0.3">
      <c r="A2771" t="s">
        <v>1864</v>
      </c>
      <c r="B2771" t="s">
        <v>863</v>
      </c>
      <c r="D2771" s="7">
        <v>20</v>
      </c>
      <c r="E2771">
        <v>2019</v>
      </c>
      <c r="F2771">
        <v>2019</v>
      </c>
      <c r="G2771" t="str">
        <f>IFERROR(INDEX(Formulations[Formulation],MATCH($C2771,Formulations[Product Code],0)),"")</f>
        <v/>
      </c>
    </row>
    <row r="2772" spans="1:7" x14ac:dyDescent="0.3">
      <c r="A2772" t="s">
        <v>1864</v>
      </c>
      <c r="B2772" t="s">
        <v>240</v>
      </c>
      <c r="D2772" s="7">
        <v>20</v>
      </c>
      <c r="E2772">
        <v>2019</v>
      </c>
      <c r="F2772">
        <v>2019</v>
      </c>
      <c r="G2772" t="str">
        <f>IFERROR(INDEX(Formulations[Formulation],MATCH($C2772,Formulations[Product Code],0)),"")</f>
        <v/>
      </c>
    </row>
    <row r="2773" spans="1:7" x14ac:dyDescent="0.3">
      <c r="A2773" t="s">
        <v>1865</v>
      </c>
      <c r="B2773" t="s">
        <v>543</v>
      </c>
      <c r="C2773" t="s">
        <v>544</v>
      </c>
      <c r="D2773" s="7">
        <v>20</v>
      </c>
      <c r="E2773">
        <v>2019</v>
      </c>
      <c r="F2773">
        <v>2020</v>
      </c>
      <c r="G2773" t="str">
        <f>IFERROR(INDEX(Formulations[Formulation],MATCH($C2773,Formulations[Product Code],0)),"")</f>
        <v>Crystal</v>
      </c>
    </row>
    <row r="2774" spans="1:7" x14ac:dyDescent="0.3">
      <c r="A2774" t="s">
        <v>1865</v>
      </c>
      <c r="B2774" t="s">
        <v>404</v>
      </c>
      <c r="C2774" t="s">
        <v>405</v>
      </c>
      <c r="D2774" s="7">
        <v>20</v>
      </c>
      <c r="E2774">
        <v>2019</v>
      </c>
      <c r="F2774">
        <v>2020</v>
      </c>
      <c r="G2774" t="str">
        <f>IFERROR(INDEX(Formulations[Formulation],MATCH($C2774,Formulations[Product Code],0)),"")</f>
        <v/>
      </c>
    </row>
    <row r="2775" spans="1:7" x14ac:dyDescent="0.3">
      <c r="A2775" t="s">
        <v>1865</v>
      </c>
      <c r="B2775" t="s">
        <v>37</v>
      </c>
      <c r="D2775" s="7">
        <v>20</v>
      </c>
      <c r="E2775">
        <v>2019</v>
      </c>
      <c r="F2775">
        <v>2020</v>
      </c>
      <c r="G2775" t="str">
        <f>IFERROR(INDEX(Formulations[Formulation],MATCH($C2775,Formulations[Product Code],0)),"")</f>
        <v/>
      </c>
    </row>
    <row r="2776" spans="1:7" x14ac:dyDescent="0.3">
      <c r="A2776" t="s">
        <v>1866</v>
      </c>
      <c r="B2776" t="s">
        <v>1354</v>
      </c>
      <c r="D2776" s="7">
        <v>20</v>
      </c>
      <c r="E2776">
        <v>2019</v>
      </c>
      <c r="F2776">
        <v>2019</v>
      </c>
      <c r="G2776" t="str">
        <f>IFERROR(INDEX(Formulations[Formulation],MATCH($C2776,Formulations[Product Code],0)),"")</f>
        <v/>
      </c>
    </row>
    <row r="2777" spans="1:7" x14ac:dyDescent="0.3">
      <c r="A2777" t="s">
        <v>1867</v>
      </c>
      <c r="B2777" t="s">
        <v>1461</v>
      </c>
      <c r="D2777" s="7">
        <v>20</v>
      </c>
      <c r="E2777">
        <v>2019</v>
      </c>
      <c r="F2777">
        <v>2019</v>
      </c>
      <c r="G2777" t="str">
        <f>IFERROR(INDEX(Formulations[Formulation],MATCH($C2777,Formulations[Product Code],0)),"")</f>
        <v/>
      </c>
    </row>
    <row r="2778" spans="1:7" x14ac:dyDescent="0.3">
      <c r="A2778" t="s">
        <v>1867</v>
      </c>
      <c r="B2778" t="s">
        <v>864</v>
      </c>
      <c r="D2778" s="7">
        <v>20</v>
      </c>
      <c r="E2778">
        <v>2017</v>
      </c>
      <c r="F2778">
        <v>2017</v>
      </c>
      <c r="G2778" t="str">
        <f>IFERROR(INDEX(Formulations[Formulation],MATCH($C2778,Formulations[Product Code],0)),"")</f>
        <v/>
      </c>
    </row>
    <row r="2779" spans="1:7" x14ac:dyDescent="0.3">
      <c r="A2779" t="s">
        <v>1873</v>
      </c>
      <c r="B2779" t="s">
        <v>66</v>
      </c>
      <c r="C2779" t="s">
        <v>67</v>
      </c>
      <c r="D2779" s="7">
        <v>20</v>
      </c>
      <c r="E2779">
        <v>2020</v>
      </c>
      <c r="F2779">
        <v>2021</v>
      </c>
      <c r="G2779" t="str">
        <f>IFERROR(INDEX(Formulations[Formulation],MATCH($C2779,Formulations[Product Code],0)),"")</f>
        <v>Pure</v>
      </c>
    </row>
    <row r="2780" spans="1:7" x14ac:dyDescent="0.3">
      <c r="A2780" t="s">
        <v>1873</v>
      </c>
      <c r="B2780" t="s">
        <v>135</v>
      </c>
      <c r="C2780" t="s">
        <v>136</v>
      </c>
      <c r="D2780" s="7">
        <v>20</v>
      </c>
      <c r="E2780">
        <v>2017</v>
      </c>
      <c r="F2780">
        <v>2018</v>
      </c>
      <c r="G2780" t="str">
        <f>IFERROR(INDEX(Formulations[Formulation],MATCH($C2780,Formulations[Product Code],0)),"")</f>
        <v/>
      </c>
    </row>
    <row r="2781" spans="1:7" x14ac:dyDescent="0.3">
      <c r="A2781" t="s">
        <v>1883</v>
      </c>
      <c r="B2781" t="s">
        <v>1462</v>
      </c>
      <c r="D2781" s="7">
        <v>20</v>
      </c>
      <c r="E2781">
        <v>2020</v>
      </c>
      <c r="F2781">
        <v>2020</v>
      </c>
      <c r="G2781" t="str">
        <f>IFERROR(INDEX(Formulations[Formulation],MATCH($C2781,Formulations[Product Code],0)),"")</f>
        <v/>
      </c>
    </row>
    <row r="2782" spans="1:7" x14ac:dyDescent="0.3">
      <c r="A2782" t="s">
        <v>1883</v>
      </c>
      <c r="B2782" t="s">
        <v>863</v>
      </c>
      <c r="D2782" s="7">
        <v>20</v>
      </c>
      <c r="E2782">
        <v>2020</v>
      </c>
      <c r="F2782">
        <v>2020</v>
      </c>
      <c r="G2782" t="str">
        <f>IFERROR(INDEX(Formulations[Formulation],MATCH($C2782,Formulations[Product Code],0)),"")</f>
        <v/>
      </c>
    </row>
    <row r="2783" spans="1:7" x14ac:dyDescent="0.3">
      <c r="A2783" t="s">
        <v>1894</v>
      </c>
      <c r="B2783" t="s">
        <v>32</v>
      </c>
      <c r="D2783" s="7">
        <v>20</v>
      </c>
      <c r="E2783">
        <v>2019</v>
      </c>
      <c r="F2783">
        <v>2019</v>
      </c>
      <c r="G2783" t="str">
        <f>IFERROR(INDEX(Formulations[Formulation],MATCH($C2783,Formulations[Product Code],0)),"")</f>
        <v/>
      </c>
    </row>
    <row r="2784" spans="1:7" x14ac:dyDescent="0.3">
      <c r="A2784" t="s">
        <v>1898</v>
      </c>
      <c r="B2784" t="s">
        <v>74</v>
      </c>
      <c r="C2784" t="s">
        <v>75</v>
      </c>
      <c r="D2784" s="7">
        <v>20</v>
      </c>
      <c r="E2784">
        <v>2018</v>
      </c>
      <c r="F2784">
        <v>2018</v>
      </c>
      <c r="G2784" t="str">
        <f>IFERROR(INDEX(Formulations[Formulation],MATCH($C2784,Formulations[Product Code],0)),"")</f>
        <v>Crystal</v>
      </c>
    </row>
    <row r="2785" spans="1:7" x14ac:dyDescent="0.3">
      <c r="A2785" t="s">
        <v>1905</v>
      </c>
      <c r="B2785" t="s">
        <v>1396</v>
      </c>
      <c r="C2785" t="s">
        <v>613</v>
      </c>
      <c r="D2785" s="7">
        <v>20</v>
      </c>
      <c r="E2785">
        <v>2020</v>
      </c>
      <c r="F2785">
        <v>2021</v>
      </c>
      <c r="G2785" t="str">
        <f>IFERROR(INDEX(Formulations[Formulation],MATCH($C2785,Formulations[Product Code],0)),"")</f>
        <v>Pure</v>
      </c>
    </row>
    <row r="2786" spans="1:7" x14ac:dyDescent="0.3">
      <c r="A2786" t="s">
        <v>1906</v>
      </c>
      <c r="B2786" t="s">
        <v>35</v>
      </c>
      <c r="D2786" s="7">
        <v>20</v>
      </c>
      <c r="E2786">
        <v>2021</v>
      </c>
      <c r="F2786">
        <v>2021</v>
      </c>
      <c r="G2786" t="str">
        <f>IFERROR(INDEX(Formulations[Formulation],MATCH($C2786,Formulations[Product Code],0)),"")</f>
        <v/>
      </c>
    </row>
    <row r="2787" spans="1:7" x14ac:dyDescent="0.3">
      <c r="A2787" t="s">
        <v>1931</v>
      </c>
      <c r="B2787" t="s">
        <v>82</v>
      </c>
      <c r="C2787" t="s">
        <v>83</v>
      </c>
      <c r="D2787" s="7">
        <v>20</v>
      </c>
      <c r="E2787">
        <v>2019</v>
      </c>
      <c r="F2787">
        <v>2019</v>
      </c>
      <c r="G2787" t="str">
        <f>IFERROR(INDEX(Formulations[Formulation],MATCH($C2787,Formulations[Product Code],0)),"")</f>
        <v>Pure</v>
      </c>
    </row>
    <row r="2788" spans="1:7" x14ac:dyDescent="0.3">
      <c r="A2788" t="s">
        <v>1933</v>
      </c>
      <c r="B2788" t="s">
        <v>58</v>
      </c>
      <c r="C2788" t="s">
        <v>59</v>
      </c>
      <c r="D2788" s="7">
        <v>20</v>
      </c>
      <c r="E2788">
        <v>2020</v>
      </c>
      <c r="F2788">
        <v>2021</v>
      </c>
      <c r="G2788" t="str">
        <f>IFERROR(INDEX(Formulations[Formulation],MATCH($C2788,Formulations[Product Code],0)),"")</f>
        <v>Pure</v>
      </c>
    </row>
    <row r="2789" spans="1:7" x14ac:dyDescent="0.3">
      <c r="A2789" t="s">
        <v>1933</v>
      </c>
      <c r="B2789" t="s">
        <v>817</v>
      </c>
      <c r="D2789" s="7">
        <v>20</v>
      </c>
      <c r="E2789">
        <v>2019</v>
      </c>
      <c r="F2789">
        <v>2019</v>
      </c>
      <c r="G2789" t="str">
        <f>IFERROR(INDEX(Formulations[Formulation],MATCH($C2789,Formulations[Product Code],0)),"")</f>
        <v/>
      </c>
    </row>
    <row r="2790" spans="1:7" x14ac:dyDescent="0.3">
      <c r="A2790" t="s">
        <v>2007</v>
      </c>
      <c r="B2790" t="s">
        <v>1461</v>
      </c>
      <c r="D2790" s="7">
        <v>20</v>
      </c>
      <c r="E2790">
        <v>2018</v>
      </c>
      <c r="F2790">
        <v>2018</v>
      </c>
      <c r="G2790" t="str">
        <f>IFERROR(INDEX(Formulations[Formulation],MATCH($C2790,Formulations[Product Code],0)),"")</f>
        <v/>
      </c>
    </row>
    <row r="2791" spans="1:7" x14ac:dyDescent="0.3">
      <c r="A2791" t="s">
        <v>2007</v>
      </c>
      <c r="B2791" t="s">
        <v>45</v>
      </c>
      <c r="D2791" s="7">
        <v>20</v>
      </c>
      <c r="E2791">
        <v>2017</v>
      </c>
      <c r="F2791">
        <v>2017</v>
      </c>
      <c r="G2791" t="str">
        <f>IFERROR(INDEX(Formulations[Formulation],MATCH($C2791,Formulations[Product Code],0)),"")</f>
        <v/>
      </c>
    </row>
    <row r="2792" spans="1:7" x14ac:dyDescent="0.3">
      <c r="A2792" t="s">
        <v>2007</v>
      </c>
      <c r="B2792" t="s">
        <v>32</v>
      </c>
      <c r="D2792" s="7">
        <v>20</v>
      </c>
      <c r="E2792">
        <v>2018</v>
      </c>
      <c r="F2792">
        <v>2018</v>
      </c>
      <c r="G2792" t="str">
        <f>IFERROR(INDEX(Formulations[Formulation],MATCH($C2792,Formulations[Product Code],0)),"")</f>
        <v/>
      </c>
    </row>
    <row r="2793" spans="1:7" x14ac:dyDescent="0.3">
      <c r="A2793" t="s">
        <v>2043</v>
      </c>
      <c r="B2793" t="s">
        <v>864</v>
      </c>
      <c r="D2793" s="7">
        <v>20</v>
      </c>
      <c r="E2793">
        <v>2017</v>
      </c>
      <c r="F2793">
        <v>2017</v>
      </c>
      <c r="G2793" t="str">
        <f>IFERROR(INDEX(Formulations[Formulation],MATCH($C2793,Formulations[Product Code],0)),"")</f>
        <v/>
      </c>
    </row>
    <row r="2794" spans="1:7" x14ac:dyDescent="0.3">
      <c r="A2794" t="s">
        <v>2048</v>
      </c>
      <c r="B2794" t="s">
        <v>19</v>
      </c>
      <c r="C2794" t="s">
        <v>20</v>
      </c>
      <c r="D2794" s="7">
        <v>20</v>
      </c>
      <c r="E2794">
        <v>2021</v>
      </c>
      <c r="F2794">
        <v>2021</v>
      </c>
      <c r="G2794" t="str">
        <f>IFERROR(INDEX(Formulations[Formulation],MATCH($C2794,Formulations[Product Code],0)),"")</f>
        <v>80 % Oil AND 20 % DPG</v>
      </c>
    </row>
    <row r="2795" spans="1:7" x14ac:dyDescent="0.3">
      <c r="A2795" t="s">
        <v>2057</v>
      </c>
      <c r="B2795" t="s">
        <v>318</v>
      </c>
      <c r="C2795" t="s">
        <v>319</v>
      </c>
      <c r="D2795" s="7">
        <v>20</v>
      </c>
      <c r="E2795">
        <v>2019</v>
      </c>
      <c r="F2795">
        <v>2021</v>
      </c>
      <c r="G2795" t="str">
        <f>IFERROR(INDEX(Formulations[Formulation],MATCH($C2795,Formulations[Product Code],0)),"")</f>
        <v>Pure</v>
      </c>
    </row>
    <row r="2796" spans="1:7" x14ac:dyDescent="0.3">
      <c r="A2796" t="s">
        <v>2088</v>
      </c>
      <c r="B2796" t="s">
        <v>240</v>
      </c>
      <c r="D2796" s="7">
        <v>20</v>
      </c>
      <c r="E2796">
        <v>2017</v>
      </c>
      <c r="F2796">
        <v>2017</v>
      </c>
      <c r="G2796" t="str">
        <f>IFERROR(INDEX(Formulations[Formulation],MATCH($C2796,Formulations[Product Code],0)),"")</f>
        <v/>
      </c>
    </row>
    <row r="2797" spans="1:7" x14ac:dyDescent="0.3">
      <c r="A2797" t="s">
        <v>2097</v>
      </c>
      <c r="B2797" t="s">
        <v>633</v>
      </c>
      <c r="C2797" t="s">
        <v>634</v>
      </c>
      <c r="D2797" s="7">
        <v>20</v>
      </c>
      <c r="E2797">
        <v>2019</v>
      </c>
      <c r="F2797">
        <v>2019</v>
      </c>
      <c r="G2797" t="str">
        <f>IFERROR(INDEX(Formulations[Formulation],MATCH($C2797,Formulations[Product Code],0)),"")</f>
        <v/>
      </c>
    </row>
    <row r="2798" spans="1:7" x14ac:dyDescent="0.3">
      <c r="A2798" t="s">
        <v>2131</v>
      </c>
      <c r="B2798" t="s">
        <v>340</v>
      </c>
      <c r="C2798" t="s">
        <v>341</v>
      </c>
      <c r="D2798" s="7">
        <v>20</v>
      </c>
      <c r="E2798">
        <v>2010</v>
      </c>
      <c r="F2798">
        <v>2010</v>
      </c>
      <c r="G2798" t="str">
        <f>IFERROR(INDEX(Formulations[Formulation],MATCH($C2798,Formulations[Product Code],0)),"")</f>
        <v/>
      </c>
    </row>
    <row r="2799" spans="1:7" x14ac:dyDescent="0.3">
      <c r="A2799" t="s">
        <v>2131</v>
      </c>
      <c r="B2799" t="s">
        <v>219</v>
      </c>
      <c r="C2799" t="s">
        <v>220</v>
      </c>
      <c r="D2799" s="7">
        <v>20</v>
      </c>
      <c r="E2799">
        <v>2011</v>
      </c>
      <c r="F2799">
        <v>2011</v>
      </c>
      <c r="G2799" t="str">
        <f>IFERROR(INDEX(Formulations[Formulation],MATCH($C2799,Formulations[Product Code],0)),"")</f>
        <v/>
      </c>
    </row>
    <row r="2800" spans="1:7" x14ac:dyDescent="0.3">
      <c r="A2800" t="s">
        <v>2131</v>
      </c>
      <c r="B2800" t="s">
        <v>1049</v>
      </c>
      <c r="C2800" t="s">
        <v>1050</v>
      </c>
      <c r="D2800" s="7">
        <v>20</v>
      </c>
      <c r="E2800">
        <v>2009</v>
      </c>
      <c r="F2800">
        <v>2010</v>
      </c>
      <c r="G2800" t="str">
        <f>IFERROR(INDEX(Formulations[Formulation],MATCH($C2800,Formulations[Product Code],0)),"")</f>
        <v/>
      </c>
    </row>
    <row r="2801" spans="1:7" x14ac:dyDescent="0.3">
      <c r="A2801" t="s">
        <v>2131</v>
      </c>
      <c r="B2801" t="s">
        <v>2147</v>
      </c>
      <c r="C2801" t="s">
        <v>2148</v>
      </c>
      <c r="D2801" s="7">
        <v>20</v>
      </c>
      <c r="E2801">
        <v>2011</v>
      </c>
      <c r="F2801">
        <v>2012</v>
      </c>
      <c r="G2801" t="str">
        <f>IFERROR(INDEX(Formulations[Formulation],MATCH($C2801,Formulations[Product Code],0)),"")</f>
        <v/>
      </c>
    </row>
    <row r="2802" spans="1:7" x14ac:dyDescent="0.3">
      <c r="A2802" t="s">
        <v>2167</v>
      </c>
      <c r="B2802" t="s">
        <v>45</v>
      </c>
      <c r="D2802" s="7">
        <v>20</v>
      </c>
      <c r="E2802">
        <v>2015</v>
      </c>
      <c r="F2802">
        <v>2015</v>
      </c>
      <c r="G2802" t="str">
        <f>IFERROR(INDEX(Formulations[Formulation],MATCH($C2802,Formulations[Product Code],0)),"")</f>
        <v/>
      </c>
    </row>
    <row r="2803" spans="1:7" x14ac:dyDescent="0.3">
      <c r="A2803" t="s">
        <v>2185</v>
      </c>
      <c r="B2803" t="s">
        <v>45</v>
      </c>
      <c r="D2803" s="7">
        <v>20</v>
      </c>
      <c r="E2803">
        <v>2014</v>
      </c>
      <c r="F2803">
        <v>2014</v>
      </c>
      <c r="G2803" t="str">
        <f>IFERROR(INDEX(Formulations[Formulation],MATCH($C2803,Formulations[Product Code],0)),"")</f>
        <v/>
      </c>
    </row>
    <row r="2804" spans="1:7" x14ac:dyDescent="0.3">
      <c r="A2804" t="s">
        <v>2185</v>
      </c>
      <c r="B2804" t="s">
        <v>240</v>
      </c>
      <c r="D2804" s="7">
        <v>20</v>
      </c>
      <c r="E2804">
        <v>2014</v>
      </c>
      <c r="F2804">
        <v>2014</v>
      </c>
      <c r="G2804" t="str">
        <f>IFERROR(INDEX(Formulations[Formulation],MATCH($C2804,Formulations[Product Code],0)),"")</f>
        <v/>
      </c>
    </row>
    <row r="2805" spans="1:7" x14ac:dyDescent="0.3">
      <c r="A2805" t="s">
        <v>2185</v>
      </c>
      <c r="B2805" t="s">
        <v>864</v>
      </c>
      <c r="D2805" s="7">
        <v>20</v>
      </c>
      <c r="E2805">
        <v>2013</v>
      </c>
      <c r="F2805">
        <v>2013</v>
      </c>
      <c r="G2805" t="str">
        <f>IFERROR(INDEX(Formulations[Formulation],MATCH($C2805,Formulations[Product Code],0)),"")</f>
        <v/>
      </c>
    </row>
    <row r="2806" spans="1:7" x14ac:dyDescent="0.3">
      <c r="A2806" t="s">
        <v>2195</v>
      </c>
      <c r="B2806" t="s">
        <v>32</v>
      </c>
      <c r="D2806" s="7">
        <v>20</v>
      </c>
      <c r="E2806">
        <v>2015</v>
      </c>
      <c r="F2806">
        <v>2015</v>
      </c>
      <c r="G2806" t="str">
        <f>IFERROR(INDEX(Formulations[Formulation],MATCH($C2806,Formulations[Product Code],0)),"")</f>
        <v/>
      </c>
    </row>
    <row r="2807" spans="1:7" x14ac:dyDescent="0.3">
      <c r="A2807" t="s">
        <v>2206</v>
      </c>
      <c r="B2807" t="s">
        <v>2207</v>
      </c>
      <c r="C2807" t="s">
        <v>154</v>
      </c>
      <c r="D2807" s="7">
        <v>20</v>
      </c>
      <c r="E2807">
        <v>2016</v>
      </c>
      <c r="F2807">
        <v>2017</v>
      </c>
      <c r="G2807" t="str">
        <f>IFERROR(INDEX(Formulations[Formulation],MATCH($C2807,Formulations[Product Code],0)),"")</f>
        <v>Pure</v>
      </c>
    </row>
    <row r="2808" spans="1:7" x14ac:dyDescent="0.3">
      <c r="A2808" t="s">
        <v>2218</v>
      </c>
      <c r="B2808" t="s">
        <v>2219</v>
      </c>
      <c r="C2808" t="s">
        <v>286</v>
      </c>
      <c r="D2808" s="7">
        <v>20</v>
      </c>
      <c r="E2808">
        <v>2012</v>
      </c>
      <c r="F2808">
        <v>2013</v>
      </c>
      <c r="G2808" t="str">
        <f>IFERROR(INDEX(Formulations[Formulation],MATCH($C2808,Formulations[Product Code],0)),"")</f>
        <v/>
      </c>
    </row>
    <row r="2809" spans="1:7" x14ac:dyDescent="0.3">
      <c r="A2809" t="s">
        <v>2220</v>
      </c>
      <c r="B2809" t="s">
        <v>307</v>
      </c>
      <c r="C2809" t="s">
        <v>132</v>
      </c>
      <c r="D2809" s="7">
        <v>20</v>
      </c>
      <c r="E2809">
        <v>2017</v>
      </c>
      <c r="F2809">
        <v>2018</v>
      </c>
      <c r="G2809" t="str">
        <f>IFERROR(INDEX(Formulations[Formulation],MATCH($C2809,Formulations[Product Code],0)),"")</f>
        <v>Pure</v>
      </c>
    </row>
    <row r="2810" spans="1:7" x14ac:dyDescent="0.3">
      <c r="A2810" t="s">
        <v>2232</v>
      </c>
      <c r="B2810" t="s">
        <v>240</v>
      </c>
      <c r="D2810" s="7">
        <v>20</v>
      </c>
      <c r="E2810">
        <v>2015</v>
      </c>
      <c r="F2810">
        <v>2015</v>
      </c>
      <c r="G2810" t="str">
        <f>IFERROR(INDEX(Formulations[Formulation],MATCH($C2810,Formulations[Product Code],0)),"")</f>
        <v/>
      </c>
    </row>
    <row r="2811" spans="1:7" x14ac:dyDescent="0.3">
      <c r="A2811" t="s">
        <v>2238</v>
      </c>
      <c r="B2811" t="s">
        <v>19</v>
      </c>
      <c r="C2811" t="s">
        <v>20</v>
      </c>
      <c r="D2811" s="7">
        <v>20</v>
      </c>
      <c r="E2811">
        <v>2016</v>
      </c>
      <c r="F2811">
        <v>2018</v>
      </c>
      <c r="G2811" t="str">
        <f>IFERROR(INDEX(Formulations[Formulation],MATCH($C2811,Formulations[Product Code],0)),"")</f>
        <v>80 % Oil AND 20 % DPG</v>
      </c>
    </row>
    <row r="2812" spans="1:7" x14ac:dyDescent="0.3">
      <c r="A2812" t="s">
        <v>2241</v>
      </c>
      <c r="B2812" t="s">
        <v>1221</v>
      </c>
      <c r="D2812" s="7">
        <v>20</v>
      </c>
      <c r="E2812">
        <v>2013</v>
      </c>
      <c r="F2812">
        <v>2013</v>
      </c>
      <c r="G2812" t="str">
        <f>IFERROR(INDEX(Formulations[Formulation],MATCH($C2812,Formulations[Product Code],0)),"")</f>
        <v/>
      </c>
    </row>
    <row r="2813" spans="1:7" x14ac:dyDescent="0.3">
      <c r="A2813" t="s">
        <v>2249</v>
      </c>
      <c r="B2813" t="s">
        <v>32</v>
      </c>
      <c r="D2813" s="7">
        <v>20</v>
      </c>
      <c r="E2813">
        <v>2017</v>
      </c>
      <c r="F2813">
        <v>2017</v>
      </c>
      <c r="G2813" t="str">
        <f>IFERROR(INDEX(Formulations[Formulation],MATCH($C2813,Formulations[Product Code],0)),"")</f>
        <v/>
      </c>
    </row>
    <row r="2814" spans="1:7" x14ac:dyDescent="0.3">
      <c r="A2814" t="s">
        <v>2252</v>
      </c>
      <c r="B2814" t="s">
        <v>1461</v>
      </c>
      <c r="D2814" s="7">
        <v>20</v>
      </c>
      <c r="E2814">
        <v>2019</v>
      </c>
      <c r="F2814">
        <v>2019</v>
      </c>
      <c r="G2814" t="str">
        <f>IFERROR(INDEX(Formulations[Formulation],MATCH($C2814,Formulations[Product Code],0)),"")</f>
        <v/>
      </c>
    </row>
    <row r="2815" spans="1:7" x14ac:dyDescent="0.3">
      <c r="A2815" t="s">
        <v>2252</v>
      </c>
      <c r="B2815" t="s">
        <v>32</v>
      </c>
      <c r="D2815" s="7">
        <v>20</v>
      </c>
      <c r="E2815">
        <v>2013</v>
      </c>
      <c r="F2815">
        <v>2013</v>
      </c>
      <c r="G2815" t="str">
        <f>IFERROR(INDEX(Formulations[Formulation],MATCH($C2815,Formulations[Product Code],0)),"")</f>
        <v/>
      </c>
    </row>
    <row r="2816" spans="1:7" x14ac:dyDescent="0.3">
      <c r="A2816" t="s">
        <v>2253</v>
      </c>
      <c r="B2816" t="s">
        <v>863</v>
      </c>
      <c r="D2816" s="7">
        <v>20</v>
      </c>
      <c r="E2816">
        <v>2016</v>
      </c>
      <c r="F2816">
        <v>2016</v>
      </c>
      <c r="G2816" t="str">
        <f>IFERROR(INDEX(Formulations[Formulation],MATCH($C2816,Formulations[Product Code],0)),"")</f>
        <v/>
      </c>
    </row>
    <row r="2817" spans="1:7" x14ac:dyDescent="0.3">
      <c r="A2817" t="s">
        <v>2253</v>
      </c>
      <c r="B2817" t="s">
        <v>240</v>
      </c>
      <c r="D2817" s="7">
        <v>20</v>
      </c>
      <c r="E2817">
        <v>2016</v>
      </c>
      <c r="F2817">
        <v>2016</v>
      </c>
      <c r="G2817" t="str">
        <f>IFERROR(INDEX(Formulations[Formulation],MATCH($C2817,Formulations[Product Code],0)),"")</f>
        <v/>
      </c>
    </row>
    <row r="2818" spans="1:7" x14ac:dyDescent="0.3">
      <c r="A2818" t="s">
        <v>2287</v>
      </c>
      <c r="B2818" t="s">
        <v>1701</v>
      </c>
      <c r="D2818" s="7">
        <v>20</v>
      </c>
      <c r="E2818">
        <v>2013</v>
      </c>
      <c r="F2818">
        <v>2013</v>
      </c>
      <c r="G2818" t="str">
        <f>IFERROR(INDEX(Formulations[Formulation],MATCH($C2818,Formulations[Product Code],0)),"")</f>
        <v/>
      </c>
    </row>
    <row r="2819" spans="1:7" x14ac:dyDescent="0.3">
      <c r="A2819" t="s">
        <v>2290</v>
      </c>
      <c r="B2819" t="s">
        <v>1861</v>
      </c>
      <c r="D2819" s="7">
        <v>20</v>
      </c>
      <c r="E2819">
        <v>2018</v>
      </c>
      <c r="F2819">
        <v>2018</v>
      </c>
      <c r="G2819" t="str">
        <f>IFERROR(INDEX(Formulations[Formulation],MATCH($C2819,Formulations[Product Code],0)),"")</f>
        <v/>
      </c>
    </row>
    <row r="2820" spans="1:7" x14ac:dyDescent="0.3">
      <c r="A2820" t="s">
        <v>2295</v>
      </c>
      <c r="B2820" t="s">
        <v>863</v>
      </c>
      <c r="D2820" s="7">
        <v>20</v>
      </c>
      <c r="E2820">
        <v>2015</v>
      </c>
      <c r="F2820">
        <v>2015</v>
      </c>
      <c r="G2820" t="str">
        <f>IFERROR(INDEX(Formulations[Formulation],MATCH($C2820,Formulations[Product Code],0)),"")</f>
        <v/>
      </c>
    </row>
    <row r="2821" spans="1:7" x14ac:dyDescent="0.3">
      <c r="A2821" t="s">
        <v>2297</v>
      </c>
      <c r="B2821" t="s">
        <v>95</v>
      </c>
      <c r="C2821" t="s">
        <v>96</v>
      </c>
      <c r="D2821" s="7">
        <v>20</v>
      </c>
      <c r="E2821">
        <v>2018</v>
      </c>
      <c r="F2821">
        <v>2018</v>
      </c>
      <c r="G2821" t="str">
        <f>IFERROR(INDEX(Formulations[Formulation],MATCH($C2821,Formulations[Product Code],0)),"")</f>
        <v>9.2 kg oil and rest dpg</v>
      </c>
    </row>
    <row r="2822" spans="1:7" x14ac:dyDescent="0.3">
      <c r="A2822" t="s">
        <v>2302</v>
      </c>
      <c r="B2822" t="s">
        <v>1103</v>
      </c>
      <c r="C2822" t="s">
        <v>224</v>
      </c>
      <c r="D2822" s="7">
        <v>20</v>
      </c>
      <c r="E2822">
        <v>2009</v>
      </c>
      <c r="F2822">
        <v>2019</v>
      </c>
      <c r="G2822" t="str">
        <f>IFERROR(INDEX(Formulations[Formulation],MATCH($C2822,Formulations[Product Code],0)),"")</f>
        <v/>
      </c>
    </row>
    <row r="2823" spans="1:7" x14ac:dyDescent="0.3">
      <c r="A2823" t="s">
        <v>2308</v>
      </c>
      <c r="B2823" t="s">
        <v>1701</v>
      </c>
      <c r="D2823" s="7">
        <v>20</v>
      </c>
      <c r="E2823">
        <v>2021</v>
      </c>
      <c r="F2823">
        <v>2021</v>
      </c>
      <c r="G2823" t="str">
        <f>IFERROR(INDEX(Formulations[Formulation],MATCH($C2823,Formulations[Product Code],0)),"")</f>
        <v/>
      </c>
    </row>
    <row r="2824" spans="1:7" x14ac:dyDescent="0.3">
      <c r="A2824" t="s">
        <v>2308</v>
      </c>
      <c r="B2824" t="s">
        <v>863</v>
      </c>
      <c r="D2824" s="7">
        <v>20</v>
      </c>
      <c r="E2824">
        <v>2019</v>
      </c>
      <c r="F2824">
        <v>2019</v>
      </c>
      <c r="G2824" t="str">
        <f>IFERROR(INDEX(Formulations[Formulation],MATCH($C2824,Formulations[Product Code],0)),"")</f>
        <v/>
      </c>
    </row>
    <row r="2825" spans="1:7" x14ac:dyDescent="0.3">
      <c r="A2825" t="s">
        <v>2308</v>
      </c>
      <c r="B2825" t="s">
        <v>32</v>
      </c>
      <c r="D2825" s="7">
        <v>20</v>
      </c>
      <c r="E2825">
        <v>2019</v>
      </c>
      <c r="F2825">
        <v>2019</v>
      </c>
      <c r="G2825" t="str">
        <f>IFERROR(INDEX(Formulations[Formulation],MATCH($C2825,Formulations[Product Code],0)),"")</f>
        <v/>
      </c>
    </row>
    <row r="2826" spans="1:7" x14ac:dyDescent="0.3">
      <c r="A2826" t="s">
        <v>2336</v>
      </c>
      <c r="B2826" t="s">
        <v>32</v>
      </c>
      <c r="D2826" s="7">
        <v>20</v>
      </c>
      <c r="E2826">
        <v>2018</v>
      </c>
      <c r="F2826">
        <v>2018</v>
      </c>
      <c r="G2826" t="str">
        <f>IFERROR(INDEX(Formulations[Formulation],MATCH($C2826,Formulations[Product Code],0)),"")</f>
        <v/>
      </c>
    </row>
    <row r="2827" spans="1:7" x14ac:dyDescent="0.3">
      <c r="A2827" t="s">
        <v>2345</v>
      </c>
      <c r="B2827" t="s">
        <v>45</v>
      </c>
      <c r="D2827" s="7">
        <v>20</v>
      </c>
      <c r="E2827">
        <v>2013</v>
      </c>
      <c r="F2827">
        <v>2013</v>
      </c>
      <c r="G2827" t="str">
        <f>IFERROR(INDEX(Formulations[Formulation],MATCH($C2827,Formulations[Product Code],0)),"")</f>
        <v/>
      </c>
    </row>
    <row r="2828" spans="1:7" x14ac:dyDescent="0.3">
      <c r="A2828" t="s">
        <v>2354</v>
      </c>
      <c r="B2828" t="s">
        <v>34</v>
      </c>
      <c r="D2828" s="7">
        <v>20</v>
      </c>
      <c r="E2828">
        <v>2018</v>
      </c>
      <c r="F2828">
        <v>2021</v>
      </c>
      <c r="G2828" t="str">
        <f>IFERROR(INDEX(Formulations[Formulation],MATCH($C2828,Formulations[Product Code],0)),"")</f>
        <v/>
      </c>
    </row>
    <row r="2829" spans="1:7" x14ac:dyDescent="0.3">
      <c r="A2829" t="s">
        <v>2354</v>
      </c>
      <c r="B2829" t="s">
        <v>461</v>
      </c>
      <c r="D2829" s="7">
        <v>20</v>
      </c>
      <c r="E2829">
        <v>2018</v>
      </c>
      <c r="F2829">
        <v>2019</v>
      </c>
      <c r="G2829" t="str">
        <f>IFERROR(INDEX(Formulations[Formulation],MATCH($C2829,Formulations[Product Code],0)),"")</f>
        <v/>
      </c>
    </row>
    <row r="2830" spans="1:7" x14ac:dyDescent="0.3">
      <c r="A2830" t="s">
        <v>2361</v>
      </c>
      <c r="B2830" t="s">
        <v>86</v>
      </c>
      <c r="C2830" t="s">
        <v>87</v>
      </c>
      <c r="D2830" s="7">
        <v>20</v>
      </c>
      <c r="E2830">
        <v>2019</v>
      </c>
      <c r="F2830">
        <v>2020</v>
      </c>
      <c r="G2830" t="str">
        <f>IFERROR(INDEX(Formulations[Formulation],MATCH($C2830,Formulations[Product Code],0)),"")</f>
        <v>Pure</v>
      </c>
    </row>
    <row r="2831" spans="1:7" x14ac:dyDescent="0.3">
      <c r="A2831" t="s">
        <v>2361</v>
      </c>
      <c r="B2831" t="s">
        <v>318</v>
      </c>
      <c r="C2831" t="s">
        <v>319</v>
      </c>
      <c r="D2831" s="7">
        <v>20</v>
      </c>
      <c r="E2831">
        <v>2019</v>
      </c>
      <c r="F2831">
        <v>2019</v>
      </c>
      <c r="G2831" t="str">
        <f>IFERROR(INDEX(Formulations[Formulation],MATCH($C2831,Formulations[Product Code],0)),"")</f>
        <v>Pure</v>
      </c>
    </row>
    <row r="2832" spans="1:7" x14ac:dyDescent="0.3">
      <c r="A2832" t="s">
        <v>2365</v>
      </c>
      <c r="B2832" t="s">
        <v>196</v>
      </c>
      <c r="C2832" t="s">
        <v>197</v>
      </c>
      <c r="D2832" s="7">
        <v>20</v>
      </c>
      <c r="E2832">
        <v>2013</v>
      </c>
      <c r="F2832">
        <v>2014</v>
      </c>
      <c r="G2832" t="str">
        <f>IFERROR(INDEX(Formulations[Formulation],MATCH($C2832,Formulations[Product Code],0)),"")</f>
        <v/>
      </c>
    </row>
    <row r="2833" spans="1:7" x14ac:dyDescent="0.3">
      <c r="A2833" t="s">
        <v>2372</v>
      </c>
      <c r="B2833" t="s">
        <v>99</v>
      </c>
      <c r="C2833" t="s">
        <v>100</v>
      </c>
      <c r="D2833" s="7">
        <v>20</v>
      </c>
      <c r="E2833">
        <v>2011</v>
      </c>
      <c r="F2833">
        <v>2012</v>
      </c>
      <c r="G2833" t="str">
        <f>IFERROR(INDEX(Formulations[Formulation],MATCH($C2833,Formulations[Product Code],0)),"")</f>
        <v>Crystal</v>
      </c>
    </row>
    <row r="2834" spans="1:7" x14ac:dyDescent="0.3">
      <c r="A2834" t="s">
        <v>2380</v>
      </c>
      <c r="B2834" t="s">
        <v>540</v>
      </c>
      <c r="C2834" t="s">
        <v>541</v>
      </c>
      <c r="D2834" s="7">
        <v>20</v>
      </c>
      <c r="E2834">
        <v>2019</v>
      </c>
      <c r="F2834">
        <v>2020</v>
      </c>
      <c r="G2834" t="str">
        <f>IFERROR(INDEX(Formulations[Formulation],MATCH($C2834,Formulations[Product Code],0)),"")</f>
        <v>Pure</v>
      </c>
    </row>
    <row r="2835" spans="1:7" x14ac:dyDescent="0.3">
      <c r="A2835" t="s">
        <v>2392</v>
      </c>
      <c r="B2835" t="s">
        <v>280</v>
      </c>
      <c r="C2835" t="s">
        <v>224</v>
      </c>
      <c r="D2835" s="7">
        <v>20</v>
      </c>
      <c r="E2835">
        <v>2009</v>
      </c>
      <c r="F2835">
        <v>2009</v>
      </c>
      <c r="G2835" t="str">
        <f>IFERROR(INDEX(Formulations[Formulation],MATCH($C2835,Formulations[Product Code],0)),"")</f>
        <v/>
      </c>
    </row>
    <row r="2836" spans="1:7" x14ac:dyDescent="0.3">
      <c r="A2836" t="s">
        <v>2392</v>
      </c>
      <c r="B2836" t="s">
        <v>2303</v>
      </c>
      <c r="C2836" t="s">
        <v>505</v>
      </c>
      <c r="D2836" s="7">
        <v>20</v>
      </c>
      <c r="E2836">
        <v>2009</v>
      </c>
      <c r="F2836">
        <v>2009</v>
      </c>
      <c r="G2836" t="str">
        <f>IFERROR(INDEX(Formulations[Formulation],MATCH($C2836,Formulations[Product Code],0)),"")</f>
        <v>Crystal</v>
      </c>
    </row>
    <row r="2837" spans="1:7" x14ac:dyDescent="0.3">
      <c r="A2837" t="s">
        <v>2392</v>
      </c>
      <c r="B2837" t="s">
        <v>103</v>
      </c>
      <c r="C2837" t="s">
        <v>2393</v>
      </c>
      <c r="D2837" s="7">
        <v>20</v>
      </c>
      <c r="E2837">
        <v>2009</v>
      </c>
      <c r="F2837">
        <v>2009</v>
      </c>
      <c r="G2837" t="str">
        <f>IFERROR(INDEX(Formulations[Formulation],MATCH($C2837,Formulations[Product Code],0)),"")</f>
        <v/>
      </c>
    </row>
    <row r="2838" spans="1:7" x14ac:dyDescent="0.3">
      <c r="A2838" t="s">
        <v>2392</v>
      </c>
      <c r="B2838" t="s">
        <v>2306</v>
      </c>
      <c r="C2838" t="s">
        <v>2307</v>
      </c>
      <c r="D2838" s="7">
        <v>20</v>
      </c>
      <c r="E2838">
        <v>2009</v>
      </c>
      <c r="F2838">
        <v>2009</v>
      </c>
      <c r="G2838" t="str">
        <f>IFERROR(INDEX(Formulations[Formulation],MATCH($C2838,Formulations[Product Code],0)),"")</f>
        <v/>
      </c>
    </row>
    <row r="2839" spans="1:7" x14ac:dyDescent="0.3">
      <c r="A2839" t="s">
        <v>2392</v>
      </c>
      <c r="B2839" t="s">
        <v>425</v>
      </c>
      <c r="C2839" t="s">
        <v>426</v>
      </c>
      <c r="D2839" s="7">
        <v>20</v>
      </c>
      <c r="E2839">
        <v>2009</v>
      </c>
      <c r="F2839">
        <v>2009</v>
      </c>
      <c r="G2839" t="str">
        <f>IFERROR(INDEX(Formulations[Formulation],MATCH($C2839,Formulations[Product Code],0)),"")</f>
        <v/>
      </c>
    </row>
    <row r="2840" spans="1:7" x14ac:dyDescent="0.3">
      <c r="A2840" t="s">
        <v>2392</v>
      </c>
      <c r="B2840" t="s">
        <v>2397</v>
      </c>
      <c r="C2840" t="s">
        <v>1279</v>
      </c>
      <c r="D2840" s="7">
        <v>20</v>
      </c>
      <c r="E2840">
        <v>2009</v>
      </c>
      <c r="F2840">
        <v>2009</v>
      </c>
      <c r="G2840" t="str">
        <f>IFERROR(INDEX(Formulations[Formulation],MATCH($C2840,Formulations[Product Code],0)),"")</f>
        <v/>
      </c>
    </row>
    <row r="2841" spans="1:7" x14ac:dyDescent="0.3">
      <c r="A2841" t="s">
        <v>2401</v>
      </c>
      <c r="B2841" t="s">
        <v>612</v>
      </c>
      <c r="C2841" t="s">
        <v>613</v>
      </c>
      <c r="D2841" s="7">
        <v>20</v>
      </c>
      <c r="E2841">
        <v>2014</v>
      </c>
      <c r="F2841">
        <v>2014</v>
      </c>
      <c r="G2841" t="str">
        <f>IFERROR(INDEX(Formulations[Formulation],MATCH($C2841,Formulations[Product Code],0)),"")</f>
        <v>Pure</v>
      </c>
    </row>
    <row r="2842" spans="1:7" x14ac:dyDescent="0.3">
      <c r="A2842" t="s">
        <v>2412</v>
      </c>
      <c r="B2842" t="s">
        <v>240</v>
      </c>
      <c r="D2842" s="7">
        <v>20</v>
      </c>
      <c r="E2842">
        <v>2017</v>
      </c>
      <c r="F2842">
        <v>2017</v>
      </c>
      <c r="G2842" t="str">
        <f>IFERROR(INDEX(Formulations[Formulation],MATCH($C2842,Formulations[Product Code],0)),"")</f>
        <v/>
      </c>
    </row>
    <row r="2843" spans="1:7" x14ac:dyDescent="0.3">
      <c r="A2843" t="s">
        <v>2416</v>
      </c>
      <c r="B2843" t="s">
        <v>105</v>
      </c>
      <c r="C2843" t="s">
        <v>106</v>
      </c>
      <c r="D2843" s="7">
        <v>20</v>
      </c>
      <c r="E2843">
        <v>2017</v>
      </c>
      <c r="F2843">
        <v>2019</v>
      </c>
      <c r="G2843" t="str">
        <f>IFERROR(INDEX(Formulations[Formulation],MATCH($C2843,Formulations[Product Code],0)),"")</f>
        <v>Pure</v>
      </c>
    </row>
    <row r="2844" spans="1:7" x14ac:dyDescent="0.3">
      <c r="A2844" t="s">
        <v>2416</v>
      </c>
      <c r="B2844" t="s">
        <v>120</v>
      </c>
      <c r="C2844" t="s">
        <v>121</v>
      </c>
      <c r="D2844" s="7">
        <v>20</v>
      </c>
      <c r="E2844">
        <v>2013</v>
      </c>
      <c r="F2844">
        <v>2015</v>
      </c>
      <c r="G2844" t="str">
        <f>IFERROR(INDEX(Formulations[Formulation],MATCH($C2844,Formulations[Product Code],0)),"")</f>
        <v/>
      </c>
    </row>
    <row r="2845" spans="1:7" x14ac:dyDescent="0.3">
      <c r="A2845" t="s">
        <v>2425</v>
      </c>
      <c r="B2845" t="s">
        <v>99</v>
      </c>
      <c r="C2845" t="s">
        <v>100</v>
      </c>
      <c r="D2845" s="7">
        <v>20</v>
      </c>
      <c r="E2845">
        <v>2012</v>
      </c>
      <c r="F2845">
        <v>2014</v>
      </c>
      <c r="G2845" t="str">
        <f>IFERROR(INDEX(Formulations[Formulation],MATCH($C2845,Formulations[Product Code],0)),"")</f>
        <v>Crystal</v>
      </c>
    </row>
    <row r="2846" spans="1:7" x14ac:dyDescent="0.3">
      <c r="A2846" t="s">
        <v>2425</v>
      </c>
      <c r="B2846" t="s">
        <v>120</v>
      </c>
      <c r="C2846" t="s">
        <v>121</v>
      </c>
      <c r="D2846" s="7">
        <v>20</v>
      </c>
      <c r="E2846">
        <v>2014</v>
      </c>
      <c r="F2846">
        <v>2016</v>
      </c>
      <c r="G2846" t="str">
        <f>IFERROR(INDEX(Formulations[Formulation],MATCH($C2846,Formulations[Product Code],0)),"")</f>
        <v/>
      </c>
    </row>
    <row r="2847" spans="1:7" x14ac:dyDescent="0.3">
      <c r="A2847" t="s">
        <v>2428</v>
      </c>
      <c r="B2847" t="s">
        <v>1167</v>
      </c>
      <c r="C2847" t="s">
        <v>102</v>
      </c>
      <c r="D2847" s="7">
        <v>20</v>
      </c>
      <c r="E2847">
        <v>2019</v>
      </c>
      <c r="F2847">
        <v>2020</v>
      </c>
      <c r="G2847" t="str">
        <f>IFERROR(INDEX(Formulations[Formulation],MATCH($C2847,Formulations[Product Code],0)),"")</f>
        <v>Gold</v>
      </c>
    </row>
    <row r="2848" spans="1:7" x14ac:dyDescent="0.3">
      <c r="A2848" t="s">
        <v>2436</v>
      </c>
      <c r="B2848" t="s">
        <v>36</v>
      </c>
      <c r="D2848" s="7">
        <v>20</v>
      </c>
      <c r="E2848">
        <v>2017</v>
      </c>
      <c r="F2848">
        <v>2020</v>
      </c>
      <c r="G2848" t="str">
        <f>IFERROR(INDEX(Formulations[Formulation],MATCH($C2848,Formulations[Product Code],0)),"")</f>
        <v/>
      </c>
    </row>
    <row r="2849" spans="1:7" x14ac:dyDescent="0.3">
      <c r="A2849" t="s">
        <v>2442</v>
      </c>
      <c r="B2849" t="s">
        <v>558</v>
      </c>
      <c r="C2849" t="s">
        <v>559</v>
      </c>
      <c r="D2849" s="7">
        <v>20</v>
      </c>
      <c r="E2849">
        <v>2018</v>
      </c>
      <c r="F2849">
        <v>2018</v>
      </c>
      <c r="G2849" t="str">
        <f>IFERROR(INDEX(Formulations[Formulation],MATCH($C2849,Formulations[Product Code],0)),"")</f>
        <v/>
      </c>
    </row>
    <row r="2850" spans="1:7" x14ac:dyDescent="0.3">
      <c r="A2850" t="s">
        <v>2450</v>
      </c>
      <c r="B2850" t="s">
        <v>45</v>
      </c>
      <c r="D2850" s="7">
        <v>20</v>
      </c>
      <c r="E2850">
        <v>2013</v>
      </c>
      <c r="F2850">
        <v>2013</v>
      </c>
      <c r="G2850" t="str">
        <f>IFERROR(INDEX(Formulations[Formulation],MATCH($C2850,Formulations[Product Code],0)),"")</f>
        <v/>
      </c>
    </row>
    <row r="2851" spans="1:7" x14ac:dyDescent="0.3">
      <c r="A2851" t="s">
        <v>2450</v>
      </c>
      <c r="B2851" t="s">
        <v>32</v>
      </c>
      <c r="D2851" s="7">
        <v>20</v>
      </c>
      <c r="E2851">
        <v>2013</v>
      </c>
      <c r="F2851">
        <v>2013</v>
      </c>
      <c r="G2851" t="str">
        <f>IFERROR(INDEX(Formulations[Formulation],MATCH($C2851,Formulations[Product Code],0)),"")</f>
        <v/>
      </c>
    </row>
    <row r="2852" spans="1:7" x14ac:dyDescent="0.3">
      <c r="A2852" t="s">
        <v>2471</v>
      </c>
      <c r="B2852" t="s">
        <v>864</v>
      </c>
      <c r="D2852" s="7">
        <v>20</v>
      </c>
      <c r="E2852">
        <v>2018</v>
      </c>
      <c r="F2852">
        <v>2018</v>
      </c>
      <c r="G2852" t="str">
        <f>IFERROR(INDEX(Formulations[Formulation],MATCH($C2852,Formulations[Product Code],0)),"")</f>
        <v/>
      </c>
    </row>
    <row r="2853" spans="1:7" x14ac:dyDescent="0.3">
      <c r="A2853" t="s">
        <v>2491</v>
      </c>
      <c r="B2853" t="s">
        <v>29</v>
      </c>
      <c r="D2853" s="7">
        <v>20</v>
      </c>
      <c r="E2853">
        <v>2019</v>
      </c>
      <c r="F2853">
        <v>2019</v>
      </c>
      <c r="G2853" t="str">
        <f>IFERROR(INDEX(Formulations[Formulation],MATCH($C2853,Formulations[Product Code],0)),"")</f>
        <v/>
      </c>
    </row>
    <row r="2854" spans="1:7" x14ac:dyDescent="0.3">
      <c r="A2854" t="s">
        <v>2491</v>
      </c>
      <c r="B2854" t="s">
        <v>45</v>
      </c>
      <c r="D2854" s="7">
        <v>20</v>
      </c>
      <c r="E2854">
        <v>2011</v>
      </c>
      <c r="F2854">
        <v>2011</v>
      </c>
      <c r="G2854" t="str">
        <f>IFERROR(INDEX(Formulations[Formulation],MATCH($C2854,Formulations[Product Code],0)),"")</f>
        <v/>
      </c>
    </row>
    <row r="2855" spans="1:7" x14ac:dyDescent="0.3">
      <c r="A2855" t="s">
        <v>2504</v>
      </c>
      <c r="B2855" t="s">
        <v>867</v>
      </c>
      <c r="C2855" t="s">
        <v>868</v>
      </c>
      <c r="D2855" s="7">
        <v>20</v>
      </c>
      <c r="E2855">
        <v>2020</v>
      </c>
      <c r="F2855">
        <v>2020</v>
      </c>
      <c r="G2855" t="str">
        <f>IFERROR(INDEX(Formulations[Formulation],MATCH($C2855,Formulations[Product Code],0)),"")</f>
        <v>Crystal</v>
      </c>
    </row>
    <row r="2856" spans="1:7" x14ac:dyDescent="0.3">
      <c r="A2856" t="s">
        <v>2505</v>
      </c>
      <c r="B2856" t="s">
        <v>506</v>
      </c>
      <c r="C2856" t="s">
        <v>507</v>
      </c>
      <c r="D2856" s="7">
        <v>20</v>
      </c>
      <c r="E2856">
        <v>2019</v>
      </c>
      <c r="F2856">
        <v>2020</v>
      </c>
      <c r="G2856" t="str">
        <f>IFERROR(INDEX(Formulations[Formulation],MATCH($C2856,Formulations[Product Code],0)),"")</f>
        <v>Silver</v>
      </c>
    </row>
    <row r="2857" spans="1:7" x14ac:dyDescent="0.3">
      <c r="A2857" t="s">
        <v>2519</v>
      </c>
      <c r="B2857" t="s">
        <v>383</v>
      </c>
      <c r="C2857" t="s">
        <v>385</v>
      </c>
      <c r="D2857" s="7">
        <v>20</v>
      </c>
      <c r="E2857">
        <v>2020</v>
      </c>
      <c r="F2857">
        <v>2021</v>
      </c>
      <c r="G2857" t="str">
        <f>IFERROR(INDEX(Formulations[Formulation],MATCH($C2857,Formulations[Product Code],0)),"")</f>
        <v>Silver</v>
      </c>
    </row>
    <row r="2858" spans="1:7" x14ac:dyDescent="0.3">
      <c r="A2858" t="s">
        <v>2521</v>
      </c>
      <c r="B2858" t="s">
        <v>34</v>
      </c>
      <c r="D2858" s="7">
        <v>20</v>
      </c>
      <c r="E2858">
        <v>2017</v>
      </c>
      <c r="F2858">
        <v>2021</v>
      </c>
      <c r="G2858" t="str">
        <f>IFERROR(INDEX(Formulations[Formulation],MATCH($C2858,Formulations[Product Code],0)),"")</f>
        <v/>
      </c>
    </row>
    <row r="2859" spans="1:7" x14ac:dyDescent="0.3">
      <c r="A2859" t="s">
        <v>2527</v>
      </c>
      <c r="B2859" t="s">
        <v>863</v>
      </c>
      <c r="D2859" s="7">
        <v>20</v>
      </c>
      <c r="E2859">
        <v>2020</v>
      </c>
      <c r="F2859">
        <v>2020</v>
      </c>
      <c r="G2859" t="str">
        <f>IFERROR(INDEX(Formulations[Formulation],MATCH($C2859,Formulations[Product Code],0)),"")</f>
        <v/>
      </c>
    </row>
    <row r="2860" spans="1:7" x14ac:dyDescent="0.3">
      <c r="A2860" t="s">
        <v>2528</v>
      </c>
      <c r="B2860" t="s">
        <v>32</v>
      </c>
      <c r="D2860" s="7">
        <v>20</v>
      </c>
      <c r="E2860">
        <v>2014</v>
      </c>
      <c r="F2860">
        <v>2014</v>
      </c>
      <c r="G2860" t="str">
        <f>IFERROR(INDEX(Formulations[Formulation],MATCH($C2860,Formulations[Product Code],0)),"")</f>
        <v/>
      </c>
    </row>
    <row r="2861" spans="1:7" x14ac:dyDescent="0.3">
      <c r="A2861" t="s">
        <v>2567</v>
      </c>
      <c r="B2861" t="s">
        <v>32</v>
      </c>
      <c r="D2861" s="7">
        <v>20</v>
      </c>
      <c r="E2861">
        <v>2016</v>
      </c>
      <c r="F2861">
        <v>2016</v>
      </c>
      <c r="G2861" t="str">
        <f>IFERROR(INDEX(Formulations[Formulation],MATCH($C2861,Formulations[Product Code],0)),"")</f>
        <v/>
      </c>
    </row>
    <row r="2862" spans="1:7" x14ac:dyDescent="0.3">
      <c r="A2862" t="s">
        <v>2570</v>
      </c>
      <c r="B2862" t="s">
        <v>32</v>
      </c>
      <c r="D2862" s="7">
        <v>20</v>
      </c>
      <c r="E2862">
        <v>2017</v>
      </c>
      <c r="F2862">
        <v>2017</v>
      </c>
      <c r="G2862" t="str">
        <f>IFERROR(INDEX(Formulations[Formulation],MATCH($C2862,Formulations[Product Code],0)),"")</f>
        <v/>
      </c>
    </row>
    <row r="2863" spans="1:7" x14ac:dyDescent="0.3">
      <c r="A2863" t="s">
        <v>2577</v>
      </c>
      <c r="B2863" t="s">
        <v>187</v>
      </c>
      <c r="C2863" t="s">
        <v>188</v>
      </c>
      <c r="D2863" s="7">
        <v>20</v>
      </c>
      <c r="E2863">
        <v>2016</v>
      </c>
      <c r="F2863">
        <v>2016</v>
      </c>
      <c r="G2863" t="str">
        <f>IFERROR(INDEX(Formulations[Formulation],MATCH($C2863,Formulations[Product Code],0)),"")</f>
        <v>Crystal</v>
      </c>
    </row>
    <row r="2864" spans="1:7" x14ac:dyDescent="0.3">
      <c r="A2864" t="s">
        <v>2587</v>
      </c>
      <c r="B2864" t="s">
        <v>184</v>
      </c>
      <c r="C2864" t="s">
        <v>185</v>
      </c>
      <c r="D2864" s="7">
        <v>20</v>
      </c>
      <c r="E2864">
        <v>2014</v>
      </c>
      <c r="F2864">
        <v>2014</v>
      </c>
      <c r="G2864" t="str">
        <f>IFERROR(INDEX(Formulations[Formulation],MATCH($C2864,Formulations[Product Code],0)),"")</f>
        <v/>
      </c>
    </row>
    <row r="2865" spans="1:7" x14ac:dyDescent="0.3">
      <c r="A2865" t="s">
        <v>2590</v>
      </c>
      <c r="B2865" t="s">
        <v>686</v>
      </c>
      <c r="C2865" t="s">
        <v>866</v>
      </c>
      <c r="D2865" s="7">
        <v>20</v>
      </c>
      <c r="E2865">
        <v>2019</v>
      </c>
      <c r="F2865">
        <v>2019</v>
      </c>
      <c r="G2865" t="str">
        <f>IFERROR(INDEX(Formulations[Formulation],MATCH($C2865,Formulations[Product Code],0)),"")</f>
        <v/>
      </c>
    </row>
    <row r="2866" spans="1:7" x14ac:dyDescent="0.3">
      <c r="A2866" t="s">
        <v>2596</v>
      </c>
      <c r="B2866" t="s">
        <v>2609</v>
      </c>
      <c r="C2866" t="s">
        <v>1716</v>
      </c>
      <c r="D2866" s="7">
        <v>20</v>
      </c>
      <c r="E2866">
        <v>2011</v>
      </c>
      <c r="F2866">
        <v>2011</v>
      </c>
      <c r="G2866" t="str">
        <f>IFERROR(INDEX(Formulations[Formulation],MATCH($C2866,Formulations[Product Code],0)),"")</f>
        <v/>
      </c>
    </row>
    <row r="2867" spans="1:7" x14ac:dyDescent="0.3">
      <c r="A2867" t="s">
        <v>1819</v>
      </c>
      <c r="B2867" t="s">
        <v>995</v>
      </c>
      <c r="C2867" t="s">
        <v>672</v>
      </c>
      <c r="D2867" s="7">
        <v>19.8</v>
      </c>
      <c r="E2867">
        <v>2017</v>
      </c>
      <c r="F2867">
        <v>2017</v>
      </c>
      <c r="G2867" t="str">
        <f>IFERROR(INDEX(Formulations[Formulation],MATCH($C2867,Formulations[Product Code],0)),"")</f>
        <v>Pure</v>
      </c>
    </row>
    <row r="2868" spans="1:7" x14ac:dyDescent="0.3">
      <c r="A2868" t="s">
        <v>1860</v>
      </c>
      <c r="B2868" t="s">
        <v>1861</v>
      </c>
      <c r="D2868" s="7">
        <v>19</v>
      </c>
      <c r="E2868">
        <v>2018</v>
      </c>
      <c r="F2868">
        <v>2018</v>
      </c>
      <c r="G2868" t="str">
        <f>IFERROR(INDEX(Formulations[Formulation],MATCH($C2868,Formulations[Product Code],0)),"")</f>
        <v/>
      </c>
    </row>
    <row r="2869" spans="1:7" x14ac:dyDescent="0.3">
      <c r="A2869" t="s">
        <v>2345</v>
      </c>
      <c r="B2869" t="s">
        <v>864</v>
      </c>
      <c r="D2869" s="7">
        <v>19</v>
      </c>
      <c r="E2869">
        <v>2013</v>
      </c>
      <c r="F2869">
        <v>2013</v>
      </c>
      <c r="G2869" t="str">
        <f>IFERROR(INDEX(Formulations[Formulation],MATCH($C2869,Formulations[Product Code],0)),"")</f>
        <v/>
      </c>
    </row>
    <row r="2870" spans="1:7" x14ac:dyDescent="0.3">
      <c r="A2870" t="s">
        <v>803</v>
      </c>
      <c r="B2870" t="s">
        <v>218</v>
      </c>
      <c r="C2870" t="s">
        <v>212</v>
      </c>
      <c r="D2870" s="7">
        <v>18.45</v>
      </c>
      <c r="E2870">
        <v>2013</v>
      </c>
      <c r="F2870">
        <v>2014</v>
      </c>
      <c r="G2870" t="str">
        <f>IFERROR(INDEX(Formulations[Formulation],MATCH($C2870,Formulations[Product Code],0)),"")</f>
        <v>Pure</v>
      </c>
    </row>
    <row r="2871" spans="1:7" x14ac:dyDescent="0.3">
      <c r="A2871" t="s">
        <v>440</v>
      </c>
      <c r="B2871" t="s">
        <v>441</v>
      </c>
      <c r="C2871" t="s">
        <v>93</v>
      </c>
      <c r="D2871" s="7">
        <v>18</v>
      </c>
      <c r="E2871">
        <v>2021</v>
      </c>
      <c r="F2871">
        <v>2021</v>
      </c>
      <c r="G2871" t="str">
        <f>IFERROR(INDEX(Formulations[Formulation],MATCH($C2871,Formulations[Product Code],0)),"")</f>
        <v>Gold</v>
      </c>
    </row>
    <row r="2872" spans="1:7" x14ac:dyDescent="0.3">
      <c r="A2872" t="s">
        <v>2030</v>
      </c>
      <c r="B2872" t="s">
        <v>473</v>
      </c>
      <c r="C2872" t="s">
        <v>2033</v>
      </c>
      <c r="D2872" s="7">
        <v>18</v>
      </c>
      <c r="E2872">
        <v>2010</v>
      </c>
      <c r="F2872">
        <v>2010</v>
      </c>
      <c r="G2872" t="str">
        <f>IFERROR(INDEX(Formulations[Formulation],MATCH($C2872,Formulations[Product Code],0)),"")</f>
        <v/>
      </c>
    </row>
    <row r="2873" spans="1:7" x14ac:dyDescent="0.3">
      <c r="A2873" t="s">
        <v>2057</v>
      </c>
      <c r="B2873" t="s">
        <v>629</v>
      </c>
      <c r="C2873" t="s">
        <v>630</v>
      </c>
      <c r="D2873" s="7">
        <v>18</v>
      </c>
      <c r="E2873">
        <v>2019</v>
      </c>
      <c r="F2873">
        <v>2019</v>
      </c>
      <c r="G2873" t="str">
        <f>IFERROR(INDEX(Formulations[Formulation],MATCH($C2873,Formulations[Product Code],0)),"")</f>
        <v>Crystal</v>
      </c>
    </row>
    <row r="2874" spans="1:7" x14ac:dyDescent="0.3">
      <c r="A2874" t="s">
        <v>2095</v>
      </c>
      <c r="B2874" t="s">
        <v>761</v>
      </c>
      <c r="D2874" s="7">
        <v>18</v>
      </c>
      <c r="E2874">
        <v>2016</v>
      </c>
      <c r="F2874">
        <v>2019</v>
      </c>
      <c r="G2874" t="str">
        <f>IFERROR(INDEX(Formulations[Formulation],MATCH($C2874,Formulations[Product Code],0)),"")</f>
        <v/>
      </c>
    </row>
    <row r="2875" spans="1:7" x14ac:dyDescent="0.3">
      <c r="A2875" t="s">
        <v>2328</v>
      </c>
      <c r="B2875" t="s">
        <v>196</v>
      </c>
      <c r="C2875" t="s">
        <v>197</v>
      </c>
      <c r="D2875" s="7">
        <v>18</v>
      </c>
      <c r="E2875">
        <v>2018</v>
      </c>
      <c r="F2875">
        <v>2019</v>
      </c>
      <c r="G2875" t="str">
        <f>IFERROR(INDEX(Formulations[Formulation],MATCH($C2875,Formulations[Product Code],0)),"")</f>
        <v/>
      </c>
    </row>
    <row r="2876" spans="1:7" x14ac:dyDescent="0.3">
      <c r="A2876" t="s">
        <v>2505</v>
      </c>
      <c r="B2876" t="s">
        <v>2276</v>
      </c>
      <c r="C2876" t="s">
        <v>724</v>
      </c>
      <c r="D2876" s="7">
        <v>18</v>
      </c>
      <c r="E2876">
        <v>2019</v>
      </c>
      <c r="F2876">
        <v>2019</v>
      </c>
      <c r="G2876" t="str">
        <f>IFERROR(INDEX(Formulations[Formulation],MATCH($C2876,Formulations[Product Code],0)),"")</f>
        <v>Crystal</v>
      </c>
    </row>
    <row r="2877" spans="1:7" x14ac:dyDescent="0.3">
      <c r="A2877" t="s">
        <v>887</v>
      </c>
      <c r="B2877" t="s">
        <v>280</v>
      </c>
      <c r="C2877" t="s">
        <v>889</v>
      </c>
      <c r="D2877" s="7">
        <v>17</v>
      </c>
      <c r="E2877">
        <v>2010</v>
      </c>
      <c r="F2877">
        <v>2010</v>
      </c>
      <c r="G2877" t="str">
        <f>IFERROR(INDEX(Formulations[Formulation],MATCH($C2877,Formulations[Product Code],0)),"")</f>
        <v/>
      </c>
    </row>
    <row r="2878" spans="1:7" x14ac:dyDescent="0.3">
      <c r="A2878" t="s">
        <v>1028</v>
      </c>
      <c r="B2878" t="s">
        <v>1035</v>
      </c>
      <c r="C2878" t="s">
        <v>1036</v>
      </c>
      <c r="D2878" s="7">
        <v>17</v>
      </c>
      <c r="E2878">
        <v>2011</v>
      </c>
      <c r="F2878">
        <v>2011</v>
      </c>
      <c r="G2878" t="str">
        <f>IFERROR(INDEX(Formulations[Formulation],MATCH($C2878,Formulations[Product Code],0)),"")</f>
        <v/>
      </c>
    </row>
    <row r="2879" spans="1:7" x14ac:dyDescent="0.3">
      <c r="A2879" t="s">
        <v>1353</v>
      </c>
      <c r="B2879" t="s">
        <v>28</v>
      </c>
      <c r="D2879" s="7">
        <v>17</v>
      </c>
      <c r="E2879">
        <v>2015</v>
      </c>
      <c r="F2879">
        <v>2016</v>
      </c>
      <c r="G2879" t="str">
        <f>IFERROR(INDEX(Formulations[Formulation],MATCH($C2879,Formulations[Product Code],0)),"")</f>
        <v/>
      </c>
    </row>
    <row r="2880" spans="1:7" x14ac:dyDescent="0.3">
      <c r="A2880" t="s">
        <v>1848</v>
      </c>
      <c r="B2880" t="s">
        <v>1849</v>
      </c>
      <c r="D2880" s="7">
        <v>17</v>
      </c>
      <c r="E2880">
        <v>2020</v>
      </c>
      <c r="F2880">
        <v>2021</v>
      </c>
      <c r="G2880" t="str">
        <f>IFERROR(INDEX(Formulations[Formulation],MATCH($C2880,Formulations[Product Code],0)),"")</f>
        <v/>
      </c>
    </row>
    <row r="2881" spans="1:7" x14ac:dyDescent="0.3">
      <c r="A2881" t="s">
        <v>1901</v>
      </c>
      <c r="B2881" t="s">
        <v>72</v>
      </c>
      <c r="C2881" t="s">
        <v>319</v>
      </c>
      <c r="D2881" s="7">
        <v>17</v>
      </c>
      <c r="E2881">
        <v>2018</v>
      </c>
      <c r="F2881">
        <v>2020</v>
      </c>
      <c r="G2881" t="str">
        <f>IFERROR(INDEX(Formulations[Formulation],MATCH($C2881,Formulations[Product Code],0)),"")</f>
        <v>Pure</v>
      </c>
    </row>
    <row r="2882" spans="1:7" x14ac:dyDescent="0.3">
      <c r="A2882" t="s">
        <v>1984</v>
      </c>
      <c r="B2882" t="s">
        <v>120</v>
      </c>
      <c r="C2882" t="s">
        <v>2001</v>
      </c>
      <c r="D2882" s="7">
        <v>17</v>
      </c>
      <c r="E2882">
        <v>2011</v>
      </c>
      <c r="F2882">
        <v>2012</v>
      </c>
      <c r="G2882" t="str">
        <f>IFERROR(INDEX(Formulations[Formulation],MATCH($C2882,Formulations[Product Code],0)),"")</f>
        <v/>
      </c>
    </row>
    <row r="2883" spans="1:7" x14ac:dyDescent="0.3">
      <c r="A2883" t="s">
        <v>2120</v>
      </c>
      <c r="B2883" t="s">
        <v>1396</v>
      </c>
      <c r="C2883" t="s">
        <v>613</v>
      </c>
      <c r="D2883" s="7">
        <v>17</v>
      </c>
      <c r="E2883">
        <v>2016</v>
      </c>
      <c r="F2883">
        <v>2020</v>
      </c>
      <c r="G2883" t="str">
        <f>IFERROR(INDEX(Formulations[Formulation],MATCH($C2883,Formulations[Product Code],0)),"")</f>
        <v>Pure</v>
      </c>
    </row>
    <row r="2884" spans="1:7" x14ac:dyDescent="0.3">
      <c r="A2884" t="s">
        <v>2252</v>
      </c>
      <c r="B2884" t="s">
        <v>36</v>
      </c>
      <c r="D2884" s="7">
        <v>17</v>
      </c>
      <c r="E2884">
        <v>2018</v>
      </c>
      <c r="F2884">
        <v>2018</v>
      </c>
      <c r="G2884" t="str">
        <f>IFERROR(INDEX(Formulations[Formulation],MATCH($C2884,Formulations[Product Code],0)),"")</f>
        <v/>
      </c>
    </row>
    <row r="2885" spans="1:7" x14ac:dyDescent="0.3">
      <c r="A2885" t="s">
        <v>878</v>
      </c>
      <c r="B2885" t="s">
        <v>21</v>
      </c>
      <c r="C2885" t="s">
        <v>22</v>
      </c>
      <c r="D2885" s="7">
        <v>16.399999999999999</v>
      </c>
      <c r="E2885">
        <v>2010</v>
      </c>
      <c r="F2885">
        <v>2010</v>
      </c>
      <c r="G2885" t="str">
        <f>IFERROR(INDEX(Formulations[Formulation],MATCH($C2885,Formulations[Product Code],0)),"")</f>
        <v>Crystal</v>
      </c>
    </row>
    <row r="2886" spans="1:7" x14ac:dyDescent="0.3">
      <c r="A2886" t="s">
        <v>944</v>
      </c>
      <c r="B2886" t="s">
        <v>977</v>
      </c>
      <c r="C2886" t="s">
        <v>978</v>
      </c>
      <c r="D2886" s="7">
        <v>16</v>
      </c>
      <c r="E2886">
        <v>2010</v>
      </c>
      <c r="F2886">
        <v>2010</v>
      </c>
      <c r="G2886" t="str">
        <f>IFERROR(INDEX(Formulations[Formulation],MATCH($C2886,Formulations[Product Code],0)),"")</f>
        <v/>
      </c>
    </row>
    <row r="2887" spans="1:7" x14ac:dyDescent="0.3">
      <c r="A2887" t="s">
        <v>1211</v>
      </c>
      <c r="B2887" t="s">
        <v>39</v>
      </c>
      <c r="D2887" s="7">
        <v>16</v>
      </c>
      <c r="E2887">
        <v>2019</v>
      </c>
      <c r="F2887">
        <v>2020</v>
      </c>
      <c r="G2887" t="str">
        <f>IFERROR(INDEX(Formulations[Formulation],MATCH($C2887,Formulations[Product Code],0)),"")</f>
        <v/>
      </c>
    </row>
    <row r="2888" spans="1:7" x14ac:dyDescent="0.3">
      <c r="A2888" t="s">
        <v>1374</v>
      </c>
      <c r="B2888" t="s">
        <v>248</v>
      </c>
      <c r="C2888" t="s">
        <v>249</v>
      </c>
      <c r="D2888" s="7">
        <v>16</v>
      </c>
      <c r="E2888">
        <v>2019</v>
      </c>
      <c r="F2888">
        <v>2020</v>
      </c>
      <c r="G2888" t="str">
        <f>IFERROR(INDEX(Formulations[Formulation],MATCH($C2888,Formulations[Product Code],0)),"")</f>
        <v>WS</v>
      </c>
    </row>
    <row r="2889" spans="1:7" x14ac:dyDescent="0.3">
      <c r="A2889" t="s">
        <v>1407</v>
      </c>
      <c r="B2889" t="s">
        <v>623</v>
      </c>
      <c r="C2889" t="s">
        <v>324</v>
      </c>
      <c r="D2889" s="7">
        <v>16</v>
      </c>
      <c r="E2889">
        <v>2019</v>
      </c>
      <c r="F2889">
        <v>2019</v>
      </c>
      <c r="G2889" t="str">
        <f>IFERROR(INDEX(Formulations[Formulation],MATCH($C2889,Formulations[Product Code],0)),"")</f>
        <v>Pure</v>
      </c>
    </row>
    <row r="2890" spans="1:7" x14ac:dyDescent="0.3">
      <c r="A2890" t="s">
        <v>1463</v>
      </c>
      <c r="B2890" t="s">
        <v>280</v>
      </c>
      <c r="C2890" t="s">
        <v>224</v>
      </c>
      <c r="D2890" s="7">
        <v>16</v>
      </c>
      <c r="E2890">
        <v>2011</v>
      </c>
      <c r="F2890">
        <v>2013</v>
      </c>
      <c r="G2890" t="str">
        <f>IFERROR(INDEX(Formulations[Formulation],MATCH($C2890,Formulations[Product Code],0)),"")</f>
        <v/>
      </c>
    </row>
    <row r="2891" spans="1:7" x14ac:dyDescent="0.3">
      <c r="A2891" t="s">
        <v>1746</v>
      </c>
      <c r="B2891" t="s">
        <v>1413</v>
      </c>
      <c r="D2891" s="7">
        <v>16</v>
      </c>
      <c r="E2891">
        <v>2021</v>
      </c>
      <c r="F2891">
        <v>2021</v>
      </c>
      <c r="G2891" t="str">
        <f>IFERROR(INDEX(Formulations[Formulation],MATCH($C2891,Formulations[Product Code],0)),"")</f>
        <v/>
      </c>
    </row>
    <row r="2892" spans="1:7" x14ac:dyDescent="0.3">
      <c r="A2892" t="s">
        <v>1848</v>
      </c>
      <c r="B2892" t="s">
        <v>1666</v>
      </c>
      <c r="C2892" t="s">
        <v>1667</v>
      </c>
      <c r="D2892" s="7">
        <v>16</v>
      </c>
      <c r="E2892">
        <v>2020</v>
      </c>
      <c r="F2892">
        <v>2020</v>
      </c>
      <c r="G2892" t="str">
        <f>IFERROR(INDEX(Formulations[Formulation],MATCH($C2892,Formulations[Product Code],0)),"")</f>
        <v>Crystal</v>
      </c>
    </row>
    <row r="2893" spans="1:7" x14ac:dyDescent="0.3">
      <c r="A2893" t="s">
        <v>1927</v>
      </c>
      <c r="B2893" t="s">
        <v>1928</v>
      </c>
      <c r="C2893" t="s">
        <v>89</v>
      </c>
      <c r="D2893" s="7">
        <v>16</v>
      </c>
      <c r="E2893">
        <v>2017</v>
      </c>
      <c r="F2893">
        <v>2018</v>
      </c>
      <c r="G2893" t="str">
        <f>IFERROR(INDEX(Formulations[Formulation],MATCH($C2893,Formulations[Product Code],0)),"")</f>
        <v>Pure</v>
      </c>
    </row>
    <row r="2894" spans="1:7" x14ac:dyDescent="0.3">
      <c r="A2894" t="s">
        <v>2040</v>
      </c>
      <c r="B2894" t="s">
        <v>153</v>
      </c>
      <c r="C2894" t="s">
        <v>154</v>
      </c>
      <c r="D2894" s="7">
        <v>16</v>
      </c>
      <c r="E2894">
        <v>2019</v>
      </c>
      <c r="F2894">
        <v>2020</v>
      </c>
      <c r="G2894" t="str">
        <f>IFERROR(INDEX(Formulations[Formulation],MATCH($C2894,Formulations[Product Code],0)),"")</f>
        <v>Pure</v>
      </c>
    </row>
    <row r="2895" spans="1:7" x14ac:dyDescent="0.3">
      <c r="A2895" t="s">
        <v>2514</v>
      </c>
      <c r="B2895" t="s">
        <v>257</v>
      </c>
      <c r="C2895" t="s">
        <v>61</v>
      </c>
      <c r="D2895" s="7">
        <v>16</v>
      </c>
      <c r="E2895">
        <v>2020</v>
      </c>
      <c r="F2895">
        <v>2021</v>
      </c>
      <c r="G2895" t="str">
        <f>IFERROR(INDEX(Formulations[Formulation],MATCH($C2895,Formulations[Product Code],0)),"")</f>
        <v>Pure</v>
      </c>
    </row>
    <row r="2896" spans="1:7" x14ac:dyDescent="0.3">
      <c r="A2896" t="s">
        <v>2557</v>
      </c>
      <c r="B2896" t="s">
        <v>2558</v>
      </c>
      <c r="D2896" s="7">
        <v>16</v>
      </c>
      <c r="E2896">
        <v>2020</v>
      </c>
      <c r="F2896">
        <v>2020</v>
      </c>
      <c r="G2896" t="str">
        <f>IFERROR(INDEX(Formulations[Formulation],MATCH($C2896,Formulations[Product Code],0)),"")</f>
        <v/>
      </c>
    </row>
    <row r="2897" spans="1:7" x14ac:dyDescent="0.3">
      <c r="A2897" t="s">
        <v>2563</v>
      </c>
      <c r="B2897" t="s">
        <v>29</v>
      </c>
      <c r="D2897" s="7">
        <v>16</v>
      </c>
      <c r="E2897">
        <v>2016</v>
      </c>
      <c r="F2897">
        <v>2016</v>
      </c>
      <c r="G2897" t="str">
        <f>IFERROR(INDEX(Formulations[Formulation],MATCH($C2897,Formulations[Product Code],0)),"")</f>
        <v/>
      </c>
    </row>
    <row r="2898" spans="1:7" x14ac:dyDescent="0.3">
      <c r="A2898" t="s">
        <v>50</v>
      </c>
      <c r="B2898" t="s">
        <v>19</v>
      </c>
      <c r="C2898" t="s">
        <v>20</v>
      </c>
      <c r="D2898" s="7">
        <v>15</v>
      </c>
      <c r="E2898">
        <v>2019</v>
      </c>
      <c r="F2898">
        <v>2020</v>
      </c>
      <c r="G2898" t="str">
        <f>IFERROR(INDEX(Formulations[Formulation],MATCH($C2898,Formulations[Product Code],0)),"")</f>
        <v>80 % Oil AND 20 % DPG</v>
      </c>
    </row>
    <row r="2899" spans="1:7" x14ac:dyDescent="0.3">
      <c r="A2899" t="s">
        <v>50</v>
      </c>
      <c r="B2899" t="s">
        <v>62</v>
      </c>
      <c r="C2899" t="s">
        <v>63</v>
      </c>
      <c r="D2899" s="7">
        <v>15</v>
      </c>
      <c r="E2899">
        <v>2019</v>
      </c>
      <c r="F2899">
        <v>2021</v>
      </c>
      <c r="G2899" t="str">
        <f>IFERROR(INDEX(Formulations[Formulation],MATCH($C2899,Formulations[Product Code],0)),"")</f>
        <v>Crystal</v>
      </c>
    </row>
    <row r="2900" spans="1:7" x14ac:dyDescent="0.3">
      <c r="A2900" t="s">
        <v>50</v>
      </c>
      <c r="B2900" t="s">
        <v>68</v>
      </c>
      <c r="C2900" t="s">
        <v>69</v>
      </c>
      <c r="D2900" s="7">
        <v>15</v>
      </c>
      <c r="E2900">
        <v>2019</v>
      </c>
      <c r="F2900">
        <v>2020</v>
      </c>
      <c r="G2900" t="str">
        <f>IFERROR(INDEX(Formulations[Formulation],MATCH($C2900,Formulations[Product Code],0)),"")</f>
        <v>Silver</v>
      </c>
    </row>
    <row r="2901" spans="1:7" x14ac:dyDescent="0.3">
      <c r="A2901" t="s">
        <v>215</v>
      </c>
      <c r="B2901" t="s">
        <v>219</v>
      </c>
      <c r="C2901" t="s">
        <v>220</v>
      </c>
      <c r="D2901" s="7">
        <v>15</v>
      </c>
      <c r="E2901">
        <v>2011</v>
      </c>
      <c r="F2901">
        <v>2012</v>
      </c>
      <c r="G2901" t="str">
        <f>IFERROR(INDEX(Formulations[Formulation],MATCH($C2901,Formulations[Product Code],0)),"")</f>
        <v/>
      </c>
    </row>
    <row r="2902" spans="1:7" x14ac:dyDescent="0.3">
      <c r="A2902" t="s">
        <v>273</v>
      </c>
      <c r="B2902" t="s">
        <v>82</v>
      </c>
      <c r="C2902" t="s">
        <v>83</v>
      </c>
      <c r="D2902" s="7">
        <v>15</v>
      </c>
      <c r="E2902">
        <v>2013</v>
      </c>
      <c r="F2902">
        <v>2013</v>
      </c>
      <c r="G2902" t="str">
        <f>IFERROR(INDEX(Formulations[Formulation],MATCH($C2902,Formulations[Product Code],0)),"")</f>
        <v>Pure</v>
      </c>
    </row>
    <row r="2903" spans="1:7" x14ac:dyDescent="0.3">
      <c r="A2903" t="s">
        <v>273</v>
      </c>
      <c r="B2903" t="s">
        <v>305</v>
      </c>
      <c r="C2903" t="s">
        <v>306</v>
      </c>
      <c r="D2903" s="7">
        <v>15</v>
      </c>
      <c r="E2903">
        <v>2013</v>
      </c>
      <c r="F2903">
        <v>2013</v>
      </c>
      <c r="G2903" t="str">
        <f>IFERROR(INDEX(Formulations[Formulation],MATCH($C2903,Formulations[Product Code],0)),"")</f>
        <v/>
      </c>
    </row>
    <row r="2904" spans="1:7" x14ac:dyDescent="0.3">
      <c r="A2904" t="s">
        <v>273</v>
      </c>
      <c r="B2904" t="s">
        <v>316</v>
      </c>
      <c r="C2904" t="s">
        <v>317</v>
      </c>
      <c r="D2904" s="7">
        <v>15</v>
      </c>
      <c r="E2904">
        <v>2013</v>
      </c>
      <c r="F2904">
        <v>2013</v>
      </c>
      <c r="G2904" t="str">
        <f>IFERROR(INDEX(Formulations[Formulation],MATCH($C2904,Formulations[Product Code],0)),"")</f>
        <v/>
      </c>
    </row>
    <row r="2905" spans="1:7" x14ac:dyDescent="0.3">
      <c r="A2905" t="s">
        <v>327</v>
      </c>
      <c r="B2905" t="s">
        <v>329</v>
      </c>
      <c r="D2905" s="7">
        <v>15</v>
      </c>
      <c r="E2905">
        <v>2015</v>
      </c>
      <c r="F2905">
        <v>2015</v>
      </c>
      <c r="G2905" t="str">
        <f>IFERROR(INDEX(Formulations[Formulation],MATCH($C2905,Formulations[Product Code],0)),"")</f>
        <v/>
      </c>
    </row>
    <row r="2906" spans="1:7" x14ac:dyDescent="0.3">
      <c r="A2906" t="s">
        <v>345</v>
      </c>
      <c r="B2906" t="s">
        <v>37</v>
      </c>
      <c r="D2906" s="7">
        <v>15</v>
      </c>
      <c r="E2906">
        <v>2020</v>
      </c>
      <c r="F2906">
        <v>2021</v>
      </c>
      <c r="G2906" t="str">
        <f>IFERROR(INDEX(Formulations[Formulation],MATCH($C2906,Formulations[Product Code],0)),"")</f>
        <v/>
      </c>
    </row>
    <row r="2907" spans="1:7" x14ac:dyDescent="0.3">
      <c r="A2907" t="s">
        <v>353</v>
      </c>
      <c r="B2907" t="s">
        <v>375</v>
      </c>
      <c r="C2907" t="s">
        <v>262</v>
      </c>
      <c r="D2907" s="7">
        <v>15</v>
      </c>
      <c r="E2907">
        <v>2014</v>
      </c>
      <c r="F2907">
        <v>2015</v>
      </c>
      <c r="G2907" t="str">
        <f>IFERROR(INDEX(Formulations[Formulation],MATCH($C2907,Formulations[Product Code],0)),"")</f>
        <v>Pure</v>
      </c>
    </row>
    <row r="2908" spans="1:7" x14ac:dyDescent="0.3">
      <c r="A2908" t="s">
        <v>353</v>
      </c>
      <c r="B2908" t="s">
        <v>383</v>
      </c>
      <c r="C2908" t="s">
        <v>384</v>
      </c>
      <c r="D2908" s="7">
        <v>15</v>
      </c>
      <c r="E2908">
        <v>2019</v>
      </c>
      <c r="F2908">
        <v>2020</v>
      </c>
      <c r="G2908" t="str">
        <f>IFERROR(INDEX(Formulations[Formulation],MATCH($C2908,Formulations[Product Code],0)),"")</f>
        <v>Pure</v>
      </c>
    </row>
    <row r="2909" spans="1:7" x14ac:dyDescent="0.3">
      <c r="A2909" t="s">
        <v>531</v>
      </c>
      <c r="B2909" t="s">
        <v>540</v>
      </c>
      <c r="C2909" t="s">
        <v>541</v>
      </c>
      <c r="D2909" s="7">
        <v>15</v>
      </c>
      <c r="E2909">
        <v>2020</v>
      </c>
      <c r="F2909">
        <v>2021</v>
      </c>
      <c r="G2909" t="str">
        <f>IFERROR(INDEX(Formulations[Formulation],MATCH($C2909,Formulations[Product Code],0)),"")</f>
        <v>Pure</v>
      </c>
    </row>
    <row r="2910" spans="1:7" x14ac:dyDescent="0.3">
      <c r="A2910" t="s">
        <v>550</v>
      </c>
      <c r="B2910" t="s">
        <v>117</v>
      </c>
      <c r="C2910" t="s">
        <v>118</v>
      </c>
      <c r="D2910" s="7">
        <v>15</v>
      </c>
      <c r="E2910">
        <v>2018</v>
      </c>
      <c r="F2910">
        <v>2018</v>
      </c>
      <c r="G2910" t="str">
        <f>IFERROR(INDEX(Formulations[Formulation],MATCH($C2910,Formulations[Product Code],0)),"")</f>
        <v>Silver</v>
      </c>
    </row>
    <row r="2911" spans="1:7" x14ac:dyDescent="0.3">
      <c r="A2911" t="s">
        <v>585</v>
      </c>
      <c r="B2911" t="s">
        <v>365</v>
      </c>
      <c r="C2911" t="s">
        <v>96</v>
      </c>
      <c r="D2911" s="7">
        <v>15</v>
      </c>
      <c r="E2911">
        <v>2020</v>
      </c>
      <c r="F2911">
        <v>2021</v>
      </c>
      <c r="G2911" t="str">
        <f>IFERROR(INDEX(Formulations[Formulation],MATCH($C2911,Formulations[Product Code],0)),"")</f>
        <v>9.2 kg oil and rest dpg</v>
      </c>
    </row>
    <row r="2912" spans="1:7" x14ac:dyDescent="0.3">
      <c r="A2912" t="s">
        <v>609</v>
      </c>
      <c r="B2912" t="s">
        <v>617</v>
      </c>
      <c r="C2912" t="s">
        <v>618</v>
      </c>
      <c r="D2912" s="7">
        <v>15</v>
      </c>
      <c r="E2912">
        <v>2011</v>
      </c>
      <c r="F2912">
        <v>2012</v>
      </c>
      <c r="G2912" t="str">
        <f>IFERROR(INDEX(Formulations[Formulation],MATCH($C2912,Formulations[Product Code],0)),"")</f>
        <v/>
      </c>
    </row>
    <row r="2913" spans="1:7" x14ac:dyDescent="0.3">
      <c r="A2913" t="s">
        <v>609</v>
      </c>
      <c r="B2913" t="s">
        <v>619</v>
      </c>
      <c r="D2913" s="7">
        <v>15</v>
      </c>
      <c r="E2913">
        <v>2013</v>
      </c>
      <c r="F2913">
        <v>2014</v>
      </c>
      <c r="G2913" t="str">
        <f>IFERROR(INDEX(Formulations[Formulation],MATCH($C2913,Formulations[Product Code],0)),"")</f>
        <v/>
      </c>
    </row>
    <row r="2914" spans="1:7" x14ac:dyDescent="0.3">
      <c r="A2914" t="s">
        <v>659</v>
      </c>
      <c r="B2914" t="s">
        <v>34</v>
      </c>
      <c r="D2914" s="7">
        <v>15</v>
      </c>
      <c r="E2914">
        <v>2019</v>
      </c>
      <c r="F2914">
        <v>2019</v>
      </c>
      <c r="G2914" t="str">
        <f>IFERROR(INDEX(Formulations[Formulation],MATCH($C2914,Formulations[Product Code],0)),"")</f>
        <v/>
      </c>
    </row>
    <row r="2915" spans="1:7" x14ac:dyDescent="0.3">
      <c r="A2915" t="s">
        <v>659</v>
      </c>
      <c r="B2915" t="s">
        <v>642</v>
      </c>
      <c r="D2915" s="7">
        <v>15</v>
      </c>
      <c r="E2915">
        <v>2019</v>
      </c>
      <c r="F2915">
        <v>2019</v>
      </c>
      <c r="G2915" t="str">
        <f>IFERROR(INDEX(Formulations[Formulation],MATCH($C2915,Formulations[Product Code],0)),"")</f>
        <v/>
      </c>
    </row>
    <row r="2916" spans="1:7" x14ac:dyDescent="0.3">
      <c r="A2916" t="s">
        <v>704</v>
      </c>
      <c r="B2916" t="s">
        <v>538</v>
      </c>
      <c r="C2916" t="s">
        <v>539</v>
      </c>
      <c r="D2916" s="7">
        <v>15</v>
      </c>
      <c r="E2916">
        <v>2019</v>
      </c>
      <c r="F2916">
        <v>2020</v>
      </c>
      <c r="G2916" t="str">
        <f>IFERROR(INDEX(Formulations[Formulation],MATCH($C2916,Formulations[Product Code],0)),"")</f>
        <v>Gold</v>
      </c>
    </row>
    <row r="2917" spans="1:7" x14ac:dyDescent="0.3">
      <c r="A2917" t="s">
        <v>704</v>
      </c>
      <c r="B2917" t="s">
        <v>263</v>
      </c>
      <c r="C2917" t="s">
        <v>264</v>
      </c>
      <c r="D2917" s="7">
        <v>15</v>
      </c>
      <c r="E2917">
        <v>2019</v>
      </c>
      <c r="F2917">
        <v>2020</v>
      </c>
      <c r="G2917" t="str">
        <f>IFERROR(INDEX(Formulations[Formulation],MATCH($C2917,Formulations[Product Code],0)),"")</f>
        <v>Silver</v>
      </c>
    </row>
    <row r="2918" spans="1:7" x14ac:dyDescent="0.3">
      <c r="A2918" t="s">
        <v>712</v>
      </c>
      <c r="B2918" t="s">
        <v>726</v>
      </c>
      <c r="C2918" t="s">
        <v>727</v>
      </c>
      <c r="D2918" s="7">
        <v>15</v>
      </c>
      <c r="E2918">
        <v>2014</v>
      </c>
      <c r="F2918">
        <v>2014</v>
      </c>
      <c r="G2918" t="str">
        <f>IFERROR(INDEX(Formulations[Formulation],MATCH($C2918,Formulations[Product Code],0)),"")</f>
        <v/>
      </c>
    </row>
    <row r="2919" spans="1:7" x14ac:dyDescent="0.3">
      <c r="A2919" t="s">
        <v>775</v>
      </c>
      <c r="B2919" t="s">
        <v>471</v>
      </c>
      <c r="C2919" t="s">
        <v>778</v>
      </c>
      <c r="D2919" s="7">
        <v>15</v>
      </c>
      <c r="E2919">
        <v>2015</v>
      </c>
      <c r="F2919">
        <v>2015</v>
      </c>
      <c r="G2919" t="str">
        <f>IFERROR(INDEX(Formulations[Formulation],MATCH($C2919,Formulations[Product Code],0)),"")</f>
        <v/>
      </c>
    </row>
    <row r="2920" spans="1:7" x14ac:dyDescent="0.3">
      <c r="A2920" t="s">
        <v>781</v>
      </c>
      <c r="B2920" t="s">
        <v>602</v>
      </c>
      <c r="C2920" t="s">
        <v>603</v>
      </c>
      <c r="D2920" s="7">
        <v>15</v>
      </c>
      <c r="E2920">
        <v>2020</v>
      </c>
      <c r="F2920">
        <v>2020</v>
      </c>
      <c r="G2920" t="str">
        <f>IFERROR(INDEX(Formulations[Formulation],MATCH($C2920,Formulations[Product Code],0)),"")</f>
        <v>Crystal</v>
      </c>
    </row>
    <row r="2921" spans="1:7" x14ac:dyDescent="0.3">
      <c r="A2921" t="s">
        <v>822</v>
      </c>
      <c r="B2921" t="s">
        <v>823</v>
      </c>
      <c r="C2921" t="s">
        <v>52</v>
      </c>
      <c r="D2921" s="7">
        <v>15</v>
      </c>
      <c r="E2921">
        <v>2016</v>
      </c>
      <c r="F2921">
        <v>2017</v>
      </c>
      <c r="G2921" t="str">
        <f>IFERROR(INDEX(Formulations[Formulation],MATCH($C2921,Formulations[Product Code],0)),"")</f>
        <v>Silver</v>
      </c>
    </row>
    <row r="2922" spans="1:7" x14ac:dyDescent="0.3">
      <c r="A2922" t="s">
        <v>842</v>
      </c>
      <c r="B2922" t="s">
        <v>857</v>
      </c>
      <c r="C2922" t="s">
        <v>858</v>
      </c>
      <c r="D2922" s="7">
        <v>15</v>
      </c>
      <c r="E2922">
        <v>2010</v>
      </c>
      <c r="F2922">
        <v>2010</v>
      </c>
      <c r="G2922" t="str">
        <f>IFERROR(INDEX(Formulations[Formulation],MATCH($C2922,Formulations[Product Code],0)),"")</f>
        <v/>
      </c>
    </row>
    <row r="2923" spans="1:7" x14ac:dyDescent="0.3">
      <c r="A2923" t="s">
        <v>887</v>
      </c>
      <c r="B2923" t="s">
        <v>885</v>
      </c>
      <c r="D2923" s="7">
        <v>15</v>
      </c>
      <c r="E2923">
        <v>2017</v>
      </c>
      <c r="F2923">
        <v>2017</v>
      </c>
      <c r="G2923" t="str">
        <f>IFERROR(INDEX(Formulations[Formulation],MATCH($C2923,Formulations[Product Code],0)),"")</f>
        <v/>
      </c>
    </row>
    <row r="2924" spans="1:7" x14ac:dyDescent="0.3">
      <c r="A2924" t="s">
        <v>887</v>
      </c>
      <c r="B2924" t="s">
        <v>890</v>
      </c>
      <c r="C2924" t="s">
        <v>891</v>
      </c>
      <c r="D2924" s="7">
        <v>15</v>
      </c>
      <c r="E2924">
        <v>2010</v>
      </c>
      <c r="F2924">
        <v>2010</v>
      </c>
      <c r="G2924" t="str">
        <f>IFERROR(INDEX(Formulations[Formulation],MATCH($C2924,Formulations[Product Code],0)),"")</f>
        <v/>
      </c>
    </row>
    <row r="2925" spans="1:7" x14ac:dyDescent="0.3">
      <c r="A2925" t="s">
        <v>887</v>
      </c>
      <c r="B2925" t="s">
        <v>792</v>
      </c>
      <c r="C2925" t="s">
        <v>793</v>
      </c>
      <c r="D2925" s="7">
        <v>15</v>
      </c>
      <c r="E2925">
        <v>2018</v>
      </c>
      <c r="F2925">
        <v>2018</v>
      </c>
      <c r="G2925" t="str">
        <f>IFERROR(INDEX(Formulations[Formulation],MATCH($C2925,Formulations[Product Code],0)),"")</f>
        <v>Silver</v>
      </c>
    </row>
    <row r="2926" spans="1:7" x14ac:dyDescent="0.3">
      <c r="A2926" t="s">
        <v>920</v>
      </c>
      <c r="B2926" t="s">
        <v>248</v>
      </c>
      <c r="C2926" t="s">
        <v>249</v>
      </c>
      <c r="D2926" s="7">
        <v>15</v>
      </c>
      <c r="E2926">
        <v>2019</v>
      </c>
      <c r="F2926">
        <v>2019</v>
      </c>
      <c r="G2926" t="str">
        <f>IFERROR(INDEX(Formulations[Formulation],MATCH($C2926,Formulations[Product Code],0)),"")</f>
        <v>WS</v>
      </c>
    </row>
    <row r="2927" spans="1:7" x14ac:dyDescent="0.3">
      <c r="A2927" t="s">
        <v>920</v>
      </c>
      <c r="B2927" t="s">
        <v>921</v>
      </c>
      <c r="D2927" s="7">
        <v>15</v>
      </c>
      <c r="E2927">
        <v>2019</v>
      </c>
      <c r="F2927">
        <v>2019</v>
      </c>
      <c r="G2927" t="str">
        <f>IFERROR(INDEX(Formulations[Formulation],MATCH($C2927,Formulations[Product Code],0)),"")</f>
        <v/>
      </c>
    </row>
    <row r="2928" spans="1:7" x14ac:dyDescent="0.3">
      <c r="A2928" t="s">
        <v>923</v>
      </c>
      <c r="B2928" t="s">
        <v>248</v>
      </c>
      <c r="C2928" t="s">
        <v>249</v>
      </c>
      <c r="D2928" s="7">
        <v>15</v>
      </c>
      <c r="E2928">
        <v>2021</v>
      </c>
      <c r="F2928">
        <v>2021</v>
      </c>
      <c r="G2928" t="str">
        <f>IFERROR(INDEX(Formulations[Formulation],MATCH($C2928,Formulations[Product Code],0)),"")</f>
        <v>WS</v>
      </c>
    </row>
    <row r="2929" spans="1:7" x14ac:dyDescent="0.3">
      <c r="A2929" t="s">
        <v>923</v>
      </c>
      <c r="B2929" t="s">
        <v>931</v>
      </c>
      <c r="C2929" t="s">
        <v>160</v>
      </c>
      <c r="D2929" s="7">
        <v>15</v>
      </c>
      <c r="E2929">
        <v>2019</v>
      </c>
      <c r="F2929">
        <v>2019</v>
      </c>
      <c r="G2929" t="str">
        <f>IFERROR(INDEX(Formulations[Formulation],MATCH($C2929,Formulations[Product Code],0)),"")</f>
        <v>Silver</v>
      </c>
    </row>
    <row r="2930" spans="1:7" x14ac:dyDescent="0.3">
      <c r="A2930" t="s">
        <v>923</v>
      </c>
      <c r="B2930" t="s">
        <v>933</v>
      </c>
      <c r="C2930" t="s">
        <v>934</v>
      </c>
      <c r="D2930" s="7">
        <v>15</v>
      </c>
      <c r="E2930">
        <v>2017</v>
      </c>
      <c r="F2930">
        <v>2017</v>
      </c>
      <c r="G2930" t="str">
        <f>IFERROR(INDEX(Formulations[Formulation],MATCH($C2930,Formulations[Product Code],0)),"")</f>
        <v/>
      </c>
    </row>
    <row r="2931" spans="1:7" x14ac:dyDescent="0.3">
      <c r="A2931" t="s">
        <v>941</v>
      </c>
      <c r="B2931" t="s">
        <v>453</v>
      </c>
      <c r="D2931" s="7">
        <v>15</v>
      </c>
      <c r="E2931">
        <v>2019</v>
      </c>
      <c r="F2931">
        <v>2019</v>
      </c>
      <c r="G2931" t="str">
        <f>IFERROR(INDEX(Formulations[Formulation],MATCH($C2931,Formulations[Product Code],0)),"")</f>
        <v/>
      </c>
    </row>
    <row r="2932" spans="1:7" x14ac:dyDescent="0.3">
      <c r="A2932" t="s">
        <v>993</v>
      </c>
      <c r="B2932" t="s">
        <v>21</v>
      </c>
      <c r="C2932" t="s">
        <v>22</v>
      </c>
      <c r="D2932" s="7">
        <v>15</v>
      </c>
      <c r="E2932">
        <v>2019</v>
      </c>
      <c r="F2932">
        <v>2020</v>
      </c>
      <c r="G2932" t="str">
        <f>IFERROR(INDEX(Formulations[Formulation],MATCH($C2932,Formulations[Product Code],0)),"")</f>
        <v>Crystal</v>
      </c>
    </row>
    <row r="2933" spans="1:7" x14ac:dyDescent="0.3">
      <c r="A2933" t="s">
        <v>993</v>
      </c>
      <c r="B2933" t="s">
        <v>573</v>
      </c>
      <c r="C2933" t="s">
        <v>574</v>
      </c>
      <c r="D2933" s="7">
        <v>15</v>
      </c>
      <c r="E2933">
        <v>2018</v>
      </c>
      <c r="F2933">
        <v>2019</v>
      </c>
      <c r="G2933" t="str">
        <f>IFERROR(INDEX(Formulations[Formulation],MATCH($C2933,Formulations[Product Code],0)),"")</f>
        <v>Crystal</v>
      </c>
    </row>
    <row r="2934" spans="1:7" x14ac:dyDescent="0.3">
      <c r="A2934" t="s">
        <v>993</v>
      </c>
      <c r="B2934" t="s">
        <v>46</v>
      </c>
      <c r="C2934" t="s">
        <v>47</v>
      </c>
      <c r="D2934" s="7">
        <v>15</v>
      </c>
      <c r="E2934">
        <v>2017</v>
      </c>
      <c r="F2934">
        <v>2018</v>
      </c>
      <c r="G2934" t="str">
        <f>IFERROR(INDEX(Formulations[Formulation],MATCH($C2934,Formulations[Product Code],0)),"")</f>
        <v/>
      </c>
    </row>
    <row r="2935" spans="1:7" x14ac:dyDescent="0.3">
      <c r="A2935" t="s">
        <v>1028</v>
      </c>
      <c r="B2935" t="s">
        <v>1059</v>
      </c>
      <c r="C2935" t="s">
        <v>1060</v>
      </c>
      <c r="D2935" s="7">
        <v>15</v>
      </c>
      <c r="E2935">
        <v>2009</v>
      </c>
      <c r="F2935">
        <v>2009</v>
      </c>
      <c r="G2935" t="str">
        <f>IFERROR(INDEX(Formulations[Formulation],MATCH($C2935,Formulations[Product Code],0)),"")</f>
        <v/>
      </c>
    </row>
    <row r="2936" spans="1:7" x14ac:dyDescent="0.3">
      <c r="A2936" t="s">
        <v>1082</v>
      </c>
      <c r="B2936" t="s">
        <v>1087</v>
      </c>
      <c r="C2936" t="s">
        <v>903</v>
      </c>
      <c r="D2936" s="7">
        <v>15</v>
      </c>
      <c r="E2936">
        <v>2012</v>
      </c>
      <c r="F2936">
        <v>2012</v>
      </c>
      <c r="G2936" t="str">
        <f>IFERROR(INDEX(Formulations[Formulation],MATCH($C2936,Formulations[Product Code],0)),"")</f>
        <v/>
      </c>
    </row>
    <row r="2937" spans="1:7" x14ac:dyDescent="0.3">
      <c r="A2937" t="s">
        <v>1175</v>
      </c>
      <c r="B2937" t="s">
        <v>404</v>
      </c>
      <c r="C2937" t="s">
        <v>405</v>
      </c>
      <c r="D2937" s="7">
        <v>15</v>
      </c>
      <c r="E2937">
        <v>2018</v>
      </c>
      <c r="F2937">
        <v>2020</v>
      </c>
      <c r="G2937" t="str">
        <f>IFERROR(INDEX(Formulations[Formulation],MATCH($C2937,Formulations[Product Code],0)),"")</f>
        <v/>
      </c>
    </row>
    <row r="2938" spans="1:7" x14ac:dyDescent="0.3">
      <c r="A2938" t="s">
        <v>1187</v>
      </c>
      <c r="B2938" t="s">
        <v>1190</v>
      </c>
      <c r="C2938" t="s">
        <v>1191</v>
      </c>
      <c r="D2938" s="7">
        <v>15</v>
      </c>
      <c r="E2938">
        <v>2010</v>
      </c>
      <c r="F2938">
        <v>2011</v>
      </c>
      <c r="G2938" t="str">
        <f>IFERROR(INDEX(Formulations[Formulation],MATCH($C2938,Formulations[Product Code],0)),"")</f>
        <v/>
      </c>
    </row>
    <row r="2939" spans="1:7" x14ac:dyDescent="0.3">
      <c r="A2939" t="s">
        <v>1187</v>
      </c>
      <c r="B2939" t="s">
        <v>1194</v>
      </c>
      <c r="C2939" t="s">
        <v>1195</v>
      </c>
      <c r="D2939" s="7">
        <v>15</v>
      </c>
      <c r="E2939">
        <v>2010</v>
      </c>
      <c r="F2939">
        <v>2011</v>
      </c>
      <c r="G2939" t="str">
        <f>IFERROR(INDEX(Formulations[Formulation],MATCH($C2939,Formulations[Product Code],0)),"")</f>
        <v/>
      </c>
    </row>
    <row r="2940" spans="1:7" x14ac:dyDescent="0.3">
      <c r="A2940" t="s">
        <v>1187</v>
      </c>
      <c r="B2940" t="s">
        <v>1203</v>
      </c>
      <c r="C2940" t="s">
        <v>1204</v>
      </c>
      <c r="D2940" s="7">
        <v>15</v>
      </c>
      <c r="E2940">
        <v>2010</v>
      </c>
      <c r="F2940">
        <v>2011</v>
      </c>
      <c r="G2940" t="str">
        <f>IFERROR(INDEX(Formulations[Formulation],MATCH($C2940,Formulations[Product Code],0)),"")</f>
        <v/>
      </c>
    </row>
    <row r="2941" spans="1:7" x14ac:dyDescent="0.3">
      <c r="A2941" t="s">
        <v>1213</v>
      </c>
      <c r="B2941" t="s">
        <v>244</v>
      </c>
      <c r="C2941" t="s">
        <v>245</v>
      </c>
      <c r="D2941" s="7">
        <v>15</v>
      </c>
      <c r="E2941">
        <v>2020</v>
      </c>
      <c r="F2941">
        <v>2020</v>
      </c>
      <c r="G2941" t="str">
        <f>IFERROR(INDEX(Formulations[Formulation],MATCH($C2941,Formulations[Product Code],0)),"")</f>
        <v>10% Oil</v>
      </c>
    </row>
    <row r="2942" spans="1:7" x14ac:dyDescent="0.3">
      <c r="A2942" t="s">
        <v>1213</v>
      </c>
      <c r="B2942" t="s">
        <v>604</v>
      </c>
      <c r="C2942" t="s">
        <v>605</v>
      </c>
      <c r="D2942" s="7">
        <v>15</v>
      </c>
      <c r="E2942">
        <v>2020</v>
      </c>
      <c r="F2942">
        <v>2020</v>
      </c>
      <c r="G2942" t="str">
        <f>IFERROR(INDEX(Formulations[Formulation],MATCH($C2942,Formulations[Product Code],0)),"")</f>
        <v>60 % Oil &amp; 40 % DPG</v>
      </c>
    </row>
    <row r="2943" spans="1:7" x14ac:dyDescent="0.3">
      <c r="A2943" t="s">
        <v>1226</v>
      </c>
      <c r="B2943" t="s">
        <v>368</v>
      </c>
      <c r="C2943" t="s">
        <v>369</v>
      </c>
      <c r="D2943" s="7">
        <v>15</v>
      </c>
      <c r="E2943">
        <v>2010</v>
      </c>
      <c r="F2943">
        <v>2010</v>
      </c>
      <c r="G2943" t="str">
        <f>IFERROR(INDEX(Formulations[Formulation],MATCH($C2943,Formulations[Product Code],0)),"")</f>
        <v/>
      </c>
    </row>
    <row r="2944" spans="1:7" x14ac:dyDescent="0.3">
      <c r="A2944" t="s">
        <v>1226</v>
      </c>
      <c r="B2944" t="s">
        <v>135</v>
      </c>
      <c r="C2944" t="s">
        <v>1296</v>
      </c>
      <c r="D2944" s="7">
        <v>15</v>
      </c>
      <c r="E2944">
        <v>2010</v>
      </c>
      <c r="F2944">
        <v>2010</v>
      </c>
      <c r="G2944" t="str">
        <f>IFERROR(INDEX(Formulations[Formulation],MATCH($C2944,Formulations[Product Code],0)),"")</f>
        <v/>
      </c>
    </row>
    <row r="2945" spans="1:7" x14ac:dyDescent="0.3">
      <c r="A2945" t="s">
        <v>1226</v>
      </c>
      <c r="B2945" t="s">
        <v>1300</v>
      </c>
      <c r="C2945" t="s">
        <v>521</v>
      </c>
      <c r="D2945" s="7">
        <v>15</v>
      </c>
      <c r="E2945">
        <v>2009</v>
      </c>
      <c r="F2945">
        <v>2010</v>
      </c>
      <c r="G2945" t="str">
        <f>IFERROR(INDEX(Formulations[Formulation],MATCH($C2945,Formulations[Product Code],0)),"")</f>
        <v/>
      </c>
    </row>
    <row r="2946" spans="1:7" x14ac:dyDescent="0.3">
      <c r="A2946" t="s">
        <v>1346</v>
      </c>
      <c r="B2946" t="s">
        <v>453</v>
      </c>
      <c r="D2946" s="7">
        <v>15</v>
      </c>
      <c r="E2946">
        <v>2020</v>
      </c>
      <c r="F2946">
        <v>2021</v>
      </c>
      <c r="G2946" t="str">
        <f>IFERROR(INDEX(Formulations[Formulation],MATCH($C2946,Formulations[Product Code],0)),"")</f>
        <v/>
      </c>
    </row>
    <row r="2947" spans="1:7" x14ac:dyDescent="0.3">
      <c r="A2947" t="s">
        <v>1346</v>
      </c>
      <c r="B2947" t="s">
        <v>1349</v>
      </c>
      <c r="C2947" t="s">
        <v>1350</v>
      </c>
      <c r="D2947" s="7">
        <v>15</v>
      </c>
      <c r="E2947">
        <v>2020</v>
      </c>
      <c r="F2947">
        <v>2020</v>
      </c>
      <c r="G2947" t="str">
        <f>IFERROR(INDEX(Formulations[Formulation],MATCH($C2947,Formulations[Product Code],0)),"")</f>
        <v/>
      </c>
    </row>
    <row r="2948" spans="1:7" x14ac:dyDescent="0.3">
      <c r="A2948" t="s">
        <v>1356</v>
      </c>
      <c r="B2948" t="s">
        <v>99</v>
      </c>
      <c r="C2948" t="s">
        <v>100</v>
      </c>
      <c r="D2948" s="7">
        <v>15</v>
      </c>
      <c r="E2948">
        <v>2011</v>
      </c>
      <c r="F2948">
        <v>2018</v>
      </c>
      <c r="G2948" t="str">
        <f>IFERROR(INDEX(Formulations[Formulation],MATCH($C2948,Formulations[Product Code],0)),"")</f>
        <v>Crystal</v>
      </c>
    </row>
    <row r="2949" spans="1:7" x14ac:dyDescent="0.3">
      <c r="A2949" t="s">
        <v>1356</v>
      </c>
      <c r="B2949" t="s">
        <v>373</v>
      </c>
      <c r="C2949" t="s">
        <v>331</v>
      </c>
      <c r="D2949" s="7">
        <v>15</v>
      </c>
      <c r="E2949">
        <v>2017</v>
      </c>
      <c r="F2949">
        <v>2021</v>
      </c>
      <c r="G2949" t="str">
        <f>IFERROR(INDEX(Formulations[Formulation],MATCH($C2949,Formulations[Product Code],0)),"")</f>
        <v>35% oil</v>
      </c>
    </row>
    <row r="2950" spans="1:7" x14ac:dyDescent="0.3">
      <c r="A2950" t="s">
        <v>1356</v>
      </c>
      <c r="B2950" t="s">
        <v>402</v>
      </c>
      <c r="C2950" t="s">
        <v>403</v>
      </c>
      <c r="D2950" s="7">
        <v>15</v>
      </c>
      <c r="E2950">
        <v>2018</v>
      </c>
      <c r="F2950">
        <v>2020</v>
      </c>
      <c r="G2950" t="str">
        <f>IFERROR(INDEX(Formulations[Formulation],MATCH($C2950,Formulations[Product Code],0)),"")</f>
        <v>15 % oil and 85% dpg</v>
      </c>
    </row>
    <row r="2951" spans="1:7" x14ac:dyDescent="0.3">
      <c r="A2951" t="s">
        <v>1356</v>
      </c>
      <c r="B2951" t="s">
        <v>1074</v>
      </c>
      <c r="C2951" t="s">
        <v>1303</v>
      </c>
      <c r="D2951" s="7">
        <v>15</v>
      </c>
      <c r="E2951">
        <v>2011</v>
      </c>
      <c r="F2951">
        <v>2016</v>
      </c>
      <c r="G2951" t="str">
        <f>IFERROR(INDEX(Formulations[Formulation],MATCH($C2951,Formulations[Product Code],0)),"")</f>
        <v/>
      </c>
    </row>
    <row r="2952" spans="1:7" x14ac:dyDescent="0.3">
      <c r="A2952" t="s">
        <v>1374</v>
      </c>
      <c r="B2952" t="s">
        <v>265</v>
      </c>
      <c r="C2952" t="s">
        <v>197</v>
      </c>
      <c r="D2952" s="7">
        <v>15</v>
      </c>
      <c r="E2952">
        <v>2019</v>
      </c>
      <c r="F2952">
        <v>2019</v>
      </c>
      <c r="G2952" t="str">
        <f>IFERROR(INDEX(Formulations[Formulation],MATCH($C2952,Formulations[Product Code],0)),"")</f>
        <v/>
      </c>
    </row>
    <row r="2953" spans="1:7" x14ac:dyDescent="0.3">
      <c r="A2953" t="s">
        <v>1431</v>
      </c>
      <c r="B2953" t="s">
        <v>265</v>
      </c>
      <c r="C2953" t="s">
        <v>197</v>
      </c>
      <c r="D2953" s="7">
        <v>15</v>
      </c>
      <c r="E2953">
        <v>2018</v>
      </c>
      <c r="F2953">
        <v>2019</v>
      </c>
      <c r="G2953" t="str">
        <f>IFERROR(INDEX(Formulations[Formulation],MATCH($C2953,Formulations[Product Code],0)),"")</f>
        <v/>
      </c>
    </row>
    <row r="2954" spans="1:7" x14ac:dyDescent="0.3">
      <c r="A2954" t="s">
        <v>1463</v>
      </c>
      <c r="B2954" t="s">
        <v>1537</v>
      </c>
      <c r="C2954" t="s">
        <v>369</v>
      </c>
      <c r="D2954" s="7">
        <v>15</v>
      </c>
      <c r="E2954">
        <v>2012</v>
      </c>
      <c r="F2954">
        <v>2012</v>
      </c>
      <c r="G2954" t="str">
        <f>IFERROR(INDEX(Formulations[Formulation],MATCH($C2954,Formulations[Product Code],0)),"")</f>
        <v/>
      </c>
    </row>
    <row r="2955" spans="1:7" x14ac:dyDescent="0.3">
      <c r="A2955" t="s">
        <v>1663</v>
      </c>
      <c r="B2955" t="s">
        <v>19</v>
      </c>
      <c r="C2955" t="s">
        <v>107</v>
      </c>
      <c r="D2955" s="7">
        <v>15</v>
      </c>
      <c r="E2955">
        <v>2020</v>
      </c>
      <c r="F2955">
        <v>2020</v>
      </c>
      <c r="G2955" t="str">
        <f>IFERROR(INDEX(Formulations[Formulation],MATCH($C2955,Formulations[Product Code],0)),"")</f>
        <v>Pure</v>
      </c>
    </row>
    <row r="2956" spans="1:7" x14ac:dyDescent="0.3">
      <c r="A2956" t="s">
        <v>1668</v>
      </c>
      <c r="B2956" t="s">
        <v>29</v>
      </c>
      <c r="D2956" s="7">
        <v>15</v>
      </c>
      <c r="E2956">
        <v>2015</v>
      </c>
      <c r="F2956">
        <v>2017</v>
      </c>
      <c r="G2956" t="str">
        <f>IFERROR(INDEX(Formulations[Formulation],MATCH($C2956,Formulations[Product Code],0)),"")</f>
        <v/>
      </c>
    </row>
    <row r="2957" spans="1:7" x14ac:dyDescent="0.3">
      <c r="A2957" t="s">
        <v>1683</v>
      </c>
      <c r="B2957" t="s">
        <v>504</v>
      </c>
      <c r="C2957" t="s">
        <v>505</v>
      </c>
      <c r="D2957" s="7">
        <v>15</v>
      </c>
      <c r="E2957">
        <v>2021</v>
      </c>
      <c r="F2957">
        <v>2021</v>
      </c>
      <c r="G2957" t="str">
        <f>IFERROR(INDEX(Formulations[Formulation],MATCH($C2957,Formulations[Product Code],0)),"")</f>
        <v>Crystal</v>
      </c>
    </row>
    <row r="2958" spans="1:7" x14ac:dyDescent="0.3">
      <c r="A2958" t="s">
        <v>1686</v>
      </c>
      <c r="B2958" t="s">
        <v>1178</v>
      </c>
      <c r="C2958" t="s">
        <v>1179</v>
      </c>
      <c r="D2958" s="7">
        <v>15</v>
      </c>
      <c r="E2958">
        <v>2017</v>
      </c>
      <c r="F2958">
        <v>2018</v>
      </c>
      <c r="G2958" t="str">
        <f>IFERROR(INDEX(Formulations[Formulation],MATCH($C2958,Formulations[Product Code],0)),"")</f>
        <v/>
      </c>
    </row>
    <row r="2959" spans="1:7" x14ac:dyDescent="0.3">
      <c r="A2959" t="s">
        <v>1693</v>
      </c>
      <c r="B2959" t="s">
        <v>597</v>
      </c>
      <c r="C2959" t="s">
        <v>598</v>
      </c>
      <c r="D2959" s="7">
        <v>15</v>
      </c>
      <c r="E2959">
        <v>2021</v>
      </c>
      <c r="F2959">
        <v>2021</v>
      </c>
      <c r="G2959" t="str">
        <f>IFERROR(INDEX(Formulations[Formulation],MATCH($C2959,Formulations[Product Code],0)),"")</f>
        <v>Silver</v>
      </c>
    </row>
    <row r="2960" spans="1:7" x14ac:dyDescent="0.3">
      <c r="A2960" t="s">
        <v>1703</v>
      </c>
      <c r="B2960" t="s">
        <v>218</v>
      </c>
      <c r="C2960" t="s">
        <v>1704</v>
      </c>
      <c r="D2960" s="7">
        <v>15</v>
      </c>
      <c r="E2960">
        <v>2010</v>
      </c>
      <c r="F2960">
        <v>2013</v>
      </c>
      <c r="G2960" t="str">
        <f>IFERROR(INDEX(Formulations[Formulation],MATCH($C2960,Formulations[Product Code],0)),"")</f>
        <v/>
      </c>
    </row>
    <row r="2961" spans="1:7" x14ac:dyDescent="0.3">
      <c r="A2961" t="s">
        <v>1743</v>
      </c>
      <c r="B2961" t="s">
        <v>624</v>
      </c>
      <c r="C2961" t="s">
        <v>625</v>
      </c>
      <c r="D2961" s="7">
        <v>15</v>
      </c>
      <c r="E2961">
        <v>2020</v>
      </c>
      <c r="F2961">
        <v>2020</v>
      </c>
      <c r="G2961" t="str">
        <f>IFERROR(INDEX(Formulations[Formulation],MATCH($C2961,Formulations[Product Code],0)),"")</f>
        <v>Crystal</v>
      </c>
    </row>
    <row r="2962" spans="1:7" x14ac:dyDescent="0.3">
      <c r="A2962" t="s">
        <v>1743</v>
      </c>
      <c r="B2962" t="s">
        <v>716</v>
      </c>
      <c r="C2962" t="s">
        <v>717</v>
      </c>
      <c r="D2962" s="7">
        <v>15</v>
      </c>
      <c r="E2962">
        <v>2020</v>
      </c>
      <c r="F2962">
        <v>2020</v>
      </c>
      <c r="G2962" t="str">
        <f>IFERROR(INDEX(Formulations[Formulation],MATCH($C2962,Formulations[Product Code],0)),"")</f>
        <v>Pure</v>
      </c>
    </row>
    <row r="2963" spans="1:7" x14ac:dyDescent="0.3">
      <c r="A2963" t="s">
        <v>1743</v>
      </c>
      <c r="B2963" t="s">
        <v>657</v>
      </c>
      <c r="C2963" t="s">
        <v>658</v>
      </c>
      <c r="D2963" s="7">
        <v>15</v>
      </c>
      <c r="E2963">
        <v>2020</v>
      </c>
      <c r="F2963">
        <v>2020</v>
      </c>
      <c r="G2963" t="str">
        <f>IFERROR(INDEX(Formulations[Formulation],MATCH($C2963,Formulations[Product Code],0)),"")</f>
        <v>Crystal</v>
      </c>
    </row>
    <row r="2964" spans="1:7" x14ac:dyDescent="0.3">
      <c r="A2964" t="s">
        <v>1754</v>
      </c>
      <c r="B2964" t="s">
        <v>581</v>
      </c>
      <c r="C2964" t="s">
        <v>582</v>
      </c>
      <c r="D2964" s="7">
        <v>15</v>
      </c>
      <c r="E2964">
        <v>2017</v>
      </c>
      <c r="F2964">
        <v>2017</v>
      </c>
      <c r="G2964" t="str">
        <f>IFERROR(INDEX(Formulations[Formulation],MATCH($C2964,Formulations[Product Code],0)),"")</f>
        <v/>
      </c>
    </row>
    <row r="2965" spans="1:7" x14ac:dyDescent="0.3">
      <c r="A2965" t="s">
        <v>1773</v>
      </c>
      <c r="B2965" t="s">
        <v>1776</v>
      </c>
      <c r="C2965" t="s">
        <v>394</v>
      </c>
      <c r="D2965" s="7">
        <v>15</v>
      </c>
      <c r="E2965">
        <v>2019</v>
      </c>
      <c r="F2965">
        <v>2019</v>
      </c>
      <c r="G2965" t="str">
        <f>IFERROR(INDEX(Formulations[Formulation],MATCH($C2965,Formulations[Product Code],0)),"")</f>
        <v>Pure</v>
      </c>
    </row>
    <row r="2966" spans="1:7" x14ac:dyDescent="0.3">
      <c r="A2966" t="s">
        <v>1773</v>
      </c>
      <c r="B2966" t="s">
        <v>411</v>
      </c>
      <c r="D2966" s="7">
        <v>15</v>
      </c>
      <c r="E2966">
        <v>2020</v>
      </c>
      <c r="F2966">
        <v>2020</v>
      </c>
      <c r="G2966" t="str">
        <f>IFERROR(INDEX(Formulations[Formulation],MATCH($C2966,Formulations[Product Code],0)),"")</f>
        <v/>
      </c>
    </row>
    <row r="2967" spans="1:7" x14ac:dyDescent="0.3">
      <c r="A2967" t="s">
        <v>1784</v>
      </c>
      <c r="B2967" t="s">
        <v>1785</v>
      </c>
      <c r="C2967" t="s">
        <v>1786</v>
      </c>
      <c r="D2967" s="7">
        <v>15</v>
      </c>
      <c r="E2967">
        <v>2015</v>
      </c>
      <c r="F2967">
        <v>2016</v>
      </c>
      <c r="G2967" t="str">
        <f>IFERROR(INDEX(Formulations[Formulation],MATCH($C2967,Formulations[Product Code],0)),"")</f>
        <v/>
      </c>
    </row>
    <row r="2968" spans="1:7" x14ac:dyDescent="0.3">
      <c r="A2968" t="s">
        <v>1784</v>
      </c>
      <c r="B2968" t="s">
        <v>1789</v>
      </c>
      <c r="C2968" t="s">
        <v>1790</v>
      </c>
      <c r="D2968" s="7">
        <v>15</v>
      </c>
      <c r="E2968">
        <v>2015</v>
      </c>
      <c r="F2968">
        <v>2015</v>
      </c>
      <c r="G2968" t="str">
        <f>IFERROR(INDEX(Formulations[Formulation],MATCH($C2968,Formulations[Product Code],0)),"")</f>
        <v/>
      </c>
    </row>
    <row r="2969" spans="1:7" x14ac:dyDescent="0.3">
      <c r="A2969" t="s">
        <v>1784</v>
      </c>
      <c r="B2969" t="s">
        <v>72</v>
      </c>
      <c r="C2969" t="s">
        <v>73</v>
      </c>
      <c r="D2969" s="7">
        <v>15</v>
      </c>
      <c r="E2969">
        <v>2013</v>
      </c>
      <c r="F2969">
        <v>2013</v>
      </c>
      <c r="G2969" t="str">
        <f>IFERROR(INDEX(Formulations[Formulation],MATCH($C2969,Formulations[Product Code],0)),"")</f>
        <v>Silver</v>
      </c>
    </row>
    <row r="2970" spans="1:7" x14ac:dyDescent="0.3">
      <c r="A2970" t="s">
        <v>1784</v>
      </c>
      <c r="B2970" t="s">
        <v>318</v>
      </c>
      <c r="C2970" t="s">
        <v>319</v>
      </c>
      <c r="D2970" s="7">
        <v>15</v>
      </c>
      <c r="E2970">
        <v>2018</v>
      </c>
      <c r="F2970">
        <v>2019</v>
      </c>
      <c r="G2970" t="str">
        <f>IFERROR(INDEX(Formulations[Formulation],MATCH($C2970,Formulations[Product Code],0)),"")</f>
        <v>Pure</v>
      </c>
    </row>
    <row r="2971" spans="1:7" x14ac:dyDescent="0.3">
      <c r="A2971" t="s">
        <v>1847</v>
      </c>
      <c r="B2971" t="s">
        <v>206</v>
      </c>
      <c r="C2971" t="s">
        <v>207</v>
      </c>
      <c r="D2971" s="7">
        <v>15</v>
      </c>
      <c r="E2971">
        <v>2018</v>
      </c>
      <c r="F2971">
        <v>2018</v>
      </c>
      <c r="G2971" t="str">
        <f>IFERROR(INDEX(Formulations[Formulation],MATCH($C2971,Formulations[Product Code],0)),"")</f>
        <v/>
      </c>
    </row>
    <row r="2972" spans="1:7" x14ac:dyDescent="0.3">
      <c r="A2972" t="s">
        <v>1847</v>
      </c>
      <c r="B2972" t="s">
        <v>196</v>
      </c>
      <c r="C2972" t="s">
        <v>197</v>
      </c>
      <c r="D2972" s="7">
        <v>15</v>
      </c>
      <c r="E2972">
        <v>2018</v>
      </c>
      <c r="F2972">
        <v>2018</v>
      </c>
      <c r="G2972" t="str">
        <f>IFERROR(INDEX(Formulations[Formulation],MATCH($C2972,Formulations[Product Code],0)),"")</f>
        <v/>
      </c>
    </row>
    <row r="2973" spans="1:7" x14ac:dyDescent="0.3">
      <c r="A2973" t="s">
        <v>1847</v>
      </c>
      <c r="B2973" t="s">
        <v>70</v>
      </c>
      <c r="C2973" t="s">
        <v>71</v>
      </c>
      <c r="D2973" s="7">
        <v>15</v>
      </c>
      <c r="E2973">
        <v>2018</v>
      </c>
      <c r="F2973">
        <v>2018</v>
      </c>
      <c r="G2973" t="str">
        <f>IFERROR(INDEX(Formulations[Formulation],MATCH($C2973,Formulations[Product Code],0)),"")</f>
        <v>40% Oil &amp; 60% DPG</v>
      </c>
    </row>
    <row r="2974" spans="1:7" x14ac:dyDescent="0.3">
      <c r="A2974" t="s">
        <v>1848</v>
      </c>
      <c r="B2974" t="s">
        <v>58</v>
      </c>
      <c r="C2974" t="s">
        <v>59</v>
      </c>
      <c r="D2974" s="7">
        <v>15</v>
      </c>
      <c r="E2974">
        <v>2020</v>
      </c>
      <c r="F2974">
        <v>2020</v>
      </c>
      <c r="G2974" t="str">
        <f>IFERROR(INDEX(Formulations[Formulation],MATCH($C2974,Formulations[Product Code],0)),"")</f>
        <v>Pure</v>
      </c>
    </row>
    <row r="2975" spans="1:7" x14ac:dyDescent="0.3">
      <c r="A2975" t="s">
        <v>1855</v>
      </c>
      <c r="B2975" t="s">
        <v>602</v>
      </c>
      <c r="C2975" t="s">
        <v>603</v>
      </c>
      <c r="D2975" s="7">
        <v>15</v>
      </c>
      <c r="E2975">
        <v>2016</v>
      </c>
      <c r="F2975">
        <v>2016</v>
      </c>
      <c r="G2975" t="str">
        <f>IFERROR(INDEX(Formulations[Formulation],MATCH($C2975,Formulations[Product Code],0)),"")</f>
        <v>Crystal</v>
      </c>
    </row>
    <row r="2976" spans="1:7" x14ac:dyDescent="0.3">
      <c r="A2976" t="s">
        <v>1855</v>
      </c>
      <c r="B2976" t="s">
        <v>575</v>
      </c>
      <c r="C2976" t="s">
        <v>673</v>
      </c>
      <c r="D2976" s="7">
        <v>15</v>
      </c>
      <c r="E2976">
        <v>2016</v>
      </c>
      <c r="F2976">
        <v>2016</v>
      </c>
      <c r="G2976" t="str">
        <f>IFERROR(INDEX(Formulations[Formulation],MATCH($C2976,Formulations[Product Code],0)),"")</f>
        <v>Apricot 60 % oil and 40 % dpg</v>
      </c>
    </row>
    <row r="2977" spans="1:7" x14ac:dyDescent="0.3">
      <c r="A2977" t="s">
        <v>1865</v>
      </c>
      <c r="B2977" t="s">
        <v>34</v>
      </c>
      <c r="D2977" s="7">
        <v>15</v>
      </c>
      <c r="E2977">
        <v>2020</v>
      </c>
      <c r="F2977">
        <v>2020</v>
      </c>
      <c r="G2977" t="str">
        <f>IFERROR(INDEX(Formulations[Formulation],MATCH($C2977,Formulations[Product Code],0)),"")</f>
        <v/>
      </c>
    </row>
    <row r="2978" spans="1:7" x14ac:dyDescent="0.3">
      <c r="A2978" t="s">
        <v>1872</v>
      </c>
      <c r="B2978" t="s">
        <v>55</v>
      </c>
      <c r="D2978" s="7">
        <v>15</v>
      </c>
      <c r="E2978">
        <v>2019</v>
      </c>
      <c r="F2978">
        <v>2020</v>
      </c>
      <c r="G2978" t="str">
        <f>IFERROR(INDEX(Formulations[Formulation],MATCH($C2978,Formulations[Product Code],0)),"")</f>
        <v/>
      </c>
    </row>
    <row r="2979" spans="1:7" x14ac:dyDescent="0.3">
      <c r="A2979" t="s">
        <v>1872</v>
      </c>
      <c r="B2979" t="s">
        <v>127</v>
      </c>
      <c r="D2979" s="7">
        <v>15</v>
      </c>
      <c r="E2979">
        <v>2019</v>
      </c>
      <c r="F2979">
        <v>2020</v>
      </c>
      <c r="G2979" t="str">
        <f>IFERROR(INDEX(Formulations[Formulation],MATCH($C2979,Formulations[Product Code],0)),"")</f>
        <v/>
      </c>
    </row>
    <row r="2980" spans="1:7" x14ac:dyDescent="0.3">
      <c r="A2980" t="s">
        <v>1873</v>
      </c>
      <c r="B2980" t="s">
        <v>383</v>
      </c>
      <c r="C2980" t="s">
        <v>384</v>
      </c>
      <c r="D2980" s="7">
        <v>15</v>
      </c>
      <c r="E2980">
        <v>2020</v>
      </c>
      <c r="F2980">
        <v>2021</v>
      </c>
      <c r="G2980" t="str">
        <f>IFERROR(INDEX(Formulations[Formulation],MATCH($C2980,Formulations[Product Code],0)),"")</f>
        <v>Pure</v>
      </c>
    </row>
    <row r="2981" spans="1:7" x14ac:dyDescent="0.3">
      <c r="A2981" t="s">
        <v>1898</v>
      </c>
      <c r="B2981" t="s">
        <v>64</v>
      </c>
      <c r="C2981" t="s">
        <v>65</v>
      </c>
      <c r="D2981" s="7">
        <v>15</v>
      </c>
      <c r="E2981">
        <v>2016</v>
      </c>
      <c r="F2981">
        <v>2017</v>
      </c>
      <c r="G2981" t="str">
        <f>IFERROR(INDEX(Formulations[Formulation],MATCH($C2981,Formulations[Product Code],0)),"")</f>
        <v>Crystal</v>
      </c>
    </row>
    <row r="2982" spans="1:7" x14ac:dyDescent="0.3">
      <c r="A2982" t="s">
        <v>1898</v>
      </c>
      <c r="B2982" t="s">
        <v>318</v>
      </c>
      <c r="C2982" t="s">
        <v>319</v>
      </c>
      <c r="D2982" s="7">
        <v>15</v>
      </c>
      <c r="E2982">
        <v>2016</v>
      </c>
      <c r="F2982">
        <v>2017</v>
      </c>
      <c r="G2982" t="str">
        <f>IFERROR(INDEX(Formulations[Formulation],MATCH($C2982,Formulations[Product Code],0)),"")</f>
        <v>Pure</v>
      </c>
    </row>
    <row r="2983" spans="1:7" x14ac:dyDescent="0.3">
      <c r="A2983" t="s">
        <v>1898</v>
      </c>
      <c r="B2983" t="s">
        <v>238</v>
      </c>
      <c r="C2983" t="s">
        <v>222</v>
      </c>
      <c r="D2983" s="7">
        <v>15</v>
      </c>
      <c r="E2983">
        <v>2016</v>
      </c>
      <c r="F2983">
        <v>2018</v>
      </c>
      <c r="G2983" t="str">
        <f>IFERROR(INDEX(Formulations[Formulation],MATCH($C2983,Formulations[Product Code],0)),"")</f>
        <v>WS</v>
      </c>
    </row>
    <row r="2984" spans="1:7" x14ac:dyDescent="0.3">
      <c r="A2984" t="s">
        <v>1933</v>
      </c>
      <c r="B2984" t="s">
        <v>84</v>
      </c>
      <c r="C2984" t="s">
        <v>85</v>
      </c>
      <c r="D2984" s="7">
        <v>15</v>
      </c>
      <c r="E2984">
        <v>2019</v>
      </c>
      <c r="F2984">
        <v>2019</v>
      </c>
      <c r="G2984" t="str">
        <f>IFERROR(INDEX(Formulations[Formulation],MATCH($C2984,Formulations[Product Code],0)),"")</f>
        <v>Pure</v>
      </c>
    </row>
    <row r="2985" spans="1:7" x14ac:dyDescent="0.3">
      <c r="A2985" t="s">
        <v>1933</v>
      </c>
      <c r="B2985" t="s">
        <v>72</v>
      </c>
      <c r="C2985" t="s">
        <v>73</v>
      </c>
      <c r="D2985" s="7">
        <v>15</v>
      </c>
      <c r="E2985">
        <v>2019</v>
      </c>
      <c r="F2985">
        <v>2019</v>
      </c>
      <c r="G2985" t="str">
        <f>IFERROR(INDEX(Formulations[Formulation],MATCH($C2985,Formulations[Product Code],0)),"")</f>
        <v>Silver</v>
      </c>
    </row>
    <row r="2986" spans="1:7" x14ac:dyDescent="0.3">
      <c r="A2986" t="s">
        <v>1945</v>
      </c>
      <c r="B2986" t="s">
        <v>82</v>
      </c>
      <c r="C2986" t="s">
        <v>83</v>
      </c>
      <c r="D2986" s="7">
        <v>15</v>
      </c>
      <c r="E2986">
        <v>2019</v>
      </c>
      <c r="F2986">
        <v>2020</v>
      </c>
      <c r="G2986" t="str">
        <f>IFERROR(INDEX(Formulations[Formulation],MATCH($C2986,Formulations[Product Code],0)),"")</f>
        <v>Pure</v>
      </c>
    </row>
    <row r="2987" spans="1:7" x14ac:dyDescent="0.3">
      <c r="A2987" t="s">
        <v>1958</v>
      </c>
      <c r="B2987" t="s">
        <v>252</v>
      </c>
      <c r="C2987" t="s">
        <v>191</v>
      </c>
      <c r="D2987" s="7">
        <v>15</v>
      </c>
      <c r="E2987">
        <v>2019</v>
      </c>
      <c r="F2987">
        <v>2019</v>
      </c>
      <c r="G2987" t="str">
        <f>IFERROR(INDEX(Formulations[Formulation],MATCH($C2987,Formulations[Product Code],0)),"")</f>
        <v>Pure</v>
      </c>
    </row>
    <row r="2988" spans="1:7" x14ac:dyDescent="0.3">
      <c r="A2988" t="s">
        <v>1972</v>
      </c>
      <c r="B2988" t="s">
        <v>72</v>
      </c>
      <c r="C2988" t="s">
        <v>73</v>
      </c>
      <c r="D2988" s="7">
        <v>15</v>
      </c>
      <c r="E2988">
        <v>2013</v>
      </c>
      <c r="F2988">
        <v>2013</v>
      </c>
      <c r="G2988" t="str">
        <f>IFERROR(INDEX(Formulations[Formulation],MATCH($C2988,Formulations[Product Code],0)),"")</f>
        <v>Silver</v>
      </c>
    </row>
    <row r="2989" spans="1:7" x14ac:dyDescent="0.3">
      <c r="A2989" t="s">
        <v>1984</v>
      </c>
      <c r="B2989" t="s">
        <v>84</v>
      </c>
      <c r="C2989" t="s">
        <v>85</v>
      </c>
      <c r="D2989" s="7">
        <v>15</v>
      </c>
      <c r="E2989">
        <v>2012</v>
      </c>
      <c r="F2989">
        <v>2012</v>
      </c>
      <c r="G2989" t="str">
        <f>IFERROR(INDEX(Formulations[Formulation],MATCH($C2989,Formulations[Product Code],0)),"")</f>
        <v>Pure</v>
      </c>
    </row>
    <row r="2990" spans="1:7" x14ac:dyDescent="0.3">
      <c r="A2990" t="s">
        <v>1984</v>
      </c>
      <c r="B2990" t="s">
        <v>1994</v>
      </c>
      <c r="C2990" t="s">
        <v>1995</v>
      </c>
      <c r="D2990" s="7">
        <v>15</v>
      </c>
      <c r="E2990">
        <v>2012</v>
      </c>
      <c r="F2990">
        <v>2012</v>
      </c>
      <c r="G2990" t="str">
        <f>IFERROR(INDEX(Formulations[Formulation],MATCH($C2990,Formulations[Product Code],0)),"")</f>
        <v/>
      </c>
    </row>
    <row r="2991" spans="1:7" x14ac:dyDescent="0.3">
      <c r="A2991" t="s">
        <v>1984</v>
      </c>
      <c r="B2991" t="s">
        <v>1999</v>
      </c>
      <c r="C2991" t="s">
        <v>2000</v>
      </c>
      <c r="D2991" s="7">
        <v>15</v>
      </c>
      <c r="E2991">
        <v>2012</v>
      </c>
      <c r="F2991">
        <v>2012</v>
      </c>
      <c r="G2991" t="str">
        <f>IFERROR(INDEX(Formulations[Formulation],MATCH($C2991,Formulations[Product Code],0)),"")</f>
        <v/>
      </c>
    </row>
    <row r="2992" spans="1:7" x14ac:dyDescent="0.3">
      <c r="A2992" t="s">
        <v>1984</v>
      </c>
      <c r="B2992" t="s">
        <v>1917</v>
      </c>
      <c r="C2992" t="s">
        <v>2003</v>
      </c>
      <c r="D2992" s="7">
        <v>15</v>
      </c>
      <c r="E2992">
        <v>2011</v>
      </c>
      <c r="F2992">
        <v>2012</v>
      </c>
      <c r="G2992" t="str">
        <f>IFERROR(INDEX(Formulations[Formulation],MATCH($C2992,Formulations[Product Code],0)),"")</f>
        <v/>
      </c>
    </row>
    <row r="2993" spans="1:7" x14ac:dyDescent="0.3">
      <c r="A2993" t="s">
        <v>2030</v>
      </c>
      <c r="B2993" t="s">
        <v>314</v>
      </c>
      <c r="C2993" t="s">
        <v>315</v>
      </c>
      <c r="D2993" s="7">
        <v>15</v>
      </c>
      <c r="E2993">
        <v>2010</v>
      </c>
      <c r="F2993">
        <v>2010</v>
      </c>
      <c r="G2993" t="str">
        <f>IFERROR(INDEX(Formulations[Formulation],MATCH($C2993,Formulations[Product Code],0)),"")</f>
        <v/>
      </c>
    </row>
    <row r="2994" spans="1:7" x14ac:dyDescent="0.3">
      <c r="A2994" t="s">
        <v>2030</v>
      </c>
      <c r="B2994" t="s">
        <v>656</v>
      </c>
      <c r="C2994" t="s">
        <v>71</v>
      </c>
      <c r="D2994" s="7">
        <v>15</v>
      </c>
      <c r="E2994">
        <v>2018</v>
      </c>
      <c r="F2994">
        <v>2019</v>
      </c>
      <c r="G2994" t="str">
        <f>IFERROR(INDEX(Formulations[Formulation],MATCH($C2994,Formulations[Product Code],0)),"")</f>
        <v>40% Oil &amp; 60% DPG</v>
      </c>
    </row>
    <row r="2995" spans="1:7" x14ac:dyDescent="0.3">
      <c r="A2995" t="s">
        <v>2030</v>
      </c>
      <c r="B2995" t="s">
        <v>1109</v>
      </c>
      <c r="C2995" t="s">
        <v>1026</v>
      </c>
      <c r="D2995" s="7">
        <v>15</v>
      </c>
      <c r="E2995">
        <v>2018</v>
      </c>
      <c r="F2995">
        <v>2019</v>
      </c>
      <c r="G2995" t="str">
        <f>IFERROR(INDEX(Formulations[Formulation],MATCH($C2995,Formulations[Product Code],0)),"")</f>
        <v/>
      </c>
    </row>
    <row r="2996" spans="1:7" x14ac:dyDescent="0.3">
      <c r="A2996" t="s">
        <v>2030</v>
      </c>
      <c r="B2996" t="s">
        <v>498</v>
      </c>
      <c r="C2996" t="s">
        <v>499</v>
      </c>
      <c r="D2996" s="7">
        <v>15</v>
      </c>
      <c r="E2996">
        <v>2018</v>
      </c>
      <c r="F2996">
        <v>2019</v>
      </c>
      <c r="G2996" t="str">
        <f>IFERROR(INDEX(Formulations[Formulation],MATCH($C2996,Formulations[Product Code],0)),"")</f>
        <v>WS</v>
      </c>
    </row>
    <row r="2997" spans="1:7" x14ac:dyDescent="0.3">
      <c r="A2997" t="s">
        <v>2039</v>
      </c>
      <c r="B2997" t="s">
        <v>318</v>
      </c>
      <c r="C2997" t="s">
        <v>319</v>
      </c>
      <c r="D2997" s="7">
        <v>15</v>
      </c>
      <c r="E2997">
        <v>2019</v>
      </c>
      <c r="F2997">
        <v>2019</v>
      </c>
      <c r="G2997" t="str">
        <f>IFERROR(INDEX(Formulations[Formulation],MATCH($C2997,Formulations[Product Code],0)),"")</f>
        <v>Pure</v>
      </c>
    </row>
    <row r="2998" spans="1:7" x14ac:dyDescent="0.3">
      <c r="A2998" t="s">
        <v>2048</v>
      </c>
      <c r="B2998" t="s">
        <v>2050</v>
      </c>
      <c r="C2998" t="s">
        <v>2051</v>
      </c>
      <c r="D2998" s="7">
        <v>15</v>
      </c>
      <c r="E2998">
        <v>2019</v>
      </c>
      <c r="F2998">
        <v>2019</v>
      </c>
      <c r="G2998" t="str">
        <f>IFERROR(INDEX(Formulations[Formulation],MATCH($C2998,Formulations[Product Code],0)),"")</f>
        <v/>
      </c>
    </row>
    <row r="2999" spans="1:7" x14ac:dyDescent="0.3">
      <c r="A2999" t="s">
        <v>2057</v>
      </c>
      <c r="B2999" t="s">
        <v>536</v>
      </c>
      <c r="C2999" t="s">
        <v>537</v>
      </c>
      <c r="D2999" s="7">
        <v>15</v>
      </c>
      <c r="E2999">
        <v>2021</v>
      </c>
      <c r="F2999">
        <v>2021</v>
      </c>
      <c r="G2999" t="str">
        <f>IFERROR(INDEX(Formulations[Formulation],MATCH($C2999,Formulations[Product Code],0)),"")</f>
        <v>Silver</v>
      </c>
    </row>
    <row r="3000" spans="1:7" x14ac:dyDescent="0.3">
      <c r="A3000" t="s">
        <v>2057</v>
      </c>
      <c r="B3000" t="s">
        <v>2061</v>
      </c>
      <c r="D3000" s="7">
        <v>15</v>
      </c>
      <c r="E3000">
        <v>2021</v>
      </c>
      <c r="F3000">
        <v>2021</v>
      </c>
      <c r="G3000" t="str">
        <f>IFERROR(INDEX(Formulations[Formulation],MATCH($C3000,Formulations[Product Code],0)),"")</f>
        <v/>
      </c>
    </row>
    <row r="3001" spans="1:7" x14ac:dyDescent="0.3">
      <c r="A3001" t="s">
        <v>2057</v>
      </c>
      <c r="B3001" t="s">
        <v>76</v>
      </c>
      <c r="C3001" t="s">
        <v>77</v>
      </c>
      <c r="D3001" s="7">
        <v>15</v>
      </c>
      <c r="E3001">
        <v>2019</v>
      </c>
      <c r="F3001">
        <v>2021</v>
      </c>
      <c r="G3001" t="str">
        <f>IFERROR(INDEX(Formulations[Formulation],MATCH($C3001,Formulations[Product Code],0)),"")</f>
        <v>Silver</v>
      </c>
    </row>
    <row r="3002" spans="1:7" x14ac:dyDescent="0.3">
      <c r="A3002" t="s">
        <v>2066</v>
      </c>
      <c r="B3002" t="s">
        <v>16</v>
      </c>
      <c r="C3002" t="s">
        <v>17</v>
      </c>
      <c r="D3002" s="7">
        <v>15</v>
      </c>
      <c r="E3002">
        <v>2020</v>
      </c>
      <c r="F3002">
        <v>2021</v>
      </c>
      <c r="G3002" t="str">
        <f>IFERROR(INDEX(Formulations[Formulation],MATCH($C3002,Formulations[Product Code],0)),"")</f>
        <v>Crystal</v>
      </c>
    </row>
    <row r="3003" spans="1:7" x14ac:dyDescent="0.3">
      <c r="A3003" t="s">
        <v>2066</v>
      </c>
      <c r="B3003" t="s">
        <v>99</v>
      </c>
      <c r="C3003" t="s">
        <v>100</v>
      </c>
      <c r="D3003" s="7">
        <v>15</v>
      </c>
      <c r="E3003">
        <v>2020</v>
      </c>
      <c r="F3003">
        <v>2021</v>
      </c>
      <c r="G3003" t="str">
        <f>IFERROR(INDEX(Formulations[Formulation],MATCH($C3003,Formulations[Product Code],0)),"")</f>
        <v>Crystal</v>
      </c>
    </row>
    <row r="3004" spans="1:7" x14ac:dyDescent="0.3">
      <c r="A3004" t="s">
        <v>2066</v>
      </c>
      <c r="B3004" t="s">
        <v>597</v>
      </c>
      <c r="C3004" t="s">
        <v>598</v>
      </c>
      <c r="D3004" s="7">
        <v>15</v>
      </c>
      <c r="E3004">
        <v>2020</v>
      </c>
      <c r="F3004">
        <v>2021</v>
      </c>
      <c r="G3004" t="str">
        <f>IFERROR(INDEX(Formulations[Formulation],MATCH($C3004,Formulations[Product Code],0)),"")</f>
        <v>Silver</v>
      </c>
    </row>
    <row r="3005" spans="1:7" x14ac:dyDescent="0.3">
      <c r="A3005" t="s">
        <v>2079</v>
      </c>
      <c r="B3005" t="s">
        <v>2083</v>
      </c>
      <c r="C3005" t="s">
        <v>123</v>
      </c>
      <c r="D3005" s="7">
        <v>15</v>
      </c>
      <c r="E3005">
        <v>2012</v>
      </c>
      <c r="F3005">
        <v>2012</v>
      </c>
      <c r="G3005" t="str">
        <f>IFERROR(INDEX(Formulations[Formulation],MATCH($C3005,Formulations[Product Code],0)),"")</f>
        <v/>
      </c>
    </row>
    <row r="3006" spans="1:7" x14ac:dyDescent="0.3">
      <c r="A3006" t="s">
        <v>2090</v>
      </c>
      <c r="B3006" t="s">
        <v>674</v>
      </c>
      <c r="C3006" t="s">
        <v>675</v>
      </c>
      <c r="D3006" s="7">
        <v>15</v>
      </c>
      <c r="E3006">
        <v>2020</v>
      </c>
      <c r="F3006">
        <v>2021</v>
      </c>
      <c r="G3006" t="str">
        <f>IFERROR(INDEX(Formulations[Formulation],MATCH($C3006,Formulations[Product Code],0)),"")</f>
        <v>Crystal</v>
      </c>
    </row>
    <row r="3007" spans="1:7" x14ac:dyDescent="0.3">
      <c r="A3007" t="s">
        <v>2113</v>
      </c>
      <c r="B3007" t="s">
        <v>2116</v>
      </c>
      <c r="C3007" t="s">
        <v>197</v>
      </c>
      <c r="D3007" s="7">
        <v>15</v>
      </c>
      <c r="E3007">
        <v>2016</v>
      </c>
      <c r="F3007">
        <v>2016</v>
      </c>
      <c r="G3007" t="str">
        <f>IFERROR(INDEX(Formulations[Formulation],MATCH($C3007,Formulations[Product Code],0)),"")</f>
        <v/>
      </c>
    </row>
    <row r="3008" spans="1:7" x14ac:dyDescent="0.3">
      <c r="A3008" t="s">
        <v>2123</v>
      </c>
      <c r="B3008" t="s">
        <v>60</v>
      </c>
      <c r="C3008" t="s">
        <v>61</v>
      </c>
      <c r="D3008" s="7">
        <v>15</v>
      </c>
      <c r="E3008">
        <v>2016</v>
      </c>
      <c r="F3008">
        <v>2016</v>
      </c>
      <c r="G3008" t="str">
        <f>IFERROR(INDEX(Formulations[Formulation],MATCH($C3008,Formulations[Product Code],0)),"")</f>
        <v>Pure</v>
      </c>
    </row>
    <row r="3009" spans="1:7" x14ac:dyDescent="0.3">
      <c r="A3009" t="s">
        <v>2123</v>
      </c>
      <c r="B3009" t="s">
        <v>130</v>
      </c>
      <c r="C3009" t="s">
        <v>106</v>
      </c>
      <c r="D3009" s="7">
        <v>15</v>
      </c>
      <c r="E3009">
        <v>2017</v>
      </c>
      <c r="F3009">
        <v>2017</v>
      </c>
      <c r="G3009" t="str">
        <f>IFERROR(INDEX(Formulations[Formulation],MATCH($C3009,Formulations[Product Code],0)),"")</f>
        <v>Pure</v>
      </c>
    </row>
    <row r="3010" spans="1:7" x14ac:dyDescent="0.3">
      <c r="A3010" t="s">
        <v>2123</v>
      </c>
      <c r="B3010" t="s">
        <v>142</v>
      </c>
      <c r="C3010" t="s">
        <v>143</v>
      </c>
      <c r="D3010" s="7">
        <v>15</v>
      </c>
      <c r="E3010">
        <v>2014</v>
      </c>
      <c r="F3010">
        <v>2014</v>
      </c>
      <c r="G3010" t="str">
        <f>IFERROR(INDEX(Formulations[Formulation],MATCH($C3010,Formulations[Product Code],0)),"")</f>
        <v>Pure</v>
      </c>
    </row>
    <row r="3011" spans="1:7" x14ac:dyDescent="0.3">
      <c r="A3011" t="s">
        <v>2123</v>
      </c>
      <c r="B3011" t="s">
        <v>144</v>
      </c>
      <c r="C3011" t="s">
        <v>145</v>
      </c>
      <c r="D3011" s="7">
        <v>15</v>
      </c>
      <c r="E3011">
        <v>2017</v>
      </c>
      <c r="F3011">
        <v>2017</v>
      </c>
      <c r="G3011" t="str">
        <f>IFERROR(INDEX(Formulations[Formulation],MATCH($C3011,Formulations[Product Code],0)),"")</f>
        <v/>
      </c>
    </row>
    <row r="3012" spans="1:7" x14ac:dyDescent="0.3">
      <c r="A3012" t="s">
        <v>2123</v>
      </c>
      <c r="B3012" t="s">
        <v>410</v>
      </c>
      <c r="C3012" t="s">
        <v>134</v>
      </c>
      <c r="D3012" s="7">
        <v>15</v>
      </c>
      <c r="E3012">
        <v>2019</v>
      </c>
      <c r="F3012">
        <v>2019</v>
      </c>
      <c r="G3012" t="str">
        <f>IFERROR(INDEX(Formulations[Formulation],MATCH($C3012,Formulations[Product Code],0)),"")</f>
        <v>Pure</v>
      </c>
    </row>
    <row r="3013" spans="1:7" x14ac:dyDescent="0.3">
      <c r="A3013" t="s">
        <v>2131</v>
      </c>
      <c r="B3013" t="s">
        <v>2149</v>
      </c>
      <c r="C3013" t="s">
        <v>2150</v>
      </c>
      <c r="D3013" s="7">
        <v>15</v>
      </c>
      <c r="E3013">
        <v>2009</v>
      </c>
      <c r="F3013">
        <v>2010</v>
      </c>
      <c r="G3013" t="str">
        <f>IFERROR(INDEX(Formulations[Formulation],MATCH($C3013,Formulations[Product Code],0)),"")</f>
        <v/>
      </c>
    </row>
    <row r="3014" spans="1:7" x14ac:dyDescent="0.3">
      <c r="A3014" t="s">
        <v>2200</v>
      </c>
      <c r="B3014" t="s">
        <v>516</v>
      </c>
      <c r="D3014" s="7">
        <v>15</v>
      </c>
      <c r="E3014">
        <v>2020</v>
      </c>
      <c r="F3014">
        <v>2020</v>
      </c>
      <c r="G3014" t="str">
        <f>IFERROR(INDEX(Formulations[Formulation],MATCH($C3014,Formulations[Product Code],0)),"")</f>
        <v/>
      </c>
    </row>
    <row r="3015" spans="1:7" x14ac:dyDescent="0.3">
      <c r="A3015" t="s">
        <v>2206</v>
      </c>
      <c r="B3015" t="s">
        <v>2207</v>
      </c>
      <c r="C3015" t="s">
        <v>104</v>
      </c>
      <c r="D3015" s="7">
        <v>15</v>
      </c>
      <c r="E3015">
        <v>2016</v>
      </c>
      <c r="F3015">
        <v>2016</v>
      </c>
      <c r="G3015" t="str">
        <f>IFERROR(INDEX(Formulations[Formulation],MATCH($C3015,Formulations[Product Code],0)),"")</f>
        <v>Pure</v>
      </c>
    </row>
    <row r="3016" spans="1:7" x14ac:dyDescent="0.3">
      <c r="A3016" t="s">
        <v>2220</v>
      </c>
      <c r="B3016" t="s">
        <v>581</v>
      </c>
      <c r="C3016" t="s">
        <v>582</v>
      </c>
      <c r="D3016" s="7">
        <v>15</v>
      </c>
      <c r="E3016">
        <v>2018</v>
      </c>
      <c r="F3016">
        <v>2018</v>
      </c>
      <c r="G3016" t="str">
        <f>IFERROR(INDEX(Formulations[Formulation],MATCH($C3016,Formulations[Product Code],0)),"")</f>
        <v/>
      </c>
    </row>
    <row r="3017" spans="1:7" x14ac:dyDescent="0.3">
      <c r="A3017" t="s">
        <v>2220</v>
      </c>
      <c r="B3017" t="s">
        <v>99</v>
      </c>
      <c r="C3017" t="s">
        <v>100</v>
      </c>
      <c r="D3017" s="7">
        <v>15</v>
      </c>
      <c r="E3017">
        <v>2017</v>
      </c>
      <c r="F3017">
        <v>2017</v>
      </c>
      <c r="G3017" t="str">
        <f>IFERROR(INDEX(Formulations[Formulation],MATCH($C3017,Formulations[Product Code],0)),"")</f>
        <v>Crystal</v>
      </c>
    </row>
    <row r="3018" spans="1:7" x14ac:dyDescent="0.3">
      <c r="A3018" t="s">
        <v>2228</v>
      </c>
      <c r="B3018" t="s">
        <v>1419</v>
      </c>
      <c r="C3018" t="s">
        <v>1420</v>
      </c>
      <c r="D3018" s="7">
        <v>15</v>
      </c>
      <c r="E3018">
        <v>2020</v>
      </c>
      <c r="F3018">
        <v>2020</v>
      </c>
      <c r="G3018" t="str">
        <f>IFERROR(INDEX(Formulations[Formulation],MATCH($C3018,Formulations[Product Code],0)),"")</f>
        <v>Crystal</v>
      </c>
    </row>
    <row r="3019" spans="1:7" x14ac:dyDescent="0.3">
      <c r="A3019" t="s">
        <v>2233</v>
      </c>
      <c r="B3019" t="s">
        <v>218</v>
      </c>
      <c r="C3019" t="s">
        <v>212</v>
      </c>
      <c r="D3019" s="7">
        <v>15</v>
      </c>
      <c r="E3019">
        <v>2014</v>
      </c>
      <c r="F3019">
        <v>2016</v>
      </c>
      <c r="G3019" t="str">
        <f>IFERROR(INDEX(Formulations[Formulation],MATCH($C3019,Formulations[Product Code],0)),"")</f>
        <v>Pure</v>
      </c>
    </row>
    <row r="3020" spans="1:7" x14ac:dyDescent="0.3">
      <c r="A3020" t="s">
        <v>2233</v>
      </c>
      <c r="B3020" t="s">
        <v>103</v>
      </c>
      <c r="C3020" t="s">
        <v>104</v>
      </c>
      <c r="D3020" s="7">
        <v>15</v>
      </c>
      <c r="E3020">
        <v>2017</v>
      </c>
      <c r="F3020">
        <v>2021</v>
      </c>
      <c r="G3020" t="str">
        <f>IFERROR(INDEX(Formulations[Formulation],MATCH($C3020,Formulations[Product Code],0)),"")</f>
        <v>Pure</v>
      </c>
    </row>
    <row r="3021" spans="1:7" x14ac:dyDescent="0.3">
      <c r="A3021" t="s">
        <v>2238</v>
      </c>
      <c r="B3021" t="s">
        <v>16</v>
      </c>
      <c r="C3021" t="s">
        <v>17</v>
      </c>
      <c r="D3021" s="7">
        <v>15</v>
      </c>
      <c r="E3021">
        <v>2016</v>
      </c>
      <c r="F3021">
        <v>2016</v>
      </c>
      <c r="G3021" t="str">
        <f>IFERROR(INDEX(Formulations[Formulation],MATCH($C3021,Formulations[Product Code],0)),"")</f>
        <v>Crystal</v>
      </c>
    </row>
    <row r="3022" spans="1:7" x14ac:dyDescent="0.3">
      <c r="A3022" t="s">
        <v>2238</v>
      </c>
      <c r="B3022" t="s">
        <v>19</v>
      </c>
      <c r="C3022" t="s">
        <v>699</v>
      </c>
      <c r="D3022" s="7">
        <v>15</v>
      </c>
      <c r="E3022">
        <v>2017</v>
      </c>
      <c r="F3022">
        <v>2017</v>
      </c>
      <c r="G3022" t="str">
        <f>IFERROR(INDEX(Formulations[Formulation],MATCH($C3022,Formulations[Product Code],0)),"")</f>
        <v/>
      </c>
    </row>
    <row r="3023" spans="1:7" x14ac:dyDescent="0.3">
      <c r="A3023" t="s">
        <v>2238</v>
      </c>
      <c r="B3023" t="s">
        <v>46</v>
      </c>
      <c r="C3023" t="s">
        <v>47</v>
      </c>
      <c r="D3023" s="7">
        <v>15</v>
      </c>
      <c r="E3023">
        <v>2017</v>
      </c>
      <c r="F3023">
        <v>2018</v>
      </c>
      <c r="G3023" t="str">
        <f>IFERROR(INDEX(Formulations[Formulation],MATCH($C3023,Formulations[Product Code],0)),"")</f>
        <v/>
      </c>
    </row>
    <row r="3024" spans="1:7" x14ac:dyDescent="0.3">
      <c r="A3024" t="s">
        <v>2256</v>
      </c>
      <c r="B3024" t="s">
        <v>378</v>
      </c>
      <c r="C3024" t="s">
        <v>379</v>
      </c>
      <c r="D3024" s="7">
        <v>15</v>
      </c>
      <c r="E3024">
        <v>2012</v>
      </c>
      <c r="F3024">
        <v>2013</v>
      </c>
      <c r="G3024" t="str">
        <f>IFERROR(INDEX(Formulations[Formulation],MATCH($C3024,Formulations[Product Code],0)),"")</f>
        <v/>
      </c>
    </row>
    <row r="3025" spans="1:7" x14ac:dyDescent="0.3">
      <c r="A3025" t="s">
        <v>2261</v>
      </c>
      <c r="B3025" t="s">
        <v>240</v>
      </c>
      <c r="D3025" s="7">
        <v>15</v>
      </c>
      <c r="E3025">
        <v>2014</v>
      </c>
      <c r="F3025">
        <v>2014</v>
      </c>
      <c r="G3025" t="str">
        <f>IFERROR(INDEX(Formulations[Formulation],MATCH($C3025,Formulations[Product Code],0)),"")</f>
        <v/>
      </c>
    </row>
    <row r="3026" spans="1:7" x14ac:dyDescent="0.3">
      <c r="A3026" t="s">
        <v>2264</v>
      </c>
      <c r="B3026" t="s">
        <v>146</v>
      </c>
      <c r="D3026" s="7">
        <v>15</v>
      </c>
      <c r="E3026">
        <v>2021</v>
      </c>
      <c r="F3026">
        <v>2021</v>
      </c>
      <c r="G3026" t="str">
        <f>IFERROR(INDEX(Formulations[Formulation],MATCH($C3026,Formulations[Product Code],0)),"")</f>
        <v/>
      </c>
    </row>
    <row r="3027" spans="1:7" x14ac:dyDescent="0.3">
      <c r="A3027" t="s">
        <v>2264</v>
      </c>
      <c r="B3027" t="s">
        <v>600</v>
      </c>
      <c r="C3027" t="s">
        <v>75</v>
      </c>
      <c r="D3027" s="7">
        <v>15</v>
      </c>
      <c r="E3027">
        <v>2019</v>
      </c>
      <c r="F3027">
        <v>2020</v>
      </c>
      <c r="G3027" t="str">
        <f>IFERROR(INDEX(Formulations[Formulation],MATCH($C3027,Formulations[Product Code],0)),"")</f>
        <v>Crystal</v>
      </c>
    </row>
    <row r="3028" spans="1:7" x14ac:dyDescent="0.3">
      <c r="A3028" t="s">
        <v>2264</v>
      </c>
      <c r="B3028" t="s">
        <v>841</v>
      </c>
      <c r="C3028" t="s">
        <v>169</v>
      </c>
      <c r="D3028" s="7">
        <v>15</v>
      </c>
      <c r="E3028">
        <v>2019</v>
      </c>
      <c r="F3028">
        <v>2021</v>
      </c>
      <c r="G3028" t="str">
        <f>IFERROR(INDEX(Formulations[Formulation],MATCH($C3028,Formulations[Product Code],0)),"")</f>
        <v>Silver</v>
      </c>
    </row>
    <row r="3029" spans="1:7" x14ac:dyDescent="0.3">
      <c r="A3029" t="s">
        <v>2302</v>
      </c>
      <c r="B3029" t="s">
        <v>824</v>
      </c>
      <c r="C3029" t="s">
        <v>825</v>
      </c>
      <c r="D3029" s="7">
        <v>15</v>
      </c>
      <c r="E3029">
        <v>2017</v>
      </c>
      <c r="F3029">
        <v>2017</v>
      </c>
      <c r="G3029" t="str">
        <f>IFERROR(INDEX(Formulations[Formulation],MATCH($C3029,Formulations[Product Code],0)),"")</f>
        <v/>
      </c>
    </row>
    <row r="3030" spans="1:7" x14ac:dyDescent="0.3">
      <c r="A3030" t="s">
        <v>2309</v>
      </c>
      <c r="B3030" t="s">
        <v>862</v>
      </c>
      <c r="D3030" s="7">
        <v>15</v>
      </c>
      <c r="E3030">
        <v>2015</v>
      </c>
      <c r="F3030">
        <v>2015</v>
      </c>
      <c r="G3030" t="str">
        <f>IFERROR(INDEX(Formulations[Formulation],MATCH($C3030,Formulations[Product Code],0)),"")</f>
        <v/>
      </c>
    </row>
    <row r="3031" spans="1:7" x14ac:dyDescent="0.3">
      <c r="A3031" t="s">
        <v>2330</v>
      </c>
      <c r="B3031" t="s">
        <v>706</v>
      </c>
      <c r="C3031" t="s">
        <v>707</v>
      </c>
      <c r="D3031" s="7">
        <v>15</v>
      </c>
      <c r="E3031">
        <v>2015</v>
      </c>
      <c r="F3031">
        <v>2016</v>
      </c>
      <c r="G3031" t="str">
        <f>IFERROR(INDEX(Formulations[Formulation],MATCH($C3031,Formulations[Product Code],0)),"")</f>
        <v/>
      </c>
    </row>
    <row r="3032" spans="1:7" x14ac:dyDescent="0.3">
      <c r="A3032" t="s">
        <v>2362</v>
      </c>
      <c r="B3032" t="s">
        <v>555</v>
      </c>
      <c r="C3032" t="s">
        <v>259</v>
      </c>
      <c r="D3032" s="7">
        <v>15</v>
      </c>
      <c r="E3032">
        <v>2015</v>
      </c>
      <c r="F3032">
        <v>2016</v>
      </c>
      <c r="G3032" t="str">
        <f>IFERROR(INDEX(Formulations[Formulation],MATCH($C3032,Formulations[Product Code],0)),"")</f>
        <v>Pure</v>
      </c>
    </row>
    <row r="3033" spans="1:7" x14ac:dyDescent="0.3">
      <c r="A3033" t="s">
        <v>2362</v>
      </c>
      <c r="B3033" t="s">
        <v>72</v>
      </c>
      <c r="C3033" t="s">
        <v>73</v>
      </c>
      <c r="D3033" s="7">
        <v>15</v>
      </c>
      <c r="E3033">
        <v>2013</v>
      </c>
      <c r="F3033">
        <v>2015</v>
      </c>
      <c r="G3033" t="str">
        <f>IFERROR(INDEX(Formulations[Formulation],MATCH($C3033,Formulations[Product Code],0)),"")</f>
        <v>Silver</v>
      </c>
    </row>
    <row r="3034" spans="1:7" x14ac:dyDescent="0.3">
      <c r="A3034" t="s">
        <v>2362</v>
      </c>
      <c r="B3034" t="s">
        <v>318</v>
      </c>
      <c r="C3034" t="s">
        <v>319</v>
      </c>
      <c r="D3034" s="7">
        <v>15</v>
      </c>
      <c r="E3034">
        <v>2018</v>
      </c>
      <c r="F3034">
        <v>2018</v>
      </c>
      <c r="G3034" t="str">
        <f>IFERROR(INDEX(Formulations[Formulation],MATCH($C3034,Formulations[Product Code],0)),"")</f>
        <v>Pure</v>
      </c>
    </row>
    <row r="3035" spans="1:7" x14ac:dyDescent="0.3">
      <c r="A3035" t="s">
        <v>2372</v>
      </c>
      <c r="B3035" t="s">
        <v>1472</v>
      </c>
      <c r="C3035" t="s">
        <v>394</v>
      </c>
      <c r="D3035" s="7">
        <v>15</v>
      </c>
      <c r="E3035">
        <v>2011</v>
      </c>
      <c r="F3035">
        <v>2011</v>
      </c>
      <c r="G3035" t="str">
        <f>IFERROR(INDEX(Formulations[Formulation],MATCH($C3035,Formulations[Product Code],0)),"")</f>
        <v>Pure</v>
      </c>
    </row>
    <row r="3036" spans="1:7" x14ac:dyDescent="0.3">
      <c r="A3036" t="s">
        <v>2372</v>
      </c>
      <c r="B3036" t="s">
        <v>1257</v>
      </c>
      <c r="C3036" t="s">
        <v>638</v>
      </c>
      <c r="D3036" s="7">
        <v>15</v>
      </c>
      <c r="E3036">
        <v>2011</v>
      </c>
      <c r="F3036">
        <v>2012</v>
      </c>
      <c r="G3036" t="str">
        <f>IFERROR(INDEX(Formulations[Formulation],MATCH($C3036,Formulations[Product Code],0)),"")</f>
        <v>Pure</v>
      </c>
    </row>
    <row r="3037" spans="1:7" x14ac:dyDescent="0.3">
      <c r="A3037" t="s">
        <v>2372</v>
      </c>
      <c r="B3037" t="s">
        <v>851</v>
      </c>
      <c r="C3037" t="s">
        <v>2377</v>
      </c>
      <c r="D3037" s="7">
        <v>15</v>
      </c>
      <c r="E3037">
        <v>2011</v>
      </c>
      <c r="F3037">
        <v>2012</v>
      </c>
      <c r="G3037" t="str">
        <f>IFERROR(INDEX(Formulations[Formulation],MATCH($C3037,Formulations[Product Code],0)),"")</f>
        <v/>
      </c>
    </row>
    <row r="3038" spans="1:7" x14ac:dyDescent="0.3">
      <c r="A3038" t="s">
        <v>2372</v>
      </c>
      <c r="B3038" t="s">
        <v>2083</v>
      </c>
      <c r="C3038" t="s">
        <v>123</v>
      </c>
      <c r="D3038" s="7">
        <v>15</v>
      </c>
      <c r="E3038">
        <v>2012</v>
      </c>
      <c r="F3038">
        <v>2013</v>
      </c>
      <c r="G3038" t="str">
        <f>IFERROR(INDEX(Formulations[Formulation],MATCH($C3038,Formulations[Product Code],0)),"")</f>
        <v/>
      </c>
    </row>
    <row r="3039" spans="1:7" x14ac:dyDescent="0.3">
      <c r="A3039" t="s">
        <v>2372</v>
      </c>
      <c r="B3039" t="s">
        <v>826</v>
      </c>
      <c r="C3039" t="s">
        <v>229</v>
      </c>
      <c r="D3039" s="7">
        <v>15</v>
      </c>
      <c r="E3039">
        <v>2011</v>
      </c>
      <c r="F3039">
        <v>2012</v>
      </c>
      <c r="G3039" t="str">
        <f>IFERROR(INDEX(Formulations[Formulation],MATCH($C3039,Formulations[Product Code],0)),"")</f>
        <v>Pure</v>
      </c>
    </row>
    <row r="3040" spans="1:7" x14ac:dyDescent="0.3">
      <c r="A3040" t="s">
        <v>2380</v>
      </c>
      <c r="B3040" t="s">
        <v>2382</v>
      </c>
      <c r="C3040" t="s">
        <v>1054</v>
      </c>
      <c r="D3040" s="7">
        <v>15</v>
      </c>
      <c r="E3040">
        <v>2011</v>
      </c>
      <c r="F3040">
        <v>2011</v>
      </c>
      <c r="G3040" t="str">
        <f>IFERROR(INDEX(Formulations[Formulation],MATCH($C3040,Formulations[Product Code],0)),"")</f>
        <v/>
      </c>
    </row>
    <row r="3041" spans="1:7" x14ac:dyDescent="0.3">
      <c r="A3041" t="s">
        <v>2380</v>
      </c>
      <c r="B3041" t="s">
        <v>359</v>
      </c>
      <c r="C3041" t="s">
        <v>207</v>
      </c>
      <c r="D3041" s="7">
        <v>15</v>
      </c>
      <c r="E3041">
        <v>2011</v>
      </c>
      <c r="F3041">
        <v>2011</v>
      </c>
      <c r="G3041" t="str">
        <f>IFERROR(INDEX(Formulations[Formulation],MATCH($C3041,Formulations[Product Code],0)),"")</f>
        <v/>
      </c>
    </row>
    <row r="3042" spans="1:7" x14ac:dyDescent="0.3">
      <c r="A3042" t="s">
        <v>2380</v>
      </c>
      <c r="B3042" t="s">
        <v>1257</v>
      </c>
      <c r="C3042" t="s">
        <v>638</v>
      </c>
      <c r="D3042" s="7">
        <v>15</v>
      </c>
      <c r="E3042">
        <v>2011</v>
      </c>
      <c r="F3042">
        <v>2011</v>
      </c>
      <c r="G3042" t="str">
        <f>IFERROR(INDEX(Formulations[Formulation],MATCH($C3042,Formulations[Product Code],0)),"")</f>
        <v>Pure</v>
      </c>
    </row>
    <row r="3043" spans="1:7" x14ac:dyDescent="0.3">
      <c r="A3043" t="s">
        <v>2380</v>
      </c>
      <c r="B3043" t="s">
        <v>962</v>
      </c>
      <c r="C3043" t="s">
        <v>963</v>
      </c>
      <c r="D3043" s="7">
        <v>15</v>
      </c>
      <c r="E3043">
        <v>2010</v>
      </c>
      <c r="F3043">
        <v>2011</v>
      </c>
      <c r="G3043" t="str">
        <f>IFERROR(INDEX(Formulations[Formulation],MATCH($C3043,Formulations[Product Code],0)),"")</f>
        <v/>
      </c>
    </row>
    <row r="3044" spans="1:7" x14ac:dyDescent="0.3">
      <c r="A3044" t="s">
        <v>2380</v>
      </c>
      <c r="B3044" t="s">
        <v>1369</v>
      </c>
      <c r="C3044" t="s">
        <v>1370</v>
      </c>
      <c r="D3044" s="7">
        <v>15</v>
      </c>
      <c r="E3044">
        <v>2021</v>
      </c>
      <c r="F3044">
        <v>2021</v>
      </c>
      <c r="G3044" t="str">
        <f>IFERROR(INDEX(Formulations[Formulation],MATCH($C3044,Formulations[Product Code],0)),"")</f>
        <v>Pure</v>
      </c>
    </row>
    <row r="3045" spans="1:7" x14ac:dyDescent="0.3">
      <c r="A3045" t="s">
        <v>2380</v>
      </c>
      <c r="B3045" t="s">
        <v>2389</v>
      </c>
      <c r="C3045" t="s">
        <v>1064</v>
      </c>
      <c r="D3045" s="7">
        <v>15</v>
      </c>
      <c r="E3045">
        <v>2011</v>
      </c>
      <c r="F3045">
        <v>2011</v>
      </c>
      <c r="G3045" t="str">
        <f>IFERROR(INDEX(Formulations[Formulation],MATCH($C3045,Formulations[Product Code],0)),"")</f>
        <v/>
      </c>
    </row>
    <row r="3046" spans="1:7" x14ac:dyDescent="0.3">
      <c r="A3046" t="s">
        <v>2416</v>
      </c>
      <c r="B3046" t="s">
        <v>218</v>
      </c>
      <c r="C3046" t="s">
        <v>212</v>
      </c>
      <c r="D3046" s="7">
        <v>15</v>
      </c>
      <c r="E3046">
        <v>2013</v>
      </c>
      <c r="F3046">
        <v>2014</v>
      </c>
      <c r="G3046" t="str">
        <f>IFERROR(INDEX(Formulations[Formulation],MATCH($C3046,Formulations[Product Code],0)),"")</f>
        <v>Pure</v>
      </c>
    </row>
    <row r="3047" spans="1:7" x14ac:dyDescent="0.3">
      <c r="A3047" t="s">
        <v>2416</v>
      </c>
      <c r="B3047" t="s">
        <v>142</v>
      </c>
      <c r="C3047" t="s">
        <v>143</v>
      </c>
      <c r="D3047" s="7">
        <v>15</v>
      </c>
      <c r="E3047">
        <v>2015</v>
      </c>
      <c r="F3047">
        <v>2015</v>
      </c>
      <c r="G3047" t="str">
        <f>IFERROR(INDEX(Formulations[Formulation],MATCH($C3047,Formulations[Product Code],0)),"")</f>
        <v>Pure</v>
      </c>
    </row>
    <row r="3048" spans="1:7" x14ac:dyDescent="0.3">
      <c r="A3048" t="s">
        <v>2425</v>
      </c>
      <c r="B3048" t="s">
        <v>297</v>
      </c>
      <c r="C3048" t="s">
        <v>298</v>
      </c>
      <c r="D3048" s="7">
        <v>15</v>
      </c>
      <c r="E3048">
        <v>2011</v>
      </c>
      <c r="F3048">
        <v>2013</v>
      </c>
      <c r="G3048" t="str">
        <f>IFERROR(INDEX(Formulations[Formulation],MATCH($C3048,Formulations[Product Code],0)),"")</f>
        <v>Pure</v>
      </c>
    </row>
    <row r="3049" spans="1:7" x14ac:dyDescent="0.3">
      <c r="A3049" t="s">
        <v>2425</v>
      </c>
      <c r="B3049" t="s">
        <v>2156</v>
      </c>
      <c r="C3049" t="s">
        <v>515</v>
      </c>
      <c r="D3049" s="7">
        <v>15</v>
      </c>
      <c r="E3049">
        <v>2015</v>
      </c>
      <c r="F3049">
        <v>2016</v>
      </c>
      <c r="G3049" t="str">
        <f>IFERROR(INDEX(Formulations[Formulation],MATCH($C3049,Formulations[Product Code],0)),"")</f>
        <v>Crystal</v>
      </c>
    </row>
    <row r="3050" spans="1:7" x14ac:dyDescent="0.3">
      <c r="A3050" t="s">
        <v>2437</v>
      </c>
      <c r="B3050" t="s">
        <v>754</v>
      </c>
      <c r="C3050" t="s">
        <v>755</v>
      </c>
      <c r="D3050" s="7">
        <v>15</v>
      </c>
      <c r="E3050">
        <v>2020</v>
      </c>
      <c r="F3050">
        <v>2020</v>
      </c>
      <c r="G3050" t="str">
        <f>IFERROR(INDEX(Formulations[Formulation],MATCH($C3050,Formulations[Product Code],0)),"")</f>
        <v>Pure</v>
      </c>
    </row>
    <row r="3051" spans="1:7" x14ac:dyDescent="0.3">
      <c r="A3051" t="s">
        <v>2438</v>
      </c>
      <c r="B3051" t="s">
        <v>37</v>
      </c>
      <c r="D3051" s="7">
        <v>15</v>
      </c>
      <c r="E3051">
        <v>2019</v>
      </c>
      <c r="F3051">
        <v>2019</v>
      </c>
      <c r="G3051" t="str">
        <f>IFERROR(INDEX(Formulations[Formulation],MATCH($C3051,Formulations[Product Code],0)),"")</f>
        <v/>
      </c>
    </row>
    <row r="3052" spans="1:7" x14ac:dyDescent="0.3">
      <c r="A3052" t="s">
        <v>2442</v>
      </c>
      <c r="B3052" t="s">
        <v>99</v>
      </c>
      <c r="C3052" t="s">
        <v>100</v>
      </c>
      <c r="D3052" s="7">
        <v>15</v>
      </c>
      <c r="E3052">
        <v>2016</v>
      </c>
      <c r="F3052">
        <v>2017</v>
      </c>
      <c r="G3052" t="str">
        <f>IFERROR(INDEX(Formulations[Formulation],MATCH($C3052,Formulations[Product Code],0)),"")</f>
        <v>Crystal</v>
      </c>
    </row>
    <row r="3053" spans="1:7" x14ac:dyDescent="0.3">
      <c r="A3053" t="s">
        <v>2454</v>
      </c>
      <c r="B3053" t="s">
        <v>741</v>
      </c>
      <c r="C3053" t="s">
        <v>742</v>
      </c>
      <c r="D3053" s="7">
        <v>15</v>
      </c>
      <c r="E3053">
        <v>2016</v>
      </c>
      <c r="F3053">
        <v>2016</v>
      </c>
      <c r="G3053" t="str">
        <f>IFERROR(INDEX(Formulations[Formulation],MATCH($C3053,Formulations[Product Code],0)),"")</f>
        <v/>
      </c>
    </row>
    <row r="3054" spans="1:7" x14ac:dyDescent="0.3">
      <c r="A3054" t="s">
        <v>2505</v>
      </c>
      <c r="B3054" t="s">
        <v>255</v>
      </c>
      <c r="C3054" t="s">
        <v>256</v>
      </c>
      <c r="D3054" s="7">
        <v>15</v>
      </c>
      <c r="E3054">
        <v>2019</v>
      </c>
      <c r="F3054">
        <v>2019</v>
      </c>
      <c r="G3054" t="str">
        <f>IFERROR(INDEX(Formulations[Formulation],MATCH($C3054,Formulations[Product Code],0)),"")</f>
        <v/>
      </c>
    </row>
    <row r="3055" spans="1:7" x14ac:dyDescent="0.3">
      <c r="A3055" t="s">
        <v>2519</v>
      </c>
      <c r="B3055" t="s">
        <v>383</v>
      </c>
      <c r="C3055" t="s">
        <v>384</v>
      </c>
      <c r="D3055" s="7">
        <v>15</v>
      </c>
      <c r="E3055">
        <v>2020</v>
      </c>
      <c r="F3055">
        <v>2020</v>
      </c>
      <c r="G3055" t="str">
        <f>IFERROR(INDEX(Formulations[Formulation],MATCH($C3055,Formulations[Product Code],0)),"")</f>
        <v>Pure</v>
      </c>
    </row>
    <row r="3056" spans="1:7" x14ac:dyDescent="0.3">
      <c r="A3056" t="s">
        <v>2532</v>
      </c>
      <c r="B3056" t="s">
        <v>483</v>
      </c>
      <c r="C3056" t="s">
        <v>484</v>
      </c>
      <c r="D3056" s="7">
        <v>15</v>
      </c>
      <c r="E3056">
        <v>2020</v>
      </c>
      <c r="F3056">
        <v>2020</v>
      </c>
      <c r="G3056" t="str">
        <f>IFERROR(INDEX(Formulations[Formulation],MATCH($C3056,Formulations[Product Code],0)),"")</f>
        <v>Crystal</v>
      </c>
    </row>
    <row r="3057" spans="1:7" x14ac:dyDescent="0.3">
      <c r="A3057" t="s">
        <v>2538</v>
      </c>
      <c r="B3057" t="s">
        <v>35</v>
      </c>
      <c r="D3057" s="7">
        <v>15</v>
      </c>
      <c r="E3057">
        <v>2020</v>
      </c>
      <c r="F3057">
        <v>2020</v>
      </c>
      <c r="G3057" t="str">
        <f>IFERROR(INDEX(Formulations[Formulation],MATCH($C3057,Formulations[Product Code],0)),"")</f>
        <v/>
      </c>
    </row>
    <row r="3058" spans="1:7" x14ac:dyDescent="0.3">
      <c r="A3058" t="s">
        <v>2542</v>
      </c>
      <c r="B3058" t="s">
        <v>36</v>
      </c>
      <c r="D3058" s="7">
        <v>15</v>
      </c>
      <c r="E3058">
        <v>2019</v>
      </c>
      <c r="F3058">
        <v>2019</v>
      </c>
      <c r="G3058" t="str">
        <f>IFERROR(INDEX(Formulations[Formulation],MATCH($C3058,Formulations[Product Code],0)),"")</f>
        <v/>
      </c>
    </row>
    <row r="3059" spans="1:7" x14ac:dyDescent="0.3">
      <c r="A3059" t="s">
        <v>2542</v>
      </c>
      <c r="B3059" t="s">
        <v>37</v>
      </c>
      <c r="D3059" s="7">
        <v>15</v>
      </c>
      <c r="E3059">
        <v>2019</v>
      </c>
      <c r="F3059">
        <v>2019</v>
      </c>
      <c r="G3059" t="str">
        <f>IFERROR(INDEX(Formulations[Formulation],MATCH($C3059,Formulations[Product Code],0)),"")</f>
        <v/>
      </c>
    </row>
    <row r="3060" spans="1:7" x14ac:dyDescent="0.3">
      <c r="A3060" t="s">
        <v>2556</v>
      </c>
      <c r="B3060" t="s">
        <v>110</v>
      </c>
      <c r="C3060" t="s">
        <v>111</v>
      </c>
      <c r="D3060" s="7">
        <v>15</v>
      </c>
      <c r="E3060">
        <v>2020</v>
      </c>
      <c r="F3060">
        <v>2020</v>
      </c>
      <c r="G3060" t="str">
        <f>IFERROR(INDEX(Formulations[Formulation],MATCH($C3060,Formulations[Product Code],0)),"")</f>
        <v>75% Lemon Zeste, 25% lemon Top &amp; the Gold DPG)</v>
      </c>
    </row>
    <row r="3061" spans="1:7" x14ac:dyDescent="0.3">
      <c r="A3061" t="s">
        <v>2587</v>
      </c>
      <c r="B3061" t="s">
        <v>365</v>
      </c>
      <c r="C3061" t="s">
        <v>96</v>
      </c>
      <c r="D3061" s="7">
        <v>15</v>
      </c>
      <c r="E3061">
        <v>2021</v>
      </c>
      <c r="F3061">
        <v>2021</v>
      </c>
      <c r="G3061" t="str">
        <f>IFERROR(INDEX(Formulations[Formulation],MATCH($C3061,Formulations[Product Code],0)),"")</f>
        <v>9.2 kg oil and rest dpg</v>
      </c>
    </row>
    <row r="3062" spans="1:7" x14ac:dyDescent="0.3">
      <c r="A3062" t="s">
        <v>78</v>
      </c>
      <c r="B3062" t="s">
        <v>157</v>
      </c>
      <c r="C3062" t="s">
        <v>158</v>
      </c>
      <c r="D3062" s="7">
        <v>14.5</v>
      </c>
      <c r="E3062">
        <v>2019</v>
      </c>
      <c r="F3062">
        <v>2021</v>
      </c>
      <c r="G3062" t="str">
        <f>IFERROR(INDEX(Formulations[Formulation],MATCH($C3062,Formulations[Product Code],0)),"")</f>
        <v>Pure</v>
      </c>
    </row>
    <row r="3063" spans="1:7" x14ac:dyDescent="0.3">
      <c r="A3063" t="s">
        <v>659</v>
      </c>
      <c r="B3063" t="s">
        <v>35</v>
      </c>
      <c r="D3063" s="7">
        <v>14</v>
      </c>
      <c r="E3063">
        <v>2019</v>
      </c>
      <c r="F3063">
        <v>2019</v>
      </c>
      <c r="G3063" t="str">
        <f>IFERROR(INDEX(Formulations[Formulation],MATCH($C3063,Formulations[Product Code],0)),"")</f>
        <v/>
      </c>
    </row>
    <row r="3064" spans="1:7" x14ac:dyDescent="0.3">
      <c r="A3064" t="s">
        <v>1005</v>
      </c>
      <c r="B3064" t="s">
        <v>68</v>
      </c>
      <c r="C3064" t="s">
        <v>69</v>
      </c>
      <c r="D3064" s="7">
        <v>14</v>
      </c>
      <c r="E3064">
        <v>2015</v>
      </c>
      <c r="F3064">
        <v>2015</v>
      </c>
      <c r="G3064" t="str">
        <f>IFERROR(INDEX(Formulations[Formulation],MATCH($C3064,Formulations[Product Code],0)),"")</f>
        <v>Silver</v>
      </c>
    </row>
    <row r="3065" spans="1:7" x14ac:dyDescent="0.3">
      <c r="A3065" t="s">
        <v>1407</v>
      </c>
      <c r="B3065" t="s">
        <v>117</v>
      </c>
      <c r="C3065" t="s">
        <v>118</v>
      </c>
      <c r="D3065" s="7">
        <v>14</v>
      </c>
      <c r="E3065">
        <v>2019</v>
      </c>
      <c r="F3065">
        <v>2019</v>
      </c>
      <c r="G3065" t="str">
        <f>IFERROR(INDEX(Formulations[Formulation],MATCH($C3065,Formulations[Product Code],0)),"")</f>
        <v>Silver</v>
      </c>
    </row>
    <row r="3066" spans="1:7" x14ac:dyDescent="0.3">
      <c r="A3066" t="s">
        <v>1407</v>
      </c>
      <c r="B3066" t="s">
        <v>1004</v>
      </c>
      <c r="C3066" t="s">
        <v>197</v>
      </c>
      <c r="D3066" s="7">
        <v>14</v>
      </c>
      <c r="E3066">
        <v>2019</v>
      </c>
      <c r="F3066">
        <v>2019</v>
      </c>
      <c r="G3066" t="str">
        <f>IFERROR(INDEX(Formulations[Formulation],MATCH($C3066,Formulations[Product Code],0)),"")</f>
        <v/>
      </c>
    </row>
    <row r="3067" spans="1:7" x14ac:dyDescent="0.3">
      <c r="A3067" t="s">
        <v>1901</v>
      </c>
      <c r="B3067" t="s">
        <v>1167</v>
      </c>
      <c r="C3067" t="s">
        <v>102</v>
      </c>
      <c r="D3067" s="7">
        <v>14</v>
      </c>
      <c r="E3067">
        <v>2020</v>
      </c>
      <c r="F3067">
        <v>2021</v>
      </c>
      <c r="G3067" t="str">
        <f>IFERROR(INDEX(Formulations[Formulation],MATCH($C3067,Formulations[Product Code],0)),"")</f>
        <v>Gold</v>
      </c>
    </row>
    <row r="3068" spans="1:7" x14ac:dyDescent="0.3">
      <c r="A3068" t="s">
        <v>1945</v>
      </c>
      <c r="B3068" t="s">
        <v>591</v>
      </c>
      <c r="C3068" t="s">
        <v>592</v>
      </c>
      <c r="D3068" s="7">
        <v>14</v>
      </c>
      <c r="E3068">
        <v>2019</v>
      </c>
      <c r="F3068">
        <v>2020</v>
      </c>
      <c r="G3068" t="str">
        <f>IFERROR(INDEX(Formulations[Formulation],MATCH($C3068,Formulations[Product Code],0)),"")</f>
        <v>20% Oil</v>
      </c>
    </row>
    <row r="3069" spans="1:7" x14ac:dyDescent="0.3">
      <c r="A3069" t="s">
        <v>1945</v>
      </c>
      <c r="B3069" t="s">
        <v>72</v>
      </c>
      <c r="C3069" t="s">
        <v>319</v>
      </c>
      <c r="D3069" s="7">
        <v>14</v>
      </c>
      <c r="E3069">
        <v>2018</v>
      </c>
      <c r="F3069">
        <v>2021</v>
      </c>
      <c r="G3069" t="str">
        <f>IFERROR(INDEX(Formulations[Formulation],MATCH($C3069,Formulations[Product Code],0)),"")</f>
        <v>Pure</v>
      </c>
    </row>
    <row r="3070" spans="1:7" x14ac:dyDescent="0.3">
      <c r="A3070" t="s">
        <v>2220</v>
      </c>
      <c r="B3070" t="s">
        <v>2221</v>
      </c>
      <c r="C3070" t="s">
        <v>998</v>
      </c>
      <c r="D3070" s="7">
        <v>14</v>
      </c>
      <c r="E3070">
        <v>2014</v>
      </c>
      <c r="F3070">
        <v>2014</v>
      </c>
      <c r="G3070" t="str">
        <f>IFERROR(INDEX(Formulations[Formulation],MATCH($C3070,Formulations[Product Code],0)),"")</f>
        <v/>
      </c>
    </row>
    <row r="3071" spans="1:7" x14ac:dyDescent="0.3">
      <c r="A3071" t="s">
        <v>2262</v>
      </c>
      <c r="B3071" t="s">
        <v>84</v>
      </c>
      <c r="C3071" t="s">
        <v>85</v>
      </c>
      <c r="D3071" s="7">
        <v>14</v>
      </c>
      <c r="E3071">
        <v>2017</v>
      </c>
      <c r="F3071">
        <v>2018</v>
      </c>
      <c r="G3071" t="str">
        <f>IFERROR(INDEX(Formulations[Formulation],MATCH($C3071,Formulations[Product Code],0)),"")</f>
        <v>Pure</v>
      </c>
    </row>
    <row r="3072" spans="1:7" x14ac:dyDescent="0.3">
      <c r="A3072" t="s">
        <v>2262</v>
      </c>
      <c r="B3072" t="s">
        <v>72</v>
      </c>
      <c r="C3072" t="s">
        <v>73</v>
      </c>
      <c r="D3072" s="7">
        <v>14</v>
      </c>
      <c r="E3072">
        <v>2017</v>
      </c>
      <c r="F3072">
        <v>2018</v>
      </c>
      <c r="G3072" t="str">
        <f>IFERROR(INDEX(Formulations[Formulation],MATCH($C3072,Formulations[Product Code],0)),"")</f>
        <v>Silver</v>
      </c>
    </row>
    <row r="3073" spans="1:7" x14ac:dyDescent="0.3">
      <c r="A3073" t="s">
        <v>2354</v>
      </c>
      <c r="B3073" t="s">
        <v>642</v>
      </c>
      <c r="D3073" s="7">
        <v>14</v>
      </c>
      <c r="E3073">
        <v>2019</v>
      </c>
      <c r="F3073">
        <v>2019</v>
      </c>
      <c r="G3073" t="str">
        <f>IFERROR(INDEX(Formulations[Formulation],MATCH($C3073,Formulations[Product Code],0)),"")</f>
        <v/>
      </c>
    </row>
    <row r="3074" spans="1:7" x14ac:dyDescent="0.3">
      <c r="A3074" t="s">
        <v>2380</v>
      </c>
      <c r="B3074" t="s">
        <v>157</v>
      </c>
      <c r="C3074" t="s">
        <v>158</v>
      </c>
      <c r="D3074" s="7">
        <v>14</v>
      </c>
      <c r="E3074">
        <v>2019</v>
      </c>
      <c r="F3074">
        <v>2021</v>
      </c>
      <c r="G3074" t="str">
        <f>IFERROR(INDEX(Formulations[Formulation],MATCH($C3074,Formulations[Product Code],0)),"")</f>
        <v>Pure</v>
      </c>
    </row>
    <row r="3075" spans="1:7" x14ac:dyDescent="0.3">
      <c r="A3075" t="s">
        <v>2416</v>
      </c>
      <c r="B3075" t="s">
        <v>555</v>
      </c>
      <c r="C3075" t="s">
        <v>259</v>
      </c>
      <c r="D3075" s="7">
        <v>14</v>
      </c>
      <c r="E3075">
        <v>2016</v>
      </c>
      <c r="F3075">
        <v>2018</v>
      </c>
      <c r="G3075" t="str">
        <f>IFERROR(INDEX(Formulations[Formulation],MATCH($C3075,Formulations[Product Code],0)),"")</f>
        <v>Pure</v>
      </c>
    </row>
    <row r="3076" spans="1:7" x14ac:dyDescent="0.3">
      <c r="A3076" t="s">
        <v>2519</v>
      </c>
      <c r="B3076" t="s">
        <v>2164</v>
      </c>
      <c r="C3076" t="s">
        <v>2165</v>
      </c>
      <c r="D3076" s="7">
        <v>14</v>
      </c>
      <c r="E3076">
        <v>2019</v>
      </c>
      <c r="F3076">
        <v>2020</v>
      </c>
      <c r="G3076" t="str">
        <f>IFERROR(INDEX(Formulations[Formulation],MATCH($C3076,Formulations[Product Code],0)),"")</f>
        <v>Silver</v>
      </c>
    </row>
    <row r="3077" spans="1:7" x14ac:dyDescent="0.3">
      <c r="A3077" t="s">
        <v>2589</v>
      </c>
      <c r="B3077" t="s">
        <v>581</v>
      </c>
      <c r="C3077" t="s">
        <v>582</v>
      </c>
      <c r="D3077" s="7">
        <v>14</v>
      </c>
      <c r="E3077">
        <v>2015</v>
      </c>
      <c r="F3077">
        <v>2018</v>
      </c>
      <c r="G3077" t="str">
        <f>IFERROR(INDEX(Formulations[Formulation],MATCH($C3077,Formulations[Product Code],0)),"")</f>
        <v/>
      </c>
    </row>
    <row r="3078" spans="1:7" x14ac:dyDescent="0.3">
      <c r="A3078" t="s">
        <v>2454</v>
      </c>
      <c r="B3078" t="s">
        <v>203</v>
      </c>
      <c r="C3078" t="s">
        <v>204</v>
      </c>
      <c r="D3078" s="7">
        <v>13.1</v>
      </c>
      <c r="E3078">
        <v>2016</v>
      </c>
      <c r="F3078">
        <v>2016</v>
      </c>
      <c r="G3078" t="str">
        <f>IFERROR(INDEX(Formulations[Formulation],MATCH($C3078,Formulations[Product Code],0)),"")</f>
        <v/>
      </c>
    </row>
    <row r="3079" spans="1:7" x14ac:dyDescent="0.3">
      <c r="A3079" t="s">
        <v>50</v>
      </c>
      <c r="B3079" t="s">
        <v>76</v>
      </c>
      <c r="C3079" t="s">
        <v>77</v>
      </c>
      <c r="D3079" s="7">
        <v>13</v>
      </c>
      <c r="E3079">
        <v>2019</v>
      </c>
      <c r="F3079">
        <v>2021</v>
      </c>
      <c r="G3079" t="str">
        <f>IFERROR(INDEX(Formulations[Formulation],MATCH($C3079,Formulations[Product Code],0)),"")</f>
        <v>Silver</v>
      </c>
    </row>
    <row r="3080" spans="1:7" x14ac:dyDescent="0.3">
      <c r="A3080" t="s">
        <v>273</v>
      </c>
      <c r="B3080" t="s">
        <v>290</v>
      </c>
      <c r="C3080" t="s">
        <v>57</v>
      </c>
      <c r="D3080" s="7">
        <v>13</v>
      </c>
      <c r="E3080">
        <v>2015</v>
      </c>
      <c r="F3080">
        <v>2015</v>
      </c>
      <c r="G3080" t="str">
        <f>IFERROR(INDEX(Formulations[Formulation],MATCH($C3080,Formulations[Product Code],0)),"")</f>
        <v/>
      </c>
    </row>
    <row r="3081" spans="1:7" x14ac:dyDescent="0.3">
      <c r="A3081" t="s">
        <v>501</v>
      </c>
      <c r="B3081" t="s">
        <v>29</v>
      </c>
      <c r="D3081" s="7">
        <v>13</v>
      </c>
      <c r="E3081">
        <v>2018</v>
      </c>
      <c r="F3081">
        <v>2018</v>
      </c>
      <c r="G3081" t="str">
        <f>IFERROR(INDEX(Formulations[Formulation],MATCH($C3081,Formulations[Product Code],0)),"")</f>
        <v/>
      </c>
    </row>
    <row r="3082" spans="1:7" x14ac:dyDescent="0.3">
      <c r="A3082" t="s">
        <v>923</v>
      </c>
      <c r="B3082" t="s">
        <v>135</v>
      </c>
      <c r="C3082" t="s">
        <v>136</v>
      </c>
      <c r="D3082" s="7">
        <v>13</v>
      </c>
      <c r="E3082">
        <v>2015</v>
      </c>
      <c r="F3082">
        <v>2016</v>
      </c>
      <c r="G3082" t="str">
        <f>IFERROR(INDEX(Formulations[Formulation],MATCH($C3082,Formulations[Product Code],0)),"")</f>
        <v/>
      </c>
    </row>
    <row r="3083" spans="1:7" x14ac:dyDescent="0.3">
      <c r="A3083" t="s">
        <v>944</v>
      </c>
      <c r="B3083" t="s">
        <v>99</v>
      </c>
      <c r="C3083" t="s">
        <v>100</v>
      </c>
      <c r="D3083" s="7">
        <v>13</v>
      </c>
      <c r="E3083">
        <v>2010</v>
      </c>
      <c r="F3083">
        <v>2011</v>
      </c>
      <c r="G3083" t="str">
        <f>IFERROR(INDEX(Formulations[Formulation],MATCH($C3083,Formulations[Product Code],0)),"")</f>
        <v>Crystal</v>
      </c>
    </row>
    <row r="3084" spans="1:7" x14ac:dyDescent="0.3">
      <c r="A3084" t="s">
        <v>1353</v>
      </c>
      <c r="B3084" t="s">
        <v>46</v>
      </c>
      <c r="C3084" t="s">
        <v>47</v>
      </c>
      <c r="D3084" s="7">
        <v>13</v>
      </c>
      <c r="E3084">
        <v>2017</v>
      </c>
      <c r="F3084">
        <v>2017</v>
      </c>
      <c r="G3084" t="str">
        <f>IFERROR(INDEX(Formulations[Formulation],MATCH($C3084,Formulations[Product Code],0)),"")</f>
        <v/>
      </c>
    </row>
    <row r="3085" spans="1:7" x14ac:dyDescent="0.3">
      <c r="A3085" t="s">
        <v>1356</v>
      </c>
      <c r="B3085" t="s">
        <v>203</v>
      </c>
      <c r="C3085" t="s">
        <v>204</v>
      </c>
      <c r="D3085" s="7">
        <v>13</v>
      </c>
      <c r="E3085">
        <v>2015</v>
      </c>
      <c r="F3085">
        <v>2017</v>
      </c>
      <c r="G3085" t="str">
        <f>IFERROR(INDEX(Formulations[Formulation],MATCH($C3085,Formulations[Product Code],0)),"")</f>
        <v/>
      </c>
    </row>
    <row r="3086" spans="1:7" x14ac:dyDescent="0.3">
      <c r="A3086" t="s">
        <v>1431</v>
      </c>
      <c r="B3086" t="s">
        <v>542</v>
      </c>
      <c r="C3086" t="s">
        <v>160</v>
      </c>
      <c r="D3086" s="7">
        <v>13</v>
      </c>
      <c r="E3086">
        <v>2018</v>
      </c>
      <c r="F3086">
        <v>2019</v>
      </c>
      <c r="G3086" t="str">
        <f>IFERROR(INDEX(Formulations[Formulation],MATCH($C3086,Formulations[Product Code],0)),"")</f>
        <v>Silver</v>
      </c>
    </row>
    <row r="3087" spans="1:7" x14ac:dyDescent="0.3">
      <c r="A3087" t="s">
        <v>1848</v>
      </c>
      <c r="B3087" t="s">
        <v>754</v>
      </c>
      <c r="C3087" t="s">
        <v>755</v>
      </c>
      <c r="D3087" s="7">
        <v>13</v>
      </c>
      <c r="E3087">
        <v>2020</v>
      </c>
      <c r="F3087">
        <v>2021</v>
      </c>
      <c r="G3087" t="str">
        <f>IFERROR(INDEX(Formulations[Formulation],MATCH($C3087,Formulations[Product Code],0)),"")</f>
        <v>Pure</v>
      </c>
    </row>
    <row r="3088" spans="1:7" x14ac:dyDescent="0.3">
      <c r="A3088" t="s">
        <v>1895</v>
      </c>
      <c r="B3088" t="s">
        <v>36</v>
      </c>
      <c r="D3088" s="7">
        <v>13</v>
      </c>
      <c r="E3088">
        <v>2018</v>
      </c>
      <c r="F3088">
        <v>2018</v>
      </c>
      <c r="G3088" t="str">
        <f>IFERROR(INDEX(Formulations[Formulation],MATCH($C3088,Formulations[Product Code],0)),"")</f>
        <v/>
      </c>
    </row>
    <row r="3089" spans="1:7" x14ac:dyDescent="0.3">
      <c r="A3089" t="s">
        <v>1945</v>
      </c>
      <c r="B3089" t="s">
        <v>263</v>
      </c>
      <c r="C3089" t="s">
        <v>264</v>
      </c>
      <c r="D3089" s="7">
        <v>13</v>
      </c>
      <c r="E3089">
        <v>2019</v>
      </c>
      <c r="F3089">
        <v>2020</v>
      </c>
      <c r="G3089" t="str">
        <f>IFERROR(INDEX(Formulations[Formulation],MATCH($C3089,Formulations[Product Code],0)),"")</f>
        <v>Silver</v>
      </c>
    </row>
    <row r="3090" spans="1:7" x14ac:dyDescent="0.3">
      <c r="A3090" t="s">
        <v>2020</v>
      </c>
      <c r="B3090" t="s">
        <v>56</v>
      </c>
      <c r="C3090" t="s">
        <v>57</v>
      </c>
      <c r="D3090" s="7">
        <v>13</v>
      </c>
      <c r="E3090">
        <v>2019</v>
      </c>
      <c r="F3090">
        <v>2019</v>
      </c>
      <c r="G3090" t="str">
        <f>IFERROR(INDEX(Formulations[Formulation],MATCH($C3090,Formulations[Product Code],0)),"")</f>
        <v/>
      </c>
    </row>
    <row r="3091" spans="1:7" x14ac:dyDescent="0.3">
      <c r="A3091" t="s">
        <v>2176</v>
      </c>
      <c r="B3091" t="s">
        <v>1412</v>
      </c>
      <c r="D3091" s="7">
        <v>13</v>
      </c>
      <c r="E3091">
        <v>2020</v>
      </c>
      <c r="F3091">
        <v>2021</v>
      </c>
      <c r="G3091" t="str">
        <f>IFERROR(INDEX(Formulations[Formulation],MATCH($C3091,Formulations[Product Code],0)),"")</f>
        <v/>
      </c>
    </row>
    <row r="3092" spans="1:7" x14ac:dyDescent="0.3">
      <c r="A3092" t="s">
        <v>2330</v>
      </c>
      <c r="B3092" t="s">
        <v>174</v>
      </c>
      <c r="C3092" t="s">
        <v>175</v>
      </c>
      <c r="D3092" s="7">
        <v>13</v>
      </c>
      <c r="E3092">
        <v>2016</v>
      </c>
      <c r="F3092">
        <v>2016</v>
      </c>
      <c r="G3092" t="str">
        <f>IFERROR(INDEX(Formulations[Formulation],MATCH($C3092,Formulations[Product Code],0)),"")</f>
        <v/>
      </c>
    </row>
    <row r="3093" spans="1:7" x14ac:dyDescent="0.3">
      <c r="A3093" t="s">
        <v>2465</v>
      </c>
      <c r="B3093" t="s">
        <v>2466</v>
      </c>
      <c r="D3093" s="7">
        <v>13</v>
      </c>
      <c r="E3093">
        <v>2012</v>
      </c>
      <c r="F3093">
        <v>2012</v>
      </c>
      <c r="G3093" t="str">
        <f>IFERROR(INDEX(Formulations[Formulation],MATCH($C3093,Formulations[Product Code],0)),"")</f>
        <v/>
      </c>
    </row>
    <row r="3094" spans="1:7" x14ac:dyDescent="0.3">
      <c r="A3094" t="s">
        <v>2483</v>
      </c>
      <c r="B3094" t="s">
        <v>2484</v>
      </c>
      <c r="D3094" s="7">
        <v>13</v>
      </c>
      <c r="E3094">
        <v>2011</v>
      </c>
      <c r="F3094">
        <v>2011</v>
      </c>
      <c r="G3094" t="str">
        <f>IFERROR(INDEX(Formulations[Formulation],MATCH($C3094,Formulations[Product Code],0)),"")</f>
        <v/>
      </c>
    </row>
    <row r="3095" spans="1:7" x14ac:dyDescent="0.3">
      <c r="A3095" t="s">
        <v>2505</v>
      </c>
      <c r="B3095" t="s">
        <v>2508</v>
      </c>
      <c r="C3095" t="s">
        <v>1780</v>
      </c>
      <c r="D3095" s="7">
        <v>13</v>
      </c>
      <c r="E3095">
        <v>2018</v>
      </c>
      <c r="F3095">
        <v>2018</v>
      </c>
      <c r="G3095" t="str">
        <f>IFERROR(INDEX(Formulations[Formulation],MATCH($C3095,Formulations[Product Code],0)),"")</f>
        <v/>
      </c>
    </row>
    <row r="3096" spans="1:7" x14ac:dyDescent="0.3">
      <c r="A3096" t="s">
        <v>1005</v>
      </c>
      <c r="B3096" t="s">
        <v>174</v>
      </c>
      <c r="C3096" t="s">
        <v>175</v>
      </c>
      <c r="D3096" s="7">
        <v>12</v>
      </c>
      <c r="E3096">
        <v>2015</v>
      </c>
      <c r="F3096">
        <v>2016</v>
      </c>
      <c r="G3096" t="str">
        <f>IFERROR(INDEX(Formulations[Formulation],MATCH($C3096,Formulations[Product Code],0)),"")</f>
        <v/>
      </c>
    </row>
    <row r="3097" spans="1:7" x14ac:dyDescent="0.3">
      <c r="A3097" t="s">
        <v>1463</v>
      </c>
      <c r="B3097" t="s">
        <v>1549</v>
      </c>
      <c r="D3097" s="7">
        <v>12</v>
      </c>
      <c r="E3097">
        <v>2012</v>
      </c>
      <c r="F3097">
        <v>2012</v>
      </c>
      <c r="G3097" t="str">
        <f>IFERROR(INDEX(Formulations[Formulation],MATCH($C3097,Formulations[Product Code],0)),"")</f>
        <v/>
      </c>
    </row>
    <row r="3098" spans="1:7" x14ac:dyDescent="0.3">
      <c r="A3098" t="s">
        <v>1746</v>
      </c>
      <c r="B3098" t="s">
        <v>1151</v>
      </c>
      <c r="C3098" t="s">
        <v>1152</v>
      </c>
      <c r="D3098" s="7">
        <v>12</v>
      </c>
      <c r="E3098">
        <v>2021</v>
      </c>
      <c r="F3098">
        <v>2021</v>
      </c>
      <c r="G3098" t="str">
        <f>IFERROR(INDEX(Formulations[Formulation],MATCH($C3098,Formulations[Product Code],0)),"")</f>
        <v>40% oil</v>
      </c>
    </row>
    <row r="3099" spans="1:7" x14ac:dyDescent="0.3">
      <c r="A3099" t="s">
        <v>1761</v>
      </c>
      <c r="B3099" t="s">
        <v>841</v>
      </c>
      <c r="C3099" t="s">
        <v>169</v>
      </c>
      <c r="D3099" s="7">
        <v>12</v>
      </c>
      <c r="E3099">
        <v>2019</v>
      </c>
      <c r="F3099">
        <v>2020</v>
      </c>
      <c r="G3099" t="str">
        <f>IFERROR(INDEX(Formulations[Formulation],MATCH($C3099,Formulations[Product Code],0)),"")</f>
        <v>Silver</v>
      </c>
    </row>
    <row r="3100" spans="1:7" x14ac:dyDescent="0.3">
      <c r="A3100" t="s">
        <v>1932</v>
      </c>
      <c r="B3100" t="s">
        <v>99</v>
      </c>
      <c r="C3100" t="s">
        <v>100</v>
      </c>
      <c r="D3100" s="7">
        <v>12</v>
      </c>
      <c r="E3100">
        <v>2017</v>
      </c>
      <c r="F3100">
        <v>2020</v>
      </c>
      <c r="G3100" t="str">
        <f>IFERROR(INDEX(Formulations[Formulation],MATCH($C3100,Formulations[Product Code],0)),"")</f>
        <v>Crystal</v>
      </c>
    </row>
    <row r="3101" spans="1:7" x14ac:dyDescent="0.3">
      <c r="A3101" t="s">
        <v>1958</v>
      </c>
      <c r="B3101" t="s">
        <v>99</v>
      </c>
      <c r="C3101" t="s">
        <v>100</v>
      </c>
      <c r="D3101" s="7">
        <v>12</v>
      </c>
      <c r="E3101">
        <v>2019</v>
      </c>
      <c r="F3101">
        <v>2019</v>
      </c>
      <c r="G3101" t="str">
        <f>IFERROR(INDEX(Formulations[Formulation],MATCH($C3101,Formulations[Product Code],0)),"")</f>
        <v>Crystal</v>
      </c>
    </row>
    <row r="3102" spans="1:7" x14ac:dyDescent="0.3">
      <c r="A3102" t="s">
        <v>1958</v>
      </c>
      <c r="B3102" t="s">
        <v>117</v>
      </c>
      <c r="C3102" t="s">
        <v>118</v>
      </c>
      <c r="D3102" s="7">
        <v>12</v>
      </c>
      <c r="E3102">
        <v>2018</v>
      </c>
      <c r="F3102">
        <v>2019</v>
      </c>
      <c r="G3102" t="str">
        <f>IFERROR(INDEX(Formulations[Formulation],MATCH($C3102,Formulations[Product Code],0)),"")</f>
        <v>Silver</v>
      </c>
    </row>
    <row r="3103" spans="1:7" x14ac:dyDescent="0.3">
      <c r="A3103" t="s">
        <v>1984</v>
      </c>
      <c r="B3103" t="s">
        <v>2004</v>
      </c>
      <c r="C3103" t="s">
        <v>2005</v>
      </c>
      <c r="D3103" s="7">
        <v>12</v>
      </c>
      <c r="E3103">
        <v>2011</v>
      </c>
      <c r="F3103">
        <v>2012</v>
      </c>
      <c r="G3103" t="str">
        <f>IFERROR(INDEX(Formulations[Formulation],MATCH($C3103,Formulations[Product Code],0)),"")</f>
        <v/>
      </c>
    </row>
    <row r="3104" spans="1:7" x14ac:dyDescent="0.3">
      <c r="A3104" t="s">
        <v>2519</v>
      </c>
      <c r="B3104" t="s">
        <v>196</v>
      </c>
      <c r="C3104" t="s">
        <v>197</v>
      </c>
      <c r="D3104" s="7">
        <v>12</v>
      </c>
      <c r="E3104">
        <v>2018</v>
      </c>
      <c r="F3104">
        <v>2019</v>
      </c>
      <c r="G3104" t="str">
        <f>IFERROR(INDEX(Formulations[Formulation],MATCH($C3104,Formulations[Product Code],0)),"")</f>
        <v/>
      </c>
    </row>
    <row r="3105" spans="1:7" x14ac:dyDescent="0.3">
      <c r="A3105" t="s">
        <v>2532</v>
      </c>
      <c r="B3105" t="s">
        <v>35</v>
      </c>
      <c r="D3105" s="7">
        <v>12</v>
      </c>
      <c r="E3105">
        <v>2020</v>
      </c>
      <c r="F3105">
        <v>2020</v>
      </c>
      <c r="G3105" t="str">
        <f>IFERROR(INDEX(Formulations[Formulation],MATCH($C3105,Formulations[Product Code],0)),"")</f>
        <v/>
      </c>
    </row>
    <row r="3106" spans="1:7" x14ac:dyDescent="0.3">
      <c r="A3106" t="s">
        <v>2591</v>
      </c>
      <c r="B3106" t="s">
        <v>29</v>
      </c>
      <c r="D3106" s="7">
        <v>12</v>
      </c>
      <c r="E3106">
        <v>2016</v>
      </c>
      <c r="F3106">
        <v>2016</v>
      </c>
      <c r="G3106" t="str">
        <f>IFERROR(INDEX(Formulations[Formulation],MATCH($C3106,Formulations[Product Code],0)),"")</f>
        <v/>
      </c>
    </row>
    <row r="3107" spans="1:7" x14ac:dyDescent="0.3">
      <c r="A3107" t="s">
        <v>1439</v>
      </c>
      <c r="B3107" t="s">
        <v>1445</v>
      </c>
      <c r="D3107" s="7">
        <v>11.5</v>
      </c>
      <c r="E3107">
        <v>2011</v>
      </c>
      <c r="F3107">
        <v>2011</v>
      </c>
      <c r="G3107" t="str">
        <f>IFERROR(INDEX(Formulations[Formulation],MATCH($C3107,Formulations[Product Code],0)),"")</f>
        <v/>
      </c>
    </row>
    <row r="3108" spans="1:7" x14ac:dyDescent="0.3">
      <c r="A3108" t="s">
        <v>923</v>
      </c>
      <c r="B3108" t="s">
        <v>674</v>
      </c>
      <c r="C3108" t="s">
        <v>675</v>
      </c>
      <c r="D3108" s="7">
        <v>11</v>
      </c>
      <c r="E3108">
        <v>2020</v>
      </c>
      <c r="F3108">
        <v>2020</v>
      </c>
      <c r="G3108" t="str">
        <f>IFERROR(INDEX(Formulations[Formulation],MATCH($C3108,Formulations[Product Code],0)),"")</f>
        <v>Crystal</v>
      </c>
    </row>
    <row r="3109" spans="1:7" x14ac:dyDescent="0.3">
      <c r="A3109" t="s">
        <v>941</v>
      </c>
      <c r="B3109" t="s">
        <v>642</v>
      </c>
      <c r="D3109" s="7">
        <v>11</v>
      </c>
      <c r="E3109">
        <v>2019</v>
      </c>
      <c r="F3109">
        <v>2021</v>
      </c>
      <c r="G3109" t="str">
        <f>IFERROR(INDEX(Formulations[Formulation],MATCH($C3109,Formulations[Product Code],0)),"")</f>
        <v/>
      </c>
    </row>
    <row r="3110" spans="1:7" x14ac:dyDescent="0.3">
      <c r="A3110" t="s">
        <v>941</v>
      </c>
      <c r="B3110" t="s">
        <v>36</v>
      </c>
      <c r="D3110" s="7">
        <v>11</v>
      </c>
      <c r="E3110">
        <v>2017</v>
      </c>
      <c r="F3110">
        <v>2020</v>
      </c>
      <c r="G3110" t="str">
        <f>IFERROR(INDEX(Formulations[Formulation],MATCH($C3110,Formulations[Product Code],0)),"")</f>
        <v/>
      </c>
    </row>
    <row r="3111" spans="1:7" x14ac:dyDescent="0.3">
      <c r="A3111" t="s">
        <v>944</v>
      </c>
      <c r="B3111" t="s">
        <v>393</v>
      </c>
      <c r="C3111" t="s">
        <v>947</v>
      </c>
      <c r="D3111" s="7">
        <v>11</v>
      </c>
      <c r="E3111">
        <v>2010</v>
      </c>
      <c r="F3111">
        <v>2010</v>
      </c>
      <c r="G3111" t="str">
        <f>IFERROR(INDEX(Formulations[Formulation],MATCH($C3111,Formulations[Product Code],0)),"")</f>
        <v/>
      </c>
    </row>
    <row r="3112" spans="1:7" x14ac:dyDescent="0.3">
      <c r="A3112" t="s">
        <v>944</v>
      </c>
      <c r="B3112" t="s">
        <v>386</v>
      </c>
      <c r="C3112" t="s">
        <v>387</v>
      </c>
      <c r="D3112" s="7">
        <v>11</v>
      </c>
      <c r="E3112">
        <v>2010</v>
      </c>
      <c r="F3112">
        <v>2011</v>
      </c>
      <c r="G3112" t="str">
        <f>IFERROR(INDEX(Formulations[Formulation],MATCH($C3112,Formulations[Product Code],0)),"")</f>
        <v/>
      </c>
    </row>
    <row r="3113" spans="1:7" x14ac:dyDescent="0.3">
      <c r="A3113" t="s">
        <v>1000</v>
      </c>
      <c r="B3113" t="s">
        <v>649</v>
      </c>
      <c r="C3113" t="s">
        <v>650</v>
      </c>
      <c r="D3113" s="7">
        <v>11</v>
      </c>
      <c r="E3113">
        <v>2019</v>
      </c>
      <c r="F3113">
        <v>2019</v>
      </c>
      <c r="G3113" t="str">
        <f>IFERROR(INDEX(Formulations[Formulation],MATCH($C3113,Formulations[Product Code],0)),"")</f>
        <v>Pure</v>
      </c>
    </row>
    <row r="3114" spans="1:7" x14ac:dyDescent="0.3">
      <c r="A3114" t="s">
        <v>1005</v>
      </c>
      <c r="B3114" t="s">
        <v>867</v>
      </c>
      <c r="C3114" t="s">
        <v>868</v>
      </c>
      <c r="D3114" s="7">
        <v>11</v>
      </c>
      <c r="E3114">
        <v>2015</v>
      </c>
      <c r="F3114">
        <v>2015</v>
      </c>
      <c r="G3114" t="str">
        <f>IFERROR(INDEX(Formulations[Formulation],MATCH($C3114,Formulations[Product Code],0)),"")</f>
        <v>Crystal</v>
      </c>
    </row>
    <row r="3115" spans="1:7" x14ac:dyDescent="0.3">
      <c r="A3115" t="s">
        <v>1175</v>
      </c>
      <c r="B3115" t="s">
        <v>635</v>
      </c>
      <c r="C3115" t="s">
        <v>636</v>
      </c>
      <c r="D3115" s="7">
        <v>11</v>
      </c>
      <c r="E3115">
        <v>2019</v>
      </c>
      <c r="F3115">
        <v>2020</v>
      </c>
      <c r="G3115" t="str">
        <f>IFERROR(INDEX(Formulations[Formulation],MATCH($C3115,Formulations[Product Code],0)),"")</f>
        <v>Pure</v>
      </c>
    </row>
    <row r="3116" spans="1:7" x14ac:dyDescent="0.3">
      <c r="A3116" t="s">
        <v>1226</v>
      </c>
      <c r="B3116" t="s">
        <v>1246</v>
      </c>
      <c r="C3116" t="s">
        <v>927</v>
      </c>
      <c r="D3116" s="7">
        <v>11</v>
      </c>
      <c r="E3116">
        <v>2019</v>
      </c>
      <c r="F3116">
        <v>2019</v>
      </c>
      <c r="G3116" t="str">
        <f>IFERROR(INDEX(Formulations[Formulation],MATCH($C3116,Formulations[Product Code],0)),"")</f>
        <v/>
      </c>
    </row>
    <row r="3117" spans="1:7" x14ac:dyDescent="0.3">
      <c r="A3117" t="s">
        <v>1407</v>
      </c>
      <c r="B3117" t="s">
        <v>551</v>
      </c>
      <c r="D3117" s="7">
        <v>11</v>
      </c>
      <c r="E3117">
        <v>2019</v>
      </c>
      <c r="F3117">
        <v>2019</v>
      </c>
      <c r="G3117" t="str">
        <f>IFERROR(INDEX(Formulations[Formulation],MATCH($C3117,Formulations[Product Code],0)),"")</f>
        <v/>
      </c>
    </row>
    <row r="3118" spans="1:7" x14ac:dyDescent="0.3">
      <c r="A3118" t="s">
        <v>1407</v>
      </c>
      <c r="B3118" t="s">
        <v>446</v>
      </c>
      <c r="C3118" t="s">
        <v>447</v>
      </c>
      <c r="D3118" s="7">
        <v>11</v>
      </c>
      <c r="E3118">
        <v>2021</v>
      </c>
      <c r="F3118">
        <v>2021</v>
      </c>
      <c r="G3118" t="str">
        <f>IFERROR(INDEX(Formulations[Formulation],MATCH($C3118,Formulations[Product Code],0)),"")</f>
        <v>30% Key Oil</v>
      </c>
    </row>
    <row r="3119" spans="1:7" x14ac:dyDescent="0.3">
      <c r="A3119" t="s">
        <v>1407</v>
      </c>
      <c r="B3119" t="s">
        <v>189</v>
      </c>
      <c r="D3119" s="7">
        <v>11</v>
      </c>
      <c r="E3119">
        <v>2019</v>
      </c>
      <c r="F3119">
        <v>2020</v>
      </c>
      <c r="G3119" t="str">
        <f>IFERROR(INDEX(Formulations[Formulation],MATCH($C3119,Formulations[Product Code],0)),"")</f>
        <v/>
      </c>
    </row>
    <row r="3120" spans="1:7" x14ac:dyDescent="0.3">
      <c r="A3120" t="s">
        <v>1700</v>
      </c>
      <c r="B3120" t="s">
        <v>39</v>
      </c>
      <c r="D3120" s="7">
        <v>11</v>
      </c>
      <c r="E3120">
        <v>2016</v>
      </c>
      <c r="F3120">
        <v>2018</v>
      </c>
      <c r="G3120" t="str">
        <f>IFERROR(INDEX(Formulations[Formulation],MATCH($C3120,Formulations[Product Code],0)),"")</f>
        <v/>
      </c>
    </row>
    <row r="3121" spans="1:7" x14ac:dyDescent="0.3">
      <c r="A3121" t="s">
        <v>1746</v>
      </c>
      <c r="B3121" t="s">
        <v>1747</v>
      </c>
      <c r="D3121" s="7">
        <v>11</v>
      </c>
      <c r="E3121">
        <v>2021</v>
      </c>
      <c r="F3121">
        <v>2021</v>
      </c>
      <c r="G3121" t="str">
        <f>IFERROR(INDEX(Formulations[Formulation],MATCH($C3121,Formulations[Product Code],0)),"")</f>
        <v/>
      </c>
    </row>
    <row r="3122" spans="1:7" x14ac:dyDescent="0.3">
      <c r="A3122" t="s">
        <v>1901</v>
      </c>
      <c r="B3122" t="s">
        <v>1666</v>
      </c>
      <c r="C3122" t="s">
        <v>1667</v>
      </c>
      <c r="D3122" s="7">
        <v>11</v>
      </c>
      <c r="E3122">
        <v>2020</v>
      </c>
      <c r="F3122">
        <v>2021</v>
      </c>
      <c r="G3122" t="str">
        <f>IFERROR(INDEX(Formulations[Formulation],MATCH($C3122,Formulations[Product Code],0)),"")</f>
        <v>Crystal</v>
      </c>
    </row>
    <row r="3123" spans="1:7" x14ac:dyDescent="0.3">
      <c r="A3123" t="s">
        <v>1958</v>
      </c>
      <c r="B3123" t="s">
        <v>393</v>
      </c>
      <c r="C3123" t="s">
        <v>394</v>
      </c>
      <c r="D3123" s="7">
        <v>11</v>
      </c>
      <c r="E3123">
        <v>2015</v>
      </c>
      <c r="F3123">
        <v>2017</v>
      </c>
      <c r="G3123" t="str">
        <f>IFERROR(INDEX(Formulations[Formulation],MATCH($C3123,Formulations[Product Code],0)),"")</f>
        <v>Pure</v>
      </c>
    </row>
    <row r="3124" spans="1:7" x14ac:dyDescent="0.3">
      <c r="A3124" t="s">
        <v>1984</v>
      </c>
      <c r="B3124" t="s">
        <v>1986</v>
      </c>
      <c r="C3124" t="s">
        <v>1987</v>
      </c>
      <c r="D3124" s="7">
        <v>11</v>
      </c>
      <c r="E3124">
        <v>2011</v>
      </c>
      <c r="F3124">
        <v>2012</v>
      </c>
      <c r="G3124" t="str">
        <f>IFERROR(INDEX(Formulations[Formulation],MATCH($C3124,Formulations[Product Code],0)),"")</f>
        <v/>
      </c>
    </row>
    <row r="3125" spans="1:7" x14ac:dyDescent="0.3">
      <c r="A3125" t="s">
        <v>2030</v>
      </c>
      <c r="B3125" t="s">
        <v>528</v>
      </c>
      <c r="C3125" t="s">
        <v>529</v>
      </c>
      <c r="D3125" s="7">
        <v>11</v>
      </c>
      <c r="E3125">
        <v>2019</v>
      </c>
      <c r="F3125">
        <v>2019</v>
      </c>
      <c r="G3125" t="str">
        <f>IFERROR(INDEX(Formulations[Formulation],MATCH($C3125,Formulations[Product Code],0)),"")</f>
        <v>Crystal</v>
      </c>
    </row>
    <row r="3126" spans="1:7" x14ac:dyDescent="0.3">
      <c r="A3126" t="s">
        <v>2113</v>
      </c>
      <c r="B3126" t="s">
        <v>867</v>
      </c>
      <c r="C3126" t="s">
        <v>868</v>
      </c>
      <c r="D3126" s="7">
        <v>11</v>
      </c>
      <c r="E3126">
        <v>2015</v>
      </c>
      <c r="F3126">
        <v>2016</v>
      </c>
      <c r="G3126" t="str">
        <f>IFERROR(INDEX(Formulations[Formulation],MATCH($C3126,Formulations[Product Code],0)),"")</f>
        <v>Crystal</v>
      </c>
    </row>
    <row r="3127" spans="1:7" x14ac:dyDescent="0.3">
      <c r="A3127" t="s">
        <v>2312</v>
      </c>
      <c r="B3127" t="s">
        <v>1676</v>
      </c>
      <c r="D3127" s="7">
        <v>11</v>
      </c>
      <c r="E3127">
        <v>2016</v>
      </c>
      <c r="F3127">
        <v>2017</v>
      </c>
      <c r="G3127" t="str">
        <f>IFERROR(INDEX(Formulations[Formulation],MATCH($C3127,Formulations[Product Code],0)),"")</f>
        <v/>
      </c>
    </row>
    <row r="3128" spans="1:7" x14ac:dyDescent="0.3">
      <c r="A3128" t="s">
        <v>2354</v>
      </c>
      <c r="B3128" t="s">
        <v>662</v>
      </c>
      <c r="C3128" t="s">
        <v>525</v>
      </c>
      <c r="D3128" s="7">
        <v>11</v>
      </c>
      <c r="E3128">
        <v>2019</v>
      </c>
      <c r="F3128">
        <v>2019</v>
      </c>
      <c r="G3128" t="str">
        <f>IFERROR(INDEX(Formulations[Formulation],MATCH($C3128,Formulations[Product Code],0)),"")</f>
        <v/>
      </c>
    </row>
    <row r="3129" spans="1:7" x14ac:dyDescent="0.3">
      <c r="A3129" t="s">
        <v>2437</v>
      </c>
      <c r="B3129" t="s">
        <v>721</v>
      </c>
      <c r="C3129" t="s">
        <v>722</v>
      </c>
      <c r="D3129" s="7">
        <v>11</v>
      </c>
      <c r="E3129">
        <v>2016</v>
      </c>
      <c r="F3129">
        <v>2017</v>
      </c>
      <c r="G3129" t="str">
        <f>IFERROR(INDEX(Formulations[Formulation],MATCH($C3129,Formulations[Product Code],0)),"")</f>
        <v>Pure</v>
      </c>
    </row>
    <row r="3130" spans="1:7" x14ac:dyDescent="0.3">
      <c r="A3130" t="s">
        <v>2475</v>
      </c>
      <c r="B3130" t="s">
        <v>157</v>
      </c>
      <c r="C3130" t="s">
        <v>158</v>
      </c>
      <c r="D3130" s="7">
        <v>11</v>
      </c>
      <c r="E3130">
        <v>2020</v>
      </c>
      <c r="F3130">
        <v>2020</v>
      </c>
      <c r="G3130" t="str">
        <f>IFERROR(INDEX(Formulations[Formulation],MATCH($C3130,Formulations[Product Code],0)),"")</f>
        <v>Pure</v>
      </c>
    </row>
    <row r="3131" spans="1:7" x14ac:dyDescent="0.3">
      <c r="A3131" t="s">
        <v>2485</v>
      </c>
      <c r="B3131" t="s">
        <v>719</v>
      </c>
      <c r="C3131" t="s">
        <v>925</v>
      </c>
      <c r="D3131" s="7">
        <v>11</v>
      </c>
      <c r="E3131">
        <v>2018</v>
      </c>
      <c r="F3131">
        <v>2018</v>
      </c>
      <c r="G3131" t="str">
        <f>IFERROR(INDEX(Formulations[Formulation],MATCH($C3131,Formulations[Product Code],0)),"")</f>
        <v/>
      </c>
    </row>
    <row r="3132" spans="1:7" x14ac:dyDescent="0.3">
      <c r="A3132" t="s">
        <v>1646</v>
      </c>
      <c r="B3132" t="s">
        <v>528</v>
      </c>
      <c r="C3132" t="s">
        <v>529</v>
      </c>
      <c r="D3132" s="7">
        <v>10.5</v>
      </c>
      <c r="E3132">
        <v>2015</v>
      </c>
      <c r="F3132">
        <v>2016</v>
      </c>
      <c r="G3132" t="str">
        <f>IFERROR(INDEX(Formulations[Formulation],MATCH($C3132,Formulations[Product Code],0)),"")</f>
        <v>Crystal</v>
      </c>
    </row>
    <row r="3133" spans="1:7" x14ac:dyDescent="0.3">
      <c r="A3133" t="s">
        <v>2472</v>
      </c>
      <c r="B3133" t="s">
        <v>543</v>
      </c>
      <c r="C3133" t="s">
        <v>544</v>
      </c>
      <c r="D3133" s="7">
        <v>10.199999999999999</v>
      </c>
      <c r="E3133">
        <v>2020</v>
      </c>
      <c r="F3133">
        <v>2020</v>
      </c>
      <c r="G3133" t="str">
        <f>IFERROR(INDEX(Formulations[Formulation],MATCH($C3133,Formulations[Product Code],0)),"")</f>
        <v>Crystal</v>
      </c>
    </row>
    <row r="3134" spans="1:7" x14ac:dyDescent="0.3">
      <c r="A3134" t="s">
        <v>165</v>
      </c>
      <c r="B3134" t="s">
        <v>189</v>
      </c>
      <c r="D3134" s="7">
        <v>10</v>
      </c>
      <c r="E3134">
        <v>2019</v>
      </c>
      <c r="F3134">
        <v>2019</v>
      </c>
      <c r="G3134" t="str">
        <f>IFERROR(INDEX(Formulations[Formulation],MATCH($C3134,Formulations[Product Code],0)),"")</f>
        <v/>
      </c>
    </row>
    <row r="3135" spans="1:7" x14ac:dyDescent="0.3">
      <c r="A3135" t="s">
        <v>215</v>
      </c>
      <c r="B3135" t="s">
        <v>216</v>
      </c>
      <c r="C3135" t="s">
        <v>217</v>
      </c>
      <c r="D3135" s="7">
        <v>10</v>
      </c>
      <c r="E3135">
        <v>2011</v>
      </c>
      <c r="F3135">
        <v>2012</v>
      </c>
      <c r="G3135" t="str">
        <f>IFERROR(INDEX(Formulations[Formulation],MATCH($C3135,Formulations[Product Code],0)),"")</f>
        <v/>
      </c>
    </row>
    <row r="3136" spans="1:7" x14ac:dyDescent="0.3">
      <c r="A3136" t="s">
        <v>215</v>
      </c>
      <c r="B3136" t="s">
        <v>84</v>
      </c>
      <c r="C3136" t="s">
        <v>85</v>
      </c>
      <c r="D3136" s="7">
        <v>10</v>
      </c>
      <c r="E3136">
        <v>2017</v>
      </c>
      <c r="F3136">
        <v>2018</v>
      </c>
      <c r="G3136" t="str">
        <f>IFERROR(INDEX(Formulations[Formulation],MATCH($C3136,Formulations[Product Code],0)),"")</f>
        <v>Pure</v>
      </c>
    </row>
    <row r="3137" spans="1:7" x14ac:dyDescent="0.3">
      <c r="A3137" t="s">
        <v>215</v>
      </c>
      <c r="B3137" t="s">
        <v>225</v>
      </c>
      <c r="C3137" t="s">
        <v>226</v>
      </c>
      <c r="D3137" s="7">
        <v>10</v>
      </c>
      <c r="E3137">
        <v>2012</v>
      </c>
      <c r="F3137">
        <v>2012</v>
      </c>
      <c r="G3137" t="str">
        <f>IFERROR(INDEX(Formulations[Formulation],MATCH($C3137,Formulations[Product Code],0)),"")</f>
        <v/>
      </c>
    </row>
    <row r="3138" spans="1:7" x14ac:dyDescent="0.3">
      <c r="A3138" t="s">
        <v>215</v>
      </c>
      <c r="B3138" t="s">
        <v>228</v>
      </c>
      <c r="C3138" t="s">
        <v>229</v>
      </c>
      <c r="D3138" s="7">
        <v>10</v>
      </c>
      <c r="E3138">
        <v>2012</v>
      </c>
      <c r="F3138">
        <v>2012</v>
      </c>
      <c r="G3138" t="str">
        <f>IFERROR(INDEX(Formulations[Formulation],MATCH($C3138,Formulations[Product Code],0)),"")</f>
        <v>Pure</v>
      </c>
    </row>
    <row r="3139" spans="1:7" x14ac:dyDescent="0.3">
      <c r="A3139" t="s">
        <v>215</v>
      </c>
      <c r="B3139" t="s">
        <v>238</v>
      </c>
      <c r="C3139" t="s">
        <v>222</v>
      </c>
      <c r="D3139" s="7">
        <v>10</v>
      </c>
      <c r="E3139">
        <v>2013</v>
      </c>
      <c r="F3139">
        <v>2013</v>
      </c>
      <c r="G3139" t="str">
        <f>IFERROR(INDEX(Formulations[Formulation],MATCH($C3139,Formulations[Product Code],0)),"")</f>
        <v>WS</v>
      </c>
    </row>
    <row r="3140" spans="1:7" x14ac:dyDescent="0.3">
      <c r="A3140" t="s">
        <v>327</v>
      </c>
      <c r="B3140" t="s">
        <v>330</v>
      </c>
      <c r="D3140" s="7">
        <v>10</v>
      </c>
      <c r="E3140">
        <v>2014</v>
      </c>
      <c r="F3140">
        <v>2014</v>
      </c>
      <c r="G3140" t="str">
        <f>IFERROR(INDEX(Formulations[Formulation],MATCH($C3140,Formulations[Product Code],0)),"")</f>
        <v/>
      </c>
    </row>
    <row r="3141" spans="1:7" x14ac:dyDescent="0.3">
      <c r="A3141" t="s">
        <v>345</v>
      </c>
      <c r="B3141" t="s">
        <v>348</v>
      </c>
      <c r="C3141" t="s">
        <v>347</v>
      </c>
      <c r="D3141" s="7">
        <v>10</v>
      </c>
      <c r="E3141">
        <v>2020</v>
      </c>
      <c r="F3141">
        <v>2020</v>
      </c>
      <c r="G3141" t="str">
        <f>IFERROR(INDEX(Formulations[Formulation],MATCH($C3141,Formulations[Product Code],0)),"")</f>
        <v>Pure</v>
      </c>
    </row>
    <row r="3142" spans="1:7" x14ac:dyDescent="0.3">
      <c r="A3142" t="s">
        <v>345</v>
      </c>
      <c r="B3142" t="s">
        <v>349</v>
      </c>
      <c r="C3142" t="s">
        <v>350</v>
      </c>
      <c r="D3142" s="7">
        <v>10</v>
      </c>
      <c r="E3142">
        <v>2020</v>
      </c>
      <c r="F3142">
        <v>2020</v>
      </c>
      <c r="G3142" t="str">
        <f>IFERROR(INDEX(Formulations[Formulation],MATCH($C3142,Formulations[Product Code],0)),"")</f>
        <v/>
      </c>
    </row>
    <row r="3143" spans="1:7" x14ac:dyDescent="0.3">
      <c r="A3143" t="s">
        <v>345</v>
      </c>
      <c r="B3143" t="s">
        <v>297</v>
      </c>
      <c r="C3143" t="s">
        <v>298</v>
      </c>
      <c r="D3143" s="7">
        <v>10</v>
      </c>
      <c r="E3143">
        <v>2020</v>
      </c>
      <c r="F3143">
        <v>2020</v>
      </c>
      <c r="G3143" t="str">
        <f>IFERROR(INDEX(Formulations[Formulation],MATCH($C3143,Formulations[Product Code],0)),"")</f>
        <v>Pure</v>
      </c>
    </row>
    <row r="3144" spans="1:7" x14ac:dyDescent="0.3">
      <c r="A3144" t="s">
        <v>345</v>
      </c>
      <c r="B3144" t="s">
        <v>351</v>
      </c>
      <c r="C3144" t="s">
        <v>352</v>
      </c>
      <c r="D3144" s="7">
        <v>10</v>
      </c>
      <c r="E3144">
        <v>2021</v>
      </c>
      <c r="F3144">
        <v>2021</v>
      </c>
      <c r="G3144" t="str">
        <f>IFERROR(INDEX(Formulations[Formulation],MATCH($C3144,Formulations[Product Code],0)),"")</f>
        <v>Pure</v>
      </c>
    </row>
    <row r="3145" spans="1:7" x14ac:dyDescent="0.3">
      <c r="A3145" t="s">
        <v>353</v>
      </c>
      <c r="B3145" t="s">
        <v>356</v>
      </c>
      <c r="C3145" t="s">
        <v>357</v>
      </c>
      <c r="D3145" s="7">
        <v>10</v>
      </c>
      <c r="E3145">
        <v>2009</v>
      </c>
      <c r="F3145">
        <v>2009</v>
      </c>
      <c r="G3145" t="str">
        <f>IFERROR(INDEX(Formulations[Formulation],MATCH($C3145,Formulations[Product Code],0)),"")</f>
        <v/>
      </c>
    </row>
    <row r="3146" spans="1:7" x14ac:dyDescent="0.3">
      <c r="A3146" t="s">
        <v>353</v>
      </c>
      <c r="B3146" t="s">
        <v>176</v>
      </c>
      <c r="C3146" t="s">
        <v>358</v>
      </c>
      <c r="D3146" s="7">
        <v>10</v>
      </c>
      <c r="E3146">
        <v>2009</v>
      </c>
      <c r="F3146">
        <v>2009</v>
      </c>
      <c r="G3146" t="str">
        <f>IFERROR(INDEX(Formulations[Formulation],MATCH($C3146,Formulations[Product Code],0)),"")</f>
        <v/>
      </c>
    </row>
    <row r="3147" spans="1:7" x14ac:dyDescent="0.3">
      <c r="A3147" t="s">
        <v>353</v>
      </c>
      <c r="B3147" t="s">
        <v>359</v>
      </c>
      <c r="C3147" t="s">
        <v>360</v>
      </c>
      <c r="D3147" s="7">
        <v>10</v>
      </c>
      <c r="E3147">
        <v>2009</v>
      </c>
      <c r="F3147">
        <v>2009</v>
      </c>
      <c r="G3147" t="str">
        <f>IFERROR(INDEX(Formulations[Formulation],MATCH($C3147,Formulations[Product Code],0)),"")</f>
        <v/>
      </c>
    </row>
    <row r="3148" spans="1:7" x14ac:dyDescent="0.3">
      <c r="A3148" t="s">
        <v>353</v>
      </c>
      <c r="B3148" t="s">
        <v>361</v>
      </c>
      <c r="C3148" t="s">
        <v>362</v>
      </c>
      <c r="D3148" s="7">
        <v>10</v>
      </c>
      <c r="E3148">
        <v>2009</v>
      </c>
      <c r="F3148">
        <v>2009</v>
      </c>
      <c r="G3148" t="str">
        <f>IFERROR(INDEX(Formulations[Formulation],MATCH($C3148,Formulations[Product Code],0)),"")</f>
        <v/>
      </c>
    </row>
    <row r="3149" spans="1:7" x14ac:dyDescent="0.3">
      <c r="A3149" t="s">
        <v>353</v>
      </c>
      <c r="B3149" t="s">
        <v>99</v>
      </c>
      <c r="C3149" t="s">
        <v>100</v>
      </c>
      <c r="D3149" s="7">
        <v>10</v>
      </c>
      <c r="E3149">
        <v>2009</v>
      </c>
      <c r="F3149">
        <v>2009</v>
      </c>
      <c r="G3149" t="str">
        <f>IFERROR(INDEX(Formulations[Formulation],MATCH($C3149,Formulations[Product Code],0)),"")</f>
        <v>Crystal</v>
      </c>
    </row>
    <row r="3150" spans="1:7" x14ac:dyDescent="0.3">
      <c r="A3150" t="s">
        <v>353</v>
      </c>
      <c r="B3150" t="s">
        <v>370</v>
      </c>
      <c r="C3150" t="s">
        <v>371</v>
      </c>
      <c r="D3150" s="7">
        <v>10</v>
      </c>
      <c r="E3150">
        <v>2013</v>
      </c>
      <c r="F3150">
        <v>2013</v>
      </c>
      <c r="G3150" t="str">
        <f>IFERROR(INDEX(Formulations[Formulation],MATCH($C3150,Formulations[Product Code],0)),"")</f>
        <v/>
      </c>
    </row>
    <row r="3151" spans="1:7" x14ac:dyDescent="0.3">
      <c r="A3151" t="s">
        <v>424</v>
      </c>
      <c r="B3151" t="s">
        <v>425</v>
      </c>
      <c r="C3151" t="s">
        <v>426</v>
      </c>
      <c r="D3151" s="7">
        <v>10</v>
      </c>
      <c r="E3151">
        <v>2013</v>
      </c>
      <c r="F3151">
        <v>2013</v>
      </c>
      <c r="G3151" t="str">
        <f>IFERROR(INDEX(Formulations[Formulation],MATCH($C3151,Formulations[Product Code],0)),"")</f>
        <v/>
      </c>
    </row>
    <row r="3152" spans="1:7" x14ac:dyDescent="0.3">
      <c r="A3152" t="s">
        <v>427</v>
      </c>
      <c r="B3152" t="s">
        <v>430</v>
      </c>
      <c r="C3152" t="s">
        <v>431</v>
      </c>
      <c r="D3152" s="7">
        <v>10</v>
      </c>
      <c r="E3152">
        <v>2020</v>
      </c>
      <c r="F3152">
        <v>2020</v>
      </c>
      <c r="G3152" t="str">
        <f>IFERROR(INDEX(Formulations[Formulation],MATCH($C3152,Formulations[Product Code],0)),"")</f>
        <v/>
      </c>
    </row>
    <row r="3153" spans="1:7" x14ac:dyDescent="0.3">
      <c r="A3153" t="s">
        <v>427</v>
      </c>
      <c r="B3153" t="s">
        <v>432</v>
      </c>
      <c r="C3153" t="s">
        <v>433</v>
      </c>
      <c r="D3153" s="7">
        <v>10</v>
      </c>
      <c r="E3153">
        <v>2020</v>
      </c>
      <c r="F3153">
        <v>2020</v>
      </c>
      <c r="G3153" t="str">
        <f>IFERROR(INDEX(Formulations[Formulation],MATCH($C3153,Formulations[Product Code],0)),"")</f>
        <v/>
      </c>
    </row>
    <row r="3154" spans="1:7" x14ac:dyDescent="0.3">
      <c r="A3154" t="s">
        <v>445</v>
      </c>
      <c r="B3154" t="s">
        <v>438</v>
      </c>
      <c r="C3154" t="s">
        <v>439</v>
      </c>
      <c r="D3154" s="7">
        <v>10</v>
      </c>
      <c r="E3154">
        <v>2021</v>
      </c>
      <c r="F3154">
        <v>2021</v>
      </c>
      <c r="G3154" t="str">
        <f>IFERROR(INDEX(Formulations[Formulation],MATCH($C3154,Formulations[Product Code],0)),"")</f>
        <v>Pure</v>
      </c>
    </row>
    <row r="3155" spans="1:7" x14ac:dyDescent="0.3">
      <c r="A3155" t="s">
        <v>445</v>
      </c>
      <c r="B3155" t="s">
        <v>32</v>
      </c>
      <c r="D3155" s="7">
        <v>10</v>
      </c>
      <c r="E3155">
        <v>2020</v>
      </c>
      <c r="F3155">
        <v>2020</v>
      </c>
      <c r="G3155" t="str">
        <f>IFERROR(INDEX(Formulations[Formulation],MATCH($C3155,Formulations[Product Code],0)),"")</f>
        <v/>
      </c>
    </row>
    <row r="3156" spans="1:7" x14ac:dyDescent="0.3">
      <c r="A3156" t="s">
        <v>501</v>
      </c>
      <c r="B3156" t="s">
        <v>483</v>
      </c>
      <c r="C3156" t="s">
        <v>484</v>
      </c>
      <c r="D3156" s="7">
        <v>10</v>
      </c>
      <c r="E3156">
        <v>2020</v>
      </c>
      <c r="F3156">
        <v>2020</v>
      </c>
      <c r="G3156" t="str">
        <f>IFERROR(INDEX(Formulations[Formulation],MATCH($C3156,Formulations[Product Code],0)),"")</f>
        <v>Crystal</v>
      </c>
    </row>
    <row r="3157" spans="1:7" x14ac:dyDescent="0.3">
      <c r="A3157" t="s">
        <v>531</v>
      </c>
      <c r="B3157" t="s">
        <v>266</v>
      </c>
      <c r="C3157" t="s">
        <v>143</v>
      </c>
      <c r="D3157" s="7">
        <v>10</v>
      </c>
      <c r="E3157">
        <v>2020</v>
      </c>
      <c r="F3157">
        <v>2020</v>
      </c>
      <c r="G3157" t="str">
        <f>IFERROR(INDEX(Formulations[Formulation],MATCH($C3157,Formulations[Product Code],0)),"")</f>
        <v>Pure</v>
      </c>
    </row>
    <row r="3158" spans="1:7" x14ac:dyDescent="0.3">
      <c r="A3158" t="s">
        <v>550</v>
      </c>
      <c r="B3158" t="s">
        <v>276</v>
      </c>
      <c r="C3158" t="s">
        <v>277</v>
      </c>
      <c r="D3158" s="7">
        <v>10</v>
      </c>
      <c r="E3158">
        <v>2018</v>
      </c>
      <c r="F3158">
        <v>2018</v>
      </c>
      <c r="G3158" t="str">
        <f>IFERROR(INDEX(Formulations[Formulation],MATCH($C3158,Formulations[Product Code],0)),"")</f>
        <v>Pure</v>
      </c>
    </row>
    <row r="3159" spans="1:7" x14ac:dyDescent="0.3">
      <c r="A3159" t="s">
        <v>585</v>
      </c>
      <c r="B3159" t="s">
        <v>297</v>
      </c>
      <c r="C3159" t="s">
        <v>298</v>
      </c>
      <c r="D3159" s="7">
        <v>10</v>
      </c>
      <c r="E3159">
        <v>2019</v>
      </c>
      <c r="F3159">
        <v>2019</v>
      </c>
      <c r="G3159" t="str">
        <f>IFERROR(INDEX(Formulations[Formulation],MATCH($C3159,Formulations[Product Code],0)),"")</f>
        <v>Pure</v>
      </c>
    </row>
    <row r="3160" spans="1:7" x14ac:dyDescent="0.3">
      <c r="A3160" t="s">
        <v>585</v>
      </c>
      <c r="B3160" t="s">
        <v>72</v>
      </c>
      <c r="C3160" t="s">
        <v>319</v>
      </c>
      <c r="D3160" s="7">
        <v>10</v>
      </c>
      <c r="E3160">
        <v>2019</v>
      </c>
      <c r="F3160">
        <v>2019</v>
      </c>
      <c r="G3160" t="str">
        <f>IFERROR(INDEX(Formulations[Formulation],MATCH($C3160,Formulations[Product Code],0)),"")</f>
        <v>Pure</v>
      </c>
    </row>
    <row r="3161" spans="1:7" x14ac:dyDescent="0.3">
      <c r="A3161" t="s">
        <v>585</v>
      </c>
      <c r="B3161" t="s">
        <v>600</v>
      </c>
      <c r="C3161" t="s">
        <v>75</v>
      </c>
      <c r="D3161" s="7">
        <v>10</v>
      </c>
      <c r="E3161">
        <v>2020</v>
      </c>
      <c r="F3161">
        <v>2021</v>
      </c>
      <c r="G3161" t="str">
        <f>IFERROR(INDEX(Formulations[Formulation],MATCH($C3161,Formulations[Product Code],0)),"")</f>
        <v>Crystal</v>
      </c>
    </row>
    <row r="3162" spans="1:7" x14ac:dyDescent="0.3">
      <c r="A3162" t="s">
        <v>601</v>
      </c>
      <c r="B3162" t="s">
        <v>438</v>
      </c>
      <c r="C3162" t="s">
        <v>439</v>
      </c>
      <c r="D3162" s="7">
        <v>10</v>
      </c>
      <c r="E3162">
        <v>2020</v>
      </c>
      <c r="F3162">
        <v>2020</v>
      </c>
      <c r="G3162" t="str">
        <f>IFERROR(INDEX(Formulations[Formulation],MATCH($C3162,Formulations[Product Code],0)),"")</f>
        <v>Pure</v>
      </c>
    </row>
    <row r="3163" spans="1:7" x14ac:dyDescent="0.3">
      <c r="A3163" t="s">
        <v>609</v>
      </c>
      <c r="B3163" t="s">
        <v>610</v>
      </c>
      <c r="C3163" t="s">
        <v>611</v>
      </c>
      <c r="D3163" s="7">
        <v>10</v>
      </c>
      <c r="E3163">
        <v>2016</v>
      </c>
      <c r="F3163">
        <v>2016</v>
      </c>
      <c r="G3163" t="str">
        <f>IFERROR(INDEX(Formulations[Formulation],MATCH($C3163,Formulations[Product Code],0)),"")</f>
        <v/>
      </c>
    </row>
    <row r="3164" spans="1:7" x14ac:dyDescent="0.3">
      <c r="A3164" t="s">
        <v>609</v>
      </c>
      <c r="B3164" t="s">
        <v>612</v>
      </c>
      <c r="C3164" t="s">
        <v>613</v>
      </c>
      <c r="D3164" s="7">
        <v>10</v>
      </c>
      <c r="E3164">
        <v>2016</v>
      </c>
      <c r="F3164">
        <v>2016</v>
      </c>
      <c r="G3164" t="str">
        <f>IFERROR(INDEX(Formulations[Formulation],MATCH($C3164,Formulations[Product Code],0)),"")</f>
        <v>Pure</v>
      </c>
    </row>
    <row r="3165" spans="1:7" x14ac:dyDescent="0.3">
      <c r="A3165" t="s">
        <v>609</v>
      </c>
      <c r="B3165" t="s">
        <v>614</v>
      </c>
      <c r="C3165" t="s">
        <v>141</v>
      </c>
      <c r="D3165" s="7">
        <v>10</v>
      </c>
      <c r="E3165">
        <v>2013</v>
      </c>
      <c r="F3165">
        <v>2016</v>
      </c>
      <c r="G3165" t="str">
        <f>IFERROR(INDEX(Formulations[Formulation],MATCH($C3165,Formulations[Product Code],0)),"")</f>
        <v/>
      </c>
    </row>
    <row r="3166" spans="1:7" x14ac:dyDescent="0.3">
      <c r="A3166" t="s">
        <v>622</v>
      </c>
      <c r="B3166" t="s">
        <v>627</v>
      </c>
      <c r="C3166" t="s">
        <v>628</v>
      </c>
      <c r="D3166" s="7">
        <v>10</v>
      </c>
      <c r="E3166">
        <v>2019</v>
      </c>
      <c r="F3166">
        <v>2019</v>
      </c>
      <c r="G3166" t="str">
        <f>IFERROR(INDEX(Formulations[Formulation],MATCH($C3166,Formulations[Product Code],0)),"")</f>
        <v>Pure</v>
      </c>
    </row>
    <row r="3167" spans="1:7" x14ac:dyDescent="0.3">
      <c r="A3167" t="s">
        <v>622</v>
      </c>
      <c r="B3167" t="s">
        <v>631</v>
      </c>
      <c r="C3167" t="s">
        <v>632</v>
      </c>
      <c r="D3167" s="7">
        <v>10</v>
      </c>
      <c r="E3167">
        <v>2019</v>
      </c>
      <c r="F3167">
        <v>2019</v>
      </c>
      <c r="G3167" t="str">
        <f>IFERROR(INDEX(Formulations[Formulation],MATCH($C3167,Formulations[Product Code],0)),"")</f>
        <v/>
      </c>
    </row>
    <row r="3168" spans="1:7" x14ac:dyDescent="0.3">
      <c r="A3168" t="s">
        <v>622</v>
      </c>
      <c r="B3168" t="s">
        <v>643</v>
      </c>
      <c r="C3168" t="s">
        <v>644</v>
      </c>
      <c r="D3168" s="7">
        <v>10</v>
      </c>
      <c r="E3168">
        <v>2019</v>
      </c>
      <c r="F3168">
        <v>2019</v>
      </c>
      <c r="G3168" t="str">
        <f>IFERROR(INDEX(Formulations[Formulation],MATCH($C3168,Formulations[Product Code],0)),"")</f>
        <v>Crystal</v>
      </c>
    </row>
    <row r="3169" spans="1:7" x14ac:dyDescent="0.3">
      <c r="A3169" t="s">
        <v>622</v>
      </c>
      <c r="B3169" t="s">
        <v>647</v>
      </c>
      <c r="C3169" t="s">
        <v>648</v>
      </c>
      <c r="D3169" s="7">
        <v>10</v>
      </c>
      <c r="E3169">
        <v>2019</v>
      </c>
      <c r="F3169">
        <v>2019</v>
      </c>
      <c r="G3169" t="str">
        <f>IFERROR(INDEX(Formulations[Formulation],MATCH($C3169,Formulations[Product Code],0)),"")</f>
        <v/>
      </c>
    </row>
    <row r="3170" spans="1:7" x14ac:dyDescent="0.3">
      <c r="A3170" t="s">
        <v>622</v>
      </c>
      <c r="B3170" t="s">
        <v>518</v>
      </c>
      <c r="C3170" t="s">
        <v>519</v>
      </c>
      <c r="D3170" s="7">
        <v>10</v>
      </c>
      <c r="E3170">
        <v>2019</v>
      </c>
      <c r="F3170">
        <v>2019</v>
      </c>
      <c r="G3170" t="str">
        <f>IFERROR(INDEX(Formulations[Formulation],MATCH($C3170,Formulations[Product Code],0)),"")</f>
        <v>Pure</v>
      </c>
    </row>
    <row r="3171" spans="1:7" x14ac:dyDescent="0.3">
      <c r="A3171" t="s">
        <v>622</v>
      </c>
      <c r="B3171" t="s">
        <v>37</v>
      </c>
      <c r="D3171" s="7">
        <v>10</v>
      </c>
      <c r="E3171">
        <v>2019</v>
      </c>
      <c r="F3171">
        <v>2019</v>
      </c>
      <c r="G3171" t="str">
        <f>IFERROR(INDEX(Formulations[Formulation],MATCH($C3171,Formulations[Product Code],0)),"")</f>
        <v/>
      </c>
    </row>
    <row r="3172" spans="1:7" x14ac:dyDescent="0.3">
      <c r="A3172" t="s">
        <v>622</v>
      </c>
      <c r="B3172" t="s">
        <v>203</v>
      </c>
      <c r="C3172" t="s">
        <v>204</v>
      </c>
      <c r="D3172" s="7">
        <v>10</v>
      </c>
      <c r="E3172">
        <v>2019</v>
      </c>
      <c r="F3172">
        <v>2019</v>
      </c>
      <c r="G3172" t="str">
        <f>IFERROR(INDEX(Formulations[Formulation],MATCH($C3172,Formulations[Product Code],0)),"")</f>
        <v/>
      </c>
    </row>
    <row r="3173" spans="1:7" x14ac:dyDescent="0.3">
      <c r="A3173" t="s">
        <v>659</v>
      </c>
      <c r="B3173" t="s">
        <v>665</v>
      </c>
      <c r="D3173" s="7">
        <v>10</v>
      </c>
      <c r="E3173">
        <v>2019</v>
      </c>
      <c r="F3173">
        <v>2019</v>
      </c>
      <c r="G3173" t="str">
        <f>IFERROR(INDEX(Formulations[Formulation],MATCH($C3173,Formulations[Product Code],0)),"")</f>
        <v/>
      </c>
    </row>
    <row r="3174" spans="1:7" x14ac:dyDescent="0.3">
      <c r="A3174" t="s">
        <v>659</v>
      </c>
      <c r="B3174" t="s">
        <v>453</v>
      </c>
      <c r="D3174" s="7">
        <v>10</v>
      </c>
      <c r="E3174">
        <v>2019</v>
      </c>
      <c r="F3174">
        <v>2019</v>
      </c>
      <c r="G3174" t="str">
        <f>IFERROR(INDEX(Formulations[Formulation],MATCH($C3174,Formulations[Product Code],0)),"")</f>
        <v/>
      </c>
    </row>
    <row r="3175" spans="1:7" x14ac:dyDescent="0.3">
      <c r="A3175" t="s">
        <v>659</v>
      </c>
      <c r="B3175" t="s">
        <v>36</v>
      </c>
      <c r="D3175" s="7">
        <v>10</v>
      </c>
      <c r="E3175">
        <v>2019</v>
      </c>
      <c r="F3175">
        <v>2019</v>
      </c>
      <c r="G3175" t="str">
        <f>IFERROR(INDEX(Formulations[Formulation],MATCH($C3175,Formulations[Product Code],0)),"")</f>
        <v/>
      </c>
    </row>
    <row r="3176" spans="1:7" x14ac:dyDescent="0.3">
      <c r="A3176" t="s">
        <v>690</v>
      </c>
      <c r="B3176" t="s">
        <v>223</v>
      </c>
      <c r="C3176" t="s">
        <v>224</v>
      </c>
      <c r="D3176" s="7">
        <v>10</v>
      </c>
      <c r="E3176">
        <v>2014</v>
      </c>
      <c r="F3176">
        <v>2014</v>
      </c>
      <c r="G3176" t="str">
        <f>IFERROR(INDEX(Formulations[Formulation],MATCH($C3176,Formulations[Product Code],0)),"")</f>
        <v/>
      </c>
    </row>
    <row r="3177" spans="1:7" x14ac:dyDescent="0.3">
      <c r="A3177" t="s">
        <v>704</v>
      </c>
      <c r="B3177" t="s">
        <v>400</v>
      </c>
      <c r="D3177" s="7">
        <v>10</v>
      </c>
      <c r="E3177">
        <v>2019</v>
      </c>
      <c r="F3177">
        <v>2019</v>
      </c>
      <c r="G3177" t="str">
        <f>IFERROR(INDEX(Formulations[Formulation],MATCH($C3177,Formulations[Product Code],0)),"")</f>
        <v/>
      </c>
    </row>
    <row r="3178" spans="1:7" x14ac:dyDescent="0.3">
      <c r="A3178" t="s">
        <v>704</v>
      </c>
      <c r="B3178" t="s">
        <v>402</v>
      </c>
      <c r="C3178" t="s">
        <v>403</v>
      </c>
      <c r="D3178" s="7">
        <v>10</v>
      </c>
      <c r="E3178">
        <v>2019</v>
      </c>
      <c r="F3178">
        <v>2019</v>
      </c>
      <c r="G3178" t="str">
        <f>IFERROR(INDEX(Formulations[Formulation],MATCH($C3178,Formulations[Product Code],0)),"")</f>
        <v>15 % oil and 85% dpg</v>
      </c>
    </row>
    <row r="3179" spans="1:7" x14ac:dyDescent="0.3">
      <c r="A3179" t="s">
        <v>704</v>
      </c>
      <c r="B3179" t="s">
        <v>706</v>
      </c>
      <c r="C3179" t="s">
        <v>707</v>
      </c>
      <c r="D3179" s="7">
        <v>10</v>
      </c>
      <c r="E3179">
        <v>2019</v>
      </c>
      <c r="F3179">
        <v>2019</v>
      </c>
      <c r="G3179" t="str">
        <f>IFERROR(INDEX(Formulations[Formulation],MATCH($C3179,Formulations[Product Code],0)),"")</f>
        <v/>
      </c>
    </row>
    <row r="3180" spans="1:7" x14ac:dyDescent="0.3">
      <c r="A3180" t="s">
        <v>704</v>
      </c>
      <c r="B3180" t="s">
        <v>411</v>
      </c>
      <c r="D3180" s="7">
        <v>10</v>
      </c>
      <c r="E3180">
        <v>2020</v>
      </c>
      <c r="F3180">
        <v>2020</v>
      </c>
      <c r="G3180" t="str">
        <f>IFERROR(INDEX(Formulations[Formulation],MATCH($C3180,Formulations[Product Code],0)),"")</f>
        <v/>
      </c>
    </row>
    <row r="3181" spans="1:7" x14ac:dyDescent="0.3">
      <c r="A3181" t="s">
        <v>712</v>
      </c>
      <c r="B3181" t="s">
        <v>334</v>
      </c>
      <c r="C3181" t="s">
        <v>335</v>
      </c>
      <c r="D3181" s="7">
        <v>10</v>
      </c>
      <c r="E3181">
        <v>2016</v>
      </c>
      <c r="F3181">
        <v>2016</v>
      </c>
      <c r="G3181" t="str">
        <f>IFERROR(INDEX(Formulations[Formulation],MATCH($C3181,Formulations[Product Code],0)),"")</f>
        <v>Pure</v>
      </c>
    </row>
    <row r="3182" spans="1:7" x14ac:dyDescent="0.3">
      <c r="A3182" t="s">
        <v>762</v>
      </c>
      <c r="B3182" t="s">
        <v>26</v>
      </c>
      <c r="C3182" t="s">
        <v>27</v>
      </c>
      <c r="D3182" s="7">
        <v>10</v>
      </c>
      <c r="E3182">
        <v>2015</v>
      </c>
      <c r="F3182">
        <v>2015</v>
      </c>
      <c r="G3182" t="str">
        <f>IFERROR(INDEX(Formulations[Formulation],MATCH($C3182,Formulations[Product Code],0)),"")</f>
        <v>FLOURAMAX A270578/ P782894</v>
      </c>
    </row>
    <row r="3183" spans="1:7" x14ac:dyDescent="0.3">
      <c r="A3183" t="s">
        <v>781</v>
      </c>
      <c r="B3183" t="s">
        <v>786</v>
      </c>
      <c r="D3183" s="7">
        <v>10</v>
      </c>
      <c r="E3183">
        <v>2020</v>
      </c>
      <c r="F3183">
        <v>2021</v>
      </c>
      <c r="G3183" t="str">
        <f>IFERROR(INDEX(Formulations[Formulation],MATCH($C3183,Formulations[Product Code],0)),"")</f>
        <v/>
      </c>
    </row>
    <row r="3184" spans="1:7" x14ac:dyDescent="0.3">
      <c r="A3184" t="s">
        <v>794</v>
      </c>
      <c r="B3184" t="s">
        <v>795</v>
      </c>
      <c r="C3184" t="s">
        <v>796</v>
      </c>
      <c r="D3184" s="7">
        <v>10</v>
      </c>
      <c r="E3184">
        <v>2011</v>
      </c>
      <c r="F3184">
        <v>2011</v>
      </c>
      <c r="G3184" t="str">
        <f>IFERROR(INDEX(Formulations[Formulation],MATCH($C3184,Formulations[Product Code],0)),"")</f>
        <v/>
      </c>
    </row>
    <row r="3185" spans="1:7" x14ac:dyDescent="0.3">
      <c r="A3185" t="s">
        <v>803</v>
      </c>
      <c r="B3185" t="s">
        <v>196</v>
      </c>
      <c r="C3185" t="s">
        <v>197</v>
      </c>
      <c r="D3185" s="7">
        <v>10</v>
      </c>
      <c r="E3185">
        <v>2012</v>
      </c>
      <c r="F3185">
        <v>2012</v>
      </c>
      <c r="G3185" t="str">
        <f>IFERROR(INDEX(Formulations[Formulation],MATCH($C3185,Formulations[Product Code],0)),"")</f>
        <v/>
      </c>
    </row>
    <row r="3186" spans="1:7" x14ac:dyDescent="0.3">
      <c r="A3186" t="s">
        <v>806</v>
      </c>
      <c r="B3186" t="s">
        <v>84</v>
      </c>
      <c r="C3186" t="s">
        <v>85</v>
      </c>
      <c r="D3186" s="7">
        <v>10</v>
      </c>
      <c r="E3186">
        <v>2016</v>
      </c>
      <c r="F3186">
        <v>2016</v>
      </c>
      <c r="G3186" t="str">
        <f>IFERROR(INDEX(Formulations[Formulation],MATCH($C3186,Formulations[Product Code],0)),"")</f>
        <v>Pure</v>
      </c>
    </row>
    <row r="3187" spans="1:7" x14ac:dyDescent="0.3">
      <c r="A3187" t="s">
        <v>811</v>
      </c>
      <c r="B3187" t="s">
        <v>528</v>
      </c>
      <c r="C3187" t="s">
        <v>529</v>
      </c>
      <c r="D3187" s="7">
        <v>10</v>
      </c>
      <c r="E3187">
        <v>2010</v>
      </c>
      <c r="F3187">
        <v>2010</v>
      </c>
      <c r="G3187" t="str">
        <f>IFERROR(INDEX(Formulations[Formulation],MATCH($C3187,Formulations[Product Code],0)),"")</f>
        <v>Crystal</v>
      </c>
    </row>
    <row r="3188" spans="1:7" x14ac:dyDescent="0.3">
      <c r="A3188" t="s">
        <v>860</v>
      </c>
      <c r="B3188" t="s">
        <v>34</v>
      </c>
      <c r="D3188" s="7">
        <v>10</v>
      </c>
      <c r="E3188">
        <v>2021</v>
      </c>
      <c r="F3188">
        <v>2021</v>
      </c>
      <c r="G3188" t="str">
        <f>IFERROR(INDEX(Formulations[Formulation],MATCH($C3188,Formulations[Product Code],0)),"")</f>
        <v/>
      </c>
    </row>
    <row r="3189" spans="1:7" x14ac:dyDescent="0.3">
      <c r="A3189" t="s">
        <v>865</v>
      </c>
      <c r="B3189" t="s">
        <v>453</v>
      </c>
      <c r="D3189" s="7">
        <v>10</v>
      </c>
      <c r="E3189">
        <v>2019</v>
      </c>
      <c r="F3189">
        <v>2019</v>
      </c>
      <c r="G3189" t="str">
        <f>IFERROR(INDEX(Formulations[Formulation],MATCH($C3189,Formulations[Product Code],0)),"")</f>
        <v/>
      </c>
    </row>
    <row r="3190" spans="1:7" x14ac:dyDescent="0.3">
      <c r="A3190" t="s">
        <v>865</v>
      </c>
      <c r="B3190" t="s">
        <v>461</v>
      </c>
      <c r="D3190" s="7">
        <v>10</v>
      </c>
      <c r="E3190">
        <v>2019</v>
      </c>
      <c r="F3190">
        <v>2019</v>
      </c>
      <c r="G3190" t="str">
        <f>IFERROR(INDEX(Formulations[Formulation],MATCH($C3190,Formulations[Product Code],0)),"")</f>
        <v/>
      </c>
    </row>
    <row r="3191" spans="1:7" x14ac:dyDescent="0.3">
      <c r="A3191" t="s">
        <v>865</v>
      </c>
      <c r="B3191" t="s">
        <v>867</v>
      </c>
      <c r="C3191" t="s">
        <v>868</v>
      </c>
      <c r="D3191" s="7">
        <v>10</v>
      </c>
      <c r="E3191">
        <v>2019</v>
      </c>
      <c r="F3191">
        <v>2019</v>
      </c>
      <c r="G3191" t="str">
        <f>IFERROR(INDEX(Formulations[Formulation],MATCH($C3191,Formulations[Product Code],0)),"")</f>
        <v>Crystal</v>
      </c>
    </row>
    <row r="3192" spans="1:7" x14ac:dyDescent="0.3">
      <c r="A3192" t="s">
        <v>877</v>
      </c>
      <c r="B3192" t="s">
        <v>117</v>
      </c>
      <c r="C3192" t="s">
        <v>118</v>
      </c>
      <c r="D3192" s="7">
        <v>10</v>
      </c>
      <c r="E3192">
        <v>2021</v>
      </c>
      <c r="F3192">
        <v>2021</v>
      </c>
      <c r="G3192" t="str">
        <f>IFERROR(INDEX(Formulations[Formulation],MATCH($C3192,Formulations[Product Code],0)),"")</f>
        <v>Silver</v>
      </c>
    </row>
    <row r="3193" spans="1:7" x14ac:dyDescent="0.3">
      <c r="A3193" t="s">
        <v>877</v>
      </c>
      <c r="B3193" t="s">
        <v>125</v>
      </c>
      <c r="D3193" s="7">
        <v>10</v>
      </c>
      <c r="E3193">
        <v>2021</v>
      </c>
      <c r="F3193">
        <v>2021</v>
      </c>
      <c r="G3193" t="str">
        <f>IFERROR(INDEX(Formulations[Formulation],MATCH($C3193,Formulations[Product Code],0)),"")</f>
        <v/>
      </c>
    </row>
    <row r="3194" spans="1:7" x14ac:dyDescent="0.3">
      <c r="A3194" t="s">
        <v>877</v>
      </c>
      <c r="B3194" t="s">
        <v>72</v>
      </c>
      <c r="C3194" t="s">
        <v>319</v>
      </c>
      <c r="D3194" s="7">
        <v>10</v>
      </c>
      <c r="E3194">
        <v>2021</v>
      </c>
      <c r="F3194">
        <v>2021</v>
      </c>
      <c r="G3194" t="str">
        <f>IFERROR(INDEX(Formulations[Formulation],MATCH($C3194,Formulations[Product Code],0)),"")</f>
        <v>Pure</v>
      </c>
    </row>
    <row r="3195" spans="1:7" x14ac:dyDescent="0.3">
      <c r="A3195" t="s">
        <v>878</v>
      </c>
      <c r="B3195" t="s">
        <v>883</v>
      </c>
      <c r="C3195" t="s">
        <v>780</v>
      </c>
      <c r="D3195" s="7">
        <v>10</v>
      </c>
      <c r="E3195">
        <v>2010</v>
      </c>
      <c r="F3195">
        <v>2010</v>
      </c>
      <c r="G3195" t="str">
        <f>IFERROR(INDEX(Formulations[Formulation],MATCH($C3195,Formulations[Product Code],0)),"")</f>
        <v/>
      </c>
    </row>
    <row r="3196" spans="1:7" x14ac:dyDescent="0.3">
      <c r="A3196" t="s">
        <v>887</v>
      </c>
      <c r="B3196" t="s">
        <v>412</v>
      </c>
      <c r="C3196" t="s">
        <v>413</v>
      </c>
      <c r="D3196" s="7">
        <v>10</v>
      </c>
      <c r="E3196">
        <v>2013</v>
      </c>
      <c r="F3196">
        <v>2013</v>
      </c>
      <c r="G3196" t="str">
        <f>IFERROR(INDEX(Formulations[Formulation],MATCH($C3196,Formulations[Product Code],0)),"")</f>
        <v>40% oil &amp; 60 % DPG</v>
      </c>
    </row>
    <row r="3197" spans="1:7" x14ac:dyDescent="0.3">
      <c r="A3197" t="s">
        <v>904</v>
      </c>
      <c r="B3197" t="s">
        <v>417</v>
      </c>
      <c r="C3197" t="s">
        <v>418</v>
      </c>
      <c r="D3197" s="7">
        <v>10</v>
      </c>
      <c r="E3197">
        <v>2021</v>
      </c>
      <c r="F3197">
        <v>2021</v>
      </c>
      <c r="G3197" t="str">
        <f>IFERROR(INDEX(Formulations[Formulation],MATCH($C3197,Formulations[Product Code],0)),"")</f>
        <v>Pure</v>
      </c>
    </row>
    <row r="3198" spans="1:7" x14ac:dyDescent="0.3">
      <c r="A3198" t="s">
        <v>904</v>
      </c>
      <c r="B3198" t="s">
        <v>726</v>
      </c>
      <c r="C3198" t="s">
        <v>727</v>
      </c>
      <c r="D3198" s="7">
        <v>10</v>
      </c>
      <c r="E3198">
        <v>2014</v>
      </c>
      <c r="F3198">
        <v>2014</v>
      </c>
      <c r="G3198" t="str">
        <f>IFERROR(INDEX(Formulations[Formulation],MATCH($C3198,Formulations[Product Code],0)),"")</f>
        <v/>
      </c>
    </row>
    <row r="3199" spans="1:7" x14ac:dyDescent="0.3">
      <c r="A3199" t="s">
        <v>904</v>
      </c>
      <c r="B3199" t="s">
        <v>907</v>
      </c>
      <c r="D3199" s="7">
        <v>10</v>
      </c>
      <c r="E3199">
        <v>2014</v>
      </c>
      <c r="F3199">
        <v>2014</v>
      </c>
      <c r="G3199" t="str">
        <f>IFERROR(INDEX(Formulations[Formulation],MATCH($C3199,Formulations[Product Code],0)),"")</f>
        <v/>
      </c>
    </row>
    <row r="3200" spans="1:7" x14ac:dyDescent="0.3">
      <c r="A3200" t="s">
        <v>904</v>
      </c>
      <c r="B3200" t="s">
        <v>110</v>
      </c>
      <c r="C3200" t="s">
        <v>111</v>
      </c>
      <c r="D3200" s="7">
        <v>10</v>
      </c>
      <c r="E3200">
        <v>2020</v>
      </c>
      <c r="F3200">
        <v>2020</v>
      </c>
      <c r="G3200" t="str">
        <f>IFERROR(INDEX(Formulations[Formulation],MATCH($C3200,Formulations[Product Code],0)),"")</f>
        <v>75% Lemon Zeste, 25% lemon Top &amp; the Gold DPG)</v>
      </c>
    </row>
    <row r="3201" spans="1:7" x14ac:dyDescent="0.3">
      <c r="A3201" t="s">
        <v>904</v>
      </c>
      <c r="B3201" t="s">
        <v>909</v>
      </c>
      <c r="C3201" t="s">
        <v>910</v>
      </c>
      <c r="D3201" s="7">
        <v>10</v>
      </c>
      <c r="E3201">
        <v>2019</v>
      </c>
      <c r="F3201">
        <v>2019</v>
      </c>
      <c r="G3201" t="str">
        <f>IFERROR(INDEX(Formulations[Formulation],MATCH($C3201,Formulations[Product Code],0)),"")</f>
        <v/>
      </c>
    </row>
    <row r="3202" spans="1:7" x14ac:dyDescent="0.3">
      <c r="A3202" t="s">
        <v>904</v>
      </c>
      <c r="B3202" t="s">
        <v>911</v>
      </c>
      <c r="C3202" t="s">
        <v>912</v>
      </c>
      <c r="D3202" s="7">
        <v>10</v>
      </c>
      <c r="E3202">
        <v>2019</v>
      </c>
      <c r="F3202">
        <v>2019</v>
      </c>
      <c r="G3202" t="str">
        <f>IFERROR(INDEX(Formulations[Formulation],MATCH($C3202,Formulations[Product Code],0)),"")</f>
        <v>Gold</v>
      </c>
    </row>
    <row r="3203" spans="1:7" x14ac:dyDescent="0.3">
      <c r="A3203" t="s">
        <v>904</v>
      </c>
      <c r="B3203" t="s">
        <v>913</v>
      </c>
      <c r="C3203" t="s">
        <v>914</v>
      </c>
      <c r="D3203" s="7">
        <v>10</v>
      </c>
      <c r="E3203">
        <v>2019</v>
      </c>
      <c r="F3203">
        <v>2019</v>
      </c>
      <c r="G3203" t="str">
        <f>IFERROR(INDEX(Formulations[Formulation],MATCH($C3203,Formulations[Product Code],0)),"")</f>
        <v/>
      </c>
    </row>
    <row r="3204" spans="1:7" x14ac:dyDescent="0.3">
      <c r="A3204" t="s">
        <v>904</v>
      </c>
      <c r="B3204" t="s">
        <v>192</v>
      </c>
      <c r="C3204" t="s">
        <v>193</v>
      </c>
      <c r="D3204" s="7">
        <v>10</v>
      </c>
      <c r="E3204">
        <v>2014</v>
      </c>
      <c r="F3204">
        <v>2014</v>
      </c>
      <c r="G3204" t="str">
        <f>IFERROR(INDEX(Formulations[Formulation],MATCH($C3204,Formulations[Product Code],0)),"")</f>
        <v>Red Grape 50%/ Fruity Smoothie 30% /Green Apple 20% /than make 60% oil</v>
      </c>
    </row>
    <row r="3205" spans="1:7" x14ac:dyDescent="0.3">
      <c r="A3205" t="s">
        <v>920</v>
      </c>
      <c r="B3205" t="s">
        <v>144</v>
      </c>
      <c r="C3205" t="s">
        <v>145</v>
      </c>
      <c r="D3205" s="7">
        <v>10</v>
      </c>
      <c r="E3205">
        <v>2017</v>
      </c>
      <c r="F3205">
        <v>2017</v>
      </c>
      <c r="G3205" t="str">
        <f>IFERROR(INDEX(Formulations[Formulation],MATCH($C3205,Formulations[Product Code],0)),"")</f>
        <v/>
      </c>
    </row>
    <row r="3206" spans="1:7" x14ac:dyDescent="0.3">
      <c r="A3206" t="s">
        <v>923</v>
      </c>
      <c r="B3206" t="s">
        <v>82</v>
      </c>
      <c r="C3206" t="s">
        <v>83</v>
      </c>
      <c r="D3206" s="7">
        <v>10</v>
      </c>
      <c r="E3206">
        <v>2016</v>
      </c>
      <c r="F3206">
        <v>2016</v>
      </c>
      <c r="G3206" t="str">
        <f>IFERROR(INDEX(Formulations[Formulation],MATCH($C3206,Formulations[Product Code],0)),"")</f>
        <v>Pure</v>
      </c>
    </row>
    <row r="3207" spans="1:7" x14ac:dyDescent="0.3">
      <c r="A3207" t="s">
        <v>923</v>
      </c>
      <c r="B3207" t="s">
        <v>108</v>
      </c>
      <c r="C3207" t="s">
        <v>109</v>
      </c>
      <c r="D3207" s="7">
        <v>10</v>
      </c>
      <c r="E3207">
        <v>2016</v>
      </c>
      <c r="F3207">
        <v>2016</v>
      </c>
      <c r="G3207" t="str">
        <f>IFERROR(INDEX(Formulations[Formulation],MATCH($C3207,Formulations[Product Code],0)),"")</f>
        <v>Pure</v>
      </c>
    </row>
    <row r="3208" spans="1:7" x14ac:dyDescent="0.3">
      <c r="A3208" t="s">
        <v>923</v>
      </c>
      <c r="B3208" t="s">
        <v>203</v>
      </c>
      <c r="C3208" t="s">
        <v>204</v>
      </c>
      <c r="D3208" s="7">
        <v>10</v>
      </c>
      <c r="E3208">
        <v>2015</v>
      </c>
      <c r="F3208">
        <v>2015</v>
      </c>
      <c r="G3208" t="str">
        <f>IFERROR(INDEX(Formulations[Formulation],MATCH($C3208,Formulations[Product Code],0)),"")</f>
        <v/>
      </c>
    </row>
    <row r="3209" spans="1:7" x14ac:dyDescent="0.3">
      <c r="A3209" t="s">
        <v>941</v>
      </c>
      <c r="B3209" t="s">
        <v>110</v>
      </c>
      <c r="C3209" t="s">
        <v>111</v>
      </c>
      <c r="D3209" s="7">
        <v>10</v>
      </c>
      <c r="E3209">
        <v>2018</v>
      </c>
      <c r="F3209">
        <v>2018</v>
      </c>
      <c r="G3209" t="str">
        <f>IFERROR(INDEX(Formulations[Formulation],MATCH($C3209,Formulations[Product Code],0)),"")</f>
        <v>75% Lemon Zeste, 25% lemon Top &amp; the Gold DPG)</v>
      </c>
    </row>
    <row r="3210" spans="1:7" x14ac:dyDescent="0.3">
      <c r="A3210" t="s">
        <v>987</v>
      </c>
      <c r="B3210" t="s">
        <v>992</v>
      </c>
      <c r="C3210" t="s">
        <v>212</v>
      </c>
      <c r="D3210" s="7">
        <v>10</v>
      </c>
      <c r="E3210">
        <v>2010</v>
      </c>
      <c r="F3210">
        <v>2011</v>
      </c>
      <c r="G3210" t="str">
        <f>IFERROR(INDEX(Formulations[Formulation],MATCH($C3210,Formulations[Product Code],0)),"")</f>
        <v>Pure</v>
      </c>
    </row>
    <row r="3211" spans="1:7" x14ac:dyDescent="0.3">
      <c r="A3211" t="s">
        <v>993</v>
      </c>
      <c r="B3211" t="s">
        <v>532</v>
      </c>
      <c r="C3211" t="s">
        <v>452</v>
      </c>
      <c r="D3211" s="7">
        <v>10</v>
      </c>
      <c r="E3211">
        <v>2020</v>
      </c>
      <c r="F3211">
        <v>2020</v>
      </c>
      <c r="G3211" t="str">
        <f>IFERROR(INDEX(Formulations[Formulation],MATCH($C3211,Formulations[Product Code],0)),"")</f>
        <v>Crystal</v>
      </c>
    </row>
    <row r="3212" spans="1:7" x14ac:dyDescent="0.3">
      <c r="A3212" t="s">
        <v>993</v>
      </c>
      <c r="B3212" t="s">
        <v>714</v>
      </c>
      <c r="C3212" t="s">
        <v>715</v>
      </c>
      <c r="D3212" s="7">
        <v>10</v>
      </c>
      <c r="E3212">
        <v>2018</v>
      </c>
      <c r="F3212">
        <v>2018</v>
      </c>
      <c r="G3212" t="str">
        <f>IFERROR(INDEX(Formulations[Formulation],MATCH($C3212,Formulations[Product Code],0)),"")</f>
        <v/>
      </c>
    </row>
    <row r="3213" spans="1:7" x14ac:dyDescent="0.3">
      <c r="A3213" t="s">
        <v>993</v>
      </c>
      <c r="B3213" t="s">
        <v>639</v>
      </c>
      <c r="C3213" t="s">
        <v>640</v>
      </c>
      <c r="D3213" s="7">
        <v>10</v>
      </c>
      <c r="E3213">
        <v>2018</v>
      </c>
      <c r="F3213">
        <v>2018</v>
      </c>
      <c r="G3213" t="str">
        <f>IFERROR(INDEX(Formulations[Formulation],MATCH($C3213,Formulations[Product Code],0)),"")</f>
        <v>Dolin 85% &amp; Powder Soap Extra 15%</v>
      </c>
    </row>
    <row r="3214" spans="1:7" x14ac:dyDescent="0.3">
      <c r="A3214" t="s">
        <v>993</v>
      </c>
      <c r="B3214" t="s">
        <v>68</v>
      </c>
      <c r="C3214" t="s">
        <v>69</v>
      </c>
      <c r="D3214" s="7">
        <v>10</v>
      </c>
      <c r="E3214">
        <v>2017</v>
      </c>
      <c r="F3214">
        <v>2018</v>
      </c>
      <c r="G3214" t="str">
        <f>IFERROR(INDEX(Formulations[Formulation],MATCH($C3214,Formulations[Product Code],0)),"")</f>
        <v>Silver</v>
      </c>
    </row>
    <row r="3215" spans="1:7" x14ac:dyDescent="0.3">
      <c r="A3215" t="s">
        <v>993</v>
      </c>
      <c r="B3215" t="s">
        <v>518</v>
      </c>
      <c r="C3215" t="s">
        <v>519</v>
      </c>
      <c r="D3215" s="7">
        <v>10</v>
      </c>
      <c r="E3215">
        <v>2018</v>
      </c>
      <c r="F3215">
        <v>2019</v>
      </c>
      <c r="G3215" t="str">
        <f>IFERROR(INDEX(Formulations[Formulation],MATCH($C3215,Formulations[Product Code],0)),"")</f>
        <v>Pure</v>
      </c>
    </row>
    <row r="3216" spans="1:7" x14ac:dyDescent="0.3">
      <c r="A3216" t="s">
        <v>993</v>
      </c>
      <c r="B3216" t="s">
        <v>483</v>
      </c>
      <c r="C3216" t="s">
        <v>484</v>
      </c>
      <c r="D3216" s="7">
        <v>10</v>
      </c>
      <c r="E3216">
        <v>2020</v>
      </c>
      <c r="F3216">
        <v>2020</v>
      </c>
      <c r="G3216" t="str">
        <f>IFERROR(INDEX(Formulations[Formulation],MATCH($C3216,Formulations[Product Code],0)),"")</f>
        <v>Crystal</v>
      </c>
    </row>
    <row r="3217" spans="1:7" x14ac:dyDescent="0.3">
      <c r="A3217" t="s">
        <v>993</v>
      </c>
      <c r="B3217" t="s">
        <v>203</v>
      </c>
      <c r="C3217" t="s">
        <v>204</v>
      </c>
      <c r="D3217" s="7">
        <v>10</v>
      </c>
      <c r="E3217">
        <v>2018</v>
      </c>
      <c r="F3217">
        <v>2019</v>
      </c>
      <c r="G3217" t="str">
        <f>IFERROR(INDEX(Formulations[Formulation],MATCH($C3217,Formulations[Product Code],0)),"")</f>
        <v/>
      </c>
    </row>
    <row r="3218" spans="1:7" x14ac:dyDescent="0.3">
      <c r="A3218" t="s">
        <v>1005</v>
      </c>
      <c r="B3218" t="s">
        <v>668</v>
      </c>
      <c r="C3218" t="s">
        <v>669</v>
      </c>
      <c r="D3218" s="7">
        <v>10</v>
      </c>
      <c r="E3218">
        <v>2020</v>
      </c>
      <c r="F3218">
        <v>2020</v>
      </c>
      <c r="G3218" t="str">
        <f>IFERROR(INDEX(Formulations[Formulation],MATCH($C3218,Formulations[Product Code],0)),"")</f>
        <v>Crystal</v>
      </c>
    </row>
    <row r="3219" spans="1:7" x14ac:dyDescent="0.3">
      <c r="A3219" t="s">
        <v>1005</v>
      </c>
      <c r="B3219" t="s">
        <v>543</v>
      </c>
      <c r="C3219" t="s">
        <v>544</v>
      </c>
      <c r="D3219" s="7">
        <v>10</v>
      </c>
      <c r="E3219">
        <v>2015</v>
      </c>
      <c r="F3219">
        <v>2015</v>
      </c>
      <c r="G3219" t="str">
        <f>IFERROR(INDEX(Formulations[Formulation],MATCH($C3219,Formulations[Product Code],0)),"")</f>
        <v>Crystal</v>
      </c>
    </row>
    <row r="3220" spans="1:7" x14ac:dyDescent="0.3">
      <c r="A3220" t="s">
        <v>1010</v>
      </c>
      <c r="B3220" t="s">
        <v>1023</v>
      </c>
      <c r="C3220" t="s">
        <v>1024</v>
      </c>
      <c r="D3220" s="7">
        <v>10</v>
      </c>
      <c r="E3220">
        <v>2020</v>
      </c>
      <c r="F3220">
        <v>2020</v>
      </c>
      <c r="G3220" t="str">
        <f>IFERROR(INDEX(Formulations[Formulation],MATCH($C3220,Formulations[Product Code],0)),"")</f>
        <v/>
      </c>
    </row>
    <row r="3221" spans="1:7" x14ac:dyDescent="0.3">
      <c r="A3221" t="s">
        <v>1028</v>
      </c>
      <c r="B3221" t="s">
        <v>1031</v>
      </c>
      <c r="D3221" s="7">
        <v>10</v>
      </c>
      <c r="E3221">
        <v>2010</v>
      </c>
      <c r="F3221">
        <v>2010</v>
      </c>
      <c r="G3221" t="str">
        <f>IFERROR(INDEX(Formulations[Formulation],MATCH($C3221,Formulations[Product Code],0)),"")</f>
        <v/>
      </c>
    </row>
    <row r="3222" spans="1:7" x14ac:dyDescent="0.3">
      <c r="A3222" t="s">
        <v>1028</v>
      </c>
      <c r="B3222" t="s">
        <v>1047</v>
      </c>
      <c r="C3222" t="s">
        <v>1048</v>
      </c>
      <c r="D3222" s="7">
        <v>10</v>
      </c>
      <c r="E3222">
        <v>2016</v>
      </c>
      <c r="F3222">
        <v>2016</v>
      </c>
      <c r="G3222" t="str">
        <f>IFERROR(INDEX(Formulations[Formulation],MATCH($C3222,Formulations[Product Code],0)),"")</f>
        <v/>
      </c>
    </row>
    <row r="3223" spans="1:7" x14ac:dyDescent="0.3">
      <c r="A3223" t="s">
        <v>1092</v>
      </c>
      <c r="B3223" t="s">
        <v>135</v>
      </c>
      <c r="C3223" t="s">
        <v>331</v>
      </c>
      <c r="D3223" s="7">
        <v>10</v>
      </c>
      <c r="E3223">
        <v>2018</v>
      </c>
      <c r="F3223">
        <v>2018</v>
      </c>
      <c r="G3223" t="str">
        <f>IFERROR(INDEX(Formulations[Formulation],MATCH($C3223,Formulations[Product Code],0)),"")</f>
        <v>35% oil</v>
      </c>
    </row>
    <row r="3224" spans="1:7" x14ac:dyDescent="0.3">
      <c r="A3224" t="s">
        <v>1096</v>
      </c>
      <c r="B3224" t="s">
        <v>64</v>
      </c>
      <c r="C3224" t="s">
        <v>65</v>
      </c>
      <c r="D3224" s="7">
        <v>10</v>
      </c>
      <c r="E3224">
        <v>2020</v>
      </c>
      <c r="F3224">
        <v>2021</v>
      </c>
      <c r="G3224" t="str">
        <f>IFERROR(INDEX(Formulations[Formulation],MATCH($C3224,Formulations[Product Code],0)),"")</f>
        <v>Crystal</v>
      </c>
    </row>
    <row r="3225" spans="1:7" x14ac:dyDescent="0.3">
      <c r="A3225" t="s">
        <v>1102</v>
      </c>
      <c r="B3225" t="s">
        <v>35</v>
      </c>
      <c r="D3225" s="7">
        <v>10</v>
      </c>
      <c r="E3225">
        <v>2019</v>
      </c>
      <c r="F3225">
        <v>2019</v>
      </c>
      <c r="G3225" t="str">
        <f>IFERROR(INDEX(Formulations[Formulation],MATCH($C3225,Formulations[Product Code],0)),"")</f>
        <v/>
      </c>
    </row>
    <row r="3226" spans="1:7" x14ac:dyDescent="0.3">
      <c r="A3226" t="s">
        <v>1127</v>
      </c>
      <c r="B3226" t="s">
        <v>82</v>
      </c>
      <c r="C3226" t="s">
        <v>83</v>
      </c>
      <c r="D3226" s="7">
        <v>10</v>
      </c>
      <c r="E3226">
        <v>2020</v>
      </c>
      <c r="F3226">
        <v>2020</v>
      </c>
      <c r="G3226" t="str">
        <f>IFERROR(INDEX(Formulations[Formulation],MATCH($C3226,Formulations[Product Code],0)),"")</f>
        <v>Pure</v>
      </c>
    </row>
    <row r="3227" spans="1:7" x14ac:dyDescent="0.3">
      <c r="A3227" t="s">
        <v>1127</v>
      </c>
      <c r="B3227" t="s">
        <v>1130</v>
      </c>
      <c r="C3227" t="s">
        <v>355</v>
      </c>
      <c r="D3227" s="7">
        <v>10</v>
      </c>
      <c r="E3227">
        <v>2019</v>
      </c>
      <c r="F3227">
        <v>2019</v>
      </c>
      <c r="G3227" t="str">
        <f>IFERROR(INDEX(Formulations[Formulation],MATCH($C3227,Formulations[Product Code],0)),"")</f>
        <v/>
      </c>
    </row>
    <row r="3228" spans="1:7" x14ac:dyDescent="0.3">
      <c r="A3228" t="s">
        <v>1127</v>
      </c>
      <c r="B3228" t="s">
        <v>591</v>
      </c>
      <c r="C3228" t="s">
        <v>592</v>
      </c>
      <c r="D3228" s="7">
        <v>10</v>
      </c>
      <c r="E3228">
        <v>2019</v>
      </c>
      <c r="F3228">
        <v>2019</v>
      </c>
      <c r="G3228" t="str">
        <f>IFERROR(INDEX(Formulations[Formulation],MATCH($C3228,Formulations[Product Code],0)),"")</f>
        <v>20% Oil</v>
      </c>
    </row>
    <row r="3229" spans="1:7" x14ac:dyDescent="0.3">
      <c r="A3229" t="s">
        <v>1164</v>
      </c>
      <c r="B3229" t="s">
        <v>125</v>
      </c>
      <c r="D3229" s="7">
        <v>10</v>
      </c>
      <c r="E3229">
        <v>2019</v>
      </c>
      <c r="F3229">
        <v>2020</v>
      </c>
      <c r="G3229" t="str">
        <f>IFERROR(INDEX(Formulations[Formulation],MATCH($C3229,Formulations[Product Code],0)),"")</f>
        <v/>
      </c>
    </row>
    <row r="3230" spans="1:7" x14ac:dyDescent="0.3">
      <c r="A3230" t="s">
        <v>1168</v>
      </c>
      <c r="B3230" t="s">
        <v>1169</v>
      </c>
      <c r="C3230" t="s">
        <v>1170</v>
      </c>
      <c r="D3230" s="7">
        <v>10</v>
      </c>
      <c r="E3230">
        <v>2013</v>
      </c>
      <c r="F3230">
        <v>2013</v>
      </c>
      <c r="G3230" t="str">
        <f>IFERROR(INDEX(Formulations[Formulation],MATCH($C3230,Formulations[Product Code],0)),"")</f>
        <v/>
      </c>
    </row>
    <row r="3231" spans="1:7" x14ac:dyDescent="0.3">
      <c r="A3231" t="s">
        <v>1175</v>
      </c>
      <c r="B3231" t="s">
        <v>714</v>
      </c>
      <c r="C3231" t="s">
        <v>715</v>
      </c>
      <c r="D3231" s="7">
        <v>10</v>
      </c>
      <c r="E3231">
        <v>2018</v>
      </c>
      <c r="F3231">
        <v>2018</v>
      </c>
      <c r="G3231" t="str">
        <f>IFERROR(INDEX(Formulations[Formulation],MATCH($C3231,Formulations[Product Code],0)),"")</f>
        <v/>
      </c>
    </row>
    <row r="3232" spans="1:7" x14ac:dyDescent="0.3">
      <c r="A3232" t="s">
        <v>1175</v>
      </c>
      <c r="B3232" t="s">
        <v>716</v>
      </c>
      <c r="C3232" t="s">
        <v>717</v>
      </c>
      <c r="D3232" s="7">
        <v>10</v>
      </c>
      <c r="E3232">
        <v>2020</v>
      </c>
      <c r="F3232">
        <v>2021</v>
      </c>
      <c r="G3232" t="str">
        <f>IFERROR(INDEX(Formulations[Formulation],MATCH($C3232,Formulations[Product Code],0)),"")</f>
        <v>Pure</v>
      </c>
    </row>
    <row r="3233" spans="1:7" x14ac:dyDescent="0.3">
      <c r="A3233" t="s">
        <v>1175</v>
      </c>
      <c r="B3233" t="s">
        <v>1117</v>
      </c>
      <c r="C3233" t="s">
        <v>1118</v>
      </c>
      <c r="D3233" s="7">
        <v>10</v>
      </c>
      <c r="E3233">
        <v>2021</v>
      </c>
      <c r="F3233">
        <v>2021</v>
      </c>
      <c r="G3233" t="str">
        <f>IFERROR(INDEX(Formulations[Formulation],MATCH($C3233,Formulations[Product Code],0)),"")</f>
        <v>Crystal</v>
      </c>
    </row>
    <row r="3234" spans="1:7" x14ac:dyDescent="0.3">
      <c r="A3234" t="s">
        <v>1175</v>
      </c>
      <c r="B3234" t="s">
        <v>417</v>
      </c>
      <c r="C3234" t="s">
        <v>418</v>
      </c>
      <c r="D3234" s="7">
        <v>10</v>
      </c>
      <c r="E3234">
        <v>2018</v>
      </c>
      <c r="F3234">
        <v>2018</v>
      </c>
      <c r="G3234" t="str">
        <f>IFERROR(INDEX(Formulations[Formulation],MATCH($C3234,Formulations[Product Code],0)),"")</f>
        <v>Pure</v>
      </c>
    </row>
    <row r="3235" spans="1:7" x14ac:dyDescent="0.3">
      <c r="A3235" t="s">
        <v>1175</v>
      </c>
      <c r="B3235" t="s">
        <v>114</v>
      </c>
      <c r="C3235" t="s">
        <v>115</v>
      </c>
      <c r="D3235" s="7">
        <v>10</v>
      </c>
      <c r="E3235">
        <v>2019</v>
      </c>
      <c r="F3235">
        <v>2019</v>
      </c>
      <c r="G3235" t="str">
        <f>IFERROR(INDEX(Formulations[Formulation],MATCH($C3235,Formulations[Product Code],0)),"")</f>
        <v>Pure</v>
      </c>
    </row>
    <row r="3236" spans="1:7" x14ac:dyDescent="0.3">
      <c r="A3236" t="s">
        <v>1175</v>
      </c>
      <c r="B3236" t="s">
        <v>679</v>
      </c>
      <c r="C3236" t="s">
        <v>680</v>
      </c>
      <c r="D3236" s="7">
        <v>10</v>
      </c>
      <c r="E3236">
        <v>2020</v>
      </c>
      <c r="F3236">
        <v>2020</v>
      </c>
      <c r="G3236" t="str">
        <f>IFERROR(INDEX(Formulations[Formulation],MATCH($C3236,Formulations[Product Code],0)),"")</f>
        <v>Crystal</v>
      </c>
    </row>
    <row r="3237" spans="1:7" x14ac:dyDescent="0.3">
      <c r="A3237" t="s">
        <v>1187</v>
      </c>
      <c r="B3237" t="s">
        <v>340</v>
      </c>
      <c r="C3237" t="s">
        <v>341</v>
      </c>
      <c r="D3237" s="7">
        <v>10</v>
      </c>
      <c r="E3237">
        <v>2010</v>
      </c>
      <c r="F3237">
        <v>2010</v>
      </c>
      <c r="G3237" t="str">
        <f>IFERROR(INDEX(Formulations[Formulation],MATCH($C3237,Formulations[Product Code],0)),"")</f>
        <v/>
      </c>
    </row>
    <row r="3238" spans="1:7" x14ac:dyDescent="0.3">
      <c r="A3238" t="s">
        <v>1207</v>
      </c>
      <c r="B3238" t="s">
        <v>471</v>
      </c>
      <c r="C3238" t="s">
        <v>472</v>
      </c>
      <c r="D3238" s="7">
        <v>10</v>
      </c>
      <c r="E3238">
        <v>2020</v>
      </c>
      <c r="F3238">
        <v>2020</v>
      </c>
      <c r="G3238" t="str">
        <f>IFERROR(INDEX(Formulations[Formulation],MATCH($C3238,Formulations[Product Code],0)),"")</f>
        <v>Crystal</v>
      </c>
    </row>
    <row r="3239" spans="1:7" x14ac:dyDescent="0.3">
      <c r="A3239" t="s">
        <v>1212</v>
      </c>
      <c r="B3239" t="s">
        <v>820</v>
      </c>
      <c r="C3239" t="s">
        <v>821</v>
      </c>
      <c r="D3239" s="7">
        <v>10</v>
      </c>
      <c r="E3239">
        <v>2020</v>
      </c>
      <c r="F3239">
        <v>2020</v>
      </c>
      <c r="G3239" t="str">
        <f>IFERROR(INDEX(Formulations[Formulation],MATCH($C3239,Formulations[Product Code],0)),"")</f>
        <v>Pure</v>
      </c>
    </row>
    <row r="3240" spans="1:7" x14ac:dyDescent="0.3">
      <c r="A3240" t="s">
        <v>1213</v>
      </c>
      <c r="B3240" t="s">
        <v>246</v>
      </c>
      <c r="C3240" t="s">
        <v>247</v>
      </c>
      <c r="D3240" s="7">
        <v>10</v>
      </c>
      <c r="E3240">
        <v>2021</v>
      </c>
      <c r="F3240">
        <v>2021</v>
      </c>
      <c r="G3240" t="str">
        <f>IFERROR(INDEX(Formulations[Formulation],MATCH($C3240,Formulations[Product Code],0)),"")</f>
        <v>Crystal</v>
      </c>
    </row>
    <row r="3241" spans="1:7" x14ac:dyDescent="0.3">
      <c r="A3241" t="s">
        <v>1213</v>
      </c>
      <c r="B3241" t="s">
        <v>189</v>
      </c>
      <c r="D3241" s="7">
        <v>10</v>
      </c>
      <c r="E3241">
        <v>2021</v>
      </c>
      <c r="F3241">
        <v>2021</v>
      </c>
      <c r="G3241" t="str">
        <f>IFERROR(INDEX(Formulations[Formulation],MATCH($C3241,Formulations[Product Code],0)),"")</f>
        <v/>
      </c>
    </row>
    <row r="3242" spans="1:7" x14ac:dyDescent="0.3">
      <c r="A3242" t="s">
        <v>1213</v>
      </c>
      <c r="B3242" t="s">
        <v>72</v>
      </c>
      <c r="C3242" t="s">
        <v>319</v>
      </c>
      <c r="D3242" s="7">
        <v>10</v>
      </c>
      <c r="E3242">
        <v>2020</v>
      </c>
      <c r="F3242">
        <v>2020</v>
      </c>
      <c r="G3242" t="str">
        <f>IFERROR(INDEX(Formulations[Formulation],MATCH($C3242,Formulations[Product Code],0)),"")</f>
        <v>Pure</v>
      </c>
    </row>
    <row r="3243" spans="1:7" x14ac:dyDescent="0.3">
      <c r="A3243" t="s">
        <v>1226</v>
      </c>
      <c r="B3243" t="s">
        <v>1236</v>
      </c>
      <c r="C3243" t="s">
        <v>1237</v>
      </c>
      <c r="D3243" s="7">
        <v>10</v>
      </c>
      <c r="E3243">
        <v>2011</v>
      </c>
      <c r="F3243">
        <v>2011</v>
      </c>
      <c r="G3243" t="str">
        <f>IFERROR(INDEX(Formulations[Formulation],MATCH($C3243,Formulations[Product Code],0)),"")</f>
        <v/>
      </c>
    </row>
    <row r="3244" spans="1:7" x14ac:dyDescent="0.3">
      <c r="A3244" t="s">
        <v>1226</v>
      </c>
      <c r="B3244" t="s">
        <v>1238</v>
      </c>
      <c r="C3244" t="s">
        <v>1239</v>
      </c>
      <c r="D3244" s="7">
        <v>10</v>
      </c>
      <c r="E3244">
        <v>2011</v>
      </c>
      <c r="F3244">
        <v>2011</v>
      </c>
      <c r="G3244" t="str">
        <f>IFERROR(INDEX(Formulations[Formulation],MATCH($C3244,Formulations[Product Code],0)),"")</f>
        <v/>
      </c>
    </row>
    <row r="3245" spans="1:7" x14ac:dyDescent="0.3">
      <c r="A3245" t="s">
        <v>1226</v>
      </c>
      <c r="B3245" t="s">
        <v>1240</v>
      </c>
      <c r="C3245" t="s">
        <v>1241</v>
      </c>
      <c r="D3245" s="7">
        <v>10</v>
      </c>
      <c r="E3245">
        <v>2011</v>
      </c>
      <c r="F3245">
        <v>2011</v>
      </c>
      <c r="G3245" t="str">
        <f>IFERROR(INDEX(Formulations[Formulation],MATCH($C3245,Formulations[Product Code],0)),"")</f>
        <v/>
      </c>
    </row>
    <row r="3246" spans="1:7" x14ac:dyDescent="0.3">
      <c r="A3246" t="s">
        <v>1226</v>
      </c>
      <c r="B3246" t="s">
        <v>1242</v>
      </c>
      <c r="C3246" t="s">
        <v>1243</v>
      </c>
      <c r="D3246" s="7">
        <v>10</v>
      </c>
      <c r="E3246">
        <v>2011</v>
      </c>
      <c r="F3246">
        <v>2011</v>
      </c>
      <c r="G3246" t="str">
        <f>IFERROR(INDEX(Formulations[Formulation],MATCH($C3246,Formulations[Product Code],0)),"")</f>
        <v/>
      </c>
    </row>
    <row r="3247" spans="1:7" x14ac:dyDescent="0.3">
      <c r="A3247" t="s">
        <v>1226</v>
      </c>
      <c r="B3247" t="s">
        <v>1251</v>
      </c>
      <c r="C3247" t="s">
        <v>1252</v>
      </c>
      <c r="D3247" s="7">
        <v>10</v>
      </c>
      <c r="E3247">
        <v>2009</v>
      </c>
      <c r="F3247">
        <v>2010</v>
      </c>
      <c r="G3247" t="str">
        <f>IFERROR(INDEX(Formulations[Formulation],MATCH($C3247,Formulations[Product Code],0)),"")</f>
        <v/>
      </c>
    </row>
    <row r="3248" spans="1:7" x14ac:dyDescent="0.3">
      <c r="A3248" t="s">
        <v>1226</v>
      </c>
      <c r="B3248" t="s">
        <v>287</v>
      </c>
      <c r="C3248" t="s">
        <v>186</v>
      </c>
      <c r="D3248" s="7">
        <v>10</v>
      </c>
      <c r="E3248">
        <v>2011</v>
      </c>
      <c r="F3248">
        <v>2011</v>
      </c>
      <c r="G3248" t="str">
        <f>IFERROR(INDEX(Formulations[Formulation],MATCH($C3248,Formulations[Product Code],0)),"")</f>
        <v/>
      </c>
    </row>
    <row r="3249" spans="1:7" x14ac:dyDescent="0.3">
      <c r="A3249" t="s">
        <v>1226</v>
      </c>
      <c r="B3249" t="s">
        <v>1254</v>
      </c>
      <c r="C3249" t="s">
        <v>1255</v>
      </c>
      <c r="D3249" s="7">
        <v>10</v>
      </c>
      <c r="E3249">
        <v>2009</v>
      </c>
      <c r="F3249">
        <v>2009</v>
      </c>
      <c r="G3249" t="str">
        <f>IFERROR(INDEX(Formulations[Formulation],MATCH($C3249,Formulations[Product Code],0)),"")</f>
        <v/>
      </c>
    </row>
    <row r="3250" spans="1:7" x14ac:dyDescent="0.3">
      <c r="A3250" t="s">
        <v>1226</v>
      </c>
      <c r="B3250" t="s">
        <v>1263</v>
      </c>
      <c r="C3250" t="s">
        <v>1264</v>
      </c>
      <c r="D3250" s="7">
        <v>10</v>
      </c>
      <c r="E3250">
        <v>2011</v>
      </c>
      <c r="F3250">
        <v>2011</v>
      </c>
      <c r="G3250" t="str">
        <f>IFERROR(INDEX(Formulations[Formulation],MATCH($C3250,Formulations[Product Code],0)),"")</f>
        <v/>
      </c>
    </row>
    <row r="3251" spans="1:7" x14ac:dyDescent="0.3">
      <c r="A3251" t="s">
        <v>1226</v>
      </c>
      <c r="B3251" t="s">
        <v>1265</v>
      </c>
      <c r="C3251" t="s">
        <v>1266</v>
      </c>
      <c r="D3251" s="7">
        <v>10</v>
      </c>
      <c r="E3251">
        <v>2011</v>
      </c>
      <c r="F3251">
        <v>2011</v>
      </c>
      <c r="G3251" t="str">
        <f>IFERROR(INDEX(Formulations[Formulation],MATCH($C3251,Formulations[Product Code],0)),"")</f>
        <v/>
      </c>
    </row>
    <row r="3252" spans="1:7" x14ac:dyDescent="0.3">
      <c r="A3252" t="s">
        <v>1226</v>
      </c>
      <c r="B3252" t="s">
        <v>99</v>
      </c>
      <c r="C3252" t="s">
        <v>100</v>
      </c>
      <c r="D3252" s="7">
        <v>10</v>
      </c>
      <c r="E3252">
        <v>2011</v>
      </c>
      <c r="F3252">
        <v>2011</v>
      </c>
      <c r="G3252" t="str">
        <f>IFERROR(INDEX(Formulations[Formulation],MATCH($C3252,Formulations[Product Code],0)),"")</f>
        <v>Crystal</v>
      </c>
    </row>
    <row r="3253" spans="1:7" x14ac:dyDescent="0.3">
      <c r="A3253" t="s">
        <v>1226</v>
      </c>
      <c r="B3253" t="s">
        <v>1269</v>
      </c>
      <c r="C3253" t="s">
        <v>1270</v>
      </c>
      <c r="D3253" s="7">
        <v>10</v>
      </c>
      <c r="E3253">
        <v>2010</v>
      </c>
      <c r="F3253">
        <v>2010</v>
      </c>
      <c r="G3253" t="str">
        <f>IFERROR(INDEX(Formulations[Formulation],MATCH($C3253,Formulations[Product Code],0)),"")</f>
        <v/>
      </c>
    </row>
    <row r="3254" spans="1:7" x14ac:dyDescent="0.3">
      <c r="A3254" t="s">
        <v>1226</v>
      </c>
      <c r="B3254" t="s">
        <v>1271</v>
      </c>
      <c r="C3254" t="s">
        <v>1272</v>
      </c>
      <c r="D3254" s="7">
        <v>10</v>
      </c>
      <c r="E3254">
        <v>2009</v>
      </c>
      <c r="F3254">
        <v>2010</v>
      </c>
      <c r="G3254" t="str">
        <f>IFERROR(INDEX(Formulations[Formulation],MATCH($C3254,Formulations[Product Code],0)),"")</f>
        <v/>
      </c>
    </row>
    <row r="3255" spans="1:7" x14ac:dyDescent="0.3">
      <c r="A3255" t="s">
        <v>1226</v>
      </c>
      <c r="B3255" t="s">
        <v>849</v>
      </c>
      <c r="C3255" t="s">
        <v>1273</v>
      </c>
      <c r="D3255" s="7">
        <v>10</v>
      </c>
      <c r="E3255">
        <v>2011</v>
      </c>
      <c r="F3255">
        <v>2011</v>
      </c>
      <c r="G3255" t="str">
        <f>IFERROR(INDEX(Formulations[Formulation],MATCH($C3255,Formulations[Product Code],0)),"")</f>
        <v/>
      </c>
    </row>
    <row r="3256" spans="1:7" x14ac:dyDescent="0.3">
      <c r="A3256" t="s">
        <v>1226</v>
      </c>
      <c r="B3256" t="s">
        <v>1274</v>
      </c>
      <c r="C3256" t="s">
        <v>1275</v>
      </c>
      <c r="D3256" s="7">
        <v>10</v>
      </c>
      <c r="E3256">
        <v>2011</v>
      </c>
      <c r="F3256">
        <v>2011</v>
      </c>
      <c r="G3256" t="str">
        <f>IFERROR(INDEX(Formulations[Formulation],MATCH($C3256,Formulations[Product Code],0)),"")</f>
        <v/>
      </c>
    </row>
    <row r="3257" spans="1:7" x14ac:dyDescent="0.3">
      <c r="A3257" t="s">
        <v>1226</v>
      </c>
      <c r="B3257" t="s">
        <v>1276</v>
      </c>
      <c r="C3257" t="s">
        <v>80</v>
      </c>
      <c r="D3257" s="7">
        <v>10</v>
      </c>
      <c r="E3257">
        <v>2009</v>
      </c>
      <c r="F3257">
        <v>2010</v>
      </c>
      <c r="G3257" t="str">
        <f>IFERROR(INDEX(Formulations[Formulation],MATCH($C3257,Formulations[Product Code],0)),"")</f>
        <v>Pure</v>
      </c>
    </row>
    <row r="3258" spans="1:7" x14ac:dyDescent="0.3">
      <c r="A3258" t="s">
        <v>1226</v>
      </c>
      <c r="B3258" t="s">
        <v>1278</v>
      </c>
      <c r="C3258" t="s">
        <v>1279</v>
      </c>
      <c r="D3258" s="7">
        <v>10</v>
      </c>
      <c r="E3258">
        <v>2011</v>
      </c>
      <c r="F3258">
        <v>2011</v>
      </c>
      <c r="G3258" t="str">
        <f>IFERROR(INDEX(Formulations[Formulation],MATCH($C3258,Formulations[Product Code],0)),"")</f>
        <v/>
      </c>
    </row>
    <row r="3259" spans="1:7" x14ac:dyDescent="0.3">
      <c r="A3259" t="s">
        <v>1226</v>
      </c>
      <c r="B3259" t="s">
        <v>1280</v>
      </c>
      <c r="C3259" t="s">
        <v>1281</v>
      </c>
      <c r="D3259" s="7">
        <v>10</v>
      </c>
      <c r="E3259">
        <v>2011</v>
      </c>
      <c r="F3259">
        <v>2011</v>
      </c>
      <c r="G3259" t="str">
        <f>IFERROR(INDEX(Formulations[Formulation],MATCH($C3259,Formulations[Product Code],0)),"")</f>
        <v/>
      </c>
    </row>
    <row r="3260" spans="1:7" x14ac:dyDescent="0.3">
      <c r="A3260" t="s">
        <v>1226</v>
      </c>
      <c r="B3260" t="s">
        <v>836</v>
      </c>
      <c r="C3260" t="s">
        <v>837</v>
      </c>
      <c r="D3260" s="7">
        <v>10</v>
      </c>
      <c r="E3260">
        <v>2021</v>
      </c>
      <c r="F3260">
        <v>2021</v>
      </c>
      <c r="G3260" t="str">
        <f>IFERROR(INDEX(Formulations[Formulation],MATCH($C3260,Formulations[Product Code],0)),"")</f>
        <v>Rose Petal A233185/ A415792</v>
      </c>
    </row>
    <row r="3261" spans="1:7" x14ac:dyDescent="0.3">
      <c r="A3261" t="s">
        <v>1226</v>
      </c>
      <c r="B3261" t="s">
        <v>1284</v>
      </c>
      <c r="D3261" s="7">
        <v>10</v>
      </c>
      <c r="E3261">
        <v>2011</v>
      </c>
      <c r="F3261">
        <v>2011</v>
      </c>
      <c r="G3261" t="str">
        <f>IFERROR(INDEX(Formulations[Formulation],MATCH($C3261,Formulations[Product Code],0)),"")</f>
        <v/>
      </c>
    </row>
    <row r="3262" spans="1:7" x14ac:dyDescent="0.3">
      <c r="A3262" t="s">
        <v>1226</v>
      </c>
      <c r="B3262" t="s">
        <v>1285</v>
      </c>
      <c r="C3262" t="s">
        <v>1286</v>
      </c>
      <c r="D3262" s="7">
        <v>10</v>
      </c>
      <c r="E3262">
        <v>2011</v>
      </c>
      <c r="F3262">
        <v>2011</v>
      </c>
      <c r="G3262" t="str">
        <f>IFERROR(INDEX(Formulations[Formulation],MATCH($C3262,Formulations[Product Code],0)),"")</f>
        <v/>
      </c>
    </row>
    <row r="3263" spans="1:7" x14ac:dyDescent="0.3">
      <c r="A3263" t="s">
        <v>1226</v>
      </c>
      <c r="B3263" t="s">
        <v>1287</v>
      </c>
      <c r="C3263" t="s">
        <v>1288</v>
      </c>
      <c r="D3263" s="7">
        <v>10</v>
      </c>
      <c r="E3263">
        <v>2011</v>
      </c>
      <c r="F3263">
        <v>2011</v>
      </c>
      <c r="G3263" t="str">
        <f>IFERROR(INDEX(Formulations[Formulation],MATCH($C3263,Formulations[Product Code],0)),"")</f>
        <v/>
      </c>
    </row>
    <row r="3264" spans="1:7" x14ac:dyDescent="0.3">
      <c r="A3264" t="s">
        <v>1226</v>
      </c>
      <c r="B3264" t="s">
        <v>1289</v>
      </c>
      <c r="C3264" t="s">
        <v>1290</v>
      </c>
      <c r="D3264" s="7">
        <v>10</v>
      </c>
      <c r="E3264">
        <v>2011</v>
      </c>
      <c r="F3264">
        <v>2011</v>
      </c>
      <c r="G3264" t="str">
        <f>IFERROR(INDEX(Formulations[Formulation],MATCH($C3264,Formulations[Product Code],0)),"")</f>
        <v/>
      </c>
    </row>
    <row r="3265" spans="1:7" x14ac:dyDescent="0.3">
      <c r="A3265" t="s">
        <v>1226</v>
      </c>
      <c r="B3265" t="s">
        <v>1292</v>
      </c>
      <c r="C3265" t="s">
        <v>1293</v>
      </c>
      <c r="D3265" s="7">
        <v>10</v>
      </c>
      <c r="E3265">
        <v>2011</v>
      </c>
      <c r="F3265">
        <v>2011</v>
      </c>
      <c r="G3265" t="str">
        <f>IFERROR(INDEX(Formulations[Formulation],MATCH($C3265,Formulations[Product Code],0)),"")</f>
        <v/>
      </c>
    </row>
    <row r="3266" spans="1:7" x14ac:dyDescent="0.3">
      <c r="A3266" t="s">
        <v>1226</v>
      </c>
      <c r="B3266" t="s">
        <v>1294</v>
      </c>
      <c r="C3266" t="s">
        <v>1072</v>
      </c>
      <c r="D3266" s="7">
        <v>10</v>
      </c>
      <c r="E3266">
        <v>2011</v>
      </c>
      <c r="F3266">
        <v>2011</v>
      </c>
      <c r="G3266" t="str">
        <f>IFERROR(INDEX(Formulations[Formulation],MATCH($C3266,Formulations[Product Code],0)),"")</f>
        <v/>
      </c>
    </row>
    <row r="3267" spans="1:7" x14ac:dyDescent="0.3">
      <c r="A3267" t="s">
        <v>1226</v>
      </c>
      <c r="B3267" t="s">
        <v>1295</v>
      </c>
      <c r="C3267" t="s">
        <v>226</v>
      </c>
      <c r="D3267" s="7">
        <v>10</v>
      </c>
      <c r="E3267">
        <v>2011</v>
      </c>
      <c r="F3267">
        <v>2011</v>
      </c>
      <c r="G3267" t="str">
        <f>IFERROR(INDEX(Formulations[Formulation],MATCH($C3267,Formulations[Product Code],0)),"")</f>
        <v/>
      </c>
    </row>
    <row r="3268" spans="1:7" x14ac:dyDescent="0.3">
      <c r="A3268" t="s">
        <v>1226</v>
      </c>
      <c r="B3268" t="s">
        <v>1297</v>
      </c>
      <c r="C3268" t="s">
        <v>1298</v>
      </c>
      <c r="D3268" s="7">
        <v>10</v>
      </c>
      <c r="E3268">
        <v>2011</v>
      </c>
      <c r="F3268">
        <v>2011</v>
      </c>
      <c r="G3268" t="str">
        <f>IFERROR(INDEX(Formulations[Formulation],MATCH($C3268,Formulations[Product Code],0)),"")</f>
        <v/>
      </c>
    </row>
    <row r="3269" spans="1:7" x14ac:dyDescent="0.3">
      <c r="A3269" t="s">
        <v>1226</v>
      </c>
      <c r="B3269" t="s">
        <v>1074</v>
      </c>
      <c r="C3269" t="s">
        <v>1303</v>
      </c>
      <c r="D3269" s="7">
        <v>10</v>
      </c>
      <c r="E3269">
        <v>2011</v>
      </c>
      <c r="F3269">
        <v>2011</v>
      </c>
      <c r="G3269" t="str">
        <f>IFERROR(INDEX(Formulations[Formulation],MATCH($C3269,Formulations[Product Code],0)),"")</f>
        <v/>
      </c>
    </row>
    <row r="3270" spans="1:7" x14ac:dyDescent="0.3">
      <c r="A3270" t="s">
        <v>1226</v>
      </c>
      <c r="B3270" t="s">
        <v>1305</v>
      </c>
      <c r="C3270" t="s">
        <v>1306</v>
      </c>
      <c r="D3270" s="7">
        <v>10</v>
      </c>
      <c r="E3270">
        <v>2011</v>
      </c>
      <c r="F3270">
        <v>2011</v>
      </c>
      <c r="G3270" t="str">
        <f>IFERROR(INDEX(Formulations[Formulation],MATCH($C3270,Formulations[Product Code],0)),"")</f>
        <v/>
      </c>
    </row>
    <row r="3271" spans="1:7" x14ac:dyDescent="0.3">
      <c r="A3271" t="s">
        <v>1226</v>
      </c>
      <c r="B3271" t="s">
        <v>198</v>
      </c>
      <c r="C3271" t="s">
        <v>199</v>
      </c>
      <c r="D3271" s="7">
        <v>10</v>
      </c>
      <c r="E3271">
        <v>2011</v>
      </c>
      <c r="F3271">
        <v>2011</v>
      </c>
      <c r="G3271" t="str">
        <f>IFERROR(INDEX(Formulations[Formulation],MATCH($C3271,Formulations[Product Code],0)),"")</f>
        <v/>
      </c>
    </row>
    <row r="3272" spans="1:7" x14ac:dyDescent="0.3">
      <c r="A3272" t="s">
        <v>1226</v>
      </c>
      <c r="B3272" t="s">
        <v>1310</v>
      </c>
      <c r="C3272" t="s">
        <v>1311</v>
      </c>
      <c r="D3272" s="7">
        <v>10</v>
      </c>
      <c r="E3272">
        <v>2010</v>
      </c>
      <c r="F3272">
        <v>2010</v>
      </c>
      <c r="G3272" t="str">
        <f>IFERROR(INDEX(Formulations[Formulation],MATCH($C3272,Formulations[Product Code],0)),"")</f>
        <v/>
      </c>
    </row>
    <row r="3273" spans="1:7" x14ac:dyDescent="0.3">
      <c r="A3273" t="s">
        <v>1226</v>
      </c>
      <c r="B3273" t="s">
        <v>1312</v>
      </c>
      <c r="C3273" t="s">
        <v>1313</v>
      </c>
      <c r="D3273" s="7">
        <v>10</v>
      </c>
      <c r="E3273">
        <v>2011</v>
      </c>
      <c r="F3273">
        <v>2011</v>
      </c>
      <c r="G3273" t="str">
        <f>IFERROR(INDEX(Formulations[Formulation],MATCH($C3273,Formulations[Product Code],0)),"")</f>
        <v/>
      </c>
    </row>
    <row r="3274" spans="1:7" x14ac:dyDescent="0.3">
      <c r="A3274" t="s">
        <v>1226</v>
      </c>
      <c r="B3274" t="s">
        <v>1315</v>
      </c>
      <c r="C3274" t="s">
        <v>1316</v>
      </c>
      <c r="D3274" s="7">
        <v>10</v>
      </c>
      <c r="E3274">
        <v>2011</v>
      </c>
      <c r="F3274">
        <v>2011</v>
      </c>
      <c r="G3274" t="str">
        <f>IFERROR(INDEX(Formulations[Formulation],MATCH($C3274,Formulations[Product Code],0)),"")</f>
        <v/>
      </c>
    </row>
    <row r="3275" spans="1:7" x14ac:dyDescent="0.3">
      <c r="A3275" t="s">
        <v>1226</v>
      </c>
      <c r="B3275" t="s">
        <v>325</v>
      </c>
      <c r="C3275" t="s">
        <v>326</v>
      </c>
      <c r="D3275" s="7">
        <v>10</v>
      </c>
      <c r="E3275">
        <v>2010</v>
      </c>
      <c r="F3275">
        <v>2010</v>
      </c>
      <c r="G3275" t="str">
        <f>IFERROR(INDEX(Formulations[Formulation],MATCH($C3275,Formulations[Product Code],0)),"")</f>
        <v/>
      </c>
    </row>
    <row r="3276" spans="1:7" x14ac:dyDescent="0.3">
      <c r="A3276" t="s">
        <v>1323</v>
      </c>
      <c r="B3276" t="s">
        <v>702</v>
      </c>
      <c r="C3276" t="s">
        <v>703</v>
      </c>
      <c r="D3276" s="7">
        <v>10</v>
      </c>
      <c r="E3276">
        <v>2019</v>
      </c>
      <c r="F3276">
        <v>2019</v>
      </c>
      <c r="G3276" t="str">
        <f>IFERROR(INDEX(Formulations[Formulation],MATCH($C3276,Formulations[Product Code],0)),"")</f>
        <v>flouramax 40%, green apple 30%, strwaberry 15%, cocoa butter 15%</v>
      </c>
    </row>
    <row r="3277" spans="1:7" x14ac:dyDescent="0.3">
      <c r="A3277" t="s">
        <v>1329</v>
      </c>
      <c r="B3277" t="s">
        <v>37</v>
      </c>
      <c r="D3277" s="7">
        <v>10</v>
      </c>
      <c r="E3277">
        <v>2021</v>
      </c>
      <c r="F3277">
        <v>2021</v>
      </c>
      <c r="G3277" t="str">
        <f>IFERROR(INDEX(Formulations[Formulation],MATCH($C3277,Formulations[Product Code],0)),"")</f>
        <v/>
      </c>
    </row>
    <row r="3278" spans="1:7" x14ac:dyDescent="0.3">
      <c r="A3278" t="s">
        <v>1341</v>
      </c>
      <c r="B3278" t="s">
        <v>297</v>
      </c>
      <c r="C3278" t="s">
        <v>298</v>
      </c>
      <c r="D3278" s="7">
        <v>10</v>
      </c>
      <c r="E3278">
        <v>2020</v>
      </c>
      <c r="F3278">
        <v>2021</v>
      </c>
      <c r="G3278" t="str">
        <f>IFERROR(INDEX(Formulations[Formulation],MATCH($C3278,Formulations[Product Code],0)),"")</f>
        <v>Pure</v>
      </c>
    </row>
    <row r="3279" spans="1:7" x14ac:dyDescent="0.3">
      <c r="A3279" t="s">
        <v>1353</v>
      </c>
      <c r="B3279" t="s">
        <v>29</v>
      </c>
      <c r="D3279" s="7">
        <v>10</v>
      </c>
      <c r="E3279">
        <v>2018</v>
      </c>
      <c r="F3279">
        <v>2019</v>
      </c>
      <c r="G3279" t="str">
        <f>IFERROR(INDEX(Formulations[Formulation],MATCH($C3279,Formulations[Product Code],0)),"")</f>
        <v/>
      </c>
    </row>
    <row r="3280" spans="1:7" x14ac:dyDescent="0.3">
      <c r="A3280" t="s">
        <v>1353</v>
      </c>
      <c r="B3280" t="s">
        <v>828</v>
      </c>
      <c r="D3280" s="7">
        <v>10</v>
      </c>
      <c r="E3280">
        <v>2015</v>
      </c>
      <c r="F3280">
        <v>2015</v>
      </c>
      <c r="G3280" t="str">
        <f>IFERROR(INDEX(Formulations[Formulation],MATCH($C3280,Formulations[Product Code],0)),"")</f>
        <v/>
      </c>
    </row>
    <row r="3281" spans="1:7" x14ac:dyDescent="0.3">
      <c r="A3281" t="s">
        <v>1355</v>
      </c>
      <c r="B3281" t="s">
        <v>586</v>
      </c>
      <c r="C3281" t="s">
        <v>587</v>
      </c>
      <c r="D3281" s="7">
        <v>10</v>
      </c>
      <c r="E3281">
        <v>2020</v>
      </c>
      <c r="F3281">
        <v>2020</v>
      </c>
      <c r="G3281" t="str">
        <f>IFERROR(INDEX(Formulations[Formulation],MATCH($C3281,Formulations[Product Code],0)),"")</f>
        <v>Pure</v>
      </c>
    </row>
    <row r="3282" spans="1:7" x14ac:dyDescent="0.3">
      <c r="A3282" t="s">
        <v>1356</v>
      </c>
      <c r="B3282" t="s">
        <v>504</v>
      </c>
      <c r="C3282" t="s">
        <v>505</v>
      </c>
      <c r="D3282" s="7">
        <v>10</v>
      </c>
      <c r="E3282">
        <v>2011</v>
      </c>
      <c r="F3282">
        <v>2020</v>
      </c>
      <c r="G3282" t="str">
        <f>IFERROR(INDEX(Formulations[Formulation],MATCH($C3282,Formulations[Product Code],0)),"")</f>
        <v>Crystal</v>
      </c>
    </row>
    <row r="3283" spans="1:7" x14ac:dyDescent="0.3">
      <c r="A3283" t="s">
        <v>1356</v>
      </c>
      <c r="B3283" t="s">
        <v>612</v>
      </c>
      <c r="C3283" t="s">
        <v>613</v>
      </c>
      <c r="D3283" s="7">
        <v>10</v>
      </c>
      <c r="E3283">
        <v>2016</v>
      </c>
      <c r="F3283">
        <v>2017</v>
      </c>
      <c r="G3283" t="str">
        <f>IFERROR(INDEX(Formulations[Formulation],MATCH($C3283,Formulations[Product Code],0)),"")</f>
        <v>Pure</v>
      </c>
    </row>
    <row r="3284" spans="1:7" x14ac:dyDescent="0.3">
      <c r="A3284" t="s">
        <v>1356</v>
      </c>
      <c r="B3284" t="s">
        <v>1358</v>
      </c>
      <c r="C3284" t="s">
        <v>539</v>
      </c>
      <c r="D3284" s="7">
        <v>10</v>
      </c>
      <c r="E3284">
        <v>2011</v>
      </c>
      <c r="F3284">
        <v>2017</v>
      </c>
      <c r="G3284" t="str">
        <f>IFERROR(INDEX(Formulations[Formulation],MATCH($C3284,Formulations[Product Code],0)),"")</f>
        <v>Gold</v>
      </c>
    </row>
    <row r="3285" spans="1:7" x14ac:dyDescent="0.3">
      <c r="A3285" t="s">
        <v>1356</v>
      </c>
      <c r="B3285" t="s">
        <v>637</v>
      </c>
      <c r="C3285" t="s">
        <v>638</v>
      </c>
      <c r="D3285" s="7">
        <v>10</v>
      </c>
      <c r="E3285">
        <v>2019</v>
      </c>
      <c r="F3285">
        <v>2020</v>
      </c>
      <c r="G3285" t="str">
        <f>IFERROR(INDEX(Formulations[Formulation],MATCH($C3285,Formulations[Product Code],0)),"")</f>
        <v>Pure</v>
      </c>
    </row>
    <row r="3286" spans="1:7" x14ac:dyDescent="0.3">
      <c r="A3286" t="s">
        <v>1374</v>
      </c>
      <c r="B3286" t="s">
        <v>536</v>
      </c>
      <c r="C3286" t="s">
        <v>537</v>
      </c>
      <c r="D3286" s="7">
        <v>10</v>
      </c>
      <c r="E3286">
        <v>2021</v>
      </c>
      <c r="F3286">
        <v>2021</v>
      </c>
      <c r="G3286" t="str">
        <f>IFERROR(INDEX(Formulations[Formulation],MATCH($C3286,Formulations[Product Code],0)),"")</f>
        <v>Silver</v>
      </c>
    </row>
    <row r="3287" spans="1:7" x14ac:dyDescent="0.3">
      <c r="A3287" t="s">
        <v>1374</v>
      </c>
      <c r="B3287" t="s">
        <v>575</v>
      </c>
      <c r="C3287" t="s">
        <v>673</v>
      </c>
      <c r="D3287" s="7">
        <v>10</v>
      </c>
      <c r="E3287">
        <v>2021</v>
      </c>
      <c r="F3287">
        <v>2021</v>
      </c>
      <c r="G3287" t="str">
        <f>IFERROR(INDEX(Formulations[Formulation],MATCH($C3287,Formulations[Product Code],0)),"")</f>
        <v>Apricot 60 % oil and 40 % dpg</v>
      </c>
    </row>
    <row r="3288" spans="1:7" x14ac:dyDescent="0.3">
      <c r="A3288" t="s">
        <v>1407</v>
      </c>
      <c r="B3288" t="s">
        <v>665</v>
      </c>
      <c r="D3288" s="7">
        <v>10</v>
      </c>
      <c r="E3288">
        <v>2020</v>
      </c>
      <c r="F3288">
        <v>2020</v>
      </c>
      <c r="G3288" t="str">
        <f>IFERROR(INDEX(Formulations[Formulation],MATCH($C3288,Formulations[Product Code],0)),"")</f>
        <v/>
      </c>
    </row>
    <row r="3289" spans="1:7" x14ac:dyDescent="0.3">
      <c r="A3289" t="s">
        <v>1407</v>
      </c>
      <c r="B3289" t="s">
        <v>1347</v>
      </c>
      <c r="C3289" t="s">
        <v>737</v>
      </c>
      <c r="D3289" s="7">
        <v>10</v>
      </c>
      <c r="E3289">
        <v>2021</v>
      </c>
      <c r="F3289">
        <v>2021</v>
      </c>
      <c r="G3289" t="str">
        <f>IFERROR(INDEX(Formulations[Formulation],MATCH($C3289,Formulations[Product Code],0)),"")</f>
        <v>Flouramax40%, Strawberry 20%, Banana 20%g &amp; Cherry 20%</v>
      </c>
    </row>
    <row r="3290" spans="1:7" x14ac:dyDescent="0.3">
      <c r="A3290" t="s">
        <v>1407</v>
      </c>
      <c r="B3290" t="s">
        <v>26</v>
      </c>
      <c r="C3290" t="s">
        <v>27</v>
      </c>
      <c r="D3290" s="7">
        <v>10</v>
      </c>
      <c r="E3290">
        <v>2020</v>
      </c>
      <c r="F3290">
        <v>2020</v>
      </c>
      <c r="G3290" t="str">
        <f>IFERROR(INDEX(Formulations[Formulation],MATCH($C3290,Formulations[Product Code],0)),"")</f>
        <v>FLOURAMAX A270578/ P782894</v>
      </c>
    </row>
    <row r="3291" spans="1:7" x14ac:dyDescent="0.3">
      <c r="A3291" t="s">
        <v>1407</v>
      </c>
      <c r="B3291" t="s">
        <v>39</v>
      </c>
      <c r="D3291" s="7">
        <v>10</v>
      </c>
      <c r="E3291">
        <v>2021</v>
      </c>
      <c r="F3291">
        <v>2021</v>
      </c>
      <c r="G3291" t="str">
        <f>IFERROR(INDEX(Formulations[Formulation],MATCH($C3291,Formulations[Product Code],0)),"")</f>
        <v/>
      </c>
    </row>
    <row r="3292" spans="1:7" x14ac:dyDescent="0.3">
      <c r="A3292" t="s">
        <v>1407</v>
      </c>
      <c r="B3292" t="s">
        <v>187</v>
      </c>
      <c r="C3292" t="s">
        <v>188</v>
      </c>
      <c r="D3292" s="7">
        <v>10</v>
      </c>
      <c r="E3292">
        <v>2021</v>
      </c>
      <c r="F3292">
        <v>2021</v>
      </c>
      <c r="G3292" t="str">
        <f>IFERROR(INDEX(Formulations[Formulation],MATCH($C3292,Formulations[Product Code],0)),"")</f>
        <v>Crystal</v>
      </c>
    </row>
    <row r="3293" spans="1:7" x14ac:dyDescent="0.3">
      <c r="A3293" t="s">
        <v>1407</v>
      </c>
      <c r="B3293" t="s">
        <v>68</v>
      </c>
      <c r="C3293" t="s">
        <v>69</v>
      </c>
      <c r="D3293" s="7">
        <v>10</v>
      </c>
      <c r="E3293">
        <v>2021</v>
      </c>
      <c r="F3293">
        <v>2021</v>
      </c>
      <c r="G3293" t="str">
        <f>IFERROR(INDEX(Formulations[Formulation],MATCH($C3293,Formulations[Product Code],0)),"")</f>
        <v>Silver</v>
      </c>
    </row>
    <row r="3294" spans="1:7" x14ac:dyDescent="0.3">
      <c r="A3294" t="s">
        <v>1407</v>
      </c>
      <c r="B3294" t="s">
        <v>479</v>
      </c>
      <c r="C3294" t="s">
        <v>480</v>
      </c>
      <c r="D3294" s="7">
        <v>10</v>
      </c>
      <c r="E3294">
        <v>2021</v>
      </c>
      <c r="F3294">
        <v>2021</v>
      </c>
      <c r="G3294" t="str">
        <f>IFERROR(INDEX(Formulations[Formulation],MATCH($C3294,Formulations[Product Code],0)),"")</f>
        <v>Crystal</v>
      </c>
    </row>
    <row r="3295" spans="1:7" x14ac:dyDescent="0.3">
      <c r="A3295" t="s">
        <v>1407</v>
      </c>
      <c r="B3295" t="s">
        <v>496</v>
      </c>
      <c r="C3295" t="s">
        <v>497</v>
      </c>
      <c r="D3295" s="7">
        <v>10</v>
      </c>
      <c r="E3295">
        <v>2021</v>
      </c>
      <c r="F3295">
        <v>2021</v>
      </c>
      <c r="G3295" t="str">
        <f>IFERROR(INDEX(Formulations[Formulation],MATCH($C3295,Formulations[Product Code],0)),"")</f>
        <v>Silver</v>
      </c>
    </row>
    <row r="3296" spans="1:7" x14ac:dyDescent="0.3">
      <c r="A3296" t="s">
        <v>1436</v>
      </c>
      <c r="B3296" t="s">
        <v>761</v>
      </c>
      <c r="D3296" s="7">
        <v>10</v>
      </c>
      <c r="E3296">
        <v>2018</v>
      </c>
      <c r="F3296">
        <v>2018</v>
      </c>
      <c r="G3296" t="str">
        <f>IFERROR(INDEX(Formulations[Formulation],MATCH($C3296,Formulations[Product Code],0)),"")</f>
        <v/>
      </c>
    </row>
    <row r="3297" spans="1:7" x14ac:dyDescent="0.3">
      <c r="A3297" t="s">
        <v>1439</v>
      </c>
      <c r="B3297" t="s">
        <v>763</v>
      </c>
      <c r="D3297" s="7">
        <v>10</v>
      </c>
      <c r="E3297">
        <v>2011</v>
      </c>
      <c r="F3297">
        <v>2011</v>
      </c>
      <c r="G3297" t="str">
        <f>IFERROR(INDEX(Formulations[Formulation],MATCH($C3297,Formulations[Product Code],0)),"")</f>
        <v/>
      </c>
    </row>
    <row r="3298" spans="1:7" x14ac:dyDescent="0.3">
      <c r="A3298" t="s">
        <v>1439</v>
      </c>
      <c r="B3298" t="s">
        <v>540</v>
      </c>
      <c r="C3298" t="s">
        <v>541</v>
      </c>
      <c r="D3298" s="7">
        <v>10</v>
      </c>
      <c r="E3298">
        <v>2019</v>
      </c>
      <c r="F3298">
        <v>2019</v>
      </c>
      <c r="G3298" t="str">
        <f>IFERROR(INDEX(Formulations[Formulation],MATCH($C3298,Formulations[Product Code],0)),"")</f>
        <v>Pure</v>
      </c>
    </row>
    <row r="3299" spans="1:7" x14ac:dyDescent="0.3">
      <c r="A3299" t="s">
        <v>1439</v>
      </c>
      <c r="B3299" t="s">
        <v>1456</v>
      </c>
      <c r="D3299" s="7">
        <v>10</v>
      </c>
      <c r="E3299">
        <v>2009</v>
      </c>
      <c r="F3299">
        <v>2009</v>
      </c>
      <c r="G3299" t="str">
        <f>IFERROR(INDEX(Formulations[Formulation],MATCH($C3299,Formulations[Product Code],0)),"")</f>
        <v/>
      </c>
    </row>
    <row r="3300" spans="1:7" x14ac:dyDescent="0.3">
      <c r="A3300" t="s">
        <v>1463</v>
      </c>
      <c r="B3300" t="s">
        <v>1470</v>
      </c>
      <c r="C3300" t="s">
        <v>1471</v>
      </c>
      <c r="D3300" s="7">
        <v>10</v>
      </c>
      <c r="E3300">
        <v>2012</v>
      </c>
      <c r="F3300">
        <v>2012</v>
      </c>
      <c r="G3300" t="str">
        <f>IFERROR(INDEX(Formulations[Formulation],MATCH($C3300,Formulations[Product Code],0)),"")</f>
        <v/>
      </c>
    </row>
    <row r="3301" spans="1:7" x14ac:dyDescent="0.3">
      <c r="A3301" t="s">
        <v>1463</v>
      </c>
      <c r="B3301" t="s">
        <v>1481</v>
      </c>
      <c r="C3301" t="s">
        <v>1482</v>
      </c>
      <c r="D3301" s="7">
        <v>10</v>
      </c>
      <c r="E3301">
        <v>2012</v>
      </c>
      <c r="F3301">
        <v>2012</v>
      </c>
      <c r="G3301" t="str">
        <f>IFERROR(INDEX(Formulations[Formulation],MATCH($C3301,Formulations[Product Code],0)),"")</f>
        <v/>
      </c>
    </row>
    <row r="3302" spans="1:7" x14ac:dyDescent="0.3">
      <c r="A3302" t="s">
        <v>1463</v>
      </c>
      <c r="B3302" t="s">
        <v>1491</v>
      </c>
      <c r="C3302" t="s">
        <v>1492</v>
      </c>
      <c r="D3302" s="7">
        <v>10</v>
      </c>
      <c r="E3302">
        <v>2012</v>
      </c>
      <c r="F3302">
        <v>2012</v>
      </c>
      <c r="G3302" t="str">
        <f>IFERROR(INDEX(Formulations[Formulation],MATCH($C3302,Formulations[Product Code],0)),"")</f>
        <v/>
      </c>
    </row>
    <row r="3303" spans="1:7" x14ac:dyDescent="0.3">
      <c r="A3303" t="s">
        <v>1463</v>
      </c>
      <c r="B3303" t="s">
        <v>1494</v>
      </c>
      <c r="C3303" t="s">
        <v>1495</v>
      </c>
      <c r="D3303" s="7">
        <v>10</v>
      </c>
      <c r="E3303">
        <v>2012</v>
      </c>
      <c r="F3303">
        <v>2012</v>
      </c>
      <c r="G3303" t="str">
        <f>IFERROR(INDEX(Formulations[Formulation],MATCH($C3303,Formulations[Product Code],0)),"")</f>
        <v/>
      </c>
    </row>
    <row r="3304" spans="1:7" x14ac:dyDescent="0.3">
      <c r="A3304" t="s">
        <v>1463</v>
      </c>
      <c r="B3304" t="s">
        <v>287</v>
      </c>
      <c r="C3304" t="s">
        <v>1501</v>
      </c>
      <c r="D3304" s="7">
        <v>10</v>
      </c>
      <c r="E3304">
        <v>2011</v>
      </c>
      <c r="F3304">
        <v>2011</v>
      </c>
      <c r="G3304" t="str">
        <f>IFERROR(INDEX(Formulations[Formulation],MATCH($C3304,Formulations[Product Code],0)),"")</f>
        <v/>
      </c>
    </row>
    <row r="3305" spans="1:7" x14ac:dyDescent="0.3">
      <c r="A3305" t="s">
        <v>1463</v>
      </c>
      <c r="B3305" t="s">
        <v>1502</v>
      </c>
      <c r="C3305" t="s">
        <v>1503</v>
      </c>
      <c r="D3305" s="7">
        <v>10</v>
      </c>
      <c r="E3305">
        <v>2012</v>
      </c>
      <c r="F3305">
        <v>2013</v>
      </c>
      <c r="G3305" t="str">
        <f>IFERROR(INDEX(Formulations[Formulation],MATCH($C3305,Formulations[Product Code],0)),"")</f>
        <v/>
      </c>
    </row>
    <row r="3306" spans="1:7" x14ac:dyDescent="0.3">
      <c r="A3306" t="s">
        <v>1463</v>
      </c>
      <c r="B3306" t="s">
        <v>1528</v>
      </c>
      <c r="C3306" t="s">
        <v>1529</v>
      </c>
      <c r="D3306" s="7">
        <v>10</v>
      </c>
      <c r="E3306">
        <v>2012</v>
      </c>
      <c r="F3306">
        <v>2013</v>
      </c>
      <c r="G3306" t="str">
        <f>IFERROR(INDEX(Formulations[Formulation],MATCH($C3306,Formulations[Product Code],0)),"")</f>
        <v/>
      </c>
    </row>
    <row r="3307" spans="1:7" x14ac:dyDescent="0.3">
      <c r="A3307" t="s">
        <v>1463</v>
      </c>
      <c r="B3307" t="s">
        <v>293</v>
      </c>
      <c r="C3307" t="s">
        <v>294</v>
      </c>
      <c r="D3307" s="7">
        <v>10</v>
      </c>
      <c r="E3307">
        <v>2013</v>
      </c>
      <c r="F3307">
        <v>2013</v>
      </c>
      <c r="G3307" t="str">
        <f>IFERROR(INDEX(Formulations[Formulation],MATCH($C3307,Formulations[Product Code],0)),"")</f>
        <v/>
      </c>
    </row>
    <row r="3308" spans="1:7" x14ac:dyDescent="0.3">
      <c r="A3308" t="s">
        <v>1463</v>
      </c>
      <c r="B3308" t="s">
        <v>1554</v>
      </c>
      <c r="C3308" t="s">
        <v>1555</v>
      </c>
      <c r="D3308" s="7">
        <v>10</v>
      </c>
      <c r="E3308">
        <v>2012</v>
      </c>
      <c r="F3308">
        <v>2012</v>
      </c>
      <c r="G3308" t="str">
        <f>IFERROR(INDEX(Formulations[Formulation],MATCH($C3308,Formulations[Product Code],0)),"")</f>
        <v/>
      </c>
    </row>
    <row r="3309" spans="1:7" x14ac:dyDescent="0.3">
      <c r="A3309" t="s">
        <v>1463</v>
      </c>
      <c r="B3309" t="s">
        <v>1582</v>
      </c>
      <c r="C3309" t="s">
        <v>1583</v>
      </c>
      <c r="D3309" s="7">
        <v>10</v>
      </c>
      <c r="E3309">
        <v>2012</v>
      </c>
      <c r="F3309">
        <v>2012</v>
      </c>
      <c r="G3309" t="str">
        <f>IFERROR(INDEX(Formulations[Formulation],MATCH($C3309,Formulations[Product Code],0)),"")</f>
        <v/>
      </c>
    </row>
    <row r="3310" spans="1:7" x14ac:dyDescent="0.3">
      <c r="A3310" t="s">
        <v>1463</v>
      </c>
      <c r="B3310" t="s">
        <v>314</v>
      </c>
      <c r="C3310" t="s">
        <v>315</v>
      </c>
      <c r="D3310" s="7">
        <v>10</v>
      </c>
      <c r="E3310">
        <v>2017</v>
      </c>
      <c r="F3310">
        <v>2017</v>
      </c>
      <c r="G3310" t="str">
        <f>IFERROR(INDEX(Formulations[Formulation],MATCH($C3310,Formulations[Product Code],0)),"")</f>
        <v/>
      </c>
    </row>
    <row r="3311" spans="1:7" x14ac:dyDescent="0.3">
      <c r="A3311" t="s">
        <v>1463</v>
      </c>
      <c r="B3311" t="s">
        <v>979</v>
      </c>
      <c r="C3311" t="s">
        <v>1622</v>
      </c>
      <c r="D3311" s="7">
        <v>10</v>
      </c>
      <c r="E3311">
        <v>2012</v>
      </c>
      <c r="F3311">
        <v>2012</v>
      </c>
      <c r="G3311" t="str">
        <f>IFERROR(INDEX(Formulations[Formulation],MATCH($C3311,Formulations[Product Code],0)),"")</f>
        <v/>
      </c>
    </row>
    <row r="3312" spans="1:7" x14ac:dyDescent="0.3">
      <c r="A3312" t="s">
        <v>1463</v>
      </c>
      <c r="B3312" t="s">
        <v>1625</v>
      </c>
      <c r="C3312" t="s">
        <v>1311</v>
      </c>
      <c r="D3312" s="7">
        <v>10</v>
      </c>
      <c r="E3312">
        <v>2012</v>
      </c>
      <c r="F3312">
        <v>2012</v>
      </c>
      <c r="G3312" t="str">
        <f>IFERROR(INDEX(Formulations[Formulation],MATCH($C3312,Formulations[Product Code],0)),"")</f>
        <v/>
      </c>
    </row>
    <row r="3313" spans="1:7" x14ac:dyDescent="0.3">
      <c r="A3313" t="s">
        <v>1463</v>
      </c>
      <c r="B3313" t="s">
        <v>1626</v>
      </c>
      <c r="C3313" t="s">
        <v>1627</v>
      </c>
      <c r="D3313" s="7">
        <v>10</v>
      </c>
      <c r="E3313">
        <v>2012</v>
      </c>
      <c r="F3313">
        <v>2012</v>
      </c>
      <c r="G3313" t="str">
        <f>IFERROR(INDEX(Formulations[Formulation],MATCH($C3313,Formulations[Product Code],0)),"")</f>
        <v/>
      </c>
    </row>
    <row r="3314" spans="1:7" x14ac:dyDescent="0.3">
      <c r="A3314" t="s">
        <v>1463</v>
      </c>
      <c r="B3314" t="s">
        <v>1638</v>
      </c>
      <c r="C3314" t="s">
        <v>1639</v>
      </c>
      <c r="D3314" s="7">
        <v>10</v>
      </c>
      <c r="E3314">
        <v>2012</v>
      </c>
      <c r="F3314">
        <v>2012</v>
      </c>
      <c r="G3314" t="str">
        <f>IFERROR(INDEX(Formulations[Formulation],MATCH($C3314,Formulations[Product Code],0)),"")</f>
        <v/>
      </c>
    </row>
    <row r="3315" spans="1:7" x14ac:dyDescent="0.3">
      <c r="A3315" t="s">
        <v>1658</v>
      </c>
      <c r="B3315" t="s">
        <v>828</v>
      </c>
      <c r="D3315" s="7">
        <v>10</v>
      </c>
      <c r="E3315">
        <v>2016</v>
      </c>
      <c r="F3315">
        <v>2016</v>
      </c>
      <c r="G3315" t="str">
        <f>IFERROR(INDEX(Formulations[Formulation],MATCH($C3315,Formulations[Product Code],0)),"")</f>
        <v/>
      </c>
    </row>
    <row r="3316" spans="1:7" x14ac:dyDescent="0.3">
      <c r="A3316" t="s">
        <v>1665</v>
      </c>
      <c r="B3316" t="s">
        <v>269</v>
      </c>
      <c r="C3316" t="s">
        <v>270</v>
      </c>
      <c r="D3316" s="7">
        <v>10</v>
      </c>
      <c r="E3316">
        <v>2020</v>
      </c>
      <c r="F3316">
        <v>2020</v>
      </c>
      <c r="G3316" t="str">
        <f>IFERROR(INDEX(Formulations[Formulation],MATCH($C3316,Formulations[Product Code],0)),"")</f>
        <v>Pure</v>
      </c>
    </row>
    <row r="3317" spans="1:7" x14ac:dyDescent="0.3">
      <c r="A3317" t="s">
        <v>1665</v>
      </c>
      <c r="B3317" t="s">
        <v>671</v>
      </c>
      <c r="C3317" t="s">
        <v>672</v>
      </c>
      <c r="D3317" s="7">
        <v>10</v>
      </c>
      <c r="E3317">
        <v>2020</v>
      </c>
      <c r="F3317">
        <v>2020</v>
      </c>
      <c r="G3317" t="str">
        <f>IFERROR(INDEX(Formulations[Formulation],MATCH($C3317,Formulations[Product Code],0)),"")</f>
        <v>Pure</v>
      </c>
    </row>
    <row r="3318" spans="1:7" x14ac:dyDescent="0.3">
      <c r="A3318" t="s">
        <v>1675</v>
      </c>
      <c r="B3318" t="s">
        <v>1339</v>
      </c>
      <c r="C3318" t="s">
        <v>1677</v>
      </c>
      <c r="D3318" s="7">
        <v>10</v>
      </c>
      <c r="E3318">
        <v>2017</v>
      </c>
      <c r="F3318">
        <v>2017</v>
      </c>
      <c r="G3318" t="str">
        <f>IFERROR(INDEX(Formulations[Formulation],MATCH($C3318,Formulations[Product Code],0)),"")</f>
        <v/>
      </c>
    </row>
    <row r="3319" spans="1:7" x14ac:dyDescent="0.3">
      <c r="A3319" t="s">
        <v>1683</v>
      </c>
      <c r="B3319" t="s">
        <v>34</v>
      </c>
      <c r="D3319" s="7">
        <v>10</v>
      </c>
      <c r="E3319">
        <v>2021</v>
      </c>
      <c r="F3319">
        <v>2021</v>
      </c>
      <c r="G3319" t="str">
        <f>IFERROR(INDEX(Formulations[Formulation],MATCH($C3319,Formulations[Product Code],0)),"")</f>
        <v/>
      </c>
    </row>
    <row r="3320" spans="1:7" x14ac:dyDescent="0.3">
      <c r="A3320" t="s">
        <v>1683</v>
      </c>
      <c r="B3320" t="s">
        <v>68</v>
      </c>
      <c r="C3320" t="s">
        <v>69</v>
      </c>
      <c r="D3320" s="7">
        <v>10</v>
      </c>
      <c r="E3320">
        <v>2021</v>
      </c>
      <c r="F3320">
        <v>2021</v>
      </c>
      <c r="G3320" t="str">
        <f>IFERROR(INDEX(Formulations[Formulation],MATCH($C3320,Formulations[Product Code],0)),"")</f>
        <v>Silver</v>
      </c>
    </row>
    <row r="3321" spans="1:7" x14ac:dyDescent="0.3">
      <c r="A3321" t="s">
        <v>1683</v>
      </c>
      <c r="B3321" t="s">
        <v>653</v>
      </c>
      <c r="C3321" t="s">
        <v>654</v>
      </c>
      <c r="D3321" s="7">
        <v>10</v>
      </c>
      <c r="E3321">
        <v>2021</v>
      </c>
      <c r="F3321">
        <v>2021</v>
      </c>
      <c r="G3321" t="str">
        <f>IFERROR(INDEX(Formulations[Formulation],MATCH($C3321,Formulations[Product Code],0)),"")</f>
        <v>Pure</v>
      </c>
    </row>
    <row r="3322" spans="1:7" x14ac:dyDescent="0.3">
      <c r="A3322" t="s">
        <v>1686</v>
      </c>
      <c r="B3322" t="s">
        <v>581</v>
      </c>
      <c r="C3322" t="s">
        <v>582</v>
      </c>
      <c r="D3322" s="7">
        <v>10</v>
      </c>
      <c r="E3322">
        <v>2017</v>
      </c>
      <c r="F3322">
        <v>2018</v>
      </c>
      <c r="G3322" t="str">
        <f>IFERROR(INDEX(Formulations[Formulation],MATCH($C3322,Formulations[Product Code],0)),"")</f>
        <v/>
      </c>
    </row>
    <row r="3323" spans="1:7" x14ac:dyDescent="0.3">
      <c r="A3323" t="s">
        <v>1686</v>
      </c>
      <c r="B3323" t="s">
        <v>696</v>
      </c>
      <c r="C3323" t="s">
        <v>697</v>
      </c>
      <c r="D3323" s="7">
        <v>10</v>
      </c>
      <c r="E3323">
        <v>2014</v>
      </c>
      <c r="F3323">
        <v>2014</v>
      </c>
      <c r="G3323" t="str">
        <f>IFERROR(INDEX(Formulations[Formulation],MATCH($C3323,Formulations[Product Code],0)),"")</f>
        <v/>
      </c>
    </row>
    <row r="3324" spans="1:7" x14ac:dyDescent="0.3">
      <c r="A3324" t="s">
        <v>1686</v>
      </c>
      <c r="B3324" t="s">
        <v>297</v>
      </c>
      <c r="C3324" t="s">
        <v>298</v>
      </c>
      <c r="D3324" s="7">
        <v>10</v>
      </c>
      <c r="E3324">
        <v>2016</v>
      </c>
      <c r="F3324">
        <v>2016</v>
      </c>
      <c r="G3324" t="str">
        <f>IFERROR(INDEX(Formulations[Formulation],MATCH($C3324,Formulations[Product Code],0)),"")</f>
        <v>Pure</v>
      </c>
    </row>
    <row r="3325" spans="1:7" x14ac:dyDescent="0.3">
      <c r="A3325" t="s">
        <v>1686</v>
      </c>
      <c r="B3325" t="s">
        <v>269</v>
      </c>
      <c r="C3325" t="s">
        <v>270</v>
      </c>
      <c r="D3325" s="7">
        <v>10</v>
      </c>
      <c r="E3325">
        <v>2019</v>
      </c>
      <c r="F3325">
        <v>2019</v>
      </c>
      <c r="G3325" t="str">
        <f>IFERROR(INDEX(Formulations[Formulation],MATCH($C3325,Formulations[Product Code],0)),"")</f>
        <v>Pure</v>
      </c>
    </row>
    <row r="3326" spans="1:7" x14ac:dyDescent="0.3">
      <c r="A3326" t="s">
        <v>1686</v>
      </c>
      <c r="B3326" t="s">
        <v>187</v>
      </c>
      <c r="C3326" t="s">
        <v>188</v>
      </c>
      <c r="D3326" s="7">
        <v>10</v>
      </c>
      <c r="E3326">
        <v>2020</v>
      </c>
      <c r="F3326">
        <v>2020</v>
      </c>
      <c r="G3326" t="str">
        <f>IFERROR(INDEX(Formulations[Formulation],MATCH($C3326,Formulations[Product Code],0)),"")</f>
        <v>Crystal</v>
      </c>
    </row>
    <row r="3327" spans="1:7" x14ac:dyDescent="0.3">
      <c r="A3327" t="s">
        <v>1686</v>
      </c>
      <c r="B3327" t="s">
        <v>68</v>
      </c>
      <c r="C3327" t="s">
        <v>69</v>
      </c>
      <c r="D3327" s="7">
        <v>10</v>
      </c>
      <c r="E3327">
        <v>2014</v>
      </c>
      <c r="F3327">
        <v>2014</v>
      </c>
      <c r="G3327" t="str">
        <f>IFERROR(INDEX(Formulations[Formulation],MATCH($C3327,Formulations[Product Code],0)),"")</f>
        <v>Silver</v>
      </c>
    </row>
    <row r="3328" spans="1:7" x14ac:dyDescent="0.3">
      <c r="A3328" t="s">
        <v>1686</v>
      </c>
      <c r="B3328" t="s">
        <v>323</v>
      </c>
      <c r="C3328" t="s">
        <v>324</v>
      </c>
      <c r="D3328" s="7">
        <v>10</v>
      </c>
      <c r="E3328">
        <v>2017</v>
      </c>
      <c r="F3328">
        <v>2018</v>
      </c>
      <c r="G3328" t="str">
        <f>IFERROR(INDEX(Formulations[Formulation],MATCH($C3328,Formulations[Product Code],0)),"")</f>
        <v>Pure</v>
      </c>
    </row>
    <row r="3329" spans="1:7" x14ac:dyDescent="0.3">
      <c r="A3329" t="s">
        <v>1686</v>
      </c>
      <c r="B3329" t="s">
        <v>1689</v>
      </c>
      <c r="D3329" s="7">
        <v>10</v>
      </c>
      <c r="E3329">
        <v>2017</v>
      </c>
      <c r="F3329">
        <v>2017</v>
      </c>
      <c r="G3329" t="str">
        <f>IFERROR(INDEX(Formulations[Formulation],MATCH($C3329,Formulations[Product Code],0)),"")</f>
        <v/>
      </c>
    </row>
    <row r="3330" spans="1:7" x14ac:dyDescent="0.3">
      <c r="A3330" t="s">
        <v>1693</v>
      </c>
      <c r="B3330" t="s">
        <v>1408</v>
      </c>
      <c r="D3330" s="7">
        <v>10</v>
      </c>
      <c r="E3330">
        <v>2021</v>
      </c>
      <c r="F3330">
        <v>2021</v>
      </c>
      <c r="G3330" t="str">
        <f>IFERROR(INDEX(Formulations[Formulation],MATCH($C3330,Formulations[Product Code],0)),"")</f>
        <v/>
      </c>
    </row>
    <row r="3331" spans="1:7" x14ac:dyDescent="0.3">
      <c r="A3331" t="s">
        <v>1693</v>
      </c>
      <c r="B3331" t="s">
        <v>86</v>
      </c>
      <c r="C3331" t="s">
        <v>87</v>
      </c>
      <c r="D3331" s="7">
        <v>10</v>
      </c>
      <c r="E3331">
        <v>2021</v>
      </c>
      <c r="F3331">
        <v>2021</v>
      </c>
      <c r="G3331" t="str">
        <f>IFERROR(INDEX(Formulations[Formulation],MATCH($C3331,Formulations[Product Code],0)),"")</f>
        <v>Pure</v>
      </c>
    </row>
    <row r="3332" spans="1:7" x14ac:dyDescent="0.3">
      <c r="A3332" t="s">
        <v>1693</v>
      </c>
      <c r="B3332" t="s">
        <v>125</v>
      </c>
      <c r="D3332" s="7">
        <v>10</v>
      </c>
      <c r="E3332">
        <v>2021</v>
      </c>
      <c r="F3332">
        <v>2021</v>
      </c>
      <c r="G3332" t="str">
        <f>IFERROR(INDEX(Formulations[Formulation],MATCH($C3332,Formulations[Product Code],0)),"")</f>
        <v/>
      </c>
    </row>
    <row r="3333" spans="1:7" x14ac:dyDescent="0.3">
      <c r="A3333" t="s">
        <v>1693</v>
      </c>
      <c r="B3333" t="s">
        <v>476</v>
      </c>
      <c r="C3333" t="s">
        <v>478</v>
      </c>
      <c r="D3333" s="7">
        <v>10</v>
      </c>
      <c r="E3333">
        <v>2021</v>
      </c>
      <c r="F3333">
        <v>2021</v>
      </c>
      <c r="G3333" t="str">
        <f>IFERROR(INDEX(Formulations[Formulation],MATCH($C3333,Formulations[Product Code],0)),"")</f>
        <v>Pure</v>
      </c>
    </row>
    <row r="3334" spans="1:7" x14ac:dyDescent="0.3">
      <c r="A3334" t="s">
        <v>1703</v>
      </c>
      <c r="B3334" t="s">
        <v>125</v>
      </c>
      <c r="D3334" s="7">
        <v>10</v>
      </c>
      <c r="E3334">
        <v>2020</v>
      </c>
      <c r="F3334">
        <v>2020</v>
      </c>
      <c r="G3334" t="str">
        <f>IFERROR(INDEX(Formulations[Formulation],MATCH($C3334,Formulations[Product Code],0)),"")</f>
        <v/>
      </c>
    </row>
    <row r="3335" spans="1:7" x14ac:dyDescent="0.3">
      <c r="A3335" t="s">
        <v>1743</v>
      </c>
      <c r="B3335" t="s">
        <v>533</v>
      </c>
      <c r="C3335" t="s">
        <v>534</v>
      </c>
      <c r="D3335" s="7">
        <v>10</v>
      </c>
      <c r="E3335">
        <v>2021</v>
      </c>
      <c r="F3335">
        <v>2021</v>
      </c>
      <c r="G3335" t="str">
        <f>IFERROR(INDEX(Formulations[Formulation],MATCH($C3335,Formulations[Product Code],0)),"")</f>
        <v>Pure</v>
      </c>
    </row>
    <row r="3336" spans="1:7" x14ac:dyDescent="0.3">
      <c r="A3336" t="s">
        <v>1743</v>
      </c>
      <c r="B3336" t="s">
        <v>438</v>
      </c>
      <c r="C3336" t="s">
        <v>439</v>
      </c>
      <c r="D3336" s="7">
        <v>10</v>
      </c>
      <c r="E3336">
        <v>2020</v>
      </c>
      <c r="F3336">
        <v>2020</v>
      </c>
      <c r="G3336" t="str">
        <f>IFERROR(INDEX(Formulations[Formulation],MATCH($C3336,Formulations[Product Code],0)),"")</f>
        <v>Pure</v>
      </c>
    </row>
    <row r="3337" spans="1:7" x14ac:dyDescent="0.3">
      <c r="A3337" t="s">
        <v>1746</v>
      </c>
      <c r="B3337" t="s">
        <v>593</v>
      </c>
      <c r="C3337" t="s">
        <v>594</v>
      </c>
      <c r="D3337" s="7">
        <v>10</v>
      </c>
      <c r="E3337">
        <v>2021</v>
      </c>
      <c r="F3337">
        <v>2021</v>
      </c>
      <c r="G3337" t="str">
        <f>IFERROR(INDEX(Formulations[Formulation],MATCH($C3337,Formulations[Product Code],0)),"")</f>
        <v>Oil 4.5kg</v>
      </c>
    </row>
    <row r="3338" spans="1:7" x14ac:dyDescent="0.3">
      <c r="A3338" t="s">
        <v>1750</v>
      </c>
      <c r="B3338" t="s">
        <v>1752</v>
      </c>
      <c r="C3338" t="s">
        <v>673</v>
      </c>
      <c r="D3338" s="7">
        <v>10</v>
      </c>
      <c r="E3338">
        <v>2017</v>
      </c>
      <c r="F3338">
        <v>2017</v>
      </c>
      <c r="G3338" t="str">
        <f>IFERROR(INDEX(Formulations[Formulation],MATCH($C3338,Formulations[Product Code],0)),"")</f>
        <v>Apricot 60 % oil and 40 % dpg</v>
      </c>
    </row>
    <row r="3339" spans="1:7" x14ac:dyDescent="0.3">
      <c r="A3339" t="s">
        <v>1761</v>
      </c>
      <c r="B3339" t="s">
        <v>453</v>
      </c>
      <c r="D3339" s="7">
        <v>10</v>
      </c>
      <c r="E3339">
        <v>2019</v>
      </c>
      <c r="F3339">
        <v>2020</v>
      </c>
      <c r="G3339" t="str">
        <f>IFERROR(INDEX(Formulations[Formulation],MATCH($C3339,Formulations[Product Code],0)),"")</f>
        <v/>
      </c>
    </row>
    <row r="3340" spans="1:7" x14ac:dyDescent="0.3">
      <c r="A3340" t="s">
        <v>1773</v>
      </c>
      <c r="B3340" t="s">
        <v>1778</v>
      </c>
      <c r="C3340" t="s">
        <v>1137</v>
      </c>
      <c r="D3340" s="7">
        <v>10</v>
      </c>
      <c r="E3340">
        <v>2017</v>
      </c>
      <c r="F3340">
        <v>2017</v>
      </c>
      <c r="G3340" t="str">
        <f>IFERROR(INDEX(Formulations[Formulation],MATCH($C3340,Formulations[Product Code],0)),"")</f>
        <v/>
      </c>
    </row>
    <row r="3341" spans="1:7" x14ac:dyDescent="0.3">
      <c r="A3341" t="s">
        <v>1784</v>
      </c>
      <c r="B3341" t="s">
        <v>328</v>
      </c>
      <c r="C3341" t="s">
        <v>52</v>
      </c>
      <c r="D3341" s="7">
        <v>10</v>
      </c>
      <c r="E3341">
        <v>2014</v>
      </c>
      <c r="F3341">
        <v>2014</v>
      </c>
      <c r="G3341" t="str">
        <f>IFERROR(INDEX(Formulations[Formulation],MATCH($C3341,Formulations[Product Code],0)),"")</f>
        <v>Silver</v>
      </c>
    </row>
    <row r="3342" spans="1:7" x14ac:dyDescent="0.3">
      <c r="A3342" t="s">
        <v>1784</v>
      </c>
      <c r="B3342" t="s">
        <v>1791</v>
      </c>
      <c r="C3342" t="s">
        <v>1792</v>
      </c>
      <c r="D3342" s="7">
        <v>10</v>
      </c>
      <c r="E3342">
        <v>2013</v>
      </c>
      <c r="F3342">
        <v>2013</v>
      </c>
      <c r="G3342" t="str">
        <f>IFERROR(INDEX(Formulations[Formulation],MATCH($C3342,Formulations[Product Code],0)),"")</f>
        <v/>
      </c>
    </row>
    <row r="3343" spans="1:7" x14ac:dyDescent="0.3">
      <c r="A3343" t="s">
        <v>1784</v>
      </c>
      <c r="B3343" t="s">
        <v>90</v>
      </c>
      <c r="C3343" t="s">
        <v>91</v>
      </c>
      <c r="D3343" s="7">
        <v>10</v>
      </c>
      <c r="E3343">
        <v>2016</v>
      </c>
      <c r="F3343">
        <v>2016</v>
      </c>
      <c r="G3343" t="str">
        <f>IFERROR(INDEX(Formulations[Formulation],MATCH($C3343,Formulations[Product Code],0)),"")</f>
        <v>Pure</v>
      </c>
    </row>
    <row r="3344" spans="1:7" x14ac:dyDescent="0.3">
      <c r="A3344" t="s">
        <v>1784</v>
      </c>
      <c r="B3344" t="s">
        <v>516</v>
      </c>
      <c r="D3344" s="7">
        <v>10</v>
      </c>
      <c r="E3344">
        <v>2018</v>
      </c>
      <c r="F3344">
        <v>2020</v>
      </c>
      <c r="G3344" t="str">
        <f>IFERROR(INDEX(Formulations[Formulation],MATCH($C3344,Formulations[Product Code],0)),"")</f>
        <v/>
      </c>
    </row>
    <row r="3345" spans="1:7" x14ac:dyDescent="0.3">
      <c r="A3345" t="s">
        <v>1784</v>
      </c>
      <c r="B3345" t="s">
        <v>1709</v>
      </c>
      <c r="C3345" t="s">
        <v>1710</v>
      </c>
      <c r="D3345" s="7">
        <v>10</v>
      </c>
      <c r="E3345">
        <v>2013</v>
      </c>
      <c r="F3345">
        <v>2013</v>
      </c>
      <c r="G3345" t="str">
        <f>IFERROR(INDEX(Formulations[Formulation],MATCH($C3345,Formulations[Product Code],0)),"")</f>
        <v/>
      </c>
    </row>
    <row r="3346" spans="1:7" x14ac:dyDescent="0.3">
      <c r="A3346" t="s">
        <v>1784</v>
      </c>
      <c r="B3346" t="s">
        <v>1587</v>
      </c>
      <c r="C3346" t="s">
        <v>1588</v>
      </c>
      <c r="D3346" s="7">
        <v>10</v>
      </c>
      <c r="E3346">
        <v>2013</v>
      </c>
      <c r="F3346">
        <v>2013</v>
      </c>
      <c r="G3346" t="str">
        <f>IFERROR(INDEX(Formulations[Formulation],MATCH($C3346,Formulations[Product Code],0)),"")</f>
        <v/>
      </c>
    </row>
    <row r="3347" spans="1:7" x14ac:dyDescent="0.3">
      <c r="A3347" t="s">
        <v>1784</v>
      </c>
      <c r="B3347" t="s">
        <v>1363</v>
      </c>
      <c r="C3347" t="s">
        <v>1364</v>
      </c>
      <c r="D3347" s="7">
        <v>10</v>
      </c>
      <c r="E3347">
        <v>2015</v>
      </c>
      <c r="F3347">
        <v>2015</v>
      </c>
      <c r="G3347" t="str">
        <f>IFERROR(INDEX(Formulations[Formulation],MATCH($C3347,Formulations[Product Code],0)),"")</f>
        <v/>
      </c>
    </row>
    <row r="3348" spans="1:7" x14ac:dyDescent="0.3">
      <c r="A3348" t="s">
        <v>1784</v>
      </c>
      <c r="B3348" t="s">
        <v>142</v>
      </c>
      <c r="C3348" t="s">
        <v>143</v>
      </c>
      <c r="D3348" s="7">
        <v>10</v>
      </c>
      <c r="E3348">
        <v>2017</v>
      </c>
      <c r="F3348">
        <v>2017</v>
      </c>
      <c r="G3348" t="str">
        <f>IFERROR(INDEX(Formulations[Formulation],MATCH($C3348,Formulations[Product Code],0)),"")</f>
        <v>Pure</v>
      </c>
    </row>
    <row r="3349" spans="1:7" x14ac:dyDescent="0.3">
      <c r="A3349" t="s">
        <v>1799</v>
      </c>
      <c r="B3349" t="s">
        <v>1801</v>
      </c>
      <c r="D3349" s="7">
        <v>10</v>
      </c>
      <c r="E3349">
        <v>2017</v>
      </c>
      <c r="F3349">
        <v>2017</v>
      </c>
      <c r="G3349" t="str">
        <f>IFERROR(INDEX(Formulations[Formulation],MATCH($C3349,Formulations[Product Code],0)),"")</f>
        <v/>
      </c>
    </row>
    <row r="3350" spans="1:7" x14ac:dyDescent="0.3">
      <c r="A3350" t="s">
        <v>1799</v>
      </c>
      <c r="B3350" t="s">
        <v>543</v>
      </c>
      <c r="C3350" t="s">
        <v>544</v>
      </c>
      <c r="D3350" s="7">
        <v>10</v>
      </c>
      <c r="E3350">
        <v>2020</v>
      </c>
      <c r="F3350">
        <v>2020</v>
      </c>
      <c r="G3350" t="str">
        <f>IFERROR(INDEX(Formulations[Formulation],MATCH($C3350,Formulations[Product Code],0)),"")</f>
        <v>Crystal</v>
      </c>
    </row>
    <row r="3351" spans="1:7" x14ac:dyDescent="0.3">
      <c r="A3351" t="s">
        <v>1799</v>
      </c>
      <c r="B3351" t="s">
        <v>30</v>
      </c>
      <c r="C3351" t="s">
        <v>31</v>
      </c>
      <c r="D3351" s="7">
        <v>10</v>
      </c>
      <c r="E3351">
        <v>2016</v>
      </c>
      <c r="F3351">
        <v>2020</v>
      </c>
      <c r="G3351" t="str">
        <f>IFERROR(INDEX(Formulations[Formulation],MATCH($C3351,Formulations[Product Code],0)),"")</f>
        <v>Pure</v>
      </c>
    </row>
    <row r="3352" spans="1:7" x14ac:dyDescent="0.3">
      <c r="A3352" t="s">
        <v>1799</v>
      </c>
      <c r="B3352" t="s">
        <v>196</v>
      </c>
      <c r="C3352" t="s">
        <v>197</v>
      </c>
      <c r="D3352" s="7">
        <v>10</v>
      </c>
      <c r="E3352">
        <v>2018</v>
      </c>
      <c r="F3352">
        <v>2018</v>
      </c>
      <c r="G3352" t="str">
        <f>IFERROR(INDEX(Formulations[Formulation],MATCH($C3352,Formulations[Product Code],0)),"")</f>
        <v/>
      </c>
    </row>
    <row r="3353" spans="1:7" x14ac:dyDescent="0.3">
      <c r="A3353" t="s">
        <v>1819</v>
      </c>
      <c r="B3353" t="s">
        <v>458</v>
      </c>
      <c r="D3353" s="7">
        <v>10</v>
      </c>
      <c r="E3353">
        <v>2015</v>
      </c>
      <c r="F3353">
        <v>2016</v>
      </c>
      <c r="G3353" t="str">
        <f>IFERROR(INDEX(Formulations[Formulation],MATCH($C3353,Formulations[Product Code],0)),"")</f>
        <v/>
      </c>
    </row>
    <row r="3354" spans="1:7" x14ac:dyDescent="0.3">
      <c r="A3354" t="s">
        <v>1819</v>
      </c>
      <c r="B3354" t="s">
        <v>36</v>
      </c>
      <c r="D3354" s="7">
        <v>10</v>
      </c>
      <c r="E3354">
        <v>2017</v>
      </c>
      <c r="F3354">
        <v>2017</v>
      </c>
      <c r="G3354" t="str">
        <f>IFERROR(INDEX(Formulations[Formulation],MATCH($C3354,Formulations[Product Code],0)),"")</f>
        <v/>
      </c>
    </row>
    <row r="3355" spans="1:7" x14ac:dyDescent="0.3">
      <c r="A3355" t="s">
        <v>1833</v>
      </c>
      <c r="B3355" t="s">
        <v>567</v>
      </c>
      <c r="C3355" t="s">
        <v>698</v>
      </c>
      <c r="D3355" s="7">
        <v>10</v>
      </c>
      <c r="E3355">
        <v>2020</v>
      </c>
      <c r="F3355">
        <v>2020</v>
      </c>
      <c r="G3355" t="str">
        <f>IFERROR(INDEX(Formulations[Formulation],MATCH($C3355,Formulations[Product Code],0)),"")</f>
        <v>Crystal</v>
      </c>
    </row>
    <row r="3356" spans="1:7" x14ac:dyDescent="0.3">
      <c r="A3356" t="s">
        <v>1833</v>
      </c>
      <c r="B3356" t="s">
        <v>864</v>
      </c>
      <c r="D3356" s="7">
        <v>10</v>
      </c>
      <c r="E3356">
        <v>2017</v>
      </c>
      <c r="F3356">
        <v>2017</v>
      </c>
      <c r="G3356" t="str">
        <f>IFERROR(INDEX(Formulations[Formulation],MATCH($C3356,Formulations[Product Code],0)),"")</f>
        <v/>
      </c>
    </row>
    <row r="3357" spans="1:7" x14ac:dyDescent="0.3">
      <c r="A3357" t="s">
        <v>1847</v>
      </c>
      <c r="B3357" t="s">
        <v>79</v>
      </c>
      <c r="C3357" t="s">
        <v>80</v>
      </c>
      <c r="D3357" s="7">
        <v>10</v>
      </c>
      <c r="E3357">
        <v>2018</v>
      </c>
      <c r="F3357">
        <v>2018</v>
      </c>
      <c r="G3357" t="str">
        <f>IFERROR(INDEX(Formulations[Formulation],MATCH($C3357,Formulations[Product Code],0)),"")</f>
        <v>Pure</v>
      </c>
    </row>
    <row r="3358" spans="1:7" x14ac:dyDescent="0.3">
      <c r="A3358" t="s">
        <v>1847</v>
      </c>
      <c r="B3358" t="s">
        <v>1789</v>
      </c>
      <c r="C3358" t="s">
        <v>1790</v>
      </c>
      <c r="D3358" s="7">
        <v>10</v>
      </c>
      <c r="E3358">
        <v>2018</v>
      </c>
      <c r="F3358">
        <v>2018</v>
      </c>
      <c r="G3358" t="str">
        <f>IFERROR(INDEX(Formulations[Formulation],MATCH($C3358,Formulations[Product Code],0)),"")</f>
        <v/>
      </c>
    </row>
    <row r="3359" spans="1:7" x14ac:dyDescent="0.3">
      <c r="A3359" t="s">
        <v>1848</v>
      </c>
      <c r="B3359" t="s">
        <v>483</v>
      </c>
      <c r="C3359" t="s">
        <v>484</v>
      </c>
      <c r="D3359" s="7">
        <v>10</v>
      </c>
      <c r="E3359">
        <v>2020</v>
      </c>
      <c r="F3359">
        <v>2021</v>
      </c>
      <c r="G3359" t="str">
        <f>IFERROR(INDEX(Formulations[Formulation],MATCH($C3359,Formulations[Product Code],0)),"")</f>
        <v>Crystal</v>
      </c>
    </row>
    <row r="3360" spans="1:7" x14ac:dyDescent="0.3">
      <c r="A3360" t="s">
        <v>1852</v>
      </c>
      <c r="B3360" t="s">
        <v>627</v>
      </c>
      <c r="C3360" t="s">
        <v>628</v>
      </c>
      <c r="D3360" s="7">
        <v>10</v>
      </c>
      <c r="E3360">
        <v>2020</v>
      </c>
      <c r="F3360">
        <v>2020</v>
      </c>
      <c r="G3360" t="str">
        <f>IFERROR(INDEX(Formulations[Formulation],MATCH($C3360,Formulations[Product Code],0)),"")</f>
        <v>Pure</v>
      </c>
    </row>
    <row r="3361" spans="1:7" x14ac:dyDescent="0.3">
      <c r="A3361" t="s">
        <v>1852</v>
      </c>
      <c r="B3361" t="s">
        <v>635</v>
      </c>
      <c r="C3361" t="s">
        <v>636</v>
      </c>
      <c r="D3361" s="7">
        <v>10</v>
      </c>
      <c r="E3361">
        <v>2020</v>
      </c>
      <c r="F3361">
        <v>2020</v>
      </c>
      <c r="G3361" t="str">
        <f>IFERROR(INDEX(Formulations[Formulation],MATCH($C3361,Formulations[Product Code],0)),"")</f>
        <v>Pure</v>
      </c>
    </row>
    <row r="3362" spans="1:7" x14ac:dyDescent="0.3">
      <c r="A3362" t="s">
        <v>1852</v>
      </c>
      <c r="B3362" t="s">
        <v>649</v>
      </c>
      <c r="C3362" t="s">
        <v>650</v>
      </c>
      <c r="D3362" s="7">
        <v>10</v>
      </c>
      <c r="E3362">
        <v>2020</v>
      </c>
      <c r="F3362">
        <v>2020</v>
      </c>
      <c r="G3362" t="str">
        <f>IFERROR(INDEX(Formulations[Formulation],MATCH($C3362,Formulations[Product Code],0)),"")</f>
        <v>Pure</v>
      </c>
    </row>
    <row r="3363" spans="1:7" x14ac:dyDescent="0.3">
      <c r="A3363" t="s">
        <v>1852</v>
      </c>
      <c r="B3363" t="s">
        <v>269</v>
      </c>
      <c r="C3363" t="s">
        <v>270</v>
      </c>
      <c r="D3363" s="7">
        <v>10</v>
      </c>
      <c r="E3363">
        <v>2020</v>
      </c>
      <c r="F3363">
        <v>2020</v>
      </c>
      <c r="G3363" t="str">
        <f>IFERROR(INDEX(Formulations[Formulation],MATCH($C3363,Formulations[Product Code],0)),"")</f>
        <v>Pure</v>
      </c>
    </row>
    <row r="3364" spans="1:7" x14ac:dyDescent="0.3">
      <c r="A3364" t="s">
        <v>1852</v>
      </c>
      <c r="B3364" t="s">
        <v>76</v>
      </c>
      <c r="C3364" t="s">
        <v>77</v>
      </c>
      <c r="D3364" s="7">
        <v>10</v>
      </c>
      <c r="E3364">
        <v>2020</v>
      </c>
      <c r="F3364">
        <v>2020</v>
      </c>
      <c r="G3364" t="str">
        <f>IFERROR(INDEX(Formulations[Formulation],MATCH($C3364,Formulations[Product Code],0)),"")</f>
        <v>Silver</v>
      </c>
    </row>
    <row r="3365" spans="1:7" x14ac:dyDescent="0.3">
      <c r="A3365" t="s">
        <v>1852</v>
      </c>
      <c r="B3365" t="s">
        <v>679</v>
      </c>
      <c r="C3365" t="s">
        <v>680</v>
      </c>
      <c r="D3365" s="7">
        <v>10</v>
      </c>
      <c r="E3365">
        <v>2020</v>
      </c>
      <c r="F3365">
        <v>2020</v>
      </c>
      <c r="G3365" t="str">
        <f>IFERROR(INDEX(Formulations[Formulation],MATCH($C3365,Formulations[Product Code],0)),"")</f>
        <v>Crystal</v>
      </c>
    </row>
    <row r="3366" spans="1:7" x14ac:dyDescent="0.3">
      <c r="A3366" t="s">
        <v>1865</v>
      </c>
      <c r="B3366" t="s">
        <v>16</v>
      </c>
      <c r="C3366" t="s">
        <v>17</v>
      </c>
      <c r="D3366" s="7">
        <v>10</v>
      </c>
      <c r="E3366">
        <v>2019</v>
      </c>
      <c r="F3366">
        <v>2019</v>
      </c>
      <c r="G3366" t="str">
        <f>IFERROR(INDEX(Formulations[Formulation],MATCH($C3366,Formulations[Product Code],0)),"")</f>
        <v>Crystal</v>
      </c>
    </row>
    <row r="3367" spans="1:7" x14ac:dyDescent="0.3">
      <c r="A3367" t="s">
        <v>1865</v>
      </c>
      <c r="B3367" t="s">
        <v>662</v>
      </c>
      <c r="C3367" t="s">
        <v>525</v>
      </c>
      <c r="D3367" s="7">
        <v>10</v>
      </c>
      <c r="E3367">
        <v>2019</v>
      </c>
      <c r="F3367">
        <v>2019</v>
      </c>
      <c r="G3367" t="str">
        <f>IFERROR(INDEX(Formulations[Formulation],MATCH($C3367,Formulations[Product Code],0)),"")</f>
        <v/>
      </c>
    </row>
    <row r="3368" spans="1:7" x14ac:dyDescent="0.3">
      <c r="A3368" t="s">
        <v>1865</v>
      </c>
      <c r="B3368" t="s">
        <v>184</v>
      </c>
      <c r="C3368" t="s">
        <v>185</v>
      </c>
      <c r="D3368" s="7">
        <v>10</v>
      </c>
      <c r="E3368">
        <v>2019</v>
      </c>
      <c r="F3368">
        <v>2019</v>
      </c>
      <c r="G3368" t="str">
        <f>IFERROR(INDEX(Formulations[Formulation],MATCH($C3368,Formulations[Product Code],0)),"")</f>
        <v/>
      </c>
    </row>
    <row r="3369" spans="1:7" x14ac:dyDescent="0.3">
      <c r="A3369" t="s">
        <v>1865</v>
      </c>
      <c r="B3369" t="s">
        <v>1666</v>
      </c>
      <c r="C3369" t="s">
        <v>1667</v>
      </c>
      <c r="D3369" s="7">
        <v>10</v>
      </c>
      <c r="E3369">
        <v>2020</v>
      </c>
      <c r="F3369">
        <v>2020</v>
      </c>
      <c r="G3369" t="str">
        <f>IFERROR(INDEX(Formulations[Formulation],MATCH($C3369,Formulations[Product Code],0)),"")</f>
        <v>Crystal</v>
      </c>
    </row>
    <row r="3370" spans="1:7" x14ac:dyDescent="0.3">
      <c r="A3370" t="s">
        <v>1869</v>
      </c>
      <c r="B3370" t="s">
        <v>591</v>
      </c>
      <c r="C3370" t="s">
        <v>592</v>
      </c>
      <c r="D3370" s="7">
        <v>10</v>
      </c>
      <c r="E3370">
        <v>2020</v>
      </c>
      <c r="F3370">
        <v>2020</v>
      </c>
      <c r="G3370" t="str">
        <f>IFERROR(INDEX(Formulations[Formulation],MATCH($C3370,Formulations[Product Code],0)),"")</f>
        <v>20% Oil</v>
      </c>
    </row>
    <row r="3371" spans="1:7" x14ac:dyDescent="0.3">
      <c r="A3371" t="s">
        <v>1869</v>
      </c>
      <c r="B3371" t="s">
        <v>792</v>
      </c>
      <c r="C3371" t="s">
        <v>793</v>
      </c>
      <c r="D3371" s="7">
        <v>10</v>
      </c>
      <c r="E3371">
        <v>2018</v>
      </c>
      <c r="F3371">
        <v>2018</v>
      </c>
      <c r="G3371" t="str">
        <f>IFERROR(INDEX(Formulations[Formulation],MATCH($C3371,Formulations[Product Code],0)),"")</f>
        <v>Silver</v>
      </c>
    </row>
    <row r="3372" spans="1:7" x14ac:dyDescent="0.3">
      <c r="A3372" t="s">
        <v>1869</v>
      </c>
      <c r="B3372" t="s">
        <v>196</v>
      </c>
      <c r="C3372" t="s">
        <v>197</v>
      </c>
      <c r="D3372" s="7">
        <v>10</v>
      </c>
      <c r="E3372">
        <v>2018</v>
      </c>
      <c r="F3372">
        <v>2018</v>
      </c>
      <c r="G3372" t="str">
        <f>IFERROR(INDEX(Formulations[Formulation],MATCH($C3372,Formulations[Product Code],0)),"")</f>
        <v/>
      </c>
    </row>
    <row r="3373" spans="1:7" x14ac:dyDescent="0.3">
      <c r="A3373" t="s">
        <v>1871</v>
      </c>
      <c r="B3373" t="s">
        <v>461</v>
      </c>
      <c r="D3373" s="7">
        <v>10</v>
      </c>
      <c r="E3373">
        <v>2017</v>
      </c>
      <c r="F3373">
        <v>2018</v>
      </c>
      <c r="G3373" t="str">
        <f>IFERROR(INDEX(Formulations[Formulation],MATCH($C3373,Formulations[Product Code],0)),"")</f>
        <v/>
      </c>
    </row>
    <row r="3374" spans="1:7" x14ac:dyDescent="0.3">
      <c r="A3374" t="s">
        <v>1872</v>
      </c>
      <c r="B3374" t="s">
        <v>101</v>
      </c>
      <c r="C3374" t="s">
        <v>102</v>
      </c>
      <c r="D3374" s="7">
        <v>10</v>
      </c>
      <c r="E3374">
        <v>2019</v>
      </c>
      <c r="F3374">
        <v>2019</v>
      </c>
      <c r="G3374" t="str">
        <f>IFERROR(INDEX(Formulations[Formulation],MATCH($C3374,Formulations[Product Code],0)),"")</f>
        <v>Gold</v>
      </c>
    </row>
    <row r="3375" spans="1:7" x14ac:dyDescent="0.3">
      <c r="A3375" t="s">
        <v>1872</v>
      </c>
      <c r="B3375" t="s">
        <v>1404</v>
      </c>
      <c r="D3375" s="7">
        <v>10</v>
      </c>
      <c r="E3375">
        <v>2020</v>
      </c>
      <c r="F3375">
        <v>2020</v>
      </c>
      <c r="G3375" t="str">
        <f>IFERROR(INDEX(Formulations[Formulation],MATCH($C3375,Formulations[Product Code],0)),"")</f>
        <v/>
      </c>
    </row>
    <row r="3376" spans="1:7" x14ac:dyDescent="0.3">
      <c r="A3376" t="s">
        <v>1872</v>
      </c>
      <c r="B3376" t="s">
        <v>307</v>
      </c>
      <c r="C3376" t="s">
        <v>132</v>
      </c>
      <c r="D3376" s="7">
        <v>10</v>
      </c>
      <c r="E3376">
        <v>2019</v>
      </c>
      <c r="F3376">
        <v>2019</v>
      </c>
      <c r="G3376" t="str">
        <f>IFERROR(INDEX(Formulations[Formulation],MATCH($C3376,Formulations[Product Code],0)),"")</f>
        <v>Pure</v>
      </c>
    </row>
    <row r="3377" spans="1:7" x14ac:dyDescent="0.3">
      <c r="A3377" t="s">
        <v>1873</v>
      </c>
      <c r="B3377" t="s">
        <v>383</v>
      </c>
      <c r="C3377" t="s">
        <v>385</v>
      </c>
      <c r="D3377" s="7">
        <v>10</v>
      </c>
      <c r="E3377">
        <v>2021</v>
      </c>
      <c r="F3377">
        <v>2021</v>
      </c>
      <c r="G3377" t="str">
        <f>IFERROR(INDEX(Formulations[Formulation],MATCH($C3377,Formulations[Product Code],0)),"")</f>
        <v>Silver</v>
      </c>
    </row>
    <row r="3378" spans="1:7" x14ac:dyDescent="0.3">
      <c r="A3378" t="s">
        <v>1898</v>
      </c>
      <c r="B3378" t="s">
        <v>1899</v>
      </c>
      <c r="C3378" t="s">
        <v>592</v>
      </c>
      <c r="D3378" s="7">
        <v>10</v>
      </c>
      <c r="E3378">
        <v>2018</v>
      </c>
      <c r="F3378">
        <v>2018</v>
      </c>
      <c r="G3378" t="str">
        <f>IFERROR(INDEX(Formulations[Formulation],MATCH($C3378,Formulations[Product Code],0)),"")</f>
        <v>20% Oil</v>
      </c>
    </row>
    <row r="3379" spans="1:7" x14ac:dyDescent="0.3">
      <c r="A3379" t="s">
        <v>1898</v>
      </c>
      <c r="B3379" t="s">
        <v>1900</v>
      </c>
      <c r="D3379" s="7">
        <v>10</v>
      </c>
      <c r="E3379">
        <v>2017</v>
      </c>
      <c r="F3379">
        <v>2017</v>
      </c>
      <c r="G3379" t="str">
        <f>IFERROR(INDEX(Formulations[Formulation],MATCH($C3379,Formulations[Product Code],0)),"")</f>
        <v/>
      </c>
    </row>
    <row r="3380" spans="1:7" x14ac:dyDescent="0.3">
      <c r="A3380" t="s">
        <v>1898</v>
      </c>
      <c r="B3380" t="s">
        <v>398</v>
      </c>
      <c r="C3380" t="s">
        <v>399</v>
      </c>
      <c r="D3380" s="7">
        <v>10</v>
      </c>
      <c r="E3380">
        <v>2016</v>
      </c>
      <c r="F3380">
        <v>2016</v>
      </c>
      <c r="G3380" t="str">
        <f>IFERROR(INDEX(Formulations[Formulation],MATCH($C3380,Formulations[Product Code],0)),"")</f>
        <v/>
      </c>
    </row>
    <row r="3381" spans="1:7" x14ac:dyDescent="0.3">
      <c r="A3381" t="s">
        <v>1898</v>
      </c>
      <c r="B3381" t="s">
        <v>297</v>
      </c>
      <c r="C3381" t="s">
        <v>298</v>
      </c>
      <c r="D3381" s="7">
        <v>10</v>
      </c>
      <c r="E3381">
        <v>2018</v>
      </c>
      <c r="F3381">
        <v>2018</v>
      </c>
      <c r="G3381" t="str">
        <f>IFERROR(INDEX(Formulations[Formulation],MATCH($C3381,Formulations[Product Code],0)),"")</f>
        <v>Pure</v>
      </c>
    </row>
    <row r="3382" spans="1:7" x14ac:dyDescent="0.3">
      <c r="A3382" t="s">
        <v>1901</v>
      </c>
      <c r="B3382" t="s">
        <v>1093</v>
      </c>
      <c r="C3382" t="s">
        <v>169</v>
      </c>
      <c r="D3382" s="7">
        <v>10</v>
      </c>
      <c r="E3382">
        <v>2017</v>
      </c>
      <c r="F3382">
        <v>2018</v>
      </c>
      <c r="G3382" t="str">
        <f>IFERROR(INDEX(Formulations[Formulation],MATCH($C3382,Formulations[Product Code],0)),"")</f>
        <v>Silver</v>
      </c>
    </row>
    <row r="3383" spans="1:7" x14ac:dyDescent="0.3">
      <c r="A3383" t="s">
        <v>1901</v>
      </c>
      <c r="B3383" t="s">
        <v>1902</v>
      </c>
      <c r="D3383" s="7">
        <v>10</v>
      </c>
      <c r="E3383">
        <v>2017</v>
      </c>
      <c r="F3383">
        <v>2017</v>
      </c>
      <c r="G3383" t="str">
        <f>IFERROR(INDEX(Formulations[Formulation],MATCH($C3383,Formulations[Product Code],0)),"")</f>
        <v/>
      </c>
    </row>
    <row r="3384" spans="1:7" x14ac:dyDescent="0.3">
      <c r="A3384" t="s">
        <v>1901</v>
      </c>
      <c r="B3384" t="s">
        <v>34</v>
      </c>
      <c r="D3384" s="7">
        <v>10</v>
      </c>
      <c r="E3384">
        <v>2017</v>
      </c>
      <c r="F3384">
        <v>2017</v>
      </c>
      <c r="G3384" t="str">
        <f>IFERROR(INDEX(Formulations[Formulation],MATCH($C3384,Formulations[Product Code],0)),"")</f>
        <v/>
      </c>
    </row>
    <row r="3385" spans="1:7" x14ac:dyDescent="0.3">
      <c r="A3385" t="s">
        <v>1901</v>
      </c>
      <c r="B3385" t="s">
        <v>453</v>
      </c>
      <c r="D3385" s="7">
        <v>10</v>
      </c>
      <c r="E3385">
        <v>2017</v>
      </c>
      <c r="F3385">
        <v>2017</v>
      </c>
      <c r="G3385" t="str">
        <f>IFERROR(INDEX(Formulations[Formulation],MATCH($C3385,Formulations[Product Code],0)),"")</f>
        <v/>
      </c>
    </row>
    <row r="3386" spans="1:7" x14ac:dyDescent="0.3">
      <c r="A3386" t="s">
        <v>1901</v>
      </c>
      <c r="B3386" t="s">
        <v>506</v>
      </c>
      <c r="C3386" t="s">
        <v>507</v>
      </c>
      <c r="D3386" s="7">
        <v>10</v>
      </c>
      <c r="E3386">
        <v>2019</v>
      </c>
      <c r="F3386">
        <v>2021</v>
      </c>
      <c r="G3386" t="str">
        <f>IFERROR(INDEX(Formulations[Formulation],MATCH($C3386,Formulations[Product Code],0)),"")</f>
        <v>Silver</v>
      </c>
    </row>
    <row r="3387" spans="1:7" x14ac:dyDescent="0.3">
      <c r="A3387" t="s">
        <v>1901</v>
      </c>
      <c r="B3387" t="s">
        <v>114</v>
      </c>
      <c r="C3387" t="s">
        <v>115</v>
      </c>
      <c r="D3387" s="7">
        <v>10</v>
      </c>
      <c r="E3387">
        <v>2020</v>
      </c>
      <c r="F3387">
        <v>2021</v>
      </c>
      <c r="G3387" t="str">
        <f>IFERROR(INDEX(Formulations[Formulation],MATCH($C3387,Formulations[Product Code],0)),"")</f>
        <v>Pure</v>
      </c>
    </row>
    <row r="3388" spans="1:7" x14ac:dyDescent="0.3">
      <c r="A3388" t="s">
        <v>1901</v>
      </c>
      <c r="B3388" t="s">
        <v>36</v>
      </c>
      <c r="D3388" s="7">
        <v>10</v>
      </c>
      <c r="E3388">
        <v>2017</v>
      </c>
      <c r="F3388">
        <v>2017</v>
      </c>
      <c r="G3388" t="str">
        <f>IFERROR(INDEX(Formulations[Formulation],MATCH($C3388,Formulations[Product Code],0)),"")</f>
        <v/>
      </c>
    </row>
    <row r="3389" spans="1:7" x14ac:dyDescent="0.3">
      <c r="A3389" t="s">
        <v>1901</v>
      </c>
      <c r="B3389" t="s">
        <v>37</v>
      </c>
      <c r="D3389" s="7">
        <v>10</v>
      </c>
      <c r="E3389">
        <v>2017</v>
      </c>
      <c r="F3389">
        <v>2017</v>
      </c>
      <c r="G3389" t="str">
        <f>IFERROR(INDEX(Formulations[Formulation],MATCH($C3389,Formulations[Product Code],0)),"")</f>
        <v/>
      </c>
    </row>
    <row r="3390" spans="1:7" x14ac:dyDescent="0.3">
      <c r="A3390" t="s">
        <v>1905</v>
      </c>
      <c r="B3390" t="s">
        <v>55</v>
      </c>
      <c r="D3390" s="7">
        <v>10</v>
      </c>
      <c r="E3390">
        <v>2021</v>
      </c>
      <c r="F3390">
        <v>2021</v>
      </c>
      <c r="G3390" t="str">
        <f>IFERROR(INDEX(Formulations[Formulation],MATCH($C3390,Formulations[Product Code],0)),"")</f>
        <v/>
      </c>
    </row>
    <row r="3391" spans="1:7" x14ac:dyDescent="0.3">
      <c r="A3391" t="s">
        <v>1906</v>
      </c>
      <c r="B3391" t="s">
        <v>461</v>
      </c>
      <c r="D3391" s="7">
        <v>10</v>
      </c>
      <c r="E3391">
        <v>2017</v>
      </c>
      <c r="F3391">
        <v>2017</v>
      </c>
      <c r="G3391" t="str">
        <f>IFERROR(INDEX(Formulations[Formulation],MATCH($C3391,Formulations[Product Code],0)),"")</f>
        <v/>
      </c>
    </row>
    <row r="3392" spans="1:7" x14ac:dyDescent="0.3">
      <c r="A3392" t="s">
        <v>1911</v>
      </c>
      <c r="B3392" t="s">
        <v>471</v>
      </c>
      <c r="C3392" t="s">
        <v>778</v>
      </c>
      <c r="D3392" s="7">
        <v>10</v>
      </c>
      <c r="E3392">
        <v>2015</v>
      </c>
      <c r="F3392">
        <v>2015</v>
      </c>
      <c r="G3392" t="str">
        <f>IFERROR(INDEX(Formulations[Formulation],MATCH($C3392,Formulations[Product Code],0)),"")</f>
        <v/>
      </c>
    </row>
    <row r="3393" spans="1:7" x14ac:dyDescent="0.3">
      <c r="A3393" t="s">
        <v>1913</v>
      </c>
      <c r="B3393" t="s">
        <v>359</v>
      </c>
      <c r="C3393" t="s">
        <v>1914</v>
      </c>
      <c r="D3393" s="7">
        <v>10</v>
      </c>
      <c r="E3393">
        <v>2011</v>
      </c>
      <c r="F3393">
        <v>2011</v>
      </c>
      <c r="G3393" t="str">
        <f>IFERROR(INDEX(Formulations[Formulation],MATCH($C3393,Formulations[Product Code],0)),"")</f>
        <v/>
      </c>
    </row>
    <row r="3394" spans="1:7" x14ac:dyDescent="0.3">
      <c r="A3394" t="s">
        <v>1913</v>
      </c>
      <c r="B3394" t="s">
        <v>1915</v>
      </c>
      <c r="C3394" t="s">
        <v>1916</v>
      </c>
      <c r="D3394" s="7">
        <v>10</v>
      </c>
      <c r="E3394">
        <v>2011</v>
      </c>
      <c r="F3394">
        <v>2011</v>
      </c>
      <c r="G3394" t="str">
        <f>IFERROR(INDEX(Formulations[Formulation],MATCH($C3394,Formulations[Product Code],0)),"")</f>
        <v/>
      </c>
    </row>
    <row r="3395" spans="1:7" x14ac:dyDescent="0.3">
      <c r="A3395" t="s">
        <v>1913</v>
      </c>
      <c r="B3395" t="s">
        <v>1917</v>
      </c>
      <c r="C3395" t="s">
        <v>1918</v>
      </c>
      <c r="D3395" s="7">
        <v>10</v>
      </c>
      <c r="E3395">
        <v>2011</v>
      </c>
      <c r="F3395">
        <v>2011</v>
      </c>
      <c r="G3395" t="str">
        <f>IFERROR(INDEX(Formulations[Formulation],MATCH($C3395,Formulations[Product Code],0)),"")</f>
        <v/>
      </c>
    </row>
    <row r="3396" spans="1:7" x14ac:dyDescent="0.3">
      <c r="A3396" t="s">
        <v>1926</v>
      </c>
      <c r="B3396" t="s">
        <v>36</v>
      </c>
      <c r="D3396" s="7">
        <v>10</v>
      </c>
      <c r="E3396">
        <v>2020</v>
      </c>
      <c r="F3396">
        <v>2021</v>
      </c>
      <c r="G3396" t="str">
        <f>IFERROR(INDEX(Formulations[Formulation],MATCH($C3396,Formulations[Product Code],0)),"")</f>
        <v/>
      </c>
    </row>
    <row r="3397" spans="1:7" x14ac:dyDescent="0.3">
      <c r="A3397" t="s">
        <v>1927</v>
      </c>
      <c r="B3397" t="s">
        <v>88</v>
      </c>
      <c r="C3397" t="s">
        <v>89</v>
      </c>
      <c r="D3397" s="7">
        <v>10</v>
      </c>
      <c r="E3397">
        <v>2019</v>
      </c>
      <c r="F3397">
        <v>2019</v>
      </c>
      <c r="G3397" t="str">
        <f>IFERROR(INDEX(Formulations[Formulation],MATCH($C3397,Formulations[Product Code],0)),"")</f>
        <v>Pure</v>
      </c>
    </row>
    <row r="3398" spans="1:7" x14ac:dyDescent="0.3">
      <c r="A3398" t="s">
        <v>1927</v>
      </c>
      <c r="B3398" t="s">
        <v>72</v>
      </c>
      <c r="C3398" t="s">
        <v>73</v>
      </c>
      <c r="D3398" s="7">
        <v>10</v>
      </c>
      <c r="E3398">
        <v>2018</v>
      </c>
      <c r="F3398">
        <v>2018</v>
      </c>
      <c r="G3398" t="str">
        <f>IFERROR(INDEX(Formulations[Formulation],MATCH($C3398,Formulations[Product Code],0)),"")</f>
        <v>Silver</v>
      </c>
    </row>
    <row r="3399" spans="1:7" x14ac:dyDescent="0.3">
      <c r="A3399" t="s">
        <v>1932</v>
      </c>
      <c r="B3399" t="s">
        <v>400</v>
      </c>
      <c r="D3399" s="7">
        <v>10</v>
      </c>
      <c r="E3399">
        <v>2019</v>
      </c>
      <c r="F3399">
        <v>2020</v>
      </c>
      <c r="G3399" t="str">
        <f>IFERROR(INDEX(Formulations[Formulation],MATCH($C3399,Formulations[Product Code],0)),"")</f>
        <v/>
      </c>
    </row>
    <row r="3400" spans="1:7" x14ac:dyDescent="0.3">
      <c r="A3400" t="s">
        <v>1932</v>
      </c>
      <c r="B3400" t="s">
        <v>1797</v>
      </c>
      <c r="C3400" t="s">
        <v>1798</v>
      </c>
      <c r="D3400" s="7">
        <v>10</v>
      </c>
      <c r="E3400">
        <v>2014</v>
      </c>
      <c r="F3400">
        <v>2014</v>
      </c>
      <c r="G3400" t="str">
        <f>IFERROR(INDEX(Formulations[Formulation],MATCH($C3400,Formulations[Product Code],0)),"")</f>
        <v/>
      </c>
    </row>
    <row r="3401" spans="1:7" x14ac:dyDescent="0.3">
      <c r="A3401" t="s">
        <v>1932</v>
      </c>
      <c r="B3401" t="s">
        <v>599</v>
      </c>
      <c r="C3401" t="s">
        <v>413</v>
      </c>
      <c r="D3401" s="7">
        <v>10</v>
      </c>
      <c r="E3401">
        <v>2020</v>
      </c>
      <c r="F3401">
        <v>2020</v>
      </c>
      <c r="G3401" t="str">
        <f>IFERROR(INDEX(Formulations[Formulation],MATCH($C3401,Formulations[Product Code],0)),"")</f>
        <v>40% oil &amp; 60 % DPG</v>
      </c>
    </row>
    <row r="3402" spans="1:7" x14ac:dyDescent="0.3">
      <c r="A3402" t="s">
        <v>1933</v>
      </c>
      <c r="B3402" t="s">
        <v>503</v>
      </c>
      <c r="D3402" s="7">
        <v>10</v>
      </c>
      <c r="E3402">
        <v>2019</v>
      </c>
      <c r="F3402">
        <v>2019</v>
      </c>
      <c r="G3402" t="str">
        <f>IFERROR(INDEX(Formulations[Formulation],MATCH($C3402,Formulations[Product Code],0)),"")</f>
        <v/>
      </c>
    </row>
    <row r="3403" spans="1:7" x14ac:dyDescent="0.3">
      <c r="A3403" t="s">
        <v>1933</v>
      </c>
      <c r="B3403" t="s">
        <v>626</v>
      </c>
      <c r="C3403" t="s">
        <v>582</v>
      </c>
      <c r="D3403" s="7">
        <v>10</v>
      </c>
      <c r="E3403">
        <v>2019</v>
      </c>
      <c r="F3403">
        <v>2019</v>
      </c>
      <c r="G3403" t="str">
        <f>IFERROR(INDEX(Formulations[Formulation],MATCH($C3403,Formulations[Product Code],0)),"")</f>
        <v/>
      </c>
    </row>
    <row r="3404" spans="1:7" x14ac:dyDescent="0.3">
      <c r="A3404" t="s">
        <v>1933</v>
      </c>
      <c r="B3404" t="s">
        <v>1936</v>
      </c>
      <c r="C3404" t="s">
        <v>80</v>
      </c>
      <c r="D3404" s="7">
        <v>10</v>
      </c>
      <c r="E3404">
        <v>2019</v>
      </c>
      <c r="F3404">
        <v>2019</v>
      </c>
      <c r="G3404" t="str">
        <f>IFERROR(INDEX(Formulations[Formulation],MATCH($C3404,Formulations[Product Code],0)),"")</f>
        <v>Pure</v>
      </c>
    </row>
    <row r="3405" spans="1:7" x14ac:dyDescent="0.3">
      <c r="A3405" t="s">
        <v>1933</v>
      </c>
      <c r="B3405" t="s">
        <v>260</v>
      </c>
      <c r="C3405" t="s">
        <v>109</v>
      </c>
      <c r="D3405" s="7">
        <v>10</v>
      </c>
      <c r="E3405">
        <v>2019</v>
      </c>
      <c r="F3405">
        <v>2019</v>
      </c>
      <c r="G3405" t="str">
        <f>IFERROR(INDEX(Formulations[Formulation],MATCH($C3405,Formulations[Product Code],0)),"")</f>
        <v>Pure</v>
      </c>
    </row>
    <row r="3406" spans="1:7" x14ac:dyDescent="0.3">
      <c r="A3406" t="s">
        <v>1933</v>
      </c>
      <c r="B3406" t="s">
        <v>1151</v>
      </c>
      <c r="C3406" t="s">
        <v>1152</v>
      </c>
      <c r="D3406" s="7">
        <v>10</v>
      </c>
      <c r="E3406">
        <v>2019</v>
      </c>
      <c r="F3406">
        <v>2019</v>
      </c>
      <c r="G3406" t="str">
        <f>IFERROR(INDEX(Formulations[Formulation],MATCH($C3406,Formulations[Product Code],0)),"")</f>
        <v>40% oil</v>
      </c>
    </row>
    <row r="3407" spans="1:7" x14ac:dyDescent="0.3">
      <c r="A3407" t="s">
        <v>1933</v>
      </c>
      <c r="B3407" t="s">
        <v>318</v>
      </c>
      <c r="C3407" t="s">
        <v>319</v>
      </c>
      <c r="D3407" s="7">
        <v>10</v>
      </c>
      <c r="E3407">
        <v>2019</v>
      </c>
      <c r="F3407">
        <v>2019</v>
      </c>
      <c r="G3407" t="str">
        <f>IFERROR(INDEX(Formulations[Formulation],MATCH($C3407,Formulations[Product Code],0)),"")</f>
        <v>Pure</v>
      </c>
    </row>
    <row r="3408" spans="1:7" x14ac:dyDescent="0.3">
      <c r="A3408" t="s">
        <v>1945</v>
      </c>
      <c r="B3408" t="s">
        <v>266</v>
      </c>
      <c r="C3408" t="s">
        <v>143</v>
      </c>
      <c r="D3408" s="7">
        <v>10</v>
      </c>
      <c r="E3408">
        <v>2019</v>
      </c>
      <c r="F3408">
        <v>2020</v>
      </c>
      <c r="G3408" t="str">
        <f>IFERROR(INDEX(Formulations[Formulation],MATCH($C3408,Formulations[Product Code],0)),"")</f>
        <v>Pure</v>
      </c>
    </row>
    <row r="3409" spans="1:7" x14ac:dyDescent="0.3">
      <c r="A3409" t="s">
        <v>1958</v>
      </c>
      <c r="B3409" t="s">
        <v>843</v>
      </c>
      <c r="C3409" t="s">
        <v>844</v>
      </c>
      <c r="D3409" s="7">
        <v>10</v>
      </c>
      <c r="E3409">
        <v>2015</v>
      </c>
      <c r="F3409">
        <v>2015</v>
      </c>
      <c r="G3409" t="str">
        <f>IFERROR(INDEX(Formulations[Formulation],MATCH($C3409,Formulations[Product Code],0)),"")</f>
        <v/>
      </c>
    </row>
    <row r="3410" spans="1:7" x14ac:dyDescent="0.3">
      <c r="A3410" t="s">
        <v>1958</v>
      </c>
      <c r="B3410" t="s">
        <v>84</v>
      </c>
      <c r="C3410" t="s">
        <v>85</v>
      </c>
      <c r="D3410" s="7">
        <v>10</v>
      </c>
      <c r="E3410">
        <v>2015</v>
      </c>
      <c r="F3410">
        <v>2017</v>
      </c>
      <c r="G3410" t="str">
        <f>IFERROR(INDEX(Formulations[Formulation],MATCH($C3410,Formulations[Product Code],0)),"")</f>
        <v>Pure</v>
      </c>
    </row>
    <row r="3411" spans="1:7" x14ac:dyDescent="0.3">
      <c r="A3411" t="s">
        <v>1958</v>
      </c>
      <c r="B3411" t="s">
        <v>1959</v>
      </c>
      <c r="C3411" t="s">
        <v>1960</v>
      </c>
      <c r="D3411" s="7">
        <v>10</v>
      </c>
      <c r="E3411">
        <v>2016</v>
      </c>
      <c r="F3411">
        <v>2016</v>
      </c>
      <c r="G3411" t="str">
        <f>IFERROR(INDEX(Formulations[Formulation],MATCH($C3411,Formulations[Product Code],0)),"")</f>
        <v/>
      </c>
    </row>
    <row r="3412" spans="1:7" x14ac:dyDescent="0.3">
      <c r="A3412" t="s">
        <v>1958</v>
      </c>
      <c r="B3412" t="s">
        <v>1961</v>
      </c>
      <c r="C3412" t="s">
        <v>1962</v>
      </c>
      <c r="D3412" s="7">
        <v>10</v>
      </c>
      <c r="E3412">
        <v>2016</v>
      </c>
      <c r="F3412">
        <v>2016</v>
      </c>
      <c r="G3412" t="str">
        <f>IFERROR(INDEX(Formulations[Formulation],MATCH($C3412,Formulations[Product Code],0)),"")</f>
        <v/>
      </c>
    </row>
    <row r="3413" spans="1:7" x14ac:dyDescent="0.3">
      <c r="A3413" t="s">
        <v>1958</v>
      </c>
      <c r="B3413" t="s">
        <v>1963</v>
      </c>
      <c r="C3413" t="s">
        <v>638</v>
      </c>
      <c r="D3413" s="7">
        <v>10</v>
      </c>
      <c r="E3413">
        <v>2016</v>
      </c>
      <c r="F3413">
        <v>2016</v>
      </c>
      <c r="G3413" t="str">
        <f>IFERROR(INDEX(Formulations[Formulation],MATCH($C3413,Formulations[Product Code],0)),"")</f>
        <v>Pure</v>
      </c>
    </row>
    <row r="3414" spans="1:7" x14ac:dyDescent="0.3">
      <c r="A3414" t="s">
        <v>1958</v>
      </c>
      <c r="B3414" t="s">
        <v>554</v>
      </c>
      <c r="C3414" t="s">
        <v>249</v>
      </c>
      <c r="D3414" s="7">
        <v>10</v>
      </c>
      <c r="E3414">
        <v>2018</v>
      </c>
      <c r="F3414">
        <v>2018</v>
      </c>
      <c r="G3414" t="str">
        <f>IFERROR(INDEX(Formulations[Formulation],MATCH($C3414,Formulations[Product Code],0)),"")</f>
        <v>WS</v>
      </c>
    </row>
    <row r="3415" spans="1:7" x14ac:dyDescent="0.3">
      <c r="A3415" t="s">
        <v>1966</v>
      </c>
      <c r="B3415" t="s">
        <v>1967</v>
      </c>
      <c r="D3415" s="7">
        <v>10</v>
      </c>
      <c r="E3415">
        <v>2013</v>
      </c>
      <c r="F3415">
        <v>2013</v>
      </c>
      <c r="G3415" t="str">
        <f>IFERROR(INDEX(Formulations[Formulation],MATCH($C3415,Formulations[Product Code],0)),"")</f>
        <v/>
      </c>
    </row>
    <row r="3416" spans="1:7" x14ac:dyDescent="0.3">
      <c r="A3416" t="s">
        <v>1969</v>
      </c>
      <c r="B3416" t="s">
        <v>1970</v>
      </c>
      <c r="C3416" t="s">
        <v>1971</v>
      </c>
      <c r="D3416" s="7">
        <v>10</v>
      </c>
      <c r="E3416">
        <v>2010</v>
      </c>
      <c r="F3416">
        <v>2010</v>
      </c>
      <c r="G3416" t="str">
        <f>IFERROR(INDEX(Formulations[Formulation],MATCH($C3416,Formulations[Product Code],0)),"")</f>
        <v/>
      </c>
    </row>
    <row r="3417" spans="1:7" x14ac:dyDescent="0.3">
      <c r="A3417" t="s">
        <v>1972</v>
      </c>
      <c r="B3417" t="s">
        <v>1360</v>
      </c>
      <c r="D3417" s="7">
        <v>10</v>
      </c>
      <c r="E3417">
        <v>2019</v>
      </c>
      <c r="F3417">
        <v>2019</v>
      </c>
      <c r="G3417" t="str">
        <f>IFERROR(INDEX(Formulations[Formulation],MATCH($C3417,Formulations[Product Code],0)),"")</f>
        <v/>
      </c>
    </row>
    <row r="3418" spans="1:7" x14ac:dyDescent="0.3">
      <c r="A3418" t="s">
        <v>1972</v>
      </c>
      <c r="B3418" t="s">
        <v>1605</v>
      </c>
      <c r="C3418" t="s">
        <v>1606</v>
      </c>
      <c r="D3418" s="7">
        <v>10</v>
      </c>
      <c r="E3418">
        <v>2016</v>
      </c>
      <c r="F3418">
        <v>2016</v>
      </c>
      <c r="G3418" t="str">
        <f>IFERROR(INDEX(Formulations[Formulation],MATCH($C3418,Formulations[Product Code],0)),"")</f>
        <v/>
      </c>
    </row>
    <row r="3419" spans="1:7" x14ac:dyDescent="0.3">
      <c r="A3419" t="s">
        <v>1984</v>
      </c>
      <c r="B3419" t="s">
        <v>1992</v>
      </c>
      <c r="C3419" t="s">
        <v>1270</v>
      </c>
      <c r="D3419" s="7">
        <v>10</v>
      </c>
      <c r="E3419">
        <v>2012</v>
      </c>
      <c r="F3419">
        <v>2012</v>
      </c>
      <c r="G3419" t="str">
        <f>IFERROR(INDEX(Formulations[Formulation],MATCH($C3419,Formulations[Product Code],0)),"")</f>
        <v/>
      </c>
    </row>
    <row r="3420" spans="1:7" x14ac:dyDescent="0.3">
      <c r="A3420" t="s">
        <v>1984</v>
      </c>
      <c r="B3420" t="s">
        <v>1996</v>
      </c>
      <c r="C3420" t="s">
        <v>1997</v>
      </c>
      <c r="D3420" s="7">
        <v>10</v>
      </c>
      <c r="E3420">
        <v>2012</v>
      </c>
      <c r="F3420">
        <v>2012</v>
      </c>
      <c r="G3420" t="str">
        <f>IFERROR(INDEX(Formulations[Formulation],MATCH($C3420,Formulations[Product Code],0)),"")</f>
        <v/>
      </c>
    </row>
    <row r="3421" spans="1:7" x14ac:dyDescent="0.3">
      <c r="A3421" t="s">
        <v>2020</v>
      </c>
      <c r="B3421" t="s">
        <v>1117</v>
      </c>
      <c r="C3421" t="s">
        <v>1118</v>
      </c>
      <c r="D3421" s="7">
        <v>10</v>
      </c>
      <c r="E3421">
        <v>2021</v>
      </c>
      <c r="F3421">
        <v>2021</v>
      </c>
      <c r="G3421" t="str">
        <f>IFERROR(INDEX(Formulations[Formulation],MATCH($C3421,Formulations[Product Code],0)),"")</f>
        <v>Crystal</v>
      </c>
    </row>
    <row r="3422" spans="1:7" x14ac:dyDescent="0.3">
      <c r="A3422" t="s">
        <v>2030</v>
      </c>
      <c r="B3422" t="s">
        <v>2031</v>
      </c>
      <c r="C3422" t="s">
        <v>2032</v>
      </c>
      <c r="D3422" s="7">
        <v>10</v>
      </c>
      <c r="E3422">
        <v>2009</v>
      </c>
      <c r="F3422">
        <v>2009</v>
      </c>
      <c r="G3422" t="str">
        <f>IFERROR(INDEX(Formulations[Formulation],MATCH($C3422,Formulations[Product Code],0)),"")</f>
        <v/>
      </c>
    </row>
    <row r="3423" spans="1:7" x14ac:dyDescent="0.3">
      <c r="A3423" t="s">
        <v>2030</v>
      </c>
      <c r="B3423" t="s">
        <v>1334</v>
      </c>
      <c r="C3423" t="s">
        <v>1335</v>
      </c>
      <c r="D3423" s="7">
        <v>10</v>
      </c>
      <c r="E3423">
        <v>2009</v>
      </c>
      <c r="F3423">
        <v>2009</v>
      </c>
      <c r="G3423" t="str">
        <f>IFERROR(INDEX(Formulations[Formulation],MATCH($C3423,Formulations[Product Code],0)),"")</f>
        <v>Crystal</v>
      </c>
    </row>
    <row r="3424" spans="1:7" x14ac:dyDescent="0.3">
      <c r="A3424" t="s">
        <v>2030</v>
      </c>
      <c r="B3424" t="s">
        <v>734</v>
      </c>
      <c r="C3424" t="s">
        <v>735</v>
      </c>
      <c r="D3424" s="7">
        <v>10</v>
      </c>
      <c r="E3424">
        <v>2009</v>
      </c>
      <c r="F3424">
        <v>2009</v>
      </c>
      <c r="G3424" t="str">
        <f>IFERROR(INDEX(Formulations[Formulation],MATCH($C3424,Formulations[Product Code],0)),"")</f>
        <v/>
      </c>
    </row>
    <row r="3425" spans="1:7" x14ac:dyDescent="0.3">
      <c r="A3425" t="s">
        <v>2034</v>
      </c>
      <c r="B3425" t="s">
        <v>2035</v>
      </c>
      <c r="C3425" t="s">
        <v>2036</v>
      </c>
      <c r="D3425" s="7">
        <v>10</v>
      </c>
      <c r="E3425">
        <v>2021</v>
      </c>
      <c r="F3425">
        <v>2021</v>
      </c>
      <c r="G3425" t="str">
        <f>IFERROR(INDEX(Formulations[Formulation],MATCH($C3425,Formulations[Product Code],0)),"")</f>
        <v>Silver</v>
      </c>
    </row>
    <row r="3426" spans="1:7" x14ac:dyDescent="0.3">
      <c r="A3426" t="s">
        <v>2034</v>
      </c>
      <c r="B3426" t="s">
        <v>151</v>
      </c>
      <c r="C3426" t="s">
        <v>152</v>
      </c>
      <c r="D3426" s="7">
        <v>10</v>
      </c>
      <c r="E3426">
        <v>2021</v>
      </c>
      <c r="F3426">
        <v>2021</v>
      </c>
      <c r="G3426" t="str">
        <f>IFERROR(INDEX(Formulations[Formulation],MATCH($C3426,Formulations[Product Code],0)),"")</f>
        <v>Crystal</v>
      </c>
    </row>
    <row r="3427" spans="1:7" x14ac:dyDescent="0.3">
      <c r="A3427" t="s">
        <v>2039</v>
      </c>
      <c r="B3427" t="s">
        <v>599</v>
      </c>
      <c r="C3427" t="s">
        <v>413</v>
      </c>
      <c r="D3427" s="7">
        <v>10</v>
      </c>
      <c r="E3427">
        <v>2019</v>
      </c>
      <c r="F3427">
        <v>2019</v>
      </c>
      <c r="G3427" t="str">
        <f>IFERROR(INDEX(Formulations[Formulation],MATCH($C3427,Formulations[Product Code],0)),"")</f>
        <v>40% oil &amp; 60 % DPG</v>
      </c>
    </row>
    <row r="3428" spans="1:7" x14ac:dyDescent="0.3">
      <c r="A3428" t="s">
        <v>2043</v>
      </c>
      <c r="B3428" t="s">
        <v>2044</v>
      </c>
      <c r="C3428" t="s">
        <v>2045</v>
      </c>
      <c r="D3428" s="7">
        <v>10</v>
      </c>
      <c r="E3428">
        <v>2010</v>
      </c>
      <c r="F3428">
        <v>2010</v>
      </c>
      <c r="G3428" t="str">
        <f>IFERROR(INDEX(Formulations[Formulation],MATCH($C3428,Formulations[Product Code],0)),"")</f>
        <v/>
      </c>
    </row>
    <row r="3429" spans="1:7" x14ac:dyDescent="0.3">
      <c r="A3429" t="s">
        <v>2043</v>
      </c>
      <c r="B3429" t="s">
        <v>19</v>
      </c>
      <c r="C3429" t="s">
        <v>20</v>
      </c>
      <c r="D3429" s="7">
        <v>10</v>
      </c>
      <c r="E3429">
        <v>2010</v>
      </c>
      <c r="F3429">
        <v>2010</v>
      </c>
      <c r="G3429" t="str">
        <f>IFERROR(INDEX(Formulations[Formulation],MATCH($C3429,Formulations[Product Code],0)),"")</f>
        <v>80 % Oil AND 20 % DPG</v>
      </c>
    </row>
    <row r="3430" spans="1:7" x14ac:dyDescent="0.3">
      <c r="A3430" t="s">
        <v>2055</v>
      </c>
      <c r="B3430" t="s">
        <v>1409</v>
      </c>
      <c r="C3430" t="s">
        <v>1406</v>
      </c>
      <c r="D3430" s="7">
        <v>10</v>
      </c>
      <c r="E3430">
        <v>2019</v>
      </c>
      <c r="F3430">
        <v>2019</v>
      </c>
      <c r="G3430" t="str">
        <f>IFERROR(INDEX(Formulations[Formulation],MATCH($C3430,Formulations[Product Code],0)),"")</f>
        <v>Silver</v>
      </c>
    </row>
    <row r="3431" spans="1:7" x14ac:dyDescent="0.3">
      <c r="A3431" t="s">
        <v>2055</v>
      </c>
      <c r="B3431" t="s">
        <v>95</v>
      </c>
      <c r="C3431" t="s">
        <v>96</v>
      </c>
      <c r="D3431" s="7">
        <v>10</v>
      </c>
      <c r="E3431">
        <v>2018</v>
      </c>
      <c r="F3431">
        <v>2019</v>
      </c>
      <c r="G3431" t="str">
        <f>IFERROR(INDEX(Formulations[Formulation],MATCH($C3431,Formulations[Product Code],0)),"")</f>
        <v>9.2 kg oil and rest dpg</v>
      </c>
    </row>
    <row r="3432" spans="1:7" x14ac:dyDescent="0.3">
      <c r="A3432" t="s">
        <v>2055</v>
      </c>
      <c r="B3432" t="s">
        <v>2056</v>
      </c>
      <c r="C3432" t="s">
        <v>1588</v>
      </c>
      <c r="D3432" s="7">
        <v>10</v>
      </c>
      <c r="E3432">
        <v>2019</v>
      </c>
      <c r="F3432">
        <v>2019</v>
      </c>
      <c r="G3432" t="str">
        <f>IFERROR(INDEX(Formulations[Formulation],MATCH($C3432,Formulations[Product Code],0)),"")</f>
        <v/>
      </c>
    </row>
    <row r="3433" spans="1:7" x14ac:dyDescent="0.3">
      <c r="A3433" t="s">
        <v>2055</v>
      </c>
      <c r="B3433" t="s">
        <v>1004</v>
      </c>
      <c r="C3433" t="s">
        <v>197</v>
      </c>
      <c r="D3433" s="7">
        <v>10</v>
      </c>
      <c r="E3433">
        <v>2019</v>
      </c>
      <c r="F3433">
        <v>2019</v>
      </c>
      <c r="G3433" t="str">
        <f>IFERROR(INDEX(Formulations[Formulation],MATCH($C3433,Formulations[Product Code],0)),"")</f>
        <v/>
      </c>
    </row>
    <row r="3434" spans="1:7" x14ac:dyDescent="0.3">
      <c r="A3434" t="s">
        <v>2057</v>
      </c>
      <c r="B3434" t="s">
        <v>1128</v>
      </c>
      <c r="C3434" t="s">
        <v>1129</v>
      </c>
      <c r="D3434" s="7">
        <v>10</v>
      </c>
      <c r="E3434">
        <v>2021</v>
      </c>
      <c r="F3434">
        <v>2021</v>
      </c>
      <c r="G3434" t="str">
        <f>IFERROR(INDEX(Formulations[Formulation],MATCH($C3434,Formulations[Product Code],0)),"")</f>
        <v>Silver</v>
      </c>
    </row>
    <row r="3435" spans="1:7" x14ac:dyDescent="0.3">
      <c r="A3435" t="s">
        <v>2057</v>
      </c>
      <c r="B3435" t="s">
        <v>257</v>
      </c>
      <c r="C3435" t="s">
        <v>61</v>
      </c>
      <c r="D3435" s="7">
        <v>10</v>
      </c>
      <c r="E3435">
        <v>2021</v>
      </c>
      <c r="F3435">
        <v>2021</v>
      </c>
      <c r="G3435" t="str">
        <f>IFERROR(INDEX(Formulations[Formulation],MATCH($C3435,Formulations[Product Code],0)),"")</f>
        <v>Pure</v>
      </c>
    </row>
    <row r="3436" spans="1:7" x14ac:dyDescent="0.3">
      <c r="A3436" t="s">
        <v>2057</v>
      </c>
      <c r="B3436" t="s">
        <v>114</v>
      </c>
      <c r="C3436" t="s">
        <v>115</v>
      </c>
      <c r="D3436" s="7">
        <v>10</v>
      </c>
      <c r="E3436">
        <v>2021</v>
      </c>
      <c r="F3436">
        <v>2021</v>
      </c>
      <c r="G3436" t="str">
        <f>IFERROR(INDEX(Formulations[Formulation],MATCH($C3436,Formulations[Product Code],0)),"")</f>
        <v>Pure</v>
      </c>
    </row>
    <row r="3437" spans="1:7" x14ac:dyDescent="0.3">
      <c r="A3437" t="s">
        <v>2057</v>
      </c>
      <c r="B3437" t="s">
        <v>653</v>
      </c>
      <c r="C3437" t="s">
        <v>654</v>
      </c>
      <c r="D3437" s="7">
        <v>10</v>
      </c>
      <c r="E3437">
        <v>2021</v>
      </c>
      <c r="F3437">
        <v>2021</v>
      </c>
      <c r="G3437" t="str">
        <f>IFERROR(INDEX(Formulations[Formulation],MATCH($C3437,Formulations[Product Code],0)),"")</f>
        <v>Pure</v>
      </c>
    </row>
    <row r="3438" spans="1:7" x14ac:dyDescent="0.3">
      <c r="A3438" t="s">
        <v>2057</v>
      </c>
      <c r="B3438" t="s">
        <v>192</v>
      </c>
      <c r="C3438" t="s">
        <v>193</v>
      </c>
      <c r="D3438" s="7">
        <v>10</v>
      </c>
      <c r="E3438">
        <v>2020</v>
      </c>
      <c r="F3438">
        <v>2020</v>
      </c>
      <c r="G3438" t="str">
        <f>IFERROR(INDEX(Formulations[Formulation],MATCH($C3438,Formulations[Product Code],0)),"")</f>
        <v>Red Grape 50%/ Fruity Smoothie 30% /Green Apple 20% /than make 60% oil</v>
      </c>
    </row>
    <row r="3439" spans="1:7" x14ac:dyDescent="0.3">
      <c r="A3439" t="s">
        <v>2057</v>
      </c>
      <c r="B3439" t="s">
        <v>674</v>
      </c>
      <c r="C3439" t="s">
        <v>675</v>
      </c>
      <c r="D3439" s="7">
        <v>10</v>
      </c>
      <c r="E3439">
        <v>2021</v>
      </c>
      <c r="F3439">
        <v>2021</v>
      </c>
      <c r="G3439" t="str">
        <f>IFERROR(INDEX(Formulations[Formulation],MATCH($C3439,Formulations[Product Code],0)),"")</f>
        <v>Crystal</v>
      </c>
    </row>
    <row r="3440" spans="1:7" x14ac:dyDescent="0.3">
      <c r="A3440" t="s">
        <v>2066</v>
      </c>
      <c r="B3440" t="s">
        <v>538</v>
      </c>
      <c r="C3440" t="s">
        <v>539</v>
      </c>
      <c r="D3440" s="7">
        <v>10</v>
      </c>
      <c r="E3440">
        <v>2020</v>
      </c>
      <c r="F3440">
        <v>2021</v>
      </c>
      <c r="G3440" t="str">
        <f>IFERROR(INDEX(Formulations[Formulation],MATCH($C3440,Formulations[Product Code],0)),"")</f>
        <v>Gold</v>
      </c>
    </row>
    <row r="3441" spans="1:7" x14ac:dyDescent="0.3">
      <c r="A3441" t="s">
        <v>2079</v>
      </c>
      <c r="B3441" t="s">
        <v>2081</v>
      </c>
      <c r="C3441" t="s">
        <v>2082</v>
      </c>
      <c r="D3441" s="7">
        <v>10</v>
      </c>
      <c r="E3441">
        <v>2012</v>
      </c>
      <c r="F3441">
        <v>2012</v>
      </c>
      <c r="G3441" t="str">
        <f>IFERROR(INDEX(Formulations[Formulation],MATCH($C3441,Formulations[Product Code],0)),"")</f>
        <v/>
      </c>
    </row>
    <row r="3442" spans="1:7" x14ac:dyDescent="0.3">
      <c r="A3442" t="s">
        <v>2079</v>
      </c>
      <c r="B3442" t="s">
        <v>2084</v>
      </c>
      <c r="C3442" t="s">
        <v>2085</v>
      </c>
      <c r="D3442" s="7">
        <v>10</v>
      </c>
      <c r="E3442">
        <v>2012</v>
      </c>
      <c r="F3442">
        <v>2012</v>
      </c>
      <c r="G3442" t="str">
        <f>IFERROR(INDEX(Formulations[Formulation],MATCH($C3442,Formulations[Product Code],0)),"")</f>
        <v/>
      </c>
    </row>
    <row r="3443" spans="1:7" x14ac:dyDescent="0.3">
      <c r="A3443" t="s">
        <v>2090</v>
      </c>
      <c r="B3443" t="s">
        <v>696</v>
      </c>
      <c r="C3443" t="s">
        <v>697</v>
      </c>
      <c r="D3443" s="7">
        <v>10</v>
      </c>
      <c r="E3443">
        <v>2020</v>
      </c>
      <c r="F3443">
        <v>2020</v>
      </c>
      <c r="G3443" t="str">
        <f>IFERROR(INDEX(Formulations[Formulation],MATCH($C3443,Formulations[Product Code],0)),"")</f>
        <v/>
      </c>
    </row>
    <row r="3444" spans="1:7" x14ac:dyDescent="0.3">
      <c r="A3444" t="s">
        <v>2118</v>
      </c>
      <c r="B3444" t="s">
        <v>2119</v>
      </c>
      <c r="C3444" t="s">
        <v>141</v>
      </c>
      <c r="D3444" s="7">
        <v>10</v>
      </c>
      <c r="E3444">
        <v>2019</v>
      </c>
      <c r="F3444">
        <v>2019</v>
      </c>
      <c r="G3444" t="str">
        <f>IFERROR(INDEX(Formulations[Formulation],MATCH($C3444,Formulations[Product Code],0)),"")</f>
        <v/>
      </c>
    </row>
    <row r="3445" spans="1:7" x14ac:dyDescent="0.3">
      <c r="A3445" t="s">
        <v>2123</v>
      </c>
      <c r="B3445" t="s">
        <v>1963</v>
      </c>
      <c r="C3445" t="s">
        <v>2126</v>
      </c>
      <c r="D3445" s="7">
        <v>10</v>
      </c>
      <c r="E3445">
        <v>2015</v>
      </c>
      <c r="F3445">
        <v>2015</v>
      </c>
      <c r="G3445" t="str">
        <f>IFERROR(INDEX(Formulations[Formulation],MATCH($C3445,Formulations[Product Code],0)),"")</f>
        <v/>
      </c>
    </row>
    <row r="3446" spans="1:7" x14ac:dyDescent="0.3">
      <c r="A3446" t="s">
        <v>2131</v>
      </c>
      <c r="B3446" t="s">
        <v>276</v>
      </c>
      <c r="C3446" t="s">
        <v>277</v>
      </c>
      <c r="D3446" s="7">
        <v>10</v>
      </c>
      <c r="E3446">
        <v>2018</v>
      </c>
      <c r="F3446">
        <v>2020</v>
      </c>
      <c r="G3446" t="str">
        <f>IFERROR(INDEX(Formulations[Formulation],MATCH($C3446,Formulations[Product Code],0)),"")</f>
        <v>Pure</v>
      </c>
    </row>
    <row r="3447" spans="1:7" x14ac:dyDescent="0.3">
      <c r="A3447" t="s">
        <v>2131</v>
      </c>
      <c r="B3447" t="s">
        <v>1410</v>
      </c>
      <c r="C3447" t="s">
        <v>1411</v>
      </c>
      <c r="D3447" s="7">
        <v>10</v>
      </c>
      <c r="E3447">
        <v>2020</v>
      </c>
      <c r="F3447">
        <v>2020</v>
      </c>
      <c r="G3447" t="str">
        <f>IFERROR(INDEX(Formulations[Formulation],MATCH($C3447,Formulations[Product Code],0)),"")</f>
        <v>Pure</v>
      </c>
    </row>
    <row r="3448" spans="1:7" x14ac:dyDescent="0.3">
      <c r="A3448" t="s">
        <v>2131</v>
      </c>
      <c r="B3448" t="s">
        <v>2133</v>
      </c>
      <c r="C3448" t="s">
        <v>2134</v>
      </c>
      <c r="D3448" s="7">
        <v>10</v>
      </c>
      <c r="E3448">
        <v>2009</v>
      </c>
      <c r="F3448">
        <v>2009</v>
      </c>
      <c r="G3448" t="str">
        <f>IFERROR(INDEX(Formulations[Formulation],MATCH($C3448,Formulations[Product Code],0)),"")</f>
        <v/>
      </c>
    </row>
    <row r="3449" spans="1:7" x14ac:dyDescent="0.3">
      <c r="A3449" t="s">
        <v>2131</v>
      </c>
      <c r="B3449" t="s">
        <v>2135</v>
      </c>
      <c r="C3449" t="s">
        <v>2136</v>
      </c>
      <c r="D3449" s="7">
        <v>10</v>
      </c>
      <c r="E3449">
        <v>2009</v>
      </c>
      <c r="F3449">
        <v>2009</v>
      </c>
      <c r="G3449" t="str">
        <f>IFERROR(INDEX(Formulations[Formulation],MATCH($C3449,Formulations[Product Code],0)),"")</f>
        <v/>
      </c>
    </row>
    <row r="3450" spans="1:7" x14ac:dyDescent="0.3">
      <c r="A3450" t="s">
        <v>2131</v>
      </c>
      <c r="B3450" t="s">
        <v>2137</v>
      </c>
      <c r="C3450" t="s">
        <v>2138</v>
      </c>
      <c r="D3450" s="7">
        <v>10</v>
      </c>
      <c r="E3450">
        <v>2009</v>
      </c>
      <c r="F3450">
        <v>2009</v>
      </c>
      <c r="G3450" t="str">
        <f>IFERROR(INDEX(Formulations[Formulation],MATCH($C3450,Formulations[Product Code],0)),"")</f>
        <v/>
      </c>
    </row>
    <row r="3451" spans="1:7" x14ac:dyDescent="0.3">
      <c r="A3451" t="s">
        <v>2131</v>
      </c>
      <c r="B3451" t="s">
        <v>2139</v>
      </c>
      <c r="C3451" t="s">
        <v>2140</v>
      </c>
      <c r="D3451" s="7">
        <v>10</v>
      </c>
      <c r="E3451">
        <v>2009</v>
      </c>
      <c r="F3451">
        <v>2009</v>
      </c>
      <c r="G3451" t="str">
        <f>IFERROR(INDEX(Formulations[Formulation],MATCH($C3451,Formulations[Product Code],0)),"")</f>
        <v/>
      </c>
    </row>
    <row r="3452" spans="1:7" x14ac:dyDescent="0.3">
      <c r="A3452" t="s">
        <v>2131</v>
      </c>
      <c r="B3452" t="s">
        <v>2141</v>
      </c>
      <c r="C3452" t="s">
        <v>2142</v>
      </c>
      <c r="D3452" s="7">
        <v>10</v>
      </c>
      <c r="E3452">
        <v>2012</v>
      </c>
      <c r="F3452">
        <v>2012</v>
      </c>
      <c r="G3452" t="str">
        <f>IFERROR(INDEX(Formulations[Formulation],MATCH($C3452,Formulations[Product Code],0)),"")</f>
        <v/>
      </c>
    </row>
    <row r="3453" spans="1:7" x14ac:dyDescent="0.3">
      <c r="A3453" t="s">
        <v>2131</v>
      </c>
      <c r="B3453" t="s">
        <v>2143</v>
      </c>
      <c r="C3453" t="s">
        <v>2144</v>
      </c>
      <c r="D3453" s="7">
        <v>10</v>
      </c>
      <c r="E3453">
        <v>2012</v>
      </c>
      <c r="F3453">
        <v>2012</v>
      </c>
      <c r="G3453" t="str">
        <f>IFERROR(INDEX(Formulations[Formulation],MATCH($C3453,Formulations[Product Code],0)),"")</f>
        <v/>
      </c>
    </row>
    <row r="3454" spans="1:7" x14ac:dyDescent="0.3">
      <c r="A3454" t="s">
        <v>2131</v>
      </c>
      <c r="B3454" t="s">
        <v>1711</v>
      </c>
      <c r="C3454" t="s">
        <v>1712</v>
      </c>
      <c r="D3454" s="7">
        <v>10</v>
      </c>
      <c r="E3454">
        <v>2012</v>
      </c>
      <c r="F3454">
        <v>2012</v>
      </c>
      <c r="G3454" t="str">
        <f>IFERROR(INDEX(Formulations[Formulation],MATCH($C3454,Formulations[Product Code],0)),"")</f>
        <v/>
      </c>
    </row>
    <row r="3455" spans="1:7" x14ac:dyDescent="0.3">
      <c r="A3455" t="s">
        <v>2131</v>
      </c>
      <c r="B3455" t="s">
        <v>2151</v>
      </c>
      <c r="C3455" t="s">
        <v>2152</v>
      </c>
      <c r="D3455" s="7">
        <v>10</v>
      </c>
      <c r="E3455">
        <v>2009</v>
      </c>
      <c r="F3455">
        <v>2009</v>
      </c>
      <c r="G3455" t="str">
        <f>IFERROR(INDEX(Formulations[Formulation],MATCH($C3455,Formulations[Product Code],0)),"")</f>
        <v/>
      </c>
    </row>
    <row r="3456" spans="1:7" x14ac:dyDescent="0.3">
      <c r="A3456" t="s">
        <v>2131</v>
      </c>
      <c r="B3456" t="s">
        <v>2154</v>
      </c>
      <c r="C3456" t="s">
        <v>2155</v>
      </c>
      <c r="D3456" s="7">
        <v>10</v>
      </c>
      <c r="E3456">
        <v>2012</v>
      </c>
      <c r="F3456">
        <v>2012</v>
      </c>
      <c r="G3456" t="str">
        <f>IFERROR(INDEX(Formulations[Formulation],MATCH($C3456,Formulations[Product Code],0)),"")</f>
        <v/>
      </c>
    </row>
    <row r="3457" spans="1:7" x14ac:dyDescent="0.3">
      <c r="A3457" t="s">
        <v>2131</v>
      </c>
      <c r="B3457" t="s">
        <v>2157</v>
      </c>
      <c r="C3457" t="s">
        <v>2158</v>
      </c>
      <c r="D3457" s="7">
        <v>10</v>
      </c>
      <c r="E3457">
        <v>2010</v>
      </c>
      <c r="F3457">
        <v>2010</v>
      </c>
      <c r="G3457" t="str">
        <f>IFERROR(INDEX(Formulations[Formulation],MATCH($C3457,Formulations[Product Code],0)),"")</f>
        <v/>
      </c>
    </row>
    <row r="3458" spans="1:7" x14ac:dyDescent="0.3">
      <c r="A3458" t="s">
        <v>2166</v>
      </c>
      <c r="B3458" t="s">
        <v>285</v>
      </c>
      <c r="D3458" s="7">
        <v>10</v>
      </c>
      <c r="E3458">
        <v>2014</v>
      </c>
      <c r="F3458">
        <v>2014</v>
      </c>
      <c r="G3458" t="str">
        <f>IFERROR(INDEX(Formulations[Formulation],MATCH($C3458,Formulations[Product Code],0)),"")</f>
        <v/>
      </c>
    </row>
    <row r="3459" spans="1:7" x14ac:dyDescent="0.3">
      <c r="A3459" t="s">
        <v>2173</v>
      </c>
      <c r="B3459" t="s">
        <v>383</v>
      </c>
      <c r="C3459" t="s">
        <v>384</v>
      </c>
      <c r="D3459" s="7">
        <v>10</v>
      </c>
      <c r="E3459">
        <v>2020</v>
      </c>
      <c r="F3459">
        <v>2020</v>
      </c>
      <c r="G3459" t="str">
        <f>IFERROR(INDEX(Formulations[Formulation],MATCH($C3459,Formulations[Product Code],0)),"")</f>
        <v>Pure</v>
      </c>
    </row>
    <row r="3460" spans="1:7" x14ac:dyDescent="0.3">
      <c r="A3460" t="s">
        <v>2174</v>
      </c>
      <c r="B3460" t="s">
        <v>599</v>
      </c>
      <c r="C3460" t="s">
        <v>413</v>
      </c>
      <c r="D3460" s="7">
        <v>10</v>
      </c>
      <c r="E3460">
        <v>2020</v>
      </c>
      <c r="F3460">
        <v>2020</v>
      </c>
      <c r="G3460" t="str">
        <f>IFERROR(INDEX(Formulations[Formulation],MATCH($C3460,Formulations[Product Code],0)),"")</f>
        <v>40% oil &amp; 60 % DPG</v>
      </c>
    </row>
    <row r="3461" spans="1:7" x14ac:dyDescent="0.3">
      <c r="A3461" t="s">
        <v>2176</v>
      </c>
      <c r="B3461" t="s">
        <v>248</v>
      </c>
      <c r="C3461" t="s">
        <v>249</v>
      </c>
      <c r="D3461" s="7">
        <v>10</v>
      </c>
      <c r="E3461">
        <v>2020</v>
      </c>
      <c r="F3461">
        <v>2020</v>
      </c>
      <c r="G3461" t="str">
        <f>IFERROR(INDEX(Formulations[Formulation],MATCH($C3461,Formulations[Product Code],0)),"")</f>
        <v>WS</v>
      </c>
    </row>
    <row r="3462" spans="1:7" x14ac:dyDescent="0.3">
      <c r="A3462" t="s">
        <v>2176</v>
      </c>
      <c r="B3462" t="s">
        <v>99</v>
      </c>
      <c r="C3462" t="s">
        <v>100</v>
      </c>
      <c r="D3462" s="7">
        <v>10</v>
      </c>
      <c r="E3462">
        <v>2019</v>
      </c>
      <c r="F3462">
        <v>2021</v>
      </c>
      <c r="G3462" t="str">
        <f>IFERROR(INDEX(Formulations[Formulation],MATCH($C3462,Formulations[Product Code],0)),"")</f>
        <v>Crystal</v>
      </c>
    </row>
    <row r="3463" spans="1:7" x14ac:dyDescent="0.3">
      <c r="A3463" t="s">
        <v>2186</v>
      </c>
      <c r="B3463" t="s">
        <v>528</v>
      </c>
      <c r="C3463" t="s">
        <v>529</v>
      </c>
      <c r="D3463" s="7">
        <v>10</v>
      </c>
      <c r="E3463">
        <v>2010</v>
      </c>
      <c r="F3463">
        <v>2014</v>
      </c>
      <c r="G3463" t="str">
        <f>IFERROR(INDEX(Formulations[Formulation],MATCH($C3463,Formulations[Product Code],0)),"")</f>
        <v>Crystal</v>
      </c>
    </row>
    <row r="3464" spans="1:7" x14ac:dyDescent="0.3">
      <c r="A3464" t="s">
        <v>2190</v>
      </c>
      <c r="B3464" t="s">
        <v>269</v>
      </c>
      <c r="C3464" t="s">
        <v>270</v>
      </c>
      <c r="D3464" s="7">
        <v>10</v>
      </c>
      <c r="E3464">
        <v>2020</v>
      </c>
      <c r="F3464">
        <v>2020</v>
      </c>
      <c r="G3464" t="str">
        <f>IFERROR(INDEX(Formulations[Formulation],MATCH($C3464,Formulations[Product Code],0)),"")</f>
        <v>Pure</v>
      </c>
    </row>
    <row r="3465" spans="1:7" x14ac:dyDescent="0.3">
      <c r="A3465" t="s">
        <v>2191</v>
      </c>
      <c r="B3465" t="s">
        <v>45</v>
      </c>
      <c r="D3465" s="7">
        <v>10</v>
      </c>
      <c r="E3465">
        <v>2013</v>
      </c>
      <c r="F3465">
        <v>2013</v>
      </c>
      <c r="G3465" t="str">
        <f>IFERROR(INDEX(Formulations[Formulation],MATCH($C3465,Formulations[Product Code],0)),"")</f>
        <v/>
      </c>
    </row>
    <row r="3466" spans="1:7" x14ac:dyDescent="0.3">
      <c r="A3466" t="s">
        <v>2191</v>
      </c>
      <c r="B3466" t="s">
        <v>240</v>
      </c>
      <c r="D3466" s="7">
        <v>10</v>
      </c>
      <c r="E3466">
        <v>2013</v>
      </c>
      <c r="F3466">
        <v>2013</v>
      </c>
      <c r="G3466" t="str">
        <f>IFERROR(INDEX(Formulations[Formulation],MATCH($C3466,Formulations[Product Code],0)),"")</f>
        <v/>
      </c>
    </row>
    <row r="3467" spans="1:7" x14ac:dyDescent="0.3">
      <c r="A3467" t="s">
        <v>2196</v>
      </c>
      <c r="B3467" t="s">
        <v>318</v>
      </c>
      <c r="C3467" t="s">
        <v>319</v>
      </c>
      <c r="D3467" s="7">
        <v>10</v>
      </c>
      <c r="E3467">
        <v>2013</v>
      </c>
      <c r="F3467">
        <v>2013</v>
      </c>
      <c r="G3467" t="str">
        <f>IFERROR(INDEX(Formulations[Formulation],MATCH($C3467,Formulations[Product Code],0)),"")</f>
        <v>Pure</v>
      </c>
    </row>
    <row r="3468" spans="1:7" x14ac:dyDescent="0.3">
      <c r="A3468" t="s">
        <v>2198</v>
      </c>
      <c r="B3468" t="s">
        <v>883</v>
      </c>
      <c r="C3468" t="s">
        <v>780</v>
      </c>
      <c r="D3468" s="7">
        <v>10</v>
      </c>
      <c r="E3468">
        <v>2016</v>
      </c>
      <c r="F3468">
        <v>2016</v>
      </c>
      <c r="G3468" t="str">
        <f>IFERROR(INDEX(Formulations[Formulation],MATCH($C3468,Formulations[Product Code],0)),"")</f>
        <v/>
      </c>
    </row>
    <row r="3469" spans="1:7" x14ac:dyDescent="0.3">
      <c r="A3469" t="s">
        <v>2200</v>
      </c>
      <c r="B3469" t="s">
        <v>591</v>
      </c>
      <c r="C3469" t="s">
        <v>592</v>
      </c>
      <c r="D3469" s="7">
        <v>10</v>
      </c>
      <c r="E3469">
        <v>2020</v>
      </c>
      <c r="F3469">
        <v>2020</v>
      </c>
      <c r="G3469" t="str">
        <f>IFERROR(INDEX(Formulations[Formulation],MATCH($C3469,Formulations[Product Code],0)),"")</f>
        <v>20% Oil</v>
      </c>
    </row>
    <row r="3470" spans="1:7" x14ac:dyDescent="0.3">
      <c r="A3470" t="s">
        <v>2200</v>
      </c>
      <c r="B3470" t="s">
        <v>189</v>
      </c>
      <c r="D3470" s="7">
        <v>10</v>
      </c>
      <c r="E3470">
        <v>2020</v>
      </c>
      <c r="F3470">
        <v>2020</v>
      </c>
      <c r="G3470" t="str">
        <f>IFERROR(INDEX(Formulations[Formulation],MATCH($C3470,Formulations[Product Code],0)),"")</f>
        <v/>
      </c>
    </row>
    <row r="3471" spans="1:7" x14ac:dyDescent="0.3">
      <c r="A3471" t="s">
        <v>2200</v>
      </c>
      <c r="B3471" t="s">
        <v>196</v>
      </c>
      <c r="C3471" t="s">
        <v>197</v>
      </c>
      <c r="D3471" s="7">
        <v>10</v>
      </c>
      <c r="E3471">
        <v>2016</v>
      </c>
      <c r="F3471">
        <v>2016</v>
      </c>
      <c r="G3471" t="str">
        <f>IFERROR(INDEX(Formulations[Formulation],MATCH($C3471,Formulations[Product Code],0)),"")</f>
        <v/>
      </c>
    </row>
    <row r="3472" spans="1:7" x14ac:dyDescent="0.3">
      <c r="A3472" t="s">
        <v>2200</v>
      </c>
      <c r="B3472" t="s">
        <v>72</v>
      </c>
      <c r="C3472" t="s">
        <v>319</v>
      </c>
      <c r="D3472" s="7">
        <v>10</v>
      </c>
      <c r="E3472">
        <v>2021</v>
      </c>
      <c r="F3472">
        <v>2021</v>
      </c>
      <c r="G3472" t="str">
        <f>IFERROR(INDEX(Formulations[Formulation],MATCH($C3472,Formulations[Product Code],0)),"")</f>
        <v>Pure</v>
      </c>
    </row>
    <row r="3473" spans="1:7" x14ac:dyDescent="0.3">
      <c r="A3473" t="s">
        <v>2206</v>
      </c>
      <c r="B3473" t="s">
        <v>2207</v>
      </c>
      <c r="C3473" t="s">
        <v>136</v>
      </c>
      <c r="D3473" s="7">
        <v>10</v>
      </c>
      <c r="E3473">
        <v>2016</v>
      </c>
      <c r="F3473">
        <v>2017</v>
      </c>
      <c r="G3473" t="str">
        <f>IFERROR(INDEX(Formulations[Formulation],MATCH($C3473,Formulations[Product Code],0)),"")</f>
        <v/>
      </c>
    </row>
    <row r="3474" spans="1:7" x14ac:dyDescent="0.3">
      <c r="A3474" t="s">
        <v>2206</v>
      </c>
      <c r="B3474" t="s">
        <v>2207</v>
      </c>
      <c r="C3474" t="s">
        <v>505</v>
      </c>
      <c r="D3474" s="7">
        <v>10</v>
      </c>
      <c r="E3474">
        <v>2016</v>
      </c>
      <c r="F3474">
        <v>2017</v>
      </c>
      <c r="G3474" t="str">
        <f>IFERROR(INDEX(Formulations[Formulation],MATCH($C3474,Formulations[Product Code],0)),"")</f>
        <v>Crystal</v>
      </c>
    </row>
    <row r="3475" spans="1:7" x14ac:dyDescent="0.3">
      <c r="A3475" t="s">
        <v>2206</v>
      </c>
      <c r="B3475" t="s">
        <v>2207</v>
      </c>
      <c r="C3475" t="s">
        <v>121</v>
      </c>
      <c r="D3475" s="7">
        <v>10</v>
      </c>
      <c r="E3475">
        <v>2016</v>
      </c>
      <c r="F3475">
        <v>2016</v>
      </c>
      <c r="G3475" t="str">
        <f>IFERROR(INDEX(Formulations[Formulation],MATCH($C3475,Formulations[Product Code],0)),"")</f>
        <v/>
      </c>
    </row>
    <row r="3476" spans="1:7" x14ac:dyDescent="0.3">
      <c r="A3476" t="s">
        <v>2206</v>
      </c>
      <c r="B3476" t="s">
        <v>2208</v>
      </c>
      <c r="C3476" t="s">
        <v>319</v>
      </c>
      <c r="D3476" s="7">
        <v>10</v>
      </c>
      <c r="E3476">
        <v>2016</v>
      </c>
      <c r="F3476">
        <v>2017</v>
      </c>
      <c r="G3476" t="str">
        <f>IFERROR(INDEX(Formulations[Formulation],MATCH($C3476,Formulations[Product Code],0)),"")</f>
        <v>Pure</v>
      </c>
    </row>
    <row r="3477" spans="1:7" x14ac:dyDescent="0.3">
      <c r="A3477" t="s">
        <v>2220</v>
      </c>
      <c r="B3477" t="s">
        <v>84</v>
      </c>
      <c r="C3477" t="s">
        <v>85</v>
      </c>
      <c r="D3477" s="7">
        <v>10</v>
      </c>
      <c r="E3477">
        <v>2017</v>
      </c>
      <c r="F3477">
        <v>2017</v>
      </c>
      <c r="G3477" t="str">
        <f>IFERROR(INDEX(Formulations[Formulation],MATCH($C3477,Formulations[Product Code],0)),"")</f>
        <v>Pure</v>
      </c>
    </row>
    <row r="3478" spans="1:7" x14ac:dyDescent="0.3">
      <c r="A3478" t="s">
        <v>2220</v>
      </c>
      <c r="B3478" t="s">
        <v>180</v>
      </c>
      <c r="C3478" t="s">
        <v>181</v>
      </c>
      <c r="D3478" s="7">
        <v>10</v>
      </c>
      <c r="E3478">
        <v>2017</v>
      </c>
      <c r="F3478">
        <v>2017</v>
      </c>
      <c r="G3478" t="str">
        <f>IFERROR(INDEX(Formulations[Formulation],MATCH($C3478,Formulations[Product Code],0)),"")</f>
        <v/>
      </c>
    </row>
    <row r="3479" spans="1:7" x14ac:dyDescent="0.3">
      <c r="A3479" t="s">
        <v>2220</v>
      </c>
      <c r="B3479" t="s">
        <v>58</v>
      </c>
      <c r="C3479" t="s">
        <v>59</v>
      </c>
      <c r="D3479" s="7">
        <v>10</v>
      </c>
      <c r="E3479">
        <v>2021</v>
      </c>
      <c r="F3479">
        <v>2021</v>
      </c>
      <c r="G3479" t="str">
        <f>IFERROR(INDEX(Formulations[Formulation],MATCH($C3479,Formulations[Product Code],0)),"")</f>
        <v>Pure</v>
      </c>
    </row>
    <row r="3480" spans="1:7" x14ac:dyDescent="0.3">
      <c r="A3480" t="s">
        <v>2220</v>
      </c>
      <c r="B3480" t="s">
        <v>668</v>
      </c>
      <c r="C3480" t="s">
        <v>669</v>
      </c>
      <c r="D3480" s="7">
        <v>10</v>
      </c>
      <c r="E3480">
        <v>2021</v>
      </c>
      <c r="F3480">
        <v>2021</v>
      </c>
      <c r="G3480" t="str">
        <f>IFERROR(INDEX(Formulations[Formulation],MATCH($C3480,Formulations[Product Code],0)),"")</f>
        <v>Crystal</v>
      </c>
    </row>
    <row r="3481" spans="1:7" x14ac:dyDescent="0.3">
      <c r="A3481" t="s">
        <v>2220</v>
      </c>
      <c r="B3481" t="s">
        <v>674</v>
      </c>
      <c r="C3481" t="s">
        <v>675</v>
      </c>
      <c r="D3481" s="7">
        <v>10</v>
      </c>
      <c r="E3481">
        <v>2021</v>
      </c>
      <c r="F3481">
        <v>2021</v>
      </c>
      <c r="G3481" t="str">
        <f>IFERROR(INDEX(Formulations[Formulation],MATCH($C3481,Formulations[Product Code],0)),"")</f>
        <v>Crystal</v>
      </c>
    </row>
    <row r="3482" spans="1:7" x14ac:dyDescent="0.3">
      <c r="A3482" t="s">
        <v>2233</v>
      </c>
      <c r="B3482" t="s">
        <v>219</v>
      </c>
      <c r="C3482" t="s">
        <v>220</v>
      </c>
      <c r="D3482" s="7">
        <v>10</v>
      </c>
      <c r="E3482">
        <v>2014</v>
      </c>
      <c r="F3482">
        <v>2014</v>
      </c>
      <c r="G3482" t="str">
        <f>IFERROR(INDEX(Formulations[Formulation],MATCH($C3482,Formulations[Product Code],0)),"")</f>
        <v/>
      </c>
    </row>
    <row r="3483" spans="1:7" x14ac:dyDescent="0.3">
      <c r="A3483" t="s">
        <v>2233</v>
      </c>
      <c r="B3483" t="s">
        <v>2234</v>
      </c>
      <c r="C3483" t="s">
        <v>1879</v>
      </c>
      <c r="D3483" s="7">
        <v>10</v>
      </c>
      <c r="E3483">
        <v>2016</v>
      </c>
      <c r="F3483">
        <v>2016</v>
      </c>
      <c r="G3483" t="str">
        <f>IFERROR(INDEX(Formulations[Formulation],MATCH($C3483,Formulations[Product Code],0)),"")</f>
        <v/>
      </c>
    </row>
    <row r="3484" spans="1:7" x14ac:dyDescent="0.3">
      <c r="A3484" t="s">
        <v>2233</v>
      </c>
      <c r="B3484" t="s">
        <v>120</v>
      </c>
      <c r="C3484" t="s">
        <v>121</v>
      </c>
      <c r="D3484" s="7">
        <v>10</v>
      </c>
      <c r="E3484">
        <v>2015</v>
      </c>
      <c r="F3484">
        <v>2015</v>
      </c>
      <c r="G3484" t="str">
        <f>IFERROR(INDEX(Formulations[Formulation],MATCH($C3484,Formulations[Product Code],0)),"")</f>
        <v/>
      </c>
    </row>
    <row r="3485" spans="1:7" x14ac:dyDescent="0.3">
      <c r="A3485" t="s">
        <v>2238</v>
      </c>
      <c r="B3485" t="s">
        <v>610</v>
      </c>
      <c r="C3485" t="s">
        <v>611</v>
      </c>
      <c r="D3485" s="7">
        <v>10</v>
      </c>
      <c r="E3485">
        <v>2016</v>
      </c>
      <c r="F3485">
        <v>2016</v>
      </c>
      <c r="G3485" t="str">
        <f>IFERROR(INDEX(Formulations[Formulation],MATCH($C3485,Formulations[Product Code],0)),"")</f>
        <v/>
      </c>
    </row>
    <row r="3486" spans="1:7" x14ac:dyDescent="0.3">
      <c r="A3486" t="s">
        <v>2238</v>
      </c>
      <c r="B3486" t="s">
        <v>269</v>
      </c>
      <c r="C3486" t="s">
        <v>270</v>
      </c>
      <c r="D3486" s="7">
        <v>10</v>
      </c>
      <c r="E3486">
        <v>2017</v>
      </c>
      <c r="F3486">
        <v>2017</v>
      </c>
      <c r="G3486" t="str">
        <f>IFERROR(INDEX(Formulations[Formulation],MATCH($C3486,Formulations[Product Code],0)),"")</f>
        <v>Pure</v>
      </c>
    </row>
    <row r="3487" spans="1:7" x14ac:dyDescent="0.3">
      <c r="A3487" t="s">
        <v>2238</v>
      </c>
      <c r="B3487" t="s">
        <v>314</v>
      </c>
      <c r="C3487" t="s">
        <v>475</v>
      </c>
      <c r="D3487" s="7">
        <v>10</v>
      </c>
      <c r="E3487">
        <v>2016</v>
      </c>
      <c r="F3487">
        <v>2016</v>
      </c>
      <c r="G3487" t="str">
        <f>IFERROR(INDEX(Formulations[Formulation],MATCH($C3487,Formulations[Product Code],0)),"")</f>
        <v>Crystal</v>
      </c>
    </row>
    <row r="3488" spans="1:7" x14ac:dyDescent="0.3">
      <c r="A3488" t="s">
        <v>2252</v>
      </c>
      <c r="B3488" t="s">
        <v>438</v>
      </c>
      <c r="C3488" t="s">
        <v>439</v>
      </c>
      <c r="D3488" s="7">
        <v>10</v>
      </c>
      <c r="E3488">
        <v>2018</v>
      </c>
      <c r="F3488">
        <v>2018</v>
      </c>
      <c r="G3488" t="str">
        <f>IFERROR(INDEX(Formulations[Formulation],MATCH($C3488,Formulations[Product Code],0)),"")</f>
        <v>Pure</v>
      </c>
    </row>
    <row r="3489" spans="1:7" x14ac:dyDescent="0.3">
      <c r="A3489" t="s">
        <v>2253</v>
      </c>
      <c r="B3489" t="s">
        <v>453</v>
      </c>
      <c r="D3489" s="7">
        <v>10</v>
      </c>
      <c r="E3489">
        <v>2018</v>
      </c>
      <c r="F3489">
        <v>2018</v>
      </c>
      <c r="G3489" t="str">
        <f>IFERROR(INDEX(Formulations[Formulation],MATCH($C3489,Formulations[Product Code],0)),"")</f>
        <v/>
      </c>
    </row>
    <row r="3490" spans="1:7" x14ac:dyDescent="0.3">
      <c r="A3490" t="s">
        <v>2256</v>
      </c>
      <c r="B3490" t="s">
        <v>2219</v>
      </c>
      <c r="C3490" t="s">
        <v>286</v>
      </c>
      <c r="D3490" s="7">
        <v>10</v>
      </c>
      <c r="E3490">
        <v>2012</v>
      </c>
      <c r="F3490">
        <v>2013</v>
      </c>
      <c r="G3490" t="str">
        <f>IFERROR(INDEX(Formulations[Formulation],MATCH($C3490,Formulations[Product Code],0)),"")</f>
        <v/>
      </c>
    </row>
    <row r="3491" spans="1:7" x14ac:dyDescent="0.3">
      <c r="A3491" t="s">
        <v>2256</v>
      </c>
      <c r="B3491" t="s">
        <v>2257</v>
      </c>
      <c r="C3491" t="s">
        <v>2258</v>
      </c>
      <c r="D3491" s="7">
        <v>10</v>
      </c>
      <c r="E3491">
        <v>2012</v>
      </c>
      <c r="F3491">
        <v>2012</v>
      </c>
      <c r="G3491" t="str">
        <f>IFERROR(INDEX(Formulations[Formulation],MATCH($C3491,Formulations[Product Code],0)),"")</f>
        <v/>
      </c>
    </row>
    <row r="3492" spans="1:7" x14ac:dyDescent="0.3">
      <c r="A3492" t="s">
        <v>2262</v>
      </c>
      <c r="B3492" t="s">
        <v>542</v>
      </c>
      <c r="C3492" t="s">
        <v>160</v>
      </c>
      <c r="D3492" s="7">
        <v>10</v>
      </c>
      <c r="E3492">
        <v>2021</v>
      </c>
      <c r="F3492">
        <v>2021</v>
      </c>
      <c r="G3492" t="str">
        <f>IFERROR(INDEX(Formulations[Formulation],MATCH($C3492,Formulations[Product Code],0)),"")</f>
        <v>Silver</v>
      </c>
    </row>
    <row r="3493" spans="1:7" x14ac:dyDescent="0.3">
      <c r="A3493" t="s">
        <v>2264</v>
      </c>
      <c r="B3493" t="s">
        <v>1429</v>
      </c>
      <c r="C3493" t="s">
        <v>1368</v>
      </c>
      <c r="D3493" s="7">
        <v>10</v>
      </c>
      <c r="E3493">
        <v>2020</v>
      </c>
      <c r="F3493">
        <v>2021</v>
      </c>
      <c r="G3493" t="str">
        <f>IFERROR(INDEX(Formulations[Formulation],MATCH($C3493,Formulations[Product Code],0)),"")</f>
        <v>Pure</v>
      </c>
    </row>
    <row r="3494" spans="1:7" x14ac:dyDescent="0.3">
      <c r="A3494" t="s">
        <v>2290</v>
      </c>
      <c r="B3494" t="s">
        <v>2292</v>
      </c>
      <c r="D3494" s="7">
        <v>10</v>
      </c>
      <c r="E3494">
        <v>2012</v>
      </c>
      <c r="F3494">
        <v>2012</v>
      </c>
      <c r="G3494" t="str">
        <f>IFERROR(INDEX(Formulations[Formulation],MATCH($C3494,Formulations[Product Code],0)),"")</f>
        <v/>
      </c>
    </row>
    <row r="3495" spans="1:7" x14ac:dyDescent="0.3">
      <c r="A3495" t="s">
        <v>2296</v>
      </c>
      <c r="B3495" t="s">
        <v>39</v>
      </c>
      <c r="D3495" s="7">
        <v>10</v>
      </c>
      <c r="E3495">
        <v>2019</v>
      </c>
      <c r="F3495">
        <v>2020</v>
      </c>
      <c r="G3495" t="str">
        <f>IFERROR(INDEX(Formulations[Formulation],MATCH($C3495,Formulations[Product Code],0)),"")</f>
        <v/>
      </c>
    </row>
    <row r="3496" spans="1:7" x14ac:dyDescent="0.3">
      <c r="A3496" t="s">
        <v>2302</v>
      </c>
      <c r="B3496" t="s">
        <v>1238</v>
      </c>
      <c r="C3496" t="s">
        <v>1239</v>
      </c>
      <c r="D3496" s="7">
        <v>10</v>
      </c>
      <c r="E3496">
        <v>2019</v>
      </c>
      <c r="F3496">
        <v>2019</v>
      </c>
      <c r="G3496" t="str">
        <f>IFERROR(INDEX(Formulations[Formulation],MATCH($C3496,Formulations[Product Code],0)),"")</f>
        <v/>
      </c>
    </row>
    <row r="3497" spans="1:7" x14ac:dyDescent="0.3">
      <c r="A3497" t="s">
        <v>2302</v>
      </c>
      <c r="B3497" t="s">
        <v>2221</v>
      </c>
      <c r="C3497" t="s">
        <v>998</v>
      </c>
      <c r="D3497" s="7">
        <v>10</v>
      </c>
      <c r="E3497">
        <v>2011</v>
      </c>
      <c r="F3497">
        <v>2011</v>
      </c>
      <c r="G3497" t="str">
        <f>IFERROR(INDEX(Formulations[Formulation],MATCH($C3497,Formulations[Product Code],0)),"")</f>
        <v/>
      </c>
    </row>
    <row r="3498" spans="1:7" x14ac:dyDescent="0.3">
      <c r="A3498" t="s">
        <v>2302</v>
      </c>
      <c r="B3498" t="s">
        <v>2304</v>
      </c>
      <c r="C3498" t="s">
        <v>2305</v>
      </c>
      <c r="D3498" s="7">
        <v>10</v>
      </c>
      <c r="E3498">
        <v>2009</v>
      </c>
      <c r="F3498">
        <v>2009</v>
      </c>
      <c r="G3498" t="str">
        <f>IFERROR(INDEX(Formulations[Formulation],MATCH($C3498,Formulations[Product Code],0)),"")</f>
        <v/>
      </c>
    </row>
    <row r="3499" spans="1:7" x14ac:dyDescent="0.3">
      <c r="A3499" t="s">
        <v>2328</v>
      </c>
      <c r="B3499" t="s">
        <v>84</v>
      </c>
      <c r="C3499" t="s">
        <v>85</v>
      </c>
      <c r="D3499" s="7">
        <v>10</v>
      </c>
      <c r="E3499">
        <v>2017</v>
      </c>
      <c r="F3499">
        <v>2017</v>
      </c>
      <c r="G3499" t="str">
        <f>IFERROR(INDEX(Formulations[Formulation],MATCH($C3499,Formulations[Product Code],0)),"")</f>
        <v>Pure</v>
      </c>
    </row>
    <row r="3500" spans="1:7" x14ac:dyDescent="0.3">
      <c r="A3500" t="s">
        <v>2328</v>
      </c>
      <c r="B3500" t="s">
        <v>135</v>
      </c>
      <c r="C3500" t="s">
        <v>136</v>
      </c>
      <c r="D3500" s="7">
        <v>10</v>
      </c>
      <c r="E3500">
        <v>2017</v>
      </c>
      <c r="F3500">
        <v>2017</v>
      </c>
      <c r="G3500" t="str">
        <f>IFERROR(INDEX(Formulations[Formulation],MATCH($C3500,Formulations[Product Code],0)),"")</f>
        <v/>
      </c>
    </row>
    <row r="3501" spans="1:7" x14ac:dyDescent="0.3">
      <c r="A3501" t="s">
        <v>2328</v>
      </c>
      <c r="B3501" t="s">
        <v>318</v>
      </c>
      <c r="C3501" t="s">
        <v>319</v>
      </c>
      <c r="D3501" s="7">
        <v>10</v>
      </c>
      <c r="E3501">
        <v>2016</v>
      </c>
      <c r="F3501">
        <v>2017</v>
      </c>
      <c r="G3501" t="str">
        <f>IFERROR(INDEX(Formulations[Formulation],MATCH($C3501,Formulations[Product Code],0)),"")</f>
        <v>Pure</v>
      </c>
    </row>
    <row r="3502" spans="1:7" x14ac:dyDescent="0.3">
      <c r="A3502" t="s">
        <v>2330</v>
      </c>
      <c r="B3502" t="s">
        <v>610</v>
      </c>
      <c r="C3502" t="s">
        <v>611</v>
      </c>
      <c r="D3502" s="7">
        <v>10</v>
      </c>
      <c r="E3502">
        <v>2015</v>
      </c>
      <c r="F3502">
        <v>2015</v>
      </c>
      <c r="G3502" t="str">
        <f>IFERROR(INDEX(Formulations[Formulation],MATCH($C3502,Formulations[Product Code],0)),"")</f>
        <v/>
      </c>
    </row>
    <row r="3503" spans="1:7" x14ac:dyDescent="0.3">
      <c r="A3503" t="s">
        <v>2330</v>
      </c>
      <c r="B3503" t="s">
        <v>867</v>
      </c>
      <c r="C3503" t="s">
        <v>868</v>
      </c>
      <c r="D3503" s="7">
        <v>10</v>
      </c>
      <c r="E3503">
        <v>2015</v>
      </c>
      <c r="F3503">
        <v>2015</v>
      </c>
      <c r="G3503" t="str">
        <f>IFERROR(INDEX(Formulations[Formulation],MATCH($C3503,Formulations[Product Code],0)),"")</f>
        <v>Crystal</v>
      </c>
    </row>
    <row r="3504" spans="1:7" x14ac:dyDescent="0.3">
      <c r="A3504" t="s">
        <v>2330</v>
      </c>
      <c r="B3504" t="s">
        <v>575</v>
      </c>
      <c r="C3504" t="s">
        <v>673</v>
      </c>
      <c r="D3504" s="7">
        <v>10</v>
      </c>
      <c r="E3504">
        <v>2016</v>
      </c>
      <c r="F3504">
        <v>2016</v>
      </c>
      <c r="G3504" t="str">
        <f>IFERROR(INDEX(Formulations[Formulation],MATCH($C3504,Formulations[Product Code],0)),"")</f>
        <v>Apricot 60 % oil and 40 % dpg</v>
      </c>
    </row>
    <row r="3505" spans="1:7" x14ac:dyDescent="0.3">
      <c r="A3505" t="s">
        <v>2345</v>
      </c>
      <c r="B3505" t="s">
        <v>473</v>
      </c>
      <c r="C3505" t="s">
        <v>747</v>
      </c>
      <c r="D3505" s="7">
        <v>10</v>
      </c>
      <c r="E3505">
        <v>2018</v>
      </c>
      <c r="F3505">
        <v>2018</v>
      </c>
      <c r="G3505" t="str">
        <f>IFERROR(INDEX(Formulations[Formulation],MATCH($C3505,Formulations[Product Code],0)),"")</f>
        <v/>
      </c>
    </row>
    <row r="3506" spans="1:7" x14ac:dyDescent="0.3">
      <c r="A3506" t="s">
        <v>2346</v>
      </c>
      <c r="B3506" t="s">
        <v>1853</v>
      </c>
      <c r="C3506" t="s">
        <v>1854</v>
      </c>
      <c r="D3506" s="7">
        <v>10</v>
      </c>
      <c r="E3506">
        <v>2020</v>
      </c>
      <c r="F3506">
        <v>2020</v>
      </c>
      <c r="G3506" t="str">
        <f>IFERROR(INDEX(Formulations[Formulation],MATCH($C3506,Formulations[Product Code],0)),"")</f>
        <v>30% Key Oil</v>
      </c>
    </row>
    <row r="3507" spans="1:7" x14ac:dyDescent="0.3">
      <c r="A3507" t="s">
        <v>2354</v>
      </c>
      <c r="B3507" t="s">
        <v>453</v>
      </c>
      <c r="D3507" s="7">
        <v>10</v>
      </c>
      <c r="E3507">
        <v>2019</v>
      </c>
      <c r="F3507">
        <v>2019</v>
      </c>
      <c r="G3507" t="str">
        <f>IFERROR(INDEX(Formulations[Formulation],MATCH($C3507,Formulations[Product Code],0)),"")</f>
        <v/>
      </c>
    </row>
    <row r="3508" spans="1:7" x14ac:dyDescent="0.3">
      <c r="A3508" t="s">
        <v>2354</v>
      </c>
      <c r="B3508" t="s">
        <v>668</v>
      </c>
      <c r="C3508" t="s">
        <v>669</v>
      </c>
      <c r="D3508" s="7">
        <v>10</v>
      </c>
      <c r="E3508">
        <v>2021</v>
      </c>
      <c r="F3508">
        <v>2021</v>
      </c>
      <c r="G3508" t="str">
        <f>IFERROR(INDEX(Formulations[Formulation],MATCH($C3508,Formulations[Product Code],0)),"")</f>
        <v>Crystal</v>
      </c>
    </row>
    <row r="3509" spans="1:7" x14ac:dyDescent="0.3">
      <c r="A3509" t="s">
        <v>2354</v>
      </c>
      <c r="B3509" t="s">
        <v>909</v>
      </c>
      <c r="C3509" t="s">
        <v>910</v>
      </c>
      <c r="D3509" s="7">
        <v>10</v>
      </c>
      <c r="E3509">
        <v>2019</v>
      </c>
      <c r="F3509">
        <v>2019</v>
      </c>
      <c r="G3509" t="str">
        <f>IFERROR(INDEX(Formulations[Formulation],MATCH($C3509,Formulations[Product Code],0)),"")</f>
        <v/>
      </c>
    </row>
    <row r="3510" spans="1:7" x14ac:dyDescent="0.3">
      <c r="A3510" t="s">
        <v>2354</v>
      </c>
      <c r="B3510" t="s">
        <v>706</v>
      </c>
      <c r="C3510" t="s">
        <v>707</v>
      </c>
      <c r="D3510" s="7">
        <v>10</v>
      </c>
      <c r="E3510">
        <v>2017</v>
      </c>
      <c r="F3510">
        <v>2017</v>
      </c>
      <c r="G3510" t="str">
        <f>IFERROR(INDEX(Formulations[Formulation],MATCH($C3510,Formulations[Product Code],0)),"")</f>
        <v/>
      </c>
    </row>
    <row r="3511" spans="1:7" x14ac:dyDescent="0.3">
      <c r="A3511" t="s">
        <v>2354</v>
      </c>
      <c r="B3511" t="s">
        <v>483</v>
      </c>
      <c r="C3511" t="s">
        <v>484</v>
      </c>
      <c r="D3511" s="7">
        <v>10</v>
      </c>
      <c r="E3511">
        <v>2020</v>
      </c>
      <c r="F3511">
        <v>2020</v>
      </c>
      <c r="G3511" t="str">
        <f>IFERROR(INDEX(Formulations[Formulation],MATCH($C3511,Formulations[Product Code],0)),"")</f>
        <v>Crystal</v>
      </c>
    </row>
    <row r="3512" spans="1:7" x14ac:dyDescent="0.3">
      <c r="A3512" t="s">
        <v>2361</v>
      </c>
      <c r="B3512" t="s">
        <v>117</v>
      </c>
      <c r="C3512" t="s">
        <v>118</v>
      </c>
      <c r="D3512" s="7">
        <v>10</v>
      </c>
      <c r="E3512">
        <v>2019</v>
      </c>
      <c r="F3512">
        <v>2019</v>
      </c>
      <c r="G3512" t="str">
        <f>IFERROR(INDEX(Formulations[Formulation],MATCH($C3512,Formulations[Product Code],0)),"")</f>
        <v>Silver</v>
      </c>
    </row>
    <row r="3513" spans="1:7" x14ac:dyDescent="0.3">
      <c r="A3513" t="s">
        <v>2362</v>
      </c>
      <c r="B3513" t="s">
        <v>412</v>
      </c>
      <c r="C3513" t="s">
        <v>413</v>
      </c>
      <c r="D3513" s="7">
        <v>10</v>
      </c>
      <c r="E3513">
        <v>2015</v>
      </c>
      <c r="F3513">
        <v>2015</v>
      </c>
      <c r="G3513" t="str">
        <f>IFERROR(INDEX(Formulations[Formulation],MATCH($C3513,Formulations[Product Code],0)),"")</f>
        <v>40% oil &amp; 60 % DPG</v>
      </c>
    </row>
    <row r="3514" spans="1:7" x14ac:dyDescent="0.3">
      <c r="A3514" t="s">
        <v>2365</v>
      </c>
      <c r="B3514" t="s">
        <v>2366</v>
      </c>
      <c r="C3514" t="s">
        <v>2367</v>
      </c>
      <c r="D3514" s="7">
        <v>10</v>
      </c>
      <c r="E3514">
        <v>2013</v>
      </c>
      <c r="F3514">
        <v>2013</v>
      </c>
      <c r="G3514" t="str">
        <f>IFERROR(INDEX(Formulations[Formulation],MATCH($C3514,Formulations[Product Code],0)),"")</f>
        <v/>
      </c>
    </row>
    <row r="3515" spans="1:7" x14ac:dyDescent="0.3">
      <c r="A3515" t="s">
        <v>2365</v>
      </c>
      <c r="B3515" t="s">
        <v>1797</v>
      </c>
      <c r="C3515" t="s">
        <v>1798</v>
      </c>
      <c r="D3515" s="7">
        <v>10</v>
      </c>
      <c r="E3515">
        <v>2014</v>
      </c>
      <c r="F3515">
        <v>2014</v>
      </c>
      <c r="G3515" t="str">
        <f>IFERROR(INDEX(Formulations[Formulation],MATCH($C3515,Formulations[Product Code],0)),"")</f>
        <v/>
      </c>
    </row>
    <row r="3516" spans="1:7" x14ac:dyDescent="0.3">
      <c r="A3516" t="s">
        <v>2372</v>
      </c>
      <c r="B3516" t="s">
        <v>2373</v>
      </c>
      <c r="C3516" t="s">
        <v>2374</v>
      </c>
      <c r="D3516" s="7">
        <v>10</v>
      </c>
      <c r="E3516">
        <v>2012</v>
      </c>
      <c r="F3516">
        <v>2012</v>
      </c>
      <c r="G3516" t="str">
        <f>IFERROR(INDEX(Formulations[Formulation],MATCH($C3516,Formulations[Product Code],0)),"")</f>
        <v/>
      </c>
    </row>
    <row r="3517" spans="1:7" x14ac:dyDescent="0.3">
      <c r="A3517" t="s">
        <v>2372</v>
      </c>
      <c r="B3517" t="s">
        <v>280</v>
      </c>
      <c r="C3517" t="s">
        <v>2080</v>
      </c>
      <c r="D3517" s="7">
        <v>10</v>
      </c>
      <c r="E3517">
        <v>2012</v>
      </c>
      <c r="F3517">
        <v>2012</v>
      </c>
      <c r="G3517" t="str">
        <f>IFERROR(INDEX(Formulations[Formulation],MATCH($C3517,Formulations[Product Code],0)),"")</f>
        <v/>
      </c>
    </row>
    <row r="3518" spans="1:7" x14ac:dyDescent="0.3">
      <c r="A3518" t="s">
        <v>2372</v>
      </c>
      <c r="B3518" t="s">
        <v>1986</v>
      </c>
      <c r="C3518" t="s">
        <v>2375</v>
      </c>
      <c r="D3518" s="7">
        <v>10</v>
      </c>
      <c r="E3518">
        <v>2012</v>
      </c>
      <c r="F3518">
        <v>2012</v>
      </c>
      <c r="G3518" t="str">
        <f>IFERROR(INDEX(Formulations[Formulation],MATCH($C3518,Formulations[Product Code],0)),"")</f>
        <v/>
      </c>
    </row>
    <row r="3519" spans="1:7" x14ac:dyDescent="0.3">
      <c r="A3519" t="s">
        <v>2372</v>
      </c>
      <c r="B3519" t="s">
        <v>2376</v>
      </c>
      <c r="C3519" t="s">
        <v>181</v>
      </c>
      <c r="D3519" s="7">
        <v>10</v>
      </c>
      <c r="E3519">
        <v>2012</v>
      </c>
      <c r="F3519">
        <v>2012</v>
      </c>
      <c r="G3519" t="str">
        <f>IFERROR(INDEX(Formulations[Formulation],MATCH($C3519,Formulations[Product Code],0)),"")</f>
        <v/>
      </c>
    </row>
    <row r="3520" spans="1:7" x14ac:dyDescent="0.3">
      <c r="A3520" t="s">
        <v>2372</v>
      </c>
      <c r="B3520" t="s">
        <v>363</v>
      </c>
      <c r="C3520" t="s">
        <v>364</v>
      </c>
      <c r="D3520" s="7">
        <v>10</v>
      </c>
      <c r="E3520">
        <v>2012</v>
      </c>
      <c r="F3520">
        <v>2012</v>
      </c>
      <c r="G3520" t="str">
        <f>IFERROR(INDEX(Formulations[Formulation],MATCH($C3520,Formulations[Product Code],0)),"")</f>
        <v/>
      </c>
    </row>
    <row r="3521" spans="1:7" x14ac:dyDescent="0.3">
      <c r="A3521" t="s">
        <v>2372</v>
      </c>
      <c r="B3521" t="s">
        <v>135</v>
      </c>
      <c r="D3521" s="7">
        <v>10</v>
      </c>
      <c r="E3521">
        <v>2013</v>
      </c>
      <c r="F3521">
        <v>2013</v>
      </c>
      <c r="G3521" t="str">
        <f>IFERROR(INDEX(Formulations[Formulation],MATCH($C3521,Formulations[Product Code],0)),"")</f>
        <v/>
      </c>
    </row>
    <row r="3522" spans="1:7" x14ac:dyDescent="0.3">
      <c r="A3522" t="s">
        <v>2372</v>
      </c>
      <c r="B3522" t="s">
        <v>2006</v>
      </c>
      <c r="C3522" t="s">
        <v>974</v>
      </c>
      <c r="D3522" s="7">
        <v>10</v>
      </c>
      <c r="E3522">
        <v>2011</v>
      </c>
      <c r="F3522">
        <v>2011</v>
      </c>
      <c r="G3522" t="str">
        <f>IFERROR(INDEX(Formulations[Formulation],MATCH($C3522,Formulations[Product Code],0)),"")</f>
        <v/>
      </c>
    </row>
    <row r="3523" spans="1:7" x14ac:dyDescent="0.3">
      <c r="A3523" t="s">
        <v>2372</v>
      </c>
      <c r="B3523" t="s">
        <v>2378</v>
      </c>
      <c r="C3523" t="s">
        <v>262</v>
      </c>
      <c r="D3523" s="7">
        <v>10</v>
      </c>
      <c r="E3523">
        <v>2012</v>
      </c>
      <c r="F3523">
        <v>2012</v>
      </c>
      <c r="G3523" t="str">
        <f>IFERROR(INDEX(Formulations[Formulation],MATCH($C3523,Formulations[Product Code],0)),"")</f>
        <v>Pure</v>
      </c>
    </row>
    <row r="3524" spans="1:7" x14ac:dyDescent="0.3">
      <c r="A3524" t="s">
        <v>2380</v>
      </c>
      <c r="B3524" t="s">
        <v>219</v>
      </c>
      <c r="C3524" t="s">
        <v>220</v>
      </c>
      <c r="D3524" s="7">
        <v>10</v>
      </c>
      <c r="E3524">
        <v>2011</v>
      </c>
      <c r="F3524">
        <v>2011</v>
      </c>
      <c r="G3524" t="str">
        <f>IFERROR(INDEX(Formulations[Formulation],MATCH($C3524,Formulations[Product Code],0)),"")</f>
        <v/>
      </c>
    </row>
    <row r="3525" spans="1:7" x14ac:dyDescent="0.3">
      <c r="A3525" t="s">
        <v>2380</v>
      </c>
      <c r="B3525" t="s">
        <v>2386</v>
      </c>
      <c r="C3525" t="s">
        <v>1916</v>
      </c>
      <c r="D3525" s="7">
        <v>10</v>
      </c>
      <c r="E3525">
        <v>2011</v>
      </c>
      <c r="F3525">
        <v>2011</v>
      </c>
      <c r="G3525" t="str">
        <f>IFERROR(INDEX(Formulations[Formulation],MATCH($C3525,Formulations[Product Code],0)),"")</f>
        <v/>
      </c>
    </row>
    <row r="3526" spans="1:7" x14ac:dyDescent="0.3">
      <c r="A3526" t="s">
        <v>2380</v>
      </c>
      <c r="B3526" t="s">
        <v>2390</v>
      </c>
      <c r="C3526" t="s">
        <v>226</v>
      </c>
      <c r="D3526" s="7">
        <v>10</v>
      </c>
      <c r="E3526">
        <v>2011</v>
      </c>
      <c r="F3526">
        <v>2011</v>
      </c>
      <c r="G3526" t="str">
        <f>IFERROR(INDEX(Formulations[Formulation],MATCH($C3526,Formulations[Product Code],0)),"")</f>
        <v/>
      </c>
    </row>
    <row r="3527" spans="1:7" x14ac:dyDescent="0.3">
      <c r="A3527" t="s">
        <v>2380</v>
      </c>
      <c r="B3527" t="s">
        <v>1715</v>
      </c>
      <c r="C3527" t="s">
        <v>1716</v>
      </c>
      <c r="D3527" s="7">
        <v>10</v>
      </c>
      <c r="E3527">
        <v>2011</v>
      </c>
      <c r="F3527">
        <v>2011</v>
      </c>
      <c r="G3527" t="str">
        <f>IFERROR(INDEX(Formulations[Formulation],MATCH($C3527,Formulations[Product Code],0)),"")</f>
        <v/>
      </c>
    </row>
    <row r="3528" spans="1:7" x14ac:dyDescent="0.3">
      <c r="A3528" t="s">
        <v>2401</v>
      </c>
      <c r="B3528" t="s">
        <v>219</v>
      </c>
      <c r="C3528" t="s">
        <v>220</v>
      </c>
      <c r="D3528" s="7">
        <v>10</v>
      </c>
      <c r="E3528">
        <v>2011</v>
      </c>
      <c r="F3528">
        <v>2011</v>
      </c>
      <c r="G3528" t="str">
        <f>IFERROR(INDEX(Formulations[Formulation],MATCH($C3528,Formulations[Product Code],0)),"")</f>
        <v/>
      </c>
    </row>
    <row r="3529" spans="1:7" x14ac:dyDescent="0.3">
      <c r="A3529" t="s">
        <v>2401</v>
      </c>
      <c r="B3529" t="s">
        <v>252</v>
      </c>
      <c r="C3529" t="s">
        <v>191</v>
      </c>
      <c r="D3529" s="7">
        <v>10</v>
      </c>
      <c r="E3529">
        <v>2020</v>
      </c>
      <c r="F3529">
        <v>2021</v>
      </c>
      <c r="G3529" t="str">
        <f>IFERROR(INDEX(Formulations[Formulation],MATCH($C3529,Formulations[Product Code],0)),"")</f>
        <v>Pure</v>
      </c>
    </row>
    <row r="3530" spans="1:7" x14ac:dyDescent="0.3">
      <c r="A3530" t="s">
        <v>2401</v>
      </c>
      <c r="B3530" t="s">
        <v>1276</v>
      </c>
      <c r="C3530" t="s">
        <v>80</v>
      </c>
      <c r="D3530" s="7">
        <v>10</v>
      </c>
      <c r="E3530">
        <v>2009</v>
      </c>
      <c r="F3530">
        <v>2009</v>
      </c>
      <c r="G3530" t="str">
        <f>IFERROR(INDEX(Formulations[Formulation],MATCH($C3530,Formulations[Product Code],0)),"")</f>
        <v>Pure</v>
      </c>
    </row>
    <row r="3531" spans="1:7" x14ac:dyDescent="0.3">
      <c r="A3531" t="s">
        <v>2401</v>
      </c>
      <c r="B3531" t="s">
        <v>2304</v>
      </c>
      <c r="C3531" t="s">
        <v>2305</v>
      </c>
      <c r="D3531" s="7">
        <v>10</v>
      </c>
      <c r="E3531">
        <v>2011</v>
      </c>
      <c r="F3531">
        <v>2011</v>
      </c>
      <c r="G3531" t="str">
        <f>IFERROR(INDEX(Formulations[Formulation],MATCH($C3531,Formulations[Product Code],0)),"")</f>
        <v/>
      </c>
    </row>
    <row r="3532" spans="1:7" x14ac:dyDescent="0.3">
      <c r="A3532" t="s">
        <v>2401</v>
      </c>
      <c r="B3532" t="s">
        <v>263</v>
      </c>
      <c r="C3532" t="s">
        <v>264</v>
      </c>
      <c r="D3532" s="7">
        <v>10</v>
      </c>
      <c r="E3532">
        <v>2019</v>
      </c>
      <c r="F3532">
        <v>2021</v>
      </c>
      <c r="G3532" t="str">
        <f>IFERROR(INDEX(Formulations[Formulation],MATCH($C3532,Formulations[Product Code],0)),"")</f>
        <v>Silver</v>
      </c>
    </row>
    <row r="3533" spans="1:7" x14ac:dyDescent="0.3">
      <c r="A3533" t="s">
        <v>2401</v>
      </c>
      <c r="B3533" t="s">
        <v>383</v>
      </c>
      <c r="C3533" t="s">
        <v>384</v>
      </c>
      <c r="D3533" s="7">
        <v>10</v>
      </c>
      <c r="E3533">
        <v>2019</v>
      </c>
      <c r="F3533">
        <v>2020</v>
      </c>
      <c r="G3533" t="str">
        <f>IFERROR(INDEX(Formulations[Formulation],MATCH($C3533,Formulations[Product Code],0)),"")</f>
        <v>Pure</v>
      </c>
    </row>
    <row r="3534" spans="1:7" x14ac:dyDescent="0.3">
      <c r="A3534" t="s">
        <v>2401</v>
      </c>
      <c r="B3534" t="s">
        <v>841</v>
      </c>
      <c r="C3534" t="s">
        <v>169</v>
      </c>
      <c r="D3534" s="7">
        <v>10</v>
      </c>
      <c r="E3534">
        <v>2019</v>
      </c>
      <c r="F3534">
        <v>2019</v>
      </c>
      <c r="G3534" t="str">
        <f>IFERROR(INDEX(Formulations[Formulation],MATCH($C3534,Formulations[Product Code],0)),"")</f>
        <v>Silver</v>
      </c>
    </row>
    <row r="3535" spans="1:7" x14ac:dyDescent="0.3">
      <c r="A3535" t="s">
        <v>2414</v>
      </c>
      <c r="B3535" t="s">
        <v>627</v>
      </c>
      <c r="D3535" s="7">
        <v>10</v>
      </c>
      <c r="E3535">
        <v>2017</v>
      </c>
      <c r="F3535">
        <v>2017</v>
      </c>
      <c r="G3535" t="str">
        <f>IFERROR(INDEX(Formulations[Formulation],MATCH($C3535,Formulations[Product Code],0)),"")</f>
        <v/>
      </c>
    </row>
    <row r="3536" spans="1:7" x14ac:dyDescent="0.3">
      <c r="A3536" t="s">
        <v>2414</v>
      </c>
      <c r="B3536" t="s">
        <v>867</v>
      </c>
      <c r="C3536" t="s">
        <v>868</v>
      </c>
      <c r="D3536" s="7">
        <v>10</v>
      </c>
      <c r="E3536">
        <v>2017</v>
      </c>
      <c r="F3536">
        <v>2017</v>
      </c>
      <c r="G3536" t="str">
        <f>IFERROR(INDEX(Formulations[Formulation],MATCH($C3536,Formulations[Product Code],0)),"")</f>
        <v>Crystal</v>
      </c>
    </row>
    <row r="3537" spans="1:7" x14ac:dyDescent="0.3">
      <c r="A3537" t="s">
        <v>2414</v>
      </c>
      <c r="B3537" t="s">
        <v>318</v>
      </c>
      <c r="C3537" t="s">
        <v>319</v>
      </c>
      <c r="D3537" s="7">
        <v>10</v>
      </c>
      <c r="E3537">
        <v>2017</v>
      </c>
      <c r="F3537">
        <v>2017</v>
      </c>
      <c r="G3537" t="str">
        <f>IFERROR(INDEX(Formulations[Formulation],MATCH($C3537,Formulations[Product Code],0)),"")</f>
        <v>Pure</v>
      </c>
    </row>
    <row r="3538" spans="1:7" x14ac:dyDescent="0.3">
      <c r="A3538" t="s">
        <v>2414</v>
      </c>
      <c r="B3538" t="s">
        <v>320</v>
      </c>
      <c r="C3538" t="s">
        <v>321</v>
      </c>
      <c r="D3538" s="7">
        <v>10</v>
      </c>
      <c r="E3538">
        <v>2017</v>
      </c>
      <c r="F3538">
        <v>2017</v>
      </c>
      <c r="G3538" t="str">
        <f>IFERROR(INDEX(Formulations[Formulation],MATCH($C3538,Formulations[Product Code],0)),"")</f>
        <v/>
      </c>
    </row>
    <row r="3539" spans="1:7" x14ac:dyDescent="0.3">
      <c r="A3539" t="s">
        <v>2416</v>
      </c>
      <c r="B3539" t="s">
        <v>219</v>
      </c>
      <c r="C3539" t="s">
        <v>220</v>
      </c>
      <c r="D3539" s="7">
        <v>10</v>
      </c>
      <c r="E3539">
        <v>2014</v>
      </c>
      <c r="F3539">
        <v>2014</v>
      </c>
      <c r="G3539" t="str">
        <f>IFERROR(INDEX(Formulations[Formulation],MATCH($C3539,Formulations[Product Code],0)),"")</f>
        <v/>
      </c>
    </row>
    <row r="3540" spans="1:7" x14ac:dyDescent="0.3">
      <c r="A3540" t="s">
        <v>2425</v>
      </c>
      <c r="B3540" t="s">
        <v>280</v>
      </c>
      <c r="C3540" t="s">
        <v>224</v>
      </c>
      <c r="D3540" s="7">
        <v>10</v>
      </c>
      <c r="E3540">
        <v>2013</v>
      </c>
      <c r="F3540">
        <v>2015</v>
      </c>
      <c r="G3540" t="str">
        <f>IFERROR(INDEX(Formulations[Formulation],MATCH($C3540,Formulations[Product Code],0)),"")</f>
        <v/>
      </c>
    </row>
    <row r="3541" spans="1:7" x14ac:dyDescent="0.3">
      <c r="A3541" t="s">
        <v>2425</v>
      </c>
      <c r="B3541" t="s">
        <v>137</v>
      </c>
      <c r="C3541" t="s">
        <v>138</v>
      </c>
      <c r="D3541" s="7">
        <v>10</v>
      </c>
      <c r="E3541">
        <v>2014</v>
      </c>
      <c r="F3541">
        <v>2014</v>
      </c>
      <c r="G3541" t="str">
        <f>IFERROR(INDEX(Formulations[Formulation],MATCH($C3541,Formulations[Product Code],0)),"")</f>
        <v>WS</v>
      </c>
    </row>
    <row r="3542" spans="1:7" x14ac:dyDescent="0.3">
      <c r="A3542" t="s">
        <v>2425</v>
      </c>
      <c r="B3542" t="s">
        <v>381</v>
      </c>
      <c r="C3542" t="s">
        <v>382</v>
      </c>
      <c r="D3542" s="7">
        <v>10</v>
      </c>
      <c r="E3542">
        <v>2013</v>
      </c>
      <c r="F3542">
        <v>2013</v>
      </c>
      <c r="G3542" t="str">
        <f>IFERROR(INDEX(Formulations[Formulation],MATCH($C3542,Formulations[Product Code],0)),"")</f>
        <v/>
      </c>
    </row>
    <row r="3543" spans="1:7" x14ac:dyDescent="0.3">
      <c r="A3543" t="s">
        <v>2425</v>
      </c>
      <c r="B3543" t="s">
        <v>2427</v>
      </c>
      <c r="C3543" t="s">
        <v>1718</v>
      </c>
      <c r="D3543" s="7">
        <v>10</v>
      </c>
      <c r="E3543">
        <v>2012</v>
      </c>
      <c r="F3543">
        <v>2012</v>
      </c>
      <c r="G3543" t="str">
        <f>IFERROR(INDEX(Formulations[Formulation],MATCH($C3543,Formulations[Product Code],0)),"")</f>
        <v/>
      </c>
    </row>
    <row r="3544" spans="1:7" x14ac:dyDescent="0.3">
      <c r="A3544" t="s">
        <v>2436</v>
      </c>
      <c r="B3544" t="s">
        <v>453</v>
      </c>
      <c r="D3544" s="7">
        <v>10</v>
      </c>
      <c r="E3544">
        <v>2018</v>
      </c>
      <c r="F3544">
        <v>2018</v>
      </c>
      <c r="G3544" t="str">
        <f>IFERROR(INDEX(Formulations[Formulation],MATCH($C3544,Formulations[Product Code],0)),"")</f>
        <v/>
      </c>
    </row>
    <row r="3545" spans="1:7" x14ac:dyDescent="0.3">
      <c r="A3545" t="s">
        <v>2437</v>
      </c>
      <c r="B3545" t="s">
        <v>696</v>
      </c>
      <c r="C3545" t="s">
        <v>697</v>
      </c>
      <c r="D3545" s="7">
        <v>10</v>
      </c>
      <c r="E3545">
        <v>2016</v>
      </c>
      <c r="F3545">
        <v>2016</v>
      </c>
      <c r="G3545" t="str">
        <f>IFERROR(INDEX(Formulations[Formulation],MATCH($C3545,Formulations[Product Code],0)),"")</f>
        <v/>
      </c>
    </row>
    <row r="3546" spans="1:7" x14ac:dyDescent="0.3">
      <c r="A3546" t="s">
        <v>2437</v>
      </c>
      <c r="B3546" t="s">
        <v>21</v>
      </c>
      <c r="C3546" t="s">
        <v>22</v>
      </c>
      <c r="D3546" s="7">
        <v>10</v>
      </c>
      <c r="E3546">
        <v>2019</v>
      </c>
      <c r="F3546">
        <v>2019</v>
      </c>
      <c r="G3546" t="str">
        <f>IFERROR(INDEX(Formulations[Formulation],MATCH($C3546,Formulations[Product Code],0)),"")</f>
        <v>Crystal</v>
      </c>
    </row>
    <row r="3547" spans="1:7" x14ac:dyDescent="0.3">
      <c r="A3547" t="s">
        <v>2437</v>
      </c>
      <c r="B3547" t="s">
        <v>438</v>
      </c>
      <c r="C3547" t="s">
        <v>439</v>
      </c>
      <c r="D3547" s="7">
        <v>10</v>
      </c>
      <c r="E3547">
        <v>2016</v>
      </c>
      <c r="F3547">
        <v>2016</v>
      </c>
      <c r="G3547" t="str">
        <f>IFERROR(INDEX(Formulations[Formulation],MATCH($C3547,Formulations[Product Code],0)),"")</f>
        <v>Pure</v>
      </c>
    </row>
    <row r="3548" spans="1:7" x14ac:dyDescent="0.3">
      <c r="A3548" t="s">
        <v>2437</v>
      </c>
      <c r="B3548" t="s">
        <v>483</v>
      </c>
      <c r="C3548" t="s">
        <v>484</v>
      </c>
      <c r="D3548" s="7">
        <v>10</v>
      </c>
      <c r="E3548">
        <v>2020</v>
      </c>
      <c r="F3548">
        <v>2020</v>
      </c>
      <c r="G3548" t="str">
        <f>IFERROR(INDEX(Formulations[Formulation],MATCH($C3548,Formulations[Product Code],0)),"")</f>
        <v>Crystal</v>
      </c>
    </row>
    <row r="3549" spans="1:7" x14ac:dyDescent="0.3">
      <c r="A3549" t="s">
        <v>2438</v>
      </c>
      <c r="B3549" t="s">
        <v>35</v>
      </c>
      <c r="D3549" s="7">
        <v>10</v>
      </c>
      <c r="E3549">
        <v>2019</v>
      </c>
      <c r="F3549">
        <v>2020</v>
      </c>
      <c r="G3549" t="str">
        <f>IFERROR(INDEX(Formulations[Formulation],MATCH($C3549,Formulations[Product Code],0)),"")</f>
        <v/>
      </c>
    </row>
    <row r="3550" spans="1:7" x14ac:dyDescent="0.3">
      <c r="A3550" t="s">
        <v>2442</v>
      </c>
      <c r="B3550" t="s">
        <v>581</v>
      </c>
      <c r="C3550" t="s">
        <v>582</v>
      </c>
      <c r="D3550" s="7">
        <v>10</v>
      </c>
      <c r="E3550">
        <v>2017</v>
      </c>
      <c r="F3550">
        <v>2017</v>
      </c>
      <c r="G3550" t="str">
        <f>IFERROR(INDEX(Formulations[Formulation],MATCH($C3550,Formulations[Product Code],0)),"")</f>
        <v/>
      </c>
    </row>
    <row r="3551" spans="1:7" x14ac:dyDescent="0.3">
      <c r="A3551" t="s">
        <v>2442</v>
      </c>
      <c r="B3551" t="s">
        <v>288</v>
      </c>
      <c r="C3551" t="s">
        <v>289</v>
      </c>
      <c r="D3551" s="7">
        <v>10</v>
      </c>
      <c r="E3551">
        <v>2017</v>
      </c>
      <c r="F3551">
        <v>2017</v>
      </c>
      <c r="G3551" t="str">
        <f>IFERROR(INDEX(Formulations[Formulation],MATCH($C3551,Formulations[Product Code],0)),"")</f>
        <v>L1212 Blanc by Lacoste (M) CP19035 -  (60%l1212) creed silver mountain 40% than make gold</v>
      </c>
    </row>
    <row r="3552" spans="1:7" x14ac:dyDescent="0.3">
      <c r="A3552" t="s">
        <v>2442</v>
      </c>
      <c r="B3552" t="s">
        <v>60</v>
      </c>
      <c r="C3552" t="s">
        <v>61</v>
      </c>
      <c r="D3552" s="7">
        <v>10</v>
      </c>
      <c r="E3552">
        <v>2017</v>
      </c>
      <c r="F3552">
        <v>2017</v>
      </c>
      <c r="G3552" t="str">
        <f>IFERROR(INDEX(Formulations[Formulation],MATCH($C3552,Formulations[Product Code],0)),"")</f>
        <v>Pure</v>
      </c>
    </row>
    <row r="3553" spans="1:7" x14ac:dyDescent="0.3">
      <c r="A3553" t="s">
        <v>2445</v>
      </c>
      <c r="B3553" t="s">
        <v>510</v>
      </c>
      <c r="C3553" t="s">
        <v>511</v>
      </c>
      <c r="D3553" s="7">
        <v>10</v>
      </c>
      <c r="E3553">
        <v>2020</v>
      </c>
      <c r="F3553">
        <v>2020</v>
      </c>
      <c r="G3553" t="str">
        <f>IFERROR(INDEX(Formulations[Formulation],MATCH($C3553,Formulations[Product Code],0)),"")</f>
        <v>Pure</v>
      </c>
    </row>
    <row r="3554" spans="1:7" x14ac:dyDescent="0.3">
      <c r="A3554" t="s">
        <v>2459</v>
      </c>
      <c r="B3554" t="s">
        <v>2460</v>
      </c>
      <c r="D3554" s="7">
        <v>10</v>
      </c>
      <c r="E3554">
        <v>2020</v>
      </c>
      <c r="F3554">
        <v>2020</v>
      </c>
      <c r="G3554" t="str">
        <f>IFERROR(INDEX(Formulations[Formulation],MATCH($C3554,Formulations[Product Code],0)),"")</f>
        <v/>
      </c>
    </row>
    <row r="3555" spans="1:7" x14ac:dyDescent="0.3">
      <c r="A3555" t="s">
        <v>2459</v>
      </c>
      <c r="B3555" t="s">
        <v>599</v>
      </c>
      <c r="C3555" t="s">
        <v>413</v>
      </c>
      <c r="D3555" s="7">
        <v>10</v>
      </c>
      <c r="E3555">
        <v>2020</v>
      </c>
      <c r="F3555">
        <v>2020</v>
      </c>
      <c r="G3555" t="str">
        <f>IFERROR(INDEX(Formulations[Formulation],MATCH($C3555,Formulations[Product Code],0)),"")</f>
        <v>40% oil &amp; 60 % DPG</v>
      </c>
    </row>
    <row r="3556" spans="1:7" x14ac:dyDescent="0.3">
      <c r="A3556" t="s">
        <v>2470</v>
      </c>
      <c r="B3556" t="s">
        <v>1208</v>
      </c>
      <c r="C3556" t="s">
        <v>1209</v>
      </c>
      <c r="D3556" s="7">
        <v>10</v>
      </c>
      <c r="E3556">
        <v>2015</v>
      </c>
      <c r="F3556">
        <v>2016</v>
      </c>
      <c r="G3556" t="str">
        <f>IFERROR(INDEX(Formulations[Formulation],MATCH($C3556,Formulations[Product Code],0)),"")</f>
        <v/>
      </c>
    </row>
    <row r="3557" spans="1:7" x14ac:dyDescent="0.3">
      <c r="A3557" t="s">
        <v>2471</v>
      </c>
      <c r="B3557" t="s">
        <v>19</v>
      </c>
      <c r="C3557" t="s">
        <v>20</v>
      </c>
      <c r="D3557" s="7">
        <v>10</v>
      </c>
      <c r="E3557">
        <v>2009</v>
      </c>
      <c r="F3557">
        <v>2009</v>
      </c>
      <c r="G3557" t="str">
        <f>IFERROR(INDEX(Formulations[Formulation],MATCH($C3557,Formulations[Product Code],0)),"")</f>
        <v>80 % Oil AND 20 % DPG</v>
      </c>
    </row>
    <row r="3558" spans="1:7" x14ac:dyDescent="0.3">
      <c r="A3558" t="s">
        <v>2482</v>
      </c>
      <c r="B3558" t="s">
        <v>206</v>
      </c>
      <c r="C3558" t="s">
        <v>207</v>
      </c>
      <c r="D3558" s="7">
        <v>10</v>
      </c>
      <c r="E3558">
        <v>2017</v>
      </c>
      <c r="F3558">
        <v>2018</v>
      </c>
      <c r="G3558" t="str">
        <f>IFERROR(INDEX(Formulations[Formulation],MATCH($C3558,Formulations[Product Code],0)),"")</f>
        <v/>
      </c>
    </row>
    <row r="3559" spans="1:7" x14ac:dyDescent="0.3">
      <c r="A3559" t="s">
        <v>2482</v>
      </c>
      <c r="B3559" t="s">
        <v>620</v>
      </c>
      <c r="C3559" t="s">
        <v>621</v>
      </c>
      <c r="D3559" s="7">
        <v>10</v>
      </c>
      <c r="E3559">
        <v>2018</v>
      </c>
      <c r="F3559">
        <v>2018</v>
      </c>
      <c r="G3559" t="str">
        <f>IFERROR(INDEX(Formulations[Formulation],MATCH($C3559,Formulations[Product Code],0)),"")</f>
        <v/>
      </c>
    </row>
    <row r="3560" spans="1:7" x14ac:dyDescent="0.3">
      <c r="A3560" t="s">
        <v>2483</v>
      </c>
      <c r="B3560" t="s">
        <v>696</v>
      </c>
      <c r="C3560" t="s">
        <v>697</v>
      </c>
      <c r="D3560" s="7">
        <v>10</v>
      </c>
      <c r="E3560">
        <v>2020</v>
      </c>
      <c r="F3560">
        <v>2020</v>
      </c>
      <c r="G3560" t="str">
        <f>IFERROR(INDEX(Formulations[Formulation],MATCH($C3560,Formulations[Product Code],0)),"")</f>
        <v/>
      </c>
    </row>
    <row r="3561" spans="1:7" x14ac:dyDescent="0.3">
      <c r="A3561" t="s">
        <v>2483</v>
      </c>
      <c r="B3561" t="s">
        <v>461</v>
      </c>
      <c r="D3561" s="7">
        <v>10</v>
      </c>
      <c r="E3561">
        <v>2020</v>
      </c>
      <c r="F3561">
        <v>2021</v>
      </c>
      <c r="G3561" t="str">
        <f>IFERROR(INDEX(Formulations[Formulation],MATCH($C3561,Formulations[Product Code],0)),"")</f>
        <v/>
      </c>
    </row>
    <row r="3562" spans="1:7" x14ac:dyDescent="0.3">
      <c r="A3562" t="s">
        <v>2485</v>
      </c>
      <c r="B3562" t="s">
        <v>589</v>
      </c>
      <c r="C3562" t="s">
        <v>590</v>
      </c>
      <c r="D3562" s="7">
        <v>10</v>
      </c>
      <c r="E3562">
        <v>2020</v>
      </c>
      <c r="F3562">
        <v>2020</v>
      </c>
      <c r="G3562" t="str">
        <f>IFERROR(INDEX(Formulations[Formulation],MATCH($C3562,Formulations[Product Code],0)),"")</f>
        <v>Bakhur : A285878- 90%, A243761-10%</v>
      </c>
    </row>
    <row r="3563" spans="1:7" x14ac:dyDescent="0.3">
      <c r="A3563" t="s">
        <v>2485</v>
      </c>
      <c r="B3563" t="s">
        <v>536</v>
      </c>
      <c r="C3563" t="s">
        <v>537</v>
      </c>
      <c r="D3563" s="7">
        <v>10</v>
      </c>
      <c r="E3563">
        <v>2020</v>
      </c>
      <c r="F3563">
        <v>2020</v>
      </c>
      <c r="G3563" t="str">
        <f>IFERROR(INDEX(Formulations[Formulation],MATCH($C3563,Formulations[Product Code],0)),"")</f>
        <v>Silver</v>
      </c>
    </row>
    <row r="3564" spans="1:7" x14ac:dyDescent="0.3">
      <c r="A3564" t="s">
        <v>2491</v>
      </c>
      <c r="B3564" t="s">
        <v>863</v>
      </c>
      <c r="D3564" s="7">
        <v>10</v>
      </c>
      <c r="E3564">
        <v>2015</v>
      </c>
      <c r="F3564">
        <v>2018</v>
      </c>
      <c r="G3564" t="str">
        <f>IFERROR(INDEX(Formulations[Formulation],MATCH($C3564,Formulations[Product Code],0)),"")</f>
        <v/>
      </c>
    </row>
    <row r="3565" spans="1:7" x14ac:dyDescent="0.3">
      <c r="A3565" t="s">
        <v>2496</v>
      </c>
      <c r="B3565" t="s">
        <v>453</v>
      </c>
      <c r="D3565" s="7">
        <v>10</v>
      </c>
      <c r="E3565">
        <v>2019</v>
      </c>
      <c r="F3565">
        <v>2019</v>
      </c>
      <c r="G3565" t="str">
        <f>IFERROR(INDEX(Formulations[Formulation],MATCH($C3565,Formulations[Product Code],0)),"")</f>
        <v/>
      </c>
    </row>
    <row r="3566" spans="1:7" x14ac:dyDescent="0.3">
      <c r="A3566" t="s">
        <v>2504</v>
      </c>
      <c r="B3566" t="s">
        <v>1021</v>
      </c>
      <c r="C3566" t="s">
        <v>1022</v>
      </c>
      <c r="D3566" s="7">
        <v>10</v>
      </c>
      <c r="E3566">
        <v>2019</v>
      </c>
      <c r="F3566">
        <v>2019</v>
      </c>
      <c r="G3566" t="str">
        <f>IFERROR(INDEX(Formulations[Formulation],MATCH($C3566,Formulations[Product Code],0)),"")</f>
        <v>Silver</v>
      </c>
    </row>
    <row r="3567" spans="1:7" x14ac:dyDescent="0.3">
      <c r="A3567" t="s">
        <v>2515</v>
      </c>
      <c r="B3567" t="s">
        <v>37</v>
      </c>
      <c r="D3567" s="7">
        <v>10</v>
      </c>
      <c r="E3567">
        <v>2020</v>
      </c>
      <c r="F3567">
        <v>2020</v>
      </c>
      <c r="G3567" t="str">
        <f>IFERROR(INDEX(Formulations[Formulation],MATCH($C3567,Formulations[Product Code],0)),"")</f>
        <v/>
      </c>
    </row>
    <row r="3568" spans="1:7" x14ac:dyDescent="0.3">
      <c r="A3568" t="s">
        <v>2521</v>
      </c>
      <c r="B3568" t="s">
        <v>453</v>
      </c>
      <c r="D3568" s="7">
        <v>10</v>
      </c>
      <c r="E3568">
        <v>2017</v>
      </c>
      <c r="F3568">
        <v>2017</v>
      </c>
      <c r="G3568" t="str">
        <f>IFERROR(INDEX(Formulations[Formulation],MATCH($C3568,Formulations[Product Code],0)),"")</f>
        <v/>
      </c>
    </row>
    <row r="3569" spans="1:7" x14ac:dyDescent="0.3">
      <c r="A3569" t="s">
        <v>2521</v>
      </c>
      <c r="B3569" t="s">
        <v>905</v>
      </c>
      <c r="C3569" t="s">
        <v>906</v>
      </c>
      <c r="D3569" s="7">
        <v>10</v>
      </c>
      <c r="E3569">
        <v>2011</v>
      </c>
      <c r="F3569">
        <v>2011</v>
      </c>
      <c r="G3569" t="str">
        <f>IFERROR(INDEX(Formulations[Formulation],MATCH($C3569,Formulations[Product Code],0)),"")</f>
        <v/>
      </c>
    </row>
    <row r="3570" spans="1:7" x14ac:dyDescent="0.3">
      <c r="A3570" t="s">
        <v>2521</v>
      </c>
      <c r="B3570" t="s">
        <v>461</v>
      </c>
      <c r="D3570" s="7">
        <v>10</v>
      </c>
      <c r="E3570">
        <v>2017</v>
      </c>
      <c r="F3570">
        <v>2017</v>
      </c>
      <c r="G3570" t="str">
        <f>IFERROR(INDEX(Formulations[Formulation],MATCH($C3570,Formulations[Product Code],0)),"")</f>
        <v/>
      </c>
    </row>
    <row r="3571" spans="1:7" x14ac:dyDescent="0.3">
      <c r="A3571" t="s">
        <v>2521</v>
      </c>
      <c r="B3571" t="s">
        <v>37</v>
      </c>
      <c r="D3571" s="7">
        <v>10</v>
      </c>
      <c r="E3571">
        <v>2017</v>
      </c>
      <c r="F3571">
        <v>2017</v>
      </c>
      <c r="G3571" t="str">
        <f>IFERROR(INDEX(Formulations[Formulation],MATCH($C3571,Formulations[Product Code],0)),"")</f>
        <v/>
      </c>
    </row>
    <row r="3572" spans="1:7" x14ac:dyDescent="0.3">
      <c r="A3572" t="s">
        <v>2526</v>
      </c>
      <c r="B3572" t="s">
        <v>251</v>
      </c>
      <c r="C3572" t="s">
        <v>207</v>
      </c>
      <c r="D3572" s="7">
        <v>10</v>
      </c>
      <c r="E3572">
        <v>2020</v>
      </c>
      <c r="F3572">
        <v>2020</v>
      </c>
      <c r="G3572" t="str">
        <f>IFERROR(INDEX(Formulations[Formulation],MATCH($C3572,Formulations[Product Code],0)),"")</f>
        <v/>
      </c>
    </row>
    <row r="3573" spans="1:7" x14ac:dyDescent="0.3">
      <c r="A3573" t="s">
        <v>2526</v>
      </c>
      <c r="B3573" t="s">
        <v>677</v>
      </c>
      <c r="C3573" t="s">
        <v>678</v>
      </c>
      <c r="D3573" s="7">
        <v>10</v>
      </c>
      <c r="E3573">
        <v>2020</v>
      </c>
      <c r="F3573">
        <v>2020</v>
      </c>
      <c r="G3573" t="str">
        <f>IFERROR(INDEX(Formulations[Formulation],MATCH($C3573,Formulations[Product Code],0)),"")</f>
        <v>Pure</v>
      </c>
    </row>
    <row r="3574" spans="1:7" x14ac:dyDescent="0.3">
      <c r="A3574" t="s">
        <v>2532</v>
      </c>
      <c r="B3574" t="s">
        <v>476</v>
      </c>
      <c r="C3574" t="s">
        <v>477</v>
      </c>
      <c r="D3574" s="7">
        <v>10</v>
      </c>
      <c r="E3574">
        <v>2019</v>
      </c>
      <c r="F3574">
        <v>2019</v>
      </c>
      <c r="G3574" t="str">
        <f>IFERROR(INDEX(Formulations[Formulation],MATCH($C3574,Formulations[Product Code],0)),"")</f>
        <v/>
      </c>
    </row>
    <row r="3575" spans="1:7" x14ac:dyDescent="0.3">
      <c r="A3575" t="s">
        <v>2534</v>
      </c>
      <c r="B3575" t="s">
        <v>610</v>
      </c>
      <c r="C3575" t="s">
        <v>611</v>
      </c>
      <c r="D3575" s="7">
        <v>10</v>
      </c>
      <c r="E3575">
        <v>2018</v>
      </c>
      <c r="F3575">
        <v>2018</v>
      </c>
      <c r="G3575" t="str">
        <f>IFERROR(INDEX(Formulations[Formulation],MATCH($C3575,Formulations[Product Code],0)),"")</f>
        <v/>
      </c>
    </row>
    <row r="3576" spans="1:7" x14ac:dyDescent="0.3">
      <c r="A3576" t="s">
        <v>2534</v>
      </c>
      <c r="B3576" t="s">
        <v>349</v>
      </c>
      <c r="C3576" t="s">
        <v>350</v>
      </c>
      <c r="D3576" s="7">
        <v>10</v>
      </c>
      <c r="E3576">
        <v>2018</v>
      </c>
      <c r="F3576">
        <v>2018</v>
      </c>
      <c r="G3576" t="str">
        <f>IFERROR(INDEX(Formulations[Formulation],MATCH($C3576,Formulations[Product Code],0)),"")</f>
        <v/>
      </c>
    </row>
    <row r="3577" spans="1:7" x14ac:dyDescent="0.3">
      <c r="A3577" t="s">
        <v>2534</v>
      </c>
      <c r="B3577" t="s">
        <v>649</v>
      </c>
      <c r="C3577" t="s">
        <v>650</v>
      </c>
      <c r="D3577" s="7">
        <v>10</v>
      </c>
      <c r="E3577">
        <v>2018</v>
      </c>
      <c r="F3577">
        <v>2018</v>
      </c>
      <c r="G3577" t="str">
        <f>IFERROR(INDEX(Formulations[Formulation],MATCH($C3577,Formulations[Product Code],0)),"")</f>
        <v>Pure</v>
      </c>
    </row>
    <row r="3578" spans="1:7" x14ac:dyDescent="0.3">
      <c r="A3578" t="s">
        <v>2534</v>
      </c>
      <c r="B3578" t="s">
        <v>1109</v>
      </c>
      <c r="C3578" t="s">
        <v>1026</v>
      </c>
      <c r="D3578" s="7">
        <v>10</v>
      </c>
      <c r="E3578">
        <v>2018</v>
      </c>
      <c r="F3578">
        <v>2018</v>
      </c>
      <c r="G3578" t="str">
        <f>IFERROR(INDEX(Formulations[Formulation],MATCH($C3578,Formulations[Product Code],0)),"")</f>
        <v/>
      </c>
    </row>
    <row r="3579" spans="1:7" x14ac:dyDescent="0.3">
      <c r="A3579" t="s">
        <v>2535</v>
      </c>
      <c r="B3579" t="s">
        <v>863</v>
      </c>
      <c r="D3579" s="7">
        <v>10</v>
      </c>
      <c r="E3579">
        <v>2015</v>
      </c>
      <c r="F3579">
        <v>2015</v>
      </c>
      <c r="G3579" t="str">
        <f>IFERROR(INDEX(Formulations[Formulation],MATCH($C3579,Formulations[Product Code],0)),"")</f>
        <v/>
      </c>
    </row>
    <row r="3580" spans="1:7" x14ac:dyDescent="0.3">
      <c r="A3580" t="s">
        <v>2548</v>
      </c>
      <c r="B3580" t="s">
        <v>404</v>
      </c>
      <c r="C3580" t="s">
        <v>405</v>
      </c>
      <c r="D3580" s="7">
        <v>10</v>
      </c>
      <c r="E3580">
        <v>2019</v>
      </c>
      <c r="F3580">
        <v>2019</v>
      </c>
      <c r="G3580" t="str">
        <f>IFERROR(INDEX(Formulations[Formulation],MATCH($C3580,Formulations[Product Code],0)),"")</f>
        <v/>
      </c>
    </row>
    <row r="3581" spans="1:7" x14ac:dyDescent="0.3">
      <c r="A3581" t="s">
        <v>2553</v>
      </c>
      <c r="B3581" t="s">
        <v>26</v>
      </c>
      <c r="C3581" t="s">
        <v>27</v>
      </c>
      <c r="D3581" s="7">
        <v>10</v>
      </c>
      <c r="E3581">
        <v>2015</v>
      </c>
      <c r="F3581">
        <v>2015</v>
      </c>
      <c r="G3581" t="str">
        <f>IFERROR(INDEX(Formulations[Formulation],MATCH($C3581,Formulations[Product Code],0)),"")</f>
        <v>FLOURAMAX A270578/ P782894</v>
      </c>
    </row>
    <row r="3582" spans="1:7" x14ac:dyDescent="0.3">
      <c r="A3582" t="s">
        <v>2554</v>
      </c>
      <c r="B3582" t="s">
        <v>719</v>
      </c>
      <c r="C3582" t="s">
        <v>925</v>
      </c>
      <c r="D3582" s="7">
        <v>10</v>
      </c>
      <c r="E3582">
        <v>2018</v>
      </c>
      <c r="F3582">
        <v>2018</v>
      </c>
      <c r="G3582" t="str">
        <f>IFERROR(INDEX(Formulations[Formulation],MATCH($C3582,Formulations[Product Code],0)),"")</f>
        <v/>
      </c>
    </row>
    <row r="3583" spans="1:7" x14ac:dyDescent="0.3">
      <c r="A3583" t="s">
        <v>2554</v>
      </c>
      <c r="B3583" t="s">
        <v>46</v>
      </c>
      <c r="C3583" t="s">
        <v>47</v>
      </c>
      <c r="D3583" s="7">
        <v>10</v>
      </c>
      <c r="E3583">
        <v>2019</v>
      </c>
      <c r="F3583">
        <v>2019</v>
      </c>
      <c r="G3583" t="str">
        <f>IFERROR(INDEX(Formulations[Formulation],MATCH($C3583,Formulations[Product Code],0)),"")</f>
        <v/>
      </c>
    </row>
    <row r="3584" spans="1:7" x14ac:dyDescent="0.3">
      <c r="A3584" t="s">
        <v>2557</v>
      </c>
      <c r="B3584" t="s">
        <v>668</v>
      </c>
      <c r="C3584" t="s">
        <v>669</v>
      </c>
      <c r="D3584" s="7">
        <v>10</v>
      </c>
      <c r="E3584">
        <v>2020</v>
      </c>
      <c r="F3584">
        <v>2020</v>
      </c>
      <c r="G3584" t="str">
        <f>IFERROR(INDEX(Formulations[Formulation],MATCH($C3584,Formulations[Product Code],0)),"")</f>
        <v>Crystal</v>
      </c>
    </row>
    <row r="3585" spans="1:7" x14ac:dyDescent="0.3">
      <c r="A3585" t="s">
        <v>2557</v>
      </c>
      <c r="B3585" t="s">
        <v>334</v>
      </c>
      <c r="C3585" t="s">
        <v>335</v>
      </c>
      <c r="D3585" s="7">
        <v>10</v>
      </c>
      <c r="E3585">
        <v>2020</v>
      </c>
      <c r="F3585">
        <v>2020</v>
      </c>
      <c r="G3585" t="str">
        <f>IFERROR(INDEX(Formulations[Formulation],MATCH($C3585,Formulations[Product Code],0)),"")</f>
        <v>Pure</v>
      </c>
    </row>
    <row r="3586" spans="1:7" x14ac:dyDescent="0.3">
      <c r="A3586" t="s">
        <v>2557</v>
      </c>
      <c r="B3586" t="s">
        <v>674</v>
      </c>
      <c r="C3586" t="s">
        <v>675</v>
      </c>
      <c r="D3586" s="7">
        <v>10</v>
      </c>
      <c r="E3586">
        <v>2020</v>
      </c>
      <c r="F3586">
        <v>2020</v>
      </c>
      <c r="G3586" t="str">
        <f>IFERROR(INDEX(Formulations[Formulation],MATCH($C3586,Formulations[Product Code],0)),"")</f>
        <v>Crystal</v>
      </c>
    </row>
    <row r="3587" spans="1:7" x14ac:dyDescent="0.3">
      <c r="A3587" t="s">
        <v>2572</v>
      </c>
      <c r="B3587" t="s">
        <v>1208</v>
      </c>
      <c r="C3587" t="s">
        <v>1209</v>
      </c>
      <c r="D3587" s="7">
        <v>10</v>
      </c>
      <c r="E3587">
        <v>2015</v>
      </c>
      <c r="F3587">
        <v>2015</v>
      </c>
      <c r="G3587" t="str">
        <f>IFERROR(INDEX(Formulations[Formulation],MATCH($C3587,Formulations[Product Code],0)),"")</f>
        <v/>
      </c>
    </row>
    <row r="3588" spans="1:7" x14ac:dyDescent="0.3">
      <c r="A3588" t="s">
        <v>2574</v>
      </c>
      <c r="B3588" t="s">
        <v>297</v>
      </c>
      <c r="C3588" t="s">
        <v>298</v>
      </c>
      <c r="D3588" s="7">
        <v>10</v>
      </c>
      <c r="E3588">
        <v>2017</v>
      </c>
      <c r="F3588">
        <v>2017</v>
      </c>
      <c r="G3588" t="str">
        <f>IFERROR(INDEX(Formulations[Formulation],MATCH($C3588,Formulations[Product Code],0)),"")</f>
        <v>Pure</v>
      </c>
    </row>
    <row r="3589" spans="1:7" x14ac:dyDescent="0.3">
      <c r="A3589" t="s">
        <v>2574</v>
      </c>
      <c r="B3589" t="s">
        <v>518</v>
      </c>
      <c r="C3589" t="s">
        <v>519</v>
      </c>
      <c r="D3589" s="7">
        <v>10</v>
      </c>
      <c r="E3589">
        <v>2019</v>
      </c>
      <c r="F3589">
        <v>2019</v>
      </c>
      <c r="G3589" t="str">
        <f>IFERROR(INDEX(Formulations[Formulation],MATCH($C3589,Formulations[Product Code],0)),"")</f>
        <v>Pure</v>
      </c>
    </row>
    <row r="3590" spans="1:7" x14ac:dyDescent="0.3">
      <c r="A3590" t="s">
        <v>2577</v>
      </c>
      <c r="B3590" t="s">
        <v>37</v>
      </c>
      <c r="D3590" s="7">
        <v>10</v>
      </c>
      <c r="E3590">
        <v>2018</v>
      </c>
      <c r="F3590">
        <v>2018</v>
      </c>
      <c r="G3590" t="str">
        <f>IFERROR(INDEX(Formulations[Formulation],MATCH($C3590,Formulations[Product Code],0)),"")</f>
        <v/>
      </c>
    </row>
    <row r="3591" spans="1:7" x14ac:dyDescent="0.3">
      <c r="A3591" t="s">
        <v>2591</v>
      </c>
      <c r="B3591" t="s">
        <v>438</v>
      </c>
      <c r="C3591" t="s">
        <v>439</v>
      </c>
      <c r="D3591" s="7">
        <v>10</v>
      </c>
      <c r="E3591">
        <v>2018</v>
      </c>
      <c r="F3591">
        <v>2018</v>
      </c>
      <c r="G3591" t="str">
        <f>IFERROR(INDEX(Formulations[Formulation],MATCH($C3591,Formulations[Product Code],0)),"")</f>
        <v>Pure</v>
      </c>
    </row>
    <row r="3592" spans="1:7" x14ac:dyDescent="0.3">
      <c r="A3592" t="s">
        <v>2596</v>
      </c>
      <c r="B3592" t="s">
        <v>2599</v>
      </c>
      <c r="C3592" t="s">
        <v>2600</v>
      </c>
      <c r="D3592" s="7">
        <v>10</v>
      </c>
      <c r="E3592">
        <v>2012</v>
      </c>
      <c r="F3592">
        <v>2012</v>
      </c>
      <c r="G3592" t="str">
        <f>IFERROR(INDEX(Formulations[Formulation],MATCH($C3592,Formulations[Product Code],0)),"")</f>
        <v/>
      </c>
    </row>
    <row r="3593" spans="1:7" x14ac:dyDescent="0.3">
      <c r="A3593" t="s">
        <v>2596</v>
      </c>
      <c r="B3593" t="s">
        <v>2604</v>
      </c>
      <c r="C3593" t="s">
        <v>2605</v>
      </c>
      <c r="D3593" s="7">
        <v>10</v>
      </c>
      <c r="E3593">
        <v>2011</v>
      </c>
      <c r="F3593">
        <v>2011</v>
      </c>
      <c r="G3593" t="str">
        <f>IFERROR(INDEX(Formulations[Formulation],MATCH($C3593,Formulations[Product Code],0)),"")</f>
        <v/>
      </c>
    </row>
    <row r="3594" spans="1:7" x14ac:dyDescent="0.3">
      <c r="A3594" t="s">
        <v>2596</v>
      </c>
      <c r="B3594" t="s">
        <v>2606</v>
      </c>
      <c r="C3594" t="s">
        <v>2607</v>
      </c>
      <c r="D3594" s="7">
        <v>10</v>
      </c>
      <c r="E3594">
        <v>2010</v>
      </c>
      <c r="F3594">
        <v>2010</v>
      </c>
      <c r="G3594" t="str">
        <f>IFERROR(INDEX(Formulations[Formulation],MATCH($C3594,Formulations[Product Code],0)),"")</f>
        <v/>
      </c>
    </row>
    <row r="3595" spans="1:7" x14ac:dyDescent="0.3">
      <c r="A3595" t="s">
        <v>2596</v>
      </c>
      <c r="B3595" t="s">
        <v>2083</v>
      </c>
      <c r="C3595" t="s">
        <v>123</v>
      </c>
      <c r="D3595" s="7">
        <v>10</v>
      </c>
      <c r="E3595">
        <v>2012</v>
      </c>
      <c r="F3595">
        <v>2012</v>
      </c>
      <c r="G3595" t="str">
        <f>IFERROR(INDEX(Formulations[Formulation],MATCH($C3595,Formulations[Product Code],0)),"")</f>
        <v/>
      </c>
    </row>
    <row r="3596" spans="1:7" x14ac:dyDescent="0.3">
      <c r="A3596" t="s">
        <v>2596</v>
      </c>
      <c r="B3596" t="s">
        <v>2084</v>
      </c>
      <c r="C3596" t="s">
        <v>2085</v>
      </c>
      <c r="D3596" s="7">
        <v>10</v>
      </c>
      <c r="E3596">
        <v>2012</v>
      </c>
      <c r="F3596">
        <v>2012</v>
      </c>
      <c r="G3596" t="str">
        <f>IFERROR(INDEX(Formulations[Formulation],MATCH($C3596,Formulations[Product Code],0)),"")</f>
        <v/>
      </c>
    </row>
    <row r="3597" spans="1:7" x14ac:dyDescent="0.3">
      <c r="A3597" t="s">
        <v>1407</v>
      </c>
      <c r="B3597" t="s">
        <v>1404</v>
      </c>
      <c r="D3597" s="7">
        <v>9.5</v>
      </c>
      <c r="E3597">
        <v>2019</v>
      </c>
      <c r="F3597">
        <v>2021</v>
      </c>
      <c r="G3597" t="str">
        <f>IFERROR(INDEX(Formulations[Formulation],MATCH($C3597,Formulations[Product Code],0)),"")</f>
        <v/>
      </c>
    </row>
    <row r="3598" spans="1:7" x14ac:dyDescent="0.3">
      <c r="A3598" t="s">
        <v>1116</v>
      </c>
      <c r="B3598" t="s">
        <v>839</v>
      </c>
      <c r="C3598" t="s">
        <v>138</v>
      </c>
      <c r="D3598" s="7">
        <v>9</v>
      </c>
      <c r="E3598">
        <v>2021</v>
      </c>
      <c r="F3598">
        <v>2021</v>
      </c>
      <c r="G3598" t="str">
        <f>IFERROR(INDEX(Formulations[Formulation],MATCH($C3598,Formulations[Product Code],0)),"")</f>
        <v>WS</v>
      </c>
    </row>
    <row r="3599" spans="1:7" x14ac:dyDescent="0.3">
      <c r="A3599" t="s">
        <v>1116</v>
      </c>
      <c r="B3599" t="s">
        <v>383</v>
      </c>
      <c r="C3599" t="s">
        <v>385</v>
      </c>
      <c r="D3599" s="7">
        <v>9</v>
      </c>
      <c r="E3599">
        <v>2021</v>
      </c>
      <c r="F3599">
        <v>2021</v>
      </c>
      <c r="G3599" t="str">
        <f>IFERROR(INDEX(Formulations[Formulation],MATCH($C3599,Formulations[Product Code],0)),"")</f>
        <v>Silver</v>
      </c>
    </row>
    <row r="3600" spans="1:7" x14ac:dyDescent="0.3">
      <c r="A3600" t="s">
        <v>1356</v>
      </c>
      <c r="B3600" t="s">
        <v>1361</v>
      </c>
      <c r="C3600" t="s">
        <v>1362</v>
      </c>
      <c r="D3600" s="7">
        <v>9</v>
      </c>
      <c r="E3600">
        <v>2017</v>
      </c>
      <c r="F3600">
        <v>2017</v>
      </c>
      <c r="G3600" t="str">
        <f>IFERROR(INDEX(Formulations[Formulation],MATCH($C3600,Formulations[Product Code],0)),"")</f>
        <v/>
      </c>
    </row>
    <row r="3601" spans="1:7" x14ac:dyDescent="0.3">
      <c r="A3601" t="s">
        <v>1431</v>
      </c>
      <c r="B3601" t="s">
        <v>395</v>
      </c>
      <c r="D3601" s="7">
        <v>9</v>
      </c>
      <c r="E3601">
        <v>2018</v>
      </c>
      <c r="F3601">
        <v>2018</v>
      </c>
      <c r="G3601" t="str">
        <f>IFERROR(INDEX(Formulations[Formulation],MATCH($C3601,Formulations[Product Code],0)),"")</f>
        <v/>
      </c>
    </row>
    <row r="3602" spans="1:7" x14ac:dyDescent="0.3">
      <c r="A3602" t="s">
        <v>1871</v>
      </c>
      <c r="B3602" t="s">
        <v>458</v>
      </c>
      <c r="D3602" s="7">
        <v>9</v>
      </c>
      <c r="E3602">
        <v>2015</v>
      </c>
      <c r="F3602">
        <v>2015</v>
      </c>
      <c r="G3602" t="str">
        <f>IFERROR(INDEX(Formulations[Formulation],MATCH($C3602,Formulations[Product Code],0)),"")</f>
        <v/>
      </c>
    </row>
    <row r="3603" spans="1:7" x14ac:dyDescent="0.3">
      <c r="A3603" t="s">
        <v>1945</v>
      </c>
      <c r="B3603" t="s">
        <v>1936</v>
      </c>
      <c r="C3603" t="s">
        <v>80</v>
      </c>
      <c r="D3603" s="7">
        <v>9</v>
      </c>
      <c r="E3603">
        <v>2019</v>
      </c>
      <c r="F3603">
        <v>2021</v>
      </c>
      <c r="G3603" t="str">
        <f>IFERROR(INDEX(Formulations[Formulation],MATCH($C3603,Formulations[Product Code],0)),"")</f>
        <v>Pure</v>
      </c>
    </row>
    <row r="3604" spans="1:7" x14ac:dyDescent="0.3">
      <c r="A3604" t="s">
        <v>2262</v>
      </c>
      <c r="B3604" t="s">
        <v>553</v>
      </c>
      <c r="C3604" t="s">
        <v>292</v>
      </c>
      <c r="D3604" s="7">
        <v>9</v>
      </c>
      <c r="E3604">
        <v>2017</v>
      </c>
      <c r="F3604">
        <v>2018</v>
      </c>
      <c r="G3604" t="str">
        <f>IFERROR(INDEX(Formulations[Formulation],MATCH($C3604,Formulations[Product Code],0)),"")</f>
        <v/>
      </c>
    </row>
    <row r="3605" spans="1:7" x14ac:dyDescent="0.3">
      <c r="A3605" t="s">
        <v>2262</v>
      </c>
      <c r="B3605" t="s">
        <v>1396</v>
      </c>
      <c r="C3605" t="s">
        <v>613</v>
      </c>
      <c r="D3605" s="7">
        <v>9</v>
      </c>
      <c r="E3605">
        <v>2017</v>
      </c>
      <c r="F3605">
        <v>2019</v>
      </c>
      <c r="G3605" t="str">
        <f>IFERROR(INDEX(Formulations[Formulation],MATCH($C3605,Formulations[Product Code],0)),"")</f>
        <v>Pure</v>
      </c>
    </row>
    <row r="3606" spans="1:7" x14ac:dyDescent="0.3">
      <c r="A3606" t="s">
        <v>2262</v>
      </c>
      <c r="B3606" t="s">
        <v>159</v>
      </c>
      <c r="C3606" t="s">
        <v>160</v>
      </c>
      <c r="D3606" s="7">
        <v>9</v>
      </c>
      <c r="E3606">
        <v>2017</v>
      </c>
      <c r="F3606">
        <v>2018</v>
      </c>
      <c r="G3606" t="str">
        <f>IFERROR(INDEX(Formulations[Formulation],MATCH($C3606,Formulations[Product Code],0)),"")</f>
        <v>Silver</v>
      </c>
    </row>
    <row r="3607" spans="1:7" x14ac:dyDescent="0.3">
      <c r="A3607" t="s">
        <v>2290</v>
      </c>
      <c r="B3607" t="s">
        <v>28</v>
      </c>
      <c r="D3607" s="7">
        <v>9</v>
      </c>
      <c r="E3607">
        <v>2016</v>
      </c>
      <c r="F3607">
        <v>2016</v>
      </c>
      <c r="G3607" t="str">
        <f>IFERROR(INDEX(Formulations[Formulation],MATCH($C3607,Formulations[Product Code],0)),"")</f>
        <v/>
      </c>
    </row>
    <row r="3608" spans="1:7" x14ac:dyDescent="0.3">
      <c r="A3608" t="s">
        <v>2414</v>
      </c>
      <c r="B3608" t="s">
        <v>2415</v>
      </c>
      <c r="D3608" s="7">
        <v>9</v>
      </c>
      <c r="E3608">
        <v>2014</v>
      </c>
      <c r="F3608">
        <v>2014</v>
      </c>
      <c r="G3608" t="str">
        <f>IFERROR(INDEX(Formulations[Formulation],MATCH($C3608,Formulations[Product Code],0)),"")</f>
        <v/>
      </c>
    </row>
    <row r="3609" spans="1:7" x14ac:dyDescent="0.3">
      <c r="A3609" t="s">
        <v>2563</v>
      </c>
      <c r="B3609" t="s">
        <v>28</v>
      </c>
      <c r="D3609" s="7">
        <v>9</v>
      </c>
      <c r="E3609">
        <v>2016</v>
      </c>
      <c r="F3609">
        <v>2016</v>
      </c>
      <c r="G3609" t="str">
        <f>IFERROR(INDEX(Formulations[Formulation],MATCH($C3609,Formulations[Product Code],0)),"")</f>
        <v/>
      </c>
    </row>
    <row r="3610" spans="1:7" x14ac:dyDescent="0.3">
      <c r="A3610" t="s">
        <v>2589</v>
      </c>
      <c r="B3610" t="s">
        <v>135</v>
      </c>
      <c r="C3610" t="s">
        <v>136</v>
      </c>
      <c r="D3610" s="7">
        <v>9</v>
      </c>
      <c r="E3610">
        <v>2015</v>
      </c>
      <c r="F3610">
        <v>2017</v>
      </c>
      <c r="G3610" t="str">
        <f>IFERROR(INDEX(Formulations[Formulation],MATCH($C3610,Formulations[Product Code],0)),"")</f>
        <v/>
      </c>
    </row>
    <row r="3611" spans="1:7" x14ac:dyDescent="0.3">
      <c r="A3611" t="s">
        <v>1958</v>
      </c>
      <c r="B3611" t="s">
        <v>135</v>
      </c>
      <c r="C3611" t="s">
        <v>136</v>
      </c>
      <c r="D3611" s="7">
        <v>8.5</v>
      </c>
      <c r="E3611">
        <v>2015</v>
      </c>
      <c r="F3611">
        <v>2018</v>
      </c>
      <c r="G3611" t="str">
        <f>IFERROR(INDEX(Formulations[Formulation],MATCH($C3611,Formulations[Product Code],0)),"")</f>
        <v/>
      </c>
    </row>
    <row r="3612" spans="1:7" x14ac:dyDescent="0.3">
      <c r="A3612" t="s">
        <v>327</v>
      </c>
      <c r="B3612" t="s">
        <v>135</v>
      </c>
      <c r="C3612" t="s">
        <v>331</v>
      </c>
      <c r="D3612" s="7">
        <v>8.4</v>
      </c>
      <c r="E3612">
        <v>2014</v>
      </c>
      <c r="F3612">
        <v>2014</v>
      </c>
      <c r="G3612" t="str">
        <f>IFERROR(INDEX(Formulations[Formulation],MATCH($C3612,Formulations[Product Code],0)),"")</f>
        <v>35% oil</v>
      </c>
    </row>
    <row r="3613" spans="1:7" x14ac:dyDescent="0.3">
      <c r="A3613" t="s">
        <v>50</v>
      </c>
      <c r="B3613" t="s">
        <v>66</v>
      </c>
      <c r="C3613" t="s">
        <v>67</v>
      </c>
      <c r="D3613" s="7">
        <v>8</v>
      </c>
      <c r="E3613">
        <v>2019</v>
      </c>
      <c r="F3613">
        <v>2020</v>
      </c>
      <c r="G3613" t="str">
        <f>IFERROR(INDEX(Formulations[Formulation],MATCH($C3613,Formulations[Product Code],0)),"")</f>
        <v>Pure</v>
      </c>
    </row>
    <row r="3614" spans="1:7" x14ac:dyDescent="0.3">
      <c r="A3614" t="s">
        <v>580</v>
      </c>
      <c r="B3614" t="s">
        <v>395</v>
      </c>
      <c r="D3614" s="7">
        <v>8</v>
      </c>
      <c r="E3614">
        <v>2018</v>
      </c>
      <c r="F3614">
        <v>2019</v>
      </c>
      <c r="G3614" t="str">
        <f>IFERROR(INDEX(Formulations[Formulation],MATCH($C3614,Formulations[Product Code],0)),"")</f>
        <v/>
      </c>
    </row>
    <row r="3615" spans="1:7" x14ac:dyDescent="0.3">
      <c r="A3615" t="s">
        <v>1212</v>
      </c>
      <c r="B3615" t="s">
        <v>153</v>
      </c>
      <c r="C3615" t="s">
        <v>154</v>
      </c>
      <c r="D3615" s="7">
        <v>8</v>
      </c>
      <c r="E3615">
        <v>2020</v>
      </c>
      <c r="F3615">
        <v>2020</v>
      </c>
      <c r="G3615" t="str">
        <f>IFERROR(INDEX(Formulations[Formulation],MATCH($C3615,Formulations[Product Code],0)),"")</f>
        <v>Pure</v>
      </c>
    </row>
    <row r="3616" spans="1:7" x14ac:dyDescent="0.3">
      <c r="A3616" t="s">
        <v>1356</v>
      </c>
      <c r="B3616" t="s">
        <v>299</v>
      </c>
      <c r="C3616" t="s">
        <v>300</v>
      </c>
      <c r="D3616" s="7">
        <v>8</v>
      </c>
      <c r="E3616">
        <v>2011</v>
      </c>
      <c r="F3616">
        <v>2017</v>
      </c>
      <c r="G3616" t="str">
        <f>IFERROR(INDEX(Formulations[Formulation],MATCH($C3616,Formulations[Product Code],0)),"")</f>
        <v/>
      </c>
    </row>
    <row r="3617" spans="1:7" x14ac:dyDescent="0.3">
      <c r="A3617" t="s">
        <v>1374</v>
      </c>
      <c r="B3617" t="s">
        <v>1367</v>
      </c>
      <c r="C3617" t="s">
        <v>1368</v>
      </c>
      <c r="D3617" s="7">
        <v>8</v>
      </c>
      <c r="E3617">
        <v>2018</v>
      </c>
      <c r="F3617">
        <v>2019</v>
      </c>
      <c r="G3617" t="str">
        <f>IFERROR(INDEX(Formulations[Formulation],MATCH($C3617,Formulations[Product Code],0)),"")</f>
        <v>Pure</v>
      </c>
    </row>
    <row r="3618" spans="1:7" x14ac:dyDescent="0.3">
      <c r="A3618" t="s">
        <v>1374</v>
      </c>
      <c r="B3618" t="s">
        <v>72</v>
      </c>
      <c r="C3618" t="s">
        <v>73</v>
      </c>
      <c r="D3618" s="7">
        <v>8</v>
      </c>
      <c r="E3618">
        <v>2018</v>
      </c>
      <c r="F3618">
        <v>2018</v>
      </c>
      <c r="G3618" t="str">
        <f>IFERROR(INDEX(Formulations[Formulation],MATCH($C3618,Formulations[Product Code],0)),"")</f>
        <v>Silver</v>
      </c>
    </row>
    <row r="3619" spans="1:7" x14ac:dyDescent="0.3">
      <c r="A3619" t="s">
        <v>1374</v>
      </c>
      <c r="B3619" t="s">
        <v>1394</v>
      </c>
      <c r="C3619" t="s">
        <v>1395</v>
      </c>
      <c r="D3619" s="7">
        <v>8</v>
      </c>
      <c r="E3619">
        <v>2018</v>
      </c>
      <c r="F3619">
        <v>2018</v>
      </c>
      <c r="G3619" t="str">
        <f>IFERROR(INDEX(Formulations[Formulation],MATCH($C3619,Formulations[Product Code],0)),"")</f>
        <v/>
      </c>
    </row>
    <row r="3620" spans="1:7" x14ac:dyDescent="0.3">
      <c r="A3620" t="s">
        <v>1407</v>
      </c>
      <c r="B3620" t="s">
        <v>1418</v>
      </c>
      <c r="C3620" t="s">
        <v>224</v>
      </c>
      <c r="D3620" s="7">
        <v>8</v>
      </c>
      <c r="E3620">
        <v>2019</v>
      </c>
      <c r="F3620">
        <v>2019</v>
      </c>
      <c r="G3620" t="str">
        <f>IFERROR(INDEX(Formulations[Formulation],MATCH($C3620,Formulations[Product Code],0)),"")</f>
        <v/>
      </c>
    </row>
    <row r="3621" spans="1:7" x14ac:dyDescent="0.3">
      <c r="A3621" t="s">
        <v>1848</v>
      </c>
      <c r="B3621" t="s">
        <v>1128</v>
      </c>
      <c r="C3621" t="s">
        <v>1129</v>
      </c>
      <c r="D3621" s="7">
        <v>8</v>
      </c>
      <c r="E3621">
        <v>2020</v>
      </c>
      <c r="F3621">
        <v>2021</v>
      </c>
      <c r="G3621" t="str">
        <f>IFERROR(INDEX(Formulations[Formulation],MATCH($C3621,Formulations[Product Code],0)),"")</f>
        <v>Silver</v>
      </c>
    </row>
    <row r="3622" spans="1:7" x14ac:dyDescent="0.3">
      <c r="A3622" t="s">
        <v>1901</v>
      </c>
      <c r="B3622" t="s">
        <v>942</v>
      </c>
      <c r="C3622" t="s">
        <v>943</v>
      </c>
      <c r="D3622" s="7">
        <v>8</v>
      </c>
      <c r="E3622">
        <v>2015</v>
      </c>
      <c r="F3622">
        <v>2017</v>
      </c>
      <c r="G3622" t="str">
        <f>IFERROR(INDEX(Formulations[Formulation],MATCH($C3622,Formulations[Product Code],0)),"")</f>
        <v>Red Grape A299992 (Red Grape 50%/Rasberry 50%)</v>
      </c>
    </row>
    <row r="3623" spans="1:7" x14ac:dyDescent="0.3">
      <c r="A3623" t="s">
        <v>1901</v>
      </c>
      <c r="B3623" t="s">
        <v>679</v>
      </c>
      <c r="C3623" t="s">
        <v>680</v>
      </c>
      <c r="D3623" s="7">
        <v>8</v>
      </c>
      <c r="E3623">
        <v>2020</v>
      </c>
      <c r="F3623">
        <v>2021</v>
      </c>
      <c r="G3623" t="str">
        <f>IFERROR(INDEX(Formulations[Formulation],MATCH($C3623,Formulations[Product Code],0)),"")</f>
        <v>Crystal</v>
      </c>
    </row>
    <row r="3624" spans="1:7" x14ac:dyDescent="0.3">
      <c r="A3624" t="s">
        <v>1901</v>
      </c>
      <c r="B3624" t="s">
        <v>1155</v>
      </c>
      <c r="C3624" t="s">
        <v>1156</v>
      </c>
      <c r="D3624" s="7">
        <v>8</v>
      </c>
      <c r="E3624">
        <v>2020</v>
      </c>
      <c r="F3624">
        <v>2020</v>
      </c>
      <c r="G3624" t="str">
        <f>IFERROR(INDEX(Formulations[Formulation],MATCH($C3624,Formulations[Product Code],0)),"")</f>
        <v/>
      </c>
    </row>
    <row r="3625" spans="1:7" x14ac:dyDescent="0.3">
      <c r="A3625" t="s">
        <v>1933</v>
      </c>
      <c r="B3625" t="s">
        <v>1934</v>
      </c>
      <c r="C3625" t="s">
        <v>638</v>
      </c>
      <c r="D3625" s="7">
        <v>8</v>
      </c>
      <c r="E3625">
        <v>2019</v>
      </c>
      <c r="F3625">
        <v>2019</v>
      </c>
      <c r="G3625" t="str">
        <f>IFERROR(INDEX(Formulations[Formulation],MATCH($C3625,Formulations[Product Code],0)),"")</f>
        <v>Pure</v>
      </c>
    </row>
    <row r="3626" spans="1:7" x14ac:dyDescent="0.3">
      <c r="A3626" t="s">
        <v>1945</v>
      </c>
      <c r="B3626" t="s">
        <v>258</v>
      </c>
      <c r="C3626" t="s">
        <v>259</v>
      </c>
      <c r="D3626" s="7">
        <v>8</v>
      </c>
      <c r="E3626">
        <v>2018</v>
      </c>
      <c r="F3626">
        <v>2019</v>
      </c>
      <c r="G3626" t="str">
        <f>IFERROR(INDEX(Formulations[Formulation],MATCH($C3626,Formulations[Product Code],0)),"")</f>
        <v>Pure</v>
      </c>
    </row>
    <row r="3627" spans="1:7" x14ac:dyDescent="0.3">
      <c r="A3627" t="s">
        <v>2054</v>
      </c>
      <c r="B3627" t="s">
        <v>29</v>
      </c>
      <c r="D3627" s="7">
        <v>8</v>
      </c>
      <c r="E3627">
        <v>2016</v>
      </c>
      <c r="F3627">
        <v>2016</v>
      </c>
      <c r="G3627" t="str">
        <f>IFERROR(INDEX(Formulations[Formulation],MATCH($C3627,Formulations[Product Code],0)),"")</f>
        <v/>
      </c>
    </row>
    <row r="3628" spans="1:7" x14ac:dyDescent="0.3">
      <c r="A3628" t="s">
        <v>2113</v>
      </c>
      <c r="B3628" t="s">
        <v>823</v>
      </c>
      <c r="C3628" t="s">
        <v>52</v>
      </c>
      <c r="D3628" s="7">
        <v>8</v>
      </c>
      <c r="E3628">
        <v>2016</v>
      </c>
      <c r="F3628">
        <v>2016</v>
      </c>
      <c r="G3628" t="str">
        <f>IFERROR(INDEX(Formulations[Formulation],MATCH($C3628,Formulations[Product Code],0)),"")</f>
        <v>Silver</v>
      </c>
    </row>
    <row r="3629" spans="1:7" x14ac:dyDescent="0.3">
      <c r="A3629" t="s">
        <v>2120</v>
      </c>
      <c r="B3629" t="s">
        <v>288</v>
      </c>
      <c r="C3629" t="s">
        <v>289</v>
      </c>
      <c r="D3629" s="7">
        <v>8</v>
      </c>
      <c r="E3629">
        <v>2016</v>
      </c>
      <c r="F3629">
        <v>2018</v>
      </c>
      <c r="G3629" t="str">
        <f>IFERROR(INDEX(Formulations[Formulation],MATCH($C3629,Formulations[Product Code],0)),"")</f>
        <v>L1212 Blanc by Lacoste (M) CP19035 -  (60%l1212) creed silver mountain 40% than make gold</v>
      </c>
    </row>
    <row r="3630" spans="1:7" x14ac:dyDescent="0.3">
      <c r="A3630" t="s">
        <v>2123</v>
      </c>
      <c r="B3630" t="s">
        <v>395</v>
      </c>
      <c r="D3630" s="7">
        <v>8</v>
      </c>
      <c r="E3630">
        <v>2017</v>
      </c>
      <c r="F3630">
        <v>2018</v>
      </c>
      <c r="G3630" t="str">
        <f>IFERROR(INDEX(Formulations[Formulation],MATCH($C3630,Formulations[Product Code],0)),"")</f>
        <v/>
      </c>
    </row>
    <row r="3631" spans="1:7" x14ac:dyDescent="0.3">
      <c r="A3631" t="s">
        <v>2452</v>
      </c>
      <c r="B3631" t="s">
        <v>761</v>
      </c>
      <c r="D3631" s="7">
        <v>8</v>
      </c>
      <c r="E3631">
        <v>2017</v>
      </c>
      <c r="F3631">
        <v>2017</v>
      </c>
      <c r="G3631" t="str">
        <f>IFERROR(INDEX(Formulations[Formulation],MATCH($C3631,Formulations[Product Code],0)),"")</f>
        <v/>
      </c>
    </row>
    <row r="3632" spans="1:7" x14ac:dyDescent="0.3">
      <c r="A3632" t="s">
        <v>78</v>
      </c>
      <c r="B3632" t="s">
        <v>153</v>
      </c>
      <c r="C3632" t="s">
        <v>154</v>
      </c>
      <c r="D3632" s="7">
        <v>7.5</v>
      </c>
      <c r="E3632">
        <v>2016</v>
      </c>
      <c r="F3632">
        <v>2021</v>
      </c>
      <c r="G3632" t="str">
        <f>IFERROR(INDEX(Formulations[Formulation],MATCH($C3632,Formulations[Product Code],0)),"")</f>
        <v>Pure</v>
      </c>
    </row>
    <row r="3633" spans="1:7" x14ac:dyDescent="0.3">
      <c r="A3633" t="s">
        <v>502</v>
      </c>
      <c r="B3633" t="s">
        <v>520</v>
      </c>
      <c r="C3633" t="s">
        <v>521</v>
      </c>
      <c r="D3633" s="7">
        <v>7.5</v>
      </c>
      <c r="E3633">
        <v>2017</v>
      </c>
      <c r="F3633">
        <v>2019</v>
      </c>
      <c r="G3633" t="str">
        <f>IFERROR(INDEX(Formulations[Formulation],MATCH($C3633,Formulations[Product Code],0)),"")</f>
        <v/>
      </c>
    </row>
    <row r="3634" spans="1:7" x14ac:dyDescent="0.3">
      <c r="A3634" t="s">
        <v>1407</v>
      </c>
      <c r="B3634" t="s">
        <v>1405</v>
      </c>
      <c r="C3634" t="s">
        <v>1406</v>
      </c>
      <c r="D3634" s="7">
        <v>7.5</v>
      </c>
      <c r="E3634">
        <v>2019</v>
      </c>
      <c r="F3634">
        <v>2021</v>
      </c>
      <c r="G3634" t="str">
        <f>IFERROR(INDEX(Formulations[Formulation],MATCH($C3634,Formulations[Product Code],0)),"")</f>
        <v>Silver</v>
      </c>
    </row>
    <row r="3635" spans="1:7" x14ac:dyDescent="0.3">
      <c r="A3635" t="s">
        <v>50</v>
      </c>
      <c r="B3635" t="s">
        <v>51</v>
      </c>
      <c r="C3635" t="s">
        <v>52</v>
      </c>
      <c r="D3635" s="7">
        <v>7</v>
      </c>
      <c r="E3635">
        <v>2018</v>
      </c>
      <c r="F3635">
        <v>2019</v>
      </c>
      <c r="G3635" t="str">
        <f>IFERROR(INDEX(Formulations[Formulation],MATCH($C3635,Formulations[Product Code],0)),"")</f>
        <v>Silver</v>
      </c>
    </row>
    <row r="3636" spans="1:7" x14ac:dyDescent="0.3">
      <c r="A3636" t="s">
        <v>78</v>
      </c>
      <c r="B3636" t="s">
        <v>19</v>
      </c>
      <c r="C3636" t="s">
        <v>20</v>
      </c>
      <c r="D3636" s="7">
        <v>7</v>
      </c>
      <c r="E3636">
        <v>2019</v>
      </c>
      <c r="F3636">
        <v>2020</v>
      </c>
      <c r="G3636" t="str">
        <f>IFERROR(INDEX(Formulations[Formulation],MATCH($C3636,Formulations[Product Code],0)),"")</f>
        <v>80 % Oil AND 20 % DPG</v>
      </c>
    </row>
    <row r="3637" spans="1:7" x14ac:dyDescent="0.3">
      <c r="A3637" t="s">
        <v>659</v>
      </c>
      <c r="B3637" t="s">
        <v>676</v>
      </c>
      <c r="D3637" s="7">
        <v>7</v>
      </c>
      <c r="E3637">
        <v>2019</v>
      </c>
      <c r="F3637">
        <v>2019</v>
      </c>
      <c r="G3637" t="str">
        <f>IFERROR(INDEX(Formulations[Formulation],MATCH($C3637,Formulations[Product Code],0)),"")</f>
        <v/>
      </c>
    </row>
    <row r="3638" spans="1:7" x14ac:dyDescent="0.3">
      <c r="A3638" t="s">
        <v>685</v>
      </c>
      <c r="B3638" t="s">
        <v>34</v>
      </c>
      <c r="D3638" s="7">
        <v>7</v>
      </c>
      <c r="E3638">
        <v>2019</v>
      </c>
      <c r="F3638">
        <v>2020</v>
      </c>
      <c r="G3638" t="str">
        <f>IFERROR(INDEX(Formulations[Formulation],MATCH($C3638,Formulations[Product Code],0)),"")</f>
        <v/>
      </c>
    </row>
    <row r="3639" spans="1:7" x14ac:dyDescent="0.3">
      <c r="A3639" t="s">
        <v>760</v>
      </c>
      <c r="B3639" t="s">
        <v>240</v>
      </c>
      <c r="D3639" s="7">
        <v>7</v>
      </c>
      <c r="E3639">
        <v>2017</v>
      </c>
      <c r="F3639">
        <v>2018</v>
      </c>
      <c r="G3639" t="str">
        <f>IFERROR(INDEX(Formulations[Formulation],MATCH($C3639,Formulations[Product Code],0)),"")</f>
        <v/>
      </c>
    </row>
    <row r="3640" spans="1:7" x14ac:dyDescent="0.3">
      <c r="A3640" t="s">
        <v>920</v>
      </c>
      <c r="B3640" t="s">
        <v>117</v>
      </c>
      <c r="C3640" t="s">
        <v>118</v>
      </c>
      <c r="D3640" s="7">
        <v>7</v>
      </c>
      <c r="E3640">
        <v>2018</v>
      </c>
      <c r="F3640">
        <v>2018</v>
      </c>
      <c r="G3640" t="str">
        <f>IFERROR(INDEX(Formulations[Formulation],MATCH($C3640,Formulations[Product Code],0)),"")</f>
        <v>Silver</v>
      </c>
    </row>
    <row r="3641" spans="1:7" x14ac:dyDescent="0.3">
      <c r="A3641" t="s">
        <v>1010</v>
      </c>
      <c r="B3641" t="s">
        <v>610</v>
      </c>
      <c r="C3641" t="s">
        <v>611</v>
      </c>
      <c r="D3641" s="7">
        <v>7</v>
      </c>
      <c r="E3641">
        <v>2015</v>
      </c>
      <c r="F3641">
        <v>2017</v>
      </c>
      <c r="G3641" t="str">
        <f>IFERROR(INDEX(Formulations[Formulation],MATCH($C3641,Formulations[Product Code],0)),"")</f>
        <v/>
      </c>
    </row>
    <row r="3642" spans="1:7" x14ac:dyDescent="0.3">
      <c r="A3642" t="s">
        <v>1147</v>
      </c>
      <c r="B3642" t="s">
        <v>538</v>
      </c>
      <c r="C3642" t="s">
        <v>539</v>
      </c>
      <c r="D3642" s="7">
        <v>7</v>
      </c>
      <c r="E3642">
        <v>2018</v>
      </c>
      <c r="F3642">
        <v>2018</v>
      </c>
      <c r="G3642" t="str">
        <f>IFERROR(INDEX(Formulations[Formulation],MATCH($C3642,Formulations[Product Code],0)),"")</f>
        <v>Gold</v>
      </c>
    </row>
    <row r="3643" spans="1:7" x14ac:dyDescent="0.3">
      <c r="A3643" t="s">
        <v>1374</v>
      </c>
      <c r="B3643" t="s">
        <v>543</v>
      </c>
      <c r="C3643" t="s">
        <v>544</v>
      </c>
      <c r="D3643" s="7">
        <v>7</v>
      </c>
      <c r="E3643">
        <v>2016</v>
      </c>
      <c r="F3643">
        <v>2019</v>
      </c>
      <c r="G3643" t="str">
        <f>IFERROR(INDEX(Formulations[Formulation],MATCH($C3643,Formulations[Product Code],0)),"")</f>
        <v>Crystal</v>
      </c>
    </row>
    <row r="3644" spans="1:7" x14ac:dyDescent="0.3">
      <c r="A3644" t="s">
        <v>1374</v>
      </c>
      <c r="B3644" t="s">
        <v>236</v>
      </c>
      <c r="C3644" t="s">
        <v>237</v>
      </c>
      <c r="D3644" s="7">
        <v>7</v>
      </c>
      <c r="E3644">
        <v>2015</v>
      </c>
      <c r="F3644">
        <v>2018</v>
      </c>
      <c r="G3644" t="str">
        <f>IFERROR(INDEX(Formulations[Formulation],MATCH($C3644,Formulations[Product Code],0)),"")</f>
        <v>Body by Burberry (F) CP00861 60%, Pacific Paradise 30%, Supreme bouqet 10%, than make gold</v>
      </c>
    </row>
    <row r="3645" spans="1:7" x14ac:dyDescent="0.3">
      <c r="A3645" t="s">
        <v>1407</v>
      </c>
      <c r="B3645" t="s">
        <v>258</v>
      </c>
      <c r="C3645" t="s">
        <v>259</v>
      </c>
      <c r="D3645" s="7">
        <v>7</v>
      </c>
      <c r="E3645">
        <v>2019</v>
      </c>
      <c r="F3645">
        <v>2021</v>
      </c>
      <c r="G3645" t="str">
        <f>IFERROR(INDEX(Formulations[Formulation],MATCH($C3645,Formulations[Product Code],0)),"")</f>
        <v>Pure</v>
      </c>
    </row>
    <row r="3646" spans="1:7" x14ac:dyDescent="0.3">
      <c r="A3646" t="s">
        <v>1407</v>
      </c>
      <c r="B3646" t="s">
        <v>1426</v>
      </c>
      <c r="C3646" t="s">
        <v>209</v>
      </c>
      <c r="D3646" s="7">
        <v>7</v>
      </c>
      <c r="E3646">
        <v>2019</v>
      </c>
      <c r="F3646">
        <v>2019</v>
      </c>
      <c r="G3646" t="str">
        <f>IFERROR(INDEX(Formulations[Formulation],MATCH($C3646,Formulations[Product Code],0)),"")</f>
        <v/>
      </c>
    </row>
    <row r="3647" spans="1:7" x14ac:dyDescent="0.3">
      <c r="A3647" t="s">
        <v>1407</v>
      </c>
      <c r="B3647" t="s">
        <v>72</v>
      </c>
      <c r="C3647" t="s">
        <v>73</v>
      </c>
      <c r="D3647" s="7">
        <v>7</v>
      </c>
      <c r="E3647">
        <v>2019</v>
      </c>
      <c r="F3647">
        <v>2020</v>
      </c>
      <c r="G3647" t="str">
        <f>IFERROR(INDEX(Formulations[Formulation],MATCH($C3647,Formulations[Product Code],0)),"")</f>
        <v>Silver</v>
      </c>
    </row>
    <row r="3648" spans="1:7" x14ac:dyDescent="0.3">
      <c r="A3648" t="s">
        <v>1843</v>
      </c>
      <c r="B3648" t="s">
        <v>263</v>
      </c>
      <c r="C3648" t="s">
        <v>264</v>
      </c>
      <c r="D3648" s="7">
        <v>7</v>
      </c>
      <c r="E3648">
        <v>2019</v>
      </c>
      <c r="F3648">
        <v>2019</v>
      </c>
      <c r="G3648" t="str">
        <f>IFERROR(INDEX(Formulations[Formulation],MATCH($C3648,Formulations[Product Code],0)),"")</f>
        <v>Silver</v>
      </c>
    </row>
    <row r="3649" spans="1:7" x14ac:dyDescent="0.3">
      <c r="A3649" t="s">
        <v>1859</v>
      </c>
      <c r="B3649" t="s">
        <v>483</v>
      </c>
      <c r="C3649" t="s">
        <v>484</v>
      </c>
      <c r="D3649" s="7">
        <v>7</v>
      </c>
      <c r="E3649">
        <v>2019</v>
      </c>
      <c r="F3649">
        <v>2019</v>
      </c>
      <c r="G3649" t="str">
        <f>IFERROR(INDEX(Formulations[Formulation],MATCH($C3649,Formulations[Product Code],0)),"")</f>
        <v>Crystal</v>
      </c>
    </row>
    <row r="3650" spans="1:7" x14ac:dyDescent="0.3">
      <c r="A3650" t="s">
        <v>1873</v>
      </c>
      <c r="B3650" t="s">
        <v>1418</v>
      </c>
      <c r="C3650" t="s">
        <v>224</v>
      </c>
      <c r="D3650" s="7">
        <v>7</v>
      </c>
      <c r="E3650">
        <v>2019</v>
      </c>
      <c r="F3650">
        <v>2019</v>
      </c>
      <c r="G3650" t="str">
        <f>IFERROR(INDEX(Formulations[Formulation],MATCH($C3650,Formulations[Product Code],0)),"")</f>
        <v/>
      </c>
    </row>
    <row r="3651" spans="1:7" x14ac:dyDescent="0.3">
      <c r="A3651" t="s">
        <v>1873</v>
      </c>
      <c r="B3651" t="s">
        <v>203</v>
      </c>
      <c r="C3651" t="s">
        <v>204</v>
      </c>
      <c r="D3651" s="7">
        <v>7</v>
      </c>
      <c r="E3651">
        <v>2019</v>
      </c>
      <c r="F3651">
        <v>2019</v>
      </c>
      <c r="G3651" t="str">
        <f>IFERROR(INDEX(Formulations[Formulation],MATCH($C3651,Formulations[Product Code],0)),"")</f>
        <v/>
      </c>
    </row>
    <row r="3652" spans="1:7" x14ac:dyDescent="0.3">
      <c r="A3652" t="s">
        <v>1901</v>
      </c>
      <c r="B3652" t="s">
        <v>76</v>
      </c>
      <c r="C3652" t="s">
        <v>77</v>
      </c>
      <c r="D3652" s="7">
        <v>7</v>
      </c>
      <c r="E3652">
        <v>2020</v>
      </c>
      <c r="F3652">
        <v>2021</v>
      </c>
      <c r="G3652" t="str">
        <f>IFERROR(INDEX(Formulations[Formulation],MATCH($C3652,Formulations[Product Code],0)),"")</f>
        <v>Silver</v>
      </c>
    </row>
    <row r="3653" spans="1:7" x14ac:dyDescent="0.3">
      <c r="A3653" t="s">
        <v>1932</v>
      </c>
      <c r="B3653" t="s">
        <v>55</v>
      </c>
      <c r="D3653" s="7">
        <v>7</v>
      </c>
      <c r="E3653">
        <v>2018</v>
      </c>
      <c r="F3653">
        <v>2019</v>
      </c>
      <c r="G3653" t="str">
        <f>IFERROR(INDEX(Formulations[Formulation],MATCH($C3653,Formulations[Product Code],0)),"")</f>
        <v/>
      </c>
    </row>
    <row r="3654" spans="1:7" x14ac:dyDescent="0.3">
      <c r="A3654" t="s">
        <v>1945</v>
      </c>
      <c r="B3654" t="s">
        <v>623</v>
      </c>
      <c r="C3654" t="s">
        <v>324</v>
      </c>
      <c r="D3654" s="7">
        <v>7</v>
      </c>
      <c r="E3654">
        <v>2019</v>
      </c>
      <c r="F3654">
        <v>2021</v>
      </c>
      <c r="G3654" t="str">
        <f>IFERROR(INDEX(Formulations[Formulation],MATCH($C3654,Formulations[Product Code],0)),"")</f>
        <v>Pure</v>
      </c>
    </row>
    <row r="3655" spans="1:7" x14ac:dyDescent="0.3">
      <c r="A3655" t="s">
        <v>1945</v>
      </c>
      <c r="B3655" t="s">
        <v>55</v>
      </c>
      <c r="D3655" s="7">
        <v>7</v>
      </c>
      <c r="E3655">
        <v>2019</v>
      </c>
      <c r="F3655">
        <v>2021</v>
      </c>
      <c r="G3655" t="str">
        <f>IFERROR(INDEX(Formulations[Formulation],MATCH($C3655,Formulations[Product Code],0)),"")</f>
        <v/>
      </c>
    </row>
    <row r="3656" spans="1:7" x14ac:dyDescent="0.3">
      <c r="A3656" t="s">
        <v>1945</v>
      </c>
      <c r="B3656" t="s">
        <v>253</v>
      </c>
      <c r="C3656" t="s">
        <v>254</v>
      </c>
      <c r="D3656" s="7">
        <v>7</v>
      </c>
      <c r="E3656">
        <v>2019</v>
      </c>
      <c r="F3656">
        <v>2021</v>
      </c>
      <c r="G3656" t="str">
        <f>IFERROR(INDEX(Formulations[Formulation],MATCH($C3656,Formulations[Product Code],0)),"")</f>
        <v>6kg oil and 19kg DPG</v>
      </c>
    </row>
    <row r="3657" spans="1:7" x14ac:dyDescent="0.3">
      <c r="A3657" t="s">
        <v>2030</v>
      </c>
      <c r="B3657" t="s">
        <v>461</v>
      </c>
      <c r="D3657" s="7">
        <v>7</v>
      </c>
      <c r="E3657">
        <v>2017</v>
      </c>
      <c r="F3657">
        <v>2017</v>
      </c>
      <c r="G3657" t="str">
        <f>IFERROR(INDEX(Formulations[Formulation],MATCH($C3657,Formulations[Product Code],0)),"")</f>
        <v/>
      </c>
    </row>
    <row r="3658" spans="1:7" x14ac:dyDescent="0.3">
      <c r="A3658" t="s">
        <v>2174</v>
      </c>
      <c r="B3658" t="s">
        <v>58</v>
      </c>
      <c r="C3658" t="s">
        <v>59</v>
      </c>
      <c r="D3658" s="7">
        <v>7</v>
      </c>
      <c r="E3658">
        <v>2020</v>
      </c>
      <c r="F3658">
        <v>2020</v>
      </c>
      <c r="G3658" t="str">
        <f>IFERROR(INDEX(Formulations[Formulation],MATCH($C3658,Formulations[Product Code],0)),"")</f>
        <v>Pure</v>
      </c>
    </row>
    <row r="3659" spans="1:7" x14ac:dyDescent="0.3">
      <c r="A3659" t="s">
        <v>2174</v>
      </c>
      <c r="B3659" t="s">
        <v>600</v>
      </c>
      <c r="C3659" t="s">
        <v>75</v>
      </c>
      <c r="D3659" s="7">
        <v>7</v>
      </c>
      <c r="E3659">
        <v>2020</v>
      </c>
      <c r="F3659">
        <v>2020</v>
      </c>
      <c r="G3659" t="str">
        <f>IFERROR(INDEX(Formulations[Formulation],MATCH($C3659,Formulations[Product Code],0)),"")</f>
        <v>Crystal</v>
      </c>
    </row>
    <row r="3660" spans="1:7" x14ac:dyDescent="0.3">
      <c r="A3660" t="s">
        <v>2176</v>
      </c>
      <c r="B3660" t="s">
        <v>1423</v>
      </c>
      <c r="C3660" t="s">
        <v>1424</v>
      </c>
      <c r="D3660" s="7">
        <v>7</v>
      </c>
      <c r="E3660">
        <v>2021</v>
      </c>
      <c r="F3660">
        <v>2021</v>
      </c>
      <c r="G3660" t="str">
        <f>IFERROR(INDEX(Formulations[Formulation],MATCH($C3660,Formulations[Product Code],0)),"")</f>
        <v>Pure</v>
      </c>
    </row>
    <row r="3661" spans="1:7" x14ac:dyDescent="0.3">
      <c r="A3661" t="s">
        <v>2194</v>
      </c>
      <c r="B3661" t="s">
        <v>120</v>
      </c>
      <c r="C3661" t="s">
        <v>121</v>
      </c>
      <c r="D3661" s="7">
        <v>7</v>
      </c>
      <c r="E3661">
        <v>2017</v>
      </c>
      <c r="F3661">
        <v>2018</v>
      </c>
      <c r="G3661" t="str">
        <f>IFERROR(INDEX(Formulations[Formulation],MATCH($C3661,Formulations[Product Code],0)),"")</f>
        <v/>
      </c>
    </row>
    <row r="3662" spans="1:7" x14ac:dyDescent="0.3">
      <c r="A3662" t="s">
        <v>2262</v>
      </c>
      <c r="B3662" t="s">
        <v>581</v>
      </c>
      <c r="C3662" t="s">
        <v>582</v>
      </c>
      <c r="D3662" s="7">
        <v>7</v>
      </c>
      <c r="E3662">
        <v>2017</v>
      </c>
      <c r="F3662">
        <v>2019</v>
      </c>
      <c r="G3662" t="str">
        <f>IFERROR(INDEX(Formulations[Formulation],MATCH($C3662,Formulations[Product Code],0)),"")</f>
        <v/>
      </c>
    </row>
    <row r="3663" spans="1:7" x14ac:dyDescent="0.3">
      <c r="A3663" t="s">
        <v>2262</v>
      </c>
      <c r="B3663" t="s">
        <v>395</v>
      </c>
      <c r="D3663" s="7">
        <v>7</v>
      </c>
      <c r="E3663">
        <v>2017</v>
      </c>
      <c r="F3663">
        <v>2018</v>
      </c>
      <c r="G3663" t="str">
        <f>IFERROR(INDEX(Formulations[Formulation],MATCH($C3663,Formulations[Product Code],0)),"")</f>
        <v/>
      </c>
    </row>
    <row r="3664" spans="1:7" x14ac:dyDescent="0.3">
      <c r="A3664" t="s">
        <v>2262</v>
      </c>
      <c r="B3664" t="s">
        <v>1934</v>
      </c>
      <c r="C3664" t="s">
        <v>638</v>
      </c>
      <c r="D3664" s="7">
        <v>7</v>
      </c>
      <c r="E3664">
        <v>2019</v>
      </c>
      <c r="F3664">
        <v>2019</v>
      </c>
      <c r="G3664" t="str">
        <f>IFERROR(INDEX(Formulations[Formulation],MATCH($C3664,Formulations[Product Code],0)),"")</f>
        <v>Pure</v>
      </c>
    </row>
    <row r="3665" spans="1:7" x14ac:dyDescent="0.3">
      <c r="A3665" t="s">
        <v>2266</v>
      </c>
      <c r="B3665" t="s">
        <v>600</v>
      </c>
      <c r="C3665" t="s">
        <v>75</v>
      </c>
      <c r="D3665" s="7">
        <v>7</v>
      </c>
      <c r="E3665">
        <v>2020</v>
      </c>
      <c r="F3665">
        <v>2020</v>
      </c>
      <c r="G3665" t="str">
        <f>IFERROR(INDEX(Formulations[Formulation],MATCH($C3665,Formulations[Product Code],0)),"")</f>
        <v>Crystal</v>
      </c>
    </row>
    <row r="3666" spans="1:7" x14ac:dyDescent="0.3">
      <c r="A3666" t="s">
        <v>2328</v>
      </c>
      <c r="B3666" t="s">
        <v>103</v>
      </c>
      <c r="C3666" t="s">
        <v>104</v>
      </c>
      <c r="D3666" s="7">
        <v>7</v>
      </c>
      <c r="E3666">
        <v>2017</v>
      </c>
      <c r="F3666">
        <v>2018</v>
      </c>
      <c r="G3666" t="str">
        <f>IFERROR(INDEX(Formulations[Formulation],MATCH($C3666,Formulations[Product Code],0)),"")</f>
        <v>Pure</v>
      </c>
    </row>
    <row r="3667" spans="1:7" x14ac:dyDescent="0.3">
      <c r="A3667" t="s">
        <v>2337</v>
      </c>
      <c r="B3667" t="s">
        <v>240</v>
      </c>
      <c r="D3667" s="7">
        <v>7</v>
      </c>
      <c r="E3667">
        <v>2017</v>
      </c>
      <c r="F3667">
        <v>2017</v>
      </c>
      <c r="G3667" t="str">
        <f>IFERROR(INDEX(Formulations[Formulation],MATCH($C3667,Formulations[Product Code],0)),"")</f>
        <v/>
      </c>
    </row>
    <row r="3668" spans="1:7" x14ac:dyDescent="0.3">
      <c r="A3668" t="s">
        <v>2362</v>
      </c>
      <c r="B3668" t="s">
        <v>228</v>
      </c>
      <c r="C3668" t="s">
        <v>229</v>
      </c>
      <c r="D3668" s="7">
        <v>7</v>
      </c>
      <c r="E3668">
        <v>2018</v>
      </c>
      <c r="F3668">
        <v>2018</v>
      </c>
      <c r="G3668" t="str">
        <f>IFERROR(INDEX(Formulations[Formulation],MATCH($C3668,Formulations[Product Code],0)),"")</f>
        <v>Pure</v>
      </c>
    </row>
    <row r="3669" spans="1:7" x14ac:dyDescent="0.3">
      <c r="A3669" t="s">
        <v>2423</v>
      </c>
      <c r="B3669" t="s">
        <v>60</v>
      </c>
      <c r="C3669" t="s">
        <v>61</v>
      </c>
      <c r="D3669" s="7">
        <v>7</v>
      </c>
      <c r="E3669">
        <v>2017</v>
      </c>
      <c r="F3669">
        <v>2020</v>
      </c>
      <c r="G3669" t="str">
        <f>IFERROR(INDEX(Formulations[Formulation],MATCH($C3669,Formulations[Product Code],0)),"")</f>
        <v>Pure</v>
      </c>
    </row>
    <row r="3670" spans="1:7" x14ac:dyDescent="0.3">
      <c r="A3670" t="s">
        <v>2428</v>
      </c>
      <c r="B3670" t="s">
        <v>516</v>
      </c>
      <c r="D3670" s="7">
        <v>7</v>
      </c>
      <c r="E3670">
        <v>2019</v>
      </c>
      <c r="F3670">
        <v>2019</v>
      </c>
      <c r="G3670" t="str">
        <f>IFERROR(INDEX(Formulations[Formulation],MATCH($C3670,Formulations[Product Code],0)),"")</f>
        <v/>
      </c>
    </row>
    <row r="3671" spans="1:7" x14ac:dyDescent="0.3">
      <c r="A3671" t="s">
        <v>2447</v>
      </c>
      <c r="B3671" t="s">
        <v>263</v>
      </c>
      <c r="C3671" t="s">
        <v>264</v>
      </c>
      <c r="D3671" s="7">
        <v>7</v>
      </c>
      <c r="E3671">
        <v>2019</v>
      </c>
      <c r="F3671">
        <v>2020</v>
      </c>
      <c r="G3671" t="str">
        <f>IFERROR(INDEX(Formulations[Formulation],MATCH($C3671,Formulations[Product Code],0)),"")</f>
        <v>Silver</v>
      </c>
    </row>
    <row r="3672" spans="1:7" x14ac:dyDescent="0.3">
      <c r="A3672" t="s">
        <v>2514</v>
      </c>
      <c r="B3672" t="s">
        <v>2164</v>
      </c>
      <c r="C3672" t="s">
        <v>2165</v>
      </c>
      <c r="D3672" s="7">
        <v>7</v>
      </c>
      <c r="E3672">
        <v>2019</v>
      </c>
      <c r="F3672">
        <v>2020</v>
      </c>
      <c r="G3672" t="str">
        <f>IFERROR(INDEX(Formulations[Formulation],MATCH($C3672,Formulations[Product Code],0)),"")</f>
        <v>Silver</v>
      </c>
    </row>
    <row r="3673" spans="1:7" x14ac:dyDescent="0.3">
      <c r="A3673" t="s">
        <v>2589</v>
      </c>
      <c r="B3673" t="s">
        <v>562</v>
      </c>
      <c r="C3673" t="s">
        <v>563</v>
      </c>
      <c r="D3673" s="7">
        <v>7</v>
      </c>
      <c r="E3673">
        <v>2016</v>
      </c>
      <c r="F3673">
        <v>2017</v>
      </c>
      <c r="G3673" t="str">
        <f>IFERROR(INDEX(Formulations[Formulation],MATCH($C3673,Formulations[Product Code],0)),"")</f>
        <v/>
      </c>
    </row>
    <row r="3674" spans="1:7" x14ac:dyDescent="0.3">
      <c r="A3674" t="s">
        <v>502</v>
      </c>
      <c r="B3674" t="s">
        <v>365</v>
      </c>
      <c r="C3674" t="s">
        <v>96</v>
      </c>
      <c r="D3674" s="7">
        <v>6.5</v>
      </c>
      <c r="E3674">
        <v>2019</v>
      </c>
      <c r="F3674">
        <v>2021</v>
      </c>
      <c r="G3674" t="str">
        <f>IFERROR(INDEX(Formulations[Formulation],MATCH($C3674,Formulations[Product Code],0)),"")</f>
        <v>9.2 kg oil and rest dpg</v>
      </c>
    </row>
    <row r="3675" spans="1:7" x14ac:dyDescent="0.3">
      <c r="A3675" t="s">
        <v>2483</v>
      </c>
      <c r="B3675" t="s">
        <v>642</v>
      </c>
      <c r="D3675" s="7">
        <v>6.3</v>
      </c>
      <c r="E3675">
        <v>2019</v>
      </c>
      <c r="F3675">
        <v>2020</v>
      </c>
      <c r="G3675" t="str">
        <f>IFERROR(INDEX(Formulations[Formulation],MATCH($C3675,Formulations[Product Code],0)),"")</f>
        <v/>
      </c>
    </row>
    <row r="3676" spans="1:7" x14ac:dyDescent="0.3">
      <c r="A3676" t="s">
        <v>273</v>
      </c>
      <c r="B3676" t="s">
        <v>322</v>
      </c>
      <c r="D3676" s="7">
        <v>6</v>
      </c>
      <c r="E3676">
        <v>2013</v>
      </c>
      <c r="F3676">
        <v>2013</v>
      </c>
      <c r="G3676" t="str">
        <f>IFERROR(INDEX(Formulations[Formulation],MATCH($C3676,Formulations[Product Code],0)),"")</f>
        <v/>
      </c>
    </row>
    <row r="3677" spans="1:7" x14ac:dyDescent="0.3">
      <c r="A3677" t="s">
        <v>327</v>
      </c>
      <c r="B3677" t="s">
        <v>297</v>
      </c>
      <c r="C3677" t="s">
        <v>298</v>
      </c>
      <c r="D3677" s="7">
        <v>6</v>
      </c>
      <c r="E3677">
        <v>2014</v>
      </c>
      <c r="F3677">
        <v>2014</v>
      </c>
      <c r="G3677" t="str">
        <f>IFERROR(INDEX(Formulations[Formulation],MATCH($C3677,Formulations[Product Code],0)),"")</f>
        <v>Pure</v>
      </c>
    </row>
    <row r="3678" spans="1:7" x14ac:dyDescent="0.3">
      <c r="A3678" t="s">
        <v>523</v>
      </c>
      <c r="B3678" t="s">
        <v>526</v>
      </c>
      <c r="C3678" t="s">
        <v>527</v>
      </c>
      <c r="D3678" s="7">
        <v>6</v>
      </c>
      <c r="E3678">
        <v>2016</v>
      </c>
      <c r="F3678">
        <v>2016</v>
      </c>
      <c r="G3678" t="str">
        <f>IFERROR(INDEX(Formulations[Formulation],MATCH($C3678,Formulations[Product Code],0)),"")</f>
        <v/>
      </c>
    </row>
    <row r="3679" spans="1:7" x14ac:dyDescent="0.3">
      <c r="A3679" t="s">
        <v>585</v>
      </c>
      <c r="B3679" t="s">
        <v>586</v>
      </c>
      <c r="C3679" t="s">
        <v>587</v>
      </c>
      <c r="D3679" s="7">
        <v>6</v>
      </c>
      <c r="E3679">
        <v>2020</v>
      </c>
      <c r="F3679">
        <v>2020</v>
      </c>
      <c r="G3679" t="str">
        <f>IFERROR(INDEX(Formulations[Formulation],MATCH($C3679,Formulations[Product Code],0)),"")</f>
        <v>Pure</v>
      </c>
    </row>
    <row r="3680" spans="1:7" x14ac:dyDescent="0.3">
      <c r="A3680" t="s">
        <v>585</v>
      </c>
      <c r="B3680" t="s">
        <v>593</v>
      </c>
      <c r="C3680" t="s">
        <v>594</v>
      </c>
      <c r="D3680" s="7">
        <v>6</v>
      </c>
      <c r="E3680">
        <v>2021</v>
      </c>
      <c r="F3680">
        <v>2021</v>
      </c>
      <c r="G3680" t="str">
        <f>IFERROR(INDEX(Formulations[Formulation],MATCH($C3680,Formulations[Product Code],0)),"")</f>
        <v>Oil 4.5kg</v>
      </c>
    </row>
    <row r="3681" spans="1:7" x14ac:dyDescent="0.3">
      <c r="A3681" t="s">
        <v>685</v>
      </c>
      <c r="B3681" t="s">
        <v>461</v>
      </c>
      <c r="D3681" s="7">
        <v>6</v>
      </c>
      <c r="E3681">
        <v>2019</v>
      </c>
      <c r="F3681">
        <v>2020</v>
      </c>
      <c r="G3681" t="str">
        <f>IFERROR(INDEX(Formulations[Formulation],MATCH($C3681,Formulations[Product Code],0)),"")</f>
        <v/>
      </c>
    </row>
    <row r="3682" spans="1:7" x14ac:dyDescent="0.3">
      <c r="A3682" t="s">
        <v>812</v>
      </c>
      <c r="B3682" t="s">
        <v>34</v>
      </c>
      <c r="D3682" s="7">
        <v>6</v>
      </c>
      <c r="E3682">
        <v>2021</v>
      </c>
      <c r="F3682">
        <v>2021</v>
      </c>
      <c r="G3682" t="str">
        <f>IFERROR(INDEX(Formulations[Formulation],MATCH($C3682,Formulations[Product Code],0)),"")</f>
        <v/>
      </c>
    </row>
    <row r="3683" spans="1:7" x14ac:dyDescent="0.3">
      <c r="A3683" t="s">
        <v>920</v>
      </c>
      <c r="B3683" t="s">
        <v>79</v>
      </c>
      <c r="C3683" t="s">
        <v>80</v>
      </c>
      <c r="D3683" s="7">
        <v>6</v>
      </c>
      <c r="E3683">
        <v>2017</v>
      </c>
      <c r="F3683">
        <v>2017</v>
      </c>
      <c r="G3683" t="str">
        <f>IFERROR(INDEX(Formulations[Formulation],MATCH($C3683,Formulations[Product Code],0)),"")</f>
        <v>Pure</v>
      </c>
    </row>
    <row r="3684" spans="1:7" x14ac:dyDescent="0.3">
      <c r="A3684" t="s">
        <v>993</v>
      </c>
      <c r="B3684" t="s">
        <v>649</v>
      </c>
      <c r="C3684" t="s">
        <v>650</v>
      </c>
      <c r="D3684" s="7">
        <v>6</v>
      </c>
      <c r="E3684">
        <v>2017</v>
      </c>
      <c r="F3684">
        <v>2018</v>
      </c>
      <c r="G3684" t="str">
        <f>IFERROR(INDEX(Formulations[Formulation],MATCH($C3684,Formulations[Product Code],0)),"")</f>
        <v>Pure</v>
      </c>
    </row>
    <row r="3685" spans="1:7" x14ac:dyDescent="0.3">
      <c r="A3685" t="s">
        <v>1000</v>
      </c>
      <c r="B3685" t="s">
        <v>46</v>
      </c>
      <c r="C3685" t="s">
        <v>47</v>
      </c>
      <c r="D3685" s="7">
        <v>6</v>
      </c>
      <c r="E3685">
        <v>2019</v>
      </c>
      <c r="F3685">
        <v>2019</v>
      </c>
      <c r="G3685" t="str">
        <f>IFERROR(INDEX(Formulations[Formulation],MATCH($C3685,Formulations[Product Code],0)),"")</f>
        <v/>
      </c>
    </row>
    <row r="3686" spans="1:7" x14ac:dyDescent="0.3">
      <c r="A3686" t="s">
        <v>1127</v>
      </c>
      <c r="B3686" t="s">
        <v>1132</v>
      </c>
      <c r="C3686" t="s">
        <v>181</v>
      </c>
      <c r="D3686" s="7">
        <v>6</v>
      </c>
      <c r="E3686">
        <v>2020</v>
      </c>
      <c r="F3686">
        <v>2020</v>
      </c>
      <c r="G3686" t="str">
        <f>IFERROR(INDEX(Formulations[Formulation],MATCH($C3686,Formulations[Product Code],0)),"")</f>
        <v/>
      </c>
    </row>
    <row r="3687" spans="1:7" x14ac:dyDescent="0.3">
      <c r="A3687" t="s">
        <v>1147</v>
      </c>
      <c r="B3687" t="s">
        <v>86</v>
      </c>
      <c r="C3687" t="s">
        <v>87</v>
      </c>
      <c r="D3687" s="7">
        <v>6</v>
      </c>
      <c r="E3687">
        <v>2018</v>
      </c>
      <c r="F3687">
        <v>2019</v>
      </c>
      <c r="G3687" t="str">
        <f>IFERROR(INDEX(Formulations[Formulation],MATCH($C3687,Formulations[Product Code],0)),"")</f>
        <v>Pure</v>
      </c>
    </row>
    <row r="3688" spans="1:7" x14ac:dyDescent="0.3">
      <c r="A3688" t="s">
        <v>1175</v>
      </c>
      <c r="B3688" t="s">
        <v>1128</v>
      </c>
      <c r="C3688" t="s">
        <v>1129</v>
      </c>
      <c r="D3688" s="7">
        <v>6</v>
      </c>
      <c r="E3688">
        <v>2020</v>
      </c>
      <c r="F3688">
        <v>2020</v>
      </c>
      <c r="G3688" t="str">
        <f>IFERROR(INDEX(Formulations[Formulation],MATCH($C3688,Formulations[Product Code],0)),"")</f>
        <v>Silver</v>
      </c>
    </row>
    <row r="3689" spans="1:7" x14ac:dyDescent="0.3">
      <c r="A3689" t="s">
        <v>1175</v>
      </c>
      <c r="B3689" t="s">
        <v>187</v>
      </c>
      <c r="C3689" t="s">
        <v>188</v>
      </c>
      <c r="D3689" s="7">
        <v>6</v>
      </c>
      <c r="E3689">
        <v>2019</v>
      </c>
      <c r="F3689">
        <v>2020</v>
      </c>
      <c r="G3689" t="str">
        <f>IFERROR(INDEX(Formulations[Formulation],MATCH($C3689,Formulations[Product Code],0)),"")</f>
        <v>Crystal</v>
      </c>
    </row>
    <row r="3690" spans="1:7" x14ac:dyDescent="0.3">
      <c r="A3690" t="s">
        <v>1213</v>
      </c>
      <c r="B3690" t="s">
        <v>1216</v>
      </c>
      <c r="C3690" t="s">
        <v>1217</v>
      </c>
      <c r="D3690" s="7">
        <v>6</v>
      </c>
      <c r="E3690">
        <v>2021</v>
      </c>
      <c r="F3690">
        <v>2021</v>
      </c>
      <c r="G3690" t="str">
        <f>IFERROR(INDEX(Formulations[Formulation],MATCH($C3690,Formulations[Product Code],0)),"")</f>
        <v>Pure</v>
      </c>
    </row>
    <row r="3691" spans="1:7" x14ac:dyDescent="0.3">
      <c r="A3691" t="s">
        <v>1323</v>
      </c>
      <c r="B3691" t="s">
        <v>1326</v>
      </c>
      <c r="C3691" t="s">
        <v>143</v>
      </c>
      <c r="D3691" s="7">
        <v>6</v>
      </c>
      <c r="E3691">
        <v>2018</v>
      </c>
      <c r="F3691">
        <v>2019</v>
      </c>
      <c r="G3691" t="str">
        <f>IFERROR(INDEX(Formulations[Formulation],MATCH($C3691,Formulations[Product Code],0)),"")</f>
        <v>Pure</v>
      </c>
    </row>
    <row r="3692" spans="1:7" x14ac:dyDescent="0.3">
      <c r="A3692" t="s">
        <v>1374</v>
      </c>
      <c r="B3692" t="s">
        <v>719</v>
      </c>
      <c r="C3692" t="s">
        <v>925</v>
      </c>
      <c r="D3692" s="7">
        <v>6</v>
      </c>
      <c r="E3692">
        <v>2018</v>
      </c>
      <c r="F3692">
        <v>2019</v>
      </c>
      <c r="G3692" t="str">
        <f>IFERROR(INDEX(Formulations[Formulation],MATCH($C3692,Formulations[Product Code],0)),"")</f>
        <v/>
      </c>
    </row>
    <row r="3693" spans="1:7" x14ac:dyDescent="0.3">
      <c r="A3693" t="s">
        <v>1374</v>
      </c>
      <c r="B3693" t="s">
        <v>538</v>
      </c>
      <c r="C3693" t="s">
        <v>539</v>
      </c>
      <c r="D3693" s="7">
        <v>6</v>
      </c>
      <c r="E3693">
        <v>2018</v>
      </c>
      <c r="F3693">
        <v>2019</v>
      </c>
      <c r="G3693" t="str">
        <f>IFERROR(INDEX(Formulations[Formulation],MATCH($C3693,Formulations[Product Code],0)),"")</f>
        <v>Gold</v>
      </c>
    </row>
    <row r="3694" spans="1:7" x14ac:dyDescent="0.3">
      <c r="A3694" t="s">
        <v>1407</v>
      </c>
      <c r="B3694" t="s">
        <v>517</v>
      </c>
      <c r="C3694" t="s">
        <v>145</v>
      </c>
      <c r="D3694" s="7">
        <v>6</v>
      </c>
      <c r="E3694">
        <v>2019</v>
      </c>
      <c r="F3694">
        <v>2020</v>
      </c>
      <c r="G3694" t="str">
        <f>IFERROR(INDEX(Formulations[Formulation],MATCH($C3694,Formulations[Product Code],0)),"")</f>
        <v/>
      </c>
    </row>
    <row r="3695" spans="1:7" x14ac:dyDescent="0.3">
      <c r="A3695" t="s">
        <v>1463</v>
      </c>
      <c r="B3695" t="s">
        <v>135</v>
      </c>
      <c r="C3695" t="s">
        <v>136</v>
      </c>
      <c r="D3695" s="7">
        <v>6</v>
      </c>
      <c r="E3695">
        <v>2013</v>
      </c>
      <c r="F3695">
        <v>2015</v>
      </c>
      <c r="G3695" t="str">
        <f>IFERROR(INDEX(Formulations[Formulation],MATCH($C3695,Formulations[Product Code],0)),"")</f>
        <v/>
      </c>
    </row>
    <row r="3696" spans="1:7" x14ac:dyDescent="0.3">
      <c r="A3696" t="s">
        <v>1690</v>
      </c>
      <c r="B3696" t="s">
        <v>36</v>
      </c>
      <c r="D3696" s="7">
        <v>6</v>
      </c>
      <c r="E3696">
        <v>2017</v>
      </c>
      <c r="F3696">
        <v>2018</v>
      </c>
      <c r="G3696" t="str">
        <f>IFERROR(INDEX(Formulations[Formulation],MATCH($C3696,Formulations[Product Code],0)),"")</f>
        <v/>
      </c>
    </row>
    <row r="3697" spans="1:7" x14ac:dyDescent="0.3">
      <c r="A3697" t="s">
        <v>1703</v>
      </c>
      <c r="B3697" t="s">
        <v>375</v>
      </c>
      <c r="C3697" t="s">
        <v>262</v>
      </c>
      <c r="D3697" s="7">
        <v>6</v>
      </c>
      <c r="E3697">
        <v>2012</v>
      </c>
      <c r="F3697">
        <v>2013</v>
      </c>
      <c r="G3697" t="str">
        <f>IFERROR(INDEX(Formulations[Formulation],MATCH($C3697,Formulations[Product Code],0)),"")</f>
        <v>Pure</v>
      </c>
    </row>
    <row r="3698" spans="1:7" x14ac:dyDescent="0.3">
      <c r="A3698" t="s">
        <v>1865</v>
      </c>
      <c r="B3698" t="s">
        <v>35</v>
      </c>
      <c r="D3698" s="7">
        <v>6</v>
      </c>
      <c r="E3698">
        <v>2019</v>
      </c>
      <c r="F3698">
        <v>2020</v>
      </c>
      <c r="G3698" t="str">
        <f>IFERROR(INDEX(Formulations[Formulation],MATCH($C3698,Formulations[Product Code],0)),"")</f>
        <v/>
      </c>
    </row>
    <row r="3699" spans="1:7" x14ac:dyDescent="0.3">
      <c r="A3699" t="s">
        <v>1901</v>
      </c>
      <c r="B3699" t="s">
        <v>841</v>
      </c>
      <c r="C3699" t="s">
        <v>169</v>
      </c>
      <c r="D3699" s="7">
        <v>6</v>
      </c>
      <c r="E3699">
        <v>2019</v>
      </c>
      <c r="F3699">
        <v>2021</v>
      </c>
      <c r="G3699" t="str">
        <f>IFERROR(INDEX(Formulations[Formulation],MATCH($C3699,Formulations[Product Code],0)),"")</f>
        <v>Silver</v>
      </c>
    </row>
    <row r="3700" spans="1:7" x14ac:dyDescent="0.3">
      <c r="A3700" t="s">
        <v>1927</v>
      </c>
      <c r="B3700" t="s">
        <v>1324</v>
      </c>
      <c r="C3700" t="s">
        <v>789</v>
      </c>
      <c r="D3700" s="7">
        <v>6</v>
      </c>
      <c r="E3700">
        <v>2017</v>
      </c>
      <c r="F3700">
        <v>2017</v>
      </c>
      <c r="G3700" t="str">
        <f>IFERROR(INDEX(Formulations[Formulation],MATCH($C3700,Formulations[Product Code],0)),"")</f>
        <v>Pure</v>
      </c>
    </row>
    <row r="3701" spans="1:7" x14ac:dyDescent="0.3">
      <c r="A3701" t="s">
        <v>1972</v>
      </c>
      <c r="B3701" t="s">
        <v>1973</v>
      </c>
      <c r="C3701" t="s">
        <v>1974</v>
      </c>
      <c r="D3701" s="7">
        <v>6</v>
      </c>
      <c r="E3701">
        <v>2013</v>
      </c>
      <c r="F3701">
        <v>2014</v>
      </c>
      <c r="G3701" t="str">
        <f>IFERROR(INDEX(Formulations[Formulation],MATCH($C3701,Formulations[Product Code],0)),"")</f>
        <v/>
      </c>
    </row>
    <row r="3702" spans="1:7" x14ac:dyDescent="0.3">
      <c r="A3702" t="s">
        <v>2025</v>
      </c>
      <c r="B3702" t="s">
        <v>1653</v>
      </c>
      <c r="C3702" t="s">
        <v>1654</v>
      </c>
      <c r="D3702" s="7">
        <v>6</v>
      </c>
      <c r="E3702">
        <v>2021</v>
      </c>
      <c r="F3702">
        <v>2021</v>
      </c>
      <c r="G3702" t="str">
        <f>IFERROR(INDEX(Formulations[Formulation],MATCH($C3702,Formulations[Product Code],0)),"")</f>
        <v>Pure</v>
      </c>
    </row>
    <row r="3703" spans="1:7" x14ac:dyDescent="0.3">
      <c r="A3703" t="s">
        <v>2090</v>
      </c>
      <c r="B3703" t="s">
        <v>19</v>
      </c>
      <c r="C3703" t="s">
        <v>20</v>
      </c>
      <c r="D3703" s="7">
        <v>6</v>
      </c>
      <c r="E3703">
        <v>2021</v>
      </c>
      <c r="F3703">
        <v>2021</v>
      </c>
      <c r="G3703" t="str">
        <f>IFERROR(INDEX(Formulations[Formulation],MATCH($C3703,Formulations[Product Code],0)),"")</f>
        <v>80 % Oil AND 20 % DPG</v>
      </c>
    </row>
    <row r="3704" spans="1:7" x14ac:dyDescent="0.3">
      <c r="A3704" t="s">
        <v>2090</v>
      </c>
      <c r="B3704" t="s">
        <v>813</v>
      </c>
      <c r="C3704" t="s">
        <v>814</v>
      </c>
      <c r="D3704" s="7">
        <v>6</v>
      </c>
      <c r="E3704">
        <v>2021</v>
      </c>
      <c r="F3704">
        <v>2021</v>
      </c>
      <c r="G3704" t="str">
        <f>IFERROR(INDEX(Formulations[Formulation],MATCH($C3704,Formulations[Product Code],0)),"")</f>
        <v>WS</v>
      </c>
    </row>
    <row r="3705" spans="1:7" x14ac:dyDescent="0.3">
      <c r="A3705" t="s">
        <v>2187</v>
      </c>
      <c r="B3705" t="s">
        <v>538</v>
      </c>
      <c r="C3705" t="s">
        <v>539</v>
      </c>
      <c r="D3705" s="7">
        <v>6</v>
      </c>
      <c r="E3705">
        <v>2021</v>
      </c>
      <c r="F3705">
        <v>2021</v>
      </c>
      <c r="G3705" t="str">
        <f>IFERROR(INDEX(Formulations[Formulation],MATCH($C3705,Formulations[Product Code],0)),"")</f>
        <v>Gold</v>
      </c>
    </row>
    <row r="3706" spans="1:7" x14ac:dyDescent="0.3">
      <c r="A3706" t="s">
        <v>2187</v>
      </c>
      <c r="B3706" t="s">
        <v>446</v>
      </c>
      <c r="C3706" t="s">
        <v>447</v>
      </c>
      <c r="D3706" s="7">
        <v>6</v>
      </c>
      <c r="E3706">
        <v>2021</v>
      </c>
      <c r="F3706">
        <v>2021</v>
      </c>
      <c r="G3706" t="str">
        <f>IFERROR(INDEX(Formulations[Formulation],MATCH($C3706,Formulations[Product Code],0)),"")</f>
        <v>30% Key Oil</v>
      </c>
    </row>
    <row r="3707" spans="1:7" x14ac:dyDescent="0.3">
      <c r="A3707" t="s">
        <v>2189</v>
      </c>
      <c r="B3707" t="s">
        <v>196</v>
      </c>
      <c r="C3707" t="s">
        <v>197</v>
      </c>
      <c r="D3707" s="7">
        <v>6</v>
      </c>
      <c r="E3707">
        <v>2015</v>
      </c>
      <c r="F3707">
        <v>2015</v>
      </c>
      <c r="G3707" t="str">
        <f>IFERROR(INDEX(Formulations[Formulation],MATCH($C3707,Formulations[Product Code],0)),"")</f>
        <v/>
      </c>
    </row>
    <row r="3708" spans="1:7" x14ac:dyDescent="0.3">
      <c r="A3708" t="s">
        <v>2217</v>
      </c>
      <c r="B3708" t="s">
        <v>120</v>
      </c>
      <c r="C3708" t="s">
        <v>121</v>
      </c>
      <c r="D3708" s="7">
        <v>6</v>
      </c>
      <c r="E3708">
        <v>2015</v>
      </c>
      <c r="F3708">
        <v>2016</v>
      </c>
      <c r="G3708" t="str">
        <f>IFERROR(INDEX(Formulations[Formulation],MATCH($C3708,Formulations[Product Code],0)),"")</f>
        <v/>
      </c>
    </row>
    <row r="3709" spans="1:7" x14ac:dyDescent="0.3">
      <c r="A3709" t="s">
        <v>2235</v>
      </c>
      <c r="B3709" t="s">
        <v>721</v>
      </c>
      <c r="C3709" t="s">
        <v>722</v>
      </c>
      <c r="D3709" s="7">
        <v>6</v>
      </c>
      <c r="E3709">
        <v>2018</v>
      </c>
      <c r="F3709">
        <v>2018</v>
      </c>
      <c r="G3709" t="str">
        <f>IFERROR(INDEX(Formulations[Formulation],MATCH($C3709,Formulations[Product Code],0)),"")</f>
        <v>Pure</v>
      </c>
    </row>
    <row r="3710" spans="1:7" x14ac:dyDescent="0.3">
      <c r="A3710" t="s">
        <v>2235</v>
      </c>
      <c r="B3710" t="s">
        <v>16</v>
      </c>
      <c r="C3710" t="s">
        <v>17</v>
      </c>
      <c r="D3710" s="7">
        <v>6</v>
      </c>
      <c r="E3710">
        <v>2018</v>
      </c>
      <c r="F3710">
        <v>2018</v>
      </c>
      <c r="G3710" t="str">
        <f>IFERROR(INDEX(Formulations[Formulation],MATCH($C3710,Formulations[Product Code],0)),"")</f>
        <v>Crystal</v>
      </c>
    </row>
    <row r="3711" spans="1:7" x14ac:dyDescent="0.3">
      <c r="A3711" t="s">
        <v>2235</v>
      </c>
      <c r="B3711" t="s">
        <v>269</v>
      </c>
      <c r="C3711" t="s">
        <v>270</v>
      </c>
      <c r="D3711" s="7">
        <v>6</v>
      </c>
      <c r="E3711">
        <v>2018</v>
      </c>
      <c r="F3711">
        <v>2018</v>
      </c>
      <c r="G3711" t="str">
        <f>IFERROR(INDEX(Formulations[Formulation],MATCH($C3711,Formulations[Product Code],0)),"")</f>
        <v>Pure</v>
      </c>
    </row>
    <row r="3712" spans="1:7" x14ac:dyDescent="0.3">
      <c r="A3712" t="s">
        <v>2235</v>
      </c>
      <c r="B3712" t="s">
        <v>404</v>
      </c>
      <c r="C3712" t="s">
        <v>405</v>
      </c>
      <c r="D3712" s="7">
        <v>6</v>
      </c>
      <c r="E3712">
        <v>2018</v>
      </c>
      <c r="F3712">
        <v>2018</v>
      </c>
      <c r="G3712" t="str">
        <f>IFERROR(INDEX(Formulations[Formulation],MATCH($C3712,Formulations[Product Code],0)),"")</f>
        <v/>
      </c>
    </row>
    <row r="3713" spans="1:7" x14ac:dyDescent="0.3">
      <c r="A3713" t="s">
        <v>2235</v>
      </c>
      <c r="B3713" t="s">
        <v>1107</v>
      </c>
      <c r="C3713" t="s">
        <v>1108</v>
      </c>
      <c r="D3713" s="7">
        <v>6</v>
      </c>
      <c r="E3713">
        <v>2018</v>
      </c>
      <c r="F3713">
        <v>2018</v>
      </c>
      <c r="G3713" t="str">
        <f>IFERROR(INDEX(Formulations[Formulation],MATCH($C3713,Formulations[Product Code],0)),"")</f>
        <v/>
      </c>
    </row>
    <row r="3714" spans="1:7" x14ac:dyDescent="0.3">
      <c r="A3714" t="s">
        <v>2235</v>
      </c>
      <c r="B3714" t="s">
        <v>46</v>
      </c>
      <c r="C3714" t="s">
        <v>47</v>
      </c>
      <c r="D3714" s="7">
        <v>6</v>
      </c>
      <c r="E3714">
        <v>2018</v>
      </c>
      <c r="F3714">
        <v>2018</v>
      </c>
      <c r="G3714" t="str">
        <f>IFERROR(INDEX(Formulations[Formulation],MATCH($C3714,Formulations[Product Code],0)),"")</f>
        <v/>
      </c>
    </row>
    <row r="3715" spans="1:7" x14ac:dyDescent="0.3">
      <c r="A3715" t="s">
        <v>2235</v>
      </c>
      <c r="B3715" t="s">
        <v>883</v>
      </c>
      <c r="C3715" t="s">
        <v>780</v>
      </c>
      <c r="D3715" s="7">
        <v>6</v>
      </c>
      <c r="E3715">
        <v>2018</v>
      </c>
      <c r="F3715">
        <v>2018</v>
      </c>
      <c r="G3715" t="str">
        <f>IFERROR(INDEX(Formulations[Formulation],MATCH($C3715,Formulations[Product Code],0)),"")</f>
        <v/>
      </c>
    </row>
    <row r="3716" spans="1:7" x14ac:dyDescent="0.3">
      <c r="A3716" t="s">
        <v>2235</v>
      </c>
      <c r="B3716" t="s">
        <v>12</v>
      </c>
      <c r="C3716" t="s">
        <v>13</v>
      </c>
      <c r="D3716" s="7">
        <v>6</v>
      </c>
      <c r="E3716">
        <v>2018</v>
      </c>
      <c r="F3716">
        <v>2018</v>
      </c>
      <c r="G3716" t="str">
        <f>IFERROR(INDEX(Formulations[Formulation],MATCH($C3716,Formulations[Product Code],0)),"")</f>
        <v>Crystal</v>
      </c>
    </row>
    <row r="3717" spans="1:7" x14ac:dyDescent="0.3">
      <c r="A3717" t="s">
        <v>2262</v>
      </c>
      <c r="B3717" t="s">
        <v>610</v>
      </c>
      <c r="C3717" t="s">
        <v>611</v>
      </c>
      <c r="D3717" s="7">
        <v>6</v>
      </c>
      <c r="E3717">
        <v>2017</v>
      </c>
      <c r="F3717">
        <v>2017</v>
      </c>
      <c r="G3717" t="str">
        <f>IFERROR(INDEX(Formulations[Formulation],MATCH($C3717,Formulations[Product Code],0)),"")</f>
        <v/>
      </c>
    </row>
    <row r="3718" spans="1:7" x14ac:dyDescent="0.3">
      <c r="A3718" t="s">
        <v>2262</v>
      </c>
      <c r="B3718" t="s">
        <v>196</v>
      </c>
      <c r="C3718" t="s">
        <v>197</v>
      </c>
      <c r="D3718" s="7">
        <v>6</v>
      </c>
      <c r="E3718">
        <v>2018</v>
      </c>
      <c r="F3718">
        <v>2018</v>
      </c>
      <c r="G3718" t="str">
        <f>IFERROR(INDEX(Formulations[Formulation],MATCH($C3718,Formulations[Product Code],0)),"")</f>
        <v/>
      </c>
    </row>
    <row r="3719" spans="1:7" x14ac:dyDescent="0.3">
      <c r="A3719" t="s">
        <v>2328</v>
      </c>
      <c r="B3719" t="s">
        <v>72</v>
      </c>
      <c r="C3719" t="s">
        <v>73</v>
      </c>
      <c r="D3719" s="7">
        <v>6</v>
      </c>
      <c r="E3719">
        <v>2018</v>
      </c>
      <c r="F3719">
        <v>2018</v>
      </c>
      <c r="G3719" t="str">
        <f>IFERROR(INDEX(Formulations[Formulation],MATCH($C3719,Formulations[Product Code],0)),"")</f>
        <v>Silver</v>
      </c>
    </row>
    <row r="3720" spans="1:7" x14ac:dyDescent="0.3">
      <c r="A3720" t="s">
        <v>2333</v>
      </c>
      <c r="B3720" t="s">
        <v>253</v>
      </c>
      <c r="C3720" t="s">
        <v>254</v>
      </c>
      <c r="D3720" s="7">
        <v>6</v>
      </c>
      <c r="E3720">
        <v>2019</v>
      </c>
      <c r="F3720">
        <v>2019</v>
      </c>
      <c r="G3720" t="str">
        <f>IFERROR(INDEX(Formulations[Formulation],MATCH($C3720,Formulations[Product Code],0)),"")</f>
        <v>6kg oil and 19kg DPG</v>
      </c>
    </row>
    <row r="3721" spans="1:7" x14ac:dyDescent="0.3">
      <c r="A3721" t="s">
        <v>2416</v>
      </c>
      <c r="B3721" t="s">
        <v>328</v>
      </c>
      <c r="C3721" t="s">
        <v>52</v>
      </c>
      <c r="D3721" s="7">
        <v>6</v>
      </c>
      <c r="E3721">
        <v>2014</v>
      </c>
      <c r="F3721">
        <v>2014</v>
      </c>
      <c r="G3721" t="str">
        <f>IFERROR(INDEX(Formulations[Formulation],MATCH($C3721,Formulations[Product Code],0)),"")</f>
        <v>Silver</v>
      </c>
    </row>
    <row r="3722" spans="1:7" x14ac:dyDescent="0.3">
      <c r="A3722" t="s">
        <v>2416</v>
      </c>
      <c r="B3722" t="s">
        <v>2417</v>
      </c>
      <c r="C3722" t="s">
        <v>1156</v>
      </c>
      <c r="D3722" s="7">
        <v>6</v>
      </c>
      <c r="E3722">
        <v>2016</v>
      </c>
      <c r="F3722">
        <v>2016</v>
      </c>
      <c r="G3722" t="str">
        <f>IFERROR(INDEX(Formulations[Formulation],MATCH($C3722,Formulations[Product Code],0)),"")</f>
        <v/>
      </c>
    </row>
    <row r="3723" spans="1:7" x14ac:dyDescent="0.3">
      <c r="A3723" t="s">
        <v>2416</v>
      </c>
      <c r="B3723" t="s">
        <v>2422</v>
      </c>
      <c r="C3723" t="s">
        <v>73</v>
      </c>
      <c r="D3723" s="7">
        <v>6</v>
      </c>
      <c r="E3723">
        <v>2017</v>
      </c>
      <c r="F3723">
        <v>2018</v>
      </c>
      <c r="G3723" t="str">
        <f>IFERROR(INDEX(Formulations[Formulation],MATCH($C3723,Formulations[Product Code],0)),"")</f>
        <v>Silver</v>
      </c>
    </row>
    <row r="3724" spans="1:7" x14ac:dyDescent="0.3">
      <c r="A3724" t="s">
        <v>2428</v>
      </c>
      <c r="B3724" t="s">
        <v>101</v>
      </c>
      <c r="C3724" t="s">
        <v>102</v>
      </c>
      <c r="D3724" s="7">
        <v>6</v>
      </c>
      <c r="E3724">
        <v>2018</v>
      </c>
      <c r="F3724">
        <v>2018</v>
      </c>
      <c r="G3724" t="str">
        <f>IFERROR(INDEX(Formulations[Formulation],MATCH($C3724,Formulations[Product Code],0)),"")</f>
        <v>Gold</v>
      </c>
    </row>
    <row r="3725" spans="1:7" x14ac:dyDescent="0.3">
      <c r="A3725" t="s">
        <v>2447</v>
      </c>
      <c r="B3725" t="s">
        <v>266</v>
      </c>
      <c r="C3725" t="s">
        <v>143</v>
      </c>
      <c r="D3725" s="7">
        <v>6</v>
      </c>
      <c r="E3725">
        <v>2019</v>
      </c>
      <c r="F3725">
        <v>2020</v>
      </c>
      <c r="G3725" t="str">
        <f>IFERROR(INDEX(Formulations[Formulation],MATCH($C3725,Formulations[Product Code],0)),"")</f>
        <v>Pure</v>
      </c>
    </row>
    <row r="3726" spans="1:7" x14ac:dyDescent="0.3">
      <c r="A3726" t="s">
        <v>2472</v>
      </c>
      <c r="B3726" t="s">
        <v>668</v>
      </c>
      <c r="C3726" t="s">
        <v>669</v>
      </c>
      <c r="D3726" s="7">
        <v>6</v>
      </c>
      <c r="E3726">
        <v>2020</v>
      </c>
      <c r="F3726">
        <v>2020</v>
      </c>
      <c r="G3726" t="str">
        <f>IFERROR(INDEX(Formulations[Formulation],MATCH($C3726,Formulations[Product Code],0)),"")</f>
        <v>Crystal</v>
      </c>
    </row>
    <row r="3727" spans="1:7" x14ac:dyDescent="0.3">
      <c r="A3727" t="s">
        <v>2514</v>
      </c>
      <c r="B3727" t="s">
        <v>839</v>
      </c>
      <c r="C3727" t="s">
        <v>138</v>
      </c>
      <c r="D3727" s="7">
        <v>6</v>
      </c>
      <c r="E3727">
        <v>2020</v>
      </c>
      <c r="F3727">
        <v>2021</v>
      </c>
      <c r="G3727" t="str">
        <f>IFERROR(INDEX(Formulations[Formulation],MATCH($C3727,Formulations[Product Code],0)),"")</f>
        <v>WS</v>
      </c>
    </row>
    <row r="3728" spans="1:7" x14ac:dyDescent="0.3">
      <c r="A3728" t="s">
        <v>2519</v>
      </c>
      <c r="B3728" t="s">
        <v>133</v>
      </c>
      <c r="C3728" t="s">
        <v>134</v>
      </c>
      <c r="D3728" s="7">
        <v>6</v>
      </c>
      <c r="E3728">
        <v>2019</v>
      </c>
      <c r="F3728">
        <v>2019</v>
      </c>
      <c r="G3728" t="str">
        <f>IFERROR(INDEX(Formulations[Formulation],MATCH($C3728,Formulations[Product Code],0)),"")</f>
        <v>Pure</v>
      </c>
    </row>
    <row r="3729" spans="1:7" x14ac:dyDescent="0.3">
      <c r="A3729" t="s">
        <v>2562</v>
      </c>
      <c r="B3729" t="s">
        <v>39</v>
      </c>
      <c r="D3729" s="7">
        <v>6</v>
      </c>
      <c r="E3729">
        <v>2020</v>
      </c>
      <c r="F3729">
        <v>2020</v>
      </c>
      <c r="G3729" t="str">
        <f>IFERROR(INDEX(Formulations[Formulation],MATCH($C3729,Formulations[Product Code],0)),"")</f>
        <v/>
      </c>
    </row>
    <row r="3730" spans="1:7" x14ac:dyDescent="0.3">
      <c r="A3730" t="s">
        <v>338</v>
      </c>
      <c r="B3730" t="s">
        <v>325</v>
      </c>
      <c r="C3730" t="s">
        <v>326</v>
      </c>
      <c r="D3730" s="7">
        <v>5.5</v>
      </c>
      <c r="E3730">
        <v>2010</v>
      </c>
      <c r="F3730">
        <v>2010</v>
      </c>
      <c r="G3730" t="str">
        <f>IFERROR(INDEX(Formulations[Formulation],MATCH($C3730,Formulations[Product Code],0)),"")</f>
        <v/>
      </c>
    </row>
    <row r="3731" spans="1:7" x14ac:dyDescent="0.3">
      <c r="A3731" t="s">
        <v>2380</v>
      </c>
      <c r="B3731" t="s">
        <v>227</v>
      </c>
      <c r="D3731" s="7">
        <v>5.5</v>
      </c>
      <c r="E3731">
        <v>2011</v>
      </c>
      <c r="F3731">
        <v>2011</v>
      </c>
      <c r="G3731" t="str">
        <f>IFERROR(INDEX(Formulations[Formulation],MATCH($C3731,Formulations[Product Code],0)),"")</f>
        <v/>
      </c>
    </row>
    <row r="3732" spans="1:7" x14ac:dyDescent="0.3">
      <c r="A3732" t="s">
        <v>2483</v>
      </c>
      <c r="B3732" t="s">
        <v>35</v>
      </c>
      <c r="D3732" s="7">
        <v>5.25</v>
      </c>
      <c r="E3732">
        <v>2019</v>
      </c>
      <c r="F3732">
        <v>2019</v>
      </c>
      <c r="G3732" t="str">
        <f>IFERROR(INDEX(Formulations[Formulation],MATCH($C3732,Formulations[Product Code],0)),"")</f>
        <v/>
      </c>
    </row>
    <row r="3733" spans="1:7" x14ac:dyDescent="0.3">
      <c r="A3733" t="s">
        <v>50</v>
      </c>
      <c r="B3733" t="s">
        <v>56</v>
      </c>
      <c r="C3733" t="s">
        <v>57</v>
      </c>
      <c r="D3733" s="7">
        <v>5</v>
      </c>
      <c r="E3733">
        <v>2019</v>
      </c>
      <c r="F3733">
        <v>2019</v>
      </c>
      <c r="G3733" t="str">
        <f>IFERROR(INDEX(Formulations[Formulation],MATCH($C3733,Formulations[Product Code],0)),"")</f>
        <v/>
      </c>
    </row>
    <row r="3734" spans="1:7" x14ac:dyDescent="0.3">
      <c r="A3734" t="s">
        <v>50</v>
      </c>
      <c r="B3734" t="s">
        <v>58</v>
      </c>
      <c r="C3734" t="s">
        <v>59</v>
      </c>
      <c r="D3734" s="7">
        <v>5</v>
      </c>
      <c r="E3734">
        <v>2021</v>
      </c>
      <c r="F3734">
        <v>2021</v>
      </c>
      <c r="G3734" t="str">
        <f>IFERROR(INDEX(Formulations[Formulation],MATCH($C3734,Formulations[Product Code],0)),"")</f>
        <v>Pure</v>
      </c>
    </row>
    <row r="3735" spans="1:7" x14ac:dyDescent="0.3">
      <c r="A3735" t="s">
        <v>50</v>
      </c>
      <c r="B3735" t="s">
        <v>21</v>
      </c>
      <c r="C3735" t="s">
        <v>22</v>
      </c>
      <c r="D3735" s="7">
        <v>5</v>
      </c>
      <c r="E3735">
        <v>2019</v>
      </c>
      <c r="F3735">
        <v>2019</v>
      </c>
      <c r="G3735" t="str">
        <f>IFERROR(INDEX(Formulations[Formulation],MATCH($C3735,Formulations[Product Code],0)),"")</f>
        <v>Crystal</v>
      </c>
    </row>
    <row r="3736" spans="1:7" x14ac:dyDescent="0.3">
      <c r="A3736" t="s">
        <v>50</v>
      </c>
      <c r="B3736" t="s">
        <v>72</v>
      </c>
      <c r="C3736" t="s">
        <v>73</v>
      </c>
      <c r="D3736" s="7">
        <v>5</v>
      </c>
      <c r="E3736">
        <v>2020</v>
      </c>
      <c r="F3736">
        <v>2020</v>
      </c>
      <c r="G3736" t="str">
        <f>IFERROR(INDEX(Formulations[Formulation],MATCH($C3736,Formulations[Product Code],0)),"")</f>
        <v>Silver</v>
      </c>
    </row>
    <row r="3737" spans="1:7" x14ac:dyDescent="0.3">
      <c r="A3737" t="s">
        <v>78</v>
      </c>
      <c r="B3737" t="s">
        <v>133</v>
      </c>
      <c r="C3737" t="s">
        <v>134</v>
      </c>
      <c r="D3737" s="7">
        <v>5</v>
      </c>
      <c r="E3737">
        <v>2019</v>
      </c>
      <c r="F3737">
        <v>2021</v>
      </c>
      <c r="G3737" t="str">
        <f>IFERROR(INDEX(Formulations[Formulation],MATCH($C3737,Formulations[Product Code],0)),"")</f>
        <v>Pure</v>
      </c>
    </row>
    <row r="3738" spans="1:7" x14ac:dyDescent="0.3">
      <c r="A3738" t="s">
        <v>165</v>
      </c>
      <c r="B3738" t="s">
        <v>103</v>
      </c>
      <c r="C3738" t="s">
        <v>104</v>
      </c>
      <c r="D3738" s="7">
        <v>5</v>
      </c>
      <c r="E3738">
        <v>2017</v>
      </c>
      <c r="F3738">
        <v>2017</v>
      </c>
      <c r="G3738" t="str">
        <f>IFERROR(INDEX(Formulations[Formulation],MATCH($C3738,Formulations[Product Code],0)),"")</f>
        <v>Pure</v>
      </c>
    </row>
    <row r="3739" spans="1:7" x14ac:dyDescent="0.3">
      <c r="A3739" t="s">
        <v>215</v>
      </c>
      <c r="B3739" t="s">
        <v>221</v>
      </c>
      <c r="C3739" t="s">
        <v>222</v>
      </c>
      <c r="D3739" s="7">
        <v>5</v>
      </c>
      <c r="E3739">
        <v>2011</v>
      </c>
      <c r="F3739">
        <v>2011</v>
      </c>
      <c r="G3739" t="str">
        <f>IFERROR(INDEX(Formulations[Formulation],MATCH($C3739,Formulations[Product Code],0)),"")</f>
        <v>WS</v>
      </c>
    </row>
    <row r="3740" spans="1:7" x14ac:dyDescent="0.3">
      <c r="A3740" t="s">
        <v>215</v>
      </c>
      <c r="B3740" t="s">
        <v>129</v>
      </c>
      <c r="D3740" s="7">
        <v>5</v>
      </c>
      <c r="E3740">
        <v>2017</v>
      </c>
      <c r="F3740">
        <v>2017</v>
      </c>
      <c r="G3740" t="str">
        <f>IFERROR(INDEX(Formulations[Formulation],MATCH($C3740,Formulations[Product Code],0)),"")</f>
        <v/>
      </c>
    </row>
    <row r="3741" spans="1:7" x14ac:dyDescent="0.3">
      <c r="A3741" t="s">
        <v>215</v>
      </c>
      <c r="B3741" t="s">
        <v>232</v>
      </c>
      <c r="C3741" t="s">
        <v>233</v>
      </c>
      <c r="D3741" s="7">
        <v>5</v>
      </c>
      <c r="E3741">
        <v>2012</v>
      </c>
      <c r="F3741">
        <v>2012</v>
      </c>
      <c r="G3741" t="str">
        <f>IFERROR(INDEX(Formulations[Formulation],MATCH($C3741,Formulations[Product Code],0)),"")</f>
        <v/>
      </c>
    </row>
    <row r="3742" spans="1:7" x14ac:dyDescent="0.3">
      <c r="A3742" t="s">
        <v>273</v>
      </c>
      <c r="B3742" t="s">
        <v>280</v>
      </c>
      <c r="C3742" t="s">
        <v>224</v>
      </c>
      <c r="D3742" s="7">
        <v>5</v>
      </c>
      <c r="E3742">
        <v>2013</v>
      </c>
      <c r="F3742">
        <v>2013</v>
      </c>
      <c r="G3742" t="str">
        <f>IFERROR(INDEX(Formulations[Formulation],MATCH($C3742,Formulations[Product Code],0)),"")</f>
        <v/>
      </c>
    </row>
    <row r="3743" spans="1:7" x14ac:dyDescent="0.3">
      <c r="A3743" t="s">
        <v>273</v>
      </c>
      <c r="B3743" t="s">
        <v>285</v>
      </c>
      <c r="C3743" t="s">
        <v>286</v>
      </c>
      <c r="D3743" s="7">
        <v>5</v>
      </c>
      <c r="E3743">
        <v>2015</v>
      </c>
      <c r="F3743">
        <v>2015</v>
      </c>
      <c r="G3743" t="str">
        <f>IFERROR(INDEX(Formulations[Formulation],MATCH($C3743,Formulations[Product Code],0)),"")</f>
        <v/>
      </c>
    </row>
    <row r="3744" spans="1:7" x14ac:dyDescent="0.3">
      <c r="A3744" t="s">
        <v>338</v>
      </c>
      <c r="B3744" t="s">
        <v>99</v>
      </c>
      <c r="C3744" t="s">
        <v>100</v>
      </c>
      <c r="D3744" s="7">
        <v>5</v>
      </c>
      <c r="E3744">
        <v>2010</v>
      </c>
      <c r="F3744">
        <v>2010</v>
      </c>
      <c r="G3744" t="str">
        <f>IFERROR(INDEX(Formulations[Formulation],MATCH($C3744,Formulations[Product Code],0)),"")</f>
        <v>Crystal</v>
      </c>
    </row>
    <row r="3745" spans="1:7" x14ac:dyDescent="0.3">
      <c r="A3745" t="s">
        <v>344</v>
      </c>
      <c r="B3745" t="s">
        <v>276</v>
      </c>
      <c r="C3745" t="s">
        <v>277</v>
      </c>
      <c r="D3745" s="7">
        <v>5</v>
      </c>
      <c r="E3745">
        <v>2017</v>
      </c>
      <c r="F3745">
        <v>2017</v>
      </c>
      <c r="G3745" t="str">
        <f>IFERROR(INDEX(Formulations[Formulation],MATCH($C3745,Formulations[Product Code],0)),"")</f>
        <v>Pure</v>
      </c>
    </row>
    <row r="3746" spans="1:7" x14ac:dyDescent="0.3">
      <c r="A3746" t="s">
        <v>353</v>
      </c>
      <c r="B3746" t="s">
        <v>287</v>
      </c>
      <c r="C3746" t="s">
        <v>186</v>
      </c>
      <c r="D3746" s="7">
        <v>5</v>
      </c>
      <c r="E3746">
        <v>2011</v>
      </c>
      <c r="F3746">
        <v>2011</v>
      </c>
      <c r="G3746" t="str">
        <f>IFERROR(INDEX(Formulations[Formulation],MATCH($C3746,Formulations[Product Code],0)),"")</f>
        <v/>
      </c>
    </row>
    <row r="3747" spans="1:7" x14ac:dyDescent="0.3">
      <c r="A3747" t="s">
        <v>353</v>
      </c>
      <c r="B3747" t="s">
        <v>211</v>
      </c>
      <c r="C3747" t="s">
        <v>212</v>
      </c>
      <c r="D3747" s="7">
        <v>5</v>
      </c>
      <c r="E3747">
        <v>2019</v>
      </c>
      <c r="F3747">
        <v>2019</v>
      </c>
      <c r="G3747" t="str">
        <f>IFERROR(INDEX(Formulations[Formulation],MATCH($C3747,Formulations[Product Code],0)),"")</f>
        <v>Pure</v>
      </c>
    </row>
    <row r="3748" spans="1:7" x14ac:dyDescent="0.3">
      <c r="A3748" t="s">
        <v>353</v>
      </c>
      <c r="B3748" t="s">
        <v>383</v>
      </c>
      <c r="C3748" t="s">
        <v>385</v>
      </c>
      <c r="D3748" s="7">
        <v>5</v>
      </c>
      <c r="E3748">
        <v>2021</v>
      </c>
      <c r="F3748">
        <v>2021</v>
      </c>
      <c r="G3748" t="str">
        <f>IFERROR(INDEX(Formulations[Formulation],MATCH($C3748,Formulations[Product Code],0)),"")</f>
        <v>Silver</v>
      </c>
    </row>
    <row r="3749" spans="1:7" x14ac:dyDescent="0.3">
      <c r="A3749" t="s">
        <v>390</v>
      </c>
      <c r="B3749" t="s">
        <v>72</v>
      </c>
      <c r="C3749" t="s">
        <v>73</v>
      </c>
      <c r="D3749" s="7">
        <v>5</v>
      </c>
      <c r="E3749">
        <v>2016</v>
      </c>
      <c r="F3749">
        <v>2017</v>
      </c>
      <c r="G3749" t="str">
        <f>IFERROR(INDEX(Formulations[Formulation],MATCH($C3749,Formulations[Product Code],0)),"")</f>
        <v>Silver</v>
      </c>
    </row>
    <row r="3750" spans="1:7" x14ac:dyDescent="0.3">
      <c r="A3750" t="s">
        <v>419</v>
      </c>
      <c r="B3750" t="s">
        <v>420</v>
      </c>
      <c r="C3750" t="s">
        <v>421</v>
      </c>
      <c r="D3750" s="7">
        <v>5</v>
      </c>
      <c r="E3750">
        <v>2015</v>
      </c>
      <c r="F3750">
        <v>2015</v>
      </c>
      <c r="G3750" t="str">
        <f>IFERROR(INDEX(Formulations[Formulation],MATCH($C3750,Formulations[Product Code],0)),"")</f>
        <v/>
      </c>
    </row>
    <row r="3751" spans="1:7" x14ac:dyDescent="0.3">
      <c r="A3751" t="s">
        <v>419</v>
      </c>
      <c r="B3751" t="s">
        <v>422</v>
      </c>
      <c r="C3751" t="s">
        <v>423</v>
      </c>
      <c r="D3751" s="7">
        <v>5</v>
      </c>
      <c r="E3751">
        <v>2015</v>
      </c>
      <c r="F3751">
        <v>2015</v>
      </c>
      <c r="G3751" t="str">
        <f>IFERROR(INDEX(Formulations[Formulation],MATCH($C3751,Formulations[Product Code],0)),"")</f>
        <v/>
      </c>
    </row>
    <row r="3752" spans="1:7" x14ac:dyDescent="0.3">
      <c r="A3752" t="s">
        <v>434</v>
      </c>
      <c r="B3752" t="s">
        <v>51</v>
      </c>
      <c r="C3752" t="s">
        <v>52</v>
      </c>
      <c r="D3752" s="7">
        <v>5</v>
      </c>
      <c r="E3752">
        <v>2019</v>
      </c>
      <c r="F3752">
        <v>2019</v>
      </c>
      <c r="G3752" t="str">
        <f>IFERROR(INDEX(Formulations[Formulation],MATCH($C3752,Formulations[Product Code],0)),"")</f>
        <v>Silver</v>
      </c>
    </row>
    <row r="3753" spans="1:7" x14ac:dyDescent="0.3">
      <c r="A3753" t="s">
        <v>445</v>
      </c>
      <c r="B3753" t="s">
        <v>446</v>
      </c>
      <c r="C3753" t="s">
        <v>447</v>
      </c>
      <c r="D3753" s="7">
        <v>5</v>
      </c>
      <c r="E3753">
        <v>2021</v>
      </c>
      <c r="F3753">
        <v>2021</v>
      </c>
      <c r="G3753" t="str">
        <f>IFERROR(INDEX(Formulations[Formulation],MATCH($C3753,Formulations[Product Code],0)),"")</f>
        <v>30% Key Oil</v>
      </c>
    </row>
    <row r="3754" spans="1:7" x14ac:dyDescent="0.3">
      <c r="A3754" t="s">
        <v>494</v>
      </c>
      <c r="B3754" t="s">
        <v>19</v>
      </c>
      <c r="C3754" t="s">
        <v>107</v>
      </c>
      <c r="D3754" s="7">
        <v>5</v>
      </c>
      <c r="E3754">
        <v>2021</v>
      </c>
      <c r="F3754">
        <v>2021</v>
      </c>
      <c r="G3754" t="str">
        <f>IFERROR(INDEX(Formulations[Formulation],MATCH($C3754,Formulations[Product Code],0)),"")</f>
        <v>Pure</v>
      </c>
    </row>
    <row r="3755" spans="1:7" x14ac:dyDescent="0.3">
      <c r="A3755" t="s">
        <v>494</v>
      </c>
      <c r="B3755" t="s">
        <v>496</v>
      </c>
      <c r="C3755" t="s">
        <v>497</v>
      </c>
      <c r="D3755" s="7">
        <v>5</v>
      </c>
      <c r="E3755">
        <v>2021</v>
      </c>
      <c r="F3755">
        <v>2021</v>
      </c>
      <c r="G3755" t="str">
        <f>IFERROR(INDEX(Formulations[Formulation],MATCH($C3755,Formulations[Product Code],0)),"")</f>
        <v>Silver</v>
      </c>
    </row>
    <row r="3756" spans="1:7" x14ac:dyDescent="0.3">
      <c r="A3756" t="s">
        <v>494</v>
      </c>
      <c r="B3756" t="s">
        <v>498</v>
      </c>
      <c r="C3756" t="s">
        <v>499</v>
      </c>
      <c r="D3756" s="7">
        <v>5</v>
      </c>
      <c r="E3756">
        <v>2021</v>
      </c>
      <c r="F3756">
        <v>2021</v>
      </c>
      <c r="G3756" t="str">
        <f>IFERROR(INDEX(Formulations[Formulation],MATCH($C3756,Formulations[Product Code],0)),"")</f>
        <v>WS</v>
      </c>
    </row>
    <row r="3757" spans="1:7" x14ac:dyDescent="0.3">
      <c r="A3757" t="s">
        <v>501</v>
      </c>
      <c r="B3757" t="s">
        <v>32</v>
      </c>
      <c r="D3757" s="7">
        <v>5</v>
      </c>
      <c r="E3757">
        <v>2019</v>
      </c>
      <c r="F3757">
        <v>2019</v>
      </c>
      <c r="G3757" t="str">
        <f>IFERROR(INDEX(Formulations[Formulation],MATCH($C3757,Formulations[Product Code],0)),"")</f>
        <v/>
      </c>
    </row>
    <row r="3758" spans="1:7" x14ac:dyDescent="0.3">
      <c r="A3758" t="s">
        <v>523</v>
      </c>
      <c r="B3758" t="s">
        <v>184</v>
      </c>
      <c r="C3758" t="s">
        <v>185</v>
      </c>
      <c r="D3758" s="7">
        <v>5</v>
      </c>
      <c r="E3758">
        <v>2016</v>
      </c>
      <c r="F3758">
        <v>2016</v>
      </c>
      <c r="G3758" t="str">
        <f>IFERROR(INDEX(Formulations[Formulation],MATCH($C3758,Formulations[Product Code],0)),"")</f>
        <v/>
      </c>
    </row>
    <row r="3759" spans="1:7" x14ac:dyDescent="0.3">
      <c r="A3759" t="s">
        <v>523</v>
      </c>
      <c r="B3759" t="s">
        <v>41</v>
      </c>
      <c r="C3759" t="s">
        <v>530</v>
      </c>
      <c r="D3759" s="7">
        <v>5</v>
      </c>
      <c r="E3759">
        <v>2016</v>
      </c>
      <c r="F3759">
        <v>2016</v>
      </c>
      <c r="G3759" t="str">
        <f>IFERROR(INDEX(Formulations[Formulation],MATCH($C3759,Formulations[Product Code],0)),"")</f>
        <v/>
      </c>
    </row>
    <row r="3760" spans="1:7" x14ac:dyDescent="0.3">
      <c r="A3760" t="s">
        <v>550</v>
      </c>
      <c r="B3760" t="s">
        <v>82</v>
      </c>
      <c r="C3760" t="s">
        <v>83</v>
      </c>
      <c r="D3760" s="7">
        <v>5</v>
      </c>
      <c r="E3760">
        <v>2018</v>
      </c>
      <c r="F3760">
        <v>2018</v>
      </c>
      <c r="G3760" t="str">
        <f>IFERROR(INDEX(Formulations[Formulation],MATCH($C3760,Formulations[Product Code],0)),"")</f>
        <v>Pure</v>
      </c>
    </row>
    <row r="3761" spans="1:7" x14ac:dyDescent="0.3">
      <c r="A3761" t="s">
        <v>550</v>
      </c>
      <c r="B3761" t="s">
        <v>551</v>
      </c>
      <c r="D3761" s="7">
        <v>5</v>
      </c>
      <c r="E3761">
        <v>2018</v>
      </c>
      <c r="F3761">
        <v>2018</v>
      </c>
      <c r="G3761" t="str">
        <f>IFERROR(INDEX(Formulations[Formulation],MATCH($C3761,Formulations[Product Code],0)),"")</f>
        <v/>
      </c>
    </row>
    <row r="3762" spans="1:7" x14ac:dyDescent="0.3">
      <c r="A3762" t="s">
        <v>550</v>
      </c>
      <c r="B3762" t="s">
        <v>554</v>
      </c>
      <c r="C3762" t="s">
        <v>249</v>
      </c>
      <c r="D3762" s="7">
        <v>5</v>
      </c>
      <c r="E3762">
        <v>2018</v>
      </c>
      <c r="F3762">
        <v>2018</v>
      </c>
      <c r="G3762" t="str">
        <f>IFERROR(INDEX(Formulations[Formulation],MATCH($C3762,Formulations[Product Code],0)),"")</f>
        <v>WS</v>
      </c>
    </row>
    <row r="3763" spans="1:7" x14ac:dyDescent="0.3">
      <c r="A3763" t="s">
        <v>550</v>
      </c>
      <c r="B3763" t="s">
        <v>555</v>
      </c>
      <c r="C3763" t="s">
        <v>259</v>
      </c>
      <c r="D3763" s="7">
        <v>5</v>
      </c>
      <c r="E3763">
        <v>2018</v>
      </c>
      <c r="F3763">
        <v>2018</v>
      </c>
      <c r="G3763" t="str">
        <f>IFERROR(INDEX(Formulations[Formulation],MATCH($C3763,Formulations[Product Code],0)),"")</f>
        <v>Pure</v>
      </c>
    </row>
    <row r="3764" spans="1:7" x14ac:dyDescent="0.3">
      <c r="A3764" t="s">
        <v>550</v>
      </c>
      <c r="B3764" t="s">
        <v>144</v>
      </c>
      <c r="C3764" t="s">
        <v>145</v>
      </c>
      <c r="D3764" s="7">
        <v>5</v>
      </c>
      <c r="E3764">
        <v>2018</v>
      </c>
      <c r="F3764">
        <v>2018</v>
      </c>
      <c r="G3764" t="str">
        <f>IFERROR(INDEX(Formulations[Formulation],MATCH($C3764,Formulations[Product Code],0)),"")</f>
        <v/>
      </c>
    </row>
    <row r="3765" spans="1:7" x14ac:dyDescent="0.3">
      <c r="A3765" t="s">
        <v>550</v>
      </c>
      <c r="B3765" t="s">
        <v>70</v>
      </c>
      <c r="C3765" t="s">
        <v>71</v>
      </c>
      <c r="D3765" s="7">
        <v>5</v>
      </c>
      <c r="E3765">
        <v>2018</v>
      </c>
      <c r="F3765">
        <v>2018</v>
      </c>
      <c r="G3765" t="str">
        <f>IFERROR(INDEX(Formulations[Formulation],MATCH($C3765,Formulations[Product Code],0)),"")</f>
        <v>40% Oil &amp; 60% DPG</v>
      </c>
    </row>
    <row r="3766" spans="1:7" x14ac:dyDescent="0.3">
      <c r="A3766" t="s">
        <v>550</v>
      </c>
      <c r="B3766" t="s">
        <v>318</v>
      </c>
      <c r="C3766" t="s">
        <v>319</v>
      </c>
      <c r="D3766" s="7">
        <v>5</v>
      </c>
      <c r="E3766">
        <v>2018</v>
      </c>
      <c r="F3766">
        <v>2018</v>
      </c>
      <c r="G3766" t="str">
        <f>IFERROR(INDEX(Formulations[Formulation],MATCH($C3766,Formulations[Product Code],0)),"")</f>
        <v>Pure</v>
      </c>
    </row>
    <row r="3767" spans="1:7" x14ac:dyDescent="0.3">
      <c r="A3767" t="s">
        <v>564</v>
      </c>
      <c r="B3767" t="s">
        <v>174</v>
      </c>
      <c r="C3767" t="s">
        <v>175</v>
      </c>
      <c r="D3767" s="7">
        <v>5</v>
      </c>
      <c r="E3767">
        <v>2013</v>
      </c>
      <c r="F3767">
        <v>2013</v>
      </c>
      <c r="G3767" t="str">
        <f>IFERROR(INDEX(Formulations[Formulation],MATCH($C3767,Formulations[Product Code],0)),"")</f>
        <v/>
      </c>
    </row>
    <row r="3768" spans="1:7" x14ac:dyDescent="0.3">
      <c r="A3768" t="s">
        <v>564</v>
      </c>
      <c r="B3768" t="s">
        <v>565</v>
      </c>
      <c r="C3768" t="s">
        <v>566</v>
      </c>
      <c r="D3768" s="7">
        <v>5</v>
      </c>
      <c r="E3768">
        <v>2013</v>
      </c>
      <c r="F3768">
        <v>2013</v>
      </c>
      <c r="G3768" t="str">
        <f>IFERROR(INDEX(Formulations[Formulation],MATCH($C3768,Formulations[Product Code],0)),"")</f>
        <v/>
      </c>
    </row>
    <row r="3769" spans="1:7" x14ac:dyDescent="0.3">
      <c r="A3769" t="s">
        <v>564</v>
      </c>
      <c r="B3769" t="s">
        <v>184</v>
      </c>
      <c r="C3769" t="s">
        <v>185</v>
      </c>
      <c r="D3769" s="7">
        <v>5</v>
      </c>
      <c r="E3769">
        <v>2013</v>
      </c>
      <c r="F3769">
        <v>2013</v>
      </c>
      <c r="G3769" t="str">
        <f>IFERROR(INDEX(Formulations[Formulation],MATCH($C3769,Formulations[Product Code],0)),"")</f>
        <v/>
      </c>
    </row>
    <row r="3770" spans="1:7" x14ac:dyDescent="0.3">
      <c r="A3770" t="s">
        <v>564</v>
      </c>
      <c r="B3770" t="s">
        <v>567</v>
      </c>
      <c r="C3770" t="s">
        <v>568</v>
      </c>
      <c r="D3770" s="7">
        <v>5</v>
      </c>
      <c r="E3770">
        <v>2013</v>
      </c>
      <c r="F3770">
        <v>2013</v>
      </c>
      <c r="G3770" t="str">
        <f>IFERROR(INDEX(Formulations[Formulation],MATCH($C3770,Formulations[Product Code],0)),"")</f>
        <v/>
      </c>
    </row>
    <row r="3771" spans="1:7" x14ac:dyDescent="0.3">
      <c r="A3771" t="s">
        <v>564</v>
      </c>
      <c r="B3771" t="s">
        <v>569</v>
      </c>
      <c r="C3771" t="s">
        <v>570</v>
      </c>
      <c r="D3771" s="7">
        <v>5</v>
      </c>
      <c r="E3771">
        <v>2013</v>
      </c>
      <c r="F3771">
        <v>2013</v>
      </c>
      <c r="G3771" t="str">
        <f>IFERROR(INDEX(Formulations[Formulation],MATCH($C3771,Formulations[Product Code],0)),"")</f>
        <v/>
      </c>
    </row>
    <row r="3772" spans="1:7" x14ac:dyDescent="0.3">
      <c r="A3772" t="s">
        <v>564</v>
      </c>
      <c r="B3772" t="s">
        <v>571</v>
      </c>
      <c r="C3772" t="s">
        <v>572</v>
      </c>
      <c r="D3772" s="7">
        <v>5</v>
      </c>
      <c r="E3772">
        <v>2013</v>
      </c>
      <c r="F3772">
        <v>2013</v>
      </c>
      <c r="G3772" t="str">
        <f>IFERROR(INDEX(Formulations[Formulation],MATCH($C3772,Formulations[Product Code],0)),"")</f>
        <v/>
      </c>
    </row>
    <row r="3773" spans="1:7" x14ac:dyDescent="0.3">
      <c r="A3773" t="s">
        <v>564</v>
      </c>
      <c r="B3773" t="s">
        <v>573</v>
      </c>
      <c r="C3773" t="s">
        <v>574</v>
      </c>
      <c r="D3773" s="7">
        <v>5</v>
      </c>
      <c r="E3773">
        <v>2013</v>
      </c>
      <c r="F3773">
        <v>2013</v>
      </c>
      <c r="G3773" t="str">
        <f>IFERROR(INDEX(Formulations[Formulation],MATCH($C3773,Formulations[Product Code],0)),"")</f>
        <v>Crystal</v>
      </c>
    </row>
    <row r="3774" spans="1:7" x14ac:dyDescent="0.3">
      <c r="A3774" t="s">
        <v>564</v>
      </c>
      <c r="B3774" t="s">
        <v>575</v>
      </c>
      <c r="C3774" t="s">
        <v>576</v>
      </c>
      <c r="D3774" s="7">
        <v>5</v>
      </c>
      <c r="E3774">
        <v>2013</v>
      </c>
      <c r="F3774">
        <v>2013</v>
      </c>
      <c r="G3774" t="str">
        <f>IFERROR(INDEX(Formulations[Formulation],MATCH($C3774,Formulations[Product Code],0)),"")</f>
        <v/>
      </c>
    </row>
    <row r="3775" spans="1:7" x14ac:dyDescent="0.3">
      <c r="A3775" t="s">
        <v>564</v>
      </c>
      <c r="B3775" t="s">
        <v>334</v>
      </c>
      <c r="C3775" t="s">
        <v>335</v>
      </c>
      <c r="D3775" s="7">
        <v>5</v>
      </c>
      <c r="E3775">
        <v>2013</v>
      </c>
      <c r="F3775">
        <v>2013</v>
      </c>
      <c r="G3775" t="str">
        <f>IFERROR(INDEX(Formulations[Formulation],MATCH($C3775,Formulations[Product Code],0)),"")</f>
        <v>Pure</v>
      </c>
    </row>
    <row r="3776" spans="1:7" x14ac:dyDescent="0.3">
      <c r="A3776" t="s">
        <v>564</v>
      </c>
      <c r="B3776" t="s">
        <v>46</v>
      </c>
      <c r="C3776" t="s">
        <v>577</v>
      </c>
      <c r="D3776" s="7">
        <v>5</v>
      </c>
      <c r="E3776">
        <v>2013</v>
      </c>
      <c r="F3776">
        <v>2013</v>
      </c>
      <c r="G3776" t="str">
        <f>IFERROR(INDEX(Formulations[Formulation],MATCH($C3776,Formulations[Product Code],0)),"")</f>
        <v/>
      </c>
    </row>
    <row r="3777" spans="1:7" x14ac:dyDescent="0.3">
      <c r="A3777" t="s">
        <v>578</v>
      </c>
      <c r="B3777" t="s">
        <v>99</v>
      </c>
      <c r="C3777" t="s">
        <v>100</v>
      </c>
      <c r="D3777" s="7">
        <v>5</v>
      </c>
      <c r="E3777">
        <v>2017</v>
      </c>
      <c r="F3777">
        <v>2017</v>
      </c>
      <c r="G3777" t="str">
        <f>IFERROR(INDEX(Formulations[Formulation],MATCH($C3777,Formulations[Product Code],0)),"")</f>
        <v>Crystal</v>
      </c>
    </row>
    <row r="3778" spans="1:7" x14ac:dyDescent="0.3">
      <c r="A3778" t="s">
        <v>578</v>
      </c>
      <c r="B3778" t="s">
        <v>74</v>
      </c>
      <c r="C3778" t="s">
        <v>75</v>
      </c>
      <c r="D3778" s="7">
        <v>5</v>
      </c>
      <c r="E3778">
        <v>2017</v>
      </c>
      <c r="F3778">
        <v>2017</v>
      </c>
      <c r="G3778" t="str">
        <f>IFERROR(INDEX(Formulations[Formulation],MATCH($C3778,Formulations[Product Code],0)),"")</f>
        <v>Crystal</v>
      </c>
    </row>
    <row r="3779" spans="1:7" x14ac:dyDescent="0.3">
      <c r="A3779" t="s">
        <v>585</v>
      </c>
      <c r="B3779" t="s">
        <v>51</v>
      </c>
      <c r="C3779" t="s">
        <v>52</v>
      </c>
      <c r="D3779" s="7">
        <v>5</v>
      </c>
      <c r="E3779">
        <v>2021</v>
      </c>
      <c r="F3779">
        <v>2021</v>
      </c>
      <c r="G3779" t="str">
        <f>IFERROR(INDEX(Formulations[Formulation],MATCH($C3779,Formulations[Product Code],0)),"")</f>
        <v>Silver</v>
      </c>
    </row>
    <row r="3780" spans="1:7" x14ac:dyDescent="0.3">
      <c r="A3780" t="s">
        <v>585</v>
      </c>
      <c r="B3780" t="s">
        <v>125</v>
      </c>
      <c r="D3780" s="7">
        <v>5</v>
      </c>
      <c r="E3780">
        <v>2019</v>
      </c>
      <c r="F3780">
        <v>2019</v>
      </c>
      <c r="G3780" t="str">
        <f>IFERROR(INDEX(Formulations[Formulation],MATCH($C3780,Formulations[Product Code],0)),"")</f>
        <v/>
      </c>
    </row>
    <row r="3781" spans="1:7" x14ac:dyDescent="0.3">
      <c r="A3781" t="s">
        <v>601</v>
      </c>
      <c r="B3781" t="s">
        <v>545</v>
      </c>
      <c r="C3781" t="s">
        <v>546</v>
      </c>
      <c r="D3781" s="7">
        <v>5</v>
      </c>
      <c r="E3781">
        <v>2021</v>
      </c>
      <c r="F3781">
        <v>2021</v>
      </c>
      <c r="G3781" t="str">
        <f>IFERROR(INDEX(Formulations[Formulation],MATCH($C3781,Formulations[Product Code],0)),"")</f>
        <v>Pure</v>
      </c>
    </row>
    <row r="3782" spans="1:7" x14ac:dyDescent="0.3">
      <c r="A3782" t="s">
        <v>609</v>
      </c>
      <c r="B3782" t="s">
        <v>396</v>
      </c>
      <c r="C3782" t="s">
        <v>397</v>
      </c>
      <c r="D3782" s="7">
        <v>5</v>
      </c>
      <c r="E3782">
        <v>2016</v>
      </c>
      <c r="F3782">
        <v>2016</v>
      </c>
      <c r="G3782" t="str">
        <f>IFERROR(INDEX(Formulations[Formulation],MATCH($C3782,Formulations[Product Code],0)),"")</f>
        <v/>
      </c>
    </row>
    <row r="3783" spans="1:7" x14ac:dyDescent="0.3">
      <c r="A3783" t="s">
        <v>609</v>
      </c>
      <c r="B3783" t="s">
        <v>291</v>
      </c>
      <c r="C3783" t="s">
        <v>292</v>
      </c>
      <c r="D3783" s="7">
        <v>5</v>
      </c>
      <c r="E3783">
        <v>2016</v>
      </c>
      <c r="F3783">
        <v>2016</v>
      </c>
      <c r="G3783" t="str">
        <f>IFERROR(INDEX(Formulations[Formulation],MATCH($C3783,Formulations[Product Code],0)),"")</f>
        <v/>
      </c>
    </row>
    <row r="3784" spans="1:7" x14ac:dyDescent="0.3">
      <c r="A3784" t="s">
        <v>609</v>
      </c>
      <c r="B3784" t="s">
        <v>620</v>
      </c>
      <c r="C3784" t="s">
        <v>621</v>
      </c>
      <c r="D3784" s="7">
        <v>5</v>
      </c>
      <c r="E3784">
        <v>2016</v>
      </c>
      <c r="F3784">
        <v>2016</v>
      </c>
      <c r="G3784" t="str">
        <f>IFERROR(INDEX(Formulations[Formulation],MATCH($C3784,Formulations[Product Code],0)),"")</f>
        <v/>
      </c>
    </row>
    <row r="3785" spans="1:7" x14ac:dyDescent="0.3">
      <c r="A3785" t="s">
        <v>609</v>
      </c>
      <c r="B3785" t="s">
        <v>318</v>
      </c>
      <c r="C3785" t="s">
        <v>319</v>
      </c>
      <c r="D3785" s="7">
        <v>5</v>
      </c>
      <c r="E3785">
        <v>2014</v>
      </c>
      <c r="F3785">
        <v>2014</v>
      </c>
      <c r="G3785" t="str">
        <f>IFERROR(INDEX(Formulations[Formulation],MATCH($C3785,Formulations[Product Code],0)),"")</f>
        <v>Pure</v>
      </c>
    </row>
    <row r="3786" spans="1:7" x14ac:dyDescent="0.3">
      <c r="A3786" t="s">
        <v>609</v>
      </c>
      <c r="B3786" t="s">
        <v>562</v>
      </c>
      <c r="C3786" t="s">
        <v>563</v>
      </c>
      <c r="D3786" s="7">
        <v>5</v>
      </c>
      <c r="E3786">
        <v>2016</v>
      </c>
      <c r="F3786">
        <v>2016</v>
      </c>
      <c r="G3786" t="str">
        <f>IFERROR(INDEX(Formulations[Formulation],MATCH($C3786,Formulations[Product Code],0)),"")</f>
        <v/>
      </c>
    </row>
    <row r="3787" spans="1:7" x14ac:dyDescent="0.3">
      <c r="A3787" t="s">
        <v>609</v>
      </c>
      <c r="B3787" t="s">
        <v>323</v>
      </c>
      <c r="C3787" t="s">
        <v>324</v>
      </c>
      <c r="D3787" s="7">
        <v>5</v>
      </c>
      <c r="E3787">
        <v>2016</v>
      </c>
      <c r="F3787">
        <v>2016</v>
      </c>
      <c r="G3787" t="str">
        <f>IFERROR(INDEX(Formulations[Formulation],MATCH($C3787,Formulations[Product Code],0)),"")</f>
        <v>Pure</v>
      </c>
    </row>
    <row r="3788" spans="1:7" x14ac:dyDescent="0.3">
      <c r="A3788" t="s">
        <v>622</v>
      </c>
      <c r="B3788" t="s">
        <v>623</v>
      </c>
      <c r="C3788" t="s">
        <v>324</v>
      </c>
      <c r="D3788" s="7">
        <v>5</v>
      </c>
      <c r="E3788">
        <v>2019</v>
      </c>
      <c r="F3788">
        <v>2019</v>
      </c>
      <c r="G3788" t="str">
        <f>IFERROR(INDEX(Formulations[Formulation],MATCH($C3788,Formulations[Product Code],0)),"")</f>
        <v>Pure</v>
      </c>
    </row>
    <row r="3789" spans="1:7" x14ac:dyDescent="0.3">
      <c r="A3789" t="s">
        <v>622</v>
      </c>
      <c r="B3789" t="s">
        <v>626</v>
      </c>
      <c r="C3789" t="s">
        <v>582</v>
      </c>
      <c r="D3789" s="7">
        <v>5</v>
      </c>
      <c r="E3789">
        <v>2019</v>
      </c>
      <c r="F3789">
        <v>2019</v>
      </c>
      <c r="G3789" t="str">
        <f>IFERROR(INDEX(Formulations[Formulation],MATCH($C3789,Formulations[Product Code],0)),"")</f>
        <v/>
      </c>
    </row>
    <row r="3790" spans="1:7" x14ac:dyDescent="0.3">
      <c r="A3790" t="s">
        <v>622</v>
      </c>
      <c r="B3790" t="s">
        <v>34</v>
      </c>
      <c r="D3790" s="7">
        <v>5</v>
      </c>
      <c r="E3790">
        <v>2019</v>
      </c>
      <c r="F3790">
        <v>2019</v>
      </c>
      <c r="G3790" t="str">
        <f>IFERROR(INDEX(Formulations[Formulation],MATCH($C3790,Formulations[Product Code],0)),"")</f>
        <v/>
      </c>
    </row>
    <row r="3791" spans="1:7" x14ac:dyDescent="0.3">
      <c r="A3791" t="s">
        <v>622</v>
      </c>
      <c r="B3791" t="s">
        <v>453</v>
      </c>
      <c r="D3791" s="7">
        <v>5</v>
      </c>
      <c r="E3791">
        <v>2019</v>
      </c>
      <c r="F3791">
        <v>2019</v>
      </c>
      <c r="G3791" t="str">
        <f>IFERROR(INDEX(Formulations[Formulation],MATCH($C3791,Formulations[Product Code],0)),"")</f>
        <v/>
      </c>
    </row>
    <row r="3792" spans="1:7" x14ac:dyDescent="0.3">
      <c r="A3792" t="s">
        <v>622</v>
      </c>
      <c r="B3792" t="s">
        <v>417</v>
      </c>
      <c r="C3792" t="s">
        <v>418</v>
      </c>
      <c r="D3792" s="7">
        <v>5</v>
      </c>
      <c r="E3792">
        <v>2019</v>
      </c>
      <c r="F3792">
        <v>2019</v>
      </c>
      <c r="G3792" t="str">
        <f>IFERROR(INDEX(Formulations[Formulation],MATCH($C3792,Formulations[Product Code],0)),"")</f>
        <v>Pure</v>
      </c>
    </row>
    <row r="3793" spans="1:7" x14ac:dyDescent="0.3">
      <c r="A3793" t="s">
        <v>622</v>
      </c>
      <c r="B3793" t="s">
        <v>633</v>
      </c>
      <c r="C3793" t="s">
        <v>634</v>
      </c>
      <c r="D3793" s="7">
        <v>5</v>
      </c>
      <c r="E3793">
        <v>2019</v>
      </c>
      <c r="F3793">
        <v>2019</v>
      </c>
      <c r="G3793" t="str">
        <f>IFERROR(INDEX(Formulations[Formulation],MATCH($C3793,Formulations[Product Code],0)),"")</f>
        <v/>
      </c>
    </row>
    <row r="3794" spans="1:7" x14ac:dyDescent="0.3">
      <c r="A3794" t="s">
        <v>622</v>
      </c>
      <c r="B3794" t="s">
        <v>637</v>
      </c>
      <c r="C3794" t="s">
        <v>638</v>
      </c>
      <c r="D3794" s="7">
        <v>5</v>
      </c>
      <c r="E3794">
        <v>2019</v>
      </c>
      <c r="F3794">
        <v>2019</v>
      </c>
      <c r="G3794" t="str">
        <f>IFERROR(INDEX(Formulations[Formulation],MATCH($C3794,Formulations[Product Code],0)),"")</f>
        <v>Pure</v>
      </c>
    </row>
    <row r="3795" spans="1:7" x14ac:dyDescent="0.3">
      <c r="A3795" t="s">
        <v>622</v>
      </c>
      <c r="B3795" t="s">
        <v>641</v>
      </c>
      <c r="C3795" t="s">
        <v>289</v>
      </c>
      <c r="D3795" s="7">
        <v>5</v>
      </c>
      <c r="E3795">
        <v>2019</v>
      </c>
      <c r="F3795">
        <v>2019</v>
      </c>
      <c r="G3795" t="str">
        <f>IFERROR(INDEX(Formulations[Formulation],MATCH($C3795,Formulations[Product Code],0)),"")</f>
        <v>L1212 Blanc by Lacoste (M) CP19035 -  (60%l1212) creed silver mountain 40% than make gold</v>
      </c>
    </row>
    <row r="3796" spans="1:7" x14ac:dyDescent="0.3">
      <c r="A3796" t="s">
        <v>622</v>
      </c>
      <c r="B3796" t="s">
        <v>35</v>
      </c>
      <c r="D3796" s="7">
        <v>5</v>
      </c>
      <c r="E3796">
        <v>2019</v>
      </c>
      <c r="F3796">
        <v>2019</v>
      </c>
      <c r="G3796" t="str">
        <f>IFERROR(INDEX(Formulations[Formulation],MATCH($C3796,Formulations[Product Code],0)),"")</f>
        <v/>
      </c>
    </row>
    <row r="3797" spans="1:7" x14ac:dyDescent="0.3">
      <c r="A3797" t="s">
        <v>622</v>
      </c>
      <c r="B3797" t="s">
        <v>642</v>
      </c>
      <c r="D3797" s="7">
        <v>5</v>
      </c>
      <c r="E3797">
        <v>2019</v>
      </c>
      <c r="F3797">
        <v>2019</v>
      </c>
      <c r="G3797" t="str">
        <f>IFERROR(INDEX(Formulations[Formulation],MATCH($C3797,Formulations[Product Code],0)),"")</f>
        <v/>
      </c>
    </row>
    <row r="3798" spans="1:7" x14ac:dyDescent="0.3">
      <c r="A3798" t="s">
        <v>622</v>
      </c>
      <c r="B3798" t="s">
        <v>645</v>
      </c>
      <c r="C3798" t="s">
        <v>646</v>
      </c>
      <c r="D3798" s="7">
        <v>5</v>
      </c>
      <c r="E3798">
        <v>2019</v>
      </c>
      <c r="F3798">
        <v>2019</v>
      </c>
      <c r="G3798" t="str">
        <f>IFERROR(INDEX(Formulations[Formulation],MATCH($C3798,Formulations[Product Code],0)),"")</f>
        <v/>
      </c>
    </row>
    <row r="3799" spans="1:7" x14ac:dyDescent="0.3">
      <c r="A3799" t="s">
        <v>622</v>
      </c>
      <c r="B3799" t="s">
        <v>649</v>
      </c>
      <c r="C3799" t="s">
        <v>650</v>
      </c>
      <c r="D3799" s="7">
        <v>5</v>
      </c>
      <c r="E3799">
        <v>2019</v>
      </c>
      <c r="F3799">
        <v>2019</v>
      </c>
      <c r="G3799" t="str">
        <f>IFERROR(INDEX(Formulations[Formulation],MATCH($C3799,Formulations[Product Code],0)),"")</f>
        <v>Pure</v>
      </c>
    </row>
    <row r="3800" spans="1:7" x14ac:dyDescent="0.3">
      <c r="A3800" t="s">
        <v>622</v>
      </c>
      <c r="B3800" t="s">
        <v>542</v>
      </c>
      <c r="C3800" t="s">
        <v>160</v>
      </c>
      <c r="D3800" s="7">
        <v>5</v>
      </c>
      <c r="E3800">
        <v>2019</v>
      </c>
      <c r="F3800">
        <v>2019</v>
      </c>
      <c r="G3800" t="str">
        <f>IFERROR(INDEX(Formulations[Formulation],MATCH($C3800,Formulations[Product Code],0)),"")</f>
        <v>Silver</v>
      </c>
    </row>
    <row r="3801" spans="1:7" x14ac:dyDescent="0.3">
      <c r="A3801" t="s">
        <v>622</v>
      </c>
      <c r="B3801" t="s">
        <v>36</v>
      </c>
      <c r="D3801" s="7">
        <v>5</v>
      </c>
      <c r="E3801">
        <v>2019</v>
      </c>
      <c r="F3801">
        <v>2019</v>
      </c>
      <c r="G3801" t="str">
        <f>IFERROR(INDEX(Formulations[Formulation],MATCH($C3801,Formulations[Product Code],0)),"")</f>
        <v/>
      </c>
    </row>
    <row r="3802" spans="1:7" x14ac:dyDescent="0.3">
      <c r="A3802" t="s">
        <v>622</v>
      </c>
      <c r="B3802" t="s">
        <v>265</v>
      </c>
      <c r="C3802" t="s">
        <v>197</v>
      </c>
      <c r="D3802" s="7">
        <v>5</v>
      </c>
      <c r="E3802">
        <v>2019</v>
      </c>
      <c r="F3802">
        <v>2019</v>
      </c>
      <c r="G3802" t="str">
        <f>IFERROR(INDEX(Formulations[Formulation],MATCH($C3802,Formulations[Product Code],0)),"")</f>
        <v/>
      </c>
    </row>
    <row r="3803" spans="1:7" x14ac:dyDescent="0.3">
      <c r="A3803" t="s">
        <v>622</v>
      </c>
      <c r="B3803" t="s">
        <v>656</v>
      </c>
      <c r="C3803" t="s">
        <v>71</v>
      </c>
      <c r="D3803" s="7">
        <v>5</v>
      </c>
      <c r="E3803">
        <v>2019</v>
      </c>
      <c r="F3803">
        <v>2019</v>
      </c>
      <c r="G3803" t="str">
        <f>IFERROR(INDEX(Formulations[Formulation],MATCH($C3803,Formulations[Product Code],0)),"")</f>
        <v>40% Oil &amp; 60% DPG</v>
      </c>
    </row>
    <row r="3804" spans="1:7" x14ac:dyDescent="0.3">
      <c r="A3804" t="s">
        <v>685</v>
      </c>
      <c r="B3804" t="s">
        <v>686</v>
      </c>
      <c r="C3804" t="s">
        <v>687</v>
      </c>
      <c r="D3804" s="7">
        <v>5</v>
      </c>
      <c r="E3804">
        <v>2021</v>
      </c>
      <c r="F3804">
        <v>2021</v>
      </c>
      <c r="G3804" t="str">
        <f>IFERROR(INDEX(Formulations[Formulation],MATCH($C3804,Formulations[Product Code],0)),"")</f>
        <v>Pure</v>
      </c>
    </row>
    <row r="3805" spans="1:7" x14ac:dyDescent="0.3">
      <c r="A3805" t="s">
        <v>690</v>
      </c>
      <c r="B3805" t="s">
        <v>301</v>
      </c>
      <c r="C3805" t="s">
        <v>302</v>
      </c>
      <c r="D3805" s="7">
        <v>5</v>
      </c>
      <c r="E3805">
        <v>2011</v>
      </c>
      <c r="F3805">
        <v>2011</v>
      </c>
      <c r="G3805" t="str">
        <f>IFERROR(INDEX(Formulations[Formulation],MATCH($C3805,Formulations[Product Code],0)),"")</f>
        <v/>
      </c>
    </row>
    <row r="3806" spans="1:7" x14ac:dyDescent="0.3">
      <c r="A3806" t="s">
        <v>690</v>
      </c>
      <c r="B3806" t="s">
        <v>691</v>
      </c>
      <c r="C3806" t="s">
        <v>692</v>
      </c>
      <c r="D3806" s="7">
        <v>5</v>
      </c>
      <c r="E3806">
        <v>2011</v>
      </c>
      <c r="F3806">
        <v>2011</v>
      </c>
      <c r="G3806" t="str">
        <f>IFERROR(INDEX(Formulations[Formulation],MATCH($C3806,Formulations[Product Code],0)),"")</f>
        <v/>
      </c>
    </row>
    <row r="3807" spans="1:7" x14ac:dyDescent="0.3">
      <c r="A3807" t="s">
        <v>690</v>
      </c>
      <c r="B3807" t="s">
        <v>693</v>
      </c>
      <c r="C3807" t="s">
        <v>694</v>
      </c>
      <c r="D3807" s="7">
        <v>5</v>
      </c>
      <c r="E3807">
        <v>2011</v>
      </c>
      <c r="F3807">
        <v>2011</v>
      </c>
      <c r="G3807" t="str">
        <f>IFERROR(INDEX(Formulations[Formulation],MATCH($C3807,Formulations[Product Code],0)),"")</f>
        <v/>
      </c>
    </row>
    <row r="3808" spans="1:7" x14ac:dyDescent="0.3">
      <c r="A3808" t="s">
        <v>690</v>
      </c>
      <c r="B3808" t="s">
        <v>386</v>
      </c>
      <c r="C3808" t="s">
        <v>387</v>
      </c>
      <c r="D3808" s="7">
        <v>5</v>
      </c>
      <c r="E3808">
        <v>2011</v>
      </c>
      <c r="F3808">
        <v>2011</v>
      </c>
      <c r="G3808" t="str">
        <f>IFERROR(INDEX(Formulations[Formulation],MATCH($C3808,Formulations[Product Code],0)),"")</f>
        <v/>
      </c>
    </row>
    <row r="3809" spans="1:7" x14ac:dyDescent="0.3">
      <c r="A3809" t="s">
        <v>762</v>
      </c>
      <c r="B3809" t="s">
        <v>763</v>
      </c>
      <c r="D3809" s="7">
        <v>5</v>
      </c>
      <c r="E3809">
        <v>2015</v>
      </c>
      <c r="F3809">
        <v>2015</v>
      </c>
      <c r="G3809" t="str">
        <f>IFERROR(INDEX(Formulations[Formulation],MATCH($C3809,Formulations[Product Code],0)),"")</f>
        <v/>
      </c>
    </row>
    <row r="3810" spans="1:7" x14ac:dyDescent="0.3">
      <c r="A3810" t="s">
        <v>803</v>
      </c>
      <c r="B3810" t="s">
        <v>804</v>
      </c>
      <c r="C3810" t="s">
        <v>805</v>
      </c>
      <c r="D3810" s="7">
        <v>5</v>
      </c>
      <c r="E3810">
        <v>2013</v>
      </c>
      <c r="F3810">
        <v>2013</v>
      </c>
      <c r="G3810" t="str">
        <f>IFERROR(INDEX(Formulations[Formulation],MATCH($C3810,Formulations[Product Code],0)),"")</f>
        <v/>
      </c>
    </row>
    <row r="3811" spans="1:7" x14ac:dyDescent="0.3">
      <c r="A3811" t="s">
        <v>803</v>
      </c>
      <c r="B3811" t="s">
        <v>103</v>
      </c>
      <c r="C3811" t="s">
        <v>104</v>
      </c>
      <c r="D3811" s="7">
        <v>5</v>
      </c>
      <c r="E3811">
        <v>2018</v>
      </c>
      <c r="F3811">
        <v>2018</v>
      </c>
      <c r="G3811" t="str">
        <f>IFERROR(INDEX(Formulations[Formulation],MATCH($C3811,Formulations[Product Code],0)),"")</f>
        <v>Pure</v>
      </c>
    </row>
    <row r="3812" spans="1:7" x14ac:dyDescent="0.3">
      <c r="A3812" t="s">
        <v>806</v>
      </c>
      <c r="B3812" t="s">
        <v>276</v>
      </c>
      <c r="C3812" t="s">
        <v>277</v>
      </c>
      <c r="D3812" s="7">
        <v>5</v>
      </c>
      <c r="E3812">
        <v>2018</v>
      </c>
      <c r="F3812">
        <v>2018</v>
      </c>
      <c r="G3812" t="str">
        <f>IFERROR(INDEX(Formulations[Formulation],MATCH($C3812,Formulations[Product Code],0)),"")</f>
        <v>Pure</v>
      </c>
    </row>
    <row r="3813" spans="1:7" x14ac:dyDescent="0.3">
      <c r="A3813" t="s">
        <v>806</v>
      </c>
      <c r="B3813" t="s">
        <v>395</v>
      </c>
      <c r="D3813" s="7">
        <v>5</v>
      </c>
      <c r="E3813">
        <v>2018</v>
      </c>
      <c r="F3813">
        <v>2018</v>
      </c>
      <c r="G3813" t="str">
        <f>IFERROR(INDEX(Formulations[Formulation],MATCH($C3813,Formulations[Product Code],0)),"")</f>
        <v/>
      </c>
    </row>
    <row r="3814" spans="1:7" x14ac:dyDescent="0.3">
      <c r="A3814" t="s">
        <v>806</v>
      </c>
      <c r="B3814" t="s">
        <v>288</v>
      </c>
      <c r="C3814" t="s">
        <v>289</v>
      </c>
      <c r="D3814" s="7">
        <v>5</v>
      </c>
      <c r="E3814">
        <v>2016</v>
      </c>
      <c r="F3814">
        <v>2016</v>
      </c>
      <c r="G3814" t="str">
        <f>IFERROR(INDEX(Formulations[Formulation],MATCH($C3814,Formulations[Product Code],0)),"")</f>
        <v>L1212 Blanc by Lacoste (M) CP19035 -  (60%l1212) creed silver mountain 40% than make gold</v>
      </c>
    </row>
    <row r="3815" spans="1:7" x14ac:dyDescent="0.3">
      <c r="A3815" t="s">
        <v>806</v>
      </c>
      <c r="B3815" t="s">
        <v>807</v>
      </c>
      <c r="C3815" t="s">
        <v>515</v>
      </c>
      <c r="D3815" s="7">
        <v>5</v>
      </c>
      <c r="E3815">
        <v>2018</v>
      </c>
      <c r="F3815">
        <v>2018</v>
      </c>
      <c r="G3815" t="str">
        <f>IFERROR(INDEX(Formulations[Formulation],MATCH($C3815,Formulations[Product Code],0)),"")</f>
        <v>Crystal</v>
      </c>
    </row>
    <row r="3816" spans="1:7" x14ac:dyDescent="0.3">
      <c r="A3816" t="s">
        <v>812</v>
      </c>
      <c r="B3816" t="s">
        <v>35</v>
      </c>
      <c r="D3816" s="7">
        <v>5</v>
      </c>
      <c r="E3816">
        <v>2020</v>
      </c>
      <c r="F3816">
        <v>2020</v>
      </c>
      <c r="G3816" t="str">
        <f>IFERROR(INDEX(Formulations[Formulation],MATCH($C3816,Formulations[Product Code],0)),"")</f>
        <v/>
      </c>
    </row>
    <row r="3817" spans="1:7" x14ac:dyDescent="0.3">
      <c r="A3817" t="s">
        <v>815</v>
      </c>
      <c r="B3817" t="s">
        <v>528</v>
      </c>
      <c r="C3817" t="s">
        <v>529</v>
      </c>
      <c r="D3817" s="7">
        <v>5</v>
      </c>
      <c r="E3817">
        <v>2021</v>
      </c>
      <c r="F3817">
        <v>2021</v>
      </c>
      <c r="G3817" t="str">
        <f>IFERROR(INDEX(Formulations[Formulation],MATCH($C3817,Formulations[Product Code],0)),"")</f>
        <v>Crystal</v>
      </c>
    </row>
    <row r="3818" spans="1:7" x14ac:dyDescent="0.3">
      <c r="A3818" t="s">
        <v>816</v>
      </c>
      <c r="B3818" t="s">
        <v>55</v>
      </c>
      <c r="D3818" s="7">
        <v>5</v>
      </c>
      <c r="E3818">
        <v>2021</v>
      </c>
      <c r="F3818">
        <v>2021</v>
      </c>
      <c r="G3818" t="str">
        <f>IFERROR(INDEX(Formulations[Formulation],MATCH($C3818,Formulations[Product Code],0)),"")</f>
        <v/>
      </c>
    </row>
    <row r="3819" spans="1:7" x14ac:dyDescent="0.3">
      <c r="A3819" t="s">
        <v>816</v>
      </c>
      <c r="B3819" t="s">
        <v>72</v>
      </c>
      <c r="C3819" t="s">
        <v>319</v>
      </c>
      <c r="D3819" s="7">
        <v>5</v>
      </c>
      <c r="E3819">
        <v>2021</v>
      </c>
      <c r="F3819">
        <v>2021</v>
      </c>
      <c r="G3819" t="str">
        <f>IFERROR(INDEX(Formulations[Formulation],MATCH($C3819,Formulations[Product Code],0)),"")</f>
        <v>Pure</v>
      </c>
    </row>
    <row r="3820" spans="1:7" x14ac:dyDescent="0.3">
      <c r="A3820" t="s">
        <v>859</v>
      </c>
      <c r="B3820" t="s">
        <v>686</v>
      </c>
      <c r="C3820" t="s">
        <v>687</v>
      </c>
      <c r="D3820" s="7">
        <v>5</v>
      </c>
      <c r="E3820">
        <v>2020</v>
      </c>
      <c r="F3820">
        <v>2020</v>
      </c>
      <c r="G3820" t="str">
        <f>IFERROR(INDEX(Formulations[Formulation],MATCH($C3820,Formulations[Product Code],0)),"")</f>
        <v>Pure</v>
      </c>
    </row>
    <row r="3821" spans="1:7" x14ac:dyDescent="0.3">
      <c r="A3821" t="s">
        <v>859</v>
      </c>
      <c r="B3821" t="s">
        <v>404</v>
      </c>
      <c r="C3821" t="s">
        <v>405</v>
      </c>
      <c r="D3821" s="7">
        <v>5</v>
      </c>
      <c r="E3821">
        <v>2020</v>
      </c>
      <c r="F3821">
        <v>2020</v>
      </c>
      <c r="G3821" t="str">
        <f>IFERROR(INDEX(Formulations[Formulation],MATCH($C3821,Formulations[Product Code],0)),"")</f>
        <v/>
      </c>
    </row>
    <row r="3822" spans="1:7" x14ac:dyDescent="0.3">
      <c r="A3822" t="s">
        <v>865</v>
      </c>
      <c r="B3822" t="s">
        <v>34</v>
      </c>
      <c r="D3822" s="7">
        <v>5</v>
      </c>
      <c r="E3822">
        <v>2020</v>
      </c>
      <c r="F3822">
        <v>2020</v>
      </c>
      <c r="G3822" t="str">
        <f>IFERROR(INDEX(Formulations[Formulation],MATCH($C3822,Formulations[Product Code],0)),"")</f>
        <v/>
      </c>
    </row>
    <row r="3823" spans="1:7" x14ac:dyDescent="0.3">
      <c r="A3823" t="s">
        <v>865</v>
      </c>
      <c r="B3823" t="s">
        <v>110</v>
      </c>
      <c r="C3823" t="s">
        <v>111</v>
      </c>
      <c r="D3823" s="7">
        <v>5</v>
      </c>
      <c r="E3823">
        <v>2019</v>
      </c>
      <c r="F3823">
        <v>2019</v>
      </c>
      <c r="G3823" t="str">
        <f>IFERROR(INDEX(Formulations[Formulation],MATCH($C3823,Formulations[Product Code],0)),"")</f>
        <v>75% Lemon Zeste, 25% lemon Top &amp; the Gold DPG)</v>
      </c>
    </row>
    <row r="3824" spans="1:7" x14ac:dyDescent="0.3">
      <c r="A3824" t="s">
        <v>877</v>
      </c>
      <c r="B3824" t="s">
        <v>103</v>
      </c>
      <c r="C3824" t="s">
        <v>104</v>
      </c>
      <c r="D3824" s="7">
        <v>5</v>
      </c>
      <c r="E3824">
        <v>2021</v>
      </c>
      <c r="F3824">
        <v>2021</v>
      </c>
      <c r="G3824" t="str">
        <f>IFERROR(INDEX(Formulations[Formulation],MATCH($C3824,Formulations[Product Code],0)),"")</f>
        <v>Pure</v>
      </c>
    </row>
    <row r="3825" spans="1:7" x14ac:dyDescent="0.3">
      <c r="A3825" t="s">
        <v>878</v>
      </c>
      <c r="B3825" t="s">
        <v>809</v>
      </c>
      <c r="C3825" t="s">
        <v>810</v>
      </c>
      <c r="D3825" s="7">
        <v>5</v>
      </c>
      <c r="E3825">
        <v>2016</v>
      </c>
      <c r="F3825">
        <v>2016</v>
      </c>
      <c r="G3825" t="str">
        <f>IFERROR(INDEX(Formulations[Formulation],MATCH($C3825,Formulations[Product Code],0)),"")</f>
        <v>Silver</v>
      </c>
    </row>
    <row r="3826" spans="1:7" x14ac:dyDescent="0.3">
      <c r="A3826" t="s">
        <v>887</v>
      </c>
      <c r="B3826" t="s">
        <v>395</v>
      </c>
      <c r="D3826" s="7">
        <v>5</v>
      </c>
      <c r="E3826">
        <v>2017</v>
      </c>
      <c r="F3826">
        <v>2017</v>
      </c>
      <c r="G3826" t="str">
        <f>IFERROR(INDEX(Formulations[Formulation],MATCH($C3826,Formulations[Product Code],0)),"")</f>
        <v/>
      </c>
    </row>
    <row r="3827" spans="1:7" x14ac:dyDescent="0.3">
      <c r="A3827" t="s">
        <v>887</v>
      </c>
      <c r="B3827" t="s">
        <v>323</v>
      </c>
      <c r="C3827" t="s">
        <v>324</v>
      </c>
      <c r="D3827" s="7">
        <v>5</v>
      </c>
      <c r="E3827">
        <v>2016</v>
      </c>
      <c r="F3827">
        <v>2016</v>
      </c>
      <c r="G3827" t="str">
        <f>IFERROR(INDEX(Formulations[Formulation],MATCH($C3827,Formulations[Product Code],0)),"")</f>
        <v>Pure</v>
      </c>
    </row>
    <row r="3828" spans="1:7" x14ac:dyDescent="0.3">
      <c r="A3828" t="s">
        <v>920</v>
      </c>
      <c r="B3828" t="s">
        <v>922</v>
      </c>
      <c r="D3828" s="7">
        <v>5</v>
      </c>
      <c r="E3828">
        <v>2018</v>
      </c>
      <c r="F3828">
        <v>2018</v>
      </c>
      <c r="G3828" t="str">
        <f>IFERROR(INDEX(Formulations[Formulation],MATCH($C3828,Formulations[Product Code],0)),"")</f>
        <v/>
      </c>
    </row>
    <row r="3829" spans="1:7" x14ac:dyDescent="0.3">
      <c r="A3829" t="s">
        <v>920</v>
      </c>
      <c r="B3829" t="s">
        <v>656</v>
      </c>
      <c r="C3829" t="s">
        <v>71</v>
      </c>
      <c r="D3829" s="7">
        <v>5</v>
      </c>
      <c r="E3829">
        <v>2021</v>
      </c>
      <c r="F3829">
        <v>2021</v>
      </c>
      <c r="G3829" t="str">
        <f>IFERROR(INDEX(Formulations[Formulation],MATCH($C3829,Formulations[Product Code],0)),"")</f>
        <v>40% Oil &amp; 60% DPG</v>
      </c>
    </row>
    <row r="3830" spans="1:7" x14ac:dyDescent="0.3">
      <c r="A3830" t="s">
        <v>941</v>
      </c>
      <c r="B3830" t="s">
        <v>942</v>
      </c>
      <c r="C3830" t="s">
        <v>943</v>
      </c>
      <c r="D3830" s="7">
        <v>5</v>
      </c>
      <c r="E3830">
        <v>2018</v>
      </c>
      <c r="F3830">
        <v>2018</v>
      </c>
      <c r="G3830" t="str">
        <f>IFERROR(INDEX(Formulations[Formulation],MATCH($C3830,Formulations[Product Code],0)),"")</f>
        <v>Red Grape A299992 (Red Grape 50%/Rasberry 50%)</v>
      </c>
    </row>
    <row r="3831" spans="1:7" x14ac:dyDescent="0.3">
      <c r="A3831" t="s">
        <v>944</v>
      </c>
      <c r="B3831" t="s">
        <v>280</v>
      </c>
      <c r="C3831" t="s">
        <v>954</v>
      </c>
      <c r="D3831" s="7">
        <v>5</v>
      </c>
      <c r="E3831">
        <v>2010</v>
      </c>
      <c r="F3831">
        <v>2010</v>
      </c>
      <c r="G3831" t="str">
        <f>IFERROR(INDEX(Formulations[Formulation],MATCH($C3831,Formulations[Product Code],0)),"")</f>
        <v/>
      </c>
    </row>
    <row r="3832" spans="1:7" x14ac:dyDescent="0.3">
      <c r="A3832" t="s">
        <v>944</v>
      </c>
      <c r="B3832" t="s">
        <v>955</v>
      </c>
      <c r="C3832" t="s">
        <v>956</v>
      </c>
      <c r="D3832" s="7">
        <v>5</v>
      </c>
      <c r="E3832">
        <v>2010</v>
      </c>
      <c r="F3832">
        <v>2010</v>
      </c>
      <c r="G3832" t="str">
        <f>IFERROR(INDEX(Formulations[Formulation],MATCH($C3832,Formulations[Product Code],0)),"")</f>
        <v/>
      </c>
    </row>
    <row r="3833" spans="1:7" x14ac:dyDescent="0.3">
      <c r="A3833" t="s">
        <v>944</v>
      </c>
      <c r="B3833" t="s">
        <v>99</v>
      </c>
      <c r="C3833" t="s">
        <v>961</v>
      </c>
      <c r="D3833" s="7">
        <v>5</v>
      </c>
      <c r="E3833">
        <v>2010</v>
      </c>
      <c r="F3833">
        <v>2010</v>
      </c>
      <c r="G3833" t="str">
        <f>IFERROR(INDEX(Formulations[Formulation],MATCH($C3833,Formulations[Product Code],0)),"")</f>
        <v/>
      </c>
    </row>
    <row r="3834" spans="1:7" x14ac:dyDescent="0.3">
      <c r="A3834" t="s">
        <v>944</v>
      </c>
      <c r="B3834" t="s">
        <v>973</v>
      </c>
      <c r="C3834" t="s">
        <v>974</v>
      </c>
      <c r="D3834" s="7">
        <v>5</v>
      </c>
      <c r="E3834">
        <v>2011</v>
      </c>
      <c r="F3834">
        <v>2011</v>
      </c>
      <c r="G3834" t="str">
        <f>IFERROR(INDEX(Formulations[Formulation],MATCH($C3834,Formulations[Product Code],0)),"")</f>
        <v/>
      </c>
    </row>
    <row r="3835" spans="1:7" x14ac:dyDescent="0.3">
      <c r="A3835" t="s">
        <v>944</v>
      </c>
      <c r="B3835" t="s">
        <v>325</v>
      </c>
      <c r="C3835" t="s">
        <v>326</v>
      </c>
      <c r="D3835" s="7">
        <v>5</v>
      </c>
      <c r="E3835">
        <v>2011</v>
      </c>
      <c r="F3835">
        <v>2011</v>
      </c>
      <c r="G3835" t="str">
        <f>IFERROR(INDEX(Formulations[Formulation],MATCH($C3835,Formulations[Product Code],0)),"")</f>
        <v/>
      </c>
    </row>
    <row r="3836" spans="1:7" x14ac:dyDescent="0.3">
      <c r="A3836" t="s">
        <v>987</v>
      </c>
      <c r="B3836" t="s">
        <v>990</v>
      </c>
      <c r="C3836" t="s">
        <v>991</v>
      </c>
      <c r="D3836" s="7">
        <v>5</v>
      </c>
      <c r="E3836">
        <v>2011</v>
      </c>
      <c r="F3836">
        <v>2011</v>
      </c>
      <c r="G3836" t="str">
        <f>IFERROR(INDEX(Formulations[Formulation],MATCH($C3836,Formulations[Product Code],0)),"")</f>
        <v/>
      </c>
    </row>
    <row r="3837" spans="1:7" x14ac:dyDescent="0.3">
      <c r="A3837" t="s">
        <v>993</v>
      </c>
      <c r="B3837" t="s">
        <v>624</v>
      </c>
      <c r="C3837" t="s">
        <v>625</v>
      </c>
      <c r="D3837" s="7">
        <v>5</v>
      </c>
      <c r="E3837">
        <v>2018</v>
      </c>
      <c r="F3837">
        <v>2018</v>
      </c>
      <c r="G3837" t="str">
        <f>IFERROR(INDEX(Formulations[Formulation],MATCH($C3837,Formulations[Product Code],0)),"")</f>
        <v>Crystal</v>
      </c>
    </row>
    <row r="3838" spans="1:7" x14ac:dyDescent="0.3">
      <c r="A3838" t="s">
        <v>993</v>
      </c>
      <c r="B3838" t="s">
        <v>716</v>
      </c>
      <c r="C3838" t="s">
        <v>717</v>
      </c>
      <c r="D3838" s="7">
        <v>5</v>
      </c>
      <c r="E3838">
        <v>2018</v>
      </c>
      <c r="F3838">
        <v>2018</v>
      </c>
      <c r="G3838" t="str">
        <f>IFERROR(INDEX(Formulations[Formulation],MATCH($C3838,Formulations[Product Code],0)),"")</f>
        <v>Pure</v>
      </c>
    </row>
    <row r="3839" spans="1:7" x14ac:dyDescent="0.3">
      <c r="A3839" t="s">
        <v>993</v>
      </c>
      <c r="B3839" t="s">
        <v>602</v>
      </c>
      <c r="C3839" t="s">
        <v>603</v>
      </c>
      <c r="D3839" s="7">
        <v>5</v>
      </c>
      <c r="E3839">
        <v>2017</v>
      </c>
      <c r="F3839">
        <v>2017</v>
      </c>
      <c r="G3839" t="str">
        <f>IFERROR(INDEX(Formulations[Formulation],MATCH($C3839,Formulations[Product Code],0)),"")</f>
        <v>Crystal</v>
      </c>
    </row>
    <row r="3840" spans="1:7" x14ac:dyDescent="0.3">
      <c r="A3840" t="s">
        <v>993</v>
      </c>
      <c r="B3840" t="s">
        <v>994</v>
      </c>
      <c r="C3840" t="s">
        <v>527</v>
      </c>
      <c r="D3840" s="7">
        <v>5</v>
      </c>
      <c r="E3840">
        <v>2018</v>
      </c>
      <c r="F3840">
        <v>2018</v>
      </c>
      <c r="G3840" t="str">
        <f>IFERROR(INDEX(Formulations[Formulation],MATCH($C3840,Formulations[Product Code],0)),"")</f>
        <v/>
      </c>
    </row>
    <row r="3841" spans="1:7" x14ac:dyDescent="0.3">
      <c r="A3841" t="s">
        <v>993</v>
      </c>
      <c r="B3841" t="s">
        <v>543</v>
      </c>
      <c r="C3841" t="s">
        <v>544</v>
      </c>
      <c r="D3841" s="7">
        <v>5</v>
      </c>
      <c r="E3841">
        <v>2017</v>
      </c>
      <c r="F3841">
        <v>2017</v>
      </c>
      <c r="G3841" t="str">
        <f>IFERROR(INDEX(Formulations[Formulation],MATCH($C3841,Formulations[Product Code],0)),"")</f>
        <v>Crystal</v>
      </c>
    </row>
    <row r="3842" spans="1:7" x14ac:dyDescent="0.3">
      <c r="A3842" t="s">
        <v>999</v>
      </c>
      <c r="B3842" t="s">
        <v>600</v>
      </c>
      <c r="C3842" t="s">
        <v>75</v>
      </c>
      <c r="D3842" s="7">
        <v>5</v>
      </c>
      <c r="E3842">
        <v>2020</v>
      </c>
      <c r="F3842">
        <v>2020</v>
      </c>
      <c r="G3842" t="str">
        <f>IFERROR(INDEX(Formulations[Formulation],MATCH($C3842,Formulations[Product Code],0)),"")</f>
        <v>Crystal</v>
      </c>
    </row>
    <row r="3843" spans="1:7" x14ac:dyDescent="0.3">
      <c r="A3843" t="s">
        <v>1000</v>
      </c>
      <c r="B3843" t="s">
        <v>1004</v>
      </c>
      <c r="C3843" t="s">
        <v>197</v>
      </c>
      <c r="D3843" s="7">
        <v>5</v>
      </c>
      <c r="E3843">
        <v>2019</v>
      </c>
      <c r="F3843">
        <v>2019</v>
      </c>
      <c r="G3843" t="str">
        <f>IFERROR(INDEX(Formulations[Formulation],MATCH($C3843,Formulations[Product Code],0)),"")</f>
        <v/>
      </c>
    </row>
    <row r="3844" spans="1:7" x14ac:dyDescent="0.3">
      <c r="A3844" t="s">
        <v>1005</v>
      </c>
      <c r="B3844" t="s">
        <v>696</v>
      </c>
      <c r="C3844" t="s">
        <v>697</v>
      </c>
      <c r="D3844" s="7">
        <v>5</v>
      </c>
      <c r="E3844">
        <v>2020</v>
      </c>
      <c r="F3844">
        <v>2020</v>
      </c>
      <c r="G3844" t="str">
        <f>IFERROR(INDEX(Formulations[Formulation],MATCH($C3844,Formulations[Product Code],0)),"")</f>
        <v/>
      </c>
    </row>
    <row r="3845" spans="1:7" x14ac:dyDescent="0.3">
      <c r="A3845" t="s">
        <v>1005</v>
      </c>
      <c r="B3845" t="s">
        <v>334</v>
      </c>
      <c r="C3845" t="s">
        <v>335</v>
      </c>
      <c r="D3845" s="7">
        <v>5</v>
      </c>
      <c r="E3845">
        <v>2019</v>
      </c>
      <c r="F3845">
        <v>2019</v>
      </c>
      <c r="G3845" t="str">
        <f>IFERROR(INDEX(Formulations[Formulation],MATCH($C3845,Formulations[Product Code],0)),"")</f>
        <v>Pure</v>
      </c>
    </row>
    <row r="3846" spans="1:7" x14ac:dyDescent="0.3">
      <c r="A3846" t="s">
        <v>1005</v>
      </c>
      <c r="B3846" t="s">
        <v>203</v>
      </c>
      <c r="C3846" t="s">
        <v>204</v>
      </c>
      <c r="D3846" s="7">
        <v>5</v>
      </c>
      <c r="E3846">
        <v>2019</v>
      </c>
      <c r="F3846">
        <v>2019</v>
      </c>
      <c r="G3846" t="str">
        <f>IFERROR(INDEX(Formulations[Formulation],MATCH($C3846,Formulations[Product Code],0)),"")</f>
        <v/>
      </c>
    </row>
    <row r="3847" spans="1:7" x14ac:dyDescent="0.3">
      <c r="A3847" t="s">
        <v>1010</v>
      </c>
      <c r="B3847" t="s">
        <v>36</v>
      </c>
      <c r="D3847" s="7">
        <v>5</v>
      </c>
      <c r="E3847">
        <v>2020</v>
      </c>
      <c r="F3847">
        <v>2020</v>
      </c>
      <c r="G3847" t="str">
        <f>IFERROR(INDEX(Formulations[Formulation],MATCH($C3847,Formulations[Product Code],0)),"")</f>
        <v/>
      </c>
    </row>
    <row r="3848" spans="1:7" x14ac:dyDescent="0.3">
      <c r="A3848" t="s">
        <v>1010</v>
      </c>
      <c r="B3848" t="s">
        <v>37</v>
      </c>
      <c r="D3848" s="7">
        <v>5</v>
      </c>
      <c r="E3848">
        <v>2020</v>
      </c>
      <c r="F3848">
        <v>2020</v>
      </c>
      <c r="G3848" t="str">
        <f>IFERROR(INDEX(Formulations[Formulation],MATCH($C3848,Formulations[Product Code],0)),"")</f>
        <v/>
      </c>
    </row>
    <row r="3849" spans="1:7" x14ac:dyDescent="0.3">
      <c r="A3849" t="s">
        <v>1091</v>
      </c>
      <c r="B3849" t="s">
        <v>240</v>
      </c>
      <c r="D3849" s="7">
        <v>5</v>
      </c>
      <c r="E3849">
        <v>2021</v>
      </c>
      <c r="F3849">
        <v>2021</v>
      </c>
      <c r="G3849" t="str">
        <f>IFERROR(INDEX(Formulations[Formulation],MATCH($C3849,Formulations[Product Code],0)),"")</f>
        <v/>
      </c>
    </row>
    <row r="3850" spans="1:7" x14ac:dyDescent="0.3">
      <c r="A3850" t="s">
        <v>1096</v>
      </c>
      <c r="B3850" t="s">
        <v>19</v>
      </c>
      <c r="C3850" t="s">
        <v>20</v>
      </c>
      <c r="D3850" s="7">
        <v>5</v>
      </c>
      <c r="E3850">
        <v>2021</v>
      </c>
      <c r="F3850">
        <v>2021</v>
      </c>
      <c r="G3850" t="str">
        <f>IFERROR(INDEX(Formulations[Formulation],MATCH($C3850,Formulations[Product Code],0)),"")</f>
        <v>80 % Oil AND 20 % DPG</v>
      </c>
    </row>
    <row r="3851" spans="1:7" x14ac:dyDescent="0.3">
      <c r="A3851" t="s">
        <v>1096</v>
      </c>
      <c r="B3851" t="s">
        <v>1100</v>
      </c>
      <c r="C3851" t="s">
        <v>1101</v>
      </c>
      <c r="D3851" s="7">
        <v>5</v>
      </c>
      <c r="E3851">
        <v>2021</v>
      </c>
      <c r="F3851">
        <v>2021</v>
      </c>
      <c r="G3851" t="str">
        <f>IFERROR(INDEX(Formulations[Formulation],MATCH($C3851,Formulations[Product Code],0)),"")</f>
        <v>40% oil &amp; 60 % DPG</v>
      </c>
    </row>
    <row r="3852" spans="1:7" x14ac:dyDescent="0.3">
      <c r="A3852" t="s">
        <v>1116</v>
      </c>
      <c r="B3852" t="s">
        <v>649</v>
      </c>
      <c r="C3852" t="s">
        <v>650</v>
      </c>
      <c r="D3852" s="7">
        <v>5</v>
      </c>
      <c r="E3852">
        <v>2020</v>
      </c>
      <c r="F3852">
        <v>2020</v>
      </c>
      <c r="G3852" t="str">
        <f>IFERROR(INDEX(Formulations[Formulation],MATCH($C3852,Formulations[Product Code],0)),"")</f>
        <v>Pure</v>
      </c>
    </row>
    <row r="3853" spans="1:7" x14ac:dyDescent="0.3">
      <c r="A3853" t="s">
        <v>1127</v>
      </c>
      <c r="B3853" t="s">
        <v>626</v>
      </c>
      <c r="C3853" t="s">
        <v>582</v>
      </c>
      <c r="D3853" s="7">
        <v>5</v>
      </c>
      <c r="E3853">
        <v>2019</v>
      </c>
      <c r="F3853">
        <v>2019</v>
      </c>
      <c r="G3853" t="str">
        <f>IFERROR(INDEX(Formulations[Formulation],MATCH($C3853,Formulations[Product Code],0)),"")</f>
        <v/>
      </c>
    </row>
    <row r="3854" spans="1:7" x14ac:dyDescent="0.3">
      <c r="A3854" t="s">
        <v>1127</v>
      </c>
      <c r="B3854" t="s">
        <v>1133</v>
      </c>
      <c r="C3854" t="s">
        <v>1134</v>
      </c>
      <c r="D3854" s="7">
        <v>5</v>
      </c>
      <c r="E3854">
        <v>2019</v>
      </c>
      <c r="F3854">
        <v>2019</v>
      </c>
      <c r="G3854" t="str">
        <f>IFERROR(INDEX(Formulations[Formulation],MATCH($C3854,Formulations[Product Code],0)),"")</f>
        <v/>
      </c>
    </row>
    <row r="3855" spans="1:7" x14ac:dyDescent="0.3">
      <c r="A3855" t="s">
        <v>1127</v>
      </c>
      <c r="B3855" t="s">
        <v>105</v>
      </c>
      <c r="C3855" t="s">
        <v>106</v>
      </c>
      <c r="D3855" s="7">
        <v>5</v>
      </c>
      <c r="E3855">
        <v>2019</v>
      </c>
      <c r="F3855">
        <v>2019</v>
      </c>
      <c r="G3855" t="str">
        <f>IFERROR(INDEX(Formulations[Formulation],MATCH($C3855,Formulations[Product Code],0)),"")</f>
        <v>Pure</v>
      </c>
    </row>
    <row r="3856" spans="1:7" x14ac:dyDescent="0.3">
      <c r="A3856" t="s">
        <v>1127</v>
      </c>
      <c r="B3856" t="s">
        <v>402</v>
      </c>
      <c r="C3856" t="s">
        <v>403</v>
      </c>
      <c r="D3856" s="7">
        <v>5</v>
      </c>
      <c r="E3856">
        <v>2019</v>
      </c>
      <c r="F3856">
        <v>2019</v>
      </c>
      <c r="G3856" t="str">
        <f>IFERROR(INDEX(Formulations[Formulation],MATCH($C3856,Formulations[Product Code],0)),"")</f>
        <v>15 % oil and 85% dpg</v>
      </c>
    </row>
    <row r="3857" spans="1:7" x14ac:dyDescent="0.3">
      <c r="A3857" t="s">
        <v>1127</v>
      </c>
      <c r="B3857" t="s">
        <v>320</v>
      </c>
      <c r="C3857" t="s">
        <v>414</v>
      </c>
      <c r="D3857" s="7">
        <v>5</v>
      </c>
      <c r="E3857">
        <v>2019</v>
      </c>
      <c r="F3857">
        <v>2019</v>
      </c>
      <c r="G3857" t="str">
        <f>IFERROR(INDEX(Formulations[Formulation],MATCH($C3857,Formulations[Product Code],0)),"")</f>
        <v/>
      </c>
    </row>
    <row r="3858" spans="1:7" x14ac:dyDescent="0.3">
      <c r="A3858" t="s">
        <v>1146</v>
      </c>
      <c r="B3858" t="s">
        <v>383</v>
      </c>
      <c r="C3858" t="s">
        <v>385</v>
      </c>
      <c r="D3858" s="7">
        <v>5</v>
      </c>
      <c r="E3858">
        <v>2021</v>
      </c>
      <c r="F3858">
        <v>2021</v>
      </c>
      <c r="G3858" t="str">
        <f>IFERROR(INDEX(Formulations[Formulation],MATCH($C3858,Formulations[Product Code],0)),"")</f>
        <v>Silver</v>
      </c>
    </row>
    <row r="3859" spans="1:7" x14ac:dyDescent="0.3">
      <c r="A3859" t="s">
        <v>1147</v>
      </c>
      <c r="B3859" t="s">
        <v>125</v>
      </c>
      <c r="D3859" s="7">
        <v>5</v>
      </c>
      <c r="E3859">
        <v>2018</v>
      </c>
      <c r="F3859">
        <v>2018</v>
      </c>
      <c r="G3859" t="str">
        <f>IFERROR(INDEX(Formulations[Formulation],MATCH($C3859,Formulations[Product Code],0)),"")</f>
        <v/>
      </c>
    </row>
    <row r="3860" spans="1:7" x14ac:dyDescent="0.3">
      <c r="A3860" t="s">
        <v>1147</v>
      </c>
      <c r="B3860" t="s">
        <v>149</v>
      </c>
      <c r="C3860" t="s">
        <v>150</v>
      </c>
      <c r="D3860" s="7">
        <v>5</v>
      </c>
      <c r="E3860">
        <v>2018</v>
      </c>
      <c r="F3860">
        <v>2018</v>
      </c>
      <c r="G3860" t="str">
        <f>IFERROR(INDEX(Formulations[Formulation],MATCH($C3860,Formulations[Product Code],0)),"")</f>
        <v/>
      </c>
    </row>
    <row r="3861" spans="1:7" x14ac:dyDescent="0.3">
      <c r="A3861" t="s">
        <v>1148</v>
      </c>
      <c r="B3861" t="s">
        <v>542</v>
      </c>
      <c r="C3861" t="s">
        <v>160</v>
      </c>
      <c r="D3861" s="7">
        <v>5</v>
      </c>
      <c r="E3861">
        <v>2021</v>
      </c>
      <c r="F3861">
        <v>2021</v>
      </c>
      <c r="G3861" t="str">
        <f>IFERROR(INDEX(Formulations[Formulation],MATCH($C3861,Formulations[Product Code],0)),"")</f>
        <v>Silver</v>
      </c>
    </row>
    <row r="3862" spans="1:7" x14ac:dyDescent="0.3">
      <c r="A3862" t="s">
        <v>1150</v>
      </c>
      <c r="B3862" t="s">
        <v>788</v>
      </c>
      <c r="C3862" t="s">
        <v>789</v>
      </c>
      <c r="D3862" s="7">
        <v>5</v>
      </c>
      <c r="E3862">
        <v>2021</v>
      </c>
      <c r="F3862">
        <v>2021</v>
      </c>
      <c r="G3862" t="str">
        <f>IFERROR(INDEX(Formulations[Formulation],MATCH($C3862,Formulations[Product Code],0)),"")</f>
        <v>Pure</v>
      </c>
    </row>
    <row r="3863" spans="1:7" x14ac:dyDescent="0.3">
      <c r="A3863" t="s">
        <v>1150</v>
      </c>
      <c r="B3863" t="s">
        <v>417</v>
      </c>
      <c r="C3863" t="s">
        <v>418</v>
      </c>
      <c r="D3863" s="7">
        <v>5</v>
      </c>
      <c r="E3863">
        <v>2018</v>
      </c>
      <c r="F3863">
        <v>2018</v>
      </c>
      <c r="G3863" t="str">
        <f>IFERROR(INDEX(Formulations[Formulation],MATCH($C3863,Formulations[Product Code],0)),"")</f>
        <v>Pure</v>
      </c>
    </row>
    <row r="3864" spans="1:7" x14ac:dyDescent="0.3">
      <c r="A3864" t="s">
        <v>1150</v>
      </c>
      <c r="B3864" t="s">
        <v>26</v>
      </c>
      <c r="C3864" t="s">
        <v>27</v>
      </c>
      <c r="D3864" s="7">
        <v>5</v>
      </c>
      <c r="E3864">
        <v>2018</v>
      </c>
      <c r="F3864">
        <v>2018</v>
      </c>
      <c r="G3864" t="str">
        <f>IFERROR(INDEX(Formulations[Formulation],MATCH($C3864,Formulations[Product Code],0)),"")</f>
        <v>FLOURAMAX A270578/ P782894</v>
      </c>
    </row>
    <row r="3865" spans="1:7" x14ac:dyDescent="0.3">
      <c r="A3865" t="s">
        <v>1150</v>
      </c>
      <c r="B3865" t="s">
        <v>99</v>
      </c>
      <c r="C3865" t="s">
        <v>100</v>
      </c>
      <c r="D3865" s="7">
        <v>5</v>
      </c>
      <c r="E3865">
        <v>2021</v>
      </c>
      <c r="F3865">
        <v>2021</v>
      </c>
      <c r="G3865" t="str">
        <f>IFERROR(INDEX(Formulations[Formulation],MATCH($C3865,Formulations[Product Code],0)),"")</f>
        <v>Crystal</v>
      </c>
    </row>
    <row r="3866" spans="1:7" x14ac:dyDescent="0.3">
      <c r="A3866" t="s">
        <v>1150</v>
      </c>
      <c r="B3866" t="s">
        <v>373</v>
      </c>
      <c r="C3866" t="s">
        <v>331</v>
      </c>
      <c r="D3866" s="7">
        <v>5</v>
      </c>
      <c r="E3866">
        <v>2021</v>
      </c>
      <c r="F3866">
        <v>2021</v>
      </c>
      <c r="G3866" t="str">
        <f>IFERROR(INDEX(Formulations[Formulation],MATCH($C3866,Formulations[Product Code],0)),"")</f>
        <v>35% oil</v>
      </c>
    </row>
    <row r="3867" spans="1:7" x14ac:dyDescent="0.3">
      <c r="A3867" t="s">
        <v>1150</v>
      </c>
      <c r="B3867" t="s">
        <v>1151</v>
      </c>
      <c r="C3867" t="s">
        <v>1152</v>
      </c>
      <c r="D3867" s="7">
        <v>5</v>
      </c>
      <c r="E3867">
        <v>2021</v>
      </c>
      <c r="F3867">
        <v>2021</v>
      </c>
      <c r="G3867" t="str">
        <f>IFERROR(INDEX(Formulations[Formulation],MATCH($C3867,Formulations[Product Code],0)),"")</f>
        <v>40% oil</v>
      </c>
    </row>
    <row r="3868" spans="1:7" x14ac:dyDescent="0.3">
      <c r="A3868" t="s">
        <v>1150</v>
      </c>
      <c r="B3868" t="s">
        <v>839</v>
      </c>
      <c r="C3868" t="s">
        <v>138</v>
      </c>
      <c r="D3868" s="7">
        <v>5</v>
      </c>
      <c r="E3868">
        <v>2021</v>
      </c>
      <c r="F3868">
        <v>2021</v>
      </c>
      <c r="G3868" t="str">
        <f>IFERROR(INDEX(Formulations[Formulation],MATCH($C3868,Formulations[Product Code],0)),"")</f>
        <v>WS</v>
      </c>
    </row>
    <row r="3869" spans="1:7" x14ac:dyDescent="0.3">
      <c r="A3869" t="s">
        <v>1150</v>
      </c>
      <c r="B3869" t="s">
        <v>46</v>
      </c>
      <c r="C3869" t="s">
        <v>47</v>
      </c>
      <c r="D3869" s="7">
        <v>5</v>
      </c>
      <c r="E3869">
        <v>2018</v>
      </c>
      <c r="F3869">
        <v>2018</v>
      </c>
      <c r="G3869" t="str">
        <f>IFERROR(INDEX(Formulations[Formulation],MATCH($C3869,Formulations[Product Code],0)),"")</f>
        <v/>
      </c>
    </row>
    <row r="3870" spans="1:7" x14ac:dyDescent="0.3">
      <c r="A3870" t="s">
        <v>1164</v>
      </c>
      <c r="B3870" t="s">
        <v>686</v>
      </c>
      <c r="C3870" t="s">
        <v>687</v>
      </c>
      <c r="D3870" s="7">
        <v>5</v>
      </c>
      <c r="E3870">
        <v>2021</v>
      </c>
      <c r="F3870">
        <v>2021</v>
      </c>
      <c r="G3870" t="str">
        <f>IFERROR(INDEX(Formulations[Formulation],MATCH($C3870,Formulations[Product Code],0)),"")</f>
        <v>Pure</v>
      </c>
    </row>
    <row r="3871" spans="1:7" x14ac:dyDescent="0.3">
      <c r="A3871" t="s">
        <v>1164</v>
      </c>
      <c r="B3871" t="s">
        <v>30</v>
      </c>
      <c r="C3871" t="s">
        <v>31</v>
      </c>
      <c r="D3871" s="7">
        <v>5</v>
      </c>
      <c r="E3871">
        <v>2021</v>
      </c>
      <c r="F3871">
        <v>2021</v>
      </c>
      <c r="G3871" t="str">
        <f>IFERROR(INDEX(Formulations[Formulation],MATCH($C3871,Formulations[Product Code],0)),"")</f>
        <v>Pure</v>
      </c>
    </row>
    <row r="3872" spans="1:7" x14ac:dyDescent="0.3">
      <c r="A3872" t="s">
        <v>1164</v>
      </c>
      <c r="B3872" t="s">
        <v>817</v>
      </c>
      <c r="D3872" s="7">
        <v>5</v>
      </c>
      <c r="E3872">
        <v>2019</v>
      </c>
      <c r="F3872">
        <v>2019</v>
      </c>
      <c r="G3872" t="str">
        <f>IFERROR(INDEX(Formulations[Formulation],MATCH($C3872,Formulations[Product Code],0)),"")</f>
        <v/>
      </c>
    </row>
    <row r="3873" spans="1:7" x14ac:dyDescent="0.3">
      <c r="A3873" t="s">
        <v>1164</v>
      </c>
      <c r="B3873" t="s">
        <v>679</v>
      </c>
      <c r="C3873" t="s">
        <v>680</v>
      </c>
      <c r="D3873" s="7">
        <v>5</v>
      </c>
      <c r="E3873">
        <v>2021</v>
      </c>
      <c r="F3873">
        <v>2021</v>
      </c>
      <c r="G3873" t="str">
        <f>IFERROR(INDEX(Formulations[Formulation],MATCH($C3873,Formulations[Product Code],0)),"")</f>
        <v>Crystal</v>
      </c>
    </row>
    <row r="3874" spans="1:7" x14ac:dyDescent="0.3">
      <c r="A3874" t="s">
        <v>1166</v>
      </c>
      <c r="B3874" t="s">
        <v>248</v>
      </c>
      <c r="C3874" t="s">
        <v>249</v>
      </c>
      <c r="D3874" s="7">
        <v>5</v>
      </c>
      <c r="E3874">
        <v>2020</v>
      </c>
      <c r="F3874">
        <v>2020</v>
      </c>
      <c r="G3874" t="str">
        <f>IFERROR(INDEX(Formulations[Formulation],MATCH($C3874,Formulations[Product Code],0)),"")</f>
        <v>WS</v>
      </c>
    </row>
    <row r="3875" spans="1:7" x14ac:dyDescent="0.3">
      <c r="A3875" t="s">
        <v>1173</v>
      </c>
      <c r="B3875" t="s">
        <v>863</v>
      </c>
      <c r="D3875" s="7">
        <v>5</v>
      </c>
      <c r="E3875">
        <v>2019</v>
      </c>
      <c r="F3875">
        <v>2020</v>
      </c>
      <c r="G3875" t="str">
        <f>IFERROR(INDEX(Formulations[Formulation],MATCH($C3875,Formulations[Product Code],0)),"")</f>
        <v/>
      </c>
    </row>
    <row r="3876" spans="1:7" x14ac:dyDescent="0.3">
      <c r="A3876" t="s">
        <v>1175</v>
      </c>
      <c r="B3876" t="s">
        <v>506</v>
      </c>
      <c r="C3876" t="s">
        <v>507</v>
      </c>
      <c r="D3876" s="7">
        <v>5</v>
      </c>
      <c r="E3876">
        <v>2020</v>
      </c>
      <c r="F3876">
        <v>2020</v>
      </c>
      <c r="G3876" t="str">
        <f>IFERROR(INDEX(Formulations[Formulation],MATCH($C3876,Formulations[Product Code],0)),"")</f>
        <v>Silver</v>
      </c>
    </row>
    <row r="3877" spans="1:7" x14ac:dyDescent="0.3">
      <c r="A3877" t="s">
        <v>1175</v>
      </c>
      <c r="B3877" t="s">
        <v>441</v>
      </c>
      <c r="C3877" t="s">
        <v>93</v>
      </c>
      <c r="D3877" s="7">
        <v>5</v>
      </c>
      <c r="E3877">
        <v>2020</v>
      </c>
      <c r="F3877">
        <v>2020</v>
      </c>
      <c r="G3877" t="str">
        <f>IFERROR(INDEX(Formulations[Formulation],MATCH($C3877,Formulations[Product Code],0)),"")</f>
        <v>Gold</v>
      </c>
    </row>
    <row r="3878" spans="1:7" x14ac:dyDescent="0.3">
      <c r="A3878" t="s">
        <v>1175</v>
      </c>
      <c r="B3878" t="s">
        <v>686</v>
      </c>
      <c r="C3878" t="s">
        <v>687</v>
      </c>
      <c r="D3878" s="7">
        <v>5</v>
      </c>
      <c r="E3878">
        <v>2020</v>
      </c>
      <c r="F3878">
        <v>2020</v>
      </c>
      <c r="G3878" t="str">
        <f>IFERROR(INDEX(Formulations[Formulation],MATCH($C3878,Formulations[Product Code],0)),"")</f>
        <v>Pure</v>
      </c>
    </row>
    <row r="3879" spans="1:7" x14ac:dyDescent="0.3">
      <c r="A3879" t="s">
        <v>1175</v>
      </c>
      <c r="B3879" t="s">
        <v>597</v>
      </c>
      <c r="C3879" t="s">
        <v>598</v>
      </c>
      <c r="D3879" s="7">
        <v>5</v>
      </c>
      <c r="E3879">
        <v>2021</v>
      </c>
      <c r="F3879">
        <v>2021</v>
      </c>
      <c r="G3879" t="str">
        <f>IFERROR(INDEX(Formulations[Formulation],MATCH($C3879,Formulations[Product Code],0)),"")</f>
        <v>Silver</v>
      </c>
    </row>
    <row r="3880" spans="1:7" x14ac:dyDescent="0.3">
      <c r="A3880" t="s">
        <v>1175</v>
      </c>
      <c r="B3880" t="s">
        <v>518</v>
      </c>
      <c r="C3880" t="s">
        <v>519</v>
      </c>
      <c r="D3880" s="7">
        <v>5</v>
      </c>
      <c r="E3880">
        <v>2019</v>
      </c>
      <c r="F3880">
        <v>2019</v>
      </c>
      <c r="G3880" t="str">
        <f>IFERROR(INDEX(Formulations[Formulation],MATCH($C3880,Formulations[Product Code],0)),"")</f>
        <v>Pure</v>
      </c>
    </row>
    <row r="3881" spans="1:7" x14ac:dyDescent="0.3">
      <c r="A3881" t="s">
        <v>1175</v>
      </c>
      <c r="B3881" t="s">
        <v>37</v>
      </c>
      <c r="D3881" s="7">
        <v>5</v>
      </c>
      <c r="E3881">
        <v>2018</v>
      </c>
      <c r="F3881">
        <v>2021</v>
      </c>
      <c r="G3881" t="str">
        <f>IFERROR(INDEX(Formulations[Formulation],MATCH($C3881,Formulations[Product Code],0)),"")</f>
        <v/>
      </c>
    </row>
    <row r="3882" spans="1:7" x14ac:dyDescent="0.3">
      <c r="A3882" t="s">
        <v>1175</v>
      </c>
      <c r="B3882" t="s">
        <v>498</v>
      </c>
      <c r="C3882" t="s">
        <v>499</v>
      </c>
      <c r="D3882" s="7">
        <v>5</v>
      </c>
      <c r="E3882">
        <v>2018</v>
      </c>
      <c r="F3882">
        <v>2018</v>
      </c>
      <c r="G3882" t="str">
        <f>IFERROR(INDEX(Formulations[Formulation],MATCH($C3882,Formulations[Product Code],0)),"")</f>
        <v>WS</v>
      </c>
    </row>
    <row r="3883" spans="1:7" x14ac:dyDescent="0.3">
      <c r="A3883" t="s">
        <v>1175</v>
      </c>
      <c r="B3883" t="s">
        <v>1186</v>
      </c>
      <c r="C3883" t="s">
        <v>237</v>
      </c>
      <c r="D3883" s="7">
        <v>5</v>
      </c>
      <c r="E3883">
        <v>2019</v>
      </c>
      <c r="F3883">
        <v>2019</v>
      </c>
      <c r="G3883" t="str">
        <f>IFERROR(INDEX(Formulations[Formulation],MATCH($C3883,Formulations[Product Code],0)),"")</f>
        <v>Body by Burberry (F) CP00861 60%, Pacific Paradise 30%, Supreme bouqet 10%, than make gold</v>
      </c>
    </row>
    <row r="3884" spans="1:7" x14ac:dyDescent="0.3">
      <c r="A3884" t="s">
        <v>1187</v>
      </c>
      <c r="B3884" t="s">
        <v>297</v>
      </c>
      <c r="C3884" t="s">
        <v>1198</v>
      </c>
      <c r="D3884" s="7">
        <v>5</v>
      </c>
      <c r="E3884">
        <v>2010</v>
      </c>
      <c r="F3884">
        <v>2010</v>
      </c>
      <c r="G3884" t="str">
        <f>IFERROR(INDEX(Formulations[Formulation],MATCH($C3884,Formulations[Product Code],0)),"")</f>
        <v/>
      </c>
    </row>
    <row r="3885" spans="1:7" x14ac:dyDescent="0.3">
      <c r="A3885" t="s">
        <v>1187</v>
      </c>
      <c r="B3885" t="s">
        <v>1205</v>
      </c>
      <c r="C3885" t="s">
        <v>1206</v>
      </c>
      <c r="D3885" s="7">
        <v>5</v>
      </c>
      <c r="E3885">
        <v>2010</v>
      </c>
      <c r="F3885">
        <v>2010</v>
      </c>
      <c r="G3885" t="str">
        <f>IFERROR(INDEX(Formulations[Formulation],MATCH($C3885,Formulations[Product Code],0)),"")</f>
        <v/>
      </c>
    </row>
    <row r="3886" spans="1:7" x14ac:dyDescent="0.3">
      <c r="A3886" t="s">
        <v>1207</v>
      </c>
      <c r="B3886" t="s">
        <v>647</v>
      </c>
      <c r="C3886" t="s">
        <v>648</v>
      </c>
      <c r="D3886" s="7">
        <v>5</v>
      </c>
      <c r="E3886">
        <v>2019</v>
      </c>
      <c r="F3886">
        <v>2019</v>
      </c>
      <c r="G3886" t="str">
        <f>IFERROR(INDEX(Formulations[Formulation],MATCH($C3886,Formulations[Product Code],0)),"")</f>
        <v/>
      </c>
    </row>
    <row r="3887" spans="1:7" x14ac:dyDescent="0.3">
      <c r="A3887" t="s">
        <v>1207</v>
      </c>
      <c r="B3887" t="s">
        <v>490</v>
      </c>
      <c r="C3887" t="s">
        <v>491</v>
      </c>
      <c r="D3887" s="7">
        <v>5</v>
      </c>
      <c r="E3887">
        <v>2019</v>
      </c>
      <c r="F3887">
        <v>2019</v>
      </c>
      <c r="G3887" t="str">
        <f>IFERROR(INDEX(Formulations[Formulation],MATCH($C3887,Formulations[Product Code],0)),"")</f>
        <v/>
      </c>
    </row>
    <row r="3888" spans="1:7" x14ac:dyDescent="0.3">
      <c r="A3888" t="s">
        <v>1207</v>
      </c>
      <c r="B3888" t="s">
        <v>476</v>
      </c>
      <c r="C3888" t="s">
        <v>478</v>
      </c>
      <c r="D3888" s="7">
        <v>5</v>
      </c>
      <c r="E3888">
        <v>2020</v>
      </c>
      <c r="F3888">
        <v>2020</v>
      </c>
      <c r="G3888" t="str">
        <f>IFERROR(INDEX(Formulations[Formulation],MATCH($C3888,Formulations[Product Code],0)),"")</f>
        <v>Pure</v>
      </c>
    </row>
    <row r="3889" spans="1:7" x14ac:dyDescent="0.3">
      <c r="A3889" t="s">
        <v>1207</v>
      </c>
      <c r="B3889" t="s">
        <v>1208</v>
      </c>
      <c r="C3889" t="s">
        <v>1209</v>
      </c>
      <c r="D3889" s="7">
        <v>5</v>
      </c>
      <c r="E3889">
        <v>2019</v>
      </c>
      <c r="F3889">
        <v>2019</v>
      </c>
      <c r="G3889" t="str">
        <f>IFERROR(INDEX(Formulations[Formulation],MATCH($C3889,Formulations[Product Code],0)),"")</f>
        <v/>
      </c>
    </row>
    <row r="3890" spans="1:7" x14ac:dyDescent="0.3">
      <c r="A3890" t="s">
        <v>1224</v>
      </c>
      <c r="B3890" t="s">
        <v>441</v>
      </c>
      <c r="C3890" t="s">
        <v>93</v>
      </c>
      <c r="D3890" s="7">
        <v>5</v>
      </c>
      <c r="E3890">
        <v>2019</v>
      </c>
      <c r="F3890">
        <v>2019</v>
      </c>
      <c r="G3890" t="str">
        <f>IFERROR(INDEX(Formulations[Formulation],MATCH($C3890,Formulations[Product Code],0)),"")</f>
        <v>Gold</v>
      </c>
    </row>
    <row r="3891" spans="1:7" x14ac:dyDescent="0.3">
      <c r="A3891" t="s">
        <v>1226</v>
      </c>
      <c r="B3891" t="s">
        <v>1227</v>
      </c>
      <c r="C3891" t="s">
        <v>1228</v>
      </c>
      <c r="D3891" s="7">
        <v>5</v>
      </c>
      <c r="E3891">
        <v>2011</v>
      </c>
      <c r="F3891">
        <v>2011</v>
      </c>
      <c r="G3891" t="str">
        <f>IFERROR(INDEX(Formulations[Formulation],MATCH($C3891,Formulations[Product Code],0)),"")</f>
        <v/>
      </c>
    </row>
    <row r="3892" spans="1:7" x14ac:dyDescent="0.3">
      <c r="A3892" t="s">
        <v>1226</v>
      </c>
      <c r="B3892" t="s">
        <v>1229</v>
      </c>
      <c r="C3892" t="s">
        <v>1230</v>
      </c>
      <c r="D3892" s="7">
        <v>5</v>
      </c>
      <c r="E3892">
        <v>2010</v>
      </c>
      <c r="F3892">
        <v>2010</v>
      </c>
      <c r="G3892" t="str">
        <f>IFERROR(INDEX(Formulations[Formulation],MATCH($C3892,Formulations[Product Code],0)),"")</f>
        <v/>
      </c>
    </row>
    <row r="3893" spans="1:7" x14ac:dyDescent="0.3">
      <c r="A3893" t="s">
        <v>1226</v>
      </c>
      <c r="B3893" t="s">
        <v>1231</v>
      </c>
      <c r="C3893" t="s">
        <v>1232</v>
      </c>
      <c r="D3893" s="7">
        <v>5</v>
      </c>
      <c r="E3893">
        <v>2019</v>
      </c>
      <c r="F3893">
        <v>2019</v>
      </c>
      <c r="G3893" t="str">
        <f>IFERROR(INDEX(Formulations[Formulation],MATCH($C3893,Formulations[Product Code],0)),"")</f>
        <v/>
      </c>
    </row>
    <row r="3894" spans="1:7" x14ac:dyDescent="0.3">
      <c r="A3894" t="s">
        <v>1226</v>
      </c>
      <c r="B3894" t="s">
        <v>340</v>
      </c>
      <c r="C3894" t="s">
        <v>1233</v>
      </c>
      <c r="D3894" s="7">
        <v>5</v>
      </c>
      <c r="E3894">
        <v>2011</v>
      </c>
      <c r="F3894">
        <v>2011</v>
      </c>
      <c r="G3894" t="str">
        <f>IFERROR(INDEX(Formulations[Formulation],MATCH($C3894,Formulations[Product Code],0)),"")</f>
        <v/>
      </c>
    </row>
    <row r="3895" spans="1:7" x14ac:dyDescent="0.3">
      <c r="A3895" t="s">
        <v>1226</v>
      </c>
      <c r="B3895" t="s">
        <v>84</v>
      </c>
      <c r="C3895" t="s">
        <v>85</v>
      </c>
      <c r="D3895" s="7">
        <v>5</v>
      </c>
      <c r="E3895">
        <v>2014</v>
      </c>
      <c r="F3895">
        <v>2014</v>
      </c>
      <c r="G3895" t="str">
        <f>IFERROR(INDEX(Formulations[Formulation],MATCH($C3895,Formulations[Product Code],0)),"")</f>
        <v>Pure</v>
      </c>
    </row>
    <row r="3896" spans="1:7" x14ac:dyDescent="0.3">
      <c r="A3896" t="s">
        <v>1226</v>
      </c>
      <c r="B3896" t="s">
        <v>1245</v>
      </c>
      <c r="D3896" s="7">
        <v>5</v>
      </c>
      <c r="E3896">
        <v>2010</v>
      </c>
      <c r="F3896">
        <v>2010</v>
      </c>
      <c r="G3896" t="str">
        <f>IFERROR(INDEX(Formulations[Formulation],MATCH($C3896,Formulations[Product Code],0)),"")</f>
        <v/>
      </c>
    </row>
    <row r="3897" spans="1:7" x14ac:dyDescent="0.3">
      <c r="A3897" t="s">
        <v>1226</v>
      </c>
      <c r="B3897" t="s">
        <v>1247</v>
      </c>
      <c r="C3897" t="s">
        <v>1248</v>
      </c>
      <c r="D3897" s="7">
        <v>5</v>
      </c>
      <c r="E3897">
        <v>2010</v>
      </c>
      <c r="F3897">
        <v>2010</v>
      </c>
      <c r="G3897" t="str">
        <f>IFERROR(INDEX(Formulations[Formulation],MATCH($C3897,Formulations[Product Code],0)),"")</f>
        <v/>
      </c>
    </row>
    <row r="3898" spans="1:7" x14ac:dyDescent="0.3">
      <c r="A3898" t="s">
        <v>1226</v>
      </c>
      <c r="B3898" t="s">
        <v>1249</v>
      </c>
      <c r="C3898" t="s">
        <v>1250</v>
      </c>
      <c r="D3898" s="7">
        <v>5</v>
      </c>
      <c r="E3898">
        <v>2010</v>
      </c>
      <c r="F3898">
        <v>2010</v>
      </c>
      <c r="G3898" t="str">
        <f>IFERROR(INDEX(Formulations[Formulation],MATCH($C3898,Formulations[Product Code],0)),"")</f>
        <v/>
      </c>
    </row>
    <row r="3899" spans="1:7" x14ac:dyDescent="0.3">
      <c r="A3899" t="s">
        <v>1226</v>
      </c>
      <c r="B3899" t="s">
        <v>285</v>
      </c>
      <c r="C3899" t="s">
        <v>286</v>
      </c>
      <c r="D3899" s="7">
        <v>5</v>
      </c>
      <c r="E3899">
        <v>2014</v>
      </c>
      <c r="F3899">
        <v>2014</v>
      </c>
      <c r="G3899" t="str">
        <f>IFERROR(INDEX(Formulations[Formulation],MATCH($C3899,Formulations[Product Code],0)),"")</f>
        <v/>
      </c>
    </row>
    <row r="3900" spans="1:7" x14ac:dyDescent="0.3">
      <c r="A3900" t="s">
        <v>1226</v>
      </c>
      <c r="B3900" t="s">
        <v>359</v>
      </c>
      <c r="C3900" t="s">
        <v>1253</v>
      </c>
      <c r="D3900" s="7">
        <v>5</v>
      </c>
      <c r="E3900">
        <v>2010</v>
      </c>
      <c r="F3900">
        <v>2010</v>
      </c>
      <c r="G3900" t="str">
        <f>IFERROR(INDEX(Formulations[Formulation],MATCH($C3900,Formulations[Product Code],0)),"")</f>
        <v/>
      </c>
    </row>
    <row r="3901" spans="1:7" x14ac:dyDescent="0.3">
      <c r="A3901" t="s">
        <v>1226</v>
      </c>
      <c r="B3901" t="s">
        <v>1258</v>
      </c>
      <c r="C3901" t="s">
        <v>1259</v>
      </c>
      <c r="D3901" s="7">
        <v>5</v>
      </c>
      <c r="E3901">
        <v>2010</v>
      </c>
      <c r="F3901">
        <v>2010</v>
      </c>
      <c r="G3901" t="str">
        <f>IFERROR(INDEX(Formulations[Formulation],MATCH($C3901,Formulations[Product Code],0)),"")</f>
        <v/>
      </c>
    </row>
    <row r="3902" spans="1:7" x14ac:dyDescent="0.3">
      <c r="A3902" t="s">
        <v>1226</v>
      </c>
      <c r="B3902" t="s">
        <v>1260</v>
      </c>
      <c r="C3902" t="s">
        <v>1261</v>
      </c>
      <c r="D3902" s="7">
        <v>5</v>
      </c>
      <c r="E3902">
        <v>2010</v>
      </c>
      <c r="F3902">
        <v>2010</v>
      </c>
      <c r="G3902" t="str">
        <f>IFERROR(INDEX(Formulations[Formulation],MATCH($C3902,Formulations[Product Code],0)),"")</f>
        <v/>
      </c>
    </row>
    <row r="3903" spans="1:7" x14ac:dyDescent="0.3">
      <c r="A3903" t="s">
        <v>1226</v>
      </c>
      <c r="B3903" t="s">
        <v>804</v>
      </c>
      <c r="D3903" s="7">
        <v>5</v>
      </c>
      <c r="E3903">
        <v>2009</v>
      </c>
      <c r="F3903">
        <v>2009</v>
      </c>
      <c r="G3903" t="str">
        <f>IFERROR(INDEX(Formulations[Formulation],MATCH($C3903,Formulations[Product Code],0)),"")</f>
        <v/>
      </c>
    </row>
    <row r="3904" spans="1:7" x14ac:dyDescent="0.3">
      <c r="A3904" t="s">
        <v>1226</v>
      </c>
      <c r="B3904" t="s">
        <v>349</v>
      </c>
      <c r="C3904" t="s">
        <v>350</v>
      </c>
      <c r="D3904" s="7">
        <v>5</v>
      </c>
      <c r="E3904">
        <v>2019</v>
      </c>
      <c r="F3904">
        <v>2019</v>
      </c>
      <c r="G3904" t="str">
        <f>IFERROR(INDEX(Formulations[Formulation],MATCH($C3904,Formulations[Product Code],0)),"")</f>
        <v/>
      </c>
    </row>
    <row r="3905" spans="1:7" x14ac:dyDescent="0.3">
      <c r="A3905" t="s">
        <v>1226</v>
      </c>
      <c r="B3905" t="s">
        <v>1267</v>
      </c>
      <c r="C3905" t="s">
        <v>1268</v>
      </c>
      <c r="D3905" s="7">
        <v>5</v>
      </c>
      <c r="E3905">
        <v>2010</v>
      </c>
      <c r="F3905">
        <v>2010</v>
      </c>
      <c r="G3905" t="str">
        <f>IFERROR(INDEX(Formulations[Formulation],MATCH($C3905,Formulations[Product Code],0)),"")</f>
        <v/>
      </c>
    </row>
    <row r="3906" spans="1:7" x14ac:dyDescent="0.3">
      <c r="A3906" t="s">
        <v>1226</v>
      </c>
      <c r="B3906" t="s">
        <v>257</v>
      </c>
      <c r="C3906" t="s">
        <v>61</v>
      </c>
      <c r="D3906" s="7">
        <v>5</v>
      </c>
      <c r="E3906">
        <v>2021</v>
      </c>
      <c r="F3906">
        <v>2021</v>
      </c>
      <c r="G3906" t="str">
        <f>IFERROR(INDEX(Formulations[Formulation],MATCH($C3906,Formulations[Product Code],0)),"")</f>
        <v>Pure</v>
      </c>
    </row>
    <row r="3907" spans="1:7" x14ac:dyDescent="0.3">
      <c r="A3907" t="s">
        <v>1226</v>
      </c>
      <c r="B3907" t="s">
        <v>969</v>
      </c>
      <c r="C3907" t="s">
        <v>1282</v>
      </c>
      <c r="D3907" s="7">
        <v>5</v>
      </c>
      <c r="E3907">
        <v>2010</v>
      </c>
      <c r="F3907">
        <v>2010</v>
      </c>
      <c r="G3907" t="str">
        <f>IFERROR(INDEX(Formulations[Formulation],MATCH($C3907,Formulations[Product Code],0)),"")</f>
        <v/>
      </c>
    </row>
    <row r="3908" spans="1:7" x14ac:dyDescent="0.3">
      <c r="A3908" t="s">
        <v>1226</v>
      </c>
      <c r="B3908" t="s">
        <v>1291</v>
      </c>
      <c r="C3908" t="s">
        <v>1281</v>
      </c>
      <c r="D3908" s="7">
        <v>5</v>
      </c>
      <c r="E3908">
        <v>2010</v>
      </c>
      <c r="F3908">
        <v>2010</v>
      </c>
      <c r="G3908" t="str">
        <f>IFERROR(INDEX(Formulations[Formulation],MATCH($C3908,Formulations[Product Code],0)),"")</f>
        <v/>
      </c>
    </row>
    <row r="3909" spans="1:7" x14ac:dyDescent="0.3">
      <c r="A3909" t="s">
        <v>1226</v>
      </c>
      <c r="B3909" t="s">
        <v>189</v>
      </c>
      <c r="D3909" s="7">
        <v>5</v>
      </c>
      <c r="E3909">
        <v>2021</v>
      </c>
      <c r="F3909">
        <v>2021</v>
      </c>
      <c r="G3909" t="str">
        <f>IFERROR(INDEX(Formulations[Formulation],MATCH($C3909,Formulations[Product Code],0)),"")</f>
        <v/>
      </c>
    </row>
    <row r="3910" spans="1:7" x14ac:dyDescent="0.3">
      <c r="A3910" t="s">
        <v>1226</v>
      </c>
      <c r="B3910" t="s">
        <v>1124</v>
      </c>
      <c r="C3910" t="s">
        <v>311</v>
      </c>
      <c r="D3910" s="7">
        <v>5</v>
      </c>
      <c r="E3910">
        <v>2009</v>
      </c>
      <c r="F3910">
        <v>2009</v>
      </c>
      <c r="G3910" t="str">
        <f>IFERROR(INDEX(Formulations[Formulation],MATCH($C3910,Formulations[Product Code],0)),"")</f>
        <v/>
      </c>
    </row>
    <row r="3911" spans="1:7" x14ac:dyDescent="0.3">
      <c r="A3911" t="s">
        <v>1226</v>
      </c>
      <c r="B3911" t="s">
        <v>137</v>
      </c>
      <c r="C3911" t="s">
        <v>138</v>
      </c>
      <c r="D3911" s="7">
        <v>5</v>
      </c>
      <c r="E3911">
        <v>2010</v>
      </c>
      <c r="F3911">
        <v>2010</v>
      </c>
      <c r="G3911" t="str">
        <f>IFERROR(INDEX(Formulations[Formulation],MATCH($C3911,Formulations[Product Code],0)),"")</f>
        <v>WS</v>
      </c>
    </row>
    <row r="3912" spans="1:7" x14ac:dyDescent="0.3">
      <c r="A3912" t="s">
        <v>1226</v>
      </c>
      <c r="B3912" t="s">
        <v>1301</v>
      </c>
      <c r="C3912" t="s">
        <v>1302</v>
      </c>
      <c r="D3912" s="7">
        <v>5</v>
      </c>
      <c r="E3912">
        <v>2010</v>
      </c>
      <c r="F3912">
        <v>2010</v>
      </c>
      <c r="G3912" t="str">
        <f>IFERROR(INDEX(Formulations[Formulation],MATCH($C3912,Formulations[Product Code],0)),"")</f>
        <v/>
      </c>
    </row>
    <row r="3913" spans="1:7" x14ac:dyDescent="0.3">
      <c r="A3913" t="s">
        <v>1226</v>
      </c>
      <c r="B3913" t="s">
        <v>146</v>
      </c>
      <c r="D3913" s="7">
        <v>5</v>
      </c>
      <c r="E3913">
        <v>2021</v>
      </c>
      <c r="F3913">
        <v>2021</v>
      </c>
      <c r="G3913" t="str">
        <f>IFERROR(INDEX(Formulations[Formulation],MATCH($C3913,Formulations[Product Code],0)),"")</f>
        <v/>
      </c>
    </row>
    <row r="3914" spans="1:7" x14ac:dyDescent="0.3">
      <c r="A3914" t="s">
        <v>1226</v>
      </c>
      <c r="B3914" t="s">
        <v>314</v>
      </c>
      <c r="C3914" t="s">
        <v>1307</v>
      </c>
      <c r="D3914" s="7">
        <v>5</v>
      </c>
      <c r="E3914">
        <v>2010</v>
      </c>
      <c r="F3914">
        <v>2010</v>
      </c>
      <c r="G3914" t="str">
        <f>IFERROR(INDEX(Formulations[Formulation],MATCH($C3914,Formulations[Product Code],0)),"")</f>
        <v/>
      </c>
    </row>
    <row r="3915" spans="1:7" x14ac:dyDescent="0.3">
      <c r="A3915" t="s">
        <v>1226</v>
      </c>
      <c r="B3915" t="s">
        <v>381</v>
      </c>
      <c r="C3915" t="s">
        <v>382</v>
      </c>
      <c r="D3915" s="7">
        <v>5</v>
      </c>
      <c r="E3915">
        <v>2010</v>
      </c>
      <c r="F3915">
        <v>2010</v>
      </c>
      <c r="G3915" t="str">
        <f>IFERROR(INDEX(Formulations[Formulation],MATCH($C3915,Formulations[Product Code],0)),"")</f>
        <v/>
      </c>
    </row>
    <row r="3916" spans="1:7" x14ac:dyDescent="0.3">
      <c r="A3916" t="s">
        <v>1226</v>
      </c>
      <c r="B3916" t="s">
        <v>1308</v>
      </c>
      <c r="C3916" t="s">
        <v>1309</v>
      </c>
      <c r="D3916" s="7">
        <v>5</v>
      </c>
      <c r="E3916">
        <v>2010</v>
      </c>
      <c r="F3916">
        <v>2010</v>
      </c>
      <c r="G3916" t="str">
        <f>IFERROR(INDEX(Formulations[Formulation],MATCH($C3916,Formulations[Product Code],0)),"")</f>
        <v/>
      </c>
    </row>
    <row r="3917" spans="1:7" x14ac:dyDescent="0.3">
      <c r="A3917" t="s">
        <v>1226</v>
      </c>
      <c r="B3917" t="s">
        <v>318</v>
      </c>
      <c r="C3917" t="s">
        <v>319</v>
      </c>
      <c r="D3917" s="7">
        <v>5</v>
      </c>
      <c r="E3917">
        <v>2014</v>
      </c>
      <c r="F3917">
        <v>2014</v>
      </c>
      <c r="G3917" t="str">
        <f>IFERROR(INDEX(Formulations[Formulation],MATCH($C3917,Formulations[Product Code],0)),"")</f>
        <v>Pure</v>
      </c>
    </row>
    <row r="3918" spans="1:7" x14ac:dyDescent="0.3">
      <c r="A3918" t="s">
        <v>1226</v>
      </c>
      <c r="B3918" t="s">
        <v>149</v>
      </c>
      <c r="C3918" t="s">
        <v>150</v>
      </c>
      <c r="D3918" s="7">
        <v>5</v>
      </c>
      <c r="E3918">
        <v>2014</v>
      </c>
      <c r="F3918">
        <v>2014</v>
      </c>
      <c r="G3918" t="str">
        <f>IFERROR(INDEX(Formulations[Formulation],MATCH($C3918,Formulations[Product Code],0)),"")</f>
        <v/>
      </c>
    </row>
    <row r="3919" spans="1:7" x14ac:dyDescent="0.3">
      <c r="A3919" t="s">
        <v>1226</v>
      </c>
      <c r="B3919" t="s">
        <v>1317</v>
      </c>
      <c r="C3919" t="s">
        <v>1318</v>
      </c>
      <c r="D3919" s="7">
        <v>5</v>
      </c>
      <c r="E3919">
        <v>2010</v>
      </c>
      <c r="F3919">
        <v>2010</v>
      </c>
      <c r="G3919" t="str">
        <f>IFERROR(INDEX(Formulations[Formulation],MATCH($C3919,Formulations[Product Code],0)),"")</f>
        <v/>
      </c>
    </row>
    <row r="3920" spans="1:7" x14ac:dyDescent="0.3">
      <c r="A3920" t="s">
        <v>1226</v>
      </c>
      <c r="B3920" t="s">
        <v>1319</v>
      </c>
      <c r="C3920" t="s">
        <v>1320</v>
      </c>
      <c r="D3920" s="7">
        <v>5</v>
      </c>
      <c r="E3920">
        <v>2010</v>
      </c>
      <c r="F3920">
        <v>2010</v>
      </c>
      <c r="G3920" t="str">
        <f>IFERROR(INDEX(Formulations[Formulation],MATCH($C3920,Formulations[Product Code],0)),"")</f>
        <v/>
      </c>
    </row>
    <row r="3921" spans="1:7" x14ac:dyDescent="0.3">
      <c r="A3921" t="s">
        <v>1321</v>
      </c>
      <c r="B3921" t="s">
        <v>1004</v>
      </c>
      <c r="C3921" t="s">
        <v>197</v>
      </c>
      <c r="D3921" s="7">
        <v>5</v>
      </c>
      <c r="E3921">
        <v>2019</v>
      </c>
      <c r="F3921">
        <v>2019</v>
      </c>
      <c r="G3921" t="str">
        <f>IFERROR(INDEX(Formulations[Formulation],MATCH($C3921,Formulations[Product Code],0)),"")</f>
        <v/>
      </c>
    </row>
    <row r="3922" spans="1:7" x14ac:dyDescent="0.3">
      <c r="A3922" t="s">
        <v>1331</v>
      </c>
      <c r="B3922" t="s">
        <v>589</v>
      </c>
      <c r="C3922" t="s">
        <v>590</v>
      </c>
      <c r="D3922" s="7">
        <v>5</v>
      </c>
      <c r="E3922">
        <v>2020</v>
      </c>
      <c r="F3922">
        <v>2020</v>
      </c>
      <c r="G3922" t="str">
        <f>IFERROR(INDEX(Formulations[Formulation],MATCH($C3922,Formulations[Product Code],0)),"")</f>
        <v>Bakhur : A285878- 90%, A243761-10%</v>
      </c>
    </row>
    <row r="3923" spans="1:7" x14ac:dyDescent="0.3">
      <c r="A3923" t="s">
        <v>1331</v>
      </c>
      <c r="B3923" t="s">
        <v>1332</v>
      </c>
      <c r="C3923" t="s">
        <v>1333</v>
      </c>
      <c r="D3923" s="7">
        <v>5</v>
      </c>
      <c r="E3923">
        <v>2020</v>
      </c>
      <c r="F3923">
        <v>2020</v>
      </c>
      <c r="G3923" t="str">
        <f>IFERROR(INDEX(Formulations[Formulation],MATCH($C3923,Formulations[Product Code],0)),"")</f>
        <v>60 % OIL &amp; 40 % DPG</v>
      </c>
    </row>
    <row r="3924" spans="1:7" x14ac:dyDescent="0.3">
      <c r="A3924" t="s">
        <v>1331</v>
      </c>
      <c r="B3924" t="s">
        <v>1334</v>
      </c>
      <c r="C3924" t="s">
        <v>1335</v>
      </c>
      <c r="D3924" s="7">
        <v>5</v>
      </c>
      <c r="E3924">
        <v>2020</v>
      </c>
      <c r="F3924">
        <v>2020</v>
      </c>
      <c r="G3924" t="str">
        <f>IFERROR(INDEX(Formulations[Formulation],MATCH($C3924,Formulations[Product Code],0)),"")</f>
        <v>Crystal</v>
      </c>
    </row>
    <row r="3925" spans="1:7" x14ac:dyDescent="0.3">
      <c r="A3925" t="s">
        <v>1331</v>
      </c>
      <c r="B3925" t="s">
        <v>19</v>
      </c>
      <c r="C3925" t="s">
        <v>20</v>
      </c>
      <c r="D3925" s="7">
        <v>5</v>
      </c>
      <c r="E3925">
        <v>2020</v>
      </c>
      <c r="F3925">
        <v>2020</v>
      </c>
      <c r="G3925" t="str">
        <f>IFERROR(INDEX(Formulations[Formulation],MATCH($C3925,Formulations[Product Code],0)),"")</f>
        <v>80 % Oil AND 20 % DPG</v>
      </c>
    </row>
    <row r="3926" spans="1:7" x14ac:dyDescent="0.3">
      <c r="A3926" t="s">
        <v>1331</v>
      </c>
      <c r="B3926" t="s">
        <v>1337</v>
      </c>
      <c r="C3926" t="s">
        <v>1338</v>
      </c>
      <c r="D3926" s="7">
        <v>5</v>
      </c>
      <c r="E3926">
        <v>2020</v>
      </c>
      <c r="F3926">
        <v>2020</v>
      </c>
      <c r="G3926" t="str">
        <f>IFERROR(INDEX(Formulations[Formulation],MATCH($C3926,Formulations[Product Code],0)),"")</f>
        <v/>
      </c>
    </row>
    <row r="3927" spans="1:7" x14ac:dyDescent="0.3">
      <c r="A3927" t="s">
        <v>1331</v>
      </c>
      <c r="B3927" t="s">
        <v>656</v>
      </c>
      <c r="C3927" t="s">
        <v>71</v>
      </c>
      <c r="D3927" s="7">
        <v>5</v>
      </c>
      <c r="E3927">
        <v>2020</v>
      </c>
      <c r="F3927">
        <v>2020</v>
      </c>
      <c r="G3927" t="str">
        <f>IFERROR(INDEX(Formulations[Formulation],MATCH($C3927,Formulations[Product Code],0)),"")</f>
        <v>40% Oil &amp; 60% DPG</v>
      </c>
    </row>
    <row r="3928" spans="1:7" x14ac:dyDescent="0.3">
      <c r="A3928" t="s">
        <v>1341</v>
      </c>
      <c r="B3928" t="s">
        <v>668</v>
      </c>
      <c r="C3928" t="s">
        <v>669</v>
      </c>
      <c r="D3928" s="7">
        <v>5</v>
      </c>
      <c r="E3928">
        <v>2020</v>
      </c>
      <c r="F3928">
        <v>2020</v>
      </c>
      <c r="G3928" t="str">
        <f>IFERROR(INDEX(Formulations[Formulation],MATCH($C3928,Formulations[Product Code],0)),"")</f>
        <v>Crystal</v>
      </c>
    </row>
    <row r="3929" spans="1:7" x14ac:dyDescent="0.3">
      <c r="A3929" t="s">
        <v>1352</v>
      </c>
      <c r="B3929" t="s">
        <v>19</v>
      </c>
      <c r="C3929" t="s">
        <v>20</v>
      </c>
      <c r="D3929" s="7">
        <v>5</v>
      </c>
      <c r="E3929">
        <v>2021</v>
      </c>
      <c r="F3929">
        <v>2021</v>
      </c>
      <c r="G3929" t="str">
        <f>IFERROR(INDEX(Formulations[Formulation],MATCH($C3929,Formulations[Product Code],0)),"")</f>
        <v>80 % Oil AND 20 % DPG</v>
      </c>
    </row>
    <row r="3930" spans="1:7" x14ac:dyDescent="0.3">
      <c r="A3930" t="s">
        <v>1356</v>
      </c>
      <c r="B3930" t="s">
        <v>714</v>
      </c>
      <c r="C3930" t="s">
        <v>715</v>
      </c>
      <c r="D3930" s="7">
        <v>5</v>
      </c>
      <c r="E3930">
        <v>2018</v>
      </c>
      <c r="F3930">
        <v>2018</v>
      </c>
      <c r="G3930" t="str">
        <f>IFERROR(INDEX(Formulations[Formulation],MATCH($C3930,Formulations[Product Code],0)),"")</f>
        <v/>
      </c>
    </row>
    <row r="3931" spans="1:7" x14ac:dyDescent="0.3">
      <c r="A3931" t="s">
        <v>1356</v>
      </c>
      <c r="B3931" t="s">
        <v>1234</v>
      </c>
      <c r="C3931" t="s">
        <v>1235</v>
      </c>
      <c r="D3931" s="7">
        <v>5</v>
      </c>
      <c r="E3931">
        <v>2011</v>
      </c>
      <c r="F3931">
        <v>2011</v>
      </c>
      <c r="G3931" t="str">
        <f>IFERROR(INDEX(Formulations[Formulation],MATCH($C3931,Formulations[Product Code],0)),"")</f>
        <v/>
      </c>
    </row>
    <row r="3932" spans="1:7" x14ac:dyDescent="0.3">
      <c r="A3932" t="s">
        <v>1356</v>
      </c>
      <c r="B3932" t="s">
        <v>988</v>
      </c>
      <c r="C3932" t="s">
        <v>1357</v>
      </c>
      <c r="D3932" s="7">
        <v>5</v>
      </c>
      <c r="E3932">
        <v>2011</v>
      </c>
      <c r="F3932">
        <v>2011</v>
      </c>
      <c r="G3932" t="str">
        <f>IFERROR(INDEX(Formulations[Formulation],MATCH($C3932,Formulations[Product Code],0)),"")</f>
        <v/>
      </c>
    </row>
    <row r="3933" spans="1:7" x14ac:dyDescent="0.3">
      <c r="A3933" t="s">
        <v>1356</v>
      </c>
      <c r="B3933" t="s">
        <v>55</v>
      </c>
      <c r="D3933" s="7">
        <v>5</v>
      </c>
      <c r="E3933">
        <v>2018</v>
      </c>
      <c r="F3933">
        <v>2018</v>
      </c>
      <c r="G3933" t="str">
        <f>IFERROR(INDEX(Formulations[Formulation],MATCH($C3933,Formulations[Product Code],0)),"")</f>
        <v/>
      </c>
    </row>
    <row r="3934" spans="1:7" x14ac:dyDescent="0.3">
      <c r="A3934" t="s">
        <v>1356</v>
      </c>
      <c r="B3934" t="s">
        <v>557</v>
      </c>
      <c r="C3934" t="s">
        <v>212</v>
      </c>
      <c r="D3934" s="7">
        <v>5</v>
      </c>
      <c r="E3934">
        <v>2017</v>
      </c>
      <c r="F3934">
        <v>2017</v>
      </c>
      <c r="G3934" t="str">
        <f>IFERROR(INDEX(Formulations[Formulation],MATCH($C3934,Formulations[Product Code],0)),"")</f>
        <v>Pure</v>
      </c>
    </row>
    <row r="3935" spans="1:7" x14ac:dyDescent="0.3">
      <c r="A3935" t="s">
        <v>1356</v>
      </c>
      <c r="B3935" t="s">
        <v>219</v>
      </c>
      <c r="C3935" t="s">
        <v>220</v>
      </c>
      <c r="D3935" s="7">
        <v>5</v>
      </c>
      <c r="E3935">
        <v>2016</v>
      </c>
      <c r="F3935">
        <v>2016</v>
      </c>
      <c r="G3935" t="str">
        <f>IFERROR(INDEX(Formulations[Formulation],MATCH($C3935,Formulations[Product Code],0)),"")</f>
        <v/>
      </c>
    </row>
    <row r="3936" spans="1:7" x14ac:dyDescent="0.3">
      <c r="A3936" t="s">
        <v>1356</v>
      </c>
      <c r="B3936" t="s">
        <v>1247</v>
      </c>
      <c r="C3936" t="s">
        <v>1248</v>
      </c>
      <c r="D3936" s="7">
        <v>5</v>
      </c>
      <c r="E3936">
        <v>2011</v>
      </c>
      <c r="F3936">
        <v>2011</v>
      </c>
      <c r="G3936" t="str">
        <f>IFERROR(INDEX(Formulations[Formulation],MATCH($C3936,Formulations[Product Code],0)),"")</f>
        <v/>
      </c>
    </row>
    <row r="3937" spans="1:7" x14ac:dyDescent="0.3">
      <c r="A3937" t="s">
        <v>1356</v>
      </c>
      <c r="B3937" t="s">
        <v>790</v>
      </c>
      <c r="C3937" t="s">
        <v>791</v>
      </c>
      <c r="D3937" s="7">
        <v>5</v>
      </c>
      <c r="E3937">
        <v>2020</v>
      </c>
      <c r="F3937">
        <v>2020</v>
      </c>
      <c r="G3937" t="str">
        <f>IFERROR(INDEX(Formulations[Formulation],MATCH($C3937,Formulations[Product Code],0)),"")</f>
        <v>Pure</v>
      </c>
    </row>
    <row r="3938" spans="1:7" x14ac:dyDescent="0.3">
      <c r="A3938" t="s">
        <v>1356</v>
      </c>
      <c r="B3938" t="s">
        <v>631</v>
      </c>
      <c r="C3938" t="s">
        <v>632</v>
      </c>
      <c r="D3938" s="7">
        <v>5</v>
      </c>
      <c r="E3938">
        <v>2016</v>
      </c>
      <c r="F3938">
        <v>2016</v>
      </c>
      <c r="G3938" t="str">
        <f>IFERROR(INDEX(Formulations[Formulation],MATCH($C3938,Formulations[Product Code],0)),"")</f>
        <v/>
      </c>
    </row>
    <row r="3939" spans="1:7" x14ac:dyDescent="0.3">
      <c r="A3939" t="s">
        <v>1356</v>
      </c>
      <c r="B3939" t="s">
        <v>510</v>
      </c>
      <c r="C3939" t="s">
        <v>511</v>
      </c>
      <c r="D3939" s="7">
        <v>5</v>
      </c>
      <c r="E3939">
        <v>2018</v>
      </c>
      <c r="F3939">
        <v>2018</v>
      </c>
      <c r="G3939" t="str">
        <f>IFERROR(INDEX(Formulations[Formulation],MATCH($C3939,Formulations[Product Code],0)),"")</f>
        <v>Pure</v>
      </c>
    </row>
    <row r="3940" spans="1:7" x14ac:dyDescent="0.3">
      <c r="A3940" t="s">
        <v>1356</v>
      </c>
      <c r="B3940" t="s">
        <v>1359</v>
      </c>
      <c r="C3940" t="s">
        <v>364</v>
      </c>
      <c r="D3940" s="7">
        <v>5</v>
      </c>
      <c r="E3940">
        <v>2016</v>
      </c>
      <c r="F3940">
        <v>2016</v>
      </c>
      <c r="G3940" t="str">
        <f>IFERROR(INDEX(Formulations[Formulation],MATCH($C3940,Formulations[Product Code],0)),"")</f>
        <v/>
      </c>
    </row>
    <row r="3941" spans="1:7" x14ac:dyDescent="0.3">
      <c r="A3941" t="s">
        <v>1356</v>
      </c>
      <c r="B3941" t="s">
        <v>1360</v>
      </c>
      <c r="D3941" s="7">
        <v>5</v>
      </c>
      <c r="E3941">
        <v>2019</v>
      </c>
      <c r="F3941">
        <v>2019</v>
      </c>
      <c r="G3941" t="str">
        <f>IFERROR(INDEX(Formulations[Formulation],MATCH($C3941,Formulations[Product Code],0)),"")</f>
        <v/>
      </c>
    </row>
    <row r="3942" spans="1:7" x14ac:dyDescent="0.3">
      <c r="A3942" t="s">
        <v>1356</v>
      </c>
      <c r="B3942" t="s">
        <v>114</v>
      </c>
      <c r="C3942" t="s">
        <v>115</v>
      </c>
      <c r="D3942" s="7">
        <v>5</v>
      </c>
      <c r="E3942">
        <v>2018</v>
      </c>
      <c r="F3942">
        <v>2018</v>
      </c>
      <c r="G3942" t="str">
        <f>IFERROR(INDEX(Formulations[Formulation],MATCH($C3942,Formulations[Product Code],0)),"")</f>
        <v>Pure</v>
      </c>
    </row>
    <row r="3943" spans="1:7" x14ac:dyDescent="0.3">
      <c r="A3943" t="s">
        <v>1356</v>
      </c>
      <c r="B3943" t="s">
        <v>125</v>
      </c>
      <c r="D3943" s="7">
        <v>5</v>
      </c>
      <c r="E3943">
        <v>2021</v>
      </c>
      <c r="F3943">
        <v>2021</v>
      </c>
      <c r="G3943" t="str">
        <f>IFERROR(INDEX(Formulations[Formulation],MATCH($C3943,Formulations[Product Code],0)),"")</f>
        <v/>
      </c>
    </row>
    <row r="3944" spans="1:7" x14ac:dyDescent="0.3">
      <c r="A3944" t="s">
        <v>1356</v>
      </c>
      <c r="B3944" t="s">
        <v>307</v>
      </c>
      <c r="C3944" t="s">
        <v>132</v>
      </c>
      <c r="D3944" s="7">
        <v>5</v>
      </c>
      <c r="E3944">
        <v>2016</v>
      </c>
      <c r="F3944">
        <v>2016</v>
      </c>
      <c r="G3944" t="str">
        <f>IFERROR(INDEX(Formulations[Formulation],MATCH($C3944,Formulations[Product Code],0)),"")</f>
        <v>Pure</v>
      </c>
    </row>
    <row r="3945" spans="1:7" x14ac:dyDescent="0.3">
      <c r="A3945" t="s">
        <v>1356</v>
      </c>
      <c r="B3945" t="s">
        <v>1363</v>
      </c>
      <c r="C3945" t="s">
        <v>1364</v>
      </c>
      <c r="D3945" s="7">
        <v>5</v>
      </c>
      <c r="E3945">
        <v>2017</v>
      </c>
      <c r="F3945">
        <v>2017</v>
      </c>
      <c r="G3945" t="str">
        <f>IFERROR(INDEX(Formulations[Formulation],MATCH($C3945,Formulations[Product Code],0)),"")</f>
        <v/>
      </c>
    </row>
    <row r="3946" spans="1:7" x14ac:dyDescent="0.3">
      <c r="A3946" t="s">
        <v>1356</v>
      </c>
      <c r="B3946" t="s">
        <v>1365</v>
      </c>
      <c r="C3946" t="s">
        <v>1366</v>
      </c>
      <c r="D3946" s="7">
        <v>5</v>
      </c>
      <c r="E3946">
        <v>2011</v>
      </c>
      <c r="F3946">
        <v>2011</v>
      </c>
      <c r="G3946" t="str">
        <f>IFERROR(INDEX(Formulations[Formulation],MATCH($C3946,Formulations[Product Code],0)),"")</f>
        <v/>
      </c>
    </row>
    <row r="3947" spans="1:7" x14ac:dyDescent="0.3">
      <c r="A3947" t="s">
        <v>1356</v>
      </c>
      <c r="B3947" t="s">
        <v>137</v>
      </c>
      <c r="C3947" t="s">
        <v>138</v>
      </c>
      <c r="D3947" s="7">
        <v>5</v>
      </c>
      <c r="E3947">
        <v>2017</v>
      </c>
      <c r="F3947">
        <v>2017</v>
      </c>
      <c r="G3947" t="str">
        <f>IFERROR(INDEX(Formulations[Formulation],MATCH($C3947,Formulations[Product Code],0)),"")</f>
        <v>WS</v>
      </c>
    </row>
    <row r="3948" spans="1:7" x14ac:dyDescent="0.3">
      <c r="A3948" t="s">
        <v>1356</v>
      </c>
      <c r="B3948" t="s">
        <v>575</v>
      </c>
      <c r="C3948" t="s">
        <v>673</v>
      </c>
      <c r="D3948" s="7">
        <v>5</v>
      </c>
      <c r="E3948">
        <v>2018</v>
      </c>
      <c r="F3948">
        <v>2018</v>
      </c>
      <c r="G3948" t="str">
        <f>IFERROR(INDEX(Formulations[Formulation],MATCH($C3948,Formulations[Product Code],0)),"")</f>
        <v>Apricot 60 % oil and 40 % dpg</v>
      </c>
    </row>
    <row r="3949" spans="1:7" x14ac:dyDescent="0.3">
      <c r="A3949" t="s">
        <v>1356</v>
      </c>
      <c r="B3949" t="s">
        <v>1367</v>
      </c>
      <c r="C3949" t="s">
        <v>1368</v>
      </c>
      <c r="D3949" s="7">
        <v>5</v>
      </c>
      <c r="E3949">
        <v>2018</v>
      </c>
      <c r="F3949">
        <v>2018</v>
      </c>
      <c r="G3949" t="str">
        <f>IFERROR(INDEX(Formulations[Formulation],MATCH($C3949,Formulations[Product Code],0)),"")</f>
        <v>Pure</v>
      </c>
    </row>
    <row r="3950" spans="1:7" x14ac:dyDescent="0.3">
      <c r="A3950" t="s">
        <v>1356</v>
      </c>
      <c r="B3950" t="s">
        <v>1369</v>
      </c>
      <c r="C3950" t="s">
        <v>1370</v>
      </c>
      <c r="D3950" s="7">
        <v>5</v>
      </c>
      <c r="E3950">
        <v>2020</v>
      </c>
      <c r="F3950">
        <v>2020</v>
      </c>
      <c r="G3950" t="str">
        <f>IFERROR(INDEX(Formulations[Formulation],MATCH($C3950,Formulations[Product Code],0)),"")</f>
        <v>Pure</v>
      </c>
    </row>
    <row r="3951" spans="1:7" x14ac:dyDescent="0.3">
      <c r="A3951" t="s">
        <v>1356</v>
      </c>
      <c r="B3951" t="s">
        <v>142</v>
      </c>
      <c r="C3951" t="s">
        <v>143</v>
      </c>
      <c r="D3951" s="7">
        <v>5</v>
      </c>
      <c r="E3951">
        <v>2016</v>
      </c>
      <c r="F3951">
        <v>2016</v>
      </c>
      <c r="G3951" t="str">
        <f>IFERROR(INDEX(Formulations[Formulation],MATCH($C3951,Formulations[Product Code],0)),"")</f>
        <v>Pure</v>
      </c>
    </row>
    <row r="3952" spans="1:7" x14ac:dyDescent="0.3">
      <c r="A3952" t="s">
        <v>1356</v>
      </c>
      <c r="B3952" t="s">
        <v>144</v>
      </c>
      <c r="C3952" t="s">
        <v>145</v>
      </c>
      <c r="D3952" s="7">
        <v>5</v>
      </c>
      <c r="E3952">
        <v>2017</v>
      </c>
      <c r="F3952">
        <v>2017</v>
      </c>
      <c r="G3952" t="str">
        <f>IFERROR(INDEX(Formulations[Formulation],MATCH($C3952,Formulations[Product Code],0)),"")</f>
        <v/>
      </c>
    </row>
    <row r="3953" spans="1:7" x14ac:dyDescent="0.3">
      <c r="A3953" t="s">
        <v>1356</v>
      </c>
      <c r="B3953" t="s">
        <v>196</v>
      </c>
      <c r="C3953" t="s">
        <v>197</v>
      </c>
      <c r="D3953" s="7">
        <v>5</v>
      </c>
      <c r="E3953">
        <v>2016</v>
      </c>
      <c r="F3953">
        <v>2016</v>
      </c>
      <c r="G3953" t="str">
        <f>IFERROR(INDEX(Formulations[Formulation],MATCH($C3953,Formulations[Product Code],0)),"")</f>
        <v/>
      </c>
    </row>
    <row r="3954" spans="1:7" x14ac:dyDescent="0.3">
      <c r="A3954" t="s">
        <v>1356</v>
      </c>
      <c r="B3954" t="s">
        <v>70</v>
      </c>
      <c r="C3954" t="s">
        <v>71</v>
      </c>
      <c r="D3954" s="7">
        <v>5</v>
      </c>
      <c r="E3954">
        <v>2018</v>
      </c>
      <c r="F3954">
        <v>2018</v>
      </c>
      <c r="G3954" t="str">
        <f>IFERROR(INDEX(Formulations[Formulation],MATCH($C3954,Formulations[Product Code],0)),"")</f>
        <v>40% Oil &amp; 60% DPG</v>
      </c>
    </row>
    <row r="3955" spans="1:7" x14ac:dyDescent="0.3">
      <c r="A3955" t="s">
        <v>1356</v>
      </c>
      <c r="B3955" t="s">
        <v>72</v>
      </c>
      <c r="C3955" t="s">
        <v>73</v>
      </c>
      <c r="D3955" s="7">
        <v>5</v>
      </c>
      <c r="E3955">
        <v>2017</v>
      </c>
      <c r="F3955">
        <v>2017</v>
      </c>
      <c r="G3955" t="str">
        <f>IFERROR(INDEX(Formulations[Formulation],MATCH($C3955,Formulations[Product Code],0)),"")</f>
        <v>Silver</v>
      </c>
    </row>
    <row r="3956" spans="1:7" x14ac:dyDescent="0.3">
      <c r="A3956" t="s">
        <v>1356</v>
      </c>
      <c r="B3956" t="s">
        <v>74</v>
      </c>
      <c r="C3956" t="s">
        <v>75</v>
      </c>
      <c r="D3956" s="7">
        <v>5</v>
      </c>
      <c r="E3956">
        <v>2018</v>
      </c>
      <c r="F3956">
        <v>2018</v>
      </c>
      <c r="G3956" t="str">
        <f>IFERROR(INDEX(Formulations[Formulation],MATCH($C3956,Formulations[Product Code],0)),"")</f>
        <v>Crystal</v>
      </c>
    </row>
    <row r="3957" spans="1:7" x14ac:dyDescent="0.3">
      <c r="A3957" t="s">
        <v>1356</v>
      </c>
      <c r="B3957" t="s">
        <v>600</v>
      </c>
      <c r="C3957" t="s">
        <v>75</v>
      </c>
      <c r="D3957" s="7">
        <v>5</v>
      </c>
      <c r="E3957">
        <v>2020</v>
      </c>
      <c r="F3957">
        <v>2020</v>
      </c>
      <c r="G3957" t="str">
        <f>IFERROR(INDEX(Formulations[Formulation],MATCH($C3957,Formulations[Product Code],0)),"")</f>
        <v>Crystal</v>
      </c>
    </row>
    <row r="3958" spans="1:7" x14ac:dyDescent="0.3">
      <c r="A3958" t="s">
        <v>1356</v>
      </c>
      <c r="B3958" t="s">
        <v>1109</v>
      </c>
      <c r="C3958" t="s">
        <v>1026</v>
      </c>
      <c r="D3958" s="7">
        <v>5</v>
      </c>
      <c r="E3958">
        <v>2017</v>
      </c>
      <c r="F3958">
        <v>2017</v>
      </c>
      <c r="G3958" t="str">
        <f>IFERROR(INDEX(Formulations[Formulation],MATCH($C3958,Formulations[Product Code],0)),"")</f>
        <v/>
      </c>
    </row>
    <row r="3959" spans="1:7" x14ac:dyDescent="0.3">
      <c r="A3959" t="s">
        <v>1356</v>
      </c>
      <c r="B3959" t="s">
        <v>1344</v>
      </c>
      <c r="C3959" t="s">
        <v>1345</v>
      </c>
      <c r="D3959" s="7">
        <v>5</v>
      </c>
      <c r="E3959">
        <v>2011</v>
      </c>
      <c r="F3959">
        <v>2011</v>
      </c>
      <c r="G3959" t="str">
        <f>IFERROR(INDEX(Formulations[Formulation],MATCH($C3959,Formulations[Product Code],0)),"")</f>
        <v/>
      </c>
    </row>
    <row r="3960" spans="1:7" x14ac:dyDescent="0.3">
      <c r="A3960" t="s">
        <v>1356</v>
      </c>
      <c r="B3960" t="s">
        <v>1371</v>
      </c>
      <c r="C3960" t="s">
        <v>613</v>
      </c>
      <c r="D3960" s="7">
        <v>5</v>
      </c>
      <c r="E3960">
        <v>2019</v>
      </c>
      <c r="F3960">
        <v>2019</v>
      </c>
      <c r="G3960" t="str">
        <f>IFERROR(INDEX(Formulations[Formulation],MATCH($C3960,Formulations[Product Code],0)),"")</f>
        <v>Pure</v>
      </c>
    </row>
    <row r="3961" spans="1:7" x14ac:dyDescent="0.3">
      <c r="A3961" t="s">
        <v>1356</v>
      </c>
      <c r="B3961" t="s">
        <v>236</v>
      </c>
      <c r="C3961" t="s">
        <v>237</v>
      </c>
      <c r="D3961" s="7">
        <v>5</v>
      </c>
      <c r="E3961">
        <v>2017</v>
      </c>
      <c r="F3961">
        <v>2017</v>
      </c>
      <c r="G3961" t="str">
        <f>IFERROR(INDEX(Formulations[Formulation],MATCH($C3961,Formulations[Product Code],0)),"")</f>
        <v>Body by Burberry (F) CP00861 60%, Pacific Paradise 30%, Supreme bouqet 10%, than make gold</v>
      </c>
    </row>
    <row r="3962" spans="1:7" x14ac:dyDescent="0.3">
      <c r="A3962" t="s">
        <v>1356</v>
      </c>
      <c r="B3962" t="s">
        <v>807</v>
      </c>
      <c r="C3962" t="s">
        <v>515</v>
      </c>
      <c r="D3962" s="7">
        <v>5</v>
      </c>
      <c r="E3962">
        <v>2018</v>
      </c>
      <c r="F3962">
        <v>2018</v>
      </c>
      <c r="G3962" t="str">
        <f>IFERROR(INDEX(Formulations[Formulation],MATCH($C3962,Formulations[Product Code],0)),"")</f>
        <v>Crystal</v>
      </c>
    </row>
    <row r="3963" spans="1:7" x14ac:dyDescent="0.3">
      <c r="A3963" t="s">
        <v>1356</v>
      </c>
      <c r="B3963" t="s">
        <v>159</v>
      </c>
      <c r="C3963" t="s">
        <v>160</v>
      </c>
      <c r="D3963" s="7">
        <v>5</v>
      </c>
      <c r="E3963">
        <v>2018</v>
      </c>
      <c r="F3963">
        <v>2018</v>
      </c>
      <c r="G3963" t="str">
        <f>IFERROR(INDEX(Formulations[Formulation],MATCH($C3963,Formulations[Product Code],0)),"")</f>
        <v>Silver</v>
      </c>
    </row>
    <row r="3964" spans="1:7" x14ac:dyDescent="0.3">
      <c r="A3964" t="s">
        <v>1374</v>
      </c>
      <c r="B3964" t="s">
        <v>716</v>
      </c>
      <c r="C3964" t="s">
        <v>717</v>
      </c>
      <c r="D3964" s="7">
        <v>5</v>
      </c>
      <c r="E3964">
        <v>2021</v>
      </c>
      <c r="F3964">
        <v>2021</v>
      </c>
      <c r="G3964" t="str">
        <f>IFERROR(INDEX(Formulations[Formulation],MATCH($C3964,Formulations[Product Code],0)),"")</f>
        <v>Pure</v>
      </c>
    </row>
    <row r="3965" spans="1:7" x14ac:dyDescent="0.3">
      <c r="A3965" t="s">
        <v>1374</v>
      </c>
      <c r="B3965" t="s">
        <v>586</v>
      </c>
      <c r="C3965" t="s">
        <v>587</v>
      </c>
      <c r="D3965" s="7">
        <v>5</v>
      </c>
      <c r="E3965">
        <v>2020</v>
      </c>
      <c r="F3965">
        <v>2020</v>
      </c>
      <c r="G3965" t="str">
        <f>IFERROR(INDEX(Formulations[Formulation],MATCH($C3965,Formulations[Product Code],0)),"")</f>
        <v>Pure</v>
      </c>
    </row>
    <row r="3966" spans="1:7" x14ac:dyDescent="0.3">
      <c r="A3966" t="s">
        <v>1374</v>
      </c>
      <c r="B3966" t="s">
        <v>593</v>
      </c>
      <c r="C3966" t="s">
        <v>594</v>
      </c>
      <c r="D3966" s="7">
        <v>5</v>
      </c>
      <c r="E3966">
        <v>2021</v>
      </c>
      <c r="F3966">
        <v>2021</v>
      </c>
      <c r="G3966" t="str">
        <f>IFERROR(INDEX(Formulations[Formulation],MATCH($C3966,Formulations[Product Code],0)),"")</f>
        <v>Oil 4.5kg</v>
      </c>
    </row>
    <row r="3967" spans="1:7" x14ac:dyDescent="0.3">
      <c r="A3967" t="s">
        <v>1374</v>
      </c>
      <c r="B3967" t="s">
        <v>1380</v>
      </c>
      <c r="D3967" s="7">
        <v>5</v>
      </c>
      <c r="E3967">
        <v>2019</v>
      </c>
      <c r="F3967">
        <v>2019</v>
      </c>
      <c r="G3967" t="str">
        <f>IFERROR(INDEX(Formulations[Formulation],MATCH($C3967,Formulations[Product Code],0)),"")</f>
        <v/>
      </c>
    </row>
    <row r="3968" spans="1:7" x14ac:dyDescent="0.3">
      <c r="A3968" t="s">
        <v>1374</v>
      </c>
      <c r="B3968" t="s">
        <v>540</v>
      </c>
      <c r="C3968" t="s">
        <v>541</v>
      </c>
      <c r="D3968" s="7">
        <v>5</v>
      </c>
      <c r="E3968">
        <v>2021</v>
      </c>
      <c r="F3968">
        <v>2021</v>
      </c>
      <c r="G3968" t="str">
        <f>IFERROR(INDEX(Formulations[Formulation],MATCH($C3968,Formulations[Product Code],0)),"")</f>
        <v>Pure</v>
      </c>
    </row>
    <row r="3969" spans="1:7" x14ac:dyDescent="0.3">
      <c r="A3969" t="s">
        <v>1374</v>
      </c>
      <c r="B3969" t="s">
        <v>643</v>
      </c>
      <c r="C3969" t="s">
        <v>644</v>
      </c>
      <c r="D3969" s="7">
        <v>5</v>
      </c>
      <c r="E3969">
        <v>2017</v>
      </c>
      <c r="F3969">
        <v>2017</v>
      </c>
      <c r="G3969" t="str">
        <f>IFERROR(INDEX(Formulations[Formulation],MATCH($C3969,Formulations[Product Code],0)),"")</f>
        <v>Crystal</v>
      </c>
    </row>
    <row r="3970" spans="1:7" x14ac:dyDescent="0.3">
      <c r="A3970" t="s">
        <v>1374</v>
      </c>
      <c r="B3970" t="s">
        <v>686</v>
      </c>
      <c r="C3970" t="s">
        <v>687</v>
      </c>
      <c r="D3970" s="7">
        <v>5</v>
      </c>
      <c r="E3970">
        <v>2020</v>
      </c>
      <c r="F3970">
        <v>2020</v>
      </c>
      <c r="G3970" t="str">
        <f>IFERROR(INDEX(Formulations[Formulation],MATCH($C3970,Formulations[Product Code],0)),"")</f>
        <v>Pure</v>
      </c>
    </row>
    <row r="3971" spans="1:7" x14ac:dyDescent="0.3">
      <c r="A3971" t="s">
        <v>1374</v>
      </c>
      <c r="B3971" t="s">
        <v>257</v>
      </c>
      <c r="C3971" t="s">
        <v>61</v>
      </c>
      <c r="D3971" s="7">
        <v>5</v>
      </c>
      <c r="E3971">
        <v>2021</v>
      </c>
      <c r="F3971">
        <v>2021</v>
      </c>
      <c r="G3971" t="str">
        <f>IFERROR(INDEX(Formulations[Formulation],MATCH($C3971,Formulations[Product Code],0)),"")</f>
        <v>Pure</v>
      </c>
    </row>
    <row r="3972" spans="1:7" x14ac:dyDescent="0.3">
      <c r="A3972" t="s">
        <v>1374</v>
      </c>
      <c r="B3972" t="s">
        <v>114</v>
      </c>
      <c r="C3972" t="s">
        <v>115</v>
      </c>
      <c r="D3972" s="7">
        <v>5</v>
      </c>
      <c r="E3972">
        <v>2021</v>
      </c>
      <c r="F3972">
        <v>2021</v>
      </c>
      <c r="G3972" t="str">
        <f>IFERROR(INDEX(Formulations[Formulation],MATCH($C3972,Formulations[Product Code],0)),"")</f>
        <v>Pure</v>
      </c>
    </row>
    <row r="3973" spans="1:7" x14ac:dyDescent="0.3">
      <c r="A3973" t="s">
        <v>1374</v>
      </c>
      <c r="B3973" t="s">
        <v>120</v>
      </c>
      <c r="C3973" t="s">
        <v>121</v>
      </c>
      <c r="D3973" s="7">
        <v>5</v>
      </c>
      <c r="E3973">
        <v>2019</v>
      </c>
      <c r="F3973">
        <v>2019</v>
      </c>
      <c r="G3973" t="str">
        <f>IFERROR(INDEX(Formulations[Formulation],MATCH($C3973,Formulations[Product Code],0)),"")</f>
        <v/>
      </c>
    </row>
    <row r="3974" spans="1:7" x14ac:dyDescent="0.3">
      <c r="A3974" t="s">
        <v>1374</v>
      </c>
      <c r="B3974" t="s">
        <v>68</v>
      </c>
      <c r="C3974" t="s">
        <v>69</v>
      </c>
      <c r="D3974" s="7">
        <v>5</v>
      </c>
      <c r="E3974">
        <v>2020</v>
      </c>
      <c r="F3974">
        <v>2020</v>
      </c>
      <c r="G3974" t="str">
        <f>IFERROR(INDEX(Formulations[Formulation],MATCH($C3974,Formulations[Product Code],0)),"")</f>
        <v>Silver</v>
      </c>
    </row>
    <row r="3975" spans="1:7" x14ac:dyDescent="0.3">
      <c r="A3975" t="s">
        <v>1374</v>
      </c>
      <c r="B3975" t="s">
        <v>189</v>
      </c>
      <c r="D3975" s="7">
        <v>5</v>
      </c>
      <c r="E3975">
        <v>2019</v>
      </c>
      <c r="F3975">
        <v>2019</v>
      </c>
      <c r="G3975" t="str">
        <f>IFERROR(INDEX(Formulations[Formulation],MATCH($C3975,Formulations[Product Code],0)),"")</f>
        <v/>
      </c>
    </row>
    <row r="3976" spans="1:7" x14ac:dyDescent="0.3">
      <c r="A3976" t="s">
        <v>1374</v>
      </c>
      <c r="B3976" t="s">
        <v>137</v>
      </c>
      <c r="C3976" t="s">
        <v>138</v>
      </c>
      <c r="D3976" s="7">
        <v>5</v>
      </c>
      <c r="E3976">
        <v>2015</v>
      </c>
      <c r="F3976">
        <v>2015</v>
      </c>
      <c r="G3976" t="str">
        <f>IFERROR(INDEX(Formulations[Formulation],MATCH($C3976,Formulations[Product Code],0)),"")</f>
        <v>WS</v>
      </c>
    </row>
    <row r="3977" spans="1:7" x14ac:dyDescent="0.3">
      <c r="A3977" t="s">
        <v>1374</v>
      </c>
      <c r="B3977" t="s">
        <v>1369</v>
      </c>
      <c r="C3977" t="s">
        <v>1370</v>
      </c>
      <c r="D3977" s="7">
        <v>5</v>
      </c>
      <c r="E3977">
        <v>2020</v>
      </c>
      <c r="F3977">
        <v>2020</v>
      </c>
      <c r="G3977" t="str">
        <f>IFERROR(INDEX(Formulations[Formulation],MATCH($C3977,Formulations[Product Code],0)),"")</f>
        <v>Pure</v>
      </c>
    </row>
    <row r="3978" spans="1:7" x14ac:dyDescent="0.3">
      <c r="A3978" t="s">
        <v>1374</v>
      </c>
      <c r="B3978" t="s">
        <v>192</v>
      </c>
      <c r="C3978" t="s">
        <v>193</v>
      </c>
      <c r="D3978" s="7">
        <v>5</v>
      </c>
      <c r="E3978">
        <v>2021</v>
      </c>
      <c r="F3978">
        <v>2021</v>
      </c>
      <c r="G3978" t="str">
        <f>IFERROR(INDEX(Formulations[Formulation],MATCH($C3978,Formulations[Product Code],0)),"")</f>
        <v>Red Grape 50%/ Fruity Smoothie 30% /Green Apple 20% /than make 60% oil</v>
      </c>
    </row>
    <row r="3979" spans="1:7" x14ac:dyDescent="0.3">
      <c r="A3979" t="s">
        <v>1374</v>
      </c>
      <c r="B3979" t="s">
        <v>1023</v>
      </c>
      <c r="C3979" t="s">
        <v>1024</v>
      </c>
      <c r="D3979" s="7">
        <v>5</v>
      </c>
      <c r="E3979">
        <v>2020</v>
      </c>
      <c r="F3979">
        <v>2020</v>
      </c>
      <c r="G3979" t="str">
        <f>IFERROR(INDEX(Formulations[Formulation],MATCH($C3979,Formulations[Product Code],0)),"")</f>
        <v/>
      </c>
    </row>
    <row r="3980" spans="1:7" x14ac:dyDescent="0.3">
      <c r="A3980" t="s">
        <v>1374</v>
      </c>
      <c r="B3980" t="s">
        <v>483</v>
      </c>
      <c r="C3980" t="s">
        <v>484</v>
      </c>
      <c r="D3980" s="7">
        <v>5</v>
      </c>
      <c r="E3980">
        <v>2020</v>
      </c>
      <c r="F3980">
        <v>2020</v>
      </c>
      <c r="G3980" t="str">
        <f>IFERROR(INDEX(Formulations[Formulation],MATCH($C3980,Formulations[Product Code],0)),"")</f>
        <v>Crystal</v>
      </c>
    </row>
    <row r="3981" spans="1:7" x14ac:dyDescent="0.3">
      <c r="A3981" t="s">
        <v>1374</v>
      </c>
      <c r="B3981" t="s">
        <v>841</v>
      </c>
      <c r="C3981" t="s">
        <v>169</v>
      </c>
      <c r="D3981" s="7">
        <v>5</v>
      </c>
      <c r="E3981">
        <v>2021</v>
      </c>
      <c r="F3981">
        <v>2021</v>
      </c>
      <c r="G3981" t="str">
        <f>IFERROR(INDEX(Formulations[Formulation],MATCH($C3981,Formulations[Product Code],0)),"")</f>
        <v>Silver</v>
      </c>
    </row>
    <row r="3982" spans="1:7" x14ac:dyDescent="0.3">
      <c r="A3982" t="s">
        <v>1374</v>
      </c>
      <c r="B3982" t="s">
        <v>677</v>
      </c>
      <c r="C3982" t="s">
        <v>678</v>
      </c>
      <c r="D3982" s="7">
        <v>5</v>
      </c>
      <c r="E3982">
        <v>2021</v>
      </c>
      <c r="F3982">
        <v>2021</v>
      </c>
      <c r="G3982" t="str">
        <f>IFERROR(INDEX(Formulations[Formulation],MATCH($C3982,Formulations[Product Code],0)),"")</f>
        <v>Pure</v>
      </c>
    </row>
    <row r="3983" spans="1:7" x14ac:dyDescent="0.3">
      <c r="A3983" t="s">
        <v>1403</v>
      </c>
      <c r="B3983" t="s">
        <v>1405</v>
      </c>
      <c r="C3983" t="s">
        <v>1406</v>
      </c>
      <c r="D3983" s="7">
        <v>5</v>
      </c>
      <c r="E3983">
        <v>2020</v>
      </c>
      <c r="F3983">
        <v>2020</v>
      </c>
      <c r="G3983" t="str">
        <f>IFERROR(INDEX(Formulations[Formulation],MATCH($C3983,Formulations[Product Code],0)),"")</f>
        <v>Silver</v>
      </c>
    </row>
    <row r="3984" spans="1:7" x14ac:dyDescent="0.3">
      <c r="A3984" t="s">
        <v>1403</v>
      </c>
      <c r="B3984" t="s">
        <v>841</v>
      </c>
      <c r="C3984" t="s">
        <v>169</v>
      </c>
      <c r="D3984" s="7">
        <v>5</v>
      </c>
      <c r="E3984">
        <v>2020</v>
      </c>
      <c r="F3984">
        <v>2020</v>
      </c>
      <c r="G3984" t="str">
        <f>IFERROR(INDEX(Formulations[Formulation],MATCH($C3984,Formulations[Product Code],0)),"")</f>
        <v>Silver</v>
      </c>
    </row>
    <row r="3985" spans="1:7" x14ac:dyDescent="0.3">
      <c r="A3985" t="s">
        <v>1407</v>
      </c>
      <c r="B3985" t="s">
        <v>723</v>
      </c>
      <c r="C3985" t="s">
        <v>724</v>
      </c>
      <c r="D3985" s="7">
        <v>5</v>
      </c>
      <c r="E3985">
        <v>2020</v>
      </c>
      <c r="F3985">
        <v>2021</v>
      </c>
      <c r="G3985" t="str">
        <f>IFERROR(INDEX(Formulations[Formulation],MATCH($C3985,Formulations[Product Code],0)),"")</f>
        <v>Crystal</v>
      </c>
    </row>
    <row r="3986" spans="1:7" x14ac:dyDescent="0.3">
      <c r="A3986" t="s">
        <v>1407</v>
      </c>
      <c r="B3986" t="s">
        <v>246</v>
      </c>
      <c r="C3986" t="s">
        <v>247</v>
      </c>
      <c r="D3986" s="7">
        <v>5</v>
      </c>
      <c r="E3986">
        <v>2019</v>
      </c>
      <c r="F3986">
        <v>2019</v>
      </c>
      <c r="G3986" t="str">
        <f>IFERROR(INDEX(Formulations[Formulation],MATCH($C3986,Formulations[Product Code],0)),"")</f>
        <v>Crystal</v>
      </c>
    </row>
    <row r="3987" spans="1:7" x14ac:dyDescent="0.3">
      <c r="A3987" t="s">
        <v>1407</v>
      </c>
      <c r="B3987" t="s">
        <v>24</v>
      </c>
      <c r="C3987" t="s">
        <v>25</v>
      </c>
      <c r="D3987" s="7">
        <v>5</v>
      </c>
      <c r="E3987">
        <v>2017</v>
      </c>
      <c r="F3987">
        <v>2017</v>
      </c>
      <c r="G3987" t="str">
        <f>IFERROR(INDEX(Formulations[Formulation],MATCH($C3987,Formulations[Product Code],0)),"")</f>
        <v>citropine 85%/Pinefresh 15%</v>
      </c>
    </row>
    <row r="3988" spans="1:7" x14ac:dyDescent="0.3">
      <c r="A3988" t="s">
        <v>1407</v>
      </c>
      <c r="B3988" t="s">
        <v>105</v>
      </c>
      <c r="C3988" t="s">
        <v>106</v>
      </c>
      <c r="D3988" s="7">
        <v>5</v>
      </c>
      <c r="E3988">
        <v>2019</v>
      </c>
      <c r="F3988">
        <v>2021</v>
      </c>
      <c r="G3988" t="str">
        <f>IFERROR(INDEX(Formulations[Formulation],MATCH($C3988,Formulations[Product Code],0)),"")</f>
        <v>Pure</v>
      </c>
    </row>
    <row r="3989" spans="1:7" x14ac:dyDescent="0.3">
      <c r="A3989" t="s">
        <v>1407</v>
      </c>
      <c r="B3989" t="s">
        <v>1425</v>
      </c>
      <c r="C3989" t="s">
        <v>212</v>
      </c>
      <c r="D3989" s="7">
        <v>5</v>
      </c>
      <c r="E3989">
        <v>2019</v>
      </c>
      <c r="F3989">
        <v>2021</v>
      </c>
      <c r="G3989" t="str">
        <f>IFERROR(INDEX(Formulations[Formulation],MATCH($C3989,Formulations[Product Code],0)),"")</f>
        <v>Pure</v>
      </c>
    </row>
    <row r="3990" spans="1:7" x14ac:dyDescent="0.3">
      <c r="A3990" t="s">
        <v>1407</v>
      </c>
      <c r="B3990" t="s">
        <v>839</v>
      </c>
      <c r="C3990" t="s">
        <v>138</v>
      </c>
      <c r="D3990" s="7">
        <v>5</v>
      </c>
      <c r="E3990">
        <v>2019</v>
      </c>
      <c r="F3990">
        <v>2021</v>
      </c>
      <c r="G3990" t="str">
        <f>IFERROR(INDEX(Formulations[Formulation],MATCH($C3990,Formulations[Product Code],0)),"")</f>
        <v>WS</v>
      </c>
    </row>
    <row r="3991" spans="1:7" x14ac:dyDescent="0.3">
      <c r="A3991" t="s">
        <v>1407</v>
      </c>
      <c r="B3991" t="s">
        <v>265</v>
      </c>
      <c r="C3991" t="s">
        <v>197</v>
      </c>
      <c r="D3991" s="7">
        <v>5</v>
      </c>
      <c r="E3991">
        <v>2019</v>
      </c>
      <c r="F3991">
        <v>2019</v>
      </c>
      <c r="G3991" t="str">
        <f>IFERROR(INDEX(Formulations[Formulation],MATCH($C3991,Formulations[Product Code],0)),"")</f>
        <v/>
      </c>
    </row>
    <row r="3992" spans="1:7" x14ac:dyDescent="0.3">
      <c r="A3992" t="s">
        <v>1407</v>
      </c>
      <c r="B3992" t="s">
        <v>320</v>
      </c>
      <c r="C3992" t="s">
        <v>414</v>
      </c>
      <c r="D3992" s="7">
        <v>5</v>
      </c>
      <c r="E3992">
        <v>2019</v>
      </c>
      <c r="F3992">
        <v>2019</v>
      </c>
      <c r="G3992" t="str">
        <f>IFERROR(INDEX(Formulations[Formulation],MATCH($C3992,Formulations[Product Code],0)),"")</f>
        <v/>
      </c>
    </row>
    <row r="3993" spans="1:7" x14ac:dyDescent="0.3">
      <c r="A3993" t="s">
        <v>1431</v>
      </c>
      <c r="B3993" t="s">
        <v>55</v>
      </c>
      <c r="D3993" s="7">
        <v>5</v>
      </c>
      <c r="E3993">
        <v>2018</v>
      </c>
      <c r="F3993">
        <v>2018</v>
      </c>
      <c r="G3993" t="str">
        <f>IFERROR(INDEX(Formulations[Formulation],MATCH($C3993,Formulations[Product Code],0)),"")</f>
        <v/>
      </c>
    </row>
    <row r="3994" spans="1:7" x14ac:dyDescent="0.3">
      <c r="A3994" t="s">
        <v>1431</v>
      </c>
      <c r="B3994" t="s">
        <v>922</v>
      </c>
      <c r="D3994" s="7">
        <v>5</v>
      </c>
      <c r="E3994">
        <v>2018</v>
      </c>
      <c r="F3994">
        <v>2018</v>
      </c>
      <c r="G3994" t="str">
        <f>IFERROR(INDEX(Formulations[Formulation],MATCH($C3994,Formulations[Product Code],0)),"")</f>
        <v/>
      </c>
    </row>
    <row r="3995" spans="1:7" x14ac:dyDescent="0.3">
      <c r="A3995" t="s">
        <v>1439</v>
      </c>
      <c r="B3995" t="s">
        <v>863</v>
      </c>
      <c r="D3995" s="7">
        <v>5</v>
      </c>
      <c r="E3995">
        <v>2015</v>
      </c>
      <c r="F3995">
        <v>2015</v>
      </c>
      <c r="G3995" t="str">
        <f>IFERROR(INDEX(Formulations[Formulation],MATCH($C3995,Formulations[Product Code],0)),"")</f>
        <v/>
      </c>
    </row>
    <row r="3996" spans="1:7" x14ac:dyDescent="0.3">
      <c r="A3996" t="s">
        <v>1459</v>
      </c>
      <c r="B3996" t="s">
        <v>21</v>
      </c>
      <c r="C3996" t="s">
        <v>22</v>
      </c>
      <c r="D3996" s="7">
        <v>5</v>
      </c>
      <c r="E3996">
        <v>2015</v>
      </c>
      <c r="F3996">
        <v>2015</v>
      </c>
      <c r="G3996" t="str">
        <f>IFERROR(INDEX(Formulations[Formulation],MATCH($C3996,Formulations[Product Code],0)),"")</f>
        <v>Crystal</v>
      </c>
    </row>
    <row r="3997" spans="1:7" x14ac:dyDescent="0.3">
      <c r="A3997" t="s">
        <v>1463</v>
      </c>
      <c r="B3997" t="s">
        <v>1466</v>
      </c>
      <c r="C3997" t="s">
        <v>1467</v>
      </c>
      <c r="D3997" s="7">
        <v>5</v>
      </c>
      <c r="E3997">
        <v>2012</v>
      </c>
      <c r="F3997">
        <v>2012</v>
      </c>
      <c r="G3997" t="str">
        <f>IFERROR(INDEX(Formulations[Formulation],MATCH($C3997,Formulations[Product Code],0)),"")</f>
        <v/>
      </c>
    </row>
    <row r="3998" spans="1:7" x14ac:dyDescent="0.3">
      <c r="A3998" t="s">
        <v>1463</v>
      </c>
      <c r="B3998" t="s">
        <v>79</v>
      </c>
      <c r="C3998" t="s">
        <v>80</v>
      </c>
      <c r="D3998" s="7">
        <v>5</v>
      </c>
      <c r="E3998">
        <v>2012</v>
      </c>
      <c r="F3998">
        <v>2012</v>
      </c>
      <c r="G3998" t="str">
        <f>IFERROR(INDEX(Formulations[Formulation],MATCH($C3998,Formulations[Product Code],0)),"")</f>
        <v>Pure</v>
      </c>
    </row>
    <row r="3999" spans="1:7" x14ac:dyDescent="0.3">
      <c r="A3999" t="s">
        <v>1463</v>
      </c>
      <c r="B3999" t="s">
        <v>948</v>
      </c>
      <c r="C3999" t="s">
        <v>949</v>
      </c>
      <c r="D3999" s="7">
        <v>5</v>
      </c>
      <c r="E3999">
        <v>2012</v>
      </c>
      <c r="F3999">
        <v>2012</v>
      </c>
      <c r="G3999" t="str">
        <f>IFERROR(INDEX(Formulations[Formulation],MATCH($C3999,Formulations[Product Code],0)),"")</f>
        <v/>
      </c>
    </row>
    <row r="4000" spans="1:7" x14ac:dyDescent="0.3">
      <c r="A4000" t="s">
        <v>1463</v>
      </c>
      <c r="B4000" t="s">
        <v>1473</v>
      </c>
      <c r="C4000" t="s">
        <v>1474</v>
      </c>
      <c r="D4000" s="7">
        <v>5</v>
      </c>
      <c r="E4000">
        <v>2012</v>
      </c>
      <c r="F4000">
        <v>2012</v>
      </c>
      <c r="G4000" t="str">
        <f>IFERROR(INDEX(Formulations[Formulation],MATCH($C4000,Formulations[Product Code],0)),"")</f>
        <v/>
      </c>
    </row>
    <row r="4001" spans="1:7" x14ac:dyDescent="0.3">
      <c r="A4001" t="s">
        <v>1463</v>
      </c>
      <c r="B4001" t="s">
        <v>1475</v>
      </c>
      <c r="C4001" t="s">
        <v>1476</v>
      </c>
      <c r="D4001" s="7">
        <v>5</v>
      </c>
      <c r="E4001">
        <v>2012</v>
      </c>
      <c r="F4001">
        <v>2012</v>
      </c>
      <c r="G4001" t="str">
        <f>IFERROR(INDEX(Formulations[Formulation],MATCH($C4001,Formulations[Product Code],0)),"")</f>
        <v/>
      </c>
    </row>
    <row r="4002" spans="1:7" x14ac:dyDescent="0.3">
      <c r="A4002" t="s">
        <v>1463</v>
      </c>
      <c r="B4002" t="s">
        <v>1130</v>
      </c>
      <c r="C4002" t="s">
        <v>1477</v>
      </c>
      <c r="D4002" s="7">
        <v>5</v>
      </c>
      <c r="E4002">
        <v>2012</v>
      </c>
      <c r="F4002">
        <v>2012</v>
      </c>
      <c r="G4002" t="str">
        <f>IFERROR(INDEX(Formulations[Formulation],MATCH($C4002,Formulations[Product Code],0)),"")</f>
        <v/>
      </c>
    </row>
    <row r="4003" spans="1:7" x14ac:dyDescent="0.3">
      <c r="A4003" t="s">
        <v>1463</v>
      </c>
      <c r="B4003" t="s">
        <v>1478</v>
      </c>
      <c r="C4003" t="s">
        <v>1479</v>
      </c>
      <c r="D4003" s="7">
        <v>5</v>
      </c>
      <c r="E4003">
        <v>2012</v>
      </c>
      <c r="F4003">
        <v>2012</v>
      </c>
      <c r="G4003" t="str">
        <f>IFERROR(INDEX(Formulations[Formulation],MATCH($C4003,Formulations[Product Code],0)),"")</f>
        <v/>
      </c>
    </row>
    <row r="4004" spans="1:7" x14ac:dyDescent="0.3">
      <c r="A4004" t="s">
        <v>1463</v>
      </c>
      <c r="B4004" t="s">
        <v>1480</v>
      </c>
      <c r="C4004" t="s">
        <v>1159</v>
      </c>
      <c r="D4004" s="7">
        <v>5</v>
      </c>
      <c r="E4004">
        <v>2012</v>
      </c>
      <c r="F4004">
        <v>2012</v>
      </c>
      <c r="G4004" t="str">
        <f>IFERROR(INDEX(Formulations[Formulation],MATCH($C4004,Formulations[Product Code],0)),"")</f>
        <v/>
      </c>
    </row>
    <row r="4005" spans="1:7" x14ac:dyDescent="0.3">
      <c r="A4005" t="s">
        <v>1463</v>
      </c>
      <c r="B4005" t="s">
        <v>1485</v>
      </c>
      <c r="C4005" t="s">
        <v>1486</v>
      </c>
      <c r="D4005" s="7">
        <v>5</v>
      </c>
      <c r="E4005">
        <v>2012</v>
      </c>
      <c r="F4005">
        <v>2012</v>
      </c>
      <c r="G4005" t="str">
        <f>IFERROR(INDEX(Formulations[Formulation],MATCH($C4005,Formulations[Product Code],0)),"")</f>
        <v/>
      </c>
    </row>
    <row r="4006" spans="1:7" x14ac:dyDescent="0.3">
      <c r="A4006" t="s">
        <v>1463</v>
      </c>
      <c r="B4006" t="s">
        <v>1045</v>
      </c>
      <c r="C4006" t="s">
        <v>1046</v>
      </c>
      <c r="D4006" s="7">
        <v>5</v>
      </c>
      <c r="E4006">
        <v>2012</v>
      </c>
      <c r="F4006">
        <v>2012</v>
      </c>
      <c r="G4006" t="str">
        <f>IFERROR(INDEX(Formulations[Formulation],MATCH($C4006,Formulations[Product Code],0)),"")</f>
        <v/>
      </c>
    </row>
    <row r="4007" spans="1:7" x14ac:dyDescent="0.3">
      <c r="A4007" t="s">
        <v>1463</v>
      </c>
      <c r="B4007" t="s">
        <v>1497</v>
      </c>
      <c r="C4007" t="s">
        <v>1498</v>
      </c>
      <c r="D4007" s="7">
        <v>5</v>
      </c>
      <c r="E4007">
        <v>2012</v>
      </c>
      <c r="F4007">
        <v>2012</v>
      </c>
      <c r="G4007" t="str">
        <f>IFERROR(INDEX(Formulations[Formulation],MATCH($C4007,Formulations[Product Code],0)),"")</f>
        <v/>
      </c>
    </row>
    <row r="4008" spans="1:7" x14ac:dyDescent="0.3">
      <c r="A4008" t="s">
        <v>1463</v>
      </c>
      <c r="B4008" t="s">
        <v>1499</v>
      </c>
      <c r="C4008" t="s">
        <v>1500</v>
      </c>
      <c r="D4008" s="7">
        <v>5</v>
      </c>
      <c r="E4008">
        <v>2012</v>
      </c>
      <c r="F4008">
        <v>2012</v>
      </c>
      <c r="G4008" t="str">
        <f>IFERROR(INDEX(Formulations[Formulation],MATCH($C4008,Formulations[Product Code],0)),"")</f>
        <v/>
      </c>
    </row>
    <row r="4009" spans="1:7" x14ac:dyDescent="0.3">
      <c r="A4009" t="s">
        <v>1463</v>
      </c>
      <c r="B4009" t="s">
        <v>1511</v>
      </c>
      <c r="C4009" t="s">
        <v>1255</v>
      </c>
      <c r="D4009" s="7">
        <v>5</v>
      </c>
      <c r="E4009">
        <v>2012</v>
      </c>
      <c r="F4009">
        <v>2012</v>
      </c>
      <c r="G4009" t="str">
        <f>IFERROR(INDEX(Formulations[Formulation],MATCH($C4009,Formulations[Product Code],0)),"")</f>
        <v/>
      </c>
    </row>
    <row r="4010" spans="1:7" x14ac:dyDescent="0.3">
      <c r="A4010" t="s">
        <v>1463</v>
      </c>
      <c r="B4010" t="s">
        <v>1514</v>
      </c>
      <c r="C4010" t="s">
        <v>1515</v>
      </c>
      <c r="D4010" s="7">
        <v>5</v>
      </c>
      <c r="E4010">
        <v>2012</v>
      </c>
      <c r="F4010">
        <v>2012</v>
      </c>
      <c r="G4010" t="str">
        <f>IFERROR(INDEX(Formulations[Formulation],MATCH($C4010,Formulations[Product Code],0)),"")</f>
        <v/>
      </c>
    </row>
    <row r="4011" spans="1:7" x14ac:dyDescent="0.3">
      <c r="A4011" t="s">
        <v>1463</v>
      </c>
      <c r="B4011" t="s">
        <v>1516</v>
      </c>
      <c r="C4011" t="s">
        <v>1517</v>
      </c>
      <c r="D4011" s="7">
        <v>5</v>
      </c>
      <c r="E4011">
        <v>2012</v>
      </c>
      <c r="F4011">
        <v>2012</v>
      </c>
      <c r="G4011" t="str">
        <f>IFERROR(INDEX(Formulations[Formulation],MATCH($C4011,Formulations[Product Code],0)),"")</f>
        <v/>
      </c>
    </row>
    <row r="4012" spans="1:7" x14ac:dyDescent="0.3">
      <c r="A4012" t="s">
        <v>1463</v>
      </c>
      <c r="B4012" t="s">
        <v>1518</v>
      </c>
      <c r="C4012" t="s">
        <v>1519</v>
      </c>
      <c r="D4012" s="7">
        <v>5</v>
      </c>
      <c r="E4012">
        <v>2012</v>
      </c>
      <c r="F4012">
        <v>2012</v>
      </c>
      <c r="G4012" t="str">
        <f>IFERROR(INDEX(Formulations[Formulation],MATCH($C4012,Formulations[Product Code],0)),"")</f>
        <v/>
      </c>
    </row>
    <row r="4013" spans="1:7" x14ac:dyDescent="0.3">
      <c r="A4013" t="s">
        <v>1463</v>
      </c>
      <c r="B4013" t="s">
        <v>614</v>
      </c>
      <c r="C4013" t="s">
        <v>141</v>
      </c>
      <c r="D4013" s="7">
        <v>5</v>
      </c>
      <c r="E4013">
        <v>2013</v>
      </c>
      <c r="F4013">
        <v>2013</v>
      </c>
      <c r="G4013" t="str">
        <f>IFERROR(INDEX(Formulations[Formulation],MATCH($C4013,Formulations[Product Code],0)),"")</f>
        <v/>
      </c>
    </row>
    <row r="4014" spans="1:7" x14ac:dyDescent="0.3">
      <c r="A4014" t="s">
        <v>1463</v>
      </c>
      <c r="B4014" t="s">
        <v>1520</v>
      </c>
      <c r="C4014" t="s">
        <v>1521</v>
      </c>
      <c r="D4014" s="7">
        <v>5</v>
      </c>
      <c r="E4014">
        <v>2012</v>
      </c>
      <c r="F4014">
        <v>2012</v>
      </c>
      <c r="G4014" t="str">
        <f>IFERROR(INDEX(Formulations[Formulation],MATCH($C4014,Formulations[Product Code],0)),"")</f>
        <v/>
      </c>
    </row>
    <row r="4015" spans="1:7" x14ac:dyDescent="0.3">
      <c r="A4015" t="s">
        <v>1463</v>
      </c>
      <c r="B4015" t="s">
        <v>1522</v>
      </c>
      <c r="C4015" t="s">
        <v>1523</v>
      </c>
      <c r="D4015" s="7">
        <v>5</v>
      </c>
      <c r="E4015">
        <v>2012</v>
      </c>
      <c r="F4015">
        <v>2012</v>
      </c>
      <c r="G4015" t="str">
        <f>IFERROR(INDEX(Formulations[Formulation],MATCH($C4015,Formulations[Product Code],0)),"")</f>
        <v/>
      </c>
    </row>
    <row r="4016" spans="1:7" x14ac:dyDescent="0.3">
      <c r="A4016" t="s">
        <v>1463</v>
      </c>
      <c r="B4016" t="s">
        <v>1055</v>
      </c>
      <c r="C4016" t="s">
        <v>1056</v>
      </c>
      <c r="D4016" s="7">
        <v>5</v>
      </c>
      <c r="E4016">
        <v>2013</v>
      </c>
      <c r="F4016">
        <v>2013</v>
      </c>
      <c r="G4016" t="str">
        <f>IFERROR(INDEX(Formulations[Formulation],MATCH($C4016,Formulations[Product Code],0)),"")</f>
        <v/>
      </c>
    </row>
    <row r="4017" spans="1:7" x14ac:dyDescent="0.3">
      <c r="A4017" t="s">
        <v>1463</v>
      </c>
      <c r="B4017" t="s">
        <v>1526</v>
      </c>
      <c r="C4017" t="s">
        <v>1527</v>
      </c>
      <c r="D4017" s="7">
        <v>5</v>
      </c>
      <c r="E4017">
        <v>2012</v>
      </c>
      <c r="F4017">
        <v>2012</v>
      </c>
      <c r="G4017" t="str">
        <f>IFERROR(INDEX(Formulations[Formulation],MATCH($C4017,Formulations[Product Code],0)),"")</f>
        <v/>
      </c>
    </row>
    <row r="4018" spans="1:7" x14ac:dyDescent="0.3">
      <c r="A4018" t="s">
        <v>1463</v>
      </c>
      <c r="B4018" t="s">
        <v>1530</v>
      </c>
      <c r="C4018" t="s">
        <v>1531</v>
      </c>
      <c r="D4018" s="7">
        <v>5</v>
      </c>
      <c r="E4018">
        <v>2012</v>
      </c>
      <c r="F4018">
        <v>2012</v>
      </c>
      <c r="G4018" t="str">
        <f>IFERROR(INDEX(Formulations[Formulation],MATCH($C4018,Formulations[Product Code],0)),"")</f>
        <v/>
      </c>
    </row>
    <row r="4019" spans="1:7" x14ac:dyDescent="0.3">
      <c r="A4019" t="s">
        <v>1463</v>
      </c>
      <c r="B4019" t="s">
        <v>99</v>
      </c>
      <c r="C4019" t="s">
        <v>100</v>
      </c>
      <c r="D4019" s="7">
        <v>5</v>
      </c>
      <c r="E4019">
        <v>2011</v>
      </c>
      <c r="F4019">
        <v>2011</v>
      </c>
      <c r="G4019" t="str">
        <f>IFERROR(INDEX(Formulations[Formulation],MATCH($C4019,Formulations[Product Code],0)),"")</f>
        <v>Crystal</v>
      </c>
    </row>
    <row r="4020" spans="1:7" x14ac:dyDescent="0.3">
      <c r="A4020" t="s">
        <v>1463</v>
      </c>
      <c r="B4020" t="s">
        <v>1535</v>
      </c>
      <c r="C4020" t="s">
        <v>1536</v>
      </c>
      <c r="D4020" s="7">
        <v>5</v>
      </c>
      <c r="E4020">
        <v>2012</v>
      </c>
      <c r="F4020">
        <v>2012</v>
      </c>
      <c r="G4020" t="str">
        <f>IFERROR(INDEX(Formulations[Formulation],MATCH($C4020,Formulations[Product Code],0)),"")</f>
        <v/>
      </c>
    </row>
    <row r="4021" spans="1:7" x14ac:dyDescent="0.3">
      <c r="A4021" t="s">
        <v>1463</v>
      </c>
      <c r="B4021" t="s">
        <v>1538</v>
      </c>
      <c r="C4021" t="s">
        <v>1539</v>
      </c>
      <c r="D4021" s="7">
        <v>5</v>
      </c>
      <c r="E4021">
        <v>2012</v>
      </c>
      <c r="F4021">
        <v>2012</v>
      </c>
      <c r="G4021" t="str">
        <f>IFERROR(INDEX(Formulations[Formulation],MATCH($C4021,Formulations[Product Code],0)),"")</f>
        <v/>
      </c>
    </row>
    <row r="4022" spans="1:7" x14ac:dyDescent="0.3">
      <c r="A4022" t="s">
        <v>1463</v>
      </c>
      <c r="B4022" t="s">
        <v>1540</v>
      </c>
      <c r="C4022" t="s">
        <v>1541</v>
      </c>
      <c r="D4022" s="7">
        <v>5</v>
      </c>
      <c r="E4022">
        <v>2012</v>
      </c>
      <c r="F4022">
        <v>2012</v>
      </c>
      <c r="G4022" t="str">
        <f>IFERROR(INDEX(Formulations[Formulation],MATCH($C4022,Formulations[Product Code],0)),"")</f>
        <v/>
      </c>
    </row>
    <row r="4023" spans="1:7" x14ac:dyDescent="0.3">
      <c r="A4023" t="s">
        <v>1463</v>
      </c>
      <c r="B4023" t="s">
        <v>1542</v>
      </c>
      <c r="C4023" t="s">
        <v>1543</v>
      </c>
      <c r="D4023" s="7">
        <v>5</v>
      </c>
      <c r="E4023">
        <v>2012</v>
      </c>
      <c r="F4023">
        <v>2012</v>
      </c>
      <c r="G4023" t="str">
        <f>IFERROR(INDEX(Formulations[Formulation],MATCH($C4023,Formulations[Product Code],0)),"")</f>
        <v/>
      </c>
    </row>
    <row r="4024" spans="1:7" x14ac:dyDescent="0.3">
      <c r="A4024" t="s">
        <v>1463</v>
      </c>
      <c r="B4024" t="s">
        <v>1545</v>
      </c>
      <c r="C4024" t="s">
        <v>1546</v>
      </c>
      <c r="D4024" s="7">
        <v>5</v>
      </c>
      <c r="E4024">
        <v>2012</v>
      </c>
      <c r="F4024">
        <v>2012</v>
      </c>
      <c r="G4024" t="str">
        <f>IFERROR(INDEX(Formulations[Formulation],MATCH($C4024,Formulations[Product Code],0)),"")</f>
        <v/>
      </c>
    </row>
    <row r="4025" spans="1:7" x14ac:dyDescent="0.3">
      <c r="A4025" t="s">
        <v>1463</v>
      </c>
      <c r="B4025" t="s">
        <v>60</v>
      </c>
      <c r="C4025" t="s">
        <v>61</v>
      </c>
      <c r="D4025" s="7">
        <v>5</v>
      </c>
      <c r="E4025">
        <v>2012</v>
      </c>
      <c r="F4025">
        <v>2012</v>
      </c>
      <c r="G4025" t="str">
        <f>IFERROR(INDEX(Formulations[Formulation],MATCH($C4025,Formulations[Product Code],0)),"")</f>
        <v>Pure</v>
      </c>
    </row>
    <row r="4026" spans="1:7" x14ac:dyDescent="0.3">
      <c r="A4026" t="s">
        <v>1463</v>
      </c>
      <c r="B4026" t="s">
        <v>615</v>
      </c>
      <c r="C4026" t="s">
        <v>616</v>
      </c>
      <c r="D4026" s="7">
        <v>5</v>
      </c>
      <c r="E4026">
        <v>2012</v>
      </c>
      <c r="F4026">
        <v>2012</v>
      </c>
      <c r="G4026" t="str">
        <f>IFERROR(INDEX(Formulations[Formulation],MATCH($C4026,Formulations[Product Code],0)),"")</f>
        <v/>
      </c>
    </row>
    <row r="4027" spans="1:7" x14ac:dyDescent="0.3">
      <c r="A4027" t="s">
        <v>1463</v>
      </c>
      <c r="B4027" t="s">
        <v>1558</v>
      </c>
      <c r="C4027" t="s">
        <v>1559</v>
      </c>
      <c r="D4027" s="7">
        <v>5</v>
      </c>
      <c r="E4027">
        <v>2012</v>
      </c>
      <c r="F4027">
        <v>2012</v>
      </c>
      <c r="G4027" t="str">
        <f>IFERROR(INDEX(Formulations[Formulation],MATCH($C4027,Formulations[Product Code],0)),"")</f>
        <v/>
      </c>
    </row>
    <row r="4028" spans="1:7" x14ac:dyDescent="0.3">
      <c r="A4028" t="s">
        <v>1463</v>
      </c>
      <c r="B4028" t="s">
        <v>1563</v>
      </c>
      <c r="C4028" t="s">
        <v>1564</v>
      </c>
      <c r="D4028" s="7">
        <v>5</v>
      </c>
      <c r="E4028">
        <v>2012</v>
      </c>
      <c r="F4028">
        <v>2012</v>
      </c>
      <c r="G4028" t="str">
        <f>IFERROR(INDEX(Formulations[Formulation],MATCH($C4028,Formulations[Product Code],0)),"")</f>
        <v/>
      </c>
    </row>
    <row r="4029" spans="1:7" x14ac:dyDescent="0.3">
      <c r="A4029" t="s">
        <v>1463</v>
      </c>
      <c r="B4029" t="s">
        <v>1568</v>
      </c>
      <c r="C4029" t="s">
        <v>1569</v>
      </c>
      <c r="D4029" s="7">
        <v>5</v>
      </c>
      <c r="E4029">
        <v>2012</v>
      </c>
      <c r="F4029">
        <v>2012</v>
      </c>
      <c r="G4029" t="str">
        <f>IFERROR(INDEX(Formulations[Formulation],MATCH($C4029,Formulations[Product Code],0)),"")</f>
        <v>Pure</v>
      </c>
    </row>
    <row r="4030" spans="1:7" x14ac:dyDescent="0.3">
      <c r="A4030" t="s">
        <v>1463</v>
      </c>
      <c r="B4030" t="s">
        <v>1570</v>
      </c>
      <c r="C4030" t="s">
        <v>1571</v>
      </c>
      <c r="D4030" s="7">
        <v>5</v>
      </c>
      <c r="E4030">
        <v>2012</v>
      </c>
      <c r="F4030">
        <v>2012</v>
      </c>
      <c r="G4030" t="str">
        <f>IFERROR(INDEX(Formulations[Formulation],MATCH($C4030,Formulations[Product Code],0)),"")</f>
        <v/>
      </c>
    </row>
    <row r="4031" spans="1:7" x14ac:dyDescent="0.3">
      <c r="A4031" t="s">
        <v>1463</v>
      </c>
      <c r="B4031" t="s">
        <v>1584</v>
      </c>
      <c r="C4031" t="s">
        <v>1585</v>
      </c>
      <c r="D4031" s="7">
        <v>5</v>
      </c>
      <c r="E4031">
        <v>2012</v>
      </c>
      <c r="F4031">
        <v>2012</v>
      </c>
      <c r="G4031" t="str">
        <f>IFERROR(INDEX(Formulations[Formulation],MATCH($C4031,Formulations[Product Code],0)),"")</f>
        <v/>
      </c>
    </row>
    <row r="4032" spans="1:7" x14ac:dyDescent="0.3">
      <c r="A4032" t="s">
        <v>1463</v>
      </c>
      <c r="B4032" t="s">
        <v>312</v>
      </c>
      <c r="C4032" t="s">
        <v>313</v>
      </c>
      <c r="D4032" s="7">
        <v>5</v>
      </c>
      <c r="E4032">
        <v>2013</v>
      </c>
      <c r="F4032">
        <v>2013</v>
      </c>
      <c r="G4032" t="str">
        <f>IFERROR(INDEX(Formulations[Formulation],MATCH($C4032,Formulations[Product Code],0)),"")</f>
        <v/>
      </c>
    </row>
    <row r="4033" spans="1:7" x14ac:dyDescent="0.3">
      <c r="A4033" t="s">
        <v>1463</v>
      </c>
      <c r="B4033" t="s">
        <v>1591</v>
      </c>
      <c r="C4033" t="s">
        <v>960</v>
      </c>
      <c r="D4033" s="7">
        <v>5</v>
      </c>
      <c r="E4033">
        <v>2012</v>
      </c>
      <c r="F4033">
        <v>2012</v>
      </c>
      <c r="G4033" t="str">
        <f>IFERROR(INDEX(Formulations[Formulation],MATCH($C4033,Formulations[Product Code],0)),"")</f>
        <v/>
      </c>
    </row>
    <row r="4034" spans="1:7" x14ac:dyDescent="0.3">
      <c r="A4034" t="s">
        <v>1463</v>
      </c>
      <c r="B4034" t="s">
        <v>1594</v>
      </c>
      <c r="C4034" t="s">
        <v>1595</v>
      </c>
      <c r="D4034" s="7">
        <v>5</v>
      </c>
      <c r="E4034">
        <v>2013</v>
      </c>
      <c r="F4034">
        <v>2013</v>
      </c>
      <c r="G4034" t="str">
        <f>IFERROR(INDEX(Formulations[Formulation],MATCH($C4034,Formulations[Product Code],0)),"")</f>
        <v/>
      </c>
    </row>
    <row r="4035" spans="1:7" x14ac:dyDescent="0.3">
      <c r="A4035" t="s">
        <v>1463</v>
      </c>
      <c r="B4035" t="s">
        <v>1596</v>
      </c>
      <c r="C4035" t="s">
        <v>1597</v>
      </c>
      <c r="D4035" s="7">
        <v>5</v>
      </c>
      <c r="E4035">
        <v>2012</v>
      </c>
      <c r="F4035">
        <v>2012</v>
      </c>
      <c r="G4035" t="str">
        <f>IFERROR(INDEX(Formulations[Formulation],MATCH($C4035,Formulations[Product Code],0)),"")</f>
        <v/>
      </c>
    </row>
    <row r="4036" spans="1:7" x14ac:dyDescent="0.3">
      <c r="A4036" t="s">
        <v>1463</v>
      </c>
      <c r="B4036" t="s">
        <v>1598</v>
      </c>
      <c r="C4036" t="s">
        <v>1599</v>
      </c>
      <c r="D4036" s="7">
        <v>5</v>
      </c>
      <c r="E4036">
        <v>2012</v>
      </c>
      <c r="F4036">
        <v>2012</v>
      </c>
      <c r="G4036" t="str">
        <f>IFERROR(INDEX(Formulations[Formulation],MATCH($C4036,Formulations[Product Code],0)),"")</f>
        <v/>
      </c>
    </row>
    <row r="4037" spans="1:7" x14ac:dyDescent="0.3">
      <c r="A4037" t="s">
        <v>1463</v>
      </c>
      <c r="B4037" t="s">
        <v>1600</v>
      </c>
      <c r="C4037" t="s">
        <v>1601</v>
      </c>
      <c r="D4037" s="7">
        <v>5</v>
      </c>
      <c r="E4037">
        <v>2012</v>
      </c>
      <c r="F4037">
        <v>2012</v>
      </c>
      <c r="G4037" t="str">
        <f>IFERROR(INDEX(Formulations[Formulation],MATCH($C4037,Formulations[Product Code],0)),"")</f>
        <v/>
      </c>
    </row>
    <row r="4038" spans="1:7" x14ac:dyDescent="0.3">
      <c r="A4038" t="s">
        <v>1463</v>
      </c>
      <c r="B4038" t="s">
        <v>1602</v>
      </c>
      <c r="C4038" t="s">
        <v>521</v>
      </c>
      <c r="D4038" s="7">
        <v>5</v>
      </c>
      <c r="E4038">
        <v>2013</v>
      </c>
      <c r="F4038">
        <v>2013</v>
      </c>
      <c r="G4038" t="str">
        <f>IFERROR(INDEX(Formulations[Formulation],MATCH($C4038,Formulations[Product Code],0)),"")</f>
        <v/>
      </c>
    </row>
    <row r="4039" spans="1:7" x14ac:dyDescent="0.3">
      <c r="A4039" t="s">
        <v>1463</v>
      </c>
      <c r="B4039" t="s">
        <v>1603</v>
      </c>
      <c r="C4039" t="s">
        <v>1604</v>
      </c>
      <c r="D4039" s="7">
        <v>5</v>
      </c>
      <c r="E4039">
        <v>2012</v>
      </c>
      <c r="F4039">
        <v>2012</v>
      </c>
      <c r="G4039" t="str">
        <f>IFERROR(INDEX(Formulations[Formulation],MATCH($C4039,Formulations[Product Code],0)),"")</f>
        <v/>
      </c>
    </row>
    <row r="4040" spans="1:7" x14ac:dyDescent="0.3">
      <c r="A4040" t="s">
        <v>1463</v>
      </c>
      <c r="B4040" t="s">
        <v>378</v>
      </c>
      <c r="C4040" t="s">
        <v>379</v>
      </c>
      <c r="D4040" s="7">
        <v>5</v>
      </c>
      <c r="E4040">
        <v>2013</v>
      </c>
      <c r="F4040">
        <v>2013</v>
      </c>
      <c r="G4040" t="str">
        <f>IFERROR(INDEX(Formulations[Formulation],MATCH($C4040,Formulations[Product Code],0)),"")</f>
        <v/>
      </c>
    </row>
    <row r="4041" spans="1:7" x14ac:dyDescent="0.3">
      <c r="A4041" t="s">
        <v>1463</v>
      </c>
      <c r="B4041" t="s">
        <v>1610</v>
      </c>
      <c r="C4041" t="s">
        <v>1611</v>
      </c>
      <c r="D4041" s="7">
        <v>5</v>
      </c>
      <c r="E4041">
        <v>2012</v>
      </c>
      <c r="F4041">
        <v>2012</v>
      </c>
      <c r="G4041" t="str">
        <f>IFERROR(INDEX(Formulations[Formulation],MATCH($C4041,Formulations[Product Code],0)),"")</f>
        <v/>
      </c>
    </row>
    <row r="4042" spans="1:7" x14ac:dyDescent="0.3">
      <c r="A4042" t="s">
        <v>1463</v>
      </c>
      <c r="B4042" t="s">
        <v>46</v>
      </c>
      <c r="C4042" t="s">
        <v>47</v>
      </c>
      <c r="D4042" s="7">
        <v>5</v>
      </c>
      <c r="E4042">
        <v>2012</v>
      </c>
      <c r="F4042">
        <v>2012</v>
      </c>
      <c r="G4042" t="str">
        <f>IFERROR(INDEX(Formulations[Formulation],MATCH($C4042,Formulations[Product Code],0)),"")</f>
        <v/>
      </c>
    </row>
    <row r="4043" spans="1:7" x14ac:dyDescent="0.3">
      <c r="A4043" t="s">
        <v>1463</v>
      </c>
      <c r="B4043" t="s">
        <v>1629</v>
      </c>
      <c r="C4043" t="s">
        <v>1630</v>
      </c>
      <c r="D4043" s="7">
        <v>5</v>
      </c>
      <c r="E4043">
        <v>2012</v>
      </c>
      <c r="F4043">
        <v>2012</v>
      </c>
      <c r="G4043" t="str">
        <f>IFERROR(INDEX(Formulations[Formulation],MATCH($C4043,Formulations[Product Code],0)),"")</f>
        <v/>
      </c>
    </row>
    <row r="4044" spans="1:7" x14ac:dyDescent="0.3">
      <c r="A4044" t="s">
        <v>1463</v>
      </c>
      <c r="B4044" t="s">
        <v>388</v>
      </c>
      <c r="C4044" t="s">
        <v>1633</v>
      </c>
      <c r="D4044" s="7">
        <v>5</v>
      </c>
      <c r="E4044">
        <v>2012</v>
      </c>
      <c r="F4044">
        <v>2012</v>
      </c>
      <c r="G4044" t="str">
        <f>IFERROR(INDEX(Formulations[Formulation],MATCH($C4044,Formulations[Product Code],0)),"")</f>
        <v/>
      </c>
    </row>
    <row r="4045" spans="1:7" x14ac:dyDescent="0.3">
      <c r="A4045" t="s">
        <v>1463</v>
      </c>
      <c r="B4045" t="s">
        <v>1634</v>
      </c>
      <c r="C4045" t="s">
        <v>1635</v>
      </c>
      <c r="D4045" s="7">
        <v>5</v>
      </c>
      <c r="E4045">
        <v>2012</v>
      </c>
      <c r="F4045">
        <v>2012</v>
      </c>
      <c r="G4045" t="str">
        <f>IFERROR(INDEX(Formulations[Formulation],MATCH($C4045,Formulations[Product Code],0)),"")</f>
        <v/>
      </c>
    </row>
    <row r="4046" spans="1:7" x14ac:dyDescent="0.3">
      <c r="A4046" t="s">
        <v>1463</v>
      </c>
      <c r="B4046" t="s">
        <v>1636</v>
      </c>
      <c r="C4046" t="s">
        <v>1637</v>
      </c>
      <c r="D4046" s="7">
        <v>5</v>
      </c>
      <c r="E4046">
        <v>2012</v>
      </c>
      <c r="F4046">
        <v>2012</v>
      </c>
      <c r="G4046" t="str">
        <f>IFERROR(INDEX(Formulations[Formulation],MATCH($C4046,Formulations[Product Code],0)),"")</f>
        <v/>
      </c>
    </row>
    <row r="4047" spans="1:7" x14ac:dyDescent="0.3">
      <c r="A4047" t="s">
        <v>1642</v>
      </c>
      <c r="B4047" t="s">
        <v>1643</v>
      </c>
      <c r="D4047" s="7">
        <v>5</v>
      </c>
      <c r="E4047">
        <v>2021</v>
      </c>
      <c r="F4047">
        <v>2021</v>
      </c>
      <c r="G4047" t="str">
        <f>IFERROR(INDEX(Formulations[Formulation],MATCH($C4047,Formulations[Product Code],0)),"")</f>
        <v/>
      </c>
    </row>
    <row r="4048" spans="1:7" x14ac:dyDescent="0.3">
      <c r="A4048" t="s">
        <v>1644</v>
      </c>
      <c r="B4048" t="s">
        <v>1094</v>
      </c>
      <c r="C4048" t="s">
        <v>209</v>
      </c>
      <c r="D4048" s="7">
        <v>5</v>
      </c>
      <c r="E4048">
        <v>2017</v>
      </c>
      <c r="F4048">
        <v>2017</v>
      </c>
      <c r="G4048" t="str">
        <f>IFERROR(INDEX(Formulations[Formulation],MATCH($C4048,Formulations[Product Code],0)),"")</f>
        <v/>
      </c>
    </row>
    <row r="4049" spans="1:7" x14ac:dyDescent="0.3">
      <c r="A4049" t="s">
        <v>1644</v>
      </c>
      <c r="B4049" t="s">
        <v>395</v>
      </c>
      <c r="D4049" s="7">
        <v>5</v>
      </c>
      <c r="E4049">
        <v>2017</v>
      </c>
      <c r="F4049">
        <v>2017</v>
      </c>
      <c r="G4049" t="str">
        <f>IFERROR(INDEX(Formulations[Formulation],MATCH($C4049,Formulations[Product Code],0)),"")</f>
        <v/>
      </c>
    </row>
    <row r="4050" spans="1:7" x14ac:dyDescent="0.3">
      <c r="A4050" t="s">
        <v>1656</v>
      </c>
      <c r="B4050" t="s">
        <v>863</v>
      </c>
      <c r="D4050" s="7">
        <v>5</v>
      </c>
      <c r="E4050">
        <v>2020</v>
      </c>
      <c r="F4050">
        <v>2020</v>
      </c>
      <c r="G4050" t="str">
        <f>IFERROR(INDEX(Formulations[Formulation],MATCH($C4050,Formulations[Product Code],0)),"")</f>
        <v/>
      </c>
    </row>
    <row r="4051" spans="1:7" x14ac:dyDescent="0.3">
      <c r="A4051" t="s">
        <v>1656</v>
      </c>
      <c r="B4051" t="s">
        <v>240</v>
      </c>
      <c r="D4051" s="7">
        <v>5</v>
      </c>
      <c r="E4051">
        <v>2020</v>
      </c>
      <c r="F4051">
        <v>2020</v>
      </c>
      <c r="G4051" t="str">
        <f>IFERROR(INDEX(Formulations[Formulation],MATCH($C4051,Formulations[Product Code],0)),"")</f>
        <v/>
      </c>
    </row>
    <row r="4052" spans="1:7" x14ac:dyDescent="0.3">
      <c r="A4052" t="s">
        <v>1656</v>
      </c>
      <c r="B4052" t="s">
        <v>483</v>
      </c>
      <c r="C4052" t="s">
        <v>484</v>
      </c>
      <c r="D4052" s="7">
        <v>5</v>
      </c>
      <c r="E4052">
        <v>2021</v>
      </c>
      <c r="F4052">
        <v>2021</v>
      </c>
      <c r="G4052" t="str">
        <f>IFERROR(INDEX(Formulations[Formulation],MATCH($C4052,Formulations[Product Code],0)),"")</f>
        <v>Crystal</v>
      </c>
    </row>
    <row r="4053" spans="1:7" x14ac:dyDescent="0.3">
      <c r="A4053" t="s">
        <v>1658</v>
      </c>
      <c r="B4053" t="s">
        <v>45</v>
      </c>
      <c r="D4053" s="7">
        <v>5</v>
      </c>
      <c r="E4053">
        <v>2013</v>
      </c>
      <c r="F4053">
        <v>2013</v>
      </c>
      <c r="G4053" t="str">
        <f>IFERROR(INDEX(Formulations[Formulation],MATCH($C4053,Formulations[Product Code],0)),"")</f>
        <v/>
      </c>
    </row>
    <row r="4054" spans="1:7" x14ac:dyDescent="0.3">
      <c r="A4054" t="s">
        <v>1658</v>
      </c>
      <c r="B4054" t="s">
        <v>864</v>
      </c>
      <c r="D4054" s="7">
        <v>5</v>
      </c>
      <c r="E4054">
        <v>2013</v>
      </c>
      <c r="F4054">
        <v>2013</v>
      </c>
      <c r="G4054" t="str">
        <f>IFERROR(INDEX(Formulations[Formulation],MATCH($C4054,Formulations[Product Code],0)),"")</f>
        <v/>
      </c>
    </row>
    <row r="4055" spans="1:7" x14ac:dyDescent="0.3">
      <c r="A4055" t="s">
        <v>1662</v>
      </c>
      <c r="B4055" t="s">
        <v>383</v>
      </c>
      <c r="C4055" t="s">
        <v>384</v>
      </c>
      <c r="D4055" s="7">
        <v>5</v>
      </c>
      <c r="E4055">
        <v>2020</v>
      </c>
      <c r="F4055">
        <v>2020</v>
      </c>
      <c r="G4055" t="str">
        <f>IFERROR(INDEX(Formulations[Formulation],MATCH($C4055,Formulations[Product Code],0)),"")</f>
        <v>Pure</v>
      </c>
    </row>
    <row r="4056" spans="1:7" x14ac:dyDescent="0.3">
      <c r="A4056" t="s">
        <v>1663</v>
      </c>
      <c r="B4056" t="s">
        <v>610</v>
      </c>
      <c r="C4056" t="s">
        <v>611</v>
      </c>
      <c r="D4056" s="7">
        <v>5</v>
      </c>
      <c r="E4056">
        <v>2019</v>
      </c>
      <c r="F4056">
        <v>2019</v>
      </c>
      <c r="G4056" t="str">
        <f>IFERROR(INDEX(Formulations[Formulation],MATCH($C4056,Formulations[Product Code],0)),"")</f>
        <v/>
      </c>
    </row>
    <row r="4057" spans="1:7" x14ac:dyDescent="0.3">
      <c r="A4057" t="s">
        <v>1663</v>
      </c>
      <c r="B4057" t="s">
        <v>543</v>
      </c>
      <c r="C4057" t="s">
        <v>544</v>
      </c>
      <c r="D4057" s="7">
        <v>5</v>
      </c>
      <c r="E4057">
        <v>2019</v>
      </c>
      <c r="F4057">
        <v>2019</v>
      </c>
      <c r="G4057" t="str">
        <f>IFERROR(INDEX(Formulations[Formulation],MATCH($C4057,Formulations[Product Code],0)),"")</f>
        <v>Crystal</v>
      </c>
    </row>
    <row r="4058" spans="1:7" x14ac:dyDescent="0.3">
      <c r="A4058" t="s">
        <v>1663</v>
      </c>
      <c r="B4058" t="s">
        <v>653</v>
      </c>
      <c r="C4058" t="s">
        <v>654</v>
      </c>
      <c r="D4058" s="7">
        <v>5</v>
      </c>
      <c r="E4058">
        <v>2019</v>
      </c>
      <c r="F4058">
        <v>2019</v>
      </c>
      <c r="G4058" t="str">
        <f>IFERROR(INDEX(Formulations[Formulation],MATCH($C4058,Formulations[Product Code],0)),"")</f>
        <v>Pure</v>
      </c>
    </row>
    <row r="4059" spans="1:7" x14ac:dyDescent="0.3">
      <c r="A4059" t="s">
        <v>1663</v>
      </c>
      <c r="B4059" t="s">
        <v>518</v>
      </c>
      <c r="C4059" t="s">
        <v>519</v>
      </c>
      <c r="D4059" s="7">
        <v>5</v>
      </c>
      <c r="E4059">
        <v>2019</v>
      </c>
      <c r="F4059">
        <v>2019</v>
      </c>
      <c r="G4059" t="str">
        <f>IFERROR(INDEX(Formulations[Formulation],MATCH($C4059,Formulations[Product Code],0)),"")</f>
        <v>Pure</v>
      </c>
    </row>
    <row r="4060" spans="1:7" x14ac:dyDescent="0.3">
      <c r="A4060" t="s">
        <v>1663</v>
      </c>
      <c r="B4060" t="s">
        <v>438</v>
      </c>
      <c r="C4060" t="s">
        <v>439</v>
      </c>
      <c r="D4060" s="7">
        <v>5</v>
      </c>
      <c r="E4060">
        <v>2019</v>
      </c>
      <c r="F4060">
        <v>2019</v>
      </c>
      <c r="G4060" t="str">
        <f>IFERROR(INDEX(Formulations[Formulation],MATCH($C4060,Formulations[Product Code],0)),"")</f>
        <v>Pure</v>
      </c>
    </row>
    <row r="4061" spans="1:7" x14ac:dyDescent="0.3">
      <c r="A4061" t="s">
        <v>1663</v>
      </c>
      <c r="B4061" t="s">
        <v>708</v>
      </c>
      <c r="C4061" t="s">
        <v>477</v>
      </c>
      <c r="D4061" s="7">
        <v>5</v>
      </c>
      <c r="E4061">
        <v>2019</v>
      </c>
      <c r="F4061">
        <v>2019</v>
      </c>
      <c r="G4061" t="str">
        <f>IFERROR(INDEX(Formulations[Formulation],MATCH($C4061,Formulations[Product Code],0)),"")</f>
        <v/>
      </c>
    </row>
    <row r="4062" spans="1:7" x14ac:dyDescent="0.3">
      <c r="A4062" t="s">
        <v>1663</v>
      </c>
      <c r="B4062" t="s">
        <v>46</v>
      </c>
      <c r="C4062" t="s">
        <v>47</v>
      </c>
      <c r="D4062" s="7">
        <v>5</v>
      </c>
      <c r="E4062">
        <v>2019</v>
      </c>
      <c r="F4062">
        <v>2019</v>
      </c>
      <c r="G4062" t="str">
        <f>IFERROR(INDEX(Formulations[Formulation],MATCH($C4062,Formulations[Product Code],0)),"")</f>
        <v/>
      </c>
    </row>
    <row r="4063" spans="1:7" x14ac:dyDescent="0.3">
      <c r="A4063" t="s">
        <v>1663</v>
      </c>
      <c r="B4063" t="s">
        <v>155</v>
      </c>
      <c r="C4063" t="s">
        <v>156</v>
      </c>
      <c r="D4063" s="7">
        <v>5</v>
      </c>
      <c r="E4063">
        <v>2019</v>
      </c>
      <c r="F4063">
        <v>2019</v>
      </c>
      <c r="G4063" t="str">
        <f>IFERROR(INDEX(Formulations[Formulation],MATCH($C4063,Formulations[Product Code],0)),"")</f>
        <v>Pure</v>
      </c>
    </row>
    <row r="4064" spans="1:7" x14ac:dyDescent="0.3">
      <c r="A4064" t="s">
        <v>1665</v>
      </c>
      <c r="B4064" t="s">
        <v>820</v>
      </c>
      <c r="C4064" t="s">
        <v>821</v>
      </c>
      <c r="D4064" s="7">
        <v>5</v>
      </c>
      <c r="E4064">
        <v>2018</v>
      </c>
      <c r="F4064">
        <v>2018</v>
      </c>
      <c r="G4064" t="str">
        <f>IFERROR(INDEX(Formulations[Formulation],MATCH($C4064,Formulations[Product Code],0)),"")</f>
        <v>Pure</v>
      </c>
    </row>
    <row r="4065" spans="1:7" x14ac:dyDescent="0.3">
      <c r="A4065" t="s">
        <v>1665</v>
      </c>
      <c r="B4065" t="s">
        <v>867</v>
      </c>
      <c r="C4065" t="s">
        <v>868</v>
      </c>
      <c r="D4065" s="7">
        <v>5</v>
      </c>
      <c r="E4065">
        <v>2018</v>
      </c>
      <c r="F4065">
        <v>2018</v>
      </c>
      <c r="G4065" t="str">
        <f>IFERROR(INDEX(Formulations[Formulation],MATCH($C4065,Formulations[Product Code],0)),"")</f>
        <v>Crystal</v>
      </c>
    </row>
    <row r="4066" spans="1:7" x14ac:dyDescent="0.3">
      <c r="A4066" t="s">
        <v>1665</v>
      </c>
      <c r="B4066" t="s">
        <v>1666</v>
      </c>
      <c r="C4066" t="s">
        <v>1667</v>
      </c>
      <c r="D4066" s="7">
        <v>5</v>
      </c>
      <c r="E4066">
        <v>2020</v>
      </c>
      <c r="F4066">
        <v>2020</v>
      </c>
      <c r="G4066" t="str">
        <f>IFERROR(INDEX(Formulations[Formulation],MATCH($C4066,Formulations[Product Code],0)),"")</f>
        <v>Crystal</v>
      </c>
    </row>
    <row r="4067" spans="1:7" x14ac:dyDescent="0.3">
      <c r="A4067" t="s">
        <v>1674</v>
      </c>
      <c r="B4067" t="s">
        <v>28</v>
      </c>
      <c r="D4067" s="7">
        <v>5</v>
      </c>
      <c r="E4067">
        <v>2016</v>
      </c>
      <c r="F4067">
        <v>2016</v>
      </c>
      <c r="G4067" t="str">
        <f>IFERROR(INDEX(Formulations[Formulation],MATCH($C4067,Formulations[Product Code],0)),"")</f>
        <v/>
      </c>
    </row>
    <row r="4068" spans="1:7" x14ac:dyDescent="0.3">
      <c r="A4068" t="s">
        <v>1686</v>
      </c>
      <c r="B4068" t="s">
        <v>1128</v>
      </c>
      <c r="C4068" t="s">
        <v>1129</v>
      </c>
      <c r="D4068" s="7">
        <v>5</v>
      </c>
      <c r="E4068">
        <v>2020</v>
      </c>
      <c r="F4068">
        <v>2020</v>
      </c>
      <c r="G4068" t="str">
        <f>IFERROR(INDEX(Formulations[Formulation],MATCH($C4068,Formulations[Product Code],0)),"")</f>
        <v>Silver</v>
      </c>
    </row>
    <row r="4069" spans="1:7" x14ac:dyDescent="0.3">
      <c r="A4069" t="s">
        <v>1686</v>
      </c>
      <c r="B4069" t="s">
        <v>586</v>
      </c>
      <c r="C4069" t="s">
        <v>587</v>
      </c>
      <c r="D4069" s="7">
        <v>5</v>
      </c>
      <c r="E4069">
        <v>2020</v>
      </c>
      <c r="F4069">
        <v>2020</v>
      </c>
      <c r="G4069" t="str">
        <f>IFERROR(INDEX(Formulations[Formulation],MATCH($C4069,Formulations[Product Code],0)),"")</f>
        <v>Pure</v>
      </c>
    </row>
    <row r="4070" spans="1:7" x14ac:dyDescent="0.3">
      <c r="A4070" t="s">
        <v>1686</v>
      </c>
      <c r="B4070" t="s">
        <v>1687</v>
      </c>
      <c r="C4070" t="s">
        <v>1688</v>
      </c>
      <c r="D4070" s="7">
        <v>5</v>
      </c>
      <c r="E4070">
        <v>2017</v>
      </c>
      <c r="F4070">
        <v>2017</v>
      </c>
      <c r="G4070" t="str">
        <f>IFERROR(INDEX(Formulations[Formulation],MATCH($C4070,Formulations[Product Code],0)),"")</f>
        <v>Floral 60% &amp; Gardenia 40%</v>
      </c>
    </row>
    <row r="4071" spans="1:7" x14ac:dyDescent="0.3">
      <c r="A4071" t="s">
        <v>1693</v>
      </c>
      <c r="B4071" t="s">
        <v>714</v>
      </c>
      <c r="C4071" t="s">
        <v>715</v>
      </c>
      <c r="D4071" s="7">
        <v>5</v>
      </c>
      <c r="E4071">
        <v>2017</v>
      </c>
      <c r="F4071">
        <v>2017</v>
      </c>
      <c r="G4071" t="str">
        <f>IFERROR(INDEX(Formulations[Formulation],MATCH($C4071,Formulations[Product Code],0)),"")</f>
        <v/>
      </c>
    </row>
    <row r="4072" spans="1:7" x14ac:dyDescent="0.3">
      <c r="A4072" t="s">
        <v>1693</v>
      </c>
      <c r="B4072" t="s">
        <v>55</v>
      </c>
      <c r="D4072" s="7">
        <v>5</v>
      </c>
      <c r="E4072">
        <v>2021</v>
      </c>
      <c r="F4072">
        <v>2021</v>
      </c>
      <c r="G4072" t="str">
        <f>IFERROR(INDEX(Formulations[Formulation],MATCH($C4072,Formulations[Product Code],0)),"")</f>
        <v/>
      </c>
    </row>
    <row r="4073" spans="1:7" x14ac:dyDescent="0.3">
      <c r="A4073" t="s">
        <v>1693</v>
      </c>
      <c r="B4073" t="s">
        <v>558</v>
      </c>
      <c r="C4073" t="s">
        <v>559</v>
      </c>
      <c r="D4073" s="7">
        <v>5</v>
      </c>
      <c r="E4073">
        <v>2017</v>
      </c>
      <c r="F4073">
        <v>2017</v>
      </c>
      <c r="G4073" t="str">
        <f>IFERROR(INDEX(Formulations[Formulation],MATCH($C4073,Formulations[Product Code],0)),"")</f>
        <v/>
      </c>
    </row>
    <row r="4074" spans="1:7" x14ac:dyDescent="0.3">
      <c r="A4074" t="s">
        <v>1693</v>
      </c>
      <c r="B4074" t="s">
        <v>95</v>
      </c>
      <c r="C4074" t="s">
        <v>96</v>
      </c>
      <c r="D4074" s="7">
        <v>5</v>
      </c>
      <c r="E4074">
        <v>2017</v>
      </c>
      <c r="F4074">
        <v>2017</v>
      </c>
      <c r="G4074" t="str">
        <f>IFERROR(INDEX(Formulations[Formulation],MATCH($C4074,Formulations[Product Code],0)),"")</f>
        <v>9.2 kg oil and rest dpg</v>
      </c>
    </row>
    <row r="4075" spans="1:7" x14ac:dyDescent="0.3">
      <c r="A4075" t="s">
        <v>1693</v>
      </c>
      <c r="B4075" t="s">
        <v>411</v>
      </c>
      <c r="D4075" s="7">
        <v>5</v>
      </c>
      <c r="E4075">
        <v>2021</v>
      </c>
      <c r="F4075">
        <v>2021</v>
      </c>
      <c r="G4075" t="str">
        <f>IFERROR(INDEX(Formulations[Formulation],MATCH($C4075,Formulations[Product Code],0)),"")</f>
        <v/>
      </c>
    </row>
    <row r="4076" spans="1:7" x14ac:dyDescent="0.3">
      <c r="A4076" t="s">
        <v>1693</v>
      </c>
      <c r="B4076" t="s">
        <v>1394</v>
      </c>
      <c r="C4076" t="s">
        <v>1395</v>
      </c>
      <c r="D4076" s="7">
        <v>5</v>
      </c>
      <c r="E4076">
        <v>2017</v>
      </c>
      <c r="F4076">
        <v>2017</v>
      </c>
      <c r="G4076" t="str">
        <f>IFERROR(INDEX(Formulations[Formulation],MATCH($C4076,Formulations[Product Code],0)),"")</f>
        <v/>
      </c>
    </row>
    <row r="4077" spans="1:7" x14ac:dyDescent="0.3">
      <c r="A4077" t="s">
        <v>1693</v>
      </c>
      <c r="B4077" t="s">
        <v>604</v>
      </c>
      <c r="C4077" t="s">
        <v>605</v>
      </c>
      <c r="D4077" s="7">
        <v>5</v>
      </c>
      <c r="E4077">
        <v>2021</v>
      </c>
      <c r="F4077">
        <v>2021</v>
      </c>
      <c r="G4077" t="str">
        <f>IFERROR(INDEX(Formulations[Formulation],MATCH($C4077,Formulations[Product Code],0)),"")</f>
        <v>60 % Oil &amp; 40 % DPG</v>
      </c>
    </row>
    <row r="4078" spans="1:7" x14ac:dyDescent="0.3">
      <c r="A4078" t="s">
        <v>1696</v>
      </c>
      <c r="B4078" t="s">
        <v>240</v>
      </c>
      <c r="D4078" s="7">
        <v>5</v>
      </c>
      <c r="E4078">
        <v>2021</v>
      </c>
      <c r="F4078">
        <v>2021</v>
      </c>
      <c r="G4078" t="str">
        <f>IFERROR(INDEX(Formulations[Formulation],MATCH($C4078,Formulations[Product Code],0)),"")</f>
        <v/>
      </c>
    </row>
    <row r="4079" spans="1:7" x14ac:dyDescent="0.3">
      <c r="A4079" t="s">
        <v>1738</v>
      </c>
      <c r="B4079" t="s">
        <v>1739</v>
      </c>
      <c r="D4079" s="7">
        <v>5</v>
      </c>
      <c r="E4079">
        <v>2013</v>
      </c>
      <c r="F4079">
        <v>2013</v>
      </c>
      <c r="G4079" t="str">
        <f>IFERROR(INDEX(Formulations[Formulation],MATCH($C4079,Formulations[Product Code],0)),"")</f>
        <v/>
      </c>
    </row>
    <row r="4080" spans="1:7" x14ac:dyDescent="0.3">
      <c r="A4080" t="s">
        <v>1742</v>
      </c>
      <c r="B4080" t="s">
        <v>863</v>
      </c>
      <c r="D4080" s="7">
        <v>5</v>
      </c>
      <c r="E4080">
        <v>2020</v>
      </c>
      <c r="F4080">
        <v>2020</v>
      </c>
      <c r="G4080" t="str">
        <f>IFERROR(INDEX(Formulations[Formulation],MATCH($C4080,Formulations[Product Code],0)),"")</f>
        <v/>
      </c>
    </row>
    <row r="4081" spans="1:7" x14ac:dyDescent="0.3">
      <c r="A4081" t="s">
        <v>1743</v>
      </c>
      <c r="B4081" t="s">
        <v>1120</v>
      </c>
      <c r="C4081" t="s">
        <v>1121</v>
      </c>
      <c r="D4081" s="7">
        <v>5</v>
      </c>
      <c r="E4081">
        <v>2019</v>
      </c>
      <c r="F4081">
        <v>2019</v>
      </c>
      <c r="G4081" t="str">
        <f>IFERROR(INDEX(Formulations[Formulation],MATCH($C4081,Formulations[Product Code],0)),"")</f>
        <v/>
      </c>
    </row>
    <row r="4082" spans="1:7" x14ac:dyDescent="0.3">
      <c r="A4082" t="s">
        <v>1743</v>
      </c>
      <c r="B4082" t="s">
        <v>653</v>
      </c>
      <c r="C4082" t="s">
        <v>654</v>
      </c>
      <c r="D4082" s="7">
        <v>5</v>
      </c>
      <c r="E4082">
        <v>2020</v>
      </c>
      <c r="F4082">
        <v>2020</v>
      </c>
      <c r="G4082" t="str">
        <f>IFERROR(INDEX(Formulations[Formulation],MATCH($C4082,Formulations[Product Code],0)),"")</f>
        <v>Pure</v>
      </c>
    </row>
    <row r="4083" spans="1:7" x14ac:dyDescent="0.3">
      <c r="A4083" t="s">
        <v>1746</v>
      </c>
      <c r="B4083" t="s">
        <v>510</v>
      </c>
      <c r="C4083" t="s">
        <v>511</v>
      </c>
      <c r="D4083" s="7">
        <v>5</v>
      </c>
      <c r="E4083">
        <v>2021</v>
      </c>
      <c r="F4083">
        <v>2021</v>
      </c>
      <c r="G4083" t="str">
        <f>IFERROR(INDEX(Formulations[Formulation],MATCH($C4083,Formulations[Product Code],0)),"")</f>
        <v>Pure</v>
      </c>
    </row>
    <row r="4084" spans="1:7" x14ac:dyDescent="0.3">
      <c r="A4084" t="s">
        <v>1746</v>
      </c>
      <c r="B4084" t="s">
        <v>151</v>
      </c>
      <c r="C4084" t="s">
        <v>152</v>
      </c>
      <c r="D4084" s="7">
        <v>5</v>
      </c>
      <c r="E4084">
        <v>2021</v>
      </c>
      <c r="F4084">
        <v>2021</v>
      </c>
      <c r="G4084" t="str">
        <f>IFERROR(INDEX(Formulations[Formulation],MATCH($C4084,Formulations[Product Code],0)),"")</f>
        <v>Crystal</v>
      </c>
    </row>
    <row r="4085" spans="1:7" x14ac:dyDescent="0.3">
      <c r="A4085" t="s">
        <v>1784</v>
      </c>
      <c r="B4085" t="s">
        <v>55</v>
      </c>
      <c r="D4085" s="7">
        <v>5</v>
      </c>
      <c r="E4085">
        <v>2018</v>
      </c>
      <c r="F4085">
        <v>2018</v>
      </c>
      <c r="G4085" t="str">
        <f>IFERROR(INDEX(Formulations[Formulation],MATCH($C4085,Formulations[Product Code],0)),"")</f>
        <v/>
      </c>
    </row>
    <row r="4086" spans="1:7" x14ac:dyDescent="0.3">
      <c r="A4086" t="s">
        <v>1784</v>
      </c>
      <c r="B4086" t="s">
        <v>612</v>
      </c>
      <c r="C4086" t="s">
        <v>613</v>
      </c>
      <c r="D4086" s="7">
        <v>5</v>
      </c>
      <c r="E4086">
        <v>2018</v>
      </c>
      <c r="F4086">
        <v>2018</v>
      </c>
      <c r="G4086" t="str">
        <f>IFERROR(INDEX(Formulations[Formulation],MATCH($C4086,Formulations[Product Code],0)),"")</f>
        <v>Pure</v>
      </c>
    </row>
    <row r="4087" spans="1:7" x14ac:dyDescent="0.3">
      <c r="A4087" t="s">
        <v>1784</v>
      </c>
      <c r="B4087" t="s">
        <v>1065</v>
      </c>
      <c r="C4087" t="s">
        <v>1795</v>
      </c>
      <c r="D4087" s="7">
        <v>5</v>
      </c>
      <c r="E4087">
        <v>2013</v>
      </c>
      <c r="F4087">
        <v>2013</v>
      </c>
      <c r="G4087" t="str">
        <f>IFERROR(INDEX(Formulations[Formulation],MATCH($C4087,Formulations[Product Code],0)),"")</f>
        <v/>
      </c>
    </row>
    <row r="4088" spans="1:7" x14ac:dyDescent="0.3">
      <c r="A4088" t="s">
        <v>1784</v>
      </c>
      <c r="B4088" t="s">
        <v>1797</v>
      </c>
      <c r="C4088" t="s">
        <v>1798</v>
      </c>
      <c r="D4088" s="7">
        <v>5</v>
      </c>
      <c r="E4088">
        <v>2014</v>
      </c>
      <c r="F4088">
        <v>2014</v>
      </c>
      <c r="G4088" t="str">
        <f>IFERROR(INDEX(Formulations[Formulation],MATCH($C4088,Formulations[Product Code],0)),"")</f>
        <v/>
      </c>
    </row>
    <row r="4089" spans="1:7" x14ac:dyDescent="0.3">
      <c r="A4089" t="s">
        <v>1784</v>
      </c>
      <c r="B4089" t="s">
        <v>125</v>
      </c>
      <c r="D4089" s="7">
        <v>5</v>
      </c>
      <c r="E4089">
        <v>2018</v>
      </c>
      <c r="F4089">
        <v>2018</v>
      </c>
      <c r="G4089" t="str">
        <f>IFERROR(INDEX(Formulations[Formulation],MATCH($C4089,Formulations[Product Code],0)),"")</f>
        <v/>
      </c>
    </row>
    <row r="4090" spans="1:7" x14ac:dyDescent="0.3">
      <c r="A4090" t="s">
        <v>1784</v>
      </c>
      <c r="B4090" t="s">
        <v>139</v>
      </c>
      <c r="D4090" s="7">
        <v>5</v>
      </c>
      <c r="E4090">
        <v>2018</v>
      </c>
      <c r="F4090">
        <v>2018</v>
      </c>
      <c r="G4090" t="str">
        <f>IFERROR(INDEX(Formulations[Formulation],MATCH($C4090,Formulations[Product Code],0)),"")</f>
        <v/>
      </c>
    </row>
    <row r="4091" spans="1:7" x14ac:dyDescent="0.3">
      <c r="A4091" t="s">
        <v>1784</v>
      </c>
      <c r="B4091" t="s">
        <v>159</v>
      </c>
      <c r="C4091" t="s">
        <v>160</v>
      </c>
      <c r="D4091" s="7">
        <v>5</v>
      </c>
      <c r="E4091">
        <v>2018</v>
      </c>
      <c r="F4091">
        <v>2018</v>
      </c>
      <c r="G4091" t="str">
        <f>IFERROR(INDEX(Formulations[Formulation],MATCH($C4091,Formulations[Product Code],0)),"")</f>
        <v>Silver</v>
      </c>
    </row>
    <row r="4092" spans="1:7" x14ac:dyDescent="0.3">
      <c r="A4092" t="s">
        <v>1799</v>
      </c>
      <c r="B4092" t="s">
        <v>631</v>
      </c>
      <c r="C4092" t="s">
        <v>632</v>
      </c>
      <c r="D4092" s="7">
        <v>5</v>
      </c>
      <c r="E4092">
        <v>2017</v>
      </c>
      <c r="F4092">
        <v>2017</v>
      </c>
      <c r="G4092" t="str">
        <f>IFERROR(INDEX(Formulations[Formulation],MATCH($C4092,Formulations[Product Code],0)),"")</f>
        <v/>
      </c>
    </row>
    <row r="4093" spans="1:7" x14ac:dyDescent="0.3">
      <c r="A4093" t="s">
        <v>1806</v>
      </c>
      <c r="B4093" t="s">
        <v>110</v>
      </c>
      <c r="C4093" t="s">
        <v>111</v>
      </c>
      <c r="D4093" s="7">
        <v>5</v>
      </c>
      <c r="E4093">
        <v>2021</v>
      </c>
      <c r="F4093">
        <v>2021</v>
      </c>
      <c r="G4093" t="str">
        <f>IFERROR(INDEX(Formulations[Formulation],MATCH($C4093,Formulations[Product Code],0)),"")</f>
        <v>75% Lemon Zeste, 25% lemon Top &amp; the Gold DPG)</v>
      </c>
    </row>
    <row r="4094" spans="1:7" x14ac:dyDescent="0.3">
      <c r="A4094" t="s">
        <v>1819</v>
      </c>
      <c r="B4094" t="s">
        <v>543</v>
      </c>
      <c r="C4094" t="s">
        <v>544</v>
      </c>
      <c r="D4094" s="7">
        <v>5</v>
      </c>
      <c r="E4094">
        <v>2019</v>
      </c>
      <c r="F4094">
        <v>2019</v>
      </c>
      <c r="G4094" t="str">
        <f>IFERROR(INDEX(Formulations[Formulation],MATCH($C4094,Formulations[Product Code],0)),"")</f>
        <v>Crystal</v>
      </c>
    </row>
    <row r="4095" spans="1:7" x14ac:dyDescent="0.3">
      <c r="A4095" t="s">
        <v>1819</v>
      </c>
      <c r="B4095" t="s">
        <v>21</v>
      </c>
      <c r="C4095" t="s">
        <v>22</v>
      </c>
      <c r="D4095" s="7">
        <v>5</v>
      </c>
      <c r="E4095">
        <v>2017</v>
      </c>
      <c r="F4095">
        <v>2017</v>
      </c>
      <c r="G4095" t="str">
        <f>IFERROR(INDEX(Formulations[Formulation],MATCH($C4095,Formulations[Product Code],0)),"")</f>
        <v>Crystal</v>
      </c>
    </row>
    <row r="4096" spans="1:7" x14ac:dyDescent="0.3">
      <c r="A4096" t="s">
        <v>1847</v>
      </c>
      <c r="B4096" t="s">
        <v>51</v>
      </c>
      <c r="C4096" t="s">
        <v>52</v>
      </c>
      <c r="D4096" s="7">
        <v>5</v>
      </c>
      <c r="E4096">
        <v>2018</v>
      </c>
      <c r="F4096">
        <v>2018</v>
      </c>
      <c r="G4096" t="str">
        <f>IFERROR(INDEX(Formulations[Formulation],MATCH($C4096,Formulations[Product Code],0)),"")</f>
        <v>Silver</v>
      </c>
    </row>
    <row r="4097" spans="1:7" x14ac:dyDescent="0.3">
      <c r="A4097" t="s">
        <v>1847</v>
      </c>
      <c r="B4097" t="s">
        <v>82</v>
      </c>
      <c r="C4097" t="s">
        <v>83</v>
      </c>
      <c r="D4097" s="7">
        <v>5</v>
      </c>
      <c r="E4097">
        <v>2017</v>
      </c>
      <c r="F4097">
        <v>2017</v>
      </c>
      <c r="G4097" t="str">
        <f>IFERROR(INDEX(Formulations[Formulation],MATCH($C4097,Formulations[Product Code],0)),"")</f>
        <v>Pure</v>
      </c>
    </row>
    <row r="4098" spans="1:7" x14ac:dyDescent="0.3">
      <c r="A4098" t="s">
        <v>1847</v>
      </c>
      <c r="B4098" t="s">
        <v>1432</v>
      </c>
      <c r="C4098" t="s">
        <v>209</v>
      </c>
      <c r="D4098" s="7">
        <v>5</v>
      </c>
      <c r="E4098">
        <v>2018</v>
      </c>
      <c r="F4098">
        <v>2018</v>
      </c>
      <c r="G4098" t="str">
        <f>IFERROR(INDEX(Formulations[Formulation],MATCH($C4098,Formulations[Product Code],0)),"")</f>
        <v/>
      </c>
    </row>
    <row r="4099" spans="1:7" x14ac:dyDescent="0.3">
      <c r="A4099" t="s">
        <v>1847</v>
      </c>
      <c r="B4099" t="s">
        <v>99</v>
      </c>
      <c r="C4099" t="s">
        <v>100</v>
      </c>
      <c r="D4099" s="7">
        <v>5</v>
      </c>
      <c r="E4099">
        <v>2018</v>
      </c>
      <c r="F4099">
        <v>2018</v>
      </c>
      <c r="G4099" t="str">
        <f>IFERROR(INDEX(Formulations[Formulation],MATCH($C4099,Formulations[Product Code],0)),"")</f>
        <v>Crystal</v>
      </c>
    </row>
    <row r="4100" spans="1:7" x14ac:dyDescent="0.3">
      <c r="A4100" t="s">
        <v>1847</v>
      </c>
      <c r="B4100" t="s">
        <v>554</v>
      </c>
      <c r="C4100" t="s">
        <v>249</v>
      </c>
      <c r="D4100" s="7">
        <v>5</v>
      </c>
      <c r="E4100">
        <v>2018</v>
      </c>
      <c r="F4100">
        <v>2018</v>
      </c>
      <c r="G4100" t="str">
        <f>IFERROR(INDEX(Formulations[Formulation],MATCH($C4100,Formulations[Product Code],0)),"")</f>
        <v>WS</v>
      </c>
    </row>
    <row r="4101" spans="1:7" x14ac:dyDescent="0.3">
      <c r="A4101" t="s">
        <v>1847</v>
      </c>
      <c r="B4101" t="s">
        <v>318</v>
      </c>
      <c r="C4101" t="s">
        <v>319</v>
      </c>
      <c r="D4101" s="7">
        <v>5</v>
      </c>
      <c r="E4101">
        <v>2018</v>
      </c>
      <c r="F4101">
        <v>2018</v>
      </c>
      <c r="G4101" t="str">
        <f>IFERROR(INDEX(Formulations[Formulation],MATCH($C4101,Formulations[Product Code],0)),"")</f>
        <v>Pure</v>
      </c>
    </row>
    <row r="4102" spans="1:7" x14ac:dyDescent="0.3">
      <c r="A4102" t="s">
        <v>1847</v>
      </c>
      <c r="B4102" t="s">
        <v>46</v>
      </c>
      <c r="C4102" t="s">
        <v>47</v>
      </c>
      <c r="D4102" s="7">
        <v>5</v>
      </c>
      <c r="E4102">
        <v>2018</v>
      </c>
      <c r="F4102">
        <v>2018</v>
      </c>
      <c r="G4102" t="str">
        <f>IFERROR(INDEX(Formulations[Formulation],MATCH($C4102,Formulations[Product Code],0)),"")</f>
        <v/>
      </c>
    </row>
    <row r="4103" spans="1:7" x14ac:dyDescent="0.3">
      <c r="A4103" t="s">
        <v>1847</v>
      </c>
      <c r="B4103" t="s">
        <v>1737</v>
      </c>
      <c r="C4103" t="s">
        <v>759</v>
      </c>
      <c r="D4103" s="7">
        <v>5</v>
      </c>
      <c r="E4103">
        <v>2018</v>
      </c>
      <c r="F4103">
        <v>2018</v>
      </c>
      <c r="G4103" t="str">
        <f>IFERROR(INDEX(Formulations[Formulation],MATCH($C4103,Formulations[Product Code],0)),"")</f>
        <v>Pure</v>
      </c>
    </row>
    <row r="4104" spans="1:7" x14ac:dyDescent="0.3">
      <c r="A4104" t="s">
        <v>1851</v>
      </c>
      <c r="B4104" t="s">
        <v>196</v>
      </c>
      <c r="C4104" t="s">
        <v>197</v>
      </c>
      <c r="D4104" s="7">
        <v>5</v>
      </c>
      <c r="E4104">
        <v>2015</v>
      </c>
      <c r="F4104">
        <v>2015</v>
      </c>
      <c r="G4104" t="str">
        <f>IFERROR(INDEX(Formulations[Formulation],MATCH($C4104,Formulations[Product Code],0)),"")</f>
        <v/>
      </c>
    </row>
    <row r="4105" spans="1:7" x14ac:dyDescent="0.3">
      <c r="A4105" t="s">
        <v>1851</v>
      </c>
      <c r="B4105" t="s">
        <v>72</v>
      </c>
      <c r="C4105" t="s">
        <v>73</v>
      </c>
      <c r="D4105" s="7">
        <v>5</v>
      </c>
      <c r="E4105">
        <v>2015</v>
      </c>
      <c r="F4105">
        <v>2015</v>
      </c>
      <c r="G4105" t="str">
        <f>IFERROR(INDEX(Formulations[Formulation],MATCH($C4105,Formulations[Product Code],0)),"")</f>
        <v>Silver</v>
      </c>
    </row>
    <row r="4106" spans="1:7" x14ac:dyDescent="0.3">
      <c r="A4106" t="s">
        <v>1851</v>
      </c>
      <c r="B4106" t="s">
        <v>320</v>
      </c>
      <c r="C4106" t="s">
        <v>321</v>
      </c>
      <c r="D4106" s="7">
        <v>5</v>
      </c>
      <c r="E4106">
        <v>2015</v>
      </c>
      <c r="F4106">
        <v>2015</v>
      </c>
      <c r="G4106" t="str">
        <f>IFERROR(INDEX(Formulations[Formulation],MATCH($C4106,Formulations[Product Code],0)),"")</f>
        <v/>
      </c>
    </row>
    <row r="4107" spans="1:7" x14ac:dyDescent="0.3">
      <c r="A4107" t="s">
        <v>1852</v>
      </c>
      <c r="B4107" t="s">
        <v>629</v>
      </c>
      <c r="C4107" t="s">
        <v>630</v>
      </c>
      <c r="D4107" s="7">
        <v>5</v>
      </c>
      <c r="E4107">
        <v>2020</v>
      </c>
      <c r="F4107">
        <v>2020</v>
      </c>
      <c r="G4107" t="str">
        <f>IFERROR(INDEX(Formulations[Formulation],MATCH($C4107,Formulations[Product Code],0)),"")</f>
        <v>Crystal</v>
      </c>
    </row>
    <row r="4108" spans="1:7" x14ac:dyDescent="0.3">
      <c r="A4108" t="s">
        <v>1852</v>
      </c>
      <c r="B4108" t="s">
        <v>536</v>
      </c>
      <c r="C4108" t="s">
        <v>537</v>
      </c>
      <c r="D4108" s="7">
        <v>5</v>
      </c>
      <c r="E4108">
        <v>2020</v>
      </c>
      <c r="F4108">
        <v>2020</v>
      </c>
      <c r="G4108" t="str">
        <f>IFERROR(INDEX(Formulations[Formulation],MATCH($C4108,Formulations[Product Code],0)),"")</f>
        <v>Silver</v>
      </c>
    </row>
    <row r="4109" spans="1:7" x14ac:dyDescent="0.3">
      <c r="A4109" t="s">
        <v>1852</v>
      </c>
      <c r="B4109" t="s">
        <v>1122</v>
      </c>
      <c r="C4109" t="s">
        <v>1123</v>
      </c>
      <c r="D4109" s="7">
        <v>5</v>
      </c>
      <c r="E4109">
        <v>2020</v>
      </c>
      <c r="F4109">
        <v>2020</v>
      </c>
      <c r="G4109" t="str">
        <f>IFERROR(INDEX(Formulations[Formulation],MATCH($C4109,Formulations[Product Code],0)),"")</f>
        <v>Crystal</v>
      </c>
    </row>
    <row r="4110" spans="1:7" x14ac:dyDescent="0.3">
      <c r="A4110" t="s">
        <v>1865</v>
      </c>
      <c r="B4110" t="s">
        <v>36</v>
      </c>
      <c r="D4110" s="7">
        <v>5</v>
      </c>
      <c r="E4110">
        <v>2019</v>
      </c>
      <c r="F4110">
        <v>2020</v>
      </c>
      <c r="G4110" t="str">
        <f>IFERROR(INDEX(Formulations[Formulation],MATCH($C4110,Formulations[Product Code],0)),"")</f>
        <v/>
      </c>
    </row>
    <row r="4111" spans="1:7" x14ac:dyDescent="0.3">
      <c r="A4111" t="s">
        <v>1870</v>
      </c>
      <c r="B4111" t="s">
        <v>265</v>
      </c>
      <c r="C4111" t="s">
        <v>197</v>
      </c>
      <c r="D4111" s="7">
        <v>5</v>
      </c>
      <c r="E4111">
        <v>2019</v>
      </c>
      <c r="F4111">
        <v>2019</v>
      </c>
      <c r="G4111" t="str">
        <f>IFERROR(INDEX(Formulations[Formulation],MATCH($C4111,Formulations[Product Code],0)),"")</f>
        <v/>
      </c>
    </row>
    <row r="4112" spans="1:7" x14ac:dyDescent="0.3">
      <c r="A4112" t="s">
        <v>1871</v>
      </c>
      <c r="B4112" t="s">
        <v>610</v>
      </c>
      <c r="C4112" t="s">
        <v>611</v>
      </c>
      <c r="D4112" s="7">
        <v>5</v>
      </c>
      <c r="E4112">
        <v>2015</v>
      </c>
      <c r="F4112">
        <v>2015</v>
      </c>
      <c r="G4112" t="str">
        <f>IFERROR(INDEX(Formulations[Formulation],MATCH($C4112,Formulations[Product Code],0)),"")</f>
        <v/>
      </c>
    </row>
    <row r="4113" spans="1:7" x14ac:dyDescent="0.3">
      <c r="A4113" t="s">
        <v>1871</v>
      </c>
      <c r="B4113" t="s">
        <v>453</v>
      </c>
      <c r="D4113" s="7">
        <v>5</v>
      </c>
      <c r="E4113">
        <v>2019</v>
      </c>
      <c r="F4113">
        <v>2019</v>
      </c>
      <c r="G4113" t="str">
        <f>IFERROR(INDEX(Formulations[Formulation],MATCH($C4113,Formulations[Product Code],0)),"")</f>
        <v/>
      </c>
    </row>
    <row r="4114" spans="1:7" x14ac:dyDescent="0.3">
      <c r="A4114" t="s">
        <v>1871</v>
      </c>
      <c r="B4114" t="s">
        <v>35</v>
      </c>
      <c r="D4114" s="7">
        <v>5</v>
      </c>
      <c r="E4114">
        <v>2019</v>
      </c>
      <c r="F4114">
        <v>2019</v>
      </c>
      <c r="G4114" t="str">
        <f>IFERROR(INDEX(Formulations[Formulation],MATCH($C4114,Formulations[Product Code],0)),"")</f>
        <v/>
      </c>
    </row>
    <row r="4115" spans="1:7" x14ac:dyDescent="0.3">
      <c r="A4115" t="s">
        <v>1871</v>
      </c>
      <c r="B4115" t="s">
        <v>36</v>
      </c>
      <c r="D4115" s="7">
        <v>5</v>
      </c>
      <c r="E4115">
        <v>2019</v>
      </c>
      <c r="F4115">
        <v>2019</v>
      </c>
      <c r="G4115" t="str">
        <f>IFERROR(INDEX(Formulations[Formulation],MATCH($C4115,Formulations[Product Code],0)),"")</f>
        <v/>
      </c>
    </row>
    <row r="4116" spans="1:7" x14ac:dyDescent="0.3">
      <c r="A4116" t="s">
        <v>1872</v>
      </c>
      <c r="B4116" t="s">
        <v>395</v>
      </c>
      <c r="D4116" s="7">
        <v>5</v>
      </c>
      <c r="E4116">
        <v>2019</v>
      </c>
      <c r="F4116">
        <v>2019</v>
      </c>
      <c r="G4116" t="str">
        <f>IFERROR(INDEX(Formulations[Formulation],MATCH($C4116,Formulations[Product Code],0)),"")</f>
        <v/>
      </c>
    </row>
    <row r="4117" spans="1:7" x14ac:dyDescent="0.3">
      <c r="A4117" t="s">
        <v>1873</v>
      </c>
      <c r="B4117" t="s">
        <v>823</v>
      </c>
      <c r="C4117" t="s">
        <v>52</v>
      </c>
      <c r="D4117" s="7">
        <v>5</v>
      </c>
      <c r="E4117">
        <v>2016</v>
      </c>
      <c r="F4117">
        <v>2016</v>
      </c>
      <c r="G4117" t="str">
        <f>IFERROR(INDEX(Formulations[Formulation],MATCH($C4117,Formulations[Product Code],0)),"")</f>
        <v>Silver</v>
      </c>
    </row>
    <row r="4118" spans="1:7" x14ac:dyDescent="0.3">
      <c r="A4118" t="s">
        <v>1873</v>
      </c>
      <c r="B4118" t="s">
        <v>82</v>
      </c>
      <c r="C4118" t="s">
        <v>83</v>
      </c>
      <c r="D4118" s="7">
        <v>5</v>
      </c>
      <c r="E4118">
        <v>2016</v>
      </c>
      <c r="F4118">
        <v>2016</v>
      </c>
      <c r="G4118" t="str">
        <f>IFERROR(INDEX(Formulations[Formulation],MATCH($C4118,Formulations[Product Code],0)),"")</f>
        <v>Pure</v>
      </c>
    </row>
    <row r="4119" spans="1:7" x14ac:dyDescent="0.3">
      <c r="A4119" t="s">
        <v>1873</v>
      </c>
      <c r="B4119" t="s">
        <v>586</v>
      </c>
      <c r="C4119" t="s">
        <v>587</v>
      </c>
      <c r="D4119" s="7">
        <v>5</v>
      </c>
      <c r="E4119">
        <v>2021</v>
      </c>
      <c r="F4119">
        <v>2021</v>
      </c>
      <c r="G4119" t="str">
        <f>IFERROR(INDEX(Formulations[Formulation],MATCH($C4119,Formulations[Product Code],0)),"")</f>
        <v>Pure</v>
      </c>
    </row>
    <row r="4120" spans="1:7" x14ac:dyDescent="0.3">
      <c r="A4120" t="s">
        <v>1893</v>
      </c>
      <c r="B4120" t="s">
        <v>532</v>
      </c>
      <c r="C4120" t="s">
        <v>452</v>
      </c>
      <c r="D4120" s="7">
        <v>5</v>
      </c>
      <c r="E4120">
        <v>2021</v>
      </c>
      <c r="F4120">
        <v>2021</v>
      </c>
      <c r="G4120" t="str">
        <f>IFERROR(INDEX(Formulations[Formulation],MATCH($C4120,Formulations[Product Code],0)),"")</f>
        <v>Crystal</v>
      </c>
    </row>
    <row r="4121" spans="1:7" x14ac:dyDescent="0.3">
      <c r="A4121" t="s">
        <v>1893</v>
      </c>
      <c r="B4121" t="s">
        <v>1117</v>
      </c>
      <c r="C4121" t="s">
        <v>1118</v>
      </c>
      <c r="D4121" s="7">
        <v>5</v>
      </c>
      <c r="E4121">
        <v>2021</v>
      </c>
      <c r="F4121">
        <v>2021</v>
      </c>
      <c r="G4121" t="str">
        <f>IFERROR(INDEX(Formulations[Formulation],MATCH($C4121,Formulations[Product Code],0)),"")</f>
        <v>Crystal</v>
      </c>
    </row>
    <row r="4122" spans="1:7" x14ac:dyDescent="0.3">
      <c r="A4122" t="s">
        <v>1893</v>
      </c>
      <c r="B4122" t="s">
        <v>602</v>
      </c>
      <c r="C4122" t="s">
        <v>603</v>
      </c>
      <c r="D4122" s="7">
        <v>5</v>
      </c>
      <c r="E4122">
        <v>2021</v>
      </c>
      <c r="F4122">
        <v>2021</v>
      </c>
      <c r="G4122" t="str">
        <f>IFERROR(INDEX(Formulations[Formulation],MATCH($C4122,Formulations[Product Code],0)),"")</f>
        <v>Crystal</v>
      </c>
    </row>
    <row r="4123" spans="1:7" x14ac:dyDescent="0.3">
      <c r="A4123" t="s">
        <v>1893</v>
      </c>
      <c r="B4123" t="s">
        <v>348</v>
      </c>
      <c r="C4123" t="s">
        <v>347</v>
      </c>
      <c r="D4123" s="7">
        <v>5</v>
      </c>
      <c r="E4123">
        <v>2021</v>
      </c>
      <c r="F4123">
        <v>2021</v>
      </c>
      <c r="G4123" t="str">
        <f>IFERROR(INDEX(Formulations[Formulation],MATCH($C4123,Formulations[Product Code],0)),"")</f>
        <v>Pure</v>
      </c>
    </row>
    <row r="4124" spans="1:7" x14ac:dyDescent="0.3">
      <c r="A4124" t="s">
        <v>1893</v>
      </c>
      <c r="B4124" t="s">
        <v>671</v>
      </c>
      <c r="C4124" t="s">
        <v>672</v>
      </c>
      <c r="D4124" s="7">
        <v>5</v>
      </c>
      <c r="E4124">
        <v>2021</v>
      </c>
      <c r="F4124">
        <v>2021</v>
      </c>
      <c r="G4124" t="str">
        <f>IFERROR(INDEX(Formulations[Formulation],MATCH($C4124,Formulations[Product Code],0)),"")</f>
        <v>Pure</v>
      </c>
    </row>
    <row r="4125" spans="1:7" x14ac:dyDescent="0.3">
      <c r="A4125" t="s">
        <v>1893</v>
      </c>
      <c r="B4125" t="s">
        <v>653</v>
      </c>
      <c r="C4125" t="s">
        <v>654</v>
      </c>
      <c r="D4125" s="7">
        <v>5</v>
      </c>
      <c r="E4125">
        <v>2021</v>
      </c>
      <c r="F4125">
        <v>2021</v>
      </c>
      <c r="G4125" t="str">
        <f>IFERROR(INDEX(Formulations[Formulation],MATCH($C4125,Formulations[Product Code],0)),"")</f>
        <v>Pure</v>
      </c>
    </row>
    <row r="4126" spans="1:7" x14ac:dyDescent="0.3">
      <c r="A4126" t="s">
        <v>1893</v>
      </c>
      <c r="B4126" t="s">
        <v>1021</v>
      </c>
      <c r="C4126" t="s">
        <v>1022</v>
      </c>
      <c r="D4126" s="7">
        <v>5</v>
      </c>
      <c r="E4126">
        <v>2021</v>
      </c>
      <c r="F4126">
        <v>2021</v>
      </c>
      <c r="G4126" t="str">
        <f>IFERROR(INDEX(Formulations[Formulation],MATCH($C4126,Formulations[Product Code],0)),"")</f>
        <v>Silver</v>
      </c>
    </row>
    <row r="4127" spans="1:7" x14ac:dyDescent="0.3">
      <c r="A4127" t="s">
        <v>1893</v>
      </c>
      <c r="B4127" t="s">
        <v>754</v>
      </c>
      <c r="C4127" t="s">
        <v>755</v>
      </c>
      <c r="D4127" s="7">
        <v>5</v>
      </c>
      <c r="E4127">
        <v>2021</v>
      </c>
      <c r="F4127">
        <v>2021</v>
      </c>
      <c r="G4127" t="str">
        <f>IFERROR(INDEX(Formulations[Formulation],MATCH($C4127,Formulations[Product Code],0)),"")</f>
        <v>Pure</v>
      </c>
    </row>
    <row r="4128" spans="1:7" x14ac:dyDescent="0.3">
      <c r="A4128" t="s">
        <v>1895</v>
      </c>
      <c r="B4128" t="s">
        <v>461</v>
      </c>
      <c r="D4128" s="7">
        <v>5</v>
      </c>
      <c r="E4128">
        <v>2019</v>
      </c>
      <c r="F4128">
        <v>2019</v>
      </c>
      <c r="G4128" t="str">
        <f>IFERROR(INDEX(Formulations[Formulation],MATCH($C4128,Formulations[Product Code],0)),"")</f>
        <v/>
      </c>
    </row>
    <row r="4129" spans="1:7" x14ac:dyDescent="0.3">
      <c r="A4129" t="s">
        <v>1898</v>
      </c>
      <c r="B4129" t="s">
        <v>108</v>
      </c>
      <c r="C4129" t="s">
        <v>109</v>
      </c>
      <c r="D4129" s="7">
        <v>5</v>
      </c>
      <c r="E4129">
        <v>2018</v>
      </c>
      <c r="F4129">
        <v>2018</v>
      </c>
      <c r="G4129" t="str">
        <f>IFERROR(INDEX(Formulations[Formulation],MATCH($C4129,Formulations[Product Code],0)),"")</f>
        <v>Pure</v>
      </c>
    </row>
    <row r="4130" spans="1:7" x14ac:dyDescent="0.3">
      <c r="A4130" t="s">
        <v>1898</v>
      </c>
      <c r="B4130" t="s">
        <v>575</v>
      </c>
      <c r="C4130" t="s">
        <v>673</v>
      </c>
      <c r="D4130" s="7">
        <v>5</v>
      </c>
      <c r="E4130">
        <v>2017</v>
      </c>
      <c r="F4130">
        <v>2017</v>
      </c>
      <c r="G4130" t="str">
        <f>IFERROR(INDEX(Formulations[Formulation],MATCH($C4130,Formulations[Product Code],0)),"")</f>
        <v>Apricot 60 % oil and 40 % dpg</v>
      </c>
    </row>
    <row r="4131" spans="1:7" x14ac:dyDescent="0.3">
      <c r="A4131" t="s">
        <v>1898</v>
      </c>
      <c r="B4131" t="s">
        <v>518</v>
      </c>
      <c r="C4131" t="s">
        <v>519</v>
      </c>
      <c r="D4131" s="7">
        <v>5</v>
      </c>
      <c r="E4131">
        <v>2018</v>
      </c>
      <c r="F4131">
        <v>2018</v>
      </c>
      <c r="G4131" t="str">
        <f>IFERROR(INDEX(Formulations[Formulation],MATCH($C4131,Formulations[Product Code],0)),"")</f>
        <v>Pure</v>
      </c>
    </row>
    <row r="4132" spans="1:7" x14ac:dyDescent="0.3">
      <c r="A4132" t="s">
        <v>1901</v>
      </c>
      <c r="B4132" t="s">
        <v>1903</v>
      </c>
      <c r="D4132" s="7">
        <v>5</v>
      </c>
      <c r="E4132">
        <v>2016</v>
      </c>
      <c r="F4132">
        <v>2016</v>
      </c>
      <c r="G4132" t="str">
        <f>IFERROR(INDEX(Formulations[Formulation],MATCH($C4132,Formulations[Product Code],0)),"")</f>
        <v/>
      </c>
    </row>
    <row r="4133" spans="1:7" x14ac:dyDescent="0.3">
      <c r="A4133" t="s">
        <v>1901</v>
      </c>
      <c r="B4133" t="s">
        <v>187</v>
      </c>
      <c r="C4133" t="s">
        <v>188</v>
      </c>
      <c r="D4133" s="7">
        <v>5</v>
      </c>
      <c r="E4133">
        <v>2017</v>
      </c>
      <c r="F4133">
        <v>2017</v>
      </c>
      <c r="G4133" t="str">
        <f>IFERROR(INDEX(Formulations[Formulation],MATCH($C4133,Formulations[Product Code],0)),"")</f>
        <v>Crystal</v>
      </c>
    </row>
    <row r="4134" spans="1:7" x14ac:dyDescent="0.3">
      <c r="A4134" t="s">
        <v>1901</v>
      </c>
      <c r="B4134" t="s">
        <v>1452</v>
      </c>
      <c r="C4134" t="s">
        <v>1453</v>
      </c>
      <c r="D4134" s="7">
        <v>5</v>
      </c>
      <c r="E4134">
        <v>2017</v>
      </c>
      <c r="F4134">
        <v>2017</v>
      </c>
      <c r="G4134" t="str">
        <f>IFERROR(INDEX(Formulations[Formulation],MATCH($C4134,Formulations[Product Code],0)),"")</f>
        <v/>
      </c>
    </row>
    <row r="4135" spans="1:7" x14ac:dyDescent="0.3">
      <c r="A4135" t="s">
        <v>1901</v>
      </c>
      <c r="B4135" t="s">
        <v>314</v>
      </c>
      <c r="C4135" t="s">
        <v>315</v>
      </c>
      <c r="D4135" s="7">
        <v>5</v>
      </c>
      <c r="E4135">
        <v>2017</v>
      </c>
      <c r="F4135">
        <v>2017</v>
      </c>
      <c r="G4135" t="str">
        <f>IFERROR(INDEX(Formulations[Formulation],MATCH($C4135,Formulations[Product Code],0)),"")</f>
        <v/>
      </c>
    </row>
    <row r="4136" spans="1:7" x14ac:dyDescent="0.3">
      <c r="A4136" t="s">
        <v>1901</v>
      </c>
      <c r="B4136" t="s">
        <v>70</v>
      </c>
      <c r="C4136" t="s">
        <v>71</v>
      </c>
      <c r="D4136" s="7">
        <v>5</v>
      </c>
      <c r="E4136">
        <v>2018</v>
      </c>
      <c r="F4136">
        <v>2018</v>
      </c>
      <c r="G4136" t="str">
        <f>IFERROR(INDEX(Formulations[Formulation],MATCH($C4136,Formulations[Product Code],0)),"")</f>
        <v>40% Oil &amp; 60% DPG</v>
      </c>
    </row>
    <row r="4137" spans="1:7" x14ac:dyDescent="0.3">
      <c r="A4137" t="s">
        <v>1901</v>
      </c>
      <c r="B4137" t="s">
        <v>1904</v>
      </c>
      <c r="D4137" s="7">
        <v>5</v>
      </c>
      <c r="E4137">
        <v>2017</v>
      </c>
      <c r="F4137">
        <v>2017</v>
      </c>
      <c r="G4137" t="str">
        <f>IFERROR(INDEX(Formulations[Formulation],MATCH($C4137,Formulations[Product Code],0)),"")</f>
        <v/>
      </c>
    </row>
    <row r="4138" spans="1:7" x14ac:dyDescent="0.3">
      <c r="A4138" t="s">
        <v>1905</v>
      </c>
      <c r="B4138" t="s">
        <v>117</v>
      </c>
      <c r="C4138" t="s">
        <v>118</v>
      </c>
      <c r="D4138" s="7">
        <v>5</v>
      </c>
      <c r="E4138">
        <v>2019</v>
      </c>
      <c r="F4138">
        <v>2019</v>
      </c>
      <c r="G4138" t="str">
        <f>IFERROR(INDEX(Formulations[Formulation],MATCH($C4138,Formulations[Product Code],0)),"")</f>
        <v>Silver</v>
      </c>
    </row>
    <row r="4139" spans="1:7" x14ac:dyDescent="0.3">
      <c r="A4139" t="s">
        <v>1911</v>
      </c>
      <c r="B4139" t="s">
        <v>16</v>
      </c>
      <c r="C4139" t="s">
        <v>17</v>
      </c>
      <c r="D4139" s="7">
        <v>5</v>
      </c>
      <c r="E4139">
        <v>2016</v>
      </c>
      <c r="F4139">
        <v>2016</v>
      </c>
      <c r="G4139" t="str">
        <f>IFERROR(INDEX(Formulations[Formulation],MATCH($C4139,Formulations[Product Code],0)),"")</f>
        <v>Crystal</v>
      </c>
    </row>
    <row r="4140" spans="1:7" x14ac:dyDescent="0.3">
      <c r="A4140" t="s">
        <v>1911</v>
      </c>
      <c r="B4140" t="s">
        <v>269</v>
      </c>
      <c r="C4140" t="s">
        <v>270</v>
      </c>
      <c r="D4140" s="7">
        <v>5</v>
      </c>
      <c r="E4140">
        <v>2016</v>
      </c>
      <c r="F4140">
        <v>2016</v>
      </c>
      <c r="G4140" t="str">
        <f>IFERROR(INDEX(Formulations[Formulation],MATCH($C4140,Formulations[Product Code],0)),"")</f>
        <v>Pure</v>
      </c>
    </row>
    <row r="4141" spans="1:7" x14ac:dyDescent="0.3">
      <c r="A4141" t="s">
        <v>1926</v>
      </c>
      <c r="B4141" t="s">
        <v>543</v>
      </c>
      <c r="C4141" t="s">
        <v>544</v>
      </c>
      <c r="D4141" s="7">
        <v>5</v>
      </c>
      <c r="E4141">
        <v>2021</v>
      </c>
      <c r="F4141">
        <v>2021</v>
      </c>
      <c r="G4141" t="str">
        <f>IFERROR(INDEX(Formulations[Formulation],MATCH($C4141,Formulations[Product Code],0)),"")</f>
        <v>Crystal</v>
      </c>
    </row>
    <row r="4142" spans="1:7" x14ac:dyDescent="0.3">
      <c r="A4142" t="s">
        <v>1927</v>
      </c>
      <c r="B4142" t="s">
        <v>1929</v>
      </c>
      <c r="C4142" t="s">
        <v>113</v>
      </c>
      <c r="D4142" s="7">
        <v>5</v>
      </c>
      <c r="E4142">
        <v>2019</v>
      </c>
      <c r="F4142">
        <v>2019</v>
      </c>
      <c r="G4142" t="str">
        <f>IFERROR(INDEX(Formulations[Formulation],MATCH($C4142,Formulations[Product Code],0)),"")</f>
        <v/>
      </c>
    </row>
    <row r="4143" spans="1:7" x14ac:dyDescent="0.3">
      <c r="A4143" t="s">
        <v>1927</v>
      </c>
      <c r="B4143" t="s">
        <v>127</v>
      </c>
      <c r="D4143" s="7">
        <v>5</v>
      </c>
      <c r="E4143">
        <v>2019</v>
      </c>
      <c r="F4143">
        <v>2019</v>
      </c>
      <c r="G4143" t="str">
        <f>IFERROR(INDEX(Formulations[Formulation],MATCH($C4143,Formulations[Product Code],0)),"")</f>
        <v/>
      </c>
    </row>
    <row r="4144" spans="1:7" x14ac:dyDescent="0.3">
      <c r="A4144" t="s">
        <v>1927</v>
      </c>
      <c r="B4144" t="s">
        <v>46</v>
      </c>
      <c r="C4144" t="s">
        <v>47</v>
      </c>
      <c r="D4144" s="7">
        <v>5</v>
      </c>
      <c r="E4144">
        <v>2018</v>
      </c>
      <c r="F4144">
        <v>2018</v>
      </c>
      <c r="G4144" t="str">
        <f>IFERROR(INDEX(Formulations[Formulation],MATCH($C4144,Formulations[Product Code],0)),"")</f>
        <v/>
      </c>
    </row>
    <row r="4145" spans="1:7" x14ac:dyDescent="0.3">
      <c r="A4145" t="s">
        <v>1927</v>
      </c>
      <c r="B4145" t="s">
        <v>157</v>
      </c>
      <c r="C4145" t="s">
        <v>158</v>
      </c>
      <c r="D4145" s="7">
        <v>5</v>
      </c>
      <c r="E4145">
        <v>2018</v>
      </c>
      <c r="F4145">
        <v>2018</v>
      </c>
      <c r="G4145" t="str">
        <f>IFERROR(INDEX(Formulations[Formulation],MATCH($C4145,Formulations[Product Code],0)),"")</f>
        <v>Pure</v>
      </c>
    </row>
    <row r="4146" spans="1:7" x14ac:dyDescent="0.3">
      <c r="A4146" t="s">
        <v>1932</v>
      </c>
      <c r="B4146" t="s">
        <v>280</v>
      </c>
      <c r="C4146" t="s">
        <v>224</v>
      </c>
      <c r="D4146" s="7">
        <v>5</v>
      </c>
      <c r="E4146">
        <v>2016</v>
      </c>
      <c r="F4146">
        <v>2016</v>
      </c>
      <c r="G4146" t="str">
        <f>IFERROR(INDEX(Formulations[Formulation],MATCH($C4146,Formulations[Product Code],0)),"")</f>
        <v/>
      </c>
    </row>
    <row r="4147" spans="1:7" x14ac:dyDescent="0.3">
      <c r="A4147" t="s">
        <v>1933</v>
      </c>
      <c r="B4147" t="s">
        <v>551</v>
      </c>
      <c r="D4147" s="7">
        <v>5</v>
      </c>
      <c r="E4147">
        <v>2019</v>
      </c>
      <c r="F4147">
        <v>2019</v>
      </c>
      <c r="G4147" t="str">
        <f>IFERROR(INDEX(Formulations[Formulation],MATCH($C4147,Formulations[Product Code],0)),"")</f>
        <v/>
      </c>
    </row>
    <row r="4148" spans="1:7" x14ac:dyDescent="0.3">
      <c r="A4148" t="s">
        <v>1933</v>
      </c>
      <c r="B4148" t="s">
        <v>248</v>
      </c>
      <c r="C4148" t="s">
        <v>249</v>
      </c>
      <c r="D4148" s="7">
        <v>5</v>
      </c>
      <c r="E4148">
        <v>2019</v>
      </c>
      <c r="F4148">
        <v>2019</v>
      </c>
      <c r="G4148" t="str">
        <f>IFERROR(INDEX(Formulations[Formulation],MATCH($C4148,Formulations[Product Code],0)),"")</f>
        <v>WS</v>
      </c>
    </row>
    <row r="4149" spans="1:7" x14ac:dyDescent="0.3">
      <c r="A4149" t="s">
        <v>1933</v>
      </c>
      <c r="B4149" t="s">
        <v>99</v>
      </c>
      <c r="C4149" t="s">
        <v>100</v>
      </c>
      <c r="D4149" s="7">
        <v>5</v>
      </c>
      <c r="E4149">
        <v>2021</v>
      </c>
      <c r="F4149">
        <v>2021</v>
      </c>
      <c r="G4149" t="str">
        <f>IFERROR(INDEX(Formulations[Formulation],MATCH($C4149,Formulations[Product Code],0)),"")</f>
        <v>Crystal</v>
      </c>
    </row>
    <row r="4150" spans="1:7" x14ac:dyDescent="0.3">
      <c r="A4150" t="s">
        <v>1933</v>
      </c>
      <c r="B4150" t="s">
        <v>1396</v>
      </c>
      <c r="C4150" t="s">
        <v>613</v>
      </c>
      <c r="D4150" s="7">
        <v>5</v>
      </c>
      <c r="E4150">
        <v>2019</v>
      </c>
      <c r="F4150">
        <v>2019</v>
      </c>
      <c r="G4150" t="str">
        <f>IFERROR(INDEX(Formulations[Formulation],MATCH($C4150,Formulations[Product Code],0)),"")</f>
        <v>Pure</v>
      </c>
    </row>
    <row r="4151" spans="1:7" x14ac:dyDescent="0.3">
      <c r="A4151" t="s">
        <v>1945</v>
      </c>
      <c r="B4151" t="s">
        <v>251</v>
      </c>
      <c r="C4151" t="s">
        <v>207</v>
      </c>
      <c r="D4151" s="7">
        <v>5</v>
      </c>
      <c r="E4151">
        <v>2019</v>
      </c>
      <c r="F4151">
        <v>2019</v>
      </c>
      <c r="G4151" t="str">
        <f>IFERROR(INDEX(Formulations[Formulation],MATCH($C4151,Formulations[Product Code],0)),"")</f>
        <v/>
      </c>
    </row>
    <row r="4152" spans="1:7" x14ac:dyDescent="0.3">
      <c r="A4152" t="s">
        <v>1945</v>
      </c>
      <c r="B4152" t="s">
        <v>516</v>
      </c>
      <c r="D4152" s="7">
        <v>5</v>
      </c>
      <c r="E4152">
        <v>2019</v>
      </c>
      <c r="F4152">
        <v>2019</v>
      </c>
      <c r="G4152" t="str">
        <f>IFERROR(INDEX(Formulations[Formulation],MATCH($C4152,Formulations[Product Code],0)),"")</f>
        <v/>
      </c>
    </row>
    <row r="4153" spans="1:7" x14ac:dyDescent="0.3">
      <c r="A4153" t="s">
        <v>1945</v>
      </c>
      <c r="B4153" t="s">
        <v>402</v>
      </c>
      <c r="C4153" t="s">
        <v>403</v>
      </c>
      <c r="D4153" s="7">
        <v>5</v>
      </c>
      <c r="E4153">
        <v>2019</v>
      </c>
      <c r="F4153">
        <v>2019</v>
      </c>
      <c r="G4153" t="str">
        <f>IFERROR(INDEX(Formulations[Formulation],MATCH($C4153,Formulations[Product Code],0)),"")</f>
        <v>15 % oil and 85% dpg</v>
      </c>
    </row>
    <row r="4154" spans="1:7" x14ac:dyDescent="0.3">
      <c r="A4154" t="s">
        <v>1945</v>
      </c>
      <c r="B4154" t="s">
        <v>142</v>
      </c>
      <c r="C4154" t="s">
        <v>143</v>
      </c>
      <c r="D4154" s="7">
        <v>5</v>
      </c>
      <c r="E4154">
        <v>2018</v>
      </c>
      <c r="F4154">
        <v>2018</v>
      </c>
      <c r="G4154" t="str">
        <f>IFERROR(INDEX(Formulations[Formulation],MATCH($C4154,Formulations[Product Code],0)),"")</f>
        <v>Pure</v>
      </c>
    </row>
    <row r="4155" spans="1:7" x14ac:dyDescent="0.3">
      <c r="A4155" t="s">
        <v>1945</v>
      </c>
      <c r="B4155" t="s">
        <v>1951</v>
      </c>
      <c r="C4155" t="s">
        <v>1759</v>
      </c>
      <c r="D4155" s="7">
        <v>5</v>
      </c>
      <c r="E4155">
        <v>2019</v>
      </c>
      <c r="F4155">
        <v>2019</v>
      </c>
      <c r="G4155" t="str">
        <f>IFERROR(INDEX(Formulations[Formulation],MATCH($C4155,Formulations[Product Code],0)),"")</f>
        <v/>
      </c>
    </row>
    <row r="4156" spans="1:7" x14ac:dyDescent="0.3">
      <c r="A4156" t="s">
        <v>1955</v>
      </c>
      <c r="B4156" t="s">
        <v>719</v>
      </c>
      <c r="C4156" t="s">
        <v>925</v>
      </c>
      <c r="D4156" s="7">
        <v>5</v>
      </c>
      <c r="E4156">
        <v>2013</v>
      </c>
      <c r="F4156">
        <v>2013</v>
      </c>
      <c r="G4156" t="str">
        <f>IFERROR(INDEX(Formulations[Formulation],MATCH($C4156,Formulations[Product Code],0)),"")</f>
        <v/>
      </c>
    </row>
    <row r="4157" spans="1:7" x14ac:dyDescent="0.3">
      <c r="A4157" t="s">
        <v>1958</v>
      </c>
      <c r="B4157" t="s">
        <v>203</v>
      </c>
      <c r="C4157" t="s">
        <v>204</v>
      </c>
      <c r="D4157" s="7">
        <v>5</v>
      </c>
      <c r="E4157">
        <v>2015</v>
      </c>
      <c r="F4157">
        <v>2015</v>
      </c>
      <c r="G4157" t="str">
        <f>IFERROR(INDEX(Formulations[Formulation],MATCH($C4157,Formulations[Product Code],0)),"")</f>
        <v/>
      </c>
    </row>
    <row r="4158" spans="1:7" x14ac:dyDescent="0.3">
      <c r="A4158" t="s">
        <v>1972</v>
      </c>
      <c r="B4158" t="s">
        <v>1975</v>
      </c>
      <c r="C4158" t="s">
        <v>989</v>
      </c>
      <c r="D4158" s="7">
        <v>5</v>
      </c>
      <c r="E4158">
        <v>2013</v>
      </c>
      <c r="F4158">
        <v>2013</v>
      </c>
      <c r="G4158" t="str">
        <f>IFERROR(INDEX(Formulations[Formulation],MATCH($C4158,Formulations[Product Code],0)),"")</f>
        <v/>
      </c>
    </row>
    <row r="4159" spans="1:7" x14ac:dyDescent="0.3">
      <c r="A4159" t="s">
        <v>1972</v>
      </c>
      <c r="B4159" t="s">
        <v>293</v>
      </c>
      <c r="C4159" t="s">
        <v>294</v>
      </c>
      <c r="D4159" s="7">
        <v>5</v>
      </c>
      <c r="E4159">
        <v>2013</v>
      </c>
      <c r="F4159">
        <v>2013</v>
      </c>
      <c r="G4159" t="str">
        <f>IFERROR(INDEX(Formulations[Formulation],MATCH($C4159,Formulations[Product Code],0)),"")</f>
        <v/>
      </c>
    </row>
    <row r="4160" spans="1:7" x14ac:dyDescent="0.3">
      <c r="A4160" t="s">
        <v>1972</v>
      </c>
      <c r="B4160" t="s">
        <v>120</v>
      </c>
      <c r="C4160" t="s">
        <v>121</v>
      </c>
      <c r="D4160" s="7">
        <v>5</v>
      </c>
      <c r="E4160">
        <v>2013</v>
      </c>
      <c r="F4160">
        <v>2013</v>
      </c>
      <c r="G4160" t="str">
        <f>IFERROR(INDEX(Formulations[Formulation],MATCH($C4160,Formulations[Product Code],0)),"")</f>
        <v/>
      </c>
    </row>
    <row r="4161" spans="1:7" x14ac:dyDescent="0.3">
      <c r="A4161" t="s">
        <v>1972</v>
      </c>
      <c r="B4161" t="s">
        <v>189</v>
      </c>
      <c r="D4161" s="7">
        <v>5</v>
      </c>
      <c r="E4161">
        <v>2019</v>
      </c>
      <c r="F4161">
        <v>2019</v>
      </c>
      <c r="G4161" t="str">
        <f>IFERROR(INDEX(Formulations[Formulation],MATCH($C4161,Formulations[Product Code],0)),"")</f>
        <v/>
      </c>
    </row>
    <row r="4162" spans="1:7" x14ac:dyDescent="0.3">
      <c r="A4162" t="s">
        <v>1972</v>
      </c>
      <c r="B4162" t="s">
        <v>1587</v>
      </c>
      <c r="C4162" t="s">
        <v>1588</v>
      </c>
      <c r="D4162" s="7">
        <v>5</v>
      </c>
      <c r="E4162">
        <v>2013</v>
      </c>
      <c r="F4162">
        <v>2013</v>
      </c>
      <c r="G4162" t="str">
        <f>IFERROR(INDEX(Formulations[Formulation],MATCH($C4162,Formulations[Product Code],0)),"")</f>
        <v/>
      </c>
    </row>
    <row r="4163" spans="1:7" x14ac:dyDescent="0.3">
      <c r="A4163" t="s">
        <v>1972</v>
      </c>
      <c r="B4163" t="s">
        <v>153</v>
      </c>
      <c r="C4163" t="s">
        <v>154</v>
      </c>
      <c r="D4163" s="7">
        <v>5</v>
      </c>
      <c r="E4163">
        <v>2014</v>
      </c>
      <c r="F4163">
        <v>2014</v>
      </c>
      <c r="G4163" t="str">
        <f>IFERROR(INDEX(Formulations[Formulation],MATCH($C4163,Formulations[Product Code],0)),"")</f>
        <v>Pure</v>
      </c>
    </row>
    <row r="4164" spans="1:7" x14ac:dyDescent="0.3">
      <c r="A4164" t="s">
        <v>1972</v>
      </c>
      <c r="B4164" t="s">
        <v>157</v>
      </c>
      <c r="C4164" t="s">
        <v>158</v>
      </c>
      <c r="D4164" s="7">
        <v>5</v>
      </c>
      <c r="E4164">
        <v>2019</v>
      </c>
      <c r="F4164">
        <v>2019</v>
      </c>
      <c r="G4164" t="str">
        <f>IFERROR(INDEX(Formulations[Formulation],MATCH($C4164,Formulations[Product Code],0)),"")</f>
        <v>Pure</v>
      </c>
    </row>
    <row r="4165" spans="1:7" x14ac:dyDescent="0.3">
      <c r="A4165" t="s">
        <v>2008</v>
      </c>
      <c r="B4165" t="s">
        <v>467</v>
      </c>
      <c r="C4165" t="s">
        <v>468</v>
      </c>
      <c r="D4165" s="7">
        <v>5</v>
      </c>
      <c r="E4165">
        <v>2021</v>
      </c>
      <c r="F4165">
        <v>2021</v>
      </c>
      <c r="G4165" t="str">
        <f>IFERROR(INDEX(Formulations[Formulation],MATCH($C4165,Formulations[Product Code],0)),"")</f>
        <v>Crystal</v>
      </c>
    </row>
    <row r="4166" spans="1:7" x14ac:dyDescent="0.3">
      <c r="A4166" t="s">
        <v>2009</v>
      </c>
      <c r="B4166" t="s">
        <v>276</v>
      </c>
      <c r="C4166" t="s">
        <v>277</v>
      </c>
      <c r="D4166" s="7">
        <v>5</v>
      </c>
      <c r="E4166">
        <v>2020</v>
      </c>
      <c r="F4166">
        <v>2020</v>
      </c>
      <c r="G4166" t="str">
        <f>IFERROR(INDEX(Formulations[Formulation],MATCH($C4166,Formulations[Product Code],0)),"")</f>
        <v>Pure</v>
      </c>
    </row>
    <row r="4167" spans="1:7" x14ac:dyDescent="0.3">
      <c r="A4167" t="s">
        <v>2009</v>
      </c>
      <c r="B4167" t="s">
        <v>626</v>
      </c>
      <c r="C4167" t="s">
        <v>582</v>
      </c>
      <c r="D4167" s="7">
        <v>5</v>
      </c>
      <c r="E4167">
        <v>2020</v>
      </c>
      <c r="F4167">
        <v>2020</v>
      </c>
      <c r="G4167" t="str">
        <f>IFERROR(INDEX(Formulations[Formulation],MATCH($C4167,Formulations[Product Code],0)),"")</f>
        <v/>
      </c>
    </row>
    <row r="4168" spans="1:7" x14ac:dyDescent="0.3">
      <c r="A4168" t="s">
        <v>2011</v>
      </c>
      <c r="B4168" t="s">
        <v>995</v>
      </c>
      <c r="C4168" t="s">
        <v>672</v>
      </c>
      <c r="D4168" s="7">
        <v>5</v>
      </c>
      <c r="E4168">
        <v>2019</v>
      </c>
      <c r="F4168">
        <v>2019</v>
      </c>
      <c r="G4168" t="str">
        <f>IFERROR(INDEX(Formulations[Formulation],MATCH($C4168,Formulations[Product Code],0)),"")</f>
        <v>Pure</v>
      </c>
    </row>
    <row r="4169" spans="1:7" x14ac:dyDescent="0.3">
      <c r="A4169" t="s">
        <v>2011</v>
      </c>
      <c r="B4169" t="s">
        <v>741</v>
      </c>
      <c r="C4169" t="s">
        <v>742</v>
      </c>
      <c r="D4169" s="7">
        <v>5</v>
      </c>
      <c r="E4169">
        <v>2016</v>
      </c>
      <c r="F4169">
        <v>2016</v>
      </c>
      <c r="G4169" t="str">
        <f>IFERROR(INDEX(Formulations[Formulation],MATCH($C4169,Formulations[Product Code],0)),"")</f>
        <v/>
      </c>
    </row>
    <row r="4170" spans="1:7" x14ac:dyDescent="0.3">
      <c r="A4170" t="s">
        <v>2020</v>
      </c>
      <c r="B4170" t="s">
        <v>589</v>
      </c>
      <c r="C4170" t="s">
        <v>590</v>
      </c>
      <c r="D4170" s="7">
        <v>5</v>
      </c>
      <c r="E4170">
        <v>2020</v>
      </c>
      <c r="F4170">
        <v>2020</v>
      </c>
      <c r="G4170" t="str">
        <f>IFERROR(INDEX(Formulations[Formulation],MATCH($C4170,Formulations[Product Code],0)),"")</f>
        <v>Bakhur : A285878- 90%, A243761-10%</v>
      </c>
    </row>
    <row r="4171" spans="1:7" x14ac:dyDescent="0.3">
      <c r="A4171" t="s">
        <v>2020</v>
      </c>
      <c r="B4171" t="s">
        <v>1446</v>
      </c>
      <c r="C4171" t="s">
        <v>814</v>
      </c>
      <c r="D4171" s="7">
        <v>5</v>
      </c>
      <c r="E4171">
        <v>2018</v>
      </c>
      <c r="F4171">
        <v>2018</v>
      </c>
      <c r="G4171" t="str">
        <f>IFERROR(INDEX(Formulations[Formulation],MATCH($C4171,Formulations[Product Code],0)),"")</f>
        <v>WS</v>
      </c>
    </row>
    <row r="4172" spans="1:7" x14ac:dyDescent="0.3">
      <c r="A4172" t="s">
        <v>2030</v>
      </c>
      <c r="B4172" t="s">
        <v>557</v>
      </c>
      <c r="C4172" t="s">
        <v>212</v>
      </c>
      <c r="D4172" s="7">
        <v>5</v>
      </c>
      <c r="E4172">
        <v>2018</v>
      </c>
      <c r="F4172">
        <v>2018</v>
      </c>
      <c r="G4172" t="str">
        <f>IFERROR(INDEX(Formulations[Formulation],MATCH($C4172,Formulations[Product Code],0)),"")</f>
        <v>Pure</v>
      </c>
    </row>
    <row r="4173" spans="1:7" x14ac:dyDescent="0.3">
      <c r="A4173" t="s">
        <v>2030</v>
      </c>
      <c r="B4173" t="s">
        <v>1013</v>
      </c>
      <c r="C4173" t="s">
        <v>1014</v>
      </c>
      <c r="D4173" s="7">
        <v>5</v>
      </c>
      <c r="E4173">
        <v>2018</v>
      </c>
      <c r="F4173">
        <v>2018</v>
      </c>
      <c r="G4173" t="str">
        <f>IFERROR(INDEX(Formulations[Formulation],MATCH($C4173,Formulations[Product Code],0)),"")</f>
        <v/>
      </c>
    </row>
    <row r="4174" spans="1:7" x14ac:dyDescent="0.3">
      <c r="A4174" t="s">
        <v>2030</v>
      </c>
      <c r="B4174" t="s">
        <v>288</v>
      </c>
      <c r="C4174" t="s">
        <v>289</v>
      </c>
      <c r="D4174" s="7">
        <v>5</v>
      </c>
      <c r="E4174">
        <v>2018</v>
      </c>
      <c r="F4174">
        <v>2018</v>
      </c>
      <c r="G4174" t="str">
        <f>IFERROR(INDEX(Formulations[Formulation],MATCH($C4174,Formulations[Product Code],0)),"")</f>
        <v>L1212 Blanc by Lacoste (M) CP19035 -  (60%l1212) creed silver mountain 40% than make gold</v>
      </c>
    </row>
    <row r="4175" spans="1:7" x14ac:dyDescent="0.3">
      <c r="A4175" t="s">
        <v>2030</v>
      </c>
      <c r="B4175" t="s">
        <v>404</v>
      </c>
      <c r="C4175" t="s">
        <v>405</v>
      </c>
      <c r="D4175" s="7">
        <v>5</v>
      </c>
      <c r="E4175">
        <v>2018</v>
      </c>
      <c r="F4175">
        <v>2018</v>
      </c>
      <c r="G4175" t="str">
        <f>IFERROR(INDEX(Formulations[Formulation],MATCH($C4175,Formulations[Product Code],0)),"")</f>
        <v/>
      </c>
    </row>
    <row r="4176" spans="1:7" x14ac:dyDescent="0.3">
      <c r="A4176" t="s">
        <v>2030</v>
      </c>
      <c r="B4176" t="s">
        <v>657</v>
      </c>
      <c r="C4176" t="s">
        <v>658</v>
      </c>
      <c r="D4176" s="7">
        <v>5</v>
      </c>
      <c r="E4176">
        <v>2018</v>
      </c>
      <c r="F4176">
        <v>2018</v>
      </c>
      <c r="G4176" t="str">
        <f>IFERROR(INDEX(Formulations[Formulation],MATCH($C4176,Formulations[Product Code],0)),"")</f>
        <v>Crystal</v>
      </c>
    </row>
    <row r="4177" spans="1:7" x14ac:dyDescent="0.3">
      <c r="A4177" t="s">
        <v>2038</v>
      </c>
      <c r="B4177" t="s">
        <v>671</v>
      </c>
      <c r="C4177" t="s">
        <v>672</v>
      </c>
      <c r="D4177" s="7">
        <v>5</v>
      </c>
      <c r="E4177">
        <v>2020</v>
      </c>
      <c r="F4177">
        <v>2020</v>
      </c>
      <c r="G4177" t="str">
        <f>IFERROR(INDEX(Formulations[Formulation],MATCH($C4177,Formulations[Product Code],0)),"")</f>
        <v>Pure</v>
      </c>
    </row>
    <row r="4178" spans="1:7" x14ac:dyDescent="0.3">
      <c r="A4178" t="s">
        <v>2038</v>
      </c>
      <c r="B4178" t="s">
        <v>674</v>
      </c>
      <c r="C4178" t="s">
        <v>675</v>
      </c>
      <c r="D4178" s="7">
        <v>5</v>
      </c>
      <c r="E4178">
        <v>2020</v>
      </c>
      <c r="F4178">
        <v>2020</v>
      </c>
      <c r="G4178" t="str">
        <f>IFERROR(INDEX(Formulations[Formulation],MATCH($C4178,Formulations[Product Code],0)),"")</f>
        <v>Crystal</v>
      </c>
    </row>
    <row r="4179" spans="1:7" x14ac:dyDescent="0.3">
      <c r="A4179" t="s">
        <v>2039</v>
      </c>
      <c r="B4179" t="s">
        <v>584</v>
      </c>
      <c r="C4179" t="s">
        <v>413</v>
      </c>
      <c r="D4179" s="7">
        <v>5</v>
      </c>
      <c r="E4179">
        <v>2018</v>
      </c>
      <c r="F4179">
        <v>2018</v>
      </c>
      <c r="G4179" t="str">
        <f>IFERROR(INDEX(Formulations[Formulation],MATCH($C4179,Formulations[Product Code],0)),"")</f>
        <v>40% oil &amp; 60 % DPG</v>
      </c>
    </row>
    <row r="4180" spans="1:7" x14ac:dyDescent="0.3">
      <c r="A4180" t="s">
        <v>2039</v>
      </c>
      <c r="B4180" t="s">
        <v>320</v>
      </c>
      <c r="C4180" t="s">
        <v>414</v>
      </c>
      <c r="D4180" s="7">
        <v>5</v>
      </c>
      <c r="E4180">
        <v>2018</v>
      </c>
      <c r="F4180">
        <v>2018</v>
      </c>
      <c r="G4180" t="str">
        <f>IFERROR(INDEX(Formulations[Formulation],MATCH($C4180,Formulations[Product Code],0)),"")</f>
        <v/>
      </c>
    </row>
    <row r="4181" spans="1:7" x14ac:dyDescent="0.3">
      <c r="A4181" t="s">
        <v>2043</v>
      </c>
      <c r="B4181" t="s">
        <v>2047</v>
      </c>
      <c r="D4181" s="7">
        <v>5</v>
      </c>
      <c r="E4181">
        <v>2016</v>
      </c>
      <c r="F4181">
        <v>2016</v>
      </c>
      <c r="G4181" t="str">
        <f>IFERROR(INDEX(Formulations[Formulation],MATCH($C4181,Formulations[Product Code],0)),"")</f>
        <v/>
      </c>
    </row>
    <row r="4182" spans="1:7" x14ac:dyDescent="0.3">
      <c r="A4182" t="s">
        <v>2048</v>
      </c>
      <c r="B4182" t="s">
        <v>37</v>
      </c>
      <c r="D4182" s="7">
        <v>5</v>
      </c>
      <c r="E4182">
        <v>2019</v>
      </c>
      <c r="F4182">
        <v>2019</v>
      </c>
      <c r="G4182" t="str">
        <f>IFERROR(INDEX(Formulations[Formulation],MATCH($C4182,Formulations[Product Code],0)),"")</f>
        <v/>
      </c>
    </row>
    <row r="4183" spans="1:7" x14ac:dyDescent="0.3">
      <c r="A4183" t="s">
        <v>2052</v>
      </c>
      <c r="B4183" t="s">
        <v>2053</v>
      </c>
      <c r="C4183" t="s">
        <v>394</v>
      </c>
      <c r="D4183" s="7">
        <v>5</v>
      </c>
      <c r="E4183">
        <v>2019</v>
      </c>
      <c r="F4183">
        <v>2019</v>
      </c>
      <c r="G4183" t="str">
        <f>IFERROR(INDEX(Formulations[Formulation],MATCH($C4183,Formulations[Product Code],0)),"")</f>
        <v>Pure</v>
      </c>
    </row>
    <row r="4184" spans="1:7" x14ac:dyDescent="0.3">
      <c r="A4184" t="s">
        <v>2052</v>
      </c>
      <c r="B4184" t="s">
        <v>543</v>
      </c>
      <c r="C4184" t="s">
        <v>544</v>
      </c>
      <c r="D4184" s="7">
        <v>5</v>
      </c>
      <c r="E4184">
        <v>2019</v>
      </c>
      <c r="F4184">
        <v>2019</v>
      </c>
      <c r="G4184" t="str">
        <f>IFERROR(INDEX(Formulations[Formulation],MATCH($C4184,Formulations[Product Code],0)),"")</f>
        <v>Crystal</v>
      </c>
    </row>
    <row r="4185" spans="1:7" x14ac:dyDescent="0.3">
      <c r="A4185" t="s">
        <v>2055</v>
      </c>
      <c r="B4185" t="s">
        <v>72</v>
      </c>
      <c r="C4185" t="s">
        <v>319</v>
      </c>
      <c r="D4185" s="7">
        <v>5</v>
      </c>
      <c r="E4185">
        <v>2021</v>
      </c>
      <c r="F4185">
        <v>2021</v>
      </c>
      <c r="G4185" t="str">
        <f>IFERROR(INDEX(Formulations[Formulation],MATCH($C4185,Formulations[Product Code],0)),"")</f>
        <v>Pure</v>
      </c>
    </row>
    <row r="4186" spans="1:7" x14ac:dyDescent="0.3">
      <c r="A4186" t="s">
        <v>2057</v>
      </c>
      <c r="B4186" t="s">
        <v>624</v>
      </c>
      <c r="C4186" t="s">
        <v>625</v>
      </c>
      <c r="D4186" s="7">
        <v>5</v>
      </c>
      <c r="E4186">
        <v>2021</v>
      </c>
      <c r="F4186">
        <v>2021</v>
      </c>
      <c r="G4186" t="str">
        <f>IFERROR(INDEX(Formulations[Formulation],MATCH($C4186,Formulations[Product Code],0)),"")</f>
        <v>Crystal</v>
      </c>
    </row>
    <row r="4187" spans="1:7" x14ac:dyDescent="0.3">
      <c r="A4187" t="s">
        <v>2057</v>
      </c>
      <c r="B4187" t="s">
        <v>719</v>
      </c>
      <c r="C4187" t="s">
        <v>925</v>
      </c>
      <c r="D4187" s="7">
        <v>5</v>
      </c>
      <c r="E4187">
        <v>2019</v>
      </c>
      <c r="F4187">
        <v>2019</v>
      </c>
      <c r="G4187" t="str">
        <f>IFERROR(INDEX(Formulations[Formulation],MATCH($C4187,Formulations[Product Code],0)),"")</f>
        <v/>
      </c>
    </row>
    <row r="4188" spans="1:7" x14ac:dyDescent="0.3">
      <c r="A4188" t="s">
        <v>2057</v>
      </c>
      <c r="B4188" t="s">
        <v>2058</v>
      </c>
      <c r="C4188" t="s">
        <v>27</v>
      </c>
      <c r="D4188" s="7">
        <v>5</v>
      </c>
      <c r="E4188">
        <v>2021</v>
      </c>
      <c r="F4188">
        <v>2021</v>
      </c>
      <c r="G4188" t="str">
        <f>IFERROR(INDEX(Formulations[Formulation],MATCH($C4188,Formulations[Product Code],0)),"")</f>
        <v>FLOURAMAX A270578/ P782894</v>
      </c>
    </row>
    <row r="4189" spans="1:7" x14ac:dyDescent="0.3">
      <c r="A4189" t="s">
        <v>2057</v>
      </c>
      <c r="B4189" t="s">
        <v>533</v>
      </c>
      <c r="C4189" t="s">
        <v>534</v>
      </c>
      <c r="D4189" s="7">
        <v>5</v>
      </c>
      <c r="E4189">
        <v>2021</v>
      </c>
      <c r="F4189">
        <v>2021</v>
      </c>
      <c r="G4189" t="str">
        <f>IFERROR(INDEX(Formulations[Formulation],MATCH($C4189,Formulations[Product Code],0)),"")</f>
        <v>Pure</v>
      </c>
    </row>
    <row r="4190" spans="1:7" x14ac:dyDescent="0.3">
      <c r="A4190" t="s">
        <v>2057</v>
      </c>
      <c r="B4190" t="s">
        <v>549</v>
      </c>
      <c r="D4190" s="7">
        <v>5</v>
      </c>
      <c r="E4190">
        <v>2021</v>
      </c>
      <c r="F4190">
        <v>2021</v>
      </c>
      <c r="G4190" t="str">
        <f>IFERROR(INDEX(Formulations[Formulation],MATCH($C4190,Formulations[Product Code],0)),"")</f>
        <v/>
      </c>
    </row>
    <row r="4191" spans="1:7" x14ac:dyDescent="0.3">
      <c r="A4191" t="s">
        <v>2057</v>
      </c>
      <c r="B4191" t="s">
        <v>26</v>
      </c>
      <c r="C4191" t="s">
        <v>27</v>
      </c>
      <c r="D4191" s="7">
        <v>5</v>
      </c>
      <c r="E4191">
        <v>2020</v>
      </c>
      <c r="F4191">
        <v>2020</v>
      </c>
      <c r="G4191" t="str">
        <f>IFERROR(INDEX(Formulations[Formulation],MATCH($C4191,Formulations[Product Code],0)),"")</f>
        <v>FLOURAMAX A270578/ P782894</v>
      </c>
    </row>
    <row r="4192" spans="1:7" x14ac:dyDescent="0.3">
      <c r="A4192" t="s">
        <v>2057</v>
      </c>
      <c r="B4192" t="s">
        <v>643</v>
      </c>
      <c r="C4192" t="s">
        <v>644</v>
      </c>
      <c r="D4192" s="7">
        <v>5</v>
      </c>
      <c r="E4192">
        <v>2021</v>
      </c>
      <c r="F4192">
        <v>2021</v>
      </c>
      <c r="G4192" t="str">
        <f>IFERROR(INDEX(Formulations[Formulation],MATCH($C4192,Formulations[Product Code],0)),"")</f>
        <v>Crystal</v>
      </c>
    </row>
    <row r="4193" spans="1:7" x14ac:dyDescent="0.3">
      <c r="A4193" t="s">
        <v>2057</v>
      </c>
      <c r="B4193" t="s">
        <v>1853</v>
      </c>
      <c r="C4193" t="s">
        <v>1854</v>
      </c>
      <c r="D4193" s="7">
        <v>5</v>
      </c>
      <c r="E4193">
        <v>2021</v>
      </c>
      <c r="F4193">
        <v>2021</v>
      </c>
      <c r="G4193" t="str">
        <f>IFERROR(INDEX(Formulations[Formulation],MATCH($C4193,Formulations[Product Code],0)),"")</f>
        <v>30% Key Oil</v>
      </c>
    </row>
    <row r="4194" spans="1:7" x14ac:dyDescent="0.3">
      <c r="A4194" t="s">
        <v>2057</v>
      </c>
      <c r="B4194" t="s">
        <v>187</v>
      </c>
      <c r="C4194" t="s">
        <v>188</v>
      </c>
      <c r="D4194" s="7">
        <v>5</v>
      </c>
      <c r="E4194">
        <v>2020</v>
      </c>
      <c r="F4194">
        <v>2020</v>
      </c>
      <c r="G4194" t="str">
        <f>IFERROR(INDEX(Formulations[Formulation],MATCH($C4194,Formulations[Product Code],0)),"")</f>
        <v>Crystal</v>
      </c>
    </row>
    <row r="4195" spans="1:7" x14ac:dyDescent="0.3">
      <c r="A4195" t="s">
        <v>2057</v>
      </c>
      <c r="B4195" t="s">
        <v>373</v>
      </c>
      <c r="C4195" t="s">
        <v>331</v>
      </c>
      <c r="D4195" s="7">
        <v>5</v>
      </c>
      <c r="E4195">
        <v>2021</v>
      </c>
      <c r="F4195">
        <v>2021</v>
      </c>
      <c r="G4195" t="str">
        <f>IFERROR(INDEX(Formulations[Formulation],MATCH($C4195,Formulations[Product Code],0)),"")</f>
        <v>35% oil</v>
      </c>
    </row>
    <row r="4196" spans="1:7" x14ac:dyDescent="0.3">
      <c r="A4196" t="s">
        <v>2066</v>
      </c>
      <c r="B4196" t="s">
        <v>1136</v>
      </c>
      <c r="C4196" t="s">
        <v>1137</v>
      </c>
      <c r="D4196" s="7">
        <v>5</v>
      </c>
      <c r="E4196">
        <v>2020</v>
      </c>
      <c r="F4196">
        <v>2020</v>
      </c>
      <c r="G4196" t="str">
        <f>IFERROR(INDEX(Formulations[Formulation],MATCH($C4196,Formulations[Product Code],0)),"")</f>
        <v/>
      </c>
    </row>
    <row r="4197" spans="1:7" x14ac:dyDescent="0.3">
      <c r="A4197" t="s">
        <v>2066</v>
      </c>
      <c r="B4197" t="s">
        <v>709</v>
      </c>
      <c r="C4197" t="s">
        <v>710</v>
      </c>
      <c r="D4197" s="7">
        <v>5</v>
      </c>
      <c r="E4197">
        <v>2021</v>
      </c>
      <c r="F4197">
        <v>2021</v>
      </c>
      <c r="G4197" t="str">
        <f>IFERROR(INDEX(Formulations[Formulation],MATCH($C4197,Formulations[Product Code],0)),"")</f>
        <v>Pure</v>
      </c>
    </row>
    <row r="4198" spans="1:7" x14ac:dyDescent="0.3">
      <c r="A4198" t="s">
        <v>2066</v>
      </c>
      <c r="B4198" t="s">
        <v>151</v>
      </c>
      <c r="C4198" t="s">
        <v>152</v>
      </c>
      <c r="D4198" s="7">
        <v>5</v>
      </c>
      <c r="E4198">
        <v>2020</v>
      </c>
      <c r="F4198">
        <v>2020</v>
      </c>
      <c r="G4198" t="str">
        <f>IFERROR(INDEX(Formulations[Formulation],MATCH($C4198,Formulations[Product Code],0)),"")</f>
        <v>Crystal</v>
      </c>
    </row>
    <row r="4199" spans="1:7" x14ac:dyDescent="0.3">
      <c r="A4199" t="s">
        <v>2066</v>
      </c>
      <c r="B4199" t="s">
        <v>522</v>
      </c>
      <c r="D4199" s="7">
        <v>5</v>
      </c>
      <c r="E4199">
        <v>2020</v>
      </c>
      <c r="F4199">
        <v>2020</v>
      </c>
      <c r="G4199" t="str">
        <f>IFERROR(INDEX(Formulations[Formulation],MATCH($C4199,Formulations[Product Code],0)),"")</f>
        <v/>
      </c>
    </row>
    <row r="4200" spans="1:7" x14ac:dyDescent="0.3">
      <c r="A4200" t="s">
        <v>2069</v>
      </c>
      <c r="B4200" t="s">
        <v>718</v>
      </c>
      <c r="C4200" t="s">
        <v>582</v>
      </c>
      <c r="D4200" s="7">
        <v>5</v>
      </c>
      <c r="E4200">
        <v>2019</v>
      </c>
      <c r="F4200">
        <v>2019</v>
      </c>
      <c r="G4200" t="str">
        <f>IFERROR(INDEX(Formulations[Formulation],MATCH($C4200,Formulations[Product Code],0)),"")</f>
        <v/>
      </c>
    </row>
    <row r="4201" spans="1:7" x14ac:dyDescent="0.3">
      <c r="A4201" t="s">
        <v>2079</v>
      </c>
      <c r="B4201" t="s">
        <v>1472</v>
      </c>
      <c r="C4201" t="s">
        <v>394</v>
      </c>
      <c r="D4201" s="7">
        <v>5</v>
      </c>
      <c r="E4201">
        <v>2012</v>
      </c>
      <c r="F4201">
        <v>2012</v>
      </c>
      <c r="G4201" t="str">
        <f>IFERROR(INDEX(Formulations[Formulation],MATCH($C4201,Formulations[Product Code],0)),"")</f>
        <v>Pure</v>
      </c>
    </row>
    <row r="4202" spans="1:7" x14ac:dyDescent="0.3">
      <c r="A4202" t="s">
        <v>2079</v>
      </c>
      <c r="B4202" t="s">
        <v>135</v>
      </c>
      <c r="C4202" t="s">
        <v>136</v>
      </c>
      <c r="D4202" s="7">
        <v>5</v>
      </c>
      <c r="E4202">
        <v>2012</v>
      </c>
      <c r="F4202">
        <v>2012</v>
      </c>
      <c r="G4202" t="str">
        <f>IFERROR(INDEX(Formulations[Formulation],MATCH($C4202,Formulations[Product Code],0)),"")</f>
        <v/>
      </c>
    </row>
    <row r="4203" spans="1:7" x14ac:dyDescent="0.3">
      <c r="A4203" t="s">
        <v>2079</v>
      </c>
      <c r="B4203" t="s">
        <v>857</v>
      </c>
      <c r="C4203" t="s">
        <v>858</v>
      </c>
      <c r="D4203" s="7">
        <v>5</v>
      </c>
      <c r="E4203">
        <v>2012</v>
      </c>
      <c r="F4203">
        <v>2012</v>
      </c>
      <c r="G4203" t="str">
        <f>IFERROR(INDEX(Formulations[Formulation],MATCH($C4203,Formulations[Product Code],0)),"")</f>
        <v/>
      </c>
    </row>
    <row r="4204" spans="1:7" x14ac:dyDescent="0.3">
      <c r="A4204" t="s">
        <v>2079</v>
      </c>
      <c r="B4204" t="s">
        <v>2086</v>
      </c>
      <c r="C4204" t="s">
        <v>2087</v>
      </c>
      <c r="D4204" s="7">
        <v>5</v>
      </c>
      <c r="E4204">
        <v>2012</v>
      </c>
      <c r="F4204">
        <v>2012</v>
      </c>
      <c r="G4204" t="str">
        <f>IFERROR(INDEX(Formulations[Formulation],MATCH($C4204,Formulations[Product Code],0)),"")</f>
        <v/>
      </c>
    </row>
    <row r="4205" spans="1:7" x14ac:dyDescent="0.3">
      <c r="A4205" t="s">
        <v>2088</v>
      </c>
      <c r="B4205" t="s">
        <v>39</v>
      </c>
      <c r="D4205" s="7">
        <v>5</v>
      </c>
      <c r="E4205">
        <v>2017</v>
      </c>
      <c r="F4205">
        <v>2017</v>
      </c>
      <c r="G4205" t="str">
        <f>IFERROR(INDEX(Formulations[Formulation],MATCH($C4205,Formulations[Product Code],0)),"")</f>
        <v/>
      </c>
    </row>
    <row r="4206" spans="1:7" x14ac:dyDescent="0.3">
      <c r="A4206" t="s">
        <v>2090</v>
      </c>
      <c r="B4206" t="s">
        <v>532</v>
      </c>
      <c r="C4206" t="s">
        <v>452</v>
      </c>
      <c r="D4206" s="7">
        <v>5</v>
      </c>
      <c r="E4206">
        <v>2021</v>
      </c>
      <c r="F4206">
        <v>2021</v>
      </c>
      <c r="G4206" t="str">
        <f>IFERROR(INDEX(Formulations[Formulation],MATCH($C4206,Formulations[Product Code],0)),"")</f>
        <v>Crystal</v>
      </c>
    </row>
    <row r="4207" spans="1:7" x14ac:dyDescent="0.3">
      <c r="A4207" t="s">
        <v>2090</v>
      </c>
      <c r="B4207" t="s">
        <v>46</v>
      </c>
      <c r="D4207" s="7">
        <v>5</v>
      </c>
      <c r="E4207">
        <v>2021</v>
      </c>
      <c r="F4207">
        <v>2021</v>
      </c>
      <c r="G4207" t="str">
        <f>IFERROR(INDEX(Formulations[Formulation],MATCH($C4207,Formulations[Product Code],0)),"")</f>
        <v/>
      </c>
    </row>
    <row r="4208" spans="1:7" x14ac:dyDescent="0.3">
      <c r="A4208" t="s">
        <v>2097</v>
      </c>
      <c r="B4208" t="s">
        <v>1800</v>
      </c>
      <c r="C4208" t="s">
        <v>1796</v>
      </c>
      <c r="D4208" s="7">
        <v>5</v>
      </c>
      <c r="E4208">
        <v>2016</v>
      </c>
      <c r="F4208">
        <v>2016</v>
      </c>
      <c r="G4208" t="str">
        <f>IFERROR(INDEX(Formulations[Formulation],MATCH($C4208,Formulations[Product Code],0)),"")</f>
        <v/>
      </c>
    </row>
    <row r="4209" spans="1:7" x14ac:dyDescent="0.3">
      <c r="A4209" t="s">
        <v>2097</v>
      </c>
      <c r="B4209" t="s">
        <v>1128</v>
      </c>
      <c r="C4209" t="s">
        <v>1129</v>
      </c>
      <c r="D4209" s="7">
        <v>5</v>
      </c>
      <c r="E4209">
        <v>2020</v>
      </c>
      <c r="F4209">
        <v>2020</v>
      </c>
      <c r="G4209" t="str">
        <f>IFERROR(INDEX(Formulations[Formulation],MATCH($C4209,Formulations[Product Code],0)),"")</f>
        <v>Silver</v>
      </c>
    </row>
    <row r="4210" spans="1:7" x14ac:dyDescent="0.3">
      <c r="A4210" t="s">
        <v>2113</v>
      </c>
      <c r="B4210" t="s">
        <v>99</v>
      </c>
      <c r="C4210" t="s">
        <v>100</v>
      </c>
      <c r="D4210" s="7">
        <v>5</v>
      </c>
      <c r="E4210">
        <v>2015</v>
      </c>
      <c r="F4210">
        <v>2015</v>
      </c>
      <c r="G4210" t="str">
        <f>IFERROR(INDEX(Formulations[Formulation],MATCH($C4210,Formulations[Product Code],0)),"")</f>
        <v>Crystal</v>
      </c>
    </row>
    <row r="4211" spans="1:7" x14ac:dyDescent="0.3">
      <c r="A4211" t="s">
        <v>2120</v>
      </c>
      <c r="B4211" t="s">
        <v>137</v>
      </c>
      <c r="C4211" t="s">
        <v>138</v>
      </c>
      <c r="D4211" s="7">
        <v>5</v>
      </c>
      <c r="E4211">
        <v>2018</v>
      </c>
      <c r="F4211">
        <v>2018</v>
      </c>
      <c r="G4211" t="str">
        <f>IFERROR(INDEX(Formulations[Formulation],MATCH($C4211,Formulations[Product Code],0)),"")</f>
        <v>WS</v>
      </c>
    </row>
    <row r="4212" spans="1:7" x14ac:dyDescent="0.3">
      <c r="A4212" t="s">
        <v>2123</v>
      </c>
      <c r="B4212" t="s">
        <v>620</v>
      </c>
      <c r="C4212" t="s">
        <v>621</v>
      </c>
      <c r="D4212" s="7">
        <v>5</v>
      </c>
      <c r="E4212">
        <v>2016</v>
      </c>
      <c r="F4212">
        <v>2016</v>
      </c>
      <c r="G4212" t="str">
        <f>IFERROR(INDEX(Formulations[Formulation],MATCH($C4212,Formulations[Product Code],0)),"")</f>
        <v/>
      </c>
    </row>
    <row r="4213" spans="1:7" x14ac:dyDescent="0.3">
      <c r="A4213" t="s">
        <v>2131</v>
      </c>
      <c r="B4213" t="s">
        <v>830</v>
      </c>
      <c r="C4213" t="s">
        <v>831</v>
      </c>
      <c r="D4213" s="7">
        <v>5</v>
      </c>
      <c r="E4213">
        <v>2020</v>
      </c>
      <c r="F4213">
        <v>2020</v>
      </c>
      <c r="G4213" t="str">
        <f>IFERROR(INDEX(Formulations[Formulation],MATCH($C4213,Formulations[Product Code],0)),"")</f>
        <v>Crystal</v>
      </c>
    </row>
    <row r="4214" spans="1:7" x14ac:dyDescent="0.3">
      <c r="A4214" t="s">
        <v>2131</v>
      </c>
      <c r="B4214" t="s">
        <v>643</v>
      </c>
      <c r="C4214" t="s">
        <v>644</v>
      </c>
      <c r="D4214" s="7">
        <v>5</v>
      </c>
      <c r="E4214">
        <v>2020</v>
      </c>
      <c r="F4214">
        <v>2020</v>
      </c>
      <c r="G4214" t="str">
        <f>IFERROR(INDEX(Formulations[Formulation],MATCH($C4214,Formulations[Product Code],0)),"")</f>
        <v>Crystal</v>
      </c>
    </row>
    <row r="4215" spans="1:7" x14ac:dyDescent="0.3">
      <c r="A4215" t="s">
        <v>2131</v>
      </c>
      <c r="B4215" t="s">
        <v>2145</v>
      </c>
      <c r="C4215" t="s">
        <v>2146</v>
      </c>
      <c r="D4215" s="7">
        <v>5</v>
      </c>
      <c r="E4215">
        <v>2009</v>
      </c>
      <c r="F4215">
        <v>2009</v>
      </c>
      <c r="G4215" t="str">
        <f>IFERROR(INDEX(Formulations[Formulation],MATCH($C4215,Formulations[Product Code],0)),"")</f>
        <v/>
      </c>
    </row>
    <row r="4216" spans="1:7" x14ac:dyDescent="0.3">
      <c r="A4216" t="s">
        <v>2131</v>
      </c>
      <c r="B4216" t="s">
        <v>114</v>
      </c>
      <c r="C4216" t="s">
        <v>115</v>
      </c>
      <c r="D4216" s="7">
        <v>5</v>
      </c>
      <c r="E4216">
        <v>2020</v>
      </c>
      <c r="F4216">
        <v>2020</v>
      </c>
      <c r="G4216" t="str">
        <f>IFERROR(INDEX(Formulations[Formulation],MATCH($C4216,Formulations[Product Code],0)),"")</f>
        <v>Pure</v>
      </c>
    </row>
    <row r="4217" spans="1:7" x14ac:dyDescent="0.3">
      <c r="A4217" t="s">
        <v>2131</v>
      </c>
      <c r="B4217" t="s">
        <v>653</v>
      </c>
      <c r="C4217" t="s">
        <v>654</v>
      </c>
      <c r="D4217" s="7">
        <v>5</v>
      </c>
      <c r="E4217">
        <v>2020</v>
      </c>
      <c r="F4217">
        <v>2020</v>
      </c>
      <c r="G4217" t="str">
        <f>IFERROR(INDEX(Formulations[Formulation],MATCH($C4217,Formulations[Product Code],0)),"")</f>
        <v>Pure</v>
      </c>
    </row>
    <row r="4218" spans="1:7" x14ac:dyDescent="0.3">
      <c r="A4218" t="s">
        <v>2131</v>
      </c>
      <c r="B4218" t="s">
        <v>76</v>
      </c>
      <c r="C4218" t="s">
        <v>77</v>
      </c>
      <c r="D4218" s="7">
        <v>5</v>
      </c>
      <c r="E4218">
        <v>2020</v>
      </c>
      <c r="F4218">
        <v>2020</v>
      </c>
      <c r="G4218" t="str">
        <f>IFERROR(INDEX(Formulations[Formulation],MATCH($C4218,Formulations[Product Code],0)),"")</f>
        <v>Silver</v>
      </c>
    </row>
    <row r="4219" spans="1:7" x14ac:dyDescent="0.3">
      <c r="A4219" t="s">
        <v>2131</v>
      </c>
      <c r="B4219" t="s">
        <v>677</v>
      </c>
      <c r="C4219" t="s">
        <v>678</v>
      </c>
      <c r="D4219" s="7">
        <v>5</v>
      </c>
      <c r="E4219">
        <v>2020</v>
      </c>
      <c r="F4219">
        <v>2020</v>
      </c>
      <c r="G4219" t="str">
        <f>IFERROR(INDEX(Formulations[Formulation],MATCH($C4219,Formulations[Product Code],0)),"")</f>
        <v>Pure</v>
      </c>
    </row>
    <row r="4220" spans="1:7" x14ac:dyDescent="0.3">
      <c r="A4220" t="s">
        <v>2131</v>
      </c>
      <c r="B4220" t="s">
        <v>679</v>
      </c>
      <c r="C4220" t="s">
        <v>680</v>
      </c>
      <c r="D4220" s="7">
        <v>5</v>
      </c>
      <c r="E4220">
        <v>2020</v>
      </c>
      <c r="F4220">
        <v>2020</v>
      </c>
      <c r="G4220" t="str">
        <f>IFERROR(INDEX(Formulations[Formulation],MATCH($C4220,Formulations[Product Code],0)),"")</f>
        <v>Crystal</v>
      </c>
    </row>
    <row r="4221" spans="1:7" x14ac:dyDescent="0.3">
      <c r="A4221" t="s">
        <v>2131</v>
      </c>
      <c r="B4221" t="s">
        <v>155</v>
      </c>
      <c r="C4221" t="s">
        <v>156</v>
      </c>
      <c r="D4221" s="7">
        <v>5</v>
      </c>
      <c r="E4221">
        <v>2020</v>
      </c>
      <c r="F4221">
        <v>2020</v>
      </c>
      <c r="G4221" t="str">
        <f>IFERROR(INDEX(Formulations[Formulation],MATCH($C4221,Formulations[Product Code],0)),"")</f>
        <v>Pure</v>
      </c>
    </row>
    <row r="4222" spans="1:7" x14ac:dyDescent="0.3">
      <c r="A4222" t="s">
        <v>2160</v>
      </c>
      <c r="B4222" t="s">
        <v>864</v>
      </c>
      <c r="D4222" s="7">
        <v>5</v>
      </c>
      <c r="E4222">
        <v>2015</v>
      </c>
      <c r="F4222">
        <v>2015</v>
      </c>
      <c r="G4222" t="str">
        <f>IFERROR(INDEX(Formulations[Formulation],MATCH($C4222,Formulations[Product Code],0)),"")</f>
        <v/>
      </c>
    </row>
    <row r="4223" spans="1:7" x14ac:dyDescent="0.3">
      <c r="A4223" t="s">
        <v>2163</v>
      </c>
      <c r="B4223" t="s">
        <v>888</v>
      </c>
      <c r="C4223" t="s">
        <v>85</v>
      </c>
      <c r="D4223" s="7">
        <v>5</v>
      </c>
      <c r="E4223">
        <v>2012</v>
      </c>
      <c r="F4223">
        <v>2012</v>
      </c>
      <c r="G4223" t="str">
        <f>IFERROR(INDEX(Formulations[Formulation],MATCH($C4223,Formulations[Product Code],0)),"")</f>
        <v>Pure</v>
      </c>
    </row>
    <row r="4224" spans="1:7" x14ac:dyDescent="0.3">
      <c r="A4224" t="s">
        <v>2167</v>
      </c>
      <c r="B4224" t="s">
        <v>2168</v>
      </c>
      <c r="C4224" t="s">
        <v>1788</v>
      </c>
      <c r="D4224" s="7">
        <v>5</v>
      </c>
      <c r="E4224">
        <v>2013</v>
      </c>
      <c r="F4224">
        <v>2013</v>
      </c>
      <c r="G4224" t="str">
        <f>IFERROR(INDEX(Formulations[Formulation],MATCH($C4224,Formulations[Product Code],0)),"")</f>
        <v/>
      </c>
    </row>
    <row r="4225" spans="1:7" x14ac:dyDescent="0.3">
      <c r="A4225" t="s">
        <v>2173</v>
      </c>
      <c r="B4225" t="s">
        <v>586</v>
      </c>
      <c r="C4225" t="s">
        <v>587</v>
      </c>
      <c r="D4225" s="7">
        <v>5</v>
      </c>
      <c r="E4225">
        <v>2020</v>
      </c>
      <c r="F4225">
        <v>2020</v>
      </c>
      <c r="G4225" t="str">
        <f>IFERROR(INDEX(Formulations[Formulation],MATCH($C4225,Formulations[Product Code],0)),"")</f>
        <v>Pure</v>
      </c>
    </row>
    <row r="4226" spans="1:7" x14ac:dyDescent="0.3">
      <c r="A4226" t="s">
        <v>2173</v>
      </c>
      <c r="B4226" t="s">
        <v>589</v>
      </c>
      <c r="C4226" t="s">
        <v>590</v>
      </c>
      <c r="D4226" s="7">
        <v>5</v>
      </c>
      <c r="E4226">
        <v>2020</v>
      </c>
      <c r="F4226">
        <v>2020</v>
      </c>
      <c r="G4226" t="str">
        <f>IFERROR(INDEX(Formulations[Formulation],MATCH($C4226,Formulations[Product Code],0)),"")</f>
        <v>Bakhur : A285878- 90%, A243761-10%</v>
      </c>
    </row>
    <row r="4227" spans="1:7" x14ac:dyDescent="0.3">
      <c r="A4227" t="s">
        <v>2173</v>
      </c>
      <c r="B4227" t="s">
        <v>1410</v>
      </c>
      <c r="C4227" t="s">
        <v>1411</v>
      </c>
      <c r="D4227" s="7">
        <v>5</v>
      </c>
      <c r="E4227">
        <v>2020</v>
      </c>
      <c r="F4227">
        <v>2020</v>
      </c>
      <c r="G4227" t="str">
        <f>IFERROR(INDEX(Formulations[Formulation],MATCH($C4227,Formulations[Product Code],0)),"")</f>
        <v>Pure</v>
      </c>
    </row>
    <row r="4228" spans="1:7" x14ac:dyDescent="0.3">
      <c r="A4228" t="s">
        <v>2173</v>
      </c>
      <c r="B4228" t="s">
        <v>263</v>
      </c>
      <c r="C4228" t="s">
        <v>264</v>
      </c>
      <c r="D4228" s="7">
        <v>5</v>
      </c>
      <c r="E4228">
        <v>2020</v>
      </c>
      <c r="F4228">
        <v>2020</v>
      </c>
      <c r="G4228" t="str">
        <f>IFERROR(INDEX(Formulations[Formulation],MATCH($C4228,Formulations[Product Code],0)),"")</f>
        <v>Silver</v>
      </c>
    </row>
    <row r="4229" spans="1:7" x14ac:dyDescent="0.3">
      <c r="A4229" t="s">
        <v>2174</v>
      </c>
      <c r="B4229" t="s">
        <v>1425</v>
      </c>
      <c r="C4229" t="s">
        <v>212</v>
      </c>
      <c r="D4229" s="7">
        <v>5</v>
      </c>
      <c r="E4229">
        <v>2020</v>
      </c>
      <c r="F4229">
        <v>2020</v>
      </c>
      <c r="G4229" t="str">
        <f>IFERROR(INDEX(Formulations[Formulation],MATCH($C4229,Formulations[Product Code],0)),"")</f>
        <v>Pure</v>
      </c>
    </row>
    <row r="4230" spans="1:7" x14ac:dyDescent="0.3">
      <c r="A4230" t="s">
        <v>2174</v>
      </c>
      <c r="B4230" t="s">
        <v>841</v>
      </c>
      <c r="C4230" t="s">
        <v>169</v>
      </c>
      <c r="D4230" s="7">
        <v>5</v>
      </c>
      <c r="E4230">
        <v>2020</v>
      </c>
      <c r="F4230">
        <v>2020</v>
      </c>
      <c r="G4230" t="str">
        <f>IFERROR(INDEX(Formulations[Formulation],MATCH($C4230,Formulations[Product Code],0)),"")</f>
        <v>Silver</v>
      </c>
    </row>
    <row r="4231" spans="1:7" x14ac:dyDescent="0.3">
      <c r="A4231" t="s">
        <v>2176</v>
      </c>
      <c r="B4231" t="s">
        <v>55</v>
      </c>
      <c r="D4231" s="7">
        <v>5</v>
      </c>
      <c r="E4231">
        <v>2020</v>
      </c>
      <c r="F4231">
        <v>2021</v>
      </c>
      <c r="G4231" t="str">
        <f>IFERROR(INDEX(Formulations[Formulation],MATCH($C4231,Formulations[Product Code],0)),"")</f>
        <v/>
      </c>
    </row>
    <row r="4232" spans="1:7" x14ac:dyDescent="0.3">
      <c r="A4232" t="s">
        <v>2176</v>
      </c>
      <c r="B4232" t="s">
        <v>1410</v>
      </c>
      <c r="C4232" t="s">
        <v>1411</v>
      </c>
      <c r="D4232" s="7">
        <v>5</v>
      </c>
      <c r="E4232">
        <v>2020</v>
      </c>
      <c r="F4232">
        <v>2020</v>
      </c>
      <c r="G4232" t="str">
        <f>IFERROR(INDEX(Formulations[Formulation],MATCH($C4232,Formulations[Product Code],0)),"")</f>
        <v>Pure</v>
      </c>
    </row>
    <row r="4233" spans="1:7" x14ac:dyDescent="0.3">
      <c r="A4233" t="s">
        <v>2176</v>
      </c>
      <c r="B4233" t="s">
        <v>1419</v>
      </c>
      <c r="C4233" t="s">
        <v>1420</v>
      </c>
      <c r="D4233" s="7">
        <v>5</v>
      </c>
      <c r="E4233">
        <v>2020</v>
      </c>
      <c r="F4233">
        <v>2020</v>
      </c>
      <c r="G4233" t="str">
        <f>IFERROR(INDEX(Formulations[Formulation],MATCH($C4233,Formulations[Product Code],0)),"")</f>
        <v>Crystal</v>
      </c>
    </row>
    <row r="4234" spans="1:7" x14ac:dyDescent="0.3">
      <c r="A4234" t="s">
        <v>2176</v>
      </c>
      <c r="B4234" t="s">
        <v>151</v>
      </c>
      <c r="C4234" t="s">
        <v>152</v>
      </c>
      <c r="D4234" s="7">
        <v>5</v>
      </c>
      <c r="E4234">
        <v>2021</v>
      </c>
      <c r="F4234">
        <v>2021</v>
      </c>
      <c r="G4234" t="str">
        <f>IFERROR(INDEX(Formulations[Formulation],MATCH($C4234,Formulations[Product Code],0)),"")</f>
        <v>Crystal</v>
      </c>
    </row>
    <row r="4235" spans="1:7" x14ac:dyDescent="0.3">
      <c r="A4235" t="s">
        <v>2190</v>
      </c>
      <c r="B4235" t="s">
        <v>483</v>
      </c>
      <c r="C4235" t="s">
        <v>484</v>
      </c>
      <c r="D4235" s="7">
        <v>5</v>
      </c>
      <c r="E4235">
        <v>2020</v>
      </c>
      <c r="F4235">
        <v>2020</v>
      </c>
      <c r="G4235" t="str">
        <f>IFERROR(INDEX(Formulations[Formulation],MATCH($C4235,Formulations[Product Code],0)),"")</f>
        <v>Crystal</v>
      </c>
    </row>
    <row r="4236" spans="1:7" x14ac:dyDescent="0.3">
      <c r="A4236" t="s">
        <v>2191</v>
      </c>
      <c r="B4236" t="s">
        <v>864</v>
      </c>
      <c r="D4236" s="7">
        <v>5</v>
      </c>
      <c r="E4236">
        <v>2013</v>
      </c>
      <c r="F4236">
        <v>2013</v>
      </c>
      <c r="G4236" t="str">
        <f>IFERROR(INDEX(Formulations[Formulation],MATCH($C4236,Formulations[Product Code],0)),"")</f>
        <v/>
      </c>
    </row>
    <row r="4237" spans="1:7" x14ac:dyDescent="0.3">
      <c r="A4237" t="s">
        <v>2192</v>
      </c>
      <c r="B4237" t="s">
        <v>72</v>
      </c>
      <c r="C4237" t="s">
        <v>319</v>
      </c>
      <c r="D4237" s="7">
        <v>5</v>
      </c>
      <c r="E4237">
        <v>2021</v>
      </c>
      <c r="F4237">
        <v>2021</v>
      </c>
      <c r="G4237" t="str">
        <f>IFERROR(INDEX(Formulations[Formulation],MATCH($C4237,Formulations[Product Code],0)),"")</f>
        <v>Pure</v>
      </c>
    </row>
    <row r="4238" spans="1:7" x14ac:dyDescent="0.3">
      <c r="A4238" t="s">
        <v>2196</v>
      </c>
      <c r="B4238" t="s">
        <v>72</v>
      </c>
      <c r="C4238" t="s">
        <v>73</v>
      </c>
      <c r="D4238" s="7">
        <v>5</v>
      </c>
      <c r="E4238">
        <v>2013</v>
      </c>
      <c r="F4238">
        <v>2013</v>
      </c>
      <c r="G4238" t="str">
        <f>IFERROR(INDEX(Formulations[Formulation],MATCH($C4238,Formulations[Product Code],0)),"")</f>
        <v>Silver</v>
      </c>
    </row>
    <row r="4239" spans="1:7" x14ac:dyDescent="0.3">
      <c r="A4239" t="s">
        <v>2200</v>
      </c>
      <c r="B4239" t="s">
        <v>926</v>
      </c>
      <c r="C4239" t="s">
        <v>927</v>
      </c>
      <c r="D4239" s="7">
        <v>5</v>
      </c>
      <c r="E4239">
        <v>2016</v>
      </c>
      <c r="F4239">
        <v>2016</v>
      </c>
      <c r="G4239" t="str">
        <f>IFERROR(INDEX(Formulations[Formulation],MATCH($C4239,Formulations[Product Code],0)),"")</f>
        <v/>
      </c>
    </row>
    <row r="4240" spans="1:7" x14ac:dyDescent="0.3">
      <c r="A4240" t="s">
        <v>2200</v>
      </c>
      <c r="B4240" t="s">
        <v>2203</v>
      </c>
      <c r="C4240" t="s">
        <v>2204</v>
      </c>
      <c r="D4240" s="7">
        <v>5</v>
      </c>
      <c r="E4240">
        <v>2016</v>
      </c>
      <c r="F4240">
        <v>2016</v>
      </c>
      <c r="G4240" t="str">
        <f>IFERROR(INDEX(Formulations[Formulation],MATCH($C4240,Formulations[Product Code],0)),"")</f>
        <v/>
      </c>
    </row>
    <row r="4241" spans="1:7" x14ac:dyDescent="0.3">
      <c r="A4241" t="s">
        <v>2200</v>
      </c>
      <c r="B4241" t="s">
        <v>375</v>
      </c>
      <c r="C4241" t="s">
        <v>262</v>
      </c>
      <c r="D4241" s="7">
        <v>5</v>
      </c>
      <c r="E4241">
        <v>2016</v>
      </c>
      <c r="F4241">
        <v>2016</v>
      </c>
      <c r="G4241" t="str">
        <f>IFERROR(INDEX(Formulations[Formulation],MATCH($C4241,Formulations[Product Code],0)),"")</f>
        <v>Pure</v>
      </c>
    </row>
    <row r="4242" spans="1:7" x14ac:dyDescent="0.3">
      <c r="A4242" t="s">
        <v>2200</v>
      </c>
      <c r="B4242" t="s">
        <v>2205</v>
      </c>
      <c r="C4242" t="s">
        <v>903</v>
      </c>
      <c r="D4242" s="7">
        <v>5</v>
      </c>
      <c r="E4242">
        <v>2016</v>
      </c>
      <c r="F4242">
        <v>2016</v>
      </c>
      <c r="G4242" t="str">
        <f>IFERROR(INDEX(Formulations[Formulation],MATCH($C4242,Formulations[Product Code],0)),"")</f>
        <v/>
      </c>
    </row>
    <row r="4243" spans="1:7" x14ac:dyDescent="0.3">
      <c r="A4243" t="s">
        <v>2206</v>
      </c>
      <c r="B4243" t="s">
        <v>395</v>
      </c>
      <c r="D4243" s="7">
        <v>5</v>
      </c>
      <c r="E4243">
        <v>2017</v>
      </c>
      <c r="F4243">
        <v>2017</v>
      </c>
      <c r="G4243" t="str">
        <f>IFERROR(INDEX(Formulations[Formulation],MATCH($C4243,Formulations[Product Code],0)),"")</f>
        <v/>
      </c>
    </row>
    <row r="4244" spans="1:7" x14ac:dyDescent="0.3">
      <c r="A4244" t="s">
        <v>2220</v>
      </c>
      <c r="B4244" t="s">
        <v>82</v>
      </c>
      <c r="C4244" t="s">
        <v>83</v>
      </c>
      <c r="D4244" s="7">
        <v>5</v>
      </c>
      <c r="E4244">
        <v>2016</v>
      </c>
      <c r="F4244">
        <v>2016</v>
      </c>
      <c r="G4244" t="str">
        <f>IFERROR(INDEX(Formulations[Formulation],MATCH($C4244,Formulations[Product Code],0)),"")</f>
        <v>Pure</v>
      </c>
    </row>
    <row r="4245" spans="1:7" x14ac:dyDescent="0.3">
      <c r="A4245" t="s">
        <v>2220</v>
      </c>
      <c r="B4245" t="s">
        <v>153</v>
      </c>
      <c r="C4245" t="s">
        <v>154</v>
      </c>
      <c r="D4245" s="7">
        <v>5</v>
      </c>
      <c r="E4245">
        <v>2017</v>
      </c>
      <c r="F4245">
        <v>2017</v>
      </c>
      <c r="G4245" t="str">
        <f>IFERROR(INDEX(Formulations[Formulation],MATCH($C4245,Formulations[Product Code],0)),"")</f>
        <v>Pure</v>
      </c>
    </row>
    <row r="4246" spans="1:7" x14ac:dyDescent="0.3">
      <c r="A4246" t="s">
        <v>2228</v>
      </c>
      <c r="B4246" t="s">
        <v>540</v>
      </c>
      <c r="C4246" t="s">
        <v>541</v>
      </c>
      <c r="D4246" s="7">
        <v>5</v>
      </c>
      <c r="E4246">
        <v>2020</v>
      </c>
      <c r="F4246">
        <v>2020</v>
      </c>
      <c r="G4246" t="str">
        <f>IFERROR(INDEX(Formulations[Formulation],MATCH($C4246,Formulations[Product Code],0)),"")</f>
        <v>Pure</v>
      </c>
    </row>
    <row r="4247" spans="1:7" x14ac:dyDescent="0.3">
      <c r="A4247" t="s">
        <v>2228</v>
      </c>
      <c r="B4247" t="s">
        <v>839</v>
      </c>
      <c r="C4247" t="s">
        <v>138</v>
      </c>
      <c r="D4247" s="7">
        <v>5</v>
      </c>
      <c r="E4247">
        <v>2020</v>
      </c>
      <c r="F4247">
        <v>2020</v>
      </c>
      <c r="G4247" t="str">
        <f>IFERROR(INDEX(Formulations[Formulation],MATCH($C4247,Formulations[Product Code],0)),"")</f>
        <v>WS</v>
      </c>
    </row>
    <row r="4248" spans="1:7" x14ac:dyDescent="0.3">
      <c r="A4248" t="s">
        <v>2228</v>
      </c>
      <c r="B4248" t="s">
        <v>1369</v>
      </c>
      <c r="C4248" t="s">
        <v>1370</v>
      </c>
      <c r="D4248" s="7">
        <v>5</v>
      </c>
      <c r="E4248">
        <v>2020</v>
      </c>
      <c r="F4248">
        <v>2020</v>
      </c>
      <c r="G4248" t="str">
        <f>IFERROR(INDEX(Formulations[Formulation],MATCH($C4248,Formulations[Product Code],0)),"")</f>
        <v>Pure</v>
      </c>
    </row>
    <row r="4249" spans="1:7" x14ac:dyDescent="0.3">
      <c r="A4249" t="s">
        <v>2229</v>
      </c>
      <c r="B4249" t="s">
        <v>809</v>
      </c>
      <c r="C4249" t="s">
        <v>810</v>
      </c>
      <c r="D4249" s="7">
        <v>5</v>
      </c>
      <c r="E4249">
        <v>2015</v>
      </c>
      <c r="F4249">
        <v>2015</v>
      </c>
      <c r="G4249" t="str">
        <f>IFERROR(INDEX(Formulations[Formulation],MATCH($C4249,Formulations[Product Code],0)),"")</f>
        <v>Silver</v>
      </c>
    </row>
    <row r="4250" spans="1:7" x14ac:dyDescent="0.3">
      <c r="A4250" t="s">
        <v>2231</v>
      </c>
      <c r="B4250" t="s">
        <v>242</v>
      </c>
      <c r="D4250" s="7">
        <v>5</v>
      </c>
      <c r="E4250">
        <v>2021</v>
      </c>
      <c r="F4250">
        <v>2021</v>
      </c>
      <c r="G4250" t="str">
        <f>IFERROR(INDEX(Formulations[Formulation],MATCH($C4250,Formulations[Product Code],0)),"")</f>
        <v/>
      </c>
    </row>
    <row r="4251" spans="1:7" x14ac:dyDescent="0.3">
      <c r="A4251" t="s">
        <v>2232</v>
      </c>
      <c r="B4251" t="s">
        <v>242</v>
      </c>
      <c r="D4251" s="7">
        <v>5</v>
      </c>
      <c r="E4251">
        <v>2020</v>
      </c>
      <c r="F4251">
        <v>2020</v>
      </c>
      <c r="G4251" t="str">
        <f>IFERROR(INDEX(Formulations[Formulation],MATCH($C4251,Formulations[Product Code],0)),"")</f>
        <v/>
      </c>
    </row>
    <row r="4252" spans="1:7" x14ac:dyDescent="0.3">
      <c r="A4252" t="s">
        <v>2233</v>
      </c>
      <c r="B4252" t="s">
        <v>84</v>
      </c>
      <c r="C4252" t="s">
        <v>85</v>
      </c>
      <c r="D4252" s="7">
        <v>5</v>
      </c>
      <c r="E4252">
        <v>2017</v>
      </c>
      <c r="F4252">
        <v>2017</v>
      </c>
      <c r="G4252" t="str">
        <f>IFERROR(INDEX(Formulations[Formulation],MATCH($C4252,Formulations[Product Code],0)),"")</f>
        <v>Pure</v>
      </c>
    </row>
    <row r="4253" spans="1:7" x14ac:dyDescent="0.3">
      <c r="A4253" t="s">
        <v>2233</v>
      </c>
      <c r="B4253" t="s">
        <v>820</v>
      </c>
      <c r="C4253" t="s">
        <v>821</v>
      </c>
      <c r="D4253" s="7">
        <v>5</v>
      </c>
      <c r="E4253">
        <v>2021</v>
      </c>
      <c r="F4253">
        <v>2021</v>
      </c>
      <c r="G4253" t="str">
        <f>IFERROR(INDEX(Formulations[Formulation],MATCH($C4253,Formulations[Product Code],0)),"")</f>
        <v>Pure</v>
      </c>
    </row>
    <row r="4254" spans="1:7" x14ac:dyDescent="0.3">
      <c r="A4254" t="s">
        <v>2233</v>
      </c>
      <c r="B4254" t="s">
        <v>130</v>
      </c>
      <c r="C4254" t="s">
        <v>106</v>
      </c>
      <c r="D4254" s="7">
        <v>5</v>
      </c>
      <c r="E4254">
        <v>2017</v>
      </c>
      <c r="F4254">
        <v>2017</v>
      </c>
      <c r="G4254" t="str">
        <f>IFERROR(INDEX(Formulations[Formulation],MATCH($C4254,Formulations[Product Code],0)),"")</f>
        <v>Pure</v>
      </c>
    </row>
    <row r="4255" spans="1:7" x14ac:dyDescent="0.3">
      <c r="A4255" t="s">
        <v>2233</v>
      </c>
      <c r="B4255" t="s">
        <v>72</v>
      </c>
      <c r="C4255" t="s">
        <v>319</v>
      </c>
      <c r="D4255" s="7">
        <v>5</v>
      </c>
      <c r="E4255">
        <v>2021</v>
      </c>
      <c r="F4255">
        <v>2021</v>
      </c>
      <c r="G4255" t="str">
        <f>IFERROR(INDEX(Formulations[Formulation],MATCH($C4255,Formulations[Product Code],0)),"")</f>
        <v>Pure</v>
      </c>
    </row>
    <row r="4256" spans="1:7" x14ac:dyDescent="0.3">
      <c r="A4256" t="s">
        <v>2235</v>
      </c>
      <c r="B4256" t="s">
        <v>453</v>
      </c>
      <c r="D4256" s="7">
        <v>5</v>
      </c>
      <c r="E4256">
        <v>2018</v>
      </c>
      <c r="F4256">
        <v>2018</v>
      </c>
      <c r="G4256" t="str">
        <f>IFERROR(INDEX(Formulations[Formulation],MATCH($C4256,Formulations[Product Code],0)),"")</f>
        <v/>
      </c>
    </row>
    <row r="4257" spans="1:7" x14ac:dyDescent="0.3">
      <c r="A4257" t="s">
        <v>2235</v>
      </c>
      <c r="B4257" t="s">
        <v>461</v>
      </c>
      <c r="D4257" s="7">
        <v>5</v>
      </c>
      <c r="E4257">
        <v>2018</v>
      </c>
      <c r="F4257">
        <v>2018</v>
      </c>
      <c r="G4257" t="str">
        <f>IFERROR(INDEX(Formulations[Formulation],MATCH($C4257,Formulations[Product Code],0)),"")</f>
        <v/>
      </c>
    </row>
    <row r="4258" spans="1:7" x14ac:dyDescent="0.3">
      <c r="A4258" t="s">
        <v>2235</v>
      </c>
      <c r="B4258" t="s">
        <v>1120</v>
      </c>
      <c r="C4258" t="s">
        <v>1121</v>
      </c>
      <c r="D4258" s="7">
        <v>5</v>
      </c>
      <c r="E4258">
        <v>2018</v>
      </c>
      <c r="F4258">
        <v>2018</v>
      </c>
      <c r="G4258" t="str">
        <f>IFERROR(INDEX(Formulations[Formulation],MATCH($C4258,Formulations[Product Code],0)),"")</f>
        <v/>
      </c>
    </row>
    <row r="4259" spans="1:7" x14ac:dyDescent="0.3">
      <c r="A4259" t="s">
        <v>2235</v>
      </c>
      <c r="B4259" t="s">
        <v>187</v>
      </c>
      <c r="C4259" t="s">
        <v>188</v>
      </c>
      <c r="D4259" s="7">
        <v>5</v>
      </c>
      <c r="E4259">
        <v>2018</v>
      </c>
      <c r="F4259">
        <v>2018</v>
      </c>
      <c r="G4259" t="str">
        <f>IFERROR(INDEX(Formulations[Formulation],MATCH($C4259,Formulations[Product Code],0)),"")</f>
        <v>Crystal</v>
      </c>
    </row>
    <row r="4260" spans="1:7" x14ac:dyDescent="0.3">
      <c r="A4260" t="s">
        <v>2235</v>
      </c>
      <c r="B4260" t="s">
        <v>36</v>
      </c>
      <c r="D4260" s="7">
        <v>5</v>
      </c>
      <c r="E4260">
        <v>2018</v>
      </c>
      <c r="F4260">
        <v>2018</v>
      </c>
      <c r="G4260" t="str">
        <f>IFERROR(INDEX(Formulations[Formulation],MATCH($C4260,Formulations[Product Code],0)),"")</f>
        <v/>
      </c>
    </row>
    <row r="4261" spans="1:7" x14ac:dyDescent="0.3">
      <c r="A4261" t="s">
        <v>2235</v>
      </c>
      <c r="B4261" t="s">
        <v>37</v>
      </c>
      <c r="D4261" s="7">
        <v>5</v>
      </c>
      <c r="E4261">
        <v>2018</v>
      </c>
      <c r="F4261">
        <v>2018</v>
      </c>
      <c r="G4261" t="str">
        <f>IFERROR(INDEX(Formulations[Formulation],MATCH($C4261,Formulations[Product Code],0)),"")</f>
        <v/>
      </c>
    </row>
    <row r="4262" spans="1:7" x14ac:dyDescent="0.3">
      <c r="A4262" t="s">
        <v>2236</v>
      </c>
      <c r="B4262" t="s">
        <v>144</v>
      </c>
      <c r="C4262" t="s">
        <v>145</v>
      </c>
      <c r="D4262" s="7">
        <v>5</v>
      </c>
      <c r="E4262">
        <v>2017</v>
      </c>
      <c r="F4262">
        <v>2017</v>
      </c>
      <c r="G4262" t="str">
        <f>IFERROR(INDEX(Formulations[Formulation],MATCH($C4262,Formulations[Product Code],0)),"")</f>
        <v/>
      </c>
    </row>
    <row r="4263" spans="1:7" x14ac:dyDescent="0.3">
      <c r="A4263" t="s">
        <v>2252</v>
      </c>
      <c r="B4263" t="s">
        <v>46</v>
      </c>
      <c r="C4263" t="s">
        <v>47</v>
      </c>
      <c r="D4263" s="7">
        <v>5</v>
      </c>
      <c r="E4263">
        <v>2016</v>
      </c>
      <c r="F4263">
        <v>2016</v>
      </c>
      <c r="G4263" t="str">
        <f>IFERROR(INDEX(Formulations[Formulation],MATCH($C4263,Formulations[Product Code],0)),"")</f>
        <v/>
      </c>
    </row>
    <row r="4264" spans="1:7" x14ac:dyDescent="0.3">
      <c r="A4264" t="s">
        <v>2259</v>
      </c>
      <c r="B4264" t="s">
        <v>26</v>
      </c>
      <c r="C4264" t="s">
        <v>27</v>
      </c>
      <c r="D4264" s="7">
        <v>5</v>
      </c>
      <c r="E4264">
        <v>2019</v>
      </c>
      <c r="F4264">
        <v>2019</v>
      </c>
      <c r="G4264" t="str">
        <f>IFERROR(INDEX(Formulations[Formulation],MATCH($C4264,Formulations[Product Code],0)),"")</f>
        <v>FLOURAMAX A270578/ P782894</v>
      </c>
    </row>
    <row r="4265" spans="1:7" x14ac:dyDescent="0.3">
      <c r="A4265" t="s">
        <v>2262</v>
      </c>
      <c r="B4265" t="s">
        <v>86</v>
      </c>
      <c r="C4265" t="s">
        <v>87</v>
      </c>
      <c r="D4265" s="7">
        <v>5</v>
      </c>
      <c r="E4265">
        <v>2019</v>
      </c>
      <c r="F4265">
        <v>2019</v>
      </c>
      <c r="G4265" t="str">
        <f>IFERROR(INDEX(Formulations[Formulation],MATCH($C4265,Formulations[Product Code],0)),"")</f>
        <v>Pure</v>
      </c>
    </row>
    <row r="4266" spans="1:7" x14ac:dyDescent="0.3">
      <c r="A4266" t="s">
        <v>2262</v>
      </c>
      <c r="B4266" t="s">
        <v>263</v>
      </c>
      <c r="C4266" t="s">
        <v>264</v>
      </c>
      <c r="D4266" s="7">
        <v>5</v>
      </c>
      <c r="E4266">
        <v>2019</v>
      </c>
      <c r="F4266">
        <v>2019</v>
      </c>
      <c r="G4266" t="str">
        <f>IFERROR(INDEX(Formulations[Formulation],MATCH($C4266,Formulations[Product Code],0)),"")</f>
        <v>Silver</v>
      </c>
    </row>
    <row r="4267" spans="1:7" x14ac:dyDescent="0.3">
      <c r="A4267" t="s">
        <v>2262</v>
      </c>
      <c r="B4267" t="s">
        <v>383</v>
      </c>
      <c r="C4267" t="s">
        <v>384</v>
      </c>
      <c r="D4267" s="7">
        <v>5</v>
      </c>
      <c r="E4267">
        <v>2020</v>
      </c>
      <c r="F4267">
        <v>2020</v>
      </c>
      <c r="G4267" t="str">
        <f>IFERROR(INDEX(Formulations[Formulation],MATCH($C4267,Formulations[Product Code],0)),"")</f>
        <v>Pure</v>
      </c>
    </row>
    <row r="4268" spans="1:7" x14ac:dyDescent="0.3">
      <c r="A4268" t="s">
        <v>2264</v>
      </c>
      <c r="B4268" t="s">
        <v>55</v>
      </c>
      <c r="D4268" s="7">
        <v>5</v>
      </c>
      <c r="E4268">
        <v>2021</v>
      </c>
      <c r="F4268">
        <v>2021</v>
      </c>
      <c r="G4268" t="str">
        <f>IFERROR(INDEX(Formulations[Formulation],MATCH($C4268,Formulations[Product Code],0)),"")</f>
        <v/>
      </c>
    </row>
    <row r="4269" spans="1:7" x14ac:dyDescent="0.3">
      <c r="A4269" t="s">
        <v>2264</v>
      </c>
      <c r="B4269" t="s">
        <v>255</v>
      </c>
      <c r="C4269" t="s">
        <v>256</v>
      </c>
      <c r="D4269" s="7">
        <v>5</v>
      </c>
      <c r="E4269">
        <v>2020</v>
      </c>
      <c r="F4269">
        <v>2020</v>
      </c>
      <c r="G4269" t="str">
        <f>IFERROR(INDEX(Formulations[Formulation],MATCH($C4269,Formulations[Product Code],0)),"")</f>
        <v/>
      </c>
    </row>
    <row r="4270" spans="1:7" x14ac:dyDescent="0.3">
      <c r="A4270" t="s">
        <v>2264</v>
      </c>
      <c r="B4270" t="s">
        <v>103</v>
      </c>
      <c r="C4270" t="s">
        <v>104</v>
      </c>
      <c r="D4270" s="7">
        <v>5</v>
      </c>
      <c r="E4270">
        <v>2019</v>
      </c>
      <c r="F4270">
        <v>2019</v>
      </c>
      <c r="G4270" t="str">
        <f>IFERROR(INDEX(Formulations[Formulation],MATCH($C4270,Formulations[Product Code],0)),"")</f>
        <v>Pure</v>
      </c>
    </row>
    <row r="4271" spans="1:7" x14ac:dyDescent="0.3">
      <c r="A4271" t="s">
        <v>2264</v>
      </c>
      <c r="B4271" t="s">
        <v>542</v>
      </c>
      <c r="C4271" t="s">
        <v>160</v>
      </c>
      <c r="D4271" s="7">
        <v>5</v>
      </c>
      <c r="E4271">
        <v>2021</v>
      </c>
      <c r="F4271">
        <v>2021</v>
      </c>
      <c r="G4271" t="str">
        <f>IFERROR(INDEX(Formulations[Formulation],MATCH($C4271,Formulations[Product Code],0)),"")</f>
        <v>Silver</v>
      </c>
    </row>
    <row r="4272" spans="1:7" x14ac:dyDescent="0.3">
      <c r="A4272" t="s">
        <v>2264</v>
      </c>
      <c r="B4272" t="s">
        <v>64</v>
      </c>
      <c r="C4272" t="s">
        <v>65</v>
      </c>
      <c r="D4272" s="7">
        <v>5</v>
      </c>
      <c r="E4272">
        <v>2019</v>
      </c>
      <c r="F4272">
        <v>2019</v>
      </c>
      <c r="G4272" t="str">
        <f>IFERROR(INDEX(Formulations[Formulation],MATCH($C4272,Formulations[Product Code],0)),"")</f>
        <v>Crystal</v>
      </c>
    </row>
    <row r="4273" spans="1:7" x14ac:dyDescent="0.3">
      <c r="A4273" t="s">
        <v>2264</v>
      </c>
      <c r="B4273" t="s">
        <v>127</v>
      </c>
      <c r="D4273" s="7">
        <v>5</v>
      </c>
      <c r="E4273">
        <v>2019</v>
      </c>
      <c r="F4273">
        <v>2019</v>
      </c>
      <c r="G4273" t="str">
        <f>IFERROR(INDEX(Formulations[Formulation],MATCH($C4273,Formulations[Product Code],0)),"")</f>
        <v/>
      </c>
    </row>
    <row r="4274" spans="1:7" x14ac:dyDescent="0.3">
      <c r="A4274" t="s">
        <v>2264</v>
      </c>
      <c r="B4274" t="s">
        <v>1404</v>
      </c>
      <c r="D4274" s="7">
        <v>5</v>
      </c>
      <c r="E4274">
        <v>2021</v>
      </c>
      <c r="F4274">
        <v>2021</v>
      </c>
      <c r="G4274" t="str">
        <f>IFERROR(INDEX(Formulations[Formulation],MATCH($C4274,Formulations[Product Code],0)),"")</f>
        <v/>
      </c>
    </row>
    <row r="4275" spans="1:7" x14ac:dyDescent="0.3">
      <c r="A4275" t="s">
        <v>2264</v>
      </c>
      <c r="B4275" t="s">
        <v>68</v>
      </c>
      <c r="C4275" t="s">
        <v>69</v>
      </c>
      <c r="D4275" s="7">
        <v>5</v>
      </c>
      <c r="E4275">
        <v>2021</v>
      </c>
      <c r="F4275">
        <v>2021</v>
      </c>
      <c r="G4275" t="str">
        <f>IFERROR(INDEX(Formulations[Formulation],MATCH($C4275,Formulations[Product Code],0)),"")</f>
        <v>Silver</v>
      </c>
    </row>
    <row r="4276" spans="1:7" x14ac:dyDescent="0.3">
      <c r="A4276" t="s">
        <v>2264</v>
      </c>
      <c r="B4276" t="s">
        <v>189</v>
      </c>
      <c r="D4276" s="7">
        <v>5</v>
      </c>
      <c r="E4276">
        <v>2019</v>
      </c>
      <c r="F4276">
        <v>2021</v>
      </c>
      <c r="G4276" t="str">
        <f>IFERROR(INDEX(Formulations[Formulation],MATCH($C4276,Formulations[Product Code],0)),"")</f>
        <v/>
      </c>
    </row>
    <row r="4277" spans="1:7" x14ac:dyDescent="0.3">
      <c r="A4277" t="s">
        <v>2264</v>
      </c>
      <c r="B4277" t="s">
        <v>575</v>
      </c>
      <c r="C4277" t="s">
        <v>673</v>
      </c>
      <c r="D4277" s="7">
        <v>5</v>
      </c>
      <c r="E4277">
        <v>2021</v>
      </c>
      <c r="F4277">
        <v>2021</v>
      </c>
      <c r="G4277" t="str">
        <f>IFERROR(INDEX(Formulations[Formulation],MATCH($C4277,Formulations[Product Code],0)),"")</f>
        <v>Apricot 60 % oil and 40 % dpg</v>
      </c>
    </row>
    <row r="4278" spans="1:7" x14ac:dyDescent="0.3">
      <c r="A4278" t="s">
        <v>2264</v>
      </c>
      <c r="B4278" t="s">
        <v>265</v>
      </c>
      <c r="C4278" t="s">
        <v>197</v>
      </c>
      <c r="D4278" s="7">
        <v>5</v>
      </c>
      <c r="E4278">
        <v>2019</v>
      </c>
      <c r="F4278">
        <v>2019</v>
      </c>
      <c r="G4278" t="str">
        <f>IFERROR(INDEX(Formulations[Formulation],MATCH($C4278,Formulations[Product Code],0)),"")</f>
        <v/>
      </c>
    </row>
    <row r="4279" spans="1:7" x14ac:dyDescent="0.3">
      <c r="A4279" t="s">
        <v>2266</v>
      </c>
      <c r="B4279" t="s">
        <v>2267</v>
      </c>
      <c r="C4279" t="s">
        <v>2268</v>
      </c>
      <c r="D4279" s="7">
        <v>5</v>
      </c>
      <c r="E4279">
        <v>2020</v>
      </c>
      <c r="F4279">
        <v>2020</v>
      </c>
      <c r="G4279" t="str">
        <f>IFERROR(INDEX(Formulations[Formulation],MATCH($C4279,Formulations[Product Code],0)),"")</f>
        <v/>
      </c>
    </row>
    <row r="4280" spans="1:7" x14ac:dyDescent="0.3">
      <c r="A4280" t="s">
        <v>2266</v>
      </c>
      <c r="B4280" t="s">
        <v>1410</v>
      </c>
      <c r="C4280" t="s">
        <v>1411</v>
      </c>
      <c r="D4280" s="7">
        <v>5</v>
      </c>
      <c r="E4280">
        <v>2021</v>
      </c>
      <c r="F4280">
        <v>2021</v>
      </c>
      <c r="G4280" t="str">
        <f>IFERROR(INDEX(Formulations[Formulation],MATCH($C4280,Formulations[Product Code],0)),"")</f>
        <v>Pure</v>
      </c>
    </row>
    <row r="4281" spans="1:7" x14ac:dyDescent="0.3">
      <c r="A4281" t="s">
        <v>2266</v>
      </c>
      <c r="B4281" t="s">
        <v>64</v>
      </c>
      <c r="C4281" t="s">
        <v>65</v>
      </c>
      <c r="D4281" s="7">
        <v>5</v>
      </c>
      <c r="E4281">
        <v>2021</v>
      </c>
      <c r="F4281">
        <v>2021</v>
      </c>
      <c r="G4281" t="str">
        <f>IFERROR(INDEX(Formulations[Formulation],MATCH($C4281,Formulations[Product Code],0)),"")</f>
        <v>Crystal</v>
      </c>
    </row>
    <row r="4282" spans="1:7" x14ac:dyDescent="0.3">
      <c r="A4282" t="s">
        <v>2266</v>
      </c>
      <c r="B4282" t="s">
        <v>599</v>
      </c>
      <c r="C4282" t="s">
        <v>413</v>
      </c>
      <c r="D4282" s="7">
        <v>5</v>
      </c>
      <c r="E4282">
        <v>2020</v>
      </c>
      <c r="F4282">
        <v>2020</v>
      </c>
      <c r="G4282" t="str">
        <f>IFERROR(INDEX(Formulations[Formulation],MATCH($C4282,Formulations[Product Code],0)),"")</f>
        <v>40% oil &amp; 60 % DPG</v>
      </c>
    </row>
    <row r="4283" spans="1:7" x14ac:dyDescent="0.3">
      <c r="A4283" t="s">
        <v>2272</v>
      </c>
      <c r="B4283" t="s">
        <v>476</v>
      </c>
      <c r="C4283" t="s">
        <v>478</v>
      </c>
      <c r="D4283" s="7">
        <v>5</v>
      </c>
      <c r="E4283">
        <v>2020</v>
      </c>
      <c r="F4283">
        <v>2020</v>
      </c>
      <c r="G4283" t="str">
        <f>IFERROR(INDEX(Formulations[Formulation],MATCH($C4283,Formulations[Product Code],0)),"")</f>
        <v>Pure</v>
      </c>
    </row>
    <row r="4284" spans="1:7" x14ac:dyDescent="0.3">
      <c r="A4284" t="s">
        <v>2272</v>
      </c>
      <c r="B4284" t="s">
        <v>2273</v>
      </c>
      <c r="C4284" t="s">
        <v>2274</v>
      </c>
      <c r="D4284" s="7">
        <v>5</v>
      </c>
      <c r="E4284">
        <v>2020</v>
      </c>
      <c r="F4284">
        <v>2020</v>
      </c>
      <c r="G4284" t="str">
        <f>IFERROR(INDEX(Formulations[Formulation],MATCH($C4284,Formulations[Product Code],0)),"")</f>
        <v/>
      </c>
    </row>
    <row r="4285" spans="1:7" x14ac:dyDescent="0.3">
      <c r="A4285" t="s">
        <v>2297</v>
      </c>
      <c r="B4285" t="s">
        <v>218</v>
      </c>
      <c r="C4285" t="s">
        <v>212</v>
      </c>
      <c r="D4285" s="7">
        <v>5</v>
      </c>
      <c r="E4285">
        <v>2014</v>
      </c>
      <c r="F4285">
        <v>2014</v>
      </c>
      <c r="G4285" t="str">
        <f>IFERROR(INDEX(Formulations[Formulation],MATCH($C4285,Formulations[Product Code],0)),"")</f>
        <v>Pure</v>
      </c>
    </row>
    <row r="4286" spans="1:7" x14ac:dyDescent="0.3">
      <c r="A4286" t="s">
        <v>2297</v>
      </c>
      <c r="B4286" t="s">
        <v>135</v>
      </c>
      <c r="C4286" t="s">
        <v>136</v>
      </c>
      <c r="D4286" s="7">
        <v>5</v>
      </c>
      <c r="E4286">
        <v>2014</v>
      </c>
      <c r="F4286">
        <v>2014</v>
      </c>
      <c r="G4286" t="str">
        <f>IFERROR(INDEX(Formulations[Formulation],MATCH($C4286,Formulations[Product Code],0)),"")</f>
        <v/>
      </c>
    </row>
    <row r="4287" spans="1:7" x14ac:dyDescent="0.3">
      <c r="A4287" t="s">
        <v>2301</v>
      </c>
      <c r="B4287" t="s">
        <v>1461</v>
      </c>
      <c r="D4287" s="7">
        <v>5</v>
      </c>
      <c r="E4287">
        <v>2021</v>
      </c>
      <c r="F4287">
        <v>2021</v>
      </c>
      <c r="G4287" t="str">
        <f>IFERROR(INDEX(Formulations[Formulation],MATCH($C4287,Formulations[Product Code],0)),"")</f>
        <v/>
      </c>
    </row>
    <row r="4288" spans="1:7" x14ac:dyDescent="0.3">
      <c r="A4288" t="s">
        <v>2302</v>
      </c>
      <c r="B4288" t="s">
        <v>597</v>
      </c>
      <c r="C4288" t="s">
        <v>598</v>
      </c>
      <c r="D4288" s="7">
        <v>5</v>
      </c>
      <c r="E4288">
        <v>2020</v>
      </c>
      <c r="F4288">
        <v>2020</v>
      </c>
      <c r="G4288" t="str">
        <f>IFERROR(INDEX(Formulations[Formulation],MATCH($C4288,Formulations[Product Code],0)),"")</f>
        <v>Silver</v>
      </c>
    </row>
    <row r="4289" spans="1:7" x14ac:dyDescent="0.3">
      <c r="A4289" t="s">
        <v>2313</v>
      </c>
      <c r="B4289" t="s">
        <v>329</v>
      </c>
      <c r="D4289" s="7">
        <v>5</v>
      </c>
      <c r="E4289">
        <v>2012</v>
      </c>
      <c r="F4289">
        <v>2012</v>
      </c>
      <c r="G4289" t="str">
        <f>IFERROR(INDEX(Formulations[Formulation],MATCH($C4289,Formulations[Product Code],0)),"")</f>
        <v/>
      </c>
    </row>
    <row r="4290" spans="1:7" x14ac:dyDescent="0.3">
      <c r="A4290" t="s">
        <v>2313</v>
      </c>
      <c r="B4290" t="s">
        <v>2314</v>
      </c>
      <c r="C4290" t="s">
        <v>2315</v>
      </c>
      <c r="D4290" s="7">
        <v>5</v>
      </c>
      <c r="E4290">
        <v>2012</v>
      </c>
      <c r="F4290">
        <v>2012</v>
      </c>
      <c r="G4290" t="str">
        <f>IFERROR(INDEX(Formulations[Formulation],MATCH($C4290,Formulations[Product Code],0)),"")</f>
        <v/>
      </c>
    </row>
    <row r="4291" spans="1:7" x14ac:dyDescent="0.3">
      <c r="A4291" t="s">
        <v>2316</v>
      </c>
      <c r="B4291" t="s">
        <v>624</v>
      </c>
      <c r="C4291" t="s">
        <v>625</v>
      </c>
      <c r="D4291" s="7">
        <v>5</v>
      </c>
      <c r="E4291">
        <v>2019</v>
      </c>
      <c r="F4291">
        <v>2019</v>
      </c>
      <c r="G4291" t="str">
        <f>IFERROR(INDEX(Formulations[Formulation],MATCH($C4291,Formulations[Product Code],0)),"")</f>
        <v>Crystal</v>
      </c>
    </row>
    <row r="4292" spans="1:7" x14ac:dyDescent="0.3">
      <c r="A4292" t="s">
        <v>2316</v>
      </c>
      <c r="B4292" t="s">
        <v>750</v>
      </c>
      <c r="C4292" t="s">
        <v>751</v>
      </c>
      <c r="D4292" s="7">
        <v>5</v>
      </c>
      <c r="E4292">
        <v>2019</v>
      </c>
      <c r="F4292">
        <v>2019</v>
      </c>
      <c r="G4292" t="str">
        <f>IFERROR(INDEX(Formulations[Formulation],MATCH($C4292,Formulations[Product Code],0)),"")</f>
        <v/>
      </c>
    </row>
    <row r="4293" spans="1:7" x14ac:dyDescent="0.3">
      <c r="A4293" t="s">
        <v>2316</v>
      </c>
      <c r="B4293" t="s">
        <v>657</v>
      </c>
      <c r="C4293" t="s">
        <v>658</v>
      </c>
      <c r="D4293" s="7">
        <v>5</v>
      </c>
      <c r="E4293">
        <v>2019</v>
      </c>
      <c r="F4293">
        <v>2019</v>
      </c>
      <c r="G4293" t="str">
        <f>IFERROR(INDEX(Formulations[Formulation],MATCH($C4293,Formulations[Product Code],0)),"")</f>
        <v>Crystal</v>
      </c>
    </row>
    <row r="4294" spans="1:7" x14ac:dyDescent="0.3">
      <c r="A4294" t="s">
        <v>2316</v>
      </c>
      <c r="B4294" t="s">
        <v>203</v>
      </c>
      <c r="C4294" t="s">
        <v>204</v>
      </c>
      <c r="D4294" s="7">
        <v>5</v>
      </c>
      <c r="E4294">
        <v>2019</v>
      </c>
      <c r="F4294">
        <v>2019</v>
      </c>
      <c r="G4294" t="str">
        <f>IFERROR(INDEX(Formulations[Formulation],MATCH($C4294,Formulations[Product Code],0)),"")</f>
        <v/>
      </c>
    </row>
    <row r="4295" spans="1:7" x14ac:dyDescent="0.3">
      <c r="A4295" t="s">
        <v>2317</v>
      </c>
      <c r="B4295" t="s">
        <v>417</v>
      </c>
      <c r="C4295" t="s">
        <v>418</v>
      </c>
      <c r="D4295" s="7">
        <v>5</v>
      </c>
      <c r="E4295">
        <v>2020</v>
      </c>
      <c r="F4295">
        <v>2020</v>
      </c>
      <c r="G4295" t="str">
        <f>IFERROR(INDEX(Formulations[Formulation],MATCH($C4295,Formulations[Product Code],0)),"")</f>
        <v>Pure</v>
      </c>
    </row>
    <row r="4296" spans="1:7" x14ac:dyDescent="0.3">
      <c r="A4296" t="s">
        <v>2317</v>
      </c>
      <c r="B4296" t="s">
        <v>686</v>
      </c>
      <c r="C4296" t="s">
        <v>687</v>
      </c>
      <c r="D4296" s="7">
        <v>5</v>
      </c>
      <c r="E4296">
        <v>2020</v>
      </c>
      <c r="F4296">
        <v>2020</v>
      </c>
      <c r="G4296" t="str">
        <f>IFERROR(INDEX(Formulations[Formulation],MATCH($C4296,Formulations[Product Code],0)),"")</f>
        <v>Pure</v>
      </c>
    </row>
    <row r="4297" spans="1:7" x14ac:dyDescent="0.3">
      <c r="A4297" t="s">
        <v>2317</v>
      </c>
      <c r="B4297" t="s">
        <v>528</v>
      </c>
      <c r="C4297" t="s">
        <v>529</v>
      </c>
      <c r="D4297" s="7">
        <v>5</v>
      </c>
      <c r="E4297">
        <v>2020</v>
      </c>
      <c r="F4297">
        <v>2020</v>
      </c>
      <c r="G4297" t="str">
        <f>IFERROR(INDEX(Formulations[Formulation],MATCH($C4297,Formulations[Product Code],0)),"")</f>
        <v>Crystal</v>
      </c>
    </row>
    <row r="4298" spans="1:7" x14ac:dyDescent="0.3">
      <c r="A4298" t="s">
        <v>2317</v>
      </c>
      <c r="B4298" t="s">
        <v>110</v>
      </c>
      <c r="C4298" t="s">
        <v>111</v>
      </c>
      <c r="D4298" s="7">
        <v>5</v>
      </c>
      <c r="E4298">
        <v>2020</v>
      </c>
      <c r="F4298">
        <v>2020</v>
      </c>
      <c r="G4298" t="str">
        <f>IFERROR(INDEX(Formulations[Formulation],MATCH($C4298,Formulations[Product Code],0)),"")</f>
        <v>75% Lemon Zeste, 25% lemon Top &amp; the Gold DPG)</v>
      </c>
    </row>
    <row r="4299" spans="1:7" x14ac:dyDescent="0.3">
      <c r="A4299" t="s">
        <v>2317</v>
      </c>
      <c r="B4299" t="s">
        <v>334</v>
      </c>
      <c r="C4299" t="s">
        <v>335</v>
      </c>
      <c r="D4299" s="7">
        <v>5</v>
      </c>
      <c r="E4299">
        <v>2020</v>
      </c>
      <c r="F4299">
        <v>2020</v>
      </c>
      <c r="G4299" t="str">
        <f>IFERROR(INDEX(Formulations[Formulation],MATCH($C4299,Formulations[Product Code],0)),"")</f>
        <v>Pure</v>
      </c>
    </row>
    <row r="4300" spans="1:7" x14ac:dyDescent="0.3">
      <c r="A4300" t="s">
        <v>2317</v>
      </c>
      <c r="B4300" t="s">
        <v>479</v>
      </c>
      <c r="C4300" t="s">
        <v>480</v>
      </c>
      <c r="D4300" s="7">
        <v>5</v>
      </c>
      <c r="E4300">
        <v>2020</v>
      </c>
      <c r="F4300">
        <v>2020</v>
      </c>
      <c r="G4300" t="str">
        <f>IFERROR(INDEX(Formulations[Formulation],MATCH($C4300,Formulations[Product Code],0)),"")</f>
        <v>Crystal</v>
      </c>
    </row>
    <row r="4301" spans="1:7" x14ac:dyDescent="0.3">
      <c r="A4301" t="s">
        <v>2317</v>
      </c>
      <c r="B4301" t="s">
        <v>2322</v>
      </c>
      <c r="C4301" t="s">
        <v>2323</v>
      </c>
      <c r="D4301" s="7">
        <v>5</v>
      </c>
      <c r="E4301">
        <v>2020</v>
      </c>
      <c r="F4301">
        <v>2020</v>
      </c>
      <c r="G4301" t="str">
        <f>IFERROR(INDEX(Formulations[Formulation],MATCH($C4301,Formulations[Product Code],0)),"")</f>
        <v/>
      </c>
    </row>
    <row r="4302" spans="1:7" x14ac:dyDescent="0.3">
      <c r="A4302" t="s">
        <v>2317</v>
      </c>
      <c r="B4302" t="s">
        <v>12</v>
      </c>
      <c r="C4302" t="s">
        <v>13</v>
      </c>
      <c r="D4302" s="7">
        <v>5</v>
      </c>
      <c r="E4302">
        <v>2020</v>
      </c>
      <c r="F4302">
        <v>2020</v>
      </c>
      <c r="G4302" t="str">
        <f>IFERROR(INDEX(Formulations[Formulation],MATCH($C4302,Formulations[Product Code],0)),"")</f>
        <v>Crystal</v>
      </c>
    </row>
    <row r="4303" spans="1:7" x14ac:dyDescent="0.3">
      <c r="A4303" t="s">
        <v>2330</v>
      </c>
      <c r="B4303" t="s">
        <v>51</v>
      </c>
      <c r="C4303" t="s">
        <v>52</v>
      </c>
      <c r="D4303" s="7">
        <v>5</v>
      </c>
      <c r="E4303">
        <v>2017</v>
      </c>
      <c r="F4303">
        <v>2017</v>
      </c>
      <c r="G4303" t="str">
        <f>IFERROR(INDEX(Formulations[Formulation],MATCH($C4303,Formulations[Product Code],0)),"")</f>
        <v>Silver</v>
      </c>
    </row>
    <row r="4304" spans="1:7" x14ac:dyDescent="0.3">
      <c r="A4304" t="s">
        <v>2330</v>
      </c>
      <c r="B4304" t="s">
        <v>99</v>
      </c>
      <c r="C4304" t="s">
        <v>100</v>
      </c>
      <c r="D4304" s="7">
        <v>5</v>
      </c>
      <c r="E4304">
        <v>2017</v>
      </c>
      <c r="F4304">
        <v>2017</v>
      </c>
      <c r="G4304" t="str">
        <f>IFERROR(INDEX(Formulations[Formulation],MATCH($C4304,Formulations[Product Code],0)),"")</f>
        <v>Crystal</v>
      </c>
    </row>
    <row r="4305" spans="1:7" x14ac:dyDescent="0.3">
      <c r="A4305" t="s">
        <v>2335</v>
      </c>
      <c r="B4305" t="s">
        <v>586</v>
      </c>
      <c r="C4305" t="s">
        <v>587</v>
      </c>
      <c r="D4305" s="7">
        <v>5</v>
      </c>
      <c r="E4305">
        <v>2020</v>
      </c>
      <c r="F4305">
        <v>2020</v>
      </c>
      <c r="G4305" t="str">
        <f>IFERROR(INDEX(Formulations[Formulation],MATCH($C4305,Formulations[Product Code],0)),"")</f>
        <v>Pure</v>
      </c>
    </row>
    <row r="4306" spans="1:7" x14ac:dyDescent="0.3">
      <c r="A4306" t="s">
        <v>2337</v>
      </c>
      <c r="B4306" t="s">
        <v>39</v>
      </c>
      <c r="D4306" s="7">
        <v>5</v>
      </c>
      <c r="E4306">
        <v>2018</v>
      </c>
      <c r="F4306">
        <v>2018</v>
      </c>
      <c r="G4306" t="str">
        <f>IFERROR(INDEX(Formulations[Formulation],MATCH($C4306,Formulations[Product Code],0)),"")</f>
        <v/>
      </c>
    </row>
    <row r="4307" spans="1:7" x14ac:dyDescent="0.3">
      <c r="A4307" t="s">
        <v>2337</v>
      </c>
      <c r="B4307" t="s">
        <v>30</v>
      </c>
      <c r="C4307" t="s">
        <v>31</v>
      </c>
      <c r="D4307" s="7">
        <v>5</v>
      </c>
      <c r="E4307">
        <v>2016</v>
      </c>
      <c r="F4307">
        <v>2016</v>
      </c>
      <c r="G4307" t="str">
        <f>IFERROR(INDEX(Formulations[Formulation],MATCH($C4307,Formulations[Product Code],0)),"")</f>
        <v>Pure</v>
      </c>
    </row>
    <row r="4308" spans="1:7" x14ac:dyDescent="0.3">
      <c r="A4308" t="s">
        <v>2346</v>
      </c>
      <c r="B4308" t="s">
        <v>1011</v>
      </c>
      <c r="C4308" t="s">
        <v>1012</v>
      </c>
      <c r="D4308" s="7">
        <v>5</v>
      </c>
      <c r="E4308">
        <v>2020</v>
      </c>
      <c r="F4308">
        <v>2020</v>
      </c>
      <c r="G4308" t="str">
        <f>IFERROR(INDEX(Formulations[Formulation],MATCH($C4308,Formulations[Product Code],0)),"")</f>
        <v/>
      </c>
    </row>
    <row r="4309" spans="1:7" x14ac:dyDescent="0.3">
      <c r="A4309" t="s">
        <v>2346</v>
      </c>
      <c r="B4309" t="s">
        <v>567</v>
      </c>
      <c r="C4309" t="s">
        <v>698</v>
      </c>
      <c r="D4309" s="7">
        <v>5</v>
      </c>
      <c r="E4309">
        <v>2017</v>
      </c>
      <c r="F4309">
        <v>2017</v>
      </c>
      <c r="G4309" t="str">
        <f>IFERROR(INDEX(Formulations[Formulation],MATCH($C4309,Formulations[Product Code],0)),"")</f>
        <v>Crystal</v>
      </c>
    </row>
    <row r="4310" spans="1:7" x14ac:dyDescent="0.3">
      <c r="A4310" t="s">
        <v>2354</v>
      </c>
      <c r="B4310" t="s">
        <v>1648</v>
      </c>
      <c r="C4310" t="s">
        <v>1826</v>
      </c>
      <c r="D4310" s="7">
        <v>5</v>
      </c>
      <c r="E4310">
        <v>2019</v>
      </c>
      <c r="F4310">
        <v>2019</v>
      </c>
      <c r="G4310" t="str">
        <f>IFERROR(INDEX(Formulations[Formulation],MATCH($C4310,Formulations[Product Code],0)),"")</f>
        <v/>
      </c>
    </row>
    <row r="4311" spans="1:7" x14ac:dyDescent="0.3">
      <c r="A4311" t="s">
        <v>2354</v>
      </c>
      <c r="B4311" t="s">
        <v>524</v>
      </c>
      <c r="C4311" t="s">
        <v>525</v>
      </c>
      <c r="D4311" s="7">
        <v>5</v>
      </c>
      <c r="E4311">
        <v>2019</v>
      </c>
      <c r="F4311">
        <v>2019</v>
      </c>
      <c r="G4311" t="str">
        <f>IFERROR(INDEX(Formulations[Formulation],MATCH($C4311,Formulations[Product Code],0)),"")</f>
        <v/>
      </c>
    </row>
    <row r="4312" spans="1:7" x14ac:dyDescent="0.3">
      <c r="A4312" t="s">
        <v>2354</v>
      </c>
      <c r="B4312" t="s">
        <v>1419</v>
      </c>
      <c r="C4312" t="s">
        <v>1420</v>
      </c>
      <c r="D4312" s="7">
        <v>5</v>
      </c>
      <c r="E4312">
        <v>2020</v>
      </c>
      <c r="F4312">
        <v>2020</v>
      </c>
      <c r="G4312" t="str">
        <f>IFERROR(INDEX(Formulations[Formulation],MATCH($C4312,Formulations[Product Code],0)),"")</f>
        <v>Crystal</v>
      </c>
    </row>
    <row r="4313" spans="1:7" x14ac:dyDescent="0.3">
      <c r="A4313" t="s">
        <v>2354</v>
      </c>
      <c r="B4313" t="s">
        <v>643</v>
      </c>
      <c r="C4313" t="s">
        <v>644</v>
      </c>
      <c r="D4313" s="7">
        <v>5</v>
      </c>
      <c r="E4313">
        <v>2020</v>
      </c>
      <c r="F4313">
        <v>2020</v>
      </c>
      <c r="G4313" t="str">
        <f>IFERROR(INDEX(Formulations[Formulation],MATCH($C4313,Formulations[Product Code],0)),"")</f>
        <v>Crystal</v>
      </c>
    </row>
    <row r="4314" spans="1:7" x14ac:dyDescent="0.3">
      <c r="A4314" t="s">
        <v>2354</v>
      </c>
      <c r="B4314" t="s">
        <v>184</v>
      </c>
      <c r="C4314" t="s">
        <v>185</v>
      </c>
      <c r="D4314" s="7">
        <v>5</v>
      </c>
      <c r="E4314">
        <v>2019</v>
      </c>
      <c r="F4314">
        <v>2019</v>
      </c>
      <c r="G4314" t="str">
        <f>IFERROR(INDEX(Formulations[Formulation],MATCH($C4314,Formulations[Product Code],0)),"")</f>
        <v/>
      </c>
    </row>
    <row r="4315" spans="1:7" x14ac:dyDescent="0.3">
      <c r="A4315" t="s">
        <v>2354</v>
      </c>
      <c r="B4315" t="s">
        <v>686</v>
      </c>
      <c r="C4315" t="s">
        <v>866</v>
      </c>
      <c r="D4315" s="7">
        <v>5</v>
      </c>
      <c r="E4315">
        <v>2019</v>
      </c>
      <c r="F4315">
        <v>2019</v>
      </c>
      <c r="G4315" t="str">
        <f>IFERROR(INDEX(Formulations[Formulation],MATCH($C4315,Formulations[Product Code],0)),"")</f>
        <v/>
      </c>
    </row>
    <row r="4316" spans="1:7" x14ac:dyDescent="0.3">
      <c r="A4316" t="s">
        <v>2354</v>
      </c>
      <c r="B4316" t="s">
        <v>260</v>
      </c>
      <c r="C4316" t="s">
        <v>109</v>
      </c>
      <c r="D4316" s="7">
        <v>5</v>
      </c>
      <c r="E4316">
        <v>2021</v>
      </c>
      <c r="F4316">
        <v>2021</v>
      </c>
      <c r="G4316" t="str">
        <f>IFERROR(INDEX(Formulations[Formulation],MATCH($C4316,Formulations[Product Code],0)),"")</f>
        <v>Pure</v>
      </c>
    </row>
    <row r="4317" spans="1:7" x14ac:dyDescent="0.3">
      <c r="A4317" t="s">
        <v>2354</v>
      </c>
      <c r="B4317" t="s">
        <v>913</v>
      </c>
      <c r="C4317" t="s">
        <v>914</v>
      </c>
      <c r="D4317" s="7">
        <v>5</v>
      </c>
      <c r="E4317">
        <v>2019</v>
      </c>
      <c r="F4317">
        <v>2019</v>
      </c>
      <c r="G4317" t="str">
        <f>IFERROR(INDEX(Formulations[Formulation],MATCH($C4317,Formulations[Product Code],0)),"")</f>
        <v/>
      </c>
    </row>
    <row r="4318" spans="1:7" x14ac:dyDescent="0.3">
      <c r="A4318" t="s">
        <v>2354</v>
      </c>
      <c r="B4318" t="s">
        <v>1107</v>
      </c>
      <c r="C4318" t="s">
        <v>1108</v>
      </c>
      <c r="D4318" s="7">
        <v>5</v>
      </c>
      <c r="E4318">
        <v>2018</v>
      </c>
      <c r="F4318">
        <v>2018</v>
      </c>
      <c r="G4318" t="str">
        <f>IFERROR(INDEX(Formulations[Formulation],MATCH($C4318,Formulations[Product Code],0)),"")</f>
        <v/>
      </c>
    </row>
    <row r="4319" spans="1:7" x14ac:dyDescent="0.3">
      <c r="A4319" t="s">
        <v>2362</v>
      </c>
      <c r="B4319" t="s">
        <v>2221</v>
      </c>
      <c r="C4319" t="s">
        <v>998</v>
      </c>
      <c r="D4319" s="7">
        <v>5</v>
      </c>
      <c r="E4319">
        <v>2013</v>
      </c>
      <c r="F4319">
        <v>2013</v>
      </c>
      <c r="G4319" t="str">
        <f>IFERROR(INDEX(Formulations[Formulation],MATCH($C4319,Formulations[Product Code],0)),"")</f>
        <v/>
      </c>
    </row>
    <row r="4320" spans="1:7" x14ac:dyDescent="0.3">
      <c r="A4320" t="s">
        <v>2362</v>
      </c>
      <c r="B4320" t="s">
        <v>1419</v>
      </c>
      <c r="C4320" t="s">
        <v>1420</v>
      </c>
      <c r="D4320" s="7">
        <v>5</v>
      </c>
      <c r="E4320">
        <v>2020</v>
      </c>
      <c r="F4320">
        <v>2020</v>
      </c>
      <c r="G4320" t="str">
        <f>IFERROR(INDEX(Formulations[Formulation],MATCH($C4320,Formulations[Product Code],0)),"")</f>
        <v>Crystal</v>
      </c>
    </row>
    <row r="4321" spans="1:7" x14ac:dyDescent="0.3">
      <c r="A4321" t="s">
        <v>2362</v>
      </c>
      <c r="B4321" t="s">
        <v>597</v>
      </c>
      <c r="C4321" t="s">
        <v>598</v>
      </c>
      <c r="D4321" s="7">
        <v>5</v>
      </c>
      <c r="E4321">
        <v>2020</v>
      </c>
      <c r="F4321">
        <v>2020</v>
      </c>
      <c r="G4321" t="str">
        <f>IFERROR(INDEX(Formulations[Formulation],MATCH($C4321,Formulations[Product Code],0)),"")</f>
        <v>Silver</v>
      </c>
    </row>
    <row r="4322" spans="1:7" x14ac:dyDescent="0.3">
      <c r="A4322" t="s">
        <v>2362</v>
      </c>
      <c r="B4322" t="s">
        <v>137</v>
      </c>
      <c r="C4322" t="s">
        <v>138</v>
      </c>
      <c r="D4322" s="7">
        <v>5</v>
      </c>
      <c r="E4322">
        <v>2015</v>
      </c>
      <c r="F4322">
        <v>2015</v>
      </c>
      <c r="G4322" t="str">
        <f>IFERROR(INDEX(Formulations[Formulation],MATCH($C4322,Formulations[Product Code],0)),"")</f>
        <v>WS</v>
      </c>
    </row>
    <row r="4323" spans="1:7" x14ac:dyDescent="0.3">
      <c r="A4323" t="s">
        <v>2362</v>
      </c>
      <c r="B4323" t="s">
        <v>266</v>
      </c>
      <c r="C4323" t="s">
        <v>143</v>
      </c>
      <c r="D4323" s="7">
        <v>5</v>
      </c>
      <c r="E4323">
        <v>2020</v>
      </c>
      <c r="F4323">
        <v>2020</v>
      </c>
      <c r="G4323" t="str">
        <f>IFERROR(INDEX(Formulations[Formulation],MATCH($C4323,Formulations[Product Code],0)),"")</f>
        <v>Pure</v>
      </c>
    </row>
    <row r="4324" spans="1:7" x14ac:dyDescent="0.3">
      <c r="A4324" t="s">
        <v>2372</v>
      </c>
      <c r="B4324" t="s">
        <v>1234</v>
      </c>
      <c r="C4324" t="s">
        <v>1235</v>
      </c>
      <c r="D4324" s="7">
        <v>5</v>
      </c>
      <c r="E4324">
        <v>2011</v>
      </c>
      <c r="F4324">
        <v>2011</v>
      </c>
      <c r="G4324" t="str">
        <f>IFERROR(INDEX(Formulations[Formulation],MATCH($C4324,Formulations[Product Code],0)),"")</f>
        <v/>
      </c>
    </row>
    <row r="4325" spans="1:7" x14ac:dyDescent="0.3">
      <c r="A4325" t="s">
        <v>2372</v>
      </c>
      <c r="B4325" t="s">
        <v>992</v>
      </c>
      <c r="C4325" t="s">
        <v>212</v>
      </c>
      <c r="D4325" s="7">
        <v>5</v>
      </c>
      <c r="E4325">
        <v>2013</v>
      </c>
      <c r="F4325">
        <v>2013</v>
      </c>
      <c r="G4325" t="str">
        <f>IFERROR(INDEX(Formulations[Formulation],MATCH($C4325,Formulations[Product Code],0)),"")</f>
        <v>Pure</v>
      </c>
    </row>
    <row r="4326" spans="1:7" x14ac:dyDescent="0.3">
      <c r="A4326" t="s">
        <v>2372</v>
      </c>
      <c r="B4326" t="s">
        <v>1602</v>
      </c>
      <c r="C4326" t="s">
        <v>521</v>
      </c>
      <c r="D4326" s="7">
        <v>5</v>
      </c>
      <c r="E4326">
        <v>2013</v>
      </c>
      <c r="F4326">
        <v>2013</v>
      </c>
      <c r="G4326" t="str">
        <f>IFERROR(INDEX(Formulations[Formulation],MATCH($C4326,Formulations[Product Code],0)),"")</f>
        <v/>
      </c>
    </row>
    <row r="4327" spans="1:7" x14ac:dyDescent="0.3">
      <c r="A4327" t="s">
        <v>2372</v>
      </c>
      <c r="B4327" t="s">
        <v>381</v>
      </c>
      <c r="C4327" t="s">
        <v>382</v>
      </c>
      <c r="D4327" s="7">
        <v>5</v>
      </c>
      <c r="E4327">
        <v>2011</v>
      </c>
      <c r="F4327">
        <v>2011</v>
      </c>
      <c r="G4327" t="str">
        <f>IFERROR(INDEX(Formulations[Formulation],MATCH($C4327,Formulations[Product Code],0)),"")</f>
        <v/>
      </c>
    </row>
    <row r="4328" spans="1:7" x14ac:dyDescent="0.3">
      <c r="A4328" t="s">
        <v>2372</v>
      </c>
      <c r="B4328" t="s">
        <v>196</v>
      </c>
      <c r="C4328" t="s">
        <v>2379</v>
      </c>
      <c r="D4328" s="7">
        <v>5</v>
      </c>
      <c r="E4328">
        <v>2011</v>
      </c>
      <c r="F4328">
        <v>2011</v>
      </c>
      <c r="G4328" t="str">
        <f>IFERROR(INDEX(Formulations[Formulation],MATCH($C4328,Formulations[Product Code],0)),"")</f>
        <v/>
      </c>
    </row>
    <row r="4329" spans="1:7" x14ac:dyDescent="0.3">
      <c r="A4329" t="s">
        <v>2380</v>
      </c>
      <c r="B4329" t="s">
        <v>393</v>
      </c>
      <c r="C4329" t="s">
        <v>2381</v>
      </c>
      <c r="D4329" s="7">
        <v>5</v>
      </c>
      <c r="E4329">
        <v>2011</v>
      </c>
      <c r="F4329">
        <v>2011</v>
      </c>
      <c r="G4329" t="str">
        <f>IFERROR(INDEX(Formulations[Formulation],MATCH($C4329,Formulations[Product Code],0)),"")</f>
        <v/>
      </c>
    </row>
    <row r="4330" spans="1:7" x14ac:dyDescent="0.3">
      <c r="A4330" t="s">
        <v>2380</v>
      </c>
      <c r="B4330" t="s">
        <v>955</v>
      </c>
      <c r="C4330" t="s">
        <v>956</v>
      </c>
      <c r="D4330" s="7">
        <v>5</v>
      </c>
      <c r="E4330">
        <v>2011</v>
      </c>
      <c r="F4330">
        <v>2011</v>
      </c>
      <c r="G4330" t="str">
        <f>IFERROR(INDEX(Formulations[Formulation],MATCH($C4330,Formulations[Product Code],0)),"")</f>
        <v/>
      </c>
    </row>
    <row r="4331" spans="1:7" x14ac:dyDescent="0.3">
      <c r="A4331" t="s">
        <v>2380</v>
      </c>
      <c r="B4331" t="s">
        <v>2383</v>
      </c>
      <c r="C4331" t="s">
        <v>1716</v>
      </c>
      <c r="D4331" s="7">
        <v>5</v>
      </c>
      <c r="E4331">
        <v>2011</v>
      </c>
      <c r="F4331">
        <v>2011</v>
      </c>
      <c r="G4331" t="str">
        <f>IFERROR(INDEX(Formulations[Formulation],MATCH($C4331,Formulations[Product Code],0)),"")</f>
        <v/>
      </c>
    </row>
    <row r="4332" spans="1:7" x14ac:dyDescent="0.3">
      <c r="A4332" t="s">
        <v>2380</v>
      </c>
      <c r="B4332" t="s">
        <v>1263</v>
      </c>
      <c r="C4332" t="s">
        <v>1782</v>
      </c>
      <c r="D4332" s="7">
        <v>5</v>
      </c>
      <c r="E4332">
        <v>2011</v>
      </c>
      <c r="F4332">
        <v>2011</v>
      </c>
      <c r="G4332" t="str">
        <f>IFERROR(INDEX(Formulations[Formulation],MATCH($C4332,Formulations[Product Code],0)),"")</f>
        <v/>
      </c>
    </row>
    <row r="4333" spans="1:7" x14ac:dyDescent="0.3">
      <c r="A4333" t="s">
        <v>2380</v>
      </c>
      <c r="B4333" t="s">
        <v>1267</v>
      </c>
      <c r="C4333" t="s">
        <v>1268</v>
      </c>
      <c r="D4333" s="7">
        <v>5</v>
      </c>
      <c r="E4333">
        <v>2011</v>
      </c>
      <c r="F4333">
        <v>2011</v>
      </c>
      <c r="G4333" t="str">
        <f>IFERROR(INDEX(Formulations[Formulation],MATCH($C4333,Formulations[Product Code],0)),"")</f>
        <v/>
      </c>
    </row>
    <row r="4334" spans="1:7" x14ac:dyDescent="0.3">
      <c r="A4334" t="s">
        <v>2380</v>
      </c>
      <c r="B4334" t="s">
        <v>2387</v>
      </c>
      <c r="C4334" t="s">
        <v>231</v>
      </c>
      <c r="D4334" s="7">
        <v>5</v>
      </c>
      <c r="E4334">
        <v>2011</v>
      </c>
      <c r="F4334">
        <v>2011</v>
      </c>
      <c r="G4334" t="str">
        <f>IFERROR(INDEX(Formulations[Formulation],MATCH($C4334,Formulations[Product Code],0)),"")</f>
        <v/>
      </c>
    </row>
    <row r="4335" spans="1:7" x14ac:dyDescent="0.3">
      <c r="A4335" t="s">
        <v>2380</v>
      </c>
      <c r="B4335" t="s">
        <v>1074</v>
      </c>
      <c r="C4335" t="s">
        <v>1303</v>
      </c>
      <c r="D4335" s="7">
        <v>5</v>
      </c>
      <c r="E4335">
        <v>2010</v>
      </c>
      <c r="F4335">
        <v>2010</v>
      </c>
      <c r="G4335" t="str">
        <f>IFERROR(INDEX(Formulations[Formulation],MATCH($C4335,Formulations[Product Code],0)),"")</f>
        <v/>
      </c>
    </row>
    <row r="4336" spans="1:7" x14ac:dyDescent="0.3">
      <c r="A4336" t="s">
        <v>2401</v>
      </c>
      <c r="B4336" t="s">
        <v>581</v>
      </c>
      <c r="C4336" t="s">
        <v>582</v>
      </c>
      <c r="D4336" s="7">
        <v>5</v>
      </c>
      <c r="E4336">
        <v>2014</v>
      </c>
      <c r="F4336">
        <v>2014</v>
      </c>
      <c r="G4336" t="str">
        <f>IFERROR(INDEX(Formulations[Formulation],MATCH($C4336,Formulations[Product Code],0)),"")</f>
        <v/>
      </c>
    </row>
    <row r="4337" spans="1:7" x14ac:dyDescent="0.3">
      <c r="A4337" t="s">
        <v>2401</v>
      </c>
      <c r="B4337" t="s">
        <v>257</v>
      </c>
      <c r="C4337" t="s">
        <v>61</v>
      </c>
      <c r="D4337" s="7">
        <v>5</v>
      </c>
      <c r="E4337">
        <v>2019</v>
      </c>
      <c r="F4337">
        <v>2019</v>
      </c>
      <c r="G4337" t="str">
        <f>IFERROR(INDEX(Formulations[Formulation],MATCH($C4337,Formulations[Product Code],0)),"")</f>
        <v>Pure</v>
      </c>
    </row>
    <row r="4338" spans="1:7" x14ac:dyDescent="0.3">
      <c r="A4338" t="s">
        <v>2401</v>
      </c>
      <c r="B4338" t="s">
        <v>516</v>
      </c>
      <c r="D4338" s="7">
        <v>5</v>
      </c>
      <c r="E4338">
        <v>2020</v>
      </c>
      <c r="F4338">
        <v>2020</v>
      </c>
      <c r="G4338" t="str">
        <f>IFERROR(INDEX(Formulations[Formulation],MATCH($C4338,Formulations[Product Code],0)),"")</f>
        <v/>
      </c>
    </row>
    <row r="4339" spans="1:7" x14ac:dyDescent="0.3">
      <c r="A4339" t="s">
        <v>2401</v>
      </c>
      <c r="B4339" t="s">
        <v>1009</v>
      </c>
      <c r="C4339" t="s">
        <v>934</v>
      </c>
      <c r="D4339" s="7">
        <v>5</v>
      </c>
      <c r="E4339">
        <v>2019</v>
      </c>
      <c r="F4339">
        <v>2019</v>
      </c>
      <c r="G4339" t="str">
        <f>IFERROR(INDEX(Formulations[Formulation],MATCH($C4339,Formulations[Product Code],0)),"")</f>
        <v/>
      </c>
    </row>
    <row r="4340" spans="1:7" x14ac:dyDescent="0.3">
      <c r="A4340" t="s">
        <v>2414</v>
      </c>
      <c r="B4340" t="s">
        <v>174</v>
      </c>
      <c r="C4340" t="s">
        <v>175</v>
      </c>
      <c r="D4340" s="7">
        <v>5</v>
      </c>
      <c r="E4340">
        <v>2017</v>
      </c>
      <c r="F4340">
        <v>2017</v>
      </c>
      <c r="G4340" t="str">
        <f>IFERROR(INDEX(Formulations[Formulation],MATCH($C4340,Formulations[Product Code],0)),"")</f>
        <v/>
      </c>
    </row>
    <row r="4341" spans="1:7" x14ac:dyDescent="0.3">
      <c r="A4341" t="s">
        <v>2414</v>
      </c>
      <c r="B4341" t="s">
        <v>714</v>
      </c>
      <c r="C4341" t="s">
        <v>715</v>
      </c>
      <c r="D4341" s="7">
        <v>5</v>
      </c>
      <c r="E4341">
        <v>2017</v>
      </c>
      <c r="F4341">
        <v>2017</v>
      </c>
      <c r="G4341" t="str">
        <f>IFERROR(INDEX(Formulations[Formulation],MATCH($C4341,Formulations[Product Code],0)),"")</f>
        <v/>
      </c>
    </row>
    <row r="4342" spans="1:7" x14ac:dyDescent="0.3">
      <c r="A4342" t="s">
        <v>2414</v>
      </c>
      <c r="B4342" t="s">
        <v>490</v>
      </c>
      <c r="C4342" t="s">
        <v>491</v>
      </c>
      <c r="D4342" s="7">
        <v>5</v>
      </c>
      <c r="E4342">
        <v>2017</v>
      </c>
      <c r="F4342">
        <v>2017</v>
      </c>
      <c r="G4342" t="str">
        <f>IFERROR(INDEX(Formulations[Formulation],MATCH($C4342,Formulations[Product Code],0)),"")</f>
        <v/>
      </c>
    </row>
    <row r="4343" spans="1:7" x14ac:dyDescent="0.3">
      <c r="A4343" t="s">
        <v>2414</v>
      </c>
      <c r="B4343" t="s">
        <v>651</v>
      </c>
      <c r="C4343" t="s">
        <v>652</v>
      </c>
      <c r="D4343" s="7">
        <v>5</v>
      </c>
      <c r="E4343">
        <v>2017</v>
      </c>
      <c r="F4343">
        <v>2017</v>
      </c>
      <c r="G4343" t="str">
        <f>IFERROR(INDEX(Formulations[Formulation],MATCH($C4343,Formulations[Product Code],0)),"")</f>
        <v/>
      </c>
    </row>
    <row r="4344" spans="1:7" x14ac:dyDescent="0.3">
      <c r="A4344" t="s">
        <v>2414</v>
      </c>
      <c r="B4344" t="s">
        <v>573</v>
      </c>
      <c r="C4344" t="s">
        <v>574</v>
      </c>
      <c r="D4344" s="7">
        <v>5</v>
      </c>
      <c r="E4344">
        <v>2017</v>
      </c>
      <c r="F4344">
        <v>2017</v>
      </c>
      <c r="G4344" t="str">
        <f>IFERROR(INDEX(Formulations[Formulation],MATCH($C4344,Formulations[Product Code],0)),"")</f>
        <v>Crystal</v>
      </c>
    </row>
    <row r="4345" spans="1:7" x14ac:dyDescent="0.3">
      <c r="A4345" t="s">
        <v>2414</v>
      </c>
      <c r="B4345" t="s">
        <v>657</v>
      </c>
      <c r="C4345" t="s">
        <v>658</v>
      </c>
      <c r="D4345" s="7">
        <v>5</v>
      </c>
      <c r="E4345">
        <v>2017</v>
      </c>
      <c r="F4345">
        <v>2017</v>
      </c>
      <c r="G4345" t="str">
        <f>IFERROR(INDEX(Formulations[Formulation],MATCH($C4345,Formulations[Product Code],0)),"")</f>
        <v>Crystal</v>
      </c>
    </row>
    <row r="4346" spans="1:7" x14ac:dyDescent="0.3">
      <c r="A4346" t="s">
        <v>2416</v>
      </c>
      <c r="B4346" t="s">
        <v>1800</v>
      </c>
      <c r="C4346" t="s">
        <v>1796</v>
      </c>
      <c r="D4346" s="7">
        <v>5</v>
      </c>
      <c r="E4346">
        <v>2016</v>
      </c>
      <c r="F4346">
        <v>2016</v>
      </c>
      <c r="G4346" t="str">
        <f>IFERROR(INDEX(Formulations[Formulation],MATCH($C4346,Formulations[Product Code],0)),"")</f>
        <v/>
      </c>
    </row>
    <row r="4347" spans="1:7" x14ac:dyDescent="0.3">
      <c r="A4347" t="s">
        <v>2416</v>
      </c>
      <c r="B4347" t="s">
        <v>2221</v>
      </c>
      <c r="C4347" t="s">
        <v>998</v>
      </c>
      <c r="D4347" s="7">
        <v>5</v>
      </c>
      <c r="E4347">
        <v>2013</v>
      </c>
      <c r="F4347">
        <v>2013</v>
      </c>
      <c r="G4347" t="str">
        <f>IFERROR(INDEX(Formulations[Formulation],MATCH($C4347,Formulations[Product Code],0)),"")</f>
        <v/>
      </c>
    </row>
    <row r="4348" spans="1:7" x14ac:dyDescent="0.3">
      <c r="A4348" t="s">
        <v>2416</v>
      </c>
      <c r="B4348" t="s">
        <v>135</v>
      </c>
      <c r="D4348" s="7">
        <v>5</v>
      </c>
      <c r="E4348">
        <v>2013</v>
      </c>
      <c r="F4348">
        <v>2013</v>
      </c>
      <c r="G4348" t="str">
        <f>IFERROR(INDEX(Formulations[Formulation],MATCH($C4348,Formulations[Product Code],0)),"")</f>
        <v/>
      </c>
    </row>
    <row r="4349" spans="1:7" x14ac:dyDescent="0.3">
      <c r="A4349" t="s">
        <v>2423</v>
      </c>
      <c r="B4349" t="s">
        <v>265</v>
      </c>
      <c r="C4349" t="s">
        <v>197</v>
      </c>
      <c r="D4349" s="7">
        <v>5</v>
      </c>
      <c r="E4349">
        <v>2018</v>
      </c>
      <c r="F4349">
        <v>2020</v>
      </c>
      <c r="G4349" t="str">
        <f>IFERROR(INDEX(Formulations[Formulation],MATCH($C4349,Formulations[Product Code],0)),"")</f>
        <v/>
      </c>
    </row>
    <row r="4350" spans="1:7" x14ac:dyDescent="0.3">
      <c r="A4350" t="s">
        <v>2425</v>
      </c>
      <c r="B4350" t="s">
        <v>84</v>
      </c>
      <c r="C4350" t="s">
        <v>85</v>
      </c>
      <c r="D4350" s="7">
        <v>5</v>
      </c>
      <c r="E4350">
        <v>2013</v>
      </c>
      <c r="F4350">
        <v>2013</v>
      </c>
      <c r="G4350" t="str">
        <f>IFERROR(INDEX(Formulations[Formulation],MATCH($C4350,Formulations[Product Code],0)),"")</f>
        <v>Pure</v>
      </c>
    </row>
    <row r="4351" spans="1:7" x14ac:dyDescent="0.3">
      <c r="A4351" t="s">
        <v>2425</v>
      </c>
      <c r="B4351" t="s">
        <v>218</v>
      </c>
      <c r="C4351" t="s">
        <v>212</v>
      </c>
      <c r="D4351" s="7">
        <v>5</v>
      </c>
      <c r="E4351">
        <v>2011</v>
      </c>
      <c r="F4351">
        <v>2011</v>
      </c>
      <c r="G4351" t="str">
        <f>IFERROR(INDEX(Formulations[Formulation],MATCH($C4351,Formulations[Product Code],0)),"")</f>
        <v>Pure</v>
      </c>
    </row>
    <row r="4352" spans="1:7" x14ac:dyDescent="0.3">
      <c r="A4352" t="s">
        <v>2425</v>
      </c>
      <c r="B4352" t="s">
        <v>135</v>
      </c>
      <c r="D4352" s="7">
        <v>5</v>
      </c>
      <c r="E4352">
        <v>2013</v>
      </c>
      <c r="F4352">
        <v>2013</v>
      </c>
      <c r="G4352" t="str">
        <f>IFERROR(INDEX(Formulations[Formulation],MATCH($C4352,Formulations[Product Code],0)),"")</f>
        <v/>
      </c>
    </row>
    <row r="4353" spans="1:7" x14ac:dyDescent="0.3">
      <c r="A4353" t="s">
        <v>2425</v>
      </c>
      <c r="B4353" t="s">
        <v>1363</v>
      </c>
      <c r="C4353" t="s">
        <v>1364</v>
      </c>
      <c r="D4353" s="7">
        <v>5</v>
      </c>
      <c r="E4353">
        <v>2015</v>
      </c>
      <c r="F4353">
        <v>2015</v>
      </c>
      <c r="G4353" t="str">
        <f>IFERROR(INDEX(Formulations[Formulation],MATCH($C4353,Formulations[Product Code],0)),"")</f>
        <v/>
      </c>
    </row>
    <row r="4354" spans="1:7" x14ac:dyDescent="0.3">
      <c r="A4354" t="s">
        <v>2425</v>
      </c>
      <c r="B4354" t="s">
        <v>973</v>
      </c>
      <c r="C4354" t="s">
        <v>974</v>
      </c>
      <c r="D4354" s="7">
        <v>5</v>
      </c>
      <c r="E4354">
        <v>2011</v>
      </c>
      <c r="F4354">
        <v>2011</v>
      </c>
      <c r="G4354" t="str">
        <f>IFERROR(INDEX(Formulations[Formulation],MATCH($C4354,Formulations[Product Code],0)),"")</f>
        <v/>
      </c>
    </row>
    <row r="4355" spans="1:7" x14ac:dyDescent="0.3">
      <c r="A4355" t="s">
        <v>2425</v>
      </c>
      <c r="B4355" t="s">
        <v>902</v>
      </c>
      <c r="C4355" t="s">
        <v>903</v>
      </c>
      <c r="D4355" s="7">
        <v>5</v>
      </c>
      <c r="E4355">
        <v>2015</v>
      </c>
      <c r="F4355">
        <v>2015</v>
      </c>
      <c r="G4355" t="str">
        <f>IFERROR(INDEX(Formulations[Formulation],MATCH($C4355,Formulations[Product Code],0)),"")</f>
        <v/>
      </c>
    </row>
    <row r="4356" spans="1:7" x14ac:dyDescent="0.3">
      <c r="A4356" t="s">
        <v>2428</v>
      </c>
      <c r="B4356" t="s">
        <v>218</v>
      </c>
      <c r="C4356" t="s">
        <v>212</v>
      </c>
      <c r="D4356" s="7">
        <v>5</v>
      </c>
      <c r="E4356">
        <v>2015</v>
      </c>
      <c r="F4356">
        <v>2015</v>
      </c>
      <c r="G4356" t="str">
        <f>IFERROR(INDEX(Formulations[Formulation],MATCH($C4356,Formulations[Product Code],0)),"")</f>
        <v>Pure</v>
      </c>
    </row>
    <row r="4357" spans="1:7" x14ac:dyDescent="0.3">
      <c r="A4357" t="s">
        <v>2428</v>
      </c>
      <c r="B4357" t="s">
        <v>122</v>
      </c>
      <c r="C4357" t="s">
        <v>123</v>
      </c>
      <c r="D4357" s="7">
        <v>5</v>
      </c>
      <c r="E4357">
        <v>2019</v>
      </c>
      <c r="F4357">
        <v>2019</v>
      </c>
      <c r="G4357" t="str">
        <f>IFERROR(INDEX(Formulations[Formulation],MATCH($C4357,Formulations[Product Code],0)),"")</f>
        <v/>
      </c>
    </row>
    <row r="4358" spans="1:7" x14ac:dyDescent="0.3">
      <c r="A4358" t="s">
        <v>2428</v>
      </c>
      <c r="B4358" t="s">
        <v>2431</v>
      </c>
      <c r="C4358" t="s">
        <v>2165</v>
      </c>
      <c r="D4358" s="7">
        <v>5</v>
      </c>
      <c r="E4358">
        <v>2018</v>
      </c>
      <c r="F4358">
        <v>2018</v>
      </c>
      <c r="G4358" t="str">
        <f>IFERROR(INDEX(Formulations[Formulation],MATCH($C4358,Formulations[Product Code],0)),"")</f>
        <v>Silver</v>
      </c>
    </row>
    <row r="4359" spans="1:7" x14ac:dyDescent="0.3">
      <c r="A4359" t="s">
        <v>2428</v>
      </c>
      <c r="B4359" t="s">
        <v>378</v>
      </c>
      <c r="C4359" t="s">
        <v>379</v>
      </c>
      <c r="D4359" s="7">
        <v>5</v>
      </c>
      <c r="E4359">
        <v>2012</v>
      </c>
      <c r="F4359">
        <v>2012</v>
      </c>
      <c r="G4359" t="str">
        <f>IFERROR(INDEX(Formulations[Formulation],MATCH($C4359,Formulations[Product Code],0)),"")</f>
        <v/>
      </c>
    </row>
    <row r="4360" spans="1:7" x14ac:dyDescent="0.3">
      <c r="A4360" t="s">
        <v>2436</v>
      </c>
      <c r="B4360" t="s">
        <v>642</v>
      </c>
      <c r="D4360" s="7">
        <v>5</v>
      </c>
      <c r="E4360">
        <v>2018</v>
      </c>
      <c r="F4360">
        <v>2018</v>
      </c>
      <c r="G4360" t="str">
        <f>IFERROR(INDEX(Formulations[Formulation],MATCH($C4360,Formulations[Product Code],0)),"")</f>
        <v/>
      </c>
    </row>
    <row r="4361" spans="1:7" x14ac:dyDescent="0.3">
      <c r="A4361" t="s">
        <v>2437</v>
      </c>
      <c r="B4361" t="s">
        <v>280</v>
      </c>
      <c r="C4361" t="s">
        <v>224</v>
      </c>
      <c r="D4361" s="7">
        <v>5</v>
      </c>
      <c r="E4361">
        <v>2017</v>
      </c>
      <c r="F4361">
        <v>2017</v>
      </c>
      <c r="G4361" t="str">
        <f>IFERROR(INDEX(Formulations[Formulation],MATCH($C4361,Formulations[Product Code],0)),"")</f>
        <v/>
      </c>
    </row>
    <row r="4362" spans="1:7" x14ac:dyDescent="0.3">
      <c r="A4362" t="s">
        <v>2437</v>
      </c>
      <c r="B4362" t="s">
        <v>518</v>
      </c>
      <c r="C4362" t="s">
        <v>519</v>
      </c>
      <c r="D4362" s="7">
        <v>5</v>
      </c>
      <c r="E4362">
        <v>2020</v>
      </c>
      <c r="F4362">
        <v>2020</v>
      </c>
      <c r="G4362" t="str">
        <f>IFERROR(INDEX(Formulations[Formulation],MATCH($C4362,Formulations[Product Code],0)),"")</f>
        <v>Pure</v>
      </c>
    </row>
    <row r="4363" spans="1:7" x14ac:dyDescent="0.3">
      <c r="A4363" t="s">
        <v>2437</v>
      </c>
      <c r="B4363" t="s">
        <v>1602</v>
      </c>
      <c r="C4363" t="s">
        <v>521</v>
      </c>
      <c r="D4363" s="7">
        <v>5</v>
      </c>
      <c r="E4363">
        <v>2017</v>
      </c>
      <c r="F4363">
        <v>2017</v>
      </c>
      <c r="G4363" t="str">
        <f>IFERROR(INDEX(Formulations[Formulation],MATCH($C4363,Formulations[Product Code],0)),"")</f>
        <v/>
      </c>
    </row>
    <row r="4364" spans="1:7" x14ac:dyDescent="0.3">
      <c r="A4364" t="s">
        <v>2437</v>
      </c>
      <c r="B4364" t="s">
        <v>318</v>
      </c>
      <c r="C4364" t="s">
        <v>319</v>
      </c>
      <c r="D4364" s="7">
        <v>5</v>
      </c>
      <c r="E4364">
        <v>2017</v>
      </c>
      <c r="F4364">
        <v>2017</v>
      </c>
      <c r="G4364" t="str">
        <f>IFERROR(INDEX(Formulations[Formulation],MATCH($C4364,Formulations[Product Code],0)),"")</f>
        <v>Pure</v>
      </c>
    </row>
    <row r="4365" spans="1:7" x14ac:dyDescent="0.3">
      <c r="A4365" t="s">
        <v>2438</v>
      </c>
      <c r="B4365" t="s">
        <v>34</v>
      </c>
      <c r="D4365" s="7">
        <v>5</v>
      </c>
      <c r="E4365">
        <v>2019</v>
      </c>
      <c r="F4365">
        <v>2019</v>
      </c>
      <c r="G4365" t="str">
        <f>IFERROR(INDEX(Formulations[Formulation],MATCH($C4365,Formulations[Product Code],0)),"")</f>
        <v/>
      </c>
    </row>
    <row r="4366" spans="1:7" x14ac:dyDescent="0.3">
      <c r="A4366" t="s">
        <v>2438</v>
      </c>
      <c r="B4366" t="s">
        <v>453</v>
      </c>
      <c r="D4366" s="7">
        <v>5</v>
      </c>
      <c r="E4366">
        <v>2019</v>
      </c>
      <c r="F4366">
        <v>2019</v>
      </c>
      <c r="G4366" t="str">
        <f>IFERROR(INDEX(Formulations[Formulation],MATCH($C4366,Formulations[Product Code],0)),"")</f>
        <v/>
      </c>
    </row>
    <row r="4367" spans="1:7" x14ac:dyDescent="0.3">
      <c r="A4367" t="s">
        <v>2438</v>
      </c>
      <c r="B4367" t="s">
        <v>461</v>
      </c>
      <c r="D4367" s="7">
        <v>5</v>
      </c>
      <c r="E4367">
        <v>2019</v>
      </c>
      <c r="F4367">
        <v>2019</v>
      </c>
      <c r="G4367" t="str">
        <f>IFERROR(INDEX(Formulations[Formulation],MATCH($C4367,Formulations[Product Code],0)),"")</f>
        <v/>
      </c>
    </row>
    <row r="4368" spans="1:7" x14ac:dyDescent="0.3">
      <c r="A4368" t="s">
        <v>2438</v>
      </c>
      <c r="B4368" t="s">
        <v>642</v>
      </c>
      <c r="D4368" s="7">
        <v>5</v>
      </c>
      <c r="E4368">
        <v>2019</v>
      </c>
      <c r="F4368">
        <v>2019</v>
      </c>
      <c r="G4368" t="str">
        <f>IFERROR(INDEX(Formulations[Formulation],MATCH($C4368,Formulations[Product Code],0)),"")</f>
        <v/>
      </c>
    </row>
    <row r="4369" spans="1:7" x14ac:dyDescent="0.3">
      <c r="A4369" t="s">
        <v>2438</v>
      </c>
      <c r="B4369" t="s">
        <v>36</v>
      </c>
      <c r="D4369" s="7">
        <v>5</v>
      </c>
      <c r="E4369">
        <v>2019</v>
      </c>
      <c r="F4369">
        <v>2019</v>
      </c>
      <c r="G4369" t="str">
        <f>IFERROR(INDEX(Formulations[Formulation],MATCH($C4369,Formulations[Product Code],0)),"")</f>
        <v/>
      </c>
    </row>
    <row r="4370" spans="1:7" x14ac:dyDescent="0.3">
      <c r="A4370" t="s">
        <v>2439</v>
      </c>
      <c r="B4370" t="s">
        <v>19</v>
      </c>
      <c r="C4370" t="s">
        <v>670</v>
      </c>
      <c r="D4370" s="7">
        <v>5</v>
      </c>
      <c r="E4370">
        <v>2020</v>
      </c>
      <c r="F4370">
        <v>2020</v>
      </c>
      <c r="G4370" t="str">
        <f>IFERROR(INDEX(Formulations[Formulation],MATCH($C4370,Formulations[Product Code],0)),"")</f>
        <v>Crystal</v>
      </c>
    </row>
    <row r="4371" spans="1:7" x14ac:dyDescent="0.3">
      <c r="A4371" t="s">
        <v>2439</v>
      </c>
      <c r="B4371" t="s">
        <v>351</v>
      </c>
      <c r="C4371" t="s">
        <v>352</v>
      </c>
      <c r="D4371" s="7">
        <v>5</v>
      </c>
      <c r="E4371">
        <v>2020</v>
      </c>
      <c r="F4371">
        <v>2020</v>
      </c>
      <c r="G4371" t="str">
        <f>IFERROR(INDEX(Formulations[Formulation],MATCH($C4371,Formulations[Product Code],0)),"")</f>
        <v>Pure</v>
      </c>
    </row>
    <row r="4372" spans="1:7" x14ac:dyDescent="0.3">
      <c r="A4372" t="s">
        <v>2441</v>
      </c>
      <c r="B4372" t="s">
        <v>82</v>
      </c>
      <c r="C4372" t="s">
        <v>83</v>
      </c>
      <c r="D4372" s="7">
        <v>5</v>
      </c>
      <c r="E4372">
        <v>2019</v>
      </c>
      <c r="F4372">
        <v>2019</v>
      </c>
      <c r="G4372" t="str">
        <f>IFERROR(INDEX(Formulations[Formulation],MATCH($C4372,Formulations[Product Code],0)),"")</f>
        <v>Pure</v>
      </c>
    </row>
    <row r="4373" spans="1:7" x14ac:dyDescent="0.3">
      <c r="A4373" t="s">
        <v>2441</v>
      </c>
      <c r="B4373" t="s">
        <v>372</v>
      </c>
      <c r="C4373" t="s">
        <v>331</v>
      </c>
      <c r="D4373" s="7">
        <v>5</v>
      </c>
      <c r="E4373">
        <v>2019</v>
      </c>
      <c r="F4373">
        <v>2019</v>
      </c>
      <c r="G4373" t="str">
        <f>IFERROR(INDEX(Formulations[Formulation],MATCH($C4373,Formulations[Product Code],0)),"")</f>
        <v>35% oil</v>
      </c>
    </row>
    <row r="4374" spans="1:7" x14ac:dyDescent="0.3">
      <c r="A4374" t="s">
        <v>2442</v>
      </c>
      <c r="B4374" t="s">
        <v>819</v>
      </c>
      <c r="C4374" t="s">
        <v>220</v>
      </c>
      <c r="D4374" s="7">
        <v>5</v>
      </c>
      <c r="E4374">
        <v>2017</v>
      </c>
      <c r="F4374">
        <v>2017</v>
      </c>
      <c r="G4374" t="str">
        <f>IFERROR(INDEX(Formulations[Formulation],MATCH($C4374,Formulations[Product Code],0)),"")</f>
        <v/>
      </c>
    </row>
    <row r="4375" spans="1:7" x14ac:dyDescent="0.3">
      <c r="A4375" t="s">
        <v>2442</v>
      </c>
      <c r="B4375" t="s">
        <v>135</v>
      </c>
      <c r="C4375" t="s">
        <v>331</v>
      </c>
      <c r="D4375" s="7">
        <v>5</v>
      </c>
      <c r="E4375">
        <v>2018</v>
      </c>
      <c r="F4375">
        <v>2018</v>
      </c>
      <c r="G4375" t="str">
        <f>IFERROR(INDEX(Formulations[Formulation],MATCH($C4375,Formulations[Product Code],0)),"")</f>
        <v>35% oil</v>
      </c>
    </row>
    <row r="4376" spans="1:7" x14ac:dyDescent="0.3">
      <c r="A4376" t="s">
        <v>2445</v>
      </c>
      <c r="B4376" t="s">
        <v>252</v>
      </c>
      <c r="C4376" t="s">
        <v>191</v>
      </c>
      <c r="D4376" s="7">
        <v>5</v>
      </c>
      <c r="E4376">
        <v>2019</v>
      </c>
      <c r="F4376">
        <v>2019</v>
      </c>
      <c r="G4376" t="str">
        <f>IFERROR(INDEX(Formulations[Formulation],MATCH($C4376,Formulations[Product Code],0)),"")</f>
        <v>Pure</v>
      </c>
    </row>
    <row r="4377" spans="1:7" x14ac:dyDescent="0.3">
      <c r="A4377" t="s">
        <v>2461</v>
      </c>
      <c r="B4377" t="s">
        <v>29</v>
      </c>
      <c r="D4377" s="7">
        <v>5</v>
      </c>
      <c r="E4377">
        <v>2016</v>
      </c>
      <c r="F4377">
        <v>2018</v>
      </c>
      <c r="G4377" t="str">
        <f>IFERROR(INDEX(Formulations[Formulation],MATCH($C4377,Formulations[Product Code],0)),"")</f>
        <v/>
      </c>
    </row>
    <row r="4378" spans="1:7" x14ac:dyDescent="0.3">
      <c r="A4378" t="s">
        <v>2461</v>
      </c>
      <c r="B4378" t="s">
        <v>1967</v>
      </c>
      <c r="D4378" s="7">
        <v>5</v>
      </c>
      <c r="E4378">
        <v>2015</v>
      </c>
      <c r="F4378">
        <v>2015</v>
      </c>
      <c r="G4378" t="str">
        <f>IFERROR(INDEX(Formulations[Formulation],MATCH($C4378,Formulations[Product Code],0)),"")</f>
        <v/>
      </c>
    </row>
    <row r="4379" spans="1:7" x14ac:dyDescent="0.3">
      <c r="A4379" t="s">
        <v>2463</v>
      </c>
      <c r="B4379" t="s">
        <v>905</v>
      </c>
      <c r="C4379" t="s">
        <v>906</v>
      </c>
      <c r="D4379" s="7">
        <v>5</v>
      </c>
      <c r="E4379">
        <v>2015</v>
      </c>
      <c r="F4379">
        <v>2015</v>
      </c>
      <c r="G4379" t="str">
        <f>IFERROR(INDEX(Formulations[Formulation],MATCH($C4379,Formulations[Product Code],0)),"")</f>
        <v/>
      </c>
    </row>
    <row r="4380" spans="1:7" x14ac:dyDescent="0.3">
      <c r="A4380" t="s">
        <v>2463</v>
      </c>
      <c r="B4380" t="s">
        <v>528</v>
      </c>
      <c r="C4380" t="s">
        <v>529</v>
      </c>
      <c r="D4380" s="7">
        <v>5</v>
      </c>
      <c r="E4380">
        <v>2015</v>
      </c>
      <c r="F4380">
        <v>2015</v>
      </c>
      <c r="G4380" t="str">
        <f>IFERROR(INDEX(Formulations[Formulation],MATCH($C4380,Formulations[Product Code],0)),"")</f>
        <v>Crystal</v>
      </c>
    </row>
    <row r="4381" spans="1:7" x14ac:dyDescent="0.3">
      <c r="A4381" t="s">
        <v>2468</v>
      </c>
      <c r="B4381" t="s">
        <v>686</v>
      </c>
      <c r="C4381" t="s">
        <v>687</v>
      </c>
      <c r="D4381" s="7">
        <v>5</v>
      </c>
      <c r="E4381">
        <v>2021</v>
      </c>
      <c r="F4381">
        <v>2021</v>
      </c>
      <c r="G4381" t="str">
        <f>IFERROR(INDEX(Formulations[Formulation],MATCH($C4381,Formulations[Product Code],0)),"")</f>
        <v>Pure</v>
      </c>
    </row>
    <row r="4382" spans="1:7" x14ac:dyDescent="0.3">
      <c r="A4382" t="s">
        <v>2468</v>
      </c>
      <c r="B4382" t="s">
        <v>671</v>
      </c>
      <c r="C4382" t="s">
        <v>672</v>
      </c>
      <c r="D4382" s="7">
        <v>5</v>
      </c>
      <c r="E4382">
        <v>2021</v>
      </c>
      <c r="F4382">
        <v>2021</v>
      </c>
      <c r="G4382" t="str">
        <f>IFERROR(INDEX(Formulations[Formulation],MATCH($C4382,Formulations[Product Code],0)),"")</f>
        <v>Pure</v>
      </c>
    </row>
    <row r="4383" spans="1:7" x14ac:dyDescent="0.3">
      <c r="A4383" t="s">
        <v>2472</v>
      </c>
      <c r="B4383" t="s">
        <v>586</v>
      </c>
      <c r="C4383" t="s">
        <v>587</v>
      </c>
      <c r="D4383" s="7">
        <v>5</v>
      </c>
      <c r="E4383">
        <v>2020</v>
      </c>
      <c r="F4383">
        <v>2020</v>
      </c>
      <c r="G4383" t="str">
        <f>IFERROR(INDEX(Formulations[Formulation],MATCH($C4383,Formulations[Product Code],0)),"")</f>
        <v>Pure</v>
      </c>
    </row>
    <row r="4384" spans="1:7" x14ac:dyDescent="0.3">
      <c r="A4384" t="s">
        <v>2482</v>
      </c>
      <c r="B4384" t="s">
        <v>454</v>
      </c>
      <c r="C4384" t="s">
        <v>455</v>
      </c>
      <c r="D4384" s="7">
        <v>5</v>
      </c>
      <c r="E4384">
        <v>2018</v>
      </c>
      <c r="F4384">
        <v>2018</v>
      </c>
      <c r="G4384" t="str">
        <f>IFERROR(INDEX(Formulations[Formulation],MATCH($C4384,Formulations[Product Code],0)),"")</f>
        <v>Pure</v>
      </c>
    </row>
    <row r="4385" spans="1:7" x14ac:dyDescent="0.3">
      <c r="A4385" t="s">
        <v>2483</v>
      </c>
      <c r="B4385" t="s">
        <v>34</v>
      </c>
      <c r="D4385" s="7">
        <v>5</v>
      </c>
      <c r="E4385">
        <v>2021</v>
      </c>
      <c r="F4385">
        <v>2021</v>
      </c>
      <c r="G4385" t="str">
        <f>IFERROR(INDEX(Formulations[Formulation],MATCH($C4385,Formulations[Product Code],0)),"")</f>
        <v/>
      </c>
    </row>
    <row r="4386" spans="1:7" x14ac:dyDescent="0.3">
      <c r="A4386" t="s">
        <v>2485</v>
      </c>
      <c r="B4386" t="s">
        <v>665</v>
      </c>
      <c r="D4386" s="7">
        <v>5</v>
      </c>
      <c r="E4386">
        <v>2020</v>
      </c>
      <c r="F4386">
        <v>2020</v>
      </c>
      <c r="G4386" t="str">
        <f>IFERROR(INDEX(Formulations[Formulation],MATCH($C4386,Formulations[Product Code],0)),"")</f>
        <v/>
      </c>
    </row>
    <row r="4387" spans="1:7" x14ac:dyDescent="0.3">
      <c r="A4387" t="s">
        <v>2485</v>
      </c>
      <c r="B4387" t="s">
        <v>99</v>
      </c>
      <c r="C4387" t="s">
        <v>100</v>
      </c>
      <c r="D4387" s="7">
        <v>5</v>
      </c>
      <c r="E4387">
        <v>2018</v>
      </c>
      <c r="F4387">
        <v>2018</v>
      </c>
      <c r="G4387" t="str">
        <f>IFERROR(INDEX(Formulations[Formulation],MATCH($C4387,Formulations[Product Code],0)),"")</f>
        <v>Crystal</v>
      </c>
    </row>
    <row r="4388" spans="1:7" x14ac:dyDescent="0.3">
      <c r="A4388" t="s">
        <v>2489</v>
      </c>
      <c r="B4388" t="s">
        <v>438</v>
      </c>
      <c r="C4388" t="s">
        <v>439</v>
      </c>
      <c r="D4388" s="7">
        <v>5</v>
      </c>
      <c r="E4388">
        <v>2017</v>
      </c>
      <c r="F4388">
        <v>2017</v>
      </c>
      <c r="G4388" t="str">
        <f>IFERROR(INDEX(Formulations[Formulation],MATCH($C4388,Formulations[Product Code],0)),"")</f>
        <v>Pure</v>
      </c>
    </row>
    <row r="4389" spans="1:7" x14ac:dyDescent="0.3">
      <c r="A4389" t="s">
        <v>2491</v>
      </c>
      <c r="B4389" t="s">
        <v>28</v>
      </c>
      <c r="D4389" s="7">
        <v>5</v>
      </c>
      <c r="E4389">
        <v>2015</v>
      </c>
      <c r="F4389">
        <v>2015</v>
      </c>
      <c r="G4389" t="str">
        <f>IFERROR(INDEX(Formulations[Formulation],MATCH($C4389,Formulations[Product Code],0)),"")</f>
        <v/>
      </c>
    </row>
    <row r="4390" spans="1:7" x14ac:dyDescent="0.3">
      <c r="A4390" t="s">
        <v>2498</v>
      </c>
      <c r="B4390" t="s">
        <v>1383</v>
      </c>
      <c r="C4390" t="s">
        <v>1384</v>
      </c>
      <c r="D4390" s="7">
        <v>5</v>
      </c>
      <c r="E4390">
        <v>2016</v>
      </c>
      <c r="F4390">
        <v>2016</v>
      </c>
      <c r="G4390" t="str">
        <f>IFERROR(INDEX(Formulations[Formulation],MATCH($C4390,Formulations[Product Code],0)),"")</f>
        <v>Pure</v>
      </c>
    </row>
    <row r="4391" spans="1:7" x14ac:dyDescent="0.3">
      <c r="A4391" t="s">
        <v>2504</v>
      </c>
      <c r="B4391" t="s">
        <v>524</v>
      </c>
      <c r="C4391" t="s">
        <v>525</v>
      </c>
      <c r="D4391" s="7">
        <v>5</v>
      </c>
      <c r="E4391">
        <v>2019</v>
      </c>
      <c r="F4391">
        <v>2019</v>
      </c>
      <c r="G4391" t="str">
        <f>IFERROR(INDEX(Formulations[Formulation],MATCH($C4391,Formulations[Product Code],0)),"")</f>
        <v/>
      </c>
    </row>
    <row r="4392" spans="1:7" x14ac:dyDescent="0.3">
      <c r="A4392" t="s">
        <v>2504</v>
      </c>
      <c r="B4392" t="s">
        <v>19</v>
      </c>
      <c r="C4392" t="s">
        <v>20</v>
      </c>
      <c r="D4392" s="7">
        <v>5</v>
      </c>
      <c r="E4392">
        <v>2019</v>
      </c>
      <c r="F4392">
        <v>2019</v>
      </c>
      <c r="G4392" t="str">
        <f>IFERROR(INDEX(Formulations[Formulation],MATCH($C4392,Formulations[Product Code],0)),"")</f>
        <v>80 % Oil AND 20 % DPG</v>
      </c>
    </row>
    <row r="4393" spans="1:7" x14ac:dyDescent="0.3">
      <c r="A4393" t="s">
        <v>2504</v>
      </c>
      <c r="B4393" t="s">
        <v>19</v>
      </c>
      <c r="C4393" t="s">
        <v>670</v>
      </c>
      <c r="D4393" s="7">
        <v>5</v>
      </c>
      <c r="E4393">
        <v>2020</v>
      </c>
      <c r="F4393">
        <v>2020</v>
      </c>
      <c r="G4393" t="str">
        <f>IFERROR(INDEX(Formulations[Formulation],MATCH($C4393,Formulations[Product Code],0)),"")</f>
        <v>Crystal</v>
      </c>
    </row>
    <row r="4394" spans="1:7" x14ac:dyDescent="0.3">
      <c r="A4394" t="s">
        <v>2504</v>
      </c>
      <c r="B4394" t="s">
        <v>911</v>
      </c>
      <c r="C4394" t="s">
        <v>912</v>
      </c>
      <c r="D4394" s="7">
        <v>5</v>
      </c>
      <c r="E4394">
        <v>2019</v>
      </c>
      <c r="F4394">
        <v>2019</v>
      </c>
      <c r="G4394" t="str">
        <f>IFERROR(INDEX(Formulations[Formulation],MATCH($C4394,Formulations[Product Code],0)),"")</f>
        <v>Gold</v>
      </c>
    </row>
    <row r="4395" spans="1:7" x14ac:dyDescent="0.3">
      <c r="A4395" t="s">
        <v>2505</v>
      </c>
      <c r="B4395" t="s">
        <v>2506</v>
      </c>
      <c r="C4395" t="s">
        <v>2507</v>
      </c>
      <c r="D4395" s="7">
        <v>5</v>
      </c>
      <c r="E4395">
        <v>2019</v>
      </c>
      <c r="F4395">
        <v>2019</v>
      </c>
      <c r="G4395" t="str">
        <f>IFERROR(INDEX(Formulations[Formulation],MATCH($C4395,Formulations[Product Code],0)),"")</f>
        <v/>
      </c>
    </row>
    <row r="4396" spans="1:7" x14ac:dyDescent="0.3">
      <c r="A4396" t="s">
        <v>2514</v>
      </c>
      <c r="B4396" t="s">
        <v>1412</v>
      </c>
      <c r="D4396" s="7">
        <v>5</v>
      </c>
      <c r="E4396">
        <v>2021</v>
      </c>
      <c r="F4396">
        <v>2021</v>
      </c>
      <c r="G4396" t="str">
        <f>IFERROR(INDEX(Formulations[Formulation],MATCH($C4396,Formulations[Product Code],0)),"")</f>
        <v/>
      </c>
    </row>
    <row r="4397" spans="1:7" x14ac:dyDescent="0.3">
      <c r="A4397" t="s">
        <v>2514</v>
      </c>
      <c r="B4397" t="s">
        <v>146</v>
      </c>
      <c r="D4397" s="7">
        <v>5</v>
      </c>
      <c r="E4397">
        <v>2021</v>
      </c>
      <c r="F4397">
        <v>2021</v>
      </c>
      <c r="G4397" t="str">
        <f>IFERROR(INDEX(Formulations[Formulation],MATCH($C4397,Formulations[Product Code],0)),"")</f>
        <v/>
      </c>
    </row>
    <row r="4398" spans="1:7" x14ac:dyDescent="0.3">
      <c r="A4398" t="s">
        <v>2515</v>
      </c>
      <c r="B4398" t="s">
        <v>34</v>
      </c>
      <c r="D4398" s="7">
        <v>5</v>
      </c>
      <c r="E4398">
        <v>2020</v>
      </c>
      <c r="F4398">
        <v>2020</v>
      </c>
      <c r="G4398" t="str">
        <f>IFERROR(INDEX(Formulations[Formulation],MATCH($C4398,Formulations[Product Code],0)),"")</f>
        <v/>
      </c>
    </row>
    <row r="4399" spans="1:7" x14ac:dyDescent="0.3">
      <c r="A4399" t="s">
        <v>2519</v>
      </c>
      <c r="B4399" t="s">
        <v>2520</v>
      </c>
      <c r="D4399" s="7">
        <v>5</v>
      </c>
      <c r="E4399">
        <v>2020</v>
      </c>
      <c r="F4399">
        <v>2020</v>
      </c>
      <c r="G4399" t="str">
        <f>IFERROR(INDEX(Formulations[Formulation],MATCH($C4399,Formulations[Product Code],0)),"")</f>
        <v/>
      </c>
    </row>
    <row r="4400" spans="1:7" x14ac:dyDescent="0.3">
      <c r="A4400" t="s">
        <v>2519</v>
      </c>
      <c r="B4400" t="s">
        <v>593</v>
      </c>
      <c r="C4400" t="s">
        <v>594</v>
      </c>
      <c r="D4400" s="7">
        <v>5</v>
      </c>
      <c r="E4400">
        <v>2021</v>
      </c>
      <c r="F4400">
        <v>2021</v>
      </c>
      <c r="G4400" t="str">
        <f>IFERROR(INDEX(Formulations[Formulation],MATCH($C4400,Formulations[Product Code],0)),"")</f>
        <v>Oil 4.5kg</v>
      </c>
    </row>
    <row r="4401" spans="1:7" x14ac:dyDescent="0.3">
      <c r="A4401" t="s">
        <v>2519</v>
      </c>
      <c r="B4401" t="s">
        <v>1216</v>
      </c>
      <c r="C4401" t="s">
        <v>1217</v>
      </c>
      <c r="D4401" s="7">
        <v>5</v>
      </c>
      <c r="E4401">
        <v>2020</v>
      </c>
      <c r="F4401">
        <v>2020</v>
      </c>
      <c r="G4401" t="str">
        <f>IFERROR(INDEX(Formulations[Formulation],MATCH($C4401,Formulations[Product Code],0)),"")</f>
        <v>Pure</v>
      </c>
    </row>
    <row r="4402" spans="1:7" x14ac:dyDescent="0.3">
      <c r="A4402" t="s">
        <v>2519</v>
      </c>
      <c r="B4402" t="s">
        <v>119</v>
      </c>
      <c r="D4402" s="7">
        <v>5</v>
      </c>
      <c r="E4402">
        <v>2020</v>
      </c>
      <c r="F4402">
        <v>2020</v>
      </c>
      <c r="G4402" t="str">
        <f>IFERROR(INDEX(Formulations[Formulation],MATCH($C4402,Formulations[Product Code],0)),"")</f>
        <v/>
      </c>
    </row>
    <row r="4403" spans="1:7" x14ac:dyDescent="0.3">
      <c r="A4403" t="s">
        <v>2519</v>
      </c>
      <c r="B4403" t="s">
        <v>1367</v>
      </c>
      <c r="C4403" t="s">
        <v>1368</v>
      </c>
      <c r="D4403" s="7">
        <v>5</v>
      </c>
      <c r="E4403">
        <v>2019</v>
      </c>
      <c r="F4403">
        <v>2019</v>
      </c>
      <c r="G4403" t="str">
        <f>IFERROR(INDEX(Formulations[Formulation],MATCH($C4403,Formulations[Product Code],0)),"")</f>
        <v>Pure</v>
      </c>
    </row>
    <row r="4404" spans="1:7" x14ac:dyDescent="0.3">
      <c r="A4404" t="s">
        <v>2521</v>
      </c>
      <c r="B4404" t="s">
        <v>1975</v>
      </c>
      <c r="C4404" t="s">
        <v>989</v>
      </c>
      <c r="D4404" s="7">
        <v>5</v>
      </c>
      <c r="E4404">
        <v>2013</v>
      </c>
      <c r="F4404">
        <v>2013</v>
      </c>
      <c r="G4404" t="str">
        <f>IFERROR(INDEX(Formulations[Formulation],MATCH($C4404,Formulations[Product Code],0)),"")</f>
        <v/>
      </c>
    </row>
    <row r="4405" spans="1:7" x14ac:dyDescent="0.3">
      <c r="A4405" t="s">
        <v>2529</v>
      </c>
      <c r="B4405" t="s">
        <v>586</v>
      </c>
      <c r="C4405" t="s">
        <v>587</v>
      </c>
      <c r="D4405" s="7">
        <v>5</v>
      </c>
      <c r="E4405">
        <v>2020</v>
      </c>
      <c r="F4405">
        <v>2020</v>
      </c>
      <c r="G4405" t="str">
        <f>IFERROR(INDEX(Formulations[Formulation],MATCH($C4405,Formulations[Product Code],0)),"")</f>
        <v>Pure</v>
      </c>
    </row>
    <row r="4406" spans="1:7" x14ac:dyDescent="0.3">
      <c r="A4406" t="s">
        <v>2529</v>
      </c>
      <c r="B4406" t="s">
        <v>34</v>
      </c>
      <c r="D4406" s="7">
        <v>5</v>
      </c>
      <c r="E4406">
        <v>2020</v>
      </c>
      <c r="F4406">
        <v>2020</v>
      </c>
      <c r="G4406" t="str">
        <f>IFERROR(INDEX(Formulations[Formulation],MATCH($C4406,Formulations[Product Code],0)),"")</f>
        <v/>
      </c>
    </row>
    <row r="4407" spans="1:7" x14ac:dyDescent="0.3">
      <c r="A4407" t="s">
        <v>2529</v>
      </c>
      <c r="B4407" t="s">
        <v>1178</v>
      </c>
      <c r="C4407" t="s">
        <v>1179</v>
      </c>
      <c r="D4407" s="7">
        <v>5</v>
      </c>
      <c r="E4407">
        <v>2020</v>
      </c>
      <c r="F4407">
        <v>2020</v>
      </c>
      <c r="G4407" t="str">
        <f>IFERROR(INDEX(Formulations[Formulation],MATCH($C4407,Formulations[Product Code],0)),"")</f>
        <v/>
      </c>
    </row>
    <row r="4408" spans="1:7" x14ac:dyDescent="0.3">
      <c r="A4408" t="s">
        <v>2532</v>
      </c>
      <c r="B4408" t="s">
        <v>187</v>
      </c>
      <c r="C4408" t="s">
        <v>188</v>
      </c>
      <c r="D4408" s="7">
        <v>5</v>
      </c>
      <c r="E4408">
        <v>2016</v>
      </c>
      <c r="F4408">
        <v>2016</v>
      </c>
      <c r="G4408" t="str">
        <f>IFERROR(INDEX(Formulations[Formulation],MATCH($C4408,Formulations[Product Code],0)),"")</f>
        <v>Crystal</v>
      </c>
    </row>
    <row r="4409" spans="1:7" x14ac:dyDescent="0.3">
      <c r="A4409" t="s">
        <v>2532</v>
      </c>
      <c r="B4409" t="s">
        <v>30</v>
      </c>
      <c r="C4409" t="s">
        <v>31</v>
      </c>
      <c r="D4409" s="7">
        <v>5</v>
      </c>
      <c r="E4409">
        <v>2021</v>
      </c>
      <c r="F4409">
        <v>2021</v>
      </c>
      <c r="G4409" t="str">
        <f>IFERROR(INDEX(Formulations[Formulation],MATCH($C4409,Formulations[Product Code],0)),"")</f>
        <v>Pure</v>
      </c>
    </row>
    <row r="4410" spans="1:7" x14ac:dyDescent="0.3">
      <c r="A4410" t="s">
        <v>2532</v>
      </c>
      <c r="B4410" t="s">
        <v>46</v>
      </c>
      <c r="C4410" t="s">
        <v>47</v>
      </c>
      <c r="D4410" s="7">
        <v>5</v>
      </c>
      <c r="E4410">
        <v>2019</v>
      </c>
      <c r="F4410">
        <v>2019</v>
      </c>
      <c r="G4410" t="str">
        <f>IFERROR(INDEX(Formulations[Formulation],MATCH($C4410,Formulations[Product Code],0)),"")</f>
        <v/>
      </c>
    </row>
    <row r="4411" spans="1:7" x14ac:dyDescent="0.3">
      <c r="A4411" t="s">
        <v>2542</v>
      </c>
      <c r="B4411" t="s">
        <v>1653</v>
      </c>
      <c r="C4411" t="s">
        <v>1654</v>
      </c>
      <c r="D4411" s="7">
        <v>5</v>
      </c>
      <c r="E4411">
        <v>2021</v>
      </c>
      <c r="F4411">
        <v>2021</v>
      </c>
      <c r="G4411" t="str">
        <f>IFERROR(INDEX(Formulations[Formulation],MATCH($C4411,Formulations[Product Code],0)),"")</f>
        <v>Pure</v>
      </c>
    </row>
    <row r="4412" spans="1:7" x14ac:dyDescent="0.3">
      <c r="A4412" t="s">
        <v>2542</v>
      </c>
      <c r="B4412" t="s">
        <v>68</v>
      </c>
      <c r="C4412" t="s">
        <v>69</v>
      </c>
      <c r="D4412" s="7">
        <v>5</v>
      </c>
      <c r="E4412">
        <v>2019</v>
      </c>
      <c r="F4412">
        <v>2019</v>
      </c>
      <c r="G4412" t="str">
        <f>IFERROR(INDEX(Formulations[Formulation],MATCH($C4412,Formulations[Product Code],0)),"")</f>
        <v>Silver</v>
      </c>
    </row>
    <row r="4413" spans="1:7" x14ac:dyDescent="0.3">
      <c r="A4413" t="s">
        <v>2542</v>
      </c>
      <c r="B4413" t="s">
        <v>12</v>
      </c>
      <c r="C4413" t="s">
        <v>13</v>
      </c>
      <c r="D4413" s="7">
        <v>5</v>
      </c>
      <c r="E4413">
        <v>2021</v>
      </c>
      <c r="F4413">
        <v>2021</v>
      </c>
      <c r="G4413" t="str">
        <f>IFERROR(INDEX(Formulations[Formulation],MATCH($C4413,Formulations[Product Code],0)),"")</f>
        <v>Crystal</v>
      </c>
    </row>
    <row r="4414" spans="1:7" x14ac:dyDescent="0.3">
      <c r="A4414" t="s">
        <v>2556</v>
      </c>
      <c r="B4414" t="s">
        <v>686</v>
      </c>
      <c r="C4414" t="s">
        <v>687</v>
      </c>
      <c r="D4414" s="7">
        <v>5</v>
      </c>
      <c r="E4414">
        <v>2020</v>
      </c>
      <c r="F4414">
        <v>2020</v>
      </c>
      <c r="G4414" t="str">
        <f>IFERROR(INDEX(Formulations[Formulation],MATCH($C4414,Formulations[Product Code],0)),"")</f>
        <v>Pure</v>
      </c>
    </row>
    <row r="4415" spans="1:7" x14ac:dyDescent="0.3">
      <c r="A4415" t="s">
        <v>2557</v>
      </c>
      <c r="B4415" t="s">
        <v>649</v>
      </c>
      <c r="C4415" t="s">
        <v>650</v>
      </c>
      <c r="D4415" s="7">
        <v>5</v>
      </c>
      <c r="E4415">
        <v>2020</v>
      </c>
      <c r="F4415">
        <v>2020</v>
      </c>
      <c r="G4415" t="str">
        <f>IFERROR(INDEX(Formulations[Formulation],MATCH($C4415,Formulations[Product Code],0)),"")</f>
        <v>Pure</v>
      </c>
    </row>
    <row r="4416" spans="1:7" x14ac:dyDescent="0.3">
      <c r="A4416" t="s">
        <v>2568</v>
      </c>
      <c r="B4416" t="s">
        <v>471</v>
      </c>
      <c r="C4416" t="s">
        <v>472</v>
      </c>
      <c r="D4416" s="7">
        <v>5</v>
      </c>
      <c r="E4416">
        <v>2018</v>
      </c>
      <c r="F4416">
        <v>2018</v>
      </c>
      <c r="G4416" t="str">
        <f>IFERROR(INDEX(Formulations[Formulation],MATCH($C4416,Formulations[Product Code],0)),"")</f>
        <v>Crystal</v>
      </c>
    </row>
    <row r="4417" spans="1:7" x14ac:dyDescent="0.3">
      <c r="A4417" t="s">
        <v>2572</v>
      </c>
      <c r="B4417" t="s">
        <v>883</v>
      </c>
      <c r="C4417" t="s">
        <v>780</v>
      </c>
      <c r="D4417" s="7">
        <v>5</v>
      </c>
      <c r="E4417">
        <v>2015</v>
      </c>
      <c r="F4417">
        <v>2015</v>
      </c>
      <c r="G4417" t="str">
        <f>IFERROR(INDEX(Formulations[Formulation],MATCH($C4417,Formulations[Product Code],0)),"")</f>
        <v/>
      </c>
    </row>
    <row r="4418" spans="1:7" x14ac:dyDescent="0.3">
      <c r="A4418" t="s">
        <v>2572</v>
      </c>
      <c r="B4418" t="s">
        <v>12</v>
      </c>
      <c r="C4418" t="s">
        <v>13</v>
      </c>
      <c r="D4418" s="7">
        <v>5</v>
      </c>
      <c r="E4418">
        <v>2016</v>
      </c>
      <c r="F4418">
        <v>2016</v>
      </c>
      <c r="G4418" t="str">
        <f>IFERROR(INDEX(Formulations[Formulation],MATCH($C4418,Formulations[Product Code],0)),"")</f>
        <v>Crystal</v>
      </c>
    </row>
    <row r="4419" spans="1:7" x14ac:dyDescent="0.3">
      <c r="A4419" t="s">
        <v>2577</v>
      </c>
      <c r="B4419" t="s">
        <v>721</v>
      </c>
      <c r="C4419" t="s">
        <v>722</v>
      </c>
      <c r="D4419" s="7">
        <v>5</v>
      </c>
      <c r="E4419">
        <v>2015</v>
      </c>
      <c r="F4419">
        <v>2015</v>
      </c>
      <c r="G4419" t="str">
        <f>IFERROR(INDEX(Formulations[Formulation],MATCH($C4419,Formulations[Product Code],0)),"")</f>
        <v>Pure</v>
      </c>
    </row>
    <row r="4420" spans="1:7" x14ac:dyDescent="0.3">
      <c r="A4420" t="s">
        <v>2577</v>
      </c>
      <c r="B4420" t="s">
        <v>473</v>
      </c>
      <c r="C4420" t="s">
        <v>747</v>
      </c>
      <c r="D4420" s="7">
        <v>5</v>
      </c>
      <c r="E4420">
        <v>2015</v>
      </c>
      <c r="F4420">
        <v>2015</v>
      </c>
      <c r="G4420" t="str">
        <f>IFERROR(INDEX(Formulations[Formulation],MATCH($C4420,Formulations[Product Code],0)),"")</f>
        <v/>
      </c>
    </row>
    <row r="4421" spans="1:7" x14ac:dyDescent="0.3">
      <c r="A4421" t="s">
        <v>2588</v>
      </c>
      <c r="B4421" t="s">
        <v>218</v>
      </c>
      <c r="C4421" t="s">
        <v>212</v>
      </c>
      <c r="D4421" s="7">
        <v>5</v>
      </c>
      <c r="E4421">
        <v>2010</v>
      </c>
      <c r="F4421">
        <v>2010</v>
      </c>
      <c r="G4421" t="str">
        <f>IFERROR(INDEX(Formulations[Formulation],MATCH($C4421,Formulations[Product Code],0)),"")</f>
        <v>Pure</v>
      </c>
    </row>
    <row r="4422" spans="1:7" x14ac:dyDescent="0.3">
      <c r="A4422" t="s">
        <v>2588</v>
      </c>
      <c r="B4422" t="s">
        <v>219</v>
      </c>
      <c r="C4422" t="s">
        <v>220</v>
      </c>
      <c r="D4422" s="7">
        <v>5</v>
      </c>
      <c r="E4422">
        <v>2011</v>
      </c>
      <c r="F4422">
        <v>2011</v>
      </c>
      <c r="G4422" t="str">
        <f>IFERROR(INDEX(Formulations[Formulation],MATCH($C4422,Formulations[Product Code],0)),"")</f>
        <v/>
      </c>
    </row>
    <row r="4423" spans="1:7" x14ac:dyDescent="0.3">
      <c r="A4423" t="s">
        <v>2589</v>
      </c>
      <c r="B4423" t="s">
        <v>218</v>
      </c>
      <c r="C4423" t="s">
        <v>212</v>
      </c>
      <c r="D4423" s="7">
        <v>5</v>
      </c>
      <c r="E4423">
        <v>2015</v>
      </c>
      <c r="F4423">
        <v>2017</v>
      </c>
      <c r="G4423" t="str">
        <f>IFERROR(INDEX(Formulations[Formulation],MATCH($C4423,Formulations[Product Code],0)),"")</f>
        <v>Pure</v>
      </c>
    </row>
    <row r="4424" spans="1:7" x14ac:dyDescent="0.3">
      <c r="A4424" t="s">
        <v>2589</v>
      </c>
      <c r="B4424" t="s">
        <v>614</v>
      </c>
      <c r="C4424" t="s">
        <v>141</v>
      </c>
      <c r="D4424" s="7">
        <v>5</v>
      </c>
      <c r="E4424">
        <v>2015</v>
      </c>
      <c r="F4424">
        <v>2015</v>
      </c>
      <c r="G4424" t="str">
        <f>IFERROR(INDEX(Formulations[Formulation],MATCH($C4424,Formulations[Product Code],0)),"")</f>
        <v/>
      </c>
    </row>
    <row r="4425" spans="1:7" x14ac:dyDescent="0.3">
      <c r="A4425" t="s">
        <v>2589</v>
      </c>
      <c r="B4425" t="s">
        <v>297</v>
      </c>
      <c r="C4425" t="s">
        <v>298</v>
      </c>
      <c r="D4425" s="7">
        <v>5</v>
      </c>
      <c r="E4425">
        <v>2015</v>
      </c>
      <c r="F4425">
        <v>2015</v>
      </c>
      <c r="G4425" t="str">
        <f>IFERROR(INDEX(Formulations[Formulation],MATCH($C4425,Formulations[Product Code],0)),"")</f>
        <v>Pure</v>
      </c>
    </row>
    <row r="4426" spans="1:7" x14ac:dyDescent="0.3">
      <c r="A4426" t="s">
        <v>2589</v>
      </c>
      <c r="B4426" t="s">
        <v>120</v>
      </c>
      <c r="C4426" t="s">
        <v>121</v>
      </c>
      <c r="D4426" s="7">
        <v>5</v>
      </c>
      <c r="E4426">
        <v>2015</v>
      </c>
      <c r="F4426">
        <v>2015</v>
      </c>
      <c r="G4426" t="str">
        <f>IFERROR(INDEX(Formulations[Formulation],MATCH($C4426,Formulations[Product Code],0)),"")</f>
        <v/>
      </c>
    </row>
    <row r="4427" spans="1:7" x14ac:dyDescent="0.3">
      <c r="A4427" t="s">
        <v>2589</v>
      </c>
      <c r="B4427" t="s">
        <v>1404</v>
      </c>
      <c r="D4427" s="7">
        <v>5</v>
      </c>
      <c r="E4427">
        <v>2019</v>
      </c>
      <c r="F4427">
        <v>2020</v>
      </c>
      <c r="G4427" t="str">
        <f>IFERROR(INDEX(Formulations[Formulation],MATCH($C4427,Formulations[Product Code],0)),"")</f>
        <v/>
      </c>
    </row>
    <row r="4428" spans="1:7" x14ac:dyDescent="0.3">
      <c r="A4428" t="s">
        <v>2589</v>
      </c>
      <c r="B4428" t="s">
        <v>196</v>
      </c>
      <c r="C4428" t="s">
        <v>197</v>
      </c>
      <c r="D4428" s="7">
        <v>5</v>
      </c>
      <c r="E4428">
        <v>2015</v>
      </c>
      <c r="F4428">
        <v>2015</v>
      </c>
      <c r="G4428" t="str">
        <f>IFERROR(INDEX(Formulations[Formulation],MATCH($C4428,Formulations[Product Code],0)),"")</f>
        <v/>
      </c>
    </row>
    <row r="4429" spans="1:7" x14ac:dyDescent="0.3">
      <c r="A4429" t="s">
        <v>2589</v>
      </c>
      <c r="B4429" t="s">
        <v>72</v>
      </c>
      <c r="C4429" t="s">
        <v>73</v>
      </c>
      <c r="D4429" s="7">
        <v>5</v>
      </c>
      <c r="E4429">
        <v>2015</v>
      </c>
      <c r="F4429">
        <v>2015</v>
      </c>
      <c r="G4429" t="str">
        <f>IFERROR(INDEX(Formulations[Formulation],MATCH($C4429,Formulations[Product Code],0)),"")</f>
        <v>Silver</v>
      </c>
    </row>
    <row r="4430" spans="1:7" x14ac:dyDescent="0.3">
      <c r="A4430" t="s">
        <v>2589</v>
      </c>
      <c r="B4430" t="s">
        <v>386</v>
      </c>
      <c r="C4430" t="s">
        <v>387</v>
      </c>
      <c r="D4430" s="7">
        <v>5</v>
      </c>
      <c r="E4430">
        <v>2015</v>
      </c>
      <c r="F4430">
        <v>2015</v>
      </c>
      <c r="G4430" t="str">
        <f>IFERROR(INDEX(Formulations[Formulation],MATCH($C4430,Formulations[Product Code],0)),"")</f>
        <v/>
      </c>
    </row>
    <row r="4431" spans="1:7" x14ac:dyDescent="0.3">
      <c r="A4431" t="s">
        <v>2590</v>
      </c>
      <c r="B4431" t="s">
        <v>867</v>
      </c>
      <c r="C4431" t="s">
        <v>868</v>
      </c>
      <c r="D4431" s="7">
        <v>5</v>
      </c>
      <c r="E4431">
        <v>2019</v>
      </c>
      <c r="F4431">
        <v>2019</v>
      </c>
      <c r="G4431" t="str">
        <f>IFERROR(INDEX(Formulations[Formulation],MATCH($C4431,Formulations[Product Code],0)),"")</f>
        <v>Crystal</v>
      </c>
    </row>
    <row r="4432" spans="1:7" x14ac:dyDescent="0.3">
      <c r="A4432" t="s">
        <v>2590</v>
      </c>
      <c r="B4432" t="s">
        <v>314</v>
      </c>
      <c r="C4432" t="s">
        <v>315</v>
      </c>
      <c r="D4432" s="7">
        <v>5</v>
      </c>
      <c r="E4432">
        <v>2019</v>
      </c>
      <c r="F4432">
        <v>2019</v>
      </c>
      <c r="G4432" t="str">
        <f>IFERROR(INDEX(Formulations[Formulation],MATCH($C4432,Formulations[Product Code],0)),"")</f>
        <v/>
      </c>
    </row>
    <row r="4433" spans="1:7" x14ac:dyDescent="0.3">
      <c r="A4433" t="s">
        <v>2595</v>
      </c>
      <c r="B4433" t="s">
        <v>373</v>
      </c>
      <c r="C4433" t="s">
        <v>331</v>
      </c>
      <c r="D4433" s="7">
        <v>5</v>
      </c>
      <c r="E4433">
        <v>2020</v>
      </c>
      <c r="F4433">
        <v>2020</v>
      </c>
      <c r="G4433" t="str">
        <f>IFERROR(INDEX(Formulations[Formulation],MATCH($C4433,Formulations[Product Code],0)),"")</f>
        <v>35% oil</v>
      </c>
    </row>
    <row r="4434" spans="1:7" x14ac:dyDescent="0.3">
      <c r="A4434" t="s">
        <v>2595</v>
      </c>
      <c r="B4434" t="s">
        <v>1349</v>
      </c>
      <c r="C4434" t="s">
        <v>1350</v>
      </c>
      <c r="D4434" s="7">
        <v>5</v>
      </c>
      <c r="E4434">
        <v>2020</v>
      </c>
      <c r="F4434">
        <v>2020</v>
      </c>
      <c r="G4434" t="str">
        <f>IFERROR(INDEX(Formulations[Formulation],MATCH($C4434,Formulations[Product Code],0)),"")</f>
        <v/>
      </c>
    </row>
    <row r="4435" spans="1:7" x14ac:dyDescent="0.3">
      <c r="A4435" t="s">
        <v>2596</v>
      </c>
      <c r="B4435" t="s">
        <v>962</v>
      </c>
      <c r="C4435" t="s">
        <v>963</v>
      </c>
      <c r="D4435" s="7">
        <v>5</v>
      </c>
      <c r="E4435">
        <v>2010</v>
      </c>
      <c r="F4435">
        <v>2010</v>
      </c>
      <c r="G4435" t="str">
        <f>IFERROR(INDEX(Formulations[Formulation],MATCH($C4435,Formulations[Product Code],0)),"")</f>
        <v/>
      </c>
    </row>
    <row r="4436" spans="1:7" x14ac:dyDescent="0.3">
      <c r="A4436" t="s">
        <v>2362</v>
      </c>
      <c r="B4436" t="s">
        <v>2363</v>
      </c>
      <c r="C4436" t="s">
        <v>2364</v>
      </c>
      <c r="D4436" s="7">
        <v>4.5</v>
      </c>
      <c r="E4436">
        <v>2014</v>
      </c>
      <c r="F4436">
        <v>2014</v>
      </c>
      <c r="G4436" t="str">
        <f>IFERROR(INDEX(Formulations[Formulation],MATCH($C4436,Formulations[Product Code],0)),"")</f>
        <v/>
      </c>
    </row>
    <row r="4437" spans="1:7" x14ac:dyDescent="0.3">
      <c r="A4437" t="s">
        <v>78</v>
      </c>
      <c r="B4437" t="s">
        <v>81</v>
      </c>
      <c r="D4437" s="7">
        <v>4</v>
      </c>
      <c r="E4437">
        <v>2019</v>
      </c>
      <c r="F4437">
        <v>2019</v>
      </c>
      <c r="G4437" t="str">
        <f>IFERROR(INDEX(Formulations[Formulation],MATCH($C4437,Formulations[Product Code],0)),"")</f>
        <v/>
      </c>
    </row>
    <row r="4438" spans="1:7" x14ac:dyDescent="0.3">
      <c r="A4438" t="s">
        <v>78</v>
      </c>
      <c r="B4438" t="s">
        <v>125</v>
      </c>
      <c r="D4438" s="7">
        <v>4</v>
      </c>
      <c r="E4438">
        <v>2018</v>
      </c>
      <c r="F4438">
        <v>2020</v>
      </c>
      <c r="G4438" t="str">
        <f>IFERROR(INDEX(Formulations[Formulation],MATCH($C4438,Formulations[Product Code],0)),"")</f>
        <v/>
      </c>
    </row>
    <row r="4439" spans="1:7" x14ac:dyDescent="0.3">
      <c r="A4439" t="s">
        <v>585</v>
      </c>
      <c r="B4439" t="s">
        <v>589</v>
      </c>
      <c r="C4439" t="s">
        <v>590</v>
      </c>
      <c r="D4439" s="7">
        <v>4</v>
      </c>
      <c r="E4439">
        <v>2021</v>
      </c>
      <c r="F4439">
        <v>2021</v>
      </c>
      <c r="G4439" t="str">
        <f>IFERROR(INDEX(Formulations[Formulation],MATCH($C4439,Formulations[Product Code],0)),"")</f>
        <v>Bakhur : A285878- 90%, A243761-10%</v>
      </c>
    </row>
    <row r="4440" spans="1:7" x14ac:dyDescent="0.3">
      <c r="A4440" t="s">
        <v>585</v>
      </c>
      <c r="B4440" t="s">
        <v>597</v>
      </c>
      <c r="C4440" t="s">
        <v>598</v>
      </c>
      <c r="D4440" s="7">
        <v>4</v>
      </c>
      <c r="E4440">
        <v>2020</v>
      </c>
      <c r="F4440">
        <v>2020</v>
      </c>
      <c r="G4440" t="str">
        <f>IFERROR(INDEX(Formulations[Formulation],MATCH($C4440,Formulations[Product Code],0)),"")</f>
        <v>Silver</v>
      </c>
    </row>
    <row r="4441" spans="1:7" x14ac:dyDescent="0.3">
      <c r="A4441" t="s">
        <v>822</v>
      </c>
      <c r="B4441" t="s">
        <v>196</v>
      </c>
      <c r="C4441" t="s">
        <v>197</v>
      </c>
      <c r="D4441" s="7">
        <v>4</v>
      </c>
      <c r="E4441">
        <v>2017</v>
      </c>
      <c r="F4441">
        <v>2017</v>
      </c>
      <c r="G4441" t="str">
        <f>IFERROR(INDEX(Formulations[Formulation],MATCH($C4441,Formulations[Product Code],0)),"")</f>
        <v/>
      </c>
    </row>
    <row r="4442" spans="1:7" x14ac:dyDescent="0.3">
      <c r="A4442" t="s">
        <v>840</v>
      </c>
      <c r="B4442" t="s">
        <v>88</v>
      </c>
      <c r="C4442" t="s">
        <v>89</v>
      </c>
      <c r="D4442" s="7">
        <v>4</v>
      </c>
      <c r="E4442">
        <v>2020</v>
      </c>
      <c r="F4442">
        <v>2020</v>
      </c>
      <c r="G4442" t="str">
        <f>IFERROR(INDEX(Formulations[Formulation],MATCH($C4442,Formulations[Product Code],0)),"")</f>
        <v>Pure</v>
      </c>
    </row>
    <row r="4443" spans="1:7" x14ac:dyDescent="0.3">
      <c r="A4443" t="s">
        <v>840</v>
      </c>
      <c r="B4443" t="s">
        <v>637</v>
      </c>
      <c r="C4443" t="s">
        <v>638</v>
      </c>
      <c r="D4443" s="7">
        <v>4</v>
      </c>
      <c r="E4443">
        <v>2020</v>
      </c>
      <c r="F4443">
        <v>2020</v>
      </c>
      <c r="G4443" t="str">
        <f>IFERROR(INDEX(Formulations[Formulation],MATCH($C4443,Formulations[Product Code],0)),"")</f>
        <v>Pure</v>
      </c>
    </row>
    <row r="4444" spans="1:7" x14ac:dyDescent="0.3">
      <c r="A4444" t="s">
        <v>840</v>
      </c>
      <c r="B4444" t="s">
        <v>596</v>
      </c>
      <c r="D4444" s="7">
        <v>4</v>
      </c>
      <c r="E4444">
        <v>2020</v>
      </c>
      <c r="F4444">
        <v>2020</v>
      </c>
      <c r="G4444" t="str">
        <f>IFERROR(INDEX(Formulations[Formulation],MATCH($C4444,Formulations[Product Code],0)),"")</f>
        <v/>
      </c>
    </row>
    <row r="4445" spans="1:7" x14ac:dyDescent="0.3">
      <c r="A4445" t="s">
        <v>840</v>
      </c>
      <c r="B4445" t="s">
        <v>263</v>
      </c>
      <c r="C4445" t="s">
        <v>264</v>
      </c>
      <c r="D4445" s="7">
        <v>4</v>
      </c>
      <c r="E4445">
        <v>2020</v>
      </c>
      <c r="F4445">
        <v>2020</v>
      </c>
      <c r="G4445" t="str">
        <f>IFERROR(INDEX(Formulations[Formulation],MATCH($C4445,Formulations[Product Code],0)),"")</f>
        <v>Silver</v>
      </c>
    </row>
    <row r="4446" spans="1:7" x14ac:dyDescent="0.3">
      <c r="A4446" t="s">
        <v>840</v>
      </c>
      <c r="B4446" t="s">
        <v>841</v>
      </c>
      <c r="C4446" t="s">
        <v>169</v>
      </c>
      <c r="D4446" s="7">
        <v>4</v>
      </c>
      <c r="E4446">
        <v>2020</v>
      </c>
      <c r="F4446">
        <v>2020</v>
      </c>
      <c r="G4446" t="str">
        <f>IFERROR(INDEX(Formulations[Formulation],MATCH($C4446,Formulations[Product Code],0)),"")</f>
        <v>Silver</v>
      </c>
    </row>
    <row r="4447" spans="1:7" x14ac:dyDescent="0.3">
      <c r="A4447" t="s">
        <v>1127</v>
      </c>
      <c r="B4447" t="s">
        <v>1136</v>
      </c>
      <c r="C4447" t="s">
        <v>1137</v>
      </c>
      <c r="D4447" s="7">
        <v>4</v>
      </c>
      <c r="E4447">
        <v>2019</v>
      </c>
      <c r="F4447">
        <v>2019</v>
      </c>
      <c r="G4447" t="str">
        <f>IFERROR(INDEX(Formulations[Formulation],MATCH($C4447,Formulations[Product Code],0)),"")</f>
        <v/>
      </c>
    </row>
    <row r="4448" spans="1:7" x14ac:dyDescent="0.3">
      <c r="A4448" t="s">
        <v>1175</v>
      </c>
      <c r="B4448" t="s">
        <v>1185</v>
      </c>
      <c r="D4448" s="7">
        <v>4</v>
      </c>
      <c r="E4448">
        <v>2019</v>
      </c>
      <c r="F4448">
        <v>2020</v>
      </c>
      <c r="G4448" t="str">
        <f>IFERROR(INDEX(Formulations[Formulation],MATCH($C4448,Formulations[Product Code],0)),"")</f>
        <v/>
      </c>
    </row>
    <row r="4449" spans="1:7" x14ac:dyDescent="0.3">
      <c r="A4449" t="s">
        <v>1323</v>
      </c>
      <c r="B4449" t="s">
        <v>1324</v>
      </c>
      <c r="C4449" t="s">
        <v>789</v>
      </c>
      <c r="D4449" s="7">
        <v>4</v>
      </c>
      <c r="E4449">
        <v>2018</v>
      </c>
      <c r="F4449">
        <v>2018</v>
      </c>
      <c r="G4449" t="str">
        <f>IFERROR(INDEX(Formulations[Formulation],MATCH($C4449,Formulations[Product Code],0)),"")</f>
        <v>Pure</v>
      </c>
    </row>
    <row r="4450" spans="1:7" x14ac:dyDescent="0.3">
      <c r="A4450" t="s">
        <v>1374</v>
      </c>
      <c r="B4450" t="s">
        <v>641</v>
      </c>
      <c r="C4450" t="s">
        <v>289</v>
      </c>
      <c r="D4450" s="7">
        <v>4</v>
      </c>
      <c r="E4450">
        <v>2019</v>
      </c>
      <c r="F4450">
        <v>2019</v>
      </c>
      <c r="G4450" t="str">
        <f>IFERROR(INDEX(Formulations[Formulation],MATCH($C4450,Formulations[Product Code],0)),"")</f>
        <v>L1212 Blanc by Lacoste (M) CP19035 -  (60%l1212) creed silver mountain 40% than make gold</v>
      </c>
    </row>
    <row r="4451" spans="1:7" x14ac:dyDescent="0.3">
      <c r="A4451" t="s">
        <v>1407</v>
      </c>
      <c r="B4451" t="s">
        <v>55</v>
      </c>
      <c r="D4451" s="7">
        <v>4</v>
      </c>
      <c r="E4451">
        <v>2019</v>
      </c>
      <c r="F4451">
        <v>2021</v>
      </c>
      <c r="G4451" t="str">
        <f>IFERROR(INDEX(Formulations[Formulation],MATCH($C4451,Formulations[Product Code],0)),"")</f>
        <v/>
      </c>
    </row>
    <row r="4452" spans="1:7" x14ac:dyDescent="0.3">
      <c r="A4452" t="s">
        <v>1407</v>
      </c>
      <c r="B4452" t="s">
        <v>58</v>
      </c>
      <c r="C4452" t="s">
        <v>59</v>
      </c>
      <c r="D4452" s="7">
        <v>4</v>
      </c>
      <c r="E4452">
        <v>2020</v>
      </c>
      <c r="F4452">
        <v>2020</v>
      </c>
      <c r="G4452" t="str">
        <f>IFERROR(INDEX(Formulations[Formulation],MATCH($C4452,Formulations[Product Code],0)),"")</f>
        <v>Pure</v>
      </c>
    </row>
    <row r="4453" spans="1:7" x14ac:dyDescent="0.3">
      <c r="A4453" t="s">
        <v>1407</v>
      </c>
      <c r="B4453" t="s">
        <v>1428</v>
      </c>
      <c r="D4453" s="7">
        <v>4</v>
      </c>
      <c r="E4453">
        <v>2020</v>
      </c>
      <c r="F4453">
        <v>2020</v>
      </c>
      <c r="G4453" t="str">
        <f>IFERROR(INDEX(Formulations[Formulation],MATCH($C4453,Formulations[Product Code],0)),"")</f>
        <v/>
      </c>
    </row>
    <row r="4454" spans="1:7" x14ac:dyDescent="0.3">
      <c r="A4454" t="s">
        <v>1407</v>
      </c>
      <c r="B4454" t="s">
        <v>263</v>
      </c>
      <c r="C4454" t="s">
        <v>264</v>
      </c>
      <c r="D4454" s="7">
        <v>4</v>
      </c>
      <c r="E4454">
        <v>2020</v>
      </c>
      <c r="F4454">
        <v>2021</v>
      </c>
      <c r="G4454" t="str">
        <f>IFERROR(INDEX(Formulations[Formulation],MATCH($C4454,Formulations[Product Code],0)),"")</f>
        <v>Silver</v>
      </c>
    </row>
    <row r="4455" spans="1:7" x14ac:dyDescent="0.3">
      <c r="A4455" t="s">
        <v>1662</v>
      </c>
      <c r="B4455" t="s">
        <v>55</v>
      </c>
      <c r="D4455" s="7">
        <v>4</v>
      </c>
      <c r="E4455">
        <v>2019</v>
      </c>
      <c r="F4455">
        <v>2021</v>
      </c>
      <c r="G4455" t="str">
        <f>IFERROR(INDEX(Formulations[Formulation],MATCH($C4455,Formulations[Product Code],0)),"")</f>
        <v/>
      </c>
    </row>
    <row r="4456" spans="1:7" x14ac:dyDescent="0.3">
      <c r="A4456" t="s">
        <v>1679</v>
      </c>
      <c r="B4456" t="s">
        <v>1680</v>
      </c>
      <c r="C4456" t="s">
        <v>1681</v>
      </c>
      <c r="D4456" s="7">
        <v>4</v>
      </c>
      <c r="E4456">
        <v>2020</v>
      </c>
      <c r="F4456">
        <v>2020</v>
      </c>
      <c r="G4456" t="str">
        <f>IFERROR(INDEX(Formulations[Formulation],MATCH($C4456,Formulations[Product Code],0)),"")</f>
        <v/>
      </c>
    </row>
    <row r="4457" spans="1:7" x14ac:dyDescent="0.3">
      <c r="A4457" t="s">
        <v>1784</v>
      </c>
      <c r="B4457" t="s">
        <v>251</v>
      </c>
      <c r="C4457" t="s">
        <v>207</v>
      </c>
      <c r="D4457" s="7">
        <v>4</v>
      </c>
      <c r="E4457">
        <v>2018</v>
      </c>
      <c r="F4457">
        <v>2019</v>
      </c>
      <c r="G4457" t="str">
        <f>IFERROR(INDEX(Formulations[Formulation],MATCH($C4457,Formulations[Product Code],0)),"")</f>
        <v/>
      </c>
    </row>
    <row r="4458" spans="1:7" x14ac:dyDescent="0.3">
      <c r="A4458" t="s">
        <v>1846</v>
      </c>
      <c r="B4458" t="s">
        <v>626</v>
      </c>
      <c r="C4458" t="s">
        <v>582</v>
      </c>
      <c r="D4458" s="7">
        <v>4</v>
      </c>
      <c r="E4458">
        <v>2020</v>
      </c>
      <c r="F4458">
        <v>2020</v>
      </c>
      <c r="G4458" t="str">
        <f>IFERROR(INDEX(Formulations[Formulation],MATCH($C4458,Formulations[Product Code],0)),"")</f>
        <v/>
      </c>
    </row>
    <row r="4459" spans="1:7" x14ac:dyDescent="0.3">
      <c r="A4459" t="s">
        <v>1846</v>
      </c>
      <c r="B4459" t="s">
        <v>383</v>
      </c>
      <c r="C4459" t="s">
        <v>384</v>
      </c>
      <c r="D4459" s="7">
        <v>4</v>
      </c>
      <c r="E4459">
        <v>2020</v>
      </c>
      <c r="F4459">
        <v>2020</v>
      </c>
      <c r="G4459" t="str">
        <f>IFERROR(INDEX(Formulations[Formulation],MATCH($C4459,Formulations[Product Code],0)),"")</f>
        <v>Pure</v>
      </c>
    </row>
    <row r="4460" spans="1:7" x14ac:dyDescent="0.3">
      <c r="A4460" t="s">
        <v>1848</v>
      </c>
      <c r="B4460" t="s">
        <v>187</v>
      </c>
      <c r="C4460" t="s">
        <v>188</v>
      </c>
      <c r="D4460" s="7">
        <v>4</v>
      </c>
      <c r="E4460">
        <v>2021</v>
      </c>
      <c r="F4460">
        <v>2021</v>
      </c>
      <c r="G4460" t="str">
        <f>IFERROR(INDEX(Formulations[Formulation],MATCH($C4460,Formulations[Product Code],0)),"")</f>
        <v>Crystal</v>
      </c>
    </row>
    <row r="4461" spans="1:7" x14ac:dyDescent="0.3">
      <c r="A4461" t="s">
        <v>1865</v>
      </c>
      <c r="B4461" t="s">
        <v>453</v>
      </c>
      <c r="D4461" s="7">
        <v>4</v>
      </c>
      <c r="E4461">
        <v>2019</v>
      </c>
      <c r="F4461">
        <v>2021</v>
      </c>
      <c r="G4461" t="str">
        <f>IFERROR(INDEX(Formulations[Formulation],MATCH($C4461,Formulations[Product Code],0)),"")</f>
        <v/>
      </c>
    </row>
    <row r="4462" spans="1:7" x14ac:dyDescent="0.3">
      <c r="A4462" t="s">
        <v>1901</v>
      </c>
      <c r="B4462" t="s">
        <v>68</v>
      </c>
      <c r="C4462" t="s">
        <v>69</v>
      </c>
      <c r="D4462" s="7">
        <v>4</v>
      </c>
      <c r="E4462">
        <v>2020</v>
      </c>
      <c r="F4462">
        <v>2021</v>
      </c>
      <c r="G4462" t="str">
        <f>IFERROR(INDEX(Formulations[Formulation],MATCH($C4462,Formulations[Product Code],0)),"")</f>
        <v>Silver</v>
      </c>
    </row>
    <row r="4463" spans="1:7" x14ac:dyDescent="0.3">
      <c r="A4463" t="s">
        <v>1901</v>
      </c>
      <c r="B4463" t="s">
        <v>473</v>
      </c>
      <c r="C4463" t="s">
        <v>747</v>
      </c>
      <c r="D4463" s="7">
        <v>4</v>
      </c>
      <c r="E4463">
        <v>2015</v>
      </c>
      <c r="F4463">
        <v>2015</v>
      </c>
      <c r="G4463" t="str">
        <f>IFERROR(INDEX(Formulations[Formulation],MATCH($C4463,Formulations[Product Code],0)),"")</f>
        <v/>
      </c>
    </row>
    <row r="4464" spans="1:7" x14ac:dyDescent="0.3">
      <c r="A4464" t="s">
        <v>1901</v>
      </c>
      <c r="B4464" t="s">
        <v>483</v>
      </c>
      <c r="C4464" t="s">
        <v>484</v>
      </c>
      <c r="D4464" s="7">
        <v>4</v>
      </c>
      <c r="E4464">
        <v>2020</v>
      </c>
      <c r="F4464">
        <v>2020</v>
      </c>
      <c r="G4464" t="str">
        <f>IFERROR(INDEX(Formulations[Formulation],MATCH($C4464,Formulations[Product Code],0)),"")</f>
        <v>Crystal</v>
      </c>
    </row>
    <row r="4465" spans="1:7" x14ac:dyDescent="0.3">
      <c r="A4465" t="s">
        <v>1901</v>
      </c>
      <c r="B4465" t="s">
        <v>163</v>
      </c>
      <c r="C4465" t="s">
        <v>164</v>
      </c>
      <c r="D4465" s="7">
        <v>4</v>
      </c>
      <c r="E4465">
        <v>2021</v>
      </c>
      <c r="F4465">
        <v>2021</v>
      </c>
      <c r="G4465" t="str">
        <f>IFERROR(INDEX(Formulations[Formulation],MATCH($C4465,Formulations[Product Code],0)),"")</f>
        <v>Pure</v>
      </c>
    </row>
    <row r="4466" spans="1:7" x14ac:dyDescent="0.3">
      <c r="A4466" t="s">
        <v>1972</v>
      </c>
      <c r="B4466" t="s">
        <v>125</v>
      </c>
      <c r="D4466" s="7">
        <v>4</v>
      </c>
      <c r="E4466">
        <v>2019</v>
      </c>
      <c r="F4466">
        <v>2019</v>
      </c>
      <c r="G4466" t="str">
        <f>IFERROR(INDEX(Formulations[Formulation],MATCH($C4466,Formulations[Product Code],0)),"")</f>
        <v/>
      </c>
    </row>
    <row r="4467" spans="1:7" x14ac:dyDescent="0.3">
      <c r="A4467" t="s">
        <v>2025</v>
      </c>
      <c r="B4467" t="s">
        <v>1853</v>
      </c>
      <c r="C4467" t="s">
        <v>1854</v>
      </c>
      <c r="D4467" s="7">
        <v>4</v>
      </c>
      <c r="E4467">
        <v>2021</v>
      </c>
      <c r="F4467">
        <v>2021</v>
      </c>
      <c r="G4467" t="str">
        <f>IFERROR(INDEX(Formulations[Formulation],MATCH($C4467,Formulations[Product Code],0)),"")</f>
        <v>30% Key Oil</v>
      </c>
    </row>
    <row r="4468" spans="1:7" x14ac:dyDescent="0.3">
      <c r="A4468" t="s">
        <v>2055</v>
      </c>
      <c r="B4468" t="s">
        <v>1410</v>
      </c>
      <c r="C4468" t="s">
        <v>1411</v>
      </c>
      <c r="D4468" s="7">
        <v>4</v>
      </c>
      <c r="E4468">
        <v>2019</v>
      </c>
      <c r="F4468">
        <v>2019</v>
      </c>
      <c r="G4468" t="str">
        <f>IFERROR(INDEX(Formulations[Formulation],MATCH($C4468,Formulations[Product Code],0)),"")</f>
        <v>Pure</v>
      </c>
    </row>
    <row r="4469" spans="1:7" x14ac:dyDescent="0.3">
      <c r="A4469" t="s">
        <v>2174</v>
      </c>
      <c r="B4469" t="s">
        <v>1138</v>
      </c>
      <c r="D4469" s="7">
        <v>4</v>
      </c>
      <c r="E4469">
        <v>2020</v>
      </c>
      <c r="F4469">
        <v>2020</v>
      </c>
      <c r="G4469" t="str">
        <f>IFERROR(INDEX(Formulations[Formulation],MATCH($C4469,Formulations[Product Code],0)),"")</f>
        <v/>
      </c>
    </row>
    <row r="4470" spans="1:7" x14ac:dyDescent="0.3">
      <c r="A4470" t="s">
        <v>2181</v>
      </c>
      <c r="B4470" t="s">
        <v>1167</v>
      </c>
      <c r="C4470" t="s">
        <v>102</v>
      </c>
      <c r="D4470" s="7">
        <v>4</v>
      </c>
      <c r="E4470">
        <v>2020</v>
      </c>
      <c r="F4470">
        <v>2021</v>
      </c>
      <c r="G4470" t="str">
        <f>IFERROR(INDEX(Formulations[Formulation],MATCH($C4470,Formulations[Product Code],0)),"")</f>
        <v>Gold</v>
      </c>
    </row>
    <row r="4471" spans="1:7" x14ac:dyDescent="0.3">
      <c r="A4471" t="s">
        <v>2187</v>
      </c>
      <c r="B4471" t="s">
        <v>383</v>
      </c>
      <c r="C4471" t="s">
        <v>385</v>
      </c>
      <c r="D4471" s="7">
        <v>4</v>
      </c>
      <c r="E4471">
        <v>2021</v>
      </c>
      <c r="F4471">
        <v>2021</v>
      </c>
      <c r="G4471" t="str">
        <f>IFERROR(INDEX(Formulations[Formulation],MATCH($C4471,Formulations[Product Code],0)),"")</f>
        <v>Silver</v>
      </c>
    </row>
    <row r="4472" spans="1:7" x14ac:dyDescent="0.3">
      <c r="A4472" t="s">
        <v>2194</v>
      </c>
      <c r="B4472" t="s">
        <v>84</v>
      </c>
      <c r="C4472" t="s">
        <v>85</v>
      </c>
      <c r="D4472" s="7">
        <v>4</v>
      </c>
      <c r="E4472">
        <v>2017</v>
      </c>
      <c r="F4472">
        <v>2018</v>
      </c>
      <c r="G4472" t="str">
        <f>IFERROR(INDEX(Formulations[Formulation],MATCH($C4472,Formulations[Product Code],0)),"")</f>
        <v>Pure</v>
      </c>
    </row>
    <row r="4473" spans="1:7" x14ac:dyDescent="0.3">
      <c r="A4473" t="s">
        <v>2197</v>
      </c>
      <c r="B4473" t="s">
        <v>120</v>
      </c>
      <c r="C4473" t="s">
        <v>121</v>
      </c>
      <c r="D4473" s="7">
        <v>4</v>
      </c>
      <c r="E4473">
        <v>2015</v>
      </c>
      <c r="F4473">
        <v>2019</v>
      </c>
      <c r="G4473" t="str">
        <f>IFERROR(INDEX(Formulations[Formulation],MATCH($C4473,Formulations[Product Code],0)),"")</f>
        <v/>
      </c>
    </row>
    <row r="4474" spans="1:7" x14ac:dyDescent="0.3">
      <c r="A4474" t="s">
        <v>2262</v>
      </c>
      <c r="B4474" t="s">
        <v>391</v>
      </c>
      <c r="C4474" t="s">
        <v>1095</v>
      </c>
      <c r="D4474" s="7">
        <v>4</v>
      </c>
      <c r="E4474">
        <v>2017</v>
      </c>
      <c r="F4474">
        <v>2017</v>
      </c>
      <c r="G4474" t="str">
        <f>IFERROR(INDEX(Formulations[Formulation],MATCH($C4474,Formulations[Product Code],0)),"")</f>
        <v/>
      </c>
    </row>
    <row r="4475" spans="1:7" x14ac:dyDescent="0.3">
      <c r="A4475" t="s">
        <v>2262</v>
      </c>
      <c r="B4475" t="s">
        <v>79</v>
      </c>
      <c r="C4475" t="s">
        <v>80</v>
      </c>
      <c r="D4475" s="7">
        <v>4</v>
      </c>
      <c r="E4475">
        <v>2017</v>
      </c>
      <c r="F4475">
        <v>2017</v>
      </c>
      <c r="G4475" t="str">
        <f>IFERROR(INDEX(Formulations[Formulation],MATCH($C4475,Formulations[Product Code],0)),"")</f>
        <v>Pure</v>
      </c>
    </row>
    <row r="4476" spans="1:7" x14ac:dyDescent="0.3">
      <c r="A4476" t="s">
        <v>2262</v>
      </c>
      <c r="B4476" t="s">
        <v>824</v>
      </c>
      <c r="C4476" t="s">
        <v>825</v>
      </c>
      <c r="D4476" s="7">
        <v>4</v>
      </c>
      <c r="E4476">
        <v>2017</v>
      </c>
      <c r="F4476">
        <v>2017</v>
      </c>
      <c r="G4476" t="str">
        <f>IFERROR(INDEX(Formulations[Formulation],MATCH($C4476,Formulations[Product Code],0)),"")</f>
        <v/>
      </c>
    </row>
    <row r="4477" spans="1:7" x14ac:dyDescent="0.3">
      <c r="A4477" t="s">
        <v>2262</v>
      </c>
      <c r="B4477" t="s">
        <v>108</v>
      </c>
      <c r="C4477" t="s">
        <v>109</v>
      </c>
      <c r="D4477" s="7">
        <v>4</v>
      </c>
      <c r="E4477">
        <v>2017</v>
      </c>
      <c r="F4477">
        <v>2017</v>
      </c>
      <c r="G4477" t="str">
        <f>IFERROR(INDEX(Formulations[Formulation],MATCH($C4477,Formulations[Product Code],0)),"")</f>
        <v>Pure</v>
      </c>
    </row>
    <row r="4478" spans="1:7" x14ac:dyDescent="0.3">
      <c r="A4478" t="s">
        <v>2262</v>
      </c>
      <c r="B4478" t="s">
        <v>129</v>
      </c>
      <c r="D4478" s="7">
        <v>4</v>
      </c>
      <c r="E4478">
        <v>2017</v>
      </c>
      <c r="F4478">
        <v>2017</v>
      </c>
      <c r="G4478" t="str">
        <f>IFERROR(INDEX(Formulations[Formulation],MATCH($C4478,Formulations[Product Code],0)),"")</f>
        <v/>
      </c>
    </row>
    <row r="4479" spans="1:7" x14ac:dyDescent="0.3">
      <c r="A4479" t="s">
        <v>2266</v>
      </c>
      <c r="B4479" t="s">
        <v>716</v>
      </c>
      <c r="C4479" t="s">
        <v>717</v>
      </c>
      <c r="D4479" s="7">
        <v>4</v>
      </c>
      <c r="E4479">
        <v>2020</v>
      </c>
      <c r="F4479">
        <v>2020</v>
      </c>
      <c r="G4479" t="str">
        <f>IFERROR(INDEX(Formulations[Formulation],MATCH($C4479,Formulations[Product Code],0)),"")</f>
        <v>Pure</v>
      </c>
    </row>
    <row r="4480" spans="1:7" x14ac:dyDescent="0.3">
      <c r="A4480" t="s">
        <v>2266</v>
      </c>
      <c r="B4480" t="s">
        <v>631</v>
      </c>
      <c r="C4480" t="s">
        <v>632</v>
      </c>
      <c r="D4480" s="7">
        <v>4</v>
      </c>
      <c r="E4480">
        <v>2020</v>
      </c>
      <c r="F4480">
        <v>2020</v>
      </c>
      <c r="G4480" t="str">
        <f>IFERROR(INDEX(Formulations[Formulation],MATCH($C4480,Formulations[Product Code],0)),"")</f>
        <v/>
      </c>
    </row>
    <row r="4481" spans="1:7" x14ac:dyDescent="0.3">
      <c r="A4481" t="s">
        <v>2266</v>
      </c>
      <c r="B4481" t="s">
        <v>1687</v>
      </c>
      <c r="C4481" t="s">
        <v>1688</v>
      </c>
      <c r="D4481" s="7">
        <v>4</v>
      </c>
      <c r="E4481">
        <v>2020</v>
      </c>
      <c r="F4481">
        <v>2020</v>
      </c>
      <c r="G4481" t="str">
        <f>IFERROR(INDEX(Formulations[Formulation],MATCH($C4481,Formulations[Product Code],0)),"")</f>
        <v>Floral 60% &amp; Gardenia 40%</v>
      </c>
    </row>
    <row r="4482" spans="1:7" x14ac:dyDescent="0.3">
      <c r="A4482" t="s">
        <v>2266</v>
      </c>
      <c r="B4482" t="s">
        <v>26</v>
      </c>
      <c r="C4482" t="s">
        <v>27</v>
      </c>
      <c r="D4482" s="7">
        <v>4</v>
      </c>
      <c r="E4482">
        <v>2020</v>
      </c>
      <c r="F4482">
        <v>2020</v>
      </c>
      <c r="G4482" t="str">
        <f>IFERROR(INDEX(Formulations[Formulation],MATCH($C4482,Formulations[Product Code],0)),"")</f>
        <v>FLOURAMAX A270578/ P782894</v>
      </c>
    </row>
    <row r="4483" spans="1:7" x14ac:dyDescent="0.3">
      <c r="A4483" t="s">
        <v>2266</v>
      </c>
      <c r="B4483" t="s">
        <v>643</v>
      </c>
      <c r="C4483" t="s">
        <v>644</v>
      </c>
      <c r="D4483" s="7">
        <v>4</v>
      </c>
      <c r="E4483">
        <v>2020</v>
      </c>
      <c r="F4483">
        <v>2020</v>
      </c>
      <c r="G4483" t="str">
        <f>IFERROR(INDEX(Formulations[Formulation],MATCH($C4483,Formulations[Product Code],0)),"")</f>
        <v>Crystal</v>
      </c>
    </row>
    <row r="4484" spans="1:7" x14ac:dyDescent="0.3">
      <c r="A4484" t="s">
        <v>2266</v>
      </c>
      <c r="B4484" t="s">
        <v>1680</v>
      </c>
      <c r="C4484" t="s">
        <v>1681</v>
      </c>
      <c r="D4484" s="7">
        <v>4</v>
      </c>
      <c r="E4484">
        <v>2020</v>
      </c>
      <c r="F4484">
        <v>2020</v>
      </c>
      <c r="G4484" t="str">
        <f>IFERROR(INDEX(Formulations[Formulation],MATCH($C4484,Formulations[Product Code],0)),"")</f>
        <v/>
      </c>
    </row>
    <row r="4485" spans="1:7" x14ac:dyDescent="0.3">
      <c r="A4485" t="s">
        <v>2266</v>
      </c>
      <c r="B4485" t="s">
        <v>679</v>
      </c>
      <c r="C4485" t="s">
        <v>680</v>
      </c>
      <c r="D4485" s="7">
        <v>4</v>
      </c>
      <c r="E4485">
        <v>2020</v>
      </c>
      <c r="F4485">
        <v>2020</v>
      </c>
      <c r="G4485" t="str">
        <f>IFERROR(INDEX(Formulations[Formulation],MATCH($C4485,Formulations[Product Code],0)),"")</f>
        <v>Crystal</v>
      </c>
    </row>
    <row r="4486" spans="1:7" x14ac:dyDescent="0.3">
      <c r="A4486" t="s">
        <v>2301</v>
      </c>
      <c r="B4486" t="s">
        <v>1861</v>
      </c>
      <c r="D4486" s="7">
        <v>4</v>
      </c>
      <c r="E4486">
        <v>2019</v>
      </c>
      <c r="F4486">
        <v>2021</v>
      </c>
      <c r="G4486" t="str">
        <f>IFERROR(INDEX(Formulations[Formulation],MATCH($C4486,Formulations[Product Code],0)),"")</f>
        <v/>
      </c>
    </row>
    <row r="4487" spans="1:7" x14ac:dyDescent="0.3">
      <c r="A4487" t="s">
        <v>2333</v>
      </c>
      <c r="B4487" t="s">
        <v>265</v>
      </c>
      <c r="C4487" t="s">
        <v>197</v>
      </c>
      <c r="D4487" s="7">
        <v>4</v>
      </c>
      <c r="E4487">
        <v>2019</v>
      </c>
      <c r="F4487">
        <v>2019</v>
      </c>
      <c r="G4487" t="str">
        <f>IFERROR(INDEX(Formulations[Formulation],MATCH($C4487,Formulations[Product Code],0)),"")</f>
        <v/>
      </c>
    </row>
    <row r="4488" spans="1:7" x14ac:dyDescent="0.3">
      <c r="A4488" t="s">
        <v>2416</v>
      </c>
      <c r="B4488" t="s">
        <v>935</v>
      </c>
      <c r="C4488" t="s">
        <v>613</v>
      </c>
      <c r="D4488" s="7">
        <v>4</v>
      </c>
      <c r="E4488">
        <v>2017</v>
      </c>
      <c r="F4488">
        <v>2019</v>
      </c>
      <c r="G4488" t="str">
        <f>IFERROR(INDEX(Formulations[Formulation],MATCH($C4488,Formulations[Product Code],0)),"")</f>
        <v>Pure</v>
      </c>
    </row>
    <row r="4489" spans="1:7" x14ac:dyDescent="0.3">
      <c r="A4489" t="s">
        <v>2423</v>
      </c>
      <c r="B4489" t="s">
        <v>395</v>
      </c>
      <c r="D4489" s="7">
        <v>4</v>
      </c>
      <c r="E4489">
        <v>2017</v>
      </c>
      <c r="F4489">
        <v>2019</v>
      </c>
      <c r="G4489" t="str">
        <f>IFERROR(INDEX(Formulations[Formulation],MATCH($C4489,Formulations[Product Code],0)),"")</f>
        <v/>
      </c>
    </row>
    <row r="4490" spans="1:7" x14ac:dyDescent="0.3">
      <c r="A4490" t="s">
        <v>2425</v>
      </c>
      <c r="B4490" t="s">
        <v>1238</v>
      </c>
      <c r="C4490" t="s">
        <v>2426</v>
      </c>
      <c r="D4490" s="7">
        <v>4</v>
      </c>
      <c r="E4490">
        <v>2015</v>
      </c>
      <c r="F4490">
        <v>2015</v>
      </c>
      <c r="G4490" t="str">
        <f>IFERROR(INDEX(Formulations[Formulation],MATCH($C4490,Formulations[Product Code],0)),"")</f>
        <v/>
      </c>
    </row>
    <row r="4491" spans="1:7" x14ac:dyDescent="0.3">
      <c r="A4491" t="s">
        <v>2441</v>
      </c>
      <c r="B4491" t="s">
        <v>203</v>
      </c>
      <c r="C4491" t="s">
        <v>204</v>
      </c>
      <c r="D4491" s="7">
        <v>4</v>
      </c>
      <c r="E4491">
        <v>2019</v>
      </c>
      <c r="F4491">
        <v>2019</v>
      </c>
      <c r="G4491" t="str">
        <f>IFERROR(INDEX(Formulations[Formulation],MATCH($C4491,Formulations[Product Code],0)),"")</f>
        <v/>
      </c>
    </row>
    <row r="4492" spans="1:7" x14ac:dyDescent="0.3">
      <c r="A4492" t="s">
        <v>2447</v>
      </c>
      <c r="B4492" t="s">
        <v>1004</v>
      </c>
      <c r="C4492" t="s">
        <v>197</v>
      </c>
      <c r="D4492" s="7">
        <v>4</v>
      </c>
      <c r="E4492">
        <v>2019</v>
      </c>
      <c r="F4492">
        <v>2019</v>
      </c>
      <c r="G4492" t="str">
        <f>IFERROR(INDEX(Formulations[Formulation],MATCH($C4492,Formulations[Product Code],0)),"")</f>
        <v/>
      </c>
    </row>
    <row r="4493" spans="1:7" x14ac:dyDescent="0.3">
      <c r="A4493" t="s">
        <v>2589</v>
      </c>
      <c r="B4493" t="s">
        <v>586</v>
      </c>
      <c r="C4493" t="s">
        <v>587</v>
      </c>
      <c r="D4493" s="7">
        <v>4</v>
      </c>
      <c r="E4493">
        <v>2020</v>
      </c>
      <c r="F4493">
        <v>2020</v>
      </c>
      <c r="G4493" t="str">
        <f>IFERROR(INDEX(Formulations[Formulation],MATCH($C4493,Formulations[Product Code],0)),"")</f>
        <v>Pure</v>
      </c>
    </row>
    <row r="4494" spans="1:7" x14ac:dyDescent="0.3">
      <c r="A4494" t="s">
        <v>580</v>
      </c>
      <c r="B4494" t="s">
        <v>584</v>
      </c>
      <c r="C4494" t="s">
        <v>413</v>
      </c>
      <c r="D4494" s="7">
        <v>3.5</v>
      </c>
      <c r="E4494">
        <v>2018</v>
      </c>
      <c r="F4494">
        <v>2019</v>
      </c>
      <c r="G4494" t="str">
        <f>IFERROR(INDEX(Formulations[Formulation],MATCH($C4494,Formulations[Product Code],0)),"")</f>
        <v>40% oil &amp; 60 % DPG</v>
      </c>
    </row>
    <row r="4495" spans="1:7" x14ac:dyDescent="0.3">
      <c r="A4495" t="s">
        <v>1407</v>
      </c>
      <c r="B4495" t="s">
        <v>597</v>
      </c>
      <c r="C4495" t="s">
        <v>598</v>
      </c>
      <c r="D4495" s="7">
        <v>3.5</v>
      </c>
      <c r="E4495">
        <v>2020</v>
      </c>
      <c r="F4495">
        <v>2021</v>
      </c>
      <c r="G4495" t="str">
        <f>IFERROR(INDEX(Formulations[Formulation],MATCH($C4495,Formulations[Product Code],0)),"")</f>
        <v>Silver</v>
      </c>
    </row>
    <row r="4496" spans="1:7" x14ac:dyDescent="0.3">
      <c r="A4496" t="s">
        <v>2423</v>
      </c>
      <c r="B4496" t="s">
        <v>935</v>
      </c>
      <c r="C4496" t="s">
        <v>613</v>
      </c>
      <c r="D4496" s="7">
        <v>3.5</v>
      </c>
      <c r="E4496">
        <v>2017</v>
      </c>
      <c r="F4496">
        <v>2019</v>
      </c>
      <c r="G4496" t="str">
        <f>IFERROR(INDEX(Formulations[Formulation],MATCH($C4496,Formulations[Product Code],0)),"")</f>
        <v>Pure</v>
      </c>
    </row>
    <row r="4497" spans="1:7" x14ac:dyDescent="0.3">
      <c r="A4497" t="s">
        <v>50</v>
      </c>
      <c r="B4497" t="s">
        <v>64</v>
      </c>
      <c r="C4497" t="s">
        <v>65</v>
      </c>
      <c r="D4497" s="7">
        <v>3</v>
      </c>
      <c r="E4497">
        <v>2019</v>
      </c>
      <c r="F4497">
        <v>2019</v>
      </c>
      <c r="G4497" t="str">
        <f>IFERROR(INDEX(Formulations[Formulation],MATCH($C4497,Formulations[Product Code],0)),"")</f>
        <v>Crystal</v>
      </c>
    </row>
    <row r="4498" spans="1:7" x14ac:dyDescent="0.3">
      <c r="A4498" t="s">
        <v>78</v>
      </c>
      <c r="B4498" t="s">
        <v>88</v>
      </c>
      <c r="C4498" t="s">
        <v>89</v>
      </c>
      <c r="D4498" s="7">
        <v>3</v>
      </c>
      <c r="E4498">
        <v>2019</v>
      </c>
      <c r="F4498">
        <v>2021</v>
      </c>
      <c r="G4498" t="str">
        <f>IFERROR(INDEX(Formulations[Formulation],MATCH($C4498,Formulations[Product Code],0)),"")</f>
        <v>Pure</v>
      </c>
    </row>
    <row r="4499" spans="1:7" x14ac:dyDescent="0.3">
      <c r="A4499" t="s">
        <v>215</v>
      </c>
      <c r="B4499" t="s">
        <v>234</v>
      </c>
      <c r="C4499" t="s">
        <v>235</v>
      </c>
      <c r="D4499" s="7">
        <v>3</v>
      </c>
      <c r="E4499">
        <v>2012</v>
      </c>
      <c r="F4499">
        <v>2012</v>
      </c>
      <c r="G4499" t="str">
        <f>IFERROR(INDEX(Formulations[Formulation],MATCH($C4499,Formulations[Product Code],0)),"")</f>
        <v/>
      </c>
    </row>
    <row r="4500" spans="1:7" x14ac:dyDescent="0.3">
      <c r="A4500" t="s">
        <v>345</v>
      </c>
      <c r="B4500" t="s">
        <v>36</v>
      </c>
      <c r="D4500" s="7">
        <v>3</v>
      </c>
      <c r="E4500">
        <v>2020</v>
      </c>
      <c r="F4500">
        <v>2021</v>
      </c>
      <c r="G4500" t="str">
        <f>IFERROR(INDEX(Formulations[Formulation],MATCH($C4500,Formulations[Product Code],0)),"")</f>
        <v/>
      </c>
    </row>
    <row r="4501" spans="1:7" x14ac:dyDescent="0.3">
      <c r="A4501" t="s">
        <v>390</v>
      </c>
      <c r="B4501" t="s">
        <v>404</v>
      </c>
      <c r="C4501" t="s">
        <v>405</v>
      </c>
      <c r="D4501" s="7">
        <v>3</v>
      </c>
      <c r="E4501">
        <v>2018</v>
      </c>
      <c r="F4501">
        <v>2019</v>
      </c>
      <c r="G4501" t="str">
        <f>IFERROR(INDEX(Formulations[Formulation],MATCH($C4501,Formulations[Product Code],0)),"")</f>
        <v/>
      </c>
    </row>
    <row r="4502" spans="1:7" x14ac:dyDescent="0.3">
      <c r="A4502" t="s">
        <v>390</v>
      </c>
      <c r="B4502" t="s">
        <v>320</v>
      </c>
      <c r="C4502" t="s">
        <v>414</v>
      </c>
      <c r="D4502" s="7">
        <v>3</v>
      </c>
      <c r="E4502">
        <v>2016</v>
      </c>
      <c r="F4502">
        <v>2019</v>
      </c>
      <c r="G4502" t="str">
        <f>IFERROR(INDEX(Formulations[Formulation],MATCH($C4502,Formulations[Product Code],0)),"")</f>
        <v/>
      </c>
    </row>
    <row r="4503" spans="1:7" x14ac:dyDescent="0.3">
      <c r="A4503" t="s">
        <v>390</v>
      </c>
      <c r="B4503" t="s">
        <v>153</v>
      </c>
      <c r="C4503" t="s">
        <v>154</v>
      </c>
      <c r="D4503" s="7">
        <v>3</v>
      </c>
      <c r="E4503">
        <v>2016</v>
      </c>
      <c r="F4503">
        <v>2017</v>
      </c>
      <c r="G4503" t="str">
        <f>IFERROR(INDEX(Formulations[Formulation],MATCH($C4503,Formulations[Product Code],0)),"")</f>
        <v>Pure</v>
      </c>
    </row>
    <row r="4504" spans="1:7" x14ac:dyDescent="0.3">
      <c r="A4504" t="s">
        <v>502</v>
      </c>
      <c r="B4504" t="s">
        <v>133</v>
      </c>
      <c r="C4504" t="s">
        <v>134</v>
      </c>
      <c r="D4504" s="7">
        <v>3</v>
      </c>
      <c r="E4504">
        <v>2019</v>
      </c>
      <c r="F4504">
        <v>2020</v>
      </c>
      <c r="G4504" t="str">
        <f>IFERROR(INDEX(Formulations[Formulation],MATCH($C4504,Formulations[Product Code],0)),"")</f>
        <v>Pure</v>
      </c>
    </row>
    <row r="4505" spans="1:7" x14ac:dyDescent="0.3">
      <c r="A4505" t="s">
        <v>580</v>
      </c>
      <c r="B4505" t="s">
        <v>55</v>
      </c>
      <c r="D4505" s="7">
        <v>3</v>
      </c>
      <c r="E4505">
        <v>2019</v>
      </c>
      <c r="F4505">
        <v>2019</v>
      </c>
      <c r="G4505" t="str">
        <f>IFERROR(INDEX(Formulations[Formulation],MATCH($C4505,Formulations[Product Code],0)),"")</f>
        <v/>
      </c>
    </row>
    <row r="4506" spans="1:7" x14ac:dyDescent="0.3">
      <c r="A4506" t="s">
        <v>585</v>
      </c>
      <c r="B4506" t="s">
        <v>542</v>
      </c>
      <c r="C4506" t="s">
        <v>160</v>
      </c>
      <c r="D4506" s="7">
        <v>3</v>
      </c>
      <c r="E4506">
        <v>2021</v>
      </c>
      <c r="F4506">
        <v>2021</v>
      </c>
      <c r="G4506" t="str">
        <f>IFERROR(INDEX(Formulations[Formulation],MATCH($C4506,Formulations[Product Code],0)),"")</f>
        <v>Silver</v>
      </c>
    </row>
    <row r="4507" spans="1:7" x14ac:dyDescent="0.3">
      <c r="A4507" t="s">
        <v>585</v>
      </c>
      <c r="B4507" t="s">
        <v>263</v>
      </c>
      <c r="C4507" t="s">
        <v>264</v>
      </c>
      <c r="D4507" s="7">
        <v>3</v>
      </c>
      <c r="E4507">
        <v>2020</v>
      </c>
      <c r="F4507">
        <v>2020</v>
      </c>
      <c r="G4507" t="str">
        <f>IFERROR(INDEX(Formulations[Formulation],MATCH($C4507,Formulations[Product Code],0)),"")</f>
        <v>Silver</v>
      </c>
    </row>
    <row r="4508" spans="1:7" x14ac:dyDescent="0.3">
      <c r="A4508" t="s">
        <v>704</v>
      </c>
      <c r="B4508" t="s">
        <v>206</v>
      </c>
      <c r="C4508" t="s">
        <v>207</v>
      </c>
      <c r="D4508" s="7">
        <v>3</v>
      </c>
      <c r="E4508">
        <v>2019</v>
      </c>
      <c r="F4508">
        <v>2019</v>
      </c>
      <c r="G4508" t="str">
        <f>IFERROR(INDEX(Formulations[Formulation],MATCH($C4508,Formulations[Product Code],0)),"")</f>
        <v/>
      </c>
    </row>
    <row r="4509" spans="1:7" x14ac:dyDescent="0.3">
      <c r="A4509" t="s">
        <v>704</v>
      </c>
      <c r="B4509" t="s">
        <v>708</v>
      </c>
      <c r="C4509" t="s">
        <v>477</v>
      </c>
      <c r="D4509" s="7">
        <v>3</v>
      </c>
      <c r="E4509">
        <v>2019</v>
      </c>
      <c r="F4509">
        <v>2019</v>
      </c>
      <c r="G4509" t="str">
        <f>IFERROR(INDEX(Formulations[Formulation],MATCH($C4509,Formulations[Product Code],0)),"")</f>
        <v/>
      </c>
    </row>
    <row r="4510" spans="1:7" x14ac:dyDescent="0.3">
      <c r="A4510" t="s">
        <v>861</v>
      </c>
      <c r="B4510" t="s">
        <v>28</v>
      </c>
      <c r="D4510" s="7">
        <v>3</v>
      </c>
      <c r="E4510">
        <v>2015</v>
      </c>
      <c r="F4510">
        <v>2015</v>
      </c>
      <c r="G4510" t="str">
        <f>IFERROR(INDEX(Formulations[Formulation],MATCH($C4510,Formulations[Product Code],0)),"")</f>
        <v/>
      </c>
    </row>
    <row r="4511" spans="1:7" x14ac:dyDescent="0.3">
      <c r="A4511" t="s">
        <v>904</v>
      </c>
      <c r="B4511" t="s">
        <v>35</v>
      </c>
      <c r="D4511" s="7">
        <v>3</v>
      </c>
      <c r="E4511">
        <v>2021</v>
      </c>
      <c r="F4511">
        <v>2021</v>
      </c>
      <c r="G4511" t="str">
        <f>IFERROR(INDEX(Formulations[Formulation],MATCH($C4511,Formulations[Product Code],0)),"")</f>
        <v/>
      </c>
    </row>
    <row r="4512" spans="1:7" x14ac:dyDescent="0.3">
      <c r="A4512" t="s">
        <v>904</v>
      </c>
      <c r="B4512" t="s">
        <v>36</v>
      </c>
      <c r="D4512" s="7">
        <v>3</v>
      </c>
      <c r="E4512">
        <v>2021</v>
      </c>
      <c r="F4512">
        <v>2021</v>
      </c>
      <c r="G4512" t="str">
        <f>IFERROR(INDEX(Formulations[Formulation],MATCH($C4512,Formulations[Product Code],0)),"")</f>
        <v/>
      </c>
    </row>
    <row r="4513" spans="1:7" x14ac:dyDescent="0.3">
      <c r="A4513" t="s">
        <v>944</v>
      </c>
      <c r="B4513" t="s">
        <v>135</v>
      </c>
      <c r="C4513" t="s">
        <v>136</v>
      </c>
      <c r="D4513" s="7">
        <v>3</v>
      </c>
      <c r="E4513">
        <v>2011</v>
      </c>
      <c r="F4513">
        <v>2011</v>
      </c>
      <c r="G4513" t="str">
        <f>IFERROR(INDEX(Formulations[Formulation],MATCH($C4513,Formulations[Product Code],0)),"")</f>
        <v/>
      </c>
    </row>
    <row r="4514" spans="1:7" x14ac:dyDescent="0.3">
      <c r="A4514" t="s">
        <v>1000</v>
      </c>
      <c r="B4514" t="s">
        <v>1003</v>
      </c>
      <c r="C4514" t="s">
        <v>292</v>
      </c>
      <c r="D4514" s="7">
        <v>3</v>
      </c>
      <c r="E4514">
        <v>2019</v>
      </c>
      <c r="F4514">
        <v>2019</v>
      </c>
      <c r="G4514" t="str">
        <f>IFERROR(INDEX(Formulations[Formulation],MATCH($C4514,Formulations[Product Code],0)),"")</f>
        <v/>
      </c>
    </row>
    <row r="4515" spans="1:7" x14ac:dyDescent="0.3">
      <c r="A4515" t="s">
        <v>1166</v>
      </c>
      <c r="B4515" t="s">
        <v>290</v>
      </c>
      <c r="C4515" t="s">
        <v>57</v>
      </c>
      <c r="D4515" s="7">
        <v>3</v>
      </c>
      <c r="E4515">
        <v>2015</v>
      </c>
      <c r="F4515">
        <v>2018</v>
      </c>
      <c r="G4515" t="str">
        <f>IFERROR(INDEX(Formulations[Formulation],MATCH($C4515,Formulations[Product Code],0)),"")</f>
        <v/>
      </c>
    </row>
    <row r="4516" spans="1:7" x14ac:dyDescent="0.3">
      <c r="A4516" t="s">
        <v>1175</v>
      </c>
      <c r="B4516" t="s">
        <v>34</v>
      </c>
      <c r="D4516" s="7">
        <v>3</v>
      </c>
      <c r="E4516">
        <v>2018</v>
      </c>
      <c r="F4516">
        <v>2021</v>
      </c>
      <c r="G4516" t="str">
        <f>IFERROR(INDEX(Formulations[Formulation],MATCH($C4516,Formulations[Product Code],0)),"")</f>
        <v/>
      </c>
    </row>
    <row r="4517" spans="1:7" x14ac:dyDescent="0.3">
      <c r="A4517" t="s">
        <v>1321</v>
      </c>
      <c r="B4517" t="s">
        <v>19</v>
      </c>
      <c r="C4517" t="s">
        <v>20</v>
      </c>
      <c r="D4517" s="7">
        <v>3</v>
      </c>
      <c r="E4517">
        <v>2019</v>
      </c>
      <c r="F4517">
        <v>2019</v>
      </c>
      <c r="G4517" t="str">
        <f>IFERROR(INDEX(Formulations[Formulation],MATCH($C4517,Formulations[Product Code],0)),"")</f>
        <v>80 % Oil AND 20 % DPG</v>
      </c>
    </row>
    <row r="4518" spans="1:7" x14ac:dyDescent="0.3">
      <c r="A4518" t="s">
        <v>1374</v>
      </c>
      <c r="B4518" t="s">
        <v>297</v>
      </c>
      <c r="C4518" t="s">
        <v>298</v>
      </c>
      <c r="D4518" s="7">
        <v>3</v>
      </c>
      <c r="E4518">
        <v>2015</v>
      </c>
      <c r="F4518">
        <v>2018</v>
      </c>
      <c r="G4518" t="str">
        <f>IFERROR(INDEX(Formulations[Formulation],MATCH($C4518,Formulations[Product Code],0)),"")</f>
        <v>Pure</v>
      </c>
    </row>
    <row r="4519" spans="1:7" x14ac:dyDescent="0.3">
      <c r="A4519" t="s">
        <v>1374</v>
      </c>
      <c r="B4519" t="s">
        <v>554</v>
      </c>
      <c r="C4519" t="s">
        <v>249</v>
      </c>
      <c r="D4519" s="7">
        <v>3</v>
      </c>
      <c r="E4519">
        <v>2018</v>
      </c>
      <c r="F4519">
        <v>2018</v>
      </c>
      <c r="G4519" t="str">
        <f>IFERROR(INDEX(Formulations[Formulation],MATCH($C4519,Formulations[Product Code],0)),"")</f>
        <v>WS</v>
      </c>
    </row>
    <row r="4520" spans="1:7" x14ac:dyDescent="0.3">
      <c r="A4520" t="s">
        <v>1374</v>
      </c>
      <c r="B4520" t="s">
        <v>792</v>
      </c>
      <c r="C4520" t="s">
        <v>793</v>
      </c>
      <c r="D4520" s="7">
        <v>3</v>
      </c>
      <c r="E4520">
        <v>2018</v>
      </c>
      <c r="F4520">
        <v>2018</v>
      </c>
      <c r="G4520" t="str">
        <f>IFERROR(INDEX(Formulations[Formulation],MATCH($C4520,Formulations[Product Code],0)),"")</f>
        <v>Silver</v>
      </c>
    </row>
    <row r="4521" spans="1:7" x14ac:dyDescent="0.3">
      <c r="A4521" t="s">
        <v>1374</v>
      </c>
      <c r="B4521" t="s">
        <v>1396</v>
      </c>
      <c r="C4521" t="s">
        <v>613</v>
      </c>
      <c r="D4521" s="7">
        <v>3</v>
      </c>
      <c r="E4521">
        <v>2019</v>
      </c>
      <c r="F4521">
        <v>2019</v>
      </c>
      <c r="G4521" t="str">
        <f>IFERROR(INDEX(Formulations[Formulation],MATCH($C4521,Formulations[Product Code],0)),"")</f>
        <v>Pure</v>
      </c>
    </row>
    <row r="4522" spans="1:7" x14ac:dyDescent="0.3">
      <c r="A4522" t="s">
        <v>1407</v>
      </c>
      <c r="B4522" t="s">
        <v>1409</v>
      </c>
      <c r="C4522" t="s">
        <v>1406</v>
      </c>
      <c r="D4522" s="7">
        <v>3</v>
      </c>
      <c r="E4522">
        <v>2019</v>
      </c>
      <c r="F4522">
        <v>2019</v>
      </c>
      <c r="G4522" t="str">
        <f>IFERROR(INDEX(Formulations[Formulation],MATCH($C4522,Formulations[Product Code],0)),"")</f>
        <v>Silver</v>
      </c>
    </row>
    <row r="4523" spans="1:7" x14ac:dyDescent="0.3">
      <c r="A4523" t="s">
        <v>1407</v>
      </c>
      <c r="B4523" t="s">
        <v>506</v>
      </c>
      <c r="C4523" t="s">
        <v>507</v>
      </c>
      <c r="D4523" s="7">
        <v>3</v>
      </c>
      <c r="E4523">
        <v>2020</v>
      </c>
      <c r="F4523">
        <v>2020</v>
      </c>
      <c r="G4523" t="str">
        <f>IFERROR(INDEX(Formulations[Formulation],MATCH($C4523,Formulations[Product Code],0)),"")</f>
        <v>Silver</v>
      </c>
    </row>
    <row r="4524" spans="1:7" x14ac:dyDescent="0.3">
      <c r="A4524" t="s">
        <v>1407</v>
      </c>
      <c r="B4524" t="s">
        <v>536</v>
      </c>
      <c r="C4524" t="s">
        <v>537</v>
      </c>
      <c r="D4524" s="7">
        <v>3</v>
      </c>
      <c r="E4524">
        <v>2020</v>
      </c>
      <c r="F4524">
        <v>2021</v>
      </c>
      <c r="G4524" t="str">
        <f>IFERROR(INDEX(Formulations[Formulation],MATCH($C4524,Formulations[Product Code],0)),"")</f>
        <v>Silver</v>
      </c>
    </row>
    <row r="4525" spans="1:7" x14ac:dyDescent="0.3">
      <c r="A4525" t="s">
        <v>1407</v>
      </c>
      <c r="B4525" t="s">
        <v>1419</v>
      </c>
      <c r="C4525" t="s">
        <v>1420</v>
      </c>
      <c r="D4525" s="7">
        <v>3</v>
      </c>
      <c r="E4525">
        <v>2020</v>
      </c>
      <c r="F4525">
        <v>2021</v>
      </c>
      <c r="G4525" t="str">
        <f>IFERROR(INDEX(Formulations[Formulation],MATCH($C4525,Formulations[Product Code],0)),"")</f>
        <v>Crystal</v>
      </c>
    </row>
    <row r="4526" spans="1:7" x14ac:dyDescent="0.3">
      <c r="A4526" t="s">
        <v>1407</v>
      </c>
      <c r="B4526" t="s">
        <v>643</v>
      </c>
      <c r="C4526" t="s">
        <v>644</v>
      </c>
      <c r="D4526" s="7">
        <v>3</v>
      </c>
      <c r="E4526">
        <v>2020</v>
      </c>
      <c r="F4526">
        <v>2020</v>
      </c>
      <c r="G4526" t="str">
        <f>IFERROR(INDEX(Formulations[Formulation],MATCH($C4526,Formulations[Product Code],0)),"")</f>
        <v>Crystal</v>
      </c>
    </row>
    <row r="4527" spans="1:7" x14ac:dyDescent="0.3">
      <c r="A4527" t="s">
        <v>1407</v>
      </c>
      <c r="B4527" t="s">
        <v>257</v>
      </c>
      <c r="C4527" t="s">
        <v>61</v>
      </c>
      <c r="D4527" s="7">
        <v>3</v>
      </c>
      <c r="E4527">
        <v>2019</v>
      </c>
      <c r="F4527">
        <v>2021</v>
      </c>
      <c r="G4527" t="str">
        <f>IFERROR(INDEX(Formulations[Formulation],MATCH($C4527,Formulations[Product Code],0)),"")</f>
        <v>Pure</v>
      </c>
    </row>
    <row r="4528" spans="1:7" x14ac:dyDescent="0.3">
      <c r="A4528" t="s">
        <v>1407</v>
      </c>
      <c r="B4528" t="s">
        <v>1422</v>
      </c>
      <c r="C4528" t="s">
        <v>80</v>
      </c>
      <c r="D4528" s="7">
        <v>3</v>
      </c>
      <c r="E4528">
        <v>2019</v>
      </c>
      <c r="F4528">
        <v>2019</v>
      </c>
      <c r="G4528" t="str">
        <f>IFERROR(INDEX(Formulations[Formulation],MATCH($C4528,Formulations[Product Code],0)),"")</f>
        <v>Pure</v>
      </c>
    </row>
    <row r="4529" spans="1:7" x14ac:dyDescent="0.3">
      <c r="A4529" t="s">
        <v>1407</v>
      </c>
      <c r="B4529" t="s">
        <v>1423</v>
      </c>
      <c r="C4529" t="s">
        <v>1424</v>
      </c>
      <c r="D4529" s="7">
        <v>3</v>
      </c>
      <c r="E4529">
        <v>2020</v>
      </c>
      <c r="F4529">
        <v>2021</v>
      </c>
      <c r="G4529" t="str">
        <f>IFERROR(INDEX(Formulations[Formulation],MATCH($C4529,Formulations[Product Code],0)),"")</f>
        <v>Pure</v>
      </c>
    </row>
    <row r="4530" spans="1:7" x14ac:dyDescent="0.3">
      <c r="A4530" t="s">
        <v>1407</v>
      </c>
      <c r="B4530" t="s">
        <v>1369</v>
      </c>
      <c r="C4530" t="s">
        <v>1370</v>
      </c>
      <c r="D4530" s="7">
        <v>3</v>
      </c>
      <c r="E4530">
        <v>2020</v>
      </c>
      <c r="F4530">
        <v>2021</v>
      </c>
      <c r="G4530" t="str">
        <f>IFERROR(INDEX(Formulations[Formulation],MATCH($C4530,Formulations[Product Code],0)),"")</f>
        <v>Pure</v>
      </c>
    </row>
    <row r="4531" spans="1:7" x14ac:dyDescent="0.3">
      <c r="A4531" t="s">
        <v>1407</v>
      </c>
      <c r="B4531" t="s">
        <v>383</v>
      </c>
      <c r="C4531" t="s">
        <v>384</v>
      </c>
      <c r="D4531" s="7">
        <v>3</v>
      </c>
      <c r="E4531">
        <v>2020</v>
      </c>
      <c r="F4531">
        <v>2020</v>
      </c>
      <c r="G4531" t="str">
        <f>IFERROR(INDEX(Formulations[Formulation],MATCH($C4531,Formulations[Product Code],0)),"")</f>
        <v>Pure</v>
      </c>
    </row>
    <row r="4532" spans="1:7" x14ac:dyDescent="0.3">
      <c r="A4532" t="s">
        <v>1407</v>
      </c>
      <c r="B4532" t="s">
        <v>266</v>
      </c>
      <c r="C4532" t="s">
        <v>143</v>
      </c>
      <c r="D4532" s="7">
        <v>3</v>
      </c>
      <c r="E4532">
        <v>2020</v>
      </c>
      <c r="F4532">
        <v>2021</v>
      </c>
      <c r="G4532" t="str">
        <f>IFERROR(INDEX(Formulations[Formulation],MATCH($C4532,Formulations[Product Code],0)),"")</f>
        <v>Pure</v>
      </c>
    </row>
    <row r="4533" spans="1:7" x14ac:dyDescent="0.3">
      <c r="A4533" t="s">
        <v>1407</v>
      </c>
      <c r="B4533" t="s">
        <v>1396</v>
      </c>
      <c r="C4533" t="s">
        <v>613</v>
      </c>
      <c r="D4533" s="7">
        <v>3</v>
      </c>
      <c r="E4533">
        <v>2019</v>
      </c>
      <c r="F4533">
        <v>2020</v>
      </c>
      <c r="G4533" t="str">
        <f>IFERROR(INDEX(Formulations[Formulation],MATCH($C4533,Formulations[Product Code],0)),"")</f>
        <v>Pure</v>
      </c>
    </row>
    <row r="4534" spans="1:7" x14ac:dyDescent="0.3">
      <c r="A4534" t="s">
        <v>1431</v>
      </c>
      <c r="B4534" t="s">
        <v>1435</v>
      </c>
      <c r="C4534" t="s">
        <v>561</v>
      </c>
      <c r="D4534" s="7">
        <v>3</v>
      </c>
      <c r="E4534">
        <v>2019</v>
      </c>
      <c r="F4534">
        <v>2019</v>
      </c>
      <c r="G4534" t="str">
        <f>IFERROR(INDEX(Formulations[Formulation],MATCH($C4534,Formulations[Product Code],0)),"")</f>
        <v/>
      </c>
    </row>
    <row r="4535" spans="1:7" x14ac:dyDescent="0.3">
      <c r="A4535" t="s">
        <v>1652</v>
      </c>
      <c r="B4535" t="s">
        <v>538</v>
      </c>
      <c r="C4535" t="s">
        <v>539</v>
      </c>
      <c r="D4535" s="7">
        <v>3</v>
      </c>
      <c r="E4535">
        <v>2020</v>
      </c>
      <c r="F4535">
        <v>2021</v>
      </c>
      <c r="G4535" t="str">
        <f>IFERROR(INDEX(Formulations[Formulation],MATCH($C4535,Formulations[Product Code],0)),"")</f>
        <v>Gold</v>
      </c>
    </row>
    <row r="4536" spans="1:7" x14ac:dyDescent="0.3">
      <c r="A4536" t="s">
        <v>1662</v>
      </c>
      <c r="B4536" t="s">
        <v>265</v>
      </c>
      <c r="C4536" t="s">
        <v>197</v>
      </c>
      <c r="D4536" s="7">
        <v>3</v>
      </c>
      <c r="E4536">
        <v>2018</v>
      </c>
      <c r="F4536">
        <v>2020</v>
      </c>
      <c r="G4536" t="str">
        <f>IFERROR(INDEX(Formulations[Formulation],MATCH($C4536,Formulations[Product Code],0)),"")</f>
        <v/>
      </c>
    </row>
    <row r="4537" spans="1:7" x14ac:dyDescent="0.3">
      <c r="A4537" t="s">
        <v>1746</v>
      </c>
      <c r="B4537" t="s">
        <v>589</v>
      </c>
      <c r="C4537" t="s">
        <v>590</v>
      </c>
      <c r="D4537" s="7">
        <v>3</v>
      </c>
      <c r="E4537">
        <v>2021</v>
      </c>
      <c r="F4537">
        <v>2021</v>
      </c>
      <c r="G4537" t="str">
        <f>IFERROR(INDEX(Formulations[Formulation],MATCH($C4537,Formulations[Product Code],0)),"")</f>
        <v>Bakhur : A285878- 90%, A243761-10%</v>
      </c>
    </row>
    <row r="4538" spans="1:7" x14ac:dyDescent="0.3">
      <c r="A4538" t="s">
        <v>1746</v>
      </c>
      <c r="B4538" t="s">
        <v>105</v>
      </c>
      <c r="C4538" t="s">
        <v>106</v>
      </c>
      <c r="D4538" s="7">
        <v>3</v>
      </c>
      <c r="E4538">
        <v>2021</v>
      </c>
      <c r="F4538">
        <v>2021</v>
      </c>
      <c r="G4538" t="str">
        <f>IFERROR(INDEX(Formulations[Formulation],MATCH($C4538,Formulations[Product Code],0)),"")</f>
        <v>Pure</v>
      </c>
    </row>
    <row r="4539" spans="1:7" x14ac:dyDescent="0.3">
      <c r="A4539" t="s">
        <v>1784</v>
      </c>
      <c r="B4539" t="s">
        <v>1396</v>
      </c>
      <c r="C4539" t="s">
        <v>613</v>
      </c>
      <c r="D4539" s="7">
        <v>3</v>
      </c>
      <c r="E4539">
        <v>2019</v>
      </c>
      <c r="F4539">
        <v>2020</v>
      </c>
      <c r="G4539" t="str">
        <f>IFERROR(INDEX(Formulations[Formulation],MATCH($C4539,Formulations[Product Code],0)),"")</f>
        <v>Pure</v>
      </c>
    </row>
    <row r="4540" spans="1:7" x14ac:dyDescent="0.3">
      <c r="A4540" t="s">
        <v>1865</v>
      </c>
      <c r="B4540" t="s">
        <v>642</v>
      </c>
      <c r="D4540" s="7">
        <v>3</v>
      </c>
      <c r="E4540">
        <v>2020</v>
      </c>
      <c r="F4540">
        <v>2021</v>
      </c>
      <c r="G4540" t="str">
        <f>IFERROR(INDEX(Formulations[Formulation],MATCH($C4540,Formulations[Product Code],0)),"")</f>
        <v/>
      </c>
    </row>
    <row r="4541" spans="1:7" x14ac:dyDescent="0.3">
      <c r="A4541" t="s">
        <v>1882</v>
      </c>
      <c r="B4541" t="s">
        <v>24</v>
      </c>
      <c r="C4541" t="s">
        <v>25</v>
      </c>
      <c r="D4541" s="7">
        <v>3</v>
      </c>
      <c r="E4541">
        <v>2012</v>
      </c>
      <c r="F4541">
        <v>2013</v>
      </c>
      <c r="G4541" t="str">
        <f>IFERROR(INDEX(Formulations[Formulation],MATCH($C4541,Formulations[Product Code],0)),"")</f>
        <v>citropine 85%/Pinefresh 15%</v>
      </c>
    </row>
    <row r="4542" spans="1:7" x14ac:dyDescent="0.3">
      <c r="A4542" t="s">
        <v>1926</v>
      </c>
      <c r="B4542" t="s">
        <v>35</v>
      </c>
      <c r="D4542" s="7">
        <v>3</v>
      </c>
      <c r="E4542">
        <v>2020</v>
      </c>
      <c r="F4542">
        <v>2021</v>
      </c>
      <c r="G4542" t="str">
        <f>IFERROR(INDEX(Formulations[Formulation],MATCH($C4542,Formulations[Product Code],0)),"")</f>
        <v/>
      </c>
    </row>
    <row r="4543" spans="1:7" x14ac:dyDescent="0.3">
      <c r="A4543" t="s">
        <v>1927</v>
      </c>
      <c r="B4543" t="s">
        <v>126</v>
      </c>
      <c r="D4543" s="7">
        <v>3</v>
      </c>
      <c r="E4543">
        <v>2019</v>
      </c>
      <c r="F4543">
        <v>2019</v>
      </c>
      <c r="G4543" t="str">
        <f>IFERROR(INDEX(Formulations[Formulation],MATCH($C4543,Formulations[Product Code],0)),"")</f>
        <v/>
      </c>
    </row>
    <row r="4544" spans="1:7" x14ac:dyDescent="0.3">
      <c r="A4544" t="s">
        <v>1927</v>
      </c>
      <c r="B4544" t="s">
        <v>128</v>
      </c>
      <c r="D4544" s="7">
        <v>3</v>
      </c>
      <c r="E4544">
        <v>2019</v>
      </c>
      <c r="F4544">
        <v>2019</v>
      </c>
      <c r="G4544" t="str">
        <f>IFERROR(INDEX(Formulations[Formulation],MATCH($C4544,Formulations[Product Code],0)),"")</f>
        <v/>
      </c>
    </row>
    <row r="4545" spans="1:7" x14ac:dyDescent="0.3">
      <c r="A4545" t="s">
        <v>1945</v>
      </c>
      <c r="B4545" t="s">
        <v>1946</v>
      </c>
      <c r="C4545" t="s">
        <v>1947</v>
      </c>
      <c r="D4545" s="7">
        <v>3</v>
      </c>
      <c r="E4545">
        <v>2018</v>
      </c>
      <c r="F4545">
        <v>2018</v>
      </c>
      <c r="G4545" t="str">
        <f>IFERROR(INDEX(Formulations[Formulation],MATCH($C4545,Formulations[Product Code],0)),"")</f>
        <v/>
      </c>
    </row>
    <row r="4546" spans="1:7" x14ac:dyDescent="0.3">
      <c r="A4546" t="s">
        <v>1945</v>
      </c>
      <c r="B4546" t="s">
        <v>723</v>
      </c>
      <c r="C4546" t="s">
        <v>724</v>
      </c>
      <c r="D4546" s="7">
        <v>3</v>
      </c>
      <c r="E4546">
        <v>2019</v>
      </c>
      <c r="F4546">
        <v>2020</v>
      </c>
      <c r="G4546" t="str">
        <f>IFERROR(INDEX(Formulations[Formulation],MATCH($C4546,Formulations[Product Code],0)),"")</f>
        <v>Crystal</v>
      </c>
    </row>
    <row r="4547" spans="1:7" x14ac:dyDescent="0.3">
      <c r="A4547" t="s">
        <v>2025</v>
      </c>
      <c r="B4547" t="s">
        <v>679</v>
      </c>
      <c r="C4547" t="s">
        <v>680</v>
      </c>
      <c r="D4547" s="7">
        <v>3</v>
      </c>
      <c r="E4547">
        <v>2021</v>
      </c>
      <c r="F4547">
        <v>2021</v>
      </c>
      <c r="G4547" t="str">
        <f>IFERROR(INDEX(Formulations[Formulation],MATCH($C4547,Formulations[Product Code],0)),"")</f>
        <v>Crystal</v>
      </c>
    </row>
    <row r="4548" spans="1:7" x14ac:dyDescent="0.3">
      <c r="A4548" t="s">
        <v>2075</v>
      </c>
      <c r="B4548" t="s">
        <v>1334</v>
      </c>
      <c r="C4548" t="s">
        <v>1335</v>
      </c>
      <c r="D4548" s="7">
        <v>3</v>
      </c>
      <c r="E4548">
        <v>2020</v>
      </c>
      <c r="F4548">
        <v>2020</v>
      </c>
      <c r="G4548" t="str">
        <f>IFERROR(INDEX(Formulations[Formulation],MATCH($C4548,Formulations[Product Code],0)),"")</f>
        <v>Crystal</v>
      </c>
    </row>
    <row r="4549" spans="1:7" x14ac:dyDescent="0.3">
      <c r="A4549" t="s">
        <v>2078</v>
      </c>
      <c r="B4549" t="s">
        <v>627</v>
      </c>
      <c r="C4549" t="s">
        <v>628</v>
      </c>
      <c r="D4549" s="7">
        <v>3</v>
      </c>
      <c r="E4549">
        <v>2020</v>
      </c>
      <c r="F4549">
        <v>2020</v>
      </c>
      <c r="G4549" t="str">
        <f>IFERROR(INDEX(Formulations[Formulation],MATCH($C4549,Formulations[Product Code],0)),"")</f>
        <v>Pure</v>
      </c>
    </row>
    <row r="4550" spans="1:7" x14ac:dyDescent="0.3">
      <c r="A4550" t="s">
        <v>2078</v>
      </c>
      <c r="B4550" t="s">
        <v>596</v>
      </c>
      <c r="D4550" s="7">
        <v>3</v>
      </c>
      <c r="E4550">
        <v>2020</v>
      </c>
      <c r="F4550">
        <v>2020</v>
      </c>
      <c r="G4550" t="str">
        <f>IFERROR(INDEX(Formulations[Formulation],MATCH($C4550,Formulations[Product Code],0)),"")</f>
        <v/>
      </c>
    </row>
    <row r="4551" spans="1:7" x14ac:dyDescent="0.3">
      <c r="A4551" t="s">
        <v>2078</v>
      </c>
      <c r="B4551" t="s">
        <v>516</v>
      </c>
      <c r="D4551" s="7">
        <v>3</v>
      </c>
      <c r="E4551">
        <v>2020</v>
      </c>
      <c r="F4551">
        <v>2020</v>
      </c>
      <c r="G4551" t="str">
        <f>IFERROR(INDEX(Formulations[Formulation],MATCH($C4551,Formulations[Product Code],0)),"")</f>
        <v/>
      </c>
    </row>
    <row r="4552" spans="1:7" x14ac:dyDescent="0.3">
      <c r="A4552" t="s">
        <v>2078</v>
      </c>
      <c r="B4552" t="s">
        <v>679</v>
      </c>
      <c r="C4552" t="s">
        <v>680</v>
      </c>
      <c r="D4552" s="7">
        <v>3</v>
      </c>
      <c r="E4552">
        <v>2020</v>
      </c>
      <c r="F4552">
        <v>2020</v>
      </c>
      <c r="G4552" t="str">
        <f>IFERROR(INDEX(Formulations[Formulation],MATCH($C4552,Formulations[Product Code],0)),"")</f>
        <v>Crystal</v>
      </c>
    </row>
    <row r="4553" spans="1:7" x14ac:dyDescent="0.3">
      <c r="A4553" t="s">
        <v>2088</v>
      </c>
      <c r="B4553" t="s">
        <v>26</v>
      </c>
      <c r="C4553" t="s">
        <v>27</v>
      </c>
      <c r="D4553" s="7">
        <v>3</v>
      </c>
      <c r="E4553">
        <v>2015</v>
      </c>
      <c r="F4553">
        <v>2015</v>
      </c>
      <c r="G4553" t="str">
        <f>IFERROR(INDEX(Formulations[Formulation],MATCH($C4553,Formulations[Product Code],0)),"")</f>
        <v>FLOURAMAX A270578/ P782894</v>
      </c>
    </row>
    <row r="4554" spans="1:7" x14ac:dyDescent="0.3">
      <c r="A4554" t="s">
        <v>2097</v>
      </c>
      <c r="B4554" t="s">
        <v>35</v>
      </c>
      <c r="D4554" s="7">
        <v>3</v>
      </c>
      <c r="E4554">
        <v>2020</v>
      </c>
      <c r="F4554">
        <v>2021</v>
      </c>
      <c r="G4554" t="str">
        <f>IFERROR(INDEX(Formulations[Formulation],MATCH($C4554,Formulations[Product Code],0)),"")</f>
        <v/>
      </c>
    </row>
    <row r="4555" spans="1:7" x14ac:dyDescent="0.3">
      <c r="A4555" t="s">
        <v>2113</v>
      </c>
      <c r="B4555" t="s">
        <v>137</v>
      </c>
      <c r="C4555" t="s">
        <v>138</v>
      </c>
      <c r="D4555" s="7">
        <v>3</v>
      </c>
      <c r="E4555">
        <v>2016</v>
      </c>
      <c r="F4555">
        <v>2016</v>
      </c>
      <c r="G4555" t="str">
        <f>IFERROR(INDEX(Formulations[Formulation],MATCH($C4555,Formulations[Product Code],0)),"")</f>
        <v>WS</v>
      </c>
    </row>
    <row r="4556" spans="1:7" x14ac:dyDescent="0.3">
      <c r="A4556" t="s">
        <v>2117</v>
      </c>
      <c r="B4556" t="s">
        <v>627</v>
      </c>
      <c r="C4556" t="s">
        <v>628</v>
      </c>
      <c r="D4556" s="7">
        <v>3</v>
      </c>
      <c r="E4556">
        <v>2020</v>
      </c>
      <c r="F4556">
        <v>2020</v>
      </c>
      <c r="G4556" t="str">
        <f>IFERROR(INDEX(Formulations[Formulation],MATCH($C4556,Formulations[Product Code],0)),"")</f>
        <v>Pure</v>
      </c>
    </row>
    <row r="4557" spans="1:7" x14ac:dyDescent="0.3">
      <c r="A4557" t="s">
        <v>2117</v>
      </c>
      <c r="B4557" t="s">
        <v>516</v>
      </c>
      <c r="D4557" s="7">
        <v>3</v>
      </c>
      <c r="E4557">
        <v>2020</v>
      </c>
      <c r="F4557">
        <v>2020</v>
      </c>
      <c r="G4557" t="str">
        <f>IFERROR(INDEX(Formulations[Formulation],MATCH($C4557,Formulations[Product Code],0)),"")</f>
        <v/>
      </c>
    </row>
    <row r="4558" spans="1:7" x14ac:dyDescent="0.3">
      <c r="A4558" t="s">
        <v>2161</v>
      </c>
      <c r="B4558" t="s">
        <v>127</v>
      </c>
      <c r="D4558" s="7">
        <v>3</v>
      </c>
      <c r="E4558">
        <v>2019</v>
      </c>
      <c r="F4558">
        <v>2019</v>
      </c>
      <c r="G4558" t="str">
        <f>IFERROR(INDEX(Formulations[Formulation],MATCH($C4558,Formulations[Product Code],0)),"")</f>
        <v/>
      </c>
    </row>
    <row r="4559" spans="1:7" x14ac:dyDescent="0.3">
      <c r="A4559" t="s">
        <v>2176</v>
      </c>
      <c r="B4559" t="s">
        <v>258</v>
      </c>
      <c r="C4559" t="s">
        <v>259</v>
      </c>
      <c r="D4559" s="7">
        <v>3</v>
      </c>
      <c r="E4559">
        <v>2021</v>
      </c>
      <c r="F4559">
        <v>2021</v>
      </c>
      <c r="G4559" t="str">
        <f>IFERROR(INDEX(Formulations[Formulation],MATCH($C4559,Formulations[Product Code],0)),"")</f>
        <v>Pure</v>
      </c>
    </row>
    <row r="4560" spans="1:7" x14ac:dyDescent="0.3">
      <c r="A4560" t="s">
        <v>2176</v>
      </c>
      <c r="B4560" t="s">
        <v>792</v>
      </c>
      <c r="C4560" t="s">
        <v>793</v>
      </c>
      <c r="D4560" s="7">
        <v>3</v>
      </c>
      <c r="E4560">
        <v>2020</v>
      </c>
      <c r="F4560">
        <v>2020</v>
      </c>
      <c r="G4560" t="str">
        <f>IFERROR(INDEX(Formulations[Formulation],MATCH($C4560,Formulations[Product Code],0)),"")</f>
        <v>Silver</v>
      </c>
    </row>
    <row r="4561" spans="1:7" x14ac:dyDescent="0.3">
      <c r="A4561" t="s">
        <v>2187</v>
      </c>
      <c r="B4561" t="s">
        <v>656</v>
      </c>
      <c r="C4561" t="s">
        <v>71</v>
      </c>
      <c r="D4561" s="7">
        <v>3</v>
      </c>
      <c r="E4561">
        <v>2021</v>
      </c>
      <c r="F4561">
        <v>2021</v>
      </c>
      <c r="G4561" t="str">
        <f>IFERROR(INDEX(Formulations[Formulation],MATCH($C4561,Formulations[Product Code],0)),"")</f>
        <v>40% Oil &amp; 60% DPG</v>
      </c>
    </row>
    <row r="4562" spans="1:7" x14ac:dyDescent="0.3">
      <c r="A4562" t="s">
        <v>2187</v>
      </c>
      <c r="B4562" t="s">
        <v>72</v>
      </c>
      <c r="C4562" t="s">
        <v>319</v>
      </c>
      <c r="D4562" s="7">
        <v>3</v>
      </c>
      <c r="E4562">
        <v>2021</v>
      </c>
      <c r="F4562">
        <v>2021</v>
      </c>
      <c r="G4562" t="str">
        <f>IFERROR(INDEX(Formulations[Formulation],MATCH($C4562,Formulations[Product Code],0)),"")</f>
        <v>Pure</v>
      </c>
    </row>
    <row r="4563" spans="1:7" x14ac:dyDescent="0.3">
      <c r="A4563" t="s">
        <v>2248</v>
      </c>
      <c r="B4563" t="s">
        <v>28</v>
      </c>
      <c r="D4563" s="7">
        <v>3</v>
      </c>
      <c r="E4563">
        <v>2016</v>
      </c>
      <c r="F4563">
        <v>2017</v>
      </c>
      <c r="G4563" t="str">
        <f>IFERROR(INDEX(Formulations[Formulation],MATCH($C4563,Formulations[Product Code],0)),"")</f>
        <v/>
      </c>
    </row>
    <row r="4564" spans="1:7" x14ac:dyDescent="0.3">
      <c r="A4564" t="s">
        <v>2262</v>
      </c>
      <c r="B4564" t="s">
        <v>103</v>
      </c>
      <c r="C4564" t="s">
        <v>104</v>
      </c>
      <c r="D4564" s="7">
        <v>3</v>
      </c>
      <c r="E4564">
        <v>2017</v>
      </c>
      <c r="F4564">
        <v>2018</v>
      </c>
      <c r="G4564" t="str">
        <f>IFERROR(INDEX(Formulations[Formulation],MATCH($C4564,Formulations[Product Code],0)),"")</f>
        <v>Pure</v>
      </c>
    </row>
    <row r="4565" spans="1:7" x14ac:dyDescent="0.3">
      <c r="A4565" t="s">
        <v>2262</v>
      </c>
      <c r="B4565" t="s">
        <v>1404</v>
      </c>
      <c r="D4565" s="7">
        <v>3</v>
      </c>
      <c r="E4565">
        <v>2019</v>
      </c>
      <c r="F4565">
        <v>2020</v>
      </c>
      <c r="G4565" t="str">
        <f>IFERROR(INDEX(Formulations[Formulation],MATCH($C4565,Formulations[Product Code],0)),"")</f>
        <v/>
      </c>
    </row>
    <row r="4566" spans="1:7" x14ac:dyDescent="0.3">
      <c r="A4566" t="s">
        <v>2266</v>
      </c>
      <c r="B4566" t="s">
        <v>1013</v>
      </c>
      <c r="C4566" t="s">
        <v>1014</v>
      </c>
      <c r="D4566" s="7">
        <v>3</v>
      </c>
      <c r="E4566">
        <v>2020</v>
      </c>
      <c r="F4566">
        <v>2020</v>
      </c>
      <c r="G4566" t="str">
        <f>IFERROR(INDEX(Formulations[Formulation],MATCH($C4566,Formulations[Product Code],0)),"")</f>
        <v/>
      </c>
    </row>
    <row r="4567" spans="1:7" x14ac:dyDescent="0.3">
      <c r="A4567" t="s">
        <v>2266</v>
      </c>
      <c r="B4567" t="s">
        <v>258</v>
      </c>
      <c r="C4567" t="s">
        <v>259</v>
      </c>
      <c r="D4567" s="7">
        <v>3</v>
      </c>
      <c r="E4567">
        <v>2020</v>
      </c>
      <c r="F4567">
        <v>2020</v>
      </c>
      <c r="G4567" t="str">
        <f>IFERROR(INDEX(Formulations[Formulation],MATCH($C4567,Formulations[Product Code],0)),"")</f>
        <v>Pure</v>
      </c>
    </row>
    <row r="4568" spans="1:7" x14ac:dyDescent="0.3">
      <c r="A4568" t="s">
        <v>2266</v>
      </c>
      <c r="B4568" t="s">
        <v>517</v>
      </c>
      <c r="C4568" t="s">
        <v>145</v>
      </c>
      <c r="D4568" s="7">
        <v>3</v>
      </c>
      <c r="E4568">
        <v>2020</v>
      </c>
      <c r="F4568">
        <v>2020</v>
      </c>
      <c r="G4568" t="str">
        <f>IFERROR(INDEX(Formulations[Formulation],MATCH($C4568,Formulations[Product Code],0)),"")</f>
        <v/>
      </c>
    </row>
    <row r="4569" spans="1:7" x14ac:dyDescent="0.3">
      <c r="A4569" t="s">
        <v>2333</v>
      </c>
      <c r="B4569" t="s">
        <v>516</v>
      </c>
      <c r="D4569" s="7">
        <v>3</v>
      </c>
      <c r="E4569">
        <v>2019</v>
      </c>
      <c r="F4569">
        <v>2019</v>
      </c>
      <c r="G4569" t="str">
        <f>IFERROR(INDEX(Formulations[Formulation],MATCH($C4569,Formulations[Product Code],0)),"")</f>
        <v/>
      </c>
    </row>
    <row r="4570" spans="1:7" x14ac:dyDescent="0.3">
      <c r="A4570" t="s">
        <v>2333</v>
      </c>
      <c r="B4570" t="s">
        <v>72</v>
      </c>
      <c r="C4570" t="s">
        <v>73</v>
      </c>
      <c r="D4570" s="7">
        <v>3</v>
      </c>
      <c r="E4570">
        <v>2019</v>
      </c>
      <c r="F4570">
        <v>2019</v>
      </c>
      <c r="G4570" t="str">
        <f>IFERROR(INDEX(Formulations[Formulation],MATCH($C4570,Formulations[Product Code],0)),"")</f>
        <v>Silver</v>
      </c>
    </row>
    <row r="4571" spans="1:7" x14ac:dyDescent="0.3">
      <c r="A4571" t="s">
        <v>2335</v>
      </c>
      <c r="B4571" t="s">
        <v>626</v>
      </c>
      <c r="C4571" t="s">
        <v>582</v>
      </c>
      <c r="D4571" s="7">
        <v>3</v>
      </c>
      <c r="E4571">
        <v>2019</v>
      </c>
      <c r="F4571">
        <v>2020</v>
      </c>
      <c r="G4571" t="str">
        <f>IFERROR(INDEX(Formulations[Formulation],MATCH($C4571,Formulations[Product Code],0)),"")</f>
        <v/>
      </c>
    </row>
    <row r="4572" spans="1:7" x14ac:dyDescent="0.3">
      <c r="A4572" t="s">
        <v>2361</v>
      </c>
      <c r="B4572" t="s">
        <v>402</v>
      </c>
      <c r="C4572" t="s">
        <v>403</v>
      </c>
      <c r="D4572" s="7">
        <v>3</v>
      </c>
      <c r="E4572">
        <v>2019</v>
      </c>
      <c r="F4572">
        <v>2019</v>
      </c>
      <c r="G4572" t="str">
        <f>IFERROR(INDEX(Formulations[Formulation],MATCH($C4572,Formulations[Product Code],0)),"")</f>
        <v>15 % oil and 85% dpg</v>
      </c>
    </row>
    <row r="4573" spans="1:7" x14ac:dyDescent="0.3">
      <c r="A4573" t="s">
        <v>2361</v>
      </c>
      <c r="B4573" t="s">
        <v>320</v>
      </c>
      <c r="C4573" t="s">
        <v>414</v>
      </c>
      <c r="D4573" s="7">
        <v>3</v>
      </c>
      <c r="E4573">
        <v>2019</v>
      </c>
      <c r="F4573">
        <v>2019</v>
      </c>
      <c r="G4573" t="str">
        <f>IFERROR(INDEX(Formulations[Formulation],MATCH($C4573,Formulations[Product Code],0)),"")</f>
        <v/>
      </c>
    </row>
    <row r="4574" spans="1:7" x14ac:dyDescent="0.3">
      <c r="A4574" t="s">
        <v>2362</v>
      </c>
      <c r="B4574" t="s">
        <v>120</v>
      </c>
      <c r="C4574" t="s">
        <v>1798</v>
      </c>
      <c r="D4574" s="7">
        <v>3</v>
      </c>
      <c r="E4574">
        <v>2012</v>
      </c>
      <c r="F4574">
        <v>2012</v>
      </c>
      <c r="G4574" t="str">
        <f>IFERROR(INDEX(Formulations[Formulation],MATCH($C4574,Formulations[Product Code],0)),"")</f>
        <v/>
      </c>
    </row>
    <row r="4575" spans="1:7" x14ac:dyDescent="0.3">
      <c r="A4575" t="s">
        <v>2411</v>
      </c>
      <c r="B4575" t="s">
        <v>99</v>
      </c>
      <c r="C4575" t="s">
        <v>100</v>
      </c>
      <c r="D4575" s="7">
        <v>3</v>
      </c>
      <c r="E4575">
        <v>2021</v>
      </c>
      <c r="F4575">
        <v>2021</v>
      </c>
      <c r="G4575" t="str">
        <f>IFERROR(INDEX(Formulations[Formulation],MATCH($C4575,Formulations[Product Code],0)),"")</f>
        <v>Crystal</v>
      </c>
    </row>
    <row r="4576" spans="1:7" x14ac:dyDescent="0.3">
      <c r="A4576" t="s">
        <v>2423</v>
      </c>
      <c r="B4576" t="s">
        <v>372</v>
      </c>
      <c r="C4576" t="s">
        <v>331</v>
      </c>
      <c r="D4576" s="7">
        <v>3</v>
      </c>
      <c r="E4576">
        <v>2019</v>
      </c>
      <c r="F4576">
        <v>2020</v>
      </c>
      <c r="G4576" t="str">
        <f>IFERROR(INDEX(Formulations[Formulation],MATCH($C4576,Formulations[Product Code],0)),"")</f>
        <v>35% oil</v>
      </c>
    </row>
    <row r="4577" spans="1:7" x14ac:dyDescent="0.3">
      <c r="A4577" t="s">
        <v>2428</v>
      </c>
      <c r="B4577" t="s">
        <v>280</v>
      </c>
      <c r="C4577" t="s">
        <v>224</v>
      </c>
      <c r="D4577" s="7">
        <v>3</v>
      </c>
      <c r="E4577">
        <v>2017</v>
      </c>
      <c r="F4577">
        <v>2017</v>
      </c>
      <c r="G4577" t="str">
        <f>IFERROR(INDEX(Formulations[Formulation],MATCH($C4577,Formulations[Product Code],0)),"")</f>
        <v/>
      </c>
    </row>
    <row r="4578" spans="1:7" x14ac:dyDescent="0.3">
      <c r="A4578" t="s">
        <v>2441</v>
      </c>
      <c r="B4578" t="s">
        <v>631</v>
      </c>
      <c r="C4578" t="s">
        <v>632</v>
      </c>
      <c r="D4578" s="7">
        <v>3</v>
      </c>
      <c r="E4578">
        <v>2019</v>
      </c>
      <c r="F4578">
        <v>2019</v>
      </c>
      <c r="G4578" t="str">
        <f>IFERROR(INDEX(Formulations[Formulation],MATCH($C4578,Formulations[Product Code],0)),"")</f>
        <v/>
      </c>
    </row>
    <row r="4579" spans="1:7" x14ac:dyDescent="0.3">
      <c r="A4579" t="s">
        <v>2441</v>
      </c>
      <c r="B4579" t="s">
        <v>1422</v>
      </c>
      <c r="C4579" t="s">
        <v>80</v>
      </c>
      <c r="D4579" s="7">
        <v>3</v>
      </c>
      <c r="E4579">
        <v>2019</v>
      </c>
      <c r="F4579">
        <v>2019</v>
      </c>
      <c r="G4579" t="str">
        <f>IFERROR(INDEX(Formulations[Formulation],MATCH($C4579,Formulations[Product Code],0)),"")</f>
        <v>Pure</v>
      </c>
    </row>
    <row r="4580" spans="1:7" x14ac:dyDescent="0.3">
      <c r="A4580" t="s">
        <v>2441</v>
      </c>
      <c r="B4580" t="s">
        <v>46</v>
      </c>
      <c r="C4580" t="s">
        <v>47</v>
      </c>
      <c r="D4580" s="7">
        <v>3</v>
      </c>
      <c r="E4580">
        <v>2019</v>
      </c>
      <c r="F4580">
        <v>2019</v>
      </c>
      <c r="G4580" t="str">
        <f>IFERROR(INDEX(Formulations[Formulation],MATCH($C4580,Formulations[Product Code],0)),"")</f>
        <v/>
      </c>
    </row>
    <row r="4581" spans="1:7" x14ac:dyDescent="0.3">
      <c r="A4581" t="s">
        <v>2447</v>
      </c>
      <c r="B4581" t="s">
        <v>718</v>
      </c>
      <c r="C4581" t="s">
        <v>582</v>
      </c>
      <c r="D4581" s="7">
        <v>3</v>
      </c>
      <c r="E4581">
        <v>2019</v>
      </c>
      <c r="F4581">
        <v>2019</v>
      </c>
      <c r="G4581" t="str">
        <f>IFERROR(INDEX(Formulations[Formulation],MATCH($C4581,Formulations[Product Code],0)),"")</f>
        <v/>
      </c>
    </row>
    <row r="4582" spans="1:7" x14ac:dyDescent="0.3">
      <c r="A4582" t="s">
        <v>2447</v>
      </c>
      <c r="B4582" t="s">
        <v>656</v>
      </c>
      <c r="C4582" t="s">
        <v>71</v>
      </c>
      <c r="D4582" s="7">
        <v>3</v>
      </c>
      <c r="E4582">
        <v>2019</v>
      </c>
      <c r="F4582">
        <v>2020</v>
      </c>
      <c r="G4582" t="str">
        <f>IFERROR(INDEX(Formulations[Formulation],MATCH($C4582,Formulations[Product Code],0)),"")</f>
        <v>40% Oil &amp; 60% DPG</v>
      </c>
    </row>
    <row r="4583" spans="1:7" x14ac:dyDescent="0.3">
      <c r="A4583" t="s">
        <v>2447</v>
      </c>
      <c r="B4583" t="s">
        <v>600</v>
      </c>
      <c r="C4583" t="s">
        <v>75</v>
      </c>
      <c r="D4583" s="7">
        <v>3</v>
      </c>
      <c r="E4583">
        <v>2019</v>
      </c>
      <c r="F4583">
        <v>2020</v>
      </c>
      <c r="G4583" t="str">
        <f>IFERROR(INDEX(Formulations[Formulation],MATCH($C4583,Formulations[Product Code],0)),"")</f>
        <v>Crystal</v>
      </c>
    </row>
    <row r="4584" spans="1:7" x14ac:dyDescent="0.3">
      <c r="A4584" t="s">
        <v>2447</v>
      </c>
      <c r="B4584" t="s">
        <v>1396</v>
      </c>
      <c r="C4584" t="s">
        <v>613</v>
      </c>
      <c r="D4584" s="7">
        <v>3</v>
      </c>
      <c r="E4584">
        <v>2019</v>
      </c>
      <c r="F4584">
        <v>2020</v>
      </c>
      <c r="G4584" t="str">
        <f>IFERROR(INDEX(Formulations[Formulation],MATCH($C4584,Formulations[Product Code],0)),"")</f>
        <v>Pure</v>
      </c>
    </row>
    <row r="4585" spans="1:7" x14ac:dyDescent="0.3">
      <c r="A4585" t="s">
        <v>2461</v>
      </c>
      <c r="B4585" t="s">
        <v>2089</v>
      </c>
      <c r="D4585" s="7">
        <v>3</v>
      </c>
      <c r="E4585">
        <v>2016</v>
      </c>
      <c r="F4585">
        <v>2016</v>
      </c>
      <c r="G4585" t="str">
        <f>IFERROR(INDEX(Formulations[Formulation],MATCH($C4585,Formulations[Product Code],0)),"")</f>
        <v/>
      </c>
    </row>
    <row r="4586" spans="1:7" x14ac:dyDescent="0.3">
      <c r="A4586" t="s">
        <v>2514</v>
      </c>
      <c r="B4586" t="s">
        <v>2053</v>
      </c>
      <c r="C4586" t="s">
        <v>394</v>
      </c>
      <c r="D4586" s="7">
        <v>3</v>
      </c>
      <c r="E4586">
        <v>2019</v>
      </c>
      <c r="F4586">
        <v>2019</v>
      </c>
      <c r="G4586" t="str">
        <f>IFERROR(INDEX(Formulations[Formulation],MATCH($C4586,Formulations[Product Code],0)),"")</f>
        <v>Pure</v>
      </c>
    </row>
    <row r="4587" spans="1:7" x14ac:dyDescent="0.3">
      <c r="A4587" t="s">
        <v>2514</v>
      </c>
      <c r="B4587" t="s">
        <v>266</v>
      </c>
      <c r="C4587" t="s">
        <v>143</v>
      </c>
      <c r="D4587" s="7">
        <v>3</v>
      </c>
      <c r="E4587">
        <v>2019</v>
      </c>
      <c r="F4587">
        <v>2019</v>
      </c>
      <c r="G4587" t="str">
        <f>IFERROR(INDEX(Formulations[Formulation],MATCH($C4587,Formulations[Product Code],0)),"")</f>
        <v>Pure</v>
      </c>
    </row>
    <row r="4588" spans="1:7" x14ac:dyDescent="0.3">
      <c r="A4588" t="s">
        <v>2519</v>
      </c>
      <c r="B4588" t="s">
        <v>55</v>
      </c>
      <c r="D4588" s="7">
        <v>3</v>
      </c>
      <c r="E4588">
        <v>2020</v>
      </c>
      <c r="F4588">
        <v>2020</v>
      </c>
      <c r="G4588" t="str">
        <f>IFERROR(INDEX(Formulations[Formulation],MATCH($C4588,Formulations[Product Code],0)),"")</f>
        <v/>
      </c>
    </row>
    <row r="4589" spans="1:7" x14ac:dyDescent="0.3">
      <c r="A4589" t="s">
        <v>2519</v>
      </c>
      <c r="B4589" t="s">
        <v>538</v>
      </c>
      <c r="C4589" t="s">
        <v>539</v>
      </c>
      <c r="D4589" s="7">
        <v>3</v>
      </c>
      <c r="E4589">
        <v>2017</v>
      </c>
      <c r="F4589">
        <v>2018</v>
      </c>
      <c r="G4589" t="str">
        <f>IFERROR(INDEX(Formulations[Formulation],MATCH($C4589,Formulations[Product Code],0)),"")</f>
        <v>Gold</v>
      </c>
    </row>
    <row r="4590" spans="1:7" x14ac:dyDescent="0.3">
      <c r="A4590" t="s">
        <v>2519</v>
      </c>
      <c r="B4590" t="s">
        <v>103</v>
      </c>
      <c r="C4590" t="s">
        <v>104</v>
      </c>
      <c r="D4590" s="7">
        <v>3</v>
      </c>
      <c r="E4590">
        <v>2017</v>
      </c>
      <c r="F4590">
        <v>2018</v>
      </c>
      <c r="G4590" t="str">
        <f>IFERROR(INDEX(Formulations[Formulation],MATCH($C4590,Formulations[Product Code],0)),"")</f>
        <v>Pure</v>
      </c>
    </row>
    <row r="4591" spans="1:7" x14ac:dyDescent="0.3">
      <c r="A4591" t="s">
        <v>2579</v>
      </c>
      <c r="B4591" t="s">
        <v>84</v>
      </c>
      <c r="C4591" t="s">
        <v>85</v>
      </c>
      <c r="D4591" s="7">
        <v>3</v>
      </c>
      <c r="E4591">
        <v>2017</v>
      </c>
      <c r="F4591">
        <v>2018</v>
      </c>
      <c r="G4591" t="str">
        <f>IFERROR(INDEX(Formulations[Formulation],MATCH($C4591,Formulations[Product Code],0)),"")</f>
        <v>Pure</v>
      </c>
    </row>
    <row r="4592" spans="1:7" x14ac:dyDescent="0.3">
      <c r="A4592" t="s">
        <v>78</v>
      </c>
      <c r="B4592" t="s">
        <v>82</v>
      </c>
      <c r="C4592" t="s">
        <v>83</v>
      </c>
      <c r="D4592" s="7">
        <v>2.5</v>
      </c>
      <c r="E4592">
        <v>2019</v>
      </c>
      <c r="F4592">
        <v>2021</v>
      </c>
      <c r="G4592" t="str">
        <f>IFERROR(INDEX(Formulations[Formulation],MATCH($C4592,Formulations[Product Code],0)),"")</f>
        <v>Pure</v>
      </c>
    </row>
    <row r="4593" spans="1:7" x14ac:dyDescent="0.3">
      <c r="A4593" t="s">
        <v>78</v>
      </c>
      <c r="B4593" t="s">
        <v>124</v>
      </c>
      <c r="D4593" s="7">
        <v>2.5</v>
      </c>
      <c r="E4593">
        <v>2019</v>
      </c>
      <c r="F4593">
        <v>2019</v>
      </c>
      <c r="G4593" t="str">
        <f>IFERROR(INDEX(Formulations[Formulation],MATCH($C4593,Formulations[Product Code],0)),"")</f>
        <v/>
      </c>
    </row>
    <row r="4594" spans="1:7" x14ac:dyDescent="0.3">
      <c r="A4594" t="s">
        <v>78</v>
      </c>
      <c r="B4594" t="s">
        <v>129</v>
      </c>
      <c r="D4594" s="7">
        <v>2.5</v>
      </c>
      <c r="E4594">
        <v>2017</v>
      </c>
      <c r="F4594">
        <v>2018</v>
      </c>
      <c r="G4594" t="str">
        <f>IFERROR(INDEX(Formulations[Formulation],MATCH($C4594,Formulations[Product Code],0)),"")</f>
        <v/>
      </c>
    </row>
    <row r="4595" spans="1:7" x14ac:dyDescent="0.3">
      <c r="A4595" t="s">
        <v>78</v>
      </c>
      <c r="B4595" t="s">
        <v>149</v>
      </c>
      <c r="C4595" t="s">
        <v>150</v>
      </c>
      <c r="D4595" s="7">
        <v>2.5</v>
      </c>
      <c r="E4595">
        <v>2018</v>
      </c>
      <c r="F4595">
        <v>2018</v>
      </c>
      <c r="G4595" t="str">
        <f>IFERROR(INDEX(Formulations[Formulation],MATCH($C4595,Formulations[Product Code],0)),"")</f>
        <v/>
      </c>
    </row>
    <row r="4596" spans="1:7" x14ac:dyDescent="0.3">
      <c r="A4596" t="s">
        <v>390</v>
      </c>
      <c r="B4596" t="s">
        <v>163</v>
      </c>
      <c r="C4596" t="s">
        <v>164</v>
      </c>
      <c r="D4596" s="7">
        <v>2.5</v>
      </c>
      <c r="E4596">
        <v>2017</v>
      </c>
      <c r="F4596">
        <v>2019</v>
      </c>
      <c r="G4596" t="str">
        <f>IFERROR(INDEX(Formulations[Formulation],MATCH($C4596,Formulations[Product Code],0)),"")</f>
        <v>Pure</v>
      </c>
    </row>
    <row r="4597" spans="1:7" x14ac:dyDescent="0.3">
      <c r="A4597" t="s">
        <v>502</v>
      </c>
      <c r="B4597" t="s">
        <v>86</v>
      </c>
      <c r="C4597" t="s">
        <v>87</v>
      </c>
      <c r="D4597" s="7">
        <v>2.5</v>
      </c>
      <c r="E4597">
        <v>2019</v>
      </c>
      <c r="F4597">
        <v>2021</v>
      </c>
      <c r="G4597" t="str">
        <f>IFERROR(INDEX(Formulations[Formulation],MATCH($C4597,Formulations[Product Code],0)),"")</f>
        <v>Pure</v>
      </c>
    </row>
    <row r="4598" spans="1:7" x14ac:dyDescent="0.3">
      <c r="A4598" t="s">
        <v>580</v>
      </c>
      <c r="B4598" t="s">
        <v>581</v>
      </c>
      <c r="C4598" t="s">
        <v>582</v>
      </c>
      <c r="D4598" s="7">
        <v>2.5</v>
      </c>
      <c r="E4598">
        <v>2018</v>
      </c>
      <c r="F4598">
        <v>2018</v>
      </c>
      <c r="G4598" t="str">
        <f>IFERROR(INDEX(Formulations[Formulation],MATCH($C4598,Formulations[Product Code],0)),"")</f>
        <v/>
      </c>
    </row>
    <row r="4599" spans="1:7" x14ac:dyDescent="0.3">
      <c r="A4599" t="s">
        <v>1323</v>
      </c>
      <c r="B4599" t="s">
        <v>95</v>
      </c>
      <c r="C4599" t="s">
        <v>96</v>
      </c>
      <c r="D4599" s="7">
        <v>2.5</v>
      </c>
      <c r="E4599">
        <v>2018</v>
      </c>
      <c r="F4599">
        <v>2018</v>
      </c>
      <c r="G4599" t="str">
        <f>IFERROR(INDEX(Formulations[Formulation],MATCH($C4599,Formulations[Product Code],0)),"")</f>
        <v>9.2 kg oil and rest dpg</v>
      </c>
    </row>
    <row r="4600" spans="1:7" x14ac:dyDescent="0.3">
      <c r="A4600" t="s">
        <v>23</v>
      </c>
      <c r="B4600" t="s">
        <v>28</v>
      </c>
      <c r="D4600" s="7">
        <v>2</v>
      </c>
      <c r="E4600">
        <v>2015</v>
      </c>
      <c r="F4600">
        <v>2015</v>
      </c>
      <c r="G4600" t="str">
        <f>IFERROR(INDEX(Formulations[Formulation],MATCH($C4600,Formulations[Product Code],0)),"")</f>
        <v/>
      </c>
    </row>
    <row r="4601" spans="1:7" x14ac:dyDescent="0.3">
      <c r="A4601" t="s">
        <v>23</v>
      </c>
      <c r="B4601" t="s">
        <v>29</v>
      </c>
      <c r="D4601" s="7">
        <v>2</v>
      </c>
      <c r="E4601">
        <v>2016</v>
      </c>
      <c r="F4601">
        <v>2016</v>
      </c>
      <c r="G4601" t="str">
        <f>IFERROR(INDEX(Formulations[Formulation],MATCH($C4601,Formulations[Product Code],0)),"")</f>
        <v/>
      </c>
    </row>
    <row r="4602" spans="1:7" x14ac:dyDescent="0.3">
      <c r="A4602" t="s">
        <v>50</v>
      </c>
      <c r="B4602" t="s">
        <v>53</v>
      </c>
      <c r="C4602" t="s">
        <v>54</v>
      </c>
      <c r="D4602" s="7">
        <v>2</v>
      </c>
      <c r="E4602">
        <v>2019</v>
      </c>
      <c r="F4602">
        <v>2019</v>
      </c>
      <c r="G4602" t="str">
        <f>IFERROR(INDEX(Formulations[Formulation],MATCH($C4602,Formulations[Product Code],0)),"")</f>
        <v/>
      </c>
    </row>
    <row r="4603" spans="1:7" x14ac:dyDescent="0.3">
      <c r="A4603" t="s">
        <v>50</v>
      </c>
      <c r="B4603" t="s">
        <v>16</v>
      </c>
      <c r="C4603" t="s">
        <v>17</v>
      </c>
      <c r="D4603" s="7">
        <v>2</v>
      </c>
      <c r="E4603">
        <v>2018</v>
      </c>
      <c r="F4603">
        <v>2018</v>
      </c>
      <c r="G4603" t="str">
        <f>IFERROR(INDEX(Formulations[Formulation],MATCH($C4603,Formulations[Product Code],0)),"")</f>
        <v>Crystal</v>
      </c>
    </row>
    <row r="4604" spans="1:7" x14ac:dyDescent="0.3">
      <c r="A4604" t="s">
        <v>50</v>
      </c>
      <c r="B4604" t="s">
        <v>60</v>
      </c>
      <c r="C4604" t="s">
        <v>61</v>
      </c>
      <c r="D4604" s="7">
        <v>2</v>
      </c>
      <c r="E4604">
        <v>2018</v>
      </c>
      <c r="F4604">
        <v>2018</v>
      </c>
      <c r="G4604" t="str">
        <f>IFERROR(INDEX(Formulations[Formulation],MATCH($C4604,Formulations[Product Code],0)),"")</f>
        <v>Pure</v>
      </c>
    </row>
    <row r="4605" spans="1:7" x14ac:dyDescent="0.3">
      <c r="A4605" t="s">
        <v>50</v>
      </c>
      <c r="B4605" t="s">
        <v>70</v>
      </c>
      <c r="C4605" t="s">
        <v>71</v>
      </c>
      <c r="D4605" s="7">
        <v>2</v>
      </c>
      <c r="E4605">
        <v>2018</v>
      </c>
      <c r="F4605">
        <v>2018</v>
      </c>
      <c r="G4605" t="str">
        <f>IFERROR(INDEX(Formulations[Formulation],MATCH($C4605,Formulations[Product Code],0)),"")</f>
        <v>40% Oil &amp; 60% DPG</v>
      </c>
    </row>
    <row r="4606" spans="1:7" x14ac:dyDescent="0.3">
      <c r="A4606" t="s">
        <v>78</v>
      </c>
      <c r="B4606" t="s">
        <v>86</v>
      </c>
      <c r="C4606" t="s">
        <v>87</v>
      </c>
      <c r="D4606" s="7">
        <v>2</v>
      </c>
      <c r="E4606">
        <v>2018</v>
      </c>
      <c r="F4606">
        <v>2018</v>
      </c>
      <c r="G4606" t="str">
        <f>IFERROR(INDEX(Formulations[Formulation],MATCH($C4606,Formulations[Product Code],0)),"")</f>
        <v>Pure</v>
      </c>
    </row>
    <row r="4607" spans="1:7" x14ac:dyDescent="0.3">
      <c r="A4607" t="s">
        <v>78</v>
      </c>
      <c r="B4607" t="s">
        <v>60</v>
      </c>
      <c r="C4607" t="s">
        <v>61</v>
      </c>
      <c r="D4607" s="7">
        <v>2</v>
      </c>
      <c r="E4607">
        <v>2017</v>
      </c>
      <c r="F4607">
        <v>2018</v>
      </c>
      <c r="G4607" t="str">
        <f>IFERROR(INDEX(Formulations[Formulation],MATCH($C4607,Formulations[Product Code],0)),"")</f>
        <v>Pure</v>
      </c>
    </row>
    <row r="4608" spans="1:7" x14ac:dyDescent="0.3">
      <c r="A4608" t="s">
        <v>78</v>
      </c>
      <c r="B4608" t="s">
        <v>119</v>
      </c>
      <c r="D4608" s="7">
        <v>2</v>
      </c>
      <c r="E4608">
        <v>2020</v>
      </c>
      <c r="F4608">
        <v>2021</v>
      </c>
      <c r="G4608" t="str">
        <f>IFERROR(INDEX(Formulations[Formulation],MATCH($C4608,Formulations[Product Code],0)),"")</f>
        <v/>
      </c>
    </row>
    <row r="4609" spans="1:7" x14ac:dyDescent="0.3">
      <c r="A4609" t="s">
        <v>78</v>
      </c>
      <c r="B4609" t="s">
        <v>131</v>
      </c>
      <c r="C4609" t="s">
        <v>132</v>
      </c>
      <c r="D4609" s="7">
        <v>2</v>
      </c>
      <c r="E4609">
        <v>2018</v>
      </c>
      <c r="F4609">
        <v>2020</v>
      </c>
      <c r="G4609" t="str">
        <f>IFERROR(INDEX(Formulations[Formulation],MATCH($C4609,Formulations[Product Code],0)),"")</f>
        <v>Pure</v>
      </c>
    </row>
    <row r="4610" spans="1:7" x14ac:dyDescent="0.3">
      <c r="A4610" t="s">
        <v>78</v>
      </c>
      <c r="B4610" t="s">
        <v>142</v>
      </c>
      <c r="C4610" t="s">
        <v>143</v>
      </c>
      <c r="D4610" s="7">
        <v>2</v>
      </c>
      <c r="E4610">
        <v>2016</v>
      </c>
      <c r="F4610">
        <v>2018</v>
      </c>
      <c r="G4610" t="str">
        <f>IFERROR(INDEX(Formulations[Formulation],MATCH($C4610,Formulations[Product Code],0)),"")</f>
        <v>Pure</v>
      </c>
    </row>
    <row r="4611" spans="1:7" x14ac:dyDescent="0.3">
      <c r="A4611" t="s">
        <v>78</v>
      </c>
      <c r="B4611" t="s">
        <v>148</v>
      </c>
      <c r="D4611" s="7">
        <v>2</v>
      </c>
      <c r="E4611">
        <v>2021</v>
      </c>
      <c r="F4611">
        <v>2021</v>
      </c>
      <c r="G4611" t="str">
        <f>IFERROR(INDEX(Formulations[Formulation],MATCH($C4611,Formulations[Product Code],0)),"")</f>
        <v/>
      </c>
    </row>
    <row r="4612" spans="1:7" x14ac:dyDescent="0.3">
      <c r="A4612" t="s">
        <v>78</v>
      </c>
      <c r="B4612" t="s">
        <v>163</v>
      </c>
      <c r="C4612" t="s">
        <v>164</v>
      </c>
      <c r="D4612" s="7">
        <v>2</v>
      </c>
      <c r="E4612">
        <v>2019</v>
      </c>
      <c r="F4612">
        <v>2019</v>
      </c>
      <c r="G4612" t="str">
        <f>IFERROR(INDEX(Formulations[Formulation],MATCH($C4612,Formulations[Product Code],0)),"")</f>
        <v>Pure</v>
      </c>
    </row>
    <row r="4613" spans="1:7" x14ac:dyDescent="0.3">
      <c r="A4613" t="s">
        <v>205</v>
      </c>
      <c r="B4613" t="s">
        <v>120</v>
      </c>
      <c r="C4613" t="s">
        <v>121</v>
      </c>
      <c r="D4613" s="7">
        <v>2</v>
      </c>
      <c r="E4613">
        <v>2017</v>
      </c>
      <c r="F4613">
        <v>2017</v>
      </c>
      <c r="G4613" t="str">
        <f>IFERROR(INDEX(Formulations[Formulation],MATCH($C4613,Formulations[Product Code],0)),"")</f>
        <v/>
      </c>
    </row>
    <row r="4614" spans="1:7" x14ac:dyDescent="0.3">
      <c r="A4614" t="s">
        <v>344</v>
      </c>
      <c r="B4614" t="s">
        <v>37</v>
      </c>
      <c r="D4614" s="7">
        <v>2</v>
      </c>
      <c r="E4614">
        <v>2019</v>
      </c>
      <c r="F4614">
        <v>2019</v>
      </c>
      <c r="G4614" t="str">
        <f>IFERROR(INDEX(Formulations[Formulation],MATCH($C4614,Formulations[Product Code],0)),"")</f>
        <v/>
      </c>
    </row>
    <row r="4615" spans="1:7" x14ac:dyDescent="0.3">
      <c r="A4615" t="s">
        <v>353</v>
      </c>
      <c r="B4615" t="s">
        <v>354</v>
      </c>
      <c r="C4615" t="s">
        <v>355</v>
      </c>
      <c r="D4615" s="7">
        <v>2</v>
      </c>
      <c r="E4615">
        <v>2019</v>
      </c>
      <c r="F4615">
        <v>2019</v>
      </c>
      <c r="G4615" t="str">
        <f>IFERROR(INDEX(Formulations[Formulation],MATCH($C4615,Formulations[Product Code],0)),"")</f>
        <v/>
      </c>
    </row>
    <row r="4616" spans="1:7" x14ac:dyDescent="0.3">
      <c r="A4616" t="s">
        <v>353</v>
      </c>
      <c r="B4616" t="s">
        <v>127</v>
      </c>
      <c r="D4616" s="7">
        <v>2</v>
      </c>
      <c r="E4616">
        <v>2019</v>
      </c>
      <c r="F4616">
        <v>2019</v>
      </c>
      <c r="G4616" t="str">
        <f>IFERROR(INDEX(Formulations[Formulation],MATCH($C4616,Formulations[Product Code],0)),"")</f>
        <v/>
      </c>
    </row>
    <row r="4617" spans="1:7" x14ac:dyDescent="0.3">
      <c r="A4617" t="s">
        <v>445</v>
      </c>
      <c r="B4617" t="s">
        <v>240</v>
      </c>
      <c r="D4617" s="7">
        <v>2</v>
      </c>
      <c r="E4617">
        <v>2020</v>
      </c>
      <c r="F4617">
        <v>2020</v>
      </c>
      <c r="G4617" t="str">
        <f>IFERROR(INDEX(Formulations[Formulation],MATCH($C4617,Formulations[Product Code],0)),"")</f>
        <v/>
      </c>
    </row>
    <row r="4618" spans="1:7" x14ac:dyDescent="0.3">
      <c r="A4618" t="s">
        <v>502</v>
      </c>
      <c r="B4618" t="s">
        <v>51</v>
      </c>
      <c r="C4618" t="s">
        <v>52</v>
      </c>
      <c r="D4618" s="7">
        <v>2</v>
      </c>
      <c r="E4618">
        <v>2019</v>
      </c>
      <c r="F4618">
        <v>2020</v>
      </c>
      <c r="G4618" t="str">
        <f>IFERROR(INDEX(Formulations[Formulation],MATCH($C4618,Formulations[Product Code],0)),"")</f>
        <v>Silver</v>
      </c>
    </row>
    <row r="4619" spans="1:7" x14ac:dyDescent="0.3">
      <c r="A4619" t="s">
        <v>502</v>
      </c>
      <c r="B4619" t="s">
        <v>510</v>
      </c>
      <c r="C4619" t="s">
        <v>511</v>
      </c>
      <c r="D4619" s="7">
        <v>2</v>
      </c>
      <c r="E4619">
        <v>2019</v>
      </c>
      <c r="F4619">
        <v>2020</v>
      </c>
      <c r="G4619" t="str">
        <f>IFERROR(INDEX(Formulations[Formulation],MATCH($C4619,Formulations[Product Code],0)),"")</f>
        <v>Pure</v>
      </c>
    </row>
    <row r="4620" spans="1:7" x14ac:dyDescent="0.3">
      <c r="A4620" t="s">
        <v>502</v>
      </c>
      <c r="B4620" t="s">
        <v>125</v>
      </c>
      <c r="D4620" s="7">
        <v>2</v>
      </c>
      <c r="E4620">
        <v>2018</v>
      </c>
      <c r="F4620">
        <v>2019</v>
      </c>
      <c r="G4620" t="str">
        <f>IFERROR(INDEX(Formulations[Formulation],MATCH($C4620,Formulations[Product Code],0)),"")</f>
        <v/>
      </c>
    </row>
    <row r="4621" spans="1:7" x14ac:dyDescent="0.3">
      <c r="A4621" t="s">
        <v>550</v>
      </c>
      <c r="B4621" t="s">
        <v>552</v>
      </c>
      <c r="C4621" t="s">
        <v>245</v>
      </c>
      <c r="D4621" s="7">
        <v>2</v>
      </c>
      <c r="E4621">
        <v>2018</v>
      </c>
      <c r="F4621">
        <v>2018</v>
      </c>
      <c r="G4621" t="str">
        <f>IFERROR(INDEX(Formulations[Formulation],MATCH($C4621,Formulations[Product Code],0)),"")</f>
        <v>10% Oil</v>
      </c>
    </row>
    <row r="4622" spans="1:7" x14ac:dyDescent="0.3">
      <c r="A4622" t="s">
        <v>580</v>
      </c>
      <c r="B4622" t="s">
        <v>583</v>
      </c>
      <c r="C4622" t="s">
        <v>249</v>
      </c>
      <c r="D4622" s="7">
        <v>2</v>
      </c>
      <c r="E4622">
        <v>2019</v>
      </c>
      <c r="F4622">
        <v>2019</v>
      </c>
      <c r="G4622" t="str">
        <f>IFERROR(INDEX(Formulations[Formulation],MATCH($C4622,Formulations[Product Code],0)),"")</f>
        <v>WS</v>
      </c>
    </row>
    <row r="4623" spans="1:7" x14ac:dyDescent="0.3">
      <c r="A4623" t="s">
        <v>580</v>
      </c>
      <c r="B4623" t="s">
        <v>363</v>
      </c>
      <c r="C4623" t="s">
        <v>364</v>
      </c>
      <c r="D4623" s="7">
        <v>2</v>
      </c>
      <c r="E4623">
        <v>2018</v>
      </c>
      <c r="F4623">
        <v>2018</v>
      </c>
      <c r="G4623" t="str">
        <f>IFERROR(INDEX(Formulations[Formulation],MATCH($C4623,Formulations[Product Code],0)),"")</f>
        <v/>
      </c>
    </row>
    <row r="4624" spans="1:7" x14ac:dyDescent="0.3">
      <c r="A4624" t="s">
        <v>585</v>
      </c>
      <c r="B4624" t="s">
        <v>591</v>
      </c>
      <c r="C4624" t="s">
        <v>592</v>
      </c>
      <c r="D4624" s="7">
        <v>2</v>
      </c>
      <c r="E4624">
        <v>2020</v>
      </c>
      <c r="F4624">
        <v>2020</v>
      </c>
      <c r="G4624" t="str">
        <f>IFERROR(INDEX(Formulations[Formulation],MATCH($C4624,Formulations[Product Code],0)),"")</f>
        <v>20% Oil</v>
      </c>
    </row>
    <row r="4625" spans="1:7" x14ac:dyDescent="0.3">
      <c r="A4625" t="s">
        <v>585</v>
      </c>
      <c r="B4625" t="s">
        <v>252</v>
      </c>
      <c r="C4625" t="s">
        <v>191</v>
      </c>
      <c r="D4625" s="7">
        <v>2</v>
      </c>
      <c r="E4625">
        <v>2021</v>
      </c>
      <c r="F4625">
        <v>2021</v>
      </c>
      <c r="G4625" t="str">
        <f>IFERROR(INDEX(Formulations[Formulation],MATCH($C4625,Formulations[Product Code],0)),"")</f>
        <v>Pure</v>
      </c>
    </row>
    <row r="4626" spans="1:7" x14ac:dyDescent="0.3">
      <c r="A4626" t="s">
        <v>585</v>
      </c>
      <c r="B4626" t="s">
        <v>599</v>
      </c>
      <c r="C4626" t="s">
        <v>413</v>
      </c>
      <c r="D4626" s="7">
        <v>2</v>
      </c>
      <c r="E4626">
        <v>2020</v>
      </c>
      <c r="F4626">
        <v>2020</v>
      </c>
      <c r="G4626" t="str">
        <f>IFERROR(INDEX(Formulations[Formulation],MATCH($C4626,Formulations[Product Code],0)),"")</f>
        <v>40% oil &amp; 60 % DPG</v>
      </c>
    </row>
    <row r="4627" spans="1:7" x14ac:dyDescent="0.3">
      <c r="A4627" t="s">
        <v>704</v>
      </c>
      <c r="B4627" t="s">
        <v>19</v>
      </c>
      <c r="C4627" t="s">
        <v>20</v>
      </c>
      <c r="D4627" s="7">
        <v>2</v>
      </c>
      <c r="E4627">
        <v>2019</v>
      </c>
      <c r="F4627">
        <v>2019</v>
      </c>
      <c r="G4627" t="str">
        <f>IFERROR(INDEX(Formulations[Formulation],MATCH($C4627,Formulations[Product Code],0)),"")</f>
        <v>80 % Oil AND 20 % DPG</v>
      </c>
    </row>
    <row r="4628" spans="1:7" x14ac:dyDescent="0.3">
      <c r="A4628" t="s">
        <v>704</v>
      </c>
      <c r="B4628" t="s">
        <v>711</v>
      </c>
      <c r="C4628" t="s">
        <v>413</v>
      </c>
      <c r="D4628" s="7">
        <v>2</v>
      </c>
      <c r="E4628">
        <v>2019</v>
      </c>
      <c r="F4628">
        <v>2019</v>
      </c>
      <c r="G4628" t="str">
        <f>IFERROR(INDEX(Formulations[Formulation],MATCH($C4628,Formulations[Product Code],0)),"")</f>
        <v>40% oil &amp; 60 % DPG</v>
      </c>
    </row>
    <row r="4629" spans="1:7" x14ac:dyDescent="0.3">
      <c r="A4629" t="s">
        <v>812</v>
      </c>
      <c r="B4629" t="s">
        <v>36</v>
      </c>
      <c r="D4629" s="7">
        <v>2</v>
      </c>
      <c r="E4629">
        <v>2021</v>
      </c>
      <c r="F4629">
        <v>2021</v>
      </c>
      <c r="G4629" t="str">
        <f>IFERROR(INDEX(Formulations[Formulation],MATCH($C4629,Formulations[Product Code],0)),"")</f>
        <v/>
      </c>
    </row>
    <row r="4630" spans="1:7" x14ac:dyDescent="0.3">
      <c r="A4630" t="s">
        <v>920</v>
      </c>
      <c r="B4630" t="s">
        <v>108</v>
      </c>
      <c r="C4630" t="s">
        <v>109</v>
      </c>
      <c r="D4630" s="7">
        <v>2</v>
      </c>
      <c r="E4630">
        <v>2019</v>
      </c>
      <c r="F4630">
        <v>2019</v>
      </c>
      <c r="G4630" t="str">
        <f>IFERROR(INDEX(Formulations[Formulation],MATCH($C4630,Formulations[Product Code],0)),"")</f>
        <v>Pure</v>
      </c>
    </row>
    <row r="4631" spans="1:7" x14ac:dyDescent="0.3">
      <c r="A4631" t="s">
        <v>944</v>
      </c>
      <c r="B4631" t="s">
        <v>948</v>
      </c>
      <c r="C4631" t="s">
        <v>949</v>
      </c>
      <c r="D4631" s="7">
        <v>2</v>
      </c>
      <c r="E4631">
        <v>2010</v>
      </c>
      <c r="F4631">
        <v>2010</v>
      </c>
      <c r="G4631" t="str">
        <f>IFERROR(INDEX(Formulations[Formulation],MATCH($C4631,Formulations[Product Code],0)),"")</f>
        <v/>
      </c>
    </row>
    <row r="4632" spans="1:7" x14ac:dyDescent="0.3">
      <c r="A4632" t="s">
        <v>944</v>
      </c>
      <c r="B4632" t="s">
        <v>381</v>
      </c>
      <c r="C4632" t="s">
        <v>382</v>
      </c>
      <c r="D4632" s="7">
        <v>2</v>
      </c>
      <c r="E4632">
        <v>2010</v>
      </c>
      <c r="F4632">
        <v>2010</v>
      </c>
      <c r="G4632" t="str">
        <f>IFERROR(INDEX(Formulations[Formulation],MATCH($C4632,Formulations[Product Code],0)),"")</f>
        <v/>
      </c>
    </row>
    <row r="4633" spans="1:7" x14ac:dyDescent="0.3">
      <c r="A4633" t="s">
        <v>993</v>
      </c>
      <c r="B4633" t="s">
        <v>553</v>
      </c>
      <c r="C4633" t="s">
        <v>292</v>
      </c>
      <c r="D4633" s="7">
        <v>2</v>
      </c>
      <c r="E4633">
        <v>2017</v>
      </c>
      <c r="F4633">
        <v>2017</v>
      </c>
      <c r="G4633" t="str">
        <f>IFERROR(INDEX(Formulations[Formulation],MATCH($C4633,Formulations[Product Code],0)),"")</f>
        <v/>
      </c>
    </row>
    <row r="4634" spans="1:7" x14ac:dyDescent="0.3">
      <c r="A4634" t="s">
        <v>1000</v>
      </c>
      <c r="B4634" t="s">
        <v>1002</v>
      </c>
      <c r="C4634" t="s">
        <v>138</v>
      </c>
      <c r="D4634" s="7">
        <v>2</v>
      </c>
      <c r="E4634">
        <v>2019</v>
      </c>
      <c r="F4634">
        <v>2019</v>
      </c>
      <c r="G4634" t="str">
        <f>IFERROR(INDEX(Formulations[Formulation],MATCH($C4634,Formulations[Product Code],0)),"")</f>
        <v>WS</v>
      </c>
    </row>
    <row r="4635" spans="1:7" x14ac:dyDescent="0.3">
      <c r="A4635" t="s">
        <v>1010</v>
      </c>
      <c r="B4635" t="s">
        <v>1019</v>
      </c>
      <c r="C4635" t="s">
        <v>1020</v>
      </c>
      <c r="D4635" s="7">
        <v>2</v>
      </c>
      <c r="E4635">
        <v>2015</v>
      </c>
      <c r="F4635">
        <v>2015</v>
      </c>
      <c r="G4635" t="str">
        <f>IFERROR(INDEX(Formulations[Formulation],MATCH($C4635,Formulations[Product Code],0)),"")</f>
        <v/>
      </c>
    </row>
    <row r="4636" spans="1:7" x14ac:dyDescent="0.3">
      <c r="A4636" t="s">
        <v>1127</v>
      </c>
      <c r="B4636" t="s">
        <v>189</v>
      </c>
      <c r="D4636" s="7">
        <v>2</v>
      </c>
      <c r="E4636">
        <v>2019</v>
      </c>
      <c r="F4636">
        <v>2019</v>
      </c>
      <c r="G4636" t="str">
        <f>IFERROR(INDEX(Formulations[Formulation],MATCH($C4636,Formulations[Product Code],0)),"")</f>
        <v/>
      </c>
    </row>
    <row r="4637" spans="1:7" x14ac:dyDescent="0.3">
      <c r="A4637" t="s">
        <v>1149</v>
      </c>
      <c r="B4637" t="s">
        <v>28</v>
      </c>
      <c r="D4637" s="7">
        <v>2</v>
      </c>
      <c r="E4637">
        <v>2015</v>
      </c>
      <c r="F4637">
        <v>2015</v>
      </c>
      <c r="G4637" t="str">
        <f>IFERROR(INDEX(Formulations[Formulation],MATCH($C4637,Formulations[Product Code],0)),"")</f>
        <v/>
      </c>
    </row>
    <row r="4638" spans="1:7" x14ac:dyDescent="0.3">
      <c r="A4638" t="s">
        <v>1166</v>
      </c>
      <c r="B4638" t="s">
        <v>307</v>
      </c>
      <c r="C4638" t="s">
        <v>132</v>
      </c>
      <c r="D4638" s="7">
        <v>2</v>
      </c>
      <c r="E4638">
        <v>2015</v>
      </c>
      <c r="F4638">
        <v>2018</v>
      </c>
      <c r="G4638" t="str">
        <f>IFERROR(INDEX(Formulations[Formulation],MATCH($C4638,Formulations[Product Code],0)),"")</f>
        <v>Pure</v>
      </c>
    </row>
    <row r="4639" spans="1:7" x14ac:dyDescent="0.3">
      <c r="A4639" t="s">
        <v>1175</v>
      </c>
      <c r="B4639" t="s">
        <v>453</v>
      </c>
      <c r="D4639" s="7">
        <v>2</v>
      </c>
      <c r="E4639">
        <v>2018</v>
      </c>
      <c r="F4639">
        <v>2018</v>
      </c>
      <c r="G4639" t="str">
        <f>IFERROR(INDEX(Formulations[Formulation],MATCH($C4639,Formulations[Product Code],0)),"")</f>
        <v/>
      </c>
    </row>
    <row r="4640" spans="1:7" x14ac:dyDescent="0.3">
      <c r="A4640" t="s">
        <v>1321</v>
      </c>
      <c r="B4640" t="s">
        <v>84</v>
      </c>
      <c r="C4640" t="s">
        <v>85</v>
      </c>
      <c r="D4640" s="7">
        <v>2</v>
      </c>
      <c r="E4640">
        <v>2019</v>
      </c>
      <c r="F4640">
        <v>2020</v>
      </c>
      <c r="G4640" t="str">
        <f>IFERROR(INDEX(Formulations[Formulation],MATCH($C4640,Formulations[Product Code],0)),"")</f>
        <v>Pure</v>
      </c>
    </row>
    <row r="4641" spans="1:7" x14ac:dyDescent="0.3">
      <c r="A4641" t="s">
        <v>1321</v>
      </c>
      <c r="B4641" t="s">
        <v>1322</v>
      </c>
      <c r="C4641" t="s">
        <v>169</v>
      </c>
      <c r="D4641" s="7">
        <v>2</v>
      </c>
      <c r="E4641">
        <v>2019</v>
      </c>
      <c r="F4641">
        <v>2019</v>
      </c>
      <c r="G4641" t="str">
        <f>IFERROR(INDEX(Formulations[Formulation],MATCH($C4641,Formulations[Product Code],0)),"")</f>
        <v>Silver</v>
      </c>
    </row>
    <row r="4642" spans="1:7" x14ac:dyDescent="0.3">
      <c r="A4642" t="s">
        <v>1321</v>
      </c>
      <c r="B4642" t="s">
        <v>383</v>
      </c>
      <c r="C4642" t="s">
        <v>384</v>
      </c>
      <c r="D4642" s="7">
        <v>2</v>
      </c>
      <c r="E4642">
        <v>2020</v>
      </c>
      <c r="F4642">
        <v>2020</v>
      </c>
      <c r="G4642" t="str">
        <f>IFERROR(INDEX(Formulations[Formulation],MATCH($C4642,Formulations[Product Code],0)),"")</f>
        <v>Pure</v>
      </c>
    </row>
    <row r="4643" spans="1:7" x14ac:dyDescent="0.3">
      <c r="A4643" t="s">
        <v>1374</v>
      </c>
      <c r="B4643" t="s">
        <v>41</v>
      </c>
      <c r="C4643" t="s">
        <v>63</v>
      </c>
      <c r="D4643" s="7">
        <v>2</v>
      </c>
      <c r="E4643">
        <v>2018</v>
      </c>
      <c r="F4643">
        <v>2018</v>
      </c>
      <c r="G4643" t="str">
        <f>IFERROR(INDEX(Formulations[Formulation],MATCH($C4643,Formulations[Product Code],0)),"")</f>
        <v>Crystal</v>
      </c>
    </row>
    <row r="4644" spans="1:7" x14ac:dyDescent="0.3">
      <c r="A4644" t="s">
        <v>1374</v>
      </c>
      <c r="B4644" t="s">
        <v>933</v>
      </c>
      <c r="C4644" t="s">
        <v>934</v>
      </c>
      <c r="D4644" s="7">
        <v>2</v>
      </c>
      <c r="E4644">
        <v>2018</v>
      </c>
      <c r="F4644">
        <v>2018</v>
      </c>
      <c r="G4644" t="str">
        <f>IFERROR(INDEX(Formulations[Formulation],MATCH($C4644,Formulations[Product Code],0)),"")</f>
        <v/>
      </c>
    </row>
    <row r="4645" spans="1:7" x14ac:dyDescent="0.3">
      <c r="A4645" t="s">
        <v>1407</v>
      </c>
      <c r="B4645" t="s">
        <v>1408</v>
      </c>
      <c r="D4645" s="7">
        <v>2</v>
      </c>
      <c r="E4645">
        <v>2021</v>
      </c>
      <c r="F4645">
        <v>2021</v>
      </c>
      <c r="G4645" t="str">
        <f>IFERROR(INDEX(Formulations[Formulation],MATCH($C4645,Formulations[Product Code],0)),"")</f>
        <v/>
      </c>
    </row>
    <row r="4646" spans="1:7" x14ac:dyDescent="0.3">
      <c r="A4646" t="s">
        <v>1407</v>
      </c>
      <c r="B4646" t="s">
        <v>586</v>
      </c>
      <c r="C4646" t="s">
        <v>587</v>
      </c>
      <c r="D4646" s="7">
        <v>2</v>
      </c>
      <c r="E4646">
        <v>2021</v>
      </c>
      <c r="F4646">
        <v>2021</v>
      </c>
      <c r="G4646" t="str">
        <f>IFERROR(INDEX(Formulations[Formulation],MATCH($C4646,Formulations[Product Code],0)),"")</f>
        <v>Pure</v>
      </c>
    </row>
    <row r="4647" spans="1:7" x14ac:dyDescent="0.3">
      <c r="A4647" t="s">
        <v>1407</v>
      </c>
      <c r="B4647" t="s">
        <v>250</v>
      </c>
      <c r="C4647" t="s">
        <v>222</v>
      </c>
      <c r="D4647" s="7">
        <v>2</v>
      </c>
      <c r="E4647">
        <v>2019</v>
      </c>
      <c r="F4647">
        <v>2021</v>
      </c>
      <c r="G4647" t="str">
        <f>IFERROR(INDEX(Formulations[Formulation],MATCH($C4647,Formulations[Product Code],0)),"")</f>
        <v>WS</v>
      </c>
    </row>
    <row r="4648" spans="1:7" x14ac:dyDescent="0.3">
      <c r="A4648" t="s">
        <v>1407</v>
      </c>
      <c r="B4648" t="s">
        <v>790</v>
      </c>
      <c r="C4648" t="s">
        <v>791</v>
      </c>
      <c r="D4648" s="7">
        <v>2</v>
      </c>
      <c r="E4648">
        <v>2020</v>
      </c>
      <c r="F4648">
        <v>2021</v>
      </c>
      <c r="G4648" t="str">
        <f>IFERROR(INDEX(Formulations[Formulation],MATCH($C4648,Formulations[Product Code],0)),"")</f>
        <v>Pure</v>
      </c>
    </row>
    <row r="4649" spans="1:7" x14ac:dyDescent="0.3">
      <c r="A4649" t="s">
        <v>1407</v>
      </c>
      <c r="B4649" t="s">
        <v>1414</v>
      </c>
      <c r="C4649" t="s">
        <v>1415</v>
      </c>
      <c r="D4649" s="7">
        <v>2</v>
      </c>
      <c r="E4649">
        <v>2020</v>
      </c>
      <c r="F4649">
        <v>2021</v>
      </c>
      <c r="G4649" t="str">
        <f>IFERROR(INDEX(Formulations[Formulation],MATCH($C4649,Formulations[Product Code],0)),"")</f>
        <v>Pure</v>
      </c>
    </row>
    <row r="4650" spans="1:7" x14ac:dyDescent="0.3">
      <c r="A4650" t="s">
        <v>1407</v>
      </c>
      <c r="B4650" t="s">
        <v>103</v>
      </c>
      <c r="C4650" t="s">
        <v>104</v>
      </c>
      <c r="D4650" s="7">
        <v>2</v>
      </c>
      <c r="E4650">
        <v>2019</v>
      </c>
      <c r="F4650">
        <v>2019</v>
      </c>
      <c r="G4650" t="str">
        <f>IFERROR(INDEX(Formulations[Formulation],MATCH($C4650,Formulations[Product Code],0)),"")</f>
        <v>Pure</v>
      </c>
    </row>
    <row r="4651" spans="1:7" x14ac:dyDescent="0.3">
      <c r="A4651" t="s">
        <v>1407</v>
      </c>
      <c r="B4651" t="s">
        <v>125</v>
      </c>
      <c r="D4651" s="7">
        <v>2</v>
      </c>
      <c r="E4651">
        <v>2020</v>
      </c>
      <c r="F4651">
        <v>2020</v>
      </c>
      <c r="G4651" t="str">
        <f>IFERROR(INDEX(Formulations[Formulation],MATCH($C4651,Formulations[Product Code],0)),"")</f>
        <v/>
      </c>
    </row>
    <row r="4652" spans="1:7" x14ac:dyDescent="0.3">
      <c r="A4652" t="s">
        <v>1407</v>
      </c>
      <c r="B4652" t="s">
        <v>126</v>
      </c>
      <c r="D4652" s="7">
        <v>2</v>
      </c>
      <c r="E4652">
        <v>2020</v>
      </c>
      <c r="F4652">
        <v>2020</v>
      </c>
      <c r="G4652" t="str">
        <f>IFERROR(INDEX(Formulations[Formulation],MATCH($C4652,Formulations[Product Code],0)),"")</f>
        <v/>
      </c>
    </row>
    <row r="4653" spans="1:7" x14ac:dyDescent="0.3">
      <c r="A4653" t="s">
        <v>1407</v>
      </c>
      <c r="B4653" t="s">
        <v>128</v>
      </c>
      <c r="D4653" s="7">
        <v>2</v>
      </c>
      <c r="E4653">
        <v>2020</v>
      </c>
      <c r="F4653">
        <v>2020</v>
      </c>
      <c r="G4653" t="str">
        <f>IFERROR(INDEX(Formulations[Formulation],MATCH($C4653,Formulations[Product Code],0)),"")</f>
        <v/>
      </c>
    </row>
    <row r="4654" spans="1:7" x14ac:dyDescent="0.3">
      <c r="A4654" t="s">
        <v>1407</v>
      </c>
      <c r="B4654" t="s">
        <v>373</v>
      </c>
      <c r="C4654" t="s">
        <v>331</v>
      </c>
      <c r="D4654" s="7">
        <v>2</v>
      </c>
      <c r="E4654">
        <v>2020</v>
      </c>
      <c r="F4654">
        <v>2021</v>
      </c>
      <c r="G4654" t="str">
        <f>IFERROR(INDEX(Formulations[Formulation],MATCH($C4654,Formulations[Product Code],0)),"")</f>
        <v>35% oil</v>
      </c>
    </row>
    <row r="4655" spans="1:7" x14ac:dyDescent="0.3">
      <c r="A4655" t="s">
        <v>1431</v>
      </c>
      <c r="B4655" t="s">
        <v>558</v>
      </c>
      <c r="C4655" t="s">
        <v>559</v>
      </c>
      <c r="D4655" s="7">
        <v>2</v>
      </c>
      <c r="E4655">
        <v>2018</v>
      </c>
      <c r="F4655">
        <v>2018</v>
      </c>
      <c r="G4655" t="str">
        <f>IFERROR(INDEX(Formulations[Formulation],MATCH($C4655,Formulations[Product Code],0)),"")</f>
        <v/>
      </c>
    </row>
    <row r="4656" spans="1:7" x14ac:dyDescent="0.3">
      <c r="A4656" t="s">
        <v>1431</v>
      </c>
      <c r="B4656" t="s">
        <v>1324</v>
      </c>
      <c r="C4656" t="s">
        <v>789</v>
      </c>
      <c r="D4656" s="7">
        <v>2</v>
      </c>
      <c r="E4656">
        <v>2018</v>
      </c>
      <c r="F4656">
        <v>2018</v>
      </c>
      <c r="G4656" t="str">
        <f>IFERROR(INDEX(Formulations[Formulation],MATCH($C4656,Formulations[Product Code],0)),"")</f>
        <v>Pure</v>
      </c>
    </row>
    <row r="4657" spans="1:7" x14ac:dyDescent="0.3">
      <c r="A4657" t="s">
        <v>1431</v>
      </c>
      <c r="B4657" t="s">
        <v>711</v>
      </c>
      <c r="C4657" t="s">
        <v>413</v>
      </c>
      <c r="D4657" s="7">
        <v>2</v>
      </c>
      <c r="E4657">
        <v>2019</v>
      </c>
      <c r="F4657">
        <v>2019</v>
      </c>
      <c r="G4657" t="str">
        <f>IFERROR(INDEX(Formulations[Formulation],MATCH($C4657,Formulations[Product Code],0)),"")</f>
        <v>40% oil &amp; 60 % DPG</v>
      </c>
    </row>
    <row r="4658" spans="1:7" x14ac:dyDescent="0.3">
      <c r="A4658" t="s">
        <v>1431</v>
      </c>
      <c r="B4658" t="s">
        <v>72</v>
      </c>
      <c r="C4658" t="s">
        <v>73</v>
      </c>
      <c r="D4658" s="7">
        <v>2</v>
      </c>
      <c r="E4658">
        <v>2019</v>
      </c>
      <c r="F4658">
        <v>2019</v>
      </c>
      <c r="G4658" t="str">
        <f>IFERROR(INDEX(Formulations[Formulation],MATCH($C4658,Formulations[Product Code],0)),"")</f>
        <v>Silver</v>
      </c>
    </row>
    <row r="4659" spans="1:7" x14ac:dyDescent="0.3">
      <c r="A4659" t="s">
        <v>1646</v>
      </c>
      <c r="B4659" t="s">
        <v>1647</v>
      </c>
      <c r="D4659" s="7">
        <v>2</v>
      </c>
      <c r="E4659">
        <v>2015</v>
      </c>
      <c r="F4659">
        <v>2016</v>
      </c>
      <c r="G4659" t="str">
        <f>IFERROR(INDEX(Formulations[Formulation],MATCH($C4659,Formulations[Product Code],0)),"")</f>
        <v/>
      </c>
    </row>
    <row r="4660" spans="1:7" x14ac:dyDescent="0.3">
      <c r="A4660" t="s">
        <v>1646</v>
      </c>
      <c r="B4660" t="s">
        <v>68</v>
      </c>
      <c r="C4660" t="s">
        <v>69</v>
      </c>
      <c r="D4660" s="7">
        <v>2</v>
      </c>
      <c r="E4660">
        <v>2015</v>
      </c>
      <c r="F4660">
        <v>2015</v>
      </c>
      <c r="G4660" t="str">
        <f>IFERROR(INDEX(Formulations[Formulation],MATCH($C4660,Formulations[Product Code],0)),"")</f>
        <v>Silver</v>
      </c>
    </row>
    <row r="4661" spans="1:7" x14ac:dyDescent="0.3">
      <c r="A4661" t="s">
        <v>1646</v>
      </c>
      <c r="B4661" t="s">
        <v>192</v>
      </c>
      <c r="C4661" t="s">
        <v>193</v>
      </c>
      <c r="D4661" s="7">
        <v>2</v>
      </c>
      <c r="E4661">
        <v>2015</v>
      </c>
      <c r="F4661">
        <v>2015</v>
      </c>
      <c r="G4661" t="str">
        <f>IFERROR(INDEX(Formulations[Formulation],MATCH($C4661,Formulations[Product Code],0)),"")</f>
        <v>Red Grape 50%/ Fruity Smoothie 30% /Green Apple 20% /than make 60% oil</v>
      </c>
    </row>
    <row r="4662" spans="1:7" x14ac:dyDescent="0.3">
      <c r="A4662" t="s">
        <v>1652</v>
      </c>
      <c r="B4662" t="s">
        <v>671</v>
      </c>
      <c r="C4662" t="s">
        <v>672</v>
      </c>
      <c r="D4662" s="7">
        <v>2</v>
      </c>
      <c r="E4662">
        <v>2020</v>
      </c>
      <c r="F4662">
        <v>2020</v>
      </c>
      <c r="G4662" t="str">
        <f>IFERROR(INDEX(Formulations[Formulation],MATCH($C4662,Formulations[Product Code],0)),"")</f>
        <v>Pure</v>
      </c>
    </row>
    <row r="4663" spans="1:7" x14ac:dyDescent="0.3">
      <c r="A4663" t="s">
        <v>1662</v>
      </c>
      <c r="B4663" t="s">
        <v>95</v>
      </c>
      <c r="C4663" t="s">
        <v>96</v>
      </c>
      <c r="D4663" s="7">
        <v>2</v>
      </c>
      <c r="E4663">
        <v>2018</v>
      </c>
      <c r="F4663">
        <v>2019</v>
      </c>
      <c r="G4663" t="str">
        <f>IFERROR(INDEX(Formulations[Formulation],MATCH($C4663,Formulations[Product Code],0)),"")</f>
        <v>9.2 kg oil and rest dpg</v>
      </c>
    </row>
    <row r="4664" spans="1:7" x14ac:dyDescent="0.3">
      <c r="A4664" t="s">
        <v>1662</v>
      </c>
      <c r="B4664" t="s">
        <v>74</v>
      </c>
      <c r="C4664" t="s">
        <v>75</v>
      </c>
      <c r="D4664" s="7">
        <v>2</v>
      </c>
      <c r="E4664">
        <v>2017</v>
      </c>
      <c r="F4664">
        <v>2019</v>
      </c>
      <c r="G4664" t="str">
        <f>IFERROR(INDEX(Formulations[Formulation],MATCH($C4664,Formulations[Product Code],0)),"")</f>
        <v>Crystal</v>
      </c>
    </row>
    <row r="4665" spans="1:7" x14ac:dyDescent="0.3">
      <c r="A4665" t="s">
        <v>1663</v>
      </c>
      <c r="B4665" t="s">
        <v>34</v>
      </c>
      <c r="D4665" s="7">
        <v>2</v>
      </c>
      <c r="E4665">
        <v>2019</v>
      </c>
      <c r="F4665">
        <v>2020</v>
      </c>
      <c r="G4665" t="str">
        <f>IFERROR(INDEX(Formulations[Formulation],MATCH($C4665,Formulations[Product Code],0)),"")</f>
        <v/>
      </c>
    </row>
    <row r="4666" spans="1:7" x14ac:dyDescent="0.3">
      <c r="A4666" t="s">
        <v>1703</v>
      </c>
      <c r="B4666" t="s">
        <v>218</v>
      </c>
      <c r="C4666" t="s">
        <v>212</v>
      </c>
      <c r="D4666" s="7">
        <v>2</v>
      </c>
      <c r="E4666">
        <v>2010</v>
      </c>
      <c r="F4666">
        <v>2010</v>
      </c>
      <c r="G4666" t="str">
        <f>IFERROR(INDEX(Formulations[Formulation],MATCH($C4666,Formulations[Product Code],0)),"")</f>
        <v>Pure</v>
      </c>
    </row>
    <row r="4667" spans="1:7" x14ac:dyDescent="0.3">
      <c r="A4667" t="s">
        <v>1703</v>
      </c>
      <c r="B4667" t="s">
        <v>1713</v>
      </c>
      <c r="C4667" t="s">
        <v>1714</v>
      </c>
      <c r="D4667" s="7">
        <v>2</v>
      </c>
      <c r="E4667">
        <v>2012</v>
      </c>
      <c r="F4667">
        <v>2012</v>
      </c>
      <c r="G4667" t="str">
        <f>IFERROR(INDEX(Formulations[Formulation],MATCH($C4667,Formulations[Product Code],0)),"")</f>
        <v/>
      </c>
    </row>
    <row r="4668" spans="1:7" x14ac:dyDescent="0.3">
      <c r="A4668" t="s">
        <v>1721</v>
      </c>
      <c r="B4668" t="s">
        <v>37</v>
      </c>
      <c r="D4668" s="7">
        <v>2</v>
      </c>
      <c r="E4668">
        <v>2016</v>
      </c>
      <c r="F4668">
        <v>2016</v>
      </c>
      <c r="G4668" t="str">
        <f>IFERROR(INDEX(Formulations[Formulation],MATCH($C4668,Formulations[Product Code],0)),"")</f>
        <v/>
      </c>
    </row>
    <row r="4669" spans="1:7" x14ac:dyDescent="0.3">
      <c r="A4669" t="s">
        <v>1753</v>
      </c>
      <c r="B4669" t="s">
        <v>555</v>
      </c>
      <c r="C4669" t="s">
        <v>259</v>
      </c>
      <c r="D4669" s="7">
        <v>2</v>
      </c>
      <c r="E4669">
        <v>2015</v>
      </c>
      <c r="F4669">
        <v>2015</v>
      </c>
      <c r="G4669" t="str">
        <f>IFERROR(INDEX(Formulations[Formulation],MATCH($C4669,Formulations[Product Code],0)),"")</f>
        <v>Pure</v>
      </c>
    </row>
    <row r="4670" spans="1:7" x14ac:dyDescent="0.3">
      <c r="A4670" t="s">
        <v>1753</v>
      </c>
      <c r="B4670" t="s">
        <v>120</v>
      </c>
      <c r="C4670" t="s">
        <v>294</v>
      </c>
      <c r="D4670" s="7">
        <v>2</v>
      </c>
      <c r="E4670">
        <v>2015</v>
      </c>
      <c r="F4670">
        <v>2015</v>
      </c>
      <c r="G4670" t="str">
        <f>IFERROR(INDEX(Formulations[Formulation],MATCH($C4670,Formulations[Product Code],0)),"")</f>
        <v/>
      </c>
    </row>
    <row r="4671" spans="1:7" x14ac:dyDescent="0.3">
      <c r="A4671" t="s">
        <v>1772</v>
      </c>
      <c r="B4671" t="s">
        <v>905</v>
      </c>
      <c r="C4671" t="s">
        <v>906</v>
      </c>
      <c r="D4671" s="7">
        <v>2</v>
      </c>
      <c r="E4671">
        <v>2016</v>
      </c>
      <c r="F4671">
        <v>2016</v>
      </c>
      <c r="G4671" t="str">
        <f>IFERROR(INDEX(Formulations[Formulation],MATCH($C4671,Formulations[Product Code],0)),"")</f>
        <v/>
      </c>
    </row>
    <row r="4672" spans="1:7" x14ac:dyDescent="0.3">
      <c r="A4672" t="s">
        <v>1784</v>
      </c>
      <c r="B4672" t="s">
        <v>591</v>
      </c>
      <c r="C4672" t="s">
        <v>592</v>
      </c>
      <c r="D4672" s="7">
        <v>2</v>
      </c>
      <c r="E4672">
        <v>2020</v>
      </c>
      <c r="F4672">
        <v>2020</v>
      </c>
      <c r="G4672" t="str">
        <f>IFERROR(INDEX(Formulations[Formulation],MATCH($C4672,Formulations[Product Code],0)),"")</f>
        <v>20% Oil</v>
      </c>
    </row>
    <row r="4673" spans="1:7" x14ac:dyDescent="0.3">
      <c r="A4673" t="s">
        <v>1819</v>
      </c>
      <c r="B4673" t="s">
        <v>453</v>
      </c>
      <c r="D4673" s="7">
        <v>2</v>
      </c>
      <c r="E4673">
        <v>2019</v>
      </c>
      <c r="F4673">
        <v>2021</v>
      </c>
      <c r="G4673" t="str">
        <f>IFERROR(INDEX(Formulations[Formulation],MATCH($C4673,Formulations[Product Code],0)),"")</f>
        <v/>
      </c>
    </row>
    <row r="4674" spans="1:7" x14ac:dyDescent="0.3">
      <c r="A4674" t="s">
        <v>1837</v>
      </c>
      <c r="B4674" t="s">
        <v>32</v>
      </c>
      <c r="D4674" s="7">
        <v>2</v>
      </c>
      <c r="E4674">
        <v>2018</v>
      </c>
      <c r="F4674">
        <v>2018</v>
      </c>
      <c r="G4674" t="str">
        <f>IFERROR(INDEX(Formulations[Formulation],MATCH($C4674,Formulations[Product Code],0)),"")</f>
        <v/>
      </c>
    </row>
    <row r="4675" spans="1:7" x14ac:dyDescent="0.3">
      <c r="A4675" t="s">
        <v>1846</v>
      </c>
      <c r="B4675" t="s">
        <v>19</v>
      </c>
      <c r="C4675" t="s">
        <v>670</v>
      </c>
      <c r="D4675" s="7">
        <v>2</v>
      </c>
      <c r="E4675">
        <v>2021</v>
      </c>
      <c r="F4675">
        <v>2021</v>
      </c>
      <c r="G4675" t="str">
        <f>IFERROR(INDEX(Formulations[Formulation],MATCH($C4675,Formulations[Product Code],0)),"")</f>
        <v>Crystal</v>
      </c>
    </row>
    <row r="4676" spans="1:7" x14ac:dyDescent="0.3">
      <c r="A4676" t="s">
        <v>1846</v>
      </c>
      <c r="B4676" t="s">
        <v>543</v>
      </c>
      <c r="C4676" t="s">
        <v>544</v>
      </c>
      <c r="D4676" s="7">
        <v>2</v>
      </c>
      <c r="E4676">
        <v>2020</v>
      </c>
      <c r="F4676">
        <v>2020</v>
      </c>
      <c r="G4676" t="str">
        <f>IFERROR(INDEX(Formulations[Formulation],MATCH($C4676,Formulations[Product Code],0)),"")</f>
        <v>Crystal</v>
      </c>
    </row>
    <row r="4677" spans="1:7" x14ac:dyDescent="0.3">
      <c r="A4677" t="s">
        <v>1848</v>
      </c>
      <c r="B4677" t="s">
        <v>532</v>
      </c>
      <c r="C4677" t="s">
        <v>452</v>
      </c>
      <c r="D4677" s="7">
        <v>2</v>
      </c>
      <c r="E4677">
        <v>2020</v>
      </c>
      <c r="F4677">
        <v>2020</v>
      </c>
      <c r="G4677" t="str">
        <f>IFERROR(INDEX(Formulations[Formulation],MATCH($C4677,Formulations[Product Code],0)),"")</f>
        <v>Crystal</v>
      </c>
    </row>
    <row r="4678" spans="1:7" x14ac:dyDescent="0.3">
      <c r="A4678" t="s">
        <v>1848</v>
      </c>
      <c r="B4678" t="s">
        <v>626</v>
      </c>
      <c r="C4678" t="s">
        <v>582</v>
      </c>
      <c r="D4678" s="7">
        <v>2</v>
      </c>
      <c r="E4678">
        <v>2020</v>
      </c>
      <c r="F4678">
        <v>2020</v>
      </c>
      <c r="G4678" t="str">
        <f>IFERROR(INDEX(Formulations[Formulation],MATCH($C4678,Formulations[Product Code],0)),"")</f>
        <v/>
      </c>
    </row>
    <row r="4679" spans="1:7" x14ac:dyDescent="0.3">
      <c r="A4679" t="s">
        <v>1848</v>
      </c>
      <c r="B4679" t="s">
        <v>696</v>
      </c>
      <c r="C4679" t="s">
        <v>697</v>
      </c>
      <c r="D4679" s="7">
        <v>2</v>
      </c>
      <c r="E4679">
        <v>2020</v>
      </c>
      <c r="F4679">
        <v>2020</v>
      </c>
      <c r="G4679" t="str">
        <f>IFERROR(INDEX(Formulations[Formulation],MATCH($C4679,Formulations[Product Code],0)),"")</f>
        <v/>
      </c>
    </row>
    <row r="4680" spans="1:7" x14ac:dyDescent="0.3">
      <c r="A4680" t="s">
        <v>1848</v>
      </c>
      <c r="B4680" t="s">
        <v>635</v>
      </c>
      <c r="C4680" t="s">
        <v>636</v>
      </c>
      <c r="D4680" s="7">
        <v>2</v>
      </c>
      <c r="E4680">
        <v>2020</v>
      </c>
      <c r="F4680">
        <v>2020</v>
      </c>
      <c r="G4680" t="str">
        <f>IFERROR(INDEX(Formulations[Formulation],MATCH($C4680,Formulations[Product Code],0)),"")</f>
        <v>Pure</v>
      </c>
    </row>
    <row r="4681" spans="1:7" x14ac:dyDescent="0.3">
      <c r="A4681" t="s">
        <v>1848</v>
      </c>
      <c r="B4681" t="s">
        <v>536</v>
      </c>
      <c r="C4681" t="s">
        <v>537</v>
      </c>
      <c r="D4681" s="7">
        <v>2</v>
      </c>
      <c r="E4681">
        <v>2020</v>
      </c>
      <c r="F4681">
        <v>2020</v>
      </c>
      <c r="G4681" t="str">
        <f>IFERROR(INDEX(Formulations[Formulation],MATCH($C4681,Formulations[Product Code],0)),"")</f>
        <v>Silver</v>
      </c>
    </row>
    <row r="4682" spans="1:7" x14ac:dyDescent="0.3">
      <c r="A4682" t="s">
        <v>1848</v>
      </c>
      <c r="B4682" t="s">
        <v>1433</v>
      </c>
      <c r="C4682" t="s">
        <v>1434</v>
      </c>
      <c r="D4682" s="7">
        <v>2</v>
      </c>
      <c r="E4682">
        <v>2020</v>
      </c>
      <c r="F4682">
        <v>2020</v>
      </c>
      <c r="G4682" t="str">
        <f>IFERROR(INDEX(Formulations[Formulation],MATCH($C4682,Formulations[Product Code],0)),"")</f>
        <v/>
      </c>
    </row>
    <row r="4683" spans="1:7" x14ac:dyDescent="0.3">
      <c r="A4683" t="s">
        <v>1848</v>
      </c>
      <c r="B4683" t="s">
        <v>643</v>
      </c>
      <c r="C4683" t="s">
        <v>644</v>
      </c>
      <c r="D4683" s="7">
        <v>2</v>
      </c>
      <c r="E4683">
        <v>2020</v>
      </c>
      <c r="F4683">
        <v>2020</v>
      </c>
      <c r="G4683" t="str">
        <f>IFERROR(INDEX(Formulations[Formulation],MATCH($C4683,Formulations[Product Code],0)),"")</f>
        <v>Crystal</v>
      </c>
    </row>
    <row r="4684" spans="1:7" x14ac:dyDescent="0.3">
      <c r="A4684" t="s">
        <v>1848</v>
      </c>
      <c r="B4684" t="s">
        <v>383</v>
      </c>
      <c r="C4684" t="s">
        <v>384</v>
      </c>
      <c r="D4684" s="7">
        <v>2</v>
      </c>
      <c r="E4684">
        <v>2020</v>
      </c>
      <c r="F4684">
        <v>2020</v>
      </c>
      <c r="G4684" t="str">
        <f>IFERROR(INDEX(Formulations[Formulation],MATCH($C4684,Formulations[Product Code],0)),"")</f>
        <v>Pure</v>
      </c>
    </row>
    <row r="4685" spans="1:7" x14ac:dyDescent="0.3">
      <c r="A4685" t="s">
        <v>1848</v>
      </c>
      <c r="B4685" t="s">
        <v>155</v>
      </c>
      <c r="C4685" t="s">
        <v>156</v>
      </c>
      <c r="D4685" s="7">
        <v>2</v>
      </c>
      <c r="E4685">
        <v>2020</v>
      </c>
      <c r="F4685">
        <v>2020</v>
      </c>
      <c r="G4685" t="str">
        <f>IFERROR(INDEX(Formulations[Formulation],MATCH($C4685,Formulations[Product Code],0)),"")</f>
        <v>Pure</v>
      </c>
    </row>
    <row r="4686" spans="1:7" x14ac:dyDescent="0.3">
      <c r="A4686" t="s">
        <v>1865</v>
      </c>
      <c r="B4686" t="s">
        <v>461</v>
      </c>
      <c r="D4686" s="7">
        <v>2</v>
      </c>
      <c r="E4686">
        <v>2019</v>
      </c>
      <c r="F4686">
        <v>2020</v>
      </c>
      <c r="G4686" t="str">
        <f>IFERROR(INDEX(Formulations[Formulation],MATCH($C4686,Formulations[Product Code],0)),"")</f>
        <v/>
      </c>
    </row>
    <row r="4687" spans="1:7" x14ac:dyDescent="0.3">
      <c r="A4687" t="s">
        <v>1901</v>
      </c>
      <c r="B4687" t="s">
        <v>117</v>
      </c>
      <c r="C4687" t="s">
        <v>118</v>
      </c>
      <c r="D4687" s="7">
        <v>2</v>
      </c>
      <c r="E4687">
        <v>2019</v>
      </c>
      <c r="F4687">
        <v>2019</v>
      </c>
      <c r="G4687" t="str">
        <f>IFERROR(INDEX(Formulations[Formulation],MATCH($C4687,Formulations[Product Code],0)),"")</f>
        <v>Silver</v>
      </c>
    </row>
    <row r="4688" spans="1:7" x14ac:dyDescent="0.3">
      <c r="A4688" t="s">
        <v>1901</v>
      </c>
      <c r="B4688" t="s">
        <v>674</v>
      </c>
      <c r="C4688" t="s">
        <v>675</v>
      </c>
      <c r="D4688" s="7">
        <v>2</v>
      </c>
      <c r="E4688">
        <v>2020</v>
      </c>
      <c r="F4688">
        <v>2020</v>
      </c>
      <c r="G4688" t="str">
        <f>IFERROR(INDEX(Formulations[Formulation],MATCH($C4688,Formulations[Product Code],0)),"")</f>
        <v>Crystal</v>
      </c>
    </row>
    <row r="4689" spans="1:7" x14ac:dyDescent="0.3">
      <c r="A4689" t="s">
        <v>1926</v>
      </c>
      <c r="B4689" t="s">
        <v>642</v>
      </c>
      <c r="D4689" s="7">
        <v>2</v>
      </c>
      <c r="E4689">
        <v>2020</v>
      </c>
      <c r="F4689">
        <v>2021</v>
      </c>
      <c r="G4689" t="str">
        <f>IFERROR(INDEX(Formulations[Formulation],MATCH($C4689,Formulations[Product Code],0)),"")</f>
        <v/>
      </c>
    </row>
    <row r="4690" spans="1:7" x14ac:dyDescent="0.3">
      <c r="A4690" t="s">
        <v>1933</v>
      </c>
      <c r="B4690" t="s">
        <v>365</v>
      </c>
      <c r="C4690" t="s">
        <v>96</v>
      </c>
      <c r="D4690" s="7">
        <v>2</v>
      </c>
      <c r="E4690">
        <v>2020</v>
      </c>
      <c r="F4690">
        <v>2020</v>
      </c>
      <c r="G4690" t="str">
        <f>IFERROR(INDEX(Formulations[Formulation],MATCH($C4690,Formulations[Product Code],0)),"")</f>
        <v>9.2 kg oil and rest dpg</v>
      </c>
    </row>
    <row r="4691" spans="1:7" x14ac:dyDescent="0.3">
      <c r="A4691" t="s">
        <v>1933</v>
      </c>
      <c r="B4691" t="s">
        <v>120</v>
      </c>
      <c r="C4691" t="s">
        <v>121</v>
      </c>
      <c r="D4691" s="7">
        <v>2</v>
      </c>
      <c r="E4691">
        <v>2019</v>
      </c>
      <c r="F4691">
        <v>2019</v>
      </c>
      <c r="G4691" t="str">
        <f>IFERROR(INDEX(Formulations[Formulation],MATCH($C4691,Formulations[Product Code],0)),"")</f>
        <v/>
      </c>
    </row>
    <row r="4692" spans="1:7" x14ac:dyDescent="0.3">
      <c r="A4692" t="s">
        <v>1945</v>
      </c>
      <c r="B4692" t="s">
        <v>51</v>
      </c>
      <c r="C4692" t="s">
        <v>52</v>
      </c>
      <c r="D4692" s="7">
        <v>2</v>
      </c>
      <c r="E4692">
        <v>2018</v>
      </c>
      <c r="F4692">
        <v>2018</v>
      </c>
      <c r="G4692" t="str">
        <f>IFERROR(INDEX(Formulations[Formulation],MATCH($C4692,Formulations[Product Code],0)),"")</f>
        <v>Silver</v>
      </c>
    </row>
    <row r="4693" spans="1:7" x14ac:dyDescent="0.3">
      <c r="A4693" t="s">
        <v>1945</v>
      </c>
      <c r="B4693" t="s">
        <v>79</v>
      </c>
      <c r="C4693" t="s">
        <v>80</v>
      </c>
      <c r="D4693" s="7">
        <v>2</v>
      </c>
      <c r="E4693">
        <v>2018</v>
      </c>
      <c r="F4693">
        <v>2018</v>
      </c>
      <c r="G4693" t="str">
        <f>IFERROR(INDEX(Formulations[Formulation],MATCH($C4693,Formulations[Product Code],0)),"")</f>
        <v>Pure</v>
      </c>
    </row>
    <row r="4694" spans="1:7" x14ac:dyDescent="0.3">
      <c r="A4694" t="s">
        <v>1945</v>
      </c>
      <c r="B4694" t="s">
        <v>393</v>
      </c>
      <c r="C4694" t="s">
        <v>394</v>
      </c>
      <c r="D4694" s="7">
        <v>2</v>
      </c>
      <c r="E4694">
        <v>2018</v>
      </c>
      <c r="F4694">
        <v>2018</v>
      </c>
      <c r="G4694" t="str">
        <f>IFERROR(INDEX(Formulations[Formulation],MATCH($C4694,Formulations[Product Code],0)),"")</f>
        <v>Pure</v>
      </c>
    </row>
    <row r="4695" spans="1:7" x14ac:dyDescent="0.3">
      <c r="A4695" t="s">
        <v>1945</v>
      </c>
      <c r="B4695" t="s">
        <v>557</v>
      </c>
      <c r="C4695" t="s">
        <v>212</v>
      </c>
      <c r="D4695" s="7">
        <v>2</v>
      </c>
      <c r="E4695">
        <v>2018</v>
      </c>
      <c r="F4695">
        <v>2018</v>
      </c>
      <c r="G4695" t="str">
        <f>IFERROR(INDEX(Formulations[Formulation],MATCH($C4695,Formulations[Product Code],0)),"")</f>
        <v>Pure</v>
      </c>
    </row>
    <row r="4696" spans="1:7" x14ac:dyDescent="0.3">
      <c r="A4696" t="s">
        <v>1945</v>
      </c>
      <c r="B4696" t="s">
        <v>395</v>
      </c>
      <c r="D4696" s="7">
        <v>2</v>
      </c>
      <c r="E4696">
        <v>2018</v>
      </c>
      <c r="F4696">
        <v>2018</v>
      </c>
      <c r="G4696" t="str">
        <f>IFERROR(INDEX(Formulations[Formulation],MATCH($C4696,Formulations[Product Code],0)),"")</f>
        <v/>
      </c>
    </row>
    <row r="4697" spans="1:7" x14ac:dyDescent="0.3">
      <c r="A4697" t="s">
        <v>1945</v>
      </c>
      <c r="B4697" t="s">
        <v>788</v>
      </c>
      <c r="C4697" t="s">
        <v>789</v>
      </c>
      <c r="D4697" s="7">
        <v>2</v>
      </c>
      <c r="E4697">
        <v>2021</v>
      </c>
      <c r="F4697">
        <v>2021</v>
      </c>
      <c r="G4697" t="str">
        <f>IFERROR(INDEX(Formulations[Formulation],MATCH($C4697,Formulations[Product Code],0)),"")</f>
        <v>Pure</v>
      </c>
    </row>
    <row r="4698" spans="1:7" x14ac:dyDescent="0.3">
      <c r="A4698" t="s">
        <v>1945</v>
      </c>
      <c r="B4698" t="s">
        <v>1324</v>
      </c>
      <c r="C4698" t="s">
        <v>789</v>
      </c>
      <c r="D4698" s="7">
        <v>2</v>
      </c>
      <c r="E4698">
        <v>2018</v>
      </c>
      <c r="F4698">
        <v>2018</v>
      </c>
      <c r="G4698" t="str">
        <f>IFERROR(INDEX(Formulations[Formulation],MATCH($C4698,Formulations[Product Code],0)),"")</f>
        <v>Pure</v>
      </c>
    </row>
    <row r="4699" spans="1:7" x14ac:dyDescent="0.3">
      <c r="A4699" t="s">
        <v>1945</v>
      </c>
      <c r="B4699" t="s">
        <v>612</v>
      </c>
      <c r="C4699" t="s">
        <v>613</v>
      </c>
      <c r="D4699" s="7">
        <v>2</v>
      </c>
      <c r="E4699">
        <v>2018</v>
      </c>
      <c r="F4699">
        <v>2018</v>
      </c>
      <c r="G4699" t="str">
        <f>IFERROR(INDEX(Formulations[Formulation],MATCH($C4699,Formulations[Product Code],0)),"")</f>
        <v>Pure</v>
      </c>
    </row>
    <row r="4700" spans="1:7" x14ac:dyDescent="0.3">
      <c r="A4700" t="s">
        <v>1945</v>
      </c>
      <c r="B4700" t="s">
        <v>538</v>
      </c>
      <c r="C4700" t="s">
        <v>539</v>
      </c>
      <c r="D4700" s="7">
        <v>2</v>
      </c>
      <c r="E4700">
        <v>2018</v>
      </c>
      <c r="F4700">
        <v>2018</v>
      </c>
      <c r="G4700" t="str">
        <f>IFERROR(INDEX(Formulations[Formulation],MATCH($C4700,Formulations[Product Code],0)),"")</f>
        <v>Gold</v>
      </c>
    </row>
    <row r="4701" spans="1:7" x14ac:dyDescent="0.3">
      <c r="A4701" t="s">
        <v>1945</v>
      </c>
      <c r="B4701" t="s">
        <v>1432</v>
      </c>
      <c r="C4701" t="s">
        <v>209</v>
      </c>
      <c r="D4701" s="7">
        <v>2</v>
      </c>
      <c r="E4701">
        <v>2018</v>
      </c>
      <c r="F4701">
        <v>2018</v>
      </c>
      <c r="G4701" t="str">
        <f>IFERROR(INDEX(Formulations[Formulation],MATCH($C4701,Formulations[Product Code],0)),"")</f>
        <v/>
      </c>
    </row>
    <row r="4702" spans="1:7" x14ac:dyDescent="0.3">
      <c r="A4702" t="s">
        <v>1945</v>
      </c>
      <c r="B4702" t="s">
        <v>95</v>
      </c>
      <c r="C4702" t="s">
        <v>96</v>
      </c>
      <c r="D4702" s="7">
        <v>2</v>
      </c>
      <c r="E4702">
        <v>2018</v>
      </c>
      <c r="F4702">
        <v>2018</v>
      </c>
      <c r="G4702" t="str">
        <f>IFERROR(INDEX(Formulations[Formulation],MATCH($C4702,Formulations[Product Code],0)),"")</f>
        <v>9.2 kg oil and rest dpg</v>
      </c>
    </row>
    <row r="4703" spans="1:7" x14ac:dyDescent="0.3">
      <c r="A4703" t="s">
        <v>1945</v>
      </c>
      <c r="B4703" t="s">
        <v>1949</v>
      </c>
      <c r="D4703" s="7">
        <v>2</v>
      </c>
      <c r="E4703">
        <v>2021</v>
      </c>
      <c r="F4703">
        <v>2021</v>
      </c>
      <c r="G4703" t="str">
        <f>IFERROR(INDEX(Formulations[Formulation],MATCH($C4703,Formulations[Product Code],0)),"")</f>
        <v/>
      </c>
    </row>
    <row r="4704" spans="1:7" x14ac:dyDescent="0.3">
      <c r="A4704" t="s">
        <v>1945</v>
      </c>
      <c r="B4704" t="s">
        <v>60</v>
      </c>
      <c r="C4704" t="s">
        <v>61</v>
      </c>
      <c r="D4704" s="7">
        <v>2</v>
      </c>
      <c r="E4704">
        <v>2018</v>
      </c>
      <c r="F4704">
        <v>2018</v>
      </c>
      <c r="G4704" t="str">
        <f>IFERROR(INDEX(Formulations[Formulation],MATCH($C4704,Formulations[Product Code],0)),"")</f>
        <v>Pure</v>
      </c>
    </row>
    <row r="4705" spans="1:7" x14ac:dyDescent="0.3">
      <c r="A4705" t="s">
        <v>1945</v>
      </c>
      <c r="B4705" t="s">
        <v>792</v>
      </c>
      <c r="C4705" t="s">
        <v>793</v>
      </c>
      <c r="D4705" s="7">
        <v>2</v>
      </c>
      <c r="E4705">
        <v>2018</v>
      </c>
      <c r="F4705">
        <v>2018</v>
      </c>
      <c r="G4705" t="str">
        <f>IFERROR(INDEX(Formulations[Formulation],MATCH($C4705,Formulations[Product Code],0)),"")</f>
        <v>Silver</v>
      </c>
    </row>
    <row r="4706" spans="1:7" x14ac:dyDescent="0.3">
      <c r="A4706" t="s">
        <v>1945</v>
      </c>
      <c r="B4706" t="s">
        <v>1950</v>
      </c>
      <c r="C4706" t="s">
        <v>1156</v>
      </c>
      <c r="D4706" s="7">
        <v>2</v>
      </c>
      <c r="E4706">
        <v>2018</v>
      </c>
      <c r="F4706">
        <v>2018</v>
      </c>
      <c r="G4706" t="str">
        <f>IFERROR(INDEX(Formulations[Formulation],MATCH($C4706,Formulations[Product Code],0)),"")</f>
        <v/>
      </c>
    </row>
    <row r="4707" spans="1:7" x14ac:dyDescent="0.3">
      <c r="A4707" t="s">
        <v>1945</v>
      </c>
      <c r="B4707" t="s">
        <v>933</v>
      </c>
      <c r="C4707" t="s">
        <v>934</v>
      </c>
      <c r="D4707" s="7">
        <v>2</v>
      </c>
      <c r="E4707">
        <v>2018</v>
      </c>
      <c r="F4707">
        <v>2018</v>
      </c>
      <c r="G4707" t="str">
        <f>IFERROR(INDEX(Formulations[Formulation],MATCH($C4707,Formulations[Product Code],0)),"")</f>
        <v/>
      </c>
    </row>
    <row r="4708" spans="1:7" x14ac:dyDescent="0.3">
      <c r="A4708" t="s">
        <v>1945</v>
      </c>
      <c r="B4708" t="s">
        <v>307</v>
      </c>
      <c r="C4708" t="s">
        <v>132</v>
      </c>
      <c r="D4708" s="7">
        <v>2</v>
      </c>
      <c r="E4708">
        <v>2018</v>
      </c>
      <c r="F4708">
        <v>2018</v>
      </c>
      <c r="G4708" t="str">
        <f>IFERROR(INDEX(Formulations[Formulation],MATCH($C4708,Formulations[Product Code],0)),"")</f>
        <v>Pure</v>
      </c>
    </row>
    <row r="4709" spans="1:7" x14ac:dyDescent="0.3">
      <c r="A4709" t="s">
        <v>1945</v>
      </c>
      <c r="B4709" t="s">
        <v>584</v>
      </c>
      <c r="C4709" t="s">
        <v>413</v>
      </c>
      <c r="D4709" s="7">
        <v>2</v>
      </c>
      <c r="E4709">
        <v>2018</v>
      </c>
      <c r="F4709">
        <v>2018</v>
      </c>
      <c r="G4709" t="str">
        <f>IFERROR(INDEX(Formulations[Formulation],MATCH($C4709,Formulations[Product Code],0)),"")</f>
        <v>40% oil &amp; 60 % DPG</v>
      </c>
    </row>
    <row r="4710" spans="1:7" x14ac:dyDescent="0.3">
      <c r="A4710" t="s">
        <v>1945</v>
      </c>
      <c r="B4710" t="s">
        <v>323</v>
      </c>
      <c r="C4710" t="s">
        <v>324</v>
      </c>
      <c r="D4710" s="7">
        <v>2</v>
      </c>
      <c r="E4710">
        <v>2018</v>
      </c>
      <c r="F4710">
        <v>2018</v>
      </c>
      <c r="G4710" t="str">
        <f>IFERROR(INDEX(Formulations[Formulation],MATCH($C4710,Formulations[Product Code],0)),"")</f>
        <v>Pure</v>
      </c>
    </row>
    <row r="4711" spans="1:7" x14ac:dyDescent="0.3">
      <c r="A4711" t="s">
        <v>1958</v>
      </c>
      <c r="B4711" t="s">
        <v>538</v>
      </c>
      <c r="C4711" t="s">
        <v>539</v>
      </c>
      <c r="D4711" s="7">
        <v>2</v>
      </c>
      <c r="E4711">
        <v>2017</v>
      </c>
      <c r="F4711">
        <v>2017</v>
      </c>
      <c r="G4711" t="str">
        <f>IFERROR(INDEX(Formulations[Formulation],MATCH($C4711,Formulations[Product Code],0)),"")</f>
        <v>Gold</v>
      </c>
    </row>
    <row r="4712" spans="1:7" x14ac:dyDescent="0.3">
      <c r="A4712" t="s">
        <v>2011</v>
      </c>
      <c r="B4712" t="s">
        <v>863</v>
      </c>
      <c r="D4712" s="7">
        <v>2</v>
      </c>
      <c r="E4712">
        <v>2018</v>
      </c>
      <c r="F4712">
        <v>2018</v>
      </c>
      <c r="G4712" t="str">
        <f>IFERROR(INDEX(Formulations[Formulation],MATCH($C4712,Formulations[Product Code],0)),"")</f>
        <v/>
      </c>
    </row>
    <row r="4713" spans="1:7" x14ac:dyDescent="0.3">
      <c r="A4713" t="s">
        <v>2030</v>
      </c>
      <c r="B4713" t="s">
        <v>37</v>
      </c>
      <c r="D4713" s="7">
        <v>2</v>
      </c>
      <c r="E4713">
        <v>2019</v>
      </c>
      <c r="F4713">
        <v>2019</v>
      </c>
      <c r="G4713" t="str">
        <f>IFERROR(INDEX(Formulations[Formulation],MATCH($C4713,Formulations[Product Code],0)),"")</f>
        <v/>
      </c>
    </row>
    <row r="4714" spans="1:7" x14ac:dyDescent="0.3">
      <c r="A4714" t="s">
        <v>2074</v>
      </c>
      <c r="B4714" t="s">
        <v>187</v>
      </c>
      <c r="C4714" t="s">
        <v>188</v>
      </c>
      <c r="D4714" s="7">
        <v>2</v>
      </c>
      <c r="E4714">
        <v>2017</v>
      </c>
      <c r="F4714">
        <v>2017</v>
      </c>
      <c r="G4714" t="str">
        <f>IFERROR(INDEX(Formulations[Formulation],MATCH($C4714,Formulations[Product Code],0)),"")</f>
        <v>Crystal</v>
      </c>
    </row>
    <row r="4715" spans="1:7" x14ac:dyDescent="0.3">
      <c r="A4715" t="s">
        <v>2074</v>
      </c>
      <c r="B4715" t="s">
        <v>46</v>
      </c>
      <c r="C4715" t="s">
        <v>47</v>
      </c>
      <c r="D4715" s="7">
        <v>2</v>
      </c>
      <c r="E4715">
        <v>2017</v>
      </c>
      <c r="F4715">
        <v>2017</v>
      </c>
      <c r="G4715" t="str">
        <f>IFERROR(INDEX(Formulations[Formulation],MATCH($C4715,Formulations[Product Code],0)),"")</f>
        <v/>
      </c>
    </row>
    <row r="4716" spans="1:7" x14ac:dyDescent="0.3">
      <c r="A4716" t="s">
        <v>2094</v>
      </c>
      <c r="B4716" t="s">
        <v>586</v>
      </c>
      <c r="C4716" t="s">
        <v>587</v>
      </c>
      <c r="D4716" s="7">
        <v>2</v>
      </c>
      <c r="E4716">
        <v>2020</v>
      </c>
      <c r="F4716">
        <v>2020</v>
      </c>
      <c r="G4716" t="str">
        <f>IFERROR(INDEX(Formulations[Formulation],MATCH($C4716,Formulations[Product Code],0)),"")</f>
        <v>Pure</v>
      </c>
    </row>
    <row r="4717" spans="1:7" x14ac:dyDescent="0.3">
      <c r="A4717" t="s">
        <v>2097</v>
      </c>
      <c r="B4717" t="s">
        <v>642</v>
      </c>
      <c r="D4717" s="7">
        <v>2</v>
      </c>
      <c r="E4717">
        <v>2020</v>
      </c>
      <c r="F4717">
        <v>2021</v>
      </c>
      <c r="G4717" t="str">
        <f>IFERROR(INDEX(Formulations[Formulation],MATCH($C4717,Formulations[Product Code],0)),"")</f>
        <v/>
      </c>
    </row>
    <row r="4718" spans="1:7" x14ac:dyDescent="0.3">
      <c r="A4718" t="s">
        <v>2113</v>
      </c>
      <c r="B4718" t="s">
        <v>276</v>
      </c>
      <c r="C4718" t="s">
        <v>277</v>
      </c>
      <c r="D4718" s="7">
        <v>2</v>
      </c>
      <c r="E4718">
        <v>2016</v>
      </c>
      <c r="F4718">
        <v>2016</v>
      </c>
      <c r="G4718" t="str">
        <f>IFERROR(INDEX(Formulations[Formulation],MATCH($C4718,Formulations[Product Code],0)),"")</f>
        <v>Pure</v>
      </c>
    </row>
    <row r="4719" spans="1:7" x14ac:dyDescent="0.3">
      <c r="A4719" t="s">
        <v>2113</v>
      </c>
      <c r="B4719" t="s">
        <v>346</v>
      </c>
      <c r="C4719" t="s">
        <v>347</v>
      </c>
      <c r="D4719" s="7">
        <v>2</v>
      </c>
      <c r="E4719">
        <v>2015</v>
      </c>
      <c r="F4719">
        <v>2015</v>
      </c>
      <c r="G4719" t="str">
        <f>IFERROR(INDEX(Formulations[Formulation],MATCH($C4719,Formulations[Product Code],0)),"")</f>
        <v>Pure</v>
      </c>
    </row>
    <row r="4720" spans="1:7" x14ac:dyDescent="0.3">
      <c r="A4720" t="s">
        <v>2113</v>
      </c>
      <c r="B4720" t="s">
        <v>349</v>
      </c>
      <c r="C4720" t="s">
        <v>350</v>
      </c>
      <c r="D4720" s="7">
        <v>2</v>
      </c>
      <c r="E4720">
        <v>2016</v>
      </c>
      <c r="F4720">
        <v>2016</v>
      </c>
      <c r="G4720" t="str">
        <f>IFERROR(INDEX(Formulations[Formulation],MATCH($C4720,Formulations[Product Code],0)),"")</f>
        <v/>
      </c>
    </row>
    <row r="4721" spans="1:7" x14ac:dyDescent="0.3">
      <c r="A4721" t="s">
        <v>2113</v>
      </c>
      <c r="B4721" t="s">
        <v>543</v>
      </c>
      <c r="C4721" t="s">
        <v>544</v>
      </c>
      <c r="D4721" s="7">
        <v>2</v>
      </c>
      <c r="E4721">
        <v>2016</v>
      </c>
      <c r="F4721">
        <v>2016</v>
      </c>
      <c r="G4721" t="str">
        <f>IFERROR(INDEX(Formulations[Formulation],MATCH($C4721,Formulations[Product Code],0)),"")</f>
        <v>Crystal</v>
      </c>
    </row>
    <row r="4722" spans="1:7" x14ac:dyDescent="0.3">
      <c r="A4722" t="s">
        <v>2117</v>
      </c>
      <c r="B4722" t="s">
        <v>596</v>
      </c>
      <c r="D4722" s="7">
        <v>2</v>
      </c>
      <c r="E4722">
        <v>2020</v>
      </c>
      <c r="F4722">
        <v>2020</v>
      </c>
      <c r="G4722" t="str">
        <f>IFERROR(INDEX(Formulations[Formulation],MATCH($C4722,Formulations[Product Code],0)),"")</f>
        <v/>
      </c>
    </row>
    <row r="4723" spans="1:7" x14ac:dyDescent="0.3">
      <c r="A4723" t="s">
        <v>2117</v>
      </c>
      <c r="B4723" t="s">
        <v>679</v>
      </c>
      <c r="C4723" t="s">
        <v>680</v>
      </c>
      <c r="D4723" s="7">
        <v>2</v>
      </c>
      <c r="E4723">
        <v>2020</v>
      </c>
      <c r="F4723">
        <v>2020</v>
      </c>
      <c r="G4723" t="str">
        <f>IFERROR(INDEX(Formulations[Formulation],MATCH($C4723,Formulations[Product Code],0)),"")</f>
        <v>Crystal</v>
      </c>
    </row>
    <row r="4724" spans="1:7" x14ac:dyDescent="0.3">
      <c r="A4724" t="s">
        <v>2118</v>
      </c>
      <c r="B4724" t="s">
        <v>1801</v>
      </c>
      <c r="D4724" s="7">
        <v>2</v>
      </c>
      <c r="E4724">
        <v>2016</v>
      </c>
      <c r="F4724">
        <v>2016</v>
      </c>
      <c r="G4724" t="str">
        <f>IFERROR(INDEX(Formulations[Formulation],MATCH($C4724,Formulations[Product Code],0)),"")</f>
        <v/>
      </c>
    </row>
    <row r="4725" spans="1:7" x14ac:dyDescent="0.3">
      <c r="A4725" t="s">
        <v>2120</v>
      </c>
      <c r="B4725" t="s">
        <v>391</v>
      </c>
      <c r="C4725" t="s">
        <v>1095</v>
      </c>
      <c r="D4725" s="7">
        <v>2</v>
      </c>
      <c r="E4725">
        <v>2016</v>
      </c>
      <c r="F4725">
        <v>2017</v>
      </c>
      <c r="G4725" t="str">
        <f>IFERROR(INDEX(Formulations[Formulation],MATCH($C4725,Formulations[Product Code],0)),"")</f>
        <v/>
      </c>
    </row>
    <row r="4726" spans="1:7" x14ac:dyDescent="0.3">
      <c r="A4726" t="s">
        <v>2131</v>
      </c>
      <c r="B4726" t="s">
        <v>483</v>
      </c>
      <c r="C4726" t="s">
        <v>484</v>
      </c>
      <c r="D4726" s="7">
        <v>2</v>
      </c>
      <c r="E4726">
        <v>2020</v>
      </c>
      <c r="F4726">
        <v>2020</v>
      </c>
      <c r="G4726" t="str">
        <f>IFERROR(INDEX(Formulations[Formulation],MATCH($C4726,Formulations[Product Code],0)),"")</f>
        <v>Crystal</v>
      </c>
    </row>
    <row r="4727" spans="1:7" x14ac:dyDescent="0.3">
      <c r="A4727" t="s">
        <v>2161</v>
      </c>
      <c r="B4727" t="s">
        <v>55</v>
      </c>
      <c r="D4727" s="7">
        <v>2</v>
      </c>
      <c r="E4727">
        <v>2021</v>
      </c>
      <c r="F4727">
        <v>2021</v>
      </c>
      <c r="G4727" t="str">
        <f>IFERROR(INDEX(Formulations[Formulation],MATCH($C4727,Formulations[Product Code],0)),"")</f>
        <v/>
      </c>
    </row>
    <row r="4728" spans="1:7" x14ac:dyDescent="0.3">
      <c r="A4728" t="s">
        <v>2163</v>
      </c>
      <c r="B4728" t="s">
        <v>99</v>
      </c>
      <c r="C4728" t="s">
        <v>100</v>
      </c>
      <c r="D4728" s="7">
        <v>2</v>
      </c>
      <c r="E4728">
        <v>2012</v>
      </c>
      <c r="F4728">
        <v>2012</v>
      </c>
      <c r="G4728" t="str">
        <f>IFERROR(INDEX(Formulations[Formulation],MATCH($C4728,Formulations[Product Code],0)),"")</f>
        <v>Crystal</v>
      </c>
    </row>
    <row r="4729" spans="1:7" x14ac:dyDescent="0.3">
      <c r="A4729" t="s">
        <v>2163</v>
      </c>
      <c r="B4729" t="s">
        <v>2164</v>
      </c>
      <c r="C4729" t="s">
        <v>2165</v>
      </c>
      <c r="D4729" s="7">
        <v>2</v>
      </c>
      <c r="E4729">
        <v>2021</v>
      </c>
      <c r="F4729">
        <v>2021</v>
      </c>
      <c r="G4729" t="str">
        <f>IFERROR(INDEX(Formulations[Formulation],MATCH($C4729,Formulations[Product Code],0)),"")</f>
        <v>Silver</v>
      </c>
    </row>
    <row r="4730" spans="1:7" x14ac:dyDescent="0.3">
      <c r="A4730" t="s">
        <v>2163</v>
      </c>
      <c r="B4730" t="s">
        <v>135</v>
      </c>
      <c r="C4730" t="s">
        <v>136</v>
      </c>
      <c r="D4730" s="7">
        <v>2</v>
      </c>
      <c r="E4730">
        <v>2012</v>
      </c>
      <c r="F4730">
        <v>2012</v>
      </c>
      <c r="G4730" t="str">
        <f>IFERROR(INDEX(Formulations[Formulation],MATCH($C4730,Formulations[Product Code],0)),"")</f>
        <v/>
      </c>
    </row>
    <row r="4731" spans="1:7" x14ac:dyDescent="0.3">
      <c r="A4731" t="s">
        <v>2163</v>
      </c>
      <c r="B4731" t="s">
        <v>234</v>
      </c>
      <c r="C4731" t="s">
        <v>235</v>
      </c>
      <c r="D4731" s="7">
        <v>2</v>
      </c>
      <c r="E4731">
        <v>2012</v>
      </c>
      <c r="F4731">
        <v>2012</v>
      </c>
      <c r="G4731" t="str">
        <f>IFERROR(INDEX(Formulations[Formulation],MATCH($C4731,Formulations[Product Code],0)),"")</f>
        <v/>
      </c>
    </row>
    <row r="4732" spans="1:7" x14ac:dyDescent="0.3">
      <c r="A4732" t="s">
        <v>2167</v>
      </c>
      <c r="B4732" t="s">
        <v>120</v>
      </c>
      <c r="C4732" t="s">
        <v>121</v>
      </c>
      <c r="D4732" s="7">
        <v>2</v>
      </c>
      <c r="E4732">
        <v>2017</v>
      </c>
      <c r="F4732">
        <v>2017</v>
      </c>
      <c r="G4732" t="str">
        <f>IFERROR(INDEX(Formulations[Formulation],MATCH($C4732,Formulations[Product Code],0)),"")</f>
        <v/>
      </c>
    </row>
    <row r="4733" spans="1:7" x14ac:dyDescent="0.3">
      <c r="A4733" t="s">
        <v>2170</v>
      </c>
      <c r="B4733" t="s">
        <v>184</v>
      </c>
      <c r="C4733" t="s">
        <v>185</v>
      </c>
      <c r="D4733" s="7">
        <v>2</v>
      </c>
      <c r="E4733">
        <v>2016</v>
      </c>
      <c r="F4733">
        <v>2016</v>
      </c>
      <c r="G4733" t="str">
        <f>IFERROR(INDEX(Formulations[Formulation],MATCH($C4733,Formulations[Product Code],0)),"")</f>
        <v/>
      </c>
    </row>
    <row r="4734" spans="1:7" x14ac:dyDescent="0.3">
      <c r="A4734" t="s">
        <v>2170</v>
      </c>
      <c r="B4734" t="s">
        <v>68</v>
      </c>
      <c r="C4734" t="s">
        <v>69</v>
      </c>
      <c r="D4734" s="7">
        <v>2</v>
      </c>
      <c r="E4734">
        <v>2016</v>
      </c>
      <c r="F4734">
        <v>2016</v>
      </c>
      <c r="G4734" t="str">
        <f>IFERROR(INDEX(Formulations[Formulation],MATCH($C4734,Formulations[Product Code],0)),"")</f>
        <v>Silver</v>
      </c>
    </row>
    <row r="4735" spans="1:7" x14ac:dyDescent="0.3">
      <c r="A4735" t="s">
        <v>2172</v>
      </c>
      <c r="B4735" t="s">
        <v>103</v>
      </c>
      <c r="C4735" t="s">
        <v>104</v>
      </c>
      <c r="D4735" s="7">
        <v>2</v>
      </c>
      <c r="E4735">
        <v>2017</v>
      </c>
      <c r="F4735">
        <v>2017</v>
      </c>
      <c r="G4735" t="str">
        <f>IFERROR(INDEX(Formulations[Formulation],MATCH($C4735,Formulations[Product Code],0)),"")</f>
        <v>Pure</v>
      </c>
    </row>
    <row r="4736" spans="1:7" x14ac:dyDescent="0.3">
      <c r="A4736" t="s">
        <v>2176</v>
      </c>
      <c r="B4736" t="s">
        <v>1408</v>
      </c>
      <c r="D4736" s="7">
        <v>2</v>
      </c>
      <c r="E4736">
        <v>2021</v>
      </c>
      <c r="F4736">
        <v>2021</v>
      </c>
      <c r="G4736" t="str">
        <f>IFERROR(INDEX(Formulations[Formulation],MATCH($C4736,Formulations[Product Code],0)),"")</f>
        <v/>
      </c>
    </row>
    <row r="4737" spans="1:7" x14ac:dyDescent="0.3">
      <c r="A4737" t="s">
        <v>2176</v>
      </c>
      <c r="B4737" t="s">
        <v>2177</v>
      </c>
      <c r="D4737" s="7">
        <v>2</v>
      </c>
      <c r="E4737">
        <v>2021</v>
      </c>
      <c r="F4737">
        <v>2021</v>
      </c>
      <c r="G4737" t="str">
        <f>IFERROR(INDEX(Formulations[Formulation],MATCH($C4737,Formulations[Product Code],0)),"")</f>
        <v/>
      </c>
    </row>
    <row r="4738" spans="1:7" x14ac:dyDescent="0.3">
      <c r="A4738" t="s">
        <v>2176</v>
      </c>
      <c r="B4738" t="s">
        <v>2179</v>
      </c>
      <c r="D4738" s="7">
        <v>2</v>
      </c>
      <c r="E4738">
        <v>2021</v>
      </c>
      <c r="F4738">
        <v>2021</v>
      </c>
      <c r="G4738" t="str">
        <f>IFERROR(INDEX(Formulations[Formulation],MATCH($C4738,Formulations[Product Code],0)),"")</f>
        <v/>
      </c>
    </row>
    <row r="4739" spans="1:7" x14ac:dyDescent="0.3">
      <c r="A4739" t="s">
        <v>2176</v>
      </c>
      <c r="B4739" t="s">
        <v>263</v>
      </c>
      <c r="C4739" t="s">
        <v>264</v>
      </c>
      <c r="D4739" s="7">
        <v>2</v>
      </c>
      <c r="E4739">
        <v>2020</v>
      </c>
      <c r="F4739">
        <v>2020</v>
      </c>
      <c r="G4739" t="str">
        <f>IFERROR(INDEX(Formulations[Formulation],MATCH($C4739,Formulations[Product Code],0)),"")</f>
        <v>Silver</v>
      </c>
    </row>
    <row r="4740" spans="1:7" x14ac:dyDescent="0.3">
      <c r="A4740" t="s">
        <v>2176</v>
      </c>
      <c r="B4740" t="s">
        <v>1405</v>
      </c>
      <c r="C4740" t="s">
        <v>1406</v>
      </c>
      <c r="D4740" s="7">
        <v>2</v>
      </c>
      <c r="E4740">
        <v>2021</v>
      </c>
      <c r="F4740">
        <v>2021</v>
      </c>
      <c r="G4740" t="str">
        <f>IFERROR(INDEX(Formulations[Formulation],MATCH($C4740,Formulations[Product Code],0)),"")</f>
        <v>Silver</v>
      </c>
    </row>
    <row r="4741" spans="1:7" x14ac:dyDescent="0.3">
      <c r="A4741" t="s">
        <v>2176</v>
      </c>
      <c r="B4741" t="s">
        <v>679</v>
      </c>
      <c r="C4741" t="s">
        <v>680</v>
      </c>
      <c r="D4741" s="7">
        <v>2</v>
      </c>
      <c r="E4741">
        <v>2021</v>
      </c>
      <c r="F4741">
        <v>2021</v>
      </c>
      <c r="G4741" t="str">
        <f>IFERROR(INDEX(Formulations[Formulation],MATCH($C4741,Formulations[Product Code],0)),"")</f>
        <v>Crystal</v>
      </c>
    </row>
    <row r="4742" spans="1:7" x14ac:dyDescent="0.3">
      <c r="A4742" t="s">
        <v>2176</v>
      </c>
      <c r="B4742" t="s">
        <v>153</v>
      </c>
      <c r="C4742" t="s">
        <v>154</v>
      </c>
      <c r="D4742" s="7">
        <v>2</v>
      </c>
      <c r="E4742">
        <v>2021</v>
      </c>
      <c r="F4742">
        <v>2021</v>
      </c>
      <c r="G4742" t="str">
        <f>IFERROR(INDEX(Formulations[Formulation],MATCH($C4742,Formulations[Product Code],0)),"")</f>
        <v>Pure</v>
      </c>
    </row>
    <row r="4743" spans="1:7" x14ac:dyDescent="0.3">
      <c r="A4743" t="s">
        <v>2181</v>
      </c>
      <c r="B4743" t="s">
        <v>84</v>
      </c>
      <c r="C4743" t="s">
        <v>85</v>
      </c>
      <c r="D4743" s="7">
        <v>2</v>
      </c>
      <c r="E4743">
        <v>2021</v>
      </c>
      <c r="F4743">
        <v>2021</v>
      </c>
      <c r="G4743" t="str">
        <f>IFERROR(INDEX(Formulations[Formulation],MATCH($C4743,Formulations[Product Code],0)),"")</f>
        <v>Pure</v>
      </c>
    </row>
    <row r="4744" spans="1:7" x14ac:dyDescent="0.3">
      <c r="A4744" t="s">
        <v>2181</v>
      </c>
      <c r="B4744" t="s">
        <v>586</v>
      </c>
      <c r="C4744" t="s">
        <v>587</v>
      </c>
      <c r="D4744" s="7">
        <v>2</v>
      </c>
      <c r="E4744">
        <v>2021</v>
      </c>
      <c r="F4744">
        <v>2021</v>
      </c>
      <c r="G4744" t="str">
        <f>IFERROR(INDEX(Formulations[Formulation],MATCH($C4744,Formulations[Product Code],0)),"")</f>
        <v>Pure</v>
      </c>
    </row>
    <row r="4745" spans="1:7" x14ac:dyDescent="0.3">
      <c r="A4745" t="s">
        <v>2181</v>
      </c>
      <c r="B4745" t="s">
        <v>55</v>
      </c>
      <c r="D4745" s="7">
        <v>2</v>
      </c>
      <c r="E4745">
        <v>2020</v>
      </c>
      <c r="F4745">
        <v>2020</v>
      </c>
      <c r="G4745" t="str">
        <f>IFERROR(INDEX(Formulations[Formulation],MATCH($C4745,Formulations[Product Code],0)),"")</f>
        <v/>
      </c>
    </row>
    <row r="4746" spans="1:7" x14ac:dyDescent="0.3">
      <c r="A4746" t="s">
        <v>2181</v>
      </c>
      <c r="B4746" t="s">
        <v>250</v>
      </c>
      <c r="C4746" t="s">
        <v>222</v>
      </c>
      <c r="D4746" s="7">
        <v>2</v>
      </c>
      <c r="E4746">
        <v>2020</v>
      </c>
      <c r="F4746">
        <v>2020</v>
      </c>
      <c r="G4746" t="str">
        <f>IFERROR(INDEX(Formulations[Formulation],MATCH($C4746,Formulations[Product Code],0)),"")</f>
        <v>WS</v>
      </c>
    </row>
    <row r="4747" spans="1:7" x14ac:dyDescent="0.3">
      <c r="A4747" t="s">
        <v>2181</v>
      </c>
      <c r="B4747" t="s">
        <v>251</v>
      </c>
      <c r="C4747" t="s">
        <v>207</v>
      </c>
      <c r="D4747" s="7">
        <v>2</v>
      </c>
      <c r="E4747">
        <v>2020</v>
      </c>
      <c r="F4747">
        <v>2020</v>
      </c>
      <c r="G4747" t="str">
        <f>IFERROR(INDEX(Formulations[Formulation],MATCH($C4747,Formulations[Product Code],0)),"")</f>
        <v/>
      </c>
    </row>
    <row r="4748" spans="1:7" x14ac:dyDescent="0.3">
      <c r="A4748" t="s">
        <v>2181</v>
      </c>
      <c r="B4748" t="s">
        <v>2182</v>
      </c>
      <c r="D4748" s="7">
        <v>2</v>
      </c>
      <c r="E4748">
        <v>2020</v>
      </c>
      <c r="F4748">
        <v>2020</v>
      </c>
      <c r="G4748" t="str">
        <f>IFERROR(INDEX(Formulations[Formulation],MATCH($C4748,Formulations[Product Code],0)),"")</f>
        <v/>
      </c>
    </row>
    <row r="4749" spans="1:7" x14ac:dyDescent="0.3">
      <c r="A4749" t="s">
        <v>2181</v>
      </c>
      <c r="B4749" t="s">
        <v>1419</v>
      </c>
      <c r="C4749" t="s">
        <v>1420</v>
      </c>
      <c r="D4749" s="7">
        <v>2</v>
      </c>
      <c r="E4749">
        <v>2021</v>
      </c>
      <c r="F4749">
        <v>2021</v>
      </c>
      <c r="G4749" t="str">
        <f>IFERROR(INDEX(Formulations[Formulation],MATCH($C4749,Formulations[Product Code],0)),"")</f>
        <v>Crystal</v>
      </c>
    </row>
    <row r="4750" spans="1:7" x14ac:dyDescent="0.3">
      <c r="A4750" t="s">
        <v>2181</v>
      </c>
      <c r="B4750" t="s">
        <v>99</v>
      </c>
      <c r="C4750" t="s">
        <v>100</v>
      </c>
      <c r="D4750" s="7">
        <v>2</v>
      </c>
      <c r="E4750">
        <v>2021</v>
      </c>
      <c r="F4750">
        <v>2021</v>
      </c>
      <c r="G4750" t="str">
        <f>IFERROR(INDEX(Formulations[Formulation],MATCH($C4750,Formulations[Product Code],0)),"")</f>
        <v>Crystal</v>
      </c>
    </row>
    <row r="4751" spans="1:7" x14ac:dyDescent="0.3">
      <c r="A4751" t="s">
        <v>2181</v>
      </c>
      <c r="B4751" t="s">
        <v>542</v>
      </c>
      <c r="C4751" t="s">
        <v>160</v>
      </c>
      <c r="D4751" s="7">
        <v>2</v>
      </c>
      <c r="E4751">
        <v>2020</v>
      </c>
      <c r="F4751">
        <v>2020</v>
      </c>
      <c r="G4751" t="str">
        <f>IFERROR(INDEX(Formulations[Formulation],MATCH($C4751,Formulations[Product Code],0)),"")</f>
        <v>Silver</v>
      </c>
    </row>
    <row r="4752" spans="1:7" x14ac:dyDescent="0.3">
      <c r="A4752" t="s">
        <v>2181</v>
      </c>
      <c r="B4752" t="s">
        <v>597</v>
      </c>
      <c r="C4752" t="s">
        <v>598</v>
      </c>
      <c r="D4752" s="7">
        <v>2</v>
      </c>
      <c r="E4752">
        <v>2021</v>
      </c>
      <c r="F4752">
        <v>2021</v>
      </c>
      <c r="G4752" t="str">
        <f>IFERROR(INDEX(Formulations[Formulation],MATCH($C4752,Formulations[Product Code],0)),"")</f>
        <v>Silver</v>
      </c>
    </row>
    <row r="4753" spans="1:7" x14ac:dyDescent="0.3">
      <c r="A4753" t="s">
        <v>2181</v>
      </c>
      <c r="B4753" t="s">
        <v>124</v>
      </c>
      <c r="D4753" s="7">
        <v>2</v>
      </c>
      <c r="E4753">
        <v>2021</v>
      </c>
      <c r="F4753">
        <v>2021</v>
      </c>
      <c r="G4753" t="str">
        <f>IFERROR(INDEX(Formulations[Formulation],MATCH($C4753,Formulations[Product Code],0)),"")</f>
        <v/>
      </c>
    </row>
    <row r="4754" spans="1:7" x14ac:dyDescent="0.3">
      <c r="A4754" t="s">
        <v>2181</v>
      </c>
      <c r="B4754" t="s">
        <v>125</v>
      </c>
      <c r="D4754" s="7">
        <v>2</v>
      </c>
      <c r="E4754">
        <v>2021</v>
      </c>
      <c r="F4754">
        <v>2021</v>
      </c>
      <c r="G4754" t="str">
        <f>IFERROR(INDEX(Formulations[Formulation],MATCH($C4754,Formulations[Product Code],0)),"")</f>
        <v/>
      </c>
    </row>
    <row r="4755" spans="1:7" x14ac:dyDescent="0.3">
      <c r="A4755" t="s">
        <v>2181</v>
      </c>
      <c r="B4755" t="s">
        <v>131</v>
      </c>
      <c r="C4755" t="s">
        <v>132</v>
      </c>
      <c r="D4755" s="7">
        <v>2</v>
      </c>
      <c r="E4755">
        <v>2021</v>
      </c>
      <c r="F4755">
        <v>2021</v>
      </c>
      <c r="G4755" t="str">
        <f>IFERROR(INDEX(Formulations[Formulation],MATCH($C4755,Formulations[Product Code],0)),"")</f>
        <v>Pure</v>
      </c>
    </row>
    <row r="4756" spans="1:7" x14ac:dyDescent="0.3">
      <c r="A4756" t="s">
        <v>2181</v>
      </c>
      <c r="B4756" t="s">
        <v>402</v>
      </c>
      <c r="C4756" t="s">
        <v>403</v>
      </c>
      <c r="D4756" s="7">
        <v>2</v>
      </c>
      <c r="E4756">
        <v>2021</v>
      </c>
      <c r="F4756">
        <v>2021</v>
      </c>
      <c r="G4756" t="str">
        <f>IFERROR(INDEX(Formulations[Formulation],MATCH($C4756,Formulations[Product Code],0)),"")</f>
        <v>15 % oil and 85% dpg</v>
      </c>
    </row>
    <row r="4757" spans="1:7" x14ac:dyDescent="0.3">
      <c r="A4757" t="s">
        <v>2181</v>
      </c>
      <c r="B4757" t="s">
        <v>189</v>
      </c>
      <c r="D4757" s="7">
        <v>2</v>
      </c>
      <c r="E4757">
        <v>2021</v>
      </c>
      <c r="F4757">
        <v>2021</v>
      </c>
      <c r="G4757" t="str">
        <f>IFERROR(INDEX(Formulations[Formulation],MATCH($C4757,Formulations[Product Code],0)),"")</f>
        <v/>
      </c>
    </row>
    <row r="4758" spans="1:7" x14ac:dyDescent="0.3">
      <c r="A4758" t="s">
        <v>2181</v>
      </c>
      <c r="B4758" t="s">
        <v>817</v>
      </c>
      <c r="D4758" s="7">
        <v>2</v>
      </c>
      <c r="E4758">
        <v>2021</v>
      </c>
      <c r="F4758">
        <v>2021</v>
      </c>
      <c r="G4758" t="str">
        <f>IFERROR(INDEX(Formulations[Formulation],MATCH($C4758,Formulations[Product Code],0)),"")</f>
        <v/>
      </c>
    </row>
    <row r="4759" spans="1:7" x14ac:dyDescent="0.3">
      <c r="A4759" t="s">
        <v>2181</v>
      </c>
      <c r="B4759" t="s">
        <v>599</v>
      </c>
      <c r="C4759" t="s">
        <v>413</v>
      </c>
      <c r="D4759" s="7">
        <v>2</v>
      </c>
      <c r="E4759">
        <v>2021</v>
      </c>
      <c r="F4759">
        <v>2021</v>
      </c>
      <c r="G4759" t="str">
        <f>IFERROR(INDEX(Formulations[Formulation],MATCH($C4759,Formulations[Product Code],0)),"")</f>
        <v>40% oil &amp; 60 % DPG</v>
      </c>
    </row>
    <row r="4760" spans="1:7" x14ac:dyDescent="0.3">
      <c r="A4760" t="s">
        <v>2181</v>
      </c>
      <c r="B4760" t="s">
        <v>151</v>
      </c>
      <c r="C4760" t="s">
        <v>152</v>
      </c>
      <c r="D4760" s="7">
        <v>2</v>
      </c>
      <c r="E4760">
        <v>2021</v>
      </c>
      <c r="F4760">
        <v>2021</v>
      </c>
      <c r="G4760" t="str">
        <f>IFERROR(INDEX(Formulations[Formulation],MATCH($C4760,Formulations[Product Code],0)),"")</f>
        <v>Crystal</v>
      </c>
    </row>
    <row r="4761" spans="1:7" x14ac:dyDescent="0.3">
      <c r="A4761" t="s">
        <v>2181</v>
      </c>
      <c r="B4761" t="s">
        <v>522</v>
      </c>
      <c r="D4761" s="7">
        <v>2</v>
      </c>
      <c r="E4761">
        <v>2021</v>
      </c>
      <c r="F4761">
        <v>2021</v>
      </c>
      <c r="G4761" t="str">
        <f>IFERROR(INDEX(Formulations[Formulation],MATCH($C4761,Formulations[Product Code],0)),"")</f>
        <v/>
      </c>
    </row>
    <row r="4762" spans="1:7" x14ac:dyDescent="0.3">
      <c r="A4762" t="s">
        <v>2187</v>
      </c>
      <c r="B4762" t="s">
        <v>248</v>
      </c>
      <c r="C4762" t="s">
        <v>249</v>
      </c>
      <c r="D4762" s="7">
        <v>2</v>
      </c>
      <c r="E4762">
        <v>2021</v>
      </c>
      <c r="F4762">
        <v>2021</v>
      </c>
      <c r="G4762" t="str">
        <f>IFERROR(INDEX(Formulations[Formulation],MATCH($C4762,Formulations[Product Code],0)),"")</f>
        <v>WS</v>
      </c>
    </row>
    <row r="4763" spans="1:7" x14ac:dyDescent="0.3">
      <c r="A4763" t="s">
        <v>2233</v>
      </c>
      <c r="B4763" t="s">
        <v>2053</v>
      </c>
      <c r="C4763" t="s">
        <v>394</v>
      </c>
      <c r="D4763" s="7">
        <v>2</v>
      </c>
      <c r="E4763">
        <v>2021</v>
      </c>
      <c r="F4763">
        <v>2021</v>
      </c>
      <c r="G4763" t="str">
        <f>IFERROR(INDEX(Formulations[Formulation],MATCH($C4763,Formulations[Product Code],0)),"")</f>
        <v>Pure</v>
      </c>
    </row>
    <row r="4764" spans="1:7" x14ac:dyDescent="0.3">
      <c r="A4764" t="s">
        <v>2233</v>
      </c>
      <c r="B4764" t="s">
        <v>586</v>
      </c>
      <c r="C4764" t="s">
        <v>587</v>
      </c>
      <c r="D4764" s="7">
        <v>2</v>
      </c>
      <c r="E4764">
        <v>2021</v>
      </c>
      <c r="F4764">
        <v>2021</v>
      </c>
      <c r="G4764" t="str">
        <f>IFERROR(INDEX(Formulations[Formulation],MATCH($C4764,Formulations[Product Code],0)),"")</f>
        <v>Pure</v>
      </c>
    </row>
    <row r="4765" spans="1:7" x14ac:dyDescent="0.3">
      <c r="A4765" t="s">
        <v>2233</v>
      </c>
      <c r="B4765" t="s">
        <v>723</v>
      </c>
      <c r="C4765" t="s">
        <v>724</v>
      </c>
      <c r="D4765" s="7">
        <v>2</v>
      </c>
      <c r="E4765">
        <v>2021</v>
      </c>
      <c r="F4765">
        <v>2021</v>
      </c>
      <c r="G4765" t="str">
        <f>IFERROR(INDEX(Formulations[Formulation],MATCH($C4765,Formulations[Product Code],0)),"")</f>
        <v>Crystal</v>
      </c>
    </row>
    <row r="4766" spans="1:7" x14ac:dyDescent="0.3">
      <c r="A4766" t="s">
        <v>2233</v>
      </c>
      <c r="B4766" t="s">
        <v>1410</v>
      </c>
      <c r="C4766" t="s">
        <v>1411</v>
      </c>
      <c r="D4766" s="7">
        <v>2</v>
      </c>
      <c r="E4766">
        <v>2021</v>
      </c>
      <c r="F4766">
        <v>2021</v>
      </c>
      <c r="G4766" t="str">
        <f>IFERROR(INDEX(Formulations[Formulation],MATCH($C4766,Formulations[Product Code],0)),"")</f>
        <v>Pure</v>
      </c>
    </row>
    <row r="4767" spans="1:7" x14ac:dyDescent="0.3">
      <c r="A4767" t="s">
        <v>2233</v>
      </c>
      <c r="B4767" t="s">
        <v>536</v>
      </c>
      <c r="C4767" t="s">
        <v>537</v>
      </c>
      <c r="D4767" s="7">
        <v>2</v>
      </c>
      <c r="E4767">
        <v>2021</v>
      </c>
      <c r="F4767">
        <v>2021</v>
      </c>
      <c r="G4767" t="str">
        <f>IFERROR(INDEX(Formulations[Formulation],MATCH($C4767,Formulations[Product Code],0)),"")</f>
        <v>Silver</v>
      </c>
    </row>
    <row r="4768" spans="1:7" x14ac:dyDescent="0.3">
      <c r="A4768" t="s">
        <v>2233</v>
      </c>
      <c r="B4768" t="s">
        <v>1949</v>
      </c>
      <c r="D4768" s="7">
        <v>2</v>
      </c>
      <c r="E4768">
        <v>2021</v>
      </c>
      <c r="F4768">
        <v>2021</v>
      </c>
      <c r="G4768" t="str">
        <f>IFERROR(INDEX(Formulations[Formulation],MATCH($C4768,Formulations[Product Code],0)),"")</f>
        <v/>
      </c>
    </row>
    <row r="4769" spans="1:7" x14ac:dyDescent="0.3">
      <c r="A4769" t="s">
        <v>2233</v>
      </c>
      <c r="B4769" t="s">
        <v>542</v>
      </c>
      <c r="C4769" t="s">
        <v>160</v>
      </c>
      <c r="D4769" s="7">
        <v>2</v>
      </c>
      <c r="E4769">
        <v>2021</v>
      </c>
      <c r="F4769">
        <v>2021</v>
      </c>
      <c r="G4769" t="str">
        <f>IFERROR(INDEX(Formulations[Formulation],MATCH($C4769,Formulations[Product Code],0)),"")</f>
        <v>Silver</v>
      </c>
    </row>
    <row r="4770" spans="1:7" x14ac:dyDescent="0.3">
      <c r="A4770" t="s">
        <v>2233</v>
      </c>
      <c r="B4770" t="s">
        <v>1369</v>
      </c>
      <c r="C4770" t="s">
        <v>1370</v>
      </c>
      <c r="D4770" s="7">
        <v>2</v>
      </c>
      <c r="E4770">
        <v>2021</v>
      </c>
      <c r="F4770">
        <v>2021</v>
      </c>
      <c r="G4770" t="str">
        <f>IFERROR(INDEX(Formulations[Formulation],MATCH($C4770,Formulations[Product Code],0)),"")</f>
        <v>Pure</v>
      </c>
    </row>
    <row r="4771" spans="1:7" x14ac:dyDescent="0.3">
      <c r="A4771" t="s">
        <v>2233</v>
      </c>
      <c r="B4771" t="s">
        <v>261</v>
      </c>
      <c r="C4771" t="s">
        <v>262</v>
      </c>
      <c r="D4771" s="7">
        <v>2</v>
      </c>
      <c r="E4771">
        <v>2021</v>
      </c>
      <c r="F4771">
        <v>2021</v>
      </c>
      <c r="G4771" t="str">
        <f>IFERROR(INDEX(Formulations[Formulation],MATCH($C4771,Formulations[Product Code],0)),"")</f>
        <v>Pure</v>
      </c>
    </row>
    <row r="4772" spans="1:7" x14ac:dyDescent="0.3">
      <c r="A4772" t="s">
        <v>2233</v>
      </c>
      <c r="B4772" t="s">
        <v>263</v>
      </c>
      <c r="C4772" t="s">
        <v>264</v>
      </c>
      <c r="D4772" s="7">
        <v>2</v>
      </c>
      <c r="E4772">
        <v>2021</v>
      </c>
      <c r="F4772">
        <v>2021</v>
      </c>
      <c r="G4772" t="str">
        <f>IFERROR(INDEX(Formulations[Formulation],MATCH($C4772,Formulations[Product Code],0)),"")</f>
        <v>Silver</v>
      </c>
    </row>
    <row r="4773" spans="1:7" x14ac:dyDescent="0.3">
      <c r="A4773" t="s">
        <v>2233</v>
      </c>
      <c r="B4773" t="s">
        <v>1396</v>
      </c>
      <c r="C4773" t="s">
        <v>613</v>
      </c>
      <c r="D4773" s="7">
        <v>2</v>
      </c>
      <c r="E4773">
        <v>2021</v>
      </c>
      <c r="F4773">
        <v>2021</v>
      </c>
      <c r="G4773" t="str">
        <f>IFERROR(INDEX(Formulations[Formulation],MATCH($C4773,Formulations[Product Code],0)),"")</f>
        <v>Pure</v>
      </c>
    </row>
    <row r="4774" spans="1:7" x14ac:dyDescent="0.3">
      <c r="A4774" t="s">
        <v>2236</v>
      </c>
      <c r="B4774" t="s">
        <v>196</v>
      </c>
      <c r="C4774" t="s">
        <v>197</v>
      </c>
      <c r="D4774" s="7">
        <v>2</v>
      </c>
      <c r="E4774">
        <v>2017</v>
      </c>
      <c r="F4774">
        <v>2017</v>
      </c>
      <c r="G4774" t="str">
        <f>IFERROR(INDEX(Formulations[Formulation],MATCH($C4774,Formulations[Product Code],0)),"")</f>
        <v/>
      </c>
    </row>
    <row r="4775" spans="1:7" x14ac:dyDescent="0.3">
      <c r="A4775" t="s">
        <v>2249</v>
      </c>
      <c r="B4775" t="s">
        <v>761</v>
      </c>
      <c r="D4775" s="7">
        <v>2</v>
      </c>
      <c r="E4775">
        <v>2016</v>
      </c>
      <c r="F4775">
        <v>2017</v>
      </c>
      <c r="G4775" t="str">
        <f>IFERROR(INDEX(Formulations[Formulation],MATCH($C4775,Formulations[Product Code],0)),"")</f>
        <v/>
      </c>
    </row>
    <row r="4776" spans="1:7" x14ac:dyDescent="0.3">
      <c r="A4776" t="s">
        <v>2262</v>
      </c>
      <c r="B4776" t="s">
        <v>320</v>
      </c>
      <c r="C4776" t="s">
        <v>321</v>
      </c>
      <c r="D4776" s="7">
        <v>2</v>
      </c>
      <c r="E4776">
        <v>2017</v>
      </c>
      <c r="F4776">
        <v>2017</v>
      </c>
      <c r="G4776" t="str">
        <f>IFERROR(INDEX(Formulations[Formulation],MATCH($C4776,Formulations[Product Code],0)),"")</f>
        <v/>
      </c>
    </row>
    <row r="4777" spans="1:7" x14ac:dyDescent="0.3">
      <c r="A4777" t="s">
        <v>2262</v>
      </c>
      <c r="B4777" t="s">
        <v>151</v>
      </c>
      <c r="C4777" t="s">
        <v>152</v>
      </c>
      <c r="D4777" s="7">
        <v>2</v>
      </c>
      <c r="E4777">
        <v>2020</v>
      </c>
      <c r="F4777">
        <v>2020</v>
      </c>
      <c r="G4777" t="str">
        <f>IFERROR(INDEX(Formulations[Formulation],MATCH($C4777,Formulations[Product Code],0)),"")</f>
        <v>Crystal</v>
      </c>
    </row>
    <row r="4778" spans="1:7" x14ac:dyDescent="0.3">
      <c r="A4778" t="s">
        <v>2262</v>
      </c>
      <c r="B4778" t="s">
        <v>157</v>
      </c>
      <c r="C4778" t="s">
        <v>158</v>
      </c>
      <c r="D4778" s="7">
        <v>2</v>
      </c>
      <c r="E4778">
        <v>2018</v>
      </c>
      <c r="F4778">
        <v>2018</v>
      </c>
      <c r="G4778" t="str">
        <f>IFERROR(INDEX(Formulations[Formulation],MATCH($C4778,Formulations[Product Code],0)),"")</f>
        <v>Pure</v>
      </c>
    </row>
    <row r="4779" spans="1:7" x14ac:dyDescent="0.3">
      <c r="A4779" t="s">
        <v>2264</v>
      </c>
      <c r="B4779" t="s">
        <v>248</v>
      </c>
      <c r="C4779" t="s">
        <v>249</v>
      </c>
      <c r="D4779" s="7">
        <v>2</v>
      </c>
      <c r="E4779">
        <v>2021</v>
      </c>
      <c r="F4779">
        <v>2021</v>
      </c>
      <c r="G4779" t="str">
        <f>IFERROR(INDEX(Formulations[Formulation],MATCH($C4779,Formulations[Product Code],0)),"")</f>
        <v>WS</v>
      </c>
    </row>
    <row r="4780" spans="1:7" x14ac:dyDescent="0.3">
      <c r="A4780" t="s">
        <v>2264</v>
      </c>
      <c r="B4780" t="s">
        <v>790</v>
      </c>
      <c r="C4780" t="s">
        <v>791</v>
      </c>
      <c r="D4780" s="7">
        <v>2</v>
      </c>
      <c r="E4780">
        <v>2021</v>
      </c>
      <c r="F4780">
        <v>2021</v>
      </c>
      <c r="G4780" t="str">
        <f>IFERROR(INDEX(Formulations[Formulation],MATCH($C4780,Formulations[Product Code],0)),"")</f>
        <v>Pure</v>
      </c>
    </row>
    <row r="4781" spans="1:7" x14ac:dyDescent="0.3">
      <c r="A4781" t="s">
        <v>2266</v>
      </c>
      <c r="B4781" t="s">
        <v>637</v>
      </c>
      <c r="C4781" t="s">
        <v>638</v>
      </c>
      <c r="D4781" s="7">
        <v>2</v>
      </c>
      <c r="E4781">
        <v>2020</v>
      </c>
      <c r="F4781">
        <v>2020</v>
      </c>
      <c r="G4781" t="str">
        <f>IFERROR(INDEX(Formulations[Formulation],MATCH($C4781,Formulations[Product Code],0)),"")</f>
        <v>Pure</v>
      </c>
    </row>
    <row r="4782" spans="1:7" x14ac:dyDescent="0.3">
      <c r="A4782" t="s">
        <v>2266</v>
      </c>
      <c r="B4782" t="s">
        <v>383</v>
      </c>
      <c r="C4782" t="s">
        <v>384</v>
      </c>
      <c r="D4782" s="7">
        <v>2</v>
      </c>
      <c r="E4782">
        <v>2020</v>
      </c>
      <c r="F4782">
        <v>2020</v>
      </c>
      <c r="G4782" t="str">
        <f>IFERROR(INDEX(Formulations[Formulation],MATCH($C4782,Formulations[Product Code],0)),"")</f>
        <v>Pure</v>
      </c>
    </row>
    <row r="4783" spans="1:7" x14ac:dyDescent="0.3">
      <c r="A4783" t="s">
        <v>2275</v>
      </c>
      <c r="B4783" t="s">
        <v>1322</v>
      </c>
      <c r="C4783" t="s">
        <v>169</v>
      </c>
      <c r="D4783" s="7">
        <v>2</v>
      </c>
      <c r="E4783">
        <v>2019</v>
      </c>
      <c r="F4783">
        <v>2019</v>
      </c>
      <c r="G4783" t="str">
        <f>IFERROR(INDEX(Formulations[Formulation],MATCH($C4783,Formulations[Product Code],0)),"")</f>
        <v>Silver</v>
      </c>
    </row>
    <row r="4784" spans="1:7" x14ac:dyDescent="0.3">
      <c r="A4784" t="s">
        <v>2297</v>
      </c>
      <c r="B4784" t="s">
        <v>2298</v>
      </c>
      <c r="D4784" s="7">
        <v>2</v>
      </c>
      <c r="E4784">
        <v>2018</v>
      </c>
      <c r="F4784">
        <v>2018</v>
      </c>
      <c r="G4784" t="str">
        <f>IFERROR(INDEX(Formulations[Formulation],MATCH($C4784,Formulations[Product Code],0)),"")</f>
        <v/>
      </c>
    </row>
    <row r="4785" spans="1:7" x14ac:dyDescent="0.3">
      <c r="A4785" t="s">
        <v>2301</v>
      </c>
      <c r="B4785" t="s">
        <v>16</v>
      </c>
      <c r="C4785" t="s">
        <v>17</v>
      </c>
      <c r="D4785" s="7">
        <v>2</v>
      </c>
      <c r="E4785">
        <v>2017</v>
      </c>
      <c r="F4785">
        <v>2017</v>
      </c>
      <c r="G4785" t="str">
        <f>IFERROR(INDEX(Formulations[Formulation],MATCH($C4785,Formulations[Product Code],0)),"")</f>
        <v>Crystal</v>
      </c>
    </row>
    <row r="4786" spans="1:7" x14ac:dyDescent="0.3">
      <c r="A4786" t="s">
        <v>2329</v>
      </c>
      <c r="B4786" t="s">
        <v>64</v>
      </c>
      <c r="C4786" t="s">
        <v>65</v>
      </c>
      <c r="D4786" s="7">
        <v>2</v>
      </c>
      <c r="E4786">
        <v>2020</v>
      </c>
      <c r="F4786">
        <v>2020</v>
      </c>
      <c r="G4786" t="str">
        <f>IFERROR(INDEX(Formulations[Formulation],MATCH($C4786,Formulations[Product Code],0)),"")</f>
        <v>Crystal</v>
      </c>
    </row>
    <row r="4787" spans="1:7" x14ac:dyDescent="0.3">
      <c r="A4787" t="s">
        <v>2333</v>
      </c>
      <c r="B4787" t="s">
        <v>503</v>
      </c>
      <c r="D4787" s="7">
        <v>2</v>
      </c>
      <c r="E4787">
        <v>2019</v>
      </c>
      <c r="F4787">
        <v>2019</v>
      </c>
      <c r="G4787" t="str">
        <f>IFERROR(INDEX(Formulations[Formulation],MATCH($C4787,Formulations[Product Code],0)),"")</f>
        <v/>
      </c>
    </row>
    <row r="4788" spans="1:7" x14ac:dyDescent="0.3">
      <c r="A4788" t="s">
        <v>2333</v>
      </c>
      <c r="B4788" t="s">
        <v>2334</v>
      </c>
      <c r="C4788" t="s">
        <v>724</v>
      </c>
      <c r="D4788" s="7">
        <v>2</v>
      </c>
      <c r="E4788">
        <v>2019</v>
      </c>
      <c r="F4788">
        <v>2019</v>
      </c>
      <c r="G4788" t="str">
        <f>IFERROR(INDEX(Formulations[Formulation],MATCH($C4788,Formulations[Product Code],0)),"")</f>
        <v>Crystal</v>
      </c>
    </row>
    <row r="4789" spans="1:7" x14ac:dyDescent="0.3">
      <c r="A4789" t="s">
        <v>2333</v>
      </c>
      <c r="B4789" t="s">
        <v>258</v>
      </c>
      <c r="C4789" t="s">
        <v>259</v>
      </c>
      <c r="D4789" s="7">
        <v>2</v>
      </c>
      <c r="E4789">
        <v>2019</v>
      </c>
      <c r="F4789">
        <v>2019</v>
      </c>
      <c r="G4789" t="str">
        <f>IFERROR(INDEX(Formulations[Formulation],MATCH($C4789,Formulations[Product Code],0)),"")</f>
        <v>Pure</v>
      </c>
    </row>
    <row r="4790" spans="1:7" x14ac:dyDescent="0.3">
      <c r="A4790" t="s">
        <v>2333</v>
      </c>
      <c r="B4790" t="s">
        <v>260</v>
      </c>
      <c r="C4790" t="s">
        <v>109</v>
      </c>
      <c r="D4790" s="7">
        <v>2</v>
      </c>
      <c r="E4790">
        <v>2019</v>
      </c>
      <c r="F4790">
        <v>2019</v>
      </c>
      <c r="G4790" t="str">
        <f>IFERROR(INDEX(Formulations[Formulation],MATCH($C4790,Formulations[Product Code],0)),"")</f>
        <v>Pure</v>
      </c>
    </row>
    <row r="4791" spans="1:7" x14ac:dyDescent="0.3">
      <c r="A4791" t="s">
        <v>2333</v>
      </c>
      <c r="B4791" t="s">
        <v>1405</v>
      </c>
      <c r="C4791" t="s">
        <v>1406</v>
      </c>
      <c r="D4791" s="7">
        <v>2</v>
      </c>
      <c r="E4791">
        <v>2019</v>
      </c>
      <c r="F4791">
        <v>2019</v>
      </c>
      <c r="G4791" t="str">
        <f>IFERROR(INDEX(Formulations[Formulation],MATCH($C4791,Formulations[Product Code],0)),"")</f>
        <v>Silver</v>
      </c>
    </row>
    <row r="4792" spans="1:7" x14ac:dyDescent="0.3">
      <c r="A4792" t="s">
        <v>2333</v>
      </c>
      <c r="B4792" t="s">
        <v>1396</v>
      </c>
      <c r="C4792" t="s">
        <v>613</v>
      </c>
      <c r="D4792" s="7">
        <v>2</v>
      </c>
      <c r="E4792">
        <v>2019</v>
      </c>
      <c r="F4792">
        <v>2019</v>
      </c>
      <c r="G4792" t="str">
        <f>IFERROR(INDEX(Formulations[Formulation],MATCH($C4792,Formulations[Product Code],0)),"")</f>
        <v>Pure</v>
      </c>
    </row>
    <row r="4793" spans="1:7" x14ac:dyDescent="0.3">
      <c r="A4793" t="s">
        <v>2335</v>
      </c>
      <c r="B4793" t="s">
        <v>82</v>
      </c>
      <c r="C4793" t="s">
        <v>83</v>
      </c>
      <c r="D4793" s="7">
        <v>2</v>
      </c>
      <c r="E4793">
        <v>2019</v>
      </c>
      <c r="F4793">
        <v>2019</v>
      </c>
      <c r="G4793" t="str">
        <f>IFERROR(INDEX(Formulations[Formulation],MATCH($C4793,Formulations[Product Code],0)),"")</f>
        <v>Pure</v>
      </c>
    </row>
    <row r="4794" spans="1:7" x14ac:dyDescent="0.3">
      <c r="A4794" t="s">
        <v>2335</v>
      </c>
      <c r="B4794" t="s">
        <v>1396</v>
      </c>
      <c r="C4794" t="s">
        <v>613</v>
      </c>
      <c r="D4794" s="7">
        <v>2</v>
      </c>
      <c r="E4794">
        <v>2020</v>
      </c>
      <c r="F4794">
        <v>2021</v>
      </c>
      <c r="G4794" t="str">
        <f>IFERROR(INDEX(Formulations[Formulation],MATCH($C4794,Formulations[Product Code],0)),"")</f>
        <v>Pure</v>
      </c>
    </row>
    <row r="4795" spans="1:7" x14ac:dyDescent="0.3">
      <c r="A4795" t="s">
        <v>2354</v>
      </c>
      <c r="B4795" t="s">
        <v>713</v>
      </c>
      <c r="D4795" s="7">
        <v>2</v>
      </c>
      <c r="E4795">
        <v>2020</v>
      </c>
      <c r="F4795">
        <v>2020</v>
      </c>
      <c r="G4795" t="str">
        <f>IFERROR(INDEX(Formulations[Formulation],MATCH($C4795,Formulations[Product Code],0)),"")</f>
        <v/>
      </c>
    </row>
    <row r="4796" spans="1:7" x14ac:dyDescent="0.3">
      <c r="A4796" t="s">
        <v>2380</v>
      </c>
      <c r="B4796" t="s">
        <v>2391</v>
      </c>
      <c r="D4796" s="7">
        <v>2</v>
      </c>
      <c r="E4796">
        <v>2020</v>
      </c>
      <c r="F4796">
        <v>2020</v>
      </c>
      <c r="G4796" t="str">
        <f>IFERROR(INDEX(Formulations[Formulation],MATCH($C4796,Formulations[Product Code],0)),"")</f>
        <v/>
      </c>
    </row>
    <row r="4797" spans="1:7" x14ac:dyDescent="0.3">
      <c r="A4797" t="s">
        <v>2413</v>
      </c>
      <c r="B4797" t="s">
        <v>627</v>
      </c>
      <c r="C4797" t="s">
        <v>628</v>
      </c>
      <c r="D4797" s="7">
        <v>2</v>
      </c>
      <c r="E4797">
        <v>2021</v>
      </c>
      <c r="F4797">
        <v>2021</v>
      </c>
      <c r="G4797" t="str">
        <f>IFERROR(INDEX(Formulations[Formulation],MATCH($C4797,Formulations[Product Code],0)),"")</f>
        <v>Pure</v>
      </c>
    </row>
    <row r="4798" spans="1:7" x14ac:dyDescent="0.3">
      <c r="A4798" t="s">
        <v>2413</v>
      </c>
      <c r="B4798" t="s">
        <v>244</v>
      </c>
      <c r="C4798" t="s">
        <v>245</v>
      </c>
      <c r="D4798" s="7">
        <v>2</v>
      </c>
      <c r="E4798">
        <v>2021</v>
      </c>
      <c r="F4798">
        <v>2021</v>
      </c>
      <c r="G4798" t="str">
        <f>IFERROR(INDEX(Formulations[Formulation],MATCH($C4798,Formulations[Product Code],0)),"")</f>
        <v>10% Oil</v>
      </c>
    </row>
    <row r="4799" spans="1:7" x14ac:dyDescent="0.3">
      <c r="A4799" t="s">
        <v>2413</v>
      </c>
      <c r="B4799" t="s">
        <v>679</v>
      </c>
      <c r="C4799" t="s">
        <v>680</v>
      </c>
      <c r="D4799" s="7">
        <v>2</v>
      </c>
      <c r="E4799">
        <v>2021</v>
      </c>
      <c r="F4799">
        <v>2021</v>
      </c>
      <c r="G4799" t="str">
        <f>IFERROR(INDEX(Formulations[Formulation],MATCH($C4799,Formulations[Product Code],0)),"")</f>
        <v>Crystal</v>
      </c>
    </row>
    <row r="4800" spans="1:7" x14ac:dyDescent="0.3">
      <c r="A4800" t="s">
        <v>2416</v>
      </c>
      <c r="B4800" t="s">
        <v>2418</v>
      </c>
      <c r="C4800" t="s">
        <v>277</v>
      </c>
      <c r="D4800" s="7">
        <v>2</v>
      </c>
      <c r="E4800">
        <v>2015</v>
      </c>
      <c r="F4800">
        <v>2015</v>
      </c>
      <c r="G4800" t="str">
        <f>IFERROR(INDEX(Formulations[Formulation],MATCH($C4800,Formulations[Product Code],0)),"")</f>
        <v>Pure</v>
      </c>
    </row>
    <row r="4801" spans="1:7" x14ac:dyDescent="0.3">
      <c r="A4801" t="s">
        <v>2416</v>
      </c>
      <c r="B4801" t="s">
        <v>2420</v>
      </c>
      <c r="D4801" s="7">
        <v>2</v>
      </c>
      <c r="E4801">
        <v>2015</v>
      </c>
      <c r="F4801">
        <v>2015</v>
      </c>
      <c r="G4801" t="str">
        <f>IFERROR(INDEX(Formulations[Formulation],MATCH($C4801,Formulations[Product Code],0)),"")</f>
        <v/>
      </c>
    </row>
    <row r="4802" spans="1:7" x14ac:dyDescent="0.3">
      <c r="A4802" t="s">
        <v>2440</v>
      </c>
      <c r="B4802" t="s">
        <v>37</v>
      </c>
      <c r="D4802" s="7">
        <v>2</v>
      </c>
      <c r="E4802">
        <v>2020</v>
      </c>
      <c r="F4802">
        <v>2020</v>
      </c>
      <c r="G4802" t="str">
        <f>IFERROR(INDEX(Formulations[Formulation],MATCH($C4802,Formulations[Product Code],0)),"")</f>
        <v/>
      </c>
    </row>
    <row r="4803" spans="1:7" x14ac:dyDescent="0.3">
      <c r="A4803" t="s">
        <v>2441</v>
      </c>
      <c r="B4803" t="s">
        <v>55</v>
      </c>
      <c r="D4803" s="7">
        <v>2</v>
      </c>
      <c r="E4803">
        <v>2019</v>
      </c>
      <c r="F4803">
        <v>2019</v>
      </c>
      <c r="G4803" t="str">
        <f>IFERROR(INDEX(Formulations[Formulation],MATCH($C4803,Formulations[Product Code],0)),"")</f>
        <v/>
      </c>
    </row>
    <row r="4804" spans="1:7" x14ac:dyDescent="0.3">
      <c r="A4804" t="s">
        <v>2441</v>
      </c>
      <c r="B4804" t="s">
        <v>76</v>
      </c>
      <c r="C4804" t="s">
        <v>77</v>
      </c>
      <c r="D4804" s="7">
        <v>2</v>
      </c>
      <c r="E4804">
        <v>2019</v>
      </c>
      <c r="F4804">
        <v>2019</v>
      </c>
      <c r="G4804" t="str">
        <f>IFERROR(INDEX(Formulations[Formulation],MATCH($C4804,Formulations[Product Code],0)),"")</f>
        <v>Silver</v>
      </c>
    </row>
    <row r="4805" spans="1:7" x14ac:dyDescent="0.3">
      <c r="A4805" t="s">
        <v>2441</v>
      </c>
      <c r="B4805" t="s">
        <v>1371</v>
      </c>
      <c r="C4805" t="s">
        <v>613</v>
      </c>
      <c r="D4805" s="7">
        <v>2</v>
      </c>
      <c r="E4805">
        <v>2019</v>
      </c>
      <c r="F4805">
        <v>2019</v>
      </c>
      <c r="G4805" t="str">
        <f>IFERROR(INDEX(Formulations[Formulation],MATCH($C4805,Formulations[Product Code],0)),"")</f>
        <v>Pure</v>
      </c>
    </row>
    <row r="4806" spans="1:7" x14ac:dyDescent="0.3">
      <c r="A4806" t="s">
        <v>2447</v>
      </c>
      <c r="B4806" t="s">
        <v>248</v>
      </c>
      <c r="C4806" t="s">
        <v>249</v>
      </c>
      <c r="D4806" s="7">
        <v>2</v>
      </c>
      <c r="E4806">
        <v>2019</v>
      </c>
      <c r="F4806">
        <v>2019</v>
      </c>
      <c r="G4806" t="str">
        <f>IFERROR(INDEX(Formulations[Formulation],MATCH($C4806,Formulations[Product Code],0)),"")</f>
        <v>WS</v>
      </c>
    </row>
    <row r="4807" spans="1:7" x14ac:dyDescent="0.3">
      <c r="A4807" t="s">
        <v>2447</v>
      </c>
      <c r="B4807" t="s">
        <v>504</v>
      </c>
      <c r="C4807" t="s">
        <v>505</v>
      </c>
      <c r="D4807" s="7">
        <v>2</v>
      </c>
      <c r="E4807">
        <v>2019</v>
      </c>
      <c r="F4807">
        <v>2020</v>
      </c>
      <c r="G4807" t="str">
        <f>IFERROR(INDEX(Formulations[Formulation],MATCH($C4807,Formulations[Product Code],0)),"")</f>
        <v>Crystal</v>
      </c>
    </row>
    <row r="4808" spans="1:7" x14ac:dyDescent="0.3">
      <c r="A4808" t="s">
        <v>2447</v>
      </c>
      <c r="B4808" t="s">
        <v>1009</v>
      </c>
      <c r="C4808" t="s">
        <v>934</v>
      </c>
      <c r="D4808" s="7">
        <v>2</v>
      </c>
      <c r="E4808">
        <v>2019</v>
      </c>
      <c r="F4808">
        <v>2020</v>
      </c>
      <c r="G4808" t="str">
        <f>IFERROR(INDEX(Formulations[Formulation],MATCH($C4808,Formulations[Product Code],0)),"")</f>
        <v/>
      </c>
    </row>
    <row r="4809" spans="1:7" x14ac:dyDescent="0.3">
      <c r="A4809" t="s">
        <v>2447</v>
      </c>
      <c r="B4809" t="s">
        <v>258</v>
      </c>
      <c r="C4809" t="s">
        <v>259</v>
      </c>
      <c r="D4809" s="7">
        <v>2</v>
      </c>
      <c r="E4809">
        <v>2019</v>
      </c>
      <c r="F4809">
        <v>2019</v>
      </c>
      <c r="G4809" t="str">
        <f>IFERROR(INDEX(Formulations[Formulation],MATCH($C4809,Formulations[Product Code],0)),"")</f>
        <v>Pure</v>
      </c>
    </row>
    <row r="4810" spans="1:7" x14ac:dyDescent="0.3">
      <c r="A4810" t="s">
        <v>2447</v>
      </c>
      <c r="B4810" t="s">
        <v>1106</v>
      </c>
      <c r="C4810" t="s">
        <v>1095</v>
      </c>
      <c r="D4810" s="7">
        <v>2</v>
      </c>
      <c r="E4810">
        <v>2019</v>
      </c>
      <c r="F4810">
        <v>2019</v>
      </c>
      <c r="G4810" t="str">
        <f>IFERROR(INDEX(Formulations[Formulation],MATCH($C4810,Formulations[Product Code],0)),"")</f>
        <v/>
      </c>
    </row>
    <row r="4811" spans="1:7" x14ac:dyDescent="0.3">
      <c r="A4811" t="s">
        <v>2453</v>
      </c>
      <c r="B4811" t="s">
        <v>532</v>
      </c>
      <c r="C4811" t="s">
        <v>452</v>
      </c>
      <c r="D4811" s="7">
        <v>2</v>
      </c>
      <c r="E4811">
        <v>2019</v>
      </c>
      <c r="F4811">
        <v>2019</v>
      </c>
      <c r="G4811" t="str">
        <f>IFERROR(INDEX(Formulations[Formulation],MATCH($C4811,Formulations[Product Code],0)),"")</f>
        <v>Crystal</v>
      </c>
    </row>
    <row r="4812" spans="1:7" x14ac:dyDescent="0.3">
      <c r="A4812" t="s">
        <v>2453</v>
      </c>
      <c r="B4812" t="s">
        <v>533</v>
      </c>
      <c r="C4812" t="s">
        <v>534</v>
      </c>
      <c r="D4812" s="7">
        <v>2</v>
      </c>
      <c r="E4812">
        <v>2019</v>
      </c>
      <c r="F4812">
        <v>2019</v>
      </c>
      <c r="G4812" t="str">
        <f>IFERROR(INDEX(Formulations[Formulation],MATCH($C4812,Formulations[Product Code],0)),"")</f>
        <v>Pure</v>
      </c>
    </row>
    <row r="4813" spans="1:7" x14ac:dyDescent="0.3">
      <c r="A4813" t="s">
        <v>2453</v>
      </c>
      <c r="B4813" t="s">
        <v>538</v>
      </c>
      <c r="C4813" t="s">
        <v>539</v>
      </c>
      <c r="D4813" s="7">
        <v>2</v>
      </c>
      <c r="E4813">
        <v>2019</v>
      </c>
      <c r="F4813">
        <v>2019</v>
      </c>
      <c r="G4813" t="str">
        <f>IFERROR(INDEX(Formulations[Formulation],MATCH($C4813,Formulations[Product Code],0)),"")</f>
        <v>Gold</v>
      </c>
    </row>
    <row r="4814" spans="1:7" x14ac:dyDescent="0.3">
      <c r="A4814" t="s">
        <v>2453</v>
      </c>
      <c r="B4814" t="s">
        <v>459</v>
      </c>
      <c r="C4814" t="s">
        <v>460</v>
      </c>
      <c r="D4814" s="7">
        <v>2</v>
      </c>
      <c r="E4814">
        <v>2019</v>
      </c>
      <c r="F4814">
        <v>2019</v>
      </c>
      <c r="G4814" t="str">
        <f>IFERROR(INDEX(Formulations[Formulation],MATCH($C4814,Formulations[Product Code],0)),"")</f>
        <v/>
      </c>
    </row>
    <row r="4815" spans="1:7" x14ac:dyDescent="0.3">
      <c r="A4815" t="s">
        <v>2453</v>
      </c>
      <c r="B4815" t="s">
        <v>1013</v>
      </c>
      <c r="C4815" t="s">
        <v>1014</v>
      </c>
      <c r="D4815" s="7">
        <v>2</v>
      </c>
      <c r="E4815">
        <v>2019</v>
      </c>
      <c r="F4815">
        <v>2019</v>
      </c>
      <c r="G4815" t="str">
        <f>IFERROR(INDEX(Formulations[Formulation],MATCH($C4815,Formulations[Product Code],0)),"")</f>
        <v/>
      </c>
    </row>
    <row r="4816" spans="1:7" x14ac:dyDescent="0.3">
      <c r="A4816" t="s">
        <v>2453</v>
      </c>
      <c r="B4816" t="s">
        <v>26</v>
      </c>
      <c r="C4816" t="s">
        <v>27</v>
      </c>
      <c r="D4816" s="7">
        <v>2</v>
      </c>
      <c r="E4816">
        <v>2019</v>
      </c>
      <c r="F4816">
        <v>2019</v>
      </c>
      <c r="G4816" t="str">
        <f>IFERROR(INDEX(Formulations[Formulation],MATCH($C4816,Formulations[Product Code],0)),"")</f>
        <v>FLOURAMAX A270578/ P782894</v>
      </c>
    </row>
    <row r="4817" spans="1:7" x14ac:dyDescent="0.3">
      <c r="A4817" t="s">
        <v>2453</v>
      </c>
      <c r="B4817" t="s">
        <v>686</v>
      </c>
      <c r="C4817" t="s">
        <v>687</v>
      </c>
      <c r="D4817" s="7">
        <v>2</v>
      </c>
      <c r="E4817">
        <v>2019</v>
      </c>
      <c r="F4817">
        <v>2019</v>
      </c>
      <c r="G4817" t="str">
        <f>IFERROR(INDEX(Formulations[Formulation],MATCH($C4817,Formulations[Product Code],0)),"")</f>
        <v>Pure</v>
      </c>
    </row>
    <row r="4818" spans="1:7" x14ac:dyDescent="0.3">
      <c r="A4818" t="s">
        <v>2453</v>
      </c>
      <c r="B4818" t="s">
        <v>1122</v>
      </c>
      <c r="C4818" t="s">
        <v>1123</v>
      </c>
      <c r="D4818" s="7">
        <v>2</v>
      </c>
      <c r="E4818">
        <v>2019</v>
      </c>
      <c r="F4818">
        <v>2019</v>
      </c>
      <c r="G4818" t="str">
        <f>IFERROR(INDEX(Formulations[Formulation],MATCH($C4818,Formulations[Product Code],0)),"")</f>
        <v>Crystal</v>
      </c>
    </row>
    <row r="4819" spans="1:7" x14ac:dyDescent="0.3">
      <c r="A4819" t="s">
        <v>2453</v>
      </c>
      <c r="B4819" t="s">
        <v>269</v>
      </c>
      <c r="C4819" t="s">
        <v>270</v>
      </c>
      <c r="D4819" s="7">
        <v>2</v>
      </c>
      <c r="E4819">
        <v>2019</v>
      </c>
      <c r="F4819">
        <v>2019</v>
      </c>
      <c r="G4819" t="str">
        <f>IFERROR(INDEX(Formulations[Formulation],MATCH($C4819,Formulations[Product Code],0)),"")</f>
        <v>Pure</v>
      </c>
    </row>
    <row r="4820" spans="1:7" x14ac:dyDescent="0.3">
      <c r="A4820" t="s">
        <v>2453</v>
      </c>
      <c r="B4820" t="s">
        <v>543</v>
      </c>
      <c r="C4820" t="s">
        <v>544</v>
      </c>
      <c r="D4820" s="7">
        <v>2</v>
      </c>
      <c r="E4820">
        <v>2019</v>
      </c>
      <c r="F4820">
        <v>2019</v>
      </c>
      <c r="G4820" t="str">
        <f>IFERROR(INDEX(Formulations[Formulation],MATCH($C4820,Formulations[Product Code],0)),"")</f>
        <v>Crystal</v>
      </c>
    </row>
    <row r="4821" spans="1:7" x14ac:dyDescent="0.3">
      <c r="A4821" t="s">
        <v>2453</v>
      </c>
      <c r="B4821" t="s">
        <v>64</v>
      </c>
      <c r="C4821" t="s">
        <v>65</v>
      </c>
      <c r="D4821" s="7">
        <v>2</v>
      </c>
      <c r="E4821">
        <v>2019</v>
      </c>
      <c r="F4821">
        <v>2019</v>
      </c>
      <c r="G4821" t="str">
        <f>IFERROR(INDEX(Formulations[Formulation],MATCH($C4821,Formulations[Product Code],0)),"")</f>
        <v>Crystal</v>
      </c>
    </row>
    <row r="4822" spans="1:7" x14ac:dyDescent="0.3">
      <c r="A4822" t="s">
        <v>2453</v>
      </c>
      <c r="B4822" t="s">
        <v>110</v>
      </c>
      <c r="C4822" t="s">
        <v>111</v>
      </c>
      <c r="D4822" s="7">
        <v>2</v>
      </c>
      <c r="E4822">
        <v>2019</v>
      </c>
      <c r="F4822">
        <v>2019</v>
      </c>
      <c r="G4822" t="str">
        <f>IFERROR(INDEX(Formulations[Formulation],MATCH($C4822,Formulations[Product Code],0)),"")</f>
        <v>75% Lemon Zeste, 25% lemon Top &amp; the Gold DPG)</v>
      </c>
    </row>
    <row r="4823" spans="1:7" x14ac:dyDescent="0.3">
      <c r="A4823" t="s">
        <v>2453</v>
      </c>
      <c r="B4823" t="s">
        <v>1446</v>
      </c>
      <c r="C4823" t="s">
        <v>2051</v>
      </c>
      <c r="D4823" s="7">
        <v>2</v>
      </c>
      <c r="E4823">
        <v>2019</v>
      </c>
      <c r="F4823">
        <v>2019</v>
      </c>
      <c r="G4823" t="str">
        <f>IFERROR(INDEX(Formulations[Formulation],MATCH($C4823,Formulations[Product Code],0)),"")</f>
        <v/>
      </c>
    </row>
    <row r="4824" spans="1:7" x14ac:dyDescent="0.3">
      <c r="A4824" t="s">
        <v>2453</v>
      </c>
      <c r="B4824" t="s">
        <v>518</v>
      </c>
      <c r="C4824" t="s">
        <v>519</v>
      </c>
      <c r="D4824" s="7">
        <v>2</v>
      </c>
      <c r="E4824">
        <v>2019</v>
      </c>
      <c r="F4824">
        <v>2019</v>
      </c>
      <c r="G4824" t="str">
        <f>IFERROR(INDEX(Formulations[Formulation],MATCH($C4824,Formulations[Product Code],0)),"")</f>
        <v>Pure</v>
      </c>
    </row>
    <row r="4825" spans="1:7" x14ac:dyDescent="0.3">
      <c r="A4825" t="s">
        <v>2453</v>
      </c>
      <c r="B4825" t="s">
        <v>674</v>
      </c>
      <c r="C4825" t="s">
        <v>675</v>
      </c>
      <c r="D4825" s="7">
        <v>2</v>
      </c>
      <c r="E4825">
        <v>2019</v>
      </c>
      <c r="F4825">
        <v>2019</v>
      </c>
      <c r="G4825" t="str">
        <f>IFERROR(INDEX(Formulations[Formulation],MATCH($C4825,Formulations[Product Code],0)),"")</f>
        <v>Crystal</v>
      </c>
    </row>
    <row r="4826" spans="1:7" x14ac:dyDescent="0.3">
      <c r="A4826" t="s">
        <v>2453</v>
      </c>
      <c r="B4826" t="s">
        <v>483</v>
      </c>
      <c r="C4826" t="s">
        <v>484</v>
      </c>
      <c r="D4826" s="7">
        <v>2</v>
      </c>
      <c r="E4826">
        <v>2019</v>
      </c>
      <c r="F4826">
        <v>2019</v>
      </c>
      <c r="G4826" t="str">
        <f>IFERROR(INDEX(Formulations[Formulation],MATCH($C4826,Formulations[Product Code],0)),"")</f>
        <v>Crystal</v>
      </c>
    </row>
    <row r="4827" spans="1:7" x14ac:dyDescent="0.3">
      <c r="A4827" t="s">
        <v>2453</v>
      </c>
      <c r="B4827" t="s">
        <v>320</v>
      </c>
      <c r="C4827" t="s">
        <v>414</v>
      </c>
      <c r="D4827" s="7">
        <v>2</v>
      </c>
      <c r="E4827">
        <v>2019</v>
      </c>
      <c r="F4827">
        <v>2019</v>
      </c>
      <c r="G4827" t="str">
        <f>IFERROR(INDEX(Formulations[Formulation],MATCH($C4827,Formulations[Product Code],0)),"")</f>
        <v/>
      </c>
    </row>
    <row r="4828" spans="1:7" x14ac:dyDescent="0.3">
      <c r="A4828" t="s">
        <v>2453</v>
      </c>
      <c r="B4828" t="s">
        <v>841</v>
      </c>
      <c r="C4828" t="s">
        <v>169</v>
      </c>
      <c r="D4828" s="7">
        <v>2</v>
      </c>
      <c r="E4828">
        <v>2019</v>
      </c>
      <c r="F4828">
        <v>2019</v>
      </c>
      <c r="G4828" t="str">
        <f>IFERROR(INDEX(Formulations[Formulation],MATCH($C4828,Formulations[Product Code],0)),"")</f>
        <v>Silver</v>
      </c>
    </row>
    <row r="4829" spans="1:7" x14ac:dyDescent="0.3">
      <c r="A4829" t="s">
        <v>2475</v>
      </c>
      <c r="B4829" t="s">
        <v>30</v>
      </c>
      <c r="C4829" t="s">
        <v>31</v>
      </c>
      <c r="D4829" s="7">
        <v>2</v>
      </c>
      <c r="E4829">
        <v>2018</v>
      </c>
      <c r="F4829">
        <v>2020</v>
      </c>
      <c r="G4829" t="str">
        <f>IFERROR(INDEX(Formulations[Formulation],MATCH($C4829,Formulations[Product Code],0)),"")</f>
        <v>Pure</v>
      </c>
    </row>
    <row r="4830" spans="1:7" x14ac:dyDescent="0.3">
      <c r="A4830" t="s">
        <v>2491</v>
      </c>
      <c r="B4830" t="s">
        <v>242</v>
      </c>
      <c r="D4830" s="7">
        <v>2</v>
      </c>
      <c r="E4830">
        <v>2020</v>
      </c>
      <c r="F4830">
        <v>2020</v>
      </c>
      <c r="G4830" t="str">
        <f>IFERROR(INDEX(Formulations[Formulation],MATCH($C4830,Formulations[Product Code],0)),"")</f>
        <v/>
      </c>
    </row>
    <row r="4831" spans="1:7" x14ac:dyDescent="0.3">
      <c r="A4831" t="s">
        <v>2496</v>
      </c>
      <c r="B4831" t="s">
        <v>676</v>
      </c>
      <c r="D4831" s="7">
        <v>2</v>
      </c>
      <c r="E4831">
        <v>2020</v>
      </c>
      <c r="F4831">
        <v>2020</v>
      </c>
      <c r="G4831" t="str">
        <f>IFERROR(INDEX(Formulations[Formulation],MATCH($C4831,Formulations[Product Code],0)),"")</f>
        <v/>
      </c>
    </row>
    <row r="4832" spans="1:7" x14ac:dyDescent="0.3">
      <c r="A4832" t="s">
        <v>2519</v>
      </c>
      <c r="B4832" t="s">
        <v>614</v>
      </c>
      <c r="C4832" t="s">
        <v>141</v>
      </c>
      <c r="D4832" s="7">
        <v>2</v>
      </c>
      <c r="E4832">
        <v>2017</v>
      </c>
      <c r="F4832">
        <v>2017</v>
      </c>
      <c r="G4832" t="str">
        <f>IFERROR(INDEX(Formulations[Formulation],MATCH($C4832,Formulations[Product Code],0)),"")</f>
        <v/>
      </c>
    </row>
    <row r="4833" spans="1:7" x14ac:dyDescent="0.3">
      <c r="A4833" t="s">
        <v>2519</v>
      </c>
      <c r="B4833" t="s">
        <v>127</v>
      </c>
      <c r="D4833" s="7">
        <v>2</v>
      </c>
      <c r="E4833">
        <v>2019</v>
      </c>
      <c r="F4833">
        <v>2019</v>
      </c>
      <c r="G4833" t="str">
        <f>IFERROR(INDEX(Formulations[Formulation],MATCH($C4833,Formulations[Product Code],0)),"")</f>
        <v/>
      </c>
    </row>
    <row r="4834" spans="1:7" x14ac:dyDescent="0.3">
      <c r="A4834" t="s">
        <v>2519</v>
      </c>
      <c r="B4834" t="s">
        <v>72</v>
      </c>
      <c r="C4834" t="s">
        <v>73</v>
      </c>
      <c r="D4834" s="7">
        <v>2</v>
      </c>
      <c r="E4834">
        <v>2018</v>
      </c>
      <c r="F4834">
        <v>2018</v>
      </c>
      <c r="G4834" t="str">
        <f>IFERROR(INDEX(Formulations[Formulation],MATCH($C4834,Formulations[Product Code],0)),"")</f>
        <v>Silver</v>
      </c>
    </row>
    <row r="4835" spans="1:7" x14ac:dyDescent="0.3">
      <c r="A4835" t="s">
        <v>2526</v>
      </c>
      <c r="B4835" t="s">
        <v>35</v>
      </c>
      <c r="D4835" s="7">
        <v>2</v>
      </c>
      <c r="E4835">
        <v>2020</v>
      </c>
      <c r="F4835">
        <v>2021</v>
      </c>
      <c r="G4835" t="str">
        <f>IFERROR(INDEX(Formulations[Formulation],MATCH($C4835,Formulations[Product Code],0)),"")</f>
        <v/>
      </c>
    </row>
    <row r="4836" spans="1:7" x14ac:dyDescent="0.3">
      <c r="A4836" t="s">
        <v>2529</v>
      </c>
      <c r="B4836" t="s">
        <v>1128</v>
      </c>
      <c r="C4836" t="s">
        <v>1129</v>
      </c>
      <c r="D4836" s="7">
        <v>2</v>
      </c>
      <c r="E4836">
        <v>2020</v>
      </c>
      <c r="F4836">
        <v>2020</v>
      </c>
      <c r="G4836" t="str">
        <f>IFERROR(INDEX(Formulations[Formulation],MATCH($C4836,Formulations[Product Code],0)),"")</f>
        <v>Silver</v>
      </c>
    </row>
    <row r="4837" spans="1:7" x14ac:dyDescent="0.3">
      <c r="A4837" t="s">
        <v>2532</v>
      </c>
      <c r="B4837" t="s">
        <v>19</v>
      </c>
      <c r="C4837" t="s">
        <v>20</v>
      </c>
      <c r="D4837" s="7">
        <v>2</v>
      </c>
      <c r="E4837">
        <v>2012</v>
      </c>
      <c r="F4837">
        <v>2012</v>
      </c>
      <c r="G4837" t="str">
        <f>IFERROR(INDEX(Formulations[Formulation],MATCH($C4837,Formulations[Product Code],0)),"")</f>
        <v>80 % Oil AND 20 % DPG</v>
      </c>
    </row>
    <row r="4838" spans="1:7" x14ac:dyDescent="0.3">
      <c r="A4838" t="s">
        <v>2561</v>
      </c>
      <c r="B4838" t="s">
        <v>1461</v>
      </c>
      <c r="D4838" s="7">
        <v>2</v>
      </c>
      <c r="E4838">
        <v>2018</v>
      </c>
      <c r="F4838">
        <v>2018</v>
      </c>
      <c r="G4838" t="str">
        <f>IFERROR(INDEX(Formulations[Formulation],MATCH($C4838,Formulations[Product Code],0)),"")</f>
        <v/>
      </c>
    </row>
    <row r="4839" spans="1:7" x14ac:dyDescent="0.3">
      <c r="A4839" t="s">
        <v>2562</v>
      </c>
      <c r="B4839" t="s">
        <v>863</v>
      </c>
      <c r="D4839" s="7">
        <v>2</v>
      </c>
      <c r="E4839">
        <v>2020</v>
      </c>
      <c r="F4839">
        <v>2020</v>
      </c>
      <c r="G4839" t="str">
        <f>IFERROR(INDEX(Formulations[Formulation],MATCH($C4839,Formulations[Product Code],0)),"")</f>
        <v/>
      </c>
    </row>
    <row r="4840" spans="1:7" x14ac:dyDescent="0.3">
      <c r="A4840" t="s">
        <v>2579</v>
      </c>
      <c r="B4840" t="s">
        <v>553</v>
      </c>
      <c r="C4840" t="s">
        <v>292</v>
      </c>
      <c r="D4840" s="7">
        <v>2</v>
      </c>
      <c r="E4840">
        <v>2017</v>
      </c>
      <c r="F4840">
        <v>2018</v>
      </c>
      <c r="G4840" t="str">
        <f>IFERROR(INDEX(Formulations[Formulation],MATCH($C4840,Formulations[Product Code],0)),"")</f>
        <v/>
      </c>
    </row>
    <row r="4841" spans="1:7" x14ac:dyDescent="0.3">
      <c r="A4841" t="s">
        <v>2579</v>
      </c>
      <c r="B4841" t="s">
        <v>180</v>
      </c>
      <c r="C4841" t="s">
        <v>181</v>
      </c>
      <c r="D4841" s="7">
        <v>2</v>
      </c>
      <c r="E4841">
        <v>2017</v>
      </c>
      <c r="F4841">
        <v>2018</v>
      </c>
      <c r="G4841" t="str">
        <f>IFERROR(INDEX(Formulations[Formulation],MATCH($C4841,Formulations[Product Code],0)),"")</f>
        <v/>
      </c>
    </row>
    <row r="4842" spans="1:7" x14ac:dyDescent="0.3">
      <c r="A4842" t="s">
        <v>2579</v>
      </c>
      <c r="B4842" t="s">
        <v>120</v>
      </c>
      <c r="C4842" t="s">
        <v>121</v>
      </c>
      <c r="D4842" s="7">
        <v>2</v>
      </c>
      <c r="E4842">
        <v>2017</v>
      </c>
      <c r="F4842">
        <v>2019</v>
      </c>
      <c r="G4842" t="str">
        <f>IFERROR(INDEX(Formulations[Formulation],MATCH($C4842,Formulations[Product Code],0)),"")</f>
        <v/>
      </c>
    </row>
    <row r="4843" spans="1:7" x14ac:dyDescent="0.3">
      <c r="A4843" t="s">
        <v>2579</v>
      </c>
      <c r="B4843" t="s">
        <v>2580</v>
      </c>
      <c r="C4843" t="s">
        <v>1095</v>
      </c>
      <c r="D4843" s="7">
        <v>2</v>
      </c>
      <c r="E4843">
        <v>2017</v>
      </c>
      <c r="F4843">
        <v>2019</v>
      </c>
      <c r="G4843" t="str">
        <f>IFERROR(INDEX(Formulations[Formulation],MATCH($C4843,Formulations[Product Code],0)),"")</f>
        <v/>
      </c>
    </row>
    <row r="4844" spans="1:7" x14ac:dyDescent="0.3">
      <c r="A4844" t="s">
        <v>2587</v>
      </c>
      <c r="B4844" t="s">
        <v>1221</v>
      </c>
      <c r="D4844" s="7">
        <v>2</v>
      </c>
      <c r="E4844">
        <v>2013</v>
      </c>
      <c r="F4844">
        <v>2013</v>
      </c>
      <c r="G4844" t="str">
        <f>IFERROR(INDEX(Formulations[Formulation],MATCH($C4844,Formulations[Product Code],0)),"")</f>
        <v/>
      </c>
    </row>
    <row r="4845" spans="1:7" x14ac:dyDescent="0.3">
      <c r="A4845" t="s">
        <v>2589</v>
      </c>
      <c r="B4845" t="s">
        <v>127</v>
      </c>
      <c r="D4845" s="7">
        <v>2</v>
      </c>
      <c r="E4845">
        <v>2019</v>
      </c>
      <c r="F4845">
        <v>2021</v>
      </c>
      <c r="G4845" t="str">
        <f>IFERROR(INDEX(Formulations[Formulation],MATCH($C4845,Formulations[Product Code],0)),"")</f>
        <v/>
      </c>
    </row>
    <row r="4846" spans="1:7" x14ac:dyDescent="0.3">
      <c r="A4846" t="s">
        <v>390</v>
      </c>
      <c r="B4846" t="s">
        <v>82</v>
      </c>
      <c r="C4846" t="s">
        <v>83</v>
      </c>
      <c r="D4846" s="7">
        <v>1.5</v>
      </c>
      <c r="E4846">
        <v>2017</v>
      </c>
      <c r="F4846">
        <v>2017</v>
      </c>
      <c r="G4846" t="str">
        <f>IFERROR(INDEX(Formulations[Formulation],MATCH($C4846,Formulations[Product Code],0)),"")</f>
        <v>Pure</v>
      </c>
    </row>
    <row r="4847" spans="1:7" x14ac:dyDescent="0.3">
      <c r="A4847" t="s">
        <v>390</v>
      </c>
      <c r="B4847" t="s">
        <v>396</v>
      </c>
      <c r="C4847" t="s">
        <v>397</v>
      </c>
      <c r="D4847" s="7">
        <v>1.5</v>
      </c>
      <c r="E4847">
        <v>2017</v>
      </c>
      <c r="F4847">
        <v>2018</v>
      </c>
      <c r="G4847" t="str">
        <f>IFERROR(INDEX(Formulations[Formulation],MATCH($C4847,Formulations[Product Code],0)),"")</f>
        <v/>
      </c>
    </row>
    <row r="4848" spans="1:7" x14ac:dyDescent="0.3">
      <c r="A4848" t="s">
        <v>502</v>
      </c>
      <c r="B4848" t="s">
        <v>503</v>
      </c>
      <c r="D4848" s="7">
        <v>1.5</v>
      </c>
      <c r="E4848">
        <v>2019</v>
      </c>
      <c r="F4848">
        <v>2020</v>
      </c>
      <c r="G4848" t="str">
        <f>IFERROR(INDEX(Formulations[Formulation],MATCH($C4848,Formulations[Product Code],0)),"")</f>
        <v/>
      </c>
    </row>
    <row r="4849" spans="1:7" x14ac:dyDescent="0.3">
      <c r="A4849" t="s">
        <v>502</v>
      </c>
      <c r="B4849" t="s">
        <v>276</v>
      </c>
      <c r="C4849" t="s">
        <v>277</v>
      </c>
      <c r="D4849" s="7">
        <v>1.5</v>
      </c>
      <c r="E4849">
        <v>2017</v>
      </c>
      <c r="F4849">
        <v>2018</v>
      </c>
      <c r="G4849" t="str">
        <f>IFERROR(INDEX(Formulations[Formulation],MATCH($C4849,Formulations[Product Code],0)),"")</f>
        <v>Pure</v>
      </c>
    </row>
    <row r="4850" spans="1:7" x14ac:dyDescent="0.3">
      <c r="A4850" t="s">
        <v>502</v>
      </c>
      <c r="B4850" t="s">
        <v>504</v>
      </c>
      <c r="C4850" t="s">
        <v>505</v>
      </c>
      <c r="D4850" s="7">
        <v>1.5</v>
      </c>
      <c r="E4850">
        <v>2019</v>
      </c>
      <c r="F4850">
        <v>2020</v>
      </c>
      <c r="G4850" t="str">
        <f>IFERROR(INDEX(Formulations[Formulation],MATCH($C4850,Formulations[Product Code],0)),"")</f>
        <v>Crystal</v>
      </c>
    </row>
    <row r="4851" spans="1:7" x14ac:dyDescent="0.3">
      <c r="A4851" t="s">
        <v>502</v>
      </c>
      <c r="B4851" t="s">
        <v>512</v>
      </c>
      <c r="D4851" s="7">
        <v>1.5</v>
      </c>
      <c r="E4851">
        <v>2019</v>
      </c>
      <c r="F4851">
        <v>2021</v>
      </c>
      <c r="G4851" t="str">
        <f>IFERROR(INDEX(Formulations[Formulation],MATCH($C4851,Formulations[Product Code],0)),"")</f>
        <v/>
      </c>
    </row>
    <row r="4852" spans="1:7" x14ac:dyDescent="0.3">
      <c r="A4852" t="s">
        <v>502</v>
      </c>
      <c r="B4852" t="s">
        <v>514</v>
      </c>
      <c r="C4852" t="s">
        <v>515</v>
      </c>
      <c r="D4852" s="7">
        <v>1.5</v>
      </c>
      <c r="E4852">
        <v>2019</v>
      </c>
      <c r="F4852">
        <v>2021</v>
      </c>
      <c r="G4852" t="str">
        <f>IFERROR(INDEX(Formulations[Formulation],MATCH($C4852,Formulations[Product Code],0)),"")</f>
        <v>Crystal</v>
      </c>
    </row>
    <row r="4853" spans="1:7" x14ac:dyDescent="0.3">
      <c r="A4853" t="s">
        <v>502</v>
      </c>
      <c r="B4853" t="s">
        <v>522</v>
      </c>
      <c r="D4853" s="7">
        <v>1.5</v>
      </c>
      <c r="E4853">
        <v>2017</v>
      </c>
      <c r="F4853">
        <v>2019</v>
      </c>
      <c r="G4853" t="str">
        <f>IFERROR(INDEX(Formulations[Formulation],MATCH($C4853,Formulations[Product Code],0)),"")</f>
        <v/>
      </c>
    </row>
    <row r="4854" spans="1:7" x14ac:dyDescent="0.3">
      <c r="A4854" t="s">
        <v>1092</v>
      </c>
      <c r="B4854" t="s">
        <v>581</v>
      </c>
      <c r="C4854" t="s">
        <v>582</v>
      </c>
      <c r="D4854" s="7">
        <v>1.5</v>
      </c>
      <c r="E4854">
        <v>2018</v>
      </c>
      <c r="F4854">
        <v>2018</v>
      </c>
      <c r="G4854" t="str">
        <f>IFERROR(INDEX(Formulations[Formulation],MATCH($C4854,Formulations[Product Code],0)),"")</f>
        <v/>
      </c>
    </row>
    <row r="4855" spans="1:7" x14ac:dyDescent="0.3">
      <c r="A4855" t="s">
        <v>1092</v>
      </c>
      <c r="B4855" t="s">
        <v>60</v>
      </c>
      <c r="C4855" t="s">
        <v>61</v>
      </c>
      <c r="D4855" s="7">
        <v>1.5</v>
      </c>
      <c r="E4855">
        <v>2018</v>
      </c>
      <c r="F4855">
        <v>2018</v>
      </c>
      <c r="G4855" t="str">
        <f>IFERROR(INDEX(Formulations[Formulation],MATCH($C4855,Formulations[Product Code],0)),"")</f>
        <v>Pure</v>
      </c>
    </row>
    <row r="4856" spans="1:7" x14ac:dyDescent="0.3">
      <c r="A4856" t="s">
        <v>1092</v>
      </c>
      <c r="B4856" t="s">
        <v>125</v>
      </c>
      <c r="D4856" s="7">
        <v>1.5</v>
      </c>
      <c r="E4856">
        <v>2018</v>
      </c>
      <c r="F4856">
        <v>2018</v>
      </c>
      <c r="G4856" t="str">
        <f>IFERROR(INDEX(Formulations[Formulation],MATCH($C4856,Formulations[Product Code],0)),"")</f>
        <v/>
      </c>
    </row>
    <row r="4857" spans="1:7" x14ac:dyDescent="0.3">
      <c r="A4857" t="s">
        <v>1407</v>
      </c>
      <c r="B4857" t="s">
        <v>1412</v>
      </c>
      <c r="D4857" s="7">
        <v>1.5</v>
      </c>
      <c r="E4857">
        <v>2021</v>
      </c>
      <c r="F4857">
        <v>2021</v>
      </c>
      <c r="G4857" t="str">
        <f>IFERROR(INDEX(Formulations[Formulation],MATCH($C4857,Formulations[Product Code],0)),"")</f>
        <v/>
      </c>
    </row>
    <row r="4858" spans="1:7" x14ac:dyDescent="0.3">
      <c r="A4858" t="s">
        <v>2413</v>
      </c>
      <c r="B4858" t="s">
        <v>516</v>
      </c>
      <c r="D4858" s="7">
        <v>1.5</v>
      </c>
      <c r="E4858">
        <v>2021</v>
      </c>
      <c r="F4858">
        <v>2021</v>
      </c>
      <c r="G4858" t="str">
        <f>IFERROR(INDEX(Formulations[Formulation],MATCH($C4858,Formulations[Product Code],0)),"")</f>
        <v/>
      </c>
    </row>
    <row r="4859" spans="1:7" x14ac:dyDescent="0.3">
      <c r="A4859" t="s">
        <v>2416</v>
      </c>
      <c r="B4859" t="s">
        <v>1793</v>
      </c>
      <c r="C4859" t="s">
        <v>1794</v>
      </c>
      <c r="D4859" s="7">
        <v>1.5</v>
      </c>
      <c r="E4859">
        <v>2013</v>
      </c>
      <c r="F4859">
        <v>2014</v>
      </c>
      <c r="G4859" t="str">
        <f>IFERROR(INDEX(Formulations[Formulation],MATCH($C4859,Formulations[Product Code],0)),"")</f>
        <v/>
      </c>
    </row>
    <row r="4860" spans="1:7" x14ac:dyDescent="0.3">
      <c r="A4860" t="s">
        <v>2472</v>
      </c>
      <c r="B4860" t="s">
        <v>383</v>
      </c>
      <c r="C4860" t="s">
        <v>384</v>
      </c>
      <c r="D4860" s="7">
        <v>1.2</v>
      </c>
      <c r="E4860">
        <v>2020</v>
      </c>
      <c r="F4860">
        <v>2020</v>
      </c>
      <c r="G4860" t="str">
        <f>IFERROR(INDEX(Formulations[Formulation],MATCH($C4860,Formulations[Product Code],0)),"")</f>
        <v>Pure</v>
      </c>
    </row>
    <row r="4861" spans="1:7" x14ac:dyDescent="0.3">
      <c r="A4861" t="s">
        <v>33</v>
      </c>
      <c r="B4861" t="s">
        <v>34</v>
      </c>
      <c r="D4861" s="7">
        <v>1</v>
      </c>
      <c r="E4861">
        <v>2021</v>
      </c>
      <c r="F4861">
        <v>2021</v>
      </c>
      <c r="G4861" t="str">
        <f>IFERROR(INDEX(Formulations[Formulation],MATCH($C4861,Formulations[Product Code],0)),"")</f>
        <v/>
      </c>
    </row>
    <row r="4862" spans="1:7" x14ac:dyDescent="0.3">
      <c r="A4862" t="s">
        <v>33</v>
      </c>
      <c r="B4862" t="s">
        <v>35</v>
      </c>
      <c r="D4862" s="7">
        <v>1</v>
      </c>
      <c r="E4862">
        <v>2021</v>
      </c>
      <c r="F4862">
        <v>2021</v>
      </c>
      <c r="G4862" t="str">
        <f>IFERROR(INDEX(Formulations[Formulation],MATCH($C4862,Formulations[Product Code],0)),"")</f>
        <v/>
      </c>
    </row>
    <row r="4863" spans="1:7" x14ac:dyDescent="0.3">
      <c r="A4863" t="s">
        <v>33</v>
      </c>
      <c r="B4863" t="s">
        <v>36</v>
      </c>
      <c r="D4863" s="7">
        <v>1</v>
      </c>
      <c r="E4863">
        <v>2021</v>
      </c>
      <c r="F4863">
        <v>2021</v>
      </c>
      <c r="G4863" t="str">
        <f>IFERROR(INDEX(Formulations[Formulation],MATCH($C4863,Formulations[Product Code],0)),"")</f>
        <v/>
      </c>
    </row>
    <row r="4864" spans="1:7" x14ac:dyDescent="0.3">
      <c r="A4864" t="s">
        <v>33</v>
      </c>
      <c r="B4864" t="s">
        <v>37</v>
      </c>
      <c r="D4864" s="7">
        <v>1</v>
      </c>
      <c r="E4864">
        <v>2021</v>
      </c>
      <c r="F4864">
        <v>2021</v>
      </c>
      <c r="G4864" t="str">
        <f>IFERROR(INDEX(Formulations[Formulation],MATCH($C4864,Formulations[Product Code],0)),"")</f>
        <v/>
      </c>
    </row>
    <row r="4865" spans="1:7" x14ac:dyDescent="0.3">
      <c r="A4865" t="s">
        <v>38</v>
      </c>
      <c r="B4865" t="s">
        <v>39</v>
      </c>
      <c r="D4865" s="7">
        <v>1</v>
      </c>
      <c r="E4865">
        <v>2020</v>
      </c>
      <c r="F4865">
        <v>2020</v>
      </c>
      <c r="G4865" t="str">
        <f>IFERROR(INDEX(Formulations[Formulation],MATCH($C4865,Formulations[Product Code],0)),"")</f>
        <v/>
      </c>
    </row>
    <row r="4866" spans="1:7" x14ac:dyDescent="0.3">
      <c r="A4866" t="s">
        <v>50</v>
      </c>
      <c r="B4866" t="s">
        <v>55</v>
      </c>
      <c r="D4866" s="7">
        <v>1</v>
      </c>
      <c r="E4866">
        <v>2018</v>
      </c>
      <c r="F4866">
        <v>2018</v>
      </c>
      <c r="G4866" t="str">
        <f>IFERROR(INDEX(Formulations[Formulation],MATCH($C4866,Formulations[Product Code],0)),"")</f>
        <v/>
      </c>
    </row>
    <row r="4867" spans="1:7" x14ac:dyDescent="0.3">
      <c r="A4867" t="s">
        <v>78</v>
      </c>
      <c r="B4867" t="s">
        <v>51</v>
      </c>
      <c r="C4867" t="s">
        <v>52</v>
      </c>
      <c r="D4867" s="7">
        <v>1</v>
      </c>
      <c r="E4867">
        <v>2018</v>
      </c>
      <c r="F4867">
        <v>2018</v>
      </c>
      <c r="G4867" t="str">
        <f>IFERROR(INDEX(Formulations[Formulation],MATCH($C4867,Formulations[Product Code],0)),"")</f>
        <v>Silver</v>
      </c>
    </row>
    <row r="4868" spans="1:7" x14ac:dyDescent="0.3">
      <c r="A4868" t="s">
        <v>78</v>
      </c>
      <c r="B4868" t="s">
        <v>79</v>
      </c>
      <c r="C4868" t="s">
        <v>80</v>
      </c>
      <c r="D4868" s="7">
        <v>1</v>
      </c>
      <c r="E4868">
        <v>2018</v>
      </c>
      <c r="F4868">
        <v>2018</v>
      </c>
      <c r="G4868" t="str">
        <f>IFERROR(INDEX(Formulations[Formulation],MATCH($C4868,Formulations[Product Code],0)),"")</f>
        <v>Pure</v>
      </c>
    </row>
    <row r="4869" spans="1:7" x14ac:dyDescent="0.3">
      <c r="A4869" t="s">
        <v>78</v>
      </c>
      <c r="B4869" t="s">
        <v>53</v>
      </c>
      <c r="C4869" t="s">
        <v>54</v>
      </c>
      <c r="D4869" s="7">
        <v>1</v>
      </c>
      <c r="E4869">
        <v>2018</v>
      </c>
      <c r="F4869">
        <v>2018</v>
      </c>
      <c r="G4869" t="str">
        <f>IFERROR(INDEX(Formulations[Formulation],MATCH($C4869,Formulations[Product Code],0)),"")</f>
        <v/>
      </c>
    </row>
    <row r="4870" spans="1:7" x14ac:dyDescent="0.3">
      <c r="A4870" t="s">
        <v>78</v>
      </c>
      <c r="B4870" t="s">
        <v>90</v>
      </c>
      <c r="C4870" t="s">
        <v>91</v>
      </c>
      <c r="D4870" s="7">
        <v>1</v>
      </c>
      <c r="E4870">
        <v>2021</v>
      </c>
      <c r="F4870">
        <v>2021</v>
      </c>
      <c r="G4870" t="str">
        <f>IFERROR(INDEX(Formulations[Formulation],MATCH($C4870,Formulations[Product Code],0)),"")</f>
        <v>Pure</v>
      </c>
    </row>
    <row r="4871" spans="1:7" x14ac:dyDescent="0.3">
      <c r="A4871" t="s">
        <v>78</v>
      </c>
      <c r="B4871" t="s">
        <v>92</v>
      </c>
      <c r="C4871" t="s">
        <v>93</v>
      </c>
      <c r="D4871" s="7">
        <v>1</v>
      </c>
      <c r="E4871">
        <v>2018</v>
      </c>
      <c r="F4871">
        <v>2018</v>
      </c>
      <c r="G4871" t="str">
        <f>IFERROR(INDEX(Formulations[Formulation],MATCH($C4871,Formulations[Product Code],0)),"")</f>
        <v>Gold</v>
      </c>
    </row>
    <row r="4872" spans="1:7" x14ac:dyDescent="0.3">
      <c r="A4872" t="s">
        <v>78</v>
      </c>
      <c r="B4872" t="s">
        <v>94</v>
      </c>
      <c r="D4872" s="7">
        <v>1</v>
      </c>
      <c r="E4872">
        <v>2019</v>
      </c>
      <c r="F4872">
        <v>2019</v>
      </c>
      <c r="G4872" t="str">
        <f>IFERROR(INDEX(Formulations[Formulation],MATCH($C4872,Formulations[Product Code],0)),"")</f>
        <v/>
      </c>
    </row>
    <row r="4873" spans="1:7" x14ac:dyDescent="0.3">
      <c r="A4873" t="s">
        <v>78</v>
      </c>
      <c r="B4873" t="s">
        <v>95</v>
      </c>
      <c r="C4873" t="s">
        <v>96</v>
      </c>
      <c r="D4873" s="7">
        <v>1</v>
      </c>
      <c r="E4873">
        <v>2018</v>
      </c>
      <c r="F4873">
        <v>2018</v>
      </c>
      <c r="G4873" t="str">
        <f>IFERROR(INDEX(Formulations[Formulation],MATCH($C4873,Formulations[Product Code],0)),"")</f>
        <v>9.2 kg oil and rest dpg</v>
      </c>
    </row>
    <row r="4874" spans="1:7" x14ac:dyDescent="0.3">
      <c r="A4874" t="s">
        <v>78</v>
      </c>
      <c r="B4874" t="s">
        <v>58</v>
      </c>
      <c r="C4874" t="s">
        <v>59</v>
      </c>
      <c r="D4874" s="7">
        <v>1</v>
      </c>
      <c r="E4874">
        <v>2020</v>
      </c>
      <c r="F4874">
        <v>2020</v>
      </c>
      <c r="G4874" t="str">
        <f>IFERROR(INDEX(Formulations[Formulation],MATCH($C4874,Formulations[Product Code],0)),"")</f>
        <v>Pure</v>
      </c>
    </row>
    <row r="4875" spans="1:7" x14ac:dyDescent="0.3">
      <c r="A4875" t="s">
        <v>78</v>
      </c>
      <c r="B4875" t="s">
        <v>99</v>
      </c>
      <c r="C4875" t="s">
        <v>100</v>
      </c>
      <c r="D4875" s="7">
        <v>1</v>
      </c>
      <c r="E4875">
        <v>2017</v>
      </c>
      <c r="F4875">
        <v>2017</v>
      </c>
      <c r="G4875" t="str">
        <f>IFERROR(INDEX(Formulations[Formulation],MATCH($C4875,Formulations[Product Code],0)),"")</f>
        <v>Crystal</v>
      </c>
    </row>
    <row r="4876" spans="1:7" x14ac:dyDescent="0.3">
      <c r="A4876" t="s">
        <v>78</v>
      </c>
      <c r="B4876" t="s">
        <v>101</v>
      </c>
      <c r="C4876" t="s">
        <v>102</v>
      </c>
      <c r="D4876" s="7">
        <v>1</v>
      </c>
      <c r="E4876">
        <v>2018</v>
      </c>
      <c r="F4876">
        <v>2018</v>
      </c>
      <c r="G4876" t="str">
        <f>IFERROR(INDEX(Formulations[Formulation],MATCH($C4876,Formulations[Product Code],0)),"")</f>
        <v>Gold</v>
      </c>
    </row>
    <row r="4877" spans="1:7" x14ac:dyDescent="0.3">
      <c r="A4877" t="s">
        <v>78</v>
      </c>
      <c r="B4877" t="s">
        <v>103</v>
      </c>
      <c r="C4877" t="s">
        <v>104</v>
      </c>
      <c r="D4877" s="7">
        <v>1</v>
      </c>
      <c r="E4877">
        <v>2019</v>
      </c>
      <c r="F4877">
        <v>2019</v>
      </c>
      <c r="G4877" t="str">
        <f>IFERROR(INDEX(Formulations[Formulation],MATCH($C4877,Formulations[Product Code],0)),"")</f>
        <v>Pure</v>
      </c>
    </row>
    <row r="4878" spans="1:7" x14ac:dyDescent="0.3">
      <c r="A4878" t="s">
        <v>78</v>
      </c>
      <c r="B4878" t="s">
        <v>105</v>
      </c>
      <c r="C4878" t="s">
        <v>106</v>
      </c>
      <c r="D4878" s="7">
        <v>1</v>
      </c>
      <c r="E4878">
        <v>2020</v>
      </c>
      <c r="F4878">
        <v>2020</v>
      </c>
      <c r="G4878" t="str">
        <f>IFERROR(INDEX(Formulations[Formulation],MATCH($C4878,Formulations[Product Code],0)),"")</f>
        <v>Pure</v>
      </c>
    </row>
    <row r="4879" spans="1:7" x14ac:dyDescent="0.3">
      <c r="A4879" t="s">
        <v>78</v>
      </c>
      <c r="B4879" t="s">
        <v>19</v>
      </c>
      <c r="C4879" t="s">
        <v>107</v>
      </c>
      <c r="D4879" s="7">
        <v>1</v>
      </c>
      <c r="E4879">
        <v>2018</v>
      </c>
      <c r="F4879">
        <v>2018</v>
      </c>
      <c r="G4879" t="str">
        <f>IFERROR(INDEX(Formulations[Formulation],MATCH($C4879,Formulations[Product Code],0)),"")</f>
        <v>Pure</v>
      </c>
    </row>
    <row r="4880" spans="1:7" x14ac:dyDescent="0.3">
      <c r="A4880" t="s">
        <v>78</v>
      </c>
      <c r="B4880" t="s">
        <v>108</v>
      </c>
      <c r="C4880" t="s">
        <v>109</v>
      </c>
      <c r="D4880" s="7">
        <v>1</v>
      </c>
      <c r="E4880">
        <v>2017</v>
      </c>
      <c r="F4880">
        <v>2017</v>
      </c>
      <c r="G4880" t="str">
        <f>IFERROR(INDEX(Formulations[Formulation],MATCH($C4880,Formulations[Product Code],0)),"")</f>
        <v>Pure</v>
      </c>
    </row>
    <row r="4881" spans="1:7" x14ac:dyDescent="0.3">
      <c r="A4881" t="s">
        <v>78</v>
      </c>
      <c r="B4881" t="s">
        <v>110</v>
      </c>
      <c r="C4881" t="s">
        <v>111</v>
      </c>
      <c r="D4881" s="7">
        <v>1</v>
      </c>
      <c r="E4881">
        <v>2019</v>
      </c>
      <c r="F4881">
        <v>2019</v>
      </c>
      <c r="G4881" t="str">
        <f>IFERROR(INDEX(Formulations[Formulation],MATCH($C4881,Formulations[Product Code],0)),"")</f>
        <v>75% Lemon Zeste, 25% lemon Top &amp; the Gold DPG)</v>
      </c>
    </row>
    <row r="4882" spans="1:7" x14ac:dyDescent="0.3">
      <c r="A4882" t="s">
        <v>78</v>
      </c>
      <c r="B4882" t="s">
        <v>112</v>
      </c>
      <c r="C4882" t="s">
        <v>113</v>
      </c>
      <c r="D4882" s="7">
        <v>1</v>
      </c>
      <c r="E4882">
        <v>2018</v>
      </c>
      <c r="F4882">
        <v>2018</v>
      </c>
      <c r="G4882" t="str">
        <f>IFERROR(INDEX(Formulations[Formulation],MATCH($C4882,Formulations[Product Code],0)),"")</f>
        <v/>
      </c>
    </row>
    <row r="4883" spans="1:7" x14ac:dyDescent="0.3">
      <c r="A4883" t="s">
        <v>78</v>
      </c>
      <c r="B4883" t="s">
        <v>114</v>
      </c>
      <c r="C4883" t="s">
        <v>115</v>
      </c>
      <c r="D4883" s="7">
        <v>1</v>
      </c>
      <c r="E4883">
        <v>2018</v>
      </c>
      <c r="F4883">
        <v>2018</v>
      </c>
      <c r="G4883" t="str">
        <f>IFERROR(INDEX(Formulations[Formulation],MATCH($C4883,Formulations[Product Code],0)),"")</f>
        <v>Pure</v>
      </c>
    </row>
    <row r="4884" spans="1:7" x14ac:dyDescent="0.3">
      <c r="A4884" t="s">
        <v>78</v>
      </c>
      <c r="B4884" t="s">
        <v>117</v>
      </c>
      <c r="C4884" t="s">
        <v>118</v>
      </c>
      <c r="D4884" s="7">
        <v>1</v>
      </c>
      <c r="E4884">
        <v>2021</v>
      </c>
      <c r="F4884">
        <v>2021</v>
      </c>
      <c r="G4884" t="str">
        <f>IFERROR(INDEX(Formulations[Formulation],MATCH($C4884,Formulations[Product Code],0)),"")</f>
        <v>Silver</v>
      </c>
    </row>
    <row r="4885" spans="1:7" x14ac:dyDescent="0.3">
      <c r="A4885" t="s">
        <v>78</v>
      </c>
      <c r="B4885" t="s">
        <v>120</v>
      </c>
      <c r="C4885" t="s">
        <v>121</v>
      </c>
      <c r="D4885" s="7">
        <v>1</v>
      </c>
      <c r="E4885">
        <v>2016</v>
      </c>
      <c r="F4885">
        <v>2016</v>
      </c>
      <c r="G4885" t="str">
        <f>IFERROR(INDEX(Formulations[Formulation],MATCH($C4885,Formulations[Product Code],0)),"")</f>
        <v/>
      </c>
    </row>
    <row r="4886" spans="1:7" x14ac:dyDescent="0.3">
      <c r="A4886" t="s">
        <v>78</v>
      </c>
      <c r="B4886" t="s">
        <v>122</v>
      </c>
      <c r="C4886" t="s">
        <v>123</v>
      </c>
      <c r="D4886" s="7">
        <v>1</v>
      </c>
      <c r="E4886">
        <v>2018</v>
      </c>
      <c r="F4886">
        <v>2018</v>
      </c>
      <c r="G4886" t="str">
        <f>IFERROR(INDEX(Formulations[Formulation],MATCH($C4886,Formulations[Product Code],0)),"")</f>
        <v/>
      </c>
    </row>
    <row r="4887" spans="1:7" x14ac:dyDescent="0.3">
      <c r="A4887" t="s">
        <v>78</v>
      </c>
      <c r="B4887" t="s">
        <v>126</v>
      </c>
      <c r="D4887" s="7">
        <v>1</v>
      </c>
      <c r="E4887">
        <v>2019</v>
      </c>
      <c r="F4887">
        <v>2019</v>
      </c>
      <c r="G4887" t="str">
        <f>IFERROR(INDEX(Formulations[Formulation],MATCH($C4887,Formulations[Product Code],0)),"")</f>
        <v/>
      </c>
    </row>
    <row r="4888" spans="1:7" x14ac:dyDescent="0.3">
      <c r="A4888" t="s">
        <v>78</v>
      </c>
      <c r="B4888" t="s">
        <v>127</v>
      </c>
      <c r="D4888" s="7">
        <v>1</v>
      </c>
      <c r="E4888">
        <v>2019</v>
      </c>
      <c r="F4888">
        <v>2019</v>
      </c>
      <c r="G4888" t="str">
        <f>IFERROR(INDEX(Formulations[Formulation],MATCH($C4888,Formulations[Product Code],0)),"")</f>
        <v/>
      </c>
    </row>
    <row r="4889" spans="1:7" x14ac:dyDescent="0.3">
      <c r="A4889" t="s">
        <v>78</v>
      </c>
      <c r="B4889" t="s">
        <v>128</v>
      </c>
      <c r="D4889" s="7">
        <v>1</v>
      </c>
      <c r="E4889">
        <v>2019</v>
      </c>
      <c r="F4889">
        <v>2019</v>
      </c>
      <c r="G4889" t="str">
        <f>IFERROR(INDEX(Formulations[Formulation],MATCH($C4889,Formulations[Product Code],0)),"")</f>
        <v/>
      </c>
    </row>
    <row r="4890" spans="1:7" x14ac:dyDescent="0.3">
      <c r="A4890" t="s">
        <v>78</v>
      </c>
      <c r="B4890" t="s">
        <v>135</v>
      </c>
      <c r="C4890" t="s">
        <v>136</v>
      </c>
      <c r="D4890" s="7">
        <v>1</v>
      </c>
      <c r="E4890">
        <v>2016</v>
      </c>
      <c r="F4890">
        <v>2016</v>
      </c>
      <c r="G4890" t="str">
        <f>IFERROR(INDEX(Formulations[Formulation],MATCH($C4890,Formulations[Product Code],0)),"")</f>
        <v/>
      </c>
    </row>
    <row r="4891" spans="1:7" x14ac:dyDescent="0.3">
      <c r="A4891" t="s">
        <v>78</v>
      </c>
      <c r="B4891" t="s">
        <v>68</v>
      </c>
      <c r="C4891" t="s">
        <v>69</v>
      </c>
      <c r="D4891" s="7">
        <v>1</v>
      </c>
      <c r="E4891">
        <v>2018</v>
      </c>
      <c r="F4891">
        <v>2018</v>
      </c>
      <c r="G4891" t="str">
        <f>IFERROR(INDEX(Formulations[Formulation],MATCH($C4891,Formulations[Product Code],0)),"")</f>
        <v>Silver</v>
      </c>
    </row>
    <row r="4892" spans="1:7" x14ac:dyDescent="0.3">
      <c r="A4892" t="s">
        <v>78</v>
      </c>
      <c r="B4892" t="s">
        <v>137</v>
      </c>
      <c r="C4892" t="s">
        <v>138</v>
      </c>
      <c r="D4892" s="7">
        <v>1</v>
      </c>
      <c r="E4892">
        <v>2016</v>
      </c>
      <c r="F4892">
        <v>2016</v>
      </c>
      <c r="G4892" t="str">
        <f>IFERROR(INDEX(Formulations[Formulation],MATCH($C4892,Formulations[Product Code],0)),"")</f>
        <v>WS</v>
      </c>
    </row>
    <row r="4893" spans="1:7" x14ac:dyDescent="0.3">
      <c r="A4893" t="s">
        <v>78</v>
      </c>
      <c r="B4893" t="s">
        <v>139</v>
      </c>
      <c r="D4893" s="7">
        <v>1</v>
      </c>
      <c r="E4893">
        <v>2018</v>
      </c>
      <c r="F4893">
        <v>2018</v>
      </c>
      <c r="G4893" t="str">
        <f>IFERROR(INDEX(Formulations[Formulation],MATCH($C4893,Formulations[Product Code],0)),"")</f>
        <v/>
      </c>
    </row>
    <row r="4894" spans="1:7" x14ac:dyDescent="0.3">
      <c r="A4894" t="s">
        <v>78</v>
      </c>
      <c r="B4894" t="s">
        <v>140</v>
      </c>
      <c r="C4894" t="s">
        <v>141</v>
      </c>
      <c r="D4894" s="7">
        <v>1</v>
      </c>
      <c r="E4894">
        <v>2019</v>
      </c>
      <c r="F4894">
        <v>2019</v>
      </c>
      <c r="G4894" t="str">
        <f>IFERROR(INDEX(Formulations[Formulation],MATCH($C4894,Formulations[Product Code],0)),"")</f>
        <v/>
      </c>
    </row>
    <row r="4895" spans="1:7" x14ac:dyDescent="0.3">
      <c r="A4895" t="s">
        <v>78</v>
      </c>
      <c r="B4895" t="s">
        <v>144</v>
      </c>
      <c r="C4895" t="s">
        <v>145</v>
      </c>
      <c r="D4895" s="7">
        <v>1</v>
      </c>
      <c r="E4895">
        <v>2018</v>
      </c>
      <c r="F4895">
        <v>2018</v>
      </c>
      <c r="G4895" t="str">
        <f>IFERROR(INDEX(Formulations[Formulation],MATCH($C4895,Formulations[Product Code],0)),"")</f>
        <v/>
      </c>
    </row>
    <row r="4896" spans="1:7" x14ac:dyDescent="0.3">
      <c r="A4896" t="s">
        <v>78</v>
      </c>
      <c r="B4896" t="s">
        <v>146</v>
      </c>
      <c r="D4896" s="7">
        <v>1</v>
      </c>
      <c r="E4896">
        <v>2021</v>
      </c>
      <c r="F4896">
        <v>2021</v>
      </c>
      <c r="G4896" t="str">
        <f>IFERROR(INDEX(Formulations[Formulation],MATCH($C4896,Formulations[Product Code],0)),"")</f>
        <v/>
      </c>
    </row>
    <row r="4897" spans="1:7" x14ac:dyDescent="0.3">
      <c r="A4897" t="s">
        <v>78</v>
      </c>
      <c r="B4897" t="s">
        <v>151</v>
      </c>
      <c r="C4897" t="s">
        <v>152</v>
      </c>
      <c r="D4897" s="7">
        <v>1</v>
      </c>
      <c r="E4897">
        <v>2021</v>
      </c>
      <c r="F4897">
        <v>2021</v>
      </c>
      <c r="G4897" t="str">
        <f>IFERROR(INDEX(Formulations[Formulation],MATCH($C4897,Formulations[Product Code],0)),"")</f>
        <v>Crystal</v>
      </c>
    </row>
    <row r="4898" spans="1:7" x14ac:dyDescent="0.3">
      <c r="A4898" t="s">
        <v>78</v>
      </c>
      <c r="B4898" t="s">
        <v>155</v>
      </c>
      <c r="C4898" t="s">
        <v>156</v>
      </c>
      <c r="D4898" s="7">
        <v>1</v>
      </c>
      <c r="E4898">
        <v>2018</v>
      </c>
      <c r="F4898">
        <v>2018</v>
      </c>
      <c r="G4898" t="str">
        <f>IFERROR(INDEX(Formulations[Formulation],MATCH($C4898,Formulations[Product Code],0)),"")</f>
        <v>Pure</v>
      </c>
    </row>
    <row r="4899" spans="1:7" x14ac:dyDescent="0.3">
      <c r="A4899" t="s">
        <v>78</v>
      </c>
      <c r="B4899" t="s">
        <v>159</v>
      </c>
      <c r="C4899" t="s">
        <v>160</v>
      </c>
      <c r="D4899" s="7">
        <v>1</v>
      </c>
      <c r="E4899">
        <v>2018</v>
      </c>
      <c r="F4899">
        <v>2018</v>
      </c>
      <c r="G4899" t="str">
        <f>IFERROR(INDEX(Formulations[Formulation],MATCH($C4899,Formulations[Product Code],0)),"")</f>
        <v>Silver</v>
      </c>
    </row>
    <row r="4900" spans="1:7" x14ac:dyDescent="0.3">
      <c r="A4900" t="s">
        <v>78</v>
      </c>
      <c r="B4900" t="s">
        <v>161</v>
      </c>
      <c r="C4900" t="s">
        <v>162</v>
      </c>
      <c r="D4900" s="7">
        <v>1</v>
      </c>
      <c r="E4900">
        <v>2019</v>
      </c>
      <c r="F4900">
        <v>2019</v>
      </c>
      <c r="G4900" t="str">
        <f>IFERROR(INDEX(Formulations[Formulation],MATCH($C4900,Formulations[Product Code],0)),"")</f>
        <v>Pure</v>
      </c>
    </row>
    <row r="4901" spans="1:7" x14ac:dyDescent="0.3">
      <c r="A4901" t="s">
        <v>165</v>
      </c>
      <c r="B4901" t="s">
        <v>166</v>
      </c>
      <c r="C4901" t="s">
        <v>167</v>
      </c>
      <c r="D4901" s="7">
        <v>1</v>
      </c>
      <c r="E4901">
        <v>2015</v>
      </c>
      <c r="F4901">
        <v>2015</v>
      </c>
      <c r="G4901" t="str">
        <f>IFERROR(INDEX(Formulations[Formulation],MATCH($C4901,Formulations[Product Code],0)),"")</f>
        <v/>
      </c>
    </row>
    <row r="4902" spans="1:7" x14ac:dyDescent="0.3">
      <c r="A4902" t="s">
        <v>165</v>
      </c>
      <c r="B4902" t="s">
        <v>168</v>
      </c>
      <c r="C4902" t="s">
        <v>169</v>
      </c>
      <c r="D4902" s="7">
        <v>1</v>
      </c>
      <c r="E4902">
        <v>2015</v>
      </c>
      <c r="F4902">
        <v>2015</v>
      </c>
      <c r="G4902" t="str">
        <f>IFERROR(INDEX(Formulations[Formulation],MATCH($C4902,Formulations[Product Code],0)),"")</f>
        <v>Silver</v>
      </c>
    </row>
    <row r="4903" spans="1:7" x14ac:dyDescent="0.3">
      <c r="A4903" t="s">
        <v>165</v>
      </c>
      <c r="B4903" t="s">
        <v>170</v>
      </c>
      <c r="C4903" t="s">
        <v>171</v>
      </c>
      <c r="D4903" s="7">
        <v>1</v>
      </c>
      <c r="E4903">
        <v>2015</v>
      </c>
      <c r="F4903">
        <v>2015</v>
      </c>
      <c r="G4903" t="str">
        <f>IFERROR(INDEX(Formulations[Formulation],MATCH($C4903,Formulations[Product Code],0)),"")</f>
        <v/>
      </c>
    </row>
    <row r="4904" spans="1:7" x14ac:dyDescent="0.3">
      <c r="A4904" t="s">
        <v>165</v>
      </c>
      <c r="B4904" t="s">
        <v>79</v>
      </c>
      <c r="C4904" t="s">
        <v>80</v>
      </c>
      <c r="D4904" s="7">
        <v>1</v>
      </c>
      <c r="E4904">
        <v>2017</v>
      </c>
      <c r="F4904">
        <v>2017</v>
      </c>
      <c r="G4904" t="str">
        <f>IFERROR(INDEX(Formulations[Formulation],MATCH($C4904,Formulations[Product Code],0)),"")</f>
        <v>Pure</v>
      </c>
    </row>
    <row r="4905" spans="1:7" x14ac:dyDescent="0.3">
      <c r="A4905" t="s">
        <v>165</v>
      </c>
      <c r="B4905" t="s">
        <v>172</v>
      </c>
      <c r="C4905" t="s">
        <v>173</v>
      </c>
      <c r="D4905" s="7">
        <v>1</v>
      </c>
      <c r="E4905">
        <v>2015</v>
      </c>
      <c r="F4905">
        <v>2015</v>
      </c>
      <c r="G4905" t="str">
        <f>IFERROR(INDEX(Formulations[Formulation],MATCH($C4905,Formulations[Product Code],0)),"")</f>
        <v/>
      </c>
    </row>
    <row r="4906" spans="1:7" x14ac:dyDescent="0.3">
      <c r="A4906" t="s">
        <v>165</v>
      </c>
      <c r="B4906" t="s">
        <v>174</v>
      </c>
      <c r="C4906" t="s">
        <v>175</v>
      </c>
      <c r="D4906" s="7">
        <v>1</v>
      </c>
      <c r="E4906">
        <v>2017</v>
      </c>
      <c r="F4906">
        <v>2017</v>
      </c>
      <c r="G4906" t="str">
        <f>IFERROR(INDEX(Formulations[Formulation],MATCH($C4906,Formulations[Product Code],0)),"")</f>
        <v/>
      </c>
    </row>
    <row r="4907" spans="1:7" x14ac:dyDescent="0.3">
      <c r="A4907" t="s">
        <v>165</v>
      </c>
      <c r="B4907" t="s">
        <v>180</v>
      </c>
      <c r="C4907" t="s">
        <v>181</v>
      </c>
      <c r="D4907" s="7">
        <v>1</v>
      </c>
      <c r="E4907">
        <v>2017</v>
      </c>
      <c r="F4907">
        <v>2017</v>
      </c>
      <c r="G4907" t="str">
        <f>IFERROR(INDEX(Formulations[Formulation],MATCH($C4907,Formulations[Product Code],0)),"")</f>
        <v/>
      </c>
    </row>
    <row r="4908" spans="1:7" x14ac:dyDescent="0.3">
      <c r="A4908" t="s">
        <v>165</v>
      </c>
      <c r="B4908" t="s">
        <v>184</v>
      </c>
      <c r="C4908" t="s">
        <v>185</v>
      </c>
      <c r="D4908" s="7">
        <v>1</v>
      </c>
      <c r="E4908">
        <v>2017</v>
      </c>
      <c r="F4908">
        <v>2017</v>
      </c>
      <c r="G4908" t="str">
        <f>IFERROR(INDEX(Formulations[Formulation],MATCH($C4908,Formulations[Product Code],0)),"")</f>
        <v/>
      </c>
    </row>
    <row r="4909" spans="1:7" x14ac:dyDescent="0.3">
      <c r="A4909" t="s">
        <v>165</v>
      </c>
      <c r="B4909" t="s">
        <v>19</v>
      </c>
      <c r="C4909" t="s">
        <v>20</v>
      </c>
      <c r="D4909" s="7">
        <v>1</v>
      </c>
      <c r="E4909">
        <v>2017</v>
      </c>
      <c r="F4909">
        <v>2017</v>
      </c>
      <c r="G4909" t="str">
        <f>IFERROR(INDEX(Formulations[Formulation],MATCH($C4909,Formulations[Product Code],0)),"")</f>
        <v>80 % Oil AND 20 % DPG</v>
      </c>
    </row>
    <row r="4910" spans="1:7" x14ac:dyDescent="0.3">
      <c r="A4910" t="s">
        <v>165</v>
      </c>
      <c r="B4910" t="s">
        <v>41</v>
      </c>
      <c r="C4910" t="s">
        <v>42</v>
      </c>
      <c r="D4910" s="7">
        <v>1</v>
      </c>
      <c r="E4910">
        <v>2017</v>
      </c>
      <c r="F4910">
        <v>2017</v>
      </c>
      <c r="G4910" t="str">
        <f>IFERROR(INDEX(Formulations[Formulation],MATCH($C4910,Formulations[Product Code],0)),"")</f>
        <v/>
      </c>
    </row>
    <row r="4911" spans="1:7" x14ac:dyDescent="0.3">
      <c r="A4911" t="s">
        <v>165</v>
      </c>
      <c r="B4911" t="s">
        <v>187</v>
      </c>
      <c r="C4911" t="s">
        <v>188</v>
      </c>
      <c r="D4911" s="7">
        <v>1</v>
      </c>
      <c r="E4911">
        <v>2017</v>
      </c>
      <c r="F4911">
        <v>2017</v>
      </c>
      <c r="G4911" t="str">
        <f>IFERROR(INDEX(Formulations[Formulation],MATCH($C4911,Formulations[Product Code],0)),"")</f>
        <v>Crystal</v>
      </c>
    </row>
    <row r="4912" spans="1:7" x14ac:dyDescent="0.3">
      <c r="A4912" t="s">
        <v>165</v>
      </c>
      <c r="B4912" t="s">
        <v>68</v>
      </c>
      <c r="C4912" t="s">
        <v>69</v>
      </c>
      <c r="D4912" s="7">
        <v>1</v>
      </c>
      <c r="E4912">
        <v>2017</v>
      </c>
      <c r="F4912">
        <v>2017</v>
      </c>
      <c r="G4912" t="str">
        <f>IFERROR(INDEX(Formulations[Formulation],MATCH($C4912,Formulations[Product Code],0)),"")</f>
        <v>Silver</v>
      </c>
    </row>
    <row r="4913" spans="1:7" x14ac:dyDescent="0.3">
      <c r="A4913" t="s">
        <v>165</v>
      </c>
      <c r="B4913" t="s">
        <v>192</v>
      </c>
      <c r="C4913" t="s">
        <v>193</v>
      </c>
      <c r="D4913" s="7">
        <v>1</v>
      </c>
      <c r="E4913">
        <v>2017</v>
      </c>
      <c r="F4913">
        <v>2017</v>
      </c>
      <c r="G4913" t="str">
        <f>IFERROR(INDEX(Formulations[Formulation],MATCH($C4913,Formulations[Product Code],0)),"")</f>
        <v>Red Grape 50%/ Fruity Smoothie 30% /Green Apple 20% /than make 60% oil</v>
      </c>
    </row>
    <row r="4914" spans="1:7" x14ac:dyDescent="0.3">
      <c r="A4914" t="s">
        <v>165</v>
      </c>
      <c r="B4914" t="s">
        <v>194</v>
      </c>
      <c r="C4914" t="s">
        <v>195</v>
      </c>
      <c r="D4914" s="7">
        <v>1</v>
      </c>
      <c r="E4914">
        <v>2015</v>
      </c>
      <c r="F4914">
        <v>2015</v>
      </c>
      <c r="G4914" t="str">
        <f>IFERROR(INDEX(Formulations[Formulation],MATCH($C4914,Formulations[Product Code],0)),"")</f>
        <v/>
      </c>
    </row>
    <row r="4915" spans="1:7" x14ac:dyDescent="0.3">
      <c r="A4915" t="s">
        <v>165</v>
      </c>
      <c r="B4915" t="s">
        <v>198</v>
      </c>
      <c r="C4915" t="s">
        <v>199</v>
      </c>
      <c r="D4915" s="7">
        <v>1</v>
      </c>
      <c r="E4915">
        <v>2015</v>
      </c>
      <c r="F4915">
        <v>2015</v>
      </c>
      <c r="G4915" t="str">
        <f>IFERROR(INDEX(Formulations[Formulation],MATCH($C4915,Formulations[Product Code],0)),"")</f>
        <v/>
      </c>
    </row>
    <row r="4916" spans="1:7" x14ac:dyDescent="0.3">
      <c r="A4916" t="s">
        <v>165</v>
      </c>
      <c r="B4916" t="s">
        <v>46</v>
      </c>
      <c r="C4916" t="s">
        <v>47</v>
      </c>
      <c r="D4916" s="7">
        <v>1</v>
      </c>
      <c r="E4916">
        <v>2017</v>
      </c>
      <c r="F4916">
        <v>2017</v>
      </c>
      <c r="G4916" t="str">
        <f>IFERROR(INDEX(Formulations[Formulation],MATCH($C4916,Formulations[Product Code],0)),"")</f>
        <v/>
      </c>
    </row>
    <row r="4917" spans="1:7" x14ac:dyDescent="0.3">
      <c r="A4917" t="s">
        <v>165</v>
      </c>
      <c r="B4917" t="s">
        <v>201</v>
      </c>
      <c r="C4917" t="s">
        <v>202</v>
      </c>
      <c r="D4917" s="7">
        <v>1</v>
      </c>
      <c r="E4917">
        <v>2015</v>
      </c>
      <c r="F4917">
        <v>2015</v>
      </c>
      <c r="G4917" t="str">
        <f>IFERROR(INDEX(Formulations[Formulation],MATCH($C4917,Formulations[Product Code],0)),"")</f>
        <v/>
      </c>
    </row>
    <row r="4918" spans="1:7" x14ac:dyDescent="0.3">
      <c r="A4918" t="s">
        <v>165</v>
      </c>
      <c r="B4918" t="s">
        <v>203</v>
      </c>
      <c r="C4918" t="s">
        <v>204</v>
      </c>
      <c r="D4918" s="7">
        <v>1</v>
      </c>
      <c r="E4918">
        <v>2017</v>
      </c>
      <c r="F4918">
        <v>2017</v>
      </c>
      <c r="G4918" t="str">
        <f>IFERROR(INDEX(Formulations[Formulation],MATCH($C4918,Formulations[Product Code],0)),"")</f>
        <v/>
      </c>
    </row>
    <row r="4919" spans="1:7" x14ac:dyDescent="0.3">
      <c r="A4919" t="s">
        <v>205</v>
      </c>
      <c r="B4919" t="s">
        <v>206</v>
      </c>
      <c r="C4919" t="s">
        <v>207</v>
      </c>
      <c r="D4919" s="7">
        <v>1</v>
      </c>
      <c r="E4919">
        <v>2019</v>
      </c>
      <c r="F4919">
        <v>2019</v>
      </c>
      <c r="G4919" t="str">
        <f>IFERROR(INDEX(Formulations[Formulation],MATCH($C4919,Formulations[Product Code],0)),"")</f>
        <v/>
      </c>
    </row>
    <row r="4920" spans="1:7" x14ac:dyDescent="0.3">
      <c r="A4920" t="s">
        <v>205</v>
      </c>
      <c r="B4920" t="s">
        <v>208</v>
      </c>
      <c r="C4920" t="s">
        <v>209</v>
      </c>
      <c r="D4920" s="7">
        <v>1</v>
      </c>
      <c r="E4920">
        <v>2019</v>
      </c>
      <c r="F4920">
        <v>2019</v>
      </c>
      <c r="G4920" t="str">
        <f>IFERROR(INDEX(Formulations[Formulation],MATCH($C4920,Formulations[Product Code],0)),"")</f>
        <v/>
      </c>
    </row>
    <row r="4921" spans="1:7" x14ac:dyDescent="0.3">
      <c r="A4921" t="s">
        <v>205</v>
      </c>
      <c r="B4921" t="s">
        <v>210</v>
      </c>
      <c r="C4921" t="s">
        <v>61</v>
      </c>
      <c r="D4921" s="7">
        <v>1</v>
      </c>
      <c r="E4921">
        <v>2019</v>
      </c>
      <c r="F4921">
        <v>2019</v>
      </c>
      <c r="G4921" t="str">
        <f>IFERROR(INDEX(Formulations[Formulation],MATCH($C4921,Formulations[Product Code],0)),"")</f>
        <v>Pure</v>
      </c>
    </row>
    <row r="4922" spans="1:7" x14ac:dyDescent="0.3">
      <c r="A4922" t="s">
        <v>205</v>
      </c>
      <c r="B4922" t="s">
        <v>211</v>
      </c>
      <c r="C4922" t="s">
        <v>212</v>
      </c>
      <c r="D4922" s="7">
        <v>1</v>
      </c>
      <c r="E4922">
        <v>2019</v>
      </c>
      <c r="F4922">
        <v>2019</v>
      </c>
      <c r="G4922" t="str">
        <f>IFERROR(INDEX(Formulations[Formulation],MATCH($C4922,Formulations[Product Code],0)),"")</f>
        <v>Pure</v>
      </c>
    </row>
    <row r="4923" spans="1:7" x14ac:dyDescent="0.3">
      <c r="A4923" t="s">
        <v>205</v>
      </c>
      <c r="B4923" t="s">
        <v>213</v>
      </c>
      <c r="C4923" t="s">
        <v>75</v>
      </c>
      <c r="D4923" s="7">
        <v>1</v>
      </c>
      <c r="E4923">
        <v>2019</v>
      </c>
      <c r="F4923">
        <v>2019</v>
      </c>
      <c r="G4923" t="str">
        <f>IFERROR(INDEX(Formulations[Formulation],MATCH($C4923,Formulations[Product Code],0)),"")</f>
        <v>Crystal</v>
      </c>
    </row>
    <row r="4924" spans="1:7" x14ac:dyDescent="0.3">
      <c r="A4924" t="s">
        <v>205</v>
      </c>
      <c r="B4924" t="s">
        <v>214</v>
      </c>
      <c r="C4924" t="s">
        <v>150</v>
      </c>
      <c r="D4924" s="7">
        <v>1</v>
      </c>
      <c r="E4924">
        <v>2019</v>
      </c>
      <c r="F4924">
        <v>2019</v>
      </c>
      <c r="G4924" t="str">
        <f>IFERROR(INDEX(Formulations[Formulation],MATCH($C4924,Formulations[Product Code],0)),"")</f>
        <v/>
      </c>
    </row>
    <row r="4925" spans="1:7" x14ac:dyDescent="0.3">
      <c r="A4925" t="s">
        <v>243</v>
      </c>
      <c r="B4925" t="s">
        <v>244</v>
      </c>
      <c r="C4925" t="s">
        <v>245</v>
      </c>
      <c r="D4925" s="7">
        <v>1</v>
      </c>
      <c r="E4925">
        <v>2019</v>
      </c>
      <c r="F4925">
        <v>2019</v>
      </c>
      <c r="G4925" t="str">
        <f>IFERROR(INDEX(Formulations[Formulation],MATCH($C4925,Formulations[Product Code],0)),"")</f>
        <v>10% Oil</v>
      </c>
    </row>
    <row r="4926" spans="1:7" x14ac:dyDescent="0.3">
      <c r="A4926" t="s">
        <v>243</v>
      </c>
      <c r="B4926" t="s">
        <v>246</v>
      </c>
      <c r="C4926" t="s">
        <v>247</v>
      </c>
      <c r="D4926" s="7">
        <v>1</v>
      </c>
      <c r="E4926">
        <v>2019</v>
      </c>
      <c r="F4926">
        <v>2019</v>
      </c>
      <c r="G4926" t="str">
        <f>IFERROR(INDEX(Formulations[Formulation],MATCH($C4926,Formulations[Product Code],0)),"")</f>
        <v>Crystal</v>
      </c>
    </row>
    <row r="4927" spans="1:7" x14ac:dyDescent="0.3">
      <c r="A4927" t="s">
        <v>243</v>
      </c>
      <c r="B4927" t="s">
        <v>248</v>
      </c>
      <c r="C4927" t="s">
        <v>249</v>
      </c>
      <c r="D4927" s="7">
        <v>1</v>
      </c>
      <c r="E4927">
        <v>2019</v>
      </c>
      <c r="F4927">
        <v>2019</v>
      </c>
      <c r="G4927" t="str">
        <f>IFERROR(INDEX(Formulations[Formulation],MATCH($C4927,Formulations[Product Code],0)),"")</f>
        <v>WS</v>
      </c>
    </row>
    <row r="4928" spans="1:7" x14ac:dyDescent="0.3">
      <c r="A4928" t="s">
        <v>243</v>
      </c>
      <c r="B4928" t="s">
        <v>250</v>
      </c>
      <c r="C4928" t="s">
        <v>222</v>
      </c>
      <c r="D4928" s="7">
        <v>1</v>
      </c>
      <c r="E4928">
        <v>2019</v>
      </c>
      <c r="F4928">
        <v>2019</v>
      </c>
      <c r="G4928" t="str">
        <f>IFERROR(INDEX(Formulations[Formulation],MATCH($C4928,Formulations[Product Code],0)),"")</f>
        <v>WS</v>
      </c>
    </row>
    <row r="4929" spans="1:7" x14ac:dyDescent="0.3">
      <c r="A4929" t="s">
        <v>243</v>
      </c>
      <c r="B4929" t="s">
        <v>251</v>
      </c>
      <c r="C4929" t="s">
        <v>207</v>
      </c>
      <c r="D4929" s="7">
        <v>1</v>
      </c>
      <c r="E4929">
        <v>2019</v>
      </c>
      <c r="F4929">
        <v>2019</v>
      </c>
      <c r="G4929" t="str">
        <f>IFERROR(INDEX(Formulations[Formulation],MATCH($C4929,Formulations[Product Code],0)),"")</f>
        <v/>
      </c>
    </row>
    <row r="4930" spans="1:7" x14ac:dyDescent="0.3">
      <c r="A4930" t="s">
        <v>243</v>
      </c>
      <c r="B4930" t="s">
        <v>252</v>
      </c>
      <c r="C4930" t="s">
        <v>191</v>
      </c>
      <c r="D4930" s="7">
        <v>1</v>
      </c>
      <c r="E4930">
        <v>2019</v>
      </c>
      <c r="F4930">
        <v>2019</v>
      </c>
      <c r="G4930" t="str">
        <f>IFERROR(INDEX(Formulations[Formulation],MATCH($C4930,Formulations[Product Code],0)),"")</f>
        <v>Pure</v>
      </c>
    </row>
    <row r="4931" spans="1:7" x14ac:dyDescent="0.3">
      <c r="A4931" t="s">
        <v>243</v>
      </c>
      <c r="B4931" t="s">
        <v>253</v>
      </c>
      <c r="C4931" t="s">
        <v>254</v>
      </c>
      <c r="D4931" s="7">
        <v>1</v>
      </c>
      <c r="E4931">
        <v>2019</v>
      </c>
      <c r="F4931">
        <v>2019</v>
      </c>
      <c r="G4931" t="str">
        <f>IFERROR(INDEX(Formulations[Formulation],MATCH($C4931,Formulations[Product Code],0)),"")</f>
        <v>6kg oil and 19kg DPG</v>
      </c>
    </row>
    <row r="4932" spans="1:7" x14ac:dyDescent="0.3">
      <c r="A4932" t="s">
        <v>243</v>
      </c>
      <c r="B4932" t="s">
        <v>255</v>
      </c>
      <c r="C4932" t="s">
        <v>256</v>
      </c>
      <c r="D4932" s="7">
        <v>1</v>
      </c>
      <c r="E4932">
        <v>2019</v>
      </c>
      <c r="F4932">
        <v>2019</v>
      </c>
      <c r="G4932" t="str">
        <f>IFERROR(INDEX(Formulations[Formulation],MATCH($C4932,Formulations[Product Code],0)),"")</f>
        <v/>
      </c>
    </row>
    <row r="4933" spans="1:7" x14ac:dyDescent="0.3">
      <c r="A4933" t="s">
        <v>243</v>
      </c>
      <c r="B4933" t="s">
        <v>257</v>
      </c>
      <c r="C4933" t="s">
        <v>61</v>
      </c>
      <c r="D4933" s="7">
        <v>1</v>
      </c>
      <c r="E4933">
        <v>2019</v>
      </c>
      <c r="F4933">
        <v>2019</v>
      </c>
      <c r="G4933" t="str">
        <f>IFERROR(INDEX(Formulations[Formulation],MATCH($C4933,Formulations[Product Code],0)),"")</f>
        <v>Pure</v>
      </c>
    </row>
    <row r="4934" spans="1:7" x14ac:dyDescent="0.3">
      <c r="A4934" t="s">
        <v>243</v>
      </c>
      <c r="B4934" t="s">
        <v>258</v>
      </c>
      <c r="C4934" t="s">
        <v>259</v>
      </c>
      <c r="D4934" s="7">
        <v>1</v>
      </c>
      <c r="E4934">
        <v>2019</v>
      </c>
      <c r="F4934">
        <v>2019</v>
      </c>
      <c r="G4934" t="str">
        <f>IFERROR(INDEX(Formulations[Formulation],MATCH($C4934,Formulations[Product Code],0)),"")</f>
        <v>Pure</v>
      </c>
    </row>
    <row r="4935" spans="1:7" x14ac:dyDescent="0.3">
      <c r="A4935" t="s">
        <v>243</v>
      </c>
      <c r="B4935" t="s">
        <v>260</v>
      </c>
      <c r="C4935" t="s">
        <v>109</v>
      </c>
      <c r="D4935" s="7">
        <v>1</v>
      </c>
      <c r="E4935">
        <v>2019</v>
      </c>
      <c r="F4935">
        <v>2019</v>
      </c>
      <c r="G4935" t="str">
        <f>IFERROR(INDEX(Formulations[Formulation],MATCH($C4935,Formulations[Product Code],0)),"")</f>
        <v>Pure</v>
      </c>
    </row>
    <row r="4936" spans="1:7" x14ac:dyDescent="0.3">
      <c r="A4936" t="s">
        <v>243</v>
      </c>
      <c r="B4936" t="s">
        <v>261</v>
      </c>
      <c r="C4936" t="s">
        <v>262</v>
      </c>
      <c r="D4936" s="7">
        <v>1</v>
      </c>
      <c r="E4936">
        <v>2019</v>
      </c>
      <c r="F4936">
        <v>2019</v>
      </c>
      <c r="G4936" t="str">
        <f>IFERROR(INDEX(Formulations[Formulation],MATCH($C4936,Formulations[Product Code],0)),"")</f>
        <v>Pure</v>
      </c>
    </row>
    <row r="4937" spans="1:7" x14ac:dyDescent="0.3">
      <c r="A4937" t="s">
        <v>243</v>
      </c>
      <c r="B4937" t="s">
        <v>263</v>
      </c>
      <c r="C4937" t="s">
        <v>264</v>
      </c>
      <c r="D4937" s="7">
        <v>1</v>
      </c>
      <c r="E4937">
        <v>2019</v>
      </c>
      <c r="F4937">
        <v>2019</v>
      </c>
      <c r="G4937" t="str">
        <f>IFERROR(INDEX(Formulations[Formulation],MATCH($C4937,Formulations[Product Code],0)),"")</f>
        <v>Silver</v>
      </c>
    </row>
    <row r="4938" spans="1:7" x14ac:dyDescent="0.3">
      <c r="A4938" t="s">
        <v>243</v>
      </c>
      <c r="B4938" t="s">
        <v>265</v>
      </c>
      <c r="C4938" t="s">
        <v>197</v>
      </c>
      <c r="D4938" s="7">
        <v>1</v>
      </c>
      <c r="E4938">
        <v>2019</v>
      </c>
      <c r="F4938">
        <v>2019</v>
      </c>
      <c r="G4938" t="str">
        <f>IFERROR(INDEX(Formulations[Formulation],MATCH($C4938,Formulations[Product Code],0)),"")</f>
        <v/>
      </c>
    </row>
    <row r="4939" spans="1:7" x14ac:dyDescent="0.3">
      <c r="A4939" t="s">
        <v>243</v>
      </c>
      <c r="B4939" t="s">
        <v>266</v>
      </c>
      <c r="C4939" t="s">
        <v>143</v>
      </c>
      <c r="D4939" s="7">
        <v>1</v>
      </c>
      <c r="E4939">
        <v>2019</v>
      </c>
      <c r="F4939">
        <v>2019</v>
      </c>
      <c r="G4939" t="str">
        <f>IFERROR(INDEX(Formulations[Formulation],MATCH($C4939,Formulations[Product Code],0)),"")</f>
        <v>Pure</v>
      </c>
    </row>
    <row r="4940" spans="1:7" x14ac:dyDescent="0.3">
      <c r="A4940" t="s">
        <v>243</v>
      </c>
      <c r="B4940" t="s">
        <v>267</v>
      </c>
      <c r="C4940" t="s">
        <v>150</v>
      </c>
      <c r="D4940" s="7">
        <v>1</v>
      </c>
      <c r="E4940">
        <v>2019</v>
      </c>
      <c r="F4940">
        <v>2019</v>
      </c>
      <c r="G4940" t="str">
        <f>IFERROR(INDEX(Formulations[Formulation],MATCH($C4940,Formulations[Product Code],0)),"")</f>
        <v/>
      </c>
    </row>
    <row r="4941" spans="1:7" x14ac:dyDescent="0.3">
      <c r="A4941" t="s">
        <v>273</v>
      </c>
      <c r="B4941" t="s">
        <v>301</v>
      </c>
      <c r="C4941" t="s">
        <v>302</v>
      </c>
      <c r="D4941" s="7">
        <v>1</v>
      </c>
      <c r="E4941">
        <v>2015</v>
      </c>
      <c r="F4941">
        <v>2015</v>
      </c>
      <c r="G4941" t="str">
        <f>IFERROR(INDEX(Formulations[Formulation],MATCH($C4941,Formulations[Product Code],0)),"")</f>
        <v/>
      </c>
    </row>
    <row r="4942" spans="1:7" x14ac:dyDescent="0.3">
      <c r="A4942" t="s">
        <v>273</v>
      </c>
      <c r="B4942" t="s">
        <v>310</v>
      </c>
      <c r="C4942" t="s">
        <v>311</v>
      </c>
      <c r="D4942" s="7">
        <v>1</v>
      </c>
      <c r="E4942">
        <v>2015</v>
      </c>
      <c r="F4942">
        <v>2015</v>
      </c>
      <c r="G4942" t="str">
        <f>IFERROR(INDEX(Formulations[Formulation],MATCH($C4942,Formulations[Product Code],0)),"")</f>
        <v/>
      </c>
    </row>
    <row r="4943" spans="1:7" x14ac:dyDescent="0.3">
      <c r="A4943" t="s">
        <v>327</v>
      </c>
      <c r="B4943" t="s">
        <v>334</v>
      </c>
      <c r="C4943" t="s">
        <v>335</v>
      </c>
      <c r="D4943" s="7">
        <v>1</v>
      </c>
      <c r="E4943">
        <v>2013</v>
      </c>
      <c r="F4943">
        <v>2013</v>
      </c>
      <c r="G4943" t="str">
        <f>IFERROR(INDEX(Formulations[Formulation],MATCH($C4943,Formulations[Product Code],0)),"")</f>
        <v>Pure</v>
      </c>
    </row>
    <row r="4944" spans="1:7" x14ac:dyDescent="0.3">
      <c r="A4944" t="s">
        <v>327</v>
      </c>
      <c r="B4944" t="s">
        <v>336</v>
      </c>
      <c r="C4944" t="s">
        <v>337</v>
      </c>
      <c r="D4944" s="7">
        <v>1</v>
      </c>
      <c r="E4944">
        <v>2013</v>
      </c>
      <c r="F4944">
        <v>2013</v>
      </c>
      <c r="G4944" t="str">
        <f>IFERROR(INDEX(Formulations[Formulation],MATCH($C4944,Formulations[Product Code],0)),"")</f>
        <v/>
      </c>
    </row>
    <row r="4945" spans="1:7" x14ac:dyDescent="0.3">
      <c r="A4945" t="s">
        <v>338</v>
      </c>
      <c r="B4945" t="s">
        <v>339</v>
      </c>
      <c r="D4945" s="7">
        <v>1</v>
      </c>
      <c r="E4945">
        <v>2010</v>
      </c>
      <c r="F4945">
        <v>2010</v>
      </c>
      <c r="G4945" t="str">
        <f>IFERROR(INDEX(Formulations[Formulation],MATCH($C4945,Formulations[Product Code],0)),"")</f>
        <v/>
      </c>
    </row>
    <row r="4946" spans="1:7" x14ac:dyDescent="0.3">
      <c r="A4946" t="s">
        <v>338</v>
      </c>
      <c r="B4946" t="s">
        <v>342</v>
      </c>
      <c r="C4946" t="s">
        <v>343</v>
      </c>
      <c r="D4946" s="7">
        <v>1</v>
      </c>
      <c r="E4946">
        <v>2010</v>
      </c>
      <c r="F4946">
        <v>2010</v>
      </c>
      <c r="G4946" t="str">
        <f>IFERROR(INDEX(Formulations[Formulation],MATCH($C4946,Formulations[Product Code],0)),"")</f>
        <v/>
      </c>
    </row>
    <row r="4947" spans="1:7" x14ac:dyDescent="0.3">
      <c r="A4947" t="s">
        <v>353</v>
      </c>
      <c r="B4947" t="s">
        <v>365</v>
      </c>
      <c r="C4947" t="s">
        <v>96</v>
      </c>
      <c r="D4947" s="7">
        <v>1</v>
      </c>
      <c r="E4947">
        <v>2019</v>
      </c>
      <c r="F4947">
        <v>2019</v>
      </c>
      <c r="G4947" t="str">
        <f>IFERROR(INDEX(Formulations[Formulation],MATCH($C4947,Formulations[Product Code],0)),"")</f>
        <v>9.2 kg oil and rest dpg</v>
      </c>
    </row>
    <row r="4948" spans="1:7" x14ac:dyDescent="0.3">
      <c r="A4948" t="s">
        <v>390</v>
      </c>
      <c r="B4948" t="s">
        <v>391</v>
      </c>
      <c r="C4948" t="s">
        <v>392</v>
      </c>
      <c r="D4948" s="7">
        <v>1</v>
      </c>
      <c r="E4948">
        <v>2017</v>
      </c>
      <c r="F4948">
        <v>2017</v>
      </c>
      <c r="G4948" t="str">
        <f>IFERROR(INDEX(Formulations[Formulation],MATCH($C4948,Formulations[Product Code],0)),"")</f>
        <v/>
      </c>
    </row>
    <row r="4949" spans="1:7" x14ac:dyDescent="0.3">
      <c r="A4949" t="s">
        <v>390</v>
      </c>
      <c r="B4949" t="s">
        <v>393</v>
      </c>
      <c r="C4949" t="s">
        <v>394</v>
      </c>
      <c r="D4949" s="7">
        <v>1</v>
      </c>
      <c r="E4949">
        <v>2017</v>
      </c>
      <c r="F4949">
        <v>2017</v>
      </c>
      <c r="G4949" t="str">
        <f>IFERROR(INDEX(Formulations[Formulation],MATCH($C4949,Formulations[Product Code],0)),"")</f>
        <v>Pure</v>
      </c>
    </row>
    <row r="4950" spans="1:7" x14ac:dyDescent="0.3">
      <c r="A4950" t="s">
        <v>390</v>
      </c>
      <c r="B4950" t="s">
        <v>55</v>
      </c>
      <c r="D4950" s="7">
        <v>1</v>
      </c>
      <c r="E4950">
        <v>2021</v>
      </c>
      <c r="F4950">
        <v>2021</v>
      </c>
      <c r="G4950" t="str">
        <f>IFERROR(INDEX(Formulations[Formulation],MATCH($C4950,Formulations[Product Code],0)),"")</f>
        <v/>
      </c>
    </row>
    <row r="4951" spans="1:7" x14ac:dyDescent="0.3">
      <c r="A4951" t="s">
        <v>390</v>
      </c>
      <c r="B4951" t="s">
        <v>395</v>
      </c>
      <c r="D4951" s="7">
        <v>1</v>
      </c>
      <c r="E4951">
        <v>2017</v>
      </c>
      <c r="F4951">
        <v>2017</v>
      </c>
      <c r="G4951" t="str">
        <f>IFERROR(INDEX(Formulations[Formulation],MATCH($C4951,Formulations[Product Code],0)),"")</f>
        <v/>
      </c>
    </row>
    <row r="4952" spans="1:7" x14ac:dyDescent="0.3">
      <c r="A4952" t="s">
        <v>390</v>
      </c>
      <c r="B4952" t="s">
        <v>208</v>
      </c>
      <c r="C4952" t="s">
        <v>209</v>
      </c>
      <c r="D4952" s="7">
        <v>1</v>
      </c>
      <c r="E4952">
        <v>2019</v>
      </c>
      <c r="F4952">
        <v>2019</v>
      </c>
      <c r="G4952" t="str">
        <f>IFERROR(INDEX(Formulations[Formulation],MATCH($C4952,Formulations[Product Code],0)),"")</f>
        <v/>
      </c>
    </row>
    <row r="4953" spans="1:7" x14ac:dyDescent="0.3">
      <c r="A4953" t="s">
        <v>390</v>
      </c>
      <c r="B4953" t="s">
        <v>398</v>
      </c>
      <c r="C4953" t="s">
        <v>399</v>
      </c>
      <c r="D4953" s="7">
        <v>1</v>
      </c>
      <c r="E4953">
        <v>2016</v>
      </c>
      <c r="F4953">
        <v>2016</v>
      </c>
      <c r="G4953" t="str">
        <f>IFERROR(INDEX(Formulations[Formulation],MATCH($C4953,Formulations[Product Code],0)),"")</f>
        <v/>
      </c>
    </row>
    <row r="4954" spans="1:7" x14ac:dyDescent="0.3">
      <c r="A4954" t="s">
        <v>390</v>
      </c>
      <c r="B4954" t="s">
        <v>400</v>
      </c>
      <c r="D4954" s="7">
        <v>1</v>
      </c>
      <c r="E4954">
        <v>2019</v>
      </c>
      <c r="F4954">
        <v>2019</v>
      </c>
      <c r="G4954" t="str">
        <f>IFERROR(INDEX(Formulations[Formulation],MATCH($C4954,Formulations[Product Code],0)),"")</f>
        <v/>
      </c>
    </row>
    <row r="4955" spans="1:7" x14ac:dyDescent="0.3">
      <c r="A4955" t="s">
        <v>390</v>
      </c>
      <c r="B4955" t="s">
        <v>99</v>
      </c>
      <c r="C4955" t="s">
        <v>100</v>
      </c>
      <c r="D4955" s="7">
        <v>1</v>
      </c>
      <c r="E4955">
        <v>2016</v>
      </c>
      <c r="F4955">
        <v>2016</v>
      </c>
      <c r="G4955" t="str">
        <f>IFERROR(INDEX(Formulations[Formulation],MATCH($C4955,Formulations[Product Code],0)),"")</f>
        <v>Crystal</v>
      </c>
    </row>
    <row r="4956" spans="1:7" x14ac:dyDescent="0.3">
      <c r="A4956" t="s">
        <v>390</v>
      </c>
      <c r="B4956" t="s">
        <v>101</v>
      </c>
      <c r="C4956" t="s">
        <v>102</v>
      </c>
      <c r="D4956" s="7">
        <v>1</v>
      </c>
      <c r="E4956">
        <v>2018</v>
      </c>
      <c r="F4956">
        <v>2018</v>
      </c>
      <c r="G4956" t="str">
        <f>IFERROR(INDEX(Formulations[Formulation],MATCH($C4956,Formulations[Product Code],0)),"")</f>
        <v>Gold</v>
      </c>
    </row>
    <row r="4957" spans="1:7" x14ac:dyDescent="0.3">
      <c r="A4957" t="s">
        <v>390</v>
      </c>
      <c r="B4957" t="s">
        <v>401</v>
      </c>
      <c r="C4957" t="s">
        <v>123</v>
      </c>
      <c r="D4957" s="7">
        <v>1</v>
      </c>
      <c r="E4957">
        <v>2017</v>
      </c>
      <c r="F4957">
        <v>2017</v>
      </c>
      <c r="G4957" t="str">
        <f>IFERROR(INDEX(Formulations[Formulation],MATCH($C4957,Formulations[Product Code],0)),"")</f>
        <v/>
      </c>
    </row>
    <row r="4958" spans="1:7" x14ac:dyDescent="0.3">
      <c r="A4958" t="s">
        <v>390</v>
      </c>
      <c r="B4958" t="s">
        <v>133</v>
      </c>
      <c r="C4958" t="s">
        <v>134</v>
      </c>
      <c r="D4958" s="7">
        <v>1</v>
      </c>
      <c r="E4958">
        <v>2021</v>
      </c>
      <c r="F4958">
        <v>2021</v>
      </c>
      <c r="G4958" t="str">
        <f>IFERROR(INDEX(Formulations[Formulation],MATCH($C4958,Formulations[Product Code],0)),"")</f>
        <v>Pure</v>
      </c>
    </row>
    <row r="4959" spans="1:7" x14ac:dyDescent="0.3">
      <c r="A4959" t="s">
        <v>390</v>
      </c>
      <c r="B4959" t="s">
        <v>406</v>
      </c>
      <c r="C4959" t="s">
        <v>407</v>
      </c>
      <c r="D4959" s="7">
        <v>1</v>
      </c>
      <c r="E4959">
        <v>2016</v>
      </c>
      <c r="F4959">
        <v>2016</v>
      </c>
      <c r="G4959" t="str">
        <f>IFERROR(INDEX(Formulations[Formulation],MATCH($C4959,Formulations[Product Code],0)),"")</f>
        <v/>
      </c>
    </row>
    <row r="4960" spans="1:7" x14ac:dyDescent="0.3">
      <c r="A4960" t="s">
        <v>390</v>
      </c>
      <c r="B4960" t="s">
        <v>408</v>
      </c>
      <c r="D4960" s="7">
        <v>1</v>
      </c>
      <c r="E4960">
        <v>2021</v>
      </c>
      <c r="F4960">
        <v>2021</v>
      </c>
      <c r="G4960" t="str">
        <f>IFERROR(INDEX(Formulations[Formulation],MATCH($C4960,Formulations[Product Code],0)),"")</f>
        <v/>
      </c>
    </row>
    <row r="4961" spans="1:7" x14ac:dyDescent="0.3">
      <c r="A4961" t="s">
        <v>390</v>
      </c>
      <c r="B4961" t="s">
        <v>409</v>
      </c>
      <c r="C4961" t="s">
        <v>264</v>
      </c>
      <c r="D4961" s="7">
        <v>1</v>
      </c>
      <c r="E4961">
        <v>2019</v>
      </c>
      <c r="F4961">
        <v>2019</v>
      </c>
      <c r="G4961" t="str">
        <f>IFERROR(INDEX(Formulations[Formulation],MATCH($C4961,Formulations[Product Code],0)),"")</f>
        <v>Silver</v>
      </c>
    </row>
    <row r="4962" spans="1:7" x14ac:dyDescent="0.3">
      <c r="A4962" t="s">
        <v>390</v>
      </c>
      <c r="B4962" t="s">
        <v>410</v>
      </c>
      <c r="C4962" t="s">
        <v>134</v>
      </c>
      <c r="D4962" s="7">
        <v>1</v>
      </c>
      <c r="E4962">
        <v>2019</v>
      </c>
      <c r="F4962">
        <v>2019</v>
      </c>
      <c r="G4962" t="str">
        <f>IFERROR(INDEX(Formulations[Formulation],MATCH($C4962,Formulations[Product Code],0)),"")</f>
        <v>Pure</v>
      </c>
    </row>
    <row r="4963" spans="1:7" x14ac:dyDescent="0.3">
      <c r="A4963" t="s">
        <v>390</v>
      </c>
      <c r="B4963" t="s">
        <v>411</v>
      </c>
      <c r="D4963" s="7">
        <v>1</v>
      </c>
      <c r="E4963">
        <v>2021</v>
      </c>
      <c r="F4963">
        <v>2021</v>
      </c>
      <c r="G4963" t="str">
        <f>IFERROR(INDEX(Formulations[Formulation],MATCH($C4963,Formulations[Product Code],0)),"")</f>
        <v/>
      </c>
    </row>
    <row r="4964" spans="1:7" x14ac:dyDescent="0.3">
      <c r="A4964" t="s">
        <v>390</v>
      </c>
      <c r="B4964" t="s">
        <v>412</v>
      </c>
      <c r="C4964" t="s">
        <v>413</v>
      </c>
      <c r="D4964" s="7">
        <v>1</v>
      </c>
      <c r="E4964">
        <v>2016</v>
      </c>
      <c r="F4964">
        <v>2016</v>
      </c>
      <c r="G4964" t="str">
        <f>IFERROR(INDEX(Formulations[Formulation],MATCH($C4964,Formulations[Product Code],0)),"")</f>
        <v>40% oil &amp; 60 % DPG</v>
      </c>
    </row>
    <row r="4965" spans="1:7" x14ac:dyDescent="0.3">
      <c r="A4965" t="s">
        <v>390</v>
      </c>
      <c r="B4965" t="s">
        <v>415</v>
      </c>
      <c r="D4965" s="7">
        <v>1</v>
      </c>
      <c r="E4965">
        <v>2016</v>
      </c>
      <c r="F4965">
        <v>2016</v>
      </c>
      <c r="G4965" t="str">
        <f>IFERROR(INDEX(Formulations[Formulation],MATCH($C4965,Formulations[Product Code],0)),"")</f>
        <v/>
      </c>
    </row>
    <row r="4966" spans="1:7" x14ac:dyDescent="0.3">
      <c r="A4966" t="s">
        <v>493</v>
      </c>
      <c r="B4966" t="s">
        <v>297</v>
      </c>
      <c r="C4966" t="s">
        <v>298</v>
      </c>
      <c r="D4966" s="7">
        <v>1</v>
      </c>
      <c r="E4966">
        <v>2019</v>
      </c>
      <c r="F4966">
        <v>2019</v>
      </c>
      <c r="G4966" t="str">
        <f>IFERROR(INDEX(Formulations[Formulation],MATCH($C4966,Formulations[Product Code],0)),"")</f>
        <v>Pure</v>
      </c>
    </row>
    <row r="4967" spans="1:7" x14ac:dyDescent="0.3">
      <c r="A4967" t="s">
        <v>502</v>
      </c>
      <c r="B4967" t="s">
        <v>16</v>
      </c>
      <c r="C4967" t="s">
        <v>17</v>
      </c>
      <c r="D4967" s="7">
        <v>1</v>
      </c>
      <c r="E4967">
        <v>2021</v>
      </c>
      <c r="F4967">
        <v>2021</v>
      </c>
      <c r="G4967" t="str">
        <f>IFERROR(INDEX(Formulations[Formulation],MATCH($C4967,Formulations[Product Code],0)),"")</f>
        <v>Crystal</v>
      </c>
    </row>
    <row r="4968" spans="1:7" x14ac:dyDescent="0.3">
      <c r="A4968" t="s">
        <v>502</v>
      </c>
      <c r="B4968" t="s">
        <v>506</v>
      </c>
      <c r="C4968" t="s">
        <v>507</v>
      </c>
      <c r="D4968" s="7">
        <v>1</v>
      </c>
      <c r="E4968">
        <v>2021</v>
      </c>
      <c r="F4968">
        <v>2021</v>
      </c>
      <c r="G4968" t="str">
        <f>IFERROR(INDEX(Formulations[Formulation],MATCH($C4968,Formulations[Product Code],0)),"")</f>
        <v>Silver</v>
      </c>
    </row>
    <row r="4969" spans="1:7" x14ac:dyDescent="0.3">
      <c r="A4969" t="s">
        <v>502</v>
      </c>
      <c r="B4969" t="s">
        <v>516</v>
      </c>
      <c r="D4969" s="7">
        <v>1</v>
      </c>
      <c r="E4969">
        <v>2021</v>
      </c>
      <c r="F4969">
        <v>2021</v>
      </c>
      <c r="G4969" t="str">
        <f>IFERROR(INDEX(Formulations[Formulation],MATCH($C4969,Formulations[Product Code],0)),"")</f>
        <v/>
      </c>
    </row>
    <row r="4970" spans="1:7" x14ac:dyDescent="0.3">
      <c r="A4970" t="s">
        <v>502</v>
      </c>
      <c r="B4970" t="s">
        <v>108</v>
      </c>
      <c r="C4970" t="s">
        <v>109</v>
      </c>
      <c r="D4970" s="7">
        <v>1</v>
      </c>
      <c r="E4970">
        <v>2017</v>
      </c>
      <c r="F4970">
        <v>2017</v>
      </c>
      <c r="G4970" t="str">
        <f>IFERROR(INDEX(Formulations[Formulation],MATCH($C4970,Formulations[Product Code],0)),"")</f>
        <v>Pure</v>
      </c>
    </row>
    <row r="4971" spans="1:7" x14ac:dyDescent="0.3">
      <c r="A4971" t="s">
        <v>502</v>
      </c>
      <c r="B4971" t="s">
        <v>517</v>
      </c>
      <c r="C4971" t="s">
        <v>145</v>
      </c>
      <c r="D4971" s="7">
        <v>1</v>
      </c>
      <c r="E4971">
        <v>2020</v>
      </c>
      <c r="F4971">
        <v>2020</v>
      </c>
      <c r="G4971" t="str">
        <f>IFERROR(INDEX(Formulations[Formulation],MATCH($C4971,Formulations[Product Code],0)),"")</f>
        <v/>
      </c>
    </row>
    <row r="4972" spans="1:7" x14ac:dyDescent="0.3">
      <c r="A4972" t="s">
        <v>502</v>
      </c>
      <c r="B4972" t="s">
        <v>518</v>
      </c>
      <c r="C4972" t="s">
        <v>519</v>
      </c>
      <c r="D4972" s="7">
        <v>1</v>
      </c>
      <c r="E4972">
        <v>2019</v>
      </c>
      <c r="F4972">
        <v>2019</v>
      </c>
      <c r="G4972" t="str">
        <f>IFERROR(INDEX(Formulations[Formulation],MATCH($C4972,Formulations[Product Code],0)),"")</f>
        <v>Pure</v>
      </c>
    </row>
    <row r="4973" spans="1:7" x14ac:dyDescent="0.3">
      <c r="A4973" t="s">
        <v>502</v>
      </c>
      <c r="B4973" t="s">
        <v>476</v>
      </c>
      <c r="C4973" t="s">
        <v>478</v>
      </c>
      <c r="D4973" s="7">
        <v>1</v>
      </c>
      <c r="E4973">
        <v>2020</v>
      </c>
      <c r="F4973">
        <v>2020</v>
      </c>
      <c r="G4973" t="str">
        <f>IFERROR(INDEX(Formulations[Formulation],MATCH($C4973,Formulations[Product Code],0)),"")</f>
        <v>Pure</v>
      </c>
    </row>
    <row r="4974" spans="1:7" x14ac:dyDescent="0.3">
      <c r="A4974" t="s">
        <v>502</v>
      </c>
      <c r="B4974" t="s">
        <v>157</v>
      </c>
      <c r="C4974" t="s">
        <v>158</v>
      </c>
      <c r="D4974" s="7">
        <v>1</v>
      </c>
      <c r="E4974">
        <v>2021</v>
      </c>
      <c r="F4974">
        <v>2021</v>
      </c>
      <c r="G4974" t="str">
        <f>IFERROR(INDEX(Formulations[Formulation],MATCH($C4974,Formulations[Product Code],0)),"")</f>
        <v>Pure</v>
      </c>
    </row>
    <row r="4975" spans="1:7" x14ac:dyDescent="0.3">
      <c r="A4975" t="s">
        <v>556</v>
      </c>
      <c r="B4975" t="s">
        <v>391</v>
      </c>
      <c r="C4975" t="s">
        <v>392</v>
      </c>
      <c r="D4975" s="7">
        <v>1</v>
      </c>
      <c r="E4975">
        <v>2017</v>
      </c>
      <c r="F4975">
        <v>2017</v>
      </c>
      <c r="G4975" t="str">
        <f>IFERROR(INDEX(Formulations[Formulation],MATCH($C4975,Formulations[Product Code],0)),"")</f>
        <v/>
      </c>
    </row>
    <row r="4976" spans="1:7" x14ac:dyDescent="0.3">
      <c r="A4976" t="s">
        <v>556</v>
      </c>
      <c r="B4976" t="s">
        <v>557</v>
      </c>
      <c r="C4976" t="s">
        <v>212</v>
      </c>
      <c r="D4976" s="7">
        <v>1</v>
      </c>
      <c r="E4976">
        <v>2017</v>
      </c>
      <c r="F4976">
        <v>2017</v>
      </c>
      <c r="G4976" t="str">
        <f>IFERROR(INDEX(Formulations[Formulation],MATCH($C4976,Formulations[Product Code],0)),"")</f>
        <v>Pure</v>
      </c>
    </row>
    <row r="4977" spans="1:7" x14ac:dyDescent="0.3">
      <c r="A4977" t="s">
        <v>556</v>
      </c>
      <c r="B4977" t="s">
        <v>558</v>
      </c>
      <c r="C4977" t="s">
        <v>559</v>
      </c>
      <c r="D4977" s="7">
        <v>1</v>
      </c>
      <c r="E4977">
        <v>2017</v>
      </c>
      <c r="F4977">
        <v>2017</v>
      </c>
      <c r="G4977" t="str">
        <f>IFERROR(INDEX(Formulations[Formulation],MATCH($C4977,Formulations[Product Code],0)),"")</f>
        <v/>
      </c>
    </row>
    <row r="4978" spans="1:7" x14ac:dyDescent="0.3">
      <c r="A4978" t="s">
        <v>556</v>
      </c>
      <c r="B4978" t="s">
        <v>560</v>
      </c>
      <c r="C4978" t="s">
        <v>561</v>
      </c>
      <c r="D4978" s="7">
        <v>1</v>
      </c>
      <c r="E4978">
        <v>2017</v>
      </c>
      <c r="F4978">
        <v>2017</v>
      </c>
      <c r="G4978" t="str">
        <f>IFERROR(INDEX(Formulations[Formulation],MATCH($C4978,Formulations[Product Code],0)),"")</f>
        <v/>
      </c>
    </row>
    <row r="4979" spans="1:7" x14ac:dyDescent="0.3">
      <c r="A4979" t="s">
        <v>556</v>
      </c>
      <c r="B4979" t="s">
        <v>60</v>
      </c>
      <c r="C4979" t="s">
        <v>61</v>
      </c>
      <c r="D4979" s="7">
        <v>1</v>
      </c>
      <c r="E4979">
        <v>2017</v>
      </c>
      <c r="F4979">
        <v>2017</v>
      </c>
      <c r="G4979" t="str">
        <f>IFERROR(INDEX(Formulations[Formulation],MATCH($C4979,Formulations[Product Code],0)),"")</f>
        <v>Pure</v>
      </c>
    </row>
    <row r="4980" spans="1:7" x14ac:dyDescent="0.3">
      <c r="A4980" t="s">
        <v>556</v>
      </c>
      <c r="B4980" t="s">
        <v>228</v>
      </c>
      <c r="C4980" t="s">
        <v>229</v>
      </c>
      <c r="D4980" s="7">
        <v>1</v>
      </c>
      <c r="E4980">
        <v>2017</v>
      </c>
      <c r="F4980">
        <v>2017</v>
      </c>
      <c r="G4980" t="str">
        <f>IFERROR(INDEX(Formulations[Formulation],MATCH($C4980,Formulations[Product Code],0)),"")</f>
        <v>Pure</v>
      </c>
    </row>
    <row r="4981" spans="1:7" x14ac:dyDescent="0.3">
      <c r="A4981" t="s">
        <v>556</v>
      </c>
      <c r="B4981" t="s">
        <v>562</v>
      </c>
      <c r="C4981" t="s">
        <v>563</v>
      </c>
      <c r="D4981" s="7">
        <v>1</v>
      </c>
      <c r="E4981">
        <v>2017</v>
      </c>
      <c r="F4981">
        <v>2017</v>
      </c>
      <c r="G4981" t="str">
        <f>IFERROR(INDEX(Formulations[Formulation],MATCH($C4981,Formulations[Product Code],0)),"")</f>
        <v/>
      </c>
    </row>
    <row r="4982" spans="1:7" x14ac:dyDescent="0.3">
      <c r="A4982" t="s">
        <v>578</v>
      </c>
      <c r="B4982" t="s">
        <v>579</v>
      </c>
      <c r="C4982" t="s">
        <v>54</v>
      </c>
      <c r="D4982" s="7">
        <v>1</v>
      </c>
      <c r="E4982">
        <v>2019</v>
      </c>
      <c r="F4982">
        <v>2019</v>
      </c>
      <c r="G4982" t="str">
        <f>IFERROR(INDEX(Formulations[Formulation],MATCH($C4982,Formulations[Product Code],0)),"")</f>
        <v/>
      </c>
    </row>
    <row r="4983" spans="1:7" x14ac:dyDescent="0.3">
      <c r="A4983" t="s">
        <v>580</v>
      </c>
      <c r="B4983" t="s">
        <v>127</v>
      </c>
      <c r="D4983" s="7">
        <v>1</v>
      </c>
      <c r="E4983">
        <v>2019</v>
      </c>
      <c r="F4983">
        <v>2019</v>
      </c>
      <c r="G4983" t="str">
        <f>IFERROR(INDEX(Formulations[Formulation],MATCH($C4983,Formulations[Product Code],0)),"")</f>
        <v/>
      </c>
    </row>
    <row r="4984" spans="1:7" x14ac:dyDescent="0.3">
      <c r="A4984" t="s">
        <v>585</v>
      </c>
      <c r="B4984" t="s">
        <v>596</v>
      </c>
      <c r="D4984" s="7">
        <v>1</v>
      </c>
      <c r="E4984">
        <v>2020</v>
      </c>
      <c r="F4984">
        <v>2020</v>
      </c>
      <c r="G4984" t="str">
        <f>IFERROR(INDEX(Formulations[Formulation],MATCH($C4984,Formulations[Product Code],0)),"")</f>
        <v/>
      </c>
    </row>
    <row r="4985" spans="1:7" x14ac:dyDescent="0.3">
      <c r="A4985" t="s">
        <v>601</v>
      </c>
      <c r="B4985" t="s">
        <v>602</v>
      </c>
      <c r="C4985" t="s">
        <v>603</v>
      </c>
      <c r="D4985" s="7">
        <v>1</v>
      </c>
      <c r="E4985">
        <v>2021</v>
      </c>
      <c r="F4985">
        <v>2021</v>
      </c>
      <c r="G4985" t="str">
        <f>IFERROR(INDEX(Formulations[Formulation],MATCH($C4985,Formulations[Product Code],0)),"")</f>
        <v>Crystal</v>
      </c>
    </row>
    <row r="4986" spans="1:7" x14ac:dyDescent="0.3">
      <c r="A4986" t="s">
        <v>685</v>
      </c>
      <c r="B4986" t="s">
        <v>642</v>
      </c>
      <c r="D4986" s="7">
        <v>1</v>
      </c>
      <c r="E4986">
        <v>2019</v>
      </c>
      <c r="F4986">
        <v>2019</v>
      </c>
      <c r="G4986" t="str">
        <f>IFERROR(INDEX(Formulations[Formulation],MATCH($C4986,Formulations[Product Code],0)),"")</f>
        <v/>
      </c>
    </row>
    <row r="4987" spans="1:7" x14ac:dyDescent="0.3">
      <c r="A4987" t="s">
        <v>704</v>
      </c>
      <c r="B4987" t="s">
        <v>581</v>
      </c>
      <c r="C4987" t="s">
        <v>582</v>
      </c>
      <c r="D4987" s="7">
        <v>1</v>
      </c>
      <c r="E4987">
        <v>2018</v>
      </c>
      <c r="F4987">
        <v>2018</v>
      </c>
      <c r="G4987" t="str">
        <f>IFERROR(INDEX(Formulations[Formulation],MATCH($C4987,Formulations[Product Code],0)),"")</f>
        <v/>
      </c>
    </row>
    <row r="4988" spans="1:7" x14ac:dyDescent="0.3">
      <c r="A4988" t="s">
        <v>704</v>
      </c>
      <c r="B4988" t="s">
        <v>705</v>
      </c>
      <c r="C4988" t="s">
        <v>89</v>
      </c>
      <c r="D4988" s="7">
        <v>1</v>
      </c>
      <c r="E4988">
        <v>2019</v>
      </c>
      <c r="F4988">
        <v>2019</v>
      </c>
      <c r="G4988" t="str">
        <f>IFERROR(INDEX(Formulations[Formulation],MATCH($C4988,Formulations[Product Code],0)),"")</f>
        <v>Pure</v>
      </c>
    </row>
    <row r="4989" spans="1:7" x14ac:dyDescent="0.3">
      <c r="A4989" t="s">
        <v>704</v>
      </c>
      <c r="B4989" t="s">
        <v>180</v>
      </c>
      <c r="C4989" t="s">
        <v>181</v>
      </c>
      <c r="D4989" s="7">
        <v>1</v>
      </c>
      <c r="E4989">
        <v>2019</v>
      </c>
      <c r="F4989">
        <v>2019</v>
      </c>
      <c r="G4989" t="str">
        <f>IFERROR(INDEX(Formulations[Formulation],MATCH($C4989,Formulations[Product Code],0)),"")</f>
        <v/>
      </c>
    </row>
    <row r="4990" spans="1:7" x14ac:dyDescent="0.3">
      <c r="A4990" t="s">
        <v>704</v>
      </c>
      <c r="B4990" t="s">
        <v>297</v>
      </c>
      <c r="C4990" t="s">
        <v>298</v>
      </c>
      <c r="D4990" s="7">
        <v>1</v>
      </c>
      <c r="E4990">
        <v>2019</v>
      </c>
      <c r="F4990">
        <v>2019</v>
      </c>
      <c r="G4990" t="str">
        <f>IFERROR(INDEX(Formulations[Formulation],MATCH($C4990,Formulations[Product Code],0)),"")</f>
        <v>Pure</v>
      </c>
    </row>
    <row r="4991" spans="1:7" x14ac:dyDescent="0.3">
      <c r="A4991" t="s">
        <v>704</v>
      </c>
      <c r="B4991" t="s">
        <v>269</v>
      </c>
      <c r="C4991" t="s">
        <v>270</v>
      </c>
      <c r="D4991" s="7">
        <v>1</v>
      </c>
      <c r="E4991">
        <v>2019</v>
      </c>
      <c r="F4991">
        <v>2019</v>
      </c>
      <c r="G4991" t="str">
        <f>IFERROR(INDEX(Formulations[Formulation],MATCH($C4991,Formulations[Product Code],0)),"")</f>
        <v>Pure</v>
      </c>
    </row>
    <row r="4992" spans="1:7" x14ac:dyDescent="0.3">
      <c r="A4992" t="s">
        <v>704</v>
      </c>
      <c r="B4992" t="s">
        <v>149</v>
      </c>
      <c r="C4992" t="s">
        <v>150</v>
      </c>
      <c r="D4992" s="7">
        <v>1</v>
      </c>
      <c r="E4992">
        <v>2018</v>
      </c>
      <c r="F4992">
        <v>2018</v>
      </c>
      <c r="G4992" t="str">
        <f>IFERROR(INDEX(Formulations[Formulation],MATCH($C4992,Formulations[Product Code],0)),"")</f>
        <v/>
      </c>
    </row>
    <row r="4993" spans="1:7" x14ac:dyDescent="0.3">
      <c r="A4993" t="s">
        <v>704</v>
      </c>
      <c r="B4993" t="s">
        <v>159</v>
      </c>
      <c r="C4993" t="s">
        <v>160</v>
      </c>
      <c r="D4993" s="7">
        <v>1</v>
      </c>
      <c r="E4993">
        <v>2018</v>
      </c>
      <c r="F4993">
        <v>2018</v>
      </c>
      <c r="G4993" t="str">
        <f>IFERROR(INDEX(Formulations[Formulation],MATCH($C4993,Formulations[Product Code],0)),"")</f>
        <v>Silver</v>
      </c>
    </row>
    <row r="4994" spans="1:7" x14ac:dyDescent="0.3">
      <c r="A4994" t="s">
        <v>712</v>
      </c>
      <c r="B4994" t="s">
        <v>719</v>
      </c>
      <c r="C4994" t="s">
        <v>611</v>
      </c>
      <c r="D4994" s="7">
        <v>1</v>
      </c>
      <c r="E4994">
        <v>2010</v>
      </c>
      <c r="F4994">
        <v>2010</v>
      </c>
      <c r="G4994" t="str">
        <f>IFERROR(INDEX(Formulations[Formulation],MATCH($C4994,Formulations[Product Code],0)),"")</f>
        <v/>
      </c>
    </row>
    <row r="4995" spans="1:7" x14ac:dyDescent="0.3">
      <c r="A4995" t="s">
        <v>712</v>
      </c>
      <c r="B4995" t="s">
        <v>461</v>
      </c>
      <c r="D4995" s="7">
        <v>1</v>
      </c>
      <c r="E4995">
        <v>2017</v>
      </c>
      <c r="F4995">
        <v>2017</v>
      </c>
      <c r="G4995" t="str">
        <f>IFERROR(INDEX(Formulations[Formulation],MATCH($C4995,Formulations[Product Code],0)),"")</f>
        <v/>
      </c>
    </row>
    <row r="4996" spans="1:7" x14ac:dyDescent="0.3">
      <c r="A4996" t="s">
        <v>712</v>
      </c>
      <c r="B4996" t="s">
        <v>738</v>
      </c>
      <c r="C4996" t="s">
        <v>739</v>
      </c>
      <c r="D4996" s="7">
        <v>1</v>
      </c>
      <c r="E4996">
        <v>2010</v>
      </c>
      <c r="F4996">
        <v>2010</v>
      </c>
      <c r="G4996" t="str">
        <f>IFERROR(INDEX(Formulations[Formulation],MATCH($C4996,Formulations[Product Code],0)),"")</f>
        <v/>
      </c>
    </row>
    <row r="4997" spans="1:7" x14ac:dyDescent="0.3">
      <c r="A4997" t="s">
        <v>712</v>
      </c>
      <c r="B4997" t="s">
        <v>750</v>
      </c>
      <c r="C4997" t="s">
        <v>751</v>
      </c>
      <c r="D4997" s="7">
        <v>1</v>
      </c>
      <c r="E4997">
        <v>2010</v>
      </c>
      <c r="F4997">
        <v>2010</v>
      </c>
      <c r="G4997" t="str">
        <f>IFERROR(INDEX(Formulations[Formulation],MATCH($C4997,Formulations[Product Code],0)),"")</f>
        <v/>
      </c>
    </row>
    <row r="4998" spans="1:7" x14ac:dyDescent="0.3">
      <c r="A4998" t="s">
        <v>760</v>
      </c>
      <c r="B4998" t="s">
        <v>761</v>
      </c>
      <c r="D4998" s="7">
        <v>1</v>
      </c>
      <c r="E4998">
        <v>2018</v>
      </c>
      <c r="F4998">
        <v>2018</v>
      </c>
      <c r="G4998" t="str">
        <f>IFERROR(INDEX(Formulations[Formulation],MATCH($C4998,Formulations[Product Code],0)),"")</f>
        <v/>
      </c>
    </row>
    <row r="4999" spans="1:7" x14ac:dyDescent="0.3">
      <c r="A4999" t="s">
        <v>781</v>
      </c>
      <c r="B4999" t="s">
        <v>258</v>
      </c>
      <c r="C4999" t="s">
        <v>259</v>
      </c>
      <c r="D4999" s="7">
        <v>1</v>
      </c>
      <c r="E4999">
        <v>2019</v>
      </c>
      <c r="F4999">
        <v>2019</v>
      </c>
      <c r="G4999" t="str">
        <f>IFERROR(INDEX(Formulations[Formulation],MATCH($C4999,Formulations[Product Code],0)),"")</f>
        <v>Pure</v>
      </c>
    </row>
    <row r="5000" spans="1:7" x14ac:dyDescent="0.3">
      <c r="A5000" t="s">
        <v>816</v>
      </c>
      <c r="B5000" t="s">
        <v>589</v>
      </c>
      <c r="C5000" t="s">
        <v>590</v>
      </c>
      <c r="D5000" s="7">
        <v>1</v>
      </c>
      <c r="E5000">
        <v>2020</v>
      </c>
      <c r="F5000">
        <v>2020</v>
      </c>
      <c r="G5000" t="str">
        <f>IFERROR(INDEX(Formulations[Formulation],MATCH($C5000,Formulations[Product Code],0)),"")</f>
        <v>Bakhur : A285878- 90%, A243761-10%</v>
      </c>
    </row>
    <row r="5001" spans="1:7" x14ac:dyDescent="0.3">
      <c r="A5001" t="s">
        <v>816</v>
      </c>
      <c r="B5001" t="s">
        <v>248</v>
      </c>
      <c r="C5001" t="s">
        <v>249</v>
      </c>
      <c r="D5001" s="7">
        <v>1</v>
      </c>
      <c r="E5001">
        <v>2020</v>
      </c>
      <c r="F5001">
        <v>2020</v>
      </c>
      <c r="G5001" t="str">
        <f>IFERROR(INDEX(Formulations[Formulation],MATCH($C5001,Formulations[Product Code],0)),"")</f>
        <v>WS</v>
      </c>
    </row>
    <row r="5002" spans="1:7" x14ac:dyDescent="0.3">
      <c r="A5002" t="s">
        <v>816</v>
      </c>
      <c r="B5002" t="s">
        <v>538</v>
      </c>
      <c r="C5002" t="s">
        <v>539</v>
      </c>
      <c r="D5002" s="7">
        <v>1</v>
      </c>
      <c r="E5002">
        <v>2020</v>
      </c>
      <c r="F5002">
        <v>2020</v>
      </c>
      <c r="G5002" t="str">
        <f>IFERROR(INDEX(Formulations[Formulation],MATCH($C5002,Formulations[Product Code],0)),"")</f>
        <v>Gold</v>
      </c>
    </row>
    <row r="5003" spans="1:7" x14ac:dyDescent="0.3">
      <c r="A5003" t="s">
        <v>816</v>
      </c>
      <c r="B5003" t="s">
        <v>19</v>
      </c>
      <c r="C5003" t="s">
        <v>670</v>
      </c>
      <c r="D5003" s="7">
        <v>1</v>
      </c>
      <c r="E5003">
        <v>2020</v>
      </c>
      <c r="F5003">
        <v>2020</v>
      </c>
      <c r="G5003" t="str">
        <f>IFERROR(INDEX(Formulations[Formulation],MATCH($C5003,Formulations[Product Code],0)),"")</f>
        <v>Crystal</v>
      </c>
    </row>
    <row r="5004" spans="1:7" x14ac:dyDescent="0.3">
      <c r="A5004" t="s">
        <v>816</v>
      </c>
      <c r="B5004" t="s">
        <v>597</v>
      </c>
      <c r="C5004" t="s">
        <v>598</v>
      </c>
      <c r="D5004" s="7">
        <v>1</v>
      </c>
      <c r="E5004">
        <v>2020</v>
      </c>
      <c r="F5004">
        <v>2020</v>
      </c>
      <c r="G5004" t="str">
        <f>IFERROR(INDEX(Formulations[Formulation],MATCH($C5004,Formulations[Product Code],0)),"")</f>
        <v>Silver</v>
      </c>
    </row>
    <row r="5005" spans="1:7" x14ac:dyDescent="0.3">
      <c r="A5005" t="s">
        <v>816</v>
      </c>
      <c r="B5005" t="s">
        <v>817</v>
      </c>
      <c r="D5005" s="7">
        <v>1</v>
      </c>
      <c r="E5005">
        <v>2020</v>
      </c>
      <c r="F5005">
        <v>2020</v>
      </c>
      <c r="G5005" t="str">
        <f>IFERROR(INDEX(Formulations[Formulation],MATCH($C5005,Formulations[Product Code],0)),"")</f>
        <v/>
      </c>
    </row>
    <row r="5006" spans="1:7" x14ac:dyDescent="0.3">
      <c r="A5006" t="s">
        <v>818</v>
      </c>
      <c r="B5006" t="s">
        <v>84</v>
      </c>
      <c r="C5006" t="s">
        <v>85</v>
      </c>
      <c r="D5006" s="7">
        <v>1</v>
      </c>
      <c r="E5006">
        <v>2016</v>
      </c>
      <c r="F5006">
        <v>2016</v>
      </c>
      <c r="G5006" t="str">
        <f>IFERROR(INDEX(Formulations[Formulation],MATCH($C5006,Formulations[Product Code],0)),"")</f>
        <v>Pure</v>
      </c>
    </row>
    <row r="5007" spans="1:7" x14ac:dyDescent="0.3">
      <c r="A5007" t="s">
        <v>818</v>
      </c>
      <c r="B5007" t="s">
        <v>55</v>
      </c>
      <c r="D5007" s="7">
        <v>1</v>
      </c>
      <c r="E5007">
        <v>2019</v>
      </c>
      <c r="F5007">
        <v>2019</v>
      </c>
      <c r="G5007" t="str">
        <f>IFERROR(INDEX(Formulations[Formulation],MATCH($C5007,Formulations[Product Code],0)),"")</f>
        <v/>
      </c>
    </row>
    <row r="5008" spans="1:7" x14ac:dyDescent="0.3">
      <c r="A5008" t="s">
        <v>818</v>
      </c>
      <c r="B5008" t="s">
        <v>819</v>
      </c>
      <c r="C5008" t="s">
        <v>220</v>
      </c>
      <c r="D5008" s="7">
        <v>1</v>
      </c>
      <c r="E5008">
        <v>2018</v>
      </c>
      <c r="F5008">
        <v>2018</v>
      </c>
      <c r="G5008" t="str">
        <f>IFERROR(INDEX(Formulations[Formulation],MATCH($C5008,Formulations[Product Code],0)),"")</f>
        <v/>
      </c>
    </row>
    <row r="5009" spans="1:7" x14ac:dyDescent="0.3">
      <c r="A5009" t="s">
        <v>818</v>
      </c>
      <c r="B5009" t="s">
        <v>395</v>
      </c>
      <c r="D5009" s="7">
        <v>1</v>
      </c>
      <c r="E5009">
        <v>2017</v>
      </c>
      <c r="F5009">
        <v>2017</v>
      </c>
      <c r="G5009" t="str">
        <f>IFERROR(INDEX(Formulations[Formulation],MATCH($C5009,Formulations[Product Code],0)),"")</f>
        <v/>
      </c>
    </row>
    <row r="5010" spans="1:7" x14ac:dyDescent="0.3">
      <c r="A5010" t="s">
        <v>818</v>
      </c>
      <c r="B5010" t="s">
        <v>288</v>
      </c>
      <c r="C5010" t="s">
        <v>289</v>
      </c>
      <c r="D5010" s="7">
        <v>1</v>
      </c>
      <c r="E5010">
        <v>2016</v>
      </c>
      <c r="F5010">
        <v>2016</v>
      </c>
      <c r="G5010" t="str">
        <f>IFERROR(INDEX(Formulations[Formulation],MATCH($C5010,Formulations[Product Code],0)),"")</f>
        <v>L1212 Blanc by Lacoste (M) CP19035 -  (60%l1212) creed silver mountain 40% than make gold</v>
      </c>
    </row>
    <row r="5011" spans="1:7" x14ac:dyDescent="0.3">
      <c r="A5011" t="s">
        <v>818</v>
      </c>
      <c r="B5011" t="s">
        <v>95</v>
      </c>
      <c r="C5011" t="s">
        <v>96</v>
      </c>
      <c r="D5011" s="7">
        <v>1</v>
      </c>
      <c r="E5011">
        <v>2017</v>
      </c>
      <c r="F5011">
        <v>2017</v>
      </c>
      <c r="G5011" t="str">
        <f>IFERROR(INDEX(Formulations[Formulation],MATCH($C5011,Formulations[Product Code],0)),"")</f>
        <v>9.2 kg oil and rest dpg</v>
      </c>
    </row>
    <row r="5012" spans="1:7" x14ac:dyDescent="0.3">
      <c r="A5012" t="s">
        <v>818</v>
      </c>
      <c r="B5012" t="s">
        <v>560</v>
      </c>
      <c r="C5012" t="s">
        <v>561</v>
      </c>
      <c r="D5012" s="7">
        <v>1</v>
      </c>
      <c r="E5012">
        <v>2018</v>
      </c>
      <c r="F5012">
        <v>2018</v>
      </c>
      <c r="G5012" t="str">
        <f>IFERROR(INDEX(Formulations[Formulation],MATCH($C5012,Formulations[Product Code],0)),"")</f>
        <v/>
      </c>
    </row>
    <row r="5013" spans="1:7" x14ac:dyDescent="0.3">
      <c r="A5013" t="s">
        <v>818</v>
      </c>
      <c r="B5013" t="s">
        <v>514</v>
      </c>
      <c r="C5013" t="s">
        <v>515</v>
      </c>
      <c r="D5013" s="7">
        <v>1</v>
      </c>
      <c r="E5013">
        <v>2019</v>
      </c>
      <c r="F5013">
        <v>2019</v>
      </c>
      <c r="G5013" t="str">
        <f>IFERROR(INDEX(Formulations[Formulation],MATCH($C5013,Formulations[Product Code],0)),"")</f>
        <v>Crystal</v>
      </c>
    </row>
    <row r="5014" spans="1:7" x14ac:dyDescent="0.3">
      <c r="A5014" t="s">
        <v>818</v>
      </c>
      <c r="B5014" t="s">
        <v>103</v>
      </c>
      <c r="C5014" t="s">
        <v>104</v>
      </c>
      <c r="D5014" s="7">
        <v>1</v>
      </c>
      <c r="E5014">
        <v>2017</v>
      </c>
      <c r="F5014">
        <v>2017</v>
      </c>
      <c r="G5014" t="str">
        <f>IFERROR(INDEX(Formulations[Formulation],MATCH($C5014,Formulations[Product Code],0)),"")</f>
        <v>Pure</v>
      </c>
    </row>
    <row r="5015" spans="1:7" x14ac:dyDescent="0.3">
      <c r="A5015" t="s">
        <v>818</v>
      </c>
      <c r="B5015" t="s">
        <v>820</v>
      </c>
      <c r="C5015" t="s">
        <v>821</v>
      </c>
      <c r="D5015" s="7">
        <v>1</v>
      </c>
      <c r="E5015">
        <v>2018</v>
      </c>
      <c r="F5015">
        <v>2018</v>
      </c>
      <c r="G5015" t="str">
        <f>IFERROR(INDEX(Formulations[Formulation],MATCH($C5015,Formulations[Product Code],0)),"")</f>
        <v>Pure</v>
      </c>
    </row>
    <row r="5016" spans="1:7" x14ac:dyDescent="0.3">
      <c r="A5016" t="s">
        <v>818</v>
      </c>
      <c r="B5016" t="s">
        <v>406</v>
      </c>
      <c r="C5016" t="s">
        <v>407</v>
      </c>
      <c r="D5016" s="7">
        <v>1</v>
      </c>
      <c r="E5016">
        <v>2016</v>
      </c>
      <c r="F5016">
        <v>2016</v>
      </c>
      <c r="G5016" t="str">
        <f>IFERROR(INDEX(Formulations[Formulation],MATCH($C5016,Formulations[Product Code],0)),"")</f>
        <v/>
      </c>
    </row>
    <row r="5017" spans="1:7" x14ac:dyDescent="0.3">
      <c r="A5017" t="s">
        <v>818</v>
      </c>
      <c r="B5017" t="s">
        <v>142</v>
      </c>
      <c r="C5017" t="s">
        <v>143</v>
      </c>
      <c r="D5017" s="7">
        <v>1</v>
      </c>
      <c r="E5017">
        <v>2018</v>
      </c>
      <c r="F5017">
        <v>2018</v>
      </c>
      <c r="G5017" t="str">
        <f>IFERROR(INDEX(Formulations[Formulation],MATCH($C5017,Formulations[Product Code],0)),"")</f>
        <v>Pure</v>
      </c>
    </row>
    <row r="5018" spans="1:7" x14ac:dyDescent="0.3">
      <c r="A5018" t="s">
        <v>818</v>
      </c>
      <c r="B5018" t="s">
        <v>196</v>
      </c>
      <c r="C5018" t="s">
        <v>197</v>
      </c>
      <c r="D5018" s="7">
        <v>1</v>
      </c>
      <c r="E5018">
        <v>2018</v>
      </c>
      <c r="F5018">
        <v>2018</v>
      </c>
      <c r="G5018" t="str">
        <f>IFERROR(INDEX(Formulations[Formulation],MATCH($C5018,Formulations[Product Code],0)),"")</f>
        <v/>
      </c>
    </row>
    <row r="5019" spans="1:7" x14ac:dyDescent="0.3">
      <c r="A5019" t="s">
        <v>818</v>
      </c>
      <c r="B5019" t="s">
        <v>412</v>
      </c>
      <c r="C5019" t="s">
        <v>413</v>
      </c>
      <c r="D5019" s="7">
        <v>1</v>
      </c>
      <c r="E5019">
        <v>2016</v>
      </c>
      <c r="F5019">
        <v>2016</v>
      </c>
      <c r="G5019" t="str">
        <f>IFERROR(INDEX(Formulations[Formulation],MATCH($C5019,Formulations[Product Code],0)),"")</f>
        <v>40% oil &amp; 60 % DPG</v>
      </c>
    </row>
    <row r="5020" spans="1:7" x14ac:dyDescent="0.3">
      <c r="A5020" t="s">
        <v>818</v>
      </c>
      <c r="B5020" t="s">
        <v>320</v>
      </c>
      <c r="C5020" t="s">
        <v>414</v>
      </c>
      <c r="D5020" s="7">
        <v>1</v>
      </c>
      <c r="E5020">
        <v>2016</v>
      </c>
      <c r="F5020">
        <v>2016</v>
      </c>
      <c r="G5020" t="str">
        <f>IFERROR(INDEX(Formulations[Formulation],MATCH($C5020,Formulations[Product Code],0)),"")</f>
        <v/>
      </c>
    </row>
    <row r="5021" spans="1:7" x14ac:dyDescent="0.3">
      <c r="A5021" t="s">
        <v>818</v>
      </c>
      <c r="B5021" t="s">
        <v>807</v>
      </c>
      <c r="C5021" t="s">
        <v>515</v>
      </c>
      <c r="D5021" s="7">
        <v>1</v>
      </c>
      <c r="E5021">
        <v>2017</v>
      </c>
      <c r="F5021">
        <v>2017</v>
      </c>
      <c r="G5021" t="str">
        <f>IFERROR(INDEX(Formulations[Formulation],MATCH($C5021,Formulations[Product Code],0)),"")</f>
        <v>Crystal</v>
      </c>
    </row>
    <row r="5022" spans="1:7" x14ac:dyDescent="0.3">
      <c r="A5022" t="s">
        <v>827</v>
      </c>
      <c r="B5022" t="s">
        <v>828</v>
      </c>
      <c r="D5022" s="7">
        <v>1</v>
      </c>
      <c r="E5022">
        <v>2016</v>
      </c>
      <c r="F5022">
        <v>2016</v>
      </c>
      <c r="G5022" t="str">
        <f>IFERROR(INDEX(Formulations[Formulation],MATCH($C5022,Formulations[Product Code],0)),"")</f>
        <v/>
      </c>
    </row>
    <row r="5023" spans="1:7" x14ac:dyDescent="0.3">
      <c r="A5023" t="s">
        <v>829</v>
      </c>
      <c r="B5023" t="s">
        <v>34</v>
      </c>
      <c r="D5023" s="7">
        <v>1</v>
      </c>
      <c r="E5023">
        <v>2018</v>
      </c>
      <c r="F5023">
        <v>2018</v>
      </c>
      <c r="G5023" t="str">
        <f>IFERROR(INDEX(Formulations[Formulation],MATCH($C5023,Formulations[Product Code],0)),"")</f>
        <v/>
      </c>
    </row>
    <row r="5024" spans="1:7" x14ac:dyDescent="0.3">
      <c r="A5024" t="s">
        <v>840</v>
      </c>
      <c r="B5024" t="s">
        <v>665</v>
      </c>
      <c r="D5024" s="7">
        <v>1</v>
      </c>
      <c r="E5024">
        <v>2021</v>
      </c>
      <c r="F5024">
        <v>2021</v>
      </c>
      <c r="G5024" t="str">
        <f>IFERROR(INDEX(Formulations[Formulation],MATCH($C5024,Formulations[Product Code],0)),"")</f>
        <v/>
      </c>
    </row>
    <row r="5025" spans="1:7" x14ac:dyDescent="0.3">
      <c r="A5025" t="s">
        <v>840</v>
      </c>
      <c r="B5025" t="s">
        <v>453</v>
      </c>
      <c r="D5025" s="7">
        <v>1</v>
      </c>
      <c r="E5025">
        <v>2021</v>
      </c>
      <c r="F5025">
        <v>2021</v>
      </c>
      <c r="G5025" t="str">
        <f>IFERROR(INDEX(Formulations[Formulation],MATCH($C5025,Formulations[Product Code],0)),"")</f>
        <v/>
      </c>
    </row>
    <row r="5026" spans="1:7" x14ac:dyDescent="0.3">
      <c r="A5026" t="s">
        <v>840</v>
      </c>
      <c r="B5026" t="s">
        <v>676</v>
      </c>
      <c r="D5026" s="7">
        <v>1</v>
      </c>
      <c r="E5026">
        <v>2021</v>
      </c>
      <c r="F5026">
        <v>2021</v>
      </c>
      <c r="G5026" t="str">
        <f>IFERROR(INDEX(Formulations[Formulation],MATCH($C5026,Formulations[Product Code],0)),"")</f>
        <v/>
      </c>
    </row>
    <row r="5027" spans="1:7" x14ac:dyDescent="0.3">
      <c r="A5027" t="s">
        <v>869</v>
      </c>
      <c r="B5027" t="s">
        <v>871</v>
      </c>
      <c r="D5027" s="7">
        <v>1</v>
      </c>
      <c r="E5027">
        <v>2019</v>
      </c>
      <c r="F5027">
        <v>2019</v>
      </c>
      <c r="G5027" t="str">
        <f>IFERROR(INDEX(Formulations[Formulation],MATCH($C5027,Formulations[Product Code],0)),"")</f>
        <v/>
      </c>
    </row>
    <row r="5028" spans="1:7" x14ac:dyDescent="0.3">
      <c r="A5028" t="s">
        <v>869</v>
      </c>
      <c r="B5028" t="s">
        <v>872</v>
      </c>
      <c r="D5028" s="7">
        <v>1</v>
      </c>
      <c r="E5028">
        <v>2019</v>
      </c>
      <c r="F5028">
        <v>2019</v>
      </c>
      <c r="G5028" t="str">
        <f>IFERROR(INDEX(Formulations[Formulation],MATCH($C5028,Formulations[Product Code],0)),"")</f>
        <v/>
      </c>
    </row>
    <row r="5029" spans="1:7" x14ac:dyDescent="0.3">
      <c r="A5029" t="s">
        <v>873</v>
      </c>
      <c r="B5029" t="s">
        <v>297</v>
      </c>
      <c r="C5029" t="s">
        <v>298</v>
      </c>
      <c r="D5029" s="7">
        <v>1</v>
      </c>
      <c r="E5029">
        <v>2012</v>
      </c>
      <c r="F5029">
        <v>2012</v>
      </c>
      <c r="G5029" t="str">
        <f>IFERROR(INDEX(Formulations[Formulation],MATCH($C5029,Formulations[Product Code],0)),"")</f>
        <v>Pure</v>
      </c>
    </row>
    <row r="5030" spans="1:7" x14ac:dyDescent="0.3">
      <c r="A5030" t="s">
        <v>873</v>
      </c>
      <c r="B5030" t="s">
        <v>21</v>
      </c>
      <c r="C5030" t="s">
        <v>22</v>
      </c>
      <c r="D5030" s="7">
        <v>1</v>
      </c>
      <c r="E5030">
        <v>2012</v>
      </c>
      <c r="F5030">
        <v>2012</v>
      </c>
      <c r="G5030" t="str">
        <f>IFERROR(INDEX(Formulations[Formulation],MATCH($C5030,Formulations[Product Code],0)),"")</f>
        <v>Crystal</v>
      </c>
    </row>
    <row r="5031" spans="1:7" x14ac:dyDescent="0.3">
      <c r="A5031" t="s">
        <v>884</v>
      </c>
      <c r="B5031" t="s">
        <v>41</v>
      </c>
      <c r="C5031" t="s">
        <v>42</v>
      </c>
      <c r="D5031" s="7">
        <v>1</v>
      </c>
      <c r="E5031">
        <v>2017</v>
      </c>
      <c r="F5031">
        <v>2017</v>
      </c>
      <c r="G5031" t="str">
        <f>IFERROR(INDEX(Formulations[Formulation],MATCH($C5031,Formulations[Product Code],0)),"")</f>
        <v/>
      </c>
    </row>
    <row r="5032" spans="1:7" x14ac:dyDescent="0.3">
      <c r="A5032" t="s">
        <v>884</v>
      </c>
      <c r="B5032" t="s">
        <v>46</v>
      </c>
      <c r="C5032" t="s">
        <v>47</v>
      </c>
      <c r="D5032" s="7">
        <v>1</v>
      </c>
      <c r="E5032">
        <v>2017</v>
      </c>
      <c r="F5032">
        <v>2017</v>
      </c>
      <c r="G5032" t="str">
        <f>IFERROR(INDEX(Formulations[Formulation],MATCH($C5032,Formulations[Product Code],0)),"")</f>
        <v/>
      </c>
    </row>
    <row r="5033" spans="1:7" x14ac:dyDescent="0.3">
      <c r="A5033" t="s">
        <v>904</v>
      </c>
      <c r="B5033" t="s">
        <v>37</v>
      </c>
      <c r="D5033" s="7">
        <v>1</v>
      </c>
      <c r="E5033">
        <v>2021</v>
      </c>
      <c r="F5033">
        <v>2021</v>
      </c>
      <c r="G5033" t="str">
        <f>IFERROR(INDEX(Formulations[Formulation],MATCH($C5033,Formulations[Product Code],0)),"")</f>
        <v/>
      </c>
    </row>
    <row r="5034" spans="1:7" x14ac:dyDescent="0.3">
      <c r="A5034" t="s">
        <v>923</v>
      </c>
      <c r="B5034" t="s">
        <v>348</v>
      </c>
      <c r="C5034" t="s">
        <v>347</v>
      </c>
      <c r="D5034" s="7">
        <v>1</v>
      </c>
      <c r="E5034">
        <v>2020</v>
      </c>
      <c r="F5034">
        <v>2020</v>
      </c>
      <c r="G5034" t="str">
        <f>IFERROR(INDEX(Formulations[Formulation],MATCH($C5034,Formulations[Product Code],0)),"")</f>
        <v>Pure</v>
      </c>
    </row>
    <row r="5035" spans="1:7" x14ac:dyDescent="0.3">
      <c r="A5035" t="s">
        <v>936</v>
      </c>
      <c r="B5035" t="s">
        <v>928</v>
      </c>
      <c r="C5035" t="s">
        <v>929</v>
      </c>
      <c r="D5035" s="7">
        <v>1</v>
      </c>
      <c r="E5035">
        <v>2016</v>
      </c>
      <c r="F5035">
        <v>2016</v>
      </c>
      <c r="G5035" t="str">
        <f>IFERROR(INDEX(Formulations[Formulation],MATCH($C5035,Formulations[Product Code],0)),"")</f>
        <v/>
      </c>
    </row>
    <row r="5036" spans="1:7" x14ac:dyDescent="0.3">
      <c r="A5036" t="s">
        <v>936</v>
      </c>
      <c r="B5036" t="s">
        <v>937</v>
      </c>
      <c r="C5036" t="s">
        <v>121</v>
      </c>
      <c r="D5036" s="7">
        <v>1</v>
      </c>
      <c r="E5036">
        <v>2016</v>
      </c>
      <c r="F5036">
        <v>2016</v>
      </c>
      <c r="G5036" t="str">
        <f>IFERROR(INDEX(Formulations[Formulation],MATCH($C5036,Formulations[Product Code],0)),"")</f>
        <v/>
      </c>
    </row>
    <row r="5037" spans="1:7" x14ac:dyDescent="0.3">
      <c r="A5037" t="s">
        <v>936</v>
      </c>
      <c r="B5037" t="s">
        <v>318</v>
      </c>
      <c r="C5037" t="s">
        <v>319</v>
      </c>
      <c r="D5037" s="7">
        <v>1</v>
      </c>
      <c r="E5037">
        <v>2016</v>
      </c>
      <c r="F5037">
        <v>2016</v>
      </c>
      <c r="G5037" t="str">
        <f>IFERROR(INDEX(Formulations[Formulation],MATCH($C5037,Formulations[Product Code],0)),"")</f>
        <v>Pure</v>
      </c>
    </row>
    <row r="5038" spans="1:7" x14ac:dyDescent="0.3">
      <c r="A5038" t="s">
        <v>938</v>
      </c>
      <c r="B5038" t="s">
        <v>668</v>
      </c>
      <c r="C5038" t="s">
        <v>669</v>
      </c>
      <c r="D5038" s="7">
        <v>1</v>
      </c>
      <c r="E5038">
        <v>2021</v>
      </c>
      <c r="F5038">
        <v>2021</v>
      </c>
      <c r="G5038" t="str">
        <f>IFERROR(INDEX(Formulations[Formulation],MATCH($C5038,Formulations[Product Code],0)),"")</f>
        <v>Crystal</v>
      </c>
    </row>
    <row r="5039" spans="1:7" x14ac:dyDescent="0.3">
      <c r="A5039" t="s">
        <v>938</v>
      </c>
      <c r="B5039" t="s">
        <v>939</v>
      </c>
      <c r="C5039" t="s">
        <v>940</v>
      </c>
      <c r="D5039" s="7">
        <v>1</v>
      </c>
      <c r="E5039">
        <v>2021</v>
      </c>
      <c r="F5039">
        <v>2021</v>
      </c>
      <c r="G5039" t="str">
        <f>IFERROR(INDEX(Formulations[Formulation],MATCH($C5039,Formulations[Product Code],0)),"")</f>
        <v>Crystal</v>
      </c>
    </row>
    <row r="5040" spans="1:7" x14ac:dyDescent="0.3">
      <c r="A5040" t="s">
        <v>938</v>
      </c>
      <c r="B5040" t="s">
        <v>110</v>
      </c>
      <c r="C5040" t="s">
        <v>111</v>
      </c>
      <c r="D5040" s="7">
        <v>1</v>
      </c>
      <c r="E5040">
        <v>2021</v>
      </c>
      <c r="F5040">
        <v>2021</v>
      </c>
      <c r="G5040" t="str">
        <f>IFERROR(INDEX(Formulations[Formulation],MATCH($C5040,Formulations[Product Code],0)),"")</f>
        <v>75% Lemon Zeste, 25% lemon Top &amp; the Gold DPG)</v>
      </c>
    </row>
    <row r="5041" spans="1:7" x14ac:dyDescent="0.3">
      <c r="A5041" t="s">
        <v>938</v>
      </c>
      <c r="B5041" t="s">
        <v>674</v>
      </c>
      <c r="C5041" t="s">
        <v>675</v>
      </c>
      <c r="D5041" s="7">
        <v>1</v>
      </c>
      <c r="E5041">
        <v>2021</v>
      </c>
      <c r="F5041">
        <v>2021</v>
      </c>
      <c r="G5041" t="str">
        <f>IFERROR(INDEX(Formulations[Formulation],MATCH($C5041,Formulations[Product Code],0)),"")</f>
        <v>Crystal</v>
      </c>
    </row>
    <row r="5042" spans="1:7" x14ac:dyDescent="0.3">
      <c r="A5042" t="s">
        <v>944</v>
      </c>
      <c r="B5042" t="s">
        <v>945</v>
      </c>
      <c r="C5042" t="s">
        <v>946</v>
      </c>
      <c r="D5042" s="7">
        <v>1</v>
      </c>
      <c r="E5042">
        <v>2010</v>
      </c>
      <c r="F5042">
        <v>2010</v>
      </c>
      <c r="G5042" t="str">
        <f>IFERROR(INDEX(Formulations[Formulation],MATCH($C5042,Formulations[Product Code],0)),"")</f>
        <v/>
      </c>
    </row>
    <row r="5043" spans="1:7" x14ac:dyDescent="0.3">
      <c r="A5043" t="s">
        <v>944</v>
      </c>
      <c r="B5043" t="s">
        <v>952</v>
      </c>
      <c r="C5043" t="s">
        <v>953</v>
      </c>
      <c r="D5043" s="7">
        <v>1</v>
      </c>
      <c r="E5043">
        <v>2010</v>
      </c>
      <c r="F5043">
        <v>2010</v>
      </c>
      <c r="G5043" t="str">
        <f>IFERROR(INDEX(Formulations[Formulation],MATCH($C5043,Formulations[Product Code],0)),"")</f>
        <v/>
      </c>
    </row>
    <row r="5044" spans="1:7" x14ac:dyDescent="0.3">
      <c r="A5044" t="s">
        <v>944</v>
      </c>
      <c r="B5044" t="s">
        <v>538</v>
      </c>
      <c r="C5044" t="s">
        <v>539</v>
      </c>
      <c r="D5044" s="7">
        <v>1</v>
      </c>
      <c r="E5044">
        <v>2010</v>
      </c>
      <c r="F5044">
        <v>2010</v>
      </c>
      <c r="G5044" t="str">
        <f>IFERROR(INDEX(Formulations[Formulation],MATCH($C5044,Formulations[Product Code],0)),"")</f>
        <v>Gold</v>
      </c>
    </row>
    <row r="5045" spans="1:7" x14ac:dyDescent="0.3">
      <c r="A5045" t="s">
        <v>944</v>
      </c>
      <c r="B5045" t="s">
        <v>957</v>
      </c>
      <c r="C5045" t="s">
        <v>958</v>
      </c>
      <c r="D5045" s="7">
        <v>1</v>
      </c>
      <c r="E5045">
        <v>2010</v>
      </c>
      <c r="F5045">
        <v>2010</v>
      </c>
      <c r="G5045" t="str">
        <f>IFERROR(INDEX(Formulations[Formulation],MATCH($C5045,Formulations[Product Code],0)),"")</f>
        <v/>
      </c>
    </row>
    <row r="5046" spans="1:7" x14ac:dyDescent="0.3">
      <c r="A5046" t="s">
        <v>944</v>
      </c>
      <c r="B5046" t="s">
        <v>959</v>
      </c>
      <c r="C5046" t="s">
        <v>960</v>
      </c>
      <c r="D5046" s="7">
        <v>1</v>
      </c>
      <c r="E5046">
        <v>2010</v>
      </c>
      <c r="F5046">
        <v>2010</v>
      </c>
      <c r="G5046" t="str">
        <f>IFERROR(INDEX(Formulations[Formulation],MATCH($C5046,Formulations[Product Code],0)),"")</f>
        <v/>
      </c>
    </row>
    <row r="5047" spans="1:7" x14ac:dyDescent="0.3">
      <c r="A5047" t="s">
        <v>944</v>
      </c>
      <c r="B5047" t="s">
        <v>962</v>
      </c>
      <c r="C5047" t="s">
        <v>963</v>
      </c>
      <c r="D5047" s="7">
        <v>1</v>
      </c>
      <c r="E5047">
        <v>2010</v>
      </c>
      <c r="F5047">
        <v>2010</v>
      </c>
      <c r="G5047" t="str">
        <f>IFERROR(INDEX(Formulations[Formulation],MATCH($C5047,Formulations[Product Code],0)),"")</f>
        <v/>
      </c>
    </row>
    <row r="5048" spans="1:7" x14ac:dyDescent="0.3">
      <c r="A5048" t="s">
        <v>944</v>
      </c>
      <c r="B5048" t="s">
        <v>964</v>
      </c>
      <c r="C5048" t="s">
        <v>965</v>
      </c>
      <c r="D5048" s="7">
        <v>1</v>
      </c>
      <c r="E5048">
        <v>2010</v>
      </c>
      <c r="F5048">
        <v>2010</v>
      </c>
      <c r="G5048" t="str">
        <f>IFERROR(INDEX(Formulations[Formulation],MATCH($C5048,Formulations[Product Code],0)),"")</f>
        <v/>
      </c>
    </row>
    <row r="5049" spans="1:7" x14ac:dyDescent="0.3">
      <c r="A5049" t="s">
        <v>944</v>
      </c>
      <c r="B5049" t="s">
        <v>103</v>
      </c>
      <c r="C5049" t="s">
        <v>104</v>
      </c>
      <c r="D5049" s="7">
        <v>1</v>
      </c>
      <c r="E5049">
        <v>2010</v>
      </c>
      <c r="F5049">
        <v>2010</v>
      </c>
      <c r="G5049" t="str">
        <f>IFERROR(INDEX(Formulations[Formulation],MATCH($C5049,Formulations[Product Code],0)),"")</f>
        <v>Pure</v>
      </c>
    </row>
    <row r="5050" spans="1:7" x14ac:dyDescent="0.3">
      <c r="A5050" t="s">
        <v>944</v>
      </c>
      <c r="B5050" t="s">
        <v>966</v>
      </c>
      <c r="C5050" t="s">
        <v>967</v>
      </c>
      <c r="D5050" s="7">
        <v>1</v>
      </c>
      <c r="E5050">
        <v>2010</v>
      </c>
      <c r="F5050">
        <v>2010</v>
      </c>
      <c r="G5050" t="str">
        <f>IFERROR(INDEX(Formulations[Formulation],MATCH($C5050,Formulations[Product Code],0)),"")</f>
        <v/>
      </c>
    </row>
    <row r="5051" spans="1:7" x14ac:dyDescent="0.3">
      <c r="A5051" t="s">
        <v>944</v>
      </c>
      <c r="B5051" t="s">
        <v>297</v>
      </c>
      <c r="C5051" t="s">
        <v>968</v>
      </c>
      <c r="D5051" s="7">
        <v>1</v>
      </c>
      <c r="E5051">
        <v>2010</v>
      </c>
      <c r="F5051">
        <v>2010</v>
      </c>
      <c r="G5051" t="str">
        <f>IFERROR(INDEX(Formulations[Formulation],MATCH($C5051,Formulations[Product Code],0)),"")</f>
        <v/>
      </c>
    </row>
    <row r="5052" spans="1:7" x14ac:dyDescent="0.3">
      <c r="A5052" t="s">
        <v>944</v>
      </c>
      <c r="B5052" t="s">
        <v>969</v>
      </c>
      <c r="C5052" t="s">
        <v>970</v>
      </c>
      <c r="D5052" s="7">
        <v>1</v>
      </c>
      <c r="E5052">
        <v>2010</v>
      </c>
      <c r="F5052">
        <v>2010</v>
      </c>
      <c r="G5052" t="str">
        <f>IFERROR(INDEX(Formulations[Formulation],MATCH($C5052,Formulations[Product Code],0)),"")</f>
        <v/>
      </c>
    </row>
    <row r="5053" spans="1:7" x14ac:dyDescent="0.3">
      <c r="A5053" t="s">
        <v>944</v>
      </c>
      <c r="B5053" t="s">
        <v>691</v>
      </c>
      <c r="C5053" t="s">
        <v>692</v>
      </c>
      <c r="D5053" s="7">
        <v>1</v>
      </c>
      <c r="E5053">
        <v>2010</v>
      </c>
      <c r="F5053">
        <v>2010</v>
      </c>
      <c r="G5053" t="str">
        <f>IFERROR(INDEX(Formulations[Formulation],MATCH($C5053,Formulations[Product Code],0)),"")</f>
        <v/>
      </c>
    </row>
    <row r="5054" spans="1:7" x14ac:dyDescent="0.3">
      <c r="A5054" t="s">
        <v>944</v>
      </c>
      <c r="B5054" t="s">
        <v>972</v>
      </c>
      <c r="C5054" t="s">
        <v>80</v>
      </c>
      <c r="D5054" s="7">
        <v>1</v>
      </c>
      <c r="E5054">
        <v>2010</v>
      </c>
      <c r="F5054">
        <v>2010</v>
      </c>
      <c r="G5054" t="str">
        <f>IFERROR(INDEX(Formulations[Formulation],MATCH($C5054,Formulations[Product Code],0)),"")</f>
        <v>Pure</v>
      </c>
    </row>
    <row r="5055" spans="1:7" x14ac:dyDescent="0.3">
      <c r="A5055" t="s">
        <v>944</v>
      </c>
      <c r="B5055" t="s">
        <v>975</v>
      </c>
      <c r="C5055" t="s">
        <v>976</v>
      </c>
      <c r="D5055" s="7">
        <v>1</v>
      </c>
      <c r="E5055">
        <v>2010</v>
      </c>
      <c r="F5055">
        <v>2010</v>
      </c>
      <c r="G5055" t="str">
        <f>IFERROR(INDEX(Formulations[Formulation],MATCH($C5055,Formulations[Product Code],0)),"")</f>
        <v/>
      </c>
    </row>
    <row r="5056" spans="1:7" x14ac:dyDescent="0.3">
      <c r="A5056" t="s">
        <v>944</v>
      </c>
      <c r="B5056" t="s">
        <v>979</v>
      </c>
      <c r="C5056" t="s">
        <v>980</v>
      </c>
      <c r="D5056" s="7">
        <v>1</v>
      </c>
      <c r="E5056">
        <v>2010</v>
      </c>
      <c r="F5056">
        <v>2010</v>
      </c>
      <c r="G5056" t="str">
        <f>IFERROR(INDEX(Formulations[Formulation],MATCH($C5056,Formulations[Product Code],0)),"")</f>
        <v/>
      </c>
    </row>
    <row r="5057" spans="1:7" x14ac:dyDescent="0.3">
      <c r="A5057" t="s">
        <v>944</v>
      </c>
      <c r="B5057" t="s">
        <v>981</v>
      </c>
      <c r="C5057" t="s">
        <v>982</v>
      </c>
      <c r="D5057" s="7">
        <v>1</v>
      </c>
      <c r="E5057">
        <v>2010</v>
      </c>
      <c r="F5057">
        <v>2010</v>
      </c>
      <c r="G5057" t="str">
        <f>IFERROR(INDEX(Formulations[Formulation],MATCH($C5057,Formulations[Product Code],0)),"")</f>
        <v/>
      </c>
    </row>
    <row r="5058" spans="1:7" x14ac:dyDescent="0.3">
      <c r="A5058" t="s">
        <v>944</v>
      </c>
      <c r="B5058" t="s">
        <v>983</v>
      </c>
      <c r="C5058" t="s">
        <v>984</v>
      </c>
      <c r="D5058" s="7">
        <v>1</v>
      </c>
      <c r="E5058">
        <v>2010</v>
      </c>
      <c r="F5058">
        <v>2010</v>
      </c>
      <c r="G5058" t="str">
        <f>IFERROR(INDEX(Formulations[Formulation],MATCH($C5058,Formulations[Product Code],0)),"")</f>
        <v/>
      </c>
    </row>
    <row r="5059" spans="1:7" x14ac:dyDescent="0.3">
      <c r="A5059" t="s">
        <v>944</v>
      </c>
      <c r="B5059" t="s">
        <v>985</v>
      </c>
      <c r="C5059" t="s">
        <v>986</v>
      </c>
      <c r="D5059" s="7">
        <v>1</v>
      </c>
      <c r="E5059">
        <v>2010</v>
      </c>
      <c r="F5059">
        <v>2010</v>
      </c>
      <c r="G5059" t="str">
        <f>IFERROR(INDEX(Formulations[Formulation],MATCH($C5059,Formulations[Product Code],0)),"")</f>
        <v/>
      </c>
    </row>
    <row r="5060" spans="1:7" x14ac:dyDescent="0.3">
      <c r="A5060" t="s">
        <v>1000</v>
      </c>
      <c r="B5060" t="s">
        <v>51</v>
      </c>
      <c r="C5060" t="s">
        <v>52</v>
      </c>
      <c r="D5060" s="7">
        <v>1</v>
      </c>
      <c r="E5060">
        <v>2019</v>
      </c>
      <c r="F5060">
        <v>2019</v>
      </c>
      <c r="G5060" t="str">
        <f>IFERROR(INDEX(Formulations[Formulation],MATCH($C5060,Formulations[Product Code],0)),"")</f>
        <v>Silver</v>
      </c>
    </row>
    <row r="5061" spans="1:7" x14ac:dyDescent="0.3">
      <c r="A5061" t="s">
        <v>1000</v>
      </c>
      <c r="B5061" t="s">
        <v>631</v>
      </c>
      <c r="C5061" t="s">
        <v>632</v>
      </c>
      <c r="D5061" s="7">
        <v>1</v>
      </c>
      <c r="E5061">
        <v>2019</v>
      </c>
      <c r="F5061">
        <v>2019</v>
      </c>
      <c r="G5061" t="str">
        <f>IFERROR(INDEX(Formulations[Formulation],MATCH($C5061,Formulations[Product Code],0)),"")</f>
        <v/>
      </c>
    </row>
    <row r="5062" spans="1:7" x14ac:dyDescent="0.3">
      <c r="A5062" t="s">
        <v>1000</v>
      </c>
      <c r="B5062" t="s">
        <v>995</v>
      </c>
      <c r="C5062" t="s">
        <v>672</v>
      </c>
      <c r="D5062" s="7">
        <v>1</v>
      </c>
      <c r="E5062">
        <v>2019</v>
      </c>
      <c r="F5062">
        <v>2019</v>
      </c>
      <c r="G5062" t="str">
        <f>IFERROR(INDEX(Formulations[Formulation],MATCH($C5062,Formulations[Product Code],0)),"")</f>
        <v>Pure</v>
      </c>
    </row>
    <row r="5063" spans="1:7" x14ac:dyDescent="0.3">
      <c r="A5063" t="s">
        <v>1000</v>
      </c>
      <c r="B5063" t="s">
        <v>117</v>
      </c>
      <c r="C5063" t="s">
        <v>118</v>
      </c>
      <c r="D5063" s="7">
        <v>1</v>
      </c>
      <c r="E5063">
        <v>2019</v>
      </c>
      <c r="F5063">
        <v>2019</v>
      </c>
      <c r="G5063" t="str">
        <f>IFERROR(INDEX(Formulations[Formulation],MATCH($C5063,Formulations[Product Code],0)),"")</f>
        <v>Silver</v>
      </c>
    </row>
    <row r="5064" spans="1:7" x14ac:dyDescent="0.3">
      <c r="A5064" t="s">
        <v>1092</v>
      </c>
      <c r="B5064" t="s">
        <v>82</v>
      </c>
      <c r="C5064" t="s">
        <v>83</v>
      </c>
      <c r="D5064" s="7">
        <v>1</v>
      </c>
      <c r="E5064">
        <v>2018</v>
      </c>
      <c r="F5064">
        <v>2018</v>
      </c>
      <c r="G5064" t="str">
        <f>IFERROR(INDEX(Formulations[Formulation],MATCH($C5064,Formulations[Product Code],0)),"")</f>
        <v>Pure</v>
      </c>
    </row>
    <row r="5065" spans="1:7" x14ac:dyDescent="0.3">
      <c r="A5065" t="s">
        <v>1092</v>
      </c>
      <c r="B5065" t="s">
        <v>395</v>
      </c>
      <c r="D5065" s="7">
        <v>1</v>
      </c>
      <c r="E5065">
        <v>2018</v>
      </c>
      <c r="F5065">
        <v>2018</v>
      </c>
      <c r="G5065" t="str">
        <f>IFERROR(INDEX(Formulations[Formulation],MATCH($C5065,Formulations[Product Code],0)),"")</f>
        <v/>
      </c>
    </row>
    <row r="5066" spans="1:7" x14ac:dyDescent="0.3">
      <c r="A5066" t="s">
        <v>1147</v>
      </c>
      <c r="B5066" t="s">
        <v>60</v>
      </c>
      <c r="C5066" t="s">
        <v>61</v>
      </c>
      <c r="D5066" s="7">
        <v>1</v>
      </c>
      <c r="E5066">
        <v>2018</v>
      </c>
      <c r="F5066">
        <v>2018</v>
      </c>
      <c r="G5066" t="str">
        <f>IFERROR(INDEX(Formulations[Formulation],MATCH($C5066,Formulations[Product Code],0)),"")</f>
        <v>Pure</v>
      </c>
    </row>
    <row r="5067" spans="1:7" x14ac:dyDescent="0.3">
      <c r="A5067" t="s">
        <v>1150</v>
      </c>
      <c r="B5067" t="s">
        <v>453</v>
      </c>
      <c r="D5067" s="7">
        <v>1</v>
      </c>
      <c r="E5067">
        <v>2021</v>
      </c>
      <c r="F5067">
        <v>2021</v>
      </c>
      <c r="G5067" t="str">
        <f>IFERROR(INDEX(Formulations[Formulation],MATCH($C5067,Formulations[Product Code],0)),"")</f>
        <v/>
      </c>
    </row>
    <row r="5068" spans="1:7" x14ac:dyDescent="0.3">
      <c r="A5068" t="s">
        <v>1157</v>
      </c>
      <c r="B5068" t="s">
        <v>1158</v>
      </c>
      <c r="C5068" t="s">
        <v>1159</v>
      </c>
      <c r="D5068" s="7">
        <v>1</v>
      </c>
      <c r="E5068">
        <v>2014</v>
      </c>
      <c r="F5068">
        <v>2014</v>
      </c>
      <c r="G5068" t="str">
        <f>IFERROR(INDEX(Formulations[Formulation],MATCH($C5068,Formulations[Product Code],0)),"")</f>
        <v/>
      </c>
    </row>
    <row r="5069" spans="1:7" x14ac:dyDescent="0.3">
      <c r="A5069" t="s">
        <v>1157</v>
      </c>
      <c r="B5069" t="s">
        <v>1160</v>
      </c>
      <c r="C5069" t="s">
        <v>1161</v>
      </c>
      <c r="D5069" s="7">
        <v>1</v>
      </c>
      <c r="E5069">
        <v>2014</v>
      </c>
      <c r="F5069">
        <v>2014</v>
      </c>
      <c r="G5069" t="str">
        <f>IFERROR(INDEX(Formulations[Formulation],MATCH($C5069,Formulations[Product Code],0)),"")</f>
        <v/>
      </c>
    </row>
    <row r="5070" spans="1:7" x14ac:dyDescent="0.3">
      <c r="A5070" t="s">
        <v>1164</v>
      </c>
      <c r="B5070" t="s">
        <v>532</v>
      </c>
      <c r="C5070" t="s">
        <v>452</v>
      </c>
      <c r="D5070" s="7">
        <v>1</v>
      </c>
      <c r="E5070">
        <v>2021</v>
      </c>
      <c r="F5070">
        <v>2021</v>
      </c>
      <c r="G5070" t="str">
        <f>IFERROR(INDEX(Formulations[Formulation],MATCH($C5070,Formulations[Product Code],0)),"")</f>
        <v>Crystal</v>
      </c>
    </row>
    <row r="5071" spans="1:7" x14ac:dyDescent="0.3">
      <c r="A5071" t="s">
        <v>1164</v>
      </c>
      <c r="B5071" t="s">
        <v>635</v>
      </c>
      <c r="C5071" t="s">
        <v>636</v>
      </c>
      <c r="D5071" s="7">
        <v>1</v>
      </c>
      <c r="E5071">
        <v>2021</v>
      </c>
      <c r="F5071">
        <v>2021</v>
      </c>
      <c r="G5071" t="str">
        <f>IFERROR(INDEX(Formulations[Formulation],MATCH($C5071,Formulations[Product Code],0)),"")</f>
        <v>Pure</v>
      </c>
    </row>
    <row r="5072" spans="1:7" x14ac:dyDescent="0.3">
      <c r="A5072" t="s">
        <v>1164</v>
      </c>
      <c r="B5072" t="s">
        <v>483</v>
      </c>
      <c r="C5072" t="s">
        <v>484</v>
      </c>
      <c r="D5072" s="7">
        <v>1</v>
      </c>
      <c r="E5072">
        <v>2021</v>
      </c>
      <c r="F5072">
        <v>2021</v>
      </c>
      <c r="G5072" t="str">
        <f>IFERROR(INDEX(Formulations[Formulation],MATCH($C5072,Formulations[Product Code],0)),"")</f>
        <v>Crystal</v>
      </c>
    </row>
    <row r="5073" spans="1:7" x14ac:dyDescent="0.3">
      <c r="A5073" t="s">
        <v>1164</v>
      </c>
      <c r="B5073" t="s">
        <v>76</v>
      </c>
      <c r="C5073" t="s">
        <v>77</v>
      </c>
      <c r="D5073" s="7">
        <v>1</v>
      </c>
      <c r="E5073">
        <v>2021</v>
      </c>
      <c r="F5073">
        <v>2021</v>
      </c>
      <c r="G5073" t="str">
        <f>IFERROR(INDEX(Formulations[Formulation],MATCH($C5073,Formulations[Product Code],0)),"")</f>
        <v>Silver</v>
      </c>
    </row>
    <row r="5074" spans="1:7" x14ac:dyDescent="0.3">
      <c r="A5074" t="s">
        <v>1164</v>
      </c>
      <c r="B5074" t="s">
        <v>155</v>
      </c>
      <c r="C5074" t="s">
        <v>156</v>
      </c>
      <c r="D5074" s="7">
        <v>1</v>
      </c>
      <c r="E5074">
        <v>2021</v>
      </c>
      <c r="F5074">
        <v>2021</v>
      </c>
      <c r="G5074" t="str">
        <f>IFERROR(INDEX(Formulations[Formulation],MATCH($C5074,Formulations[Product Code],0)),"")</f>
        <v>Pure</v>
      </c>
    </row>
    <row r="5075" spans="1:7" x14ac:dyDescent="0.3">
      <c r="A5075" t="s">
        <v>1166</v>
      </c>
      <c r="B5075" t="s">
        <v>597</v>
      </c>
      <c r="C5075" t="s">
        <v>598</v>
      </c>
      <c r="D5075" s="7">
        <v>1</v>
      </c>
      <c r="E5075">
        <v>2020</v>
      </c>
      <c r="F5075">
        <v>2020</v>
      </c>
      <c r="G5075" t="str">
        <f>IFERROR(INDEX(Formulations[Formulation],MATCH($C5075,Formulations[Product Code],0)),"")</f>
        <v>Silver</v>
      </c>
    </row>
    <row r="5076" spans="1:7" x14ac:dyDescent="0.3">
      <c r="A5076" t="s">
        <v>1166</v>
      </c>
      <c r="B5076" t="s">
        <v>373</v>
      </c>
      <c r="C5076" t="s">
        <v>331</v>
      </c>
      <c r="D5076" s="7">
        <v>1</v>
      </c>
      <c r="E5076">
        <v>2020</v>
      </c>
      <c r="F5076">
        <v>2020</v>
      </c>
      <c r="G5076" t="str">
        <f>IFERROR(INDEX(Formulations[Formulation],MATCH($C5076,Formulations[Product Code],0)),"")</f>
        <v>35% oil</v>
      </c>
    </row>
    <row r="5077" spans="1:7" x14ac:dyDescent="0.3">
      <c r="A5077" t="s">
        <v>1166</v>
      </c>
      <c r="B5077" t="s">
        <v>1167</v>
      </c>
      <c r="C5077" t="s">
        <v>102</v>
      </c>
      <c r="D5077" s="7">
        <v>1</v>
      </c>
      <c r="E5077">
        <v>2020</v>
      </c>
      <c r="F5077">
        <v>2020</v>
      </c>
      <c r="G5077" t="str">
        <f>IFERROR(INDEX(Formulations[Formulation],MATCH($C5077,Formulations[Product Code],0)),"")</f>
        <v>Gold</v>
      </c>
    </row>
    <row r="5078" spans="1:7" x14ac:dyDescent="0.3">
      <c r="A5078" t="s">
        <v>1173</v>
      </c>
      <c r="B5078" t="s">
        <v>45</v>
      </c>
      <c r="D5078" s="7">
        <v>1</v>
      </c>
      <c r="E5078">
        <v>2021</v>
      </c>
      <c r="F5078">
        <v>2021</v>
      </c>
      <c r="G5078" t="str">
        <f>IFERROR(INDEX(Formulations[Formulation],MATCH($C5078,Formulations[Product Code],0)),"")</f>
        <v/>
      </c>
    </row>
    <row r="5079" spans="1:7" x14ac:dyDescent="0.3">
      <c r="A5079" t="s">
        <v>1175</v>
      </c>
      <c r="B5079" t="s">
        <v>35</v>
      </c>
      <c r="D5079" s="7">
        <v>1</v>
      </c>
      <c r="E5079">
        <v>2021</v>
      </c>
      <c r="F5079">
        <v>2021</v>
      </c>
      <c r="G5079" t="str">
        <f>IFERROR(INDEX(Formulations[Formulation],MATCH($C5079,Formulations[Product Code],0)),"")</f>
        <v/>
      </c>
    </row>
    <row r="5080" spans="1:7" x14ac:dyDescent="0.3">
      <c r="A5080" t="s">
        <v>1175</v>
      </c>
      <c r="B5080" t="s">
        <v>19</v>
      </c>
      <c r="C5080" t="s">
        <v>107</v>
      </c>
      <c r="D5080" s="7">
        <v>1</v>
      </c>
      <c r="E5080">
        <v>2020</v>
      </c>
      <c r="F5080">
        <v>2020</v>
      </c>
      <c r="G5080" t="str">
        <f>IFERROR(INDEX(Formulations[Formulation],MATCH($C5080,Formulations[Product Code],0)),"")</f>
        <v>Pure</v>
      </c>
    </row>
    <row r="5081" spans="1:7" x14ac:dyDescent="0.3">
      <c r="A5081" t="s">
        <v>1175</v>
      </c>
      <c r="B5081" t="s">
        <v>671</v>
      </c>
      <c r="C5081" t="s">
        <v>672</v>
      </c>
      <c r="D5081" s="7">
        <v>1</v>
      </c>
      <c r="E5081">
        <v>2019</v>
      </c>
      <c r="F5081">
        <v>2019</v>
      </c>
      <c r="G5081" t="str">
        <f>IFERROR(INDEX(Formulations[Formulation],MATCH($C5081,Formulations[Product Code],0)),"")</f>
        <v>Pure</v>
      </c>
    </row>
    <row r="5082" spans="1:7" x14ac:dyDescent="0.3">
      <c r="A5082" t="s">
        <v>1175</v>
      </c>
      <c r="B5082" t="s">
        <v>36</v>
      </c>
      <c r="D5082" s="7">
        <v>1</v>
      </c>
      <c r="E5082">
        <v>2021</v>
      </c>
      <c r="F5082">
        <v>2021</v>
      </c>
      <c r="G5082" t="str">
        <f>IFERROR(INDEX(Formulations[Formulation],MATCH($C5082,Formulations[Product Code],0)),"")</f>
        <v/>
      </c>
    </row>
    <row r="5083" spans="1:7" x14ac:dyDescent="0.3">
      <c r="A5083" t="s">
        <v>1213</v>
      </c>
      <c r="B5083" t="s">
        <v>263</v>
      </c>
      <c r="C5083" t="s">
        <v>264</v>
      </c>
      <c r="D5083" s="7">
        <v>1</v>
      </c>
      <c r="E5083">
        <v>2021</v>
      </c>
      <c r="F5083">
        <v>2021</v>
      </c>
      <c r="G5083" t="str">
        <f>IFERROR(INDEX(Formulations[Formulation],MATCH($C5083,Formulations[Product Code],0)),"")</f>
        <v>Silver</v>
      </c>
    </row>
    <row r="5084" spans="1:7" x14ac:dyDescent="0.3">
      <c r="A5084" t="s">
        <v>1321</v>
      </c>
      <c r="B5084" t="s">
        <v>719</v>
      </c>
      <c r="C5084" t="s">
        <v>925</v>
      </c>
      <c r="D5084" s="7">
        <v>1</v>
      </c>
      <c r="E5084">
        <v>2019</v>
      </c>
      <c r="F5084">
        <v>2019</v>
      </c>
      <c r="G5084" t="str">
        <f>IFERROR(INDEX(Formulations[Formulation],MATCH($C5084,Formulations[Product Code],0)),"")</f>
        <v/>
      </c>
    </row>
    <row r="5085" spans="1:7" x14ac:dyDescent="0.3">
      <c r="A5085" t="s">
        <v>1321</v>
      </c>
      <c r="B5085" t="s">
        <v>86</v>
      </c>
      <c r="C5085" t="s">
        <v>87</v>
      </c>
      <c r="D5085" s="7">
        <v>1</v>
      </c>
      <c r="E5085">
        <v>2019</v>
      </c>
      <c r="F5085">
        <v>2019</v>
      </c>
      <c r="G5085" t="str">
        <f>IFERROR(INDEX(Formulations[Formulation],MATCH($C5085,Formulations[Product Code],0)),"")</f>
        <v>Pure</v>
      </c>
    </row>
    <row r="5086" spans="1:7" x14ac:dyDescent="0.3">
      <c r="A5086" t="s">
        <v>1321</v>
      </c>
      <c r="B5086" t="s">
        <v>72</v>
      </c>
      <c r="C5086" t="s">
        <v>319</v>
      </c>
      <c r="D5086" s="7">
        <v>1</v>
      </c>
      <c r="E5086">
        <v>2020</v>
      </c>
      <c r="F5086">
        <v>2020</v>
      </c>
      <c r="G5086" t="str">
        <f>IFERROR(INDEX(Formulations[Formulation],MATCH($C5086,Formulations[Product Code],0)),"")</f>
        <v>Pure</v>
      </c>
    </row>
    <row r="5087" spans="1:7" x14ac:dyDescent="0.3">
      <c r="A5087" t="s">
        <v>1321</v>
      </c>
      <c r="B5087" t="s">
        <v>320</v>
      </c>
      <c r="C5087" t="s">
        <v>414</v>
      </c>
      <c r="D5087" s="7">
        <v>1</v>
      </c>
      <c r="E5087">
        <v>2019</v>
      </c>
      <c r="F5087">
        <v>2019</v>
      </c>
      <c r="G5087" t="str">
        <f>IFERROR(INDEX(Formulations[Formulation],MATCH($C5087,Formulations[Product Code],0)),"")</f>
        <v/>
      </c>
    </row>
    <row r="5088" spans="1:7" x14ac:dyDescent="0.3">
      <c r="A5088" t="s">
        <v>1321</v>
      </c>
      <c r="B5088" t="s">
        <v>841</v>
      </c>
      <c r="C5088" t="s">
        <v>169</v>
      </c>
      <c r="D5088" s="7">
        <v>1</v>
      </c>
      <c r="E5088">
        <v>2020</v>
      </c>
      <c r="F5088">
        <v>2020</v>
      </c>
      <c r="G5088" t="str">
        <f>IFERROR(INDEX(Formulations[Formulation],MATCH($C5088,Formulations[Product Code],0)),"")</f>
        <v>Silver</v>
      </c>
    </row>
    <row r="5089" spans="1:7" x14ac:dyDescent="0.3">
      <c r="A5089" t="s">
        <v>1323</v>
      </c>
      <c r="B5089" t="s">
        <v>391</v>
      </c>
      <c r="C5089" t="s">
        <v>1095</v>
      </c>
      <c r="D5089" s="7">
        <v>1</v>
      </c>
      <c r="E5089">
        <v>2018</v>
      </c>
      <c r="F5089">
        <v>2018</v>
      </c>
      <c r="G5089" t="str">
        <f>IFERROR(INDEX(Formulations[Formulation],MATCH($C5089,Formulations[Product Code],0)),"")</f>
        <v/>
      </c>
    </row>
    <row r="5090" spans="1:7" x14ac:dyDescent="0.3">
      <c r="A5090" t="s">
        <v>1323</v>
      </c>
      <c r="B5090" t="s">
        <v>553</v>
      </c>
      <c r="C5090" t="s">
        <v>292</v>
      </c>
      <c r="D5090" s="7">
        <v>1</v>
      </c>
      <c r="E5090">
        <v>2018</v>
      </c>
      <c r="F5090">
        <v>2018</v>
      </c>
      <c r="G5090" t="str">
        <f>IFERROR(INDEX(Formulations[Formulation],MATCH($C5090,Formulations[Product Code],0)),"")</f>
        <v/>
      </c>
    </row>
    <row r="5091" spans="1:7" x14ac:dyDescent="0.3">
      <c r="A5091" t="s">
        <v>1323</v>
      </c>
      <c r="B5091" t="s">
        <v>558</v>
      </c>
      <c r="C5091" t="s">
        <v>559</v>
      </c>
      <c r="D5091" s="7">
        <v>1</v>
      </c>
      <c r="E5091">
        <v>2018</v>
      </c>
      <c r="F5091">
        <v>2018</v>
      </c>
      <c r="G5091" t="str">
        <f>IFERROR(INDEX(Formulations[Formulation],MATCH($C5091,Formulations[Product Code],0)),"")</f>
        <v/>
      </c>
    </row>
    <row r="5092" spans="1:7" x14ac:dyDescent="0.3">
      <c r="A5092" t="s">
        <v>1323</v>
      </c>
      <c r="B5092" t="s">
        <v>206</v>
      </c>
      <c r="C5092" t="s">
        <v>207</v>
      </c>
      <c r="D5092" s="7">
        <v>1</v>
      </c>
      <c r="E5092">
        <v>2018</v>
      </c>
      <c r="F5092">
        <v>2018</v>
      </c>
      <c r="G5092" t="str">
        <f>IFERROR(INDEX(Formulations[Formulation],MATCH($C5092,Formulations[Product Code],0)),"")</f>
        <v/>
      </c>
    </row>
    <row r="5093" spans="1:7" x14ac:dyDescent="0.3">
      <c r="A5093" t="s">
        <v>1323</v>
      </c>
      <c r="B5093" t="s">
        <v>396</v>
      </c>
      <c r="C5093" t="s">
        <v>397</v>
      </c>
      <c r="D5093" s="7">
        <v>1</v>
      </c>
      <c r="E5093">
        <v>2018</v>
      </c>
      <c r="F5093">
        <v>2018</v>
      </c>
      <c r="G5093" t="str">
        <f>IFERROR(INDEX(Formulations[Formulation],MATCH($C5093,Formulations[Product Code],0)),"")</f>
        <v/>
      </c>
    </row>
    <row r="5094" spans="1:7" x14ac:dyDescent="0.3">
      <c r="A5094" t="s">
        <v>1323</v>
      </c>
      <c r="B5094" t="s">
        <v>614</v>
      </c>
      <c r="C5094" t="s">
        <v>141</v>
      </c>
      <c r="D5094" s="7">
        <v>1</v>
      </c>
      <c r="E5094">
        <v>2018</v>
      </c>
      <c r="F5094">
        <v>2018</v>
      </c>
      <c r="G5094" t="str">
        <f>IFERROR(INDEX(Formulations[Formulation],MATCH($C5094,Formulations[Product Code],0)),"")</f>
        <v/>
      </c>
    </row>
    <row r="5095" spans="1:7" x14ac:dyDescent="0.3">
      <c r="A5095" t="s">
        <v>1323</v>
      </c>
      <c r="B5095" t="s">
        <v>1325</v>
      </c>
      <c r="C5095" t="s">
        <v>1095</v>
      </c>
      <c r="D5095" s="7">
        <v>1</v>
      </c>
      <c r="E5095">
        <v>2018</v>
      </c>
      <c r="F5095">
        <v>2018</v>
      </c>
      <c r="G5095" t="str">
        <f>IFERROR(INDEX(Formulations[Formulation],MATCH($C5095,Formulations[Product Code],0)),"")</f>
        <v/>
      </c>
    </row>
    <row r="5096" spans="1:7" x14ac:dyDescent="0.3">
      <c r="A5096" t="s">
        <v>1323</v>
      </c>
      <c r="B5096" t="s">
        <v>60</v>
      </c>
      <c r="C5096" t="s">
        <v>61</v>
      </c>
      <c r="D5096" s="7">
        <v>1</v>
      </c>
      <c r="E5096">
        <v>2018</v>
      </c>
      <c r="F5096">
        <v>2018</v>
      </c>
      <c r="G5096" t="str">
        <f>IFERROR(INDEX(Formulations[Formulation],MATCH($C5096,Formulations[Product Code],0)),"")</f>
        <v>Pure</v>
      </c>
    </row>
    <row r="5097" spans="1:7" x14ac:dyDescent="0.3">
      <c r="A5097" t="s">
        <v>1323</v>
      </c>
      <c r="B5097" t="s">
        <v>933</v>
      </c>
      <c r="C5097" t="s">
        <v>934</v>
      </c>
      <c r="D5097" s="7">
        <v>1</v>
      </c>
      <c r="E5097">
        <v>2018</v>
      </c>
      <c r="F5097">
        <v>2018</v>
      </c>
      <c r="G5097" t="str">
        <f>IFERROR(INDEX(Formulations[Formulation],MATCH($C5097,Formulations[Product Code],0)),"")</f>
        <v/>
      </c>
    </row>
    <row r="5098" spans="1:7" x14ac:dyDescent="0.3">
      <c r="A5098" t="s">
        <v>1323</v>
      </c>
      <c r="B5098" t="s">
        <v>620</v>
      </c>
      <c r="C5098" t="s">
        <v>621</v>
      </c>
      <c r="D5098" s="7">
        <v>1</v>
      </c>
      <c r="E5098">
        <v>2018</v>
      </c>
      <c r="F5098">
        <v>2018</v>
      </c>
      <c r="G5098" t="str">
        <f>IFERROR(INDEX(Formulations[Formulation],MATCH($C5098,Formulations[Product Code],0)),"")</f>
        <v/>
      </c>
    </row>
    <row r="5099" spans="1:7" x14ac:dyDescent="0.3">
      <c r="A5099" t="s">
        <v>1330</v>
      </c>
      <c r="B5099" t="s">
        <v>120</v>
      </c>
      <c r="C5099" t="s">
        <v>121</v>
      </c>
      <c r="D5099" s="7">
        <v>1</v>
      </c>
      <c r="E5099">
        <v>2016</v>
      </c>
      <c r="F5099">
        <v>2016</v>
      </c>
      <c r="G5099" t="str">
        <f>IFERROR(INDEX(Formulations[Formulation],MATCH($C5099,Formulations[Product Code],0)),"")</f>
        <v/>
      </c>
    </row>
    <row r="5100" spans="1:7" x14ac:dyDescent="0.3">
      <c r="A5100" t="s">
        <v>1330</v>
      </c>
      <c r="B5100" t="s">
        <v>386</v>
      </c>
      <c r="C5100" t="s">
        <v>387</v>
      </c>
      <c r="D5100" s="7">
        <v>1</v>
      </c>
      <c r="E5100">
        <v>2016</v>
      </c>
      <c r="F5100">
        <v>2016</v>
      </c>
      <c r="G5100" t="str">
        <f>IFERROR(INDEX(Formulations[Formulation],MATCH($C5100,Formulations[Product Code],0)),"")</f>
        <v/>
      </c>
    </row>
    <row r="5101" spans="1:7" x14ac:dyDescent="0.3">
      <c r="A5101" t="s">
        <v>1342</v>
      </c>
      <c r="B5101" t="s">
        <v>528</v>
      </c>
      <c r="C5101" t="s">
        <v>529</v>
      </c>
      <c r="D5101" s="7">
        <v>1</v>
      </c>
      <c r="E5101">
        <v>2019</v>
      </c>
      <c r="F5101">
        <v>2019</v>
      </c>
      <c r="G5101" t="str">
        <f>IFERROR(INDEX(Formulations[Formulation],MATCH($C5101,Formulations[Product Code],0)),"")</f>
        <v>Crystal</v>
      </c>
    </row>
    <row r="5102" spans="1:7" x14ac:dyDescent="0.3">
      <c r="A5102" t="s">
        <v>1374</v>
      </c>
      <c r="B5102" t="s">
        <v>276</v>
      </c>
      <c r="C5102" t="s">
        <v>277</v>
      </c>
      <c r="D5102" s="7">
        <v>1</v>
      </c>
      <c r="E5102">
        <v>2018</v>
      </c>
      <c r="F5102">
        <v>2018</v>
      </c>
      <c r="G5102" t="str">
        <f>IFERROR(INDEX(Formulations[Formulation],MATCH($C5102,Formulations[Product Code],0)),"")</f>
        <v>Pure</v>
      </c>
    </row>
    <row r="5103" spans="1:7" x14ac:dyDescent="0.3">
      <c r="A5103" t="s">
        <v>1374</v>
      </c>
      <c r="B5103" t="s">
        <v>581</v>
      </c>
      <c r="C5103" t="s">
        <v>582</v>
      </c>
      <c r="D5103" s="7">
        <v>1</v>
      </c>
      <c r="E5103">
        <v>2018</v>
      </c>
      <c r="F5103">
        <v>2018</v>
      </c>
      <c r="G5103" t="str">
        <f>IFERROR(INDEX(Formulations[Formulation],MATCH($C5103,Formulations[Product Code],0)),"")</f>
        <v/>
      </c>
    </row>
    <row r="5104" spans="1:7" x14ac:dyDescent="0.3">
      <c r="A5104" t="s">
        <v>1374</v>
      </c>
      <c r="B5104" t="s">
        <v>280</v>
      </c>
      <c r="C5104" t="s">
        <v>224</v>
      </c>
      <c r="D5104" s="7">
        <v>1</v>
      </c>
      <c r="E5104">
        <v>2015</v>
      </c>
      <c r="F5104">
        <v>2015</v>
      </c>
      <c r="G5104" t="str">
        <f>IFERROR(INDEX(Formulations[Formulation],MATCH($C5104,Formulations[Product Code],0)),"")</f>
        <v/>
      </c>
    </row>
    <row r="5105" spans="1:7" x14ac:dyDescent="0.3">
      <c r="A5105" t="s">
        <v>1374</v>
      </c>
      <c r="B5105" t="s">
        <v>250</v>
      </c>
      <c r="C5105" t="s">
        <v>222</v>
      </c>
      <c r="D5105" s="7">
        <v>1</v>
      </c>
      <c r="E5105">
        <v>2019</v>
      </c>
      <c r="F5105">
        <v>2019</v>
      </c>
      <c r="G5105" t="str">
        <f>IFERROR(INDEX(Formulations[Formulation],MATCH($C5105,Formulations[Product Code],0)),"")</f>
        <v>WS</v>
      </c>
    </row>
    <row r="5106" spans="1:7" x14ac:dyDescent="0.3">
      <c r="A5106" t="s">
        <v>1374</v>
      </c>
      <c r="B5106" t="s">
        <v>1376</v>
      </c>
      <c r="C5106" t="s">
        <v>1377</v>
      </c>
      <c r="D5106" s="7">
        <v>1</v>
      </c>
      <c r="E5106">
        <v>2016</v>
      </c>
      <c r="F5106">
        <v>2016</v>
      </c>
      <c r="G5106" t="str">
        <f>IFERROR(INDEX(Formulations[Formulation],MATCH($C5106,Formulations[Product Code],0)),"")</f>
        <v/>
      </c>
    </row>
    <row r="5107" spans="1:7" x14ac:dyDescent="0.3">
      <c r="A5107" t="s">
        <v>1374</v>
      </c>
      <c r="B5107" t="s">
        <v>726</v>
      </c>
      <c r="C5107" t="s">
        <v>727</v>
      </c>
      <c r="D5107" s="7">
        <v>1</v>
      </c>
      <c r="E5107">
        <v>2015</v>
      </c>
      <c r="F5107">
        <v>2015</v>
      </c>
      <c r="G5107" t="str">
        <f>IFERROR(INDEX(Formulations[Formulation],MATCH($C5107,Formulations[Product Code],0)),"")</f>
        <v/>
      </c>
    </row>
    <row r="5108" spans="1:7" x14ac:dyDescent="0.3">
      <c r="A5108" t="s">
        <v>1374</v>
      </c>
      <c r="B5108" t="s">
        <v>1378</v>
      </c>
      <c r="C5108" t="s">
        <v>1379</v>
      </c>
      <c r="D5108" s="7">
        <v>1</v>
      </c>
      <c r="E5108">
        <v>2016</v>
      </c>
      <c r="F5108">
        <v>2016</v>
      </c>
      <c r="G5108" t="str">
        <f>IFERROR(INDEX(Formulations[Formulation],MATCH($C5108,Formulations[Product Code],0)),"")</f>
        <v/>
      </c>
    </row>
    <row r="5109" spans="1:7" x14ac:dyDescent="0.3">
      <c r="A5109" t="s">
        <v>1374</v>
      </c>
      <c r="B5109" t="s">
        <v>824</v>
      </c>
      <c r="C5109" t="s">
        <v>825</v>
      </c>
      <c r="D5109" s="7">
        <v>1</v>
      </c>
      <c r="E5109">
        <v>2015</v>
      </c>
      <c r="F5109">
        <v>2015</v>
      </c>
      <c r="G5109" t="str">
        <f>IFERROR(INDEX(Formulations[Formulation],MATCH($C5109,Formulations[Product Code],0)),"")</f>
        <v/>
      </c>
    </row>
    <row r="5110" spans="1:7" x14ac:dyDescent="0.3">
      <c r="A5110" t="s">
        <v>1374</v>
      </c>
      <c r="B5110" t="s">
        <v>1381</v>
      </c>
      <c r="C5110" t="s">
        <v>1382</v>
      </c>
      <c r="D5110" s="7">
        <v>1</v>
      </c>
      <c r="E5110">
        <v>2016</v>
      </c>
      <c r="F5110">
        <v>2016</v>
      </c>
      <c r="G5110" t="str">
        <f>IFERROR(INDEX(Formulations[Formulation],MATCH($C5110,Formulations[Product Code],0)),"")</f>
        <v/>
      </c>
    </row>
    <row r="5111" spans="1:7" x14ac:dyDescent="0.3">
      <c r="A5111" t="s">
        <v>1374</v>
      </c>
      <c r="B5111" t="s">
        <v>1132</v>
      </c>
      <c r="C5111" t="s">
        <v>181</v>
      </c>
      <c r="D5111" s="7">
        <v>1</v>
      </c>
      <c r="E5111">
        <v>2019</v>
      </c>
      <c r="F5111">
        <v>2019</v>
      </c>
      <c r="G5111" t="str">
        <f>IFERROR(INDEX(Formulations[Formulation],MATCH($C5111,Formulations[Product Code],0)),"")</f>
        <v/>
      </c>
    </row>
    <row r="5112" spans="1:7" x14ac:dyDescent="0.3">
      <c r="A5112" t="s">
        <v>1374</v>
      </c>
      <c r="B5112" t="s">
        <v>1385</v>
      </c>
      <c r="C5112" t="s">
        <v>1386</v>
      </c>
      <c r="D5112" s="7">
        <v>1</v>
      </c>
      <c r="E5112">
        <v>2015</v>
      </c>
      <c r="F5112">
        <v>2015</v>
      </c>
      <c r="G5112" t="str">
        <f>IFERROR(INDEX(Formulations[Formulation],MATCH($C5112,Formulations[Product Code],0)),"")</f>
        <v/>
      </c>
    </row>
    <row r="5113" spans="1:7" x14ac:dyDescent="0.3">
      <c r="A5113" t="s">
        <v>1374</v>
      </c>
      <c r="B5113" t="s">
        <v>560</v>
      </c>
      <c r="C5113" t="s">
        <v>561</v>
      </c>
      <c r="D5113" s="7">
        <v>1</v>
      </c>
      <c r="E5113">
        <v>2015</v>
      </c>
      <c r="F5113">
        <v>2015</v>
      </c>
      <c r="G5113" t="str">
        <f>IFERROR(INDEX(Formulations[Formulation],MATCH($C5113,Formulations[Product Code],0)),"")</f>
        <v/>
      </c>
    </row>
    <row r="5114" spans="1:7" x14ac:dyDescent="0.3">
      <c r="A5114" t="s">
        <v>1374</v>
      </c>
      <c r="B5114" t="s">
        <v>1387</v>
      </c>
      <c r="C5114" t="s">
        <v>1388</v>
      </c>
      <c r="D5114" s="7">
        <v>1</v>
      </c>
      <c r="E5114">
        <v>2016</v>
      </c>
      <c r="F5114">
        <v>2016</v>
      </c>
      <c r="G5114" t="str">
        <f>IFERROR(INDEX(Formulations[Formulation],MATCH($C5114,Formulations[Product Code],0)),"")</f>
        <v/>
      </c>
    </row>
    <row r="5115" spans="1:7" x14ac:dyDescent="0.3">
      <c r="A5115" t="s">
        <v>1374</v>
      </c>
      <c r="B5115" t="s">
        <v>490</v>
      </c>
      <c r="C5115" t="s">
        <v>491</v>
      </c>
      <c r="D5115" s="7">
        <v>1</v>
      </c>
      <c r="E5115">
        <v>2015</v>
      </c>
      <c r="F5115">
        <v>2015</v>
      </c>
      <c r="G5115" t="str">
        <f>IFERROR(INDEX(Formulations[Formulation],MATCH($C5115,Formulations[Product Code],0)),"")</f>
        <v/>
      </c>
    </row>
    <row r="5116" spans="1:7" x14ac:dyDescent="0.3">
      <c r="A5116" t="s">
        <v>1374</v>
      </c>
      <c r="B5116" t="s">
        <v>1389</v>
      </c>
      <c r="C5116" t="s">
        <v>1390</v>
      </c>
      <c r="D5116" s="7">
        <v>1</v>
      </c>
      <c r="E5116">
        <v>2016</v>
      </c>
      <c r="F5116">
        <v>2016</v>
      </c>
      <c r="G5116" t="str">
        <f>IFERROR(INDEX(Formulations[Formulation],MATCH($C5116,Formulations[Product Code],0)),"")</f>
        <v/>
      </c>
    </row>
    <row r="5117" spans="1:7" x14ac:dyDescent="0.3">
      <c r="A5117" t="s">
        <v>1374</v>
      </c>
      <c r="B5117" t="s">
        <v>1391</v>
      </c>
      <c r="C5117" t="s">
        <v>1392</v>
      </c>
      <c r="D5117" s="7">
        <v>1</v>
      </c>
      <c r="E5117">
        <v>2016</v>
      </c>
      <c r="F5117">
        <v>2016</v>
      </c>
      <c r="G5117" t="str">
        <f>IFERROR(INDEX(Formulations[Formulation],MATCH($C5117,Formulations[Product Code],0)),"")</f>
        <v/>
      </c>
    </row>
    <row r="5118" spans="1:7" x14ac:dyDescent="0.3">
      <c r="A5118" t="s">
        <v>1374</v>
      </c>
      <c r="B5118" t="s">
        <v>1393</v>
      </c>
      <c r="C5118" t="s">
        <v>150</v>
      </c>
      <c r="D5118" s="7">
        <v>1</v>
      </c>
      <c r="E5118">
        <v>2015</v>
      </c>
      <c r="F5118">
        <v>2015</v>
      </c>
      <c r="G5118" t="str">
        <f>IFERROR(INDEX(Formulations[Formulation],MATCH($C5118,Formulations[Product Code],0)),"")</f>
        <v/>
      </c>
    </row>
    <row r="5119" spans="1:7" x14ac:dyDescent="0.3">
      <c r="A5119" t="s">
        <v>1374</v>
      </c>
      <c r="B5119" t="s">
        <v>203</v>
      </c>
      <c r="C5119" t="s">
        <v>204</v>
      </c>
      <c r="D5119" s="7">
        <v>1</v>
      </c>
      <c r="E5119">
        <v>2015</v>
      </c>
      <c r="F5119">
        <v>2015</v>
      </c>
      <c r="G5119" t="str">
        <f>IFERROR(INDEX(Formulations[Formulation],MATCH($C5119,Formulations[Product Code],0)),"")</f>
        <v/>
      </c>
    </row>
    <row r="5120" spans="1:7" x14ac:dyDescent="0.3">
      <c r="A5120" t="s">
        <v>1403</v>
      </c>
      <c r="B5120" t="s">
        <v>1404</v>
      </c>
      <c r="D5120" s="7">
        <v>1</v>
      </c>
      <c r="E5120">
        <v>2020</v>
      </c>
      <c r="F5120">
        <v>2020</v>
      </c>
      <c r="G5120" t="str">
        <f>IFERROR(INDEX(Formulations[Formulation],MATCH($C5120,Formulations[Product Code],0)),"")</f>
        <v/>
      </c>
    </row>
    <row r="5121" spans="1:7" x14ac:dyDescent="0.3">
      <c r="A5121" t="s">
        <v>1407</v>
      </c>
      <c r="B5121" t="s">
        <v>1128</v>
      </c>
      <c r="C5121" t="s">
        <v>1129</v>
      </c>
      <c r="D5121" s="7">
        <v>1</v>
      </c>
      <c r="E5121">
        <v>2020</v>
      </c>
      <c r="F5121">
        <v>2020</v>
      </c>
      <c r="G5121" t="str">
        <f>IFERROR(INDEX(Formulations[Formulation],MATCH($C5121,Formulations[Product Code],0)),"")</f>
        <v>Silver</v>
      </c>
    </row>
    <row r="5122" spans="1:7" x14ac:dyDescent="0.3">
      <c r="A5122" t="s">
        <v>1407</v>
      </c>
      <c r="B5122" t="s">
        <v>276</v>
      </c>
      <c r="C5122" t="s">
        <v>277</v>
      </c>
      <c r="D5122" s="7">
        <v>1</v>
      </c>
      <c r="E5122">
        <v>2019</v>
      </c>
      <c r="F5122">
        <v>2019</v>
      </c>
      <c r="G5122" t="str">
        <f>IFERROR(INDEX(Formulations[Formulation],MATCH($C5122,Formulations[Product Code],0)),"")</f>
        <v>Pure</v>
      </c>
    </row>
    <row r="5123" spans="1:7" x14ac:dyDescent="0.3">
      <c r="A5123" t="s">
        <v>1407</v>
      </c>
      <c r="B5123" t="s">
        <v>1238</v>
      </c>
      <c r="C5123" t="s">
        <v>1239</v>
      </c>
      <c r="D5123" s="7">
        <v>1</v>
      </c>
      <c r="E5123">
        <v>2019</v>
      </c>
      <c r="F5123">
        <v>2019</v>
      </c>
      <c r="G5123" t="str">
        <f>IFERROR(INDEX(Formulations[Formulation],MATCH($C5123,Formulations[Product Code],0)),"")</f>
        <v/>
      </c>
    </row>
    <row r="5124" spans="1:7" x14ac:dyDescent="0.3">
      <c r="A5124" t="s">
        <v>1407</v>
      </c>
      <c r="B5124" t="s">
        <v>84</v>
      </c>
      <c r="C5124" t="s">
        <v>85</v>
      </c>
      <c r="D5124" s="7">
        <v>1</v>
      </c>
      <c r="E5124">
        <v>2019</v>
      </c>
      <c r="F5124">
        <v>2019</v>
      </c>
      <c r="G5124" t="str">
        <f>IFERROR(INDEX(Formulations[Formulation],MATCH($C5124,Formulations[Product Code],0)),"")</f>
        <v>Pure</v>
      </c>
    </row>
    <row r="5125" spans="1:7" x14ac:dyDescent="0.3">
      <c r="A5125" t="s">
        <v>1407</v>
      </c>
      <c r="B5125" t="s">
        <v>718</v>
      </c>
      <c r="C5125" t="s">
        <v>582</v>
      </c>
      <c r="D5125" s="7">
        <v>1</v>
      </c>
      <c r="E5125">
        <v>2019</v>
      </c>
      <c r="F5125">
        <v>2019</v>
      </c>
      <c r="G5125" t="str">
        <f>IFERROR(INDEX(Formulations[Formulation],MATCH($C5125,Formulations[Product Code],0)),"")</f>
        <v/>
      </c>
    </row>
    <row r="5126" spans="1:7" x14ac:dyDescent="0.3">
      <c r="A5126" t="s">
        <v>1407</v>
      </c>
      <c r="B5126" t="s">
        <v>719</v>
      </c>
      <c r="C5126" t="s">
        <v>925</v>
      </c>
      <c r="D5126" s="7">
        <v>1</v>
      </c>
      <c r="E5126">
        <v>2019</v>
      </c>
      <c r="F5126">
        <v>2019</v>
      </c>
      <c r="G5126" t="str">
        <f>IFERROR(INDEX(Formulations[Formulation],MATCH($C5126,Formulations[Product Code],0)),"")</f>
        <v/>
      </c>
    </row>
    <row r="5127" spans="1:7" x14ac:dyDescent="0.3">
      <c r="A5127" t="s">
        <v>1407</v>
      </c>
      <c r="B5127" t="s">
        <v>629</v>
      </c>
      <c r="C5127" t="s">
        <v>630</v>
      </c>
      <c r="D5127" s="7">
        <v>1</v>
      </c>
      <c r="E5127">
        <v>2021</v>
      </c>
      <c r="F5127">
        <v>2021</v>
      </c>
      <c r="G5127" t="str">
        <f>IFERROR(INDEX(Formulations[Formulation],MATCH($C5127,Formulations[Product Code],0)),"")</f>
        <v>Crystal</v>
      </c>
    </row>
    <row r="5128" spans="1:7" x14ac:dyDescent="0.3">
      <c r="A5128" t="s">
        <v>1407</v>
      </c>
      <c r="B5128" t="s">
        <v>819</v>
      </c>
      <c r="C5128" t="s">
        <v>220</v>
      </c>
      <c r="D5128" s="7">
        <v>1</v>
      </c>
      <c r="E5128">
        <v>2019</v>
      </c>
      <c r="F5128">
        <v>2019</v>
      </c>
      <c r="G5128" t="str">
        <f>IFERROR(INDEX(Formulations[Formulation],MATCH($C5128,Formulations[Product Code],0)),"")</f>
        <v/>
      </c>
    </row>
    <row r="5129" spans="1:7" x14ac:dyDescent="0.3">
      <c r="A5129" t="s">
        <v>1407</v>
      </c>
      <c r="B5129" t="s">
        <v>244</v>
      </c>
      <c r="C5129" t="s">
        <v>245</v>
      </c>
      <c r="D5129" s="7">
        <v>1</v>
      </c>
      <c r="E5129">
        <v>2020</v>
      </c>
      <c r="F5129">
        <v>2020</v>
      </c>
      <c r="G5129" t="str">
        <f>IFERROR(INDEX(Formulations[Formulation],MATCH($C5129,Formulations[Product Code],0)),"")</f>
        <v>10% Oil</v>
      </c>
    </row>
    <row r="5130" spans="1:7" x14ac:dyDescent="0.3">
      <c r="A5130" t="s">
        <v>1407</v>
      </c>
      <c r="B5130" t="s">
        <v>248</v>
      </c>
      <c r="C5130" t="s">
        <v>249</v>
      </c>
      <c r="D5130" s="7">
        <v>1</v>
      </c>
      <c r="E5130">
        <v>2021</v>
      </c>
      <c r="F5130">
        <v>2021</v>
      </c>
      <c r="G5130" t="str">
        <f>IFERROR(INDEX(Formulations[Formulation],MATCH($C5130,Formulations[Product Code],0)),"")</f>
        <v>WS</v>
      </c>
    </row>
    <row r="5131" spans="1:7" x14ac:dyDescent="0.3">
      <c r="A5131" t="s">
        <v>1407</v>
      </c>
      <c r="B5131" t="s">
        <v>395</v>
      </c>
      <c r="D5131" s="7">
        <v>1</v>
      </c>
      <c r="E5131">
        <v>2019</v>
      </c>
      <c r="F5131">
        <v>2019</v>
      </c>
      <c r="G5131" t="str">
        <f>IFERROR(INDEX(Formulations[Formulation],MATCH($C5131,Formulations[Product Code],0)),"")</f>
        <v/>
      </c>
    </row>
    <row r="5132" spans="1:7" x14ac:dyDescent="0.3">
      <c r="A5132" t="s">
        <v>1407</v>
      </c>
      <c r="B5132" t="s">
        <v>1410</v>
      </c>
      <c r="C5132" t="s">
        <v>1411</v>
      </c>
      <c r="D5132" s="7">
        <v>1</v>
      </c>
      <c r="E5132">
        <v>2021</v>
      </c>
      <c r="F5132">
        <v>2021</v>
      </c>
      <c r="G5132" t="str">
        <f>IFERROR(INDEX(Formulations[Formulation],MATCH($C5132,Formulations[Product Code],0)),"")</f>
        <v>Pure</v>
      </c>
    </row>
    <row r="5133" spans="1:7" x14ac:dyDescent="0.3">
      <c r="A5133" t="s">
        <v>1407</v>
      </c>
      <c r="B5133" t="s">
        <v>538</v>
      </c>
      <c r="C5133" t="s">
        <v>539</v>
      </c>
      <c r="D5133" s="7">
        <v>1</v>
      </c>
      <c r="E5133">
        <v>2021</v>
      </c>
      <c r="F5133">
        <v>2021</v>
      </c>
      <c r="G5133" t="str">
        <f>IFERROR(INDEX(Formulations[Formulation],MATCH($C5133,Formulations[Product Code],0)),"")</f>
        <v>Gold</v>
      </c>
    </row>
    <row r="5134" spans="1:7" x14ac:dyDescent="0.3">
      <c r="A5134" t="s">
        <v>1407</v>
      </c>
      <c r="B5134" t="s">
        <v>252</v>
      </c>
      <c r="C5134" t="s">
        <v>191</v>
      </c>
      <c r="D5134" s="7">
        <v>1</v>
      </c>
      <c r="E5134">
        <v>2019</v>
      </c>
      <c r="F5134">
        <v>2019</v>
      </c>
      <c r="G5134" t="str">
        <f>IFERROR(INDEX(Formulations[Formulation],MATCH($C5134,Formulations[Product Code],0)),"")</f>
        <v>Pure</v>
      </c>
    </row>
    <row r="5135" spans="1:7" x14ac:dyDescent="0.3">
      <c r="A5135" t="s">
        <v>1407</v>
      </c>
      <c r="B5135" t="s">
        <v>637</v>
      </c>
      <c r="C5135" t="s">
        <v>638</v>
      </c>
      <c r="D5135" s="7">
        <v>1</v>
      </c>
      <c r="E5135">
        <v>2021</v>
      </c>
      <c r="F5135">
        <v>2021</v>
      </c>
      <c r="G5135" t="str">
        <f>IFERROR(INDEX(Formulations[Formulation],MATCH($C5135,Formulations[Product Code],0)),"")</f>
        <v>Pure</v>
      </c>
    </row>
    <row r="5136" spans="1:7" x14ac:dyDescent="0.3">
      <c r="A5136" t="s">
        <v>1407</v>
      </c>
      <c r="B5136" t="s">
        <v>1413</v>
      </c>
      <c r="D5136" s="7">
        <v>1</v>
      </c>
      <c r="E5136">
        <v>2021</v>
      </c>
      <c r="F5136">
        <v>2021</v>
      </c>
      <c r="G5136" t="str">
        <f>IFERROR(INDEX(Formulations[Formulation],MATCH($C5136,Formulations[Product Code],0)),"")</f>
        <v/>
      </c>
    </row>
    <row r="5137" spans="1:7" x14ac:dyDescent="0.3">
      <c r="A5137" t="s">
        <v>1407</v>
      </c>
      <c r="B5137" t="s">
        <v>255</v>
      </c>
      <c r="C5137" t="s">
        <v>256</v>
      </c>
      <c r="D5137" s="7">
        <v>1</v>
      </c>
      <c r="E5137">
        <v>2020</v>
      </c>
      <c r="F5137">
        <v>2020</v>
      </c>
      <c r="G5137" t="str">
        <f>IFERROR(INDEX(Formulations[Formulation],MATCH($C5137,Formulations[Product Code],0)),"")</f>
        <v/>
      </c>
    </row>
    <row r="5138" spans="1:7" x14ac:dyDescent="0.3">
      <c r="A5138" t="s">
        <v>1407</v>
      </c>
      <c r="B5138" t="s">
        <v>1416</v>
      </c>
      <c r="C5138" t="s">
        <v>1417</v>
      </c>
      <c r="D5138" s="7">
        <v>1</v>
      </c>
      <c r="E5138">
        <v>2020</v>
      </c>
      <c r="F5138">
        <v>2020</v>
      </c>
      <c r="G5138" t="str">
        <f>IFERROR(INDEX(Formulations[Formulation],MATCH($C5138,Formulations[Product Code],0)),"")</f>
        <v/>
      </c>
    </row>
    <row r="5139" spans="1:7" x14ac:dyDescent="0.3">
      <c r="A5139" t="s">
        <v>1407</v>
      </c>
      <c r="B5139" t="s">
        <v>1421</v>
      </c>
      <c r="C5139" t="s">
        <v>98</v>
      </c>
      <c r="D5139" s="7">
        <v>1</v>
      </c>
      <c r="E5139">
        <v>2019</v>
      </c>
      <c r="F5139">
        <v>2019</v>
      </c>
      <c r="G5139" t="str">
        <f>IFERROR(INDEX(Formulations[Formulation],MATCH($C5139,Formulations[Product Code],0)),"")</f>
        <v/>
      </c>
    </row>
    <row r="5140" spans="1:7" x14ac:dyDescent="0.3">
      <c r="A5140" t="s">
        <v>1407</v>
      </c>
      <c r="B5140" t="s">
        <v>596</v>
      </c>
      <c r="D5140" s="7">
        <v>1</v>
      </c>
      <c r="E5140">
        <v>2021</v>
      </c>
      <c r="F5140">
        <v>2021</v>
      </c>
      <c r="G5140" t="str">
        <f>IFERROR(INDEX(Formulations[Formulation],MATCH($C5140,Formulations[Product Code],0)),"")</f>
        <v/>
      </c>
    </row>
    <row r="5141" spans="1:7" x14ac:dyDescent="0.3">
      <c r="A5141" t="s">
        <v>1407</v>
      </c>
      <c r="B5141" t="s">
        <v>1135</v>
      </c>
      <c r="C5141" t="s">
        <v>561</v>
      </c>
      <c r="D5141" s="7">
        <v>1</v>
      </c>
      <c r="E5141">
        <v>2020</v>
      </c>
      <c r="F5141">
        <v>2020</v>
      </c>
      <c r="G5141" t="str">
        <f>IFERROR(INDEX(Formulations[Formulation],MATCH($C5141,Formulations[Product Code],0)),"")</f>
        <v/>
      </c>
    </row>
    <row r="5142" spans="1:7" x14ac:dyDescent="0.3">
      <c r="A5142" t="s">
        <v>1407</v>
      </c>
      <c r="B5142" t="s">
        <v>516</v>
      </c>
      <c r="D5142" s="7">
        <v>1</v>
      </c>
      <c r="E5142">
        <v>2021</v>
      </c>
      <c r="F5142">
        <v>2021</v>
      </c>
      <c r="G5142" t="str">
        <f>IFERROR(INDEX(Formulations[Formulation],MATCH($C5142,Formulations[Product Code],0)),"")</f>
        <v/>
      </c>
    </row>
    <row r="5143" spans="1:7" x14ac:dyDescent="0.3">
      <c r="A5143" t="s">
        <v>1407</v>
      </c>
      <c r="B5143" t="s">
        <v>1009</v>
      </c>
      <c r="C5143" t="s">
        <v>934</v>
      </c>
      <c r="D5143" s="7">
        <v>1</v>
      </c>
      <c r="E5143">
        <v>2020</v>
      </c>
      <c r="F5143">
        <v>2020</v>
      </c>
      <c r="G5143" t="str">
        <f>IFERROR(INDEX(Formulations[Formulation],MATCH($C5143,Formulations[Product Code],0)),"")</f>
        <v/>
      </c>
    </row>
    <row r="5144" spans="1:7" x14ac:dyDescent="0.3">
      <c r="A5144" t="s">
        <v>1407</v>
      </c>
      <c r="B5144" t="s">
        <v>19</v>
      </c>
      <c r="C5144" t="s">
        <v>699</v>
      </c>
      <c r="D5144" s="7">
        <v>1</v>
      </c>
      <c r="E5144">
        <v>2019</v>
      </c>
      <c r="F5144">
        <v>2019</v>
      </c>
      <c r="G5144" t="str">
        <f>IFERROR(INDEX(Formulations[Formulation],MATCH($C5144,Formulations[Product Code],0)),"")</f>
        <v/>
      </c>
    </row>
    <row r="5145" spans="1:7" x14ac:dyDescent="0.3">
      <c r="A5145" t="s">
        <v>1407</v>
      </c>
      <c r="B5145" t="s">
        <v>260</v>
      </c>
      <c r="C5145" t="s">
        <v>109</v>
      </c>
      <c r="D5145" s="7">
        <v>1</v>
      </c>
      <c r="E5145">
        <v>2019</v>
      </c>
      <c r="F5145">
        <v>2019</v>
      </c>
      <c r="G5145" t="str">
        <f>IFERROR(INDEX(Formulations[Formulation],MATCH($C5145,Formulations[Product Code],0)),"")</f>
        <v>Pure</v>
      </c>
    </row>
    <row r="5146" spans="1:7" x14ac:dyDescent="0.3">
      <c r="A5146" t="s">
        <v>1407</v>
      </c>
      <c r="B5146" t="s">
        <v>127</v>
      </c>
      <c r="D5146" s="7">
        <v>1</v>
      </c>
      <c r="E5146">
        <v>2019</v>
      </c>
      <c r="F5146">
        <v>2019</v>
      </c>
      <c r="G5146" t="str">
        <f>IFERROR(INDEX(Formulations[Formulation],MATCH($C5146,Formulations[Product Code],0)),"")</f>
        <v/>
      </c>
    </row>
    <row r="5147" spans="1:7" x14ac:dyDescent="0.3">
      <c r="A5147" t="s">
        <v>1407</v>
      </c>
      <c r="B5147" t="s">
        <v>402</v>
      </c>
      <c r="C5147" t="s">
        <v>403</v>
      </c>
      <c r="D5147" s="7">
        <v>1</v>
      </c>
      <c r="E5147">
        <v>2019</v>
      </c>
      <c r="F5147">
        <v>2019</v>
      </c>
      <c r="G5147" t="str">
        <f>IFERROR(INDEX(Formulations[Formulation],MATCH($C5147,Formulations[Product Code],0)),"")</f>
        <v>15 % oil and 85% dpg</v>
      </c>
    </row>
    <row r="5148" spans="1:7" x14ac:dyDescent="0.3">
      <c r="A5148" t="s">
        <v>1407</v>
      </c>
      <c r="B5148" t="s">
        <v>1429</v>
      </c>
      <c r="C5148" t="s">
        <v>1368</v>
      </c>
      <c r="D5148" s="7">
        <v>1</v>
      </c>
      <c r="E5148">
        <v>2020</v>
      </c>
      <c r="F5148">
        <v>2020</v>
      </c>
      <c r="G5148" t="str">
        <f>IFERROR(INDEX(Formulations[Formulation],MATCH($C5148,Formulations[Product Code],0)),"")</f>
        <v>Pure</v>
      </c>
    </row>
    <row r="5149" spans="1:7" x14ac:dyDescent="0.3">
      <c r="A5149" t="s">
        <v>1407</v>
      </c>
      <c r="B5149" t="s">
        <v>817</v>
      </c>
      <c r="D5149" s="7">
        <v>1</v>
      </c>
      <c r="E5149">
        <v>2019</v>
      </c>
      <c r="F5149">
        <v>2019</v>
      </c>
      <c r="G5149" t="str">
        <f>IFERROR(INDEX(Formulations[Formulation],MATCH($C5149,Formulations[Product Code],0)),"")</f>
        <v/>
      </c>
    </row>
    <row r="5150" spans="1:7" x14ac:dyDescent="0.3">
      <c r="A5150" t="s">
        <v>1407</v>
      </c>
      <c r="B5150" t="s">
        <v>314</v>
      </c>
      <c r="C5150" t="s">
        <v>315</v>
      </c>
      <c r="D5150" s="7">
        <v>1</v>
      </c>
      <c r="E5150">
        <v>2019</v>
      </c>
      <c r="F5150">
        <v>2019</v>
      </c>
      <c r="G5150" t="str">
        <f>IFERROR(INDEX(Formulations[Formulation],MATCH($C5150,Formulations[Product Code],0)),"")</f>
        <v/>
      </c>
    </row>
    <row r="5151" spans="1:7" x14ac:dyDescent="0.3">
      <c r="A5151" t="s">
        <v>1407</v>
      </c>
      <c r="B5151" t="s">
        <v>674</v>
      </c>
      <c r="C5151" t="s">
        <v>675</v>
      </c>
      <c r="D5151" s="7">
        <v>1</v>
      </c>
      <c r="E5151">
        <v>2020</v>
      </c>
      <c r="F5151">
        <v>2020</v>
      </c>
      <c r="G5151" t="str">
        <f>IFERROR(INDEX(Formulations[Formulation],MATCH($C5151,Formulations[Product Code],0)),"")</f>
        <v>Crystal</v>
      </c>
    </row>
    <row r="5152" spans="1:7" x14ac:dyDescent="0.3">
      <c r="A5152" t="s">
        <v>1407</v>
      </c>
      <c r="B5152" t="s">
        <v>599</v>
      </c>
      <c r="C5152" t="s">
        <v>413</v>
      </c>
      <c r="D5152" s="7">
        <v>1</v>
      </c>
      <c r="E5152">
        <v>2019</v>
      </c>
      <c r="F5152">
        <v>2019</v>
      </c>
      <c r="G5152" t="str">
        <f>IFERROR(INDEX(Formulations[Formulation],MATCH($C5152,Formulations[Product Code],0)),"")</f>
        <v>40% oil &amp; 60 % DPG</v>
      </c>
    </row>
    <row r="5153" spans="1:7" x14ac:dyDescent="0.3">
      <c r="A5153" t="s">
        <v>1407</v>
      </c>
      <c r="B5153" t="s">
        <v>656</v>
      </c>
      <c r="C5153" t="s">
        <v>71</v>
      </c>
      <c r="D5153" s="7">
        <v>1</v>
      </c>
      <c r="E5153">
        <v>2021</v>
      </c>
      <c r="F5153">
        <v>2021</v>
      </c>
      <c r="G5153" t="str">
        <f>IFERROR(INDEX(Formulations[Formulation],MATCH($C5153,Formulations[Product Code],0)),"")</f>
        <v>40% Oil &amp; 60% DPG</v>
      </c>
    </row>
    <row r="5154" spans="1:7" x14ac:dyDescent="0.3">
      <c r="A5154" t="s">
        <v>1407</v>
      </c>
      <c r="B5154" t="s">
        <v>600</v>
      </c>
      <c r="C5154" t="s">
        <v>75</v>
      </c>
      <c r="D5154" s="7">
        <v>1</v>
      </c>
      <c r="E5154">
        <v>2020</v>
      </c>
      <c r="F5154">
        <v>2020</v>
      </c>
      <c r="G5154" t="str">
        <f>IFERROR(INDEX(Formulations[Formulation],MATCH($C5154,Formulations[Product Code],0)),"")</f>
        <v>Crystal</v>
      </c>
    </row>
    <row r="5155" spans="1:7" x14ac:dyDescent="0.3">
      <c r="A5155" t="s">
        <v>1407</v>
      </c>
      <c r="B5155" t="s">
        <v>483</v>
      </c>
      <c r="C5155" t="s">
        <v>484</v>
      </c>
      <c r="D5155" s="7">
        <v>1</v>
      </c>
      <c r="E5155">
        <v>2019</v>
      </c>
      <c r="F5155">
        <v>2019</v>
      </c>
      <c r="G5155" t="str">
        <f>IFERROR(INDEX(Formulations[Formulation],MATCH($C5155,Formulations[Product Code],0)),"")</f>
        <v>Crystal</v>
      </c>
    </row>
    <row r="5156" spans="1:7" x14ac:dyDescent="0.3">
      <c r="A5156" t="s">
        <v>1407</v>
      </c>
      <c r="B5156" t="s">
        <v>841</v>
      </c>
      <c r="C5156" t="s">
        <v>169</v>
      </c>
      <c r="D5156" s="7">
        <v>1</v>
      </c>
      <c r="E5156">
        <v>2020</v>
      </c>
      <c r="F5156">
        <v>2020</v>
      </c>
      <c r="G5156" t="str">
        <f>IFERROR(INDEX(Formulations[Formulation],MATCH($C5156,Formulations[Product Code],0)),"")</f>
        <v>Silver</v>
      </c>
    </row>
    <row r="5157" spans="1:7" x14ac:dyDescent="0.3">
      <c r="A5157" t="s">
        <v>1431</v>
      </c>
      <c r="B5157" t="s">
        <v>1094</v>
      </c>
      <c r="C5157" t="s">
        <v>209</v>
      </c>
      <c r="D5157" s="7">
        <v>1</v>
      </c>
      <c r="E5157">
        <v>2018</v>
      </c>
      <c r="F5157">
        <v>2018</v>
      </c>
      <c r="G5157" t="str">
        <f>IFERROR(INDEX(Formulations[Formulation],MATCH($C5157,Formulations[Product Code],0)),"")</f>
        <v/>
      </c>
    </row>
    <row r="5158" spans="1:7" x14ac:dyDescent="0.3">
      <c r="A5158" t="s">
        <v>1431</v>
      </c>
      <c r="B5158" t="s">
        <v>583</v>
      </c>
      <c r="C5158" t="s">
        <v>249</v>
      </c>
      <c r="D5158" s="7">
        <v>1</v>
      </c>
      <c r="E5158">
        <v>2019</v>
      </c>
      <c r="F5158">
        <v>2019</v>
      </c>
      <c r="G5158" t="str">
        <f>IFERROR(INDEX(Formulations[Formulation],MATCH($C5158,Formulations[Product Code],0)),"")</f>
        <v>WS</v>
      </c>
    </row>
    <row r="5159" spans="1:7" x14ac:dyDescent="0.3">
      <c r="A5159" t="s">
        <v>1431</v>
      </c>
      <c r="B5159" t="s">
        <v>250</v>
      </c>
      <c r="C5159" t="s">
        <v>222</v>
      </c>
      <c r="D5159" s="7">
        <v>1</v>
      </c>
      <c r="E5159">
        <v>2019</v>
      </c>
      <c r="F5159">
        <v>2019</v>
      </c>
      <c r="G5159" t="str">
        <f>IFERROR(INDEX(Formulations[Formulation],MATCH($C5159,Formulations[Product Code],0)),"")</f>
        <v>WS</v>
      </c>
    </row>
    <row r="5160" spans="1:7" x14ac:dyDescent="0.3">
      <c r="A5160" t="s">
        <v>1431</v>
      </c>
      <c r="B5160" t="s">
        <v>788</v>
      </c>
      <c r="C5160" t="s">
        <v>789</v>
      </c>
      <c r="D5160" s="7">
        <v>1</v>
      </c>
      <c r="E5160">
        <v>2019</v>
      </c>
      <c r="F5160">
        <v>2019</v>
      </c>
      <c r="G5160" t="str">
        <f>IFERROR(INDEX(Formulations[Formulation],MATCH($C5160,Formulations[Product Code],0)),"")</f>
        <v>Pure</v>
      </c>
    </row>
    <row r="5161" spans="1:7" x14ac:dyDescent="0.3">
      <c r="A5161" t="s">
        <v>1431</v>
      </c>
      <c r="B5161" t="s">
        <v>1410</v>
      </c>
      <c r="C5161" t="s">
        <v>1411</v>
      </c>
      <c r="D5161" s="7">
        <v>1</v>
      </c>
      <c r="E5161">
        <v>2019</v>
      </c>
      <c r="F5161">
        <v>2019</v>
      </c>
      <c r="G5161" t="str">
        <f>IFERROR(INDEX(Formulations[Formulation],MATCH($C5161,Formulations[Product Code],0)),"")</f>
        <v>Pure</v>
      </c>
    </row>
    <row r="5162" spans="1:7" x14ac:dyDescent="0.3">
      <c r="A5162" t="s">
        <v>1431</v>
      </c>
      <c r="B5162" t="s">
        <v>251</v>
      </c>
      <c r="C5162" t="s">
        <v>207</v>
      </c>
      <c r="D5162" s="7">
        <v>1</v>
      </c>
      <c r="E5162">
        <v>2019</v>
      </c>
      <c r="F5162">
        <v>2019</v>
      </c>
      <c r="G5162" t="str">
        <f>IFERROR(INDEX(Formulations[Formulation],MATCH($C5162,Formulations[Product Code],0)),"")</f>
        <v/>
      </c>
    </row>
    <row r="5163" spans="1:7" x14ac:dyDescent="0.3">
      <c r="A5163" t="s">
        <v>1431</v>
      </c>
      <c r="B5163" t="s">
        <v>1432</v>
      </c>
      <c r="C5163" t="s">
        <v>209</v>
      </c>
      <c r="D5163" s="7">
        <v>1</v>
      </c>
      <c r="E5163">
        <v>2018</v>
      </c>
      <c r="F5163">
        <v>2018</v>
      </c>
      <c r="G5163" t="str">
        <f>IFERROR(INDEX(Formulations[Formulation],MATCH($C5163,Formulations[Product Code],0)),"")</f>
        <v/>
      </c>
    </row>
    <row r="5164" spans="1:7" x14ac:dyDescent="0.3">
      <c r="A5164" t="s">
        <v>1431</v>
      </c>
      <c r="B5164" t="s">
        <v>1433</v>
      </c>
      <c r="C5164" t="s">
        <v>1434</v>
      </c>
      <c r="D5164" s="7">
        <v>1</v>
      </c>
      <c r="E5164">
        <v>2019</v>
      </c>
      <c r="F5164">
        <v>2019</v>
      </c>
      <c r="G5164" t="str">
        <f>IFERROR(INDEX(Formulations[Formulation],MATCH($C5164,Formulations[Product Code],0)),"")</f>
        <v/>
      </c>
    </row>
    <row r="5165" spans="1:7" x14ac:dyDescent="0.3">
      <c r="A5165" t="s">
        <v>1431</v>
      </c>
      <c r="B5165" t="s">
        <v>258</v>
      </c>
      <c r="C5165" t="s">
        <v>259</v>
      </c>
      <c r="D5165" s="7">
        <v>1</v>
      </c>
      <c r="E5165">
        <v>2019</v>
      </c>
      <c r="F5165">
        <v>2019</v>
      </c>
      <c r="G5165" t="str">
        <f>IFERROR(INDEX(Formulations[Formulation],MATCH($C5165,Formulations[Product Code],0)),"")</f>
        <v>Pure</v>
      </c>
    </row>
    <row r="5166" spans="1:7" x14ac:dyDescent="0.3">
      <c r="A5166" t="s">
        <v>1431</v>
      </c>
      <c r="B5166" t="s">
        <v>809</v>
      </c>
      <c r="C5166" t="s">
        <v>810</v>
      </c>
      <c r="D5166" s="7">
        <v>1</v>
      </c>
      <c r="E5166">
        <v>2019</v>
      </c>
      <c r="F5166">
        <v>2019</v>
      </c>
      <c r="G5166" t="str">
        <f>IFERROR(INDEX(Formulations[Formulation],MATCH($C5166,Formulations[Product Code],0)),"")</f>
        <v>Silver</v>
      </c>
    </row>
    <row r="5167" spans="1:7" x14ac:dyDescent="0.3">
      <c r="A5167" t="s">
        <v>1431</v>
      </c>
      <c r="B5167" t="s">
        <v>62</v>
      </c>
      <c r="C5167" t="s">
        <v>63</v>
      </c>
      <c r="D5167" s="7">
        <v>1</v>
      </c>
      <c r="E5167">
        <v>2019</v>
      </c>
      <c r="F5167">
        <v>2019</v>
      </c>
      <c r="G5167" t="str">
        <f>IFERROR(INDEX(Formulations[Formulation],MATCH($C5167,Formulations[Product Code],0)),"")</f>
        <v>Crystal</v>
      </c>
    </row>
    <row r="5168" spans="1:7" x14ac:dyDescent="0.3">
      <c r="A5168" t="s">
        <v>1431</v>
      </c>
      <c r="B5168" t="s">
        <v>1405</v>
      </c>
      <c r="C5168" t="s">
        <v>1406</v>
      </c>
      <c r="D5168" s="7">
        <v>1</v>
      </c>
      <c r="E5168">
        <v>2019</v>
      </c>
      <c r="F5168">
        <v>2019</v>
      </c>
      <c r="G5168" t="str">
        <f>IFERROR(INDEX(Formulations[Formulation],MATCH($C5168,Formulations[Product Code],0)),"")</f>
        <v>Silver</v>
      </c>
    </row>
    <row r="5169" spans="1:7" x14ac:dyDescent="0.3">
      <c r="A5169" t="s">
        <v>1431</v>
      </c>
      <c r="B5169" t="s">
        <v>1396</v>
      </c>
      <c r="C5169" t="s">
        <v>613</v>
      </c>
      <c r="D5169" s="7">
        <v>1</v>
      </c>
      <c r="E5169">
        <v>2019</v>
      </c>
      <c r="F5169">
        <v>2019</v>
      </c>
      <c r="G5169" t="str">
        <f>IFERROR(INDEX(Formulations[Formulation],MATCH($C5169,Formulations[Product Code],0)),"")</f>
        <v>Pure</v>
      </c>
    </row>
    <row r="5170" spans="1:7" x14ac:dyDescent="0.3">
      <c r="A5170" t="s">
        <v>1439</v>
      </c>
      <c r="B5170" t="s">
        <v>905</v>
      </c>
      <c r="C5170" t="s">
        <v>906</v>
      </c>
      <c r="D5170" s="7">
        <v>1</v>
      </c>
      <c r="E5170">
        <v>2018</v>
      </c>
      <c r="F5170">
        <v>2018</v>
      </c>
      <c r="G5170" t="str">
        <f>IFERROR(INDEX(Formulations[Formulation],MATCH($C5170,Formulations[Product Code],0)),"")</f>
        <v/>
      </c>
    </row>
    <row r="5171" spans="1:7" x14ac:dyDescent="0.3">
      <c r="A5171" t="s">
        <v>1439</v>
      </c>
      <c r="B5171" t="s">
        <v>404</v>
      </c>
      <c r="C5171" t="s">
        <v>405</v>
      </c>
      <c r="D5171" s="7">
        <v>1</v>
      </c>
      <c r="E5171">
        <v>2018</v>
      </c>
      <c r="F5171">
        <v>2018</v>
      </c>
      <c r="G5171" t="str">
        <f>IFERROR(INDEX(Formulations[Formulation],MATCH($C5171,Formulations[Product Code],0)),"")</f>
        <v/>
      </c>
    </row>
    <row r="5172" spans="1:7" x14ac:dyDescent="0.3">
      <c r="A5172" t="s">
        <v>1463</v>
      </c>
      <c r="B5172" t="s">
        <v>218</v>
      </c>
      <c r="C5172" t="s">
        <v>212</v>
      </c>
      <c r="D5172" s="7">
        <v>1</v>
      </c>
      <c r="E5172">
        <v>2015</v>
      </c>
      <c r="F5172">
        <v>2015</v>
      </c>
      <c r="G5172" t="str">
        <f>IFERROR(INDEX(Formulations[Formulation],MATCH($C5172,Formulations[Product Code],0)),"")</f>
        <v>Pure</v>
      </c>
    </row>
    <row r="5173" spans="1:7" x14ac:dyDescent="0.3">
      <c r="A5173" t="s">
        <v>1463</v>
      </c>
      <c r="B5173" t="s">
        <v>1257</v>
      </c>
      <c r="C5173" t="s">
        <v>638</v>
      </c>
      <c r="D5173" s="7">
        <v>1</v>
      </c>
      <c r="E5173">
        <v>2015</v>
      </c>
      <c r="F5173">
        <v>2015</v>
      </c>
      <c r="G5173" t="str">
        <f>IFERROR(INDEX(Formulations[Formulation],MATCH($C5173,Formulations[Product Code],0)),"")</f>
        <v>Pure</v>
      </c>
    </row>
    <row r="5174" spans="1:7" x14ac:dyDescent="0.3">
      <c r="A5174" t="s">
        <v>1463</v>
      </c>
      <c r="B5174" t="s">
        <v>112</v>
      </c>
      <c r="C5174" t="s">
        <v>113</v>
      </c>
      <c r="D5174" s="7">
        <v>1</v>
      </c>
      <c r="E5174">
        <v>2015</v>
      </c>
      <c r="F5174">
        <v>2015</v>
      </c>
      <c r="G5174" t="str">
        <f>IFERROR(INDEX(Formulations[Formulation],MATCH($C5174,Formulations[Product Code],0)),"")</f>
        <v/>
      </c>
    </row>
    <row r="5175" spans="1:7" x14ac:dyDescent="0.3">
      <c r="A5175" t="s">
        <v>1463</v>
      </c>
      <c r="B5175" t="s">
        <v>826</v>
      </c>
      <c r="C5175" t="s">
        <v>229</v>
      </c>
      <c r="D5175" s="7">
        <v>1</v>
      </c>
      <c r="E5175">
        <v>2015</v>
      </c>
      <c r="F5175">
        <v>2015</v>
      </c>
      <c r="G5175" t="str">
        <f>IFERROR(INDEX(Formulations[Formulation],MATCH($C5175,Formulations[Product Code],0)),"")</f>
        <v>Pure</v>
      </c>
    </row>
    <row r="5176" spans="1:7" x14ac:dyDescent="0.3">
      <c r="A5176" t="s">
        <v>1463</v>
      </c>
      <c r="B5176" t="s">
        <v>1607</v>
      </c>
      <c r="C5176" t="s">
        <v>1608</v>
      </c>
      <c r="D5176" s="7">
        <v>1</v>
      </c>
      <c r="E5176">
        <v>2013</v>
      </c>
      <c r="F5176">
        <v>2013</v>
      </c>
      <c r="G5176" t="str">
        <f>IFERROR(INDEX(Formulations[Formulation],MATCH($C5176,Formulations[Product Code],0)),"")</f>
        <v/>
      </c>
    </row>
    <row r="5177" spans="1:7" x14ac:dyDescent="0.3">
      <c r="A5177" t="s">
        <v>1463</v>
      </c>
      <c r="B5177" t="s">
        <v>1612</v>
      </c>
      <c r="C5177" t="s">
        <v>1613</v>
      </c>
      <c r="D5177" s="7">
        <v>1</v>
      </c>
      <c r="E5177">
        <v>2013</v>
      </c>
      <c r="F5177">
        <v>2013</v>
      </c>
      <c r="G5177" t="str">
        <f>IFERROR(INDEX(Formulations[Formulation],MATCH($C5177,Formulations[Product Code],0)),"")</f>
        <v/>
      </c>
    </row>
    <row r="5178" spans="1:7" x14ac:dyDescent="0.3">
      <c r="A5178" t="s">
        <v>1463</v>
      </c>
      <c r="B5178" t="s">
        <v>1614</v>
      </c>
      <c r="C5178" t="s">
        <v>1615</v>
      </c>
      <c r="D5178" s="7">
        <v>1</v>
      </c>
      <c r="E5178">
        <v>2013</v>
      </c>
      <c r="F5178">
        <v>2013</v>
      </c>
      <c r="G5178" t="str">
        <f>IFERROR(INDEX(Formulations[Formulation],MATCH($C5178,Formulations[Product Code],0)),"")</f>
        <v/>
      </c>
    </row>
    <row r="5179" spans="1:7" x14ac:dyDescent="0.3">
      <c r="A5179" t="s">
        <v>1463</v>
      </c>
      <c r="B5179" t="s">
        <v>149</v>
      </c>
      <c r="C5179" t="s">
        <v>150</v>
      </c>
      <c r="D5179" s="7">
        <v>1</v>
      </c>
      <c r="E5179">
        <v>2013</v>
      </c>
      <c r="F5179">
        <v>2013</v>
      </c>
      <c r="G5179" t="str">
        <f>IFERROR(INDEX(Formulations[Formulation],MATCH($C5179,Formulations[Product Code],0)),"")</f>
        <v/>
      </c>
    </row>
    <row r="5180" spans="1:7" x14ac:dyDescent="0.3">
      <c r="A5180" t="s">
        <v>1463</v>
      </c>
      <c r="B5180" t="s">
        <v>1394</v>
      </c>
      <c r="C5180" t="s">
        <v>1395</v>
      </c>
      <c r="D5180" s="7">
        <v>1</v>
      </c>
      <c r="E5180">
        <v>2015</v>
      </c>
      <c r="F5180">
        <v>2015</v>
      </c>
      <c r="G5180" t="str">
        <f>IFERROR(INDEX(Formulations[Formulation],MATCH($C5180,Formulations[Product Code],0)),"")</f>
        <v/>
      </c>
    </row>
    <row r="5181" spans="1:7" x14ac:dyDescent="0.3">
      <c r="A5181" t="s">
        <v>1463</v>
      </c>
      <c r="B5181" t="s">
        <v>1628</v>
      </c>
      <c r="C5181" t="s">
        <v>1525</v>
      </c>
      <c r="D5181" s="7">
        <v>1</v>
      </c>
      <c r="E5181">
        <v>2013</v>
      </c>
      <c r="F5181">
        <v>2013</v>
      </c>
      <c r="G5181" t="str">
        <f>IFERROR(INDEX(Formulations[Formulation],MATCH($C5181,Formulations[Product Code],0)),"")</f>
        <v/>
      </c>
    </row>
    <row r="5182" spans="1:7" x14ac:dyDescent="0.3">
      <c r="A5182" t="s">
        <v>1463</v>
      </c>
      <c r="B5182" t="s">
        <v>1631</v>
      </c>
      <c r="C5182" t="s">
        <v>1632</v>
      </c>
      <c r="D5182" s="7">
        <v>1</v>
      </c>
      <c r="E5182">
        <v>2013</v>
      </c>
      <c r="F5182">
        <v>2013</v>
      </c>
      <c r="G5182" t="str">
        <f>IFERROR(INDEX(Formulations[Formulation],MATCH($C5182,Formulations[Product Code],0)),"")</f>
        <v/>
      </c>
    </row>
    <row r="5183" spans="1:7" x14ac:dyDescent="0.3">
      <c r="A5183" t="s">
        <v>1645</v>
      </c>
      <c r="B5183" t="s">
        <v>666</v>
      </c>
      <c r="C5183" t="s">
        <v>667</v>
      </c>
      <c r="D5183" s="7">
        <v>1</v>
      </c>
      <c r="E5183">
        <v>2019</v>
      </c>
      <c r="F5183">
        <v>2019</v>
      </c>
      <c r="G5183" t="str">
        <f>IFERROR(INDEX(Formulations[Formulation],MATCH($C5183,Formulations[Product Code],0)),"")</f>
        <v/>
      </c>
    </row>
    <row r="5184" spans="1:7" x14ac:dyDescent="0.3">
      <c r="A5184" t="s">
        <v>1645</v>
      </c>
      <c r="B5184" t="s">
        <v>26</v>
      </c>
      <c r="C5184" t="s">
        <v>27</v>
      </c>
      <c r="D5184" s="7">
        <v>1</v>
      </c>
      <c r="E5184">
        <v>2019</v>
      </c>
      <c r="F5184">
        <v>2019</v>
      </c>
      <c r="G5184" t="str">
        <f>IFERROR(INDEX(Formulations[Formulation],MATCH($C5184,Formulations[Product Code],0)),"")</f>
        <v>FLOURAMAX A270578/ P782894</v>
      </c>
    </row>
    <row r="5185" spans="1:7" x14ac:dyDescent="0.3">
      <c r="A5185" t="s">
        <v>1645</v>
      </c>
      <c r="B5185" t="s">
        <v>351</v>
      </c>
      <c r="C5185" t="s">
        <v>352</v>
      </c>
      <c r="D5185" s="7">
        <v>1</v>
      </c>
      <c r="E5185">
        <v>2019</v>
      </c>
      <c r="F5185">
        <v>2019</v>
      </c>
      <c r="G5185" t="str">
        <f>IFERROR(INDEX(Formulations[Formulation],MATCH($C5185,Formulations[Product Code],0)),"")</f>
        <v>Pure</v>
      </c>
    </row>
    <row r="5186" spans="1:7" x14ac:dyDescent="0.3">
      <c r="A5186" t="s">
        <v>1652</v>
      </c>
      <c r="B5186" t="s">
        <v>696</v>
      </c>
      <c r="C5186" t="s">
        <v>697</v>
      </c>
      <c r="D5186" s="7">
        <v>1</v>
      </c>
      <c r="E5186">
        <v>2020</v>
      </c>
      <c r="F5186">
        <v>2020</v>
      </c>
      <c r="G5186" t="str">
        <f>IFERROR(INDEX(Formulations[Formulation],MATCH($C5186,Formulations[Product Code],0)),"")</f>
        <v/>
      </c>
    </row>
    <row r="5187" spans="1:7" x14ac:dyDescent="0.3">
      <c r="A5187" t="s">
        <v>1652</v>
      </c>
      <c r="B5187" t="s">
        <v>1653</v>
      </c>
      <c r="C5187" t="s">
        <v>1654</v>
      </c>
      <c r="D5187" s="7">
        <v>1</v>
      </c>
      <c r="E5187">
        <v>2020</v>
      </c>
      <c r="F5187">
        <v>2020</v>
      </c>
      <c r="G5187" t="str">
        <f>IFERROR(INDEX(Formulations[Formulation],MATCH($C5187,Formulations[Product Code],0)),"")</f>
        <v>Pure</v>
      </c>
    </row>
    <row r="5188" spans="1:7" x14ac:dyDescent="0.3">
      <c r="A5188" t="s">
        <v>1655</v>
      </c>
      <c r="B5188" t="s">
        <v>51</v>
      </c>
      <c r="C5188" t="s">
        <v>52</v>
      </c>
      <c r="D5188" s="7">
        <v>1</v>
      </c>
      <c r="E5188">
        <v>2017</v>
      </c>
      <c r="F5188">
        <v>2017</v>
      </c>
      <c r="G5188" t="str">
        <f>IFERROR(INDEX(Formulations[Formulation],MATCH($C5188,Formulations[Product Code],0)),"")</f>
        <v>Silver</v>
      </c>
    </row>
    <row r="5189" spans="1:7" x14ac:dyDescent="0.3">
      <c r="A5189" t="s">
        <v>1655</v>
      </c>
      <c r="B5189" t="s">
        <v>82</v>
      </c>
      <c r="C5189" t="s">
        <v>83</v>
      </c>
      <c r="D5189" s="7">
        <v>1</v>
      </c>
      <c r="E5189">
        <v>2017</v>
      </c>
      <c r="F5189">
        <v>2017</v>
      </c>
      <c r="G5189" t="str">
        <f>IFERROR(INDEX(Formulations[Formulation],MATCH($C5189,Formulations[Product Code],0)),"")</f>
        <v>Pure</v>
      </c>
    </row>
    <row r="5190" spans="1:7" x14ac:dyDescent="0.3">
      <c r="A5190" t="s">
        <v>1655</v>
      </c>
      <c r="B5190" t="s">
        <v>84</v>
      </c>
      <c r="C5190" t="s">
        <v>85</v>
      </c>
      <c r="D5190" s="7">
        <v>1</v>
      </c>
      <c r="E5190">
        <v>2017</v>
      </c>
      <c r="F5190">
        <v>2017</v>
      </c>
      <c r="G5190" t="str">
        <f>IFERROR(INDEX(Formulations[Formulation],MATCH($C5190,Formulations[Product Code],0)),"")</f>
        <v>Pure</v>
      </c>
    </row>
    <row r="5191" spans="1:7" x14ac:dyDescent="0.3">
      <c r="A5191" t="s">
        <v>1655</v>
      </c>
      <c r="B5191" t="s">
        <v>558</v>
      </c>
      <c r="C5191" t="s">
        <v>559</v>
      </c>
      <c r="D5191" s="7">
        <v>1</v>
      </c>
      <c r="E5191">
        <v>2017</v>
      </c>
      <c r="F5191">
        <v>2017</v>
      </c>
      <c r="G5191" t="str">
        <f>IFERROR(INDEX(Formulations[Formulation],MATCH($C5191,Formulations[Product Code],0)),"")</f>
        <v/>
      </c>
    </row>
    <row r="5192" spans="1:7" x14ac:dyDescent="0.3">
      <c r="A5192" t="s">
        <v>1655</v>
      </c>
      <c r="B5192" t="s">
        <v>653</v>
      </c>
      <c r="C5192" t="s">
        <v>654</v>
      </c>
      <c r="D5192" s="7">
        <v>1</v>
      </c>
      <c r="E5192">
        <v>2020</v>
      </c>
      <c r="F5192">
        <v>2020</v>
      </c>
      <c r="G5192" t="str">
        <f>IFERROR(INDEX(Formulations[Formulation],MATCH($C5192,Formulations[Product Code],0)),"")</f>
        <v>Pure</v>
      </c>
    </row>
    <row r="5193" spans="1:7" x14ac:dyDescent="0.3">
      <c r="A5193" t="s">
        <v>1662</v>
      </c>
      <c r="B5193" t="s">
        <v>159</v>
      </c>
      <c r="C5193" t="s">
        <v>160</v>
      </c>
      <c r="D5193" s="7">
        <v>1</v>
      </c>
      <c r="E5193">
        <v>2018</v>
      </c>
      <c r="F5193">
        <v>2018</v>
      </c>
      <c r="G5193" t="str">
        <f>IFERROR(INDEX(Formulations[Formulation],MATCH($C5193,Formulations[Product Code],0)),"")</f>
        <v>Silver</v>
      </c>
    </row>
    <row r="5194" spans="1:7" x14ac:dyDescent="0.3">
      <c r="A5194" t="s">
        <v>1663</v>
      </c>
      <c r="B5194" t="s">
        <v>453</v>
      </c>
      <c r="D5194" s="7">
        <v>1</v>
      </c>
      <c r="E5194">
        <v>2019</v>
      </c>
      <c r="F5194">
        <v>2019</v>
      </c>
      <c r="G5194" t="str">
        <f>IFERROR(INDEX(Formulations[Formulation],MATCH($C5194,Formulations[Product Code],0)),"")</f>
        <v/>
      </c>
    </row>
    <row r="5195" spans="1:7" x14ac:dyDescent="0.3">
      <c r="A5195" t="s">
        <v>1663</v>
      </c>
      <c r="B5195" t="s">
        <v>461</v>
      </c>
      <c r="D5195" s="7">
        <v>1</v>
      </c>
      <c r="E5195">
        <v>2019</v>
      </c>
      <c r="F5195">
        <v>2019</v>
      </c>
      <c r="G5195" t="str">
        <f>IFERROR(INDEX(Formulations[Formulation],MATCH($C5195,Formulations[Product Code],0)),"")</f>
        <v/>
      </c>
    </row>
    <row r="5196" spans="1:7" x14ac:dyDescent="0.3">
      <c r="A5196" t="s">
        <v>1663</v>
      </c>
      <c r="B5196" t="s">
        <v>35</v>
      </c>
      <c r="D5196" s="7">
        <v>1</v>
      </c>
      <c r="E5196">
        <v>2019</v>
      </c>
      <c r="F5196">
        <v>2019</v>
      </c>
      <c r="G5196" t="str">
        <f>IFERROR(INDEX(Formulations[Formulation],MATCH($C5196,Formulations[Product Code],0)),"")</f>
        <v/>
      </c>
    </row>
    <row r="5197" spans="1:7" x14ac:dyDescent="0.3">
      <c r="A5197" t="s">
        <v>1663</v>
      </c>
      <c r="B5197" t="s">
        <v>642</v>
      </c>
      <c r="D5197" s="7">
        <v>1</v>
      </c>
      <c r="E5197">
        <v>2019</v>
      </c>
      <c r="F5197">
        <v>2019</v>
      </c>
      <c r="G5197" t="str">
        <f>IFERROR(INDEX(Formulations[Formulation],MATCH($C5197,Formulations[Product Code],0)),"")</f>
        <v/>
      </c>
    </row>
    <row r="5198" spans="1:7" x14ac:dyDescent="0.3">
      <c r="A5198" t="s">
        <v>1663</v>
      </c>
      <c r="B5198" t="s">
        <v>36</v>
      </c>
      <c r="D5198" s="7">
        <v>1</v>
      </c>
      <c r="E5198">
        <v>2019</v>
      </c>
      <c r="F5198">
        <v>2019</v>
      </c>
      <c r="G5198" t="str">
        <f>IFERROR(INDEX(Formulations[Formulation],MATCH($C5198,Formulations[Product Code],0)),"")</f>
        <v/>
      </c>
    </row>
    <row r="5199" spans="1:7" x14ac:dyDescent="0.3">
      <c r="A5199" t="s">
        <v>1663</v>
      </c>
      <c r="B5199" t="s">
        <v>37</v>
      </c>
      <c r="D5199" s="7">
        <v>1</v>
      </c>
      <c r="E5199">
        <v>2019</v>
      </c>
      <c r="F5199">
        <v>2019</v>
      </c>
      <c r="G5199" t="str">
        <f>IFERROR(INDEX(Formulations[Formulation],MATCH($C5199,Formulations[Product Code],0)),"")</f>
        <v/>
      </c>
    </row>
    <row r="5200" spans="1:7" x14ac:dyDescent="0.3">
      <c r="A5200" t="s">
        <v>1673</v>
      </c>
      <c r="B5200" t="s">
        <v>99</v>
      </c>
      <c r="C5200" t="s">
        <v>100</v>
      </c>
      <c r="D5200" s="7">
        <v>1</v>
      </c>
      <c r="E5200">
        <v>2020</v>
      </c>
      <c r="F5200">
        <v>2020</v>
      </c>
      <c r="G5200" t="str">
        <f>IFERROR(INDEX(Formulations[Formulation],MATCH($C5200,Formulations[Product Code],0)),"")</f>
        <v>Crystal</v>
      </c>
    </row>
    <row r="5201" spans="1:7" x14ac:dyDescent="0.3">
      <c r="A5201" t="s">
        <v>1678</v>
      </c>
      <c r="B5201" t="s">
        <v>863</v>
      </c>
      <c r="D5201" s="7">
        <v>1</v>
      </c>
      <c r="E5201">
        <v>2018</v>
      </c>
      <c r="F5201">
        <v>2018</v>
      </c>
      <c r="G5201" t="str">
        <f>IFERROR(INDEX(Formulations[Formulation],MATCH($C5201,Formulations[Product Code],0)),"")</f>
        <v/>
      </c>
    </row>
    <row r="5202" spans="1:7" x14ac:dyDescent="0.3">
      <c r="A5202" t="s">
        <v>1678</v>
      </c>
      <c r="B5202" t="s">
        <v>32</v>
      </c>
      <c r="D5202" s="7">
        <v>1</v>
      </c>
      <c r="E5202">
        <v>2018</v>
      </c>
      <c r="F5202">
        <v>2018</v>
      </c>
      <c r="G5202" t="str">
        <f>IFERROR(INDEX(Formulations[Formulation],MATCH($C5202,Formulations[Product Code],0)),"")</f>
        <v/>
      </c>
    </row>
    <row r="5203" spans="1:7" x14ac:dyDescent="0.3">
      <c r="A5203" t="s">
        <v>1703</v>
      </c>
      <c r="B5203" t="s">
        <v>1705</v>
      </c>
      <c r="C5203" t="s">
        <v>1706</v>
      </c>
      <c r="D5203" s="7">
        <v>1</v>
      </c>
      <c r="E5203">
        <v>2012</v>
      </c>
      <c r="F5203">
        <v>2012</v>
      </c>
      <c r="G5203" t="str">
        <f>IFERROR(INDEX(Formulations[Formulation],MATCH($C5203,Formulations[Product Code],0)),"")</f>
        <v/>
      </c>
    </row>
    <row r="5204" spans="1:7" x14ac:dyDescent="0.3">
      <c r="A5204" t="s">
        <v>1703</v>
      </c>
      <c r="B5204" t="s">
        <v>1061</v>
      </c>
      <c r="C5204" t="s">
        <v>1062</v>
      </c>
      <c r="D5204" s="7">
        <v>1</v>
      </c>
      <c r="E5204">
        <v>2012</v>
      </c>
      <c r="F5204">
        <v>2012</v>
      </c>
      <c r="G5204" t="str">
        <f>IFERROR(INDEX(Formulations[Formulation],MATCH($C5204,Formulations[Product Code],0)),"")</f>
        <v/>
      </c>
    </row>
    <row r="5205" spans="1:7" x14ac:dyDescent="0.3">
      <c r="A5205" t="s">
        <v>1703</v>
      </c>
      <c r="B5205" t="s">
        <v>1707</v>
      </c>
      <c r="C5205" t="s">
        <v>1708</v>
      </c>
      <c r="D5205" s="7">
        <v>1</v>
      </c>
      <c r="E5205">
        <v>2011</v>
      </c>
      <c r="F5205">
        <v>2011</v>
      </c>
      <c r="G5205" t="str">
        <f>IFERROR(INDEX(Formulations[Formulation],MATCH($C5205,Formulations[Product Code],0)),"")</f>
        <v/>
      </c>
    </row>
    <row r="5206" spans="1:7" x14ac:dyDescent="0.3">
      <c r="A5206" t="s">
        <v>1703</v>
      </c>
      <c r="B5206" t="s">
        <v>1709</v>
      </c>
      <c r="C5206" t="s">
        <v>1710</v>
      </c>
      <c r="D5206" s="7">
        <v>1</v>
      </c>
      <c r="E5206">
        <v>2012</v>
      </c>
      <c r="F5206">
        <v>2012</v>
      </c>
      <c r="G5206" t="str">
        <f>IFERROR(INDEX(Formulations[Formulation],MATCH($C5206,Formulations[Product Code],0)),"")</f>
        <v/>
      </c>
    </row>
    <row r="5207" spans="1:7" x14ac:dyDescent="0.3">
      <c r="A5207" t="s">
        <v>1703</v>
      </c>
      <c r="B5207" t="s">
        <v>1711</v>
      </c>
      <c r="C5207" t="s">
        <v>1712</v>
      </c>
      <c r="D5207" s="7">
        <v>1</v>
      </c>
      <c r="E5207">
        <v>2012</v>
      </c>
      <c r="F5207">
        <v>2012</v>
      </c>
      <c r="G5207" t="str">
        <f>IFERROR(INDEX(Formulations[Formulation],MATCH($C5207,Formulations[Product Code],0)),"")</f>
        <v/>
      </c>
    </row>
    <row r="5208" spans="1:7" x14ac:dyDescent="0.3">
      <c r="A5208" t="s">
        <v>1703</v>
      </c>
      <c r="B5208" t="s">
        <v>1715</v>
      </c>
      <c r="C5208" t="s">
        <v>1716</v>
      </c>
      <c r="D5208" s="7">
        <v>1</v>
      </c>
      <c r="E5208">
        <v>2011</v>
      </c>
      <c r="F5208">
        <v>2011</v>
      </c>
      <c r="G5208" t="str">
        <f>IFERROR(INDEX(Formulations[Formulation],MATCH($C5208,Formulations[Product Code],0)),"")</f>
        <v/>
      </c>
    </row>
    <row r="5209" spans="1:7" x14ac:dyDescent="0.3">
      <c r="A5209" t="s">
        <v>1703</v>
      </c>
      <c r="B5209" t="s">
        <v>1719</v>
      </c>
      <c r="C5209" t="s">
        <v>1720</v>
      </c>
      <c r="D5209" s="7">
        <v>1</v>
      </c>
      <c r="E5209">
        <v>2012</v>
      </c>
      <c r="F5209">
        <v>2012</v>
      </c>
      <c r="G5209" t="str">
        <f>IFERROR(INDEX(Formulations[Formulation],MATCH($C5209,Formulations[Product Code],0)),"")</f>
        <v/>
      </c>
    </row>
    <row r="5210" spans="1:7" x14ac:dyDescent="0.3">
      <c r="A5210" t="s">
        <v>1746</v>
      </c>
      <c r="B5210" t="s">
        <v>599</v>
      </c>
      <c r="C5210" t="s">
        <v>413</v>
      </c>
      <c r="D5210" s="7">
        <v>1</v>
      </c>
      <c r="E5210">
        <v>2021</v>
      </c>
      <c r="F5210">
        <v>2021</v>
      </c>
      <c r="G5210" t="str">
        <f>IFERROR(INDEX(Formulations[Formulation],MATCH($C5210,Formulations[Product Code],0)),"")</f>
        <v>40% oil &amp; 60 % DPG</v>
      </c>
    </row>
    <row r="5211" spans="1:7" x14ac:dyDescent="0.3">
      <c r="A5211" t="s">
        <v>1753</v>
      </c>
      <c r="B5211" t="s">
        <v>581</v>
      </c>
      <c r="C5211" t="s">
        <v>582</v>
      </c>
      <c r="D5211" s="7">
        <v>1</v>
      </c>
      <c r="E5211">
        <v>2014</v>
      </c>
      <c r="F5211">
        <v>2014</v>
      </c>
      <c r="G5211" t="str">
        <f>IFERROR(INDEX(Formulations[Formulation],MATCH($C5211,Formulations[Product Code],0)),"")</f>
        <v/>
      </c>
    </row>
    <row r="5212" spans="1:7" x14ac:dyDescent="0.3">
      <c r="A5212" t="s">
        <v>1753</v>
      </c>
      <c r="B5212" t="s">
        <v>219</v>
      </c>
      <c r="C5212" t="s">
        <v>220</v>
      </c>
      <c r="D5212" s="7">
        <v>1</v>
      </c>
      <c r="E5212">
        <v>2014</v>
      </c>
      <c r="F5212">
        <v>2014</v>
      </c>
      <c r="G5212" t="str">
        <f>IFERROR(INDEX(Formulations[Formulation],MATCH($C5212,Formulations[Product Code],0)),"")</f>
        <v/>
      </c>
    </row>
    <row r="5213" spans="1:7" x14ac:dyDescent="0.3">
      <c r="A5213" t="s">
        <v>1754</v>
      </c>
      <c r="B5213" t="s">
        <v>251</v>
      </c>
      <c r="C5213" t="s">
        <v>207</v>
      </c>
      <c r="D5213" s="7">
        <v>1</v>
      </c>
      <c r="E5213">
        <v>2020</v>
      </c>
      <c r="F5213">
        <v>2020</v>
      </c>
      <c r="G5213" t="str">
        <f>IFERROR(INDEX(Formulations[Formulation],MATCH($C5213,Formulations[Product Code],0)),"")</f>
        <v/>
      </c>
    </row>
    <row r="5214" spans="1:7" x14ac:dyDescent="0.3">
      <c r="A5214" t="s">
        <v>1771</v>
      </c>
      <c r="B5214" t="s">
        <v>543</v>
      </c>
      <c r="C5214" t="s">
        <v>544</v>
      </c>
      <c r="D5214" s="7">
        <v>1</v>
      </c>
      <c r="E5214">
        <v>2020</v>
      </c>
      <c r="F5214">
        <v>2020</v>
      </c>
      <c r="G5214" t="str">
        <f>IFERROR(INDEX(Formulations[Formulation],MATCH($C5214,Formulations[Product Code],0)),"")</f>
        <v>Crystal</v>
      </c>
    </row>
    <row r="5215" spans="1:7" x14ac:dyDescent="0.3">
      <c r="A5215" t="s">
        <v>1784</v>
      </c>
      <c r="B5215" t="s">
        <v>395</v>
      </c>
      <c r="D5215" s="7">
        <v>1</v>
      </c>
      <c r="E5215">
        <v>2018</v>
      </c>
      <c r="F5215">
        <v>2018</v>
      </c>
      <c r="G5215" t="str">
        <f>IFERROR(INDEX(Formulations[Formulation],MATCH($C5215,Formulations[Product Code],0)),"")</f>
        <v/>
      </c>
    </row>
    <row r="5216" spans="1:7" x14ac:dyDescent="0.3">
      <c r="A5216" t="s">
        <v>1784</v>
      </c>
      <c r="B5216" t="s">
        <v>359</v>
      </c>
      <c r="C5216" t="s">
        <v>399</v>
      </c>
      <c r="D5216" s="7">
        <v>1</v>
      </c>
      <c r="E5216">
        <v>2016</v>
      </c>
      <c r="F5216">
        <v>2016</v>
      </c>
      <c r="G5216" t="str">
        <f>IFERROR(INDEX(Formulations[Formulation],MATCH($C5216,Formulations[Product Code],0)),"")</f>
        <v/>
      </c>
    </row>
    <row r="5217" spans="1:7" x14ac:dyDescent="0.3">
      <c r="A5217" t="s">
        <v>1784</v>
      </c>
      <c r="B5217" t="s">
        <v>103</v>
      </c>
      <c r="C5217" t="s">
        <v>104</v>
      </c>
      <c r="D5217" s="7">
        <v>1</v>
      </c>
      <c r="E5217">
        <v>2016</v>
      </c>
      <c r="F5217">
        <v>2016</v>
      </c>
      <c r="G5217" t="str">
        <f>IFERROR(INDEX(Formulations[Formulation],MATCH($C5217,Formulations[Product Code],0)),"")</f>
        <v>Pure</v>
      </c>
    </row>
    <row r="5218" spans="1:7" x14ac:dyDescent="0.3">
      <c r="A5218" t="s">
        <v>1784</v>
      </c>
      <c r="B5218" t="s">
        <v>1793</v>
      </c>
      <c r="C5218" t="s">
        <v>1794</v>
      </c>
      <c r="D5218" s="7">
        <v>1</v>
      </c>
      <c r="E5218">
        <v>2015</v>
      </c>
      <c r="F5218">
        <v>2015</v>
      </c>
      <c r="G5218" t="str">
        <f>IFERROR(INDEX(Formulations[Formulation],MATCH($C5218,Formulations[Product Code],0)),"")</f>
        <v/>
      </c>
    </row>
    <row r="5219" spans="1:7" x14ac:dyDescent="0.3">
      <c r="A5219" t="s">
        <v>1784</v>
      </c>
      <c r="B5219" t="s">
        <v>745</v>
      </c>
      <c r="C5219" t="s">
        <v>1796</v>
      </c>
      <c r="D5219" s="7">
        <v>1</v>
      </c>
      <c r="E5219">
        <v>2016</v>
      </c>
      <c r="F5219">
        <v>2016</v>
      </c>
      <c r="G5219" t="str">
        <f>IFERROR(INDEX(Formulations[Formulation],MATCH($C5219,Formulations[Product Code],0)),"")</f>
        <v/>
      </c>
    </row>
    <row r="5220" spans="1:7" x14ac:dyDescent="0.3">
      <c r="A5220" t="s">
        <v>1784</v>
      </c>
      <c r="B5220" t="s">
        <v>1361</v>
      </c>
      <c r="C5220" t="s">
        <v>399</v>
      </c>
      <c r="D5220" s="7">
        <v>1</v>
      </c>
      <c r="E5220">
        <v>2016</v>
      </c>
      <c r="F5220">
        <v>2016</v>
      </c>
      <c r="G5220" t="str">
        <f>IFERROR(INDEX(Formulations[Formulation],MATCH($C5220,Formulations[Product Code],0)),"")</f>
        <v/>
      </c>
    </row>
    <row r="5221" spans="1:7" x14ac:dyDescent="0.3">
      <c r="A5221" t="s">
        <v>1809</v>
      </c>
      <c r="B5221" t="s">
        <v>514</v>
      </c>
      <c r="C5221" t="s">
        <v>515</v>
      </c>
      <c r="D5221" s="7">
        <v>1</v>
      </c>
      <c r="E5221">
        <v>2020</v>
      </c>
      <c r="F5221">
        <v>2020</v>
      </c>
      <c r="G5221" t="str">
        <f>IFERROR(INDEX(Formulations[Formulation],MATCH($C5221,Formulations[Product Code],0)),"")</f>
        <v>Crystal</v>
      </c>
    </row>
    <row r="5222" spans="1:7" x14ac:dyDescent="0.3">
      <c r="A5222" t="s">
        <v>1809</v>
      </c>
      <c r="B5222" t="s">
        <v>383</v>
      </c>
      <c r="C5222" t="s">
        <v>384</v>
      </c>
      <c r="D5222" s="7">
        <v>1</v>
      </c>
      <c r="E5222">
        <v>2020</v>
      </c>
      <c r="F5222">
        <v>2020</v>
      </c>
      <c r="G5222" t="str">
        <f>IFERROR(INDEX(Formulations[Formulation],MATCH($C5222,Formulations[Product Code],0)),"")</f>
        <v>Pure</v>
      </c>
    </row>
    <row r="5223" spans="1:7" x14ac:dyDescent="0.3">
      <c r="A5223" t="s">
        <v>1809</v>
      </c>
      <c r="B5223" t="s">
        <v>1167</v>
      </c>
      <c r="C5223" t="s">
        <v>102</v>
      </c>
      <c r="D5223" s="7">
        <v>1</v>
      </c>
      <c r="E5223">
        <v>2020</v>
      </c>
      <c r="F5223">
        <v>2020</v>
      </c>
      <c r="G5223" t="str">
        <f>IFERROR(INDEX(Formulations[Formulation],MATCH($C5223,Formulations[Product Code],0)),"")</f>
        <v>Gold</v>
      </c>
    </row>
    <row r="5224" spans="1:7" x14ac:dyDescent="0.3">
      <c r="A5224" t="s">
        <v>1809</v>
      </c>
      <c r="B5224" t="s">
        <v>841</v>
      </c>
      <c r="C5224" t="s">
        <v>169</v>
      </c>
      <c r="D5224" s="7">
        <v>1</v>
      </c>
      <c r="E5224">
        <v>2020</v>
      </c>
      <c r="F5224">
        <v>2020</v>
      </c>
      <c r="G5224" t="str">
        <f>IFERROR(INDEX(Formulations[Formulation],MATCH($C5224,Formulations[Product Code],0)),"")</f>
        <v>Silver</v>
      </c>
    </row>
    <row r="5225" spans="1:7" x14ac:dyDescent="0.3">
      <c r="A5225" t="s">
        <v>1822</v>
      </c>
      <c r="B5225" t="s">
        <v>1823</v>
      </c>
      <c r="D5225" s="7">
        <v>1</v>
      </c>
      <c r="E5225">
        <v>2020</v>
      </c>
      <c r="F5225">
        <v>2020</v>
      </c>
      <c r="G5225" t="str">
        <f>IFERROR(INDEX(Formulations[Formulation],MATCH($C5225,Formulations[Product Code],0)),"")</f>
        <v/>
      </c>
    </row>
    <row r="5226" spans="1:7" x14ac:dyDescent="0.3">
      <c r="A5226" t="s">
        <v>1822</v>
      </c>
      <c r="B5226" t="s">
        <v>35</v>
      </c>
      <c r="D5226" s="7">
        <v>1</v>
      </c>
      <c r="E5226">
        <v>2021</v>
      </c>
      <c r="F5226">
        <v>2021</v>
      </c>
      <c r="G5226" t="str">
        <f>IFERROR(INDEX(Formulations[Formulation],MATCH($C5226,Formulations[Product Code],0)),"")</f>
        <v/>
      </c>
    </row>
    <row r="5227" spans="1:7" x14ac:dyDescent="0.3">
      <c r="A5227" t="s">
        <v>1830</v>
      </c>
      <c r="B5227" t="s">
        <v>461</v>
      </c>
      <c r="D5227" s="7">
        <v>1</v>
      </c>
      <c r="E5227">
        <v>2018</v>
      </c>
      <c r="F5227">
        <v>2018</v>
      </c>
      <c r="G5227" t="str">
        <f>IFERROR(INDEX(Formulations[Formulation],MATCH($C5227,Formulations[Product Code],0)),"")</f>
        <v/>
      </c>
    </row>
    <row r="5228" spans="1:7" x14ac:dyDescent="0.3">
      <c r="A5228" t="s">
        <v>1846</v>
      </c>
      <c r="B5228" t="s">
        <v>269</v>
      </c>
      <c r="C5228" t="s">
        <v>270</v>
      </c>
      <c r="D5228" s="7">
        <v>1</v>
      </c>
      <c r="E5228">
        <v>2020</v>
      </c>
      <c r="F5228">
        <v>2020</v>
      </c>
      <c r="G5228" t="str">
        <f>IFERROR(INDEX(Formulations[Formulation],MATCH($C5228,Formulations[Product Code],0)),"")</f>
        <v>Pure</v>
      </c>
    </row>
    <row r="5229" spans="1:7" x14ac:dyDescent="0.3">
      <c r="A5229" t="s">
        <v>1846</v>
      </c>
      <c r="B5229" t="s">
        <v>839</v>
      </c>
      <c r="C5229" t="s">
        <v>138</v>
      </c>
      <c r="D5229" s="7">
        <v>1</v>
      </c>
      <c r="E5229">
        <v>2020</v>
      </c>
      <c r="F5229">
        <v>2020</v>
      </c>
      <c r="G5229" t="str">
        <f>IFERROR(INDEX(Formulations[Formulation],MATCH($C5229,Formulations[Product Code],0)),"")</f>
        <v>WS</v>
      </c>
    </row>
    <row r="5230" spans="1:7" x14ac:dyDescent="0.3">
      <c r="A5230" t="s">
        <v>1846</v>
      </c>
      <c r="B5230" t="s">
        <v>383</v>
      </c>
      <c r="C5230" t="s">
        <v>385</v>
      </c>
      <c r="D5230" s="7">
        <v>1</v>
      </c>
      <c r="E5230">
        <v>2020</v>
      </c>
      <c r="F5230">
        <v>2020</v>
      </c>
      <c r="G5230" t="str">
        <f>IFERROR(INDEX(Formulations[Formulation],MATCH($C5230,Formulations[Product Code],0)),"")</f>
        <v>Silver</v>
      </c>
    </row>
    <row r="5231" spans="1:7" x14ac:dyDescent="0.3">
      <c r="A5231" t="s">
        <v>1847</v>
      </c>
      <c r="B5231" t="s">
        <v>404</v>
      </c>
      <c r="C5231" t="s">
        <v>405</v>
      </c>
      <c r="D5231" s="7">
        <v>1</v>
      </c>
      <c r="E5231">
        <v>2017</v>
      </c>
      <c r="F5231">
        <v>2017</v>
      </c>
      <c r="G5231" t="str">
        <f>IFERROR(INDEX(Formulations[Formulation],MATCH($C5231,Formulations[Product Code],0)),"")</f>
        <v/>
      </c>
    </row>
    <row r="5232" spans="1:7" x14ac:dyDescent="0.3">
      <c r="A5232" t="s">
        <v>1848</v>
      </c>
      <c r="B5232" t="s">
        <v>1687</v>
      </c>
      <c r="C5232" t="s">
        <v>1688</v>
      </c>
      <c r="D5232" s="7">
        <v>1</v>
      </c>
      <c r="E5232">
        <v>2020</v>
      </c>
      <c r="F5232">
        <v>2020</v>
      </c>
      <c r="G5232" t="str">
        <f>IFERROR(INDEX(Formulations[Formulation],MATCH($C5232,Formulations[Product Code],0)),"")</f>
        <v>Floral 60% &amp; Gardenia 40%</v>
      </c>
    </row>
    <row r="5233" spans="1:7" x14ac:dyDescent="0.3">
      <c r="A5233" t="s">
        <v>1848</v>
      </c>
      <c r="B5233" t="s">
        <v>383</v>
      </c>
      <c r="C5233" t="s">
        <v>385</v>
      </c>
      <c r="D5233" s="7">
        <v>1</v>
      </c>
      <c r="E5233">
        <v>2021</v>
      </c>
      <c r="F5233">
        <v>2021</v>
      </c>
      <c r="G5233" t="str">
        <f>IFERROR(INDEX(Formulations[Formulation],MATCH($C5233,Formulations[Product Code],0)),"")</f>
        <v>Silver</v>
      </c>
    </row>
    <row r="5234" spans="1:7" x14ac:dyDescent="0.3">
      <c r="A5234" t="s">
        <v>1852</v>
      </c>
      <c r="B5234" t="s">
        <v>653</v>
      </c>
      <c r="C5234" t="s">
        <v>654</v>
      </c>
      <c r="D5234" s="7">
        <v>1</v>
      </c>
      <c r="E5234">
        <v>2020</v>
      </c>
      <c r="F5234">
        <v>2020</v>
      </c>
      <c r="G5234" t="str">
        <f>IFERROR(INDEX(Formulations[Formulation],MATCH($C5234,Formulations[Product Code],0)),"")</f>
        <v>Pure</v>
      </c>
    </row>
    <row r="5235" spans="1:7" x14ac:dyDescent="0.3">
      <c r="A5235" t="s">
        <v>1852</v>
      </c>
      <c r="B5235" t="s">
        <v>677</v>
      </c>
      <c r="C5235" t="s">
        <v>678</v>
      </c>
      <c r="D5235" s="7">
        <v>1</v>
      </c>
      <c r="E5235">
        <v>2020</v>
      </c>
      <c r="F5235">
        <v>2020</v>
      </c>
      <c r="G5235" t="str">
        <f>IFERROR(INDEX(Formulations[Formulation],MATCH($C5235,Formulations[Product Code],0)),"")</f>
        <v>Pure</v>
      </c>
    </row>
    <row r="5236" spans="1:7" x14ac:dyDescent="0.3">
      <c r="A5236" t="s">
        <v>1866</v>
      </c>
      <c r="B5236" t="s">
        <v>297</v>
      </c>
      <c r="C5236" t="s">
        <v>298</v>
      </c>
      <c r="D5236" s="7">
        <v>1</v>
      </c>
      <c r="E5236">
        <v>2016</v>
      </c>
      <c r="F5236">
        <v>2016</v>
      </c>
      <c r="G5236" t="str">
        <f>IFERROR(INDEX(Formulations[Formulation],MATCH($C5236,Formulations[Product Code],0)),"")</f>
        <v>Pure</v>
      </c>
    </row>
    <row r="5237" spans="1:7" x14ac:dyDescent="0.3">
      <c r="A5237" t="s">
        <v>1866</v>
      </c>
      <c r="B5237" t="s">
        <v>19</v>
      </c>
      <c r="C5237" t="s">
        <v>20</v>
      </c>
      <c r="D5237" s="7">
        <v>1</v>
      </c>
      <c r="E5237">
        <v>2016</v>
      </c>
      <c r="F5237">
        <v>2016</v>
      </c>
      <c r="G5237" t="str">
        <f>IFERROR(INDEX(Formulations[Formulation],MATCH($C5237,Formulations[Product Code],0)),"")</f>
        <v>80 % Oil AND 20 % DPG</v>
      </c>
    </row>
    <row r="5238" spans="1:7" x14ac:dyDescent="0.3">
      <c r="A5238" t="s">
        <v>1870</v>
      </c>
      <c r="B5238" t="s">
        <v>189</v>
      </c>
      <c r="D5238" s="7">
        <v>1</v>
      </c>
      <c r="E5238">
        <v>2019</v>
      </c>
      <c r="F5238">
        <v>2019</v>
      </c>
      <c r="G5238" t="str">
        <f>IFERROR(INDEX(Formulations[Formulation],MATCH($C5238,Formulations[Product Code],0)),"")</f>
        <v/>
      </c>
    </row>
    <row r="5239" spans="1:7" x14ac:dyDescent="0.3">
      <c r="A5239" t="s">
        <v>1893</v>
      </c>
      <c r="B5239" t="s">
        <v>665</v>
      </c>
      <c r="D5239" s="7">
        <v>1</v>
      </c>
      <c r="E5239">
        <v>2021</v>
      </c>
      <c r="F5239">
        <v>2021</v>
      </c>
      <c r="G5239" t="str">
        <f>IFERROR(INDEX(Formulations[Formulation],MATCH($C5239,Formulations[Product Code],0)),"")</f>
        <v/>
      </c>
    </row>
    <row r="5240" spans="1:7" x14ac:dyDescent="0.3">
      <c r="A5240" t="s">
        <v>1893</v>
      </c>
      <c r="B5240" t="s">
        <v>453</v>
      </c>
      <c r="D5240" s="7">
        <v>1</v>
      </c>
      <c r="E5240">
        <v>2021</v>
      </c>
      <c r="F5240">
        <v>2021</v>
      </c>
      <c r="G5240" t="str">
        <f>IFERROR(INDEX(Formulations[Formulation],MATCH($C5240,Formulations[Product Code],0)),"")</f>
        <v/>
      </c>
    </row>
    <row r="5241" spans="1:7" x14ac:dyDescent="0.3">
      <c r="A5241" t="s">
        <v>1893</v>
      </c>
      <c r="B5241" t="s">
        <v>642</v>
      </c>
      <c r="D5241" s="7">
        <v>1</v>
      </c>
      <c r="E5241">
        <v>2021</v>
      </c>
      <c r="F5241">
        <v>2021</v>
      </c>
      <c r="G5241" t="str">
        <f>IFERROR(INDEX(Formulations[Formulation],MATCH($C5241,Formulations[Product Code],0)),"")</f>
        <v/>
      </c>
    </row>
    <row r="5242" spans="1:7" x14ac:dyDescent="0.3">
      <c r="A5242" t="s">
        <v>1893</v>
      </c>
      <c r="B5242" t="s">
        <v>36</v>
      </c>
      <c r="D5242" s="7">
        <v>1</v>
      </c>
      <c r="E5242">
        <v>2021</v>
      </c>
      <c r="F5242">
        <v>2021</v>
      </c>
      <c r="G5242" t="str">
        <f>IFERROR(INDEX(Formulations[Formulation],MATCH($C5242,Formulations[Product Code],0)),"")</f>
        <v/>
      </c>
    </row>
    <row r="5243" spans="1:7" x14ac:dyDescent="0.3">
      <c r="A5243" t="s">
        <v>1893</v>
      </c>
      <c r="B5243" t="s">
        <v>676</v>
      </c>
      <c r="D5243" s="7">
        <v>1</v>
      </c>
      <c r="E5243">
        <v>2021</v>
      </c>
      <c r="F5243">
        <v>2021</v>
      </c>
      <c r="G5243" t="str">
        <f>IFERROR(INDEX(Formulations[Formulation],MATCH($C5243,Formulations[Product Code],0)),"")</f>
        <v/>
      </c>
    </row>
    <row r="5244" spans="1:7" x14ac:dyDescent="0.3">
      <c r="A5244" t="s">
        <v>1893</v>
      </c>
      <c r="B5244" t="s">
        <v>37</v>
      </c>
      <c r="D5244" s="7">
        <v>1</v>
      </c>
      <c r="E5244">
        <v>2021</v>
      </c>
      <c r="F5244">
        <v>2021</v>
      </c>
      <c r="G5244" t="str">
        <f>IFERROR(INDEX(Formulations[Formulation],MATCH($C5244,Formulations[Product Code],0)),"")</f>
        <v/>
      </c>
    </row>
    <row r="5245" spans="1:7" x14ac:dyDescent="0.3">
      <c r="A5245" t="s">
        <v>1910</v>
      </c>
      <c r="B5245" t="s">
        <v>453</v>
      </c>
      <c r="D5245" s="7">
        <v>1</v>
      </c>
      <c r="E5245">
        <v>2017</v>
      </c>
      <c r="F5245">
        <v>2017</v>
      </c>
      <c r="G5245" t="str">
        <f>IFERROR(INDEX(Formulations[Formulation],MATCH($C5245,Formulations[Product Code],0)),"")</f>
        <v/>
      </c>
    </row>
    <row r="5246" spans="1:7" x14ac:dyDescent="0.3">
      <c r="A5246" t="s">
        <v>1926</v>
      </c>
      <c r="B5246" t="s">
        <v>665</v>
      </c>
      <c r="D5246" s="7">
        <v>1</v>
      </c>
      <c r="E5246">
        <v>2020</v>
      </c>
      <c r="F5246">
        <v>2020</v>
      </c>
      <c r="G5246" t="str">
        <f>IFERROR(INDEX(Formulations[Formulation],MATCH($C5246,Formulations[Product Code],0)),"")</f>
        <v/>
      </c>
    </row>
    <row r="5247" spans="1:7" x14ac:dyDescent="0.3">
      <c r="A5247" t="s">
        <v>1927</v>
      </c>
      <c r="B5247" t="s">
        <v>714</v>
      </c>
      <c r="C5247" t="s">
        <v>715</v>
      </c>
      <c r="D5247" s="7">
        <v>1</v>
      </c>
      <c r="E5247">
        <v>2017</v>
      </c>
      <c r="F5247">
        <v>2017</v>
      </c>
      <c r="G5247" t="str">
        <f>IFERROR(INDEX(Formulations[Formulation],MATCH($C5247,Formulations[Product Code],0)),"")</f>
        <v/>
      </c>
    </row>
    <row r="5248" spans="1:7" x14ac:dyDescent="0.3">
      <c r="A5248" t="s">
        <v>1927</v>
      </c>
      <c r="B5248" t="s">
        <v>631</v>
      </c>
      <c r="C5248" t="s">
        <v>632</v>
      </c>
      <c r="D5248" s="7">
        <v>1</v>
      </c>
      <c r="E5248">
        <v>2017</v>
      </c>
      <c r="F5248">
        <v>2017</v>
      </c>
      <c r="G5248" t="str">
        <f>IFERROR(INDEX(Formulations[Formulation],MATCH($C5248,Formulations[Product Code],0)),"")</f>
        <v/>
      </c>
    </row>
    <row r="5249" spans="1:7" x14ac:dyDescent="0.3">
      <c r="A5249" t="s">
        <v>1927</v>
      </c>
      <c r="B5249" t="s">
        <v>633</v>
      </c>
      <c r="C5249" t="s">
        <v>634</v>
      </c>
      <c r="D5249" s="7">
        <v>1</v>
      </c>
      <c r="E5249">
        <v>2017</v>
      </c>
      <c r="F5249">
        <v>2017</v>
      </c>
      <c r="G5249" t="str">
        <f>IFERROR(INDEX(Formulations[Formulation],MATCH($C5249,Formulations[Product Code],0)),"")</f>
        <v/>
      </c>
    </row>
    <row r="5250" spans="1:7" x14ac:dyDescent="0.3">
      <c r="A5250" t="s">
        <v>1927</v>
      </c>
      <c r="B5250" t="s">
        <v>92</v>
      </c>
      <c r="C5250" t="s">
        <v>93</v>
      </c>
      <c r="D5250" s="7">
        <v>1</v>
      </c>
      <c r="E5250">
        <v>2017</v>
      </c>
      <c r="F5250">
        <v>2017</v>
      </c>
      <c r="G5250" t="str">
        <f>IFERROR(INDEX(Formulations[Formulation],MATCH($C5250,Formulations[Product Code],0)),"")</f>
        <v>Gold</v>
      </c>
    </row>
    <row r="5251" spans="1:7" x14ac:dyDescent="0.3">
      <c r="A5251" t="s">
        <v>1927</v>
      </c>
      <c r="B5251" t="s">
        <v>1802</v>
      </c>
      <c r="D5251" s="7">
        <v>1</v>
      </c>
      <c r="E5251">
        <v>2020</v>
      </c>
      <c r="F5251">
        <v>2020</v>
      </c>
      <c r="G5251" t="str">
        <f>IFERROR(INDEX(Formulations[Formulation],MATCH($C5251,Formulations[Product Code],0)),"")</f>
        <v/>
      </c>
    </row>
    <row r="5252" spans="1:7" x14ac:dyDescent="0.3">
      <c r="A5252" t="s">
        <v>1927</v>
      </c>
      <c r="B5252" t="s">
        <v>187</v>
      </c>
      <c r="C5252" t="s">
        <v>188</v>
      </c>
      <c r="D5252" s="7">
        <v>1</v>
      </c>
      <c r="E5252">
        <v>2017</v>
      </c>
      <c r="F5252">
        <v>2017</v>
      </c>
      <c r="G5252" t="str">
        <f>IFERROR(INDEX(Formulations[Formulation],MATCH($C5252,Formulations[Product Code],0)),"")</f>
        <v>Crystal</v>
      </c>
    </row>
    <row r="5253" spans="1:7" x14ac:dyDescent="0.3">
      <c r="A5253" t="s">
        <v>1927</v>
      </c>
      <c r="B5253" t="s">
        <v>203</v>
      </c>
      <c r="C5253" t="s">
        <v>204</v>
      </c>
      <c r="D5253" s="7">
        <v>1</v>
      </c>
      <c r="E5253">
        <v>2017</v>
      </c>
      <c r="F5253">
        <v>2017</v>
      </c>
      <c r="G5253" t="str">
        <f>IFERROR(INDEX(Formulations[Formulation],MATCH($C5253,Formulations[Product Code],0)),"")</f>
        <v/>
      </c>
    </row>
    <row r="5254" spans="1:7" x14ac:dyDescent="0.3">
      <c r="A5254" t="s">
        <v>1932</v>
      </c>
      <c r="B5254" t="s">
        <v>105</v>
      </c>
      <c r="C5254" t="s">
        <v>106</v>
      </c>
      <c r="D5254" s="7">
        <v>1</v>
      </c>
      <c r="E5254">
        <v>2019</v>
      </c>
      <c r="F5254">
        <v>2019</v>
      </c>
      <c r="G5254" t="str">
        <f>IFERROR(INDEX(Formulations[Formulation],MATCH($C5254,Formulations[Product Code],0)),"")</f>
        <v>Pure</v>
      </c>
    </row>
    <row r="5255" spans="1:7" x14ac:dyDescent="0.3">
      <c r="A5255" t="s">
        <v>1933</v>
      </c>
      <c r="B5255" t="s">
        <v>1003</v>
      </c>
      <c r="C5255" t="s">
        <v>292</v>
      </c>
      <c r="D5255" s="7">
        <v>1</v>
      </c>
      <c r="E5255">
        <v>2019</v>
      </c>
      <c r="F5255">
        <v>2019</v>
      </c>
      <c r="G5255" t="str">
        <f>IFERROR(INDEX(Formulations[Formulation],MATCH($C5255,Formulations[Product Code],0)),"")</f>
        <v/>
      </c>
    </row>
    <row r="5256" spans="1:7" x14ac:dyDescent="0.3">
      <c r="A5256" t="s">
        <v>1941</v>
      </c>
      <c r="B5256" t="s">
        <v>1942</v>
      </c>
      <c r="C5256" t="s">
        <v>559</v>
      </c>
      <c r="D5256" s="7">
        <v>1</v>
      </c>
      <c r="E5256">
        <v>2016</v>
      </c>
      <c r="F5256">
        <v>2016</v>
      </c>
      <c r="G5256" t="str">
        <f>IFERROR(INDEX(Formulations[Formulation],MATCH($C5256,Formulations[Product Code],0)),"")</f>
        <v/>
      </c>
    </row>
    <row r="5257" spans="1:7" x14ac:dyDescent="0.3">
      <c r="A5257" t="s">
        <v>1941</v>
      </c>
      <c r="B5257" t="s">
        <v>1943</v>
      </c>
      <c r="C5257" t="s">
        <v>397</v>
      </c>
      <c r="D5257" s="7">
        <v>1</v>
      </c>
      <c r="E5257">
        <v>2016</v>
      </c>
      <c r="F5257">
        <v>2016</v>
      </c>
      <c r="G5257" t="str">
        <f>IFERROR(INDEX(Formulations[Formulation],MATCH($C5257,Formulations[Product Code],0)),"")</f>
        <v/>
      </c>
    </row>
    <row r="5258" spans="1:7" x14ac:dyDescent="0.3">
      <c r="A5258" t="s">
        <v>1941</v>
      </c>
      <c r="B5258" t="s">
        <v>288</v>
      </c>
      <c r="C5258" t="s">
        <v>289</v>
      </c>
      <c r="D5258" s="7">
        <v>1</v>
      </c>
      <c r="E5258">
        <v>2016</v>
      </c>
      <c r="F5258">
        <v>2016</v>
      </c>
      <c r="G5258" t="str">
        <f>IFERROR(INDEX(Formulations[Formulation],MATCH($C5258,Formulations[Product Code],0)),"")</f>
        <v>L1212 Blanc by Lacoste (M) CP19035 -  (60%l1212) creed silver mountain 40% than make gold</v>
      </c>
    </row>
    <row r="5259" spans="1:7" x14ac:dyDescent="0.3">
      <c r="A5259" t="s">
        <v>1941</v>
      </c>
      <c r="B5259" t="s">
        <v>620</v>
      </c>
      <c r="C5259" t="s">
        <v>621</v>
      </c>
      <c r="D5259" s="7">
        <v>1</v>
      </c>
      <c r="E5259">
        <v>2016</v>
      </c>
      <c r="F5259">
        <v>2016</v>
      </c>
      <c r="G5259" t="str">
        <f>IFERROR(INDEX(Formulations[Formulation],MATCH($C5259,Formulations[Product Code],0)),"")</f>
        <v/>
      </c>
    </row>
    <row r="5260" spans="1:7" x14ac:dyDescent="0.3">
      <c r="A5260" t="s">
        <v>1945</v>
      </c>
      <c r="B5260" t="s">
        <v>819</v>
      </c>
      <c r="C5260" t="s">
        <v>220</v>
      </c>
      <c r="D5260" s="7">
        <v>1</v>
      </c>
      <c r="E5260">
        <v>2019</v>
      </c>
      <c r="F5260">
        <v>2019</v>
      </c>
      <c r="G5260" t="str">
        <f>IFERROR(INDEX(Formulations[Formulation],MATCH($C5260,Formulations[Product Code],0)),"")</f>
        <v/>
      </c>
    </row>
    <row r="5261" spans="1:7" x14ac:dyDescent="0.3">
      <c r="A5261" t="s">
        <v>1952</v>
      </c>
      <c r="B5261" t="s">
        <v>34</v>
      </c>
      <c r="D5261" s="7">
        <v>1</v>
      </c>
      <c r="E5261">
        <v>2020</v>
      </c>
      <c r="F5261">
        <v>2020</v>
      </c>
      <c r="G5261" t="str">
        <f>IFERROR(INDEX(Formulations[Formulation],MATCH($C5261,Formulations[Product Code],0)),"")</f>
        <v/>
      </c>
    </row>
    <row r="5262" spans="1:7" x14ac:dyDescent="0.3">
      <c r="A5262" t="s">
        <v>1952</v>
      </c>
      <c r="B5262" t="s">
        <v>642</v>
      </c>
      <c r="D5262" s="7">
        <v>1</v>
      </c>
      <c r="E5262">
        <v>2020</v>
      </c>
      <c r="F5262">
        <v>2020</v>
      </c>
      <c r="G5262" t="str">
        <f>IFERROR(INDEX(Formulations[Formulation],MATCH($C5262,Formulations[Product Code],0)),"")</f>
        <v/>
      </c>
    </row>
    <row r="5263" spans="1:7" x14ac:dyDescent="0.3">
      <c r="A5263" t="s">
        <v>1952</v>
      </c>
      <c r="B5263" t="s">
        <v>37</v>
      </c>
      <c r="D5263" s="7">
        <v>1</v>
      </c>
      <c r="E5263">
        <v>2020</v>
      </c>
      <c r="F5263">
        <v>2020</v>
      </c>
      <c r="G5263" t="str">
        <f>IFERROR(INDEX(Formulations[Formulation],MATCH($C5263,Formulations[Product Code],0)),"")</f>
        <v/>
      </c>
    </row>
    <row r="5264" spans="1:7" x14ac:dyDescent="0.3">
      <c r="A5264" t="s">
        <v>1953</v>
      </c>
      <c r="B5264" t="s">
        <v>135</v>
      </c>
      <c r="C5264" t="s">
        <v>331</v>
      </c>
      <c r="D5264" s="7">
        <v>1</v>
      </c>
      <c r="E5264">
        <v>2018</v>
      </c>
      <c r="F5264">
        <v>2018</v>
      </c>
      <c r="G5264" t="str">
        <f>IFERROR(INDEX(Formulations[Formulation],MATCH($C5264,Formulations[Product Code],0)),"")</f>
        <v>35% oil</v>
      </c>
    </row>
    <row r="5265" spans="1:7" x14ac:dyDescent="0.3">
      <c r="A5265" t="s">
        <v>1958</v>
      </c>
      <c r="B5265" t="s">
        <v>135</v>
      </c>
      <c r="C5265" t="s">
        <v>331</v>
      </c>
      <c r="D5265" s="7">
        <v>1</v>
      </c>
      <c r="E5265">
        <v>2017</v>
      </c>
      <c r="F5265">
        <v>2017</v>
      </c>
      <c r="G5265" t="str">
        <f>IFERROR(INDEX(Formulations[Formulation],MATCH($C5265,Formulations[Product Code],0)),"")</f>
        <v>35% oil</v>
      </c>
    </row>
    <row r="5266" spans="1:7" x14ac:dyDescent="0.3">
      <c r="A5266" t="s">
        <v>1972</v>
      </c>
      <c r="B5266" t="s">
        <v>299</v>
      </c>
      <c r="C5266" t="s">
        <v>300</v>
      </c>
      <c r="D5266" s="7">
        <v>1</v>
      </c>
      <c r="E5266">
        <v>2015</v>
      </c>
      <c r="F5266">
        <v>2015</v>
      </c>
      <c r="G5266" t="str">
        <f>IFERROR(INDEX(Formulations[Formulation],MATCH($C5266,Formulations[Product Code],0)),"")</f>
        <v/>
      </c>
    </row>
    <row r="5267" spans="1:7" x14ac:dyDescent="0.3">
      <c r="A5267" t="s">
        <v>1972</v>
      </c>
      <c r="B5267" t="s">
        <v>320</v>
      </c>
      <c r="C5267" t="s">
        <v>321</v>
      </c>
      <c r="D5267" s="7">
        <v>1</v>
      </c>
      <c r="E5267">
        <v>2015</v>
      </c>
      <c r="F5267">
        <v>2015</v>
      </c>
      <c r="G5267" t="str">
        <f>IFERROR(INDEX(Formulations[Formulation],MATCH($C5267,Formulations[Product Code],0)),"")</f>
        <v/>
      </c>
    </row>
    <row r="5268" spans="1:7" x14ac:dyDescent="0.3">
      <c r="A5268" t="s">
        <v>1984</v>
      </c>
      <c r="B5268" t="s">
        <v>381</v>
      </c>
      <c r="C5268" t="s">
        <v>382</v>
      </c>
      <c r="D5268" s="7">
        <v>1</v>
      </c>
      <c r="E5268">
        <v>2011</v>
      </c>
      <c r="F5268">
        <v>2011</v>
      </c>
      <c r="G5268" t="str">
        <f>IFERROR(INDEX(Formulations[Formulation],MATCH($C5268,Formulations[Product Code],0)),"")</f>
        <v/>
      </c>
    </row>
    <row r="5269" spans="1:7" x14ac:dyDescent="0.3">
      <c r="A5269" t="s">
        <v>2007</v>
      </c>
      <c r="B5269" t="s">
        <v>1462</v>
      </c>
      <c r="D5269" s="7">
        <v>1</v>
      </c>
      <c r="E5269">
        <v>2019</v>
      </c>
      <c r="F5269">
        <v>2019</v>
      </c>
      <c r="G5269" t="str">
        <f>IFERROR(INDEX(Formulations[Formulation],MATCH($C5269,Formulations[Product Code],0)),"")</f>
        <v/>
      </c>
    </row>
    <row r="5270" spans="1:7" x14ac:dyDescent="0.3">
      <c r="A5270" t="s">
        <v>2007</v>
      </c>
      <c r="B5270" t="s">
        <v>29</v>
      </c>
      <c r="D5270" s="7">
        <v>1</v>
      </c>
      <c r="E5270">
        <v>2017</v>
      </c>
      <c r="F5270">
        <v>2017</v>
      </c>
      <c r="G5270" t="str">
        <f>IFERROR(INDEX(Formulations[Formulation],MATCH($C5270,Formulations[Product Code],0)),"")</f>
        <v/>
      </c>
    </row>
    <row r="5271" spans="1:7" x14ac:dyDescent="0.3">
      <c r="A5271" t="s">
        <v>2007</v>
      </c>
      <c r="B5271" t="s">
        <v>863</v>
      </c>
      <c r="D5271" s="7">
        <v>1</v>
      </c>
      <c r="E5271">
        <v>2019</v>
      </c>
      <c r="F5271">
        <v>2019</v>
      </c>
      <c r="G5271" t="str">
        <f>IFERROR(INDEX(Formulations[Formulation],MATCH($C5271,Formulations[Product Code],0)),"")</f>
        <v/>
      </c>
    </row>
    <row r="5272" spans="1:7" x14ac:dyDescent="0.3">
      <c r="A5272" t="s">
        <v>2007</v>
      </c>
      <c r="B5272" t="s">
        <v>46</v>
      </c>
      <c r="C5272" t="s">
        <v>47</v>
      </c>
      <c r="D5272" s="7">
        <v>1</v>
      </c>
      <c r="E5272">
        <v>2017</v>
      </c>
      <c r="F5272">
        <v>2017</v>
      </c>
      <c r="G5272" t="str">
        <f>IFERROR(INDEX(Formulations[Formulation],MATCH($C5272,Formulations[Product Code],0)),"")</f>
        <v/>
      </c>
    </row>
    <row r="5273" spans="1:7" x14ac:dyDescent="0.3">
      <c r="A5273" t="s">
        <v>2011</v>
      </c>
      <c r="B5273" t="s">
        <v>696</v>
      </c>
      <c r="C5273" t="s">
        <v>697</v>
      </c>
      <c r="D5273" s="7">
        <v>1</v>
      </c>
      <c r="E5273">
        <v>2015</v>
      </c>
      <c r="F5273">
        <v>2015</v>
      </c>
      <c r="G5273" t="str">
        <f>IFERROR(INDEX(Formulations[Formulation],MATCH($C5273,Formulations[Product Code],0)),"")</f>
        <v/>
      </c>
    </row>
    <row r="5274" spans="1:7" x14ac:dyDescent="0.3">
      <c r="A5274" t="s">
        <v>2011</v>
      </c>
      <c r="B5274" t="s">
        <v>28</v>
      </c>
      <c r="D5274" s="7">
        <v>1</v>
      </c>
      <c r="E5274">
        <v>2015</v>
      </c>
      <c r="F5274">
        <v>2015</v>
      </c>
      <c r="G5274" t="str">
        <f>IFERROR(INDEX(Formulations[Formulation],MATCH($C5274,Formulations[Product Code],0)),"")</f>
        <v/>
      </c>
    </row>
    <row r="5275" spans="1:7" x14ac:dyDescent="0.3">
      <c r="A5275" t="s">
        <v>2025</v>
      </c>
      <c r="B5275" t="s">
        <v>518</v>
      </c>
      <c r="C5275" t="s">
        <v>519</v>
      </c>
      <c r="D5275" s="7">
        <v>1</v>
      </c>
      <c r="E5275">
        <v>2021</v>
      </c>
      <c r="F5275">
        <v>2021</v>
      </c>
      <c r="G5275" t="str">
        <f>IFERROR(INDEX(Formulations[Formulation],MATCH($C5275,Formulations[Product Code],0)),"")</f>
        <v>Pure</v>
      </c>
    </row>
    <row r="5276" spans="1:7" x14ac:dyDescent="0.3">
      <c r="A5276" t="s">
        <v>2026</v>
      </c>
      <c r="B5276" t="s">
        <v>2027</v>
      </c>
      <c r="C5276" t="s">
        <v>222</v>
      </c>
      <c r="D5276" s="7">
        <v>1</v>
      </c>
      <c r="E5276">
        <v>2019</v>
      </c>
      <c r="F5276">
        <v>2019</v>
      </c>
      <c r="G5276" t="str">
        <f>IFERROR(INDEX(Formulations[Formulation],MATCH($C5276,Formulations[Product Code],0)),"")</f>
        <v>WS</v>
      </c>
    </row>
    <row r="5277" spans="1:7" x14ac:dyDescent="0.3">
      <c r="A5277" t="s">
        <v>2026</v>
      </c>
      <c r="B5277" t="s">
        <v>180</v>
      </c>
      <c r="C5277" t="s">
        <v>181</v>
      </c>
      <c r="D5277" s="7">
        <v>1</v>
      </c>
      <c r="E5277">
        <v>2019</v>
      </c>
      <c r="F5277">
        <v>2019</v>
      </c>
      <c r="G5277" t="str">
        <f>IFERROR(INDEX(Formulations[Formulation],MATCH($C5277,Formulations[Product Code],0)),"")</f>
        <v/>
      </c>
    </row>
    <row r="5278" spans="1:7" x14ac:dyDescent="0.3">
      <c r="A5278" t="s">
        <v>2026</v>
      </c>
      <c r="B5278" t="s">
        <v>2028</v>
      </c>
      <c r="C5278" t="s">
        <v>57</v>
      </c>
      <c r="D5278" s="7">
        <v>1</v>
      </c>
      <c r="E5278">
        <v>2019</v>
      </c>
      <c r="F5278">
        <v>2019</v>
      </c>
      <c r="G5278" t="str">
        <f>IFERROR(INDEX(Formulations[Formulation],MATCH($C5278,Formulations[Product Code],0)),"")</f>
        <v/>
      </c>
    </row>
    <row r="5279" spans="1:7" x14ac:dyDescent="0.3">
      <c r="A5279" t="s">
        <v>2026</v>
      </c>
      <c r="B5279" t="s">
        <v>103</v>
      </c>
      <c r="C5279" t="s">
        <v>104</v>
      </c>
      <c r="D5279" s="7">
        <v>1</v>
      </c>
      <c r="E5279">
        <v>2019</v>
      </c>
      <c r="F5279">
        <v>2019</v>
      </c>
      <c r="G5279" t="str">
        <f>IFERROR(INDEX(Formulations[Formulation],MATCH($C5279,Formulations[Product Code],0)),"")</f>
        <v>Pure</v>
      </c>
    </row>
    <row r="5280" spans="1:7" x14ac:dyDescent="0.3">
      <c r="A5280" t="s">
        <v>2026</v>
      </c>
      <c r="B5280" t="s">
        <v>1367</v>
      </c>
      <c r="C5280" t="s">
        <v>1368</v>
      </c>
      <c r="D5280" s="7">
        <v>1</v>
      </c>
      <c r="E5280">
        <v>2019</v>
      </c>
      <c r="F5280">
        <v>2019</v>
      </c>
      <c r="G5280" t="str">
        <f>IFERROR(INDEX(Formulations[Formulation],MATCH($C5280,Formulations[Product Code],0)),"")</f>
        <v>Pure</v>
      </c>
    </row>
    <row r="5281" spans="1:7" x14ac:dyDescent="0.3">
      <c r="A5281" t="s">
        <v>2026</v>
      </c>
      <c r="B5281" t="s">
        <v>935</v>
      </c>
      <c r="C5281" t="s">
        <v>613</v>
      </c>
      <c r="D5281" s="7">
        <v>1</v>
      </c>
      <c r="E5281">
        <v>2019</v>
      </c>
      <c r="F5281">
        <v>2019</v>
      </c>
      <c r="G5281" t="str">
        <f>IFERROR(INDEX(Formulations[Formulation],MATCH($C5281,Formulations[Product Code],0)),"")</f>
        <v>Pure</v>
      </c>
    </row>
    <row r="5282" spans="1:7" x14ac:dyDescent="0.3">
      <c r="A5282" t="s">
        <v>2026</v>
      </c>
      <c r="B5282" t="s">
        <v>163</v>
      </c>
      <c r="C5282" t="s">
        <v>2029</v>
      </c>
      <c r="D5282" s="7">
        <v>1</v>
      </c>
      <c r="E5282">
        <v>2019</v>
      </c>
      <c r="F5282">
        <v>2019</v>
      </c>
      <c r="G5282" t="str">
        <f>IFERROR(INDEX(Formulations[Formulation],MATCH($C5282,Formulations[Product Code],0)),"")</f>
        <v/>
      </c>
    </row>
    <row r="5283" spans="1:7" x14ac:dyDescent="0.3">
      <c r="A5283" t="s">
        <v>2039</v>
      </c>
      <c r="B5283" t="s">
        <v>665</v>
      </c>
      <c r="D5283" s="7">
        <v>1</v>
      </c>
      <c r="E5283">
        <v>2020</v>
      </c>
      <c r="F5283">
        <v>2020</v>
      </c>
      <c r="G5283" t="str">
        <f>IFERROR(INDEX(Formulations[Formulation],MATCH($C5283,Formulations[Product Code],0)),"")</f>
        <v/>
      </c>
    </row>
    <row r="5284" spans="1:7" x14ac:dyDescent="0.3">
      <c r="A5284" t="s">
        <v>2039</v>
      </c>
      <c r="B5284" t="s">
        <v>34</v>
      </c>
      <c r="D5284" s="7">
        <v>1</v>
      </c>
      <c r="E5284">
        <v>2020</v>
      </c>
      <c r="F5284">
        <v>2020</v>
      </c>
      <c r="G5284" t="str">
        <f>IFERROR(INDEX(Formulations[Formulation],MATCH($C5284,Formulations[Product Code],0)),"")</f>
        <v/>
      </c>
    </row>
    <row r="5285" spans="1:7" x14ac:dyDescent="0.3">
      <c r="A5285" t="s">
        <v>2039</v>
      </c>
      <c r="B5285" t="s">
        <v>453</v>
      </c>
      <c r="D5285" s="7">
        <v>1</v>
      </c>
      <c r="E5285">
        <v>2020</v>
      </c>
      <c r="F5285">
        <v>2020</v>
      </c>
      <c r="G5285" t="str">
        <f>IFERROR(INDEX(Formulations[Formulation],MATCH($C5285,Formulations[Product Code],0)),"")</f>
        <v/>
      </c>
    </row>
    <row r="5286" spans="1:7" x14ac:dyDescent="0.3">
      <c r="A5286" t="s">
        <v>2039</v>
      </c>
      <c r="B5286" t="s">
        <v>461</v>
      </c>
      <c r="D5286" s="7">
        <v>1</v>
      </c>
      <c r="E5286">
        <v>2020</v>
      </c>
      <c r="F5286">
        <v>2020</v>
      </c>
      <c r="G5286" t="str">
        <f>IFERROR(INDEX(Formulations[Formulation],MATCH($C5286,Formulations[Product Code],0)),"")</f>
        <v/>
      </c>
    </row>
    <row r="5287" spans="1:7" x14ac:dyDescent="0.3">
      <c r="A5287" t="s">
        <v>2039</v>
      </c>
      <c r="B5287" t="s">
        <v>36</v>
      </c>
      <c r="D5287" s="7">
        <v>1</v>
      </c>
      <c r="E5287">
        <v>2020</v>
      </c>
      <c r="F5287">
        <v>2020</v>
      </c>
      <c r="G5287" t="str">
        <f>IFERROR(INDEX(Formulations[Formulation],MATCH($C5287,Formulations[Product Code],0)),"")</f>
        <v/>
      </c>
    </row>
    <row r="5288" spans="1:7" x14ac:dyDescent="0.3">
      <c r="A5288" t="s">
        <v>2039</v>
      </c>
      <c r="B5288" t="s">
        <v>37</v>
      </c>
      <c r="D5288" s="7">
        <v>1</v>
      </c>
      <c r="E5288">
        <v>2020</v>
      </c>
      <c r="F5288">
        <v>2020</v>
      </c>
      <c r="G5288" t="str">
        <f>IFERROR(INDEX(Formulations[Formulation],MATCH($C5288,Formulations[Product Code],0)),"")</f>
        <v/>
      </c>
    </row>
    <row r="5289" spans="1:7" x14ac:dyDescent="0.3">
      <c r="A5289" t="s">
        <v>2048</v>
      </c>
      <c r="B5289" t="s">
        <v>642</v>
      </c>
      <c r="D5289" s="7">
        <v>1</v>
      </c>
      <c r="E5289">
        <v>2021</v>
      </c>
      <c r="F5289">
        <v>2021</v>
      </c>
      <c r="G5289" t="str">
        <f>IFERROR(INDEX(Formulations[Formulation],MATCH($C5289,Formulations[Product Code],0)),"")</f>
        <v/>
      </c>
    </row>
    <row r="5290" spans="1:7" x14ac:dyDescent="0.3">
      <c r="A5290" t="s">
        <v>2052</v>
      </c>
      <c r="B5290" t="s">
        <v>99</v>
      </c>
      <c r="C5290" t="s">
        <v>100</v>
      </c>
      <c r="D5290" s="7">
        <v>1</v>
      </c>
      <c r="E5290">
        <v>2019</v>
      </c>
      <c r="F5290">
        <v>2019</v>
      </c>
      <c r="G5290" t="str">
        <f>IFERROR(INDEX(Formulations[Formulation],MATCH($C5290,Formulations[Product Code],0)),"")</f>
        <v>Crystal</v>
      </c>
    </row>
    <row r="5291" spans="1:7" x14ac:dyDescent="0.3">
      <c r="A5291" t="s">
        <v>2057</v>
      </c>
      <c r="B5291" t="s">
        <v>1802</v>
      </c>
      <c r="D5291" s="7">
        <v>1</v>
      </c>
      <c r="E5291">
        <v>2020</v>
      </c>
      <c r="F5291">
        <v>2020</v>
      </c>
      <c r="G5291" t="str">
        <f>IFERROR(INDEX(Formulations[Formulation],MATCH($C5291,Formulations[Product Code],0)),"")</f>
        <v/>
      </c>
    </row>
    <row r="5292" spans="1:7" x14ac:dyDescent="0.3">
      <c r="A5292" t="s">
        <v>2073</v>
      </c>
      <c r="B5292" t="s">
        <v>34</v>
      </c>
      <c r="D5292" s="7">
        <v>1</v>
      </c>
      <c r="E5292">
        <v>2021</v>
      </c>
      <c r="F5292">
        <v>2021</v>
      </c>
      <c r="G5292" t="str">
        <f>IFERROR(INDEX(Formulations[Formulation],MATCH($C5292,Formulations[Product Code],0)),"")</f>
        <v/>
      </c>
    </row>
    <row r="5293" spans="1:7" x14ac:dyDescent="0.3">
      <c r="A5293" t="s">
        <v>2073</v>
      </c>
      <c r="B5293" t="s">
        <v>35</v>
      </c>
      <c r="D5293" s="7">
        <v>1</v>
      </c>
      <c r="E5293">
        <v>2021</v>
      </c>
      <c r="F5293">
        <v>2021</v>
      </c>
      <c r="G5293" t="str">
        <f>IFERROR(INDEX(Formulations[Formulation],MATCH($C5293,Formulations[Product Code],0)),"")</f>
        <v/>
      </c>
    </row>
    <row r="5294" spans="1:7" x14ac:dyDescent="0.3">
      <c r="A5294" t="s">
        <v>2074</v>
      </c>
      <c r="B5294" t="s">
        <v>633</v>
      </c>
      <c r="C5294" t="s">
        <v>634</v>
      </c>
      <c r="D5294" s="7">
        <v>1</v>
      </c>
      <c r="E5294">
        <v>2017</v>
      </c>
      <c r="F5294">
        <v>2017</v>
      </c>
      <c r="G5294" t="str">
        <f>IFERROR(INDEX(Formulations[Formulation],MATCH($C5294,Formulations[Product Code],0)),"")</f>
        <v/>
      </c>
    </row>
    <row r="5295" spans="1:7" x14ac:dyDescent="0.3">
      <c r="A5295" t="s">
        <v>2074</v>
      </c>
      <c r="B5295" t="s">
        <v>567</v>
      </c>
      <c r="C5295" t="s">
        <v>698</v>
      </c>
      <c r="D5295" s="7">
        <v>1</v>
      </c>
      <c r="E5295">
        <v>2017</v>
      </c>
      <c r="F5295">
        <v>2017</v>
      </c>
      <c r="G5295" t="str">
        <f>IFERROR(INDEX(Formulations[Formulation],MATCH($C5295,Formulations[Product Code],0)),"")</f>
        <v>Crystal</v>
      </c>
    </row>
    <row r="5296" spans="1:7" x14ac:dyDescent="0.3">
      <c r="A5296" t="s">
        <v>2090</v>
      </c>
      <c r="B5296" t="s">
        <v>665</v>
      </c>
      <c r="D5296" s="7">
        <v>1</v>
      </c>
      <c r="E5296">
        <v>2020</v>
      </c>
      <c r="F5296">
        <v>2020</v>
      </c>
      <c r="G5296" t="str">
        <f>IFERROR(INDEX(Formulations[Formulation],MATCH($C5296,Formulations[Product Code],0)),"")</f>
        <v/>
      </c>
    </row>
    <row r="5297" spans="1:7" x14ac:dyDescent="0.3">
      <c r="A5297" t="s">
        <v>2090</v>
      </c>
      <c r="B5297" t="s">
        <v>35</v>
      </c>
      <c r="D5297" s="7">
        <v>1</v>
      </c>
      <c r="E5297">
        <v>2020</v>
      </c>
      <c r="F5297">
        <v>2020</v>
      </c>
      <c r="G5297" t="str">
        <f>IFERROR(INDEX(Formulations[Formulation],MATCH($C5297,Formulations[Product Code],0)),"")</f>
        <v/>
      </c>
    </row>
    <row r="5298" spans="1:7" x14ac:dyDescent="0.3">
      <c r="A5298" t="s">
        <v>2090</v>
      </c>
      <c r="B5298" t="s">
        <v>110</v>
      </c>
      <c r="C5298" t="s">
        <v>111</v>
      </c>
      <c r="D5298" s="7">
        <v>1</v>
      </c>
      <c r="E5298">
        <v>2020</v>
      </c>
      <c r="F5298">
        <v>2020</v>
      </c>
      <c r="G5298" t="str">
        <f>IFERROR(INDEX(Formulations[Formulation],MATCH($C5298,Formulations[Product Code],0)),"")</f>
        <v>75% Lemon Zeste, 25% lemon Top &amp; the Gold DPG)</v>
      </c>
    </row>
    <row r="5299" spans="1:7" x14ac:dyDescent="0.3">
      <c r="A5299" t="s">
        <v>2090</v>
      </c>
      <c r="B5299" t="s">
        <v>36</v>
      </c>
      <c r="D5299" s="7">
        <v>1</v>
      </c>
      <c r="E5299">
        <v>2020</v>
      </c>
      <c r="F5299">
        <v>2020</v>
      </c>
      <c r="G5299" t="str">
        <f>IFERROR(INDEX(Formulations[Formulation],MATCH($C5299,Formulations[Product Code],0)),"")</f>
        <v/>
      </c>
    </row>
    <row r="5300" spans="1:7" x14ac:dyDescent="0.3">
      <c r="A5300" t="s">
        <v>2090</v>
      </c>
      <c r="B5300" t="s">
        <v>496</v>
      </c>
      <c r="C5300" t="s">
        <v>497</v>
      </c>
      <c r="D5300" s="7">
        <v>1</v>
      </c>
      <c r="E5300">
        <v>2021</v>
      </c>
      <c r="F5300">
        <v>2021</v>
      </c>
      <c r="G5300" t="str">
        <f>IFERROR(INDEX(Formulations[Formulation],MATCH($C5300,Formulations[Product Code],0)),"")</f>
        <v>Silver</v>
      </c>
    </row>
    <row r="5301" spans="1:7" x14ac:dyDescent="0.3">
      <c r="A5301" t="s">
        <v>2095</v>
      </c>
      <c r="B5301" t="s">
        <v>29</v>
      </c>
      <c r="D5301" s="7">
        <v>1</v>
      </c>
      <c r="E5301">
        <v>2016</v>
      </c>
      <c r="F5301">
        <v>2016</v>
      </c>
      <c r="G5301" t="str">
        <f>IFERROR(INDEX(Formulations[Formulation],MATCH($C5301,Formulations[Product Code],0)),"")</f>
        <v/>
      </c>
    </row>
    <row r="5302" spans="1:7" x14ac:dyDescent="0.3">
      <c r="A5302" t="s">
        <v>2097</v>
      </c>
      <c r="B5302" t="s">
        <v>453</v>
      </c>
      <c r="D5302" s="7">
        <v>1</v>
      </c>
      <c r="E5302">
        <v>2020</v>
      </c>
      <c r="F5302">
        <v>2020</v>
      </c>
      <c r="G5302" t="str">
        <f>IFERROR(INDEX(Formulations[Formulation],MATCH($C5302,Formulations[Product Code],0)),"")</f>
        <v/>
      </c>
    </row>
    <row r="5303" spans="1:7" x14ac:dyDescent="0.3">
      <c r="A5303" t="s">
        <v>2113</v>
      </c>
      <c r="B5303" t="s">
        <v>291</v>
      </c>
      <c r="C5303" t="s">
        <v>292</v>
      </c>
      <c r="D5303" s="7">
        <v>1</v>
      </c>
      <c r="E5303">
        <v>2016</v>
      </c>
      <c r="F5303">
        <v>2016</v>
      </c>
      <c r="G5303" t="str">
        <f>IFERROR(INDEX(Formulations[Formulation],MATCH($C5303,Formulations[Product Code],0)),"")</f>
        <v/>
      </c>
    </row>
    <row r="5304" spans="1:7" x14ac:dyDescent="0.3">
      <c r="A5304" t="s">
        <v>2113</v>
      </c>
      <c r="B5304" t="s">
        <v>2114</v>
      </c>
      <c r="C5304" t="s">
        <v>2115</v>
      </c>
      <c r="D5304" s="7">
        <v>1</v>
      </c>
      <c r="E5304">
        <v>2017</v>
      </c>
      <c r="F5304">
        <v>2017</v>
      </c>
      <c r="G5304" t="str">
        <f>IFERROR(INDEX(Formulations[Formulation],MATCH($C5304,Formulations[Product Code],0)),"")</f>
        <v/>
      </c>
    </row>
    <row r="5305" spans="1:7" x14ac:dyDescent="0.3">
      <c r="A5305" t="s">
        <v>2113</v>
      </c>
      <c r="B5305" t="s">
        <v>297</v>
      </c>
      <c r="C5305" t="s">
        <v>298</v>
      </c>
      <c r="D5305" s="7">
        <v>1</v>
      </c>
      <c r="E5305">
        <v>2015</v>
      </c>
      <c r="F5305">
        <v>2015</v>
      </c>
      <c r="G5305" t="str">
        <f>IFERROR(INDEX(Formulations[Formulation],MATCH($C5305,Formulations[Product Code],0)),"")</f>
        <v>Pure</v>
      </c>
    </row>
    <row r="5306" spans="1:7" x14ac:dyDescent="0.3">
      <c r="A5306" t="s">
        <v>2113</v>
      </c>
      <c r="B5306" t="s">
        <v>19</v>
      </c>
      <c r="C5306" t="s">
        <v>20</v>
      </c>
      <c r="D5306" s="7">
        <v>1</v>
      </c>
      <c r="E5306">
        <v>2015</v>
      </c>
      <c r="F5306">
        <v>2015</v>
      </c>
      <c r="G5306" t="str">
        <f>IFERROR(INDEX(Formulations[Formulation],MATCH($C5306,Formulations[Product Code],0)),"")</f>
        <v>80 % Oil AND 20 % DPG</v>
      </c>
    </row>
    <row r="5307" spans="1:7" x14ac:dyDescent="0.3">
      <c r="A5307" t="s">
        <v>2113</v>
      </c>
      <c r="B5307" t="s">
        <v>809</v>
      </c>
      <c r="C5307" t="s">
        <v>810</v>
      </c>
      <c r="D5307" s="7">
        <v>1</v>
      </c>
      <c r="E5307">
        <v>2016</v>
      </c>
      <c r="F5307">
        <v>2016</v>
      </c>
      <c r="G5307" t="str">
        <f>IFERROR(INDEX(Formulations[Formulation],MATCH($C5307,Formulations[Product Code],0)),"")</f>
        <v>Silver</v>
      </c>
    </row>
    <row r="5308" spans="1:7" x14ac:dyDescent="0.3">
      <c r="A5308" t="s">
        <v>2113</v>
      </c>
      <c r="B5308" t="s">
        <v>314</v>
      </c>
      <c r="C5308" t="s">
        <v>315</v>
      </c>
      <c r="D5308" s="7">
        <v>1</v>
      </c>
      <c r="E5308">
        <v>2015</v>
      </c>
      <c r="F5308">
        <v>2015</v>
      </c>
      <c r="G5308" t="str">
        <f>IFERROR(INDEX(Formulations[Formulation],MATCH($C5308,Formulations[Product Code],0)),"")</f>
        <v/>
      </c>
    </row>
    <row r="5309" spans="1:7" x14ac:dyDescent="0.3">
      <c r="A5309" t="s">
        <v>2113</v>
      </c>
      <c r="B5309" t="s">
        <v>750</v>
      </c>
      <c r="C5309" t="s">
        <v>751</v>
      </c>
      <c r="D5309" s="7">
        <v>1</v>
      </c>
      <c r="E5309">
        <v>2015</v>
      </c>
      <c r="F5309">
        <v>2015</v>
      </c>
      <c r="G5309" t="str">
        <f>IFERROR(INDEX(Formulations[Formulation],MATCH($C5309,Formulations[Product Code],0)),"")</f>
        <v/>
      </c>
    </row>
    <row r="5310" spans="1:7" x14ac:dyDescent="0.3">
      <c r="A5310" t="s">
        <v>2113</v>
      </c>
      <c r="B5310" t="s">
        <v>203</v>
      </c>
      <c r="C5310" t="s">
        <v>204</v>
      </c>
      <c r="D5310" s="7">
        <v>1</v>
      </c>
      <c r="E5310">
        <v>2016</v>
      </c>
      <c r="F5310">
        <v>2016</v>
      </c>
      <c r="G5310" t="str">
        <f>IFERROR(INDEX(Formulations[Formulation],MATCH($C5310,Formulations[Product Code],0)),"")</f>
        <v/>
      </c>
    </row>
    <row r="5311" spans="1:7" x14ac:dyDescent="0.3">
      <c r="A5311" t="s">
        <v>2117</v>
      </c>
      <c r="B5311" t="s">
        <v>538</v>
      </c>
      <c r="C5311" t="s">
        <v>539</v>
      </c>
      <c r="D5311" s="7">
        <v>1</v>
      </c>
      <c r="E5311">
        <v>2020</v>
      </c>
      <c r="F5311">
        <v>2020</v>
      </c>
      <c r="G5311" t="str">
        <f>IFERROR(INDEX(Formulations[Formulation],MATCH($C5311,Formulations[Product Code],0)),"")</f>
        <v>Gold</v>
      </c>
    </row>
    <row r="5312" spans="1:7" x14ac:dyDescent="0.3">
      <c r="A5312" t="s">
        <v>2117</v>
      </c>
      <c r="B5312" t="s">
        <v>653</v>
      </c>
      <c r="C5312" t="s">
        <v>654</v>
      </c>
      <c r="D5312" s="7">
        <v>1</v>
      </c>
      <c r="E5312">
        <v>2020</v>
      </c>
      <c r="F5312">
        <v>2020</v>
      </c>
      <c r="G5312" t="str">
        <f>IFERROR(INDEX(Formulations[Formulation],MATCH($C5312,Formulations[Product Code],0)),"")</f>
        <v>Pure</v>
      </c>
    </row>
    <row r="5313" spans="1:7" x14ac:dyDescent="0.3">
      <c r="A5313" t="s">
        <v>2117</v>
      </c>
      <c r="B5313" t="s">
        <v>483</v>
      </c>
      <c r="C5313" t="s">
        <v>484</v>
      </c>
      <c r="D5313" s="7">
        <v>1</v>
      </c>
      <c r="E5313">
        <v>2020</v>
      </c>
      <c r="F5313">
        <v>2020</v>
      </c>
      <c r="G5313" t="str">
        <f>IFERROR(INDEX(Formulations[Formulation],MATCH($C5313,Formulations[Product Code],0)),"")</f>
        <v>Crystal</v>
      </c>
    </row>
    <row r="5314" spans="1:7" x14ac:dyDescent="0.3">
      <c r="A5314" t="s">
        <v>2118</v>
      </c>
      <c r="B5314" t="s">
        <v>251</v>
      </c>
      <c r="C5314" t="s">
        <v>207</v>
      </c>
      <c r="D5314" s="7">
        <v>1</v>
      </c>
      <c r="E5314">
        <v>2020</v>
      </c>
      <c r="F5314">
        <v>2020</v>
      </c>
      <c r="G5314" t="str">
        <f>IFERROR(INDEX(Formulations[Formulation],MATCH($C5314,Formulations[Product Code],0)),"")</f>
        <v/>
      </c>
    </row>
    <row r="5315" spans="1:7" x14ac:dyDescent="0.3">
      <c r="A5315" t="s">
        <v>2120</v>
      </c>
      <c r="B5315" t="s">
        <v>719</v>
      </c>
      <c r="C5315" t="s">
        <v>925</v>
      </c>
      <c r="D5315" s="7">
        <v>1</v>
      </c>
      <c r="E5315">
        <v>2017</v>
      </c>
      <c r="F5315">
        <v>2017</v>
      </c>
      <c r="G5315" t="str">
        <f>IFERROR(INDEX(Formulations[Formulation],MATCH($C5315,Formulations[Product Code],0)),"")</f>
        <v/>
      </c>
    </row>
    <row r="5316" spans="1:7" x14ac:dyDescent="0.3">
      <c r="A5316" t="s">
        <v>2120</v>
      </c>
      <c r="B5316" t="s">
        <v>307</v>
      </c>
      <c r="C5316" t="s">
        <v>132</v>
      </c>
      <c r="D5316" s="7">
        <v>1</v>
      </c>
      <c r="E5316">
        <v>2017</v>
      </c>
      <c r="F5316">
        <v>2017</v>
      </c>
      <c r="G5316" t="str">
        <f>IFERROR(INDEX(Formulations[Formulation],MATCH($C5316,Formulations[Product Code],0)),"")</f>
        <v>Pure</v>
      </c>
    </row>
    <row r="5317" spans="1:7" x14ac:dyDescent="0.3">
      <c r="A5317" t="s">
        <v>2129</v>
      </c>
      <c r="B5317" t="s">
        <v>597</v>
      </c>
      <c r="C5317" t="s">
        <v>598</v>
      </c>
      <c r="D5317" s="7">
        <v>1</v>
      </c>
      <c r="E5317">
        <v>2020</v>
      </c>
      <c r="F5317">
        <v>2020</v>
      </c>
      <c r="G5317" t="str">
        <f>IFERROR(INDEX(Formulations[Formulation],MATCH($C5317,Formulations[Product Code],0)),"")</f>
        <v>Silver</v>
      </c>
    </row>
    <row r="5318" spans="1:7" x14ac:dyDescent="0.3">
      <c r="A5318" t="s">
        <v>2169</v>
      </c>
      <c r="B5318" t="s">
        <v>99</v>
      </c>
      <c r="C5318" t="s">
        <v>100</v>
      </c>
      <c r="D5318" s="7">
        <v>1</v>
      </c>
      <c r="E5318">
        <v>2016</v>
      </c>
      <c r="F5318">
        <v>2016</v>
      </c>
      <c r="G5318" t="str">
        <f>IFERROR(INDEX(Formulations[Formulation],MATCH($C5318,Formulations[Product Code],0)),"")</f>
        <v>Crystal</v>
      </c>
    </row>
    <row r="5319" spans="1:7" x14ac:dyDescent="0.3">
      <c r="A5319" t="s">
        <v>2170</v>
      </c>
      <c r="B5319" t="s">
        <v>21</v>
      </c>
      <c r="C5319" t="s">
        <v>22</v>
      </c>
      <c r="D5319" s="7">
        <v>1</v>
      </c>
      <c r="E5319">
        <v>2016</v>
      </c>
      <c r="F5319">
        <v>2016</v>
      </c>
      <c r="G5319" t="str">
        <f>IFERROR(INDEX(Formulations[Formulation],MATCH($C5319,Formulations[Product Code],0)),"")</f>
        <v>Crystal</v>
      </c>
    </row>
    <row r="5320" spans="1:7" x14ac:dyDescent="0.3">
      <c r="A5320" t="s">
        <v>2170</v>
      </c>
      <c r="B5320" t="s">
        <v>314</v>
      </c>
      <c r="C5320" t="s">
        <v>475</v>
      </c>
      <c r="D5320" s="7">
        <v>1</v>
      </c>
      <c r="E5320">
        <v>2016</v>
      </c>
      <c r="F5320">
        <v>2016</v>
      </c>
      <c r="G5320" t="str">
        <f>IFERROR(INDEX(Formulations[Formulation],MATCH($C5320,Formulations[Product Code],0)),"")</f>
        <v>Crystal</v>
      </c>
    </row>
    <row r="5321" spans="1:7" x14ac:dyDescent="0.3">
      <c r="A5321" t="s">
        <v>2171</v>
      </c>
      <c r="B5321" t="s">
        <v>610</v>
      </c>
      <c r="C5321" t="s">
        <v>611</v>
      </c>
      <c r="D5321" s="7">
        <v>1</v>
      </c>
      <c r="E5321">
        <v>2015</v>
      </c>
      <c r="F5321">
        <v>2015</v>
      </c>
      <c r="G5321" t="str">
        <f>IFERROR(INDEX(Formulations[Formulation],MATCH($C5321,Formulations[Product Code],0)),"")</f>
        <v/>
      </c>
    </row>
    <row r="5322" spans="1:7" x14ac:dyDescent="0.3">
      <c r="A5322" t="s">
        <v>2171</v>
      </c>
      <c r="B5322" t="s">
        <v>631</v>
      </c>
      <c r="C5322" t="s">
        <v>632</v>
      </c>
      <c r="D5322" s="7">
        <v>1</v>
      </c>
      <c r="E5322">
        <v>2015</v>
      </c>
      <c r="F5322">
        <v>2015</v>
      </c>
      <c r="G5322" t="str">
        <f>IFERROR(INDEX(Formulations[Formulation],MATCH($C5322,Formulations[Product Code],0)),"")</f>
        <v/>
      </c>
    </row>
    <row r="5323" spans="1:7" x14ac:dyDescent="0.3">
      <c r="A5323" t="s">
        <v>2171</v>
      </c>
      <c r="B5323" t="s">
        <v>346</v>
      </c>
      <c r="C5323" t="s">
        <v>347</v>
      </c>
      <c r="D5323" s="7">
        <v>1</v>
      </c>
      <c r="E5323">
        <v>2015</v>
      </c>
      <c r="F5323">
        <v>2015</v>
      </c>
      <c r="G5323" t="str">
        <f>IFERROR(INDEX(Formulations[Formulation],MATCH($C5323,Formulations[Product Code],0)),"")</f>
        <v>Pure</v>
      </c>
    </row>
    <row r="5324" spans="1:7" x14ac:dyDescent="0.3">
      <c r="A5324" t="s">
        <v>2171</v>
      </c>
      <c r="B5324" t="s">
        <v>290</v>
      </c>
      <c r="C5324" t="s">
        <v>57</v>
      </c>
      <c r="D5324" s="7">
        <v>1</v>
      </c>
      <c r="E5324">
        <v>2015</v>
      </c>
      <c r="F5324">
        <v>2015</v>
      </c>
      <c r="G5324" t="str">
        <f>IFERROR(INDEX(Formulations[Formulation],MATCH($C5324,Formulations[Product Code],0)),"")</f>
        <v/>
      </c>
    </row>
    <row r="5325" spans="1:7" x14ac:dyDescent="0.3">
      <c r="A5325" t="s">
        <v>2171</v>
      </c>
      <c r="B5325" t="s">
        <v>942</v>
      </c>
      <c r="C5325" t="s">
        <v>943</v>
      </c>
      <c r="D5325" s="7">
        <v>1</v>
      </c>
      <c r="E5325">
        <v>2015</v>
      </c>
      <c r="F5325">
        <v>2015</v>
      </c>
      <c r="G5325" t="str">
        <f>IFERROR(INDEX(Formulations[Formulation],MATCH($C5325,Formulations[Product Code],0)),"")</f>
        <v>Red Grape A299992 (Red Grape 50%/Rasberry 50%)</v>
      </c>
    </row>
    <row r="5326" spans="1:7" x14ac:dyDescent="0.3">
      <c r="A5326" t="s">
        <v>2171</v>
      </c>
      <c r="B5326" t="s">
        <v>19</v>
      </c>
      <c r="C5326" t="s">
        <v>20</v>
      </c>
      <c r="D5326" s="7">
        <v>1</v>
      </c>
      <c r="E5326">
        <v>2015</v>
      </c>
      <c r="F5326">
        <v>2015</v>
      </c>
      <c r="G5326" t="str">
        <f>IFERROR(INDEX(Formulations[Formulation],MATCH($C5326,Formulations[Product Code],0)),"")</f>
        <v>80 % Oil AND 20 % DPG</v>
      </c>
    </row>
    <row r="5327" spans="1:7" x14ac:dyDescent="0.3">
      <c r="A5327" t="s">
        <v>2171</v>
      </c>
      <c r="B5327" t="s">
        <v>473</v>
      </c>
      <c r="C5327" t="s">
        <v>747</v>
      </c>
      <c r="D5327" s="7">
        <v>1</v>
      </c>
      <c r="E5327">
        <v>2015</v>
      </c>
      <c r="F5327">
        <v>2015</v>
      </c>
      <c r="G5327" t="str">
        <f>IFERROR(INDEX(Formulations[Formulation],MATCH($C5327,Formulations[Product Code],0)),"")</f>
        <v/>
      </c>
    </row>
    <row r="5328" spans="1:7" x14ac:dyDescent="0.3">
      <c r="A5328" t="s">
        <v>2171</v>
      </c>
      <c r="B5328" t="s">
        <v>314</v>
      </c>
      <c r="C5328" t="s">
        <v>315</v>
      </c>
      <c r="D5328" s="7">
        <v>1</v>
      </c>
      <c r="E5328">
        <v>2015</v>
      </c>
      <c r="F5328">
        <v>2015</v>
      </c>
      <c r="G5328" t="str">
        <f>IFERROR(INDEX(Formulations[Formulation],MATCH($C5328,Formulations[Product Code],0)),"")</f>
        <v/>
      </c>
    </row>
    <row r="5329" spans="1:7" x14ac:dyDescent="0.3">
      <c r="A5329" t="s">
        <v>2171</v>
      </c>
      <c r="B5329" t="s">
        <v>750</v>
      </c>
      <c r="C5329" t="s">
        <v>751</v>
      </c>
      <c r="D5329" s="7">
        <v>1</v>
      </c>
      <c r="E5329">
        <v>2015</v>
      </c>
      <c r="F5329">
        <v>2015</v>
      </c>
      <c r="G5329" t="str">
        <f>IFERROR(INDEX(Formulations[Formulation],MATCH($C5329,Formulations[Product Code],0)),"")</f>
        <v/>
      </c>
    </row>
    <row r="5330" spans="1:7" x14ac:dyDescent="0.3">
      <c r="A5330" t="s">
        <v>2176</v>
      </c>
      <c r="B5330" t="s">
        <v>276</v>
      </c>
      <c r="C5330" t="s">
        <v>277</v>
      </c>
      <c r="D5330" s="7">
        <v>1</v>
      </c>
      <c r="E5330">
        <v>2020</v>
      </c>
      <c r="F5330">
        <v>2020</v>
      </c>
      <c r="G5330" t="str">
        <f>IFERROR(INDEX(Formulations[Formulation],MATCH($C5330,Formulations[Product Code],0)),"")</f>
        <v>Pure</v>
      </c>
    </row>
    <row r="5331" spans="1:7" x14ac:dyDescent="0.3">
      <c r="A5331" t="s">
        <v>2176</v>
      </c>
      <c r="B5331" t="s">
        <v>586</v>
      </c>
      <c r="C5331" t="s">
        <v>587</v>
      </c>
      <c r="D5331" s="7">
        <v>1</v>
      </c>
      <c r="E5331">
        <v>2020</v>
      </c>
      <c r="F5331">
        <v>2020</v>
      </c>
      <c r="G5331" t="str">
        <f>IFERROR(INDEX(Formulations[Formulation],MATCH($C5331,Formulations[Product Code],0)),"")</f>
        <v>Pure</v>
      </c>
    </row>
    <row r="5332" spans="1:7" x14ac:dyDescent="0.3">
      <c r="A5332" t="s">
        <v>2176</v>
      </c>
      <c r="B5332" t="s">
        <v>1413</v>
      </c>
      <c r="D5332" s="7">
        <v>1</v>
      </c>
      <c r="E5332">
        <v>2020</v>
      </c>
      <c r="F5332">
        <v>2020</v>
      </c>
      <c r="G5332" t="str">
        <f>IFERROR(INDEX(Formulations[Formulation],MATCH($C5332,Formulations[Product Code],0)),"")</f>
        <v/>
      </c>
    </row>
    <row r="5333" spans="1:7" x14ac:dyDescent="0.3">
      <c r="A5333" t="s">
        <v>2176</v>
      </c>
      <c r="B5333" t="s">
        <v>514</v>
      </c>
      <c r="C5333" t="s">
        <v>515</v>
      </c>
      <c r="D5333" s="7">
        <v>1</v>
      </c>
      <c r="E5333">
        <v>2021</v>
      </c>
      <c r="F5333">
        <v>2021</v>
      </c>
      <c r="G5333" t="str">
        <f>IFERROR(INDEX(Formulations[Formulation],MATCH($C5333,Formulations[Product Code],0)),"")</f>
        <v>Crystal</v>
      </c>
    </row>
    <row r="5334" spans="1:7" x14ac:dyDescent="0.3">
      <c r="A5334" t="s">
        <v>2176</v>
      </c>
      <c r="B5334" t="s">
        <v>119</v>
      </c>
      <c r="D5334" s="7">
        <v>1</v>
      </c>
      <c r="E5334">
        <v>2021</v>
      </c>
      <c r="F5334">
        <v>2021</v>
      </c>
      <c r="G5334" t="str">
        <f>IFERROR(INDEX(Formulations[Formulation],MATCH($C5334,Formulations[Product Code],0)),"")</f>
        <v/>
      </c>
    </row>
    <row r="5335" spans="1:7" x14ac:dyDescent="0.3">
      <c r="A5335" t="s">
        <v>2176</v>
      </c>
      <c r="B5335" t="s">
        <v>517</v>
      </c>
      <c r="C5335" t="s">
        <v>145</v>
      </c>
      <c r="D5335" s="7">
        <v>1</v>
      </c>
      <c r="E5335">
        <v>2020</v>
      </c>
      <c r="F5335">
        <v>2020</v>
      </c>
      <c r="G5335" t="str">
        <f>IFERROR(INDEX(Formulations[Formulation],MATCH($C5335,Formulations[Product Code],0)),"")</f>
        <v/>
      </c>
    </row>
    <row r="5336" spans="1:7" x14ac:dyDescent="0.3">
      <c r="A5336" t="s">
        <v>2176</v>
      </c>
      <c r="B5336" t="s">
        <v>189</v>
      </c>
      <c r="D5336" s="7">
        <v>1</v>
      </c>
      <c r="E5336">
        <v>2020</v>
      </c>
      <c r="F5336">
        <v>2020</v>
      </c>
      <c r="G5336" t="str">
        <f>IFERROR(INDEX(Formulations[Formulation],MATCH($C5336,Formulations[Product Code],0)),"")</f>
        <v/>
      </c>
    </row>
    <row r="5337" spans="1:7" x14ac:dyDescent="0.3">
      <c r="A5337" t="s">
        <v>2176</v>
      </c>
      <c r="B5337" t="s">
        <v>656</v>
      </c>
      <c r="C5337" t="s">
        <v>71</v>
      </c>
      <c r="D5337" s="7">
        <v>1</v>
      </c>
      <c r="E5337">
        <v>2020</v>
      </c>
      <c r="F5337">
        <v>2020</v>
      </c>
      <c r="G5337" t="str">
        <f>IFERROR(INDEX(Formulations[Formulation],MATCH($C5337,Formulations[Product Code],0)),"")</f>
        <v>40% Oil &amp; 60% DPG</v>
      </c>
    </row>
    <row r="5338" spans="1:7" x14ac:dyDescent="0.3">
      <c r="A5338" t="s">
        <v>2176</v>
      </c>
      <c r="B5338" t="s">
        <v>161</v>
      </c>
      <c r="C5338" t="s">
        <v>162</v>
      </c>
      <c r="D5338" s="7">
        <v>1</v>
      </c>
      <c r="E5338">
        <v>2021</v>
      </c>
      <c r="F5338">
        <v>2021</v>
      </c>
      <c r="G5338" t="str">
        <f>IFERROR(INDEX(Formulations[Formulation],MATCH($C5338,Formulations[Product Code],0)),"")</f>
        <v>Pure</v>
      </c>
    </row>
    <row r="5339" spans="1:7" x14ac:dyDescent="0.3">
      <c r="A5339" t="s">
        <v>2187</v>
      </c>
      <c r="B5339" t="s">
        <v>276</v>
      </c>
      <c r="C5339" t="s">
        <v>277</v>
      </c>
      <c r="D5339" s="7">
        <v>1</v>
      </c>
      <c r="E5339">
        <v>2021</v>
      </c>
      <c r="F5339">
        <v>2021</v>
      </c>
      <c r="G5339" t="str">
        <f>IFERROR(INDEX(Formulations[Formulation],MATCH($C5339,Formulations[Product Code],0)),"")</f>
        <v>Pure</v>
      </c>
    </row>
    <row r="5340" spans="1:7" x14ac:dyDescent="0.3">
      <c r="A5340" t="s">
        <v>2187</v>
      </c>
      <c r="B5340" t="s">
        <v>660</v>
      </c>
      <c r="C5340" t="s">
        <v>661</v>
      </c>
      <c r="D5340" s="7">
        <v>1</v>
      </c>
      <c r="E5340">
        <v>2021</v>
      </c>
      <c r="F5340">
        <v>2021</v>
      </c>
      <c r="G5340" t="str">
        <f>IFERROR(INDEX(Formulations[Formulation],MATCH($C5340,Formulations[Product Code],0)),"")</f>
        <v>Crystal</v>
      </c>
    </row>
    <row r="5341" spans="1:7" x14ac:dyDescent="0.3">
      <c r="A5341" t="s">
        <v>2187</v>
      </c>
      <c r="B5341" t="s">
        <v>591</v>
      </c>
      <c r="C5341" t="s">
        <v>592</v>
      </c>
      <c r="D5341" s="7">
        <v>1</v>
      </c>
      <c r="E5341">
        <v>2021</v>
      </c>
      <c r="F5341">
        <v>2021</v>
      </c>
      <c r="G5341" t="str">
        <f>IFERROR(INDEX(Formulations[Formulation],MATCH($C5341,Formulations[Product Code],0)),"")</f>
        <v>20% Oil</v>
      </c>
    </row>
    <row r="5342" spans="1:7" x14ac:dyDescent="0.3">
      <c r="A5342" t="s">
        <v>2187</v>
      </c>
      <c r="B5342" t="s">
        <v>2188</v>
      </c>
      <c r="D5342" s="7">
        <v>1</v>
      </c>
      <c r="E5342">
        <v>2021</v>
      </c>
      <c r="F5342">
        <v>2021</v>
      </c>
      <c r="G5342" t="str">
        <f>IFERROR(INDEX(Formulations[Formulation],MATCH($C5342,Formulations[Product Code],0)),"")</f>
        <v/>
      </c>
    </row>
    <row r="5343" spans="1:7" x14ac:dyDescent="0.3">
      <c r="A5343" t="s">
        <v>2187</v>
      </c>
      <c r="B5343" t="s">
        <v>99</v>
      </c>
      <c r="C5343" t="s">
        <v>100</v>
      </c>
      <c r="D5343" s="7">
        <v>1</v>
      </c>
      <c r="E5343">
        <v>2021</v>
      </c>
      <c r="F5343">
        <v>2021</v>
      </c>
      <c r="G5343" t="str">
        <f>IFERROR(INDEX(Formulations[Formulation],MATCH($C5343,Formulations[Product Code],0)),"")</f>
        <v>Crystal</v>
      </c>
    </row>
    <row r="5344" spans="1:7" x14ac:dyDescent="0.3">
      <c r="A5344" t="s">
        <v>2187</v>
      </c>
      <c r="B5344" t="s">
        <v>867</v>
      </c>
      <c r="C5344" t="s">
        <v>868</v>
      </c>
      <c r="D5344" s="7">
        <v>1</v>
      </c>
      <c r="E5344">
        <v>2021</v>
      </c>
      <c r="F5344">
        <v>2021</v>
      </c>
      <c r="G5344" t="str">
        <f>IFERROR(INDEX(Formulations[Formulation],MATCH($C5344,Formulations[Product Code],0)),"")</f>
        <v>Crystal</v>
      </c>
    </row>
    <row r="5345" spans="1:7" x14ac:dyDescent="0.3">
      <c r="A5345" t="s">
        <v>2187</v>
      </c>
      <c r="B5345" t="s">
        <v>817</v>
      </c>
      <c r="D5345" s="7">
        <v>1</v>
      </c>
      <c r="E5345">
        <v>2021</v>
      </c>
      <c r="F5345">
        <v>2021</v>
      </c>
      <c r="G5345" t="str">
        <f>IFERROR(INDEX(Formulations[Formulation],MATCH($C5345,Formulations[Product Code],0)),"")</f>
        <v/>
      </c>
    </row>
    <row r="5346" spans="1:7" x14ac:dyDescent="0.3">
      <c r="A5346" t="s">
        <v>2187</v>
      </c>
      <c r="B5346" t="s">
        <v>1396</v>
      </c>
      <c r="C5346" t="s">
        <v>613</v>
      </c>
      <c r="D5346" s="7">
        <v>1</v>
      </c>
      <c r="E5346">
        <v>2021</v>
      </c>
      <c r="F5346">
        <v>2021</v>
      </c>
      <c r="G5346" t="str">
        <f>IFERROR(INDEX(Formulations[Formulation],MATCH($C5346,Formulations[Product Code],0)),"")</f>
        <v>Pure</v>
      </c>
    </row>
    <row r="5347" spans="1:7" x14ac:dyDescent="0.3">
      <c r="A5347" t="s">
        <v>2209</v>
      </c>
      <c r="B5347" t="s">
        <v>1404</v>
      </c>
      <c r="D5347" s="7">
        <v>1</v>
      </c>
      <c r="E5347">
        <v>2021</v>
      </c>
      <c r="F5347">
        <v>2021</v>
      </c>
      <c r="G5347" t="str">
        <f>IFERROR(INDEX(Formulations[Formulation],MATCH($C5347,Formulations[Product Code],0)),"")</f>
        <v/>
      </c>
    </row>
    <row r="5348" spans="1:7" x14ac:dyDescent="0.3">
      <c r="A5348" t="s">
        <v>2209</v>
      </c>
      <c r="B5348" t="s">
        <v>2213</v>
      </c>
      <c r="D5348" s="7">
        <v>1</v>
      </c>
      <c r="E5348">
        <v>2021</v>
      </c>
      <c r="F5348">
        <v>2021</v>
      </c>
      <c r="G5348" t="str">
        <f>IFERROR(INDEX(Formulations[Formulation],MATCH($C5348,Formulations[Product Code],0)),"")</f>
        <v/>
      </c>
    </row>
    <row r="5349" spans="1:7" x14ac:dyDescent="0.3">
      <c r="A5349" t="s">
        <v>2233</v>
      </c>
      <c r="B5349" t="s">
        <v>55</v>
      </c>
      <c r="D5349" s="7">
        <v>1</v>
      </c>
      <c r="E5349">
        <v>2019</v>
      </c>
      <c r="F5349">
        <v>2019</v>
      </c>
      <c r="G5349" t="str">
        <f>IFERROR(INDEX(Formulations[Formulation],MATCH($C5349,Formulations[Product Code],0)),"")</f>
        <v/>
      </c>
    </row>
    <row r="5350" spans="1:7" x14ac:dyDescent="0.3">
      <c r="A5350" t="s">
        <v>2235</v>
      </c>
      <c r="B5350" t="s">
        <v>995</v>
      </c>
      <c r="C5350" t="s">
        <v>672</v>
      </c>
      <c r="D5350" s="7">
        <v>1</v>
      </c>
      <c r="E5350">
        <v>2018</v>
      </c>
      <c r="F5350">
        <v>2018</v>
      </c>
      <c r="G5350" t="str">
        <f>IFERROR(INDEX(Formulations[Formulation],MATCH($C5350,Formulations[Product Code],0)),"")</f>
        <v>Pure</v>
      </c>
    </row>
    <row r="5351" spans="1:7" x14ac:dyDescent="0.3">
      <c r="A5351" t="s">
        <v>2235</v>
      </c>
      <c r="B5351" t="s">
        <v>915</v>
      </c>
      <c r="C5351" t="s">
        <v>916</v>
      </c>
      <c r="D5351" s="7">
        <v>1</v>
      </c>
      <c r="E5351">
        <v>2018</v>
      </c>
      <c r="F5351">
        <v>2018</v>
      </c>
      <c r="G5351" t="str">
        <f>IFERROR(INDEX(Formulations[Formulation],MATCH($C5351,Formulations[Product Code],0)),"")</f>
        <v>Crystal</v>
      </c>
    </row>
    <row r="5352" spans="1:7" x14ac:dyDescent="0.3">
      <c r="A5352" t="s">
        <v>2262</v>
      </c>
      <c r="B5352" t="s">
        <v>551</v>
      </c>
      <c r="D5352" s="7">
        <v>1</v>
      </c>
      <c r="E5352">
        <v>2019</v>
      </c>
      <c r="F5352">
        <v>2019</v>
      </c>
      <c r="G5352" t="str">
        <f>IFERROR(INDEX(Formulations[Formulation],MATCH($C5352,Formulations[Product Code],0)),"")</f>
        <v/>
      </c>
    </row>
    <row r="5353" spans="1:7" x14ac:dyDescent="0.3">
      <c r="A5353" t="s">
        <v>2262</v>
      </c>
      <c r="B5353" t="s">
        <v>557</v>
      </c>
      <c r="C5353" t="s">
        <v>212</v>
      </c>
      <c r="D5353" s="7">
        <v>1</v>
      </c>
      <c r="E5353">
        <v>2018</v>
      </c>
      <c r="F5353">
        <v>2018</v>
      </c>
      <c r="G5353" t="str">
        <f>IFERROR(INDEX(Formulations[Formulation],MATCH($C5353,Formulations[Product Code],0)),"")</f>
        <v>Pure</v>
      </c>
    </row>
    <row r="5354" spans="1:7" x14ac:dyDescent="0.3">
      <c r="A5354" t="s">
        <v>2262</v>
      </c>
      <c r="B5354" t="s">
        <v>206</v>
      </c>
      <c r="C5354" t="s">
        <v>207</v>
      </c>
      <c r="D5354" s="7">
        <v>1</v>
      </c>
      <c r="E5354">
        <v>2017</v>
      </c>
      <c r="F5354">
        <v>2017</v>
      </c>
      <c r="G5354" t="str">
        <f>IFERROR(INDEX(Formulations[Formulation],MATCH($C5354,Formulations[Product Code],0)),"")</f>
        <v/>
      </c>
    </row>
    <row r="5355" spans="1:7" x14ac:dyDescent="0.3">
      <c r="A5355" t="s">
        <v>2262</v>
      </c>
      <c r="B5355" t="s">
        <v>1367</v>
      </c>
      <c r="C5355" t="s">
        <v>1368</v>
      </c>
      <c r="D5355" s="7">
        <v>1</v>
      </c>
      <c r="E5355">
        <v>2018</v>
      </c>
      <c r="F5355">
        <v>2018</v>
      </c>
      <c r="G5355" t="str">
        <f>IFERROR(INDEX(Formulations[Formulation],MATCH($C5355,Formulations[Product Code],0)),"")</f>
        <v>Pure</v>
      </c>
    </row>
    <row r="5356" spans="1:7" x14ac:dyDescent="0.3">
      <c r="A5356" t="s">
        <v>2262</v>
      </c>
      <c r="B5356" t="s">
        <v>238</v>
      </c>
      <c r="C5356" t="s">
        <v>222</v>
      </c>
      <c r="D5356" s="7">
        <v>1</v>
      </c>
      <c r="E5356">
        <v>2018</v>
      </c>
      <c r="F5356">
        <v>2018</v>
      </c>
      <c r="G5356" t="str">
        <f>IFERROR(INDEX(Formulations[Formulation],MATCH($C5356,Formulations[Product Code],0)),"")</f>
        <v>WS</v>
      </c>
    </row>
    <row r="5357" spans="1:7" x14ac:dyDescent="0.3">
      <c r="A5357" t="s">
        <v>2265</v>
      </c>
      <c r="B5357" t="s">
        <v>631</v>
      </c>
      <c r="C5357" t="s">
        <v>632</v>
      </c>
      <c r="D5357" s="7">
        <v>1</v>
      </c>
      <c r="E5357">
        <v>2017</v>
      </c>
      <c r="F5357">
        <v>2017</v>
      </c>
      <c r="G5357" t="str">
        <f>IFERROR(INDEX(Formulations[Formulation],MATCH($C5357,Formulations[Product Code],0)),"")</f>
        <v/>
      </c>
    </row>
    <row r="5358" spans="1:7" x14ac:dyDescent="0.3">
      <c r="A5358" t="s">
        <v>2265</v>
      </c>
      <c r="B5358" t="s">
        <v>95</v>
      </c>
      <c r="C5358" t="s">
        <v>96</v>
      </c>
      <c r="D5358" s="7">
        <v>1</v>
      </c>
      <c r="E5358">
        <v>2017</v>
      </c>
      <c r="F5358">
        <v>2017</v>
      </c>
      <c r="G5358" t="str">
        <f>IFERROR(INDEX(Formulations[Formulation],MATCH($C5358,Formulations[Product Code],0)),"")</f>
        <v>9.2 kg oil and rest dpg</v>
      </c>
    </row>
    <row r="5359" spans="1:7" x14ac:dyDescent="0.3">
      <c r="A5359" t="s">
        <v>2265</v>
      </c>
      <c r="B5359" t="s">
        <v>196</v>
      </c>
      <c r="C5359" t="s">
        <v>197</v>
      </c>
      <c r="D5359" s="7">
        <v>1</v>
      </c>
      <c r="E5359">
        <v>2017</v>
      </c>
      <c r="F5359">
        <v>2017</v>
      </c>
      <c r="G5359" t="str">
        <f>IFERROR(INDEX(Formulations[Formulation],MATCH($C5359,Formulations[Product Code],0)),"")</f>
        <v/>
      </c>
    </row>
    <row r="5360" spans="1:7" x14ac:dyDescent="0.3">
      <c r="A5360" t="s">
        <v>2265</v>
      </c>
      <c r="B5360" t="s">
        <v>72</v>
      </c>
      <c r="C5360" t="s">
        <v>73</v>
      </c>
      <c r="D5360" s="7">
        <v>1</v>
      </c>
      <c r="E5360">
        <v>2017</v>
      </c>
      <c r="F5360">
        <v>2017</v>
      </c>
      <c r="G5360" t="str">
        <f>IFERROR(INDEX(Formulations[Formulation],MATCH($C5360,Formulations[Product Code],0)),"")</f>
        <v>Silver</v>
      </c>
    </row>
    <row r="5361" spans="1:7" x14ac:dyDescent="0.3">
      <c r="A5361" t="s">
        <v>2266</v>
      </c>
      <c r="B5361" t="s">
        <v>665</v>
      </c>
      <c r="D5361" s="7">
        <v>1</v>
      </c>
      <c r="E5361">
        <v>2021</v>
      </c>
      <c r="F5361">
        <v>2021</v>
      </c>
      <c r="G5361" t="str">
        <f>IFERROR(INDEX(Formulations[Formulation],MATCH($C5361,Formulations[Product Code],0)),"")</f>
        <v/>
      </c>
    </row>
    <row r="5362" spans="1:7" x14ac:dyDescent="0.3">
      <c r="A5362" t="s">
        <v>2266</v>
      </c>
      <c r="B5362" t="s">
        <v>453</v>
      </c>
      <c r="D5362" s="7">
        <v>1</v>
      </c>
      <c r="E5362">
        <v>2021</v>
      </c>
      <c r="F5362">
        <v>2021</v>
      </c>
      <c r="G5362" t="str">
        <f>IFERROR(INDEX(Formulations[Formulation],MATCH($C5362,Formulations[Product Code],0)),"")</f>
        <v/>
      </c>
    </row>
    <row r="5363" spans="1:7" x14ac:dyDescent="0.3">
      <c r="A5363" t="s">
        <v>2266</v>
      </c>
      <c r="B5363" t="s">
        <v>37</v>
      </c>
      <c r="D5363" s="7">
        <v>1</v>
      </c>
      <c r="E5363">
        <v>2021</v>
      </c>
      <c r="F5363">
        <v>2021</v>
      </c>
      <c r="G5363" t="str">
        <f>IFERROR(INDEX(Formulations[Formulation],MATCH($C5363,Formulations[Product Code],0)),"")</f>
        <v/>
      </c>
    </row>
    <row r="5364" spans="1:7" x14ac:dyDescent="0.3">
      <c r="A5364" t="s">
        <v>2275</v>
      </c>
      <c r="B5364" t="s">
        <v>2276</v>
      </c>
      <c r="C5364" t="s">
        <v>724</v>
      </c>
      <c r="D5364" s="7">
        <v>1</v>
      </c>
      <c r="E5364">
        <v>2019</v>
      </c>
      <c r="F5364">
        <v>2019</v>
      </c>
      <c r="G5364" t="str">
        <f>IFERROR(INDEX(Formulations[Formulation],MATCH($C5364,Formulations[Product Code],0)),"")</f>
        <v>Crystal</v>
      </c>
    </row>
    <row r="5365" spans="1:7" x14ac:dyDescent="0.3">
      <c r="A5365" t="s">
        <v>2275</v>
      </c>
      <c r="B5365" t="s">
        <v>2027</v>
      </c>
      <c r="C5365" t="s">
        <v>222</v>
      </c>
      <c r="D5365" s="7">
        <v>1</v>
      </c>
      <c r="E5365">
        <v>2019</v>
      </c>
      <c r="F5365">
        <v>2019</v>
      </c>
      <c r="G5365" t="str">
        <f>IFERROR(INDEX(Formulations[Formulation],MATCH($C5365,Formulations[Product Code],0)),"")</f>
        <v>WS</v>
      </c>
    </row>
    <row r="5366" spans="1:7" x14ac:dyDescent="0.3">
      <c r="A5366" t="s">
        <v>2275</v>
      </c>
      <c r="B5366" t="s">
        <v>1001</v>
      </c>
      <c r="C5366" t="s">
        <v>789</v>
      </c>
      <c r="D5366" s="7">
        <v>1</v>
      </c>
      <c r="E5366">
        <v>2019</v>
      </c>
      <c r="F5366">
        <v>2019</v>
      </c>
      <c r="G5366" t="str">
        <f>IFERROR(INDEX(Formulations[Formulation],MATCH($C5366,Formulations[Product Code],0)),"")</f>
        <v>Pure</v>
      </c>
    </row>
    <row r="5367" spans="1:7" x14ac:dyDescent="0.3">
      <c r="A5367" t="s">
        <v>2275</v>
      </c>
      <c r="B5367" t="s">
        <v>2277</v>
      </c>
      <c r="C5367" t="s">
        <v>505</v>
      </c>
      <c r="D5367" s="7">
        <v>1</v>
      </c>
      <c r="E5367">
        <v>2019</v>
      </c>
      <c r="F5367">
        <v>2019</v>
      </c>
      <c r="G5367" t="str">
        <f>IFERROR(INDEX(Formulations[Formulation],MATCH($C5367,Formulations[Product Code],0)),"")</f>
        <v>Crystal</v>
      </c>
    </row>
    <row r="5368" spans="1:7" x14ac:dyDescent="0.3">
      <c r="A5368" t="s">
        <v>2275</v>
      </c>
      <c r="B5368" t="s">
        <v>206</v>
      </c>
      <c r="C5368" t="s">
        <v>207</v>
      </c>
      <c r="D5368" s="7">
        <v>1</v>
      </c>
      <c r="E5368">
        <v>2019</v>
      </c>
      <c r="F5368">
        <v>2019</v>
      </c>
      <c r="G5368" t="str">
        <f>IFERROR(INDEX(Formulations[Formulation],MATCH($C5368,Formulations[Product Code],0)),"")</f>
        <v/>
      </c>
    </row>
    <row r="5369" spans="1:7" x14ac:dyDescent="0.3">
      <c r="A5369" t="s">
        <v>2275</v>
      </c>
      <c r="B5369" t="s">
        <v>1934</v>
      </c>
      <c r="C5369" t="s">
        <v>638</v>
      </c>
      <c r="D5369" s="7">
        <v>1</v>
      </c>
      <c r="E5369">
        <v>2019</v>
      </c>
      <c r="F5369">
        <v>2019</v>
      </c>
      <c r="G5369" t="str">
        <f>IFERROR(INDEX(Formulations[Formulation],MATCH($C5369,Formulations[Product Code],0)),"")</f>
        <v>Pure</v>
      </c>
    </row>
    <row r="5370" spans="1:7" x14ac:dyDescent="0.3">
      <c r="A5370" t="s">
        <v>2275</v>
      </c>
      <c r="B5370" t="s">
        <v>180</v>
      </c>
      <c r="C5370" t="s">
        <v>181</v>
      </c>
      <c r="D5370" s="7">
        <v>1</v>
      </c>
      <c r="E5370">
        <v>2019</v>
      </c>
      <c r="F5370">
        <v>2019</v>
      </c>
      <c r="G5370" t="str">
        <f>IFERROR(INDEX(Formulations[Formulation],MATCH($C5370,Formulations[Product Code],0)),"")</f>
        <v/>
      </c>
    </row>
    <row r="5371" spans="1:7" x14ac:dyDescent="0.3">
      <c r="A5371" t="s">
        <v>2275</v>
      </c>
      <c r="B5371" t="s">
        <v>1418</v>
      </c>
      <c r="C5371" t="s">
        <v>224</v>
      </c>
      <c r="D5371" s="7">
        <v>1</v>
      </c>
      <c r="E5371">
        <v>2019</v>
      </c>
      <c r="F5371">
        <v>2019</v>
      </c>
      <c r="G5371" t="str">
        <f>IFERROR(INDEX(Formulations[Formulation],MATCH($C5371,Formulations[Product Code],0)),"")</f>
        <v/>
      </c>
    </row>
    <row r="5372" spans="1:7" x14ac:dyDescent="0.3">
      <c r="A5372" t="s">
        <v>2275</v>
      </c>
      <c r="B5372" t="s">
        <v>99</v>
      </c>
      <c r="C5372" t="s">
        <v>100</v>
      </c>
      <c r="D5372" s="7">
        <v>1</v>
      </c>
      <c r="E5372">
        <v>2019</v>
      </c>
      <c r="F5372">
        <v>2019</v>
      </c>
      <c r="G5372" t="str">
        <f>IFERROR(INDEX(Formulations[Formulation],MATCH($C5372,Formulations[Product Code],0)),"")</f>
        <v>Crystal</v>
      </c>
    </row>
    <row r="5373" spans="1:7" x14ac:dyDescent="0.3">
      <c r="A5373" t="s">
        <v>2275</v>
      </c>
      <c r="B5373" t="s">
        <v>210</v>
      </c>
      <c r="C5373" t="s">
        <v>61</v>
      </c>
      <c r="D5373" s="7">
        <v>1</v>
      </c>
      <c r="E5373">
        <v>2019</v>
      </c>
      <c r="F5373">
        <v>2019</v>
      </c>
      <c r="G5373" t="str">
        <f>IFERROR(INDEX(Formulations[Formulation],MATCH($C5373,Formulations[Product Code],0)),"")</f>
        <v>Pure</v>
      </c>
    </row>
    <row r="5374" spans="1:7" x14ac:dyDescent="0.3">
      <c r="A5374" t="s">
        <v>2275</v>
      </c>
      <c r="B5374" t="s">
        <v>2022</v>
      </c>
      <c r="C5374" t="s">
        <v>515</v>
      </c>
      <c r="D5374" s="7">
        <v>1</v>
      </c>
      <c r="E5374">
        <v>2019</v>
      </c>
      <c r="F5374">
        <v>2019</v>
      </c>
      <c r="G5374" t="str">
        <f>IFERROR(INDEX(Formulations[Formulation],MATCH($C5374,Formulations[Product Code],0)),"")</f>
        <v>Crystal</v>
      </c>
    </row>
    <row r="5375" spans="1:7" x14ac:dyDescent="0.3">
      <c r="A5375" t="s">
        <v>2275</v>
      </c>
      <c r="B5375" t="s">
        <v>1422</v>
      </c>
      <c r="C5375" t="s">
        <v>80</v>
      </c>
      <c r="D5375" s="7">
        <v>1</v>
      </c>
      <c r="E5375">
        <v>2019</v>
      </c>
      <c r="F5375">
        <v>2019</v>
      </c>
      <c r="G5375" t="str">
        <f>IFERROR(INDEX(Formulations[Formulation],MATCH($C5375,Formulations[Product Code],0)),"")</f>
        <v>Pure</v>
      </c>
    </row>
    <row r="5376" spans="1:7" x14ac:dyDescent="0.3">
      <c r="A5376" t="s">
        <v>2275</v>
      </c>
      <c r="B5376" t="s">
        <v>1009</v>
      </c>
      <c r="C5376" t="s">
        <v>934</v>
      </c>
      <c r="D5376" s="7">
        <v>1</v>
      </c>
      <c r="E5376">
        <v>2019</v>
      </c>
      <c r="F5376">
        <v>2019</v>
      </c>
      <c r="G5376" t="str">
        <f>IFERROR(INDEX(Formulations[Formulation],MATCH($C5376,Formulations[Product Code],0)),"")</f>
        <v/>
      </c>
    </row>
    <row r="5377" spans="1:7" x14ac:dyDescent="0.3">
      <c r="A5377" t="s">
        <v>2275</v>
      </c>
      <c r="B5377" t="s">
        <v>2278</v>
      </c>
      <c r="C5377" t="s">
        <v>113</v>
      </c>
      <c r="D5377" s="7">
        <v>1</v>
      </c>
      <c r="E5377">
        <v>2019</v>
      </c>
      <c r="F5377">
        <v>2019</v>
      </c>
      <c r="G5377" t="str">
        <f>IFERROR(INDEX(Formulations[Formulation],MATCH($C5377,Formulations[Product Code],0)),"")</f>
        <v/>
      </c>
    </row>
    <row r="5378" spans="1:7" x14ac:dyDescent="0.3">
      <c r="A5378" t="s">
        <v>2275</v>
      </c>
      <c r="B5378" t="s">
        <v>2279</v>
      </c>
      <c r="C5378" t="s">
        <v>397</v>
      </c>
      <c r="D5378" s="7">
        <v>1</v>
      </c>
      <c r="E5378">
        <v>2019</v>
      </c>
      <c r="F5378">
        <v>2019</v>
      </c>
      <c r="G5378" t="str">
        <f>IFERROR(INDEX(Formulations[Formulation],MATCH($C5378,Formulations[Product Code],0)),"")</f>
        <v/>
      </c>
    </row>
    <row r="5379" spans="1:7" x14ac:dyDescent="0.3">
      <c r="A5379" t="s">
        <v>2275</v>
      </c>
      <c r="B5379" t="s">
        <v>2280</v>
      </c>
      <c r="C5379" t="s">
        <v>392</v>
      </c>
      <c r="D5379" s="7">
        <v>1</v>
      </c>
      <c r="E5379">
        <v>2019</v>
      </c>
      <c r="F5379">
        <v>2019</v>
      </c>
      <c r="G5379" t="str">
        <f>IFERROR(INDEX(Formulations[Formulation],MATCH($C5379,Formulations[Product Code],0)),"")</f>
        <v/>
      </c>
    </row>
    <row r="5380" spans="1:7" x14ac:dyDescent="0.3">
      <c r="A5380" t="s">
        <v>2275</v>
      </c>
      <c r="B5380" t="s">
        <v>1002</v>
      </c>
      <c r="C5380" t="s">
        <v>138</v>
      </c>
      <c r="D5380" s="7">
        <v>1</v>
      </c>
      <c r="E5380">
        <v>2019</v>
      </c>
      <c r="F5380">
        <v>2019</v>
      </c>
      <c r="G5380" t="str">
        <f>IFERROR(INDEX(Formulations[Formulation],MATCH($C5380,Formulations[Product Code],0)),"")</f>
        <v>WS</v>
      </c>
    </row>
    <row r="5381" spans="1:7" x14ac:dyDescent="0.3">
      <c r="A5381" t="s">
        <v>2275</v>
      </c>
      <c r="B5381" t="s">
        <v>1367</v>
      </c>
      <c r="C5381" t="s">
        <v>1368</v>
      </c>
      <c r="D5381" s="7">
        <v>1</v>
      </c>
      <c r="E5381">
        <v>2019</v>
      </c>
      <c r="F5381">
        <v>2019</v>
      </c>
      <c r="G5381" t="str">
        <f>IFERROR(INDEX(Formulations[Formulation],MATCH($C5381,Formulations[Product Code],0)),"")</f>
        <v>Pure</v>
      </c>
    </row>
    <row r="5382" spans="1:7" x14ac:dyDescent="0.3">
      <c r="A5382" t="s">
        <v>2275</v>
      </c>
      <c r="B5382" t="s">
        <v>2281</v>
      </c>
      <c r="C5382" t="s">
        <v>262</v>
      </c>
      <c r="D5382" s="7">
        <v>1</v>
      </c>
      <c r="E5382">
        <v>2019</v>
      </c>
      <c r="F5382">
        <v>2019</v>
      </c>
      <c r="G5382" t="str">
        <f>IFERROR(INDEX(Formulations[Formulation],MATCH($C5382,Formulations[Product Code],0)),"")</f>
        <v>Pure</v>
      </c>
    </row>
    <row r="5383" spans="1:7" x14ac:dyDescent="0.3">
      <c r="A5383" t="s">
        <v>2275</v>
      </c>
      <c r="B5383" t="s">
        <v>409</v>
      </c>
      <c r="C5383" t="s">
        <v>264</v>
      </c>
      <c r="D5383" s="7">
        <v>1</v>
      </c>
      <c r="E5383">
        <v>2019</v>
      </c>
      <c r="F5383">
        <v>2019</v>
      </c>
      <c r="G5383" t="str">
        <f>IFERROR(INDEX(Formulations[Formulation],MATCH($C5383,Formulations[Product Code],0)),"")</f>
        <v>Silver</v>
      </c>
    </row>
    <row r="5384" spans="1:7" x14ac:dyDescent="0.3">
      <c r="A5384" t="s">
        <v>2275</v>
      </c>
      <c r="B5384" t="s">
        <v>1326</v>
      </c>
      <c r="C5384" t="s">
        <v>143</v>
      </c>
      <c r="D5384" s="7">
        <v>1</v>
      </c>
      <c r="E5384">
        <v>2019</v>
      </c>
      <c r="F5384">
        <v>2019</v>
      </c>
      <c r="G5384" t="str">
        <f>IFERROR(INDEX(Formulations[Formulation],MATCH($C5384,Formulations[Product Code],0)),"")</f>
        <v>Pure</v>
      </c>
    </row>
    <row r="5385" spans="1:7" x14ac:dyDescent="0.3">
      <c r="A5385" t="s">
        <v>2275</v>
      </c>
      <c r="B5385" t="s">
        <v>711</v>
      </c>
      <c r="C5385" t="s">
        <v>413</v>
      </c>
      <c r="D5385" s="7">
        <v>1</v>
      </c>
      <c r="E5385">
        <v>2019</v>
      </c>
      <c r="F5385">
        <v>2019</v>
      </c>
      <c r="G5385" t="str">
        <f>IFERROR(INDEX(Formulations[Formulation],MATCH($C5385,Formulations[Product Code],0)),"")</f>
        <v>40% oil &amp; 60 % DPG</v>
      </c>
    </row>
    <row r="5386" spans="1:7" x14ac:dyDescent="0.3">
      <c r="A5386" t="s">
        <v>2275</v>
      </c>
      <c r="B5386" t="s">
        <v>70</v>
      </c>
      <c r="C5386" t="s">
        <v>71</v>
      </c>
      <c r="D5386" s="7">
        <v>1</v>
      </c>
      <c r="E5386">
        <v>2019</v>
      </c>
      <c r="F5386">
        <v>2019</v>
      </c>
      <c r="G5386" t="str">
        <f>IFERROR(INDEX(Formulations[Formulation],MATCH($C5386,Formulations[Product Code],0)),"")</f>
        <v>40% Oil &amp; 60% DPG</v>
      </c>
    </row>
    <row r="5387" spans="1:7" x14ac:dyDescent="0.3">
      <c r="A5387" t="s">
        <v>2275</v>
      </c>
      <c r="B5387" t="s">
        <v>213</v>
      </c>
      <c r="C5387" t="s">
        <v>75</v>
      </c>
      <c r="D5387" s="7">
        <v>1</v>
      </c>
      <c r="E5387">
        <v>2019</v>
      </c>
      <c r="F5387">
        <v>2019</v>
      </c>
      <c r="G5387" t="str">
        <f>IFERROR(INDEX(Formulations[Formulation],MATCH($C5387,Formulations[Product Code],0)),"")</f>
        <v>Crystal</v>
      </c>
    </row>
    <row r="5388" spans="1:7" x14ac:dyDescent="0.3">
      <c r="A5388" t="s">
        <v>2275</v>
      </c>
      <c r="B5388" t="s">
        <v>483</v>
      </c>
      <c r="C5388" t="s">
        <v>484</v>
      </c>
      <c r="D5388" s="7">
        <v>1</v>
      </c>
      <c r="E5388">
        <v>2019</v>
      </c>
      <c r="F5388">
        <v>2019</v>
      </c>
      <c r="G5388" t="str">
        <f>IFERROR(INDEX(Formulations[Formulation],MATCH($C5388,Formulations[Product Code],0)),"")</f>
        <v>Crystal</v>
      </c>
    </row>
    <row r="5389" spans="1:7" x14ac:dyDescent="0.3">
      <c r="A5389" t="s">
        <v>2275</v>
      </c>
      <c r="B5389" t="s">
        <v>214</v>
      </c>
      <c r="C5389" t="s">
        <v>150</v>
      </c>
      <c r="D5389" s="7">
        <v>1</v>
      </c>
      <c r="E5389">
        <v>2019</v>
      </c>
      <c r="F5389">
        <v>2019</v>
      </c>
      <c r="G5389" t="str">
        <f>IFERROR(INDEX(Formulations[Formulation],MATCH($C5389,Formulations[Product Code],0)),"")</f>
        <v/>
      </c>
    </row>
    <row r="5390" spans="1:7" x14ac:dyDescent="0.3">
      <c r="A5390" t="s">
        <v>2275</v>
      </c>
      <c r="B5390" t="s">
        <v>1186</v>
      </c>
      <c r="C5390" t="s">
        <v>237</v>
      </c>
      <c r="D5390" s="7">
        <v>1</v>
      </c>
      <c r="E5390">
        <v>2019</v>
      </c>
      <c r="F5390">
        <v>2019</v>
      </c>
      <c r="G5390" t="str">
        <f>IFERROR(INDEX(Formulations[Formulation],MATCH($C5390,Formulations[Product Code],0)),"")</f>
        <v>Body by Burberry (F) CP00861 60%, Pacific Paradise 30%, Supreme bouqet 10%, than make gold</v>
      </c>
    </row>
    <row r="5391" spans="1:7" x14ac:dyDescent="0.3">
      <c r="A5391" t="s">
        <v>2317</v>
      </c>
      <c r="B5391" t="s">
        <v>2318</v>
      </c>
      <c r="D5391" s="7">
        <v>1</v>
      </c>
      <c r="E5391">
        <v>2021</v>
      </c>
      <c r="F5391">
        <v>2021</v>
      </c>
      <c r="G5391" t="str">
        <f>IFERROR(INDEX(Formulations[Formulation],MATCH($C5391,Formulations[Product Code],0)),"")</f>
        <v/>
      </c>
    </row>
    <row r="5392" spans="1:7" x14ac:dyDescent="0.3">
      <c r="A5392" t="s">
        <v>2317</v>
      </c>
      <c r="B5392" t="s">
        <v>2320</v>
      </c>
      <c r="D5392" s="7">
        <v>1</v>
      </c>
      <c r="E5392">
        <v>2021</v>
      </c>
      <c r="F5392">
        <v>2021</v>
      </c>
      <c r="G5392" t="str">
        <f>IFERROR(INDEX(Formulations[Formulation],MATCH($C5392,Formulations[Product Code],0)),"")</f>
        <v/>
      </c>
    </row>
    <row r="5393" spans="1:7" x14ac:dyDescent="0.3">
      <c r="A5393" t="s">
        <v>2329</v>
      </c>
      <c r="B5393" t="s">
        <v>645</v>
      </c>
      <c r="C5393" t="s">
        <v>646</v>
      </c>
      <c r="D5393" s="7">
        <v>1</v>
      </c>
      <c r="E5393">
        <v>2020</v>
      </c>
      <c r="F5393">
        <v>2020</v>
      </c>
      <c r="G5393" t="str">
        <f>IFERROR(INDEX(Formulations[Formulation],MATCH($C5393,Formulations[Product Code],0)),"")</f>
        <v/>
      </c>
    </row>
    <row r="5394" spans="1:7" x14ac:dyDescent="0.3">
      <c r="A5394" t="s">
        <v>2329</v>
      </c>
      <c r="B5394" t="s">
        <v>653</v>
      </c>
      <c r="C5394" t="s">
        <v>654</v>
      </c>
      <c r="D5394" s="7">
        <v>1</v>
      </c>
      <c r="E5394">
        <v>2020</v>
      </c>
      <c r="F5394">
        <v>2020</v>
      </c>
      <c r="G5394" t="str">
        <f>IFERROR(INDEX(Formulations[Formulation],MATCH($C5394,Formulations[Product Code],0)),"")</f>
        <v>Pure</v>
      </c>
    </row>
    <row r="5395" spans="1:7" x14ac:dyDescent="0.3">
      <c r="A5395" t="s">
        <v>2329</v>
      </c>
      <c r="B5395" t="s">
        <v>483</v>
      </c>
      <c r="C5395" t="s">
        <v>484</v>
      </c>
      <c r="D5395" s="7">
        <v>1</v>
      </c>
      <c r="E5395">
        <v>2020</v>
      </c>
      <c r="F5395">
        <v>2020</v>
      </c>
      <c r="G5395" t="str">
        <f>IFERROR(INDEX(Formulations[Formulation],MATCH($C5395,Formulations[Product Code],0)),"")</f>
        <v>Crystal</v>
      </c>
    </row>
    <row r="5396" spans="1:7" x14ac:dyDescent="0.3">
      <c r="A5396" t="s">
        <v>2330</v>
      </c>
      <c r="B5396" t="s">
        <v>532</v>
      </c>
      <c r="C5396" t="s">
        <v>452</v>
      </c>
      <c r="D5396" s="7">
        <v>1</v>
      </c>
      <c r="E5396">
        <v>2020</v>
      </c>
      <c r="F5396">
        <v>2020</v>
      </c>
      <c r="G5396" t="str">
        <f>IFERROR(INDEX(Formulations[Formulation],MATCH($C5396,Formulations[Product Code],0)),"")</f>
        <v>Crystal</v>
      </c>
    </row>
    <row r="5397" spans="1:7" x14ac:dyDescent="0.3">
      <c r="A5397" t="s">
        <v>2330</v>
      </c>
      <c r="B5397" t="s">
        <v>653</v>
      </c>
      <c r="C5397" t="s">
        <v>654</v>
      </c>
      <c r="D5397" s="7">
        <v>1</v>
      </c>
      <c r="E5397">
        <v>2020</v>
      </c>
      <c r="F5397">
        <v>2020</v>
      </c>
      <c r="G5397" t="str">
        <f>IFERROR(INDEX(Formulations[Formulation],MATCH($C5397,Formulations[Product Code],0)),"")</f>
        <v>Pure</v>
      </c>
    </row>
    <row r="5398" spans="1:7" x14ac:dyDescent="0.3">
      <c r="A5398" t="s">
        <v>2335</v>
      </c>
      <c r="B5398" t="s">
        <v>55</v>
      </c>
      <c r="D5398" s="7">
        <v>1</v>
      </c>
      <c r="E5398">
        <v>2021</v>
      </c>
      <c r="F5398">
        <v>2021</v>
      </c>
      <c r="G5398" t="str">
        <f>IFERROR(INDEX(Formulations[Formulation],MATCH($C5398,Formulations[Product Code],0)),"")</f>
        <v/>
      </c>
    </row>
    <row r="5399" spans="1:7" x14ac:dyDescent="0.3">
      <c r="A5399" t="s">
        <v>2346</v>
      </c>
      <c r="B5399" t="s">
        <v>34</v>
      </c>
      <c r="D5399" s="7">
        <v>1</v>
      </c>
      <c r="E5399">
        <v>2016</v>
      </c>
      <c r="F5399">
        <v>2016</v>
      </c>
      <c r="G5399" t="str">
        <f>IFERROR(INDEX(Formulations[Formulation],MATCH($C5399,Formulations[Product Code],0)),"")</f>
        <v/>
      </c>
    </row>
    <row r="5400" spans="1:7" x14ac:dyDescent="0.3">
      <c r="A5400" t="s">
        <v>2401</v>
      </c>
      <c r="B5400" t="s">
        <v>363</v>
      </c>
      <c r="C5400" t="s">
        <v>364</v>
      </c>
      <c r="D5400" s="7">
        <v>1</v>
      </c>
      <c r="E5400">
        <v>2015</v>
      </c>
      <c r="F5400">
        <v>2015</v>
      </c>
      <c r="G5400" t="str">
        <f>IFERROR(INDEX(Formulations[Formulation],MATCH($C5400,Formulations[Product Code],0)),"")</f>
        <v/>
      </c>
    </row>
    <row r="5401" spans="1:7" x14ac:dyDescent="0.3">
      <c r="A5401" t="s">
        <v>2411</v>
      </c>
      <c r="B5401" t="s">
        <v>64</v>
      </c>
      <c r="C5401" t="s">
        <v>65</v>
      </c>
      <c r="D5401" s="7">
        <v>1</v>
      </c>
      <c r="E5401">
        <v>2021</v>
      </c>
      <c r="F5401">
        <v>2021</v>
      </c>
      <c r="G5401" t="str">
        <f>IFERROR(INDEX(Formulations[Formulation],MATCH($C5401,Formulations[Product Code],0)),"")</f>
        <v>Crystal</v>
      </c>
    </row>
    <row r="5402" spans="1:7" x14ac:dyDescent="0.3">
      <c r="A5402" t="s">
        <v>2416</v>
      </c>
      <c r="B5402" t="s">
        <v>1094</v>
      </c>
      <c r="C5402" t="s">
        <v>209</v>
      </c>
      <c r="D5402" s="7">
        <v>1</v>
      </c>
      <c r="E5402">
        <v>2016</v>
      </c>
      <c r="F5402">
        <v>2016</v>
      </c>
      <c r="G5402" t="str">
        <f>IFERROR(INDEX(Formulations[Formulation],MATCH($C5402,Formulations[Product Code],0)),"")</f>
        <v/>
      </c>
    </row>
    <row r="5403" spans="1:7" x14ac:dyDescent="0.3">
      <c r="A5403" t="s">
        <v>2416</v>
      </c>
      <c r="B5403" t="s">
        <v>926</v>
      </c>
      <c r="C5403" t="s">
        <v>927</v>
      </c>
      <c r="D5403" s="7">
        <v>1</v>
      </c>
      <c r="E5403">
        <v>2016</v>
      </c>
      <c r="F5403">
        <v>2016</v>
      </c>
      <c r="G5403" t="str">
        <f>IFERROR(INDEX(Formulations[Formulation],MATCH($C5403,Formulations[Product Code],0)),"")</f>
        <v/>
      </c>
    </row>
    <row r="5404" spans="1:7" x14ac:dyDescent="0.3">
      <c r="A5404" t="s">
        <v>2416</v>
      </c>
      <c r="B5404" t="s">
        <v>1942</v>
      </c>
      <c r="C5404" t="s">
        <v>559</v>
      </c>
      <c r="D5404" s="7">
        <v>1</v>
      </c>
      <c r="E5404">
        <v>2016</v>
      </c>
      <c r="F5404">
        <v>2016</v>
      </c>
      <c r="G5404" t="str">
        <f>IFERROR(INDEX(Formulations[Formulation],MATCH($C5404,Formulations[Product Code],0)),"")</f>
        <v/>
      </c>
    </row>
    <row r="5405" spans="1:7" x14ac:dyDescent="0.3">
      <c r="A5405" t="s">
        <v>2416</v>
      </c>
      <c r="B5405" t="s">
        <v>2419</v>
      </c>
      <c r="C5405" t="s">
        <v>292</v>
      </c>
      <c r="D5405" s="7">
        <v>1</v>
      </c>
      <c r="E5405">
        <v>2016</v>
      </c>
      <c r="F5405">
        <v>2016</v>
      </c>
      <c r="G5405" t="str">
        <f>IFERROR(INDEX(Formulations[Formulation],MATCH($C5405,Formulations[Product Code],0)),"")</f>
        <v/>
      </c>
    </row>
    <row r="5406" spans="1:7" x14ac:dyDescent="0.3">
      <c r="A5406" t="s">
        <v>2416</v>
      </c>
      <c r="B5406" t="s">
        <v>288</v>
      </c>
      <c r="C5406" t="s">
        <v>289</v>
      </c>
      <c r="D5406" s="7">
        <v>1</v>
      </c>
      <c r="E5406">
        <v>2016</v>
      </c>
      <c r="F5406">
        <v>2016</v>
      </c>
      <c r="G5406" t="str">
        <f>IFERROR(INDEX(Formulations[Formulation],MATCH($C5406,Formulations[Product Code],0)),"")</f>
        <v>L1212 Blanc by Lacoste (M) CP19035 -  (60%l1212) creed silver mountain 40% than make gold</v>
      </c>
    </row>
    <row r="5407" spans="1:7" x14ac:dyDescent="0.3">
      <c r="A5407" t="s">
        <v>2416</v>
      </c>
      <c r="B5407" t="s">
        <v>140</v>
      </c>
      <c r="C5407" t="s">
        <v>141</v>
      </c>
      <c r="D5407" s="7">
        <v>1</v>
      </c>
      <c r="E5407">
        <v>2019</v>
      </c>
      <c r="F5407">
        <v>2019</v>
      </c>
      <c r="G5407" t="str">
        <f>IFERROR(INDEX(Formulations[Formulation],MATCH($C5407,Formulations[Product Code],0)),"")</f>
        <v/>
      </c>
    </row>
    <row r="5408" spans="1:7" x14ac:dyDescent="0.3">
      <c r="A5408" t="s">
        <v>2416</v>
      </c>
      <c r="B5408" t="s">
        <v>410</v>
      </c>
      <c r="C5408" t="s">
        <v>134</v>
      </c>
      <c r="D5408" s="7">
        <v>1</v>
      </c>
      <c r="E5408">
        <v>2019</v>
      </c>
      <c r="F5408">
        <v>2019</v>
      </c>
      <c r="G5408" t="str">
        <f>IFERROR(INDEX(Formulations[Formulation],MATCH($C5408,Formulations[Product Code],0)),"")</f>
        <v>Pure</v>
      </c>
    </row>
    <row r="5409" spans="1:7" x14ac:dyDescent="0.3">
      <c r="A5409" t="s">
        <v>2416</v>
      </c>
      <c r="B5409" t="s">
        <v>584</v>
      </c>
      <c r="C5409" t="s">
        <v>413</v>
      </c>
      <c r="D5409" s="7">
        <v>1</v>
      </c>
      <c r="E5409">
        <v>2018</v>
      </c>
      <c r="F5409">
        <v>2018</v>
      </c>
      <c r="G5409" t="str">
        <f>IFERROR(INDEX(Formulations[Formulation],MATCH($C5409,Formulations[Product Code],0)),"")</f>
        <v>40% oil &amp; 60 % DPG</v>
      </c>
    </row>
    <row r="5410" spans="1:7" x14ac:dyDescent="0.3">
      <c r="A5410" t="s">
        <v>2416</v>
      </c>
      <c r="B5410" t="s">
        <v>203</v>
      </c>
      <c r="C5410" t="s">
        <v>204</v>
      </c>
      <c r="D5410" s="7">
        <v>1</v>
      </c>
      <c r="E5410">
        <v>2016</v>
      </c>
      <c r="F5410">
        <v>2016</v>
      </c>
      <c r="G5410" t="str">
        <f>IFERROR(INDEX(Formulations[Formulation],MATCH($C5410,Formulations[Product Code],0)),"")</f>
        <v/>
      </c>
    </row>
    <row r="5411" spans="1:7" x14ac:dyDescent="0.3">
      <c r="A5411" t="s">
        <v>2423</v>
      </c>
      <c r="B5411" t="s">
        <v>82</v>
      </c>
      <c r="C5411" t="s">
        <v>83</v>
      </c>
      <c r="D5411" s="7">
        <v>1</v>
      </c>
      <c r="E5411">
        <v>2018</v>
      </c>
      <c r="F5411">
        <v>2018</v>
      </c>
      <c r="G5411" t="str">
        <f>IFERROR(INDEX(Formulations[Formulation],MATCH($C5411,Formulations[Product Code],0)),"")</f>
        <v>Pure</v>
      </c>
    </row>
    <row r="5412" spans="1:7" x14ac:dyDescent="0.3">
      <c r="A5412" t="s">
        <v>2423</v>
      </c>
      <c r="B5412" t="s">
        <v>552</v>
      </c>
      <c r="C5412" t="s">
        <v>245</v>
      </c>
      <c r="D5412" s="7">
        <v>1</v>
      </c>
      <c r="E5412">
        <v>2018</v>
      </c>
      <c r="F5412">
        <v>2018</v>
      </c>
      <c r="G5412" t="str">
        <f>IFERROR(INDEX(Formulations[Formulation],MATCH($C5412,Formulations[Product Code],0)),"")</f>
        <v>10% Oil</v>
      </c>
    </row>
    <row r="5413" spans="1:7" x14ac:dyDescent="0.3">
      <c r="A5413" t="s">
        <v>2423</v>
      </c>
      <c r="B5413" t="s">
        <v>1936</v>
      </c>
      <c r="C5413" t="s">
        <v>80</v>
      </c>
      <c r="D5413" s="7">
        <v>1</v>
      </c>
      <c r="E5413">
        <v>2019</v>
      </c>
      <c r="F5413">
        <v>2019</v>
      </c>
      <c r="G5413" t="str">
        <f>IFERROR(INDEX(Formulations[Formulation],MATCH($C5413,Formulations[Product Code],0)),"")</f>
        <v>Pure</v>
      </c>
    </row>
    <row r="5414" spans="1:7" x14ac:dyDescent="0.3">
      <c r="A5414" t="s">
        <v>2423</v>
      </c>
      <c r="B5414" t="s">
        <v>555</v>
      </c>
      <c r="C5414" t="s">
        <v>259</v>
      </c>
      <c r="D5414" s="7">
        <v>1</v>
      </c>
      <c r="E5414">
        <v>2017</v>
      </c>
      <c r="F5414">
        <v>2017</v>
      </c>
      <c r="G5414" t="str">
        <f>IFERROR(INDEX(Formulations[Formulation],MATCH($C5414,Formulations[Product Code],0)),"")</f>
        <v>Pure</v>
      </c>
    </row>
    <row r="5415" spans="1:7" x14ac:dyDescent="0.3">
      <c r="A5415" t="s">
        <v>2423</v>
      </c>
      <c r="B5415" t="s">
        <v>120</v>
      </c>
      <c r="C5415" t="s">
        <v>121</v>
      </c>
      <c r="D5415" s="7">
        <v>1</v>
      </c>
      <c r="E5415">
        <v>2018</v>
      </c>
      <c r="F5415">
        <v>2018</v>
      </c>
      <c r="G5415" t="str">
        <f>IFERROR(INDEX(Formulations[Formulation],MATCH($C5415,Formulations[Product Code],0)),"")</f>
        <v/>
      </c>
    </row>
    <row r="5416" spans="1:7" x14ac:dyDescent="0.3">
      <c r="A5416" t="s">
        <v>2423</v>
      </c>
      <c r="B5416" t="s">
        <v>323</v>
      </c>
      <c r="C5416" t="s">
        <v>324</v>
      </c>
      <c r="D5416" s="7">
        <v>1</v>
      </c>
      <c r="E5416">
        <v>2017</v>
      </c>
      <c r="F5416">
        <v>2017</v>
      </c>
      <c r="G5416" t="str">
        <f>IFERROR(INDEX(Formulations[Formulation],MATCH($C5416,Formulations[Product Code],0)),"")</f>
        <v>Pure</v>
      </c>
    </row>
    <row r="5417" spans="1:7" x14ac:dyDescent="0.3">
      <c r="A5417" t="s">
        <v>2424</v>
      </c>
      <c r="B5417" t="s">
        <v>446</v>
      </c>
      <c r="C5417" t="s">
        <v>447</v>
      </c>
      <c r="D5417" s="7">
        <v>1</v>
      </c>
      <c r="E5417">
        <v>2021</v>
      </c>
      <c r="F5417">
        <v>2021</v>
      </c>
      <c r="G5417" t="str">
        <f>IFERROR(INDEX(Formulations[Formulation],MATCH($C5417,Formulations[Product Code],0)),"")</f>
        <v>30% Key Oil</v>
      </c>
    </row>
    <row r="5418" spans="1:7" x14ac:dyDescent="0.3">
      <c r="A5418" t="s">
        <v>2428</v>
      </c>
      <c r="B5418" t="s">
        <v>581</v>
      </c>
      <c r="C5418" t="s">
        <v>582</v>
      </c>
      <c r="D5418" s="7">
        <v>1</v>
      </c>
      <c r="E5418">
        <v>2014</v>
      </c>
      <c r="F5418">
        <v>2014</v>
      </c>
      <c r="G5418" t="str">
        <f>IFERROR(INDEX(Formulations[Formulation],MATCH($C5418,Formulations[Product Code],0)),"")</f>
        <v/>
      </c>
    </row>
    <row r="5419" spans="1:7" x14ac:dyDescent="0.3">
      <c r="A5419" t="s">
        <v>2428</v>
      </c>
      <c r="B5419" t="s">
        <v>1946</v>
      </c>
      <c r="C5419" t="s">
        <v>1947</v>
      </c>
      <c r="D5419" s="7">
        <v>1</v>
      </c>
      <c r="E5419">
        <v>2018</v>
      </c>
      <c r="F5419">
        <v>2018</v>
      </c>
      <c r="G5419" t="str">
        <f>IFERROR(INDEX(Formulations[Formulation],MATCH($C5419,Formulations[Product Code],0)),"")</f>
        <v/>
      </c>
    </row>
    <row r="5420" spans="1:7" x14ac:dyDescent="0.3">
      <c r="A5420" t="s">
        <v>2428</v>
      </c>
      <c r="B5420" t="s">
        <v>2429</v>
      </c>
      <c r="C5420" t="s">
        <v>2430</v>
      </c>
      <c r="D5420" s="7">
        <v>1</v>
      </c>
      <c r="E5420">
        <v>2012</v>
      </c>
      <c r="F5420">
        <v>2012</v>
      </c>
      <c r="G5420" t="str">
        <f>IFERROR(INDEX(Formulations[Formulation],MATCH($C5420,Formulations[Product Code],0)),"")</f>
        <v/>
      </c>
    </row>
    <row r="5421" spans="1:7" x14ac:dyDescent="0.3">
      <c r="A5421" t="s">
        <v>2428</v>
      </c>
      <c r="B5421" t="s">
        <v>933</v>
      </c>
      <c r="C5421" t="s">
        <v>934</v>
      </c>
      <c r="D5421" s="7">
        <v>1</v>
      </c>
      <c r="E5421">
        <v>2017</v>
      </c>
      <c r="F5421">
        <v>2017</v>
      </c>
      <c r="G5421" t="str">
        <f>IFERROR(INDEX(Formulations[Formulation],MATCH($C5421,Formulations[Product Code],0)),"")</f>
        <v/>
      </c>
    </row>
    <row r="5422" spans="1:7" x14ac:dyDescent="0.3">
      <c r="A5422" t="s">
        <v>2435</v>
      </c>
      <c r="B5422" t="s">
        <v>19</v>
      </c>
      <c r="C5422" t="s">
        <v>699</v>
      </c>
      <c r="D5422" s="7">
        <v>1</v>
      </c>
      <c r="E5422">
        <v>2016</v>
      </c>
      <c r="F5422">
        <v>2016</v>
      </c>
      <c r="G5422" t="str">
        <f>IFERROR(INDEX(Formulations[Formulation],MATCH($C5422,Formulations[Product Code],0)),"")</f>
        <v/>
      </c>
    </row>
    <row r="5423" spans="1:7" x14ac:dyDescent="0.3">
      <c r="A5423" t="s">
        <v>2435</v>
      </c>
      <c r="B5423" t="s">
        <v>41</v>
      </c>
      <c r="C5423" t="s">
        <v>42</v>
      </c>
      <c r="D5423" s="7">
        <v>1</v>
      </c>
      <c r="E5423">
        <v>2016</v>
      </c>
      <c r="F5423">
        <v>2016</v>
      </c>
      <c r="G5423" t="str">
        <f>IFERROR(INDEX(Formulations[Formulation],MATCH($C5423,Formulations[Product Code],0)),"")</f>
        <v/>
      </c>
    </row>
    <row r="5424" spans="1:7" x14ac:dyDescent="0.3">
      <c r="A5424" t="s">
        <v>2435</v>
      </c>
      <c r="B5424" t="s">
        <v>995</v>
      </c>
      <c r="C5424" t="s">
        <v>672</v>
      </c>
      <c r="D5424" s="7">
        <v>1</v>
      </c>
      <c r="E5424">
        <v>2017</v>
      </c>
      <c r="F5424">
        <v>2017</v>
      </c>
      <c r="G5424" t="str">
        <f>IFERROR(INDEX(Formulations[Formulation],MATCH($C5424,Formulations[Product Code],0)),"")</f>
        <v>Pure</v>
      </c>
    </row>
    <row r="5425" spans="1:7" x14ac:dyDescent="0.3">
      <c r="A5425" t="s">
        <v>2441</v>
      </c>
      <c r="B5425" t="s">
        <v>101</v>
      </c>
      <c r="C5425" t="s">
        <v>102</v>
      </c>
      <c r="D5425" s="7">
        <v>1</v>
      </c>
      <c r="E5425">
        <v>2019</v>
      </c>
      <c r="F5425">
        <v>2019</v>
      </c>
      <c r="G5425" t="str">
        <f>IFERROR(INDEX(Formulations[Formulation],MATCH($C5425,Formulations[Product Code],0)),"")</f>
        <v>Gold</v>
      </c>
    </row>
    <row r="5426" spans="1:7" x14ac:dyDescent="0.3">
      <c r="A5426" t="s">
        <v>2447</v>
      </c>
      <c r="B5426" t="s">
        <v>623</v>
      </c>
      <c r="C5426" t="s">
        <v>324</v>
      </c>
      <c r="D5426" s="7">
        <v>1</v>
      </c>
      <c r="E5426">
        <v>2019</v>
      </c>
      <c r="F5426">
        <v>2019</v>
      </c>
      <c r="G5426" t="str">
        <f>IFERROR(INDEX(Formulations[Formulation],MATCH($C5426,Formulations[Product Code],0)),"")</f>
        <v>Pure</v>
      </c>
    </row>
    <row r="5427" spans="1:7" x14ac:dyDescent="0.3">
      <c r="A5427" t="s">
        <v>2447</v>
      </c>
      <c r="B5427" t="s">
        <v>174</v>
      </c>
      <c r="C5427" t="s">
        <v>175</v>
      </c>
      <c r="D5427" s="7">
        <v>1</v>
      </c>
      <c r="E5427">
        <v>2019</v>
      </c>
      <c r="F5427">
        <v>2019</v>
      </c>
      <c r="G5427" t="str">
        <f>IFERROR(INDEX(Formulations[Formulation],MATCH($C5427,Formulations[Product Code],0)),"")</f>
        <v/>
      </c>
    </row>
    <row r="5428" spans="1:7" x14ac:dyDescent="0.3">
      <c r="A5428" t="s">
        <v>2447</v>
      </c>
      <c r="B5428" t="s">
        <v>1246</v>
      </c>
      <c r="C5428" t="s">
        <v>927</v>
      </c>
      <c r="D5428" s="7">
        <v>1</v>
      </c>
      <c r="E5428">
        <v>2019</v>
      </c>
      <c r="F5428">
        <v>2019</v>
      </c>
      <c r="G5428" t="str">
        <f>IFERROR(INDEX(Formulations[Formulation],MATCH($C5428,Formulations[Product Code],0)),"")</f>
        <v/>
      </c>
    </row>
    <row r="5429" spans="1:7" x14ac:dyDescent="0.3">
      <c r="A5429" t="s">
        <v>2447</v>
      </c>
      <c r="B5429" t="s">
        <v>1001</v>
      </c>
      <c r="C5429" t="s">
        <v>789</v>
      </c>
      <c r="D5429" s="7">
        <v>1</v>
      </c>
      <c r="E5429">
        <v>2019</v>
      </c>
      <c r="F5429">
        <v>2019</v>
      </c>
      <c r="G5429" t="str">
        <f>IFERROR(INDEX(Formulations[Formulation],MATCH($C5429,Formulations[Product Code],0)),"")</f>
        <v>Pure</v>
      </c>
    </row>
    <row r="5430" spans="1:7" x14ac:dyDescent="0.3">
      <c r="A5430" t="s">
        <v>2447</v>
      </c>
      <c r="B5430" t="s">
        <v>206</v>
      </c>
      <c r="C5430" t="s">
        <v>207</v>
      </c>
      <c r="D5430" s="7">
        <v>1</v>
      </c>
      <c r="E5430">
        <v>2019</v>
      </c>
      <c r="F5430">
        <v>2019</v>
      </c>
      <c r="G5430" t="str">
        <f>IFERROR(INDEX(Formulations[Formulation],MATCH($C5430,Formulations[Product Code],0)),"")</f>
        <v/>
      </c>
    </row>
    <row r="5431" spans="1:7" x14ac:dyDescent="0.3">
      <c r="A5431" t="s">
        <v>2447</v>
      </c>
      <c r="B5431" t="s">
        <v>2448</v>
      </c>
      <c r="C5431" t="s">
        <v>191</v>
      </c>
      <c r="D5431" s="7">
        <v>1</v>
      </c>
      <c r="E5431">
        <v>2019</v>
      </c>
      <c r="F5431">
        <v>2019</v>
      </c>
      <c r="G5431" t="str">
        <f>IFERROR(INDEX(Formulations[Formulation],MATCH($C5431,Formulations[Product Code],0)),"")</f>
        <v>Pure</v>
      </c>
    </row>
    <row r="5432" spans="1:7" x14ac:dyDescent="0.3">
      <c r="A5432" t="s">
        <v>2447</v>
      </c>
      <c r="B5432" t="s">
        <v>1935</v>
      </c>
      <c r="C5432" t="s">
        <v>254</v>
      </c>
      <c r="D5432" s="7">
        <v>1</v>
      </c>
      <c r="E5432">
        <v>2019</v>
      </c>
      <c r="F5432">
        <v>2019</v>
      </c>
      <c r="G5432" t="str">
        <f>IFERROR(INDEX(Formulations[Formulation],MATCH($C5432,Formulations[Product Code],0)),"")</f>
        <v>6kg oil and 19kg DPG</v>
      </c>
    </row>
    <row r="5433" spans="1:7" x14ac:dyDescent="0.3">
      <c r="A5433" t="s">
        <v>2447</v>
      </c>
      <c r="B5433" t="s">
        <v>2449</v>
      </c>
      <c r="C5433" t="s">
        <v>256</v>
      </c>
      <c r="D5433" s="7">
        <v>1</v>
      </c>
      <c r="E5433">
        <v>2019</v>
      </c>
      <c r="F5433">
        <v>2019</v>
      </c>
      <c r="G5433" t="str">
        <f>IFERROR(INDEX(Formulations[Formulation],MATCH($C5433,Formulations[Product Code],0)),"")</f>
        <v/>
      </c>
    </row>
    <row r="5434" spans="1:7" x14ac:dyDescent="0.3">
      <c r="A5434" t="s">
        <v>2447</v>
      </c>
      <c r="B5434" t="s">
        <v>1418</v>
      </c>
      <c r="C5434" t="s">
        <v>224</v>
      </c>
      <c r="D5434" s="7">
        <v>1</v>
      </c>
      <c r="E5434">
        <v>2019</v>
      </c>
      <c r="F5434">
        <v>2019</v>
      </c>
      <c r="G5434" t="str">
        <f>IFERROR(INDEX(Formulations[Formulation],MATCH($C5434,Formulations[Product Code],0)),"")</f>
        <v/>
      </c>
    </row>
    <row r="5435" spans="1:7" x14ac:dyDescent="0.3">
      <c r="A5435" t="s">
        <v>2447</v>
      </c>
      <c r="B5435" t="s">
        <v>1421</v>
      </c>
      <c r="C5435" t="s">
        <v>98</v>
      </c>
      <c r="D5435" s="7">
        <v>1</v>
      </c>
      <c r="E5435">
        <v>2019</v>
      </c>
      <c r="F5435">
        <v>2019</v>
      </c>
      <c r="G5435" t="str">
        <f>IFERROR(INDEX(Formulations[Formulation],MATCH($C5435,Formulations[Product Code],0)),"")</f>
        <v/>
      </c>
    </row>
    <row r="5436" spans="1:7" x14ac:dyDescent="0.3">
      <c r="A5436" t="s">
        <v>2447</v>
      </c>
      <c r="B5436" t="s">
        <v>210</v>
      </c>
      <c r="C5436" t="s">
        <v>61</v>
      </c>
      <c r="D5436" s="7">
        <v>1</v>
      </c>
      <c r="E5436">
        <v>2019</v>
      </c>
      <c r="F5436">
        <v>2019</v>
      </c>
      <c r="G5436" t="str">
        <f>IFERROR(INDEX(Formulations[Formulation],MATCH($C5436,Formulations[Product Code],0)),"")</f>
        <v>Pure</v>
      </c>
    </row>
    <row r="5437" spans="1:7" x14ac:dyDescent="0.3">
      <c r="A5437" t="s">
        <v>2447</v>
      </c>
      <c r="B5437" t="s">
        <v>2022</v>
      </c>
      <c r="C5437" t="s">
        <v>515</v>
      </c>
      <c r="D5437" s="7">
        <v>1</v>
      </c>
      <c r="E5437">
        <v>2019</v>
      </c>
      <c r="F5437">
        <v>2019</v>
      </c>
      <c r="G5437" t="str">
        <f>IFERROR(INDEX(Formulations[Formulation],MATCH($C5437,Formulations[Product Code],0)),"")</f>
        <v>Crystal</v>
      </c>
    </row>
    <row r="5438" spans="1:7" x14ac:dyDescent="0.3">
      <c r="A5438" t="s">
        <v>2447</v>
      </c>
      <c r="B5438" t="s">
        <v>297</v>
      </c>
      <c r="C5438" t="s">
        <v>298</v>
      </c>
      <c r="D5438" s="7">
        <v>1</v>
      </c>
      <c r="E5438">
        <v>2019</v>
      </c>
      <c r="F5438">
        <v>2019</v>
      </c>
      <c r="G5438" t="str">
        <f>IFERROR(INDEX(Formulations[Formulation],MATCH($C5438,Formulations[Product Code],0)),"")</f>
        <v>Pure</v>
      </c>
    </row>
    <row r="5439" spans="1:7" x14ac:dyDescent="0.3">
      <c r="A5439" t="s">
        <v>2447</v>
      </c>
      <c r="B5439" t="s">
        <v>931</v>
      </c>
      <c r="C5439" t="s">
        <v>160</v>
      </c>
      <c r="D5439" s="7">
        <v>1</v>
      </c>
      <c r="E5439">
        <v>2019</v>
      </c>
      <c r="F5439">
        <v>2019</v>
      </c>
      <c r="G5439" t="str">
        <f>IFERROR(INDEX(Formulations[Formulation],MATCH($C5439,Formulations[Product Code],0)),"")</f>
        <v>Silver</v>
      </c>
    </row>
    <row r="5440" spans="1:7" x14ac:dyDescent="0.3">
      <c r="A5440" t="s">
        <v>2447</v>
      </c>
      <c r="B5440" t="s">
        <v>211</v>
      </c>
      <c r="C5440" t="s">
        <v>212</v>
      </c>
      <c r="D5440" s="7">
        <v>1</v>
      </c>
      <c r="E5440">
        <v>2019</v>
      </c>
      <c r="F5440">
        <v>2019</v>
      </c>
      <c r="G5440" t="str">
        <f>IFERROR(INDEX(Formulations[Formulation],MATCH($C5440,Formulations[Product Code],0)),"")</f>
        <v>Pure</v>
      </c>
    </row>
    <row r="5441" spans="1:7" x14ac:dyDescent="0.3">
      <c r="A5441" t="s">
        <v>2447</v>
      </c>
      <c r="B5441" t="s">
        <v>1425</v>
      </c>
      <c r="C5441" t="s">
        <v>212</v>
      </c>
      <c r="D5441" s="7">
        <v>1</v>
      </c>
      <c r="E5441">
        <v>2019</v>
      </c>
      <c r="F5441">
        <v>2019</v>
      </c>
      <c r="G5441" t="str">
        <f>IFERROR(INDEX(Formulations[Formulation],MATCH($C5441,Formulations[Product Code],0)),"")</f>
        <v>Pure</v>
      </c>
    </row>
    <row r="5442" spans="1:7" x14ac:dyDescent="0.3">
      <c r="A5442" t="s">
        <v>2447</v>
      </c>
      <c r="B5442" t="s">
        <v>467</v>
      </c>
      <c r="C5442" t="s">
        <v>468</v>
      </c>
      <c r="D5442" s="7">
        <v>1</v>
      </c>
      <c r="E5442">
        <v>2019</v>
      </c>
      <c r="F5442">
        <v>2019</v>
      </c>
      <c r="G5442" t="str">
        <f>IFERROR(INDEX(Formulations[Formulation],MATCH($C5442,Formulations[Product Code],0)),"")</f>
        <v>Crystal</v>
      </c>
    </row>
    <row r="5443" spans="1:7" x14ac:dyDescent="0.3">
      <c r="A5443" t="s">
        <v>2447</v>
      </c>
      <c r="B5443" t="s">
        <v>1929</v>
      </c>
      <c r="C5443" t="s">
        <v>113</v>
      </c>
      <c r="D5443" s="7">
        <v>1</v>
      </c>
      <c r="E5443">
        <v>2019</v>
      </c>
      <c r="F5443">
        <v>2019</v>
      </c>
      <c r="G5443" t="str">
        <f>IFERROR(INDEX(Formulations[Formulation],MATCH($C5443,Formulations[Product Code],0)),"")</f>
        <v/>
      </c>
    </row>
    <row r="5444" spans="1:7" x14ac:dyDescent="0.3">
      <c r="A5444" t="s">
        <v>2447</v>
      </c>
      <c r="B5444" t="s">
        <v>120</v>
      </c>
      <c r="C5444" t="s">
        <v>121</v>
      </c>
      <c r="D5444" s="7">
        <v>1</v>
      </c>
      <c r="E5444">
        <v>2019</v>
      </c>
      <c r="F5444">
        <v>2019</v>
      </c>
      <c r="G5444" t="str">
        <f>IFERROR(INDEX(Formulations[Formulation],MATCH($C5444,Formulations[Product Code],0)),"")</f>
        <v/>
      </c>
    </row>
    <row r="5445" spans="1:7" x14ac:dyDescent="0.3">
      <c r="A5445" t="s">
        <v>2447</v>
      </c>
      <c r="B5445" t="s">
        <v>653</v>
      </c>
      <c r="C5445" t="s">
        <v>654</v>
      </c>
      <c r="D5445" s="7">
        <v>1</v>
      </c>
      <c r="E5445">
        <v>2019</v>
      </c>
      <c r="F5445">
        <v>2019</v>
      </c>
      <c r="G5445" t="str">
        <f>IFERROR(INDEX(Formulations[Formulation],MATCH($C5445,Formulations[Product Code],0)),"")</f>
        <v>Pure</v>
      </c>
    </row>
    <row r="5446" spans="1:7" x14ac:dyDescent="0.3">
      <c r="A5446" t="s">
        <v>2447</v>
      </c>
      <c r="B5446" t="s">
        <v>518</v>
      </c>
      <c r="C5446" t="s">
        <v>519</v>
      </c>
      <c r="D5446" s="7">
        <v>1</v>
      </c>
      <c r="E5446">
        <v>2019</v>
      </c>
      <c r="F5446">
        <v>2019</v>
      </c>
      <c r="G5446" t="str">
        <f>IFERROR(INDEX(Formulations[Formulation],MATCH($C5446,Formulations[Product Code],0)),"")</f>
        <v>Pure</v>
      </c>
    </row>
    <row r="5447" spans="1:7" x14ac:dyDescent="0.3">
      <c r="A5447" t="s">
        <v>2447</v>
      </c>
      <c r="B5447" t="s">
        <v>655</v>
      </c>
      <c r="C5447" t="s">
        <v>397</v>
      </c>
      <c r="D5447" s="7">
        <v>1</v>
      </c>
      <c r="E5447">
        <v>2019</v>
      </c>
      <c r="F5447">
        <v>2019</v>
      </c>
      <c r="G5447" t="str">
        <f>IFERROR(INDEX(Formulations[Formulation],MATCH($C5447,Formulations[Product Code],0)),"")</f>
        <v/>
      </c>
    </row>
    <row r="5448" spans="1:7" x14ac:dyDescent="0.3">
      <c r="A5448" t="s">
        <v>2447</v>
      </c>
      <c r="B5448" t="s">
        <v>674</v>
      </c>
      <c r="C5448" t="s">
        <v>675</v>
      </c>
      <c r="D5448" s="7">
        <v>1</v>
      </c>
      <c r="E5448">
        <v>2019</v>
      </c>
      <c r="F5448">
        <v>2019</v>
      </c>
      <c r="G5448" t="str">
        <f>IFERROR(INDEX(Formulations[Formulation],MATCH($C5448,Formulations[Product Code],0)),"")</f>
        <v>Crystal</v>
      </c>
    </row>
    <row r="5449" spans="1:7" x14ac:dyDescent="0.3">
      <c r="A5449" t="s">
        <v>2447</v>
      </c>
      <c r="B5449" t="s">
        <v>46</v>
      </c>
      <c r="C5449" t="s">
        <v>47</v>
      </c>
      <c r="D5449" s="7">
        <v>1</v>
      </c>
      <c r="E5449">
        <v>2019</v>
      </c>
      <c r="F5449">
        <v>2019</v>
      </c>
      <c r="G5449" t="str">
        <f>IFERROR(INDEX(Formulations[Formulation],MATCH($C5449,Formulations[Product Code],0)),"")</f>
        <v/>
      </c>
    </row>
    <row r="5450" spans="1:7" x14ac:dyDescent="0.3">
      <c r="A5450" t="s">
        <v>2467</v>
      </c>
      <c r="B5450" t="s">
        <v>1408</v>
      </c>
      <c r="D5450" s="7">
        <v>1</v>
      </c>
      <c r="E5450">
        <v>2021</v>
      </c>
      <c r="F5450">
        <v>2021</v>
      </c>
      <c r="G5450" t="str">
        <f>IFERROR(INDEX(Formulations[Formulation],MATCH($C5450,Formulations[Product Code],0)),"")</f>
        <v/>
      </c>
    </row>
    <row r="5451" spans="1:7" x14ac:dyDescent="0.3">
      <c r="A5451" t="s">
        <v>2467</v>
      </c>
      <c r="B5451" t="s">
        <v>84</v>
      </c>
      <c r="C5451" t="s">
        <v>85</v>
      </c>
      <c r="D5451" s="7">
        <v>1</v>
      </c>
      <c r="E5451">
        <v>2021</v>
      </c>
      <c r="F5451">
        <v>2021</v>
      </c>
      <c r="G5451" t="str">
        <f>IFERROR(INDEX(Formulations[Formulation],MATCH($C5451,Formulations[Product Code],0)),"")</f>
        <v>Pure</v>
      </c>
    </row>
    <row r="5452" spans="1:7" x14ac:dyDescent="0.3">
      <c r="A5452" t="s">
        <v>2467</v>
      </c>
      <c r="B5452" t="s">
        <v>586</v>
      </c>
      <c r="C5452" t="s">
        <v>587</v>
      </c>
      <c r="D5452" s="7">
        <v>1</v>
      </c>
      <c r="E5452">
        <v>2021</v>
      </c>
      <c r="F5452">
        <v>2021</v>
      </c>
      <c r="G5452" t="str">
        <f>IFERROR(INDEX(Formulations[Formulation],MATCH($C5452,Formulations[Product Code],0)),"")</f>
        <v>Pure</v>
      </c>
    </row>
    <row r="5453" spans="1:7" x14ac:dyDescent="0.3">
      <c r="A5453" t="s">
        <v>2467</v>
      </c>
      <c r="B5453" t="s">
        <v>55</v>
      </c>
      <c r="D5453" s="7">
        <v>1</v>
      </c>
      <c r="E5453">
        <v>2021</v>
      </c>
      <c r="F5453">
        <v>2021</v>
      </c>
      <c r="G5453" t="str">
        <f>IFERROR(INDEX(Formulations[Formulation],MATCH($C5453,Formulations[Product Code],0)),"")</f>
        <v/>
      </c>
    </row>
    <row r="5454" spans="1:7" x14ac:dyDescent="0.3">
      <c r="A5454" t="s">
        <v>2467</v>
      </c>
      <c r="B5454" t="s">
        <v>819</v>
      </c>
      <c r="C5454" t="s">
        <v>220</v>
      </c>
      <c r="D5454" s="7">
        <v>1</v>
      </c>
      <c r="E5454">
        <v>2021</v>
      </c>
      <c r="F5454">
        <v>2021</v>
      </c>
      <c r="G5454" t="str">
        <f>IFERROR(INDEX(Formulations[Formulation],MATCH($C5454,Formulations[Product Code],0)),"")</f>
        <v/>
      </c>
    </row>
    <row r="5455" spans="1:7" x14ac:dyDescent="0.3">
      <c r="A5455" t="s">
        <v>2467</v>
      </c>
      <c r="B5455" t="s">
        <v>723</v>
      </c>
      <c r="C5455" t="s">
        <v>724</v>
      </c>
      <c r="D5455" s="7">
        <v>1</v>
      </c>
      <c r="E5455">
        <v>2021</v>
      </c>
      <c r="F5455">
        <v>2021</v>
      </c>
      <c r="G5455" t="str">
        <f>IFERROR(INDEX(Formulations[Formulation],MATCH($C5455,Formulations[Product Code],0)),"")</f>
        <v>Crystal</v>
      </c>
    </row>
    <row r="5456" spans="1:7" x14ac:dyDescent="0.3">
      <c r="A5456" t="s">
        <v>2467</v>
      </c>
      <c r="B5456" t="s">
        <v>244</v>
      </c>
      <c r="C5456" t="s">
        <v>245</v>
      </c>
      <c r="D5456" s="7">
        <v>1</v>
      </c>
      <c r="E5456">
        <v>2021</v>
      </c>
      <c r="F5456">
        <v>2021</v>
      </c>
      <c r="G5456" t="str">
        <f>IFERROR(INDEX(Formulations[Formulation],MATCH($C5456,Formulations[Product Code],0)),"")</f>
        <v>10% Oil</v>
      </c>
    </row>
    <row r="5457" spans="1:7" x14ac:dyDescent="0.3">
      <c r="A5457" t="s">
        <v>2467</v>
      </c>
      <c r="B5457" t="s">
        <v>88</v>
      </c>
      <c r="C5457" t="s">
        <v>89</v>
      </c>
      <c r="D5457" s="7">
        <v>1</v>
      </c>
      <c r="E5457">
        <v>2021</v>
      </c>
      <c r="F5457">
        <v>2021</v>
      </c>
      <c r="G5457" t="str">
        <f>IFERROR(INDEX(Formulations[Formulation],MATCH($C5457,Formulations[Product Code],0)),"")</f>
        <v>Pure</v>
      </c>
    </row>
    <row r="5458" spans="1:7" x14ac:dyDescent="0.3">
      <c r="A5458" t="s">
        <v>2467</v>
      </c>
      <c r="B5458" t="s">
        <v>1410</v>
      </c>
      <c r="C5458" t="s">
        <v>1411</v>
      </c>
      <c r="D5458" s="7">
        <v>1</v>
      </c>
      <c r="E5458">
        <v>2021</v>
      </c>
      <c r="F5458">
        <v>2021</v>
      </c>
      <c r="G5458" t="str">
        <f>IFERROR(INDEX(Formulations[Formulation],MATCH($C5458,Formulations[Product Code],0)),"")</f>
        <v>Pure</v>
      </c>
    </row>
    <row r="5459" spans="1:7" x14ac:dyDescent="0.3">
      <c r="A5459" t="s">
        <v>2467</v>
      </c>
      <c r="B5459" t="s">
        <v>1133</v>
      </c>
      <c r="C5459" t="s">
        <v>1134</v>
      </c>
      <c r="D5459" s="7">
        <v>1</v>
      </c>
      <c r="E5459">
        <v>2021</v>
      </c>
      <c r="F5459">
        <v>2021</v>
      </c>
      <c r="G5459" t="str">
        <f>IFERROR(INDEX(Formulations[Formulation],MATCH($C5459,Formulations[Product Code],0)),"")</f>
        <v/>
      </c>
    </row>
    <row r="5460" spans="1:7" x14ac:dyDescent="0.3">
      <c r="A5460" t="s">
        <v>2467</v>
      </c>
      <c r="B5460" t="s">
        <v>1949</v>
      </c>
      <c r="D5460" s="7">
        <v>1</v>
      </c>
      <c r="E5460">
        <v>2021</v>
      </c>
      <c r="F5460">
        <v>2021</v>
      </c>
      <c r="G5460" t="str">
        <f>IFERROR(INDEX(Formulations[Formulation],MATCH($C5460,Formulations[Product Code],0)),"")</f>
        <v/>
      </c>
    </row>
    <row r="5461" spans="1:7" x14ac:dyDescent="0.3">
      <c r="A5461" t="s">
        <v>2467</v>
      </c>
      <c r="B5461" t="s">
        <v>2164</v>
      </c>
      <c r="C5461" t="s">
        <v>2165</v>
      </c>
      <c r="D5461" s="7">
        <v>1</v>
      </c>
      <c r="E5461">
        <v>2021</v>
      </c>
      <c r="F5461">
        <v>2021</v>
      </c>
      <c r="G5461" t="str">
        <f>IFERROR(INDEX(Formulations[Formulation],MATCH($C5461,Formulations[Product Code],0)),"")</f>
        <v>Silver</v>
      </c>
    </row>
    <row r="5462" spans="1:7" x14ac:dyDescent="0.3">
      <c r="A5462" t="s">
        <v>2467</v>
      </c>
      <c r="B5462" t="s">
        <v>516</v>
      </c>
      <c r="D5462" s="7">
        <v>1</v>
      </c>
      <c r="E5462">
        <v>2021</v>
      </c>
      <c r="F5462">
        <v>2021</v>
      </c>
      <c r="G5462" t="str">
        <f>IFERROR(INDEX(Formulations[Formulation],MATCH($C5462,Formulations[Product Code],0)),"")</f>
        <v/>
      </c>
    </row>
    <row r="5463" spans="1:7" x14ac:dyDescent="0.3">
      <c r="A5463" t="s">
        <v>2467</v>
      </c>
      <c r="B5463" t="s">
        <v>597</v>
      </c>
      <c r="C5463" t="s">
        <v>598</v>
      </c>
      <c r="D5463" s="7">
        <v>1</v>
      </c>
      <c r="E5463">
        <v>2021</v>
      </c>
      <c r="F5463">
        <v>2021</v>
      </c>
      <c r="G5463" t="str">
        <f>IFERROR(INDEX(Formulations[Formulation],MATCH($C5463,Formulations[Product Code],0)),"")</f>
        <v>Silver</v>
      </c>
    </row>
    <row r="5464" spans="1:7" x14ac:dyDescent="0.3">
      <c r="A5464" t="s">
        <v>2467</v>
      </c>
      <c r="B5464" t="s">
        <v>1138</v>
      </c>
      <c r="D5464" s="7">
        <v>1</v>
      </c>
      <c r="E5464">
        <v>2021</v>
      </c>
      <c r="F5464">
        <v>2021</v>
      </c>
      <c r="G5464" t="str">
        <f>IFERROR(INDEX(Formulations[Formulation],MATCH($C5464,Formulations[Product Code],0)),"")</f>
        <v/>
      </c>
    </row>
    <row r="5465" spans="1:7" x14ac:dyDescent="0.3">
      <c r="A5465" t="s">
        <v>2467</v>
      </c>
      <c r="B5465" t="s">
        <v>402</v>
      </c>
      <c r="C5465" t="s">
        <v>403</v>
      </c>
      <c r="D5465" s="7">
        <v>1</v>
      </c>
      <c r="E5465">
        <v>2021</v>
      </c>
      <c r="F5465">
        <v>2021</v>
      </c>
      <c r="G5465" t="str">
        <f>IFERROR(INDEX(Formulations[Formulation],MATCH($C5465,Formulations[Product Code],0)),"")</f>
        <v>15 % oil and 85% dpg</v>
      </c>
    </row>
    <row r="5466" spans="1:7" x14ac:dyDescent="0.3">
      <c r="A5466" t="s">
        <v>2467</v>
      </c>
      <c r="B5466" t="s">
        <v>189</v>
      </c>
      <c r="D5466" s="7">
        <v>1</v>
      </c>
      <c r="E5466">
        <v>2021</v>
      </c>
      <c r="F5466">
        <v>2021</v>
      </c>
      <c r="G5466" t="str">
        <f>IFERROR(INDEX(Formulations[Formulation],MATCH($C5466,Formulations[Product Code],0)),"")</f>
        <v/>
      </c>
    </row>
    <row r="5467" spans="1:7" x14ac:dyDescent="0.3">
      <c r="A5467" t="s">
        <v>2467</v>
      </c>
      <c r="B5467" t="s">
        <v>408</v>
      </c>
      <c r="D5467" s="7">
        <v>1</v>
      </c>
      <c r="E5467">
        <v>2021</v>
      </c>
      <c r="F5467">
        <v>2021</v>
      </c>
      <c r="G5467" t="str">
        <f>IFERROR(INDEX(Formulations[Formulation],MATCH($C5467,Formulations[Product Code],0)),"")</f>
        <v/>
      </c>
    </row>
    <row r="5468" spans="1:7" x14ac:dyDescent="0.3">
      <c r="A5468" t="s">
        <v>2467</v>
      </c>
      <c r="B5468" t="s">
        <v>263</v>
      </c>
      <c r="C5468" t="s">
        <v>264</v>
      </c>
      <c r="D5468" s="7">
        <v>1</v>
      </c>
      <c r="E5468">
        <v>2021</v>
      </c>
      <c r="F5468">
        <v>2021</v>
      </c>
      <c r="G5468" t="str">
        <f>IFERROR(INDEX(Formulations[Formulation],MATCH($C5468,Formulations[Product Code],0)),"")</f>
        <v>Silver</v>
      </c>
    </row>
    <row r="5469" spans="1:7" x14ac:dyDescent="0.3">
      <c r="A5469" t="s">
        <v>2467</v>
      </c>
      <c r="B5469" t="s">
        <v>1405</v>
      </c>
      <c r="C5469" t="s">
        <v>1406</v>
      </c>
      <c r="D5469" s="7">
        <v>1</v>
      </c>
      <c r="E5469">
        <v>2021</v>
      </c>
      <c r="F5469">
        <v>2021</v>
      </c>
      <c r="G5469" t="str">
        <f>IFERROR(INDEX(Formulations[Formulation],MATCH($C5469,Formulations[Product Code],0)),"")</f>
        <v>Silver</v>
      </c>
    </row>
    <row r="5470" spans="1:7" x14ac:dyDescent="0.3">
      <c r="A5470" t="s">
        <v>2467</v>
      </c>
      <c r="B5470" t="s">
        <v>604</v>
      </c>
      <c r="C5470" t="s">
        <v>605</v>
      </c>
      <c r="D5470" s="7">
        <v>1</v>
      </c>
      <c r="E5470">
        <v>2021</v>
      </c>
      <c r="F5470">
        <v>2021</v>
      </c>
      <c r="G5470" t="str">
        <f>IFERROR(INDEX(Formulations[Formulation],MATCH($C5470,Formulations[Product Code],0)),"")</f>
        <v>60 % Oil &amp; 40 % DPG</v>
      </c>
    </row>
    <row r="5471" spans="1:7" x14ac:dyDescent="0.3">
      <c r="A5471" t="s">
        <v>2469</v>
      </c>
      <c r="B5471" t="s">
        <v>251</v>
      </c>
      <c r="C5471" t="s">
        <v>207</v>
      </c>
      <c r="D5471" s="7">
        <v>1</v>
      </c>
      <c r="E5471">
        <v>2019</v>
      </c>
      <c r="F5471">
        <v>2019</v>
      </c>
      <c r="G5471" t="str">
        <f>IFERROR(INDEX(Formulations[Formulation],MATCH($C5471,Formulations[Product Code],0)),"")</f>
        <v/>
      </c>
    </row>
    <row r="5472" spans="1:7" x14ac:dyDescent="0.3">
      <c r="A5472" t="s">
        <v>2469</v>
      </c>
      <c r="B5472" t="s">
        <v>19</v>
      </c>
      <c r="C5472" t="s">
        <v>20</v>
      </c>
      <c r="D5472" s="7">
        <v>1</v>
      </c>
      <c r="E5472">
        <v>2019</v>
      </c>
      <c r="F5472">
        <v>2019</v>
      </c>
      <c r="G5472" t="str">
        <f>IFERROR(INDEX(Formulations[Formulation],MATCH($C5472,Formulations[Product Code],0)),"")</f>
        <v>80 % Oil AND 20 % DPG</v>
      </c>
    </row>
    <row r="5473" spans="1:7" x14ac:dyDescent="0.3">
      <c r="A5473" t="s">
        <v>2469</v>
      </c>
      <c r="B5473" t="s">
        <v>543</v>
      </c>
      <c r="C5473" t="s">
        <v>544</v>
      </c>
      <c r="D5473" s="7">
        <v>1</v>
      </c>
      <c r="E5473">
        <v>2019</v>
      </c>
      <c r="F5473">
        <v>2019</v>
      </c>
      <c r="G5473" t="str">
        <f>IFERROR(INDEX(Formulations[Formulation],MATCH($C5473,Formulations[Product Code],0)),"")</f>
        <v>Crystal</v>
      </c>
    </row>
    <row r="5474" spans="1:7" x14ac:dyDescent="0.3">
      <c r="A5474" t="s">
        <v>2469</v>
      </c>
      <c r="B5474" t="s">
        <v>575</v>
      </c>
      <c r="C5474" t="s">
        <v>673</v>
      </c>
      <c r="D5474" s="7">
        <v>1</v>
      </c>
      <c r="E5474">
        <v>2019</v>
      </c>
      <c r="F5474">
        <v>2019</v>
      </c>
      <c r="G5474" t="str">
        <f>IFERROR(INDEX(Formulations[Formulation],MATCH($C5474,Formulations[Product Code],0)),"")</f>
        <v>Apricot 60 % oil and 40 % dpg</v>
      </c>
    </row>
    <row r="5475" spans="1:7" x14ac:dyDescent="0.3">
      <c r="A5475" t="s">
        <v>2471</v>
      </c>
      <c r="B5475" t="s">
        <v>453</v>
      </c>
      <c r="D5475" s="7">
        <v>1</v>
      </c>
      <c r="E5475">
        <v>2020</v>
      </c>
      <c r="F5475">
        <v>2020</v>
      </c>
      <c r="G5475" t="str">
        <f>IFERROR(INDEX(Formulations[Formulation],MATCH($C5475,Formulations[Product Code],0)),"")</f>
        <v/>
      </c>
    </row>
    <row r="5476" spans="1:7" x14ac:dyDescent="0.3">
      <c r="A5476" t="s">
        <v>2471</v>
      </c>
      <c r="B5476" t="s">
        <v>36</v>
      </c>
      <c r="D5476" s="7">
        <v>1</v>
      </c>
      <c r="E5476">
        <v>2020</v>
      </c>
      <c r="F5476">
        <v>2020</v>
      </c>
      <c r="G5476" t="str">
        <f>IFERROR(INDEX(Formulations[Formulation],MATCH($C5476,Formulations[Product Code],0)),"")</f>
        <v/>
      </c>
    </row>
    <row r="5477" spans="1:7" x14ac:dyDescent="0.3">
      <c r="A5477" t="s">
        <v>2472</v>
      </c>
      <c r="B5477" t="s">
        <v>297</v>
      </c>
      <c r="C5477" t="s">
        <v>298</v>
      </c>
      <c r="D5477" s="7">
        <v>1</v>
      </c>
      <c r="E5477">
        <v>2020</v>
      </c>
      <c r="F5477">
        <v>2020</v>
      </c>
      <c r="G5477" t="str">
        <f>IFERROR(INDEX(Formulations[Formulation],MATCH($C5477,Formulations[Product Code],0)),"")</f>
        <v>Pure</v>
      </c>
    </row>
    <row r="5478" spans="1:7" x14ac:dyDescent="0.3">
      <c r="A5478" t="s">
        <v>2472</v>
      </c>
      <c r="B5478" t="s">
        <v>813</v>
      </c>
      <c r="C5478" t="s">
        <v>814</v>
      </c>
      <c r="D5478" s="7">
        <v>1</v>
      </c>
      <c r="E5478">
        <v>2020</v>
      </c>
      <c r="F5478">
        <v>2020</v>
      </c>
      <c r="G5478" t="str">
        <f>IFERROR(INDEX(Formulations[Formulation],MATCH($C5478,Formulations[Product Code],0)),"")</f>
        <v>WS</v>
      </c>
    </row>
    <row r="5479" spans="1:7" x14ac:dyDescent="0.3">
      <c r="A5479" t="s">
        <v>2482</v>
      </c>
      <c r="B5479" t="s">
        <v>536</v>
      </c>
      <c r="C5479" t="s">
        <v>537</v>
      </c>
      <c r="D5479" s="7">
        <v>1</v>
      </c>
      <c r="E5479">
        <v>2021</v>
      </c>
      <c r="F5479">
        <v>2021</v>
      </c>
      <c r="G5479" t="str">
        <f>IFERROR(INDEX(Formulations[Formulation],MATCH($C5479,Formulations[Product Code],0)),"")</f>
        <v>Silver</v>
      </c>
    </row>
    <row r="5480" spans="1:7" x14ac:dyDescent="0.3">
      <c r="A5480" t="s">
        <v>2482</v>
      </c>
      <c r="B5480" t="s">
        <v>99</v>
      </c>
      <c r="C5480" t="s">
        <v>100</v>
      </c>
      <c r="D5480" s="7">
        <v>1</v>
      </c>
      <c r="E5480">
        <v>2019</v>
      </c>
      <c r="F5480">
        <v>2019</v>
      </c>
      <c r="G5480" t="str">
        <f>IFERROR(INDEX(Formulations[Formulation],MATCH($C5480,Formulations[Product Code],0)),"")</f>
        <v>Crystal</v>
      </c>
    </row>
    <row r="5481" spans="1:7" x14ac:dyDescent="0.3">
      <c r="A5481" t="s">
        <v>2482</v>
      </c>
      <c r="B5481" t="s">
        <v>373</v>
      </c>
      <c r="C5481" t="s">
        <v>331</v>
      </c>
      <c r="D5481" s="7">
        <v>1</v>
      </c>
      <c r="E5481">
        <v>2020</v>
      </c>
      <c r="F5481">
        <v>2020</v>
      </c>
      <c r="G5481" t="str">
        <f>IFERROR(INDEX(Formulations[Formulation],MATCH($C5481,Formulations[Product Code],0)),"")</f>
        <v>35% oil</v>
      </c>
    </row>
    <row r="5482" spans="1:7" x14ac:dyDescent="0.3">
      <c r="A5482" t="s">
        <v>2498</v>
      </c>
      <c r="B5482" t="s">
        <v>665</v>
      </c>
      <c r="D5482" s="7">
        <v>1</v>
      </c>
      <c r="E5482">
        <v>2019</v>
      </c>
      <c r="F5482">
        <v>2019</v>
      </c>
      <c r="G5482" t="str">
        <f>IFERROR(INDEX(Formulations[Formulation],MATCH($C5482,Formulations[Product Code],0)),"")</f>
        <v/>
      </c>
    </row>
    <row r="5483" spans="1:7" x14ac:dyDescent="0.3">
      <c r="A5483" t="s">
        <v>2498</v>
      </c>
      <c r="B5483" t="s">
        <v>461</v>
      </c>
      <c r="D5483" s="7">
        <v>1</v>
      </c>
      <c r="E5483">
        <v>2020</v>
      </c>
      <c r="F5483">
        <v>2020</v>
      </c>
      <c r="G5483" t="str">
        <f>IFERROR(INDEX(Formulations[Formulation],MATCH($C5483,Formulations[Product Code],0)),"")</f>
        <v/>
      </c>
    </row>
    <row r="5484" spans="1:7" x14ac:dyDescent="0.3">
      <c r="A5484" t="s">
        <v>2514</v>
      </c>
      <c r="B5484" t="s">
        <v>819</v>
      </c>
      <c r="C5484" t="s">
        <v>220</v>
      </c>
      <c r="D5484" s="7">
        <v>1</v>
      </c>
      <c r="E5484">
        <v>2019</v>
      </c>
      <c r="F5484">
        <v>2019</v>
      </c>
      <c r="G5484" t="str">
        <f>IFERROR(INDEX(Formulations[Formulation],MATCH($C5484,Formulations[Product Code],0)),"")</f>
        <v/>
      </c>
    </row>
    <row r="5485" spans="1:7" x14ac:dyDescent="0.3">
      <c r="A5485" t="s">
        <v>2517</v>
      </c>
      <c r="B5485" t="s">
        <v>51</v>
      </c>
      <c r="C5485" t="s">
        <v>52</v>
      </c>
      <c r="D5485" s="7">
        <v>1</v>
      </c>
      <c r="E5485">
        <v>2019</v>
      </c>
      <c r="F5485">
        <v>2019</v>
      </c>
      <c r="G5485" t="str">
        <f>IFERROR(INDEX(Formulations[Formulation],MATCH($C5485,Formulations[Product Code],0)),"")</f>
        <v>Silver</v>
      </c>
    </row>
    <row r="5486" spans="1:7" x14ac:dyDescent="0.3">
      <c r="A5486" t="s">
        <v>2517</v>
      </c>
      <c r="B5486" t="s">
        <v>2518</v>
      </c>
      <c r="C5486" t="s">
        <v>324</v>
      </c>
      <c r="D5486" s="7">
        <v>1</v>
      </c>
      <c r="E5486">
        <v>2019</v>
      </c>
      <c r="F5486">
        <v>2019</v>
      </c>
      <c r="G5486" t="str">
        <f>IFERROR(INDEX(Formulations[Formulation],MATCH($C5486,Formulations[Product Code],0)),"")</f>
        <v>Pure</v>
      </c>
    </row>
    <row r="5487" spans="1:7" x14ac:dyDescent="0.3">
      <c r="A5487" t="s">
        <v>2517</v>
      </c>
      <c r="B5487" t="s">
        <v>2276</v>
      </c>
      <c r="C5487" t="s">
        <v>724</v>
      </c>
      <c r="D5487" s="7">
        <v>1</v>
      </c>
      <c r="E5487">
        <v>2019</v>
      </c>
      <c r="F5487">
        <v>2019</v>
      </c>
      <c r="G5487" t="str">
        <f>IFERROR(INDEX(Formulations[Formulation],MATCH($C5487,Formulations[Product Code],0)),"")</f>
        <v>Crystal</v>
      </c>
    </row>
    <row r="5488" spans="1:7" x14ac:dyDescent="0.3">
      <c r="A5488" t="s">
        <v>2517</v>
      </c>
      <c r="B5488" t="s">
        <v>583</v>
      </c>
      <c r="C5488" t="s">
        <v>249</v>
      </c>
      <c r="D5488" s="7">
        <v>1</v>
      </c>
      <c r="E5488">
        <v>2019</v>
      </c>
      <c r="F5488">
        <v>2019</v>
      </c>
      <c r="G5488" t="str">
        <f>IFERROR(INDEX(Formulations[Formulation],MATCH($C5488,Formulations[Product Code],0)),"")</f>
        <v>WS</v>
      </c>
    </row>
    <row r="5489" spans="1:7" x14ac:dyDescent="0.3">
      <c r="A5489" t="s">
        <v>2517</v>
      </c>
      <c r="B5489" t="s">
        <v>99</v>
      </c>
      <c r="C5489" t="s">
        <v>100</v>
      </c>
      <c r="D5489" s="7">
        <v>1</v>
      </c>
      <c r="E5489">
        <v>2019</v>
      </c>
      <c r="F5489">
        <v>2019</v>
      </c>
      <c r="G5489" t="str">
        <f>IFERROR(INDEX(Formulations[Formulation],MATCH($C5489,Formulations[Product Code],0)),"")</f>
        <v>Crystal</v>
      </c>
    </row>
    <row r="5490" spans="1:7" x14ac:dyDescent="0.3">
      <c r="A5490" t="s">
        <v>2517</v>
      </c>
      <c r="B5490" t="s">
        <v>2022</v>
      </c>
      <c r="C5490" t="s">
        <v>515</v>
      </c>
      <c r="D5490" s="7">
        <v>1</v>
      </c>
      <c r="E5490">
        <v>2019</v>
      </c>
      <c r="F5490">
        <v>2019</v>
      </c>
      <c r="G5490" t="str">
        <f>IFERROR(INDEX(Formulations[Formulation],MATCH($C5490,Formulations[Product Code],0)),"")</f>
        <v>Crystal</v>
      </c>
    </row>
    <row r="5491" spans="1:7" x14ac:dyDescent="0.3">
      <c r="A5491" t="s">
        <v>2517</v>
      </c>
      <c r="B5491" t="s">
        <v>372</v>
      </c>
      <c r="C5491" t="s">
        <v>331</v>
      </c>
      <c r="D5491" s="7">
        <v>1</v>
      </c>
      <c r="E5491">
        <v>2019</v>
      </c>
      <c r="F5491">
        <v>2019</v>
      </c>
      <c r="G5491" t="str">
        <f>IFERROR(INDEX(Formulations[Formulation],MATCH($C5491,Formulations[Product Code],0)),"")</f>
        <v>35% oil</v>
      </c>
    </row>
    <row r="5492" spans="1:7" x14ac:dyDescent="0.3">
      <c r="A5492" t="s">
        <v>2517</v>
      </c>
      <c r="B5492" t="s">
        <v>409</v>
      </c>
      <c r="C5492" t="s">
        <v>264</v>
      </c>
      <c r="D5492" s="7">
        <v>1</v>
      </c>
      <c r="E5492">
        <v>2019</v>
      </c>
      <c r="F5492">
        <v>2019</v>
      </c>
      <c r="G5492" t="str">
        <f>IFERROR(INDEX(Formulations[Formulation],MATCH($C5492,Formulations[Product Code],0)),"")</f>
        <v>Silver</v>
      </c>
    </row>
    <row r="5493" spans="1:7" x14ac:dyDescent="0.3">
      <c r="A5493" t="s">
        <v>2517</v>
      </c>
      <c r="B5493" t="s">
        <v>1326</v>
      </c>
      <c r="C5493" t="s">
        <v>143</v>
      </c>
      <c r="D5493" s="7">
        <v>1</v>
      </c>
      <c r="E5493">
        <v>2019</v>
      </c>
      <c r="F5493">
        <v>2019</v>
      </c>
      <c r="G5493" t="str">
        <f>IFERROR(INDEX(Formulations[Formulation],MATCH($C5493,Formulations[Product Code],0)),"")</f>
        <v>Pure</v>
      </c>
    </row>
    <row r="5494" spans="1:7" x14ac:dyDescent="0.3">
      <c r="A5494" t="s">
        <v>2517</v>
      </c>
      <c r="B5494" t="s">
        <v>72</v>
      </c>
      <c r="C5494" t="s">
        <v>73</v>
      </c>
      <c r="D5494" s="7">
        <v>1</v>
      </c>
      <c r="E5494">
        <v>2019</v>
      </c>
      <c r="F5494">
        <v>2019</v>
      </c>
      <c r="G5494" t="str">
        <f>IFERROR(INDEX(Formulations[Formulation],MATCH($C5494,Formulations[Product Code],0)),"")</f>
        <v>Silver</v>
      </c>
    </row>
    <row r="5495" spans="1:7" x14ac:dyDescent="0.3">
      <c r="A5495" t="s">
        <v>2517</v>
      </c>
      <c r="B5495" t="s">
        <v>213</v>
      </c>
      <c r="C5495" t="s">
        <v>75</v>
      </c>
      <c r="D5495" s="7">
        <v>1</v>
      </c>
      <c r="E5495">
        <v>2019</v>
      </c>
      <c r="F5495">
        <v>2019</v>
      </c>
      <c r="G5495" t="str">
        <f>IFERROR(INDEX(Formulations[Formulation],MATCH($C5495,Formulations[Product Code],0)),"")</f>
        <v>Crystal</v>
      </c>
    </row>
    <row r="5496" spans="1:7" x14ac:dyDescent="0.3">
      <c r="A5496" t="s">
        <v>2519</v>
      </c>
      <c r="B5496" t="s">
        <v>532</v>
      </c>
      <c r="C5496" t="s">
        <v>452</v>
      </c>
      <c r="D5496" s="7">
        <v>1</v>
      </c>
      <c r="E5496">
        <v>2020</v>
      </c>
      <c r="F5496">
        <v>2020</v>
      </c>
      <c r="G5496" t="str">
        <f>IFERROR(INDEX(Formulations[Formulation],MATCH($C5496,Formulations[Product Code],0)),"")</f>
        <v>Crystal</v>
      </c>
    </row>
    <row r="5497" spans="1:7" x14ac:dyDescent="0.3">
      <c r="A5497" t="s">
        <v>2519</v>
      </c>
      <c r="B5497" t="s">
        <v>830</v>
      </c>
      <c r="C5497" t="s">
        <v>831</v>
      </c>
      <c r="D5497" s="7">
        <v>1</v>
      </c>
      <c r="E5497">
        <v>2020</v>
      </c>
      <c r="F5497">
        <v>2020</v>
      </c>
      <c r="G5497" t="str">
        <f>IFERROR(INDEX(Formulations[Formulation],MATCH($C5497,Formulations[Product Code],0)),"")</f>
        <v>Crystal</v>
      </c>
    </row>
    <row r="5498" spans="1:7" x14ac:dyDescent="0.3">
      <c r="A5498" t="s">
        <v>2519</v>
      </c>
      <c r="B5498" t="s">
        <v>716</v>
      </c>
      <c r="C5498" t="s">
        <v>717</v>
      </c>
      <c r="D5498" s="7">
        <v>1</v>
      </c>
      <c r="E5498">
        <v>2020</v>
      </c>
      <c r="F5498">
        <v>2020</v>
      </c>
      <c r="G5498" t="str">
        <f>IFERROR(INDEX(Formulations[Formulation],MATCH($C5498,Formulations[Product Code],0)),"")</f>
        <v>Pure</v>
      </c>
    </row>
    <row r="5499" spans="1:7" x14ac:dyDescent="0.3">
      <c r="A5499" t="s">
        <v>2519</v>
      </c>
      <c r="B5499" t="s">
        <v>84</v>
      </c>
      <c r="C5499" t="s">
        <v>85</v>
      </c>
      <c r="D5499" s="7">
        <v>1</v>
      </c>
      <c r="E5499">
        <v>2018</v>
      </c>
      <c r="F5499">
        <v>2018</v>
      </c>
      <c r="G5499" t="str">
        <f>IFERROR(INDEX(Formulations[Formulation],MATCH($C5499,Formulations[Product Code],0)),"")</f>
        <v>Pure</v>
      </c>
    </row>
    <row r="5500" spans="1:7" x14ac:dyDescent="0.3">
      <c r="A5500" t="s">
        <v>2519</v>
      </c>
      <c r="B5500" t="s">
        <v>581</v>
      </c>
      <c r="C5500" t="s">
        <v>582</v>
      </c>
      <c r="D5500" s="7">
        <v>1</v>
      </c>
      <c r="E5500">
        <v>2018</v>
      </c>
      <c r="F5500">
        <v>2018</v>
      </c>
      <c r="G5500" t="str">
        <f>IFERROR(INDEX(Formulations[Formulation],MATCH($C5500,Formulations[Product Code],0)),"")</f>
        <v/>
      </c>
    </row>
    <row r="5501" spans="1:7" x14ac:dyDescent="0.3">
      <c r="A5501" t="s">
        <v>2519</v>
      </c>
      <c r="B5501" t="s">
        <v>627</v>
      </c>
      <c r="C5501" t="s">
        <v>628</v>
      </c>
      <c r="D5501" s="7">
        <v>1</v>
      </c>
      <c r="E5501">
        <v>2020</v>
      </c>
      <c r="F5501">
        <v>2020</v>
      </c>
      <c r="G5501" t="str">
        <f>IFERROR(INDEX(Formulations[Formulation],MATCH($C5501,Formulations[Product Code],0)),"")</f>
        <v>Pure</v>
      </c>
    </row>
    <row r="5502" spans="1:7" x14ac:dyDescent="0.3">
      <c r="A5502" t="s">
        <v>2519</v>
      </c>
      <c r="B5502" t="s">
        <v>1789</v>
      </c>
      <c r="C5502" t="s">
        <v>1790</v>
      </c>
      <c r="D5502" s="7">
        <v>1</v>
      </c>
      <c r="E5502">
        <v>2018</v>
      </c>
      <c r="F5502">
        <v>2018</v>
      </c>
      <c r="G5502" t="str">
        <f>IFERROR(INDEX(Formulations[Formulation],MATCH($C5502,Formulations[Product Code],0)),"")</f>
        <v/>
      </c>
    </row>
    <row r="5503" spans="1:7" x14ac:dyDescent="0.3">
      <c r="A5503" t="s">
        <v>2519</v>
      </c>
      <c r="B5503" t="s">
        <v>553</v>
      </c>
      <c r="C5503" t="s">
        <v>292</v>
      </c>
      <c r="D5503" s="7">
        <v>1</v>
      </c>
      <c r="E5503">
        <v>2018</v>
      </c>
      <c r="F5503">
        <v>2018</v>
      </c>
      <c r="G5503" t="str">
        <f>IFERROR(INDEX(Formulations[Formulation],MATCH($C5503,Formulations[Product Code],0)),"")</f>
        <v/>
      </c>
    </row>
    <row r="5504" spans="1:7" x14ac:dyDescent="0.3">
      <c r="A5504" t="s">
        <v>2519</v>
      </c>
      <c r="B5504" t="s">
        <v>417</v>
      </c>
      <c r="C5504" t="s">
        <v>418</v>
      </c>
      <c r="D5504" s="7">
        <v>1</v>
      </c>
      <c r="E5504">
        <v>2020</v>
      </c>
      <c r="F5504">
        <v>2020</v>
      </c>
      <c r="G5504" t="str">
        <f>IFERROR(INDEX(Formulations[Formulation],MATCH($C5504,Formulations[Product Code],0)),"")</f>
        <v>Pure</v>
      </c>
    </row>
    <row r="5505" spans="1:7" x14ac:dyDescent="0.3">
      <c r="A5505" t="s">
        <v>2519</v>
      </c>
      <c r="B5505" t="s">
        <v>635</v>
      </c>
      <c r="C5505" t="s">
        <v>636</v>
      </c>
      <c r="D5505" s="7">
        <v>1</v>
      </c>
      <c r="E5505">
        <v>2020</v>
      </c>
      <c r="F5505">
        <v>2020</v>
      </c>
      <c r="G5505" t="str">
        <f>IFERROR(INDEX(Formulations[Formulation],MATCH($C5505,Formulations[Product Code],0)),"")</f>
        <v>Pure</v>
      </c>
    </row>
    <row r="5506" spans="1:7" x14ac:dyDescent="0.3">
      <c r="A5506" t="s">
        <v>2519</v>
      </c>
      <c r="B5506" t="s">
        <v>921</v>
      </c>
      <c r="D5506" s="7">
        <v>1</v>
      </c>
      <c r="E5506">
        <v>2019</v>
      </c>
      <c r="F5506">
        <v>2019</v>
      </c>
      <c r="G5506" t="str">
        <f>IFERROR(INDEX(Formulations[Formulation],MATCH($C5506,Formulations[Product Code],0)),"")</f>
        <v/>
      </c>
    </row>
    <row r="5507" spans="1:7" x14ac:dyDescent="0.3">
      <c r="A5507" t="s">
        <v>2519</v>
      </c>
      <c r="B5507" t="s">
        <v>288</v>
      </c>
      <c r="C5507" t="s">
        <v>289</v>
      </c>
      <c r="D5507" s="7">
        <v>1</v>
      </c>
      <c r="E5507">
        <v>2018</v>
      </c>
      <c r="F5507">
        <v>2018</v>
      </c>
      <c r="G5507" t="str">
        <f>IFERROR(INDEX(Formulations[Formulation],MATCH($C5507,Formulations[Product Code],0)),"")</f>
        <v>L1212 Blanc by Lacoste (M) CP19035 -  (60%l1212) creed silver mountain 40% than make gold</v>
      </c>
    </row>
    <row r="5508" spans="1:7" x14ac:dyDescent="0.3">
      <c r="A5508" t="s">
        <v>2519</v>
      </c>
      <c r="B5508" t="s">
        <v>2449</v>
      </c>
      <c r="C5508" t="s">
        <v>256</v>
      </c>
      <c r="D5508" s="7">
        <v>1</v>
      </c>
      <c r="E5508">
        <v>2019</v>
      </c>
      <c r="F5508">
        <v>2019</v>
      </c>
      <c r="G5508" t="str">
        <f>IFERROR(INDEX(Formulations[Formulation],MATCH($C5508,Formulations[Product Code],0)),"")</f>
        <v/>
      </c>
    </row>
    <row r="5509" spans="1:7" x14ac:dyDescent="0.3">
      <c r="A5509" t="s">
        <v>2519</v>
      </c>
      <c r="B5509" t="s">
        <v>95</v>
      </c>
      <c r="C5509" t="s">
        <v>96</v>
      </c>
      <c r="D5509" s="7">
        <v>1</v>
      </c>
      <c r="E5509">
        <v>2018</v>
      </c>
      <c r="F5509">
        <v>2018</v>
      </c>
      <c r="G5509" t="str">
        <f>IFERROR(INDEX(Formulations[Formulation],MATCH($C5509,Formulations[Product Code],0)),"")</f>
        <v>9.2 kg oil and rest dpg</v>
      </c>
    </row>
    <row r="5510" spans="1:7" x14ac:dyDescent="0.3">
      <c r="A5510" t="s">
        <v>2519</v>
      </c>
      <c r="B5510" t="s">
        <v>643</v>
      </c>
      <c r="C5510" t="s">
        <v>644</v>
      </c>
      <c r="D5510" s="7">
        <v>1</v>
      </c>
      <c r="E5510">
        <v>2020</v>
      </c>
      <c r="F5510">
        <v>2020</v>
      </c>
      <c r="G5510" t="str">
        <f>IFERROR(INDEX(Formulations[Formulation],MATCH($C5510,Formulations[Product Code],0)),"")</f>
        <v>Crystal</v>
      </c>
    </row>
    <row r="5511" spans="1:7" x14ac:dyDescent="0.3">
      <c r="A5511" t="s">
        <v>2519</v>
      </c>
      <c r="B5511" t="s">
        <v>400</v>
      </c>
      <c r="D5511" s="7">
        <v>1</v>
      </c>
      <c r="E5511">
        <v>2019</v>
      </c>
      <c r="F5511">
        <v>2019</v>
      </c>
      <c r="G5511" t="str">
        <f>IFERROR(INDEX(Formulations[Formulation],MATCH($C5511,Formulations[Product Code],0)),"")</f>
        <v/>
      </c>
    </row>
    <row r="5512" spans="1:7" x14ac:dyDescent="0.3">
      <c r="A5512" t="s">
        <v>2519</v>
      </c>
      <c r="B5512" t="s">
        <v>1009</v>
      </c>
      <c r="C5512" t="s">
        <v>934</v>
      </c>
      <c r="D5512" s="7">
        <v>1</v>
      </c>
      <c r="E5512">
        <v>2019</v>
      </c>
      <c r="F5512">
        <v>2019</v>
      </c>
      <c r="G5512" t="str">
        <f>IFERROR(INDEX(Formulations[Formulation],MATCH($C5512,Formulations[Product Code],0)),"")</f>
        <v/>
      </c>
    </row>
    <row r="5513" spans="1:7" x14ac:dyDescent="0.3">
      <c r="A5513" t="s">
        <v>2519</v>
      </c>
      <c r="B5513" t="s">
        <v>108</v>
      </c>
      <c r="C5513" t="s">
        <v>109</v>
      </c>
      <c r="D5513" s="7">
        <v>1</v>
      </c>
      <c r="E5513">
        <v>2017</v>
      </c>
      <c r="F5513">
        <v>2017</v>
      </c>
      <c r="G5513" t="str">
        <f>IFERROR(INDEX(Formulations[Formulation],MATCH($C5513,Formulations[Product Code],0)),"")</f>
        <v>Pure</v>
      </c>
    </row>
    <row r="5514" spans="1:7" x14ac:dyDescent="0.3">
      <c r="A5514" t="s">
        <v>2519</v>
      </c>
      <c r="B5514" t="s">
        <v>120</v>
      </c>
      <c r="C5514" t="s">
        <v>121</v>
      </c>
      <c r="D5514" s="7">
        <v>1</v>
      </c>
      <c r="E5514">
        <v>2018</v>
      </c>
      <c r="F5514">
        <v>2018</v>
      </c>
      <c r="G5514" t="str">
        <f>IFERROR(INDEX(Formulations[Formulation],MATCH($C5514,Formulations[Product Code],0)),"")</f>
        <v/>
      </c>
    </row>
    <row r="5515" spans="1:7" x14ac:dyDescent="0.3">
      <c r="A5515" t="s">
        <v>2519</v>
      </c>
      <c r="B5515" t="s">
        <v>1106</v>
      </c>
      <c r="C5515" t="s">
        <v>1095</v>
      </c>
      <c r="D5515" s="7">
        <v>1</v>
      </c>
      <c r="E5515">
        <v>2019</v>
      </c>
      <c r="F5515">
        <v>2019</v>
      </c>
      <c r="G5515" t="str">
        <f>IFERROR(INDEX(Formulations[Formulation],MATCH($C5515,Formulations[Product Code],0)),"")</f>
        <v/>
      </c>
    </row>
    <row r="5516" spans="1:7" x14ac:dyDescent="0.3">
      <c r="A5516" t="s">
        <v>2519</v>
      </c>
      <c r="B5516" t="s">
        <v>334</v>
      </c>
      <c r="C5516" t="s">
        <v>335</v>
      </c>
      <c r="D5516" s="7">
        <v>1</v>
      </c>
      <c r="E5516">
        <v>2020</v>
      </c>
      <c r="F5516">
        <v>2020</v>
      </c>
      <c r="G5516" t="str">
        <f>IFERROR(INDEX(Formulations[Formulation],MATCH($C5516,Formulations[Product Code],0)),"")</f>
        <v>Pure</v>
      </c>
    </row>
    <row r="5517" spans="1:7" x14ac:dyDescent="0.3">
      <c r="A5517" t="s">
        <v>2519</v>
      </c>
      <c r="B5517" t="s">
        <v>192</v>
      </c>
      <c r="C5517" t="s">
        <v>193</v>
      </c>
      <c r="D5517" s="7">
        <v>1</v>
      </c>
      <c r="E5517">
        <v>2020</v>
      </c>
      <c r="F5517">
        <v>2020</v>
      </c>
      <c r="G5517" t="str">
        <f>IFERROR(INDEX(Formulations[Formulation],MATCH($C5517,Formulations[Product Code],0)),"")</f>
        <v>Red Grape 50%/ Fruity Smoothie 30% /Green Apple 20% /than make 60% oil</v>
      </c>
    </row>
    <row r="5518" spans="1:7" x14ac:dyDescent="0.3">
      <c r="A5518" t="s">
        <v>2519</v>
      </c>
      <c r="B5518" t="s">
        <v>620</v>
      </c>
      <c r="C5518" t="s">
        <v>621</v>
      </c>
      <c r="D5518" s="7">
        <v>1</v>
      </c>
      <c r="E5518">
        <v>2018</v>
      </c>
      <c r="F5518">
        <v>2018</v>
      </c>
      <c r="G5518" t="str">
        <f>IFERROR(INDEX(Formulations[Formulation],MATCH($C5518,Formulations[Product Code],0)),"")</f>
        <v/>
      </c>
    </row>
    <row r="5519" spans="1:7" x14ac:dyDescent="0.3">
      <c r="A5519" t="s">
        <v>2519</v>
      </c>
      <c r="B5519" t="s">
        <v>318</v>
      </c>
      <c r="C5519" t="s">
        <v>319</v>
      </c>
      <c r="D5519" s="7">
        <v>1</v>
      </c>
      <c r="E5519">
        <v>2018</v>
      </c>
      <c r="F5519">
        <v>2018</v>
      </c>
      <c r="G5519" t="str">
        <f>IFERROR(INDEX(Formulations[Formulation],MATCH($C5519,Formulations[Product Code],0)),"")</f>
        <v>Pure</v>
      </c>
    </row>
    <row r="5520" spans="1:7" x14ac:dyDescent="0.3">
      <c r="A5520" t="s">
        <v>2519</v>
      </c>
      <c r="B5520" t="s">
        <v>267</v>
      </c>
      <c r="C5520" t="s">
        <v>150</v>
      </c>
      <c r="D5520" s="7">
        <v>1</v>
      </c>
      <c r="E5520">
        <v>2019</v>
      </c>
      <c r="F5520">
        <v>2019</v>
      </c>
      <c r="G5520" t="str">
        <f>IFERROR(INDEX(Formulations[Formulation],MATCH($C5520,Formulations[Product Code],0)),"")</f>
        <v/>
      </c>
    </row>
    <row r="5521" spans="1:7" x14ac:dyDescent="0.3">
      <c r="A5521" t="s">
        <v>2519</v>
      </c>
      <c r="B5521" t="s">
        <v>76</v>
      </c>
      <c r="C5521" t="s">
        <v>77</v>
      </c>
      <c r="D5521" s="7">
        <v>1</v>
      </c>
      <c r="E5521">
        <v>2020</v>
      </c>
      <c r="F5521">
        <v>2020</v>
      </c>
      <c r="G5521" t="str">
        <f>IFERROR(INDEX(Formulations[Formulation],MATCH($C5521,Formulations[Product Code],0)),"")</f>
        <v>Silver</v>
      </c>
    </row>
    <row r="5522" spans="1:7" x14ac:dyDescent="0.3">
      <c r="A5522" t="s">
        <v>2519</v>
      </c>
      <c r="B5522" t="s">
        <v>153</v>
      </c>
      <c r="C5522" t="s">
        <v>154</v>
      </c>
      <c r="D5522" s="7">
        <v>1</v>
      </c>
      <c r="E5522">
        <v>2017</v>
      </c>
      <c r="F5522">
        <v>2017</v>
      </c>
      <c r="G5522" t="str">
        <f>IFERROR(INDEX(Formulations[Formulation],MATCH($C5522,Formulations[Product Code],0)),"")</f>
        <v>Pure</v>
      </c>
    </row>
    <row r="5523" spans="1:7" x14ac:dyDescent="0.3">
      <c r="A5523" t="s">
        <v>2525</v>
      </c>
      <c r="B5523" t="s">
        <v>26</v>
      </c>
      <c r="C5523" t="s">
        <v>27</v>
      </c>
      <c r="D5523" s="7">
        <v>1</v>
      </c>
      <c r="E5523">
        <v>2020</v>
      </c>
      <c r="F5523">
        <v>2020</v>
      </c>
      <c r="G5523" t="str">
        <f>IFERROR(INDEX(Formulations[Formulation],MATCH($C5523,Formulations[Product Code],0)),"")</f>
        <v>FLOURAMAX A270578/ P782894</v>
      </c>
    </row>
    <row r="5524" spans="1:7" x14ac:dyDescent="0.3">
      <c r="A5524" t="s">
        <v>2525</v>
      </c>
      <c r="B5524" t="s">
        <v>19</v>
      </c>
      <c r="C5524" t="s">
        <v>20</v>
      </c>
      <c r="D5524" s="7">
        <v>1</v>
      </c>
      <c r="E5524">
        <v>2020</v>
      </c>
      <c r="F5524">
        <v>2020</v>
      </c>
      <c r="G5524" t="str">
        <f>IFERROR(INDEX(Formulations[Formulation],MATCH($C5524,Formulations[Product Code],0)),"")</f>
        <v>80 % Oil AND 20 % DPG</v>
      </c>
    </row>
    <row r="5525" spans="1:7" x14ac:dyDescent="0.3">
      <c r="A5525" t="s">
        <v>2525</v>
      </c>
      <c r="B5525" t="s">
        <v>68</v>
      </c>
      <c r="C5525" t="s">
        <v>69</v>
      </c>
      <c r="D5525" s="7">
        <v>1</v>
      </c>
      <c r="E5525">
        <v>2020</v>
      </c>
      <c r="F5525">
        <v>2020</v>
      </c>
      <c r="G5525" t="str">
        <f>IFERROR(INDEX(Formulations[Formulation],MATCH($C5525,Formulations[Product Code],0)),"")</f>
        <v>Silver</v>
      </c>
    </row>
    <row r="5526" spans="1:7" x14ac:dyDescent="0.3">
      <c r="A5526" t="s">
        <v>2529</v>
      </c>
      <c r="B5526" t="s">
        <v>1802</v>
      </c>
      <c r="D5526" s="7">
        <v>1</v>
      </c>
      <c r="E5526">
        <v>2020</v>
      </c>
      <c r="F5526">
        <v>2020</v>
      </c>
      <c r="G5526" t="str">
        <f>IFERROR(INDEX(Formulations[Formulation],MATCH($C5526,Formulations[Product Code],0)),"")</f>
        <v/>
      </c>
    </row>
    <row r="5527" spans="1:7" x14ac:dyDescent="0.3">
      <c r="A5527" t="s">
        <v>2535</v>
      </c>
      <c r="B5527" t="s">
        <v>28</v>
      </c>
      <c r="D5527" s="7">
        <v>1</v>
      </c>
      <c r="E5527">
        <v>2015</v>
      </c>
      <c r="F5527">
        <v>2015</v>
      </c>
      <c r="G5527" t="str">
        <f>IFERROR(INDEX(Formulations[Formulation],MATCH($C5527,Formulations[Product Code],0)),"")</f>
        <v/>
      </c>
    </row>
    <row r="5528" spans="1:7" x14ac:dyDescent="0.3">
      <c r="A5528" t="s">
        <v>2537</v>
      </c>
      <c r="B5528" t="s">
        <v>631</v>
      </c>
      <c r="C5528" t="s">
        <v>632</v>
      </c>
      <c r="D5528" s="7">
        <v>1</v>
      </c>
      <c r="E5528">
        <v>2017</v>
      </c>
      <c r="F5528">
        <v>2017</v>
      </c>
      <c r="G5528" t="str">
        <f>IFERROR(INDEX(Formulations[Formulation],MATCH($C5528,Formulations[Product Code],0)),"")</f>
        <v/>
      </c>
    </row>
    <row r="5529" spans="1:7" x14ac:dyDescent="0.3">
      <c r="A5529" t="s">
        <v>2537</v>
      </c>
      <c r="B5529" t="s">
        <v>46</v>
      </c>
      <c r="C5529" t="s">
        <v>47</v>
      </c>
      <c r="D5529" s="7">
        <v>1</v>
      </c>
      <c r="E5529">
        <v>2017</v>
      </c>
      <c r="F5529">
        <v>2017</v>
      </c>
      <c r="G5529" t="str">
        <f>IFERROR(INDEX(Formulations[Formulation],MATCH($C5529,Formulations[Product Code],0)),"")</f>
        <v/>
      </c>
    </row>
    <row r="5530" spans="1:7" x14ac:dyDescent="0.3">
      <c r="A5530" t="s">
        <v>2542</v>
      </c>
      <c r="B5530" t="s">
        <v>35</v>
      </c>
      <c r="D5530" s="7">
        <v>1</v>
      </c>
      <c r="E5530">
        <v>2019</v>
      </c>
      <c r="F5530">
        <v>2019</v>
      </c>
      <c r="G5530" t="str">
        <f>IFERROR(INDEX(Formulations[Formulation],MATCH($C5530,Formulations[Product Code],0)),"")</f>
        <v/>
      </c>
    </row>
    <row r="5531" spans="1:7" x14ac:dyDescent="0.3">
      <c r="A5531" t="s">
        <v>2542</v>
      </c>
      <c r="B5531" t="s">
        <v>642</v>
      </c>
      <c r="D5531" s="7">
        <v>1</v>
      </c>
      <c r="E5531">
        <v>2019</v>
      </c>
      <c r="F5531">
        <v>2019</v>
      </c>
      <c r="G5531" t="str">
        <f>IFERROR(INDEX(Formulations[Formulation],MATCH($C5531,Formulations[Product Code],0)),"")</f>
        <v/>
      </c>
    </row>
    <row r="5532" spans="1:7" x14ac:dyDescent="0.3">
      <c r="A5532" t="s">
        <v>2544</v>
      </c>
      <c r="B5532" t="s">
        <v>721</v>
      </c>
      <c r="C5532" t="s">
        <v>722</v>
      </c>
      <c r="D5532" s="7">
        <v>1</v>
      </c>
      <c r="E5532">
        <v>2013</v>
      </c>
      <c r="F5532">
        <v>2013</v>
      </c>
      <c r="G5532" t="str">
        <f>IFERROR(INDEX(Formulations[Formulation],MATCH($C5532,Formulations[Product Code],0)),"")</f>
        <v>Pure</v>
      </c>
    </row>
    <row r="5533" spans="1:7" x14ac:dyDescent="0.3">
      <c r="A5533" t="s">
        <v>2544</v>
      </c>
      <c r="B5533" t="s">
        <v>417</v>
      </c>
      <c r="C5533" t="s">
        <v>418</v>
      </c>
      <c r="D5533" s="7">
        <v>1</v>
      </c>
      <c r="E5533">
        <v>2013</v>
      </c>
      <c r="F5533">
        <v>2013</v>
      </c>
      <c r="G5533" t="str">
        <f>IFERROR(INDEX(Formulations[Formulation],MATCH($C5533,Formulations[Product Code],0)),"")</f>
        <v>Pure</v>
      </c>
    </row>
    <row r="5534" spans="1:7" x14ac:dyDescent="0.3">
      <c r="A5534" t="s">
        <v>2544</v>
      </c>
      <c r="B5534" t="s">
        <v>24</v>
      </c>
      <c r="C5534" t="s">
        <v>25</v>
      </c>
      <c r="D5534" s="7">
        <v>1</v>
      </c>
      <c r="E5534">
        <v>2013</v>
      </c>
      <c r="F5534">
        <v>2013</v>
      </c>
      <c r="G5534" t="str">
        <f>IFERROR(INDEX(Formulations[Formulation],MATCH($C5534,Formulations[Product Code],0)),"")</f>
        <v>citropine 85%/Pinefresh 15%</v>
      </c>
    </row>
    <row r="5535" spans="1:7" x14ac:dyDescent="0.3">
      <c r="A5535" t="s">
        <v>2544</v>
      </c>
      <c r="B5535" t="s">
        <v>26</v>
      </c>
      <c r="C5535" t="s">
        <v>27</v>
      </c>
      <c r="D5535" s="7">
        <v>1</v>
      </c>
      <c r="E5535">
        <v>2013</v>
      </c>
      <c r="F5535">
        <v>2013</v>
      </c>
      <c r="G5535" t="str">
        <f>IFERROR(INDEX(Formulations[Formulation],MATCH($C5535,Formulations[Product Code],0)),"")</f>
        <v>FLOURAMAX A270578/ P782894</v>
      </c>
    </row>
    <row r="5536" spans="1:7" x14ac:dyDescent="0.3">
      <c r="A5536" t="s">
        <v>2544</v>
      </c>
      <c r="B5536" t="s">
        <v>30</v>
      </c>
      <c r="C5536" t="s">
        <v>31</v>
      </c>
      <c r="D5536" s="7">
        <v>1</v>
      </c>
      <c r="E5536">
        <v>2013</v>
      </c>
      <c r="F5536">
        <v>2013</v>
      </c>
      <c r="G5536" t="str">
        <f>IFERROR(INDEX(Formulations[Formulation],MATCH($C5536,Formulations[Product Code],0)),"")</f>
        <v>Pure</v>
      </c>
    </row>
    <row r="5537" spans="1:7" x14ac:dyDescent="0.3">
      <c r="A5537" t="s">
        <v>2544</v>
      </c>
      <c r="B5537" t="s">
        <v>45</v>
      </c>
      <c r="D5537" s="7">
        <v>1</v>
      </c>
      <c r="E5537">
        <v>2013</v>
      </c>
      <c r="F5537">
        <v>2013</v>
      </c>
      <c r="G5537" t="str">
        <f>IFERROR(INDEX(Formulations[Formulation],MATCH($C5537,Formulations[Product Code],0)),"")</f>
        <v/>
      </c>
    </row>
    <row r="5538" spans="1:7" x14ac:dyDescent="0.3">
      <c r="A5538" t="s">
        <v>2544</v>
      </c>
      <c r="B5538" t="s">
        <v>764</v>
      </c>
      <c r="D5538" s="7">
        <v>1</v>
      </c>
      <c r="E5538">
        <v>2013</v>
      </c>
      <c r="F5538">
        <v>2013</v>
      </c>
      <c r="G5538" t="str">
        <f>IFERROR(INDEX(Formulations[Formulation],MATCH($C5538,Formulations[Product Code],0)),"")</f>
        <v/>
      </c>
    </row>
    <row r="5539" spans="1:7" x14ac:dyDescent="0.3">
      <c r="A5539" t="s">
        <v>2544</v>
      </c>
      <c r="B5539" t="s">
        <v>240</v>
      </c>
      <c r="D5539" s="7">
        <v>1</v>
      </c>
      <c r="E5539">
        <v>2013</v>
      </c>
      <c r="F5539">
        <v>2013</v>
      </c>
      <c r="G5539" t="str">
        <f>IFERROR(INDEX(Formulations[Formulation],MATCH($C5539,Formulations[Product Code],0)),"")</f>
        <v/>
      </c>
    </row>
    <row r="5540" spans="1:7" x14ac:dyDescent="0.3">
      <c r="A5540" t="s">
        <v>2544</v>
      </c>
      <c r="B5540" t="s">
        <v>32</v>
      </c>
      <c r="D5540" s="7">
        <v>1</v>
      </c>
      <c r="E5540">
        <v>2013</v>
      </c>
      <c r="F5540">
        <v>2013</v>
      </c>
      <c r="G5540" t="str">
        <f>IFERROR(INDEX(Formulations[Formulation],MATCH($C5540,Formulations[Product Code],0)),"")</f>
        <v/>
      </c>
    </row>
    <row r="5541" spans="1:7" x14ac:dyDescent="0.3">
      <c r="A5541" t="s">
        <v>2544</v>
      </c>
      <c r="B5541" t="s">
        <v>864</v>
      </c>
      <c r="D5541" s="7">
        <v>1</v>
      </c>
      <c r="E5541">
        <v>2013</v>
      </c>
      <c r="F5541">
        <v>2013</v>
      </c>
      <c r="G5541" t="str">
        <f>IFERROR(INDEX(Formulations[Formulation],MATCH($C5541,Formulations[Product Code],0)),"")</f>
        <v/>
      </c>
    </row>
    <row r="5542" spans="1:7" x14ac:dyDescent="0.3">
      <c r="A5542" t="s">
        <v>2547</v>
      </c>
      <c r="B5542" t="s">
        <v>438</v>
      </c>
      <c r="C5542" t="s">
        <v>439</v>
      </c>
      <c r="D5542" s="7">
        <v>1</v>
      </c>
      <c r="E5542">
        <v>2021</v>
      </c>
      <c r="F5542">
        <v>2021</v>
      </c>
      <c r="G5542" t="str">
        <f>IFERROR(INDEX(Formulations[Formulation],MATCH($C5542,Formulations[Product Code],0)),"")</f>
        <v>Pure</v>
      </c>
    </row>
    <row r="5543" spans="1:7" x14ac:dyDescent="0.3">
      <c r="A5543" t="s">
        <v>2548</v>
      </c>
      <c r="B5543" t="s">
        <v>642</v>
      </c>
      <c r="D5543" s="7">
        <v>1</v>
      </c>
      <c r="E5543">
        <v>2019</v>
      </c>
      <c r="F5543">
        <v>2019</v>
      </c>
      <c r="G5543" t="str">
        <f>IFERROR(INDEX(Formulations[Formulation],MATCH($C5543,Formulations[Product Code],0)),"")</f>
        <v/>
      </c>
    </row>
    <row r="5544" spans="1:7" x14ac:dyDescent="0.3">
      <c r="A5544" t="s">
        <v>2548</v>
      </c>
      <c r="B5544" t="s">
        <v>36</v>
      </c>
      <c r="D5544" s="7">
        <v>1</v>
      </c>
      <c r="E5544">
        <v>2019</v>
      </c>
      <c r="F5544">
        <v>2019</v>
      </c>
      <c r="G5544" t="str">
        <f>IFERROR(INDEX(Formulations[Formulation],MATCH($C5544,Formulations[Product Code],0)),"")</f>
        <v/>
      </c>
    </row>
    <row r="5545" spans="1:7" x14ac:dyDescent="0.3">
      <c r="A5545" t="s">
        <v>2556</v>
      </c>
      <c r="B5545" t="s">
        <v>1687</v>
      </c>
      <c r="C5545" t="s">
        <v>1688</v>
      </c>
      <c r="D5545" s="7">
        <v>1</v>
      </c>
      <c r="E5545">
        <v>2020</v>
      </c>
      <c r="F5545">
        <v>2020</v>
      </c>
      <c r="G5545" t="str">
        <f>IFERROR(INDEX(Formulations[Formulation],MATCH($C5545,Formulations[Product Code],0)),"")</f>
        <v>Floral 60% &amp; Gardenia 40%</v>
      </c>
    </row>
    <row r="5546" spans="1:7" x14ac:dyDescent="0.3">
      <c r="A5546" t="s">
        <v>2560</v>
      </c>
      <c r="B5546" t="s">
        <v>763</v>
      </c>
      <c r="D5546" s="7">
        <v>1</v>
      </c>
      <c r="E5546">
        <v>2015</v>
      </c>
      <c r="F5546">
        <v>2015</v>
      </c>
      <c r="G5546" t="str">
        <f>IFERROR(INDEX(Formulations[Formulation],MATCH($C5546,Formulations[Product Code],0)),"")</f>
        <v/>
      </c>
    </row>
    <row r="5547" spans="1:7" x14ac:dyDescent="0.3">
      <c r="A5547" t="s">
        <v>2560</v>
      </c>
      <c r="B5547" t="s">
        <v>240</v>
      </c>
      <c r="D5547" s="7">
        <v>1</v>
      </c>
      <c r="E5547">
        <v>2015</v>
      </c>
      <c r="F5547">
        <v>2015</v>
      </c>
      <c r="G5547" t="str">
        <f>IFERROR(INDEX(Formulations[Formulation],MATCH($C5547,Formulations[Product Code],0)),"")</f>
        <v/>
      </c>
    </row>
    <row r="5548" spans="1:7" x14ac:dyDescent="0.3">
      <c r="A5548" t="s">
        <v>2562</v>
      </c>
      <c r="B5548" t="s">
        <v>242</v>
      </c>
      <c r="D5548" s="7">
        <v>1</v>
      </c>
      <c r="E5548">
        <v>2021</v>
      </c>
      <c r="F5548">
        <v>2021</v>
      </c>
      <c r="G5548" t="str">
        <f>IFERROR(INDEX(Formulations[Formulation],MATCH($C5548,Formulations[Product Code],0)),"")</f>
        <v/>
      </c>
    </row>
    <row r="5549" spans="1:7" x14ac:dyDescent="0.3">
      <c r="A5549" t="s">
        <v>2574</v>
      </c>
      <c r="B5549" t="s">
        <v>532</v>
      </c>
      <c r="C5549" t="s">
        <v>452</v>
      </c>
      <c r="D5549" s="7">
        <v>1</v>
      </c>
      <c r="E5549">
        <v>2020</v>
      </c>
      <c r="F5549">
        <v>2020</v>
      </c>
      <c r="G5549" t="str">
        <f>IFERROR(INDEX(Formulations[Formulation],MATCH($C5549,Formulations[Product Code],0)),"")</f>
        <v>Crystal</v>
      </c>
    </row>
    <row r="5550" spans="1:7" x14ac:dyDescent="0.3">
      <c r="A5550" t="s">
        <v>2579</v>
      </c>
      <c r="B5550" t="s">
        <v>51</v>
      </c>
      <c r="C5550" t="s">
        <v>52</v>
      </c>
      <c r="D5550" s="7">
        <v>1</v>
      </c>
      <c r="E5550">
        <v>2017</v>
      </c>
      <c r="F5550">
        <v>2017</v>
      </c>
      <c r="G5550" t="str">
        <f>IFERROR(INDEX(Formulations[Formulation],MATCH($C5550,Formulations[Product Code],0)),"")</f>
        <v>Silver</v>
      </c>
    </row>
    <row r="5551" spans="1:7" x14ac:dyDescent="0.3">
      <c r="A5551" t="s">
        <v>2579</v>
      </c>
      <c r="B5551" t="s">
        <v>53</v>
      </c>
      <c r="C5551" t="s">
        <v>54</v>
      </c>
      <c r="D5551" s="7">
        <v>1</v>
      </c>
      <c r="E5551">
        <v>2017</v>
      </c>
      <c r="F5551">
        <v>2017</v>
      </c>
      <c r="G5551" t="str">
        <f>IFERROR(INDEX(Formulations[Formulation],MATCH($C5551,Formulations[Product Code],0)),"")</f>
        <v/>
      </c>
    </row>
    <row r="5552" spans="1:7" x14ac:dyDescent="0.3">
      <c r="A5552" t="s">
        <v>2579</v>
      </c>
      <c r="B5552" t="s">
        <v>82</v>
      </c>
      <c r="C5552" t="s">
        <v>83</v>
      </c>
      <c r="D5552" s="7">
        <v>1</v>
      </c>
      <c r="E5552">
        <v>2019</v>
      </c>
      <c r="F5552">
        <v>2019</v>
      </c>
      <c r="G5552" t="str">
        <f>IFERROR(INDEX(Formulations[Formulation],MATCH($C5552,Formulations[Product Code],0)),"")</f>
        <v>Pure</v>
      </c>
    </row>
    <row r="5553" spans="1:7" x14ac:dyDescent="0.3">
      <c r="A5553" t="s">
        <v>2579</v>
      </c>
      <c r="B5553" t="s">
        <v>280</v>
      </c>
      <c r="C5553" t="s">
        <v>224</v>
      </c>
      <c r="D5553" s="7">
        <v>1</v>
      </c>
      <c r="E5553">
        <v>2017</v>
      </c>
      <c r="F5553">
        <v>2017</v>
      </c>
      <c r="G5553" t="str">
        <f>IFERROR(INDEX(Formulations[Formulation],MATCH($C5553,Formulations[Product Code],0)),"")</f>
        <v/>
      </c>
    </row>
    <row r="5554" spans="1:7" x14ac:dyDescent="0.3">
      <c r="A5554" t="s">
        <v>2579</v>
      </c>
      <c r="B5554" t="s">
        <v>614</v>
      </c>
      <c r="C5554" t="s">
        <v>141</v>
      </c>
      <c r="D5554" s="7">
        <v>1</v>
      </c>
      <c r="E5554">
        <v>2017</v>
      </c>
      <c r="F5554">
        <v>2017</v>
      </c>
      <c r="G5554" t="str">
        <f>IFERROR(INDEX(Formulations[Formulation],MATCH($C5554,Formulations[Product Code],0)),"")</f>
        <v/>
      </c>
    </row>
    <row r="5555" spans="1:7" x14ac:dyDescent="0.3">
      <c r="A5555" t="s">
        <v>2579</v>
      </c>
      <c r="B5555" t="s">
        <v>288</v>
      </c>
      <c r="C5555" t="s">
        <v>289</v>
      </c>
      <c r="D5555" s="7">
        <v>1</v>
      </c>
      <c r="E5555">
        <v>2017</v>
      </c>
      <c r="F5555">
        <v>2017</v>
      </c>
      <c r="G5555" t="str">
        <f>IFERROR(INDEX(Formulations[Formulation],MATCH($C5555,Formulations[Product Code],0)),"")</f>
        <v>L1212 Blanc by Lacoste (M) CP19035 -  (60%l1212) creed silver mountain 40% than make gold</v>
      </c>
    </row>
    <row r="5556" spans="1:7" x14ac:dyDescent="0.3">
      <c r="A5556" t="s">
        <v>2579</v>
      </c>
      <c r="B5556" t="s">
        <v>60</v>
      </c>
      <c r="C5556" t="s">
        <v>61</v>
      </c>
      <c r="D5556" s="7">
        <v>1</v>
      </c>
      <c r="E5556">
        <v>2017</v>
      </c>
      <c r="F5556">
        <v>2017</v>
      </c>
      <c r="G5556" t="str">
        <f>IFERROR(INDEX(Formulations[Formulation],MATCH($C5556,Formulations[Product Code],0)),"")</f>
        <v>Pure</v>
      </c>
    </row>
    <row r="5557" spans="1:7" x14ac:dyDescent="0.3">
      <c r="A5557" t="s">
        <v>2579</v>
      </c>
      <c r="B5557" t="s">
        <v>307</v>
      </c>
      <c r="C5557" t="s">
        <v>132</v>
      </c>
      <c r="D5557" s="7">
        <v>1</v>
      </c>
      <c r="E5557">
        <v>2017</v>
      </c>
      <c r="F5557">
        <v>2017</v>
      </c>
      <c r="G5557" t="str">
        <f>IFERROR(INDEX(Formulations[Formulation],MATCH($C5557,Formulations[Product Code],0)),"")</f>
        <v>Pure</v>
      </c>
    </row>
    <row r="5558" spans="1:7" x14ac:dyDescent="0.3">
      <c r="A5558" t="s">
        <v>2579</v>
      </c>
      <c r="B5558" t="s">
        <v>135</v>
      </c>
      <c r="C5558" t="s">
        <v>136</v>
      </c>
      <c r="D5558" s="7">
        <v>1</v>
      </c>
      <c r="E5558">
        <v>2017</v>
      </c>
      <c r="F5558">
        <v>2017</v>
      </c>
      <c r="G5558" t="str">
        <f>IFERROR(INDEX(Formulations[Formulation],MATCH($C5558,Formulations[Product Code],0)),"")</f>
        <v/>
      </c>
    </row>
    <row r="5559" spans="1:7" x14ac:dyDescent="0.3">
      <c r="A5559" t="s">
        <v>2579</v>
      </c>
      <c r="B5559" t="s">
        <v>72</v>
      </c>
      <c r="C5559" t="s">
        <v>73</v>
      </c>
      <c r="D5559" s="7">
        <v>1</v>
      </c>
      <c r="E5559">
        <v>2017</v>
      </c>
      <c r="F5559">
        <v>2017</v>
      </c>
      <c r="G5559" t="str">
        <f>IFERROR(INDEX(Formulations[Formulation],MATCH($C5559,Formulations[Product Code],0)),"")</f>
        <v>Silver</v>
      </c>
    </row>
    <row r="5560" spans="1:7" x14ac:dyDescent="0.3">
      <c r="A5560" t="s">
        <v>2579</v>
      </c>
      <c r="B5560" t="s">
        <v>320</v>
      </c>
      <c r="C5560" t="s">
        <v>321</v>
      </c>
      <c r="D5560" s="7">
        <v>1</v>
      </c>
      <c r="E5560">
        <v>2017</v>
      </c>
      <c r="F5560">
        <v>2017</v>
      </c>
      <c r="G5560" t="str">
        <f>IFERROR(INDEX(Formulations[Formulation],MATCH($C5560,Formulations[Product Code],0)),"")</f>
        <v/>
      </c>
    </row>
    <row r="5561" spans="1:7" x14ac:dyDescent="0.3">
      <c r="A5561" t="s">
        <v>2589</v>
      </c>
      <c r="B5561" t="s">
        <v>395</v>
      </c>
      <c r="D5561" s="7">
        <v>1</v>
      </c>
      <c r="E5561">
        <v>2017</v>
      </c>
      <c r="F5561">
        <v>2017</v>
      </c>
      <c r="G5561" t="str">
        <f>IFERROR(INDEX(Formulations[Formulation],MATCH($C5561,Formulations[Product Code],0)),"")</f>
        <v/>
      </c>
    </row>
    <row r="5562" spans="1:7" x14ac:dyDescent="0.3">
      <c r="A5562" t="s">
        <v>2589</v>
      </c>
      <c r="B5562" t="s">
        <v>206</v>
      </c>
      <c r="C5562" t="s">
        <v>207</v>
      </c>
      <c r="D5562" s="7">
        <v>1</v>
      </c>
      <c r="E5562">
        <v>2017</v>
      </c>
      <c r="F5562">
        <v>2017</v>
      </c>
      <c r="G5562" t="str">
        <f>IFERROR(INDEX(Formulations[Formulation],MATCH($C5562,Formulations[Product Code],0)),"")</f>
        <v/>
      </c>
    </row>
    <row r="5563" spans="1:7" x14ac:dyDescent="0.3">
      <c r="A5563" t="s">
        <v>2589</v>
      </c>
      <c r="B5563" t="s">
        <v>400</v>
      </c>
      <c r="D5563" s="7">
        <v>1</v>
      </c>
      <c r="E5563">
        <v>2019</v>
      </c>
      <c r="F5563">
        <v>2019</v>
      </c>
      <c r="G5563" t="str">
        <f>IFERROR(INDEX(Formulations[Formulation],MATCH($C5563,Formulations[Product Code],0)),"")</f>
        <v/>
      </c>
    </row>
    <row r="5564" spans="1:7" x14ac:dyDescent="0.3">
      <c r="A5564" t="s">
        <v>2589</v>
      </c>
      <c r="B5564" t="s">
        <v>128</v>
      </c>
      <c r="D5564" s="7">
        <v>1</v>
      </c>
      <c r="E5564">
        <v>2021</v>
      </c>
      <c r="F5564">
        <v>2021</v>
      </c>
      <c r="G5564" t="str">
        <f>IFERROR(INDEX(Formulations[Formulation],MATCH($C5564,Formulations[Product Code],0)),"")</f>
        <v/>
      </c>
    </row>
    <row r="5565" spans="1:7" x14ac:dyDescent="0.3">
      <c r="A5565" t="s">
        <v>2589</v>
      </c>
      <c r="B5565" t="s">
        <v>410</v>
      </c>
      <c r="C5565" t="s">
        <v>134</v>
      </c>
      <c r="D5565" s="7">
        <v>1</v>
      </c>
      <c r="E5565">
        <v>2019</v>
      </c>
      <c r="F5565">
        <v>2019</v>
      </c>
      <c r="G5565" t="str">
        <f>IFERROR(INDEX(Formulations[Formulation],MATCH($C5565,Formulations[Product Code],0)),"")</f>
        <v>Pure</v>
      </c>
    </row>
    <row r="5566" spans="1:7" x14ac:dyDescent="0.3">
      <c r="A5566" t="s">
        <v>2589</v>
      </c>
      <c r="B5566" t="s">
        <v>599</v>
      </c>
      <c r="C5566" t="s">
        <v>413</v>
      </c>
      <c r="D5566" s="7">
        <v>1</v>
      </c>
      <c r="E5566">
        <v>2019</v>
      </c>
      <c r="F5566">
        <v>2019</v>
      </c>
      <c r="G5566" t="str">
        <f>IFERROR(INDEX(Formulations[Formulation],MATCH($C5566,Formulations[Product Code],0)),"")</f>
        <v>40% oil &amp; 60 % DPG</v>
      </c>
    </row>
    <row r="5567" spans="1:7" x14ac:dyDescent="0.3">
      <c r="A5567" t="s">
        <v>2595</v>
      </c>
      <c r="B5567" t="s">
        <v>599</v>
      </c>
      <c r="C5567" t="s">
        <v>413</v>
      </c>
      <c r="D5567" s="7">
        <v>1</v>
      </c>
      <c r="E5567">
        <v>2020</v>
      </c>
      <c r="F5567">
        <v>2020</v>
      </c>
      <c r="G5567" t="str">
        <f>IFERROR(INDEX(Formulations[Formulation],MATCH($C5567,Formulations[Product Code],0)),"")</f>
        <v>40% oil &amp; 60 % DPG</v>
      </c>
    </row>
    <row r="5568" spans="1:7" x14ac:dyDescent="0.3">
      <c r="A5568" t="s">
        <v>2595</v>
      </c>
      <c r="B5568" t="s">
        <v>656</v>
      </c>
      <c r="C5568" t="s">
        <v>71</v>
      </c>
      <c r="D5568" s="7">
        <v>1</v>
      </c>
      <c r="E5568">
        <v>2020</v>
      </c>
      <c r="F5568">
        <v>2020</v>
      </c>
      <c r="G5568" t="str">
        <f>IFERROR(INDEX(Formulations[Formulation],MATCH($C5568,Formulations[Product Code],0)),"")</f>
        <v>40% Oil &amp; 60% DPG</v>
      </c>
    </row>
    <row r="5569" spans="1:7" x14ac:dyDescent="0.3">
      <c r="A5569" t="s">
        <v>822</v>
      </c>
      <c r="B5569" t="s">
        <v>84</v>
      </c>
      <c r="C5569" t="s">
        <v>85</v>
      </c>
      <c r="D5569" s="7">
        <v>0.8</v>
      </c>
      <c r="E5569">
        <v>2017</v>
      </c>
      <c r="F5569">
        <v>2017</v>
      </c>
      <c r="G5569" t="str">
        <f>IFERROR(INDEX(Formulations[Formulation],MATCH($C5569,Formulations[Product Code],0)),"")</f>
        <v>Pure</v>
      </c>
    </row>
    <row r="5570" spans="1:7" x14ac:dyDescent="0.3">
      <c r="A5570" t="s">
        <v>2358</v>
      </c>
      <c r="B5570" t="s">
        <v>2359</v>
      </c>
      <c r="C5570" t="s">
        <v>2360</v>
      </c>
      <c r="D5570" s="7">
        <v>0.6</v>
      </c>
      <c r="E5570">
        <v>2010</v>
      </c>
      <c r="F5570">
        <v>2010</v>
      </c>
      <c r="G5570" t="str">
        <f>IFERROR(INDEX(Formulations[Formulation],MATCH($C5570,Formulations[Product Code],0)),"")</f>
        <v/>
      </c>
    </row>
    <row r="5571" spans="1:7" x14ac:dyDescent="0.3">
      <c r="A5571" t="s">
        <v>78</v>
      </c>
      <c r="B5571" t="s">
        <v>97</v>
      </c>
      <c r="C5571" t="s">
        <v>98</v>
      </c>
      <c r="D5571" s="7">
        <v>0.5</v>
      </c>
      <c r="E5571">
        <v>2018</v>
      </c>
      <c r="F5571">
        <v>2018</v>
      </c>
      <c r="G5571" t="str">
        <f>IFERROR(INDEX(Formulations[Formulation],MATCH($C5571,Formulations[Product Code],0)),"")</f>
        <v/>
      </c>
    </row>
    <row r="5572" spans="1:7" x14ac:dyDescent="0.3">
      <c r="A5572" t="s">
        <v>78</v>
      </c>
      <c r="B5572" t="s">
        <v>116</v>
      </c>
      <c r="C5572" t="s">
        <v>89</v>
      </c>
      <c r="D5572" s="7">
        <v>0.5</v>
      </c>
      <c r="E5572">
        <v>2018</v>
      </c>
      <c r="F5572">
        <v>2018</v>
      </c>
      <c r="G5572" t="str">
        <f>IFERROR(INDEX(Formulations[Formulation],MATCH($C5572,Formulations[Product Code],0)),"")</f>
        <v>Pure</v>
      </c>
    </row>
    <row r="5573" spans="1:7" x14ac:dyDescent="0.3">
      <c r="A5573" t="s">
        <v>78</v>
      </c>
      <c r="B5573" t="s">
        <v>130</v>
      </c>
      <c r="C5573" t="s">
        <v>106</v>
      </c>
      <c r="D5573" s="7">
        <v>0.5</v>
      </c>
      <c r="E5573">
        <v>2018</v>
      </c>
      <c r="F5573">
        <v>2018</v>
      </c>
      <c r="G5573" t="str">
        <f>IFERROR(INDEX(Formulations[Formulation],MATCH($C5573,Formulations[Product Code],0)),"")</f>
        <v>Pure</v>
      </c>
    </row>
    <row r="5574" spans="1:7" x14ac:dyDescent="0.3">
      <c r="A5574" t="s">
        <v>338</v>
      </c>
      <c r="B5574" t="s">
        <v>340</v>
      </c>
      <c r="C5574" t="s">
        <v>341</v>
      </c>
      <c r="D5574" s="7">
        <v>0.5</v>
      </c>
      <c r="E5574">
        <v>2010</v>
      </c>
      <c r="F5574">
        <v>2010</v>
      </c>
      <c r="G5574" t="str">
        <f>IFERROR(INDEX(Formulations[Formulation],MATCH($C5574,Formulations[Product Code],0)),"")</f>
        <v/>
      </c>
    </row>
    <row r="5575" spans="1:7" x14ac:dyDescent="0.3">
      <c r="A5575" t="s">
        <v>390</v>
      </c>
      <c r="B5575" t="s">
        <v>402</v>
      </c>
      <c r="C5575" t="s">
        <v>403</v>
      </c>
      <c r="D5575" s="7">
        <v>0.5</v>
      </c>
      <c r="E5575">
        <v>2018</v>
      </c>
      <c r="F5575">
        <v>2018</v>
      </c>
      <c r="G5575" t="str">
        <f>IFERROR(INDEX(Formulations[Formulation],MATCH($C5575,Formulations[Product Code],0)),"")</f>
        <v>15 % oil and 85% dpg</v>
      </c>
    </row>
    <row r="5576" spans="1:7" x14ac:dyDescent="0.3">
      <c r="A5576" t="s">
        <v>502</v>
      </c>
      <c r="B5576" t="s">
        <v>393</v>
      </c>
      <c r="C5576" t="s">
        <v>394</v>
      </c>
      <c r="D5576" s="7">
        <v>0.5</v>
      </c>
      <c r="E5576">
        <v>2018</v>
      </c>
      <c r="F5576">
        <v>2018</v>
      </c>
      <c r="G5576" t="str">
        <f>IFERROR(INDEX(Formulations[Formulation],MATCH($C5576,Formulations[Product Code],0)),"")</f>
        <v>Pure</v>
      </c>
    </row>
    <row r="5577" spans="1:7" x14ac:dyDescent="0.3">
      <c r="A5577" t="s">
        <v>502</v>
      </c>
      <c r="B5577" t="s">
        <v>508</v>
      </c>
      <c r="D5577" s="7">
        <v>0.5</v>
      </c>
      <c r="E5577">
        <v>2021</v>
      </c>
      <c r="F5577">
        <v>2021</v>
      </c>
      <c r="G5577" t="str">
        <f>IFERROR(INDEX(Formulations[Formulation],MATCH($C5577,Formulations[Product Code],0)),"")</f>
        <v/>
      </c>
    </row>
    <row r="5578" spans="1:7" x14ac:dyDescent="0.3">
      <c r="A5578" t="s">
        <v>502</v>
      </c>
      <c r="B5578" t="s">
        <v>119</v>
      </c>
      <c r="D5578" s="7">
        <v>0.5</v>
      </c>
      <c r="E5578">
        <v>2021</v>
      </c>
      <c r="F5578">
        <v>2021</v>
      </c>
      <c r="G5578" t="str">
        <f>IFERROR(INDEX(Formulations[Formulation],MATCH($C5578,Formulations[Product Code],0)),"")</f>
        <v/>
      </c>
    </row>
    <row r="5579" spans="1:7" x14ac:dyDescent="0.3">
      <c r="A5579" t="s">
        <v>502</v>
      </c>
      <c r="B5579" t="s">
        <v>66</v>
      </c>
      <c r="C5579" t="s">
        <v>67</v>
      </c>
      <c r="D5579" s="7">
        <v>0.5</v>
      </c>
      <c r="E5579">
        <v>2021</v>
      </c>
      <c r="F5579">
        <v>2021</v>
      </c>
      <c r="G5579" t="str">
        <f>IFERROR(INDEX(Formulations[Formulation],MATCH($C5579,Formulations[Product Code],0)),"")</f>
        <v>Pure</v>
      </c>
    </row>
    <row r="5580" spans="1:7" x14ac:dyDescent="0.3">
      <c r="A5580" t="s">
        <v>502</v>
      </c>
      <c r="B5580" t="s">
        <v>131</v>
      </c>
      <c r="C5580" t="s">
        <v>132</v>
      </c>
      <c r="D5580" s="7">
        <v>0.5</v>
      </c>
      <c r="E5580">
        <v>2021</v>
      </c>
      <c r="F5580">
        <v>2021</v>
      </c>
      <c r="G5580" t="str">
        <f>IFERROR(INDEX(Formulations[Formulation],MATCH($C5580,Formulations[Product Code],0)),"")</f>
        <v>Pure</v>
      </c>
    </row>
    <row r="5581" spans="1:7" x14ac:dyDescent="0.3">
      <c r="A5581" t="s">
        <v>502</v>
      </c>
      <c r="B5581" t="s">
        <v>144</v>
      </c>
      <c r="C5581" t="s">
        <v>145</v>
      </c>
      <c r="D5581" s="7">
        <v>0.5</v>
      </c>
      <c r="E5581">
        <v>2018</v>
      </c>
      <c r="F5581">
        <v>2018</v>
      </c>
      <c r="G5581" t="str">
        <f>IFERROR(INDEX(Formulations[Formulation],MATCH($C5581,Formulations[Product Code],0)),"")</f>
        <v/>
      </c>
    </row>
    <row r="5582" spans="1:7" x14ac:dyDescent="0.3">
      <c r="A5582" t="s">
        <v>580</v>
      </c>
      <c r="B5582" t="s">
        <v>320</v>
      </c>
      <c r="C5582" t="s">
        <v>414</v>
      </c>
      <c r="D5582" s="7">
        <v>0.5</v>
      </c>
      <c r="E5582">
        <v>2018</v>
      </c>
      <c r="F5582">
        <v>2018</v>
      </c>
      <c r="G5582" t="str">
        <f>IFERROR(INDEX(Formulations[Formulation],MATCH($C5582,Formulations[Product Code],0)),"")</f>
        <v/>
      </c>
    </row>
    <row r="5583" spans="1:7" x14ac:dyDescent="0.3">
      <c r="A5583" t="s">
        <v>822</v>
      </c>
      <c r="B5583" t="s">
        <v>280</v>
      </c>
      <c r="C5583" t="s">
        <v>224</v>
      </c>
      <c r="D5583" s="7">
        <v>0.5</v>
      </c>
      <c r="E5583">
        <v>2017</v>
      </c>
      <c r="F5583">
        <v>2017</v>
      </c>
      <c r="G5583" t="str">
        <f>IFERROR(INDEX(Formulations[Formulation],MATCH($C5583,Formulations[Product Code],0)),"")</f>
        <v/>
      </c>
    </row>
    <row r="5584" spans="1:7" x14ac:dyDescent="0.3">
      <c r="A5584" t="s">
        <v>822</v>
      </c>
      <c r="B5584" t="s">
        <v>819</v>
      </c>
      <c r="C5584" t="s">
        <v>220</v>
      </c>
      <c r="D5584" s="7">
        <v>0.5</v>
      </c>
      <c r="E5584">
        <v>2017</v>
      </c>
      <c r="F5584">
        <v>2017</v>
      </c>
      <c r="G5584" t="str">
        <f>IFERROR(INDEX(Formulations[Formulation],MATCH($C5584,Formulations[Product Code],0)),"")</f>
        <v/>
      </c>
    </row>
    <row r="5585" spans="1:7" x14ac:dyDescent="0.3">
      <c r="A5585" t="s">
        <v>822</v>
      </c>
      <c r="B5585" t="s">
        <v>824</v>
      </c>
      <c r="C5585" t="s">
        <v>825</v>
      </c>
      <c r="D5585" s="7">
        <v>0.5</v>
      </c>
      <c r="E5585">
        <v>2017</v>
      </c>
      <c r="F5585">
        <v>2017</v>
      </c>
      <c r="G5585" t="str">
        <f>IFERROR(INDEX(Formulations[Formulation],MATCH($C5585,Formulations[Product Code],0)),"")</f>
        <v/>
      </c>
    </row>
    <row r="5586" spans="1:7" x14ac:dyDescent="0.3">
      <c r="A5586" t="s">
        <v>822</v>
      </c>
      <c r="B5586" t="s">
        <v>584</v>
      </c>
      <c r="C5586" t="s">
        <v>413</v>
      </c>
      <c r="D5586" s="7">
        <v>0.5</v>
      </c>
      <c r="E5586">
        <v>2017</v>
      </c>
      <c r="F5586">
        <v>2017</v>
      </c>
      <c r="G5586" t="str">
        <f>IFERROR(INDEX(Formulations[Formulation],MATCH($C5586,Formulations[Product Code],0)),"")</f>
        <v>40% oil &amp; 60 % DPG</v>
      </c>
    </row>
    <row r="5587" spans="1:7" x14ac:dyDescent="0.3">
      <c r="A5587" t="s">
        <v>1092</v>
      </c>
      <c r="B5587" t="s">
        <v>1093</v>
      </c>
      <c r="C5587" t="s">
        <v>169</v>
      </c>
      <c r="D5587" s="7">
        <v>0.5</v>
      </c>
      <c r="E5587">
        <v>2018</v>
      </c>
      <c r="F5587">
        <v>2018</v>
      </c>
      <c r="G5587" t="str">
        <f>IFERROR(INDEX(Formulations[Formulation],MATCH($C5587,Formulations[Product Code],0)),"")</f>
        <v>Silver</v>
      </c>
    </row>
    <row r="5588" spans="1:7" x14ac:dyDescent="0.3">
      <c r="A5588" t="s">
        <v>1092</v>
      </c>
      <c r="B5588" t="s">
        <v>51</v>
      </c>
      <c r="C5588" t="s">
        <v>52</v>
      </c>
      <c r="D5588" s="7">
        <v>0.5</v>
      </c>
      <c r="E5588">
        <v>2018</v>
      </c>
      <c r="F5588">
        <v>2018</v>
      </c>
      <c r="G5588" t="str">
        <f>IFERROR(INDEX(Formulations[Formulation],MATCH($C5588,Formulations[Product Code],0)),"")</f>
        <v>Silver</v>
      </c>
    </row>
    <row r="5589" spans="1:7" x14ac:dyDescent="0.3">
      <c r="A5589" t="s">
        <v>1092</v>
      </c>
      <c r="B5589" t="s">
        <v>1094</v>
      </c>
      <c r="C5589" t="s">
        <v>209</v>
      </c>
      <c r="D5589" s="7">
        <v>0.5</v>
      </c>
      <c r="E5589">
        <v>2018</v>
      </c>
      <c r="F5589">
        <v>2018</v>
      </c>
      <c r="G5589" t="str">
        <f>IFERROR(INDEX(Formulations[Formulation],MATCH($C5589,Formulations[Product Code],0)),"")</f>
        <v/>
      </c>
    </row>
    <row r="5590" spans="1:7" x14ac:dyDescent="0.3">
      <c r="A5590" t="s">
        <v>1092</v>
      </c>
      <c r="B5590" t="s">
        <v>391</v>
      </c>
      <c r="C5590" t="s">
        <v>1095</v>
      </c>
      <c r="D5590" s="7">
        <v>0.5</v>
      </c>
      <c r="E5590">
        <v>2018</v>
      </c>
      <c r="F5590">
        <v>2018</v>
      </c>
      <c r="G5590" t="str">
        <f>IFERROR(INDEX(Formulations[Formulation],MATCH($C5590,Formulations[Product Code],0)),"")</f>
        <v/>
      </c>
    </row>
    <row r="5591" spans="1:7" x14ac:dyDescent="0.3">
      <c r="A5591" t="s">
        <v>1092</v>
      </c>
      <c r="B5591" t="s">
        <v>393</v>
      </c>
      <c r="C5591" t="s">
        <v>394</v>
      </c>
      <c r="D5591" s="7">
        <v>0.5</v>
      </c>
      <c r="E5591">
        <v>2018</v>
      </c>
      <c r="F5591">
        <v>2018</v>
      </c>
      <c r="G5591" t="str">
        <f>IFERROR(INDEX(Formulations[Formulation],MATCH($C5591,Formulations[Product Code],0)),"")</f>
        <v>Pure</v>
      </c>
    </row>
    <row r="5592" spans="1:7" x14ac:dyDescent="0.3">
      <c r="A5592" t="s">
        <v>1092</v>
      </c>
      <c r="B5592" t="s">
        <v>824</v>
      </c>
      <c r="C5592" t="s">
        <v>825</v>
      </c>
      <c r="D5592" s="7">
        <v>0.5</v>
      </c>
      <c r="E5592">
        <v>2018</v>
      </c>
      <c r="F5592">
        <v>2018</v>
      </c>
      <c r="G5592" t="str">
        <f>IFERROR(INDEX(Formulations[Formulation],MATCH($C5592,Formulations[Product Code],0)),"")</f>
        <v/>
      </c>
    </row>
    <row r="5593" spans="1:7" x14ac:dyDescent="0.3">
      <c r="A5593" t="s">
        <v>1092</v>
      </c>
      <c r="B5593" t="s">
        <v>363</v>
      </c>
      <c r="C5593" t="s">
        <v>364</v>
      </c>
      <c r="D5593" s="7">
        <v>0.5</v>
      </c>
      <c r="E5593">
        <v>2018</v>
      </c>
      <c r="F5593">
        <v>2018</v>
      </c>
      <c r="G5593" t="str">
        <f>IFERROR(INDEX(Formulations[Formulation],MATCH($C5593,Formulations[Product Code],0)),"")</f>
        <v/>
      </c>
    </row>
    <row r="5594" spans="1:7" x14ac:dyDescent="0.3">
      <c r="A5594" t="s">
        <v>1092</v>
      </c>
      <c r="B5594" t="s">
        <v>95</v>
      </c>
      <c r="C5594" t="s">
        <v>96</v>
      </c>
      <c r="D5594" s="7">
        <v>0.5</v>
      </c>
      <c r="E5594">
        <v>2018</v>
      </c>
      <c r="F5594">
        <v>2018</v>
      </c>
      <c r="G5594" t="str">
        <f>IFERROR(INDEX(Formulations[Formulation],MATCH($C5594,Formulations[Product Code],0)),"")</f>
        <v>9.2 kg oil and rest dpg</v>
      </c>
    </row>
    <row r="5595" spans="1:7" x14ac:dyDescent="0.3">
      <c r="A5595" t="s">
        <v>1092</v>
      </c>
      <c r="B5595" t="s">
        <v>99</v>
      </c>
      <c r="C5595" t="s">
        <v>100</v>
      </c>
      <c r="D5595" s="7">
        <v>0.5</v>
      </c>
      <c r="E5595">
        <v>2018</v>
      </c>
      <c r="F5595">
        <v>2018</v>
      </c>
      <c r="G5595" t="str">
        <f>IFERROR(INDEX(Formulations[Formulation],MATCH($C5595,Formulations[Product Code],0)),"")</f>
        <v>Crystal</v>
      </c>
    </row>
    <row r="5596" spans="1:7" x14ac:dyDescent="0.3">
      <c r="A5596" t="s">
        <v>1092</v>
      </c>
      <c r="B5596" t="s">
        <v>297</v>
      </c>
      <c r="C5596" t="s">
        <v>298</v>
      </c>
      <c r="D5596" s="7">
        <v>0.5</v>
      </c>
      <c r="E5596">
        <v>2018</v>
      </c>
      <c r="F5596">
        <v>2018</v>
      </c>
      <c r="G5596" t="str">
        <f>IFERROR(INDEX(Formulations[Formulation],MATCH($C5596,Formulations[Product Code],0)),"")</f>
        <v>Pure</v>
      </c>
    </row>
    <row r="5597" spans="1:7" x14ac:dyDescent="0.3">
      <c r="A5597" t="s">
        <v>1092</v>
      </c>
      <c r="B5597" t="s">
        <v>108</v>
      </c>
      <c r="C5597" t="s">
        <v>109</v>
      </c>
      <c r="D5597" s="7">
        <v>0.5</v>
      </c>
      <c r="E5597">
        <v>2018</v>
      </c>
      <c r="F5597">
        <v>2018</v>
      </c>
      <c r="G5597" t="str">
        <f>IFERROR(INDEX(Formulations[Formulation],MATCH($C5597,Formulations[Product Code],0)),"")</f>
        <v>Pure</v>
      </c>
    </row>
    <row r="5598" spans="1:7" x14ac:dyDescent="0.3">
      <c r="A5598" t="s">
        <v>1092</v>
      </c>
      <c r="B5598" t="s">
        <v>555</v>
      </c>
      <c r="C5598" t="s">
        <v>259</v>
      </c>
      <c r="D5598" s="7">
        <v>0.5</v>
      </c>
      <c r="E5598">
        <v>2018</v>
      </c>
      <c r="F5598">
        <v>2018</v>
      </c>
      <c r="G5598" t="str">
        <f>IFERROR(INDEX(Formulations[Formulation],MATCH($C5598,Formulations[Product Code],0)),"")</f>
        <v>Pure</v>
      </c>
    </row>
    <row r="5599" spans="1:7" x14ac:dyDescent="0.3">
      <c r="A5599" t="s">
        <v>1092</v>
      </c>
      <c r="B5599" t="s">
        <v>112</v>
      </c>
      <c r="C5599" t="s">
        <v>113</v>
      </c>
      <c r="D5599" s="7">
        <v>0.5</v>
      </c>
      <c r="E5599">
        <v>2018</v>
      </c>
      <c r="F5599">
        <v>2018</v>
      </c>
      <c r="G5599" t="str">
        <f>IFERROR(INDEX(Formulations[Formulation],MATCH($C5599,Formulations[Product Code],0)),"")</f>
        <v/>
      </c>
    </row>
    <row r="5600" spans="1:7" x14ac:dyDescent="0.3">
      <c r="A5600" t="s">
        <v>1092</v>
      </c>
      <c r="B5600" t="s">
        <v>120</v>
      </c>
      <c r="C5600" t="s">
        <v>121</v>
      </c>
      <c r="D5600" s="7">
        <v>0.5</v>
      </c>
      <c r="E5600">
        <v>2018</v>
      </c>
      <c r="F5600">
        <v>2018</v>
      </c>
      <c r="G5600" t="str">
        <f>IFERROR(INDEX(Formulations[Formulation],MATCH($C5600,Formulations[Product Code],0)),"")</f>
        <v/>
      </c>
    </row>
    <row r="5601" spans="1:7" x14ac:dyDescent="0.3">
      <c r="A5601" t="s">
        <v>1092</v>
      </c>
      <c r="B5601" t="s">
        <v>142</v>
      </c>
      <c r="C5601" t="s">
        <v>143</v>
      </c>
      <c r="D5601" s="7">
        <v>0.5</v>
      </c>
      <c r="E5601">
        <v>2018</v>
      </c>
      <c r="F5601">
        <v>2018</v>
      </c>
      <c r="G5601" t="str">
        <f>IFERROR(INDEX(Formulations[Formulation],MATCH($C5601,Formulations[Product Code],0)),"")</f>
        <v>Pure</v>
      </c>
    </row>
    <row r="5602" spans="1:7" x14ac:dyDescent="0.3">
      <c r="A5602" t="s">
        <v>1092</v>
      </c>
      <c r="B5602" t="s">
        <v>584</v>
      </c>
      <c r="C5602" t="s">
        <v>413</v>
      </c>
      <c r="D5602" s="7">
        <v>0.5</v>
      </c>
      <c r="E5602">
        <v>2018</v>
      </c>
      <c r="F5602">
        <v>2018</v>
      </c>
      <c r="G5602" t="str">
        <f>IFERROR(INDEX(Formulations[Formulation],MATCH($C5602,Formulations[Product Code],0)),"")</f>
        <v>40% oil &amp; 60 % DPG</v>
      </c>
    </row>
    <row r="5603" spans="1:7" x14ac:dyDescent="0.3">
      <c r="A5603" t="s">
        <v>1092</v>
      </c>
      <c r="B5603" t="s">
        <v>318</v>
      </c>
      <c r="C5603" t="s">
        <v>319</v>
      </c>
      <c r="D5603" s="7">
        <v>0.5</v>
      </c>
      <c r="E5603">
        <v>2018</v>
      </c>
      <c r="F5603">
        <v>2018</v>
      </c>
      <c r="G5603" t="str">
        <f>IFERROR(INDEX(Formulations[Formulation],MATCH($C5603,Formulations[Product Code],0)),"")</f>
        <v>Pure</v>
      </c>
    </row>
    <row r="5604" spans="1:7" x14ac:dyDescent="0.3">
      <c r="A5604" t="s">
        <v>1092</v>
      </c>
      <c r="B5604" t="s">
        <v>236</v>
      </c>
      <c r="C5604" t="s">
        <v>237</v>
      </c>
      <c r="D5604" s="7">
        <v>0.5</v>
      </c>
      <c r="E5604">
        <v>2018</v>
      </c>
      <c r="F5604">
        <v>2018</v>
      </c>
      <c r="G5604" t="str">
        <f>IFERROR(INDEX(Formulations[Formulation],MATCH($C5604,Formulations[Product Code],0)),"")</f>
        <v>Body by Burberry (F) CP00861 60%, Pacific Paradise 30%, Supreme bouqet 10%, than make gold</v>
      </c>
    </row>
    <row r="5605" spans="1:7" x14ac:dyDescent="0.3">
      <c r="A5605" t="s">
        <v>1092</v>
      </c>
      <c r="B5605" t="s">
        <v>159</v>
      </c>
      <c r="C5605" t="s">
        <v>160</v>
      </c>
      <c r="D5605" s="7">
        <v>0.5</v>
      </c>
      <c r="E5605">
        <v>2018</v>
      </c>
      <c r="F5605">
        <v>2018</v>
      </c>
      <c r="G5605" t="str">
        <f>IFERROR(INDEX(Formulations[Formulation],MATCH($C5605,Formulations[Product Code],0)),"")</f>
        <v>Silver</v>
      </c>
    </row>
    <row r="5606" spans="1:7" x14ac:dyDescent="0.3">
      <c r="A5606" t="s">
        <v>1431</v>
      </c>
      <c r="B5606" t="s">
        <v>1093</v>
      </c>
      <c r="C5606" t="s">
        <v>169</v>
      </c>
      <c r="D5606" s="7">
        <v>0.5</v>
      </c>
      <c r="E5606">
        <v>2018</v>
      </c>
      <c r="F5606">
        <v>2018</v>
      </c>
      <c r="G5606" t="str">
        <f>IFERROR(INDEX(Formulations[Formulation],MATCH($C5606,Formulations[Product Code],0)),"")</f>
        <v>Silver</v>
      </c>
    </row>
    <row r="5607" spans="1:7" x14ac:dyDescent="0.3">
      <c r="A5607" t="s">
        <v>1431</v>
      </c>
      <c r="B5607" t="s">
        <v>391</v>
      </c>
      <c r="C5607" t="s">
        <v>392</v>
      </c>
      <c r="D5607" s="7">
        <v>0.5</v>
      </c>
      <c r="E5607">
        <v>2018</v>
      </c>
      <c r="F5607">
        <v>2018</v>
      </c>
      <c r="G5607" t="str">
        <f>IFERROR(INDEX(Formulations[Formulation],MATCH($C5607,Formulations[Product Code],0)),"")</f>
        <v/>
      </c>
    </row>
    <row r="5608" spans="1:7" x14ac:dyDescent="0.3">
      <c r="A5608" t="s">
        <v>1431</v>
      </c>
      <c r="B5608" t="s">
        <v>280</v>
      </c>
      <c r="C5608" t="s">
        <v>224</v>
      </c>
      <c r="D5608" s="7">
        <v>0.5</v>
      </c>
      <c r="E5608">
        <v>2018</v>
      </c>
      <c r="F5608">
        <v>2018</v>
      </c>
      <c r="G5608" t="str">
        <f>IFERROR(INDEX(Formulations[Formulation],MATCH($C5608,Formulations[Product Code],0)),"")</f>
        <v/>
      </c>
    </row>
    <row r="5609" spans="1:7" x14ac:dyDescent="0.3">
      <c r="A5609" t="s">
        <v>1431</v>
      </c>
      <c r="B5609" t="s">
        <v>180</v>
      </c>
      <c r="C5609" t="s">
        <v>181</v>
      </c>
      <c r="D5609" s="7">
        <v>0.5</v>
      </c>
      <c r="E5609">
        <v>2018</v>
      </c>
      <c r="F5609">
        <v>2018</v>
      </c>
      <c r="G5609" t="str">
        <f>IFERROR(INDEX(Formulations[Formulation],MATCH($C5609,Formulations[Product Code],0)),"")</f>
        <v/>
      </c>
    </row>
    <row r="5610" spans="1:7" x14ac:dyDescent="0.3">
      <c r="A5610" t="s">
        <v>1431</v>
      </c>
      <c r="B5610" t="s">
        <v>137</v>
      </c>
      <c r="C5610" t="s">
        <v>138</v>
      </c>
      <c r="D5610" s="7">
        <v>0.5</v>
      </c>
      <c r="E5610">
        <v>2018</v>
      </c>
      <c r="F5610">
        <v>2018</v>
      </c>
      <c r="G5610" t="str">
        <f>IFERROR(INDEX(Formulations[Formulation],MATCH($C5610,Formulations[Product Code],0)),"")</f>
        <v>WS</v>
      </c>
    </row>
    <row r="5611" spans="1:7" x14ac:dyDescent="0.3">
      <c r="A5611" t="s">
        <v>1431</v>
      </c>
      <c r="B5611" t="s">
        <v>149</v>
      </c>
      <c r="C5611" t="s">
        <v>150</v>
      </c>
      <c r="D5611" s="7">
        <v>0.5</v>
      </c>
      <c r="E5611">
        <v>2018</v>
      </c>
      <c r="F5611">
        <v>2018</v>
      </c>
      <c r="G5611" t="str">
        <f>IFERROR(INDEX(Formulations[Formulation],MATCH($C5611,Formulations[Product Code],0)),"")</f>
        <v/>
      </c>
    </row>
    <row r="5612" spans="1:7" x14ac:dyDescent="0.3">
      <c r="A5612" t="s">
        <v>1431</v>
      </c>
      <c r="B5612" t="s">
        <v>562</v>
      </c>
      <c r="C5612" t="s">
        <v>563</v>
      </c>
      <c r="D5612" s="7">
        <v>0.5</v>
      </c>
      <c r="E5612">
        <v>2018</v>
      </c>
      <c r="F5612">
        <v>2018</v>
      </c>
      <c r="G5612" t="str">
        <f>IFERROR(INDEX(Formulations[Formulation],MATCH($C5612,Formulations[Product Code],0)),"")</f>
        <v/>
      </c>
    </row>
    <row r="5613" spans="1:7" x14ac:dyDescent="0.3">
      <c r="A5613" t="s">
        <v>1463</v>
      </c>
      <c r="B5613" t="s">
        <v>1507</v>
      </c>
      <c r="C5613" t="s">
        <v>1508</v>
      </c>
      <c r="D5613" s="7">
        <v>0.5</v>
      </c>
      <c r="E5613">
        <v>2013</v>
      </c>
      <c r="F5613">
        <v>2013</v>
      </c>
      <c r="G5613" t="str">
        <f>IFERROR(INDEX(Formulations[Formulation],MATCH($C5613,Formulations[Product Code],0)),"")</f>
        <v/>
      </c>
    </row>
    <row r="5614" spans="1:7" x14ac:dyDescent="0.3">
      <c r="A5614" t="s">
        <v>1463</v>
      </c>
      <c r="B5614" t="s">
        <v>555</v>
      </c>
      <c r="C5614" t="s">
        <v>259</v>
      </c>
      <c r="D5614" s="7">
        <v>0.5</v>
      </c>
      <c r="E5614">
        <v>2013</v>
      </c>
      <c r="F5614">
        <v>2013</v>
      </c>
      <c r="G5614" t="str">
        <f>IFERROR(INDEX(Formulations[Formulation],MATCH($C5614,Formulations[Product Code],0)),"")</f>
        <v>Pure</v>
      </c>
    </row>
    <row r="5615" spans="1:7" x14ac:dyDescent="0.3">
      <c r="A5615" t="s">
        <v>1703</v>
      </c>
      <c r="B5615" t="s">
        <v>1717</v>
      </c>
      <c r="C5615" t="s">
        <v>1718</v>
      </c>
      <c r="D5615" s="7">
        <v>0.5</v>
      </c>
      <c r="E5615">
        <v>2012</v>
      </c>
      <c r="F5615">
        <v>2012</v>
      </c>
      <c r="G5615" t="str">
        <f>IFERROR(INDEX(Formulations[Formulation],MATCH($C5615,Formulations[Product Code],0)),"")</f>
        <v/>
      </c>
    </row>
    <row r="5616" spans="1:7" x14ac:dyDescent="0.3">
      <c r="A5616" t="s">
        <v>2121</v>
      </c>
      <c r="B5616" t="s">
        <v>84</v>
      </c>
      <c r="C5616" t="s">
        <v>85</v>
      </c>
      <c r="D5616" s="7">
        <v>0.5</v>
      </c>
      <c r="E5616">
        <v>2016</v>
      </c>
      <c r="F5616">
        <v>2016</v>
      </c>
      <c r="G5616" t="str">
        <f>IFERROR(INDEX(Formulations[Formulation],MATCH($C5616,Formulations[Product Code],0)),"")</f>
        <v>Pure</v>
      </c>
    </row>
    <row r="5617" spans="1:7" x14ac:dyDescent="0.3">
      <c r="A5617" t="s">
        <v>2121</v>
      </c>
      <c r="B5617" t="s">
        <v>2122</v>
      </c>
      <c r="C5617" t="s">
        <v>181</v>
      </c>
      <c r="D5617" s="7">
        <v>0.5</v>
      </c>
      <c r="E5617">
        <v>2016</v>
      </c>
      <c r="F5617">
        <v>2016</v>
      </c>
      <c r="G5617" t="str">
        <f>IFERROR(INDEX(Formulations[Formulation],MATCH($C5617,Formulations[Product Code],0)),"")</f>
        <v/>
      </c>
    </row>
    <row r="5618" spans="1:7" x14ac:dyDescent="0.3">
      <c r="A5618" t="s">
        <v>2121</v>
      </c>
      <c r="B5618" t="s">
        <v>398</v>
      </c>
      <c r="C5618" t="s">
        <v>399</v>
      </c>
      <c r="D5618" s="7">
        <v>0.5</v>
      </c>
      <c r="E5618">
        <v>2016</v>
      </c>
      <c r="F5618">
        <v>2016</v>
      </c>
      <c r="G5618" t="str">
        <f>IFERROR(INDEX(Formulations[Formulation],MATCH($C5618,Formulations[Product Code],0)),"")</f>
        <v/>
      </c>
    </row>
    <row r="5619" spans="1:7" x14ac:dyDescent="0.3">
      <c r="A5619" t="s">
        <v>2121</v>
      </c>
      <c r="B5619" t="s">
        <v>142</v>
      </c>
      <c r="C5619" t="s">
        <v>143</v>
      </c>
      <c r="D5619" s="7">
        <v>0.5</v>
      </c>
      <c r="E5619">
        <v>2016</v>
      </c>
      <c r="F5619">
        <v>2016</v>
      </c>
      <c r="G5619" t="str">
        <f>IFERROR(INDEX(Formulations[Formulation],MATCH($C5619,Formulations[Product Code],0)),"")</f>
        <v>Pure</v>
      </c>
    </row>
    <row r="5620" spans="1:7" x14ac:dyDescent="0.3">
      <c r="A5620" t="s">
        <v>2121</v>
      </c>
      <c r="B5620" t="s">
        <v>318</v>
      </c>
      <c r="C5620" t="s">
        <v>319</v>
      </c>
      <c r="D5620" s="7">
        <v>0.5</v>
      </c>
      <c r="E5620">
        <v>2016</v>
      </c>
      <c r="F5620">
        <v>2016</v>
      </c>
      <c r="G5620" t="str">
        <f>IFERROR(INDEX(Formulations[Formulation],MATCH($C5620,Formulations[Product Code],0)),"")</f>
        <v>Pure</v>
      </c>
    </row>
    <row r="5621" spans="1:7" x14ac:dyDescent="0.3">
      <c r="A5621" t="s">
        <v>2187</v>
      </c>
      <c r="B5621" t="s">
        <v>90</v>
      </c>
      <c r="C5621" t="s">
        <v>91</v>
      </c>
      <c r="D5621" s="7">
        <v>0.5</v>
      </c>
      <c r="E5621">
        <v>2021</v>
      </c>
      <c r="F5621">
        <v>2021</v>
      </c>
      <c r="G5621" t="str">
        <f>IFERROR(INDEX(Formulations[Formulation],MATCH($C5621,Formulations[Product Code],0)),"")</f>
        <v>Pure</v>
      </c>
    </row>
    <row r="5622" spans="1:7" x14ac:dyDescent="0.3">
      <c r="A5622" t="s">
        <v>2333</v>
      </c>
      <c r="B5622" t="s">
        <v>839</v>
      </c>
      <c r="C5622" t="s">
        <v>138</v>
      </c>
      <c r="D5622" s="7">
        <v>0.5</v>
      </c>
      <c r="E5622">
        <v>2019</v>
      </c>
      <c r="F5622">
        <v>2019</v>
      </c>
      <c r="G5622" t="str">
        <f>IFERROR(INDEX(Formulations[Formulation],MATCH($C5622,Formulations[Product Code],0)),"")</f>
        <v>WS</v>
      </c>
    </row>
    <row r="5623" spans="1:7" x14ac:dyDescent="0.3">
      <c r="A5623" t="s">
        <v>2482</v>
      </c>
      <c r="B5623" t="s">
        <v>163</v>
      </c>
      <c r="C5623" t="s">
        <v>164</v>
      </c>
      <c r="D5623" s="7">
        <v>0.5</v>
      </c>
      <c r="E5623">
        <v>2018</v>
      </c>
      <c r="F5623">
        <v>2018</v>
      </c>
      <c r="G5623" t="str">
        <f>IFERROR(INDEX(Formulations[Formulation],MATCH($C5623,Formulations[Product Code],0)),"")</f>
        <v>Pure</v>
      </c>
    </row>
    <row r="5624" spans="1:7" x14ac:dyDescent="0.3">
      <c r="A5624" t="s">
        <v>2187</v>
      </c>
      <c r="B5624" t="s">
        <v>82</v>
      </c>
      <c r="C5624" t="s">
        <v>83</v>
      </c>
      <c r="D5624" s="7">
        <v>0.3</v>
      </c>
      <c r="E5624">
        <v>2021</v>
      </c>
      <c r="F5624">
        <v>2021</v>
      </c>
      <c r="G5624" t="str">
        <f>IFERROR(INDEX(Formulations[Formulation],MATCH($C5624,Formulations[Product Code],0)),"")</f>
        <v>Pure</v>
      </c>
    </row>
    <row r="5625" spans="1:7" x14ac:dyDescent="0.3">
      <c r="A5625" t="s">
        <v>2589</v>
      </c>
      <c r="B5625" t="s">
        <v>126</v>
      </c>
      <c r="D5625" s="7">
        <v>0.3</v>
      </c>
      <c r="E5625">
        <v>2020</v>
      </c>
      <c r="F5625">
        <v>2020</v>
      </c>
      <c r="G5625" t="str">
        <f>IFERROR(INDEX(Formulations[Formulation],MATCH($C5625,Formulations[Product Code],0)),"")</f>
        <v/>
      </c>
    </row>
    <row r="5626" spans="1:7" x14ac:dyDescent="0.3">
      <c r="A5626" t="s">
        <v>1646</v>
      </c>
      <c r="B5626" t="s">
        <v>1648</v>
      </c>
      <c r="C5626" t="s">
        <v>1649</v>
      </c>
      <c r="D5626" s="7">
        <v>0.25</v>
      </c>
      <c r="E5626">
        <v>2015</v>
      </c>
      <c r="F5626">
        <v>2015</v>
      </c>
      <c r="G5626" t="str">
        <f>IFERROR(INDEX(Formulations[Formulation],MATCH($C5626,Formulations[Product Code],0)),"")</f>
        <v/>
      </c>
    </row>
    <row r="5627" spans="1:7" x14ac:dyDescent="0.3">
      <c r="A5627" t="s">
        <v>2472</v>
      </c>
      <c r="B5627" t="s">
        <v>1410</v>
      </c>
      <c r="C5627" t="s">
        <v>1411</v>
      </c>
      <c r="D5627" s="7">
        <v>0.2</v>
      </c>
      <c r="E5627">
        <v>2020</v>
      </c>
      <c r="F5627">
        <v>2020</v>
      </c>
      <c r="G5627" t="str">
        <f>IFERROR(INDEX(Formulations[Formulation],MATCH($C5627,Formulations[Product Code],0)),"")</f>
        <v>Pure</v>
      </c>
    </row>
    <row r="5628" spans="1:7" x14ac:dyDescent="0.3">
      <c r="A5628" t="s">
        <v>2472</v>
      </c>
      <c r="B5628" t="s">
        <v>1666</v>
      </c>
      <c r="C5628" t="s">
        <v>1667</v>
      </c>
      <c r="D5628" s="7">
        <v>0.2</v>
      </c>
      <c r="E5628">
        <v>2020</v>
      </c>
      <c r="F5628">
        <v>2020</v>
      </c>
      <c r="G5628" t="str">
        <f>IFERROR(INDEX(Formulations[Formulation],MATCH($C5628,Formulations[Product Code],0)),"")</f>
        <v>Crystal</v>
      </c>
    </row>
    <row r="5629" spans="1:7" x14ac:dyDescent="0.3">
      <c r="A5629" t="s">
        <v>2472</v>
      </c>
      <c r="B5629" t="s">
        <v>839</v>
      </c>
      <c r="C5629" t="s">
        <v>138</v>
      </c>
      <c r="D5629" s="7">
        <v>0.2</v>
      </c>
      <c r="E5629">
        <v>2020</v>
      </c>
      <c r="F5629">
        <v>2020</v>
      </c>
      <c r="G5629" t="str">
        <f>IFERROR(INDEX(Formulations[Formulation],MATCH($C5629,Formulations[Product Code],0)),"")</f>
        <v>WS</v>
      </c>
    </row>
    <row r="5630" spans="1:7" x14ac:dyDescent="0.3">
      <c r="A5630" t="s">
        <v>2472</v>
      </c>
      <c r="B5630" t="s">
        <v>656</v>
      </c>
      <c r="C5630" t="s">
        <v>71</v>
      </c>
      <c r="D5630" s="7">
        <v>0.2</v>
      </c>
      <c r="E5630">
        <v>2020</v>
      </c>
      <c r="F5630">
        <v>2020</v>
      </c>
      <c r="G5630" t="str">
        <f>IFERROR(INDEX(Formulations[Formulation],MATCH($C5630,Formulations[Product Code],0)),"")</f>
        <v>40% Oil &amp; 60% DPG</v>
      </c>
    </row>
    <row r="5631" spans="1:7" x14ac:dyDescent="0.3">
      <c r="A5631" t="s">
        <v>2472</v>
      </c>
      <c r="B5631" t="s">
        <v>841</v>
      </c>
      <c r="C5631" t="s">
        <v>169</v>
      </c>
      <c r="D5631" s="7">
        <v>0.2</v>
      </c>
      <c r="E5631">
        <v>2020</v>
      </c>
      <c r="F5631">
        <v>2020</v>
      </c>
      <c r="G5631" t="str">
        <f>IFERROR(INDEX(Formulations[Formulation],MATCH($C5631,Formulations[Product Code],0)),"")</f>
        <v>Silver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7"/>
  <sheetViews>
    <sheetView zoomScaleNormal="100" workbookViewId="0">
      <pane ySplit="1" topLeftCell="A8" activePane="bottomLeft" state="frozen"/>
      <selection pane="bottomLeft" activeCell="C440" sqref="C440:C442"/>
    </sheetView>
  </sheetViews>
  <sheetFormatPr defaultColWidth="8.6640625" defaultRowHeight="14.4" x14ac:dyDescent="0.3"/>
  <cols>
    <col min="1" max="1" width="30" customWidth="1"/>
    <col min="2" max="2" width="16" customWidth="1"/>
    <col min="3" max="3" width="50" customWidth="1"/>
  </cols>
  <sheetData>
    <row r="1" spans="1:3" x14ac:dyDescent="0.3">
      <c r="A1" s="1" t="s">
        <v>1</v>
      </c>
      <c r="B1" s="1" t="s">
        <v>2</v>
      </c>
      <c r="C1" s="1" t="s">
        <v>7</v>
      </c>
    </row>
    <row r="2" spans="1:3" x14ac:dyDescent="0.3">
      <c r="A2" t="s">
        <v>51</v>
      </c>
      <c r="B2" t="s">
        <v>52</v>
      </c>
      <c r="C2" t="s">
        <v>374</v>
      </c>
    </row>
    <row r="3" spans="1:3" x14ac:dyDescent="0.3">
      <c r="A3" t="s">
        <v>51</v>
      </c>
      <c r="B3" t="s">
        <v>52</v>
      </c>
      <c r="C3" t="s">
        <v>18</v>
      </c>
    </row>
    <row r="4" spans="1:3" x14ac:dyDescent="0.3">
      <c r="A4" t="s">
        <v>51</v>
      </c>
      <c r="B4" t="s">
        <v>52</v>
      </c>
      <c r="C4" t="s">
        <v>14</v>
      </c>
    </row>
    <row r="5" spans="1:3" x14ac:dyDescent="0.3">
      <c r="A5" t="s">
        <v>623</v>
      </c>
      <c r="B5" t="s">
        <v>324</v>
      </c>
      <c r="C5" t="s">
        <v>18</v>
      </c>
    </row>
    <row r="6" spans="1:3" x14ac:dyDescent="0.3">
      <c r="A6" t="s">
        <v>1128</v>
      </c>
      <c r="B6" t="s">
        <v>1129</v>
      </c>
      <c r="C6" t="s">
        <v>374</v>
      </c>
    </row>
    <row r="7" spans="1:3" x14ac:dyDescent="0.3">
      <c r="A7" t="s">
        <v>1128</v>
      </c>
      <c r="B7" t="s">
        <v>1129</v>
      </c>
      <c r="C7" t="s">
        <v>442</v>
      </c>
    </row>
    <row r="8" spans="1:3" x14ac:dyDescent="0.3">
      <c r="A8" t="s">
        <v>1408</v>
      </c>
      <c r="C8" t="s">
        <v>147</v>
      </c>
    </row>
    <row r="9" spans="1:3" x14ac:dyDescent="0.3">
      <c r="A9" t="s">
        <v>1408</v>
      </c>
      <c r="C9" t="s">
        <v>606</v>
      </c>
    </row>
    <row r="10" spans="1:3" x14ac:dyDescent="0.3">
      <c r="A10" t="s">
        <v>782</v>
      </c>
      <c r="C10" t="s">
        <v>783</v>
      </c>
    </row>
    <row r="11" spans="1:3" x14ac:dyDescent="0.3">
      <c r="A11" t="s">
        <v>1747</v>
      </c>
      <c r="C11" t="s">
        <v>1748</v>
      </c>
    </row>
    <row r="12" spans="1:3" x14ac:dyDescent="0.3">
      <c r="A12" t="s">
        <v>784</v>
      </c>
      <c r="C12" t="s">
        <v>785</v>
      </c>
    </row>
    <row r="13" spans="1:3" x14ac:dyDescent="0.3">
      <c r="A13" t="s">
        <v>276</v>
      </c>
      <c r="B13" t="s">
        <v>277</v>
      </c>
      <c r="C13" t="s">
        <v>18</v>
      </c>
    </row>
    <row r="14" spans="1:3" x14ac:dyDescent="0.3">
      <c r="A14" t="s">
        <v>786</v>
      </c>
      <c r="C14" t="s">
        <v>787</v>
      </c>
    </row>
    <row r="15" spans="1:3" x14ac:dyDescent="0.3">
      <c r="A15" t="s">
        <v>2053</v>
      </c>
      <c r="B15" t="s">
        <v>394</v>
      </c>
      <c r="C15" t="s">
        <v>18</v>
      </c>
    </row>
    <row r="16" spans="1:3" x14ac:dyDescent="0.3">
      <c r="A16" t="s">
        <v>624</v>
      </c>
      <c r="B16" t="s">
        <v>625</v>
      </c>
      <c r="C16" t="s">
        <v>14</v>
      </c>
    </row>
    <row r="17" spans="1:3" x14ac:dyDescent="0.3">
      <c r="A17" t="s">
        <v>624</v>
      </c>
      <c r="B17" t="s">
        <v>625</v>
      </c>
      <c r="C17" t="s">
        <v>18</v>
      </c>
    </row>
    <row r="18" spans="1:3" x14ac:dyDescent="0.3">
      <c r="A18" t="s">
        <v>624</v>
      </c>
      <c r="B18" t="s">
        <v>625</v>
      </c>
      <c r="C18" t="s">
        <v>374</v>
      </c>
    </row>
    <row r="19" spans="1:3" x14ac:dyDescent="0.3">
      <c r="A19" t="s">
        <v>2210</v>
      </c>
      <c r="C19" t="s">
        <v>2211</v>
      </c>
    </row>
    <row r="20" spans="1:3" x14ac:dyDescent="0.3">
      <c r="A20" t="s">
        <v>532</v>
      </c>
      <c r="B20" t="s">
        <v>452</v>
      </c>
      <c r="C20" t="s">
        <v>14</v>
      </c>
    </row>
    <row r="21" spans="1:3" x14ac:dyDescent="0.3">
      <c r="A21" t="s">
        <v>532</v>
      </c>
      <c r="B21" t="s">
        <v>452</v>
      </c>
      <c r="C21" t="s">
        <v>18</v>
      </c>
    </row>
    <row r="22" spans="1:3" x14ac:dyDescent="0.3">
      <c r="A22" t="s">
        <v>451</v>
      </c>
      <c r="B22" t="s">
        <v>452</v>
      </c>
      <c r="C22" t="s">
        <v>14</v>
      </c>
    </row>
    <row r="23" spans="1:3" x14ac:dyDescent="0.3">
      <c r="A23" t="s">
        <v>1755</v>
      </c>
      <c r="C23" t="s">
        <v>1756</v>
      </c>
    </row>
    <row r="24" spans="1:3" x14ac:dyDescent="0.3">
      <c r="A24" t="s">
        <v>82</v>
      </c>
      <c r="B24" t="s">
        <v>83</v>
      </c>
      <c r="C24" t="s">
        <v>18</v>
      </c>
    </row>
    <row r="25" spans="1:3" x14ac:dyDescent="0.3">
      <c r="A25" t="s">
        <v>830</v>
      </c>
      <c r="B25" t="s">
        <v>831</v>
      </c>
      <c r="C25" t="s">
        <v>14</v>
      </c>
    </row>
    <row r="26" spans="1:3" x14ac:dyDescent="0.3">
      <c r="A26" t="s">
        <v>716</v>
      </c>
      <c r="B26" t="s">
        <v>717</v>
      </c>
      <c r="C26" t="s">
        <v>18</v>
      </c>
    </row>
    <row r="27" spans="1:3" x14ac:dyDescent="0.3">
      <c r="A27" t="s">
        <v>716</v>
      </c>
      <c r="B27" t="s">
        <v>717</v>
      </c>
      <c r="C27" t="s">
        <v>14</v>
      </c>
    </row>
    <row r="28" spans="1:3" x14ac:dyDescent="0.3">
      <c r="A28" t="s">
        <v>1762</v>
      </c>
      <c r="B28" t="s">
        <v>1763</v>
      </c>
      <c r="C28" t="s">
        <v>14</v>
      </c>
    </row>
    <row r="29" spans="1:3" x14ac:dyDescent="0.3">
      <c r="A29" t="s">
        <v>1176</v>
      </c>
      <c r="C29" t="s">
        <v>1177</v>
      </c>
    </row>
    <row r="30" spans="1:3" x14ac:dyDescent="0.3">
      <c r="A30" t="s">
        <v>84</v>
      </c>
      <c r="B30" t="s">
        <v>85</v>
      </c>
      <c r="C30" t="s">
        <v>18</v>
      </c>
    </row>
    <row r="31" spans="1:3" x14ac:dyDescent="0.3">
      <c r="A31" t="s">
        <v>586</v>
      </c>
      <c r="B31" t="s">
        <v>587</v>
      </c>
      <c r="C31" t="s">
        <v>18</v>
      </c>
    </row>
    <row r="32" spans="1:3" x14ac:dyDescent="0.3">
      <c r="A32" t="s">
        <v>586</v>
      </c>
      <c r="B32" t="s">
        <v>587</v>
      </c>
      <c r="C32" t="s">
        <v>14</v>
      </c>
    </row>
    <row r="33" spans="1:3" x14ac:dyDescent="0.3">
      <c r="A33" t="s">
        <v>627</v>
      </c>
      <c r="B33" t="s">
        <v>628</v>
      </c>
      <c r="C33" t="s">
        <v>18</v>
      </c>
    </row>
    <row r="34" spans="1:3" x14ac:dyDescent="0.3">
      <c r="A34" t="s">
        <v>2070</v>
      </c>
      <c r="B34" t="s">
        <v>2071</v>
      </c>
      <c r="C34" t="s">
        <v>18</v>
      </c>
    </row>
    <row r="35" spans="1:3" x14ac:dyDescent="0.3">
      <c r="A35" t="s">
        <v>2177</v>
      </c>
      <c r="C35" t="s">
        <v>2178</v>
      </c>
    </row>
    <row r="36" spans="1:3" x14ac:dyDescent="0.3">
      <c r="A36" t="s">
        <v>55</v>
      </c>
      <c r="C36" t="s">
        <v>18</v>
      </c>
    </row>
    <row r="37" spans="1:3" x14ac:dyDescent="0.3">
      <c r="A37" t="s">
        <v>55</v>
      </c>
      <c r="C37" t="s">
        <v>588</v>
      </c>
    </row>
    <row r="38" spans="1:3" x14ac:dyDescent="0.3">
      <c r="A38" t="s">
        <v>55</v>
      </c>
      <c r="C38" t="s">
        <v>374</v>
      </c>
    </row>
    <row r="39" spans="1:3" x14ac:dyDescent="0.3">
      <c r="A39" t="s">
        <v>589</v>
      </c>
      <c r="B39" t="s">
        <v>590</v>
      </c>
      <c r="C39" t="s">
        <v>720</v>
      </c>
    </row>
    <row r="40" spans="1:3" x14ac:dyDescent="0.3">
      <c r="A40" t="s">
        <v>589</v>
      </c>
      <c r="B40" t="s">
        <v>590</v>
      </c>
      <c r="C40" t="s">
        <v>18</v>
      </c>
    </row>
    <row r="41" spans="1:3" x14ac:dyDescent="0.3">
      <c r="A41" t="s">
        <v>86</v>
      </c>
      <c r="B41" t="s">
        <v>87</v>
      </c>
      <c r="C41" t="s">
        <v>18</v>
      </c>
    </row>
    <row r="42" spans="1:3" x14ac:dyDescent="0.3">
      <c r="A42" t="s">
        <v>660</v>
      </c>
      <c r="B42" t="s">
        <v>661</v>
      </c>
      <c r="C42" t="s">
        <v>14</v>
      </c>
    </row>
    <row r="43" spans="1:3" x14ac:dyDescent="0.3">
      <c r="A43" t="s">
        <v>660</v>
      </c>
      <c r="B43" t="s">
        <v>661</v>
      </c>
      <c r="C43" t="s">
        <v>2355</v>
      </c>
    </row>
    <row r="44" spans="1:3" x14ac:dyDescent="0.3">
      <c r="A44" t="s">
        <v>721</v>
      </c>
      <c r="B44" t="s">
        <v>722</v>
      </c>
      <c r="C44" t="s">
        <v>18</v>
      </c>
    </row>
    <row r="45" spans="1:3" x14ac:dyDescent="0.3">
      <c r="A45" t="s">
        <v>721</v>
      </c>
      <c r="B45" t="s">
        <v>722</v>
      </c>
      <c r="C45" t="s">
        <v>442</v>
      </c>
    </row>
    <row r="46" spans="1:3" x14ac:dyDescent="0.3">
      <c r="A46" t="s">
        <v>629</v>
      </c>
      <c r="B46" t="s">
        <v>630</v>
      </c>
      <c r="C46" t="s">
        <v>14</v>
      </c>
    </row>
    <row r="47" spans="1:3" x14ac:dyDescent="0.3">
      <c r="A47" t="s">
        <v>591</v>
      </c>
      <c r="B47" t="s">
        <v>592</v>
      </c>
      <c r="C47" t="s">
        <v>689</v>
      </c>
    </row>
    <row r="48" spans="1:3" x14ac:dyDescent="0.3">
      <c r="A48" t="s">
        <v>2179</v>
      </c>
      <c r="C48" t="s">
        <v>2180</v>
      </c>
    </row>
    <row r="49" spans="1:3" x14ac:dyDescent="0.3">
      <c r="A49" t="s">
        <v>723</v>
      </c>
      <c r="B49" t="s">
        <v>724</v>
      </c>
      <c r="C49" t="s">
        <v>14</v>
      </c>
    </row>
    <row r="50" spans="1:3" x14ac:dyDescent="0.3">
      <c r="A50" t="s">
        <v>244</v>
      </c>
      <c r="B50" t="s">
        <v>245</v>
      </c>
      <c r="C50" t="s">
        <v>725</v>
      </c>
    </row>
    <row r="51" spans="1:3" x14ac:dyDescent="0.3">
      <c r="A51" t="s">
        <v>16</v>
      </c>
      <c r="B51" t="s">
        <v>17</v>
      </c>
      <c r="C51" t="s">
        <v>14</v>
      </c>
    </row>
    <row r="52" spans="1:3" x14ac:dyDescent="0.3">
      <c r="A52" t="s">
        <v>16</v>
      </c>
      <c r="B52" t="s">
        <v>17</v>
      </c>
      <c r="C52" t="s">
        <v>18</v>
      </c>
    </row>
    <row r="53" spans="1:3" x14ac:dyDescent="0.3">
      <c r="A53" t="s">
        <v>246</v>
      </c>
      <c r="B53" t="s">
        <v>247</v>
      </c>
      <c r="C53" t="s">
        <v>14</v>
      </c>
    </row>
    <row r="54" spans="1:3" x14ac:dyDescent="0.3">
      <c r="A54" t="s">
        <v>248</v>
      </c>
      <c r="B54" t="s">
        <v>249</v>
      </c>
      <c r="C54" t="s">
        <v>495</v>
      </c>
    </row>
    <row r="55" spans="1:3" x14ac:dyDescent="0.3">
      <c r="A55" t="s">
        <v>248</v>
      </c>
      <c r="B55" t="s">
        <v>249</v>
      </c>
      <c r="C55" t="s">
        <v>18</v>
      </c>
    </row>
    <row r="56" spans="1:3" x14ac:dyDescent="0.3">
      <c r="A56" t="s">
        <v>248</v>
      </c>
      <c r="B56" t="s">
        <v>249</v>
      </c>
      <c r="C56" t="s">
        <v>606</v>
      </c>
    </row>
    <row r="57" spans="1:3" x14ac:dyDescent="0.3">
      <c r="A57" t="s">
        <v>88</v>
      </c>
      <c r="B57" t="s">
        <v>89</v>
      </c>
      <c r="C57" t="s">
        <v>18</v>
      </c>
    </row>
    <row r="58" spans="1:3" x14ac:dyDescent="0.3">
      <c r="A58" t="s">
        <v>250</v>
      </c>
      <c r="B58" t="s">
        <v>222</v>
      </c>
      <c r="C58" t="s">
        <v>495</v>
      </c>
    </row>
    <row r="59" spans="1:3" x14ac:dyDescent="0.3">
      <c r="A59" t="s">
        <v>250</v>
      </c>
      <c r="B59" t="s">
        <v>222</v>
      </c>
      <c r="C59" t="s">
        <v>18</v>
      </c>
    </row>
    <row r="60" spans="1:3" x14ac:dyDescent="0.3">
      <c r="A60" t="s">
        <v>1332</v>
      </c>
      <c r="B60" t="s">
        <v>1333</v>
      </c>
      <c r="C60" t="s">
        <v>688</v>
      </c>
    </row>
    <row r="61" spans="1:3" x14ac:dyDescent="0.3">
      <c r="A61" t="s">
        <v>1332</v>
      </c>
      <c r="B61" t="s">
        <v>1333</v>
      </c>
      <c r="C61" t="s">
        <v>18</v>
      </c>
    </row>
    <row r="62" spans="1:3" x14ac:dyDescent="0.3">
      <c r="A62" t="s">
        <v>788</v>
      </c>
      <c r="B62" t="s">
        <v>789</v>
      </c>
      <c r="C62" t="s">
        <v>18</v>
      </c>
    </row>
    <row r="63" spans="1:3" x14ac:dyDescent="0.3">
      <c r="A63" t="s">
        <v>788</v>
      </c>
      <c r="B63" t="s">
        <v>789</v>
      </c>
      <c r="C63" t="s">
        <v>374</v>
      </c>
    </row>
    <row r="64" spans="1:3" x14ac:dyDescent="0.3">
      <c r="A64" t="s">
        <v>788</v>
      </c>
      <c r="B64" t="s">
        <v>789</v>
      </c>
      <c r="C64" t="s">
        <v>14</v>
      </c>
    </row>
    <row r="65" spans="1:3" x14ac:dyDescent="0.3">
      <c r="A65" t="s">
        <v>790</v>
      </c>
      <c r="B65" t="s">
        <v>791</v>
      </c>
      <c r="C65" t="s">
        <v>18</v>
      </c>
    </row>
    <row r="66" spans="1:3" x14ac:dyDescent="0.3">
      <c r="A66" t="s">
        <v>790</v>
      </c>
      <c r="B66" t="s">
        <v>791</v>
      </c>
      <c r="C66" t="s">
        <v>14</v>
      </c>
    </row>
    <row r="67" spans="1:3" x14ac:dyDescent="0.3">
      <c r="A67" t="s">
        <v>665</v>
      </c>
      <c r="C67" t="s">
        <v>18</v>
      </c>
    </row>
    <row r="68" spans="1:3" x14ac:dyDescent="0.3">
      <c r="A68" t="s">
        <v>593</v>
      </c>
      <c r="B68" t="s">
        <v>594</v>
      </c>
      <c r="C68" t="s">
        <v>1375</v>
      </c>
    </row>
    <row r="69" spans="1:3" x14ac:dyDescent="0.3">
      <c r="A69" t="s">
        <v>593</v>
      </c>
      <c r="B69" t="s">
        <v>594</v>
      </c>
      <c r="C69" t="s">
        <v>374</v>
      </c>
    </row>
    <row r="70" spans="1:3" x14ac:dyDescent="0.3">
      <c r="A70" t="s">
        <v>593</v>
      </c>
      <c r="B70" t="s">
        <v>594</v>
      </c>
      <c r="C70" t="s">
        <v>14</v>
      </c>
    </row>
    <row r="71" spans="1:3" x14ac:dyDescent="0.3">
      <c r="A71" t="s">
        <v>593</v>
      </c>
      <c r="B71" t="s">
        <v>594</v>
      </c>
      <c r="C71" t="s">
        <v>18</v>
      </c>
    </row>
    <row r="72" spans="1:3" x14ac:dyDescent="0.3">
      <c r="A72" t="s">
        <v>504</v>
      </c>
      <c r="B72" t="s">
        <v>505</v>
      </c>
      <c r="C72" t="s">
        <v>14</v>
      </c>
    </row>
    <row r="73" spans="1:3" x14ac:dyDescent="0.3">
      <c r="A73" t="s">
        <v>2058</v>
      </c>
      <c r="B73" t="s">
        <v>27</v>
      </c>
      <c r="C73" t="s">
        <v>2059</v>
      </c>
    </row>
    <row r="74" spans="1:3" x14ac:dyDescent="0.3">
      <c r="A74" t="s">
        <v>34</v>
      </c>
      <c r="C74" t="s">
        <v>18</v>
      </c>
    </row>
    <row r="75" spans="1:3" x14ac:dyDescent="0.3">
      <c r="A75" t="s">
        <v>453</v>
      </c>
      <c r="C75" t="s">
        <v>18</v>
      </c>
    </row>
    <row r="76" spans="1:3" x14ac:dyDescent="0.3">
      <c r="A76" t="s">
        <v>1117</v>
      </c>
      <c r="B76" t="s">
        <v>1118</v>
      </c>
      <c r="C76" t="s">
        <v>14</v>
      </c>
    </row>
    <row r="77" spans="1:3" x14ac:dyDescent="0.3">
      <c r="A77" t="s">
        <v>1117</v>
      </c>
      <c r="B77" t="s">
        <v>1118</v>
      </c>
      <c r="C77" t="s">
        <v>18</v>
      </c>
    </row>
    <row r="78" spans="1:3" x14ac:dyDescent="0.3">
      <c r="A78" t="s">
        <v>1117</v>
      </c>
      <c r="B78" t="s">
        <v>1118</v>
      </c>
      <c r="C78" t="s">
        <v>1119</v>
      </c>
    </row>
    <row r="79" spans="1:3" x14ac:dyDescent="0.3">
      <c r="A79" t="s">
        <v>417</v>
      </c>
      <c r="B79" t="s">
        <v>418</v>
      </c>
      <c r="C79" t="s">
        <v>18</v>
      </c>
    </row>
    <row r="80" spans="1:3" x14ac:dyDescent="0.3">
      <c r="A80" t="s">
        <v>506</v>
      </c>
      <c r="B80" t="s">
        <v>507</v>
      </c>
      <c r="C80" t="s">
        <v>374</v>
      </c>
    </row>
    <row r="81" spans="1:3" x14ac:dyDescent="0.3">
      <c r="A81" t="s">
        <v>766</v>
      </c>
      <c r="C81" t="s">
        <v>767</v>
      </c>
    </row>
    <row r="82" spans="1:3" x14ac:dyDescent="0.3">
      <c r="A82" t="s">
        <v>766</v>
      </c>
      <c r="C82" t="s">
        <v>2068</v>
      </c>
    </row>
    <row r="83" spans="1:3" x14ac:dyDescent="0.3">
      <c r="A83" t="s">
        <v>1334</v>
      </c>
      <c r="B83" t="s">
        <v>1335</v>
      </c>
      <c r="C83" t="s">
        <v>14</v>
      </c>
    </row>
    <row r="84" spans="1:3" x14ac:dyDescent="0.3">
      <c r="A84" t="s">
        <v>90</v>
      </c>
      <c r="B84" t="s">
        <v>91</v>
      </c>
      <c r="C84" t="s">
        <v>18</v>
      </c>
    </row>
    <row r="85" spans="1:3" x14ac:dyDescent="0.3">
      <c r="A85" t="s">
        <v>508</v>
      </c>
      <c r="C85" t="s">
        <v>509</v>
      </c>
    </row>
    <row r="86" spans="1:3" x14ac:dyDescent="0.3">
      <c r="A86" t="s">
        <v>1410</v>
      </c>
      <c r="B86" t="s">
        <v>1411</v>
      </c>
      <c r="C86" t="s">
        <v>18</v>
      </c>
    </row>
    <row r="87" spans="1:3" x14ac:dyDescent="0.3">
      <c r="A87" t="s">
        <v>533</v>
      </c>
      <c r="B87" t="s">
        <v>534</v>
      </c>
      <c r="C87" t="s">
        <v>18</v>
      </c>
    </row>
    <row r="88" spans="1:3" x14ac:dyDescent="0.3">
      <c r="A88" t="s">
        <v>533</v>
      </c>
      <c r="B88" t="s">
        <v>534</v>
      </c>
      <c r="C88" t="s">
        <v>14</v>
      </c>
    </row>
    <row r="89" spans="1:3" x14ac:dyDescent="0.3">
      <c r="A89" t="s">
        <v>533</v>
      </c>
      <c r="B89" t="s">
        <v>534</v>
      </c>
      <c r="C89" t="s">
        <v>1744</v>
      </c>
    </row>
    <row r="90" spans="1:3" x14ac:dyDescent="0.3">
      <c r="A90" t="s">
        <v>533</v>
      </c>
      <c r="B90" t="s">
        <v>534</v>
      </c>
      <c r="C90" t="s">
        <v>535</v>
      </c>
    </row>
    <row r="91" spans="1:3" x14ac:dyDescent="0.3">
      <c r="A91" t="s">
        <v>635</v>
      </c>
      <c r="B91" t="s">
        <v>636</v>
      </c>
      <c r="C91" t="s">
        <v>18</v>
      </c>
    </row>
    <row r="92" spans="1:3" x14ac:dyDescent="0.3">
      <c r="A92" t="s">
        <v>635</v>
      </c>
      <c r="B92" t="s">
        <v>636</v>
      </c>
      <c r="C92" t="s">
        <v>1651</v>
      </c>
    </row>
    <row r="93" spans="1:3" x14ac:dyDescent="0.3">
      <c r="A93" t="s">
        <v>635</v>
      </c>
      <c r="B93" t="s">
        <v>636</v>
      </c>
      <c r="C93" t="s">
        <v>448</v>
      </c>
    </row>
    <row r="94" spans="1:3" x14ac:dyDescent="0.3">
      <c r="A94" t="s">
        <v>635</v>
      </c>
      <c r="B94" t="s">
        <v>636</v>
      </c>
      <c r="C94" t="s">
        <v>14</v>
      </c>
    </row>
    <row r="95" spans="1:3" x14ac:dyDescent="0.3">
      <c r="A95" t="s">
        <v>441</v>
      </c>
      <c r="B95" t="s">
        <v>93</v>
      </c>
      <c r="C95" t="s">
        <v>442</v>
      </c>
    </row>
    <row r="96" spans="1:3" x14ac:dyDescent="0.3">
      <c r="A96" t="s">
        <v>1824</v>
      </c>
      <c r="C96" t="s">
        <v>1825</v>
      </c>
    </row>
    <row r="97" spans="1:3" x14ac:dyDescent="0.3">
      <c r="A97" t="s">
        <v>1701</v>
      </c>
      <c r="C97" t="s">
        <v>18</v>
      </c>
    </row>
    <row r="98" spans="1:3" x14ac:dyDescent="0.3">
      <c r="A98" t="s">
        <v>1461</v>
      </c>
      <c r="C98" t="s">
        <v>18</v>
      </c>
    </row>
    <row r="99" spans="1:3" x14ac:dyDescent="0.3">
      <c r="A99" t="s">
        <v>536</v>
      </c>
      <c r="B99" t="s">
        <v>537</v>
      </c>
      <c r="C99" t="s">
        <v>374</v>
      </c>
    </row>
    <row r="100" spans="1:3" x14ac:dyDescent="0.3">
      <c r="A100" t="s">
        <v>536</v>
      </c>
      <c r="B100" t="s">
        <v>537</v>
      </c>
      <c r="C100" t="s">
        <v>14</v>
      </c>
    </row>
    <row r="101" spans="1:3" x14ac:dyDescent="0.3">
      <c r="A101" t="s">
        <v>536</v>
      </c>
      <c r="B101" t="s">
        <v>537</v>
      </c>
      <c r="C101" t="s">
        <v>18</v>
      </c>
    </row>
    <row r="102" spans="1:3" x14ac:dyDescent="0.3">
      <c r="A102" t="s">
        <v>454</v>
      </c>
      <c r="B102" t="s">
        <v>455</v>
      </c>
      <c r="C102" t="s">
        <v>18</v>
      </c>
    </row>
    <row r="103" spans="1:3" x14ac:dyDescent="0.3">
      <c r="A103" t="s">
        <v>729</v>
      </c>
      <c r="C103" t="s">
        <v>730</v>
      </c>
    </row>
    <row r="104" spans="1:3" x14ac:dyDescent="0.3">
      <c r="A104" t="s">
        <v>2318</v>
      </c>
      <c r="C104" t="s">
        <v>2319</v>
      </c>
    </row>
    <row r="105" spans="1:3" x14ac:dyDescent="0.3">
      <c r="A105" t="s">
        <v>24</v>
      </c>
      <c r="B105" t="s">
        <v>25</v>
      </c>
      <c r="C105" t="s">
        <v>1657</v>
      </c>
    </row>
    <row r="106" spans="1:3" x14ac:dyDescent="0.3">
      <c r="A106" t="s">
        <v>602</v>
      </c>
      <c r="B106" t="s">
        <v>603</v>
      </c>
      <c r="C106" t="s">
        <v>14</v>
      </c>
    </row>
    <row r="107" spans="1:3" x14ac:dyDescent="0.3">
      <c r="A107" t="s">
        <v>602</v>
      </c>
      <c r="B107" t="s">
        <v>603</v>
      </c>
      <c r="C107" t="s">
        <v>18</v>
      </c>
    </row>
    <row r="108" spans="1:3" x14ac:dyDescent="0.3">
      <c r="A108" t="s">
        <v>538</v>
      </c>
      <c r="B108" t="s">
        <v>539</v>
      </c>
      <c r="C108" t="s">
        <v>442</v>
      </c>
    </row>
    <row r="109" spans="1:3" x14ac:dyDescent="0.3">
      <c r="A109" t="s">
        <v>538</v>
      </c>
      <c r="B109" t="s">
        <v>539</v>
      </c>
      <c r="C109" t="s">
        <v>18</v>
      </c>
    </row>
    <row r="110" spans="1:3" x14ac:dyDescent="0.3">
      <c r="A110" t="s">
        <v>538</v>
      </c>
      <c r="B110" t="s">
        <v>539</v>
      </c>
      <c r="C110" t="s">
        <v>374</v>
      </c>
    </row>
    <row r="111" spans="1:3" x14ac:dyDescent="0.3">
      <c r="A111" t="s">
        <v>2188</v>
      </c>
      <c r="C111" t="s">
        <v>495</v>
      </c>
    </row>
    <row r="112" spans="1:3" x14ac:dyDescent="0.3">
      <c r="A112" t="s">
        <v>252</v>
      </c>
      <c r="B112" t="s">
        <v>191</v>
      </c>
      <c r="C112" t="s">
        <v>18</v>
      </c>
    </row>
    <row r="113" spans="1:3" x14ac:dyDescent="0.3">
      <c r="A113" t="s">
        <v>637</v>
      </c>
      <c r="B113" t="s">
        <v>638</v>
      </c>
      <c r="C113" t="s">
        <v>18</v>
      </c>
    </row>
    <row r="114" spans="1:3" x14ac:dyDescent="0.3">
      <c r="A114" t="s">
        <v>510</v>
      </c>
      <c r="B114" t="s">
        <v>511</v>
      </c>
      <c r="C114" t="s">
        <v>18</v>
      </c>
    </row>
    <row r="115" spans="1:3" x14ac:dyDescent="0.3">
      <c r="A115" t="s">
        <v>639</v>
      </c>
      <c r="B115" t="s">
        <v>640</v>
      </c>
      <c r="C115" t="s">
        <v>1180</v>
      </c>
    </row>
    <row r="116" spans="1:3" x14ac:dyDescent="0.3">
      <c r="A116" t="s">
        <v>540</v>
      </c>
      <c r="B116" t="s">
        <v>541</v>
      </c>
      <c r="C116" t="s">
        <v>18</v>
      </c>
    </row>
    <row r="117" spans="1:3" x14ac:dyDescent="0.3">
      <c r="A117" t="s">
        <v>9</v>
      </c>
      <c r="B117" t="s">
        <v>10</v>
      </c>
      <c r="C117" t="s">
        <v>11</v>
      </c>
    </row>
    <row r="118" spans="1:3" x14ac:dyDescent="0.3">
      <c r="A118" t="s">
        <v>548</v>
      </c>
      <c r="C118" t="s">
        <v>2356</v>
      </c>
    </row>
    <row r="119" spans="1:3" x14ac:dyDescent="0.3">
      <c r="A119" t="s">
        <v>348</v>
      </c>
      <c r="B119" t="s">
        <v>347</v>
      </c>
      <c r="C119" t="s">
        <v>18</v>
      </c>
    </row>
    <row r="120" spans="1:3" x14ac:dyDescent="0.3">
      <c r="A120" t="s">
        <v>1412</v>
      </c>
      <c r="C120" t="s">
        <v>147</v>
      </c>
    </row>
    <row r="121" spans="1:3" x14ac:dyDescent="0.3">
      <c r="A121" t="s">
        <v>1412</v>
      </c>
      <c r="C121" t="s">
        <v>18</v>
      </c>
    </row>
    <row r="122" spans="1:3" x14ac:dyDescent="0.3">
      <c r="A122" t="s">
        <v>1412</v>
      </c>
      <c r="C122" t="s">
        <v>374</v>
      </c>
    </row>
    <row r="123" spans="1:3" x14ac:dyDescent="0.3">
      <c r="A123" t="s">
        <v>253</v>
      </c>
      <c r="B123" t="s">
        <v>254</v>
      </c>
      <c r="C123" t="s">
        <v>1948</v>
      </c>
    </row>
    <row r="124" spans="1:3" x14ac:dyDescent="0.3">
      <c r="A124" t="s">
        <v>1413</v>
      </c>
      <c r="C124" t="s">
        <v>1749</v>
      </c>
    </row>
    <row r="125" spans="1:3" x14ac:dyDescent="0.3">
      <c r="A125" t="s">
        <v>1414</v>
      </c>
      <c r="B125" t="s">
        <v>1415</v>
      </c>
      <c r="C125" t="s">
        <v>18</v>
      </c>
    </row>
    <row r="126" spans="1:3" x14ac:dyDescent="0.3">
      <c r="A126" t="s">
        <v>732</v>
      </c>
      <c r="B126" t="s">
        <v>289</v>
      </c>
      <c r="C126" t="s">
        <v>733</v>
      </c>
    </row>
    <row r="127" spans="1:3" x14ac:dyDescent="0.3">
      <c r="A127" t="s">
        <v>1097</v>
      </c>
      <c r="B127" t="s">
        <v>1098</v>
      </c>
      <c r="C127" t="s">
        <v>1099</v>
      </c>
    </row>
    <row r="128" spans="1:3" x14ac:dyDescent="0.3">
      <c r="A128" t="s">
        <v>549</v>
      </c>
      <c r="C128" t="s">
        <v>2060</v>
      </c>
    </row>
    <row r="129" spans="1:3" x14ac:dyDescent="0.3">
      <c r="A129" t="s">
        <v>1347</v>
      </c>
      <c r="B129" t="s">
        <v>737</v>
      </c>
      <c r="C129" t="s">
        <v>1348</v>
      </c>
    </row>
    <row r="130" spans="1:3" x14ac:dyDescent="0.3">
      <c r="A130" t="s">
        <v>1347</v>
      </c>
      <c r="B130" t="s">
        <v>737</v>
      </c>
      <c r="C130" t="s">
        <v>18</v>
      </c>
    </row>
    <row r="131" spans="1:3" x14ac:dyDescent="0.3">
      <c r="A131" t="s">
        <v>1419</v>
      </c>
      <c r="B131" t="s">
        <v>1420</v>
      </c>
      <c r="C131" t="s">
        <v>14</v>
      </c>
    </row>
    <row r="132" spans="1:3" x14ac:dyDescent="0.3">
      <c r="A132" t="s">
        <v>1419</v>
      </c>
      <c r="B132" t="s">
        <v>1420</v>
      </c>
      <c r="C132" t="s">
        <v>18</v>
      </c>
    </row>
    <row r="133" spans="1:3" x14ac:dyDescent="0.3">
      <c r="A133" t="s">
        <v>35</v>
      </c>
      <c r="C133" t="s">
        <v>18</v>
      </c>
    </row>
    <row r="134" spans="1:3" x14ac:dyDescent="0.3">
      <c r="A134" t="s">
        <v>642</v>
      </c>
      <c r="C134" t="s">
        <v>18</v>
      </c>
    </row>
    <row r="135" spans="1:3" x14ac:dyDescent="0.3">
      <c r="A135" t="s">
        <v>365</v>
      </c>
      <c r="B135" t="s">
        <v>96</v>
      </c>
      <c r="C135" t="s">
        <v>595</v>
      </c>
    </row>
    <row r="136" spans="1:3" x14ac:dyDescent="0.3">
      <c r="A136" t="s">
        <v>365</v>
      </c>
      <c r="B136" t="s">
        <v>96</v>
      </c>
      <c r="C136" t="s">
        <v>18</v>
      </c>
    </row>
    <row r="137" spans="1:3" x14ac:dyDescent="0.3">
      <c r="A137" t="s">
        <v>58</v>
      </c>
      <c r="B137" t="s">
        <v>59</v>
      </c>
      <c r="C137" t="s">
        <v>18</v>
      </c>
    </row>
    <row r="138" spans="1:3" x14ac:dyDescent="0.3">
      <c r="A138" t="s">
        <v>58</v>
      </c>
      <c r="B138" t="s">
        <v>59</v>
      </c>
      <c r="C138" t="s">
        <v>1153</v>
      </c>
    </row>
    <row r="139" spans="1:3" x14ac:dyDescent="0.3">
      <c r="A139" t="s">
        <v>1687</v>
      </c>
      <c r="B139" t="s">
        <v>1688</v>
      </c>
      <c r="C139" t="s">
        <v>2347</v>
      </c>
    </row>
    <row r="140" spans="1:3" x14ac:dyDescent="0.3">
      <c r="A140" t="s">
        <v>1687</v>
      </c>
      <c r="B140" t="s">
        <v>1688</v>
      </c>
      <c r="C140" t="s">
        <v>18</v>
      </c>
    </row>
    <row r="141" spans="1:3" x14ac:dyDescent="0.3">
      <c r="A141" t="s">
        <v>1383</v>
      </c>
      <c r="B141" t="s">
        <v>1384</v>
      </c>
      <c r="C141" t="s">
        <v>18</v>
      </c>
    </row>
    <row r="142" spans="1:3" x14ac:dyDescent="0.3">
      <c r="A142" t="s">
        <v>1938</v>
      </c>
      <c r="C142" t="s">
        <v>1939</v>
      </c>
    </row>
    <row r="143" spans="1:3" x14ac:dyDescent="0.3">
      <c r="A143" t="s">
        <v>26</v>
      </c>
      <c r="B143" t="s">
        <v>27</v>
      </c>
      <c r="C143" t="s">
        <v>1348</v>
      </c>
    </row>
    <row r="144" spans="1:3" x14ac:dyDescent="0.3">
      <c r="A144" t="s">
        <v>26</v>
      </c>
      <c r="B144" t="s">
        <v>27</v>
      </c>
      <c r="C144" t="s">
        <v>1884</v>
      </c>
    </row>
    <row r="145" spans="1:3" x14ac:dyDescent="0.3">
      <c r="A145" t="s">
        <v>26</v>
      </c>
      <c r="B145" t="s">
        <v>27</v>
      </c>
      <c r="C145" t="s">
        <v>1840</v>
      </c>
    </row>
    <row r="146" spans="1:3" x14ac:dyDescent="0.3">
      <c r="A146" t="s">
        <v>26</v>
      </c>
      <c r="B146" t="s">
        <v>27</v>
      </c>
      <c r="C146" t="s">
        <v>1839</v>
      </c>
    </row>
    <row r="147" spans="1:3" x14ac:dyDescent="0.3">
      <c r="A147" t="s">
        <v>736</v>
      </c>
      <c r="B147" t="s">
        <v>737</v>
      </c>
      <c r="C147" t="s">
        <v>18</v>
      </c>
    </row>
    <row r="148" spans="1:3" x14ac:dyDescent="0.3">
      <c r="A148" t="s">
        <v>736</v>
      </c>
      <c r="B148" t="s">
        <v>737</v>
      </c>
      <c r="C148" t="s">
        <v>14</v>
      </c>
    </row>
    <row r="149" spans="1:3" x14ac:dyDescent="0.3">
      <c r="A149" t="s">
        <v>39</v>
      </c>
      <c r="C149" t="s">
        <v>18</v>
      </c>
    </row>
    <row r="150" spans="1:3" x14ac:dyDescent="0.3">
      <c r="A150" t="s">
        <v>1861</v>
      </c>
      <c r="C150" t="s">
        <v>18</v>
      </c>
    </row>
    <row r="151" spans="1:3" x14ac:dyDescent="0.3">
      <c r="A151" t="s">
        <v>761</v>
      </c>
      <c r="C151" t="s">
        <v>18</v>
      </c>
    </row>
    <row r="152" spans="1:3" x14ac:dyDescent="0.3">
      <c r="A152" t="s">
        <v>242</v>
      </c>
      <c r="C152" t="s">
        <v>18</v>
      </c>
    </row>
    <row r="153" spans="1:3" x14ac:dyDescent="0.3">
      <c r="A153" t="s">
        <v>1354</v>
      </c>
      <c r="C153" t="s">
        <v>18</v>
      </c>
    </row>
    <row r="154" spans="1:3" x14ac:dyDescent="0.3">
      <c r="A154" t="s">
        <v>512</v>
      </c>
      <c r="C154" t="s">
        <v>513</v>
      </c>
    </row>
    <row r="155" spans="1:3" x14ac:dyDescent="0.3">
      <c r="A155" t="s">
        <v>942</v>
      </c>
      <c r="B155" t="s">
        <v>943</v>
      </c>
      <c r="C155" t="s">
        <v>1181</v>
      </c>
    </row>
    <row r="156" spans="1:3" x14ac:dyDescent="0.3">
      <c r="A156" t="s">
        <v>643</v>
      </c>
      <c r="B156" t="s">
        <v>644</v>
      </c>
      <c r="C156" t="s">
        <v>14</v>
      </c>
    </row>
    <row r="157" spans="1:3" x14ac:dyDescent="0.3">
      <c r="A157" t="s">
        <v>643</v>
      </c>
      <c r="B157" t="s">
        <v>644</v>
      </c>
      <c r="C157" t="s">
        <v>374</v>
      </c>
    </row>
    <row r="158" spans="1:3" x14ac:dyDescent="0.3">
      <c r="A158" t="s">
        <v>596</v>
      </c>
      <c r="C158" t="s">
        <v>18</v>
      </c>
    </row>
    <row r="159" spans="1:3" x14ac:dyDescent="0.3">
      <c r="A159" t="s">
        <v>1853</v>
      </c>
      <c r="B159" t="s">
        <v>1854</v>
      </c>
      <c r="C159" t="s">
        <v>1336</v>
      </c>
    </row>
    <row r="160" spans="1:3" x14ac:dyDescent="0.3">
      <c r="A160" t="s">
        <v>1853</v>
      </c>
      <c r="B160" t="s">
        <v>1854</v>
      </c>
      <c r="C160" t="s">
        <v>18</v>
      </c>
    </row>
    <row r="161" spans="1:3" x14ac:dyDescent="0.3">
      <c r="A161" t="s">
        <v>99</v>
      </c>
      <c r="B161" t="s">
        <v>100</v>
      </c>
      <c r="C161" t="s">
        <v>14</v>
      </c>
    </row>
    <row r="162" spans="1:3" x14ac:dyDescent="0.3">
      <c r="A162" t="s">
        <v>99</v>
      </c>
      <c r="B162" t="s">
        <v>100</v>
      </c>
      <c r="C162" t="s">
        <v>606</v>
      </c>
    </row>
    <row r="163" spans="1:3" x14ac:dyDescent="0.3">
      <c r="A163" t="s">
        <v>99</v>
      </c>
      <c r="B163" t="s">
        <v>100</v>
      </c>
      <c r="C163" t="s">
        <v>18</v>
      </c>
    </row>
    <row r="164" spans="1:3" x14ac:dyDescent="0.3">
      <c r="A164" t="s">
        <v>99</v>
      </c>
      <c r="B164" t="s">
        <v>100</v>
      </c>
      <c r="C164" t="s">
        <v>374</v>
      </c>
    </row>
    <row r="165" spans="1:3" x14ac:dyDescent="0.3">
      <c r="A165" t="s">
        <v>1949</v>
      </c>
      <c r="C165" t="s">
        <v>769</v>
      </c>
    </row>
    <row r="166" spans="1:3" x14ac:dyDescent="0.3">
      <c r="A166" t="s">
        <v>1949</v>
      </c>
      <c r="C166" t="s">
        <v>442</v>
      </c>
    </row>
    <row r="167" spans="1:3" x14ac:dyDescent="0.3">
      <c r="A167" t="s">
        <v>686</v>
      </c>
      <c r="B167" t="s">
        <v>687</v>
      </c>
      <c r="C167" t="s">
        <v>18</v>
      </c>
    </row>
    <row r="168" spans="1:3" x14ac:dyDescent="0.3">
      <c r="A168" t="s">
        <v>686</v>
      </c>
      <c r="B168" t="s">
        <v>687</v>
      </c>
      <c r="C168" t="s">
        <v>1165</v>
      </c>
    </row>
    <row r="169" spans="1:3" x14ac:dyDescent="0.3">
      <c r="A169" t="s">
        <v>686</v>
      </c>
      <c r="B169" t="s">
        <v>687</v>
      </c>
      <c r="C169" t="s">
        <v>1427</v>
      </c>
    </row>
    <row r="170" spans="1:3" x14ac:dyDescent="0.3">
      <c r="A170" t="s">
        <v>686</v>
      </c>
      <c r="B170" t="s">
        <v>687</v>
      </c>
      <c r="C170" t="s">
        <v>14</v>
      </c>
    </row>
    <row r="171" spans="1:3" x14ac:dyDescent="0.3">
      <c r="A171" t="s">
        <v>686</v>
      </c>
      <c r="B171" t="s">
        <v>687</v>
      </c>
      <c r="C171" t="s">
        <v>1842</v>
      </c>
    </row>
    <row r="172" spans="1:3" x14ac:dyDescent="0.3">
      <c r="A172" t="s">
        <v>686</v>
      </c>
      <c r="B172" t="s">
        <v>687</v>
      </c>
      <c r="C172" t="s">
        <v>688</v>
      </c>
    </row>
    <row r="173" spans="1:3" x14ac:dyDescent="0.3">
      <c r="A173" t="s">
        <v>686</v>
      </c>
      <c r="B173" t="s">
        <v>687</v>
      </c>
      <c r="C173" t="s">
        <v>1336</v>
      </c>
    </row>
    <row r="174" spans="1:3" x14ac:dyDescent="0.3">
      <c r="A174" t="s">
        <v>1653</v>
      </c>
      <c r="B174" t="s">
        <v>1654</v>
      </c>
      <c r="C174" t="s">
        <v>18</v>
      </c>
    </row>
    <row r="175" spans="1:3" x14ac:dyDescent="0.3">
      <c r="A175" t="s">
        <v>1653</v>
      </c>
      <c r="B175" t="s">
        <v>1654</v>
      </c>
      <c r="C175" t="s">
        <v>14</v>
      </c>
    </row>
    <row r="176" spans="1:3" x14ac:dyDescent="0.3">
      <c r="A176" t="s">
        <v>649</v>
      </c>
      <c r="B176" t="s">
        <v>650</v>
      </c>
      <c r="C176" t="s">
        <v>18</v>
      </c>
    </row>
    <row r="177" spans="1:3" x14ac:dyDescent="0.3">
      <c r="A177" t="s">
        <v>649</v>
      </c>
      <c r="B177" t="s">
        <v>650</v>
      </c>
      <c r="C177" t="s">
        <v>14</v>
      </c>
    </row>
    <row r="178" spans="1:3" x14ac:dyDescent="0.3">
      <c r="A178" t="s">
        <v>2164</v>
      </c>
      <c r="B178" t="s">
        <v>2165</v>
      </c>
      <c r="C178" t="s">
        <v>374</v>
      </c>
    </row>
    <row r="179" spans="1:3" x14ac:dyDescent="0.3">
      <c r="A179" t="s">
        <v>1216</v>
      </c>
      <c r="B179" t="s">
        <v>1217</v>
      </c>
      <c r="C179" t="s">
        <v>18</v>
      </c>
    </row>
    <row r="180" spans="1:3" x14ac:dyDescent="0.3">
      <c r="A180" t="s">
        <v>875</v>
      </c>
      <c r="C180" t="s">
        <v>876</v>
      </c>
    </row>
    <row r="181" spans="1:3" x14ac:dyDescent="0.3">
      <c r="A181" t="s">
        <v>567</v>
      </c>
      <c r="B181" t="s">
        <v>698</v>
      </c>
      <c r="C181" t="s">
        <v>14</v>
      </c>
    </row>
    <row r="182" spans="1:3" x14ac:dyDescent="0.3">
      <c r="A182" t="s">
        <v>1122</v>
      </c>
      <c r="B182" t="s">
        <v>1123</v>
      </c>
      <c r="C182" t="s">
        <v>14</v>
      </c>
    </row>
    <row r="183" spans="1:3" x14ac:dyDescent="0.3">
      <c r="A183" t="s">
        <v>257</v>
      </c>
      <c r="B183" t="s">
        <v>61</v>
      </c>
      <c r="C183" t="s">
        <v>18</v>
      </c>
    </row>
    <row r="184" spans="1:3" x14ac:dyDescent="0.3">
      <c r="A184" t="s">
        <v>257</v>
      </c>
      <c r="B184" t="s">
        <v>61</v>
      </c>
      <c r="C184" t="s">
        <v>374</v>
      </c>
    </row>
    <row r="185" spans="1:3" x14ac:dyDescent="0.3">
      <c r="A185" t="s">
        <v>514</v>
      </c>
      <c r="B185" t="s">
        <v>515</v>
      </c>
      <c r="C185" t="s">
        <v>14</v>
      </c>
    </row>
    <row r="186" spans="1:3" x14ac:dyDescent="0.3">
      <c r="A186" t="s">
        <v>514</v>
      </c>
      <c r="B186" t="s">
        <v>515</v>
      </c>
      <c r="C186" t="s">
        <v>18</v>
      </c>
    </row>
    <row r="187" spans="1:3" x14ac:dyDescent="0.3">
      <c r="A187" t="s">
        <v>516</v>
      </c>
      <c r="C187" t="s">
        <v>18</v>
      </c>
    </row>
    <row r="188" spans="1:3" x14ac:dyDescent="0.3">
      <c r="A188" t="s">
        <v>1936</v>
      </c>
      <c r="B188" t="s">
        <v>80</v>
      </c>
      <c r="C188" t="s">
        <v>18</v>
      </c>
    </row>
    <row r="189" spans="1:3" x14ac:dyDescent="0.3">
      <c r="A189" t="s">
        <v>1423</v>
      </c>
      <c r="B189" t="s">
        <v>1424</v>
      </c>
      <c r="C189" t="s">
        <v>18</v>
      </c>
    </row>
    <row r="190" spans="1:3" x14ac:dyDescent="0.3">
      <c r="A190" t="s">
        <v>103</v>
      </c>
      <c r="B190" t="s">
        <v>104</v>
      </c>
      <c r="C190" t="s">
        <v>18</v>
      </c>
    </row>
    <row r="191" spans="1:3" x14ac:dyDescent="0.3">
      <c r="A191" t="s">
        <v>297</v>
      </c>
      <c r="B191" t="s">
        <v>298</v>
      </c>
      <c r="C191" t="s">
        <v>18</v>
      </c>
    </row>
    <row r="192" spans="1:3" x14ac:dyDescent="0.3">
      <c r="A192" t="s">
        <v>668</v>
      </c>
      <c r="B192" t="s">
        <v>669</v>
      </c>
      <c r="C192" t="s">
        <v>14</v>
      </c>
    </row>
    <row r="193" spans="1:3" x14ac:dyDescent="0.3">
      <c r="A193" t="s">
        <v>668</v>
      </c>
      <c r="B193" t="s">
        <v>669</v>
      </c>
      <c r="C193" t="s">
        <v>18</v>
      </c>
    </row>
    <row r="194" spans="1:3" x14ac:dyDescent="0.3">
      <c r="A194" t="s">
        <v>528</v>
      </c>
      <c r="B194" t="s">
        <v>529</v>
      </c>
      <c r="C194" t="s">
        <v>14</v>
      </c>
    </row>
    <row r="195" spans="1:3" x14ac:dyDescent="0.3">
      <c r="A195" t="s">
        <v>528</v>
      </c>
      <c r="B195" t="s">
        <v>529</v>
      </c>
      <c r="C195" t="s">
        <v>18</v>
      </c>
    </row>
    <row r="196" spans="1:3" x14ac:dyDescent="0.3">
      <c r="A196" t="s">
        <v>528</v>
      </c>
      <c r="B196" t="s">
        <v>475</v>
      </c>
      <c r="C196" t="s">
        <v>14</v>
      </c>
    </row>
    <row r="197" spans="1:3" x14ac:dyDescent="0.3">
      <c r="A197" t="s">
        <v>542</v>
      </c>
      <c r="B197" t="s">
        <v>160</v>
      </c>
      <c r="C197" t="s">
        <v>374</v>
      </c>
    </row>
    <row r="198" spans="1:3" x14ac:dyDescent="0.3">
      <c r="A198" t="s">
        <v>542</v>
      </c>
      <c r="B198" t="s">
        <v>160</v>
      </c>
      <c r="C198" t="s">
        <v>442</v>
      </c>
    </row>
    <row r="199" spans="1:3" x14ac:dyDescent="0.3">
      <c r="A199" t="s">
        <v>542</v>
      </c>
      <c r="B199" t="s">
        <v>160</v>
      </c>
      <c r="C199" t="s">
        <v>18</v>
      </c>
    </row>
    <row r="200" spans="1:3" x14ac:dyDescent="0.3">
      <c r="A200" t="s">
        <v>105</v>
      </c>
      <c r="B200" t="s">
        <v>106</v>
      </c>
      <c r="C200" t="s">
        <v>18</v>
      </c>
    </row>
    <row r="201" spans="1:3" x14ac:dyDescent="0.3">
      <c r="A201" t="s">
        <v>258</v>
      </c>
      <c r="B201" t="s">
        <v>259</v>
      </c>
      <c r="C201" t="s">
        <v>18</v>
      </c>
    </row>
    <row r="202" spans="1:3" x14ac:dyDescent="0.3">
      <c r="A202" t="s">
        <v>1425</v>
      </c>
      <c r="B202" t="s">
        <v>212</v>
      </c>
      <c r="C202" t="s">
        <v>18</v>
      </c>
    </row>
    <row r="203" spans="1:3" x14ac:dyDescent="0.3">
      <c r="A203" t="s">
        <v>19</v>
      </c>
      <c r="B203" t="s">
        <v>670</v>
      </c>
      <c r="C203" t="s">
        <v>14</v>
      </c>
    </row>
    <row r="204" spans="1:3" x14ac:dyDescent="0.3">
      <c r="A204" t="s">
        <v>19</v>
      </c>
      <c r="B204" t="s">
        <v>20</v>
      </c>
      <c r="C204" t="s">
        <v>1745</v>
      </c>
    </row>
    <row r="205" spans="1:3" x14ac:dyDescent="0.3">
      <c r="A205" t="s">
        <v>19</v>
      </c>
      <c r="B205" t="s">
        <v>107</v>
      </c>
      <c r="C205" t="s">
        <v>18</v>
      </c>
    </row>
    <row r="206" spans="1:3" x14ac:dyDescent="0.3">
      <c r="A206" t="s">
        <v>19</v>
      </c>
      <c r="B206" t="s">
        <v>20</v>
      </c>
      <c r="C206" t="s">
        <v>2049</v>
      </c>
    </row>
    <row r="207" spans="1:3" x14ac:dyDescent="0.3">
      <c r="A207" t="s">
        <v>19</v>
      </c>
      <c r="B207" t="s">
        <v>107</v>
      </c>
      <c r="C207" t="s">
        <v>495</v>
      </c>
    </row>
    <row r="208" spans="1:3" x14ac:dyDescent="0.3">
      <c r="A208" t="s">
        <v>19</v>
      </c>
      <c r="B208" t="s">
        <v>20</v>
      </c>
      <c r="C208" t="s">
        <v>14</v>
      </c>
    </row>
    <row r="209" spans="1:3" x14ac:dyDescent="0.3">
      <c r="A209" t="s">
        <v>19</v>
      </c>
      <c r="B209" t="s">
        <v>20</v>
      </c>
      <c r="C209" t="s">
        <v>374</v>
      </c>
    </row>
    <row r="210" spans="1:3" x14ac:dyDescent="0.3">
      <c r="A210" t="s">
        <v>19</v>
      </c>
      <c r="B210" t="s">
        <v>107</v>
      </c>
      <c r="C210" t="s">
        <v>464</v>
      </c>
    </row>
    <row r="211" spans="1:3" x14ac:dyDescent="0.3">
      <c r="A211" t="s">
        <v>19</v>
      </c>
      <c r="B211" t="s">
        <v>20</v>
      </c>
      <c r="C211" t="s">
        <v>18</v>
      </c>
    </row>
    <row r="212" spans="1:3" x14ac:dyDescent="0.3">
      <c r="A212" t="s">
        <v>19</v>
      </c>
      <c r="B212" t="s">
        <v>670</v>
      </c>
      <c r="C212" t="s">
        <v>18</v>
      </c>
    </row>
    <row r="213" spans="1:3" x14ac:dyDescent="0.3">
      <c r="A213" t="s">
        <v>19</v>
      </c>
      <c r="B213" t="s">
        <v>20</v>
      </c>
      <c r="C213" t="s">
        <v>689</v>
      </c>
    </row>
    <row r="214" spans="1:3" x14ac:dyDescent="0.3">
      <c r="A214" t="s">
        <v>939</v>
      </c>
      <c r="B214" t="s">
        <v>940</v>
      </c>
      <c r="C214" t="s">
        <v>14</v>
      </c>
    </row>
    <row r="215" spans="1:3" x14ac:dyDescent="0.3">
      <c r="A215" t="s">
        <v>269</v>
      </c>
      <c r="B215" t="s">
        <v>270</v>
      </c>
      <c r="C215" t="s">
        <v>18</v>
      </c>
    </row>
    <row r="216" spans="1:3" x14ac:dyDescent="0.3">
      <c r="A216" t="s">
        <v>269</v>
      </c>
      <c r="B216" t="s">
        <v>270</v>
      </c>
      <c r="C216" t="s">
        <v>14</v>
      </c>
    </row>
    <row r="217" spans="1:3" x14ac:dyDescent="0.3">
      <c r="A217" t="s">
        <v>809</v>
      </c>
      <c r="B217" t="s">
        <v>810</v>
      </c>
      <c r="C217" t="s">
        <v>374</v>
      </c>
    </row>
    <row r="218" spans="1:3" x14ac:dyDescent="0.3">
      <c r="A218" t="s">
        <v>351</v>
      </c>
      <c r="B218" t="s">
        <v>352</v>
      </c>
      <c r="C218" t="s">
        <v>18</v>
      </c>
    </row>
    <row r="219" spans="1:3" x14ac:dyDescent="0.3">
      <c r="A219" t="s">
        <v>260</v>
      </c>
      <c r="B219" t="s">
        <v>109</v>
      </c>
      <c r="C219" t="s">
        <v>18</v>
      </c>
    </row>
    <row r="220" spans="1:3" x14ac:dyDescent="0.3">
      <c r="A220" t="s">
        <v>443</v>
      </c>
      <c r="C220" t="s">
        <v>444</v>
      </c>
    </row>
    <row r="221" spans="1:3" x14ac:dyDescent="0.3">
      <c r="A221" t="s">
        <v>467</v>
      </c>
      <c r="B221" t="s">
        <v>468</v>
      </c>
      <c r="C221" t="s">
        <v>14</v>
      </c>
    </row>
    <row r="222" spans="1:3" x14ac:dyDescent="0.3">
      <c r="A222" t="s">
        <v>467</v>
      </c>
      <c r="B222" t="s">
        <v>469</v>
      </c>
      <c r="C222" t="s">
        <v>470</v>
      </c>
    </row>
    <row r="223" spans="1:3" x14ac:dyDescent="0.3">
      <c r="A223" t="s">
        <v>2243</v>
      </c>
      <c r="B223" t="s">
        <v>2244</v>
      </c>
      <c r="C223" t="s">
        <v>14</v>
      </c>
    </row>
    <row r="224" spans="1:3" x14ac:dyDescent="0.3">
      <c r="A224" t="s">
        <v>671</v>
      </c>
      <c r="B224" t="s">
        <v>672</v>
      </c>
      <c r="C224" t="s">
        <v>18</v>
      </c>
    </row>
    <row r="225" spans="1:3" x14ac:dyDescent="0.3">
      <c r="A225" t="s">
        <v>671</v>
      </c>
      <c r="B225" t="s">
        <v>672</v>
      </c>
      <c r="C225" t="s">
        <v>14</v>
      </c>
    </row>
    <row r="226" spans="1:3" x14ac:dyDescent="0.3">
      <c r="A226" t="s">
        <v>671</v>
      </c>
      <c r="B226" t="s">
        <v>672</v>
      </c>
      <c r="C226" t="s">
        <v>374</v>
      </c>
    </row>
    <row r="227" spans="1:3" x14ac:dyDescent="0.3">
      <c r="A227" t="s">
        <v>543</v>
      </c>
      <c r="B227" t="s">
        <v>544</v>
      </c>
      <c r="C227" t="s">
        <v>14</v>
      </c>
    </row>
    <row r="228" spans="1:3" x14ac:dyDescent="0.3">
      <c r="A228" t="s">
        <v>543</v>
      </c>
      <c r="B228" t="s">
        <v>544</v>
      </c>
      <c r="C228" t="s">
        <v>18</v>
      </c>
    </row>
    <row r="229" spans="1:3" x14ac:dyDescent="0.3">
      <c r="A229" t="s">
        <v>1827</v>
      </c>
      <c r="C229" t="s">
        <v>1828</v>
      </c>
    </row>
    <row r="230" spans="1:3" x14ac:dyDescent="0.3">
      <c r="A230" t="s">
        <v>1182</v>
      </c>
      <c r="C230" t="s">
        <v>1183</v>
      </c>
    </row>
    <row r="231" spans="1:3" x14ac:dyDescent="0.3">
      <c r="A231" t="s">
        <v>832</v>
      </c>
      <c r="C231" t="s">
        <v>833</v>
      </c>
    </row>
    <row r="232" spans="1:3" x14ac:dyDescent="0.3">
      <c r="A232" t="s">
        <v>834</v>
      </c>
      <c r="C232" t="s">
        <v>835</v>
      </c>
    </row>
    <row r="233" spans="1:3" x14ac:dyDescent="0.3">
      <c r="A233" t="s">
        <v>62</v>
      </c>
      <c r="B233" t="s">
        <v>63</v>
      </c>
      <c r="C233" t="s">
        <v>14</v>
      </c>
    </row>
    <row r="234" spans="1:3" x14ac:dyDescent="0.3">
      <c r="A234" t="s">
        <v>62</v>
      </c>
      <c r="B234" t="s">
        <v>63</v>
      </c>
      <c r="C234" t="s">
        <v>18</v>
      </c>
    </row>
    <row r="235" spans="1:3" x14ac:dyDescent="0.3">
      <c r="A235" t="s">
        <v>64</v>
      </c>
      <c r="B235" t="s">
        <v>65</v>
      </c>
      <c r="C235" t="s">
        <v>14</v>
      </c>
    </row>
    <row r="236" spans="1:3" x14ac:dyDescent="0.3">
      <c r="A236" t="s">
        <v>64</v>
      </c>
      <c r="B236" t="s">
        <v>65</v>
      </c>
      <c r="C236" t="s">
        <v>495</v>
      </c>
    </row>
    <row r="237" spans="1:3" x14ac:dyDescent="0.3">
      <c r="A237" t="s">
        <v>21</v>
      </c>
      <c r="B237" t="s">
        <v>22</v>
      </c>
      <c r="C237" t="s">
        <v>14</v>
      </c>
    </row>
    <row r="238" spans="1:3" x14ac:dyDescent="0.3">
      <c r="A238" t="s">
        <v>110</v>
      </c>
      <c r="B238" t="s">
        <v>111</v>
      </c>
      <c r="C238" t="s">
        <v>1829</v>
      </c>
    </row>
    <row r="239" spans="1:3" x14ac:dyDescent="0.3">
      <c r="A239" t="s">
        <v>110</v>
      </c>
      <c r="B239" t="s">
        <v>111</v>
      </c>
      <c r="C239" t="s">
        <v>374</v>
      </c>
    </row>
    <row r="240" spans="1:3" x14ac:dyDescent="0.3">
      <c r="A240" t="s">
        <v>110</v>
      </c>
      <c r="B240" t="s">
        <v>111</v>
      </c>
      <c r="C240" t="s">
        <v>688</v>
      </c>
    </row>
    <row r="241" spans="1:3" x14ac:dyDescent="0.3">
      <c r="A241" t="s">
        <v>110</v>
      </c>
      <c r="B241" t="s">
        <v>111</v>
      </c>
      <c r="C241" t="s">
        <v>14</v>
      </c>
    </row>
    <row r="242" spans="1:3" x14ac:dyDescent="0.3">
      <c r="A242" t="s">
        <v>471</v>
      </c>
      <c r="B242" t="s">
        <v>472</v>
      </c>
      <c r="C242" t="s">
        <v>14</v>
      </c>
    </row>
    <row r="243" spans="1:3" x14ac:dyDescent="0.3">
      <c r="A243" t="s">
        <v>471</v>
      </c>
      <c r="B243" t="s">
        <v>472</v>
      </c>
      <c r="C243" t="s">
        <v>2350</v>
      </c>
    </row>
    <row r="244" spans="1:3" x14ac:dyDescent="0.3">
      <c r="A244" t="s">
        <v>471</v>
      </c>
      <c r="B244" t="s">
        <v>472</v>
      </c>
      <c r="C244" t="s">
        <v>2311</v>
      </c>
    </row>
    <row r="245" spans="1:3" x14ac:dyDescent="0.3">
      <c r="A245" t="s">
        <v>471</v>
      </c>
      <c r="B245" t="s">
        <v>472</v>
      </c>
      <c r="C245" t="s">
        <v>18</v>
      </c>
    </row>
    <row r="246" spans="1:3" x14ac:dyDescent="0.3">
      <c r="A246" t="s">
        <v>2061</v>
      </c>
      <c r="C246" t="s">
        <v>2062</v>
      </c>
    </row>
    <row r="247" spans="1:3" x14ac:dyDescent="0.3">
      <c r="A247" t="s">
        <v>114</v>
      </c>
      <c r="B247" t="s">
        <v>115</v>
      </c>
      <c r="C247" t="s">
        <v>18</v>
      </c>
    </row>
    <row r="248" spans="1:3" x14ac:dyDescent="0.3">
      <c r="A248" t="s">
        <v>114</v>
      </c>
      <c r="B248" t="s">
        <v>115</v>
      </c>
      <c r="C248" t="s">
        <v>14</v>
      </c>
    </row>
    <row r="249" spans="1:3" x14ac:dyDescent="0.3">
      <c r="A249" t="s">
        <v>792</v>
      </c>
      <c r="B249" t="s">
        <v>793</v>
      </c>
      <c r="C249" t="s">
        <v>374</v>
      </c>
    </row>
    <row r="250" spans="1:3" x14ac:dyDescent="0.3">
      <c r="A250" t="s">
        <v>117</v>
      </c>
      <c r="B250" t="s">
        <v>118</v>
      </c>
      <c r="C250" t="s">
        <v>374</v>
      </c>
    </row>
    <row r="251" spans="1:3" x14ac:dyDescent="0.3">
      <c r="A251" t="s">
        <v>117</v>
      </c>
      <c r="B251" t="s">
        <v>118</v>
      </c>
      <c r="C251" t="s">
        <v>18</v>
      </c>
    </row>
    <row r="252" spans="1:3" x14ac:dyDescent="0.3">
      <c r="A252" t="s">
        <v>836</v>
      </c>
      <c r="B252" t="s">
        <v>837</v>
      </c>
      <c r="C252" t="s">
        <v>838</v>
      </c>
    </row>
    <row r="253" spans="1:3" x14ac:dyDescent="0.3">
      <c r="A253" t="s">
        <v>836</v>
      </c>
      <c r="B253" t="s">
        <v>837</v>
      </c>
      <c r="C253" t="s">
        <v>1283</v>
      </c>
    </row>
    <row r="254" spans="1:3" x14ac:dyDescent="0.3">
      <c r="A254" t="s">
        <v>1669</v>
      </c>
      <c r="B254" t="s">
        <v>703</v>
      </c>
      <c r="C254" t="s">
        <v>2338</v>
      </c>
    </row>
    <row r="255" spans="1:3" x14ac:dyDescent="0.3">
      <c r="A255" t="s">
        <v>446</v>
      </c>
      <c r="B255" t="s">
        <v>447</v>
      </c>
      <c r="C255" t="s">
        <v>1336</v>
      </c>
    </row>
    <row r="256" spans="1:3" x14ac:dyDescent="0.3">
      <c r="A256" t="s">
        <v>446</v>
      </c>
      <c r="B256" t="s">
        <v>447</v>
      </c>
      <c r="C256" t="s">
        <v>1670</v>
      </c>
    </row>
    <row r="257" spans="1:3" x14ac:dyDescent="0.3">
      <c r="A257" t="s">
        <v>446</v>
      </c>
      <c r="B257" t="s">
        <v>447</v>
      </c>
      <c r="C257" t="s">
        <v>1427</v>
      </c>
    </row>
    <row r="258" spans="1:3" x14ac:dyDescent="0.3">
      <c r="A258" t="s">
        <v>446</v>
      </c>
      <c r="B258" t="s">
        <v>447</v>
      </c>
      <c r="C258" t="s">
        <v>1328</v>
      </c>
    </row>
    <row r="259" spans="1:3" x14ac:dyDescent="0.3">
      <c r="A259" t="s">
        <v>446</v>
      </c>
      <c r="B259" t="s">
        <v>447</v>
      </c>
      <c r="C259" t="s">
        <v>448</v>
      </c>
    </row>
    <row r="260" spans="1:3" x14ac:dyDescent="0.3">
      <c r="A260" t="s">
        <v>446</v>
      </c>
      <c r="B260" t="s">
        <v>447</v>
      </c>
      <c r="C260" t="s">
        <v>2339</v>
      </c>
    </row>
    <row r="261" spans="1:3" x14ac:dyDescent="0.3">
      <c r="A261" t="s">
        <v>1849</v>
      </c>
      <c r="C261" t="s">
        <v>1850</v>
      </c>
    </row>
    <row r="262" spans="1:3" x14ac:dyDescent="0.3">
      <c r="A262" t="s">
        <v>119</v>
      </c>
      <c r="C262" t="s">
        <v>18</v>
      </c>
    </row>
    <row r="263" spans="1:3" x14ac:dyDescent="0.3">
      <c r="A263" t="s">
        <v>1184</v>
      </c>
      <c r="C263" t="s">
        <v>18</v>
      </c>
    </row>
    <row r="264" spans="1:3" x14ac:dyDescent="0.3">
      <c r="A264" t="s">
        <v>187</v>
      </c>
      <c r="B264" t="s">
        <v>188</v>
      </c>
      <c r="C264" t="s">
        <v>14</v>
      </c>
    </row>
    <row r="265" spans="1:3" x14ac:dyDescent="0.3">
      <c r="A265" t="s">
        <v>187</v>
      </c>
      <c r="B265" t="s">
        <v>188</v>
      </c>
      <c r="C265" t="s">
        <v>18</v>
      </c>
    </row>
    <row r="266" spans="1:3" x14ac:dyDescent="0.3">
      <c r="A266" t="s">
        <v>743</v>
      </c>
      <c r="C266" t="s">
        <v>744</v>
      </c>
    </row>
    <row r="267" spans="1:3" x14ac:dyDescent="0.3">
      <c r="A267" t="s">
        <v>597</v>
      </c>
      <c r="B267" t="s">
        <v>598</v>
      </c>
      <c r="C267" t="s">
        <v>374</v>
      </c>
    </row>
    <row r="268" spans="1:3" x14ac:dyDescent="0.3">
      <c r="A268" t="s">
        <v>597</v>
      </c>
      <c r="B268" t="s">
        <v>598</v>
      </c>
      <c r="C268" t="s">
        <v>688</v>
      </c>
    </row>
    <row r="269" spans="1:3" x14ac:dyDescent="0.3">
      <c r="A269" t="s">
        <v>597</v>
      </c>
      <c r="B269" t="s">
        <v>598</v>
      </c>
      <c r="C269" t="s">
        <v>18</v>
      </c>
    </row>
    <row r="270" spans="1:3" x14ac:dyDescent="0.3">
      <c r="A270" t="s">
        <v>66</v>
      </c>
      <c r="B270" t="s">
        <v>67</v>
      </c>
      <c r="C270" t="s">
        <v>18</v>
      </c>
    </row>
    <row r="271" spans="1:3" x14ac:dyDescent="0.3">
      <c r="A271" t="s">
        <v>124</v>
      </c>
      <c r="C271" t="s">
        <v>442</v>
      </c>
    </row>
    <row r="272" spans="1:3" x14ac:dyDescent="0.3">
      <c r="A272" t="s">
        <v>820</v>
      </c>
      <c r="B272" t="s">
        <v>821</v>
      </c>
      <c r="C272" t="s">
        <v>18</v>
      </c>
    </row>
    <row r="273" spans="1:3" x14ac:dyDescent="0.3">
      <c r="A273" t="s">
        <v>125</v>
      </c>
      <c r="C273" t="s">
        <v>18</v>
      </c>
    </row>
    <row r="274" spans="1:3" x14ac:dyDescent="0.3">
      <c r="A274" t="s">
        <v>125</v>
      </c>
      <c r="C274" t="s">
        <v>442</v>
      </c>
    </row>
    <row r="275" spans="1:3" x14ac:dyDescent="0.3">
      <c r="A275" t="s">
        <v>1404</v>
      </c>
      <c r="C275" t="s">
        <v>18</v>
      </c>
    </row>
    <row r="276" spans="1:3" x14ac:dyDescent="0.3">
      <c r="A276" t="s">
        <v>2270</v>
      </c>
      <c r="B276" t="s">
        <v>1569</v>
      </c>
      <c r="C276" t="s">
        <v>18</v>
      </c>
    </row>
    <row r="277" spans="1:3" x14ac:dyDescent="0.3">
      <c r="A277" t="s">
        <v>1940</v>
      </c>
      <c r="C277" t="s">
        <v>18</v>
      </c>
    </row>
    <row r="278" spans="1:3" x14ac:dyDescent="0.3">
      <c r="A278" t="s">
        <v>2127</v>
      </c>
      <c r="B278" t="s">
        <v>229</v>
      </c>
      <c r="C278" t="s">
        <v>18</v>
      </c>
    </row>
    <row r="279" spans="1:3" x14ac:dyDescent="0.3">
      <c r="A279" t="s">
        <v>131</v>
      </c>
      <c r="B279" t="s">
        <v>132</v>
      </c>
      <c r="C279" t="s">
        <v>18</v>
      </c>
    </row>
    <row r="280" spans="1:3" x14ac:dyDescent="0.3">
      <c r="A280" t="s">
        <v>131</v>
      </c>
      <c r="B280" t="s">
        <v>132</v>
      </c>
      <c r="C280" t="s">
        <v>14</v>
      </c>
    </row>
    <row r="281" spans="1:3" x14ac:dyDescent="0.3">
      <c r="A281" t="s">
        <v>911</v>
      </c>
      <c r="B281" t="s">
        <v>912</v>
      </c>
      <c r="C281" t="s">
        <v>442</v>
      </c>
    </row>
    <row r="282" spans="1:3" x14ac:dyDescent="0.3">
      <c r="A282" t="s">
        <v>2340</v>
      </c>
      <c r="C282" t="s">
        <v>2341</v>
      </c>
    </row>
    <row r="283" spans="1:3" x14ac:dyDescent="0.3">
      <c r="A283" t="s">
        <v>2342</v>
      </c>
      <c r="C283" t="s">
        <v>2343</v>
      </c>
    </row>
    <row r="284" spans="1:3" x14ac:dyDescent="0.3">
      <c r="A284" t="s">
        <v>573</v>
      </c>
      <c r="B284" t="s">
        <v>574</v>
      </c>
      <c r="C284" t="s">
        <v>14</v>
      </c>
    </row>
    <row r="285" spans="1:3" x14ac:dyDescent="0.3">
      <c r="A285" t="s">
        <v>133</v>
      </c>
      <c r="B285" t="s">
        <v>134</v>
      </c>
      <c r="C285" t="s">
        <v>18</v>
      </c>
    </row>
    <row r="286" spans="1:3" x14ac:dyDescent="0.3">
      <c r="A286" t="s">
        <v>133</v>
      </c>
      <c r="B286" t="s">
        <v>134</v>
      </c>
      <c r="C286" t="s">
        <v>374</v>
      </c>
    </row>
    <row r="287" spans="1:3" x14ac:dyDescent="0.3">
      <c r="A287" t="s">
        <v>373</v>
      </c>
      <c r="B287" t="s">
        <v>331</v>
      </c>
      <c r="C287" t="s">
        <v>746</v>
      </c>
    </row>
    <row r="288" spans="1:3" x14ac:dyDescent="0.3">
      <c r="A288" t="s">
        <v>373</v>
      </c>
      <c r="B288" t="s">
        <v>331</v>
      </c>
      <c r="C288" t="s">
        <v>442</v>
      </c>
    </row>
    <row r="289" spans="1:3" x14ac:dyDescent="0.3">
      <c r="A289" t="s">
        <v>373</v>
      </c>
      <c r="B289" t="s">
        <v>331</v>
      </c>
      <c r="C289" t="s">
        <v>18</v>
      </c>
    </row>
    <row r="290" spans="1:3" x14ac:dyDescent="0.3">
      <c r="A290" t="s">
        <v>373</v>
      </c>
      <c r="B290" t="s">
        <v>331</v>
      </c>
      <c r="C290" t="s">
        <v>374</v>
      </c>
    </row>
    <row r="291" spans="1:3" x14ac:dyDescent="0.3">
      <c r="A291" t="s">
        <v>68</v>
      </c>
      <c r="B291" t="s">
        <v>69</v>
      </c>
      <c r="C291" t="s">
        <v>374</v>
      </c>
    </row>
    <row r="292" spans="1:3" x14ac:dyDescent="0.3">
      <c r="A292" t="s">
        <v>68</v>
      </c>
      <c r="B292" t="s">
        <v>69</v>
      </c>
      <c r="C292" t="s">
        <v>18</v>
      </c>
    </row>
    <row r="293" spans="1:3" x14ac:dyDescent="0.3">
      <c r="A293" t="s">
        <v>813</v>
      </c>
      <c r="B293" t="s">
        <v>814</v>
      </c>
      <c r="C293" t="s">
        <v>495</v>
      </c>
    </row>
    <row r="294" spans="1:3" x14ac:dyDescent="0.3">
      <c r="A294" t="s">
        <v>813</v>
      </c>
      <c r="B294" t="s">
        <v>814</v>
      </c>
      <c r="C294" t="s">
        <v>18</v>
      </c>
    </row>
    <row r="295" spans="1:3" x14ac:dyDescent="0.3">
      <c r="A295" t="s">
        <v>813</v>
      </c>
      <c r="B295" t="s">
        <v>814</v>
      </c>
      <c r="C295" t="s">
        <v>14</v>
      </c>
    </row>
    <row r="296" spans="1:3" x14ac:dyDescent="0.3">
      <c r="A296" t="s">
        <v>1151</v>
      </c>
      <c r="B296" t="s">
        <v>1152</v>
      </c>
      <c r="C296" t="s">
        <v>1153</v>
      </c>
    </row>
    <row r="297" spans="1:3" x14ac:dyDescent="0.3">
      <c r="A297" t="s">
        <v>1151</v>
      </c>
      <c r="B297" t="s">
        <v>1152</v>
      </c>
      <c r="C297" t="s">
        <v>18</v>
      </c>
    </row>
    <row r="298" spans="1:3" x14ac:dyDescent="0.3">
      <c r="A298" t="s">
        <v>867</v>
      </c>
      <c r="B298" t="s">
        <v>868</v>
      </c>
      <c r="C298" t="s">
        <v>14</v>
      </c>
    </row>
    <row r="299" spans="1:3" x14ac:dyDescent="0.3">
      <c r="A299" t="s">
        <v>867</v>
      </c>
      <c r="B299" t="s">
        <v>868</v>
      </c>
      <c r="C299" t="s">
        <v>18</v>
      </c>
    </row>
    <row r="300" spans="1:3" x14ac:dyDescent="0.3">
      <c r="A300" t="s">
        <v>402</v>
      </c>
      <c r="B300" t="s">
        <v>403</v>
      </c>
      <c r="C300" t="s">
        <v>2183</v>
      </c>
    </row>
    <row r="301" spans="1:3" x14ac:dyDescent="0.3">
      <c r="A301" t="s">
        <v>189</v>
      </c>
      <c r="C301" t="s">
        <v>771</v>
      </c>
    </row>
    <row r="302" spans="1:3" x14ac:dyDescent="0.3">
      <c r="A302" t="s">
        <v>189</v>
      </c>
      <c r="C302" t="s">
        <v>442</v>
      </c>
    </row>
    <row r="303" spans="1:3" x14ac:dyDescent="0.3">
      <c r="A303" t="s">
        <v>189</v>
      </c>
      <c r="C303" t="s">
        <v>18</v>
      </c>
    </row>
    <row r="304" spans="1:3" x14ac:dyDescent="0.3">
      <c r="A304" t="s">
        <v>189</v>
      </c>
      <c r="C304" t="s">
        <v>14</v>
      </c>
    </row>
    <row r="305" spans="1:3" x14ac:dyDescent="0.3">
      <c r="A305" t="s">
        <v>2035</v>
      </c>
      <c r="B305" t="s">
        <v>2036</v>
      </c>
      <c r="C305" t="s">
        <v>374</v>
      </c>
    </row>
    <row r="306" spans="1:3" x14ac:dyDescent="0.3">
      <c r="A306" t="s">
        <v>1666</v>
      </c>
      <c r="B306" t="s">
        <v>1667</v>
      </c>
      <c r="C306" t="s">
        <v>14</v>
      </c>
    </row>
    <row r="307" spans="1:3" x14ac:dyDescent="0.3">
      <c r="A307" t="s">
        <v>1104</v>
      </c>
      <c r="B307" t="s">
        <v>1105</v>
      </c>
      <c r="C307" t="s">
        <v>374</v>
      </c>
    </row>
    <row r="308" spans="1:3" x14ac:dyDescent="0.3">
      <c r="A308" t="s">
        <v>1002</v>
      </c>
      <c r="B308" t="s">
        <v>138</v>
      </c>
      <c r="C308" t="s">
        <v>495</v>
      </c>
    </row>
    <row r="309" spans="1:3" x14ac:dyDescent="0.3">
      <c r="A309" t="s">
        <v>839</v>
      </c>
      <c r="B309" t="s">
        <v>138</v>
      </c>
      <c r="C309" t="s">
        <v>18</v>
      </c>
    </row>
    <row r="310" spans="1:3" x14ac:dyDescent="0.3">
      <c r="A310" t="s">
        <v>839</v>
      </c>
      <c r="B310" t="s">
        <v>138</v>
      </c>
      <c r="C310" t="s">
        <v>1154</v>
      </c>
    </row>
    <row r="311" spans="1:3" x14ac:dyDescent="0.3">
      <c r="A311" t="s">
        <v>839</v>
      </c>
      <c r="B311" t="s">
        <v>138</v>
      </c>
      <c r="C311" t="s">
        <v>14</v>
      </c>
    </row>
    <row r="312" spans="1:3" x14ac:dyDescent="0.3">
      <c r="A312" t="s">
        <v>1684</v>
      </c>
      <c r="C312" t="s">
        <v>1685</v>
      </c>
    </row>
    <row r="313" spans="1:3" x14ac:dyDescent="0.3">
      <c r="A313" t="s">
        <v>653</v>
      </c>
      <c r="B313" t="s">
        <v>654</v>
      </c>
      <c r="C313" t="s">
        <v>18</v>
      </c>
    </row>
    <row r="314" spans="1:3" x14ac:dyDescent="0.3">
      <c r="A314" t="s">
        <v>653</v>
      </c>
      <c r="B314" t="s">
        <v>654</v>
      </c>
      <c r="C314" t="s">
        <v>14</v>
      </c>
    </row>
    <row r="315" spans="1:3" x14ac:dyDescent="0.3">
      <c r="A315" t="s">
        <v>575</v>
      </c>
      <c r="B315" t="s">
        <v>673</v>
      </c>
      <c r="C315" t="s">
        <v>1757</v>
      </c>
    </row>
    <row r="316" spans="1:3" x14ac:dyDescent="0.3">
      <c r="A316" t="s">
        <v>575</v>
      </c>
      <c r="B316" t="s">
        <v>673</v>
      </c>
      <c r="C316" t="s">
        <v>18</v>
      </c>
    </row>
    <row r="317" spans="1:3" x14ac:dyDescent="0.3">
      <c r="A317" t="s">
        <v>518</v>
      </c>
      <c r="B317" t="s">
        <v>519</v>
      </c>
      <c r="C317" t="s">
        <v>18</v>
      </c>
    </row>
    <row r="318" spans="1:3" x14ac:dyDescent="0.3">
      <c r="A318" t="s">
        <v>438</v>
      </c>
      <c r="B318" t="s">
        <v>439</v>
      </c>
      <c r="C318" t="s">
        <v>18</v>
      </c>
    </row>
    <row r="319" spans="1:3" x14ac:dyDescent="0.3">
      <c r="A319" t="s">
        <v>438</v>
      </c>
      <c r="B319" t="s">
        <v>439</v>
      </c>
      <c r="C319" t="s">
        <v>14</v>
      </c>
    </row>
    <row r="320" spans="1:3" x14ac:dyDescent="0.3">
      <c r="A320" t="s">
        <v>1767</v>
      </c>
      <c r="C320" t="s">
        <v>1768</v>
      </c>
    </row>
    <row r="321" spans="1:3" x14ac:dyDescent="0.3">
      <c r="A321" t="s">
        <v>30</v>
      </c>
      <c r="B321" t="s">
        <v>31</v>
      </c>
      <c r="C321" t="s">
        <v>18</v>
      </c>
    </row>
    <row r="322" spans="1:3" x14ac:dyDescent="0.3">
      <c r="A322" t="s">
        <v>768</v>
      </c>
      <c r="C322" t="s">
        <v>769</v>
      </c>
    </row>
    <row r="323" spans="1:3" x14ac:dyDescent="0.3">
      <c r="A323" t="s">
        <v>1429</v>
      </c>
      <c r="B323" t="s">
        <v>1368</v>
      </c>
      <c r="C323" t="s">
        <v>18</v>
      </c>
    </row>
    <row r="324" spans="1:3" x14ac:dyDescent="0.3">
      <c r="A324" t="s">
        <v>1369</v>
      </c>
      <c r="B324" t="s">
        <v>1370</v>
      </c>
      <c r="C324" t="s">
        <v>18</v>
      </c>
    </row>
    <row r="325" spans="1:3" x14ac:dyDescent="0.3">
      <c r="A325" t="s">
        <v>36</v>
      </c>
      <c r="C325" t="s">
        <v>18</v>
      </c>
    </row>
    <row r="326" spans="1:3" x14ac:dyDescent="0.3">
      <c r="A326" t="s">
        <v>1887</v>
      </c>
      <c r="C326" t="s">
        <v>1892</v>
      </c>
    </row>
    <row r="327" spans="1:3" x14ac:dyDescent="0.3">
      <c r="A327" t="s">
        <v>1887</v>
      </c>
      <c r="C327" t="s">
        <v>1891</v>
      </c>
    </row>
    <row r="328" spans="1:3" x14ac:dyDescent="0.3">
      <c r="A328" t="s">
        <v>1887</v>
      </c>
      <c r="C328" t="s">
        <v>1890</v>
      </c>
    </row>
    <row r="329" spans="1:3" x14ac:dyDescent="0.3">
      <c r="A329" t="s">
        <v>1887</v>
      </c>
      <c r="C329" t="s">
        <v>1889</v>
      </c>
    </row>
    <row r="330" spans="1:3" x14ac:dyDescent="0.3">
      <c r="A330" t="s">
        <v>1887</v>
      </c>
      <c r="C330" t="s">
        <v>1888</v>
      </c>
    </row>
    <row r="331" spans="1:3" x14ac:dyDescent="0.3">
      <c r="A331" t="s">
        <v>915</v>
      </c>
      <c r="B331" t="s">
        <v>916</v>
      </c>
      <c r="C331" t="s">
        <v>14</v>
      </c>
    </row>
    <row r="332" spans="1:3" x14ac:dyDescent="0.3">
      <c r="A332" t="s">
        <v>817</v>
      </c>
      <c r="C332" t="s">
        <v>2049</v>
      </c>
    </row>
    <row r="333" spans="1:3" x14ac:dyDescent="0.3">
      <c r="A333" t="s">
        <v>817</v>
      </c>
      <c r="C333" t="s">
        <v>18</v>
      </c>
    </row>
    <row r="334" spans="1:3" x14ac:dyDescent="0.3">
      <c r="A334" t="s">
        <v>334</v>
      </c>
      <c r="B334" t="s">
        <v>335</v>
      </c>
      <c r="C334" t="s">
        <v>18</v>
      </c>
    </row>
    <row r="335" spans="1:3" x14ac:dyDescent="0.3">
      <c r="A335" t="s">
        <v>261</v>
      </c>
      <c r="B335" t="s">
        <v>262</v>
      </c>
      <c r="C335" t="s">
        <v>18</v>
      </c>
    </row>
    <row r="336" spans="1:3" x14ac:dyDescent="0.3">
      <c r="A336" t="s">
        <v>192</v>
      </c>
      <c r="B336" t="s">
        <v>193</v>
      </c>
      <c r="C336" t="s">
        <v>1351</v>
      </c>
    </row>
    <row r="337" spans="1:3" x14ac:dyDescent="0.3">
      <c r="A337" t="s">
        <v>192</v>
      </c>
      <c r="B337" t="s">
        <v>193</v>
      </c>
      <c r="C337" t="s">
        <v>14</v>
      </c>
    </row>
    <row r="338" spans="1:3" x14ac:dyDescent="0.3">
      <c r="A338" t="s">
        <v>146</v>
      </c>
      <c r="C338" t="s">
        <v>1304</v>
      </c>
    </row>
    <row r="339" spans="1:3" x14ac:dyDescent="0.3">
      <c r="A339" t="s">
        <v>146</v>
      </c>
      <c r="C339" t="s">
        <v>147</v>
      </c>
    </row>
    <row r="340" spans="1:3" x14ac:dyDescent="0.3">
      <c r="A340" t="s">
        <v>146</v>
      </c>
      <c r="C340" t="s">
        <v>606</v>
      </c>
    </row>
    <row r="341" spans="1:3" x14ac:dyDescent="0.3">
      <c r="A341" t="s">
        <v>2320</v>
      </c>
      <c r="C341" t="s">
        <v>2321</v>
      </c>
    </row>
    <row r="342" spans="1:3" x14ac:dyDescent="0.3">
      <c r="A342" t="s">
        <v>674</v>
      </c>
      <c r="B342" t="s">
        <v>675</v>
      </c>
      <c r="C342" t="s">
        <v>14</v>
      </c>
    </row>
    <row r="343" spans="1:3" x14ac:dyDescent="0.3">
      <c r="A343" t="s">
        <v>674</v>
      </c>
      <c r="B343" t="s">
        <v>675</v>
      </c>
      <c r="C343" t="s">
        <v>2212</v>
      </c>
    </row>
    <row r="344" spans="1:3" x14ac:dyDescent="0.3">
      <c r="A344" t="s">
        <v>674</v>
      </c>
      <c r="B344" t="s">
        <v>675</v>
      </c>
      <c r="C344" t="s">
        <v>18</v>
      </c>
    </row>
    <row r="345" spans="1:3" x14ac:dyDescent="0.3">
      <c r="A345" t="s">
        <v>1982</v>
      </c>
      <c r="C345" t="s">
        <v>1983</v>
      </c>
    </row>
    <row r="346" spans="1:3" x14ac:dyDescent="0.3">
      <c r="A346" t="s">
        <v>476</v>
      </c>
      <c r="B346" t="s">
        <v>478</v>
      </c>
      <c r="C346" t="s">
        <v>18</v>
      </c>
    </row>
    <row r="347" spans="1:3" x14ac:dyDescent="0.3">
      <c r="A347" t="s">
        <v>476</v>
      </c>
      <c r="B347" t="s">
        <v>478</v>
      </c>
      <c r="C347" t="s">
        <v>1651</v>
      </c>
    </row>
    <row r="348" spans="1:3" x14ac:dyDescent="0.3">
      <c r="A348" t="s">
        <v>476</v>
      </c>
      <c r="B348" t="s">
        <v>478</v>
      </c>
      <c r="C348" t="s">
        <v>14</v>
      </c>
    </row>
    <row r="349" spans="1:3" x14ac:dyDescent="0.3">
      <c r="A349" t="s">
        <v>479</v>
      </c>
      <c r="B349" t="s">
        <v>480</v>
      </c>
      <c r="C349" t="s">
        <v>14</v>
      </c>
    </row>
    <row r="350" spans="1:3" x14ac:dyDescent="0.3">
      <c r="A350" t="s">
        <v>479</v>
      </c>
      <c r="B350" t="s">
        <v>480</v>
      </c>
      <c r="C350" t="s">
        <v>18</v>
      </c>
    </row>
    <row r="351" spans="1:3" x14ac:dyDescent="0.3">
      <c r="A351" t="s">
        <v>408</v>
      </c>
      <c r="C351" t="s">
        <v>374</v>
      </c>
    </row>
    <row r="352" spans="1:3" x14ac:dyDescent="0.3">
      <c r="A352" t="s">
        <v>496</v>
      </c>
      <c r="B352" t="s">
        <v>497</v>
      </c>
      <c r="C352" t="s">
        <v>374</v>
      </c>
    </row>
    <row r="353" spans="1:3" x14ac:dyDescent="0.3">
      <c r="A353" t="s">
        <v>496</v>
      </c>
      <c r="B353" t="s">
        <v>497</v>
      </c>
      <c r="C353" t="s">
        <v>495</v>
      </c>
    </row>
    <row r="354" spans="1:3" x14ac:dyDescent="0.3">
      <c r="A354" t="s">
        <v>709</v>
      </c>
      <c r="B354" t="s">
        <v>710</v>
      </c>
      <c r="C354" t="s">
        <v>18</v>
      </c>
    </row>
    <row r="355" spans="1:3" x14ac:dyDescent="0.3">
      <c r="A355" t="s">
        <v>545</v>
      </c>
      <c r="B355" t="s">
        <v>546</v>
      </c>
      <c r="C355" t="s">
        <v>18</v>
      </c>
    </row>
    <row r="356" spans="1:3" x14ac:dyDescent="0.3">
      <c r="A356" t="s">
        <v>2076</v>
      </c>
      <c r="C356" t="s">
        <v>2077</v>
      </c>
    </row>
    <row r="357" spans="1:3" x14ac:dyDescent="0.3">
      <c r="A357" t="s">
        <v>1100</v>
      </c>
      <c r="B357" t="s">
        <v>1101</v>
      </c>
      <c r="C357" t="s">
        <v>147</v>
      </c>
    </row>
    <row r="358" spans="1:3" x14ac:dyDescent="0.3">
      <c r="A358" t="s">
        <v>263</v>
      </c>
      <c r="B358" t="s">
        <v>264</v>
      </c>
      <c r="C358" t="s">
        <v>374</v>
      </c>
    </row>
    <row r="359" spans="1:3" x14ac:dyDescent="0.3">
      <c r="A359" t="s">
        <v>263</v>
      </c>
      <c r="B359" t="s">
        <v>264</v>
      </c>
      <c r="C359" t="s">
        <v>1218</v>
      </c>
    </row>
    <row r="360" spans="1:3" x14ac:dyDescent="0.3">
      <c r="A360" t="s">
        <v>383</v>
      </c>
      <c r="B360" t="s">
        <v>385</v>
      </c>
      <c r="C360" t="s">
        <v>374</v>
      </c>
    </row>
    <row r="361" spans="1:3" x14ac:dyDescent="0.3">
      <c r="A361" t="s">
        <v>383</v>
      </c>
      <c r="B361" t="s">
        <v>385</v>
      </c>
      <c r="C361" t="s">
        <v>18</v>
      </c>
    </row>
    <row r="362" spans="1:3" x14ac:dyDescent="0.3">
      <c r="A362" t="s">
        <v>383</v>
      </c>
      <c r="B362" t="s">
        <v>385</v>
      </c>
      <c r="C362" t="s">
        <v>14</v>
      </c>
    </row>
    <row r="363" spans="1:3" x14ac:dyDescent="0.3">
      <c r="A363" t="s">
        <v>383</v>
      </c>
      <c r="B363" t="s">
        <v>384</v>
      </c>
      <c r="C363" t="s">
        <v>18</v>
      </c>
    </row>
    <row r="364" spans="1:3" x14ac:dyDescent="0.3">
      <c r="A364" t="s">
        <v>383</v>
      </c>
      <c r="B364" t="s">
        <v>385</v>
      </c>
      <c r="C364" t="s">
        <v>495</v>
      </c>
    </row>
    <row r="365" spans="1:3" x14ac:dyDescent="0.3">
      <c r="A365" t="s">
        <v>1167</v>
      </c>
      <c r="B365" t="s">
        <v>102</v>
      </c>
      <c r="C365" t="s">
        <v>442</v>
      </c>
    </row>
    <row r="366" spans="1:3" x14ac:dyDescent="0.3">
      <c r="A366" t="s">
        <v>1167</v>
      </c>
      <c r="B366" t="s">
        <v>102</v>
      </c>
      <c r="C366" t="s">
        <v>2184</v>
      </c>
    </row>
    <row r="367" spans="1:3" x14ac:dyDescent="0.3">
      <c r="A367" t="s">
        <v>411</v>
      </c>
      <c r="C367" t="s">
        <v>18</v>
      </c>
    </row>
    <row r="368" spans="1:3" x14ac:dyDescent="0.3">
      <c r="A368" t="s">
        <v>148</v>
      </c>
      <c r="C368" t="s">
        <v>18</v>
      </c>
    </row>
    <row r="369" spans="1:3" x14ac:dyDescent="0.3">
      <c r="A369" t="s">
        <v>266</v>
      </c>
      <c r="B369" t="s">
        <v>143</v>
      </c>
      <c r="C369" t="s">
        <v>18</v>
      </c>
    </row>
    <row r="370" spans="1:3" x14ac:dyDescent="0.3">
      <c r="A370" t="s">
        <v>1021</v>
      </c>
      <c r="B370" t="s">
        <v>1022</v>
      </c>
      <c r="C370" t="s">
        <v>374</v>
      </c>
    </row>
    <row r="371" spans="1:3" x14ac:dyDescent="0.3">
      <c r="A371" t="s">
        <v>599</v>
      </c>
      <c r="B371" t="s">
        <v>413</v>
      </c>
      <c r="C371" t="s">
        <v>147</v>
      </c>
    </row>
    <row r="372" spans="1:3" x14ac:dyDescent="0.3">
      <c r="A372" t="s">
        <v>599</v>
      </c>
      <c r="B372" t="s">
        <v>413</v>
      </c>
      <c r="C372" t="s">
        <v>18</v>
      </c>
    </row>
    <row r="373" spans="1:3" x14ac:dyDescent="0.3">
      <c r="A373" t="s">
        <v>656</v>
      </c>
      <c r="B373" t="s">
        <v>71</v>
      </c>
      <c r="C373" t="s">
        <v>2351</v>
      </c>
    </row>
    <row r="374" spans="1:3" x14ac:dyDescent="0.3">
      <c r="A374" t="s">
        <v>656</v>
      </c>
      <c r="B374" t="s">
        <v>71</v>
      </c>
      <c r="C374" t="s">
        <v>374</v>
      </c>
    </row>
    <row r="375" spans="1:3" x14ac:dyDescent="0.3">
      <c r="A375" t="s">
        <v>656</v>
      </c>
      <c r="B375" t="s">
        <v>71</v>
      </c>
      <c r="C375" t="s">
        <v>18</v>
      </c>
    </row>
    <row r="376" spans="1:3" x14ac:dyDescent="0.3">
      <c r="A376" t="s">
        <v>72</v>
      </c>
      <c r="B376" t="s">
        <v>319</v>
      </c>
      <c r="C376" t="s">
        <v>18</v>
      </c>
    </row>
    <row r="377" spans="1:3" x14ac:dyDescent="0.3">
      <c r="A377" t="s">
        <v>72</v>
      </c>
      <c r="B377" t="s">
        <v>73</v>
      </c>
      <c r="C377" t="s">
        <v>374</v>
      </c>
    </row>
    <row r="378" spans="1:3" x14ac:dyDescent="0.3">
      <c r="A378" t="s">
        <v>318</v>
      </c>
      <c r="B378" t="s">
        <v>319</v>
      </c>
      <c r="C378" t="s">
        <v>18</v>
      </c>
    </row>
    <row r="379" spans="1:3" x14ac:dyDescent="0.3">
      <c r="A379" t="s">
        <v>45</v>
      </c>
      <c r="C379" t="s">
        <v>18</v>
      </c>
    </row>
    <row r="380" spans="1:3" x14ac:dyDescent="0.3">
      <c r="A380" t="s">
        <v>240</v>
      </c>
      <c r="C380" t="s">
        <v>18</v>
      </c>
    </row>
    <row r="381" spans="1:3" x14ac:dyDescent="0.3">
      <c r="A381" t="s">
        <v>32</v>
      </c>
      <c r="C381" t="s">
        <v>18</v>
      </c>
    </row>
    <row r="382" spans="1:3" x14ac:dyDescent="0.3">
      <c r="A382" t="s">
        <v>1643</v>
      </c>
      <c r="C382" t="s">
        <v>18</v>
      </c>
    </row>
    <row r="383" spans="1:3" x14ac:dyDescent="0.3">
      <c r="A383" t="s">
        <v>600</v>
      </c>
      <c r="B383" t="s">
        <v>75</v>
      </c>
      <c r="C383" t="s">
        <v>14</v>
      </c>
    </row>
    <row r="384" spans="1:3" x14ac:dyDescent="0.3">
      <c r="A384" t="s">
        <v>600</v>
      </c>
      <c r="B384" t="s">
        <v>75</v>
      </c>
      <c r="C384" t="s">
        <v>18</v>
      </c>
    </row>
    <row r="385" spans="1:3" x14ac:dyDescent="0.3">
      <c r="A385" t="s">
        <v>46</v>
      </c>
      <c r="C385" t="s">
        <v>2091</v>
      </c>
    </row>
    <row r="386" spans="1:3" x14ac:dyDescent="0.3">
      <c r="A386" t="s">
        <v>483</v>
      </c>
      <c r="B386" t="s">
        <v>484</v>
      </c>
      <c r="C386" t="s">
        <v>14</v>
      </c>
    </row>
    <row r="387" spans="1:3" x14ac:dyDescent="0.3">
      <c r="A387" t="s">
        <v>483</v>
      </c>
      <c r="B387" t="s">
        <v>484</v>
      </c>
      <c r="C387" t="s">
        <v>18</v>
      </c>
    </row>
    <row r="388" spans="1:3" x14ac:dyDescent="0.3">
      <c r="A388" t="s">
        <v>483</v>
      </c>
      <c r="B388" t="s">
        <v>484</v>
      </c>
      <c r="C388" t="s">
        <v>688</v>
      </c>
    </row>
    <row r="389" spans="1:3" x14ac:dyDescent="0.3">
      <c r="A389" t="s">
        <v>770</v>
      </c>
      <c r="C389" t="s">
        <v>771</v>
      </c>
    </row>
    <row r="390" spans="1:3" x14ac:dyDescent="0.3">
      <c r="A390" t="s">
        <v>754</v>
      </c>
      <c r="B390" t="s">
        <v>755</v>
      </c>
      <c r="C390" t="s">
        <v>18</v>
      </c>
    </row>
    <row r="391" spans="1:3" x14ac:dyDescent="0.3">
      <c r="A391" t="s">
        <v>754</v>
      </c>
      <c r="B391" t="s">
        <v>755</v>
      </c>
      <c r="C391" t="s">
        <v>14</v>
      </c>
    </row>
    <row r="392" spans="1:3" x14ac:dyDescent="0.3">
      <c r="A392" t="s">
        <v>676</v>
      </c>
      <c r="C392" t="s">
        <v>18</v>
      </c>
    </row>
    <row r="393" spans="1:3" x14ac:dyDescent="0.3">
      <c r="A393" t="s">
        <v>485</v>
      </c>
      <c r="B393" t="s">
        <v>486</v>
      </c>
      <c r="C393" t="s">
        <v>18</v>
      </c>
    </row>
    <row r="394" spans="1:3" x14ac:dyDescent="0.3">
      <c r="A394" t="s">
        <v>1405</v>
      </c>
      <c r="B394" t="s">
        <v>1406</v>
      </c>
      <c r="C394" t="s">
        <v>374</v>
      </c>
    </row>
    <row r="395" spans="1:3" x14ac:dyDescent="0.3">
      <c r="A395" t="s">
        <v>657</v>
      </c>
      <c r="B395" t="s">
        <v>658</v>
      </c>
      <c r="C395" t="s">
        <v>14</v>
      </c>
    </row>
    <row r="396" spans="1:3" x14ac:dyDescent="0.3">
      <c r="A396" t="s">
        <v>151</v>
      </c>
      <c r="B396" t="s">
        <v>152</v>
      </c>
      <c r="C396" t="s">
        <v>14</v>
      </c>
    </row>
    <row r="397" spans="1:3" x14ac:dyDescent="0.3">
      <c r="A397" t="s">
        <v>151</v>
      </c>
      <c r="B397" t="s">
        <v>152</v>
      </c>
      <c r="C397" t="s">
        <v>2037</v>
      </c>
    </row>
    <row r="398" spans="1:3" x14ac:dyDescent="0.3">
      <c r="A398" t="s">
        <v>151</v>
      </c>
      <c r="B398" t="s">
        <v>152</v>
      </c>
      <c r="C398" t="s">
        <v>374</v>
      </c>
    </row>
    <row r="399" spans="1:3" x14ac:dyDescent="0.3">
      <c r="A399" t="s">
        <v>151</v>
      </c>
      <c r="B399" t="s">
        <v>152</v>
      </c>
      <c r="C399" t="s">
        <v>18</v>
      </c>
    </row>
    <row r="400" spans="1:3" x14ac:dyDescent="0.3">
      <c r="A400" t="s">
        <v>841</v>
      </c>
      <c r="B400" t="s">
        <v>169</v>
      </c>
      <c r="C400" t="s">
        <v>374</v>
      </c>
    </row>
    <row r="401" spans="1:3" x14ac:dyDescent="0.3">
      <c r="A401" t="s">
        <v>841</v>
      </c>
      <c r="B401" t="s">
        <v>169</v>
      </c>
      <c r="C401" t="s">
        <v>18</v>
      </c>
    </row>
    <row r="402" spans="1:3" x14ac:dyDescent="0.3">
      <c r="A402" t="s">
        <v>1821</v>
      </c>
      <c r="C402" t="s">
        <v>18</v>
      </c>
    </row>
    <row r="403" spans="1:3" x14ac:dyDescent="0.3">
      <c r="A403" t="s">
        <v>37</v>
      </c>
      <c r="C403" t="s">
        <v>18</v>
      </c>
    </row>
    <row r="404" spans="1:3" x14ac:dyDescent="0.3">
      <c r="A404" t="s">
        <v>604</v>
      </c>
      <c r="B404" t="s">
        <v>605</v>
      </c>
      <c r="C404" t="s">
        <v>1695</v>
      </c>
    </row>
    <row r="405" spans="1:3" x14ac:dyDescent="0.3">
      <c r="A405" t="s">
        <v>604</v>
      </c>
      <c r="B405" t="s">
        <v>605</v>
      </c>
      <c r="C405" t="s">
        <v>606</v>
      </c>
    </row>
    <row r="406" spans="1:3" x14ac:dyDescent="0.3">
      <c r="A406" t="s">
        <v>2213</v>
      </c>
      <c r="C406" t="s">
        <v>2214</v>
      </c>
    </row>
    <row r="407" spans="1:3" x14ac:dyDescent="0.3">
      <c r="A407" t="s">
        <v>1769</v>
      </c>
      <c r="B407" t="s">
        <v>1770</v>
      </c>
      <c r="C407" t="s">
        <v>14</v>
      </c>
    </row>
    <row r="408" spans="1:3" x14ac:dyDescent="0.3">
      <c r="A408" t="s">
        <v>522</v>
      </c>
      <c r="C408" t="s">
        <v>442</v>
      </c>
    </row>
    <row r="409" spans="1:3" x14ac:dyDescent="0.3">
      <c r="A409" t="s">
        <v>76</v>
      </c>
      <c r="B409" t="s">
        <v>77</v>
      </c>
      <c r="C409" t="s">
        <v>374</v>
      </c>
    </row>
    <row r="410" spans="1:3" x14ac:dyDescent="0.3">
      <c r="A410" t="s">
        <v>76</v>
      </c>
      <c r="B410" t="s">
        <v>77</v>
      </c>
      <c r="C410" t="s">
        <v>18</v>
      </c>
    </row>
    <row r="411" spans="1:3" x14ac:dyDescent="0.3">
      <c r="A411" t="s">
        <v>1396</v>
      </c>
      <c r="B411" t="s">
        <v>613</v>
      </c>
      <c r="C411" t="s">
        <v>18</v>
      </c>
    </row>
    <row r="412" spans="1:3" x14ac:dyDescent="0.3">
      <c r="A412" t="s">
        <v>772</v>
      </c>
      <c r="C412" t="s">
        <v>773</v>
      </c>
    </row>
    <row r="413" spans="1:3" x14ac:dyDescent="0.3">
      <c r="A413" t="s">
        <v>677</v>
      </c>
      <c r="B413" t="s">
        <v>678</v>
      </c>
      <c r="C413" t="s">
        <v>18</v>
      </c>
    </row>
    <row r="414" spans="1:3" x14ac:dyDescent="0.3">
      <c r="A414" t="s">
        <v>2215</v>
      </c>
      <c r="C414" t="s">
        <v>374</v>
      </c>
    </row>
    <row r="415" spans="1:3" x14ac:dyDescent="0.3">
      <c r="A415" t="s">
        <v>498</v>
      </c>
      <c r="B415" t="s">
        <v>499</v>
      </c>
      <c r="C415" t="s">
        <v>495</v>
      </c>
    </row>
    <row r="416" spans="1:3" x14ac:dyDescent="0.3">
      <c r="A416" t="s">
        <v>774</v>
      </c>
      <c r="C416" t="s">
        <v>771</v>
      </c>
    </row>
    <row r="417" spans="1:3" x14ac:dyDescent="0.3">
      <c r="A417" t="s">
        <v>679</v>
      </c>
      <c r="B417" t="s">
        <v>680</v>
      </c>
      <c r="C417" t="s">
        <v>14</v>
      </c>
    </row>
    <row r="418" spans="1:3" x14ac:dyDescent="0.3">
      <c r="A418" t="s">
        <v>679</v>
      </c>
      <c r="B418" t="s">
        <v>680</v>
      </c>
      <c r="C418" t="s">
        <v>2024</v>
      </c>
    </row>
    <row r="419" spans="1:3" x14ac:dyDescent="0.3">
      <c r="A419" t="s">
        <v>679</v>
      </c>
      <c r="B419" t="s">
        <v>680</v>
      </c>
      <c r="C419" t="s">
        <v>18</v>
      </c>
    </row>
    <row r="420" spans="1:3" x14ac:dyDescent="0.3">
      <c r="A420" t="s">
        <v>1110</v>
      </c>
      <c r="B420" t="s">
        <v>237</v>
      </c>
      <c r="C420" t="s">
        <v>2357</v>
      </c>
    </row>
    <row r="421" spans="1:3" x14ac:dyDescent="0.3">
      <c r="A421" t="s">
        <v>153</v>
      </c>
      <c r="B421" t="s">
        <v>154</v>
      </c>
      <c r="C421" t="s">
        <v>18</v>
      </c>
    </row>
    <row r="422" spans="1:3" x14ac:dyDescent="0.3">
      <c r="A422" t="s">
        <v>155</v>
      </c>
      <c r="B422" t="s">
        <v>156</v>
      </c>
      <c r="C422" t="s">
        <v>18</v>
      </c>
    </row>
    <row r="423" spans="1:3" x14ac:dyDescent="0.3">
      <c r="A423" t="s">
        <v>157</v>
      </c>
      <c r="B423" t="s">
        <v>158</v>
      </c>
      <c r="C423" t="s">
        <v>18</v>
      </c>
    </row>
    <row r="424" spans="1:3" x14ac:dyDescent="0.3">
      <c r="A424" t="s">
        <v>12</v>
      </c>
      <c r="B424" t="s">
        <v>13</v>
      </c>
      <c r="C424" t="s">
        <v>14</v>
      </c>
    </row>
    <row r="425" spans="1:3" x14ac:dyDescent="0.3">
      <c r="A425" t="s">
        <v>161</v>
      </c>
      <c r="B425" t="s">
        <v>162</v>
      </c>
      <c r="C425" t="s">
        <v>18</v>
      </c>
    </row>
    <row r="426" spans="1:3" x14ac:dyDescent="0.3">
      <c r="A426" t="s">
        <v>163</v>
      </c>
      <c r="B426" t="s">
        <v>164</v>
      </c>
      <c r="C426" t="s">
        <v>18</v>
      </c>
    </row>
    <row r="427" spans="1:3" x14ac:dyDescent="0.3">
      <c r="A427" t="s">
        <v>1737</v>
      </c>
      <c r="B427" t="s">
        <v>759</v>
      </c>
      <c r="C427" t="s">
        <v>18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Sheet</vt:lpstr>
      <vt:lpstr>Sales Detail</vt:lpstr>
      <vt:lpstr>Customer-Year Summary</vt:lpstr>
      <vt:lpstr>Customer-Product Summary</vt:lpstr>
      <vt:lpstr>Formulations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COROLLA123452025@outlook.com</cp:lastModifiedBy>
  <cp:revision>0</cp:revision>
  <dcterms:created xsi:type="dcterms:W3CDTF">2026-07-13T09:19:49Z</dcterms:created>
  <dcterms:modified xsi:type="dcterms:W3CDTF">2026-07-13T13:36:30Z</dcterms:modified>
  <dc:language>en-US</dc:language>
</cp:coreProperties>
</file>